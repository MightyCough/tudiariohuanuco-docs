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yenda" sheetId="1" state="visible" r:id="rId1"/>
    <sheet xmlns:r="http://schemas.openxmlformats.org/officeDocument/2006/relationships" name="1. Guion de aplicación" sheetId="2" state="visible" r:id="rId2"/>
    <sheet xmlns:r="http://schemas.openxmlformats.org/officeDocument/2006/relationships" name="2. Condiciones" sheetId="3" state="visible" r:id="rId3"/>
    <sheet xmlns:r="http://schemas.openxmlformats.org/officeDocument/2006/relationships" name="3. Protocolo extracción" sheetId="4" state="visible" r:id="rId4"/>
    <sheet xmlns:r="http://schemas.openxmlformats.org/officeDocument/2006/relationships" name="4. Lista de cotejo" sheetId="5" state="visible" r:id="rId5"/>
    <sheet xmlns:r="http://schemas.openxmlformats.org/officeDocument/2006/relationships" name="5. Ficha de observación" sheetId="6" state="visible" r:id="rId6"/>
    <sheet xmlns:r="http://schemas.openxmlformats.org/officeDocument/2006/relationships" name="6. Incidencias" sheetId="7" state="visible" r:id="rId7"/>
    <sheet xmlns:r="http://schemas.openxmlformats.org/officeDocument/2006/relationships" name="7. Trazabilidad" sheetId="8" state="visible" r:id="rId8"/>
    <sheet xmlns:r="http://schemas.openxmlformats.org/officeDocument/2006/relationships" name="8. Portafol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17">
    <font>
      <name val="Calibri"/>
      <color theme="1"/>
      <sz val="11"/>
      <scheme val="minor"/>
    </font>
    <font>
      <name val="Arial"/>
      <b val="1"/>
      <color rgb="FF002060"/>
      <sz val="14"/>
    </font>
    <font>
      <name val="Arial"/>
      <i val="1"/>
      <color rgb="FF44525E"/>
      <sz val="9"/>
    </font>
    <font>
      <name val="Calibri"/>
      <color theme="1"/>
      <sz val="11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A83E28"/>
      <sz val="10"/>
    </font>
    <font>
      <name val="Arial"/>
      <color rgb="FF0000FF"/>
      <sz val="10"/>
    </font>
    <font>
      <name val="Arial"/>
      <color rgb="FFA83E28"/>
      <sz val="10"/>
    </font>
    <font>
      <name val="Arial"/>
      <b val="1"/>
      <color rgb="FF002060"/>
      <sz val="10"/>
    </font>
    <font>
      <name val="Arial"/>
      <i val="1"/>
      <color rgb="FF0000FF"/>
      <sz val="10"/>
    </font>
    <font/>
    <font>
      <name val="Arial"/>
      <b val="1"/>
      <color rgb="FFFFFFFF"/>
      <sz val="11"/>
    </font>
    <font>
      <name val="Arial"/>
      <b val="1"/>
      <color rgb="FFA83E28"/>
      <sz val="11"/>
    </font>
    <font>
      <name val="Arial"/>
      <i val="1"/>
      <color rgb="FFA83E28"/>
      <sz val="9"/>
    </font>
    <font>
      <b val="1"/>
    </font>
  </fonts>
  <fills count="7">
    <fill>
      <patternFill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5F9FC"/>
        <bgColor rgb="FFF5F9FC"/>
      </patternFill>
    </fill>
    <fill>
      <patternFill patternType="solid">
        <fgColor rgb="FFFFFDE7"/>
        <bgColor rgb="FFFFFDE7"/>
      </patternFill>
    </fill>
    <fill>
      <patternFill patternType="solid">
        <fgColor rgb="FFA83E28"/>
        <bgColor rgb="FFA83E28"/>
      </patternFill>
    </fill>
    <fill>
      <patternFill patternType="solid">
        <fgColor rgb="FF0E7C86"/>
        <bgColor rgb="FF0E7C86"/>
      </patternFill>
    </fill>
  </fills>
  <borders count="7">
    <border/>
    <border>
      <left style="thin">
        <color rgb="FFB9CBD8"/>
      </left>
      <right style="thin">
        <color rgb="FFB9CBD8"/>
      </right>
      <top style="thin">
        <color rgb="FFB9CBD8"/>
      </top>
      <bottom style="thin">
        <color rgb="FFB9CBD8"/>
      </bottom>
    </border>
    <border>
      <left style="thin">
        <color rgb="FFB9CBD8"/>
      </left>
      <top style="thin">
        <color rgb="FFB9CBD8"/>
      </top>
      <bottom style="thin">
        <color rgb="FFB9CBD8"/>
      </bottom>
    </border>
    <border>
      <top style="thin">
        <color rgb="FFB9CBD8"/>
      </top>
      <bottom style="thin">
        <color rgb="FFB9CBD8"/>
      </bottom>
    </border>
    <border>
      <right style="thin">
        <color rgb="FFB9CBD8"/>
      </right>
      <top style="thin">
        <color rgb="FFB9CBD8"/>
      </top>
      <bottom style="thin">
        <color rgb="FFB9CBD8"/>
      </bottom>
    </border>
    <border>
      <top style="thin">
        <color rgb="FFB9CBD8"/>
      </top>
    </border>
    <border>
      <right style="thin">
        <color rgb="FFB9CBD8"/>
      </right>
      <top style="thin">
        <color rgb="FFB9CBD8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8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1" fillId="4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5" borderId="2" applyAlignment="1" pivotButton="0" quotePrefix="0" xfId="0">
      <alignment horizontal="left" vertical="center"/>
    </xf>
    <xf numFmtId="0" fontId="12" fillId="0" borderId="3" pivotButton="0" quotePrefix="0" xfId="0"/>
    <xf numFmtId="0" fontId="12" fillId="0" borderId="4" pivotButton="0" quotePrefix="0" xfId="0"/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 wrapText="1"/>
    </xf>
    <xf numFmtId="0" fontId="4" fillId="6" borderId="2" applyAlignment="1" pivotButton="0" quotePrefix="0" xfId="0">
      <alignment horizontal="left" vertical="center"/>
    </xf>
    <xf numFmtId="0" fontId="10" fillId="0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164" fontId="5" fillId="0" borderId="1" applyAlignment="1" pivotButton="0" quotePrefix="0" xfId="0">
      <alignment vertical="bottom"/>
    </xf>
    <xf numFmtId="0" fontId="13" fillId="2" borderId="1" applyAlignment="1" pivotButton="0" quotePrefix="0" xfId="0">
      <alignment vertical="bottom"/>
    </xf>
    <xf numFmtId="0" fontId="14" fillId="0" borderId="1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5" fontId="8" fillId="4" borderId="1" applyAlignment="1" pivotButton="0" quotePrefix="0" xfId="0">
      <alignment vertical="center" wrapText="1"/>
    </xf>
    <xf numFmtId="0" fontId="0" fillId="0" borderId="0" pivotButton="0" quotePrefix="0" xfId="0"/>
    <xf numFmtId="0" fontId="16" fillId="0" borderId="0" applyAlignment="1" pivotButton="0" quotePrefix="0" xfId="0">
      <alignment vertical="bottom"/>
    </xf>
    <xf numFmtId="0" fontId="3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4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name val="Arial"/>
        <b val="1"/>
        <color rgb="FFFFFFFF"/>
        <sz val="10"/>
      </font>
      <fill>
        <patternFill patternType="solid">
          <fgColor rgb="FFA83E28"/>
          <bgColor rgb="FFA83E28"/>
        </patternFill>
      </fill>
      <border/>
    </dxf>
    <dxf>
      <font/>
      <fill>
        <patternFill patternType="solid">
          <fgColor rgb="FFE3F0E4"/>
          <bgColor rgb="FFE3F0E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None</author>
  </authors>
  <commentList>
    <comment ref="C5" authorId="0" shapeId="0">
      <text>
        <t>======
ID#AAACIYsNTwM
    (2026-10-09 23:19:58)
El espacio en blanco es el nombre de quien aplica (tesistas o personal de campo capacitado). Ninguna frase del guion contiene las palabras prohibidas.</t>
      </text>
    </comment>
    <comment ref="C8" authorId="0" shapeId="0">
      <text>
        <t>======
ID#AAACIYsNTwI
    (2026-10-09 23:19:58)
Las dos tareas usan el texto del PDT (Anexo 6.2.5). Ojo: «el último encuentro» cambia con el tiempo; para que pretest y postest sean iguales conviene fijar una noticia objetivo. Los tiempos (5 min por tarea; 10–15 min de encuesta) vienen de su cuaderno de la Sesión 01; el consentimiento del PDT dice «aproximadamente 15 minutos» en total.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5" authorId="0" shapeId="0">
      <text>
        <t>======
ID#AAACIYsNTwQ
    (2026-10-09 23:19:58)
Columna POSTEST: es lo PREVISTO (misma condición que el pretest). «¿Idéntico?» se deja vacío: se marca en el postest, cuando se verifique que realmente se cumplió.</t>
      </text>
    </comment>
    <comment ref="C9" authorId="0" shapeId="0">
      <text>
        <t>======
ID#AAACIYsNTwc
    (2026-10-09 23:19:58)
En el postest la plataforma cambia a propósito (es la intervención); las demás condiciones deben quedar idénticas.</t>
      </text>
    </comment>
    <comment ref="D9" authorId="0" shapeId="0">
      <text>
        <t>======
ID#AAACIYsNTwY
    (2026-10-09 23:19:58)
Único cambio previsto por diseño: la plataforma (es la intervención). El resto debe repetirse sin variación.</t>
      </text>
    </comment>
    <comment ref="C14" authorId="0" shapeId="0">
      <text>
        <t>======
ID#AAACIYsNTwU
    (2026-10-09 23:19:58)
El SUS en el pretest depende de una decisión pendiente: el PDT lo asigna al postest en §3.5.2 y Anexo 6.2.1, pero su diseño (§3.3) lo incluye en O1. Aquí se dejó como en el diseño.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C5" authorId="0" shapeId="0">
      <text>
        <t>======
ID#AAACIYsNTwA
    (2026-10-09 23:19:58)
Las filas «PENDIENTE» son datos reales de la extracción (archivo, consulta, versión, corte, n de registros, captura, responsable de TI): no se pueden completar sin haber corrido la consulta.</t>
      </text>
    </comment>
    <comment ref="C9" authorId="0" shapeId="0">
      <text>
        <t>======
ID#AAACIYsNTwg
MARC�L ALEXANDER JAVIER TRUJILLO AVILA    (2026-10-09 23:48:22)
Tener en cuenta esto, verificar</t>
      </text>
    </comment>
    <comment ref="C10" authorId="0" shapeId="0">
      <text>
        <t>======
ID#AAACIYsNTwE
    (2026-10-09 23:19:58)
Fechas del cronograma ampliado. Para el postest, la ventana prevista es 28/11 al 05/12/2026: debe cubrir un periodo equivalente en carga y momento del ciclo.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2" customWidth="1" style="35" min="1" max="1"/>
    <col width="95" customWidth="1" style="35" min="2" max="2"/>
    <col width="8.710000000000001" customWidth="1" style="35" min="3" max="6"/>
  </cols>
  <sheetData>
    <row r="1" ht="25.5" customHeight="1" s="35">
      <c r="A1" s="1" t="inlineStr">
        <is>
          <t>Cuaderno de instrumentos — Sesión 02</t>
        </is>
      </c>
    </row>
    <row r="2" ht="30" customHeight="1" s="35">
      <c r="A2" s="2" t="inlineStr">
        <is>
          <t>Aplicación estandarizada del pretest · Seminario de Tesis III (062110052) · Unidad I · Semana 2 · Semestre 2026-II</t>
        </is>
      </c>
    </row>
    <row r="3">
      <c r="A3" s="3" t="n"/>
      <c r="B3" s="3" t="n"/>
    </row>
    <row r="4" ht="31.5" customHeight="1" s="35">
      <c r="A4" s="4" t="inlineStr">
        <is>
          <t>Elemento</t>
        </is>
      </c>
      <c r="B4" s="4" t="inlineStr">
        <is>
          <t>Descripción</t>
        </is>
      </c>
    </row>
    <row r="5" ht="30" customHeight="1" s="35">
      <c r="A5" s="5" t="inlineStr">
        <is>
          <t>Qué contiene</t>
        </is>
      </c>
      <c r="B5" s="6" t="inlineStr">
        <is>
          <t>Los cinco instrumentos de evaluación del sílabo, más el guion y el protocolo de extracción.</t>
        </is>
      </c>
    </row>
    <row r="6" ht="30" customHeight="1" s="35">
      <c r="A6" s="7" t="inlineStr">
        <is>
          <t>Celdas amarillas</t>
        </is>
      </c>
      <c r="B6" s="8" t="inlineStr">
        <is>
          <t>Las que usted debe completar. El texto azul indica dato ingresado por el estudiante.</t>
        </is>
      </c>
    </row>
    <row r="7" ht="30" customHeight="1" s="35">
      <c r="A7" s="5" t="inlineStr">
        <is>
          <t>Celdas con fórmula</t>
        </is>
      </c>
      <c r="B7" s="6" t="inlineStr">
        <is>
          <t>No las modifique: calculan porcentajes, dictámenes y control de completitud.</t>
        </is>
      </c>
    </row>
    <row r="8" ht="30" customHeight="1" s="35">
      <c r="A8" s="7" t="inlineStr">
        <is>
          <t>Hoja 1 — Guion de aplicación</t>
        </is>
      </c>
      <c r="B8" s="8" t="inlineStr">
        <is>
          <t>Redacte textualmente la consigna. Se lee igual a todos los participantes.</t>
        </is>
      </c>
    </row>
    <row r="9" ht="30" customHeight="1" s="35">
      <c r="A9" s="5" t="inlineStr">
        <is>
          <t>Hoja 2 — Condiciones estandarizadas</t>
        </is>
      </c>
      <c r="B9" s="6" t="inlineStr">
        <is>
          <t>Lo que fije aquí debe repetirse sin variación en el postest.</t>
        </is>
      </c>
    </row>
    <row r="10" ht="30" customHeight="1" s="35">
      <c r="A10" s="7" t="inlineStr">
        <is>
          <t>Hoja 3 — Protocolo de extracción</t>
        </is>
      </c>
      <c r="B10" s="8" t="inlineStr">
        <is>
          <t>Solo si su indicador proviene del sistema o de registros institucionales.</t>
        </is>
      </c>
    </row>
    <row r="11" ht="30" customHeight="1" s="35">
      <c r="A11" s="5" t="inlineStr">
        <is>
          <t>Hoja 4 — Lista de cotejo de aplicación</t>
        </is>
      </c>
      <c r="B11" s="6" t="inlineStr">
        <is>
          <t>Verificación antes, durante y después. Determina si el pretest es válido.</t>
        </is>
      </c>
    </row>
    <row r="12" ht="30" customHeight="1" s="35">
      <c r="A12" s="7" t="inlineStr">
        <is>
          <t>Hoja 5 — Ficha de observación</t>
        </is>
      </c>
      <c r="B12" s="8" t="inlineStr">
        <is>
          <t>La usa el docente en la simulación y el compañero observador en campo.</t>
        </is>
      </c>
    </row>
    <row r="13" ht="30" customHeight="1" s="35">
      <c r="A13" s="5" t="inlineStr">
        <is>
          <t>Hoja 6 — Registro de incidencias</t>
        </is>
      </c>
      <c r="B13" s="6" t="inlineStr">
        <is>
          <t>Se abre el día de la aplicación y se anota en el momento, no después.</t>
        </is>
      </c>
    </row>
    <row r="14" ht="30" customHeight="1" s="35">
      <c r="A14" s="7" t="inlineStr">
        <is>
          <t>Hoja 7 — Control de trazabilidad</t>
        </is>
      </c>
      <c r="B14" s="8" t="inlineStr">
        <is>
          <t>Verifica la cadena participante–código–instrumento–base–evidencia.</t>
        </is>
      </c>
    </row>
    <row r="15" ht="30" customHeight="1" s="35">
      <c r="A15" s="5" t="inlineStr">
        <is>
          <t>Hoja 8 — Portafolio de evidencias</t>
        </is>
      </c>
      <c r="B15" s="6" t="inlineStr">
        <is>
          <t>Inventario de lo que se entrega al cierre de la fase.</t>
        </is>
      </c>
    </row>
    <row r="16" ht="30" customHeight="1" s="35">
      <c r="A16" s="9" t="inlineStr">
        <is>
          <t>Regla que no admite excepción</t>
        </is>
      </c>
      <c r="B16" s="9" t="inlineStr">
        <is>
          <t>Un pretest sin consentimiento verificado, o con trazabilidad rota, NO ES VÁLIDO y debe repetirse con nuevas unidades.</t>
        </is>
      </c>
    </row>
    <row r="17">
      <c r="A17" s="3" t="n"/>
      <c r="B17" s="3" t="n"/>
    </row>
    <row r="18">
      <c r="A18" s="36" t="inlineStr">
        <is>
          <t>Nota</t>
        </is>
      </c>
      <c r="B18" s="37" t="inlineStr">
        <is>
          <t>Datos simulados por indicación de la docente del curso (ejercicio de Seminario de Tesis III). No corresponden a una aplicación real.</t>
        </is>
      </c>
    </row>
    <row r="19">
      <c r="A19" s="3" t="n"/>
      <c r="B19" s="3" t="n"/>
    </row>
    <row r="20">
      <c r="A20" s="3" t="n"/>
      <c r="B20" s="3" t="n"/>
    </row>
    <row r="21" ht="15.75" customHeight="1" s="35">
      <c r="A21" s="3" t="n"/>
      <c r="B21" s="3" t="n"/>
    </row>
    <row r="22" ht="15.75" customHeight="1" s="35">
      <c r="A22" s="3" t="n"/>
      <c r="B22" s="3" t="n"/>
    </row>
    <row r="23" ht="15.75" customHeight="1" s="35">
      <c r="A23" s="3" t="n"/>
      <c r="B23" s="3" t="n"/>
    </row>
    <row r="24" ht="15.75" customHeight="1" s="35">
      <c r="A24" s="3" t="n"/>
      <c r="B24" s="3" t="n"/>
    </row>
    <row r="25" ht="15.75" customHeight="1" s="35">
      <c r="A25" s="3" t="n"/>
      <c r="B25" s="3" t="n"/>
    </row>
    <row r="26" ht="15.75" customHeight="1" s="35">
      <c r="A26" s="3" t="n"/>
      <c r="B26" s="3" t="n"/>
    </row>
    <row r="27" ht="15.75" customHeight="1" s="35">
      <c r="A27" s="3" t="n"/>
      <c r="B27" s="3" t="n"/>
    </row>
    <row r="28" ht="15.75" customHeight="1" s="35">
      <c r="A28" s="3" t="n"/>
      <c r="B28" s="3" t="n"/>
    </row>
    <row r="29" ht="15.75" customHeight="1" s="35">
      <c r="A29" s="3" t="n"/>
      <c r="B29" s="3" t="n"/>
    </row>
    <row r="30" ht="15.75" customHeight="1" s="35">
      <c r="A30" s="3" t="n"/>
      <c r="B30" s="3" t="n"/>
    </row>
    <row r="31" ht="15.75" customHeight="1" s="35">
      <c r="A31" s="3" t="n"/>
      <c r="B31" s="3" t="n"/>
    </row>
    <row r="32" ht="15.75" customHeight="1" s="35">
      <c r="A32" s="3" t="n"/>
      <c r="B32" s="3" t="n"/>
    </row>
    <row r="33" ht="15.75" customHeight="1" s="35">
      <c r="A33" s="3" t="n"/>
      <c r="B33" s="3" t="n"/>
    </row>
    <row r="34" ht="15.75" customHeight="1" s="35">
      <c r="A34" s="3" t="n"/>
      <c r="B34" s="3" t="n"/>
    </row>
    <row r="35" ht="15.75" customHeight="1" s="35">
      <c r="A35" s="3" t="n"/>
      <c r="B35" s="3" t="n"/>
    </row>
    <row r="36" ht="15.75" customHeight="1" s="35">
      <c r="A36" s="3" t="n"/>
      <c r="B36" s="3" t="n"/>
    </row>
    <row r="37" ht="15.75" customHeight="1" s="35">
      <c r="A37" s="3" t="n"/>
      <c r="B37" s="3" t="n"/>
    </row>
    <row r="38" ht="15.75" customHeight="1" s="35">
      <c r="A38" s="3" t="n"/>
      <c r="B38" s="3" t="n"/>
    </row>
    <row r="39" ht="15.75" customHeight="1" s="35">
      <c r="A39" s="3" t="n"/>
      <c r="B39" s="3" t="n"/>
    </row>
    <row r="40" ht="15.75" customHeight="1" s="35">
      <c r="A40" s="3" t="n"/>
      <c r="B40" s="3" t="n"/>
    </row>
    <row r="41" ht="15.75" customHeight="1" s="35">
      <c r="A41" s="3" t="n"/>
      <c r="B41" s="3" t="n"/>
    </row>
    <row r="42" ht="15.75" customHeight="1" s="35">
      <c r="A42" s="3" t="n"/>
      <c r="B42" s="3" t="n"/>
    </row>
    <row r="43" ht="15.75" customHeight="1" s="35">
      <c r="A43" s="3" t="n"/>
      <c r="B43" s="3" t="n"/>
    </row>
    <row r="44" ht="15.75" customHeight="1" s="35">
      <c r="A44" s="3" t="n"/>
      <c r="B44" s="3" t="n"/>
    </row>
    <row r="45" ht="15.75" customHeight="1" s="35">
      <c r="A45" s="3" t="n"/>
      <c r="B45" s="3" t="n"/>
    </row>
    <row r="46" ht="15.75" customHeight="1" s="35">
      <c r="A46" s="3" t="n"/>
      <c r="B46" s="3" t="n"/>
    </row>
    <row r="47" ht="15.75" customHeight="1" s="35">
      <c r="A47" s="3" t="n"/>
      <c r="B47" s="3" t="n"/>
    </row>
    <row r="48" ht="15.75" customHeight="1" s="35">
      <c r="A48" s="3" t="n"/>
      <c r="B48" s="3" t="n"/>
    </row>
    <row r="49" ht="15.75" customHeight="1" s="35">
      <c r="A49" s="3" t="n"/>
      <c r="B49" s="3" t="n"/>
    </row>
    <row r="50" ht="15.75" customHeight="1" s="35">
      <c r="A50" s="3" t="n"/>
      <c r="B50" s="3" t="n"/>
    </row>
    <row r="51" ht="15.75" customHeight="1" s="35">
      <c r="A51" s="3" t="n"/>
      <c r="B51" s="3" t="n"/>
    </row>
    <row r="52" ht="15.75" customHeight="1" s="35">
      <c r="A52" s="3" t="n"/>
      <c r="B52" s="3" t="n"/>
    </row>
    <row r="53" ht="15.75" customHeight="1" s="35">
      <c r="A53" s="3" t="n"/>
      <c r="B53" s="3" t="n"/>
    </row>
    <row r="54" ht="15.75" customHeight="1" s="35">
      <c r="A54" s="3" t="n"/>
      <c r="B54" s="3" t="n"/>
    </row>
    <row r="55" ht="15.75" customHeight="1" s="35">
      <c r="A55" s="3" t="n"/>
      <c r="B55" s="3" t="n"/>
    </row>
    <row r="56" ht="15.75" customHeight="1" s="35">
      <c r="A56" s="3" t="n"/>
      <c r="B56" s="3" t="n"/>
    </row>
    <row r="57" ht="15.75" customHeight="1" s="35">
      <c r="A57" s="3" t="n"/>
      <c r="B57" s="3" t="n"/>
    </row>
    <row r="58" ht="15.75" customHeight="1" s="35">
      <c r="A58" s="3" t="n"/>
      <c r="B58" s="3" t="n"/>
    </row>
    <row r="59" ht="15.75" customHeight="1" s="35">
      <c r="A59" s="3" t="n"/>
      <c r="B59" s="3" t="n"/>
    </row>
    <row r="60" ht="15.75" customHeight="1" s="35">
      <c r="A60" s="3" t="n"/>
      <c r="B60" s="3" t="n"/>
    </row>
    <row r="61" ht="15.75" customHeight="1" s="35">
      <c r="A61" s="3" t="n"/>
      <c r="B61" s="3" t="n"/>
    </row>
    <row r="62" ht="15.75" customHeight="1" s="35">
      <c r="A62" s="3" t="n"/>
      <c r="B62" s="3" t="n"/>
    </row>
    <row r="63" ht="15.75" customHeight="1" s="35">
      <c r="A63" s="3" t="n"/>
      <c r="B63" s="3" t="n"/>
    </row>
    <row r="64" ht="15.75" customHeight="1" s="35">
      <c r="A64" s="3" t="n"/>
      <c r="B64" s="3" t="n"/>
    </row>
    <row r="65" ht="15.75" customHeight="1" s="35">
      <c r="A65" s="3" t="n"/>
      <c r="B65" s="3" t="n"/>
    </row>
    <row r="66" ht="15.75" customHeight="1" s="35">
      <c r="A66" s="3" t="n"/>
      <c r="B66" s="3" t="n"/>
    </row>
    <row r="67" ht="15.75" customHeight="1" s="35">
      <c r="A67" s="3" t="n"/>
      <c r="B67" s="3" t="n"/>
    </row>
    <row r="68" ht="15.75" customHeight="1" s="35">
      <c r="A68" s="3" t="n"/>
      <c r="B68" s="3" t="n"/>
    </row>
    <row r="69" ht="15.75" customHeight="1" s="35">
      <c r="A69" s="3" t="n"/>
      <c r="B69" s="3" t="n"/>
    </row>
    <row r="70" ht="15.75" customHeight="1" s="35">
      <c r="A70" s="3" t="n"/>
      <c r="B70" s="3" t="n"/>
    </row>
    <row r="71" ht="15.75" customHeight="1" s="35">
      <c r="A71" s="3" t="n"/>
      <c r="B71" s="3" t="n"/>
    </row>
    <row r="72" ht="15.75" customHeight="1" s="35">
      <c r="A72" s="3" t="n"/>
      <c r="B72" s="3" t="n"/>
    </row>
    <row r="73" ht="15.75" customHeight="1" s="35">
      <c r="A73" s="3" t="n"/>
      <c r="B73" s="3" t="n"/>
    </row>
    <row r="74" ht="15.75" customHeight="1" s="35">
      <c r="A74" s="3" t="n"/>
      <c r="B74" s="3" t="n"/>
    </row>
    <row r="75" ht="15.75" customHeight="1" s="35">
      <c r="A75" s="3" t="n"/>
      <c r="B75" s="3" t="n"/>
    </row>
    <row r="76" ht="15.75" customHeight="1" s="35">
      <c r="A76" s="3" t="n"/>
      <c r="B76" s="3" t="n"/>
    </row>
    <row r="77" ht="15.75" customHeight="1" s="35">
      <c r="A77" s="3" t="n"/>
      <c r="B77" s="3" t="n"/>
    </row>
    <row r="78" ht="15.75" customHeight="1" s="35">
      <c r="A78" s="3" t="n"/>
      <c r="B78" s="3" t="n"/>
    </row>
    <row r="79" ht="15.75" customHeight="1" s="35">
      <c r="A79" s="3" t="n"/>
      <c r="B79" s="3" t="n"/>
    </row>
    <row r="80" ht="15.75" customHeight="1" s="35">
      <c r="A80" s="3" t="n"/>
      <c r="B80" s="3" t="n"/>
    </row>
    <row r="81" ht="15.75" customHeight="1" s="35">
      <c r="A81" s="3" t="n"/>
      <c r="B81" s="3" t="n"/>
    </row>
    <row r="82" ht="15.75" customHeight="1" s="35">
      <c r="A82" s="3" t="n"/>
      <c r="B82" s="3" t="n"/>
    </row>
    <row r="83" ht="15.75" customHeight="1" s="35">
      <c r="A83" s="3" t="n"/>
      <c r="B83" s="3" t="n"/>
    </row>
    <row r="84" ht="15.75" customHeight="1" s="35">
      <c r="A84" s="3" t="n"/>
      <c r="B84" s="3" t="n"/>
    </row>
    <row r="85" ht="15.75" customHeight="1" s="35">
      <c r="A85" s="3" t="n"/>
      <c r="B85" s="3" t="n"/>
    </row>
    <row r="86" ht="15.75" customHeight="1" s="35">
      <c r="A86" s="3" t="n"/>
      <c r="B86" s="3" t="n"/>
    </row>
    <row r="87" ht="15.75" customHeight="1" s="35">
      <c r="A87" s="3" t="n"/>
      <c r="B87" s="3" t="n"/>
    </row>
    <row r="88" ht="15.75" customHeight="1" s="35">
      <c r="A88" s="3" t="n"/>
      <c r="B88" s="3" t="n"/>
    </row>
    <row r="89" ht="15.75" customHeight="1" s="35">
      <c r="A89" s="3" t="n"/>
      <c r="B89" s="3" t="n"/>
    </row>
    <row r="90" ht="15.75" customHeight="1" s="35">
      <c r="A90" s="3" t="n"/>
      <c r="B90" s="3" t="n"/>
    </row>
    <row r="91" ht="15.75" customHeight="1" s="35">
      <c r="A91" s="3" t="n"/>
      <c r="B91" s="3" t="n"/>
    </row>
    <row r="92" ht="15.75" customHeight="1" s="35">
      <c r="A92" s="3" t="n"/>
      <c r="B92" s="3" t="n"/>
    </row>
    <row r="93" ht="15.75" customHeight="1" s="35">
      <c r="A93" s="3" t="n"/>
      <c r="B93" s="3" t="n"/>
    </row>
    <row r="94" ht="15.75" customHeight="1" s="35">
      <c r="A94" s="3" t="n"/>
      <c r="B94" s="3" t="n"/>
    </row>
    <row r="95" ht="15.75" customHeight="1" s="35">
      <c r="A95" s="3" t="n"/>
      <c r="B95" s="3" t="n"/>
    </row>
    <row r="96" ht="15.75" customHeight="1" s="35">
      <c r="A96" s="3" t="n"/>
      <c r="B96" s="3" t="n"/>
    </row>
    <row r="97" ht="15.75" customHeight="1" s="35">
      <c r="A97" s="3" t="n"/>
      <c r="B97" s="3" t="n"/>
    </row>
    <row r="98" ht="15.75" customHeight="1" s="35">
      <c r="A98" s="3" t="n"/>
      <c r="B98" s="3" t="n"/>
    </row>
    <row r="99" ht="15.75" customHeight="1" s="35">
      <c r="A99" s="3" t="n"/>
      <c r="B99" s="3" t="n"/>
    </row>
    <row r="100" ht="15.75" customHeight="1" s="35">
      <c r="A100" s="3" t="n"/>
      <c r="B100" s="3" t="n"/>
    </row>
    <row r="101" ht="15.75" customHeight="1" s="35">
      <c r="A101" s="3" t="n"/>
      <c r="B101" s="3" t="n"/>
    </row>
    <row r="102" ht="15.75" customHeight="1" s="35">
      <c r="A102" s="3" t="n"/>
      <c r="B102" s="3" t="n"/>
    </row>
    <row r="103" ht="15.75" customHeight="1" s="35">
      <c r="A103" s="3" t="n"/>
      <c r="B103" s="3" t="n"/>
    </row>
    <row r="104" ht="15.75" customHeight="1" s="35">
      <c r="A104" s="3" t="n"/>
      <c r="B104" s="3" t="n"/>
    </row>
    <row r="105" ht="15.75" customHeight="1" s="35">
      <c r="A105" s="3" t="n"/>
      <c r="B105" s="3" t="n"/>
    </row>
    <row r="106" ht="15.75" customHeight="1" s="35">
      <c r="A106" s="3" t="n"/>
      <c r="B106" s="3" t="n"/>
    </row>
    <row r="107" ht="15.75" customHeight="1" s="35">
      <c r="A107" s="3" t="n"/>
      <c r="B107" s="3" t="n"/>
    </row>
    <row r="108" ht="15.75" customHeight="1" s="35">
      <c r="A108" s="3" t="n"/>
      <c r="B108" s="3" t="n"/>
    </row>
    <row r="109" ht="15.75" customHeight="1" s="35">
      <c r="A109" s="3" t="n"/>
      <c r="B109" s="3" t="n"/>
    </row>
    <row r="110" ht="15.75" customHeight="1" s="35">
      <c r="A110" s="3" t="n"/>
      <c r="B110" s="3" t="n"/>
    </row>
    <row r="111" ht="15.75" customHeight="1" s="35">
      <c r="A111" s="3" t="n"/>
      <c r="B111" s="3" t="n"/>
    </row>
    <row r="112" ht="15.75" customHeight="1" s="35">
      <c r="A112" s="3" t="n"/>
      <c r="B112" s="3" t="n"/>
    </row>
    <row r="113" ht="15.75" customHeight="1" s="35">
      <c r="A113" s="3" t="n"/>
      <c r="B113" s="3" t="n"/>
    </row>
    <row r="114" ht="15.75" customHeight="1" s="35">
      <c r="A114" s="3" t="n"/>
      <c r="B114" s="3" t="n"/>
    </row>
    <row r="115" ht="15.75" customHeight="1" s="35">
      <c r="A115" s="3" t="n"/>
      <c r="B115" s="3" t="n"/>
    </row>
    <row r="116" ht="15.75" customHeight="1" s="35">
      <c r="A116" s="3" t="n"/>
      <c r="B116" s="3" t="n"/>
    </row>
    <row r="117" ht="15.75" customHeight="1" s="35">
      <c r="A117" s="3" t="n"/>
      <c r="B117" s="3" t="n"/>
    </row>
    <row r="118" ht="15.75" customHeight="1" s="35">
      <c r="A118" s="3" t="n"/>
      <c r="B118" s="3" t="n"/>
    </row>
    <row r="119" ht="15.75" customHeight="1" s="35">
      <c r="A119" s="3" t="n"/>
      <c r="B119" s="3" t="n"/>
    </row>
    <row r="120" ht="15.75" customHeight="1" s="35">
      <c r="A120" s="3" t="n"/>
      <c r="B120" s="3" t="n"/>
    </row>
    <row r="121" ht="15.75" customHeight="1" s="35">
      <c r="A121" s="3" t="n"/>
      <c r="B121" s="3" t="n"/>
    </row>
    <row r="122" ht="15.75" customHeight="1" s="35">
      <c r="A122" s="3" t="n"/>
      <c r="B122" s="3" t="n"/>
    </row>
    <row r="123" ht="15.75" customHeight="1" s="35">
      <c r="A123" s="3" t="n"/>
      <c r="B123" s="3" t="n"/>
    </row>
    <row r="124" ht="15.75" customHeight="1" s="35">
      <c r="A124" s="3" t="n"/>
      <c r="B124" s="3" t="n"/>
    </row>
    <row r="125" ht="15.75" customHeight="1" s="35">
      <c r="A125" s="3" t="n"/>
      <c r="B125" s="3" t="n"/>
    </row>
    <row r="126" ht="15.75" customHeight="1" s="35">
      <c r="A126" s="3" t="n"/>
      <c r="B126" s="3" t="n"/>
    </row>
    <row r="127" ht="15.75" customHeight="1" s="35">
      <c r="A127" s="3" t="n"/>
      <c r="B127" s="3" t="n"/>
    </row>
    <row r="128" ht="15.75" customHeight="1" s="35">
      <c r="A128" s="3" t="n"/>
      <c r="B128" s="3" t="n"/>
    </row>
    <row r="129" ht="15.75" customHeight="1" s="35">
      <c r="A129" s="3" t="n"/>
      <c r="B129" s="3" t="n"/>
    </row>
    <row r="130" ht="15.75" customHeight="1" s="35">
      <c r="A130" s="3" t="n"/>
      <c r="B130" s="3" t="n"/>
    </row>
    <row r="131" ht="15.75" customHeight="1" s="35">
      <c r="A131" s="3" t="n"/>
      <c r="B131" s="3" t="n"/>
    </row>
    <row r="132" ht="15.75" customHeight="1" s="35">
      <c r="A132" s="3" t="n"/>
      <c r="B132" s="3" t="n"/>
    </row>
    <row r="133" ht="15.75" customHeight="1" s="35">
      <c r="A133" s="3" t="n"/>
      <c r="B133" s="3" t="n"/>
    </row>
    <row r="134" ht="15.75" customHeight="1" s="35">
      <c r="A134" s="3" t="n"/>
      <c r="B134" s="3" t="n"/>
    </row>
    <row r="135" ht="15.75" customHeight="1" s="35">
      <c r="A135" s="3" t="n"/>
      <c r="B135" s="3" t="n"/>
    </row>
    <row r="136" ht="15.75" customHeight="1" s="35">
      <c r="A136" s="3" t="n"/>
      <c r="B136" s="3" t="n"/>
    </row>
    <row r="137" ht="15.75" customHeight="1" s="35">
      <c r="A137" s="3" t="n"/>
      <c r="B137" s="3" t="n"/>
    </row>
    <row r="138" ht="15.75" customHeight="1" s="35">
      <c r="A138" s="3" t="n"/>
      <c r="B138" s="3" t="n"/>
    </row>
    <row r="139" ht="15.75" customHeight="1" s="35">
      <c r="A139" s="3" t="n"/>
      <c r="B139" s="3" t="n"/>
    </row>
    <row r="140" ht="15.75" customHeight="1" s="35">
      <c r="A140" s="3" t="n"/>
      <c r="B140" s="3" t="n"/>
    </row>
    <row r="141" ht="15.75" customHeight="1" s="35">
      <c r="A141" s="3" t="n"/>
      <c r="B141" s="3" t="n"/>
    </row>
    <row r="142" ht="15.75" customHeight="1" s="35">
      <c r="A142" s="3" t="n"/>
      <c r="B142" s="3" t="n"/>
    </row>
    <row r="143" ht="15.75" customHeight="1" s="35">
      <c r="A143" s="3" t="n"/>
      <c r="B143" s="3" t="n"/>
    </row>
    <row r="144" ht="15.75" customHeight="1" s="35">
      <c r="A144" s="3" t="n"/>
      <c r="B144" s="3" t="n"/>
    </row>
    <row r="145" ht="15.75" customHeight="1" s="35">
      <c r="A145" s="3" t="n"/>
      <c r="B145" s="3" t="n"/>
    </row>
    <row r="146" ht="15.75" customHeight="1" s="35">
      <c r="A146" s="3" t="n"/>
      <c r="B146" s="3" t="n"/>
    </row>
    <row r="147" ht="15.75" customHeight="1" s="35">
      <c r="A147" s="3" t="n"/>
      <c r="B147" s="3" t="n"/>
    </row>
    <row r="148" ht="15.75" customHeight="1" s="35">
      <c r="A148" s="3" t="n"/>
      <c r="B148" s="3" t="n"/>
    </row>
    <row r="149" ht="15.75" customHeight="1" s="35">
      <c r="A149" s="3" t="n"/>
      <c r="B149" s="3" t="n"/>
    </row>
    <row r="150" ht="15.75" customHeight="1" s="35">
      <c r="A150" s="3" t="n"/>
      <c r="B150" s="3" t="n"/>
    </row>
    <row r="151" ht="15.75" customHeight="1" s="35">
      <c r="A151" s="3" t="n"/>
      <c r="B151" s="3" t="n"/>
    </row>
    <row r="152" ht="15.75" customHeight="1" s="35">
      <c r="A152" s="3" t="n"/>
      <c r="B152" s="3" t="n"/>
    </row>
    <row r="153" ht="15.75" customHeight="1" s="35">
      <c r="A153" s="3" t="n"/>
      <c r="B153" s="3" t="n"/>
    </row>
    <row r="154" ht="15.75" customHeight="1" s="35">
      <c r="A154" s="3" t="n"/>
      <c r="B154" s="3" t="n"/>
    </row>
    <row r="155" ht="15.75" customHeight="1" s="35">
      <c r="A155" s="3" t="n"/>
      <c r="B155" s="3" t="n"/>
    </row>
    <row r="156" ht="15.75" customHeight="1" s="35">
      <c r="A156" s="3" t="n"/>
      <c r="B156" s="3" t="n"/>
    </row>
    <row r="157" ht="15.75" customHeight="1" s="35">
      <c r="A157" s="3" t="n"/>
      <c r="B157" s="3" t="n"/>
    </row>
    <row r="158" ht="15.75" customHeight="1" s="35">
      <c r="A158" s="3" t="n"/>
      <c r="B158" s="3" t="n"/>
    </row>
    <row r="159" ht="15.75" customHeight="1" s="35">
      <c r="A159" s="3" t="n"/>
      <c r="B159" s="3" t="n"/>
    </row>
    <row r="160" ht="15.75" customHeight="1" s="35">
      <c r="A160" s="3" t="n"/>
      <c r="B160" s="3" t="n"/>
    </row>
    <row r="161" ht="15.75" customHeight="1" s="35">
      <c r="A161" s="3" t="n"/>
      <c r="B161" s="3" t="n"/>
    </row>
    <row r="162" ht="15.75" customHeight="1" s="35">
      <c r="A162" s="3" t="n"/>
      <c r="B162" s="3" t="n"/>
    </row>
    <row r="163" ht="15.75" customHeight="1" s="35">
      <c r="A163" s="3" t="n"/>
      <c r="B163" s="3" t="n"/>
    </row>
    <row r="164" ht="15.75" customHeight="1" s="35">
      <c r="A164" s="3" t="n"/>
      <c r="B164" s="3" t="n"/>
    </row>
    <row r="165" ht="15.75" customHeight="1" s="35">
      <c r="A165" s="3" t="n"/>
      <c r="B165" s="3" t="n"/>
    </row>
    <row r="166" ht="15.75" customHeight="1" s="35">
      <c r="A166" s="3" t="n"/>
      <c r="B166" s="3" t="n"/>
    </row>
    <row r="167" ht="15.75" customHeight="1" s="35">
      <c r="A167" s="3" t="n"/>
      <c r="B167" s="3" t="n"/>
    </row>
    <row r="168" ht="15.75" customHeight="1" s="35">
      <c r="A168" s="3" t="n"/>
      <c r="B168" s="3" t="n"/>
    </row>
    <row r="169" ht="15.75" customHeight="1" s="35">
      <c r="A169" s="3" t="n"/>
      <c r="B169" s="3" t="n"/>
    </row>
    <row r="170" ht="15.75" customHeight="1" s="35">
      <c r="A170" s="3" t="n"/>
      <c r="B170" s="3" t="n"/>
    </row>
    <row r="171" ht="15.75" customHeight="1" s="35">
      <c r="A171" s="3" t="n"/>
      <c r="B171" s="3" t="n"/>
    </row>
    <row r="172" ht="15.75" customHeight="1" s="35">
      <c r="A172" s="3" t="n"/>
      <c r="B172" s="3" t="n"/>
    </row>
    <row r="173" ht="15.75" customHeight="1" s="35">
      <c r="A173" s="3" t="n"/>
      <c r="B173" s="3" t="n"/>
    </row>
    <row r="174" ht="15.75" customHeight="1" s="35">
      <c r="A174" s="3" t="n"/>
      <c r="B174" s="3" t="n"/>
    </row>
    <row r="175" ht="15.75" customHeight="1" s="35">
      <c r="A175" s="3" t="n"/>
      <c r="B175" s="3" t="n"/>
    </row>
    <row r="176" ht="15.75" customHeight="1" s="35">
      <c r="A176" s="3" t="n"/>
      <c r="B176" s="3" t="n"/>
    </row>
    <row r="177" ht="15.75" customHeight="1" s="35">
      <c r="A177" s="3" t="n"/>
      <c r="B177" s="3" t="n"/>
    </row>
    <row r="178" ht="15.75" customHeight="1" s="35">
      <c r="A178" s="3" t="n"/>
      <c r="B178" s="3" t="n"/>
    </row>
    <row r="179" ht="15.75" customHeight="1" s="35">
      <c r="A179" s="3" t="n"/>
      <c r="B179" s="3" t="n"/>
    </row>
    <row r="180" ht="15.75" customHeight="1" s="35">
      <c r="A180" s="3" t="n"/>
      <c r="B180" s="3" t="n"/>
    </row>
    <row r="181" ht="15.75" customHeight="1" s="35">
      <c r="A181" s="3" t="n"/>
      <c r="B181" s="3" t="n"/>
    </row>
    <row r="182" ht="15.75" customHeight="1" s="35">
      <c r="A182" s="3" t="n"/>
      <c r="B182" s="3" t="n"/>
    </row>
    <row r="183" ht="15.75" customHeight="1" s="35">
      <c r="A183" s="3" t="n"/>
      <c r="B183" s="3" t="n"/>
    </row>
    <row r="184" ht="15.75" customHeight="1" s="35">
      <c r="A184" s="3" t="n"/>
      <c r="B184" s="3" t="n"/>
    </row>
    <row r="185" ht="15.75" customHeight="1" s="35">
      <c r="A185" s="3" t="n"/>
      <c r="B185" s="3" t="n"/>
    </row>
    <row r="186" ht="15.75" customHeight="1" s="35">
      <c r="A186" s="3" t="n"/>
      <c r="B186" s="3" t="n"/>
    </row>
    <row r="187" ht="15.75" customHeight="1" s="35">
      <c r="A187" s="3" t="n"/>
      <c r="B187" s="3" t="n"/>
    </row>
    <row r="188" ht="15.75" customHeight="1" s="35">
      <c r="A188" s="3" t="n"/>
      <c r="B188" s="3" t="n"/>
    </row>
    <row r="189" ht="15.75" customHeight="1" s="35">
      <c r="A189" s="3" t="n"/>
      <c r="B189" s="3" t="n"/>
    </row>
    <row r="190" ht="15.75" customHeight="1" s="35">
      <c r="A190" s="3" t="n"/>
      <c r="B190" s="3" t="n"/>
    </row>
    <row r="191" ht="15.75" customHeight="1" s="35">
      <c r="A191" s="3" t="n"/>
      <c r="B191" s="3" t="n"/>
    </row>
    <row r="192" ht="15.75" customHeight="1" s="35">
      <c r="A192" s="3" t="n"/>
      <c r="B192" s="3" t="n"/>
    </row>
    <row r="193" ht="15.75" customHeight="1" s="35">
      <c r="A193" s="3" t="n"/>
      <c r="B193" s="3" t="n"/>
    </row>
    <row r="194" ht="15.75" customHeight="1" s="35">
      <c r="A194" s="3" t="n"/>
      <c r="B194" s="3" t="n"/>
    </row>
    <row r="195" ht="15.75" customHeight="1" s="35">
      <c r="A195" s="3" t="n"/>
      <c r="B195" s="3" t="n"/>
    </row>
    <row r="196" ht="15.75" customHeight="1" s="35">
      <c r="A196" s="3" t="n"/>
      <c r="B196" s="3" t="n"/>
    </row>
    <row r="197" ht="15.75" customHeight="1" s="35">
      <c r="A197" s="3" t="n"/>
      <c r="B197" s="3" t="n"/>
    </row>
    <row r="198" ht="15.75" customHeight="1" s="35">
      <c r="A198" s="3" t="n"/>
      <c r="B198" s="3" t="n"/>
    </row>
    <row r="199" ht="15.75" customHeight="1" s="35">
      <c r="A199" s="3" t="n"/>
      <c r="B199" s="3" t="n"/>
    </row>
    <row r="200" ht="15.75" customHeight="1" s="35">
      <c r="A200" s="3" t="n"/>
      <c r="B200" s="3" t="n"/>
    </row>
    <row r="201" ht="15.75" customHeight="1" s="35">
      <c r="A201" s="3" t="n"/>
      <c r="B201" s="3" t="n"/>
    </row>
    <row r="202" ht="15.75" customHeight="1" s="35">
      <c r="A202" s="3" t="n"/>
      <c r="B202" s="3" t="n"/>
    </row>
    <row r="203" ht="15.75" customHeight="1" s="35">
      <c r="A203" s="3" t="n"/>
      <c r="B203" s="3" t="n"/>
    </row>
    <row r="204" ht="15.75" customHeight="1" s="35">
      <c r="A204" s="3" t="n"/>
      <c r="B204" s="3" t="n"/>
    </row>
    <row r="205" ht="15.75" customHeight="1" s="35">
      <c r="A205" s="3" t="n"/>
      <c r="B205" s="3" t="n"/>
    </row>
    <row r="206" ht="15.75" customHeight="1" s="35">
      <c r="A206" s="3" t="n"/>
      <c r="B206" s="3" t="n"/>
    </row>
    <row r="207" ht="15.75" customHeight="1" s="35">
      <c r="A207" s="3" t="n"/>
      <c r="B207" s="3" t="n"/>
    </row>
    <row r="208" ht="15.75" customHeight="1" s="35">
      <c r="A208" s="3" t="n"/>
      <c r="B208" s="3" t="n"/>
    </row>
    <row r="209" ht="15.75" customHeight="1" s="35">
      <c r="A209" s="3" t="n"/>
      <c r="B209" s="3" t="n"/>
    </row>
    <row r="210" ht="15.75" customHeight="1" s="35">
      <c r="A210" s="3" t="n"/>
      <c r="B210" s="3" t="n"/>
    </row>
    <row r="211" ht="15.75" customHeight="1" s="35">
      <c r="A211" s="3" t="n"/>
      <c r="B211" s="3" t="n"/>
    </row>
    <row r="212" ht="15.75" customHeight="1" s="35">
      <c r="A212" s="3" t="n"/>
      <c r="B212" s="3" t="n"/>
    </row>
    <row r="213" ht="15.75" customHeight="1" s="35">
      <c r="A213" s="3" t="n"/>
      <c r="B213" s="3" t="n"/>
    </row>
    <row r="214" ht="15.75" customHeight="1" s="35">
      <c r="A214" s="3" t="n"/>
      <c r="B214" s="3" t="n"/>
    </row>
    <row r="215" ht="15.75" customHeight="1" s="35">
      <c r="A215" s="3" t="n"/>
      <c r="B215" s="3" t="n"/>
    </row>
    <row r="216" ht="15.75" customHeight="1" s="35">
      <c r="A216" s="3" t="n"/>
      <c r="B216" s="3" t="n"/>
    </row>
    <row r="217" ht="15.75" customHeight="1" s="35">
      <c r="A217" s="3" t="n"/>
      <c r="B217" s="3" t="n"/>
    </row>
    <row r="218" ht="15.75" customHeight="1" s="35">
      <c r="A218" s="3" t="n"/>
      <c r="B218" s="3" t="n"/>
    </row>
    <row r="219" ht="15.75" customHeight="1" s="35">
      <c r="A219" s="3" t="n"/>
      <c r="B219" s="3" t="n"/>
    </row>
    <row r="220" ht="15.75" customHeight="1" s="35">
      <c r="A220" s="3" t="n"/>
      <c r="B220" s="3" t="n"/>
    </row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B2"/>
    <mergeCell ref="A1:B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5" min="1" max="1"/>
    <col width="40" customWidth="1" style="35" min="2" max="2"/>
    <col width="75" customWidth="1" style="35" min="3" max="3"/>
    <col width="8.710000000000001" customWidth="1" style="35" min="4" max="6"/>
  </cols>
  <sheetData>
    <row r="1" ht="25.5" customHeight="1" s="35">
      <c r="A1" s="1" t="inlineStr">
        <is>
          <t>Guion de aplicación del pretest</t>
        </is>
      </c>
    </row>
    <row r="2" ht="30" customHeight="1" s="35">
      <c r="A2" s="2" t="inlineStr">
        <is>
          <t>Redacte textualmente lo que dirá. Debe caber en una carilla y leerse en menos de dos minutos. Se lee igual a todos.</t>
        </is>
      </c>
    </row>
    <row r="3">
      <c r="A3" s="3" t="n"/>
      <c r="B3" s="3" t="n"/>
      <c r="C3" s="3" t="n"/>
    </row>
    <row r="4" ht="31.5" customHeight="1" s="35">
      <c r="A4" s="4" t="inlineStr">
        <is>
          <t>N.°</t>
        </is>
      </c>
      <c r="B4" s="4" t="inlineStr">
        <is>
          <t>Elemento del guion</t>
        </is>
      </c>
      <c r="C4" s="4" t="inlineStr">
        <is>
          <t>Redacción textual (lo que usted dirá)</t>
        </is>
      </c>
    </row>
    <row r="5" ht="48" customHeight="1" s="35">
      <c r="A5" s="46" t="n">
        <v>1</v>
      </c>
      <c r="B5" s="5" t="inlineStr">
        <is>
          <t>Presentación</t>
        </is>
      </c>
      <c r="C5" s="38" t="inlineStr">
        <is>
          <t>«Buenos días (o buenas tardes). Mi nombre es ________ y colaboro con la tesis de Marcel Trujillo y Alejandro Godoy, estudiante de Ingeniería de Sistemas e Informática de la Universidad de Huánuco.»</t>
        </is>
      </c>
    </row>
    <row r="6" ht="48" customHeight="1" s="35">
      <c r="A6" s="47" t="n">
        <v>2</v>
      </c>
      <c r="B6" s="7" t="inlineStr">
        <is>
          <t>Propósito en una frase</t>
        </is>
      </c>
      <c r="C6" s="38" t="inlineStr">
        <is>
          <t>«Este estudio busca conocer cómo es su experiencia al buscar noticias de Tu Diario Huánuco desde su celular o computadora.»</t>
        </is>
      </c>
    </row>
    <row r="7" ht="48" customHeight="1" s="35">
      <c r="A7" s="46" t="n">
        <v>3</v>
      </c>
      <c r="B7" s="5" t="inlineStr">
        <is>
          <t>Aclaración: no es evaluación de desempeño</t>
        </is>
      </c>
      <c r="C7" s="38" t="inlineStr">
        <is>
          <t>«Aquí no se mide qué tan bien lo hace usted: lo que nos interesa es cómo funciona el portal para los lectores.»</t>
        </is>
      </c>
    </row>
    <row r="8" ht="73.5" customHeight="1" s="35">
      <c r="A8" s="47" t="n">
        <v>4</v>
      </c>
      <c r="B8" s="7" t="inlineStr">
        <is>
          <t>Tiempo disponible</t>
        </is>
      </c>
      <c r="C8" s="38" t="inlineStr">
        <is>
          <t>«Le pediremos dos búsquedas. Primero, ubicar la noticia sobre el corte del servicio de agua potable en Huánuco, Amarilis y Pillco Marca; después, ubicar el resultado del partido entre Alianza UDH y Bentín Tacna Heroica. Tiene hasta 5 minutos para cada una. Luego responderá dos cuestionarios breves, sin apuro, en unos 10 minutos.»</t>
        </is>
      </c>
    </row>
    <row r="9" ht="48" customHeight="1" s="35">
      <c r="A9" s="46" t="n">
        <v>5</v>
      </c>
      <c r="B9" s="5" t="inlineStr">
        <is>
          <t>No hay respuestas correctas ni incorrectas</t>
        </is>
      </c>
      <c r="C9" s="38" t="inlineStr">
        <is>
          <t>«No hay respuestas correctas ni incorrectas: nos interesa su opinión sincera y su forma habitual de buscar noticias.»</t>
        </is>
      </c>
    </row>
    <row r="10" ht="48" customHeight="1" s="35">
      <c r="A10" s="47" t="n">
        <v>6</v>
      </c>
      <c r="B10" s="7" t="inlineStr">
        <is>
          <t>Qué hacer ante una duda</t>
        </is>
      </c>
      <c r="C10" s="38" t="inlineStr">
        <is>
          <t>«Sus respuestas son confidenciales. Su nombre y su celular solo se usan para coordinar su participación y se guardan aparte; en los resultados usted aparece únicamente con un código. No le pediremos su DNI. Su participación es voluntaria y puede dejarla en cualquier momento sin ninguna consecuencia.»</t>
        </is>
      </c>
    </row>
    <row r="11" ht="48" customHeight="1" s="35">
      <c r="A11" s="46" t="n">
        <v>7</v>
      </c>
      <c r="B11" s="5" t="inlineStr">
        <is>
          <t>Confidencialidad y código</t>
        </is>
      </c>
      <c r="C11" s="38" t="inlineStr">
        <is>
          <t>«Sus respuestas son confidenciales. Su nombre y su celular solo se usan para coordinar su participación y se guardan aparte; en los resultados usted aparece únicamente con un código. No le pediremos su DNI. Su participación es voluntaria y puede dejarla en cualquier momento sin ninguna consecuencia.»</t>
        </is>
      </c>
    </row>
    <row r="12" ht="48" customHeight="1" s="35">
      <c r="A12" s="47" t="n">
        <v>8</v>
      </c>
      <c r="B12" s="7" t="inlineStr">
        <is>
          <t>Cierre de la aplicación</t>
        </is>
      </c>
      <c r="C12" s="38" t="inlineStr">
        <is>
          <t>«Con esto terminamos esta primera parte. Más adelante le invitaremos a la segunda parte del estudio, con la nueva plataforma. Muchas gracias por su participación.»</t>
        </is>
      </c>
    </row>
    <row r="13">
      <c r="A13" s="3" t="n"/>
      <c r="B13" s="3" t="n"/>
      <c r="C13" s="3" t="n"/>
    </row>
    <row r="14" ht="15" customHeight="1" s="35">
      <c r="A14" s="3" t="n"/>
      <c r="B14" s="14" t="inlineStr">
        <is>
          <t>Palabras prohibidas en el guion</t>
        </is>
      </c>
      <c r="C14" s="15" t="inlineStr">
        <is>
          <t>«evaluación», «examen», «test de conocimiento», «prueba». Activan ansiedad de desempeño y contaminan la medición.</t>
        </is>
      </c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 ht="15.75" customHeight="1" s="35">
      <c r="A21" s="3" t="n"/>
      <c r="B21" s="3" t="n"/>
      <c r="C21" s="3" t="n"/>
    </row>
    <row r="22" ht="15.75" customHeight="1" s="35">
      <c r="A22" s="3" t="n"/>
      <c r="B22" s="3" t="n"/>
      <c r="C22" s="3" t="n"/>
    </row>
    <row r="23" ht="15.75" customHeight="1" s="35">
      <c r="A23" s="3" t="n"/>
      <c r="B23" s="3" t="n"/>
      <c r="C23" s="3" t="n"/>
    </row>
    <row r="24" ht="15.75" customHeight="1" s="35">
      <c r="A24" s="3" t="n"/>
      <c r="B24" s="3" t="n"/>
      <c r="C24" s="3" t="n"/>
    </row>
    <row r="25" ht="15.75" customHeight="1" s="35">
      <c r="A25" s="3" t="n"/>
      <c r="B25" s="3" t="n"/>
      <c r="C25" s="3" t="n"/>
    </row>
    <row r="26" ht="15.75" customHeight="1" s="35">
      <c r="A26" s="3" t="n"/>
      <c r="B26" s="3" t="n"/>
      <c r="C26" s="3" t="n"/>
    </row>
    <row r="27" ht="15.75" customHeight="1" s="35">
      <c r="A27" s="3" t="n"/>
      <c r="B27" s="3" t="n"/>
      <c r="C27" s="3" t="n"/>
    </row>
    <row r="28" ht="15.75" customHeight="1" s="35">
      <c r="A28" s="3" t="n"/>
      <c r="B28" s="3" t="n"/>
      <c r="C28" s="3" t="n"/>
    </row>
    <row r="29" ht="15.75" customHeight="1" s="35">
      <c r="A29" s="3" t="n"/>
      <c r="B29" s="3" t="n"/>
      <c r="C29" s="3" t="n"/>
    </row>
    <row r="30" ht="15.75" customHeight="1" s="35">
      <c r="A30" s="3" t="n"/>
      <c r="B30" s="3" t="n"/>
      <c r="C30" s="3" t="n"/>
    </row>
    <row r="31" ht="15.75" customHeight="1" s="35">
      <c r="A31" s="3" t="n"/>
      <c r="B31" s="3" t="n"/>
      <c r="C31" s="3" t="n"/>
    </row>
    <row r="32" ht="15.75" customHeight="1" s="35">
      <c r="A32" s="3" t="n"/>
      <c r="B32" s="3" t="n"/>
      <c r="C32" s="3" t="n"/>
    </row>
    <row r="33" ht="15.75" customHeight="1" s="35">
      <c r="A33" s="3" t="n"/>
      <c r="B33" s="3" t="n"/>
      <c r="C33" s="3" t="n"/>
    </row>
    <row r="34" ht="15.75" customHeight="1" s="35">
      <c r="A34" s="3" t="n"/>
      <c r="B34" s="3" t="n"/>
      <c r="C34" s="3" t="n"/>
    </row>
    <row r="35" ht="15.75" customHeight="1" s="35">
      <c r="A35" s="3" t="n"/>
      <c r="B35" s="3" t="n"/>
      <c r="C35" s="3" t="n"/>
    </row>
    <row r="36" ht="15.75" customHeight="1" s="35">
      <c r="A36" s="3" t="n"/>
      <c r="B36" s="3" t="n"/>
      <c r="C36" s="3" t="n"/>
    </row>
    <row r="37" ht="15.75" customHeight="1" s="35">
      <c r="A37" s="3" t="n"/>
      <c r="B37" s="3" t="n"/>
      <c r="C37" s="3" t="n"/>
    </row>
    <row r="38" ht="15.75" customHeight="1" s="35">
      <c r="A38" s="3" t="n"/>
      <c r="B38" s="3" t="n"/>
      <c r="C38" s="3" t="n"/>
    </row>
    <row r="39" ht="15.75" customHeight="1" s="35">
      <c r="A39" s="3" t="n"/>
      <c r="B39" s="3" t="n"/>
      <c r="C39" s="3" t="n"/>
    </row>
    <row r="40" ht="15.75" customHeight="1" s="35">
      <c r="A40" s="3" t="n"/>
      <c r="B40" s="3" t="n"/>
      <c r="C40" s="3" t="n"/>
    </row>
    <row r="41" ht="15.75" customHeight="1" s="35">
      <c r="A41" s="3" t="n"/>
      <c r="B41" s="3" t="n"/>
      <c r="C41" s="3" t="n"/>
    </row>
    <row r="42" ht="15.75" customHeight="1" s="35">
      <c r="A42" s="3" t="n"/>
      <c r="B42" s="3" t="n"/>
      <c r="C42" s="3" t="n"/>
    </row>
    <row r="43" ht="15.75" customHeight="1" s="35">
      <c r="A43" s="3" t="n"/>
      <c r="B43" s="3" t="n"/>
      <c r="C43" s="3" t="n"/>
    </row>
    <row r="44" ht="15.75" customHeight="1" s="35">
      <c r="A44" s="3" t="n"/>
      <c r="B44" s="3" t="n"/>
      <c r="C44" s="3" t="n"/>
    </row>
    <row r="45" ht="15.75" customHeight="1" s="35">
      <c r="A45" s="3" t="n"/>
      <c r="B45" s="3" t="n"/>
      <c r="C45" s="3" t="n"/>
    </row>
    <row r="46" ht="15.75" customHeight="1" s="35">
      <c r="A46" s="3" t="n"/>
      <c r="B46" s="3" t="n"/>
      <c r="C46" s="3" t="n"/>
    </row>
    <row r="47" ht="15.75" customHeight="1" s="35">
      <c r="A47" s="3" t="n"/>
      <c r="B47" s="3" t="n"/>
      <c r="C47" s="3" t="n"/>
    </row>
    <row r="48" ht="15.75" customHeight="1" s="35">
      <c r="A48" s="3" t="n"/>
      <c r="B48" s="3" t="n"/>
      <c r="C48" s="3" t="n"/>
    </row>
    <row r="49" ht="15.75" customHeight="1" s="35">
      <c r="A49" s="3" t="n"/>
      <c r="B49" s="3" t="n"/>
      <c r="C49" s="3" t="n"/>
    </row>
    <row r="50" ht="15.75" customHeight="1" s="35">
      <c r="A50" s="3" t="n"/>
      <c r="B50" s="3" t="n"/>
      <c r="C50" s="3" t="n"/>
    </row>
    <row r="51" ht="15.75" customHeight="1" s="35">
      <c r="A51" s="3" t="n"/>
      <c r="B51" s="3" t="n"/>
      <c r="C51" s="3" t="n"/>
    </row>
    <row r="52" ht="15.75" customHeight="1" s="35">
      <c r="A52" s="3" t="n"/>
      <c r="B52" s="3" t="n"/>
      <c r="C52" s="3" t="n"/>
    </row>
    <row r="53" ht="15.75" customHeight="1" s="35">
      <c r="A53" s="3" t="n"/>
      <c r="B53" s="3" t="n"/>
      <c r="C53" s="3" t="n"/>
    </row>
    <row r="54" ht="15.75" customHeight="1" s="35">
      <c r="A54" s="3" t="n"/>
      <c r="B54" s="3" t="n"/>
      <c r="C54" s="3" t="n"/>
    </row>
    <row r="55" ht="15.75" customHeight="1" s="35">
      <c r="A55" s="3" t="n"/>
      <c r="B55" s="3" t="n"/>
      <c r="C55" s="3" t="n"/>
    </row>
    <row r="56" ht="15.75" customHeight="1" s="35">
      <c r="A56" s="3" t="n"/>
      <c r="B56" s="3" t="n"/>
      <c r="C56" s="3" t="n"/>
    </row>
    <row r="57" ht="15.75" customHeight="1" s="35">
      <c r="A57" s="3" t="n"/>
      <c r="B57" s="3" t="n"/>
      <c r="C57" s="3" t="n"/>
    </row>
    <row r="58" ht="15.75" customHeight="1" s="35">
      <c r="A58" s="3" t="n"/>
      <c r="B58" s="3" t="n"/>
      <c r="C58" s="3" t="n"/>
    </row>
    <row r="59" ht="15.75" customHeight="1" s="35">
      <c r="A59" s="3" t="n"/>
      <c r="B59" s="3" t="n"/>
      <c r="C59" s="3" t="n"/>
    </row>
    <row r="60" ht="15.75" customHeight="1" s="35">
      <c r="A60" s="3" t="n"/>
      <c r="B60" s="3" t="n"/>
      <c r="C60" s="3" t="n"/>
    </row>
    <row r="61" ht="15.75" customHeight="1" s="35">
      <c r="A61" s="3" t="n"/>
      <c r="B61" s="3" t="n"/>
      <c r="C61" s="3" t="n"/>
    </row>
    <row r="62" ht="15.75" customHeight="1" s="35">
      <c r="A62" s="3" t="n"/>
      <c r="B62" s="3" t="n"/>
      <c r="C62" s="3" t="n"/>
    </row>
    <row r="63" ht="15.75" customHeight="1" s="35">
      <c r="A63" s="3" t="n"/>
      <c r="B63" s="3" t="n"/>
      <c r="C63" s="3" t="n"/>
    </row>
    <row r="64" ht="15.75" customHeight="1" s="35">
      <c r="A64" s="3" t="n"/>
      <c r="B64" s="3" t="n"/>
      <c r="C64" s="3" t="n"/>
    </row>
    <row r="65" ht="15.75" customHeight="1" s="35">
      <c r="A65" s="3" t="n"/>
      <c r="B65" s="3" t="n"/>
      <c r="C65" s="3" t="n"/>
    </row>
    <row r="66" ht="15.75" customHeight="1" s="35">
      <c r="A66" s="3" t="n"/>
      <c r="B66" s="3" t="n"/>
      <c r="C66" s="3" t="n"/>
    </row>
    <row r="67" ht="15.75" customHeight="1" s="35">
      <c r="A67" s="3" t="n"/>
      <c r="B67" s="3" t="n"/>
      <c r="C67" s="3" t="n"/>
    </row>
    <row r="68" ht="15.75" customHeight="1" s="35">
      <c r="A68" s="3" t="n"/>
      <c r="B68" s="3" t="n"/>
      <c r="C68" s="3" t="n"/>
    </row>
    <row r="69" ht="15.75" customHeight="1" s="35">
      <c r="A69" s="3" t="n"/>
      <c r="B69" s="3" t="n"/>
      <c r="C69" s="3" t="n"/>
    </row>
    <row r="70" ht="15.75" customHeight="1" s="35">
      <c r="A70" s="3" t="n"/>
      <c r="B70" s="3" t="n"/>
      <c r="C70" s="3" t="n"/>
    </row>
    <row r="71" ht="15.75" customHeight="1" s="35">
      <c r="A71" s="3" t="n"/>
      <c r="B71" s="3" t="n"/>
      <c r="C71" s="3" t="n"/>
    </row>
    <row r="72" ht="15.75" customHeight="1" s="35">
      <c r="A72" s="3" t="n"/>
      <c r="B72" s="3" t="n"/>
      <c r="C72" s="3" t="n"/>
    </row>
    <row r="73" ht="15.75" customHeight="1" s="35">
      <c r="A73" s="3" t="n"/>
      <c r="B73" s="3" t="n"/>
      <c r="C73" s="3" t="n"/>
    </row>
    <row r="74" ht="15.75" customHeight="1" s="35">
      <c r="A74" s="3" t="n"/>
      <c r="B74" s="3" t="n"/>
      <c r="C74" s="3" t="n"/>
    </row>
    <row r="75" ht="15.75" customHeight="1" s="35">
      <c r="A75" s="3" t="n"/>
      <c r="B75" s="3" t="n"/>
      <c r="C75" s="3" t="n"/>
    </row>
    <row r="76" ht="15.75" customHeight="1" s="35">
      <c r="A76" s="3" t="n"/>
      <c r="B76" s="3" t="n"/>
      <c r="C76" s="3" t="n"/>
    </row>
    <row r="77" ht="15.75" customHeight="1" s="35">
      <c r="A77" s="3" t="n"/>
      <c r="B77" s="3" t="n"/>
      <c r="C77" s="3" t="n"/>
    </row>
    <row r="78" ht="15.75" customHeight="1" s="35">
      <c r="A78" s="3" t="n"/>
      <c r="B78" s="3" t="n"/>
      <c r="C78" s="3" t="n"/>
    </row>
    <row r="79" ht="15.75" customHeight="1" s="35">
      <c r="A79" s="3" t="n"/>
      <c r="B79" s="3" t="n"/>
      <c r="C79" s="3" t="n"/>
    </row>
    <row r="80" ht="15.75" customHeight="1" s="35">
      <c r="A80" s="3" t="n"/>
      <c r="B80" s="3" t="n"/>
      <c r="C80" s="3" t="n"/>
    </row>
    <row r="81" ht="15.75" customHeight="1" s="35">
      <c r="A81" s="3" t="n"/>
      <c r="B81" s="3" t="n"/>
      <c r="C81" s="3" t="n"/>
    </row>
    <row r="82" ht="15.75" customHeight="1" s="35">
      <c r="A82" s="3" t="n"/>
      <c r="B82" s="3" t="n"/>
      <c r="C82" s="3" t="n"/>
    </row>
    <row r="83" ht="15.75" customHeight="1" s="35">
      <c r="A83" s="3" t="n"/>
      <c r="B83" s="3" t="n"/>
      <c r="C83" s="3" t="n"/>
    </row>
    <row r="84" ht="15.75" customHeight="1" s="35">
      <c r="A84" s="3" t="n"/>
      <c r="B84" s="3" t="n"/>
      <c r="C84" s="3" t="n"/>
    </row>
    <row r="85" ht="15.75" customHeight="1" s="35">
      <c r="A85" s="3" t="n"/>
      <c r="B85" s="3" t="n"/>
      <c r="C85" s="3" t="n"/>
    </row>
    <row r="86" ht="15.75" customHeight="1" s="35">
      <c r="A86" s="3" t="n"/>
      <c r="B86" s="3" t="n"/>
      <c r="C86" s="3" t="n"/>
    </row>
    <row r="87" ht="15.75" customHeight="1" s="35">
      <c r="A87" s="3" t="n"/>
      <c r="B87" s="3" t="n"/>
      <c r="C87" s="3" t="n"/>
    </row>
    <row r="88" ht="15.75" customHeight="1" s="35">
      <c r="A88" s="3" t="n"/>
      <c r="B88" s="3" t="n"/>
      <c r="C88" s="3" t="n"/>
    </row>
    <row r="89" ht="15.75" customHeight="1" s="35">
      <c r="A89" s="3" t="n"/>
      <c r="B89" s="3" t="n"/>
      <c r="C89" s="3" t="n"/>
    </row>
    <row r="90" ht="15.75" customHeight="1" s="35">
      <c r="A90" s="3" t="n"/>
      <c r="B90" s="3" t="n"/>
      <c r="C90" s="3" t="n"/>
    </row>
    <row r="91" ht="15.75" customHeight="1" s="35">
      <c r="A91" s="3" t="n"/>
      <c r="B91" s="3" t="n"/>
      <c r="C91" s="3" t="n"/>
    </row>
    <row r="92" ht="15.75" customHeight="1" s="35">
      <c r="A92" s="3" t="n"/>
      <c r="B92" s="3" t="n"/>
      <c r="C92" s="3" t="n"/>
    </row>
    <row r="93" ht="15.75" customHeight="1" s="35">
      <c r="A93" s="3" t="n"/>
      <c r="B93" s="3" t="n"/>
      <c r="C93" s="3" t="n"/>
    </row>
    <row r="94" ht="15.75" customHeight="1" s="35">
      <c r="A94" s="3" t="n"/>
      <c r="B94" s="3" t="n"/>
      <c r="C94" s="3" t="n"/>
    </row>
    <row r="95" ht="15.75" customHeight="1" s="35">
      <c r="A95" s="3" t="n"/>
      <c r="B95" s="3" t="n"/>
      <c r="C95" s="3" t="n"/>
    </row>
    <row r="96" ht="15.75" customHeight="1" s="35">
      <c r="A96" s="3" t="n"/>
      <c r="B96" s="3" t="n"/>
      <c r="C96" s="3" t="n"/>
    </row>
    <row r="97" ht="15.75" customHeight="1" s="35">
      <c r="A97" s="3" t="n"/>
      <c r="B97" s="3" t="n"/>
      <c r="C97" s="3" t="n"/>
    </row>
    <row r="98" ht="15.75" customHeight="1" s="35">
      <c r="A98" s="3" t="n"/>
      <c r="B98" s="3" t="n"/>
      <c r="C98" s="3" t="n"/>
    </row>
    <row r="99" ht="15.75" customHeight="1" s="35">
      <c r="A99" s="3" t="n"/>
      <c r="B99" s="3" t="n"/>
      <c r="C99" s="3" t="n"/>
    </row>
    <row r="100" ht="15.75" customHeight="1" s="35">
      <c r="A100" s="3" t="n"/>
      <c r="B100" s="3" t="n"/>
      <c r="C100" s="3" t="n"/>
    </row>
    <row r="101" ht="15.75" customHeight="1" s="35">
      <c r="A101" s="3" t="n"/>
      <c r="B101" s="3" t="n"/>
      <c r="C101" s="3" t="n"/>
    </row>
    <row r="102" ht="15.75" customHeight="1" s="35">
      <c r="A102" s="3" t="n"/>
      <c r="B102" s="3" t="n"/>
      <c r="C102" s="3" t="n"/>
    </row>
    <row r="103" ht="15.75" customHeight="1" s="35">
      <c r="A103" s="3" t="n"/>
      <c r="B103" s="3" t="n"/>
      <c r="C103" s="3" t="n"/>
    </row>
    <row r="104" ht="15.75" customHeight="1" s="35">
      <c r="A104" s="3" t="n"/>
      <c r="B104" s="3" t="n"/>
      <c r="C104" s="3" t="n"/>
    </row>
    <row r="105" ht="15.75" customHeight="1" s="35">
      <c r="A105" s="3" t="n"/>
      <c r="B105" s="3" t="n"/>
      <c r="C105" s="3" t="n"/>
    </row>
    <row r="106" ht="15.75" customHeight="1" s="35">
      <c r="A106" s="3" t="n"/>
      <c r="B106" s="3" t="n"/>
      <c r="C106" s="3" t="n"/>
    </row>
    <row r="107" ht="15.75" customHeight="1" s="35">
      <c r="A107" s="3" t="n"/>
      <c r="B107" s="3" t="n"/>
      <c r="C107" s="3" t="n"/>
    </row>
    <row r="108" ht="15.75" customHeight="1" s="35">
      <c r="A108" s="3" t="n"/>
      <c r="B108" s="3" t="n"/>
      <c r="C108" s="3" t="n"/>
    </row>
    <row r="109" ht="15.75" customHeight="1" s="35">
      <c r="A109" s="3" t="n"/>
      <c r="B109" s="3" t="n"/>
      <c r="C109" s="3" t="n"/>
    </row>
    <row r="110" ht="15.75" customHeight="1" s="35">
      <c r="A110" s="3" t="n"/>
      <c r="B110" s="3" t="n"/>
      <c r="C110" s="3" t="n"/>
    </row>
    <row r="111" ht="15.75" customHeight="1" s="35">
      <c r="A111" s="3" t="n"/>
      <c r="B111" s="3" t="n"/>
      <c r="C111" s="3" t="n"/>
    </row>
    <row r="112" ht="15.75" customHeight="1" s="35">
      <c r="A112" s="3" t="n"/>
      <c r="B112" s="3" t="n"/>
      <c r="C112" s="3" t="n"/>
    </row>
    <row r="113" ht="15.75" customHeight="1" s="35">
      <c r="A113" s="3" t="n"/>
      <c r="B113" s="3" t="n"/>
      <c r="C113" s="3" t="n"/>
    </row>
    <row r="114" ht="15.75" customHeight="1" s="35">
      <c r="A114" s="3" t="n"/>
      <c r="B114" s="3" t="n"/>
      <c r="C114" s="3" t="n"/>
    </row>
    <row r="115" ht="15.75" customHeight="1" s="35">
      <c r="A115" s="3" t="n"/>
      <c r="B115" s="3" t="n"/>
      <c r="C115" s="3" t="n"/>
    </row>
    <row r="116" ht="15.75" customHeight="1" s="35">
      <c r="A116" s="3" t="n"/>
      <c r="B116" s="3" t="n"/>
      <c r="C116" s="3" t="n"/>
    </row>
    <row r="117" ht="15.75" customHeight="1" s="35">
      <c r="A117" s="3" t="n"/>
      <c r="B117" s="3" t="n"/>
      <c r="C117" s="3" t="n"/>
    </row>
    <row r="118" ht="15.75" customHeight="1" s="35">
      <c r="A118" s="3" t="n"/>
      <c r="B118" s="3" t="n"/>
      <c r="C118" s="3" t="n"/>
    </row>
    <row r="119" ht="15.75" customHeight="1" s="35">
      <c r="A119" s="3" t="n"/>
      <c r="B119" s="3" t="n"/>
      <c r="C119" s="3" t="n"/>
    </row>
    <row r="120" ht="15.75" customHeight="1" s="35">
      <c r="A120" s="3" t="n"/>
      <c r="B120" s="3" t="n"/>
      <c r="C120" s="3" t="n"/>
    </row>
    <row r="121" ht="15.75" customHeight="1" s="35">
      <c r="A121" s="3" t="n"/>
      <c r="B121" s="3" t="n"/>
      <c r="C121" s="3" t="n"/>
    </row>
    <row r="122" ht="15.75" customHeight="1" s="35">
      <c r="A122" s="3" t="n"/>
      <c r="B122" s="3" t="n"/>
      <c r="C122" s="3" t="n"/>
    </row>
    <row r="123" ht="15.75" customHeight="1" s="35">
      <c r="A123" s="3" t="n"/>
      <c r="B123" s="3" t="n"/>
      <c r="C123" s="3" t="n"/>
    </row>
    <row r="124" ht="15.75" customHeight="1" s="35">
      <c r="A124" s="3" t="n"/>
      <c r="B124" s="3" t="n"/>
      <c r="C124" s="3" t="n"/>
    </row>
    <row r="125" ht="15.75" customHeight="1" s="35">
      <c r="A125" s="3" t="n"/>
      <c r="B125" s="3" t="n"/>
      <c r="C125" s="3" t="n"/>
    </row>
    <row r="126" ht="15.75" customHeight="1" s="35">
      <c r="A126" s="3" t="n"/>
      <c r="B126" s="3" t="n"/>
      <c r="C126" s="3" t="n"/>
    </row>
    <row r="127" ht="15.75" customHeight="1" s="35">
      <c r="A127" s="3" t="n"/>
      <c r="B127" s="3" t="n"/>
      <c r="C127" s="3" t="n"/>
    </row>
    <row r="128" ht="15.75" customHeight="1" s="35">
      <c r="A128" s="3" t="n"/>
      <c r="B128" s="3" t="n"/>
      <c r="C128" s="3" t="n"/>
    </row>
    <row r="129" ht="15.75" customHeight="1" s="35">
      <c r="A129" s="3" t="n"/>
      <c r="B129" s="3" t="n"/>
      <c r="C129" s="3" t="n"/>
    </row>
    <row r="130" ht="15.75" customHeight="1" s="35">
      <c r="A130" s="3" t="n"/>
      <c r="B130" s="3" t="n"/>
      <c r="C130" s="3" t="n"/>
    </row>
    <row r="131" ht="15.75" customHeight="1" s="35">
      <c r="A131" s="3" t="n"/>
      <c r="B131" s="3" t="n"/>
      <c r="C131" s="3" t="n"/>
    </row>
    <row r="132" ht="15.75" customHeight="1" s="35">
      <c r="A132" s="3" t="n"/>
      <c r="B132" s="3" t="n"/>
      <c r="C132" s="3" t="n"/>
    </row>
    <row r="133" ht="15.75" customHeight="1" s="35">
      <c r="A133" s="3" t="n"/>
      <c r="B133" s="3" t="n"/>
      <c r="C133" s="3" t="n"/>
    </row>
    <row r="134" ht="15.75" customHeight="1" s="35">
      <c r="A134" s="3" t="n"/>
      <c r="B134" s="3" t="n"/>
      <c r="C134" s="3" t="n"/>
    </row>
    <row r="135" ht="15.75" customHeight="1" s="35">
      <c r="A135" s="3" t="n"/>
      <c r="B135" s="3" t="n"/>
      <c r="C135" s="3" t="n"/>
    </row>
    <row r="136" ht="15.75" customHeight="1" s="35">
      <c r="A136" s="3" t="n"/>
      <c r="B136" s="3" t="n"/>
      <c r="C136" s="3" t="n"/>
    </row>
    <row r="137" ht="15.75" customHeight="1" s="35">
      <c r="A137" s="3" t="n"/>
      <c r="B137" s="3" t="n"/>
      <c r="C137" s="3" t="n"/>
    </row>
    <row r="138" ht="15.75" customHeight="1" s="35">
      <c r="A138" s="3" t="n"/>
      <c r="B138" s="3" t="n"/>
      <c r="C138" s="3" t="n"/>
    </row>
    <row r="139" ht="15.75" customHeight="1" s="35">
      <c r="A139" s="3" t="n"/>
      <c r="B139" s="3" t="n"/>
      <c r="C139" s="3" t="n"/>
    </row>
    <row r="140" ht="15.75" customHeight="1" s="35">
      <c r="A140" s="3" t="n"/>
      <c r="B140" s="3" t="n"/>
      <c r="C140" s="3" t="n"/>
    </row>
    <row r="141" ht="15.75" customHeight="1" s="35">
      <c r="A141" s="3" t="n"/>
      <c r="B141" s="3" t="n"/>
      <c r="C141" s="3" t="n"/>
    </row>
    <row r="142" ht="15.75" customHeight="1" s="35">
      <c r="A142" s="3" t="n"/>
      <c r="B142" s="3" t="n"/>
      <c r="C142" s="3" t="n"/>
    </row>
    <row r="143" ht="15.75" customHeight="1" s="35">
      <c r="A143" s="3" t="n"/>
      <c r="B143" s="3" t="n"/>
      <c r="C143" s="3" t="n"/>
    </row>
    <row r="144" ht="15.75" customHeight="1" s="35">
      <c r="A144" s="3" t="n"/>
      <c r="B144" s="3" t="n"/>
      <c r="C144" s="3" t="n"/>
    </row>
    <row r="145" ht="15.75" customHeight="1" s="35">
      <c r="A145" s="3" t="n"/>
      <c r="B145" s="3" t="n"/>
      <c r="C145" s="3" t="n"/>
    </row>
    <row r="146" ht="15.75" customHeight="1" s="35">
      <c r="A146" s="3" t="n"/>
      <c r="B146" s="3" t="n"/>
      <c r="C146" s="3" t="n"/>
    </row>
    <row r="147" ht="15.75" customHeight="1" s="35">
      <c r="A147" s="3" t="n"/>
      <c r="B147" s="3" t="n"/>
      <c r="C147" s="3" t="n"/>
    </row>
    <row r="148" ht="15.75" customHeight="1" s="35">
      <c r="A148" s="3" t="n"/>
      <c r="B148" s="3" t="n"/>
      <c r="C148" s="3" t="n"/>
    </row>
    <row r="149" ht="15.75" customHeight="1" s="35">
      <c r="A149" s="3" t="n"/>
      <c r="B149" s="3" t="n"/>
      <c r="C149" s="3" t="n"/>
    </row>
    <row r="150" ht="15.75" customHeight="1" s="35">
      <c r="A150" s="3" t="n"/>
      <c r="B150" s="3" t="n"/>
      <c r="C150" s="3" t="n"/>
    </row>
    <row r="151" ht="15.75" customHeight="1" s="35">
      <c r="A151" s="3" t="n"/>
      <c r="B151" s="3" t="n"/>
      <c r="C151" s="3" t="n"/>
    </row>
    <row r="152" ht="15.75" customHeight="1" s="35">
      <c r="A152" s="3" t="n"/>
      <c r="B152" s="3" t="n"/>
      <c r="C152" s="3" t="n"/>
    </row>
    <row r="153" ht="15.75" customHeight="1" s="35">
      <c r="A153" s="3" t="n"/>
      <c r="B153" s="3" t="n"/>
      <c r="C153" s="3" t="n"/>
    </row>
    <row r="154" ht="15.75" customHeight="1" s="35">
      <c r="A154" s="3" t="n"/>
      <c r="B154" s="3" t="n"/>
      <c r="C154" s="3" t="n"/>
    </row>
    <row r="155" ht="15.75" customHeight="1" s="35">
      <c r="A155" s="3" t="n"/>
      <c r="B155" s="3" t="n"/>
      <c r="C155" s="3" t="n"/>
    </row>
    <row r="156" ht="15.75" customHeight="1" s="35">
      <c r="A156" s="3" t="n"/>
      <c r="B156" s="3" t="n"/>
      <c r="C156" s="3" t="n"/>
    </row>
    <row r="157" ht="15.75" customHeight="1" s="35">
      <c r="A157" s="3" t="n"/>
      <c r="B157" s="3" t="n"/>
      <c r="C157" s="3" t="n"/>
    </row>
    <row r="158" ht="15.75" customHeight="1" s="35">
      <c r="A158" s="3" t="n"/>
      <c r="B158" s="3" t="n"/>
      <c r="C158" s="3" t="n"/>
    </row>
    <row r="159" ht="15.75" customHeight="1" s="35">
      <c r="A159" s="3" t="n"/>
      <c r="B159" s="3" t="n"/>
      <c r="C159" s="3" t="n"/>
    </row>
    <row r="160" ht="15.75" customHeight="1" s="35">
      <c r="A160" s="3" t="n"/>
      <c r="B160" s="3" t="n"/>
      <c r="C160" s="3" t="n"/>
    </row>
    <row r="161" ht="15.75" customHeight="1" s="35">
      <c r="A161" s="3" t="n"/>
      <c r="B161" s="3" t="n"/>
      <c r="C161" s="3" t="n"/>
    </row>
    <row r="162" ht="15.75" customHeight="1" s="35">
      <c r="A162" s="3" t="n"/>
      <c r="B162" s="3" t="n"/>
      <c r="C162" s="3" t="n"/>
    </row>
    <row r="163" ht="15.75" customHeight="1" s="35">
      <c r="A163" s="3" t="n"/>
      <c r="B163" s="3" t="n"/>
      <c r="C163" s="3" t="n"/>
    </row>
    <row r="164" ht="15.75" customHeight="1" s="35">
      <c r="A164" s="3" t="n"/>
      <c r="B164" s="3" t="n"/>
      <c r="C164" s="3" t="n"/>
    </row>
    <row r="165" ht="15.75" customHeight="1" s="35">
      <c r="A165" s="3" t="n"/>
      <c r="B165" s="3" t="n"/>
      <c r="C165" s="3" t="n"/>
    </row>
    <row r="166" ht="15.75" customHeight="1" s="35">
      <c r="A166" s="3" t="n"/>
      <c r="B166" s="3" t="n"/>
      <c r="C166" s="3" t="n"/>
    </row>
    <row r="167" ht="15.75" customHeight="1" s="35">
      <c r="A167" s="3" t="n"/>
      <c r="B167" s="3" t="n"/>
      <c r="C167" s="3" t="n"/>
    </row>
    <row r="168" ht="15.75" customHeight="1" s="35">
      <c r="A168" s="3" t="n"/>
      <c r="B168" s="3" t="n"/>
      <c r="C168" s="3" t="n"/>
    </row>
    <row r="169" ht="15.75" customHeight="1" s="35">
      <c r="A169" s="3" t="n"/>
      <c r="B169" s="3" t="n"/>
      <c r="C169" s="3" t="n"/>
    </row>
    <row r="170" ht="15.75" customHeight="1" s="35">
      <c r="A170" s="3" t="n"/>
      <c r="B170" s="3" t="n"/>
      <c r="C170" s="3" t="n"/>
    </row>
    <row r="171" ht="15.75" customHeight="1" s="35">
      <c r="A171" s="3" t="n"/>
      <c r="B171" s="3" t="n"/>
      <c r="C171" s="3" t="n"/>
    </row>
    <row r="172" ht="15.75" customHeight="1" s="35">
      <c r="A172" s="3" t="n"/>
      <c r="B172" s="3" t="n"/>
      <c r="C172" s="3" t="n"/>
    </row>
    <row r="173" ht="15.75" customHeight="1" s="35">
      <c r="A173" s="3" t="n"/>
      <c r="B173" s="3" t="n"/>
      <c r="C173" s="3" t="n"/>
    </row>
    <row r="174" ht="15.75" customHeight="1" s="35">
      <c r="A174" s="3" t="n"/>
      <c r="B174" s="3" t="n"/>
      <c r="C174" s="3" t="n"/>
    </row>
    <row r="175" ht="15.75" customHeight="1" s="35">
      <c r="A175" s="3" t="n"/>
      <c r="B175" s="3" t="n"/>
      <c r="C175" s="3" t="n"/>
    </row>
    <row r="176" ht="15.75" customHeight="1" s="35">
      <c r="A176" s="3" t="n"/>
      <c r="B176" s="3" t="n"/>
      <c r="C176" s="3" t="n"/>
    </row>
    <row r="177" ht="15.75" customHeight="1" s="35">
      <c r="A177" s="3" t="n"/>
      <c r="B177" s="3" t="n"/>
      <c r="C177" s="3" t="n"/>
    </row>
    <row r="178" ht="15.75" customHeight="1" s="35">
      <c r="A178" s="3" t="n"/>
      <c r="B178" s="3" t="n"/>
      <c r="C178" s="3" t="n"/>
    </row>
    <row r="179" ht="15.75" customHeight="1" s="35">
      <c r="A179" s="3" t="n"/>
      <c r="B179" s="3" t="n"/>
      <c r="C179" s="3" t="n"/>
    </row>
    <row r="180" ht="15.75" customHeight="1" s="35">
      <c r="A180" s="3" t="n"/>
      <c r="B180" s="3" t="n"/>
      <c r="C180" s="3" t="n"/>
    </row>
    <row r="181" ht="15.75" customHeight="1" s="35">
      <c r="A181" s="3" t="n"/>
      <c r="B181" s="3" t="n"/>
      <c r="C181" s="3" t="n"/>
    </row>
    <row r="182" ht="15.75" customHeight="1" s="35">
      <c r="A182" s="3" t="n"/>
      <c r="B182" s="3" t="n"/>
      <c r="C182" s="3" t="n"/>
    </row>
    <row r="183" ht="15.75" customHeight="1" s="35">
      <c r="A183" s="3" t="n"/>
      <c r="B183" s="3" t="n"/>
      <c r="C183" s="3" t="n"/>
    </row>
    <row r="184" ht="15.75" customHeight="1" s="35">
      <c r="A184" s="3" t="n"/>
      <c r="B184" s="3" t="n"/>
      <c r="C184" s="3" t="n"/>
    </row>
    <row r="185" ht="15.75" customHeight="1" s="35">
      <c r="A185" s="3" t="n"/>
      <c r="B185" s="3" t="n"/>
      <c r="C185" s="3" t="n"/>
    </row>
    <row r="186" ht="15.75" customHeight="1" s="35">
      <c r="A186" s="3" t="n"/>
      <c r="B186" s="3" t="n"/>
      <c r="C186" s="3" t="n"/>
    </row>
    <row r="187" ht="15.75" customHeight="1" s="35">
      <c r="A187" s="3" t="n"/>
      <c r="B187" s="3" t="n"/>
      <c r="C187" s="3" t="n"/>
    </row>
    <row r="188" ht="15.75" customHeight="1" s="35">
      <c r="A188" s="3" t="n"/>
      <c r="B188" s="3" t="n"/>
      <c r="C188" s="3" t="n"/>
    </row>
    <row r="189" ht="15.75" customHeight="1" s="35">
      <c r="A189" s="3" t="n"/>
      <c r="B189" s="3" t="n"/>
      <c r="C189" s="3" t="n"/>
    </row>
    <row r="190" ht="15.75" customHeight="1" s="35">
      <c r="A190" s="3" t="n"/>
      <c r="B190" s="3" t="n"/>
      <c r="C190" s="3" t="n"/>
    </row>
    <row r="191" ht="15.75" customHeight="1" s="35">
      <c r="A191" s="3" t="n"/>
      <c r="B191" s="3" t="n"/>
      <c r="C191" s="3" t="n"/>
    </row>
    <row r="192" ht="15.75" customHeight="1" s="35">
      <c r="A192" s="3" t="n"/>
      <c r="B192" s="3" t="n"/>
      <c r="C192" s="3" t="n"/>
    </row>
    <row r="193" ht="15.75" customHeight="1" s="35">
      <c r="A193" s="3" t="n"/>
      <c r="B193" s="3" t="n"/>
      <c r="C193" s="3" t="n"/>
    </row>
    <row r="194" ht="15.75" customHeight="1" s="35">
      <c r="A194" s="3" t="n"/>
      <c r="B194" s="3" t="n"/>
      <c r="C194" s="3" t="n"/>
    </row>
    <row r="195" ht="15.75" customHeight="1" s="35">
      <c r="A195" s="3" t="n"/>
      <c r="B195" s="3" t="n"/>
      <c r="C195" s="3" t="n"/>
    </row>
    <row r="196" ht="15.75" customHeight="1" s="35">
      <c r="A196" s="3" t="n"/>
      <c r="B196" s="3" t="n"/>
      <c r="C196" s="3" t="n"/>
    </row>
    <row r="197" ht="15.75" customHeight="1" s="35">
      <c r="A197" s="3" t="n"/>
      <c r="B197" s="3" t="n"/>
      <c r="C197" s="3" t="n"/>
    </row>
    <row r="198" ht="15.75" customHeight="1" s="35">
      <c r="A198" s="3" t="n"/>
      <c r="B198" s="3" t="n"/>
      <c r="C198" s="3" t="n"/>
    </row>
    <row r="199" ht="15.75" customHeight="1" s="35">
      <c r="A199" s="3" t="n"/>
      <c r="B199" s="3" t="n"/>
      <c r="C199" s="3" t="n"/>
    </row>
    <row r="200" ht="15.75" customHeight="1" s="35">
      <c r="A200" s="3" t="n"/>
      <c r="B200" s="3" t="n"/>
      <c r="C200" s="3" t="n"/>
    </row>
    <row r="201" ht="15.75" customHeight="1" s="35">
      <c r="A201" s="3" t="n"/>
      <c r="B201" s="3" t="n"/>
      <c r="C201" s="3" t="n"/>
    </row>
    <row r="202" ht="15.75" customHeight="1" s="35">
      <c r="A202" s="3" t="n"/>
      <c r="B202" s="3" t="n"/>
      <c r="C202" s="3" t="n"/>
    </row>
    <row r="203" ht="15.75" customHeight="1" s="35">
      <c r="A203" s="3" t="n"/>
      <c r="B203" s="3" t="n"/>
      <c r="C203" s="3" t="n"/>
    </row>
    <row r="204" ht="15.75" customHeight="1" s="35">
      <c r="A204" s="3" t="n"/>
      <c r="B204" s="3" t="n"/>
      <c r="C204" s="3" t="n"/>
    </row>
    <row r="205" ht="15.75" customHeight="1" s="35">
      <c r="A205" s="3" t="n"/>
      <c r="B205" s="3" t="n"/>
      <c r="C205" s="3" t="n"/>
    </row>
    <row r="206" ht="15.75" customHeight="1" s="35">
      <c r="A206" s="3" t="n"/>
      <c r="B206" s="3" t="n"/>
      <c r="C206" s="3" t="n"/>
    </row>
    <row r="207" ht="15.75" customHeight="1" s="35">
      <c r="A207" s="3" t="n"/>
      <c r="B207" s="3" t="n"/>
      <c r="C207" s="3" t="n"/>
    </row>
    <row r="208" ht="15.75" customHeight="1" s="35">
      <c r="A208" s="3" t="n"/>
      <c r="B208" s="3" t="n"/>
      <c r="C208" s="3" t="n"/>
    </row>
    <row r="209" ht="15.75" customHeight="1" s="35">
      <c r="A209" s="3" t="n"/>
      <c r="B209" s="3" t="n"/>
      <c r="C209" s="3" t="n"/>
    </row>
    <row r="210" ht="15.75" customHeight="1" s="35">
      <c r="A210" s="3" t="n"/>
      <c r="B210" s="3" t="n"/>
      <c r="C210" s="3" t="n"/>
    </row>
    <row r="211" ht="15.75" customHeight="1" s="35">
      <c r="A211" s="3" t="n"/>
      <c r="B211" s="3" t="n"/>
      <c r="C211" s="3" t="n"/>
    </row>
    <row r="212" ht="15.75" customHeight="1" s="35">
      <c r="A212" s="3" t="n"/>
      <c r="B212" s="3" t="n"/>
      <c r="C212" s="3" t="n"/>
    </row>
    <row r="213" ht="15.75" customHeight="1" s="35">
      <c r="A213" s="3" t="n"/>
      <c r="B213" s="3" t="n"/>
      <c r="C213" s="3" t="n"/>
    </row>
    <row r="214" ht="15.75" customHeight="1" s="35">
      <c r="A214" s="3" t="n"/>
      <c r="B214" s="3" t="n"/>
      <c r="C214" s="3" t="n"/>
    </row>
    <row r="215" ht="15.75" customHeight="1" s="35">
      <c r="A215" s="3" t="n"/>
      <c r="B215" s="3" t="n"/>
      <c r="C215" s="3" t="n"/>
    </row>
    <row r="216" ht="15.75" customHeight="1" s="35">
      <c r="A216" s="3" t="n"/>
      <c r="B216" s="3" t="n"/>
      <c r="C216" s="3" t="n"/>
    </row>
    <row r="217" ht="15.75" customHeight="1" s="35">
      <c r="A217" s="3" t="n"/>
      <c r="B217" s="3" t="n"/>
      <c r="C217" s="3" t="n"/>
    </row>
    <row r="218" ht="15.75" customHeight="1" s="35">
      <c r="A218" s="3" t="n"/>
      <c r="B218" s="3" t="n"/>
      <c r="C218" s="3" t="n"/>
    </row>
    <row r="219" ht="15.75" customHeight="1" s="35">
      <c r="A219" s="3" t="n"/>
      <c r="B219" s="3" t="n"/>
      <c r="C219" s="3" t="n"/>
    </row>
    <row r="220" ht="15.75" customHeight="1" s="35">
      <c r="A220" s="3" t="n"/>
      <c r="B220" s="3" t="n"/>
      <c r="C220" s="3" t="n"/>
    </row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1:C1"/>
    <mergeCell ref="A2:C2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5" min="1" max="1"/>
    <col width="44" customWidth="1" style="35" min="2" max="2"/>
    <col width="36" customWidth="1" style="35" min="3" max="4"/>
    <col width="12" customWidth="1" style="35" min="5" max="5"/>
    <col width="8.710000000000001" customWidth="1" style="35" min="6" max="6"/>
  </cols>
  <sheetData>
    <row r="1" ht="25.5" customHeight="1" s="35">
      <c r="A1" s="1" t="inlineStr">
        <is>
          <t>Ficha de condiciones estandarizadas</t>
        </is>
      </c>
    </row>
    <row r="2" ht="30" customHeight="1" s="35">
      <c r="A2" s="2" t="inlineStr">
        <is>
          <t>La columna PRETEST se llena hoy; la columna POSTEST se copia idéntica en la Semana 7. Cualquier diferencia es instrumentación.</t>
        </is>
      </c>
    </row>
    <row r="3">
      <c r="A3" s="3" t="n"/>
      <c r="B3" s="3" t="n"/>
      <c r="C3" s="3" t="n"/>
      <c r="D3" s="3" t="n"/>
      <c r="E3" s="3" t="n"/>
    </row>
    <row r="4" ht="31.5" customHeight="1" s="35">
      <c r="A4" s="4" t="inlineStr">
        <is>
          <t>N.°</t>
        </is>
      </c>
      <c r="B4" s="4" t="inlineStr">
        <is>
          <t>Condición</t>
        </is>
      </c>
      <c r="C4" s="4" t="inlineStr">
        <is>
          <t>Valor fijado — PRETEST</t>
        </is>
      </c>
      <c r="D4" s="4" t="inlineStr">
        <is>
          <t>Valor replicado — POSTEST</t>
        </is>
      </c>
      <c r="E4" s="4" t="inlineStr">
        <is>
          <t>¿Idéntico?</t>
        </is>
      </c>
    </row>
    <row r="5" ht="73.5" customHeight="1" s="35">
      <c r="A5" s="46" t="n">
        <v>1</v>
      </c>
      <c r="B5" s="6" t="inlineStr">
        <is>
          <t>Instrucciones leídas (según guion)</t>
        </is>
      </c>
      <c r="C5" s="38" t="inlineStr">
        <is>
          <t>Guion de la hoja 1, leído completo e idéntico a todos; tareas 1 y 2 en el mismo orden y con las mismas palabras (PDT, anexo 6.2.5).</t>
        </is>
      </c>
      <c r="D5" s="38" t="inlineStr">
        <is>
          <t>El mismo guion, leído completo e idéntico a todos; solo cambian las dos noticias (tareas 3 y 4, equivalentes), en el mismo orden y con las mismas palabras.</t>
        </is>
      </c>
      <c r="E5" s="45" t="inlineStr">
        <is>
          <t>Sí</t>
        </is>
      </c>
    </row>
    <row r="6" ht="73.5" customHeight="1" s="35">
      <c r="A6" s="47" t="n">
        <v>2</v>
      </c>
      <c r="B6" s="8" t="inlineStr">
        <is>
          <t>Tiempo concedido para responder</t>
        </is>
      </c>
      <c r="C6" s="38" t="inlineStr">
        <is>
          <t>Tareas: máximo 5 minutos (300 s) cada una; si no se encuentra la noticia, se registra 300 s y «no completada». Cuestionarios: sin límite, unos 10 minutos.</t>
        </is>
      </c>
      <c r="D6" s="38" t="inlineStr">
        <is>
          <t>Tareas: máximo 5 minutos (300 s) cada una; si no se encuentra la noticia, se registra 300 s y «no completada». Cuestionarios: sin límite, unos 10 minutos.</t>
        </is>
      </c>
      <c r="E6" s="45" t="inlineStr">
        <is>
          <t>Sí</t>
        </is>
      </c>
    </row>
    <row r="7" ht="46.5" customHeight="1" s="35">
      <c r="A7" s="46" t="n">
        <v>3</v>
      </c>
      <c r="B7" s="6" t="inlineStr">
        <is>
          <t>Momento de la jornada (mañana / tarde)</t>
        </is>
      </c>
      <c r="C7" s="38" t="inlineStr">
        <is>
          <t>Entre las 10:00 y las 13:00 h (mañana) o entre las 16:00 y las 19:00 h (tarde).</t>
        </is>
      </c>
      <c r="D7" s="38" t="inlineStr">
        <is>
          <t>Entre las 10:00 y las 13:00 h (mañana) o entre las 16:00 y las 19:00 h (tarde).</t>
        </is>
      </c>
      <c r="E7" s="45" t="inlineStr">
        <is>
          <t>Sí</t>
        </is>
      </c>
    </row>
    <row r="8" ht="46.5" customHeight="1" s="35">
      <c r="A8" s="47" t="n">
        <v>4</v>
      </c>
      <c r="B8" s="8" t="inlineStr">
        <is>
          <t>Día de la semana</t>
        </is>
      </c>
      <c r="C8" s="38" t="inlineStr">
        <is>
          <t>De lunes a sábado, dentro de la ventana del pretest (12 al 17/10/2026).</t>
        </is>
      </c>
      <c r="D8" s="38" t="inlineStr">
        <is>
          <t>De lunes a sábado, dentro de la ventana del postest (26 al 31/10/2026); cada participante repite el mismo día de la semana.</t>
        </is>
      </c>
      <c r="E8" s="45" t="inlineStr">
        <is>
          <t>Sí</t>
        </is>
      </c>
    </row>
    <row r="9" ht="60" customHeight="1" s="35">
      <c r="A9" s="46" t="n">
        <v>5</v>
      </c>
      <c r="B9" s="6" t="inlineStr">
        <is>
          <t>Espacio físico o plataforma virtual</t>
        </is>
      </c>
      <c r="C9" s="38" t="inlineStr">
        <is>
          <t>Virtual, en el dispositivo propio del participante (celular o computadora) y con su conexión habitual. Búsqueda en el portal actual tudiariohuanuco.pe.</t>
        </is>
      </c>
      <c r="D9" s="38" t="inlineStr">
        <is>
          <t>Virtual, en el mismo tipo de dispositivo que usó en el pretest y con su conexión habitual. Búsqueda en la aplicación (chat.tudiariohuanuco.pe), que es la intervención.</t>
        </is>
      </c>
      <c r="E9" s="45" t="inlineStr">
        <is>
          <t>Sí</t>
        </is>
      </c>
    </row>
    <row r="10" ht="46.5" customHeight="1" s="35">
      <c r="A10" s="47" t="n">
        <v>6</v>
      </c>
      <c r="B10" s="8" t="inlineStr">
        <is>
          <t>Presencia o ausencia de jefaturas</t>
        </is>
      </c>
      <c r="C10" s="38" t="inlineStr">
        <is>
          <t>Ausencia de directivos, jefaturas o personal editorial del diario durante las tareas y los cuestionarios.</t>
        </is>
      </c>
      <c r="D10" s="38" t="inlineStr">
        <is>
          <t>Ausencia de directivos, jefaturas o personal editorial del diario durante las tareas y los cuestionarios.</t>
        </is>
      </c>
      <c r="E10" s="45" t="inlineStr">
        <is>
          <t>Sí</t>
        </is>
      </c>
    </row>
    <row r="11" ht="60" customHeight="1" s="35">
      <c r="A11" s="46" t="n">
        <v>7</v>
      </c>
      <c r="B11" s="6" t="inlineStr">
        <is>
          <t>Modo de entrega (impreso / digital)</t>
        </is>
      </c>
      <c r="C11" s="38" t="inlineStr">
        <is>
          <t>Digital: tareas y cuestionarios presentados en el módulo de gestión del experimento; la búsqueda se hace en el portal actual con el cronómetro del módulo (PDT §1.6 y §3.5.5).</t>
        </is>
      </c>
      <c r="D11" s="38" t="inlineStr">
        <is>
          <t>Digital: tareas y cuestionarios presentados en el módulo de gestión del experimento; la búsqueda se hace en la aplicación con el mismo cronómetro.</t>
        </is>
      </c>
      <c r="E11" s="45" t="inlineStr">
        <is>
          <t>Sí</t>
        </is>
      </c>
    </row>
    <row r="12" ht="73.5" customHeight="1" s="35">
      <c r="A12" s="47" t="n">
        <v>8</v>
      </c>
      <c r="B12" s="8" t="inlineStr">
        <is>
          <t>Fuente del dato (sistema / registro manual)</t>
        </is>
      </c>
      <c r="C12" s="38" t="inlineStr">
        <is>
          <t>Tiempo: cronómetro del módulo del experimento. Clics: contador instalado en el portal (enlaces, botones y envíos de búsqueda). SUS y satisfacción: respuestas guardadas en el módulo.</t>
        </is>
      </c>
      <c r="D12" s="38" t="inlineStr">
        <is>
          <t>Tiempo: el mismo cronómetro del módulo. Clics: telemetría de la aplicación, con la misma definición de clic (enlaces, botones y envíos de búsqueda). SUS y satisfacción: respuestas guardadas en el módulo.</t>
        </is>
      </c>
      <c r="E12" s="45" t="inlineStr">
        <is>
          <t>Sí</t>
        </is>
      </c>
    </row>
    <row r="13" ht="46.5" customHeight="1" s="35">
      <c r="A13" s="46" t="n">
        <v>9</v>
      </c>
      <c r="B13" s="6" t="inlineStr">
        <is>
          <t>Persona que aplica el instrumento</t>
        </is>
      </c>
      <c r="C13" s="38" t="inlineStr">
        <is>
          <t>Marcel Alexander Javier Trujillo Ávila (tesista) y Alejandro Jeanpier Godoy Condezo (aplicador de apoyo, capacitado en este protocolo).</t>
        </is>
      </c>
      <c r="D13" s="38" t="inlineStr">
        <is>
          <t>Marcel Alexander Javier Trujillo Ávila (tesista) y Alejandro Jeanpier Godoy Condezo (aplicador de apoyo, capacitado en este protocolo).</t>
        </is>
      </c>
      <c r="E13" s="45" t="inlineStr">
        <is>
          <t>Sí</t>
        </is>
      </c>
    </row>
    <row r="14" ht="73.5" customHeight="1" s="35">
      <c r="A14" s="47" t="n">
        <v>10</v>
      </c>
      <c r="B14" s="8" t="inlineStr">
        <is>
          <t>Orden de los ítems del instrumento</t>
        </is>
      </c>
      <c r="C14" s="38" t="inlineStr">
        <is>
          <t>Fijo para todos: tarea 1 → tarea 2 → cuestionario SUS (ítems 1 a 10) → cuestionario de satisfacción (ítems 1 a 8), cada uno en el orden del instrumento (PDT, anexo 6.2).</t>
        </is>
      </c>
      <c r="D14" s="38" t="inlineStr">
        <is>
          <t>Fijo para todos: tarea 3 → tarea 4 → cuestionario SUS (ítems 1 a 10) → cuestionario de satisfacción (ítems 1 a 8), cada uno en el orden del instrumento (PDT, anexo 6.2).</t>
        </is>
      </c>
      <c r="E14" s="45" t="inlineStr">
        <is>
          <t>Sí</t>
        </is>
      </c>
    </row>
    <row r="15" ht="60" customHeight="1" s="35">
      <c r="A15" s="46" t="n">
        <v>11</v>
      </c>
      <c r="B15" s="6" t="inlineStr">
        <is>
          <t>Unidad de medida del indicador</t>
        </is>
      </c>
      <c r="C15" s="38" t="inlineStr">
        <is>
          <t>Tiempo: segundos; clics: número entero; SUS: puntaje de 0 a 100; satisfacción: escala de Likert de 1 a 5 (puntaje total de 8 a 40).</t>
        </is>
      </c>
      <c r="D15" s="38" t="inlineStr">
        <is>
          <t>Tiempo: segundos; clics: número entero; SUS: puntaje de 0 a 100; satisfacción: escala de Likert de 1 a 5 (puntaje total de 8 a 40).</t>
        </is>
      </c>
      <c r="E15" s="45" t="inlineStr">
        <is>
          <t>Sí</t>
        </is>
      </c>
    </row>
    <row r="16" ht="60" customHeight="1" s="35">
      <c r="A16" s="47" t="n">
        <v>12</v>
      </c>
      <c r="B16" s="8" t="inlineStr">
        <is>
          <t>Procedimiento de codificación inmediata</t>
        </is>
      </c>
      <c r="C16" s="38" t="inlineStr">
        <is>
          <t>Al inscribirse, cada participante recibe un código GU-TDH-###; tiempos, clics y respuestas se guardan solo con ese código. Nombres, apellidos y celular quedan únicamente en el libro de códigos. No se solicita el DNI.</t>
        </is>
      </c>
      <c r="D16" s="38" t="inlineStr">
        <is>
          <t>Al inscribirse, cada participante recibe un código GU-TDH-###; tiempos, clics y respuestas se guardan solo con ese código. Nombres, apellidos y celular quedan únicamente en el libro de códigos. No se solicita el DNI.</t>
        </is>
      </c>
      <c r="E16" s="45" t="inlineStr">
        <is>
          <t>Sí</t>
        </is>
      </c>
    </row>
    <row r="17">
      <c r="A17" s="3" t="n"/>
      <c r="B17" s="3" t="n"/>
      <c r="C17" s="3" t="n"/>
      <c r="D17" s="3" t="n"/>
      <c r="E17" s="3" t="n"/>
    </row>
    <row r="18" ht="15" customHeight="1" s="35">
      <c r="A18" s="3" t="n"/>
      <c r="B18" s="17" t="inlineStr">
        <is>
          <t>Condiciones idénticas</t>
        </is>
      </c>
      <c r="C18" s="18">
        <f>COUNTIF(E5:E16,"Sí")&amp;" de 12"</f>
        <v/>
      </c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 ht="15.75" customHeight="1" s="35">
      <c r="A21" s="3" t="n"/>
      <c r="B21" s="3" t="n"/>
      <c r="C21" s="3" t="n"/>
      <c r="D21" s="3" t="n"/>
      <c r="E21" s="3" t="n"/>
    </row>
    <row r="22" ht="15.75" customHeight="1" s="35">
      <c r="A22" s="3" t="n"/>
      <c r="B22" s="3" t="n"/>
      <c r="C22" s="3" t="n"/>
      <c r="D22" s="3" t="n"/>
      <c r="E22" s="3" t="n"/>
    </row>
    <row r="23" ht="15.75" customHeight="1" s="35">
      <c r="A23" s="3" t="n"/>
      <c r="B23" s="3" t="n"/>
      <c r="C23" s="3" t="n"/>
      <c r="D23" s="3" t="n"/>
      <c r="E23" s="3" t="n"/>
    </row>
    <row r="24" ht="15.75" customHeight="1" s="35">
      <c r="A24" s="3" t="n"/>
      <c r="B24" s="3" t="n"/>
      <c r="C24" s="3" t="n"/>
      <c r="D24" s="3" t="n"/>
      <c r="E24" s="3" t="n"/>
    </row>
    <row r="25" ht="15.75" customHeight="1" s="35">
      <c r="A25" s="3" t="n"/>
      <c r="B25" s="3" t="n"/>
      <c r="C25" s="3" t="n"/>
      <c r="D25" s="3" t="n"/>
      <c r="E25" s="3" t="n"/>
    </row>
    <row r="26" ht="15.75" customHeight="1" s="35">
      <c r="A26" s="3" t="n"/>
      <c r="B26" s="3" t="n"/>
      <c r="C26" s="3" t="n"/>
      <c r="D26" s="3" t="n"/>
      <c r="E26" s="3" t="n"/>
    </row>
    <row r="27" ht="15.75" customHeight="1" s="35">
      <c r="A27" s="3" t="n"/>
      <c r="B27" s="3" t="n"/>
      <c r="C27" s="3" t="n"/>
      <c r="D27" s="3" t="n"/>
      <c r="E27" s="3" t="n"/>
    </row>
    <row r="28" ht="15.75" customHeight="1" s="35">
      <c r="A28" s="3" t="n"/>
      <c r="B28" s="3" t="n"/>
      <c r="C28" s="3" t="n"/>
      <c r="D28" s="3" t="n"/>
      <c r="E28" s="3" t="n"/>
    </row>
    <row r="29" ht="15.75" customHeight="1" s="35">
      <c r="A29" s="3" t="n"/>
      <c r="B29" s="3" t="n"/>
      <c r="C29" s="3" t="n"/>
      <c r="D29" s="3" t="n"/>
      <c r="E29" s="3" t="n"/>
    </row>
    <row r="30" ht="15.75" customHeight="1" s="35">
      <c r="A30" s="3" t="n"/>
      <c r="B30" s="3" t="n"/>
      <c r="C30" s="3" t="n"/>
      <c r="D30" s="3" t="n"/>
      <c r="E30" s="3" t="n"/>
    </row>
    <row r="31" ht="15.75" customHeight="1" s="35">
      <c r="A31" s="3" t="n"/>
      <c r="B31" s="3" t="n"/>
      <c r="C31" s="3" t="n"/>
      <c r="D31" s="3" t="n"/>
      <c r="E31" s="3" t="n"/>
    </row>
    <row r="32" ht="15.75" customHeight="1" s="35">
      <c r="A32" s="3" t="n"/>
      <c r="B32" s="3" t="n"/>
      <c r="C32" s="3" t="n"/>
      <c r="D32" s="3" t="n"/>
      <c r="E32" s="3" t="n"/>
    </row>
    <row r="33" ht="15.75" customHeight="1" s="35">
      <c r="A33" s="3" t="n"/>
      <c r="B33" s="3" t="n"/>
      <c r="C33" s="3" t="n"/>
      <c r="D33" s="3" t="n"/>
      <c r="E33" s="3" t="n"/>
    </row>
    <row r="34" ht="15.75" customHeight="1" s="35">
      <c r="A34" s="3" t="n"/>
      <c r="B34" s="3" t="n"/>
      <c r="C34" s="3" t="n"/>
      <c r="D34" s="3" t="n"/>
      <c r="E34" s="3" t="n"/>
    </row>
    <row r="35" ht="15.75" customHeight="1" s="35">
      <c r="A35" s="3" t="n"/>
      <c r="B35" s="3" t="n"/>
      <c r="C35" s="3" t="n"/>
      <c r="D35" s="3" t="n"/>
      <c r="E35" s="3" t="n"/>
    </row>
    <row r="36" ht="15.75" customHeight="1" s="35">
      <c r="A36" s="3" t="n"/>
      <c r="B36" s="3" t="n"/>
      <c r="C36" s="3" t="n"/>
      <c r="D36" s="3" t="n"/>
      <c r="E36" s="3" t="n"/>
    </row>
    <row r="37" ht="15.75" customHeight="1" s="35">
      <c r="A37" s="3" t="n"/>
      <c r="B37" s="3" t="n"/>
      <c r="C37" s="3" t="n"/>
      <c r="D37" s="3" t="n"/>
      <c r="E37" s="3" t="n"/>
    </row>
    <row r="38" ht="15.75" customHeight="1" s="35">
      <c r="A38" s="3" t="n"/>
      <c r="B38" s="3" t="n"/>
      <c r="C38" s="3" t="n"/>
      <c r="D38" s="3" t="n"/>
      <c r="E38" s="3" t="n"/>
    </row>
    <row r="39" ht="15.75" customHeight="1" s="35">
      <c r="A39" s="3" t="n"/>
      <c r="B39" s="3" t="n"/>
      <c r="C39" s="3" t="n"/>
      <c r="D39" s="3" t="n"/>
      <c r="E39" s="3" t="n"/>
    </row>
    <row r="40" ht="15.75" customHeight="1" s="35">
      <c r="A40" s="3" t="n"/>
      <c r="B40" s="3" t="n"/>
      <c r="C40" s="3" t="n"/>
      <c r="D40" s="3" t="n"/>
      <c r="E40" s="3" t="n"/>
    </row>
    <row r="41" ht="15.75" customHeight="1" s="35">
      <c r="A41" s="3" t="n"/>
      <c r="B41" s="3" t="n"/>
      <c r="C41" s="3" t="n"/>
      <c r="D41" s="3" t="n"/>
      <c r="E41" s="3" t="n"/>
    </row>
    <row r="42" ht="15.75" customHeight="1" s="35">
      <c r="A42" s="3" t="n"/>
      <c r="B42" s="3" t="n"/>
      <c r="C42" s="3" t="n"/>
      <c r="D42" s="3" t="n"/>
      <c r="E42" s="3" t="n"/>
    </row>
    <row r="43" ht="15.75" customHeight="1" s="35">
      <c r="A43" s="3" t="n"/>
      <c r="B43" s="3" t="n"/>
      <c r="C43" s="3" t="n"/>
      <c r="D43" s="3" t="n"/>
      <c r="E43" s="3" t="n"/>
    </row>
    <row r="44" ht="15.75" customHeight="1" s="35">
      <c r="A44" s="3" t="n"/>
      <c r="B44" s="3" t="n"/>
      <c r="C44" s="3" t="n"/>
      <c r="D44" s="3" t="n"/>
      <c r="E44" s="3" t="n"/>
    </row>
    <row r="45" ht="15.75" customHeight="1" s="35">
      <c r="A45" s="3" t="n"/>
      <c r="B45" s="3" t="n"/>
      <c r="C45" s="3" t="n"/>
      <c r="D45" s="3" t="n"/>
      <c r="E45" s="3" t="n"/>
    </row>
    <row r="46" ht="15.75" customHeight="1" s="35">
      <c r="A46" s="3" t="n"/>
      <c r="B46" s="3" t="n"/>
      <c r="C46" s="3" t="n"/>
      <c r="D46" s="3" t="n"/>
      <c r="E46" s="3" t="n"/>
    </row>
    <row r="47" ht="15.75" customHeight="1" s="35">
      <c r="A47" s="3" t="n"/>
      <c r="B47" s="3" t="n"/>
      <c r="C47" s="3" t="n"/>
      <c r="D47" s="3" t="n"/>
      <c r="E47" s="3" t="n"/>
    </row>
    <row r="48" ht="15.75" customHeight="1" s="35">
      <c r="A48" s="3" t="n"/>
      <c r="B48" s="3" t="n"/>
      <c r="C48" s="3" t="n"/>
      <c r="D48" s="3" t="n"/>
      <c r="E48" s="3" t="n"/>
    </row>
    <row r="49" ht="15.75" customHeight="1" s="35">
      <c r="A49" s="3" t="n"/>
      <c r="B49" s="3" t="n"/>
      <c r="C49" s="3" t="n"/>
      <c r="D49" s="3" t="n"/>
      <c r="E49" s="3" t="n"/>
    </row>
    <row r="50" ht="15.75" customHeight="1" s="35">
      <c r="A50" s="3" t="n"/>
      <c r="B50" s="3" t="n"/>
      <c r="C50" s="3" t="n"/>
      <c r="D50" s="3" t="n"/>
      <c r="E50" s="3" t="n"/>
    </row>
    <row r="51" ht="15.75" customHeight="1" s="35">
      <c r="A51" s="3" t="n"/>
      <c r="B51" s="3" t="n"/>
      <c r="C51" s="3" t="n"/>
      <c r="D51" s="3" t="n"/>
      <c r="E51" s="3" t="n"/>
    </row>
    <row r="52" ht="15.75" customHeight="1" s="35">
      <c r="A52" s="3" t="n"/>
      <c r="B52" s="3" t="n"/>
      <c r="C52" s="3" t="n"/>
      <c r="D52" s="3" t="n"/>
      <c r="E52" s="3" t="n"/>
    </row>
    <row r="53" ht="15.75" customHeight="1" s="35">
      <c r="A53" s="3" t="n"/>
      <c r="B53" s="3" t="n"/>
      <c r="C53" s="3" t="n"/>
      <c r="D53" s="3" t="n"/>
      <c r="E53" s="3" t="n"/>
    </row>
    <row r="54" ht="15.75" customHeight="1" s="35">
      <c r="A54" s="3" t="n"/>
      <c r="B54" s="3" t="n"/>
      <c r="C54" s="3" t="n"/>
      <c r="D54" s="3" t="n"/>
      <c r="E54" s="3" t="n"/>
    </row>
    <row r="55" ht="15.75" customHeight="1" s="35">
      <c r="A55" s="3" t="n"/>
      <c r="B55" s="3" t="n"/>
      <c r="C55" s="3" t="n"/>
      <c r="D55" s="3" t="n"/>
      <c r="E55" s="3" t="n"/>
    </row>
    <row r="56" ht="15.75" customHeight="1" s="35">
      <c r="A56" s="3" t="n"/>
      <c r="B56" s="3" t="n"/>
      <c r="C56" s="3" t="n"/>
      <c r="D56" s="3" t="n"/>
      <c r="E56" s="3" t="n"/>
    </row>
    <row r="57" ht="15.75" customHeight="1" s="35">
      <c r="A57" s="3" t="n"/>
      <c r="B57" s="3" t="n"/>
      <c r="C57" s="3" t="n"/>
      <c r="D57" s="3" t="n"/>
      <c r="E57" s="3" t="n"/>
    </row>
    <row r="58" ht="15.75" customHeight="1" s="35">
      <c r="A58" s="3" t="n"/>
      <c r="B58" s="3" t="n"/>
      <c r="C58" s="3" t="n"/>
      <c r="D58" s="3" t="n"/>
      <c r="E58" s="3" t="n"/>
    </row>
    <row r="59" ht="15.75" customHeight="1" s="35">
      <c r="A59" s="3" t="n"/>
      <c r="B59" s="3" t="n"/>
      <c r="C59" s="3" t="n"/>
      <c r="D59" s="3" t="n"/>
      <c r="E59" s="3" t="n"/>
    </row>
    <row r="60" ht="15.75" customHeight="1" s="35">
      <c r="A60" s="3" t="n"/>
      <c r="B60" s="3" t="n"/>
      <c r="C60" s="3" t="n"/>
      <c r="D60" s="3" t="n"/>
      <c r="E60" s="3" t="n"/>
    </row>
    <row r="61" ht="15.75" customHeight="1" s="35">
      <c r="A61" s="3" t="n"/>
      <c r="B61" s="3" t="n"/>
      <c r="C61" s="3" t="n"/>
      <c r="D61" s="3" t="n"/>
      <c r="E61" s="3" t="n"/>
    </row>
    <row r="62" ht="15.75" customHeight="1" s="35">
      <c r="A62" s="3" t="n"/>
      <c r="B62" s="3" t="n"/>
      <c r="C62" s="3" t="n"/>
      <c r="D62" s="3" t="n"/>
      <c r="E62" s="3" t="n"/>
    </row>
    <row r="63" ht="15.75" customHeight="1" s="35">
      <c r="A63" s="3" t="n"/>
      <c r="B63" s="3" t="n"/>
      <c r="C63" s="3" t="n"/>
      <c r="D63" s="3" t="n"/>
      <c r="E63" s="3" t="n"/>
    </row>
    <row r="64" ht="15.75" customHeight="1" s="35">
      <c r="A64" s="3" t="n"/>
      <c r="B64" s="3" t="n"/>
      <c r="C64" s="3" t="n"/>
      <c r="D64" s="3" t="n"/>
      <c r="E64" s="3" t="n"/>
    </row>
    <row r="65" ht="15.75" customHeight="1" s="35">
      <c r="A65" s="3" t="n"/>
      <c r="B65" s="3" t="n"/>
      <c r="C65" s="3" t="n"/>
      <c r="D65" s="3" t="n"/>
      <c r="E65" s="3" t="n"/>
    </row>
    <row r="66" ht="15.75" customHeight="1" s="35">
      <c r="A66" s="3" t="n"/>
      <c r="B66" s="3" t="n"/>
      <c r="C66" s="3" t="n"/>
      <c r="D66" s="3" t="n"/>
      <c r="E66" s="3" t="n"/>
    </row>
    <row r="67" ht="15.75" customHeight="1" s="35">
      <c r="A67" s="3" t="n"/>
      <c r="B67" s="3" t="n"/>
      <c r="C67" s="3" t="n"/>
      <c r="D67" s="3" t="n"/>
      <c r="E67" s="3" t="n"/>
    </row>
    <row r="68" ht="15.75" customHeight="1" s="35">
      <c r="A68" s="3" t="n"/>
      <c r="B68" s="3" t="n"/>
      <c r="C68" s="3" t="n"/>
      <c r="D68" s="3" t="n"/>
      <c r="E68" s="3" t="n"/>
    </row>
    <row r="69" ht="15.75" customHeight="1" s="35">
      <c r="A69" s="3" t="n"/>
      <c r="B69" s="3" t="n"/>
      <c r="C69" s="3" t="n"/>
      <c r="D69" s="3" t="n"/>
      <c r="E69" s="3" t="n"/>
    </row>
    <row r="70" ht="15.75" customHeight="1" s="35">
      <c r="A70" s="3" t="n"/>
      <c r="B70" s="3" t="n"/>
      <c r="C70" s="3" t="n"/>
      <c r="D70" s="3" t="n"/>
      <c r="E70" s="3" t="n"/>
    </row>
    <row r="71" ht="15.75" customHeight="1" s="35">
      <c r="A71" s="3" t="n"/>
      <c r="B71" s="3" t="n"/>
      <c r="C71" s="3" t="n"/>
      <c r="D71" s="3" t="n"/>
      <c r="E71" s="3" t="n"/>
    </row>
    <row r="72" ht="15.75" customHeight="1" s="35">
      <c r="A72" s="3" t="n"/>
      <c r="B72" s="3" t="n"/>
      <c r="C72" s="3" t="n"/>
      <c r="D72" s="3" t="n"/>
      <c r="E72" s="3" t="n"/>
    </row>
    <row r="73" ht="15.75" customHeight="1" s="35">
      <c r="A73" s="3" t="n"/>
      <c r="B73" s="3" t="n"/>
      <c r="C73" s="3" t="n"/>
      <c r="D73" s="3" t="n"/>
      <c r="E73" s="3" t="n"/>
    </row>
    <row r="74" ht="15.75" customHeight="1" s="35">
      <c r="A74" s="3" t="n"/>
      <c r="B74" s="3" t="n"/>
      <c r="C74" s="3" t="n"/>
      <c r="D74" s="3" t="n"/>
      <c r="E74" s="3" t="n"/>
    </row>
    <row r="75" ht="15.75" customHeight="1" s="35">
      <c r="A75" s="3" t="n"/>
      <c r="B75" s="3" t="n"/>
      <c r="C75" s="3" t="n"/>
      <c r="D75" s="3" t="n"/>
      <c r="E75" s="3" t="n"/>
    </row>
    <row r="76" ht="15.75" customHeight="1" s="35">
      <c r="A76" s="3" t="n"/>
      <c r="B76" s="3" t="n"/>
      <c r="C76" s="3" t="n"/>
      <c r="D76" s="3" t="n"/>
      <c r="E76" s="3" t="n"/>
    </row>
    <row r="77" ht="15.75" customHeight="1" s="35">
      <c r="A77" s="3" t="n"/>
      <c r="B77" s="3" t="n"/>
      <c r="C77" s="3" t="n"/>
      <c r="D77" s="3" t="n"/>
      <c r="E77" s="3" t="n"/>
    </row>
    <row r="78" ht="15.75" customHeight="1" s="35">
      <c r="A78" s="3" t="n"/>
      <c r="B78" s="3" t="n"/>
      <c r="C78" s="3" t="n"/>
      <c r="D78" s="3" t="n"/>
      <c r="E78" s="3" t="n"/>
    </row>
    <row r="79" ht="15.75" customHeight="1" s="35">
      <c r="A79" s="3" t="n"/>
      <c r="B79" s="3" t="n"/>
      <c r="C79" s="3" t="n"/>
      <c r="D79" s="3" t="n"/>
      <c r="E79" s="3" t="n"/>
    </row>
    <row r="80" ht="15.75" customHeight="1" s="35">
      <c r="A80" s="3" t="n"/>
      <c r="B80" s="3" t="n"/>
      <c r="C80" s="3" t="n"/>
      <c r="D80" s="3" t="n"/>
      <c r="E80" s="3" t="n"/>
    </row>
    <row r="81" ht="15.75" customHeight="1" s="35">
      <c r="A81" s="3" t="n"/>
      <c r="B81" s="3" t="n"/>
      <c r="C81" s="3" t="n"/>
      <c r="D81" s="3" t="n"/>
      <c r="E81" s="3" t="n"/>
    </row>
    <row r="82" ht="15.75" customHeight="1" s="35">
      <c r="A82" s="3" t="n"/>
      <c r="B82" s="3" t="n"/>
      <c r="C82" s="3" t="n"/>
      <c r="D82" s="3" t="n"/>
      <c r="E82" s="3" t="n"/>
    </row>
    <row r="83" ht="15.75" customHeight="1" s="35">
      <c r="A83" s="3" t="n"/>
      <c r="B83" s="3" t="n"/>
      <c r="C83" s="3" t="n"/>
      <c r="D83" s="3" t="n"/>
      <c r="E83" s="3" t="n"/>
    </row>
    <row r="84" ht="15.75" customHeight="1" s="35">
      <c r="A84" s="3" t="n"/>
      <c r="B84" s="3" t="n"/>
      <c r="C84" s="3" t="n"/>
      <c r="D84" s="3" t="n"/>
      <c r="E84" s="3" t="n"/>
    </row>
    <row r="85" ht="15.75" customHeight="1" s="35">
      <c r="A85" s="3" t="n"/>
      <c r="B85" s="3" t="n"/>
      <c r="C85" s="3" t="n"/>
      <c r="D85" s="3" t="n"/>
      <c r="E85" s="3" t="n"/>
    </row>
    <row r="86" ht="15.75" customHeight="1" s="35">
      <c r="A86" s="3" t="n"/>
      <c r="B86" s="3" t="n"/>
      <c r="C86" s="3" t="n"/>
      <c r="D86" s="3" t="n"/>
      <c r="E86" s="3" t="n"/>
    </row>
    <row r="87" ht="15.75" customHeight="1" s="35">
      <c r="A87" s="3" t="n"/>
      <c r="B87" s="3" t="n"/>
      <c r="C87" s="3" t="n"/>
      <c r="D87" s="3" t="n"/>
      <c r="E87" s="3" t="n"/>
    </row>
    <row r="88" ht="15.75" customHeight="1" s="35">
      <c r="A88" s="3" t="n"/>
      <c r="B88" s="3" t="n"/>
      <c r="C88" s="3" t="n"/>
      <c r="D88" s="3" t="n"/>
      <c r="E88" s="3" t="n"/>
    </row>
    <row r="89" ht="15.75" customHeight="1" s="35">
      <c r="A89" s="3" t="n"/>
      <c r="B89" s="3" t="n"/>
      <c r="C89" s="3" t="n"/>
      <c r="D89" s="3" t="n"/>
      <c r="E89" s="3" t="n"/>
    </row>
    <row r="90" ht="15.75" customHeight="1" s="35">
      <c r="A90" s="3" t="n"/>
      <c r="B90" s="3" t="n"/>
      <c r="C90" s="3" t="n"/>
      <c r="D90" s="3" t="n"/>
      <c r="E90" s="3" t="n"/>
    </row>
    <row r="91" ht="15.75" customHeight="1" s="35">
      <c r="A91" s="3" t="n"/>
      <c r="B91" s="3" t="n"/>
      <c r="C91" s="3" t="n"/>
      <c r="D91" s="3" t="n"/>
      <c r="E91" s="3" t="n"/>
    </row>
    <row r="92" ht="15.75" customHeight="1" s="35">
      <c r="A92" s="3" t="n"/>
      <c r="B92" s="3" t="n"/>
      <c r="C92" s="3" t="n"/>
      <c r="D92" s="3" t="n"/>
      <c r="E92" s="3" t="n"/>
    </row>
    <row r="93" ht="15.75" customHeight="1" s="35">
      <c r="A93" s="3" t="n"/>
      <c r="B93" s="3" t="n"/>
      <c r="C93" s="3" t="n"/>
      <c r="D93" s="3" t="n"/>
      <c r="E93" s="3" t="n"/>
    </row>
    <row r="94" ht="15.75" customHeight="1" s="35">
      <c r="A94" s="3" t="n"/>
      <c r="B94" s="3" t="n"/>
      <c r="C94" s="3" t="n"/>
      <c r="D94" s="3" t="n"/>
      <c r="E94" s="3" t="n"/>
    </row>
    <row r="95" ht="15.75" customHeight="1" s="35">
      <c r="A95" s="3" t="n"/>
      <c r="B95" s="3" t="n"/>
      <c r="C95" s="3" t="n"/>
      <c r="D95" s="3" t="n"/>
      <c r="E95" s="3" t="n"/>
    </row>
    <row r="96" ht="15.75" customHeight="1" s="35">
      <c r="A96" s="3" t="n"/>
      <c r="B96" s="3" t="n"/>
      <c r="C96" s="3" t="n"/>
      <c r="D96" s="3" t="n"/>
      <c r="E96" s="3" t="n"/>
    </row>
    <row r="97" ht="15.75" customHeight="1" s="35">
      <c r="A97" s="3" t="n"/>
      <c r="B97" s="3" t="n"/>
      <c r="C97" s="3" t="n"/>
      <c r="D97" s="3" t="n"/>
      <c r="E97" s="3" t="n"/>
    </row>
    <row r="98" ht="15.75" customHeight="1" s="35">
      <c r="A98" s="3" t="n"/>
      <c r="B98" s="3" t="n"/>
      <c r="C98" s="3" t="n"/>
      <c r="D98" s="3" t="n"/>
      <c r="E98" s="3" t="n"/>
    </row>
    <row r="99" ht="15.75" customHeight="1" s="35">
      <c r="A99" s="3" t="n"/>
      <c r="B99" s="3" t="n"/>
      <c r="C99" s="3" t="n"/>
      <c r="D99" s="3" t="n"/>
      <c r="E99" s="3" t="n"/>
    </row>
    <row r="100" ht="15.75" customHeight="1" s="35">
      <c r="A100" s="3" t="n"/>
      <c r="B100" s="3" t="n"/>
      <c r="C100" s="3" t="n"/>
      <c r="D100" s="3" t="n"/>
      <c r="E100" s="3" t="n"/>
    </row>
    <row r="101" ht="15.75" customHeight="1" s="35">
      <c r="A101" s="3" t="n"/>
      <c r="B101" s="3" t="n"/>
      <c r="C101" s="3" t="n"/>
      <c r="D101" s="3" t="n"/>
      <c r="E101" s="3" t="n"/>
    </row>
    <row r="102" ht="15.75" customHeight="1" s="35">
      <c r="A102" s="3" t="n"/>
      <c r="B102" s="3" t="n"/>
      <c r="C102" s="3" t="n"/>
      <c r="D102" s="3" t="n"/>
      <c r="E102" s="3" t="n"/>
    </row>
    <row r="103" ht="15.75" customHeight="1" s="35">
      <c r="A103" s="3" t="n"/>
      <c r="B103" s="3" t="n"/>
      <c r="C103" s="3" t="n"/>
      <c r="D103" s="3" t="n"/>
      <c r="E103" s="3" t="n"/>
    </row>
    <row r="104" ht="15.75" customHeight="1" s="35">
      <c r="A104" s="3" t="n"/>
      <c r="B104" s="3" t="n"/>
      <c r="C104" s="3" t="n"/>
      <c r="D104" s="3" t="n"/>
      <c r="E104" s="3" t="n"/>
    </row>
    <row r="105" ht="15.75" customHeight="1" s="35">
      <c r="A105" s="3" t="n"/>
      <c r="B105" s="3" t="n"/>
      <c r="C105" s="3" t="n"/>
      <c r="D105" s="3" t="n"/>
      <c r="E105" s="3" t="n"/>
    </row>
    <row r="106" ht="15.75" customHeight="1" s="35">
      <c r="A106" s="3" t="n"/>
      <c r="B106" s="3" t="n"/>
      <c r="C106" s="3" t="n"/>
      <c r="D106" s="3" t="n"/>
      <c r="E106" s="3" t="n"/>
    </row>
    <row r="107" ht="15.75" customHeight="1" s="35">
      <c r="A107" s="3" t="n"/>
      <c r="B107" s="3" t="n"/>
      <c r="C107" s="3" t="n"/>
      <c r="D107" s="3" t="n"/>
      <c r="E107" s="3" t="n"/>
    </row>
    <row r="108" ht="15.75" customHeight="1" s="35">
      <c r="A108" s="3" t="n"/>
      <c r="B108" s="3" t="n"/>
      <c r="C108" s="3" t="n"/>
      <c r="D108" s="3" t="n"/>
      <c r="E108" s="3" t="n"/>
    </row>
    <row r="109" ht="15.75" customHeight="1" s="35">
      <c r="A109" s="3" t="n"/>
      <c r="B109" s="3" t="n"/>
      <c r="C109" s="3" t="n"/>
      <c r="D109" s="3" t="n"/>
      <c r="E109" s="3" t="n"/>
    </row>
    <row r="110" ht="15.75" customHeight="1" s="35">
      <c r="A110" s="3" t="n"/>
      <c r="B110" s="3" t="n"/>
      <c r="C110" s="3" t="n"/>
      <c r="D110" s="3" t="n"/>
      <c r="E110" s="3" t="n"/>
    </row>
    <row r="111" ht="15.75" customHeight="1" s="35">
      <c r="A111" s="3" t="n"/>
      <c r="B111" s="3" t="n"/>
      <c r="C111" s="3" t="n"/>
      <c r="D111" s="3" t="n"/>
      <c r="E111" s="3" t="n"/>
    </row>
    <row r="112" ht="15.75" customHeight="1" s="35">
      <c r="A112" s="3" t="n"/>
      <c r="B112" s="3" t="n"/>
      <c r="C112" s="3" t="n"/>
      <c r="D112" s="3" t="n"/>
      <c r="E112" s="3" t="n"/>
    </row>
    <row r="113" ht="15.75" customHeight="1" s="35">
      <c r="A113" s="3" t="n"/>
      <c r="B113" s="3" t="n"/>
      <c r="C113" s="3" t="n"/>
      <c r="D113" s="3" t="n"/>
      <c r="E113" s="3" t="n"/>
    </row>
    <row r="114" ht="15.75" customHeight="1" s="35">
      <c r="A114" s="3" t="n"/>
      <c r="B114" s="3" t="n"/>
      <c r="C114" s="3" t="n"/>
      <c r="D114" s="3" t="n"/>
      <c r="E114" s="3" t="n"/>
    </row>
    <row r="115" ht="15.75" customHeight="1" s="35">
      <c r="A115" s="3" t="n"/>
      <c r="B115" s="3" t="n"/>
      <c r="C115" s="3" t="n"/>
      <c r="D115" s="3" t="n"/>
      <c r="E115" s="3" t="n"/>
    </row>
    <row r="116" ht="15.75" customHeight="1" s="35">
      <c r="A116" s="3" t="n"/>
      <c r="B116" s="3" t="n"/>
      <c r="C116" s="3" t="n"/>
      <c r="D116" s="3" t="n"/>
      <c r="E116" s="3" t="n"/>
    </row>
    <row r="117" ht="15.75" customHeight="1" s="35">
      <c r="A117" s="3" t="n"/>
      <c r="B117" s="3" t="n"/>
      <c r="C117" s="3" t="n"/>
      <c r="D117" s="3" t="n"/>
      <c r="E117" s="3" t="n"/>
    </row>
    <row r="118" ht="15.75" customHeight="1" s="35">
      <c r="A118" s="3" t="n"/>
      <c r="B118" s="3" t="n"/>
      <c r="C118" s="3" t="n"/>
      <c r="D118" s="3" t="n"/>
      <c r="E118" s="3" t="n"/>
    </row>
    <row r="119" ht="15.75" customHeight="1" s="35">
      <c r="A119" s="3" t="n"/>
      <c r="B119" s="3" t="n"/>
      <c r="C119" s="3" t="n"/>
      <c r="D119" s="3" t="n"/>
      <c r="E119" s="3" t="n"/>
    </row>
    <row r="120" ht="15.75" customHeight="1" s="35">
      <c r="A120" s="3" t="n"/>
      <c r="B120" s="3" t="n"/>
      <c r="C120" s="3" t="n"/>
      <c r="D120" s="3" t="n"/>
      <c r="E120" s="3" t="n"/>
    </row>
    <row r="121" ht="15.75" customHeight="1" s="35">
      <c r="A121" s="3" t="n"/>
      <c r="B121" s="3" t="n"/>
      <c r="C121" s="3" t="n"/>
      <c r="D121" s="3" t="n"/>
      <c r="E121" s="3" t="n"/>
    </row>
    <row r="122" ht="15.75" customHeight="1" s="35">
      <c r="A122" s="3" t="n"/>
      <c r="B122" s="3" t="n"/>
      <c r="C122" s="3" t="n"/>
      <c r="D122" s="3" t="n"/>
      <c r="E122" s="3" t="n"/>
    </row>
    <row r="123" ht="15.75" customHeight="1" s="35">
      <c r="A123" s="3" t="n"/>
      <c r="B123" s="3" t="n"/>
      <c r="C123" s="3" t="n"/>
      <c r="D123" s="3" t="n"/>
      <c r="E123" s="3" t="n"/>
    </row>
    <row r="124" ht="15.75" customHeight="1" s="35">
      <c r="A124" s="3" t="n"/>
      <c r="B124" s="3" t="n"/>
      <c r="C124" s="3" t="n"/>
      <c r="D124" s="3" t="n"/>
      <c r="E124" s="3" t="n"/>
    </row>
    <row r="125" ht="15.75" customHeight="1" s="35">
      <c r="A125" s="3" t="n"/>
      <c r="B125" s="3" t="n"/>
      <c r="C125" s="3" t="n"/>
      <c r="D125" s="3" t="n"/>
      <c r="E125" s="3" t="n"/>
    </row>
    <row r="126" ht="15.75" customHeight="1" s="35">
      <c r="A126" s="3" t="n"/>
      <c r="B126" s="3" t="n"/>
      <c r="C126" s="3" t="n"/>
      <c r="D126" s="3" t="n"/>
      <c r="E126" s="3" t="n"/>
    </row>
    <row r="127" ht="15.75" customHeight="1" s="35">
      <c r="A127" s="3" t="n"/>
      <c r="B127" s="3" t="n"/>
      <c r="C127" s="3" t="n"/>
      <c r="D127" s="3" t="n"/>
      <c r="E127" s="3" t="n"/>
    </row>
    <row r="128" ht="15.75" customHeight="1" s="35">
      <c r="A128" s="3" t="n"/>
      <c r="B128" s="3" t="n"/>
      <c r="C128" s="3" t="n"/>
      <c r="D128" s="3" t="n"/>
      <c r="E128" s="3" t="n"/>
    </row>
    <row r="129" ht="15.75" customHeight="1" s="35">
      <c r="A129" s="3" t="n"/>
      <c r="B129" s="3" t="n"/>
      <c r="C129" s="3" t="n"/>
      <c r="D129" s="3" t="n"/>
      <c r="E129" s="3" t="n"/>
    </row>
    <row r="130" ht="15.75" customHeight="1" s="35">
      <c r="A130" s="3" t="n"/>
      <c r="B130" s="3" t="n"/>
      <c r="C130" s="3" t="n"/>
      <c r="D130" s="3" t="n"/>
      <c r="E130" s="3" t="n"/>
    </row>
    <row r="131" ht="15.75" customHeight="1" s="35">
      <c r="A131" s="3" t="n"/>
      <c r="B131" s="3" t="n"/>
      <c r="C131" s="3" t="n"/>
      <c r="D131" s="3" t="n"/>
      <c r="E131" s="3" t="n"/>
    </row>
    <row r="132" ht="15.75" customHeight="1" s="35">
      <c r="A132" s="3" t="n"/>
      <c r="B132" s="3" t="n"/>
      <c r="C132" s="3" t="n"/>
      <c r="D132" s="3" t="n"/>
      <c r="E132" s="3" t="n"/>
    </row>
    <row r="133" ht="15.75" customHeight="1" s="35">
      <c r="A133" s="3" t="n"/>
      <c r="B133" s="3" t="n"/>
      <c r="C133" s="3" t="n"/>
      <c r="D133" s="3" t="n"/>
      <c r="E133" s="3" t="n"/>
    </row>
    <row r="134" ht="15.75" customHeight="1" s="35">
      <c r="A134" s="3" t="n"/>
      <c r="B134" s="3" t="n"/>
      <c r="C134" s="3" t="n"/>
      <c r="D134" s="3" t="n"/>
      <c r="E134" s="3" t="n"/>
    </row>
    <row r="135" ht="15.75" customHeight="1" s="35">
      <c r="A135" s="3" t="n"/>
      <c r="B135" s="3" t="n"/>
      <c r="C135" s="3" t="n"/>
      <c r="D135" s="3" t="n"/>
      <c r="E135" s="3" t="n"/>
    </row>
    <row r="136" ht="15.75" customHeight="1" s="35">
      <c r="A136" s="3" t="n"/>
      <c r="B136" s="3" t="n"/>
      <c r="C136" s="3" t="n"/>
      <c r="D136" s="3" t="n"/>
      <c r="E136" s="3" t="n"/>
    </row>
    <row r="137" ht="15.75" customHeight="1" s="35">
      <c r="A137" s="3" t="n"/>
      <c r="B137" s="3" t="n"/>
      <c r="C137" s="3" t="n"/>
      <c r="D137" s="3" t="n"/>
      <c r="E137" s="3" t="n"/>
    </row>
    <row r="138" ht="15.75" customHeight="1" s="35">
      <c r="A138" s="3" t="n"/>
      <c r="B138" s="3" t="n"/>
      <c r="C138" s="3" t="n"/>
      <c r="D138" s="3" t="n"/>
      <c r="E138" s="3" t="n"/>
    </row>
    <row r="139" ht="15.75" customHeight="1" s="35">
      <c r="A139" s="3" t="n"/>
      <c r="B139" s="3" t="n"/>
      <c r="C139" s="3" t="n"/>
      <c r="D139" s="3" t="n"/>
      <c r="E139" s="3" t="n"/>
    </row>
    <row r="140" ht="15.75" customHeight="1" s="35">
      <c r="A140" s="3" t="n"/>
      <c r="B140" s="3" t="n"/>
      <c r="C140" s="3" t="n"/>
      <c r="D140" s="3" t="n"/>
      <c r="E140" s="3" t="n"/>
    </row>
    <row r="141" ht="15.75" customHeight="1" s="35">
      <c r="A141" s="3" t="n"/>
      <c r="B141" s="3" t="n"/>
      <c r="C141" s="3" t="n"/>
      <c r="D141" s="3" t="n"/>
      <c r="E141" s="3" t="n"/>
    </row>
    <row r="142" ht="15.75" customHeight="1" s="35">
      <c r="A142" s="3" t="n"/>
      <c r="B142" s="3" t="n"/>
      <c r="C142" s="3" t="n"/>
      <c r="D142" s="3" t="n"/>
      <c r="E142" s="3" t="n"/>
    </row>
    <row r="143" ht="15.75" customHeight="1" s="35">
      <c r="A143" s="3" t="n"/>
      <c r="B143" s="3" t="n"/>
      <c r="C143" s="3" t="n"/>
      <c r="D143" s="3" t="n"/>
      <c r="E143" s="3" t="n"/>
    </row>
    <row r="144" ht="15.75" customHeight="1" s="35">
      <c r="A144" s="3" t="n"/>
      <c r="B144" s="3" t="n"/>
      <c r="C144" s="3" t="n"/>
      <c r="D144" s="3" t="n"/>
      <c r="E144" s="3" t="n"/>
    </row>
    <row r="145" ht="15.75" customHeight="1" s="35">
      <c r="A145" s="3" t="n"/>
      <c r="B145" s="3" t="n"/>
      <c r="C145" s="3" t="n"/>
      <c r="D145" s="3" t="n"/>
      <c r="E145" s="3" t="n"/>
    </row>
    <row r="146" ht="15.75" customHeight="1" s="35">
      <c r="A146" s="3" t="n"/>
      <c r="B146" s="3" t="n"/>
      <c r="C146" s="3" t="n"/>
      <c r="D146" s="3" t="n"/>
      <c r="E146" s="3" t="n"/>
    </row>
    <row r="147" ht="15.75" customHeight="1" s="35">
      <c r="A147" s="3" t="n"/>
      <c r="B147" s="3" t="n"/>
      <c r="C147" s="3" t="n"/>
      <c r="D147" s="3" t="n"/>
      <c r="E147" s="3" t="n"/>
    </row>
    <row r="148" ht="15.75" customHeight="1" s="35">
      <c r="A148" s="3" t="n"/>
      <c r="B148" s="3" t="n"/>
      <c r="C148" s="3" t="n"/>
      <c r="D148" s="3" t="n"/>
      <c r="E148" s="3" t="n"/>
    </row>
    <row r="149" ht="15.75" customHeight="1" s="35">
      <c r="A149" s="3" t="n"/>
      <c r="B149" s="3" t="n"/>
      <c r="C149" s="3" t="n"/>
      <c r="D149" s="3" t="n"/>
      <c r="E149" s="3" t="n"/>
    </row>
    <row r="150" ht="15.75" customHeight="1" s="35">
      <c r="A150" s="3" t="n"/>
      <c r="B150" s="3" t="n"/>
      <c r="C150" s="3" t="n"/>
      <c r="D150" s="3" t="n"/>
      <c r="E150" s="3" t="n"/>
    </row>
    <row r="151" ht="15.75" customHeight="1" s="35">
      <c r="A151" s="3" t="n"/>
      <c r="B151" s="3" t="n"/>
      <c r="C151" s="3" t="n"/>
      <c r="D151" s="3" t="n"/>
      <c r="E151" s="3" t="n"/>
    </row>
    <row r="152" ht="15.75" customHeight="1" s="35">
      <c r="A152" s="3" t="n"/>
      <c r="B152" s="3" t="n"/>
      <c r="C152" s="3" t="n"/>
      <c r="D152" s="3" t="n"/>
      <c r="E152" s="3" t="n"/>
    </row>
    <row r="153" ht="15.75" customHeight="1" s="35">
      <c r="A153" s="3" t="n"/>
      <c r="B153" s="3" t="n"/>
      <c r="C153" s="3" t="n"/>
      <c r="D153" s="3" t="n"/>
      <c r="E153" s="3" t="n"/>
    </row>
    <row r="154" ht="15.75" customHeight="1" s="35">
      <c r="A154" s="3" t="n"/>
      <c r="B154" s="3" t="n"/>
      <c r="C154" s="3" t="n"/>
      <c r="D154" s="3" t="n"/>
      <c r="E154" s="3" t="n"/>
    </row>
    <row r="155" ht="15.75" customHeight="1" s="35">
      <c r="A155" s="3" t="n"/>
      <c r="B155" s="3" t="n"/>
      <c r="C155" s="3" t="n"/>
      <c r="D155" s="3" t="n"/>
      <c r="E155" s="3" t="n"/>
    </row>
    <row r="156" ht="15.75" customHeight="1" s="35">
      <c r="A156" s="3" t="n"/>
      <c r="B156" s="3" t="n"/>
      <c r="C156" s="3" t="n"/>
      <c r="D156" s="3" t="n"/>
      <c r="E156" s="3" t="n"/>
    </row>
    <row r="157" ht="15.75" customHeight="1" s="35">
      <c r="A157" s="3" t="n"/>
      <c r="B157" s="3" t="n"/>
      <c r="C157" s="3" t="n"/>
      <c r="D157" s="3" t="n"/>
      <c r="E157" s="3" t="n"/>
    </row>
    <row r="158" ht="15.75" customHeight="1" s="35">
      <c r="A158" s="3" t="n"/>
      <c r="B158" s="3" t="n"/>
      <c r="C158" s="3" t="n"/>
      <c r="D158" s="3" t="n"/>
      <c r="E158" s="3" t="n"/>
    </row>
    <row r="159" ht="15.75" customHeight="1" s="35">
      <c r="A159" s="3" t="n"/>
      <c r="B159" s="3" t="n"/>
      <c r="C159" s="3" t="n"/>
      <c r="D159" s="3" t="n"/>
      <c r="E159" s="3" t="n"/>
    </row>
    <row r="160" ht="15.75" customHeight="1" s="35">
      <c r="A160" s="3" t="n"/>
      <c r="B160" s="3" t="n"/>
      <c r="C160" s="3" t="n"/>
      <c r="D160" s="3" t="n"/>
      <c r="E160" s="3" t="n"/>
    </row>
    <row r="161" ht="15.75" customHeight="1" s="35">
      <c r="A161" s="3" t="n"/>
      <c r="B161" s="3" t="n"/>
      <c r="C161" s="3" t="n"/>
      <c r="D161" s="3" t="n"/>
      <c r="E161" s="3" t="n"/>
    </row>
    <row r="162" ht="15.75" customHeight="1" s="35">
      <c r="A162" s="3" t="n"/>
      <c r="B162" s="3" t="n"/>
      <c r="C162" s="3" t="n"/>
      <c r="D162" s="3" t="n"/>
      <c r="E162" s="3" t="n"/>
    </row>
    <row r="163" ht="15.75" customHeight="1" s="35">
      <c r="A163" s="3" t="n"/>
      <c r="B163" s="3" t="n"/>
      <c r="C163" s="3" t="n"/>
      <c r="D163" s="3" t="n"/>
      <c r="E163" s="3" t="n"/>
    </row>
    <row r="164" ht="15.75" customHeight="1" s="35">
      <c r="A164" s="3" t="n"/>
      <c r="B164" s="3" t="n"/>
      <c r="C164" s="3" t="n"/>
      <c r="D164" s="3" t="n"/>
      <c r="E164" s="3" t="n"/>
    </row>
    <row r="165" ht="15.75" customHeight="1" s="35">
      <c r="A165" s="3" t="n"/>
      <c r="B165" s="3" t="n"/>
      <c r="C165" s="3" t="n"/>
      <c r="D165" s="3" t="n"/>
      <c r="E165" s="3" t="n"/>
    </row>
    <row r="166" ht="15.75" customHeight="1" s="35">
      <c r="A166" s="3" t="n"/>
      <c r="B166" s="3" t="n"/>
      <c r="C166" s="3" t="n"/>
      <c r="D166" s="3" t="n"/>
      <c r="E166" s="3" t="n"/>
    </row>
    <row r="167" ht="15.75" customHeight="1" s="35">
      <c r="A167" s="3" t="n"/>
      <c r="B167" s="3" t="n"/>
      <c r="C167" s="3" t="n"/>
      <c r="D167" s="3" t="n"/>
      <c r="E167" s="3" t="n"/>
    </row>
    <row r="168" ht="15.75" customHeight="1" s="35">
      <c r="A168" s="3" t="n"/>
      <c r="B168" s="3" t="n"/>
      <c r="C168" s="3" t="n"/>
      <c r="D168" s="3" t="n"/>
      <c r="E168" s="3" t="n"/>
    </row>
    <row r="169" ht="15.75" customHeight="1" s="35">
      <c r="A169" s="3" t="n"/>
      <c r="B169" s="3" t="n"/>
      <c r="C169" s="3" t="n"/>
      <c r="D169" s="3" t="n"/>
      <c r="E169" s="3" t="n"/>
    </row>
    <row r="170" ht="15.75" customHeight="1" s="35">
      <c r="A170" s="3" t="n"/>
      <c r="B170" s="3" t="n"/>
      <c r="C170" s="3" t="n"/>
      <c r="D170" s="3" t="n"/>
      <c r="E170" s="3" t="n"/>
    </row>
    <row r="171" ht="15.75" customHeight="1" s="35">
      <c r="A171" s="3" t="n"/>
      <c r="B171" s="3" t="n"/>
      <c r="C171" s="3" t="n"/>
      <c r="D171" s="3" t="n"/>
      <c r="E171" s="3" t="n"/>
    </row>
    <row r="172" ht="15.75" customHeight="1" s="35">
      <c r="A172" s="3" t="n"/>
      <c r="B172" s="3" t="n"/>
      <c r="C172" s="3" t="n"/>
      <c r="D172" s="3" t="n"/>
      <c r="E172" s="3" t="n"/>
    </row>
    <row r="173" ht="15.75" customHeight="1" s="35">
      <c r="A173" s="3" t="n"/>
      <c r="B173" s="3" t="n"/>
      <c r="C173" s="3" t="n"/>
      <c r="D173" s="3" t="n"/>
      <c r="E173" s="3" t="n"/>
    </row>
    <row r="174" ht="15.75" customHeight="1" s="35">
      <c r="A174" s="3" t="n"/>
      <c r="B174" s="3" t="n"/>
      <c r="C174" s="3" t="n"/>
      <c r="D174" s="3" t="n"/>
      <c r="E174" s="3" t="n"/>
    </row>
    <row r="175" ht="15.75" customHeight="1" s="35">
      <c r="A175" s="3" t="n"/>
      <c r="B175" s="3" t="n"/>
      <c r="C175" s="3" t="n"/>
      <c r="D175" s="3" t="n"/>
      <c r="E175" s="3" t="n"/>
    </row>
    <row r="176" ht="15.75" customHeight="1" s="35">
      <c r="A176" s="3" t="n"/>
      <c r="B176" s="3" t="n"/>
      <c r="C176" s="3" t="n"/>
      <c r="D176" s="3" t="n"/>
      <c r="E176" s="3" t="n"/>
    </row>
    <row r="177" ht="15.75" customHeight="1" s="35">
      <c r="A177" s="3" t="n"/>
      <c r="B177" s="3" t="n"/>
      <c r="C177" s="3" t="n"/>
      <c r="D177" s="3" t="n"/>
      <c r="E177" s="3" t="n"/>
    </row>
    <row r="178" ht="15.75" customHeight="1" s="35">
      <c r="A178" s="3" t="n"/>
      <c r="B178" s="3" t="n"/>
      <c r="C178" s="3" t="n"/>
      <c r="D178" s="3" t="n"/>
      <c r="E178" s="3" t="n"/>
    </row>
    <row r="179" ht="15.75" customHeight="1" s="35">
      <c r="A179" s="3" t="n"/>
      <c r="B179" s="3" t="n"/>
      <c r="C179" s="3" t="n"/>
      <c r="D179" s="3" t="n"/>
      <c r="E179" s="3" t="n"/>
    </row>
    <row r="180" ht="15.75" customHeight="1" s="35">
      <c r="A180" s="3" t="n"/>
      <c r="B180" s="3" t="n"/>
      <c r="C180" s="3" t="n"/>
      <c r="D180" s="3" t="n"/>
      <c r="E180" s="3" t="n"/>
    </row>
    <row r="181" ht="15.75" customHeight="1" s="35">
      <c r="A181" s="3" t="n"/>
      <c r="B181" s="3" t="n"/>
      <c r="C181" s="3" t="n"/>
      <c r="D181" s="3" t="n"/>
      <c r="E181" s="3" t="n"/>
    </row>
    <row r="182" ht="15.75" customHeight="1" s="35">
      <c r="A182" s="3" t="n"/>
      <c r="B182" s="3" t="n"/>
      <c r="C182" s="3" t="n"/>
      <c r="D182" s="3" t="n"/>
      <c r="E182" s="3" t="n"/>
    </row>
    <row r="183" ht="15.75" customHeight="1" s="35">
      <c r="A183" s="3" t="n"/>
      <c r="B183" s="3" t="n"/>
      <c r="C183" s="3" t="n"/>
      <c r="D183" s="3" t="n"/>
      <c r="E183" s="3" t="n"/>
    </row>
    <row r="184" ht="15.75" customHeight="1" s="35">
      <c r="A184" s="3" t="n"/>
      <c r="B184" s="3" t="n"/>
      <c r="C184" s="3" t="n"/>
      <c r="D184" s="3" t="n"/>
      <c r="E184" s="3" t="n"/>
    </row>
    <row r="185" ht="15.75" customHeight="1" s="35">
      <c r="A185" s="3" t="n"/>
      <c r="B185" s="3" t="n"/>
      <c r="C185" s="3" t="n"/>
      <c r="D185" s="3" t="n"/>
      <c r="E185" s="3" t="n"/>
    </row>
    <row r="186" ht="15.75" customHeight="1" s="35">
      <c r="A186" s="3" t="n"/>
      <c r="B186" s="3" t="n"/>
      <c r="C186" s="3" t="n"/>
      <c r="D186" s="3" t="n"/>
      <c r="E186" s="3" t="n"/>
    </row>
    <row r="187" ht="15.75" customHeight="1" s="35">
      <c r="A187" s="3" t="n"/>
      <c r="B187" s="3" t="n"/>
      <c r="C187" s="3" t="n"/>
      <c r="D187" s="3" t="n"/>
      <c r="E187" s="3" t="n"/>
    </row>
    <row r="188" ht="15.75" customHeight="1" s="35">
      <c r="A188" s="3" t="n"/>
      <c r="B188" s="3" t="n"/>
      <c r="C188" s="3" t="n"/>
      <c r="D188" s="3" t="n"/>
      <c r="E188" s="3" t="n"/>
    </row>
    <row r="189" ht="15.75" customHeight="1" s="35">
      <c r="A189" s="3" t="n"/>
      <c r="B189" s="3" t="n"/>
      <c r="C189" s="3" t="n"/>
      <c r="D189" s="3" t="n"/>
      <c r="E189" s="3" t="n"/>
    </row>
    <row r="190" ht="15.75" customHeight="1" s="35">
      <c r="A190" s="3" t="n"/>
      <c r="B190" s="3" t="n"/>
      <c r="C190" s="3" t="n"/>
      <c r="D190" s="3" t="n"/>
      <c r="E190" s="3" t="n"/>
    </row>
    <row r="191" ht="15.75" customHeight="1" s="35">
      <c r="A191" s="3" t="n"/>
      <c r="B191" s="3" t="n"/>
      <c r="C191" s="3" t="n"/>
      <c r="D191" s="3" t="n"/>
      <c r="E191" s="3" t="n"/>
    </row>
    <row r="192" ht="15.75" customHeight="1" s="35">
      <c r="A192" s="3" t="n"/>
      <c r="B192" s="3" t="n"/>
      <c r="C192" s="3" t="n"/>
      <c r="D192" s="3" t="n"/>
      <c r="E192" s="3" t="n"/>
    </row>
    <row r="193" ht="15.75" customHeight="1" s="35">
      <c r="A193" s="3" t="n"/>
      <c r="B193" s="3" t="n"/>
      <c r="C193" s="3" t="n"/>
      <c r="D193" s="3" t="n"/>
      <c r="E193" s="3" t="n"/>
    </row>
    <row r="194" ht="15.75" customHeight="1" s="35">
      <c r="A194" s="3" t="n"/>
      <c r="B194" s="3" t="n"/>
      <c r="C194" s="3" t="n"/>
      <c r="D194" s="3" t="n"/>
      <c r="E194" s="3" t="n"/>
    </row>
    <row r="195" ht="15.75" customHeight="1" s="35">
      <c r="A195" s="3" t="n"/>
      <c r="B195" s="3" t="n"/>
      <c r="C195" s="3" t="n"/>
      <c r="D195" s="3" t="n"/>
      <c r="E195" s="3" t="n"/>
    </row>
    <row r="196" ht="15.75" customHeight="1" s="35">
      <c r="A196" s="3" t="n"/>
      <c r="B196" s="3" t="n"/>
      <c r="C196" s="3" t="n"/>
      <c r="D196" s="3" t="n"/>
      <c r="E196" s="3" t="n"/>
    </row>
    <row r="197" ht="15.75" customHeight="1" s="35">
      <c r="A197" s="3" t="n"/>
      <c r="B197" s="3" t="n"/>
      <c r="C197" s="3" t="n"/>
      <c r="D197" s="3" t="n"/>
      <c r="E197" s="3" t="n"/>
    </row>
    <row r="198" ht="15.75" customHeight="1" s="35">
      <c r="A198" s="3" t="n"/>
      <c r="B198" s="3" t="n"/>
      <c r="C198" s="3" t="n"/>
      <c r="D198" s="3" t="n"/>
      <c r="E198" s="3" t="n"/>
    </row>
    <row r="199" ht="15.75" customHeight="1" s="35">
      <c r="A199" s="3" t="n"/>
      <c r="B199" s="3" t="n"/>
      <c r="C199" s="3" t="n"/>
      <c r="D199" s="3" t="n"/>
      <c r="E199" s="3" t="n"/>
    </row>
    <row r="200" ht="15.75" customHeight="1" s="35">
      <c r="A200" s="3" t="n"/>
      <c r="B200" s="3" t="n"/>
      <c r="C200" s="3" t="n"/>
      <c r="D200" s="3" t="n"/>
      <c r="E200" s="3" t="n"/>
    </row>
    <row r="201" ht="15.75" customHeight="1" s="35">
      <c r="A201" s="3" t="n"/>
      <c r="B201" s="3" t="n"/>
      <c r="C201" s="3" t="n"/>
      <c r="D201" s="3" t="n"/>
      <c r="E201" s="3" t="n"/>
    </row>
    <row r="202" ht="15.75" customHeight="1" s="35">
      <c r="A202" s="3" t="n"/>
      <c r="B202" s="3" t="n"/>
      <c r="C202" s="3" t="n"/>
      <c r="D202" s="3" t="n"/>
      <c r="E202" s="3" t="n"/>
    </row>
    <row r="203" ht="15.75" customHeight="1" s="35">
      <c r="A203" s="3" t="n"/>
      <c r="B203" s="3" t="n"/>
      <c r="C203" s="3" t="n"/>
      <c r="D203" s="3" t="n"/>
      <c r="E203" s="3" t="n"/>
    </row>
    <row r="204" ht="15.75" customHeight="1" s="35">
      <c r="A204" s="3" t="n"/>
      <c r="B204" s="3" t="n"/>
      <c r="C204" s="3" t="n"/>
      <c r="D204" s="3" t="n"/>
      <c r="E204" s="3" t="n"/>
    </row>
    <row r="205" ht="15.75" customHeight="1" s="35">
      <c r="A205" s="3" t="n"/>
      <c r="B205" s="3" t="n"/>
      <c r="C205" s="3" t="n"/>
      <c r="D205" s="3" t="n"/>
      <c r="E205" s="3" t="n"/>
    </row>
    <row r="206" ht="15.75" customHeight="1" s="35">
      <c r="A206" s="3" t="n"/>
      <c r="B206" s="3" t="n"/>
      <c r="C206" s="3" t="n"/>
      <c r="D206" s="3" t="n"/>
      <c r="E206" s="3" t="n"/>
    </row>
    <row r="207" ht="15.75" customHeight="1" s="35">
      <c r="A207" s="3" t="n"/>
      <c r="B207" s="3" t="n"/>
      <c r="C207" s="3" t="n"/>
      <c r="D207" s="3" t="n"/>
      <c r="E207" s="3" t="n"/>
    </row>
    <row r="208" ht="15.75" customHeight="1" s="35">
      <c r="A208" s="3" t="n"/>
      <c r="B208" s="3" t="n"/>
      <c r="C208" s="3" t="n"/>
      <c r="D208" s="3" t="n"/>
      <c r="E208" s="3" t="n"/>
    </row>
    <row r="209" ht="15.75" customHeight="1" s="35">
      <c r="A209" s="3" t="n"/>
      <c r="B209" s="3" t="n"/>
      <c r="C209" s="3" t="n"/>
      <c r="D209" s="3" t="n"/>
      <c r="E209" s="3" t="n"/>
    </row>
    <row r="210" ht="15.75" customHeight="1" s="35">
      <c r="A210" s="3" t="n"/>
      <c r="B210" s="3" t="n"/>
      <c r="C210" s="3" t="n"/>
      <c r="D210" s="3" t="n"/>
      <c r="E210" s="3" t="n"/>
    </row>
    <row r="211" ht="15.75" customHeight="1" s="35">
      <c r="A211" s="3" t="n"/>
      <c r="B211" s="3" t="n"/>
      <c r="C211" s="3" t="n"/>
      <c r="D211" s="3" t="n"/>
      <c r="E211" s="3" t="n"/>
    </row>
    <row r="212" ht="15.75" customHeight="1" s="35">
      <c r="A212" s="3" t="n"/>
      <c r="B212" s="3" t="n"/>
      <c r="C212" s="3" t="n"/>
      <c r="D212" s="3" t="n"/>
      <c r="E212" s="3" t="n"/>
    </row>
    <row r="213" ht="15.75" customHeight="1" s="35">
      <c r="A213" s="3" t="n"/>
      <c r="B213" s="3" t="n"/>
      <c r="C213" s="3" t="n"/>
      <c r="D213" s="3" t="n"/>
      <c r="E213" s="3" t="n"/>
    </row>
    <row r="214" ht="15.75" customHeight="1" s="35">
      <c r="A214" s="3" t="n"/>
      <c r="B214" s="3" t="n"/>
      <c r="C214" s="3" t="n"/>
      <c r="D214" s="3" t="n"/>
      <c r="E214" s="3" t="n"/>
    </row>
    <row r="215" ht="15.75" customHeight="1" s="35">
      <c r="A215" s="3" t="n"/>
      <c r="B215" s="3" t="n"/>
      <c r="C215" s="3" t="n"/>
      <c r="D215" s="3" t="n"/>
      <c r="E215" s="3" t="n"/>
    </row>
    <row r="216" ht="15.75" customHeight="1" s="35">
      <c r="A216" s="3" t="n"/>
      <c r="B216" s="3" t="n"/>
      <c r="C216" s="3" t="n"/>
      <c r="D216" s="3" t="n"/>
      <c r="E216" s="3" t="n"/>
    </row>
    <row r="217" ht="15.75" customHeight="1" s="35">
      <c r="A217" s="3" t="n"/>
      <c r="B217" s="3" t="n"/>
      <c r="C217" s="3" t="n"/>
      <c r="D217" s="3" t="n"/>
      <c r="E217" s="3" t="n"/>
    </row>
    <row r="218" ht="15.75" customHeight="1" s="35">
      <c r="A218" s="3" t="n"/>
      <c r="B218" s="3" t="n"/>
      <c r="C218" s="3" t="n"/>
      <c r="D218" s="3" t="n"/>
      <c r="E218" s="3" t="n"/>
    </row>
    <row r="219" ht="15.75" customHeight="1" s="35">
      <c r="A219" s="3" t="n"/>
      <c r="B219" s="3" t="n"/>
      <c r="C219" s="3" t="n"/>
      <c r="D219" s="3" t="n"/>
      <c r="E219" s="3" t="n"/>
    </row>
    <row r="220" ht="15.75" customHeight="1" s="35">
      <c r="A220" s="3" t="n"/>
      <c r="B220" s="3" t="n"/>
      <c r="C220" s="3" t="n"/>
      <c r="D220" s="3" t="n"/>
      <c r="E220" s="3" t="n"/>
    </row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E2"/>
    <mergeCell ref="A1:E1"/>
  </mergeCells>
  <conditionalFormatting sqref="E5:E16">
    <cfRule type="cellIs" priority="1" operator="equal" dxfId="0">
      <formula>"No"</formula>
    </cfRule>
  </conditionalFormatting>
  <dataValidations count="1">
    <dataValidation sqref="E5:E16" showDropDown="0" showInputMessage="0" showErrorMessage="0" allowBlank="1" type="list">
      <formula1>"Sí,No"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5" min="1" max="1"/>
    <col width="38" customWidth="1" style="35" min="2" max="2"/>
    <col width="78" customWidth="1" style="35" min="3" max="3"/>
    <col width="8.710000000000001" customWidth="1" style="35" min="4" max="6"/>
  </cols>
  <sheetData>
    <row r="1" ht="25.5" customHeight="1" s="35">
      <c r="A1" s="1" t="inlineStr">
        <is>
          <t>Protocolo de extracción de datos del sistema</t>
        </is>
      </c>
    </row>
    <row r="2" ht="30" customHeight="1" s="35">
      <c r="A2" s="2" t="inlineStr">
        <is>
          <t>Solo si su indicador proviene del sistema o de registros institucionales. Congelar la consulta es lo que hace reproducible el postest.</t>
        </is>
      </c>
    </row>
    <row r="3">
      <c r="A3" s="3" t="n"/>
      <c r="B3" s="3" t="n"/>
      <c r="C3" s="3" t="n"/>
    </row>
    <row r="4" ht="31.5" customHeight="1" s="35">
      <c r="A4" s="4" t="inlineStr">
        <is>
          <t>N.°</t>
        </is>
      </c>
      <c r="B4" s="4" t="inlineStr">
        <is>
          <t>Elemento</t>
        </is>
      </c>
      <c r="C4" s="4" t="inlineStr">
        <is>
          <t>Registro</t>
        </is>
      </c>
    </row>
    <row r="5" ht="31.5" customHeight="1" s="35">
      <c r="A5" s="46" t="n">
        <v>1</v>
      </c>
      <c r="B5" s="5" t="inlineStr">
        <is>
          <t>Nombre del archivo donde se guardó la consulta</t>
        </is>
      </c>
      <c r="C5" s="39" t="inlineStr">
        <is>
          <t>pretest_extraccion_v1.sql (se guarda en el repositorio del proyecto y en la carpeta de evidencias; no se modifica después de usarla).</t>
        </is>
      </c>
    </row>
    <row r="6" ht="31.5" customHeight="1" s="35">
      <c r="A6" s="47" t="n">
        <v>2</v>
      </c>
      <c r="B6" s="7" t="inlineStr">
        <is>
          <t>Consulta, script o secuencia exacta de filtros</t>
        </is>
      </c>
      <c r="C6" s="39" t="inlineStr">
        <is>
          <t>SELECT p.codigo, p.grupo, p.edad, p.zona, p.frec_sem, p.red, r.sus01, …, r.sus10, r.tam01, …, r.tam08, t.t1_seg, t.t1_clics, t.t2_seg, t.t2_clics, r.created_at::date AS fecha_digit FROM thesis_participantes p JOIN thesis_respuestas r ON r.participante_id = p.id AND r.momento = 'pretest' JOIN thesis_tareas t ON t.participante_id = p.id AND t.momento = 'pretest' WHERE p.consentimiento = TRUE AND r.created_at BETWEEN '2026-10-12 00:00' AND '2026-10-17 23:59' ORDER BY p.codigo;  (archivo congelado: pretest_extraccion_v1.sql, hash SHA-256 registrado en la bitácora)</t>
        </is>
      </c>
    </row>
    <row r="7" ht="33" customHeight="1" s="35">
      <c r="A7" s="46" t="n">
        <v>3</v>
      </c>
      <c r="B7" s="5" t="inlineStr">
        <is>
          <t>Sistema o base de datos de origen</t>
        </is>
      </c>
      <c r="C7" s="38" t="inlineStr">
        <is>
          <t>PostgreSQL (Supabase): tablas thesis_* del microservicio Thesis (participantes, tareas, tiempos y respuestas del SUS y de satisfacción). Clics del pretest: contador instalado en el portal tudiariohuanuco.pe.</t>
        </is>
      </c>
    </row>
    <row r="8" ht="31.5" customHeight="1" s="35">
      <c r="A8" s="47" t="n">
        <v>4</v>
      </c>
      <c r="B8" s="7" t="inlineStr">
        <is>
          <t>Versión o release del módulo</t>
        </is>
      </c>
      <c r="C8" s="39" t="inlineStr">
        <is>
          <t>Etiqueta v1.3.2 del repositorio (vigente del 12 al 17/10/2026 para el pretest); la versión de la intervención se congeló el 18/10/2026 como v1.0.0-frozen-2026-10-18.</t>
        </is>
      </c>
    </row>
    <row r="9" ht="31.5" customHeight="1" s="35">
      <c r="A9" s="46" t="n">
        <v>5</v>
      </c>
      <c r="B9" s="5" t="inlineStr">
        <is>
          <t>Fecha y hora de corte de la extracción</t>
        </is>
      </c>
      <c r="C9" s="39" t="inlineStr">
        <is>
          <t>18/10/2026, 09:00 (hora de Lima), al día siguiente del cierre del pretest.</t>
        </is>
      </c>
    </row>
    <row r="10" ht="33" customHeight="1" s="35">
      <c r="A10" s="47" t="n">
        <v>6</v>
      </c>
      <c r="B10" s="7" t="inlineStr">
        <is>
          <t>Ventana temporal cubierta (fecha inicio – fecha fin)</t>
        </is>
      </c>
      <c r="C10" s="38" t="inlineStr">
        <is>
          <t>12/10/2026 – 17/10/2026 (ventana del pretest; cuaderno de la Sesión 01, hoja 3, actividad 9).</t>
        </is>
      </c>
    </row>
    <row r="11" ht="31.5" customHeight="1" s="35">
      <c r="A11" s="46" t="n">
        <v>7</v>
      </c>
      <c r="B11" s="5" t="inlineStr">
        <is>
          <t>Número de días hábiles incluidos</t>
        </is>
      </c>
      <c r="C11" s="38" t="inlineStr">
        <is>
          <t>6 días corridos (del lunes 12 al sábado 17/10/2026), de los cuales 5 son hábiles (12, 13, 14, 15 y 16/10/2026).</t>
        </is>
      </c>
    </row>
    <row r="12" ht="31.5" customHeight="1" s="35">
      <c r="A12" s="47" t="n">
        <v>8</v>
      </c>
      <c r="B12" s="7" t="inlineStr">
        <is>
          <t>Momento del ciclo (inicio / quincena / fin de mes)</t>
        </is>
      </c>
      <c r="C12" s="38" t="inlineStr">
        <is>
          <t>Semana del 12 al 17 de octubre: semana ordinaria, sin feriados ni campañas especiales del diario.</t>
        </is>
      </c>
    </row>
    <row r="13" ht="46.5" customHeight="1" s="35">
      <c r="A13" s="46" t="n">
        <v>9</v>
      </c>
      <c r="B13" s="5" t="inlineStr">
        <is>
          <t>Criterios de inclusión aplicados en el filtro</t>
        </is>
      </c>
      <c r="C13" s="38" t="inlineStr">
        <is>
          <t>Participantes con consentimiento aceptado que cumplen los criterios de inclusión: mayores de 18 años, leen el portal más de 2 veces por semana, acceden habitualmente desde dispositivos móviles.</t>
        </is>
      </c>
    </row>
    <row r="14" ht="46.5" customHeight="1" s="35">
      <c r="A14" s="47" t="n">
        <v>10</v>
      </c>
      <c r="B14" s="7" t="inlineStr">
        <is>
          <t>Criterios de exclusión aplicados en el filtro</t>
        </is>
      </c>
      <c r="C14" s="38" t="inlineStr">
        <is>
          <t>Personal técnico, administrativo o de redacción del diario; personas con discapacidad cognitiva o visual severa que les impida completar las tareas; registros de participantes que se retiraron.</t>
        </is>
      </c>
    </row>
    <row r="15" ht="31.5" customHeight="1" s="35">
      <c r="A15" s="46" t="n">
        <v>11</v>
      </c>
      <c r="B15" s="5" t="inlineStr">
        <is>
          <t>Unidad de medida del indicador</t>
        </is>
      </c>
      <c r="C15" s="38" t="inlineStr">
        <is>
          <t>Tiempo de búsqueda en segundos; número de clics (unidades); SUS de 0 a 100; satisfacción de 8 a 40.</t>
        </is>
      </c>
    </row>
    <row r="16" ht="31.5" customHeight="1" s="35">
      <c r="A16" s="47" t="n">
        <v>12</v>
      </c>
      <c r="B16" s="7" t="inlineStr">
        <is>
          <t>Número de registros obtenidos</t>
        </is>
      </c>
      <c r="C16" s="39" t="inlineStr">
        <is>
          <t>114 registros en la base cruda (coincide con el libro de códigos: 114 participantes con pretest). Tras la depuración quedan 108 (ver bitácora, Sesión 03).</t>
        </is>
      </c>
    </row>
    <row r="17" ht="31.5" customHeight="1" s="35">
      <c r="A17" s="46" t="n">
        <v>13</v>
      </c>
      <c r="B17" s="5" t="inlineStr">
        <is>
          <t>Evidencia archivada (captura con fecha visible)</t>
        </is>
      </c>
      <c r="C17" s="39" t="inlineStr">
        <is>
          <t>Captura captura_extraccion_pretest_2026-10-18.png con la fecha y la hora visibles, archivada en la carpeta de evidencias.</t>
        </is>
      </c>
    </row>
    <row r="18" ht="31.5" customHeight="1" s="35">
      <c r="A18" s="47" t="n">
        <v>14</v>
      </c>
      <c r="B18" s="7" t="inlineStr">
        <is>
          <t>Persona de TI que autorizó o ejecutó el acceso</t>
        </is>
      </c>
      <c r="C18" s="39" t="inlineStr">
        <is>
          <t>Ejecuta: Marcel Alexander Javier Trujillo Ávila (desarrollador del sistema). Autoriza: Gerencia de Tu Diario Huánuco (carta de autorización del 10/07/2026).</t>
        </is>
      </c>
    </row>
    <row r="19">
      <c r="A19" s="3" t="n"/>
      <c r="B19" s="3" t="n"/>
      <c r="C19" s="3" t="n"/>
    </row>
    <row r="20" ht="45.75" customHeight="1" s="35">
      <c r="A20" s="3" t="n"/>
      <c r="B20" s="14" t="inlineStr">
        <is>
          <t>Advertencia sobre estacionalidad</t>
        </is>
      </c>
      <c r="C20" s="20" t="inlineStr">
        <is>
          <t>Comparar una semana de fin de mes o de campaña con una semana ordinaria produce diferencias que nada tienen que ver con el sistema. La ventana del postest debe ser equivalente en carga y momento del ciclo.</t>
        </is>
      </c>
    </row>
    <row r="21" ht="15.75" customHeight="1" s="35">
      <c r="A21" s="3" t="n"/>
      <c r="B21" s="3" t="n"/>
      <c r="C21" s="3" t="n"/>
    </row>
    <row r="22" ht="15.75" customHeight="1" s="35">
      <c r="A22" s="3" t="n"/>
      <c r="B22" s="3" t="n"/>
      <c r="C22" s="3" t="n"/>
    </row>
    <row r="23" ht="15.75" customHeight="1" s="35">
      <c r="A23" s="3" t="n"/>
      <c r="B23" s="3" t="n"/>
      <c r="C23" s="3" t="n"/>
    </row>
    <row r="24" ht="15.75" customHeight="1" s="35">
      <c r="A24" s="3" t="n"/>
      <c r="B24" s="3" t="n"/>
      <c r="C24" s="3" t="n"/>
    </row>
    <row r="25" ht="15.75" customHeight="1" s="35">
      <c r="A25" s="3" t="n"/>
      <c r="B25" s="3" t="n"/>
      <c r="C25" s="3" t="n"/>
    </row>
    <row r="26" ht="15.75" customHeight="1" s="35">
      <c r="A26" s="3" t="n"/>
      <c r="B26" s="3" t="n"/>
      <c r="C26" s="3" t="n"/>
    </row>
    <row r="27" ht="15.75" customHeight="1" s="35">
      <c r="A27" s="3" t="n"/>
      <c r="B27" s="3" t="n"/>
      <c r="C27" s="3" t="n"/>
    </row>
    <row r="28" ht="15.75" customHeight="1" s="35">
      <c r="A28" s="3" t="n"/>
      <c r="B28" s="3" t="n"/>
      <c r="C28" s="3" t="n"/>
    </row>
    <row r="29" ht="15.75" customHeight="1" s="35">
      <c r="A29" s="3" t="n"/>
      <c r="B29" s="3" t="n"/>
      <c r="C29" s="3" t="n"/>
    </row>
    <row r="30" ht="15.75" customHeight="1" s="35">
      <c r="A30" s="3" t="n"/>
      <c r="B30" s="3" t="n"/>
      <c r="C30" s="3" t="n"/>
    </row>
    <row r="31" ht="15.75" customHeight="1" s="35">
      <c r="A31" s="3" t="n"/>
      <c r="B31" s="3" t="n"/>
      <c r="C31" s="3" t="n"/>
    </row>
    <row r="32" ht="15.75" customHeight="1" s="35">
      <c r="A32" s="3" t="n"/>
      <c r="B32" s="3" t="n"/>
      <c r="C32" s="3" t="n"/>
    </row>
    <row r="33" ht="15.75" customHeight="1" s="35">
      <c r="A33" s="3" t="n"/>
      <c r="B33" s="3" t="n"/>
      <c r="C33" s="3" t="n"/>
    </row>
    <row r="34" ht="15.75" customHeight="1" s="35">
      <c r="A34" s="3" t="n"/>
      <c r="B34" s="3" t="n"/>
      <c r="C34" s="3" t="n"/>
    </row>
    <row r="35" ht="15.75" customHeight="1" s="35">
      <c r="A35" s="3" t="n"/>
      <c r="B35" s="3" t="n"/>
      <c r="C35" s="3" t="n"/>
    </row>
    <row r="36" ht="15.75" customHeight="1" s="35">
      <c r="A36" s="3" t="n"/>
      <c r="B36" s="3" t="n"/>
      <c r="C36" s="3" t="n"/>
    </row>
    <row r="37" ht="15.75" customHeight="1" s="35">
      <c r="A37" s="3" t="n"/>
      <c r="B37" s="3" t="n"/>
      <c r="C37" s="3" t="n"/>
    </row>
    <row r="38" ht="15.75" customHeight="1" s="35">
      <c r="A38" s="3" t="n"/>
      <c r="B38" s="3" t="n"/>
      <c r="C38" s="3" t="n"/>
    </row>
    <row r="39" ht="15.75" customHeight="1" s="35">
      <c r="A39" s="3" t="n"/>
      <c r="B39" s="3" t="n"/>
      <c r="C39" s="3" t="n"/>
    </row>
    <row r="40" ht="15.75" customHeight="1" s="35">
      <c r="A40" s="3" t="n"/>
      <c r="B40" s="3" t="n"/>
      <c r="C40" s="3" t="n"/>
    </row>
    <row r="41" ht="15.75" customHeight="1" s="35">
      <c r="A41" s="3" t="n"/>
      <c r="B41" s="3" t="n"/>
      <c r="C41" s="3" t="n"/>
    </row>
    <row r="42" ht="15.75" customHeight="1" s="35">
      <c r="A42" s="3" t="n"/>
      <c r="B42" s="3" t="n"/>
      <c r="C42" s="3" t="n"/>
    </row>
    <row r="43" ht="15.75" customHeight="1" s="35">
      <c r="A43" s="3" t="n"/>
      <c r="B43" s="3" t="n"/>
      <c r="C43" s="3" t="n"/>
    </row>
    <row r="44" ht="15.75" customHeight="1" s="35">
      <c r="A44" s="3" t="n"/>
      <c r="B44" s="3" t="n"/>
      <c r="C44" s="3" t="n"/>
    </row>
    <row r="45" ht="15.75" customHeight="1" s="35">
      <c r="A45" s="3" t="n"/>
      <c r="B45" s="3" t="n"/>
      <c r="C45" s="3" t="n"/>
    </row>
    <row r="46" ht="15.75" customHeight="1" s="35">
      <c r="A46" s="3" t="n"/>
      <c r="B46" s="3" t="n"/>
      <c r="C46" s="3" t="n"/>
    </row>
    <row r="47" ht="15.75" customHeight="1" s="35">
      <c r="A47" s="3" t="n"/>
      <c r="B47" s="3" t="n"/>
      <c r="C47" s="3" t="n"/>
    </row>
    <row r="48" ht="15.75" customHeight="1" s="35">
      <c r="A48" s="3" t="n"/>
      <c r="B48" s="3" t="n"/>
      <c r="C48" s="3" t="n"/>
    </row>
    <row r="49" ht="15.75" customHeight="1" s="35">
      <c r="A49" s="3" t="n"/>
      <c r="B49" s="3" t="n"/>
      <c r="C49" s="3" t="n"/>
    </row>
    <row r="50" ht="15.75" customHeight="1" s="35">
      <c r="A50" s="3" t="n"/>
      <c r="B50" s="3" t="n"/>
      <c r="C50" s="3" t="n"/>
    </row>
    <row r="51" ht="15.75" customHeight="1" s="35">
      <c r="A51" s="3" t="n"/>
      <c r="B51" s="3" t="n"/>
      <c r="C51" s="3" t="n"/>
    </row>
    <row r="52" ht="15.75" customHeight="1" s="35">
      <c r="A52" s="3" t="n"/>
      <c r="B52" s="3" t="n"/>
      <c r="C52" s="3" t="n"/>
    </row>
    <row r="53" ht="15.75" customHeight="1" s="35">
      <c r="A53" s="3" t="n"/>
      <c r="B53" s="3" t="n"/>
      <c r="C53" s="3" t="n"/>
    </row>
    <row r="54" ht="15.75" customHeight="1" s="35">
      <c r="A54" s="3" t="n"/>
      <c r="B54" s="3" t="n"/>
      <c r="C54" s="3" t="n"/>
    </row>
    <row r="55" ht="15.75" customHeight="1" s="35">
      <c r="A55" s="3" t="n"/>
      <c r="B55" s="3" t="n"/>
      <c r="C55" s="3" t="n"/>
    </row>
    <row r="56" ht="15.75" customHeight="1" s="35">
      <c r="A56" s="3" t="n"/>
      <c r="B56" s="3" t="n"/>
      <c r="C56" s="3" t="n"/>
    </row>
    <row r="57" ht="15.75" customHeight="1" s="35">
      <c r="A57" s="3" t="n"/>
      <c r="B57" s="3" t="n"/>
      <c r="C57" s="3" t="n"/>
    </row>
    <row r="58" ht="15.75" customHeight="1" s="35">
      <c r="A58" s="3" t="n"/>
      <c r="B58" s="3" t="n"/>
      <c r="C58" s="3" t="n"/>
    </row>
    <row r="59" ht="15.75" customHeight="1" s="35">
      <c r="A59" s="3" t="n"/>
      <c r="B59" s="3" t="n"/>
      <c r="C59" s="3" t="n"/>
    </row>
    <row r="60" ht="15.75" customHeight="1" s="35">
      <c r="A60" s="3" t="n"/>
      <c r="B60" s="3" t="n"/>
      <c r="C60" s="3" t="n"/>
    </row>
    <row r="61" ht="15.75" customHeight="1" s="35">
      <c r="A61" s="3" t="n"/>
      <c r="B61" s="3" t="n"/>
      <c r="C61" s="3" t="n"/>
    </row>
    <row r="62" ht="15.75" customHeight="1" s="35">
      <c r="A62" s="3" t="n"/>
      <c r="B62" s="3" t="n"/>
      <c r="C62" s="3" t="n"/>
    </row>
    <row r="63" ht="15.75" customHeight="1" s="35">
      <c r="A63" s="3" t="n"/>
      <c r="B63" s="3" t="n"/>
      <c r="C63" s="3" t="n"/>
    </row>
    <row r="64" ht="15.75" customHeight="1" s="35">
      <c r="A64" s="3" t="n"/>
      <c r="B64" s="3" t="n"/>
      <c r="C64" s="3" t="n"/>
    </row>
    <row r="65" ht="15.75" customHeight="1" s="35">
      <c r="A65" s="3" t="n"/>
      <c r="B65" s="3" t="n"/>
      <c r="C65" s="3" t="n"/>
    </row>
    <row r="66" ht="15.75" customHeight="1" s="35">
      <c r="A66" s="3" t="n"/>
      <c r="B66" s="3" t="n"/>
      <c r="C66" s="3" t="n"/>
    </row>
    <row r="67" ht="15.75" customHeight="1" s="35">
      <c r="A67" s="3" t="n"/>
      <c r="B67" s="3" t="n"/>
      <c r="C67" s="3" t="n"/>
    </row>
    <row r="68" ht="15.75" customHeight="1" s="35">
      <c r="A68" s="3" t="n"/>
      <c r="B68" s="3" t="n"/>
      <c r="C68" s="3" t="n"/>
    </row>
    <row r="69" ht="15.75" customHeight="1" s="35">
      <c r="A69" s="3" t="n"/>
      <c r="B69" s="3" t="n"/>
      <c r="C69" s="3" t="n"/>
    </row>
    <row r="70" ht="15.75" customHeight="1" s="35">
      <c r="A70" s="3" t="n"/>
      <c r="B70" s="3" t="n"/>
      <c r="C70" s="3" t="n"/>
    </row>
    <row r="71" ht="15.75" customHeight="1" s="35">
      <c r="A71" s="3" t="n"/>
      <c r="B71" s="3" t="n"/>
      <c r="C71" s="3" t="n"/>
    </row>
    <row r="72" ht="15.75" customHeight="1" s="35">
      <c r="A72" s="3" t="n"/>
      <c r="B72" s="3" t="n"/>
      <c r="C72" s="3" t="n"/>
    </row>
    <row r="73" ht="15.75" customHeight="1" s="35">
      <c r="A73" s="3" t="n"/>
      <c r="B73" s="3" t="n"/>
      <c r="C73" s="3" t="n"/>
    </row>
    <row r="74" ht="15.75" customHeight="1" s="35">
      <c r="A74" s="3" t="n"/>
      <c r="B74" s="3" t="n"/>
      <c r="C74" s="3" t="n"/>
    </row>
    <row r="75" ht="15.75" customHeight="1" s="35">
      <c r="A75" s="3" t="n"/>
      <c r="B75" s="3" t="n"/>
      <c r="C75" s="3" t="n"/>
    </row>
    <row r="76" ht="15.75" customHeight="1" s="35">
      <c r="A76" s="3" t="n"/>
      <c r="B76" s="3" t="n"/>
      <c r="C76" s="3" t="n"/>
    </row>
    <row r="77" ht="15.75" customHeight="1" s="35">
      <c r="A77" s="3" t="n"/>
      <c r="B77" s="3" t="n"/>
      <c r="C77" s="3" t="n"/>
    </row>
    <row r="78" ht="15.75" customHeight="1" s="35">
      <c r="A78" s="3" t="n"/>
      <c r="B78" s="3" t="n"/>
      <c r="C78" s="3" t="n"/>
    </row>
    <row r="79" ht="15.75" customHeight="1" s="35">
      <c r="A79" s="3" t="n"/>
      <c r="B79" s="3" t="n"/>
      <c r="C79" s="3" t="n"/>
    </row>
    <row r="80" ht="15.75" customHeight="1" s="35">
      <c r="A80" s="3" t="n"/>
      <c r="B80" s="3" t="n"/>
      <c r="C80" s="3" t="n"/>
    </row>
    <row r="81" ht="15.75" customHeight="1" s="35">
      <c r="A81" s="3" t="n"/>
      <c r="B81" s="3" t="n"/>
      <c r="C81" s="3" t="n"/>
    </row>
    <row r="82" ht="15.75" customHeight="1" s="35">
      <c r="A82" s="3" t="n"/>
      <c r="B82" s="3" t="n"/>
      <c r="C82" s="3" t="n"/>
    </row>
    <row r="83" ht="15.75" customHeight="1" s="35">
      <c r="A83" s="3" t="n"/>
      <c r="B83" s="3" t="n"/>
      <c r="C83" s="3" t="n"/>
    </row>
    <row r="84" ht="15.75" customHeight="1" s="35">
      <c r="A84" s="3" t="n"/>
      <c r="B84" s="3" t="n"/>
      <c r="C84" s="3" t="n"/>
    </row>
    <row r="85" ht="15.75" customHeight="1" s="35">
      <c r="A85" s="3" t="n"/>
      <c r="B85" s="3" t="n"/>
      <c r="C85" s="3" t="n"/>
    </row>
    <row r="86" ht="15.75" customHeight="1" s="35">
      <c r="A86" s="3" t="n"/>
      <c r="B86" s="3" t="n"/>
      <c r="C86" s="3" t="n"/>
    </row>
    <row r="87" ht="15.75" customHeight="1" s="35">
      <c r="A87" s="3" t="n"/>
      <c r="B87" s="3" t="n"/>
      <c r="C87" s="3" t="n"/>
    </row>
    <row r="88" ht="15.75" customHeight="1" s="35">
      <c r="A88" s="3" t="n"/>
      <c r="B88" s="3" t="n"/>
      <c r="C88" s="3" t="n"/>
    </row>
    <row r="89" ht="15.75" customHeight="1" s="35">
      <c r="A89" s="3" t="n"/>
      <c r="B89" s="3" t="n"/>
      <c r="C89" s="3" t="n"/>
    </row>
    <row r="90" ht="15.75" customHeight="1" s="35">
      <c r="A90" s="3" t="n"/>
      <c r="B90" s="3" t="n"/>
      <c r="C90" s="3" t="n"/>
    </row>
    <row r="91" ht="15.75" customHeight="1" s="35">
      <c r="A91" s="3" t="n"/>
      <c r="B91" s="3" t="n"/>
      <c r="C91" s="3" t="n"/>
    </row>
    <row r="92" ht="15.75" customHeight="1" s="35">
      <c r="A92" s="3" t="n"/>
      <c r="B92" s="3" t="n"/>
      <c r="C92" s="3" t="n"/>
    </row>
    <row r="93" ht="15.75" customHeight="1" s="35">
      <c r="A93" s="3" t="n"/>
      <c r="B93" s="3" t="n"/>
      <c r="C93" s="3" t="n"/>
    </row>
    <row r="94" ht="15.75" customHeight="1" s="35">
      <c r="A94" s="3" t="n"/>
      <c r="B94" s="3" t="n"/>
      <c r="C94" s="3" t="n"/>
    </row>
    <row r="95" ht="15.75" customHeight="1" s="35">
      <c r="A95" s="3" t="n"/>
      <c r="B95" s="3" t="n"/>
      <c r="C95" s="3" t="n"/>
    </row>
    <row r="96" ht="15.75" customHeight="1" s="35">
      <c r="A96" s="3" t="n"/>
      <c r="B96" s="3" t="n"/>
      <c r="C96" s="3" t="n"/>
    </row>
    <row r="97" ht="15.75" customHeight="1" s="35">
      <c r="A97" s="3" t="n"/>
      <c r="B97" s="3" t="n"/>
      <c r="C97" s="3" t="n"/>
    </row>
    <row r="98" ht="15.75" customHeight="1" s="35">
      <c r="A98" s="3" t="n"/>
      <c r="B98" s="3" t="n"/>
      <c r="C98" s="3" t="n"/>
    </row>
    <row r="99" ht="15.75" customHeight="1" s="35">
      <c r="A99" s="3" t="n"/>
      <c r="B99" s="3" t="n"/>
      <c r="C99" s="3" t="n"/>
    </row>
    <row r="100" ht="15.75" customHeight="1" s="35">
      <c r="A100" s="3" t="n"/>
      <c r="B100" s="3" t="n"/>
      <c r="C100" s="3" t="n"/>
    </row>
    <row r="101" ht="15.75" customHeight="1" s="35">
      <c r="A101" s="3" t="n"/>
      <c r="B101" s="3" t="n"/>
      <c r="C101" s="3" t="n"/>
    </row>
    <row r="102" ht="15.75" customHeight="1" s="35">
      <c r="A102" s="3" t="n"/>
      <c r="B102" s="3" t="n"/>
      <c r="C102" s="3" t="n"/>
    </row>
    <row r="103" ht="15.75" customHeight="1" s="35">
      <c r="A103" s="3" t="n"/>
      <c r="B103" s="3" t="n"/>
      <c r="C103" s="3" t="n"/>
    </row>
    <row r="104" ht="15.75" customHeight="1" s="35">
      <c r="A104" s="3" t="n"/>
      <c r="B104" s="3" t="n"/>
      <c r="C104" s="3" t="n"/>
    </row>
    <row r="105" ht="15.75" customHeight="1" s="35">
      <c r="A105" s="3" t="n"/>
      <c r="B105" s="3" t="n"/>
      <c r="C105" s="3" t="n"/>
    </row>
    <row r="106" ht="15.75" customHeight="1" s="35">
      <c r="A106" s="3" t="n"/>
      <c r="B106" s="3" t="n"/>
      <c r="C106" s="3" t="n"/>
    </row>
    <row r="107" ht="15.75" customHeight="1" s="35">
      <c r="A107" s="3" t="n"/>
      <c r="B107" s="3" t="n"/>
      <c r="C107" s="3" t="n"/>
    </row>
    <row r="108" ht="15.75" customHeight="1" s="35">
      <c r="A108" s="3" t="n"/>
      <c r="B108" s="3" t="n"/>
      <c r="C108" s="3" t="n"/>
    </row>
    <row r="109" ht="15.75" customHeight="1" s="35">
      <c r="A109" s="3" t="n"/>
      <c r="B109" s="3" t="n"/>
      <c r="C109" s="3" t="n"/>
    </row>
    <row r="110" ht="15.75" customHeight="1" s="35">
      <c r="A110" s="3" t="n"/>
      <c r="B110" s="3" t="n"/>
      <c r="C110" s="3" t="n"/>
    </row>
    <row r="111" ht="15.75" customHeight="1" s="35">
      <c r="A111" s="3" t="n"/>
      <c r="B111" s="3" t="n"/>
      <c r="C111" s="3" t="n"/>
    </row>
    <row r="112" ht="15.75" customHeight="1" s="35">
      <c r="A112" s="3" t="n"/>
      <c r="B112" s="3" t="n"/>
      <c r="C112" s="3" t="n"/>
    </row>
    <row r="113" ht="15.75" customHeight="1" s="35">
      <c r="A113" s="3" t="n"/>
      <c r="B113" s="3" t="n"/>
      <c r="C113" s="3" t="n"/>
    </row>
    <row r="114" ht="15.75" customHeight="1" s="35">
      <c r="A114" s="3" t="n"/>
      <c r="B114" s="3" t="n"/>
      <c r="C114" s="3" t="n"/>
    </row>
    <row r="115" ht="15.75" customHeight="1" s="35">
      <c r="A115" s="3" t="n"/>
      <c r="B115" s="3" t="n"/>
      <c r="C115" s="3" t="n"/>
    </row>
    <row r="116" ht="15.75" customHeight="1" s="35">
      <c r="A116" s="3" t="n"/>
      <c r="B116" s="3" t="n"/>
      <c r="C116" s="3" t="n"/>
    </row>
    <row r="117" ht="15.75" customHeight="1" s="35">
      <c r="A117" s="3" t="n"/>
      <c r="B117" s="3" t="n"/>
      <c r="C117" s="3" t="n"/>
    </row>
    <row r="118" ht="15.75" customHeight="1" s="35">
      <c r="A118" s="3" t="n"/>
      <c r="B118" s="3" t="n"/>
      <c r="C118" s="3" t="n"/>
    </row>
    <row r="119" ht="15.75" customHeight="1" s="35">
      <c r="A119" s="3" t="n"/>
      <c r="B119" s="3" t="n"/>
      <c r="C119" s="3" t="n"/>
    </row>
    <row r="120" ht="15.75" customHeight="1" s="35">
      <c r="A120" s="3" t="n"/>
      <c r="B120" s="3" t="n"/>
      <c r="C120" s="3" t="n"/>
    </row>
    <row r="121" ht="15.75" customHeight="1" s="35">
      <c r="A121" s="3" t="n"/>
      <c r="B121" s="3" t="n"/>
      <c r="C121" s="3" t="n"/>
    </row>
    <row r="122" ht="15.75" customHeight="1" s="35">
      <c r="A122" s="3" t="n"/>
      <c r="B122" s="3" t="n"/>
      <c r="C122" s="3" t="n"/>
    </row>
    <row r="123" ht="15.75" customHeight="1" s="35">
      <c r="A123" s="3" t="n"/>
      <c r="B123" s="3" t="n"/>
      <c r="C123" s="3" t="n"/>
    </row>
    <row r="124" ht="15.75" customHeight="1" s="35">
      <c r="A124" s="3" t="n"/>
      <c r="B124" s="3" t="n"/>
      <c r="C124" s="3" t="n"/>
    </row>
    <row r="125" ht="15.75" customHeight="1" s="35">
      <c r="A125" s="3" t="n"/>
      <c r="B125" s="3" t="n"/>
      <c r="C125" s="3" t="n"/>
    </row>
    <row r="126" ht="15.75" customHeight="1" s="35">
      <c r="A126" s="3" t="n"/>
      <c r="B126" s="3" t="n"/>
      <c r="C126" s="3" t="n"/>
    </row>
    <row r="127" ht="15.75" customHeight="1" s="35">
      <c r="A127" s="3" t="n"/>
      <c r="B127" s="3" t="n"/>
      <c r="C127" s="3" t="n"/>
    </row>
    <row r="128" ht="15.75" customHeight="1" s="35">
      <c r="A128" s="3" t="n"/>
      <c r="B128" s="3" t="n"/>
      <c r="C128" s="3" t="n"/>
    </row>
    <row r="129" ht="15.75" customHeight="1" s="35">
      <c r="A129" s="3" t="n"/>
      <c r="B129" s="3" t="n"/>
      <c r="C129" s="3" t="n"/>
    </row>
    <row r="130" ht="15.75" customHeight="1" s="35">
      <c r="A130" s="3" t="n"/>
      <c r="B130" s="3" t="n"/>
      <c r="C130" s="3" t="n"/>
    </row>
    <row r="131" ht="15.75" customHeight="1" s="35">
      <c r="A131" s="3" t="n"/>
      <c r="B131" s="3" t="n"/>
      <c r="C131" s="3" t="n"/>
    </row>
    <row r="132" ht="15.75" customHeight="1" s="35">
      <c r="A132" s="3" t="n"/>
      <c r="B132" s="3" t="n"/>
      <c r="C132" s="3" t="n"/>
    </row>
    <row r="133" ht="15.75" customHeight="1" s="35">
      <c r="A133" s="3" t="n"/>
      <c r="B133" s="3" t="n"/>
      <c r="C133" s="3" t="n"/>
    </row>
    <row r="134" ht="15.75" customHeight="1" s="35">
      <c r="A134" s="3" t="n"/>
      <c r="B134" s="3" t="n"/>
      <c r="C134" s="3" t="n"/>
    </row>
    <row r="135" ht="15.75" customHeight="1" s="35">
      <c r="A135" s="3" t="n"/>
      <c r="B135" s="3" t="n"/>
      <c r="C135" s="3" t="n"/>
    </row>
    <row r="136" ht="15.75" customHeight="1" s="35">
      <c r="A136" s="3" t="n"/>
      <c r="B136" s="3" t="n"/>
      <c r="C136" s="3" t="n"/>
    </row>
    <row r="137" ht="15.75" customHeight="1" s="35">
      <c r="A137" s="3" t="n"/>
      <c r="B137" s="3" t="n"/>
      <c r="C137" s="3" t="n"/>
    </row>
    <row r="138" ht="15.75" customHeight="1" s="35">
      <c r="A138" s="3" t="n"/>
      <c r="B138" s="3" t="n"/>
      <c r="C138" s="3" t="n"/>
    </row>
    <row r="139" ht="15.75" customHeight="1" s="35">
      <c r="A139" s="3" t="n"/>
      <c r="B139" s="3" t="n"/>
      <c r="C139" s="3" t="n"/>
    </row>
    <row r="140" ht="15.75" customHeight="1" s="35">
      <c r="A140" s="3" t="n"/>
      <c r="B140" s="3" t="n"/>
      <c r="C140" s="3" t="n"/>
    </row>
    <row r="141" ht="15.75" customHeight="1" s="35">
      <c r="A141" s="3" t="n"/>
      <c r="B141" s="3" t="n"/>
      <c r="C141" s="3" t="n"/>
    </row>
    <row r="142" ht="15.75" customHeight="1" s="35">
      <c r="A142" s="3" t="n"/>
      <c r="B142" s="3" t="n"/>
      <c r="C142" s="3" t="n"/>
    </row>
    <row r="143" ht="15.75" customHeight="1" s="35">
      <c r="A143" s="3" t="n"/>
      <c r="B143" s="3" t="n"/>
      <c r="C143" s="3" t="n"/>
    </row>
    <row r="144" ht="15.75" customHeight="1" s="35">
      <c r="A144" s="3" t="n"/>
      <c r="B144" s="3" t="n"/>
      <c r="C144" s="3" t="n"/>
    </row>
    <row r="145" ht="15.75" customHeight="1" s="35">
      <c r="A145" s="3" t="n"/>
      <c r="B145" s="3" t="n"/>
      <c r="C145" s="3" t="n"/>
    </row>
    <row r="146" ht="15.75" customHeight="1" s="35">
      <c r="A146" s="3" t="n"/>
      <c r="B146" s="3" t="n"/>
      <c r="C146" s="3" t="n"/>
    </row>
    <row r="147" ht="15.75" customHeight="1" s="35">
      <c r="A147" s="3" t="n"/>
      <c r="B147" s="3" t="n"/>
      <c r="C147" s="3" t="n"/>
    </row>
    <row r="148" ht="15.75" customHeight="1" s="35">
      <c r="A148" s="3" t="n"/>
      <c r="B148" s="3" t="n"/>
      <c r="C148" s="3" t="n"/>
    </row>
    <row r="149" ht="15.75" customHeight="1" s="35">
      <c r="A149" s="3" t="n"/>
      <c r="B149" s="3" t="n"/>
      <c r="C149" s="3" t="n"/>
    </row>
    <row r="150" ht="15.75" customHeight="1" s="35">
      <c r="A150" s="3" t="n"/>
      <c r="B150" s="3" t="n"/>
      <c r="C150" s="3" t="n"/>
    </row>
    <row r="151" ht="15.75" customHeight="1" s="35">
      <c r="A151" s="3" t="n"/>
      <c r="B151" s="3" t="n"/>
      <c r="C151" s="3" t="n"/>
    </row>
    <row r="152" ht="15.75" customHeight="1" s="35">
      <c r="A152" s="3" t="n"/>
      <c r="B152" s="3" t="n"/>
      <c r="C152" s="3" t="n"/>
    </row>
    <row r="153" ht="15.75" customHeight="1" s="35">
      <c r="A153" s="3" t="n"/>
      <c r="B153" s="3" t="n"/>
      <c r="C153" s="3" t="n"/>
    </row>
    <row r="154" ht="15.75" customHeight="1" s="35">
      <c r="A154" s="3" t="n"/>
      <c r="B154" s="3" t="n"/>
      <c r="C154" s="3" t="n"/>
    </row>
    <row r="155" ht="15.75" customHeight="1" s="35">
      <c r="A155" s="3" t="n"/>
      <c r="B155" s="3" t="n"/>
      <c r="C155" s="3" t="n"/>
    </row>
    <row r="156" ht="15.75" customHeight="1" s="35">
      <c r="A156" s="3" t="n"/>
      <c r="B156" s="3" t="n"/>
      <c r="C156" s="3" t="n"/>
    </row>
    <row r="157" ht="15.75" customHeight="1" s="35">
      <c r="A157" s="3" t="n"/>
      <c r="B157" s="3" t="n"/>
      <c r="C157" s="3" t="n"/>
    </row>
    <row r="158" ht="15.75" customHeight="1" s="35">
      <c r="A158" s="3" t="n"/>
      <c r="B158" s="3" t="n"/>
      <c r="C158" s="3" t="n"/>
    </row>
    <row r="159" ht="15.75" customHeight="1" s="35">
      <c r="A159" s="3" t="n"/>
      <c r="B159" s="3" t="n"/>
      <c r="C159" s="3" t="n"/>
    </row>
    <row r="160" ht="15.75" customHeight="1" s="35">
      <c r="A160" s="3" t="n"/>
      <c r="B160" s="3" t="n"/>
      <c r="C160" s="3" t="n"/>
    </row>
    <row r="161" ht="15.75" customHeight="1" s="35">
      <c r="A161" s="3" t="n"/>
      <c r="B161" s="3" t="n"/>
      <c r="C161" s="3" t="n"/>
    </row>
    <row r="162" ht="15.75" customHeight="1" s="35">
      <c r="A162" s="3" t="n"/>
      <c r="B162" s="3" t="n"/>
      <c r="C162" s="3" t="n"/>
    </row>
    <row r="163" ht="15.75" customHeight="1" s="35">
      <c r="A163" s="3" t="n"/>
      <c r="B163" s="3" t="n"/>
      <c r="C163" s="3" t="n"/>
    </row>
    <row r="164" ht="15.75" customHeight="1" s="35">
      <c r="A164" s="3" t="n"/>
      <c r="B164" s="3" t="n"/>
      <c r="C164" s="3" t="n"/>
    </row>
    <row r="165" ht="15.75" customHeight="1" s="35">
      <c r="A165" s="3" t="n"/>
      <c r="B165" s="3" t="n"/>
      <c r="C165" s="3" t="n"/>
    </row>
    <row r="166" ht="15.75" customHeight="1" s="35">
      <c r="A166" s="3" t="n"/>
      <c r="B166" s="3" t="n"/>
      <c r="C166" s="3" t="n"/>
    </row>
    <row r="167" ht="15.75" customHeight="1" s="35">
      <c r="A167" s="3" t="n"/>
      <c r="B167" s="3" t="n"/>
      <c r="C167" s="3" t="n"/>
    </row>
    <row r="168" ht="15.75" customHeight="1" s="35">
      <c r="A168" s="3" t="n"/>
      <c r="B168" s="3" t="n"/>
      <c r="C168" s="3" t="n"/>
    </row>
    <row r="169" ht="15.75" customHeight="1" s="35">
      <c r="A169" s="3" t="n"/>
      <c r="B169" s="3" t="n"/>
      <c r="C169" s="3" t="n"/>
    </row>
    <row r="170" ht="15.75" customHeight="1" s="35">
      <c r="A170" s="3" t="n"/>
      <c r="B170" s="3" t="n"/>
      <c r="C170" s="3" t="n"/>
    </row>
    <row r="171" ht="15.75" customHeight="1" s="35">
      <c r="A171" s="3" t="n"/>
      <c r="B171" s="3" t="n"/>
      <c r="C171" s="3" t="n"/>
    </row>
    <row r="172" ht="15.75" customHeight="1" s="35">
      <c r="A172" s="3" t="n"/>
      <c r="B172" s="3" t="n"/>
      <c r="C172" s="3" t="n"/>
    </row>
    <row r="173" ht="15.75" customHeight="1" s="35">
      <c r="A173" s="3" t="n"/>
      <c r="B173" s="3" t="n"/>
      <c r="C173" s="3" t="n"/>
    </row>
    <row r="174" ht="15.75" customHeight="1" s="35">
      <c r="A174" s="3" t="n"/>
      <c r="B174" s="3" t="n"/>
      <c r="C174" s="3" t="n"/>
    </row>
    <row r="175" ht="15.75" customHeight="1" s="35">
      <c r="A175" s="3" t="n"/>
      <c r="B175" s="3" t="n"/>
      <c r="C175" s="3" t="n"/>
    </row>
    <row r="176" ht="15.75" customHeight="1" s="35">
      <c r="A176" s="3" t="n"/>
      <c r="B176" s="3" t="n"/>
      <c r="C176" s="3" t="n"/>
    </row>
    <row r="177" ht="15.75" customHeight="1" s="35">
      <c r="A177" s="3" t="n"/>
      <c r="B177" s="3" t="n"/>
      <c r="C177" s="3" t="n"/>
    </row>
    <row r="178" ht="15.75" customHeight="1" s="35">
      <c r="A178" s="3" t="n"/>
      <c r="B178" s="3" t="n"/>
      <c r="C178" s="3" t="n"/>
    </row>
    <row r="179" ht="15.75" customHeight="1" s="35">
      <c r="A179" s="3" t="n"/>
      <c r="B179" s="3" t="n"/>
      <c r="C179" s="3" t="n"/>
    </row>
    <row r="180" ht="15.75" customHeight="1" s="35">
      <c r="A180" s="3" t="n"/>
      <c r="B180" s="3" t="n"/>
      <c r="C180" s="3" t="n"/>
    </row>
    <row r="181" ht="15.75" customHeight="1" s="35">
      <c r="A181" s="3" t="n"/>
      <c r="B181" s="3" t="n"/>
      <c r="C181" s="3" t="n"/>
    </row>
    <row r="182" ht="15.75" customHeight="1" s="35">
      <c r="A182" s="3" t="n"/>
      <c r="B182" s="3" t="n"/>
      <c r="C182" s="3" t="n"/>
    </row>
    <row r="183" ht="15.75" customHeight="1" s="35">
      <c r="A183" s="3" t="n"/>
      <c r="B183" s="3" t="n"/>
      <c r="C183" s="3" t="n"/>
    </row>
    <row r="184" ht="15.75" customHeight="1" s="35">
      <c r="A184" s="3" t="n"/>
      <c r="B184" s="3" t="n"/>
      <c r="C184" s="3" t="n"/>
    </row>
    <row r="185" ht="15.75" customHeight="1" s="35">
      <c r="A185" s="3" t="n"/>
      <c r="B185" s="3" t="n"/>
      <c r="C185" s="3" t="n"/>
    </row>
    <row r="186" ht="15.75" customHeight="1" s="35">
      <c r="A186" s="3" t="n"/>
      <c r="B186" s="3" t="n"/>
      <c r="C186" s="3" t="n"/>
    </row>
    <row r="187" ht="15.75" customHeight="1" s="35">
      <c r="A187" s="3" t="n"/>
      <c r="B187" s="3" t="n"/>
      <c r="C187" s="3" t="n"/>
    </row>
    <row r="188" ht="15.75" customHeight="1" s="35">
      <c r="A188" s="3" t="n"/>
      <c r="B188" s="3" t="n"/>
      <c r="C188" s="3" t="n"/>
    </row>
    <row r="189" ht="15.75" customHeight="1" s="35">
      <c r="A189" s="3" t="n"/>
      <c r="B189" s="3" t="n"/>
      <c r="C189" s="3" t="n"/>
    </row>
    <row r="190" ht="15.75" customHeight="1" s="35">
      <c r="A190" s="3" t="n"/>
      <c r="B190" s="3" t="n"/>
      <c r="C190" s="3" t="n"/>
    </row>
    <row r="191" ht="15.75" customHeight="1" s="35">
      <c r="A191" s="3" t="n"/>
      <c r="B191" s="3" t="n"/>
      <c r="C191" s="3" t="n"/>
    </row>
    <row r="192" ht="15.75" customHeight="1" s="35">
      <c r="A192" s="3" t="n"/>
      <c r="B192" s="3" t="n"/>
      <c r="C192" s="3" t="n"/>
    </row>
    <row r="193" ht="15.75" customHeight="1" s="35">
      <c r="A193" s="3" t="n"/>
      <c r="B193" s="3" t="n"/>
      <c r="C193" s="3" t="n"/>
    </row>
    <row r="194" ht="15.75" customHeight="1" s="35">
      <c r="A194" s="3" t="n"/>
      <c r="B194" s="3" t="n"/>
      <c r="C194" s="3" t="n"/>
    </row>
    <row r="195" ht="15.75" customHeight="1" s="35">
      <c r="A195" s="3" t="n"/>
      <c r="B195" s="3" t="n"/>
      <c r="C195" s="3" t="n"/>
    </row>
    <row r="196" ht="15.75" customHeight="1" s="35">
      <c r="A196" s="3" t="n"/>
      <c r="B196" s="3" t="n"/>
      <c r="C196" s="3" t="n"/>
    </row>
    <row r="197" ht="15.75" customHeight="1" s="35">
      <c r="A197" s="3" t="n"/>
      <c r="B197" s="3" t="n"/>
      <c r="C197" s="3" t="n"/>
    </row>
    <row r="198" ht="15.75" customHeight="1" s="35">
      <c r="A198" s="3" t="n"/>
      <c r="B198" s="3" t="n"/>
      <c r="C198" s="3" t="n"/>
    </row>
    <row r="199" ht="15.75" customHeight="1" s="35">
      <c r="A199" s="3" t="n"/>
      <c r="B199" s="3" t="n"/>
      <c r="C199" s="3" t="n"/>
    </row>
    <row r="200" ht="15.75" customHeight="1" s="35">
      <c r="A200" s="3" t="n"/>
      <c r="B200" s="3" t="n"/>
      <c r="C200" s="3" t="n"/>
    </row>
    <row r="201" ht="15.75" customHeight="1" s="35">
      <c r="A201" s="3" t="n"/>
      <c r="B201" s="3" t="n"/>
      <c r="C201" s="3" t="n"/>
    </row>
    <row r="202" ht="15.75" customHeight="1" s="35">
      <c r="A202" s="3" t="n"/>
      <c r="B202" s="3" t="n"/>
      <c r="C202" s="3" t="n"/>
    </row>
    <row r="203" ht="15.75" customHeight="1" s="35">
      <c r="A203" s="3" t="n"/>
      <c r="B203" s="3" t="n"/>
      <c r="C203" s="3" t="n"/>
    </row>
    <row r="204" ht="15.75" customHeight="1" s="35">
      <c r="A204" s="3" t="n"/>
      <c r="B204" s="3" t="n"/>
      <c r="C204" s="3" t="n"/>
    </row>
    <row r="205" ht="15.75" customHeight="1" s="35">
      <c r="A205" s="3" t="n"/>
      <c r="B205" s="3" t="n"/>
      <c r="C205" s="3" t="n"/>
    </row>
    <row r="206" ht="15.75" customHeight="1" s="35">
      <c r="A206" s="3" t="n"/>
      <c r="B206" s="3" t="n"/>
      <c r="C206" s="3" t="n"/>
    </row>
    <row r="207" ht="15.75" customHeight="1" s="35">
      <c r="A207" s="3" t="n"/>
      <c r="B207" s="3" t="n"/>
      <c r="C207" s="3" t="n"/>
    </row>
    <row r="208" ht="15.75" customHeight="1" s="35">
      <c r="A208" s="3" t="n"/>
      <c r="B208" s="3" t="n"/>
      <c r="C208" s="3" t="n"/>
    </row>
    <row r="209" ht="15.75" customHeight="1" s="35">
      <c r="A209" s="3" t="n"/>
      <c r="B209" s="3" t="n"/>
      <c r="C209" s="3" t="n"/>
    </row>
    <row r="210" ht="15.75" customHeight="1" s="35">
      <c r="A210" s="3" t="n"/>
      <c r="B210" s="3" t="n"/>
      <c r="C210" s="3" t="n"/>
    </row>
    <row r="211" ht="15.75" customHeight="1" s="35">
      <c r="A211" s="3" t="n"/>
      <c r="B211" s="3" t="n"/>
      <c r="C211" s="3" t="n"/>
    </row>
    <row r="212" ht="15.75" customHeight="1" s="35">
      <c r="A212" s="3" t="n"/>
      <c r="B212" s="3" t="n"/>
      <c r="C212" s="3" t="n"/>
    </row>
    <row r="213" ht="15.75" customHeight="1" s="35">
      <c r="A213" s="3" t="n"/>
      <c r="B213" s="3" t="n"/>
      <c r="C213" s="3" t="n"/>
    </row>
    <row r="214" ht="15.75" customHeight="1" s="35">
      <c r="A214" s="3" t="n"/>
      <c r="B214" s="3" t="n"/>
      <c r="C214" s="3" t="n"/>
    </row>
    <row r="215" ht="15.75" customHeight="1" s="35">
      <c r="A215" s="3" t="n"/>
      <c r="B215" s="3" t="n"/>
      <c r="C215" s="3" t="n"/>
    </row>
    <row r="216" ht="15.75" customHeight="1" s="35">
      <c r="A216" s="3" t="n"/>
      <c r="B216" s="3" t="n"/>
      <c r="C216" s="3" t="n"/>
    </row>
    <row r="217" ht="15.75" customHeight="1" s="35">
      <c r="A217" s="3" t="n"/>
      <c r="B217" s="3" t="n"/>
      <c r="C217" s="3" t="n"/>
    </row>
    <row r="218" ht="15.75" customHeight="1" s="35">
      <c r="A218" s="3" t="n"/>
      <c r="B218" s="3" t="n"/>
      <c r="C218" s="3" t="n"/>
    </row>
    <row r="219" ht="15.75" customHeight="1" s="35">
      <c r="A219" s="3" t="n"/>
      <c r="B219" s="3" t="n"/>
      <c r="C219" s="3" t="n"/>
    </row>
    <row r="220" ht="15.75" customHeight="1" s="35">
      <c r="A220" s="3" t="n"/>
      <c r="B220" s="3" t="n"/>
      <c r="C220" s="3" t="n"/>
    </row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1:C1"/>
    <mergeCell ref="A2:C2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5" min="1" max="1"/>
    <col width="72" customWidth="1" style="35" min="2" max="2"/>
    <col width="12" customWidth="1" style="35" min="3" max="3"/>
    <col width="40" customWidth="1" style="35" min="4" max="4"/>
    <col width="8.710000000000001" customWidth="1" style="35" min="5" max="6"/>
  </cols>
  <sheetData>
    <row r="1" ht="25.5" customHeight="1" s="35">
      <c r="A1" s="1" t="n"/>
    </row>
    <row r="2" ht="30" customHeight="1" s="35">
      <c r="A2" s="2" t="inlineStr">
        <is>
          <t>Marque «Sí» solo con evidencia verificable. Los bloques A y D son críticos: un solo «No» invalida la aplicación.</t>
        </is>
      </c>
    </row>
    <row r="3">
      <c r="A3" s="3" t="n"/>
      <c r="B3" s="3" t="n"/>
      <c r="C3" s="3" t="n"/>
      <c r="D3" s="3" t="n"/>
    </row>
    <row r="4" ht="31.5" customHeight="1" s="35">
      <c r="A4" s="4" t="inlineStr">
        <is>
          <t>N.°</t>
        </is>
      </c>
      <c r="B4" s="4" t="inlineStr">
        <is>
          <t>Criterio</t>
        </is>
      </c>
      <c r="C4" s="4" t="inlineStr">
        <is>
          <t>Cumple</t>
        </is>
      </c>
      <c r="D4" s="4" t="inlineStr">
        <is>
          <t>Observación</t>
        </is>
      </c>
    </row>
    <row r="5" ht="21.75" customHeight="1" s="35">
      <c r="A5" s="40" t="inlineStr">
        <is>
          <t>A. ANTES DE APLICAR — BLOQUE CRÍTICO</t>
        </is>
      </c>
      <c r="B5" s="41" t="n"/>
      <c r="C5" s="41" t="n"/>
      <c r="D5" s="42" t="n"/>
    </row>
    <row r="6" ht="19.5" customHeight="1" s="35">
      <c r="A6" s="6" t="n">
        <v>1</v>
      </c>
      <c r="B6" s="6" t="inlineStr">
        <is>
          <t>La autorización institucional está vigente para la fecha de aplicación</t>
        </is>
      </c>
      <c r="C6" s="45" t="inlineStr">
        <is>
          <t>Sí</t>
        </is>
      </c>
      <c r="D6" s="38" t="inlineStr">
        <is>
          <t>Carta de autorización vigente de setiembre a diciembre de 2026.</t>
        </is>
      </c>
    </row>
    <row r="7">
      <c r="A7" s="6" t="n">
        <v>2</v>
      </c>
      <c r="B7" s="6" t="inlineStr">
        <is>
          <t>Se verificó la firma del consentimiento de CADA participante antes de entregar el instrumento</t>
        </is>
      </c>
      <c r="C7" s="45" t="inlineStr">
        <is>
          <t>Sí</t>
        </is>
      </c>
      <c r="D7" s="38" t="inlineStr">
        <is>
          <t>Consentimiento digital aceptado y registrado en el sistema antes de habilitar las tareas.</t>
        </is>
      </c>
    </row>
    <row r="8" ht="19.5" customHeight="1" s="35">
      <c r="A8" s="6" t="n">
        <v>3</v>
      </c>
      <c r="B8" s="6" t="inlineStr">
        <is>
          <t>Los instrumentos son la versión definitiva y validada, sin modificaciones</t>
        </is>
      </c>
      <c r="C8" s="45" t="inlineStr">
        <is>
          <t>Sí</t>
        </is>
      </c>
      <c r="D8" s="38" t="inlineStr">
        <is>
          <t>Versión validada por juicio de expertos y piloto (alfa ≥ 0.70).</t>
        </is>
      </c>
    </row>
    <row r="9" ht="19.5" customHeight="1" s="35">
      <c r="A9" s="6" t="n">
        <v>4</v>
      </c>
      <c r="B9" s="6" t="inlineStr">
        <is>
          <t>Hay instrumentos suficientes más un 20 % de reserva</t>
        </is>
      </c>
      <c r="C9" s="45" t="inlineStr">
        <is>
          <t>Sí</t>
        </is>
      </c>
      <c r="D9" s="38" t="inlineStr">
        <is>
          <t>Instrumento digital: el módulo admite hasta 130 participantes (108 + 20 %).</t>
        </is>
      </c>
    </row>
    <row r="10" ht="19.5" customHeight="1" s="35">
      <c r="A10" s="6" t="n">
        <v>5</v>
      </c>
      <c r="B10" s="6" t="inlineStr">
        <is>
          <t>El guion de aplicación está impreso y a la mano</t>
        </is>
      </c>
      <c r="C10" s="45" t="inlineStr">
        <is>
          <t>Sí</t>
        </is>
      </c>
      <c r="D10" s="38" t="inlineStr">
        <is>
          <t>Guion impreso y también en PDF en el celular del aplicador.</t>
        </is>
      </c>
    </row>
    <row r="11" ht="19.5" customHeight="1" s="35">
      <c r="A11" s="6" t="n">
        <v>6</v>
      </c>
      <c r="B11" s="6" t="inlineStr">
        <is>
          <t>El libro de códigos está disponible y actualizado</t>
        </is>
      </c>
      <c r="C11" s="45" t="inlineStr">
        <is>
          <t>Sí</t>
        </is>
      </c>
      <c r="D11" s="38" t="inlineStr">
        <is>
          <t>Libro de códigos actualizado al 11/10/2026 (126 inscritos).</t>
        </is>
      </c>
    </row>
    <row r="12" ht="19.5" customHeight="1" s="35">
      <c r="A12" s="6" t="n">
        <v>7</v>
      </c>
      <c r="B12" s="6" t="inlineStr">
        <is>
          <t>El acta y el registro de incidencias están en blanco y listos</t>
        </is>
      </c>
      <c r="C12" s="45" t="inlineStr">
        <is>
          <t>Sí</t>
        </is>
      </c>
      <c r="D12" s="38" t="inlineStr">
        <is>
          <t>Acta (Formato 6) y registro de incidencias preparados.</t>
        </is>
      </c>
    </row>
    <row r="13" ht="21.75" customHeight="1" s="35">
      <c r="A13" s="43" t="inlineStr">
        <is>
          <t>B. ACONDICIONAMIENTO DEL ENTORNO</t>
        </is>
      </c>
      <c r="B13" s="41" t="n"/>
      <c r="C13" s="41" t="n"/>
      <c r="D13" s="42" t="n"/>
    </row>
    <row r="14" ht="19.5" customHeight="1" s="35">
      <c r="A14" s="6" t="n">
        <v>8</v>
      </c>
      <c r="B14" s="6" t="inlineStr">
        <is>
          <t>El espacio está reservado y confirmado con la institución</t>
        </is>
      </c>
      <c r="C14" s="45" t="inlineStr">
        <is>
          <t>Sí</t>
        </is>
      </c>
      <c r="D14" s="38" t="inlineStr">
        <is>
          <t>Aplicación virtual; horarios confirmados con cada participante por WhatsApp.</t>
        </is>
      </c>
    </row>
    <row r="15" ht="19.5" customHeight="1" s="35">
      <c r="A15" s="6" t="n">
        <v>9</v>
      </c>
      <c r="B15" s="6" t="inlineStr">
        <is>
          <t>No hay jefaturas presentes ni circulando durante la aplicación</t>
        </is>
      </c>
      <c r="C15" s="45" t="inlineStr">
        <is>
          <t>Sí</t>
        </is>
      </c>
      <c r="D15" s="38" t="inlineStr">
        <is>
          <t>Ningún directivo ni personal editorial participa en las sesiones.</t>
        </is>
      </c>
    </row>
    <row r="16" ht="19.5" customHeight="1" s="35">
      <c r="A16" s="6" t="n">
        <v>10</v>
      </c>
      <c r="B16" s="6" t="inlineStr">
        <is>
          <t>El ambiente permite responder sin interferencias externas</t>
        </is>
      </c>
      <c r="C16" s="45" t="inlineStr">
        <is>
          <t>Sí</t>
        </is>
      </c>
      <c r="D16" s="38" t="inlineStr">
        <is>
          <t>Se pidió a cada participante un lugar tranquilo y sin interrupciones.</t>
        </is>
      </c>
    </row>
    <row r="17" ht="19.5" customHeight="1" s="35">
      <c r="A17" s="6" t="n">
        <v>11</v>
      </c>
      <c r="B17" s="6" t="inlineStr">
        <is>
          <t>Los equipos tecnológicos fueron probados antes de iniciar</t>
        </is>
      </c>
      <c r="C17" s="45" t="inlineStr">
        <is>
          <t>Sí</t>
        </is>
      </c>
      <c r="D17" s="38" t="inlineStr">
        <is>
          <t>Módulo, cronómetro y contador de clics probados el 11/10/2026.</t>
        </is>
      </c>
    </row>
    <row r="18" ht="19.5" customHeight="1" s="35">
      <c r="A18" s="6" t="n">
        <v>12</v>
      </c>
      <c r="B18" s="6" t="inlineStr">
        <is>
          <t>La disposición del espacio evita que los participantes vean respuestas ajenas</t>
        </is>
      </c>
      <c r="C18" s="45" t="inlineStr">
        <is>
          <t>Sí</t>
        </is>
      </c>
      <c r="D18" s="38" t="inlineStr">
        <is>
          <t>Cada participante responde en su propio dispositivo.</t>
        </is>
      </c>
    </row>
    <row r="19" ht="21.75" customHeight="1" s="35">
      <c r="A19" s="43" t="inlineStr">
        <is>
          <t>C. DURANTE LA APLICACIÓN</t>
        </is>
      </c>
      <c r="B19" s="41" t="n"/>
      <c r="C19" s="41" t="n"/>
      <c r="D19" s="42" t="n"/>
    </row>
    <row r="20" ht="19.5" customHeight="1" s="35">
      <c r="A20" s="6" t="n">
        <v>13</v>
      </c>
      <c r="B20" s="6" t="inlineStr">
        <is>
          <t>Se leyó el guion completo, sin agregar ni omitir</t>
        </is>
      </c>
      <c r="C20" s="45" t="inlineStr">
        <is>
          <t>Sí</t>
        </is>
      </c>
      <c r="D20" s="38" t="inlineStr">
        <is>
          <t>Guion leído completo en todas las sesiones.</t>
        </is>
      </c>
    </row>
    <row r="21" ht="19.5" customHeight="1" s="35">
      <c r="A21" s="6" t="n">
        <v>14</v>
      </c>
      <c r="B21" s="6" t="inlineStr">
        <is>
          <t>Se leyeron las mismas instrucciones a todos los subgrupos</t>
        </is>
      </c>
      <c r="C21" s="45" t="inlineStr">
        <is>
          <t>Sí</t>
        </is>
      </c>
      <c r="D21" s="38" t="inlineStr">
        <is>
          <t>Mismo guion en las franjas de mañana y de tarde.</t>
        </is>
      </c>
    </row>
    <row r="22" ht="19.5" customHeight="1" s="35">
      <c r="A22" s="6" t="n">
        <v>15</v>
      </c>
      <c r="B22" s="6" t="inlineStr">
        <is>
          <t>Ante dudas se repitió el ítem sin parafrasear ni ejemplificar</t>
        </is>
      </c>
      <c r="C22" s="45" t="inlineStr">
        <is>
          <t>Sí</t>
        </is>
      </c>
      <c r="D22" s="38" t="inlineStr">
        <is>
          <t>Se repitió la consigna textual ante dudas.</t>
        </is>
      </c>
    </row>
    <row r="23" ht="19.5" customHeight="1" s="35">
      <c r="A23" s="6" t="n">
        <v>16</v>
      </c>
      <c r="B23" s="6" t="inlineStr">
        <is>
          <t>Se concedió el mismo tiempo a todos los participantes</t>
        </is>
      </c>
      <c r="C23" s="45" t="inlineStr">
        <is>
          <t>Sí</t>
        </is>
      </c>
      <c r="D23" s="38" t="inlineStr">
        <is>
          <t>Tope de 300 s por tarea controlado por el sistema.</t>
        </is>
      </c>
    </row>
    <row r="24" ht="19.5" customHeight="1" s="35">
      <c r="A24" s="6" t="n">
        <v>17</v>
      </c>
      <c r="B24" s="6" t="inlineStr">
        <is>
          <t>Se controló la hora de inicio y de término</t>
        </is>
      </c>
      <c r="C24" s="45" t="inlineStr">
        <is>
          <t>Sí</t>
        </is>
      </c>
      <c r="D24" s="38" t="inlineStr">
        <is>
          <t>Hora de inicio y término registradas automáticamente.</t>
        </is>
      </c>
    </row>
    <row r="25" ht="19.5" customHeight="1" s="35">
      <c r="A25" s="6" t="n">
        <v>18</v>
      </c>
      <c r="B25" s="6" t="inlineStr">
        <is>
          <t>Se dio el mismo trato y acompañamiento a todos, sin excepción por jerarquía</t>
        </is>
      </c>
      <c r="C25" s="45" t="inlineStr">
        <is>
          <t>Sí</t>
        </is>
      </c>
      <c r="D25" s="38" t="inlineStr">
        <is>
          <t>Mismo acompañamiento a todos los participantes.</t>
        </is>
      </c>
    </row>
    <row r="26" ht="19.5" customHeight="1" s="35">
      <c r="A26" s="6" t="n">
        <v>19</v>
      </c>
      <c r="B26" s="6" t="inlineStr">
        <is>
          <t>Se registraron las incidencias en el momento en que ocurrieron</t>
        </is>
      </c>
      <c r="C26" s="45" t="inlineStr">
        <is>
          <t>Sí</t>
        </is>
      </c>
      <c r="D26" s="38" t="inlineStr">
        <is>
          <t>Incidencias anotadas en el momento (hoja 6).</t>
        </is>
      </c>
    </row>
    <row r="27" ht="21.75" customHeight="1" s="35">
      <c r="A27" s="40" t="inlineStr">
        <is>
          <t>D. AL CERRAR — BLOQUE CRÍTICO</t>
        </is>
      </c>
      <c r="B27" s="41" t="n"/>
      <c r="C27" s="41" t="n"/>
      <c r="D27" s="42" t="n"/>
    </row>
    <row r="28" ht="19.5" customHeight="1" s="35">
      <c r="A28" s="6" t="n">
        <v>20</v>
      </c>
      <c r="B28" s="6" t="inlineStr">
        <is>
          <t>Los instrumentos se codificaron ANTES de retirarse del lugar</t>
        </is>
      </c>
      <c r="C28" s="45" t="inlineStr">
        <is>
          <t>Sí</t>
        </is>
      </c>
      <c r="D28" s="38" t="inlineStr">
        <is>
          <t>El sistema guarda cada registro solo con el código GU-TDH-###.</t>
        </is>
      </c>
    </row>
    <row r="29" ht="19.5" customHeight="1" s="35">
      <c r="A29" s="6" t="n">
        <v>21</v>
      </c>
      <c r="B29" s="6" t="inlineStr">
        <is>
          <t>Se verificó que no hubiera instrumentos sin código</t>
        </is>
      </c>
      <c r="C29" s="45" t="inlineStr">
        <is>
          <t>Sí</t>
        </is>
      </c>
      <c r="D29" s="38" t="inlineStr">
        <is>
          <t>Verificado: 0 registros sin código.</t>
        </is>
      </c>
    </row>
    <row r="30" ht="19.5" customHeight="1" s="35">
      <c r="A30" s="6" t="n">
        <v>22</v>
      </c>
      <c r="B30" s="6" t="inlineStr">
        <is>
          <t>Se contó el número de instrumentos recogidos y coincide con el registro</t>
        </is>
      </c>
      <c r="C30" s="45" t="inlineStr">
        <is>
          <t>Sí</t>
        </is>
      </c>
      <c r="D30" s="38" t="inlineStr">
        <is>
          <t>114 registros, igual al número de pretest del libro de códigos.</t>
        </is>
      </c>
    </row>
    <row r="31" ht="19.5" customHeight="1" s="35">
      <c r="A31" s="6" t="n">
        <v>23</v>
      </c>
      <c r="B31" s="6" t="inlineStr">
        <is>
          <t>Los instrumentos se guardaron en sobre o carpeta cerrada</t>
        </is>
      </c>
      <c r="C31" s="45" t="inlineStr">
        <is>
          <t>Sí</t>
        </is>
      </c>
      <c r="D31" s="38" t="inlineStr">
        <is>
          <t>Resguardo digital: base cifrada en Supabase y copia cifrada.</t>
        </is>
      </c>
    </row>
    <row r="32" ht="19.5" customHeight="1" s="35">
      <c r="A32" s="6" t="n">
        <v>24</v>
      </c>
      <c r="B32" s="6" t="inlineStr">
        <is>
          <t>Se levantó el acta de aplicación el mismo día</t>
        </is>
      </c>
      <c r="C32" s="45" t="inlineStr">
        <is>
          <t>Sí</t>
        </is>
      </c>
      <c r="D32" s="38" t="inlineStr">
        <is>
          <t>Acta de aplicación levantada cada día de la ventana.</t>
        </is>
      </c>
    </row>
    <row r="33" ht="19.5" customHeight="1" s="35">
      <c r="A33" s="6" t="n">
        <v>25</v>
      </c>
      <c r="B33" s="6" t="inlineStr">
        <is>
          <t>Se obtuvo la firma de la contraparte institucional en el acta</t>
        </is>
      </c>
      <c r="C33" s="45" t="inlineStr">
        <is>
          <t>Sí</t>
        </is>
      </c>
      <c r="D33" s="38" t="inlineStr">
        <is>
          <t>Acta del cierre firmada por la Gerencia de Tu Diario Huánuco.</t>
        </is>
      </c>
    </row>
    <row r="34" ht="21.75" customHeight="1" s="35">
      <c r="A34" s="43" t="inlineStr">
        <is>
          <t>E. DESPUÉS DE LA APLICACIÓN</t>
        </is>
      </c>
      <c r="B34" s="41" t="n"/>
      <c r="C34" s="41" t="n"/>
      <c r="D34" s="42" t="n"/>
    </row>
    <row r="35" ht="19.5" customHeight="1" s="35">
      <c r="A35" s="6" t="n">
        <v>26</v>
      </c>
      <c r="B35" s="6" t="inlineStr">
        <is>
          <t>Los datos se digitaron en la base codificada dentro de las 48 horas</t>
        </is>
      </c>
      <c r="C35" s="45" t="inlineStr">
        <is>
          <t>Sí</t>
        </is>
      </c>
      <c r="D35" s="38" t="inlineStr">
        <is>
          <t>Exportación el 18/10/2026, dentro de las 48 horas posteriores al cierre.</t>
        </is>
      </c>
    </row>
    <row r="36" ht="19.5" customHeight="1" s="35">
      <c r="A36" s="6" t="n">
        <v>27</v>
      </c>
      <c r="B36" s="6" t="inlineStr">
        <is>
          <t>Se verificó por doble digitación al menos el 20 % de los registros</t>
        </is>
      </c>
      <c r="C36" s="45" t="inlineStr">
        <is>
          <t>Sí</t>
        </is>
      </c>
      <c r="D36" s="38" t="inlineStr">
        <is>
          <t>Se cotejó el 25 % de los registros (29) contra la exportación del sistema.</t>
        </is>
      </c>
    </row>
    <row r="37" ht="19.5" customHeight="1" s="35">
      <c r="A37" s="6" t="n">
        <v>28</v>
      </c>
      <c r="B37" s="6" t="inlineStr">
        <is>
          <t>Se revisaron datos faltantes y valores atípicos</t>
        </is>
      </c>
      <c r="C37" s="45" t="inlineStr">
        <is>
          <t>Sí</t>
        </is>
      </c>
      <c r="D37" s="38" t="inlineStr">
        <is>
          <t>Se revisaron faltantes (4 casos) y atípicos (ninguno a más de 3 D.E.).</t>
        </is>
      </c>
    </row>
    <row r="38" ht="19.5" customHeight="1" s="35">
      <c r="A38" s="6" t="n">
        <v>29</v>
      </c>
      <c r="B38" s="6" t="inlineStr">
        <is>
          <t>La base se respaldó en dos ubicaciones, una fuera del equipo principal</t>
        </is>
      </c>
      <c r="C38" s="45" t="inlineStr">
        <is>
          <t>Sí</t>
        </is>
      </c>
      <c r="D38" s="38" t="inlineStr">
        <is>
          <t>Copia en Supabase y copia cifrada en una unidad externa.</t>
        </is>
      </c>
    </row>
    <row r="39" ht="19.5" customHeight="1" s="35">
      <c r="A39" s="6" t="n">
        <v>30</v>
      </c>
      <c r="B39" s="6" t="inlineStr">
        <is>
          <t>El archivo está cifrado o protegido con contraseña</t>
        </is>
      </c>
      <c r="C39" s="45" t="inlineStr">
        <is>
          <t>Sí</t>
        </is>
      </c>
      <c r="D39" s="38" t="inlineStr">
        <is>
          <t>Archivo .xlsx protegido con contraseña.</t>
        </is>
      </c>
    </row>
    <row r="40" ht="19.5" customHeight="1" s="35">
      <c r="A40" s="6" t="n">
        <v>31</v>
      </c>
      <c r="B40" s="6" t="inlineStr">
        <is>
          <t>Los instrumentos físicos quedaron bajo llave</t>
        </is>
      </c>
      <c r="C40" s="45" t="inlineStr">
        <is>
          <t>Sí</t>
        </is>
      </c>
      <c r="D40" s="38" t="inlineStr">
        <is>
          <t>No aplica papel: instrumentos digitales; el equipo del tesista tiene cifrado de disco.</t>
        </is>
      </c>
    </row>
    <row r="41" ht="15.75" customHeight="1" s="35">
      <c r="A41" s="3" t="n"/>
      <c r="B41" s="3" t="n"/>
      <c r="C41" s="3" t="n"/>
      <c r="D41" s="3" t="n"/>
    </row>
    <row r="42" ht="15" customHeight="1" s="35">
      <c r="A42" s="3" t="n"/>
      <c r="B42" s="27" t="inlineStr">
        <is>
          <t>Criterios cumplidos</t>
        </is>
      </c>
      <c r="C42" s="28">
        <f>COUNTIF(C6:C40,"Sí")</f>
        <v/>
      </c>
      <c r="D42" s="3" t="n"/>
    </row>
    <row r="43" ht="15" customHeight="1" s="35">
      <c r="A43" s="3" t="n"/>
      <c r="B43" s="27" t="inlineStr">
        <is>
          <t>Criterios incumplidos</t>
        </is>
      </c>
      <c r="C43" s="28">
        <f>COUNTIF(C6:C40,"No")</f>
        <v/>
      </c>
      <c r="D43" s="3" t="n"/>
    </row>
    <row r="44" ht="15" customHeight="1" s="35">
      <c r="A44" s="3" t="n"/>
      <c r="B44" s="27" t="inlineStr">
        <is>
          <t>Total de criterios</t>
        </is>
      </c>
      <c r="C44" s="28">
        <f>COUNTA(B6:B40)</f>
        <v/>
      </c>
      <c r="D44" s="3" t="n"/>
    </row>
    <row r="45" ht="15" customHeight="1" s="35">
      <c r="A45" s="3" t="n"/>
      <c r="B45" s="27" t="inlineStr">
        <is>
          <t>Porcentaje de cumplimiento</t>
        </is>
      </c>
      <c r="C45" s="29">
        <f>IF(C44=0,0,C42/C44)</f>
        <v/>
      </c>
      <c r="D45" s="3" t="n"/>
    </row>
    <row r="46" ht="15" customHeight="1" s="35">
      <c r="A46" s="3" t="n"/>
      <c r="B46" s="30" t="inlineStr">
        <is>
          <t>DICTAMEN DE VALIDEZ</t>
        </is>
      </c>
      <c r="C46" s="31">
        <f>IF(C43=0,"APLICACIÓN VÁLIDA",IF(C43&lt;=2,"VÁLIDA CON OBSERVACIONES","REVISAR: POSIBLE INVALIDEZ"))</f>
        <v/>
      </c>
      <c r="D46" s="3" t="n"/>
    </row>
    <row r="47" ht="15.75" customHeight="1" s="35">
      <c r="A47" s="3" t="n"/>
      <c r="B47" s="3" t="n"/>
      <c r="C47" s="3" t="n"/>
      <c r="D47" s="3" t="n"/>
    </row>
    <row r="48" ht="15" customHeight="1" s="35">
      <c r="A48" s="3" t="n"/>
      <c r="B48" s="32" t="inlineStr">
        <is>
          <t>Regla que no admite excepción: un solo «No» en los bloques A o D invalida la aplicación, cualquiera sea el porcentaje global.</t>
        </is>
      </c>
      <c r="C48" s="3" t="n"/>
      <c r="D48" s="3" t="n"/>
    </row>
    <row r="49" ht="15.75" customHeight="1" s="35">
      <c r="A49" s="3" t="n"/>
      <c r="B49" s="3" t="n"/>
      <c r="C49" s="3" t="n"/>
      <c r="D49" s="3" t="n"/>
    </row>
    <row r="50" ht="15.75" customHeight="1" s="35">
      <c r="A50" s="3" t="n"/>
      <c r="B50" s="3" t="n"/>
      <c r="C50" s="3" t="n"/>
      <c r="D50" s="3" t="n"/>
    </row>
    <row r="51" ht="15.75" customHeight="1" s="35">
      <c r="A51" s="3" t="n"/>
      <c r="B51" s="3" t="n"/>
      <c r="C51" s="3" t="n"/>
      <c r="D51" s="3" t="n"/>
    </row>
    <row r="52" ht="15.75" customHeight="1" s="35">
      <c r="A52" s="3" t="n"/>
      <c r="B52" s="3" t="n"/>
      <c r="C52" s="3" t="n"/>
      <c r="D52" s="3" t="n"/>
    </row>
    <row r="53" ht="15.75" customHeight="1" s="35">
      <c r="A53" s="3" t="n"/>
      <c r="B53" s="3" t="n"/>
      <c r="C53" s="3" t="n"/>
      <c r="D53" s="3" t="n"/>
    </row>
    <row r="54" ht="15.75" customHeight="1" s="35">
      <c r="A54" s="3" t="n"/>
      <c r="B54" s="3" t="n"/>
      <c r="C54" s="3" t="n"/>
      <c r="D54" s="3" t="n"/>
    </row>
    <row r="55" ht="15.75" customHeight="1" s="35">
      <c r="A55" s="3" t="n"/>
      <c r="B55" s="3" t="n"/>
      <c r="C55" s="3" t="n"/>
      <c r="D55" s="3" t="n"/>
    </row>
    <row r="56" ht="15.75" customHeight="1" s="35">
      <c r="A56" s="3" t="n"/>
      <c r="B56" s="3" t="n"/>
      <c r="C56" s="3" t="n"/>
      <c r="D56" s="3" t="n"/>
    </row>
    <row r="57" ht="15.75" customHeight="1" s="35">
      <c r="A57" s="3" t="n"/>
      <c r="B57" s="3" t="n"/>
      <c r="C57" s="3" t="n"/>
      <c r="D57" s="3" t="n"/>
    </row>
    <row r="58" ht="15.75" customHeight="1" s="35">
      <c r="A58" s="3" t="n"/>
      <c r="B58" s="3" t="n"/>
      <c r="C58" s="3" t="n"/>
      <c r="D58" s="3" t="n"/>
    </row>
    <row r="59" ht="15.75" customHeight="1" s="35">
      <c r="A59" s="3" t="n"/>
      <c r="B59" s="3" t="n"/>
      <c r="C59" s="3" t="n"/>
      <c r="D59" s="3" t="n"/>
    </row>
    <row r="60" ht="15.75" customHeight="1" s="35">
      <c r="A60" s="3" t="n"/>
      <c r="B60" s="3" t="n"/>
      <c r="C60" s="3" t="n"/>
      <c r="D60" s="3" t="n"/>
    </row>
    <row r="61" ht="15.75" customHeight="1" s="35">
      <c r="A61" s="3" t="n"/>
      <c r="B61" s="3" t="n"/>
      <c r="C61" s="3" t="n"/>
      <c r="D61" s="3" t="n"/>
    </row>
    <row r="62" ht="15.75" customHeight="1" s="35">
      <c r="A62" s="3" t="n"/>
      <c r="B62" s="3" t="n"/>
      <c r="C62" s="3" t="n"/>
      <c r="D62" s="3" t="n"/>
    </row>
    <row r="63" ht="15.75" customHeight="1" s="35">
      <c r="A63" s="3" t="n"/>
      <c r="B63" s="3" t="n"/>
      <c r="C63" s="3" t="n"/>
      <c r="D63" s="3" t="n"/>
    </row>
    <row r="64" ht="15.75" customHeight="1" s="35">
      <c r="A64" s="3" t="n"/>
      <c r="B64" s="3" t="n"/>
      <c r="C64" s="3" t="n"/>
      <c r="D64" s="3" t="n"/>
    </row>
    <row r="65" ht="15.75" customHeight="1" s="35">
      <c r="A65" s="3" t="n"/>
      <c r="B65" s="3" t="n"/>
      <c r="C65" s="3" t="n"/>
      <c r="D65" s="3" t="n"/>
    </row>
    <row r="66" ht="15.75" customHeight="1" s="35">
      <c r="A66" s="3" t="n"/>
      <c r="B66" s="3" t="n"/>
      <c r="C66" s="3" t="n"/>
      <c r="D66" s="3" t="n"/>
    </row>
    <row r="67" ht="15.75" customHeight="1" s="35">
      <c r="A67" s="3" t="n"/>
      <c r="B67" s="3" t="n"/>
      <c r="C67" s="3" t="n"/>
      <c r="D67" s="3" t="n"/>
    </row>
    <row r="68" ht="15.75" customHeight="1" s="35">
      <c r="A68" s="3" t="n"/>
      <c r="B68" s="3" t="n"/>
      <c r="C68" s="3" t="n"/>
      <c r="D68" s="3" t="n"/>
    </row>
    <row r="69" ht="15.75" customHeight="1" s="35">
      <c r="A69" s="3" t="n"/>
      <c r="B69" s="3" t="n"/>
      <c r="C69" s="3" t="n"/>
      <c r="D69" s="3" t="n"/>
    </row>
    <row r="70" ht="15.75" customHeight="1" s="35">
      <c r="A70" s="3" t="n"/>
      <c r="B70" s="3" t="n"/>
      <c r="C70" s="3" t="n"/>
      <c r="D70" s="3" t="n"/>
    </row>
    <row r="71" ht="15.75" customHeight="1" s="35">
      <c r="A71" s="3" t="n"/>
      <c r="B71" s="3" t="n"/>
      <c r="C71" s="3" t="n"/>
      <c r="D71" s="3" t="n"/>
    </row>
    <row r="72" ht="15.75" customHeight="1" s="35">
      <c r="A72" s="3" t="n"/>
      <c r="B72" s="3" t="n"/>
      <c r="C72" s="3" t="n"/>
      <c r="D72" s="3" t="n"/>
    </row>
    <row r="73" ht="15.75" customHeight="1" s="35">
      <c r="A73" s="3" t="n"/>
      <c r="B73" s="3" t="n"/>
      <c r="C73" s="3" t="n"/>
      <c r="D73" s="3" t="n"/>
    </row>
    <row r="74" ht="15.75" customHeight="1" s="35">
      <c r="A74" s="3" t="n"/>
      <c r="B74" s="3" t="n"/>
      <c r="C74" s="3" t="n"/>
      <c r="D74" s="3" t="n"/>
    </row>
    <row r="75" ht="15.75" customHeight="1" s="35">
      <c r="A75" s="3" t="n"/>
      <c r="B75" s="3" t="n"/>
      <c r="C75" s="3" t="n"/>
      <c r="D75" s="3" t="n"/>
    </row>
    <row r="76" ht="15.75" customHeight="1" s="35">
      <c r="A76" s="3" t="n"/>
      <c r="B76" s="3" t="n"/>
      <c r="C76" s="3" t="n"/>
      <c r="D76" s="3" t="n"/>
    </row>
    <row r="77" ht="15.75" customHeight="1" s="35">
      <c r="A77" s="3" t="n"/>
      <c r="B77" s="3" t="n"/>
      <c r="C77" s="3" t="n"/>
      <c r="D77" s="3" t="n"/>
    </row>
    <row r="78" ht="15.75" customHeight="1" s="35">
      <c r="A78" s="3" t="n"/>
      <c r="B78" s="3" t="n"/>
      <c r="C78" s="3" t="n"/>
      <c r="D78" s="3" t="n"/>
    </row>
    <row r="79" ht="15.75" customHeight="1" s="35">
      <c r="A79" s="3" t="n"/>
      <c r="B79" s="3" t="n"/>
      <c r="C79" s="3" t="n"/>
      <c r="D79" s="3" t="n"/>
    </row>
    <row r="80" ht="15.75" customHeight="1" s="35">
      <c r="A80" s="3" t="n"/>
      <c r="B80" s="3" t="n"/>
      <c r="C80" s="3" t="n"/>
      <c r="D80" s="3" t="n"/>
    </row>
    <row r="81" ht="15.75" customHeight="1" s="35">
      <c r="A81" s="3" t="n"/>
      <c r="B81" s="3" t="n"/>
      <c r="C81" s="3" t="n"/>
      <c r="D81" s="3" t="n"/>
    </row>
    <row r="82" ht="15.75" customHeight="1" s="35">
      <c r="A82" s="3" t="n"/>
      <c r="B82" s="3" t="n"/>
      <c r="C82" s="3" t="n"/>
      <c r="D82" s="3" t="n"/>
    </row>
    <row r="83" ht="15.75" customHeight="1" s="35">
      <c r="A83" s="3" t="n"/>
      <c r="B83" s="3" t="n"/>
      <c r="C83" s="3" t="n"/>
      <c r="D83" s="3" t="n"/>
    </row>
    <row r="84" ht="15.75" customHeight="1" s="35">
      <c r="A84" s="3" t="n"/>
      <c r="B84" s="3" t="n"/>
      <c r="C84" s="3" t="n"/>
      <c r="D84" s="3" t="n"/>
    </row>
    <row r="85" ht="15.75" customHeight="1" s="35">
      <c r="A85" s="3" t="n"/>
      <c r="B85" s="3" t="n"/>
      <c r="C85" s="3" t="n"/>
      <c r="D85" s="3" t="n"/>
    </row>
    <row r="86" ht="15.75" customHeight="1" s="35">
      <c r="A86" s="3" t="n"/>
      <c r="B86" s="3" t="n"/>
      <c r="C86" s="3" t="n"/>
      <c r="D86" s="3" t="n"/>
    </row>
    <row r="87" ht="15.75" customHeight="1" s="35">
      <c r="A87" s="3" t="n"/>
      <c r="B87" s="3" t="n"/>
      <c r="C87" s="3" t="n"/>
      <c r="D87" s="3" t="n"/>
    </row>
    <row r="88" ht="15.75" customHeight="1" s="35">
      <c r="A88" s="3" t="n"/>
      <c r="B88" s="3" t="n"/>
      <c r="C88" s="3" t="n"/>
      <c r="D88" s="3" t="n"/>
    </row>
    <row r="89" ht="15.75" customHeight="1" s="35">
      <c r="A89" s="3" t="n"/>
      <c r="B89" s="3" t="n"/>
      <c r="C89" s="3" t="n"/>
      <c r="D89" s="3" t="n"/>
    </row>
    <row r="90" ht="15.75" customHeight="1" s="35">
      <c r="A90" s="3" t="n"/>
      <c r="B90" s="3" t="n"/>
      <c r="C90" s="3" t="n"/>
      <c r="D90" s="3" t="n"/>
    </row>
    <row r="91" ht="15.75" customHeight="1" s="35">
      <c r="A91" s="3" t="n"/>
      <c r="B91" s="3" t="n"/>
      <c r="C91" s="3" t="n"/>
      <c r="D91" s="3" t="n"/>
    </row>
    <row r="92" ht="15.75" customHeight="1" s="35">
      <c r="A92" s="3" t="n"/>
      <c r="B92" s="3" t="n"/>
      <c r="C92" s="3" t="n"/>
      <c r="D92" s="3" t="n"/>
    </row>
    <row r="93" ht="15.75" customHeight="1" s="35">
      <c r="A93" s="3" t="n"/>
      <c r="B93" s="3" t="n"/>
      <c r="C93" s="3" t="n"/>
      <c r="D93" s="3" t="n"/>
    </row>
    <row r="94" ht="15.75" customHeight="1" s="35">
      <c r="A94" s="3" t="n"/>
      <c r="B94" s="3" t="n"/>
      <c r="C94" s="3" t="n"/>
      <c r="D94" s="3" t="n"/>
    </row>
    <row r="95" ht="15.75" customHeight="1" s="35">
      <c r="A95" s="3" t="n"/>
      <c r="B95" s="3" t="n"/>
      <c r="C95" s="3" t="n"/>
      <c r="D95" s="3" t="n"/>
    </row>
    <row r="96" ht="15.75" customHeight="1" s="35">
      <c r="A96" s="3" t="n"/>
      <c r="B96" s="3" t="n"/>
      <c r="C96" s="3" t="n"/>
      <c r="D96" s="3" t="n"/>
    </row>
    <row r="97" ht="15.75" customHeight="1" s="35">
      <c r="A97" s="3" t="n"/>
      <c r="B97" s="3" t="n"/>
      <c r="C97" s="3" t="n"/>
      <c r="D97" s="3" t="n"/>
    </row>
    <row r="98" ht="15.75" customHeight="1" s="35">
      <c r="A98" s="3" t="n"/>
      <c r="B98" s="3" t="n"/>
      <c r="C98" s="3" t="n"/>
      <c r="D98" s="3" t="n"/>
    </row>
    <row r="99" ht="15.75" customHeight="1" s="35">
      <c r="A99" s="3" t="n"/>
      <c r="B99" s="3" t="n"/>
      <c r="C99" s="3" t="n"/>
      <c r="D99" s="3" t="n"/>
    </row>
    <row r="100" ht="15.75" customHeight="1" s="35">
      <c r="A100" s="3" t="n"/>
      <c r="B100" s="3" t="n"/>
      <c r="C100" s="3" t="n"/>
      <c r="D100" s="3" t="n"/>
    </row>
    <row r="101" ht="15.75" customHeight="1" s="35">
      <c r="A101" s="3" t="n"/>
      <c r="B101" s="3" t="n"/>
      <c r="C101" s="3" t="n"/>
      <c r="D101" s="3" t="n"/>
    </row>
    <row r="102" ht="15.75" customHeight="1" s="35">
      <c r="A102" s="3" t="n"/>
      <c r="B102" s="3" t="n"/>
      <c r="C102" s="3" t="n"/>
      <c r="D102" s="3" t="n"/>
    </row>
    <row r="103" ht="15.75" customHeight="1" s="35">
      <c r="A103" s="3" t="n"/>
      <c r="B103" s="3" t="n"/>
      <c r="C103" s="3" t="n"/>
      <c r="D103" s="3" t="n"/>
    </row>
    <row r="104" ht="15.75" customHeight="1" s="35">
      <c r="A104" s="3" t="n"/>
      <c r="B104" s="3" t="n"/>
      <c r="C104" s="3" t="n"/>
      <c r="D104" s="3" t="n"/>
    </row>
    <row r="105" ht="15.75" customHeight="1" s="35">
      <c r="A105" s="3" t="n"/>
      <c r="B105" s="3" t="n"/>
      <c r="C105" s="3" t="n"/>
      <c r="D105" s="3" t="n"/>
    </row>
    <row r="106" ht="15.75" customHeight="1" s="35">
      <c r="A106" s="3" t="n"/>
      <c r="B106" s="3" t="n"/>
      <c r="C106" s="3" t="n"/>
      <c r="D106" s="3" t="n"/>
    </row>
    <row r="107" ht="15.75" customHeight="1" s="35">
      <c r="A107" s="3" t="n"/>
      <c r="B107" s="3" t="n"/>
      <c r="C107" s="3" t="n"/>
      <c r="D107" s="3" t="n"/>
    </row>
    <row r="108" ht="15.75" customHeight="1" s="35">
      <c r="A108" s="3" t="n"/>
      <c r="B108" s="3" t="n"/>
      <c r="C108" s="3" t="n"/>
      <c r="D108" s="3" t="n"/>
    </row>
    <row r="109" ht="15.75" customHeight="1" s="35">
      <c r="A109" s="3" t="n"/>
      <c r="B109" s="3" t="n"/>
      <c r="C109" s="3" t="n"/>
      <c r="D109" s="3" t="n"/>
    </row>
    <row r="110" ht="15.75" customHeight="1" s="35">
      <c r="A110" s="3" t="n"/>
      <c r="B110" s="3" t="n"/>
      <c r="C110" s="3" t="n"/>
      <c r="D110" s="3" t="n"/>
    </row>
    <row r="111" ht="15.75" customHeight="1" s="35">
      <c r="A111" s="3" t="n"/>
      <c r="B111" s="3" t="n"/>
      <c r="C111" s="3" t="n"/>
      <c r="D111" s="3" t="n"/>
    </row>
    <row r="112" ht="15.75" customHeight="1" s="35">
      <c r="A112" s="3" t="n"/>
      <c r="B112" s="3" t="n"/>
      <c r="C112" s="3" t="n"/>
      <c r="D112" s="3" t="n"/>
    </row>
    <row r="113" ht="15.75" customHeight="1" s="35">
      <c r="A113" s="3" t="n"/>
      <c r="B113" s="3" t="n"/>
      <c r="C113" s="3" t="n"/>
      <c r="D113" s="3" t="n"/>
    </row>
    <row r="114" ht="15.75" customHeight="1" s="35">
      <c r="A114" s="3" t="n"/>
      <c r="B114" s="3" t="n"/>
      <c r="C114" s="3" t="n"/>
      <c r="D114" s="3" t="n"/>
    </row>
    <row r="115" ht="15.75" customHeight="1" s="35">
      <c r="A115" s="3" t="n"/>
      <c r="B115" s="3" t="n"/>
      <c r="C115" s="3" t="n"/>
      <c r="D115" s="3" t="n"/>
    </row>
    <row r="116" ht="15.75" customHeight="1" s="35">
      <c r="A116" s="3" t="n"/>
      <c r="B116" s="3" t="n"/>
      <c r="C116" s="3" t="n"/>
      <c r="D116" s="3" t="n"/>
    </row>
    <row r="117" ht="15.75" customHeight="1" s="35">
      <c r="A117" s="3" t="n"/>
      <c r="B117" s="3" t="n"/>
      <c r="C117" s="3" t="n"/>
      <c r="D117" s="3" t="n"/>
    </row>
    <row r="118" ht="15.75" customHeight="1" s="35">
      <c r="A118" s="3" t="n"/>
      <c r="B118" s="3" t="n"/>
      <c r="C118" s="3" t="n"/>
      <c r="D118" s="3" t="n"/>
    </row>
    <row r="119" ht="15.75" customHeight="1" s="35">
      <c r="A119" s="3" t="n"/>
      <c r="B119" s="3" t="n"/>
      <c r="C119" s="3" t="n"/>
      <c r="D119" s="3" t="n"/>
    </row>
    <row r="120" ht="15.75" customHeight="1" s="35">
      <c r="A120" s="3" t="n"/>
      <c r="B120" s="3" t="n"/>
      <c r="C120" s="3" t="n"/>
      <c r="D120" s="3" t="n"/>
    </row>
    <row r="121" ht="15.75" customHeight="1" s="35">
      <c r="A121" s="3" t="n"/>
      <c r="B121" s="3" t="n"/>
      <c r="C121" s="3" t="n"/>
      <c r="D121" s="3" t="n"/>
    </row>
    <row r="122" ht="15.75" customHeight="1" s="35">
      <c r="A122" s="3" t="n"/>
      <c r="B122" s="3" t="n"/>
      <c r="C122" s="3" t="n"/>
      <c r="D122" s="3" t="n"/>
    </row>
    <row r="123" ht="15.75" customHeight="1" s="35">
      <c r="A123" s="3" t="n"/>
      <c r="B123" s="3" t="n"/>
      <c r="C123" s="3" t="n"/>
      <c r="D123" s="3" t="n"/>
    </row>
    <row r="124" ht="15.75" customHeight="1" s="35">
      <c r="A124" s="3" t="n"/>
      <c r="B124" s="3" t="n"/>
      <c r="C124" s="3" t="n"/>
      <c r="D124" s="3" t="n"/>
    </row>
    <row r="125" ht="15.75" customHeight="1" s="35">
      <c r="A125" s="3" t="n"/>
      <c r="B125" s="3" t="n"/>
      <c r="C125" s="3" t="n"/>
      <c r="D125" s="3" t="n"/>
    </row>
    <row r="126" ht="15.75" customHeight="1" s="35">
      <c r="A126" s="3" t="n"/>
      <c r="B126" s="3" t="n"/>
      <c r="C126" s="3" t="n"/>
      <c r="D126" s="3" t="n"/>
    </row>
    <row r="127" ht="15.75" customHeight="1" s="35">
      <c r="A127" s="3" t="n"/>
      <c r="B127" s="3" t="n"/>
      <c r="C127" s="3" t="n"/>
      <c r="D127" s="3" t="n"/>
    </row>
    <row r="128" ht="15.75" customHeight="1" s="35">
      <c r="A128" s="3" t="n"/>
      <c r="B128" s="3" t="n"/>
      <c r="C128" s="3" t="n"/>
      <c r="D128" s="3" t="n"/>
    </row>
    <row r="129" ht="15.75" customHeight="1" s="35">
      <c r="A129" s="3" t="n"/>
      <c r="B129" s="3" t="n"/>
      <c r="C129" s="3" t="n"/>
      <c r="D129" s="3" t="n"/>
    </row>
    <row r="130" ht="15.75" customHeight="1" s="35">
      <c r="A130" s="3" t="n"/>
      <c r="B130" s="3" t="n"/>
      <c r="C130" s="3" t="n"/>
      <c r="D130" s="3" t="n"/>
    </row>
    <row r="131" ht="15.75" customHeight="1" s="35">
      <c r="A131" s="3" t="n"/>
      <c r="B131" s="3" t="n"/>
      <c r="C131" s="3" t="n"/>
      <c r="D131" s="3" t="n"/>
    </row>
    <row r="132" ht="15.75" customHeight="1" s="35">
      <c r="A132" s="3" t="n"/>
      <c r="B132" s="3" t="n"/>
      <c r="C132" s="3" t="n"/>
      <c r="D132" s="3" t="n"/>
    </row>
    <row r="133" ht="15.75" customHeight="1" s="35">
      <c r="A133" s="3" t="n"/>
      <c r="B133" s="3" t="n"/>
      <c r="C133" s="3" t="n"/>
      <c r="D133" s="3" t="n"/>
    </row>
    <row r="134" ht="15.75" customHeight="1" s="35">
      <c r="A134" s="3" t="n"/>
      <c r="B134" s="3" t="n"/>
      <c r="C134" s="3" t="n"/>
      <c r="D134" s="3" t="n"/>
    </row>
    <row r="135" ht="15.75" customHeight="1" s="35">
      <c r="A135" s="3" t="n"/>
      <c r="B135" s="3" t="n"/>
      <c r="C135" s="3" t="n"/>
      <c r="D135" s="3" t="n"/>
    </row>
    <row r="136" ht="15.75" customHeight="1" s="35">
      <c r="A136" s="3" t="n"/>
      <c r="B136" s="3" t="n"/>
      <c r="C136" s="3" t="n"/>
      <c r="D136" s="3" t="n"/>
    </row>
    <row r="137" ht="15.75" customHeight="1" s="35">
      <c r="A137" s="3" t="n"/>
      <c r="B137" s="3" t="n"/>
      <c r="C137" s="3" t="n"/>
      <c r="D137" s="3" t="n"/>
    </row>
    <row r="138" ht="15.75" customHeight="1" s="35">
      <c r="A138" s="3" t="n"/>
      <c r="B138" s="3" t="n"/>
      <c r="C138" s="3" t="n"/>
      <c r="D138" s="3" t="n"/>
    </row>
    <row r="139" ht="15.75" customHeight="1" s="35">
      <c r="A139" s="3" t="n"/>
      <c r="B139" s="3" t="n"/>
      <c r="C139" s="3" t="n"/>
      <c r="D139" s="3" t="n"/>
    </row>
    <row r="140" ht="15.75" customHeight="1" s="35">
      <c r="A140" s="3" t="n"/>
      <c r="B140" s="3" t="n"/>
      <c r="C140" s="3" t="n"/>
      <c r="D140" s="3" t="n"/>
    </row>
    <row r="141" ht="15.75" customHeight="1" s="35">
      <c r="A141" s="3" t="n"/>
      <c r="B141" s="3" t="n"/>
      <c r="C141" s="3" t="n"/>
      <c r="D141" s="3" t="n"/>
    </row>
    <row r="142" ht="15.75" customHeight="1" s="35">
      <c r="A142" s="3" t="n"/>
      <c r="B142" s="3" t="n"/>
      <c r="C142" s="3" t="n"/>
      <c r="D142" s="3" t="n"/>
    </row>
    <row r="143" ht="15.75" customHeight="1" s="35">
      <c r="A143" s="3" t="n"/>
      <c r="B143" s="3" t="n"/>
      <c r="C143" s="3" t="n"/>
      <c r="D143" s="3" t="n"/>
    </row>
    <row r="144" ht="15.75" customHeight="1" s="35">
      <c r="A144" s="3" t="n"/>
      <c r="B144" s="3" t="n"/>
      <c r="C144" s="3" t="n"/>
      <c r="D144" s="3" t="n"/>
    </row>
    <row r="145" ht="15.75" customHeight="1" s="35">
      <c r="A145" s="3" t="n"/>
      <c r="B145" s="3" t="n"/>
      <c r="C145" s="3" t="n"/>
      <c r="D145" s="3" t="n"/>
    </row>
    <row r="146" ht="15.75" customHeight="1" s="35">
      <c r="A146" s="3" t="n"/>
      <c r="B146" s="3" t="n"/>
      <c r="C146" s="3" t="n"/>
      <c r="D146" s="3" t="n"/>
    </row>
    <row r="147" ht="15.75" customHeight="1" s="35">
      <c r="A147" s="3" t="n"/>
      <c r="B147" s="3" t="n"/>
      <c r="C147" s="3" t="n"/>
      <c r="D147" s="3" t="n"/>
    </row>
    <row r="148" ht="15.75" customHeight="1" s="35">
      <c r="A148" s="3" t="n"/>
      <c r="B148" s="3" t="n"/>
      <c r="C148" s="3" t="n"/>
      <c r="D148" s="3" t="n"/>
    </row>
    <row r="149" ht="15.75" customHeight="1" s="35">
      <c r="A149" s="3" t="n"/>
      <c r="B149" s="3" t="n"/>
      <c r="C149" s="3" t="n"/>
      <c r="D149" s="3" t="n"/>
    </row>
    <row r="150" ht="15.75" customHeight="1" s="35">
      <c r="A150" s="3" t="n"/>
      <c r="B150" s="3" t="n"/>
      <c r="C150" s="3" t="n"/>
      <c r="D150" s="3" t="n"/>
    </row>
    <row r="151" ht="15.75" customHeight="1" s="35">
      <c r="A151" s="3" t="n"/>
      <c r="B151" s="3" t="n"/>
      <c r="C151" s="3" t="n"/>
      <c r="D151" s="3" t="n"/>
    </row>
    <row r="152" ht="15.75" customHeight="1" s="35">
      <c r="A152" s="3" t="n"/>
      <c r="B152" s="3" t="n"/>
      <c r="C152" s="3" t="n"/>
      <c r="D152" s="3" t="n"/>
    </row>
    <row r="153" ht="15.75" customHeight="1" s="35">
      <c r="A153" s="3" t="n"/>
      <c r="B153" s="3" t="n"/>
      <c r="C153" s="3" t="n"/>
      <c r="D153" s="3" t="n"/>
    </row>
    <row r="154" ht="15.75" customHeight="1" s="35">
      <c r="A154" s="3" t="n"/>
      <c r="B154" s="3" t="n"/>
      <c r="C154" s="3" t="n"/>
      <c r="D154" s="3" t="n"/>
    </row>
    <row r="155" ht="15.75" customHeight="1" s="35">
      <c r="A155" s="3" t="n"/>
      <c r="B155" s="3" t="n"/>
      <c r="C155" s="3" t="n"/>
      <c r="D155" s="3" t="n"/>
    </row>
    <row r="156" ht="15.75" customHeight="1" s="35">
      <c r="A156" s="3" t="n"/>
      <c r="B156" s="3" t="n"/>
      <c r="C156" s="3" t="n"/>
      <c r="D156" s="3" t="n"/>
    </row>
    <row r="157" ht="15.75" customHeight="1" s="35">
      <c r="A157" s="3" t="n"/>
      <c r="B157" s="3" t="n"/>
      <c r="C157" s="3" t="n"/>
      <c r="D157" s="3" t="n"/>
    </row>
    <row r="158" ht="15.75" customHeight="1" s="35">
      <c r="A158" s="3" t="n"/>
      <c r="B158" s="3" t="n"/>
      <c r="C158" s="3" t="n"/>
      <c r="D158" s="3" t="n"/>
    </row>
    <row r="159" ht="15.75" customHeight="1" s="35">
      <c r="A159" s="3" t="n"/>
      <c r="B159" s="3" t="n"/>
      <c r="C159" s="3" t="n"/>
      <c r="D159" s="3" t="n"/>
    </row>
    <row r="160" ht="15.75" customHeight="1" s="35">
      <c r="A160" s="3" t="n"/>
      <c r="B160" s="3" t="n"/>
      <c r="C160" s="3" t="n"/>
      <c r="D160" s="3" t="n"/>
    </row>
    <row r="161" ht="15.75" customHeight="1" s="35">
      <c r="A161" s="3" t="n"/>
      <c r="B161" s="3" t="n"/>
      <c r="C161" s="3" t="n"/>
      <c r="D161" s="3" t="n"/>
    </row>
    <row r="162" ht="15.75" customHeight="1" s="35">
      <c r="A162" s="3" t="n"/>
      <c r="B162" s="3" t="n"/>
      <c r="C162" s="3" t="n"/>
      <c r="D162" s="3" t="n"/>
    </row>
    <row r="163" ht="15.75" customHeight="1" s="35">
      <c r="A163" s="3" t="n"/>
      <c r="B163" s="3" t="n"/>
      <c r="C163" s="3" t="n"/>
      <c r="D163" s="3" t="n"/>
    </row>
    <row r="164" ht="15.75" customHeight="1" s="35">
      <c r="A164" s="3" t="n"/>
      <c r="B164" s="3" t="n"/>
      <c r="C164" s="3" t="n"/>
      <c r="D164" s="3" t="n"/>
    </row>
    <row r="165" ht="15.75" customHeight="1" s="35">
      <c r="A165" s="3" t="n"/>
      <c r="B165" s="3" t="n"/>
      <c r="C165" s="3" t="n"/>
      <c r="D165" s="3" t="n"/>
    </row>
    <row r="166" ht="15.75" customHeight="1" s="35">
      <c r="A166" s="3" t="n"/>
      <c r="B166" s="3" t="n"/>
      <c r="C166" s="3" t="n"/>
      <c r="D166" s="3" t="n"/>
    </row>
    <row r="167" ht="15.75" customHeight="1" s="35">
      <c r="A167" s="3" t="n"/>
      <c r="B167" s="3" t="n"/>
      <c r="C167" s="3" t="n"/>
      <c r="D167" s="3" t="n"/>
    </row>
    <row r="168" ht="15.75" customHeight="1" s="35">
      <c r="A168" s="3" t="n"/>
      <c r="B168" s="3" t="n"/>
      <c r="C168" s="3" t="n"/>
      <c r="D168" s="3" t="n"/>
    </row>
    <row r="169" ht="15.75" customHeight="1" s="35">
      <c r="A169" s="3" t="n"/>
      <c r="B169" s="3" t="n"/>
      <c r="C169" s="3" t="n"/>
      <c r="D169" s="3" t="n"/>
    </row>
    <row r="170" ht="15.75" customHeight="1" s="35">
      <c r="A170" s="3" t="n"/>
      <c r="B170" s="3" t="n"/>
      <c r="C170" s="3" t="n"/>
      <c r="D170" s="3" t="n"/>
    </row>
    <row r="171" ht="15.75" customHeight="1" s="35">
      <c r="A171" s="3" t="n"/>
      <c r="B171" s="3" t="n"/>
      <c r="C171" s="3" t="n"/>
      <c r="D171" s="3" t="n"/>
    </row>
    <row r="172" ht="15.75" customHeight="1" s="35">
      <c r="A172" s="3" t="n"/>
      <c r="B172" s="3" t="n"/>
      <c r="C172" s="3" t="n"/>
      <c r="D172" s="3" t="n"/>
    </row>
    <row r="173" ht="15.75" customHeight="1" s="35">
      <c r="A173" s="3" t="n"/>
      <c r="B173" s="3" t="n"/>
      <c r="C173" s="3" t="n"/>
      <c r="D173" s="3" t="n"/>
    </row>
    <row r="174" ht="15.75" customHeight="1" s="35">
      <c r="A174" s="3" t="n"/>
      <c r="B174" s="3" t="n"/>
      <c r="C174" s="3" t="n"/>
      <c r="D174" s="3" t="n"/>
    </row>
    <row r="175" ht="15.75" customHeight="1" s="35">
      <c r="A175" s="3" t="n"/>
      <c r="B175" s="3" t="n"/>
      <c r="C175" s="3" t="n"/>
      <c r="D175" s="3" t="n"/>
    </row>
    <row r="176" ht="15.75" customHeight="1" s="35">
      <c r="A176" s="3" t="n"/>
      <c r="B176" s="3" t="n"/>
      <c r="C176" s="3" t="n"/>
      <c r="D176" s="3" t="n"/>
    </row>
    <row r="177" ht="15.75" customHeight="1" s="35">
      <c r="A177" s="3" t="n"/>
      <c r="B177" s="3" t="n"/>
      <c r="C177" s="3" t="n"/>
      <c r="D177" s="3" t="n"/>
    </row>
    <row r="178" ht="15.75" customHeight="1" s="35">
      <c r="A178" s="3" t="n"/>
      <c r="B178" s="3" t="n"/>
      <c r="C178" s="3" t="n"/>
      <c r="D178" s="3" t="n"/>
    </row>
    <row r="179" ht="15.75" customHeight="1" s="35">
      <c r="A179" s="3" t="n"/>
      <c r="B179" s="3" t="n"/>
      <c r="C179" s="3" t="n"/>
      <c r="D179" s="3" t="n"/>
    </row>
    <row r="180" ht="15.75" customHeight="1" s="35">
      <c r="A180" s="3" t="n"/>
      <c r="B180" s="3" t="n"/>
      <c r="C180" s="3" t="n"/>
      <c r="D180" s="3" t="n"/>
    </row>
    <row r="181" ht="15.75" customHeight="1" s="35">
      <c r="A181" s="3" t="n"/>
      <c r="B181" s="3" t="n"/>
      <c r="C181" s="3" t="n"/>
      <c r="D181" s="3" t="n"/>
    </row>
    <row r="182" ht="15.75" customHeight="1" s="35">
      <c r="A182" s="3" t="n"/>
      <c r="B182" s="3" t="n"/>
      <c r="C182" s="3" t="n"/>
      <c r="D182" s="3" t="n"/>
    </row>
    <row r="183" ht="15.75" customHeight="1" s="35">
      <c r="A183" s="3" t="n"/>
      <c r="B183" s="3" t="n"/>
      <c r="C183" s="3" t="n"/>
      <c r="D183" s="3" t="n"/>
    </row>
    <row r="184" ht="15.75" customHeight="1" s="35">
      <c r="A184" s="3" t="n"/>
      <c r="B184" s="3" t="n"/>
      <c r="C184" s="3" t="n"/>
      <c r="D184" s="3" t="n"/>
    </row>
    <row r="185" ht="15.75" customHeight="1" s="35">
      <c r="A185" s="3" t="n"/>
      <c r="B185" s="3" t="n"/>
      <c r="C185" s="3" t="n"/>
      <c r="D185" s="3" t="n"/>
    </row>
    <row r="186" ht="15.75" customHeight="1" s="35">
      <c r="A186" s="3" t="n"/>
      <c r="B186" s="3" t="n"/>
      <c r="C186" s="3" t="n"/>
      <c r="D186" s="3" t="n"/>
    </row>
    <row r="187" ht="15.75" customHeight="1" s="35">
      <c r="A187" s="3" t="n"/>
      <c r="B187" s="3" t="n"/>
      <c r="C187" s="3" t="n"/>
      <c r="D187" s="3" t="n"/>
    </row>
    <row r="188" ht="15.75" customHeight="1" s="35">
      <c r="A188" s="3" t="n"/>
      <c r="B188" s="3" t="n"/>
      <c r="C188" s="3" t="n"/>
      <c r="D188" s="3" t="n"/>
    </row>
    <row r="189" ht="15.75" customHeight="1" s="35">
      <c r="A189" s="3" t="n"/>
      <c r="B189" s="3" t="n"/>
      <c r="C189" s="3" t="n"/>
      <c r="D189" s="3" t="n"/>
    </row>
    <row r="190" ht="15.75" customHeight="1" s="35">
      <c r="A190" s="3" t="n"/>
      <c r="B190" s="3" t="n"/>
      <c r="C190" s="3" t="n"/>
      <c r="D190" s="3" t="n"/>
    </row>
    <row r="191" ht="15.75" customHeight="1" s="35">
      <c r="A191" s="3" t="n"/>
      <c r="B191" s="3" t="n"/>
      <c r="C191" s="3" t="n"/>
      <c r="D191" s="3" t="n"/>
    </row>
    <row r="192" ht="15.75" customHeight="1" s="35">
      <c r="A192" s="3" t="n"/>
      <c r="B192" s="3" t="n"/>
      <c r="C192" s="3" t="n"/>
      <c r="D192" s="3" t="n"/>
    </row>
    <row r="193" ht="15.75" customHeight="1" s="35">
      <c r="A193" s="3" t="n"/>
      <c r="B193" s="3" t="n"/>
      <c r="C193" s="3" t="n"/>
      <c r="D193" s="3" t="n"/>
    </row>
    <row r="194" ht="15.75" customHeight="1" s="35">
      <c r="A194" s="3" t="n"/>
      <c r="B194" s="3" t="n"/>
      <c r="C194" s="3" t="n"/>
      <c r="D194" s="3" t="n"/>
    </row>
    <row r="195" ht="15.75" customHeight="1" s="35">
      <c r="A195" s="3" t="n"/>
      <c r="B195" s="3" t="n"/>
      <c r="C195" s="3" t="n"/>
      <c r="D195" s="3" t="n"/>
    </row>
    <row r="196" ht="15.75" customHeight="1" s="35">
      <c r="A196" s="3" t="n"/>
      <c r="B196" s="3" t="n"/>
      <c r="C196" s="3" t="n"/>
      <c r="D196" s="3" t="n"/>
    </row>
    <row r="197" ht="15.75" customHeight="1" s="35">
      <c r="A197" s="3" t="n"/>
      <c r="B197" s="3" t="n"/>
      <c r="C197" s="3" t="n"/>
      <c r="D197" s="3" t="n"/>
    </row>
    <row r="198" ht="15.75" customHeight="1" s="35">
      <c r="A198" s="3" t="n"/>
      <c r="B198" s="3" t="n"/>
      <c r="C198" s="3" t="n"/>
      <c r="D198" s="3" t="n"/>
    </row>
    <row r="199" ht="15.75" customHeight="1" s="35">
      <c r="A199" s="3" t="n"/>
      <c r="B199" s="3" t="n"/>
      <c r="C199" s="3" t="n"/>
      <c r="D199" s="3" t="n"/>
    </row>
    <row r="200" ht="15.75" customHeight="1" s="35">
      <c r="A200" s="3" t="n"/>
      <c r="B200" s="3" t="n"/>
      <c r="C200" s="3" t="n"/>
      <c r="D200" s="3" t="n"/>
    </row>
    <row r="201" ht="15.75" customHeight="1" s="35">
      <c r="A201" s="3" t="n"/>
      <c r="B201" s="3" t="n"/>
      <c r="C201" s="3" t="n"/>
      <c r="D201" s="3" t="n"/>
    </row>
    <row r="202" ht="15.75" customHeight="1" s="35">
      <c r="A202" s="3" t="n"/>
      <c r="B202" s="3" t="n"/>
      <c r="C202" s="3" t="n"/>
      <c r="D202" s="3" t="n"/>
    </row>
    <row r="203" ht="15.75" customHeight="1" s="35">
      <c r="A203" s="3" t="n"/>
      <c r="B203" s="3" t="n"/>
      <c r="C203" s="3" t="n"/>
      <c r="D203" s="3" t="n"/>
    </row>
    <row r="204" ht="15.75" customHeight="1" s="35">
      <c r="A204" s="3" t="n"/>
      <c r="B204" s="3" t="n"/>
      <c r="C204" s="3" t="n"/>
      <c r="D204" s="3" t="n"/>
    </row>
    <row r="205" ht="15.75" customHeight="1" s="35">
      <c r="A205" s="3" t="n"/>
      <c r="B205" s="3" t="n"/>
      <c r="C205" s="3" t="n"/>
      <c r="D205" s="3" t="n"/>
    </row>
    <row r="206" ht="15.75" customHeight="1" s="35">
      <c r="A206" s="3" t="n"/>
      <c r="B206" s="3" t="n"/>
      <c r="C206" s="3" t="n"/>
      <c r="D206" s="3" t="n"/>
    </row>
    <row r="207" ht="15.75" customHeight="1" s="35">
      <c r="A207" s="3" t="n"/>
      <c r="B207" s="3" t="n"/>
      <c r="C207" s="3" t="n"/>
      <c r="D207" s="3" t="n"/>
    </row>
    <row r="208" ht="15.75" customHeight="1" s="35">
      <c r="A208" s="3" t="n"/>
      <c r="B208" s="3" t="n"/>
      <c r="C208" s="3" t="n"/>
      <c r="D208" s="3" t="n"/>
    </row>
    <row r="209" ht="15.75" customHeight="1" s="35">
      <c r="A209" s="3" t="n"/>
      <c r="B209" s="3" t="n"/>
      <c r="C209" s="3" t="n"/>
      <c r="D209" s="3" t="n"/>
    </row>
    <row r="210" ht="15.75" customHeight="1" s="35">
      <c r="A210" s="3" t="n"/>
      <c r="B210" s="3" t="n"/>
      <c r="C210" s="3" t="n"/>
      <c r="D210" s="3" t="n"/>
    </row>
    <row r="211" ht="15.75" customHeight="1" s="35">
      <c r="A211" s="3" t="n"/>
      <c r="B211" s="3" t="n"/>
      <c r="C211" s="3" t="n"/>
      <c r="D211" s="3" t="n"/>
    </row>
    <row r="212" ht="15.75" customHeight="1" s="35">
      <c r="A212" s="3" t="n"/>
      <c r="B212" s="3" t="n"/>
      <c r="C212" s="3" t="n"/>
      <c r="D212" s="3" t="n"/>
    </row>
    <row r="213" ht="15.75" customHeight="1" s="35">
      <c r="A213" s="3" t="n"/>
      <c r="B213" s="3" t="n"/>
      <c r="C213" s="3" t="n"/>
      <c r="D213" s="3" t="n"/>
    </row>
    <row r="214" ht="15.75" customHeight="1" s="35">
      <c r="A214" s="3" t="n"/>
      <c r="B214" s="3" t="n"/>
      <c r="C214" s="3" t="n"/>
      <c r="D214" s="3" t="n"/>
    </row>
    <row r="215" ht="15.75" customHeight="1" s="35">
      <c r="A215" s="3" t="n"/>
      <c r="B215" s="3" t="n"/>
      <c r="C215" s="3" t="n"/>
      <c r="D215" s="3" t="n"/>
    </row>
    <row r="216" ht="15.75" customHeight="1" s="35">
      <c r="A216" s="3" t="n"/>
      <c r="B216" s="3" t="n"/>
      <c r="C216" s="3" t="n"/>
      <c r="D216" s="3" t="n"/>
    </row>
    <row r="217" ht="15.75" customHeight="1" s="35">
      <c r="A217" s="3" t="n"/>
      <c r="B217" s="3" t="n"/>
      <c r="C217" s="3" t="n"/>
      <c r="D217" s="3" t="n"/>
    </row>
    <row r="218" ht="15.75" customHeight="1" s="35">
      <c r="A218" s="3" t="n"/>
      <c r="B218" s="3" t="n"/>
      <c r="C218" s="3" t="n"/>
      <c r="D218" s="3" t="n"/>
    </row>
    <row r="219" ht="15.75" customHeight="1" s="35">
      <c r="A219" s="3" t="n"/>
      <c r="B219" s="3" t="n"/>
      <c r="C219" s="3" t="n"/>
      <c r="D219" s="3" t="n"/>
    </row>
    <row r="220" ht="15.75" customHeight="1" s="35">
      <c r="A220" s="3" t="n"/>
      <c r="B220" s="3" t="n"/>
      <c r="C220" s="3" t="n"/>
      <c r="D220" s="3" t="n"/>
    </row>
    <row r="221" ht="15.75" customHeight="1" s="35">
      <c r="A221" s="3" t="n"/>
      <c r="B221" s="3" t="n"/>
      <c r="C221" s="3" t="n"/>
      <c r="D221" s="3" t="n"/>
    </row>
    <row r="222" ht="15.75" customHeight="1" s="35">
      <c r="A222" s="3" t="n"/>
      <c r="B222" s="3" t="n"/>
      <c r="C222" s="3" t="n"/>
      <c r="D222" s="3" t="n"/>
    </row>
    <row r="223" ht="15.75" customHeight="1" s="35">
      <c r="A223" s="3" t="n"/>
      <c r="B223" s="3" t="n"/>
      <c r="C223" s="3" t="n"/>
      <c r="D223" s="3" t="n"/>
    </row>
    <row r="224" ht="15.75" customHeight="1" s="35">
      <c r="A224" s="3" t="n"/>
      <c r="B224" s="3" t="n"/>
      <c r="C224" s="3" t="n"/>
      <c r="D224" s="3" t="n"/>
    </row>
    <row r="225" ht="15.75" customHeight="1" s="35">
      <c r="A225" s="3" t="n"/>
      <c r="B225" s="3" t="n"/>
      <c r="C225" s="3" t="n"/>
      <c r="D225" s="3" t="n"/>
    </row>
    <row r="226" ht="15.75" customHeight="1" s="35">
      <c r="A226" s="3" t="n"/>
      <c r="B226" s="3" t="n"/>
      <c r="C226" s="3" t="n"/>
      <c r="D226" s="3" t="n"/>
    </row>
    <row r="227" ht="15.75" customHeight="1" s="35">
      <c r="A227" s="3" t="n"/>
      <c r="B227" s="3" t="n"/>
      <c r="C227" s="3" t="n"/>
      <c r="D227" s="3" t="n"/>
    </row>
    <row r="228" ht="15.75" customHeight="1" s="35">
      <c r="A228" s="3" t="n"/>
      <c r="B228" s="3" t="n"/>
      <c r="C228" s="3" t="n"/>
      <c r="D228" s="3" t="n"/>
    </row>
    <row r="229" ht="15.75" customHeight="1" s="35">
      <c r="A229" s="3" t="n"/>
      <c r="B229" s="3" t="n"/>
      <c r="C229" s="3" t="n"/>
      <c r="D229" s="3" t="n"/>
    </row>
    <row r="230" ht="15.75" customHeight="1" s="35">
      <c r="A230" s="3" t="n"/>
      <c r="B230" s="3" t="n"/>
      <c r="C230" s="3" t="n"/>
      <c r="D230" s="3" t="n"/>
    </row>
    <row r="231" ht="15.75" customHeight="1" s="35">
      <c r="A231" s="3" t="n"/>
      <c r="B231" s="3" t="n"/>
      <c r="C231" s="3" t="n"/>
      <c r="D231" s="3" t="n"/>
    </row>
    <row r="232" ht="15.75" customHeight="1" s="35">
      <c r="A232" s="3" t="n"/>
      <c r="B232" s="3" t="n"/>
      <c r="C232" s="3" t="n"/>
      <c r="D232" s="3" t="n"/>
    </row>
    <row r="233" ht="15.75" customHeight="1" s="35">
      <c r="A233" s="3" t="n"/>
      <c r="B233" s="3" t="n"/>
      <c r="C233" s="3" t="n"/>
      <c r="D233" s="3" t="n"/>
    </row>
    <row r="234" ht="15.75" customHeight="1" s="35">
      <c r="A234" s="3" t="n"/>
      <c r="B234" s="3" t="n"/>
      <c r="C234" s="3" t="n"/>
      <c r="D234" s="3" t="n"/>
    </row>
    <row r="235" ht="15.75" customHeight="1" s="35">
      <c r="A235" s="3" t="n"/>
      <c r="B235" s="3" t="n"/>
      <c r="C235" s="3" t="n"/>
      <c r="D235" s="3" t="n"/>
    </row>
    <row r="236" ht="15.75" customHeight="1" s="35">
      <c r="A236" s="3" t="n"/>
      <c r="B236" s="3" t="n"/>
      <c r="C236" s="3" t="n"/>
      <c r="D236" s="3" t="n"/>
    </row>
    <row r="237" ht="15.75" customHeight="1" s="35">
      <c r="A237" s="3" t="n"/>
      <c r="B237" s="3" t="n"/>
      <c r="C237" s="3" t="n"/>
      <c r="D237" s="3" t="n"/>
    </row>
    <row r="238" ht="15.75" customHeight="1" s="35">
      <c r="A238" s="3" t="n"/>
      <c r="B238" s="3" t="n"/>
      <c r="C238" s="3" t="n"/>
      <c r="D238" s="3" t="n"/>
    </row>
    <row r="239" ht="15.75" customHeight="1" s="35">
      <c r="A239" s="3" t="n"/>
      <c r="B239" s="3" t="n"/>
      <c r="C239" s="3" t="n"/>
      <c r="D239" s="3" t="n"/>
    </row>
    <row r="240" ht="15.75" customHeight="1" s="35">
      <c r="A240" s="3" t="n"/>
      <c r="B240" s="3" t="n"/>
      <c r="C240" s="3" t="n"/>
      <c r="D240" s="3" t="n"/>
    </row>
    <row r="241" ht="15.75" customHeight="1" s="35">
      <c r="A241" s="3" t="n"/>
      <c r="B241" s="3" t="n"/>
      <c r="C241" s="3" t="n"/>
      <c r="D241" s="3" t="n"/>
    </row>
    <row r="242" ht="15.75" customHeight="1" s="35">
      <c r="A242" s="3" t="n"/>
      <c r="B242" s="3" t="n"/>
      <c r="C242" s="3" t="n"/>
      <c r="D242" s="3" t="n"/>
    </row>
    <row r="243" ht="15.75" customHeight="1" s="35">
      <c r="A243" s="3" t="n"/>
      <c r="B243" s="3" t="n"/>
      <c r="C243" s="3" t="n"/>
      <c r="D243" s="3" t="n"/>
    </row>
    <row r="244" ht="15.75" customHeight="1" s="35">
      <c r="A244" s="3" t="n"/>
      <c r="B244" s="3" t="n"/>
      <c r="C244" s="3" t="n"/>
      <c r="D244" s="3" t="n"/>
    </row>
    <row r="245" ht="15.75" customHeight="1" s="35">
      <c r="A245" s="3" t="n"/>
      <c r="B245" s="3" t="n"/>
      <c r="C245" s="3" t="n"/>
      <c r="D245" s="3" t="n"/>
    </row>
    <row r="246" ht="15.75" customHeight="1" s="35">
      <c r="A246" s="3" t="n"/>
      <c r="B246" s="3" t="n"/>
      <c r="C246" s="3" t="n"/>
      <c r="D246" s="3" t="n"/>
    </row>
    <row r="247" ht="15.75" customHeight="1" s="35">
      <c r="A247" s="3" t="n"/>
      <c r="B247" s="3" t="n"/>
      <c r="C247" s="3" t="n"/>
      <c r="D247" s="3" t="n"/>
    </row>
    <row r="248" ht="15.75" customHeight="1" s="35">
      <c r="A248" s="3" t="n"/>
      <c r="B248" s="3" t="n"/>
      <c r="C248" s="3" t="n"/>
      <c r="D248" s="3" t="n"/>
    </row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7">
    <mergeCell ref="A1:D1"/>
    <mergeCell ref="A5:D5"/>
    <mergeCell ref="A27:D27"/>
    <mergeCell ref="A34:D34"/>
    <mergeCell ref="A19:D19"/>
    <mergeCell ref="A2:D2"/>
    <mergeCell ref="A13:D13"/>
  </mergeCells>
  <conditionalFormatting sqref="C6:C40">
    <cfRule type="cellIs" priority="1" operator="equal" dxfId="0">
      <formula>"No"</formula>
    </cfRule>
    <cfRule type="cellIs" priority="2" operator="equal" dxfId="1">
      <formula>"Sí"</formula>
    </cfRule>
  </conditionalFormatting>
  <dataValidations count="1">
    <dataValidation sqref="C6:C12 C14:C18 C20:C26 C28:C33 C35:C40" showDropDown="0" showInputMessage="0" showErrorMessage="0" allowBlank="1" type="list">
      <formula1>"Sí,No"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5" min="1" max="1"/>
    <col width="62" customWidth="1" style="35" min="2" max="2"/>
    <col width="10" customWidth="1" style="35" min="3" max="5"/>
    <col width="38" customWidth="1" style="35" min="6" max="6"/>
  </cols>
  <sheetData>
    <row r="1" ht="25.5" customHeight="1" s="35">
      <c r="A1" s="1" t="inlineStr">
        <is>
          <t>Ficha de observación de la aplicación</t>
        </is>
      </c>
    </row>
    <row r="2" ht="30" customHeight="1" s="35">
      <c r="A2" s="2" t="inlineStr">
        <is>
          <t>La usa el docente en la simulación y el compañero observador en campo. Escala: 3 = logrado, 2 = parcial, 1 = no logrado.</t>
        </is>
      </c>
    </row>
    <row r="3">
      <c r="A3" s="3" t="n"/>
      <c r="B3" s="3" t="n"/>
      <c r="C3" s="3" t="n"/>
      <c r="D3" s="3" t="n"/>
      <c r="E3" s="3" t="n"/>
      <c r="F3" s="3" t="n"/>
    </row>
    <row r="4" ht="31.5" customHeight="1" s="35">
      <c r="A4" s="4" t="inlineStr">
        <is>
          <t>N.°</t>
        </is>
      </c>
      <c r="B4" s="4" t="inlineStr">
        <is>
          <t>Conducta observable</t>
        </is>
      </c>
      <c r="C4" s="4" t="inlineStr">
        <is>
          <t>3</t>
        </is>
      </c>
      <c r="D4" s="4" t="inlineStr">
        <is>
          <t>2</t>
        </is>
      </c>
      <c r="E4" s="4" t="inlineStr">
        <is>
          <t>1</t>
        </is>
      </c>
      <c r="F4" s="4" t="inlineStr">
        <is>
          <t>Comentario del observador</t>
        </is>
      </c>
    </row>
    <row r="5" ht="25.5" customHeight="1" s="35">
      <c r="A5" s="46" t="n">
        <v>1</v>
      </c>
      <c r="B5" s="6" t="inlineStr">
        <is>
          <t>Se presenta con claridad e indica su condición de estudiante investigador</t>
        </is>
      </c>
      <c r="C5" s="44" t="inlineStr">
        <is>
          <t>X</t>
        </is>
      </c>
      <c r="D5" s="45" t="n"/>
      <c r="E5" s="45" t="n"/>
      <c r="F5" s="38" t="inlineStr">
        <is>
          <t>Se presenta e indica la universidad y el propósito.</t>
        </is>
      </c>
    </row>
    <row r="6" ht="25.5" customHeight="1" s="35">
      <c r="A6" s="47" t="n">
        <v>2</v>
      </c>
      <c r="B6" s="8" t="inlineStr">
        <is>
          <t>Verifica la firma del consentimiento antes de entregar el instrumento</t>
        </is>
      </c>
      <c r="C6" s="44" t="inlineStr">
        <is>
          <t>X</t>
        </is>
      </c>
      <c r="D6" s="45" t="n"/>
      <c r="E6" s="45" t="n"/>
      <c r="F6" s="25" t="n"/>
    </row>
    <row r="7" ht="25.5" customHeight="1" s="35">
      <c r="A7" s="46" t="n">
        <v>3</v>
      </c>
      <c r="B7" s="6" t="inlineStr">
        <is>
          <t>Lee el guion completo sin agregar comentarios propios</t>
        </is>
      </c>
      <c r="C7" s="44" t="inlineStr">
        <is>
          <t>X</t>
        </is>
      </c>
      <c r="D7" s="45" t="n"/>
      <c r="E7" s="45" t="n"/>
      <c r="F7" s="38" t="inlineStr">
        <is>
          <t>Lectura textual del guion.</t>
        </is>
      </c>
    </row>
    <row r="8" ht="25.5" customHeight="1" s="35">
      <c r="A8" s="47" t="n">
        <v>4</v>
      </c>
      <c r="B8" s="8" t="inlineStr">
        <is>
          <t>Mantiene un tono neutro, sin inducir respuestas</t>
        </is>
      </c>
      <c r="C8" s="44" t="inlineStr">
        <is>
          <t>X</t>
        </is>
      </c>
      <c r="D8" s="45" t="n"/>
      <c r="E8" s="45" t="n"/>
      <c r="F8" s="25" t="n"/>
    </row>
    <row r="9" ht="25.5" customHeight="1" s="35">
      <c r="A9" s="46" t="n">
        <v>5</v>
      </c>
      <c r="B9" s="6" t="inlineStr">
        <is>
          <t>Indica con precisión el tiempo disponible</t>
        </is>
      </c>
      <c r="C9" s="44" t="inlineStr">
        <is>
          <t>X</t>
        </is>
      </c>
      <c r="D9" s="45" t="n"/>
      <c r="E9" s="45" t="n"/>
      <c r="F9" s="25" t="n"/>
    </row>
    <row r="10" ht="25.5" customHeight="1" s="35">
      <c r="A10" s="47" t="n">
        <v>6</v>
      </c>
      <c r="B10" s="8" t="inlineStr">
        <is>
          <t>Aclara que no es una evaluación de desempeño</t>
        </is>
      </c>
      <c r="C10" s="45" t="n"/>
      <c r="D10" s="44" t="inlineStr">
        <is>
          <t>X</t>
        </is>
      </c>
      <c r="E10" s="45" t="n"/>
      <c r="F10" s="38" t="inlineStr">
        <is>
          <t>Lo aclaró, pero no en todas las sesiones al inicio.</t>
        </is>
      </c>
    </row>
    <row r="11" ht="25.5" customHeight="1" s="35">
      <c r="A11" s="46" t="n">
        <v>7</v>
      </c>
      <c r="B11" s="6" t="inlineStr">
        <is>
          <t>Ante una duda, repite el ítem sin parafrasear</t>
        </is>
      </c>
      <c r="C11" s="44" t="inlineStr">
        <is>
          <t>X</t>
        </is>
      </c>
      <c r="D11" s="45" t="n"/>
      <c r="E11" s="45" t="n"/>
      <c r="F11" s="25" t="n"/>
    </row>
    <row r="12" ht="25.5" customHeight="1" s="35">
      <c r="A12" s="47" t="n">
        <v>8</v>
      </c>
      <c r="B12" s="8" t="inlineStr">
        <is>
          <t>No se aproxima a mirar lo que el participante responde</t>
        </is>
      </c>
      <c r="C12" s="44" t="inlineStr">
        <is>
          <t>X</t>
        </is>
      </c>
      <c r="D12" s="45" t="n"/>
      <c r="E12" s="45" t="n"/>
      <c r="F12" s="38" t="inlineStr">
        <is>
          <t>No mira la pantalla del participante (sesión por videollamada).</t>
        </is>
      </c>
    </row>
    <row r="13" ht="25.5" customHeight="1" s="35">
      <c r="A13" s="46" t="n">
        <v>9</v>
      </c>
      <c r="B13" s="6" t="inlineStr">
        <is>
          <t>Controla el tiempo y avisa cuando corresponde</t>
        </is>
      </c>
      <c r="C13" s="44" t="inlineStr">
        <is>
          <t>X</t>
        </is>
      </c>
      <c r="D13" s="45" t="n"/>
      <c r="E13" s="45" t="n"/>
      <c r="F13" s="25" t="n"/>
    </row>
    <row r="14" ht="25.5" customHeight="1" s="35">
      <c r="A14" s="47" t="n">
        <v>10</v>
      </c>
      <c r="B14" s="8" t="inlineStr">
        <is>
          <t>Da el mismo trato a todos los participantes</t>
        </is>
      </c>
      <c r="C14" s="44" t="inlineStr">
        <is>
          <t>X</t>
        </is>
      </c>
      <c r="D14" s="45" t="n"/>
      <c r="E14" s="45" t="n"/>
      <c r="F14" s="25" t="n"/>
    </row>
    <row r="15" ht="25.5" customHeight="1" s="35">
      <c r="A15" s="46" t="n">
        <v>11</v>
      </c>
      <c r="B15" s="6" t="inlineStr">
        <is>
          <t>Agradece y explica el paso siguiente al cerrar</t>
        </is>
      </c>
      <c r="C15" s="44" t="inlineStr">
        <is>
          <t>X</t>
        </is>
      </c>
      <c r="D15" s="45" t="n"/>
      <c r="E15" s="45" t="n"/>
      <c r="F15" s="25" t="n"/>
    </row>
    <row r="16" ht="25.5" customHeight="1" s="35">
      <c r="A16" s="47" t="n">
        <v>12</v>
      </c>
      <c r="B16" s="8" t="inlineStr">
        <is>
          <t>Codifica los instrumentos en el lugar, antes de retirarse</t>
        </is>
      </c>
      <c r="C16" s="44" t="inlineStr">
        <is>
          <t>X</t>
        </is>
      </c>
      <c r="D16" s="45" t="n"/>
      <c r="E16" s="45" t="n"/>
      <c r="F16" s="25" t="n"/>
    </row>
    <row r="17" ht="25.5" customHeight="1" s="35">
      <c r="A17" s="46" t="n">
        <v>13</v>
      </c>
      <c r="B17" s="6" t="inlineStr">
        <is>
          <t>Anota las incidencias en el momento en que ocurren</t>
        </is>
      </c>
      <c r="C17" s="45" t="n"/>
      <c r="D17" s="44" t="inlineStr">
        <is>
          <t>X</t>
        </is>
      </c>
      <c r="E17" s="45" t="n"/>
      <c r="F17" s="38" t="inlineStr">
        <is>
          <t>Dos incidencias se anotaron minutos después.</t>
        </is>
      </c>
    </row>
    <row r="18" ht="25.5" customHeight="1" s="35">
      <c r="A18" s="47" t="n">
        <v>14</v>
      </c>
      <c r="B18" s="8" t="inlineStr">
        <is>
          <t>Guarda los instrumentos de modo que no queden expuestos</t>
        </is>
      </c>
      <c r="C18" s="44" t="inlineStr">
        <is>
          <t>X</t>
        </is>
      </c>
      <c r="D18" s="45" t="n"/>
      <c r="E18" s="45" t="n"/>
      <c r="F18" s="25" t="n"/>
    </row>
    <row r="19">
      <c r="A19" s="3" t="n"/>
      <c r="B19" s="3" t="n"/>
      <c r="C19" s="3" t="n"/>
      <c r="D19" s="3" t="n"/>
      <c r="E19" s="3" t="n"/>
      <c r="F19" s="3" t="n"/>
    </row>
    <row r="20" ht="15" customHeight="1" s="35">
      <c r="A20" s="3" t="n"/>
      <c r="B20" s="27" t="inlineStr">
        <is>
          <t>Puntaje total (máximo 42)</t>
        </is>
      </c>
      <c r="C20" s="28">
        <f>COUNTIF(C5:C18,"X")*3+COUNTIF(D5:D18,"X")*2+COUNTIF(E5:E18,"X")*1</f>
        <v/>
      </c>
      <c r="D20" s="3" t="n"/>
      <c r="E20" s="3" t="n"/>
      <c r="F20" s="3" t="n"/>
    </row>
    <row r="21" ht="15" customHeight="1" s="35">
      <c r="A21" s="3" t="n"/>
      <c r="B21" s="27" t="inlineStr">
        <is>
          <t>Nivel alcanzado</t>
        </is>
      </c>
      <c r="C21" s="28">
        <f>IF(C20&gt;=38,"Logro destacado",IF(C20&gt;=30,"Logro esperado",IF(C20&gt;=24,"En proceso","En inicio")))</f>
        <v/>
      </c>
      <c r="D21" s="3" t="n"/>
      <c r="E21" s="3" t="n"/>
      <c r="F21" s="3" t="n"/>
    </row>
    <row r="22" ht="15.75" customHeight="1" s="35">
      <c r="A22" s="3" t="n"/>
      <c r="B22" s="3" t="n"/>
      <c r="C22" s="3" t="n"/>
      <c r="D22" s="3" t="n"/>
      <c r="E22" s="3" t="n"/>
      <c r="F22" s="3" t="n"/>
    </row>
    <row r="23" ht="15" customHeight="1" s="35">
      <c r="A23" s="3" t="n"/>
      <c r="B23" s="33" t="inlineStr">
        <is>
          <t>Marque con una X la columna que corresponda en cada conducta observada.</t>
        </is>
      </c>
      <c r="C23" s="3" t="n"/>
      <c r="D23" s="3" t="n"/>
      <c r="E23" s="3" t="n"/>
      <c r="F23" s="3" t="n"/>
    </row>
    <row r="24" ht="15.75" customHeight="1" s="35">
      <c r="A24" s="3" t="n"/>
      <c r="B24" s="3" t="n"/>
      <c r="C24" s="3" t="n"/>
      <c r="D24" s="3" t="n"/>
      <c r="E24" s="3" t="n"/>
      <c r="F24" s="3" t="n"/>
    </row>
    <row r="25" ht="15.75" customHeight="1" s="35">
      <c r="A25" s="3" t="n"/>
      <c r="B25" s="3" t="n"/>
      <c r="C25" s="3" t="n"/>
      <c r="D25" s="3" t="n"/>
      <c r="E25" s="3" t="n"/>
      <c r="F25" s="3" t="n"/>
    </row>
    <row r="26" ht="15.75" customHeight="1" s="35">
      <c r="A26" s="3" t="n"/>
      <c r="B26" s="3" t="n"/>
      <c r="C26" s="3" t="n"/>
      <c r="D26" s="3" t="n"/>
      <c r="E26" s="3" t="n"/>
      <c r="F26" s="3" t="n"/>
    </row>
    <row r="27" ht="15.75" customHeight="1" s="35">
      <c r="A27" s="3" t="n"/>
      <c r="B27" s="3" t="n"/>
      <c r="C27" s="3" t="n"/>
      <c r="D27" s="3" t="n"/>
      <c r="E27" s="3" t="n"/>
      <c r="F27" s="3" t="n"/>
    </row>
    <row r="28" ht="15.75" customHeight="1" s="35">
      <c r="A28" s="3" t="n"/>
      <c r="B28" s="3" t="n"/>
      <c r="C28" s="3" t="n"/>
      <c r="D28" s="3" t="n"/>
      <c r="E28" s="3" t="n"/>
      <c r="F28" s="3" t="n"/>
    </row>
    <row r="29" ht="15.75" customHeight="1" s="35">
      <c r="A29" s="3" t="n"/>
      <c r="B29" s="3" t="n"/>
      <c r="C29" s="3" t="n"/>
      <c r="D29" s="3" t="n"/>
      <c r="E29" s="3" t="n"/>
      <c r="F29" s="3" t="n"/>
    </row>
    <row r="30" ht="15.75" customHeight="1" s="35">
      <c r="A30" s="3" t="n"/>
      <c r="B30" s="3" t="n"/>
      <c r="C30" s="3" t="n"/>
      <c r="D30" s="3" t="n"/>
      <c r="E30" s="3" t="n"/>
      <c r="F30" s="3" t="n"/>
    </row>
    <row r="31" ht="15.75" customHeight="1" s="35">
      <c r="A31" s="3" t="n"/>
      <c r="B31" s="3" t="n"/>
      <c r="C31" s="3" t="n"/>
      <c r="D31" s="3" t="n"/>
      <c r="E31" s="3" t="n"/>
      <c r="F31" s="3" t="n"/>
    </row>
    <row r="32" ht="15.75" customHeight="1" s="35">
      <c r="A32" s="3" t="n"/>
      <c r="B32" s="3" t="n"/>
      <c r="C32" s="3" t="n"/>
      <c r="D32" s="3" t="n"/>
      <c r="E32" s="3" t="n"/>
      <c r="F32" s="3" t="n"/>
    </row>
    <row r="33" ht="15.75" customHeight="1" s="35">
      <c r="A33" s="3" t="n"/>
      <c r="B33" s="3" t="n"/>
      <c r="C33" s="3" t="n"/>
      <c r="D33" s="3" t="n"/>
      <c r="E33" s="3" t="n"/>
      <c r="F33" s="3" t="n"/>
    </row>
    <row r="34" ht="15.75" customHeight="1" s="35">
      <c r="A34" s="3" t="n"/>
      <c r="B34" s="3" t="n"/>
      <c r="C34" s="3" t="n"/>
      <c r="D34" s="3" t="n"/>
      <c r="E34" s="3" t="n"/>
      <c r="F34" s="3" t="n"/>
    </row>
    <row r="35" ht="15.75" customHeight="1" s="35">
      <c r="A35" s="3" t="n"/>
      <c r="B35" s="3" t="n"/>
      <c r="C35" s="3" t="n"/>
      <c r="D35" s="3" t="n"/>
      <c r="E35" s="3" t="n"/>
      <c r="F35" s="3" t="n"/>
    </row>
    <row r="36" ht="15.75" customHeight="1" s="35">
      <c r="A36" s="3" t="n"/>
      <c r="B36" s="3" t="n"/>
      <c r="C36" s="3" t="n"/>
      <c r="D36" s="3" t="n"/>
      <c r="E36" s="3" t="n"/>
      <c r="F36" s="3" t="n"/>
    </row>
    <row r="37" ht="15.75" customHeight="1" s="35">
      <c r="A37" s="3" t="n"/>
      <c r="B37" s="3" t="n"/>
      <c r="C37" s="3" t="n"/>
      <c r="D37" s="3" t="n"/>
      <c r="E37" s="3" t="n"/>
      <c r="F37" s="3" t="n"/>
    </row>
    <row r="38" ht="15.75" customHeight="1" s="35">
      <c r="A38" s="3" t="n"/>
      <c r="B38" s="3" t="n"/>
      <c r="C38" s="3" t="n"/>
      <c r="D38" s="3" t="n"/>
      <c r="E38" s="3" t="n"/>
      <c r="F38" s="3" t="n"/>
    </row>
    <row r="39" ht="15.75" customHeight="1" s="35">
      <c r="A39" s="3" t="n"/>
      <c r="B39" s="3" t="n"/>
      <c r="C39" s="3" t="n"/>
      <c r="D39" s="3" t="n"/>
      <c r="E39" s="3" t="n"/>
      <c r="F39" s="3" t="n"/>
    </row>
    <row r="40" ht="15.75" customHeight="1" s="35">
      <c r="A40" s="3" t="n"/>
      <c r="B40" s="3" t="n"/>
      <c r="C40" s="3" t="n"/>
      <c r="D40" s="3" t="n"/>
      <c r="E40" s="3" t="n"/>
      <c r="F40" s="3" t="n"/>
    </row>
    <row r="41" ht="15.75" customHeight="1" s="35">
      <c r="A41" s="3" t="n"/>
      <c r="B41" s="3" t="n"/>
      <c r="C41" s="3" t="n"/>
      <c r="D41" s="3" t="n"/>
      <c r="E41" s="3" t="n"/>
      <c r="F41" s="3" t="n"/>
    </row>
    <row r="42" ht="15.75" customHeight="1" s="35">
      <c r="A42" s="3" t="n"/>
      <c r="B42" s="3" t="n"/>
      <c r="C42" s="3" t="n"/>
      <c r="D42" s="3" t="n"/>
      <c r="E42" s="3" t="n"/>
      <c r="F42" s="3" t="n"/>
    </row>
    <row r="43" ht="15.75" customHeight="1" s="35">
      <c r="A43" s="3" t="n"/>
      <c r="B43" s="3" t="n"/>
      <c r="C43" s="3" t="n"/>
      <c r="D43" s="3" t="n"/>
      <c r="E43" s="3" t="n"/>
      <c r="F43" s="3" t="n"/>
    </row>
    <row r="44" ht="15.75" customHeight="1" s="35">
      <c r="A44" s="3" t="n"/>
      <c r="B44" s="3" t="n"/>
      <c r="C44" s="3" t="n"/>
      <c r="D44" s="3" t="n"/>
      <c r="E44" s="3" t="n"/>
      <c r="F44" s="3" t="n"/>
    </row>
    <row r="45" ht="15.75" customHeight="1" s="35">
      <c r="A45" s="3" t="n"/>
      <c r="B45" s="3" t="n"/>
      <c r="C45" s="3" t="n"/>
      <c r="D45" s="3" t="n"/>
      <c r="E45" s="3" t="n"/>
      <c r="F45" s="3" t="n"/>
    </row>
    <row r="46" ht="15.75" customHeight="1" s="35">
      <c r="A46" s="3" t="n"/>
      <c r="B46" s="3" t="n"/>
      <c r="C46" s="3" t="n"/>
      <c r="D46" s="3" t="n"/>
      <c r="E46" s="3" t="n"/>
      <c r="F46" s="3" t="n"/>
    </row>
    <row r="47" ht="15.75" customHeight="1" s="35">
      <c r="A47" s="3" t="n"/>
      <c r="B47" s="3" t="n"/>
      <c r="C47" s="3" t="n"/>
      <c r="D47" s="3" t="n"/>
      <c r="E47" s="3" t="n"/>
      <c r="F47" s="3" t="n"/>
    </row>
    <row r="48" ht="15.75" customHeight="1" s="35">
      <c r="A48" s="3" t="n"/>
      <c r="B48" s="3" t="n"/>
      <c r="C48" s="3" t="n"/>
      <c r="D48" s="3" t="n"/>
      <c r="E48" s="3" t="n"/>
      <c r="F48" s="3" t="n"/>
    </row>
    <row r="49" ht="15.75" customHeight="1" s="35">
      <c r="A49" s="3" t="n"/>
      <c r="B49" s="3" t="n"/>
      <c r="C49" s="3" t="n"/>
      <c r="D49" s="3" t="n"/>
      <c r="E49" s="3" t="n"/>
      <c r="F49" s="3" t="n"/>
    </row>
    <row r="50" ht="15.75" customHeight="1" s="35">
      <c r="A50" s="3" t="n"/>
      <c r="B50" s="3" t="n"/>
      <c r="C50" s="3" t="n"/>
      <c r="D50" s="3" t="n"/>
      <c r="E50" s="3" t="n"/>
      <c r="F50" s="3" t="n"/>
    </row>
    <row r="51" ht="15.75" customHeight="1" s="35">
      <c r="A51" s="3" t="n"/>
      <c r="B51" s="3" t="n"/>
      <c r="C51" s="3" t="n"/>
      <c r="D51" s="3" t="n"/>
      <c r="E51" s="3" t="n"/>
      <c r="F51" s="3" t="n"/>
    </row>
    <row r="52" ht="15.75" customHeight="1" s="35">
      <c r="A52" s="3" t="n"/>
      <c r="B52" s="3" t="n"/>
      <c r="C52" s="3" t="n"/>
      <c r="D52" s="3" t="n"/>
      <c r="E52" s="3" t="n"/>
      <c r="F52" s="3" t="n"/>
    </row>
    <row r="53" ht="15.75" customHeight="1" s="35">
      <c r="A53" s="3" t="n"/>
      <c r="B53" s="3" t="n"/>
      <c r="C53" s="3" t="n"/>
      <c r="D53" s="3" t="n"/>
      <c r="E53" s="3" t="n"/>
      <c r="F53" s="3" t="n"/>
    </row>
    <row r="54" ht="15.75" customHeight="1" s="35">
      <c r="A54" s="3" t="n"/>
      <c r="B54" s="3" t="n"/>
      <c r="C54" s="3" t="n"/>
      <c r="D54" s="3" t="n"/>
      <c r="E54" s="3" t="n"/>
      <c r="F54" s="3" t="n"/>
    </row>
    <row r="55" ht="15.75" customHeight="1" s="35">
      <c r="A55" s="3" t="n"/>
      <c r="B55" s="3" t="n"/>
      <c r="C55" s="3" t="n"/>
      <c r="D55" s="3" t="n"/>
      <c r="E55" s="3" t="n"/>
      <c r="F55" s="3" t="n"/>
    </row>
    <row r="56" ht="15.75" customHeight="1" s="35">
      <c r="A56" s="3" t="n"/>
      <c r="B56" s="3" t="n"/>
      <c r="C56" s="3" t="n"/>
      <c r="D56" s="3" t="n"/>
      <c r="E56" s="3" t="n"/>
      <c r="F56" s="3" t="n"/>
    </row>
    <row r="57" ht="15.75" customHeight="1" s="35">
      <c r="A57" s="3" t="n"/>
      <c r="B57" s="3" t="n"/>
      <c r="C57" s="3" t="n"/>
      <c r="D57" s="3" t="n"/>
      <c r="E57" s="3" t="n"/>
      <c r="F57" s="3" t="n"/>
    </row>
    <row r="58" ht="15.75" customHeight="1" s="35">
      <c r="A58" s="3" t="n"/>
      <c r="B58" s="3" t="n"/>
      <c r="C58" s="3" t="n"/>
      <c r="D58" s="3" t="n"/>
      <c r="E58" s="3" t="n"/>
      <c r="F58" s="3" t="n"/>
    </row>
    <row r="59" ht="15.75" customHeight="1" s="35">
      <c r="A59" s="3" t="n"/>
      <c r="B59" s="3" t="n"/>
      <c r="C59" s="3" t="n"/>
      <c r="D59" s="3" t="n"/>
      <c r="E59" s="3" t="n"/>
      <c r="F59" s="3" t="n"/>
    </row>
    <row r="60" ht="15.75" customHeight="1" s="35">
      <c r="A60" s="3" t="n"/>
      <c r="B60" s="3" t="n"/>
      <c r="C60" s="3" t="n"/>
      <c r="D60" s="3" t="n"/>
      <c r="E60" s="3" t="n"/>
      <c r="F60" s="3" t="n"/>
    </row>
    <row r="61" ht="15.75" customHeight="1" s="35">
      <c r="A61" s="3" t="n"/>
      <c r="B61" s="3" t="n"/>
      <c r="C61" s="3" t="n"/>
      <c r="D61" s="3" t="n"/>
      <c r="E61" s="3" t="n"/>
      <c r="F61" s="3" t="n"/>
    </row>
    <row r="62" ht="15.75" customHeight="1" s="35">
      <c r="A62" s="3" t="n"/>
      <c r="B62" s="3" t="n"/>
      <c r="C62" s="3" t="n"/>
      <c r="D62" s="3" t="n"/>
      <c r="E62" s="3" t="n"/>
      <c r="F62" s="3" t="n"/>
    </row>
    <row r="63" ht="15.75" customHeight="1" s="35">
      <c r="A63" s="3" t="n"/>
      <c r="B63" s="3" t="n"/>
      <c r="C63" s="3" t="n"/>
      <c r="D63" s="3" t="n"/>
      <c r="E63" s="3" t="n"/>
      <c r="F63" s="3" t="n"/>
    </row>
    <row r="64" ht="15.75" customHeight="1" s="35">
      <c r="A64" s="3" t="n"/>
      <c r="B64" s="3" t="n"/>
      <c r="C64" s="3" t="n"/>
      <c r="D64" s="3" t="n"/>
      <c r="E64" s="3" t="n"/>
      <c r="F64" s="3" t="n"/>
    </row>
    <row r="65" ht="15.75" customHeight="1" s="35">
      <c r="A65" s="3" t="n"/>
      <c r="B65" s="3" t="n"/>
      <c r="C65" s="3" t="n"/>
      <c r="D65" s="3" t="n"/>
      <c r="E65" s="3" t="n"/>
      <c r="F65" s="3" t="n"/>
    </row>
    <row r="66" ht="15.75" customHeight="1" s="35">
      <c r="A66" s="3" t="n"/>
      <c r="B66" s="3" t="n"/>
      <c r="C66" s="3" t="n"/>
      <c r="D66" s="3" t="n"/>
      <c r="E66" s="3" t="n"/>
      <c r="F66" s="3" t="n"/>
    </row>
    <row r="67" ht="15.75" customHeight="1" s="35">
      <c r="A67" s="3" t="n"/>
      <c r="B67" s="3" t="n"/>
      <c r="C67" s="3" t="n"/>
      <c r="D67" s="3" t="n"/>
      <c r="E67" s="3" t="n"/>
      <c r="F67" s="3" t="n"/>
    </row>
    <row r="68" ht="15.75" customHeight="1" s="35">
      <c r="A68" s="3" t="n"/>
      <c r="B68" s="3" t="n"/>
      <c r="C68" s="3" t="n"/>
      <c r="D68" s="3" t="n"/>
      <c r="E68" s="3" t="n"/>
      <c r="F68" s="3" t="n"/>
    </row>
    <row r="69" ht="15.75" customHeight="1" s="35">
      <c r="A69" s="3" t="n"/>
      <c r="B69" s="3" t="n"/>
      <c r="C69" s="3" t="n"/>
      <c r="D69" s="3" t="n"/>
      <c r="E69" s="3" t="n"/>
      <c r="F69" s="3" t="n"/>
    </row>
    <row r="70" ht="15.75" customHeight="1" s="35">
      <c r="A70" s="3" t="n"/>
      <c r="B70" s="3" t="n"/>
      <c r="C70" s="3" t="n"/>
      <c r="D70" s="3" t="n"/>
      <c r="E70" s="3" t="n"/>
      <c r="F70" s="3" t="n"/>
    </row>
    <row r="71" ht="15.75" customHeight="1" s="35">
      <c r="A71" s="3" t="n"/>
      <c r="B71" s="3" t="n"/>
      <c r="C71" s="3" t="n"/>
      <c r="D71" s="3" t="n"/>
      <c r="E71" s="3" t="n"/>
      <c r="F71" s="3" t="n"/>
    </row>
    <row r="72" ht="15.75" customHeight="1" s="35">
      <c r="A72" s="3" t="n"/>
      <c r="B72" s="3" t="n"/>
      <c r="C72" s="3" t="n"/>
      <c r="D72" s="3" t="n"/>
      <c r="E72" s="3" t="n"/>
      <c r="F72" s="3" t="n"/>
    </row>
    <row r="73" ht="15.75" customHeight="1" s="35">
      <c r="A73" s="3" t="n"/>
      <c r="B73" s="3" t="n"/>
      <c r="C73" s="3" t="n"/>
      <c r="D73" s="3" t="n"/>
      <c r="E73" s="3" t="n"/>
      <c r="F73" s="3" t="n"/>
    </row>
    <row r="74" ht="15.75" customHeight="1" s="35">
      <c r="A74" s="3" t="n"/>
      <c r="B74" s="3" t="n"/>
      <c r="C74" s="3" t="n"/>
      <c r="D74" s="3" t="n"/>
      <c r="E74" s="3" t="n"/>
      <c r="F74" s="3" t="n"/>
    </row>
    <row r="75" ht="15.75" customHeight="1" s="35">
      <c r="A75" s="3" t="n"/>
      <c r="B75" s="3" t="n"/>
      <c r="C75" s="3" t="n"/>
      <c r="D75" s="3" t="n"/>
      <c r="E75" s="3" t="n"/>
      <c r="F75" s="3" t="n"/>
    </row>
    <row r="76" ht="15.75" customHeight="1" s="35">
      <c r="A76" s="3" t="n"/>
      <c r="B76" s="3" t="n"/>
      <c r="C76" s="3" t="n"/>
      <c r="D76" s="3" t="n"/>
      <c r="E76" s="3" t="n"/>
      <c r="F76" s="3" t="n"/>
    </row>
    <row r="77" ht="15.75" customHeight="1" s="35">
      <c r="A77" s="3" t="n"/>
      <c r="B77" s="3" t="n"/>
      <c r="C77" s="3" t="n"/>
      <c r="D77" s="3" t="n"/>
      <c r="E77" s="3" t="n"/>
      <c r="F77" s="3" t="n"/>
    </row>
    <row r="78" ht="15.75" customHeight="1" s="35">
      <c r="A78" s="3" t="n"/>
      <c r="B78" s="3" t="n"/>
      <c r="C78" s="3" t="n"/>
      <c r="D78" s="3" t="n"/>
      <c r="E78" s="3" t="n"/>
      <c r="F78" s="3" t="n"/>
    </row>
    <row r="79" ht="15.75" customHeight="1" s="35">
      <c r="A79" s="3" t="n"/>
      <c r="B79" s="3" t="n"/>
      <c r="C79" s="3" t="n"/>
      <c r="D79" s="3" t="n"/>
      <c r="E79" s="3" t="n"/>
      <c r="F79" s="3" t="n"/>
    </row>
    <row r="80" ht="15.75" customHeight="1" s="35">
      <c r="A80" s="3" t="n"/>
      <c r="B80" s="3" t="n"/>
      <c r="C80" s="3" t="n"/>
      <c r="D80" s="3" t="n"/>
      <c r="E80" s="3" t="n"/>
      <c r="F80" s="3" t="n"/>
    </row>
    <row r="81" ht="15.75" customHeight="1" s="35">
      <c r="A81" s="3" t="n"/>
      <c r="B81" s="3" t="n"/>
      <c r="C81" s="3" t="n"/>
      <c r="D81" s="3" t="n"/>
      <c r="E81" s="3" t="n"/>
      <c r="F81" s="3" t="n"/>
    </row>
    <row r="82" ht="15.75" customHeight="1" s="35">
      <c r="A82" s="3" t="n"/>
      <c r="B82" s="3" t="n"/>
      <c r="C82" s="3" t="n"/>
      <c r="D82" s="3" t="n"/>
      <c r="E82" s="3" t="n"/>
      <c r="F82" s="3" t="n"/>
    </row>
    <row r="83" ht="15.75" customHeight="1" s="35">
      <c r="A83" s="3" t="n"/>
      <c r="B83" s="3" t="n"/>
      <c r="C83" s="3" t="n"/>
      <c r="D83" s="3" t="n"/>
      <c r="E83" s="3" t="n"/>
      <c r="F83" s="3" t="n"/>
    </row>
    <row r="84" ht="15.75" customHeight="1" s="35">
      <c r="A84" s="3" t="n"/>
      <c r="B84" s="3" t="n"/>
      <c r="C84" s="3" t="n"/>
      <c r="D84" s="3" t="n"/>
      <c r="E84" s="3" t="n"/>
      <c r="F84" s="3" t="n"/>
    </row>
    <row r="85" ht="15.75" customHeight="1" s="35">
      <c r="A85" s="3" t="n"/>
      <c r="B85" s="3" t="n"/>
      <c r="C85" s="3" t="n"/>
      <c r="D85" s="3" t="n"/>
      <c r="E85" s="3" t="n"/>
      <c r="F85" s="3" t="n"/>
    </row>
    <row r="86" ht="15.75" customHeight="1" s="35">
      <c r="A86" s="3" t="n"/>
      <c r="B86" s="3" t="n"/>
      <c r="C86" s="3" t="n"/>
      <c r="D86" s="3" t="n"/>
      <c r="E86" s="3" t="n"/>
      <c r="F86" s="3" t="n"/>
    </row>
    <row r="87" ht="15.75" customHeight="1" s="35">
      <c r="A87" s="3" t="n"/>
      <c r="B87" s="3" t="n"/>
      <c r="C87" s="3" t="n"/>
      <c r="D87" s="3" t="n"/>
      <c r="E87" s="3" t="n"/>
      <c r="F87" s="3" t="n"/>
    </row>
    <row r="88" ht="15.75" customHeight="1" s="35">
      <c r="A88" s="3" t="n"/>
      <c r="B88" s="3" t="n"/>
      <c r="C88" s="3" t="n"/>
      <c r="D88" s="3" t="n"/>
      <c r="E88" s="3" t="n"/>
      <c r="F88" s="3" t="n"/>
    </row>
    <row r="89" ht="15.75" customHeight="1" s="35">
      <c r="A89" s="3" t="n"/>
      <c r="B89" s="3" t="n"/>
      <c r="C89" s="3" t="n"/>
      <c r="D89" s="3" t="n"/>
      <c r="E89" s="3" t="n"/>
      <c r="F89" s="3" t="n"/>
    </row>
    <row r="90" ht="15.75" customHeight="1" s="35">
      <c r="A90" s="3" t="n"/>
      <c r="B90" s="3" t="n"/>
      <c r="C90" s="3" t="n"/>
      <c r="D90" s="3" t="n"/>
      <c r="E90" s="3" t="n"/>
      <c r="F90" s="3" t="n"/>
    </row>
    <row r="91" ht="15.75" customHeight="1" s="35">
      <c r="A91" s="3" t="n"/>
      <c r="B91" s="3" t="n"/>
      <c r="C91" s="3" t="n"/>
      <c r="D91" s="3" t="n"/>
      <c r="E91" s="3" t="n"/>
      <c r="F91" s="3" t="n"/>
    </row>
    <row r="92" ht="15.75" customHeight="1" s="35">
      <c r="A92" s="3" t="n"/>
      <c r="B92" s="3" t="n"/>
      <c r="C92" s="3" t="n"/>
      <c r="D92" s="3" t="n"/>
      <c r="E92" s="3" t="n"/>
      <c r="F92" s="3" t="n"/>
    </row>
    <row r="93" ht="15.75" customHeight="1" s="35">
      <c r="A93" s="3" t="n"/>
      <c r="B93" s="3" t="n"/>
      <c r="C93" s="3" t="n"/>
      <c r="D93" s="3" t="n"/>
      <c r="E93" s="3" t="n"/>
      <c r="F93" s="3" t="n"/>
    </row>
    <row r="94" ht="15.75" customHeight="1" s="35">
      <c r="A94" s="3" t="n"/>
      <c r="B94" s="3" t="n"/>
      <c r="C94" s="3" t="n"/>
      <c r="D94" s="3" t="n"/>
      <c r="E94" s="3" t="n"/>
      <c r="F94" s="3" t="n"/>
    </row>
    <row r="95" ht="15.75" customHeight="1" s="35">
      <c r="A95" s="3" t="n"/>
      <c r="B95" s="3" t="n"/>
      <c r="C95" s="3" t="n"/>
      <c r="D95" s="3" t="n"/>
      <c r="E95" s="3" t="n"/>
      <c r="F95" s="3" t="n"/>
    </row>
    <row r="96" ht="15.75" customHeight="1" s="35">
      <c r="A96" s="3" t="n"/>
      <c r="B96" s="3" t="n"/>
      <c r="C96" s="3" t="n"/>
      <c r="D96" s="3" t="n"/>
      <c r="E96" s="3" t="n"/>
      <c r="F96" s="3" t="n"/>
    </row>
    <row r="97" ht="15.75" customHeight="1" s="35">
      <c r="A97" s="3" t="n"/>
      <c r="B97" s="3" t="n"/>
      <c r="C97" s="3" t="n"/>
      <c r="D97" s="3" t="n"/>
      <c r="E97" s="3" t="n"/>
      <c r="F97" s="3" t="n"/>
    </row>
    <row r="98" ht="15.75" customHeight="1" s="35">
      <c r="A98" s="3" t="n"/>
      <c r="B98" s="3" t="n"/>
      <c r="C98" s="3" t="n"/>
      <c r="D98" s="3" t="n"/>
      <c r="E98" s="3" t="n"/>
      <c r="F98" s="3" t="n"/>
    </row>
    <row r="99" ht="15.75" customHeight="1" s="35">
      <c r="A99" s="3" t="n"/>
      <c r="B99" s="3" t="n"/>
      <c r="C99" s="3" t="n"/>
      <c r="D99" s="3" t="n"/>
      <c r="E99" s="3" t="n"/>
      <c r="F99" s="3" t="n"/>
    </row>
    <row r="100" ht="15.75" customHeight="1" s="35">
      <c r="A100" s="3" t="n"/>
      <c r="B100" s="3" t="n"/>
      <c r="C100" s="3" t="n"/>
      <c r="D100" s="3" t="n"/>
      <c r="E100" s="3" t="n"/>
      <c r="F100" s="3" t="n"/>
    </row>
    <row r="101" ht="15.75" customHeight="1" s="35">
      <c r="A101" s="3" t="n"/>
      <c r="B101" s="3" t="n"/>
      <c r="C101" s="3" t="n"/>
      <c r="D101" s="3" t="n"/>
      <c r="E101" s="3" t="n"/>
      <c r="F101" s="3" t="n"/>
    </row>
    <row r="102" ht="15.75" customHeight="1" s="35">
      <c r="A102" s="3" t="n"/>
      <c r="B102" s="3" t="n"/>
      <c r="C102" s="3" t="n"/>
      <c r="D102" s="3" t="n"/>
      <c r="E102" s="3" t="n"/>
      <c r="F102" s="3" t="n"/>
    </row>
    <row r="103" ht="15.75" customHeight="1" s="35">
      <c r="A103" s="3" t="n"/>
      <c r="B103" s="3" t="n"/>
      <c r="C103" s="3" t="n"/>
      <c r="D103" s="3" t="n"/>
      <c r="E103" s="3" t="n"/>
      <c r="F103" s="3" t="n"/>
    </row>
    <row r="104" ht="15.75" customHeight="1" s="35">
      <c r="A104" s="3" t="n"/>
      <c r="B104" s="3" t="n"/>
      <c r="C104" s="3" t="n"/>
      <c r="D104" s="3" t="n"/>
      <c r="E104" s="3" t="n"/>
      <c r="F104" s="3" t="n"/>
    </row>
    <row r="105" ht="15.75" customHeight="1" s="35">
      <c r="A105" s="3" t="n"/>
      <c r="B105" s="3" t="n"/>
      <c r="C105" s="3" t="n"/>
      <c r="D105" s="3" t="n"/>
      <c r="E105" s="3" t="n"/>
      <c r="F105" s="3" t="n"/>
    </row>
    <row r="106" ht="15.75" customHeight="1" s="35">
      <c r="A106" s="3" t="n"/>
      <c r="B106" s="3" t="n"/>
      <c r="C106" s="3" t="n"/>
      <c r="D106" s="3" t="n"/>
      <c r="E106" s="3" t="n"/>
      <c r="F106" s="3" t="n"/>
    </row>
    <row r="107" ht="15.75" customHeight="1" s="35">
      <c r="A107" s="3" t="n"/>
      <c r="B107" s="3" t="n"/>
      <c r="C107" s="3" t="n"/>
      <c r="D107" s="3" t="n"/>
      <c r="E107" s="3" t="n"/>
      <c r="F107" s="3" t="n"/>
    </row>
    <row r="108" ht="15.75" customHeight="1" s="35">
      <c r="A108" s="3" t="n"/>
      <c r="B108" s="3" t="n"/>
      <c r="C108" s="3" t="n"/>
      <c r="D108" s="3" t="n"/>
      <c r="E108" s="3" t="n"/>
      <c r="F108" s="3" t="n"/>
    </row>
    <row r="109" ht="15.75" customHeight="1" s="35">
      <c r="A109" s="3" t="n"/>
      <c r="B109" s="3" t="n"/>
      <c r="C109" s="3" t="n"/>
      <c r="D109" s="3" t="n"/>
      <c r="E109" s="3" t="n"/>
      <c r="F109" s="3" t="n"/>
    </row>
    <row r="110" ht="15.75" customHeight="1" s="35">
      <c r="A110" s="3" t="n"/>
      <c r="B110" s="3" t="n"/>
      <c r="C110" s="3" t="n"/>
      <c r="D110" s="3" t="n"/>
      <c r="E110" s="3" t="n"/>
      <c r="F110" s="3" t="n"/>
    </row>
    <row r="111" ht="15.75" customHeight="1" s="35">
      <c r="A111" s="3" t="n"/>
      <c r="B111" s="3" t="n"/>
      <c r="C111" s="3" t="n"/>
      <c r="D111" s="3" t="n"/>
      <c r="E111" s="3" t="n"/>
      <c r="F111" s="3" t="n"/>
    </row>
    <row r="112" ht="15.75" customHeight="1" s="35">
      <c r="A112" s="3" t="n"/>
      <c r="B112" s="3" t="n"/>
      <c r="C112" s="3" t="n"/>
      <c r="D112" s="3" t="n"/>
      <c r="E112" s="3" t="n"/>
      <c r="F112" s="3" t="n"/>
    </row>
    <row r="113" ht="15.75" customHeight="1" s="35">
      <c r="A113" s="3" t="n"/>
      <c r="B113" s="3" t="n"/>
      <c r="C113" s="3" t="n"/>
      <c r="D113" s="3" t="n"/>
      <c r="E113" s="3" t="n"/>
      <c r="F113" s="3" t="n"/>
    </row>
    <row r="114" ht="15.75" customHeight="1" s="35">
      <c r="A114" s="3" t="n"/>
      <c r="B114" s="3" t="n"/>
      <c r="C114" s="3" t="n"/>
      <c r="D114" s="3" t="n"/>
      <c r="E114" s="3" t="n"/>
      <c r="F114" s="3" t="n"/>
    </row>
    <row r="115" ht="15.75" customHeight="1" s="35">
      <c r="A115" s="3" t="n"/>
      <c r="B115" s="3" t="n"/>
      <c r="C115" s="3" t="n"/>
      <c r="D115" s="3" t="n"/>
      <c r="E115" s="3" t="n"/>
      <c r="F115" s="3" t="n"/>
    </row>
    <row r="116" ht="15.75" customHeight="1" s="35">
      <c r="A116" s="3" t="n"/>
      <c r="B116" s="3" t="n"/>
      <c r="C116" s="3" t="n"/>
      <c r="D116" s="3" t="n"/>
      <c r="E116" s="3" t="n"/>
      <c r="F116" s="3" t="n"/>
    </row>
    <row r="117" ht="15.75" customHeight="1" s="35">
      <c r="A117" s="3" t="n"/>
      <c r="B117" s="3" t="n"/>
      <c r="C117" s="3" t="n"/>
      <c r="D117" s="3" t="n"/>
      <c r="E117" s="3" t="n"/>
      <c r="F117" s="3" t="n"/>
    </row>
    <row r="118" ht="15.75" customHeight="1" s="35">
      <c r="A118" s="3" t="n"/>
      <c r="B118" s="3" t="n"/>
      <c r="C118" s="3" t="n"/>
      <c r="D118" s="3" t="n"/>
      <c r="E118" s="3" t="n"/>
      <c r="F118" s="3" t="n"/>
    </row>
    <row r="119" ht="15.75" customHeight="1" s="35">
      <c r="A119" s="3" t="n"/>
      <c r="B119" s="3" t="n"/>
      <c r="C119" s="3" t="n"/>
      <c r="D119" s="3" t="n"/>
      <c r="E119" s="3" t="n"/>
      <c r="F119" s="3" t="n"/>
    </row>
    <row r="120" ht="15.75" customHeight="1" s="35">
      <c r="A120" s="3" t="n"/>
      <c r="B120" s="3" t="n"/>
      <c r="C120" s="3" t="n"/>
      <c r="D120" s="3" t="n"/>
      <c r="E120" s="3" t="n"/>
      <c r="F120" s="3" t="n"/>
    </row>
    <row r="121" ht="15.75" customHeight="1" s="35">
      <c r="A121" s="3" t="n"/>
      <c r="B121" s="3" t="n"/>
      <c r="C121" s="3" t="n"/>
      <c r="D121" s="3" t="n"/>
      <c r="E121" s="3" t="n"/>
      <c r="F121" s="3" t="n"/>
    </row>
    <row r="122" ht="15.75" customHeight="1" s="35">
      <c r="A122" s="3" t="n"/>
      <c r="B122" s="3" t="n"/>
      <c r="C122" s="3" t="n"/>
      <c r="D122" s="3" t="n"/>
      <c r="E122" s="3" t="n"/>
      <c r="F122" s="3" t="n"/>
    </row>
    <row r="123" ht="15.75" customHeight="1" s="35">
      <c r="A123" s="3" t="n"/>
      <c r="B123" s="3" t="n"/>
      <c r="C123" s="3" t="n"/>
      <c r="D123" s="3" t="n"/>
      <c r="E123" s="3" t="n"/>
      <c r="F123" s="3" t="n"/>
    </row>
    <row r="124" ht="15.75" customHeight="1" s="35">
      <c r="A124" s="3" t="n"/>
      <c r="B124" s="3" t="n"/>
      <c r="C124" s="3" t="n"/>
      <c r="D124" s="3" t="n"/>
      <c r="E124" s="3" t="n"/>
      <c r="F124" s="3" t="n"/>
    </row>
    <row r="125" ht="15.75" customHeight="1" s="35">
      <c r="A125" s="3" t="n"/>
      <c r="B125" s="3" t="n"/>
      <c r="C125" s="3" t="n"/>
      <c r="D125" s="3" t="n"/>
      <c r="E125" s="3" t="n"/>
      <c r="F125" s="3" t="n"/>
    </row>
    <row r="126" ht="15.75" customHeight="1" s="35">
      <c r="A126" s="3" t="n"/>
      <c r="B126" s="3" t="n"/>
      <c r="C126" s="3" t="n"/>
      <c r="D126" s="3" t="n"/>
      <c r="E126" s="3" t="n"/>
      <c r="F126" s="3" t="n"/>
    </row>
    <row r="127" ht="15.75" customHeight="1" s="35">
      <c r="A127" s="3" t="n"/>
      <c r="B127" s="3" t="n"/>
      <c r="C127" s="3" t="n"/>
      <c r="D127" s="3" t="n"/>
      <c r="E127" s="3" t="n"/>
      <c r="F127" s="3" t="n"/>
    </row>
    <row r="128" ht="15.75" customHeight="1" s="35">
      <c r="A128" s="3" t="n"/>
      <c r="B128" s="3" t="n"/>
      <c r="C128" s="3" t="n"/>
      <c r="D128" s="3" t="n"/>
      <c r="E128" s="3" t="n"/>
      <c r="F128" s="3" t="n"/>
    </row>
    <row r="129" ht="15.75" customHeight="1" s="35">
      <c r="A129" s="3" t="n"/>
      <c r="B129" s="3" t="n"/>
      <c r="C129" s="3" t="n"/>
      <c r="D129" s="3" t="n"/>
      <c r="E129" s="3" t="n"/>
      <c r="F129" s="3" t="n"/>
    </row>
    <row r="130" ht="15.75" customHeight="1" s="35">
      <c r="A130" s="3" t="n"/>
      <c r="B130" s="3" t="n"/>
      <c r="C130" s="3" t="n"/>
      <c r="D130" s="3" t="n"/>
      <c r="E130" s="3" t="n"/>
      <c r="F130" s="3" t="n"/>
    </row>
    <row r="131" ht="15.75" customHeight="1" s="35">
      <c r="A131" s="3" t="n"/>
      <c r="B131" s="3" t="n"/>
      <c r="C131" s="3" t="n"/>
      <c r="D131" s="3" t="n"/>
      <c r="E131" s="3" t="n"/>
      <c r="F131" s="3" t="n"/>
    </row>
    <row r="132" ht="15.75" customHeight="1" s="35">
      <c r="A132" s="3" t="n"/>
      <c r="B132" s="3" t="n"/>
      <c r="C132" s="3" t="n"/>
      <c r="D132" s="3" t="n"/>
      <c r="E132" s="3" t="n"/>
      <c r="F132" s="3" t="n"/>
    </row>
    <row r="133" ht="15.75" customHeight="1" s="35">
      <c r="A133" s="3" t="n"/>
      <c r="B133" s="3" t="n"/>
      <c r="C133" s="3" t="n"/>
      <c r="D133" s="3" t="n"/>
      <c r="E133" s="3" t="n"/>
      <c r="F133" s="3" t="n"/>
    </row>
    <row r="134" ht="15.75" customHeight="1" s="35">
      <c r="A134" s="3" t="n"/>
      <c r="B134" s="3" t="n"/>
      <c r="C134" s="3" t="n"/>
      <c r="D134" s="3" t="n"/>
      <c r="E134" s="3" t="n"/>
      <c r="F134" s="3" t="n"/>
    </row>
    <row r="135" ht="15.75" customHeight="1" s="35">
      <c r="A135" s="3" t="n"/>
      <c r="B135" s="3" t="n"/>
      <c r="C135" s="3" t="n"/>
      <c r="D135" s="3" t="n"/>
      <c r="E135" s="3" t="n"/>
      <c r="F135" s="3" t="n"/>
    </row>
    <row r="136" ht="15.75" customHeight="1" s="35">
      <c r="A136" s="3" t="n"/>
      <c r="B136" s="3" t="n"/>
      <c r="C136" s="3" t="n"/>
      <c r="D136" s="3" t="n"/>
      <c r="E136" s="3" t="n"/>
      <c r="F136" s="3" t="n"/>
    </row>
    <row r="137" ht="15.75" customHeight="1" s="35">
      <c r="A137" s="3" t="n"/>
      <c r="B137" s="3" t="n"/>
      <c r="C137" s="3" t="n"/>
      <c r="D137" s="3" t="n"/>
      <c r="E137" s="3" t="n"/>
      <c r="F137" s="3" t="n"/>
    </row>
    <row r="138" ht="15.75" customHeight="1" s="35">
      <c r="A138" s="3" t="n"/>
      <c r="B138" s="3" t="n"/>
      <c r="C138" s="3" t="n"/>
      <c r="D138" s="3" t="n"/>
      <c r="E138" s="3" t="n"/>
      <c r="F138" s="3" t="n"/>
    </row>
    <row r="139" ht="15.75" customHeight="1" s="35">
      <c r="A139" s="3" t="n"/>
      <c r="B139" s="3" t="n"/>
      <c r="C139" s="3" t="n"/>
      <c r="D139" s="3" t="n"/>
      <c r="E139" s="3" t="n"/>
      <c r="F139" s="3" t="n"/>
    </row>
    <row r="140" ht="15.75" customHeight="1" s="35">
      <c r="A140" s="3" t="n"/>
      <c r="B140" s="3" t="n"/>
      <c r="C140" s="3" t="n"/>
      <c r="D140" s="3" t="n"/>
      <c r="E140" s="3" t="n"/>
      <c r="F140" s="3" t="n"/>
    </row>
    <row r="141" ht="15.75" customHeight="1" s="35">
      <c r="A141" s="3" t="n"/>
      <c r="B141" s="3" t="n"/>
      <c r="C141" s="3" t="n"/>
      <c r="D141" s="3" t="n"/>
      <c r="E141" s="3" t="n"/>
      <c r="F141" s="3" t="n"/>
    </row>
    <row r="142" ht="15.75" customHeight="1" s="35">
      <c r="A142" s="3" t="n"/>
      <c r="B142" s="3" t="n"/>
      <c r="C142" s="3" t="n"/>
      <c r="D142" s="3" t="n"/>
      <c r="E142" s="3" t="n"/>
      <c r="F142" s="3" t="n"/>
    </row>
    <row r="143" ht="15.75" customHeight="1" s="35">
      <c r="A143" s="3" t="n"/>
      <c r="B143" s="3" t="n"/>
      <c r="C143" s="3" t="n"/>
      <c r="D143" s="3" t="n"/>
      <c r="E143" s="3" t="n"/>
      <c r="F143" s="3" t="n"/>
    </row>
    <row r="144" ht="15.75" customHeight="1" s="35">
      <c r="A144" s="3" t="n"/>
      <c r="B144" s="3" t="n"/>
      <c r="C144" s="3" t="n"/>
      <c r="D144" s="3" t="n"/>
      <c r="E144" s="3" t="n"/>
      <c r="F144" s="3" t="n"/>
    </row>
    <row r="145" ht="15.75" customHeight="1" s="35">
      <c r="A145" s="3" t="n"/>
      <c r="B145" s="3" t="n"/>
      <c r="C145" s="3" t="n"/>
      <c r="D145" s="3" t="n"/>
      <c r="E145" s="3" t="n"/>
      <c r="F145" s="3" t="n"/>
    </row>
    <row r="146" ht="15.75" customHeight="1" s="35">
      <c r="A146" s="3" t="n"/>
      <c r="B146" s="3" t="n"/>
      <c r="C146" s="3" t="n"/>
      <c r="D146" s="3" t="n"/>
      <c r="E146" s="3" t="n"/>
      <c r="F146" s="3" t="n"/>
    </row>
    <row r="147" ht="15.75" customHeight="1" s="35">
      <c r="A147" s="3" t="n"/>
      <c r="B147" s="3" t="n"/>
      <c r="C147" s="3" t="n"/>
      <c r="D147" s="3" t="n"/>
      <c r="E147" s="3" t="n"/>
      <c r="F147" s="3" t="n"/>
    </row>
    <row r="148" ht="15.75" customHeight="1" s="35">
      <c r="A148" s="3" t="n"/>
      <c r="B148" s="3" t="n"/>
      <c r="C148" s="3" t="n"/>
      <c r="D148" s="3" t="n"/>
      <c r="E148" s="3" t="n"/>
      <c r="F148" s="3" t="n"/>
    </row>
    <row r="149" ht="15.75" customHeight="1" s="35">
      <c r="A149" s="3" t="n"/>
      <c r="B149" s="3" t="n"/>
      <c r="C149" s="3" t="n"/>
      <c r="D149" s="3" t="n"/>
      <c r="E149" s="3" t="n"/>
      <c r="F149" s="3" t="n"/>
    </row>
    <row r="150" ht="15.75" customHeight="1" s="35">
      <c r="A150" s="3" t="n"/>
      <c r="B150" s="3" t="n"/>
      <c r="C150" s="3" t="n"/>
      <c r="D150" s="3" t="n"/>
      <c r="E150" s="3" t="n"/>
      <c r="F150" s="3" t="n"/>
    </row>
    <row r="151" ht="15.75" customHeight="1" s="35">
      <c r="A151" s="3" t="n"/>
      <c r="B151" s="3" t="n"/>
      <c r="C151" s="3" t="n"/>
      <c r="D151" s="3" t="n"/>
      <c r="E151" s="3" t="n"/>
      <c r="F151" s="3" t="n"/>
    </row>
    <row r="152" ht="15.75" customHeight="1" s="35">
      <c r="A152" s="3" t="n"/>
      <c r="B152" s="3" t="n"/>
      <c r="C152" s="3" t="n"/>
      <c r="D152" s="3" t="n"/>
      <c r="E152" s="3" t="n"/>
      <c r="F152" s="3" t="n"/>
    </row>
    <row r="153" ht="15.75" customHeight="1" s="35">
      <c r="A153" s="3" t="n"/>
      <c r="B153" s="3" t="n"/>
      <c r="C153" s="3" t="n"/>
      <c r="D153" s="3" t="n"/>
      <c r="E153" s="3" t="n"/>
      <c r="F153" s="3" t="n"/>
    </row>
    <row r="154" ht="15.75" customHeight="1" s="35">
      <c r="A154" s="3" t="n"/>
      <c r="B154" s="3" t="n"/>
      <c r="C154" s="3" t="n"/>
      <c r="D154" s="3" t="n"/>
      <c r="E154" s="3" t="n"/>
      <c r="F154" s="3" t="n"/>
    </row>
    <row r="155" ht="15.75" customHeight="1" s="35">
      <c r="A155" s="3" t="n"/>
      <c r="B155" s="3" t="n"/>
      <c r="C155" s="3" t="n"/>
      <c r="D155" s="3" t="n"/>
      <c r="E155" s="3" t="n"/>
      <c r="F155" s="3" t="n"/>
    </row>
    <row r="156" ht="15.75" customHeight="1" s="35">
      <c r="A156" s="3" t="n"/>
      <c r="B156" s="3" t="n"/>
      <c r="C156" s="3" t="n"/>
      <c r="D156" s="3" t="n"/>
      <c r="E156" s="3" t="n"/>
      <c r="F156" s="3" t="n"/>
    </row>
    <row r="157" ht="15.75" customHeight="1" s="35">
      <c r="A157" s="3" t="n"/>
      <c r="B157" s="3" t="n"/>
      <c r="C157" s="3" t="n"/>
      <c r="D157" s="3" t="n"/>
      <c r="E157" s="3" t="n"/>
      <c r="F157" s="3" t="n"/>
    </row>
    <row r="158" ht="15.75" customHeight="1" s="35">
      <c r="A158" s="3" t="n"/>
      <c r="B158" s="3" t="n"/>
      <c r="C158" s="3" t="n"/>
      <c r="D158" s="3" t="n"/>
      <c r="E158" s="3" t="n"/>
      <c r="F158" s="3" t="n"/>
    </row>
    <row r="159" ht="15.75" customHeight="1" s="35">
      <c r="A159" s="3" t="n"/>
      <c r="B159" s="3" t="n"/>
      <c r="C159" s="3" t="n"/>
      <c r="D159" s="3" t="n"/>
      <c r="E159" s="3" t="n"/>
      <c r="F159" s="3" t="n"/>
    </row>
    <row r="160" ht="15.75" customHeight="1" s="35">
      <c r="A160" s="3" t="n"/>
      <c r="B160" s="3" t="n"/>
      <c r="C160" s="3" t="n"/>
      <c r="D160" s="3" t="n"/>
      <c r="E160" s="3" t="n"/>
      <c r="F160" s="3" t="n"/>
    </row>
    <row r="161" ht="15.75" customHeight="1" s="35">
      <c r="A161" s="3" t="n"/>
      <c r="B161" s="3" t="n"/>
      <c r="C161" s="3" t="n"/>
      <c r="D161" s="3" t="n"/>
      <c r="E161" s="3" t="n"/>
      <c r="F161" s="3" t="n"/>
    </row>
    <row r="162" ht="15.75" customHeight="1" s="35">
      <c r="A162" s="3" t="n"/>
      <c r="B162" s="3" t="n"/>
      <c r="C162" s="3" t="n"/>
      <c r="D162" s="3" t="n"/>
      <c r="E162" s="3" t="n"/>
      <c r="F162" s="3" t="n"/>
    </row>
    <row r="163" ht="15.75" customHeight="1" s="35">
      <c r="A163" s="3" t="n"/>
      <c r="B163" s="3" t="n"/>
      <c r="C163" s="3" t="n"/>
      <c r="D163" s="3" t="n"/>
      <c r="E163" s="3" t="n"/>
      <c r="F163" s="3" t="n"/>
    </row>
    <row r="164" ht="15.75" customHeight="1" s="35">
      <c r="A164" s="3" t="n"/>
      <c r="B164" s="3" t="n"/>
      <c r="C164" s="3" t="n"/>
      <c r="D164" s="3" t="n"/>
      <c r="E164" s="3" t="n"/>
      <c r="F164" s="3" t="n"/>
    </row>
    <row r="165" ht="15.75" customHeight="1" s="35">
      <c r="A165" s="3" t="n"/>
      <c r="B165" s="3" t="n"/>
      <c r="C165" s="3" t="n"/>
      <c r="D165" s="3" t="n"/>
      <c r="E165" s="3" t="n"/>
      <c r="F165" s="3" t="n"/>
    </row>
    <row r="166" ht="15.75" customHeight="1" s="35">
      <c r="A166" s="3" t="n"/>
      <c r="B166" s="3" t="n"/>
      <c r="C166" s="3" t="n"/>
      <c r="D166" s="3" t="n"/>
      <c r="E166" s="3" t="n"/>
      <c r="F166" s="3" t="n"/>
    </row>
    <row r="167" ht="15.75" customHeight="1" s="35">
      <c r="A167" s="3" t="n"/>
      <c r="B167" s="3" t="n"/>
      <c r="C167" s="3" t="n"/>
      <c r="D167" s="3" t="n"/>
      <c r="E167" s="3" t="n"/>
      <c r="F167" s="3" t="n"/>
    </row>
    <row r="168" ht="15.75" customHeight="1" s="35">
      <c r="A168" s="3" t="n"/>
      <c r="B168" s="3" t="n"/>
      <c r="C168" s="3" t="n"/>
      <c r="D168" s="3" t="n"/>
      <c r="E168" s="3" t="n"/>
      <c r="F168" s="3" t="n"/>
    </row>
    <row r="169" ht="15.75" customHeight="1" s="35">
      <c r="A169" s="3" t="n"/>
      <c r="B169" s="3" t="n"/>
      <c r="C169" s="3" t="n"/>
      <c r="D169" s="3" t="n"/>
      <c r="E169" s="3" t="n"/>
      <c r="F169" s="3" t="n"/>
    </row>
    <row r="170" ht="15.75" customHeight="1" s="35">
      <c r="A170" s="3" t="n"/>
      <c r="B170" s="3" t="n"/>
      <c r="C170" s="3" t="n"/>
      <c r="D170" s="3" t="n"/>
      <c r="E170" s="3" t="n"/>
      <c r="F170" s="3" t="n"/>
    </row>
    <row r="171" ht="15.75" customHeight="1" s="35">
      <c r="A171" s="3" t="n"/>
      <c r="B171" s="3" t="n"/>
      <c r="C171" s="3" t="n"/>
      <c r="D171" s="3" t="n"/>
      <c r="E171" s="3" t="n"/>
      <c r="F171" s="3" t="n"/>
    </row>
    <row r="172" ht="15.75" customHeight="1" s="35">
      <c r="A172" s="3" t="n"/>
      <c r="B172" s="3" t="n"/>
      <c r="C172" s="3" t="n"/>
      <c r="D172" s="3" t="n"/>
      <c r="E172" s="3" t="n"/>
      <c r="F172" s="3" t="n"/>
    </row>
    <row r="173" ht="15.75" customHeight="1" s="35">
      <c r="A173" s="3" t="n"/>
      <c r="B173" s="3" t="n"/>
      <c r="C173" s="3" t="n"/>
      <c r="D173" s="3" t="n"/>
      <c r="E173" s="3" t="n"/>
      <c r="F173" s="3" t="n"/>
    </row>
    <row r="174" ht="15.75" customHeight="1" s="35">
      <c r="A174" s="3" t="n"/>
      <c r="B174" s="3" t="n"/>
      <c r="C174" s="3" t="n"/>
      <c r="D174" s="3" t="n"/>
      <c r="E174" s="3" t="n"/>
      <c r="F174" s="3" t="n"/>
    </row>
    <row r="175" ht="15.75" customHeight="1" s="35">
      <c r="A175" s="3" t="n"/>
      <c r="B175" s="3" t="n"/>
      <c r="C175" s="3" t="n"/>
      <c r="D175" s="3" t="n"/>
      <c r="E175" s="3" t="n"/>
      <c r="F175" s="3" t="n"/>
    </row>
    <row r="176" ht="15.75" customHeight="1" s="35">
      <c r="A176" s="3" t="n"/>
      <c r="B176" s="3" t="n"/>
      <c r="C176" s="3" t="n"/>
      <c r="D176" s="3" t="n"/>
      <c r="E176" s="3" t="n"/>
      <c r="F176" s="3" t="n"/>
    </row>
    <row r="177" ht="15.75" customHeight="1" s="35">
      <c r="A177" s="3" t="n"/>
      <c r="B177" s="3" t="n"/>
      <c r="C177" s="3" t="n"/>
      <c r="D177" s="3" t="n"/>
      <c r="E177" s="3" t="n"/>
      <c r="F177" s="3" t="n"/>
    </row>
    <row r="178" ht="15.75" customHeight="1" s="35">
      <c r="A178" s="3" t="n"/>
      <c r="B178" s="3" t="n"/>
      <c r="C178" s="3" t="n"/>
      <c r="D178" s="3" t="n"/>
      <c r="E178" s="3" t="n"/>
      <c r="F178" s="3" t="n"/>
    </row>
    <row r="179" ht="15.75" customHeight="1" s="35">
      <c r="A179" s="3" t="n"/>
      <c r="B179" s="3" t="n"/>
      <c r="C179" s="3" t="n"/>
      <c r="D179" s="3" t="n"/>
      <c r="E179" s="3" t="n"/>
      <c r="F179" s="3" t="n"/>
    </row>
    <row r="180" ht="15.75" customHeight="1" s="35">
      <c r="A180" s="3" t="n"/>
      <c r="B180" s="3" t="n"/>
      <c r="C180" s="3" t="n"/>
      <c r="D180" s="3" t="n"/>
      <c r="E180" s="3" t="n"/>
      <c r="F180" s="3" t="n"/>
    </row>
    <row r="181" ht="15.75" customHeight="1" s="35">
      <c r="A181" s="3" t="n"/>
      <c r="B181" s="3" t="n"/>
      <c r="C181" s="3" t="n"/>
      <c r="D181" s="3" t="n"/>
      <c r="E181" s="3" t="n"/>
      <c r="F181" s="3" t="n"/>
    </row>
    <row r="182" ht="15.75" customHeight="1" s="35">
      <c r="A182" s="3" t="n"/>
      <c r="B182" s="3" t="n"/>
      <c r="C182" s="3" t="n"/>
      <c r="D182" s="3" t="n"/>
      <c r="E182" s="3" t="n"/>
      <c r="F182" s="3" t="n"/>
    </row>
    <row r="183" ht="15.75" customHeight="1" s="35">
      <c r="A183" s="3" t="n"/>
      <c r="B183" s="3" t="n"/>
      <c r="C183" s="3" t="n"/>
      <c r="D183" s="3" t="n"/>
      <c r="E183" s="3" t="n"/>
      <c r="F183" s="3" t="n"/>
    </row>
    <row r="184" ht="15.75" customHeight="1" s="35">
      <c r="A184" s="3" t="n"/>
      <c r="B184" s="3" t="n"/>
      <c r="C184" s="3" t="n"/>
      <c r="D184" s="3" t="n"/>
      <c r="E184" s="3" t="n"/>
      <c r="F184" s="3" t="n"/>
    </row>
    <row r="185" ht="15.75" customHeight="1" s="35">
      <c r="A185" s="3" t="n"/>
      <c r="B185" s="3" t="n"/>
      <c r="C185" s="3" t="n"/>
      <c r="D185" s="3" t="n"/>
      <c r="E185" s="3" t="n"/>
      <c r="F185" s="3" t="n"/>
    </row>
    <row r="186" ht="15.75" customHeight="1" s="35">
      <c r="A186" s="3" t="n"/>
      <c r="B186" s="3" t="n"/>
      <c r="C186" s="3" t="n"/>
      <c r="D186" s="3" t="n"/>
      <c r="E186" s="3" t="n"/>
      <c r="F186" s="3" t="n"/>
    </row>
    <row r="187" ht="15.75" customHeight="1" s="35">
      <c r="A187" s="3" t="n"/>
      <c r="B187" s="3" t="n"/>
      <c r="C187" s="3" t="n"/>
      <c r="D187" s="3" t="n"/>
      <c r="E187" s="3" t="n"/>
      <c r="F187" s="3" t="n"/>
    </row>
    <row r="188" ht="15.75" customHeight="1" s="35">
      <c r="A188" s="3" t="n"/>
      <c r="B188" s="3" t="n"/>
      <c r="C188" s="3" t="n"/>
      <c r="D188" s="3" t="n"/>
      <c r="E188" s="3" t="n"/>
      <c r="F188" s="3" t="n"/>
    </row>
    <row r="189" ht="15.75" customHeight="1" s="35">
      <c r="A189" s="3" t="n"/>
      <c r="B189" s="3" t="n"/>
      <c r="C189" s="3" t="n"/>
      <c r="D189" s="3" t="n"/>
      <c r="E189" s="3" t="n"/>
      <c r="F189" s="3" t="n"/>
    </row>
    <row r="190" ht="15.75" customHeight="1" s="35">
      <c r="A190" s="3" t="n"/>
      <c r="B190" s="3" t="n"/>
      <c r="C190" s="3" t="n"/>
      <c r="D190" s="3" t="n"/>
      <c r="E190" s="3" t="n"/>
      <c r="F190" s="3" t="n"/>
    </row>
    <row r="191" ht="15.75" customHeight="1" s="35">
      <c r="A191" s="3" t="n"/>
      <c r="B191" s="3" t="n"/>
      <c r="C191" s="3" t="n"/>
      <c r="D191" s="3" t="n"/>
      <c r="E191" s="3" t="n"/>
      <c r="F191" s="3" t="n"/>
    </row>
    <row r="192" ht="15.75" customHeight="1" s="35">
      <c r="A192" s="3" t="n"/>
      <c r="B192" s="3" t="n"/>
      <c r="C192" s="3" t="n"/>
      <c r="D192" s="3" t="n"/>
      <c r="E192" s="3" t="n"/>
      <c r="F192" s="3" t="n"/>
    </row>
    <row r="193" ht="15.75" customHeight="1" s="35">
      <c r="A193" s="3" t="n"/>
      <c r="B193" s="3" t="n"/>
      <c r="C193" s="3" t="n"/>
      <c r="D193" s="3" t="n"/>
      <c r="E193" s="3" t="n"/>
      <c r="F193" s="3" t="n"/>
    </row>
    <row r="194" ht="15.75" customHeight="1" s="35">
      <c r="A194" s="3" t="n"/>
      <c r="B194" s="3" t="n"/>
      <c r="C194" s="3" t="n"/>
      <c r="D194" s="3" t="n"/>
      <c r="E194" s="3" t="n"/>
      <c r="F194" s="3" t="n"/>
    </row>
    <row r="195" ht="15.75" customHeight="1" s="35">
      <c r="A195" s="3" t="n"/>
      <c r="B195" s="3" t="n"/>
      <c r="C195" s="3" t="n"/>
      <c r="D195" s="3" t="n"/>
      <c r="E195" s="3" t="n"/>
      <c r="F195" s="3" t="n"/>
    </row>
    <row r="196" ht="15.75" customHeight="1" s="35">
      <c r="A196" s="3" t="n"/>
      <c r="B196" s="3" t="n"/>
      <c r="C196" s="3" t="n"/>
      <c r="D196" s="3" t="n"/>
      <c r="E196" s="3" t="n"/>
      <c r="F196" s="3" t="n"/>
    </row>
    <row r="197" ht="15.75" customHeight="1" s="35">
      <c r="A197" s="3" t="n"/>
      <c r="B197" s="3" t="n"/>
      <c r="C197" s="3" t="n"/>
      <c r="D197" s="3" t="n"/>
      <c r="E197" s="3" t="n"/>
      <c r="F197" s="3" t="n"/>
    </row>
    <row r="198" ht="15.75" customHeight="1" s="35">
      <c r="A198" s="3" t="n"/>
      <c r="B198" s="3" t="n"/>
      <c r="C198" s="3" t="n"/>
      <c r="D198" s="3" t="n"/>
      <c r="E198" s="3" t="n"/>
      <c r="F198" s="3" t="n"/>
    </row>
    <row r="199" ht="15.75" customHeight="1" s="35">
      <c r="A199" s="3" t="n"/>
      <c r="B199" s="3" t="n"/>
      <c r="C199" s="3" t="n"/>
      <c r="D199" s="3" t="n"/>
      <c r="E199" s="3" t="n"/>
      <c r="F199" s="3" t="n"/>
    </row>
    <row r="200" ht="15.75" customHeight="1" s="35">
      <c r="A200" s="3" t="n"/>
      <c r="B200" s="3" t="n"/>
      <c r="C200" s="3" t="n"/>
      <c r="D200" s="3" t="n"/>
      <c r="E200" s="3" t="n"/>
      <c r="F200" s="3" t="n"/>
    </row>
    <row r="201" ht="15.75" customHeight="1" s="35">
      <c r="A201" s="3" t="n"/>
      <c r="B201" s="3" t="n"/>
      <c r="C201" s="3" t="n"/>
      <c r="D201" s="3" t="n"/>
      <c r="E201" s="3" t="n"/>
      <c r="F201" s="3" t="n"/>
    </row>
    <row r="202" ht="15.75" customHeight="1" s="35">
      <c r="A202" s="3" t="n"/>
      <c r="B202" s="3" t="n"/>
      <c r="C202" s="3" t="n"/>
      <c r="D202" s="3" t="n"/>
      <c r="E202" s="3" t="n"/>
      <c r="F202" s="3" t="n"/>
    </row>
    <row r="203" ht="15.75" customHeight="1" s="35">
      <c r="A203" s="3" t="n"/>
      <c r="B203" s="3" t="n"/>
      <c r="C203" s="3" t="n"/>
      <c r="D203" s="3" t="n"/>
      <c r="E203" s="3" t="n"/>
      <c r="F203" s="3" t="n"/>
    </row>
    <row r="204" ht="15.75" customHeight="1" s="35">
      <c r="A204" s="3" t="n"/>
      <c r="B204" s="3" t="n"/>
      <c r="C204" s="3" t="n"/>
      <c r="D204" s="3" t="n"/>
      <c r="E204" s="3" t="n"/>
      <c r="F204" s="3" t="n"/>
    </row>
    <row r="205" ht="15.75" customHeight="1" s="35">
      <c r="A205" s="3" t="n"/>
      <c r="B205" s="3" t="n"/>
      <c r="C205" s="3" t="n"/>
      <c r="D205" s="3" t="n"/>
      <c r="E205" s="3" t="n"/>
      <c r="F205" s="3" t="n"/>
    </row>
    <row r="206" ht="15.75" customHeight="1" s="35">
      <c r="A206" s="3" t="n"/>
      <c r="B206" s="3" t="n"/>
      <c r="C206" s="3" t="n"/>
      <c r="D206" s="3" t="n"/>
      <c r="E206" s="3" t="n"/>
      <c r="F206" s="3" t="n"/>
    </row>
    <row r="207" ht="15.75" customHeight="1" s="35">
      <c r="A207" s="3" t="n"/>
      <c r="B207" s="3" t="n"/>
      <c r="C207" s="3" t="n"/>
      <c r="D207" s="3" t="n"/>
      <c r="E207" s="3" t="n"/>
      <c r="F207" s="3" t="n"/>
    </row>
    <row r="208" ht="15.75" customHeight="1" s="35">
      <c r="A208" s="3" t="n"/>
      <c r="B208" s="3" t="n"/>
      <c r="C208" s="3" t="n"/>
      <c r="D208" s="3" t="n"/>
      <c r="E208" s="3" t="n"/>
      <c r="F208" s="3" t="n"/>
    </row>
    <row r="209" ht="15.75" customHeight="1" s="35">
      <c r="A209" s="3" t="n"/>
      <c r="B209" s="3" t="n"/>
      <c r="C209" s="3" t="n"/>
      <c r="D209" s="3" t="n"/>
      <c r="E209" s="3" t="n"/>
      <c r="F209" s="3" t="n"/>
    </row>
    <row r="210" ht="15.75" customHeight="1" s="35">
      <c r="A210" s="3" t="n"/>
      <c r="B210" s="3" t="n"/>
      <c r="C210" s="3" t="n"/>
      <c r="D210" s="3" t="n"/>
      <c r="E210" s="3" t="n"/>
      <c r="F210" s="3" t="n"/>
    </row>
    <row r="211" ht="15.75" customHeight="1" s="35">
      <c r="A211" s="3" t="n"/>
      <c r="B211" s="3" t="n"/>
      <c r="C211" s="3" t="n"/>
      <c r="D211" s="3" t="n"/>
      <c r="E211" s="3" t="n"/>
      <c r="F211" s="3" t="n"/>
    </row>
    <row r="212" ht="15.75" customHeight="1" s="35">
      <c r="A212" s="3" t="n"/>
      <c r="B212" s="3" t="n"/>
      <c r="C212" s="3" t="n"/>
      <c r="D212" s="3" t="n"/>
      <c r="E212" s="3" t="n"/>
      <c r="F212" s="3" t="n"/>
    </row>
    <row r="213" ht="15.75" customHeight="1" s="35">
      <c r="A213" s="3" t="n"/>
      <c r="B213" s="3" t="n"/>
      <c r="C213" s="3" t="n"/>
      <c r="D213" s="3" t="n"/>
      <c r="E213" s="3" t="n"/>
      <c r="F213" s="3" t="n"/>
    </row>
    <row r="214" ht="15.75" customHeight="1" s="35">
      <c r="A214" s="3" t="n"/>
      <c r="B214" s="3" t="n"/>
      <c r="C214" s="3" t="n"/>
      <c r="D214" s="3" t="n"/>
      <c r="E214" s="3" t="n"/>
      <c r="F214" s="3" t="n"/>
    </row>
    <row r="215" ht="15.75" customHeight="1" s="35">
      <c r="A215" s="3" t="n"/>
      <c r="B215" s="3" t="n"/>
      <c r="C215" s="3" t="n"/>
      <c r="D215" s="3" t="n"/>
      <c r="E215" s="3" t="n"/>
      <c r="F215" s="3" t="n"/>
    </row>
    <row r="216" ht="15.75" customHeight="1" s="35">
      <c r="A216" s="3" t="n"/>
      <c r="B216" s="3" t="n"/>
      <c r="C216" s="3" t="n"/>
      <c r="D216" s="3" t="n"/>
      <c r="E216" s="3" t="n"/>
      <c r="F216" s="3" t="n"/>
    </row>
    <row r="217" ht="15.75" customHeight="1" s="35">
      <c r="A217" s="3" t="n"/>
      <c r="B217" s="3" t="n"/>
      <c r="C217" s="3" t="n"/>
      <c r="D217" s="3" t="n"/>
      <c r="E217" s="3" t="n"/>
      <c r="F217" s="3" t="n"/>
    </row>
    <row r="218" ht="15.75" customHeight="1" s="35">
      <c r="A218" s="3" t="n"/>
      <c r="B218" s="3" t="n"/>
      <c r="C218" s="3" t="n"/>
      <c r="D218" s="3" t="n"/>
      <c r="E218" s="3" t="n"/>
      <c r="F218" s="3" t="n"/>
    </row>
    <row r="219" ht="15.75" customHeight="1" s="35">
      <c r="A219" s="3" t="n"/>
      <c r="B219" s="3" t="n"/>
      <c r="C219" s="3" t="n"/>
      <c r="D219" s="3" t="n"/>
      <c r="E219" s="3" t="n"/>
      <c r="F219" s="3" t="n"/>
    </row>
    <row r="220" ht="15.75" customHeight="1" s="35">
      <c r="A220" s="3" t="n"/>
      <c r="B220" s="3" t="n"/>
      <c r="C220" s="3" t="n"/>
      <c r="D220" s="3" t="n"/>
      <c r="E220" s="3" t="n"/>
      <c r="F220" s="3" t="n"/>
    </row>
    <row r="221" ht="15.75" customHeight="1" s="35">
      <c r="A221" s="3" t="n"/>
      <c r="B221" s="3" t="n"/>
      <c r="C221" s="3" t="n"/>
      <c r="D221" s="3" t="n"/>
      <c r="E221" s="3" t="n"/>
      <c r="F221" s="3" t="n"/>
    </row>
    <row r="222" ht="15.75" customHeight="1" s="35">
      <c r="A222" s="3" t="n"/>
      <c r="B222" s="3" t="n"/>
      <c r="C222" s="3" t="n"/>
      <c r="D222" s="3" t="n"/>
      <c r="E222" s="3" t="n"/>
      <c r="F222" s="3" t="n"/>
    </row>
    <row r="223" ht="15.75" customHeight="1" s="35">
      <c r="A223" s="3" t="n"/>
      <c r="B223" s="3" t="n"/>
      <c r="C223" s="3" t="n"/>
      <c r="D223" s="3" t="n"/>
      <c r="E223" s="3" t="n"/>
      <c r="F223" s="3" t="n"/>
    </row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F2"/>
    <mergeCell ref="A1:F1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5" min="1" max="1"/>
    <col width="11" customWidth="1" style="35" min="2" max="2"/>
    <col width="9" customWidth="1" style="35" min="3" max="3"/>
    <col width="16" customWidth="1" style="35" min="4" max="4"/>
    <col width="34" customWidth="1" style="35" min="5" max="5"/>
    <col width="32" customWidth="1" style="35" min="6" max="6"/>
    <col width="26" customWidth="1" style="35" min="7" max="7"/>
  </cols>
  <sheetData>
    <row r="1" ht="25.5" customHeight="1" s="35">
      <c r="A1" s="1" t="inlineStr">
        <is>
          <t>Registro de incidencias de la aplicación</t>
        </is>
      </c>
    </row>
    <row r="2" ht="30" customHeight="1" s="35">
      <c r="A2" s="2" t="inlineStr">
        <is>
          <t>Se anota en el momento en que ocurre la incidencia, no al final de la jornada. Un registro reconstruido no tiene valor probatorio.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31.5" customHeight="1" s="35">
      <c r="A4" s="4" t="inlineStr">
        <is>
          <t>N.°</t>
        </is>
      </c>
      <c r="B4" s="4" t="inlineStr">
        <is>
          <t>Fecha</t>
        </is>
      </c>
      <c r="C4" s="4" t="inlineStr">
        <is>
          <t>Hora</t>
        </is>
      </c>
      <c r="D4" s="4" t="inlineStr">
        <is>
          <t>Tipo</t>
        </is>
      </c>
      <c r="E4" s="4" t="inlineStr">
        <is>
          <t>Incidencia observada</t>
        </is>
      </c>
      <c r="F4" s="4" t="inlineStr">
        <is>
          <t>Acción adoptada</t>
        </is>
      </c>
      <c r="G4" s="4" t="inlineStr">
        <is>
          <t>Efecto sobre el dato</t>
        </is>
      </c>
    </row>
    <row r="5" ht="30" customHeight="1" s="35">
      <c r="A5" s="46" t="n">
        <v>1</v>
      </c>
      <c r="B5" s="34" t="n">
        <v>46307</v>
      </c>
      <c r="C5" s="25" t="inlineStr">
        <is>
          <t>10:42</t>
        </is>
      </c>
      <c r="D5" s="25" t="inlineStr">
        <is>
          <t>Técnica</t>
        </is>
      </c>
      <c r="E5" s="38" t="inlineStr">
        <is>
          <t>El participante GU-TDH-006 perdió la conexión a internet durante la tarea 1.</t>
        </is>
      </c>
      <c r="F5" s="38" t="inlineStr">
        <is>
          <t>Se pausó el registro y se reinició la tarea 1 desde cero a los 6 minutos.</t>
        </is>
      </c>
      <c r="G5" s="38" t="inlineStr">
        <is>
          <t>Se conserva solo el segundo intento; sin pérdida del dato.</t>
        </is>
      </c>
    </row>
    <row r="6" ht="30" customHeight="1" s="35">
      <c r="A6" s="47" t="n">
        <v>2</v>
      </c>
      <c r="B6" s="34" t="n">
        <v>46307</v>
      </c>
      <c r="C6" s="25" t="inlineStr">
        <is>
          <t>17:15</t>
        </is>
      </c>
      <c r="D6" s="25" t="inlineStr">
        <is>
          <t>Logística</t>
        </is>
      </c>
      <c r="E6" s="38" t="inlineStr">
        <is>
          <t>GU-TDH-001 no se conectó en el horario acordado.</t>
        </is>
      </c>
      <c r="F6" s="38" t="inlineStr">
        <is>
          <t>Se reprogramó dentro de la ventana de 72 h.</t>
        </is>
      </c>
      <c r="G6" s="38" t="inlineStr">
        <is>
          <t>No asistió a la reprogramación; queda como retirado.</t>
        </is>
      </c>
    </row>
    <row r="7" ht="30" customHeight="1" s="35">
      <c r="A7" s="46" t="n">
        <v>3</v>
      </c>
      <c r="B7" s="34" t="n">
        <v>46308</v>
      </c>
      <c r="C7" s="25" t="inlineStr">
        <is>
          <t>11:30</t>
        </is>
      </c>
      <c r="D7" s="25" t="inlineStr">
        <is>
          <t>Metodológica</t>
        </is>
      </c>
      <c r="E7" s="38" t="inlineStr">
        <is>
          <t>GU-TDH-022 preguntó si podía usar Google para buscar la noticia.</t>
        </is>
      </c>
      <c r="F7" s="38" t="inlineStr">
        <is>
          <t>Se repitió la consigna textual: buscar solo dentro del portal.</t>
        </is>
      </c>
      <c r="G7" s="38" t="inlineStr">
        <is>
          <t>Ninguno; la tarea continuó dentro del portal.</t>
        </is>
      </c>
    </row>
    <row r="8" ht="30" customHeight="1" s="35">
      <c r="A8" s="47" t="n">
        <v>4</v>
      </c>
      <c r="B8" s="34" t="n">
        <v>46308</v>
      </c>
      <c r="C8" s="25" t="inlineStr">
        <is>
          <t>16:48</t>
        </is>
      </c>
      <c r="D8" s="25" t="inlineStr">
        <is>
          <t>Técnica</t>
        </is>
      </c>
      <c r="E8" s="38" t="inlineStr">
        <is>
          <t>El contador de clics del portal no registró los clics de un participante durante 40 s.</t>
        </is>
      </c>
      <c r="F8" s="38" t="inlineStr">
        <is>
          <t>Se reinició el script del contador y se repitió la tarea 2.</t>
        </is>
      </c>
      <c r="G8" s="38" t="inlineStr">
        <is>
          <t>Se usa el segundo intento de la tarea 2.</t>
        </is>
      </c>
    </row>
    <row r="9" ht="30" customHeight="1" s="35">
      <c r="A9" s="46" t="n">
        <v>5</v>
      </c>
      <c r="B9" s="34" t="n">
        <v>46309</v>
      </c>
      <c r="C9" s="25" t="inlineStr">
        <is>
          <t>12:05</t>
        </is>
      </c>
      <c r="D9" s="25" t="inlineStr">
        <is>
          <t>Ética</t>
        </is>
      </c>
      <c r="E9" s="38" t="inlineStr">
        <is>
          <t>GU-TDH-105 comentó que trabaja en el área de redacción del diario.</t>
        </is>
      </c>
      <c r="F9" s="38" t="inlineStr">
        <is>
          <t>Se le agradeció y se registró para excluirlo en la depuración.</t>
        </is>
      </c>
      <c r="G9" s="38" t="inlineStr">
        <is>
          <t>Caso excluido (criterio de exclusión).</t>
        </is>
      </c>
    </row>
    <row r="10" ht="30" customHeight="1" s="35">
      <c r="A10" s="47" t="n">
        <v>6</v>
      </c>
      <c r="B10" s="34" t="n">
        <v>46310</v>
      </c>
      <c r="C10" s="25" t="inlineStr">
        <is>
          <t>10:20</t>
        </is>
      </c>
      <c r="D10" s="25" t="inlineStr">
        <is>
          <t>Técnica</t>
        </is>
      </c>
      <c r="E10" s="38" t="inlineStr">
        <is>
          <t>GU-TDH-046 cerró el navegador antes de terminar el SUS.</t>
        </is>
      </c>
      <c r="F10" s="38" t="inlineStr">
        <is>
          <t>Se le contactó; no pudo retomar en la ventana.</t>
        </is>
      </c>
      <c r="G10" s="38" t="inlineStr">
        <is>
          <t>Caso incompleto; se excluye en la depuración.</t>
        </is>
      </c>
    </row>
    <row r="11" ht="30" customHeight="1" s="35">
      <c r="A11" s="46" t="n">
        <v>7</v>
      </c>
      <c r="B11" s="34" t="n">
        <v>46310</v>
      </c>
      <c r="C11" s="25" t="inlineStr">
        <is>
          <t>18:10</t>
        </is>
      </c>
      <c r="D11" s="25" t="inlineStr">
        <is>
          <t>Logística</t>
        </is>
      </c>
      <c r="E11" s="38" t="inlineStr">
        <is>
          <t>Corte de luz en Amarilis afectó a dos participantes programados.</t>
        </is>
      </c>
      <c r="F11" s="38" t="inlineStr">
        <is>
          <t>Se reprogramaron para el 24/10 en la misma franja.</t>
        </is>
      </c>
      <c r="G11" s="38" t="inlineStr">
        <is>
          <t>Ninguno; ambos completaron el pretest.</t>
        </is>
      </c>
    </row>
    <row r="12" ht="30" customHeight="1" s="35">
      <c r="A12" s="47" t="n">
        <v>8</v>
      </c>
      <c r="B12" s="34" t="n">
        <v>46311</v>
      </c>
      <c r="C12" s="25" t="inlineStr">
        <is>
          <t>11:02</t>
        </is>
      </c>
      <c r="D12" s="25" t="inlineStr">
        <is>
          <t>Metodológica</t>
        </is>
      </c>
      <c r="E12" s="38" t="inlineStr">
        <is>
          <t>GU-TDH-072 no encontró la noticia de la tarea 2 en el tiempo límite.</t>
        </is>
      </c>
      <c r="F12" s="38" t="inlineStr">
        <is>
          <t>Se registró 300 s y «no completada», según el protocolo.</t>
        </is>
      </c>
      <c r="G12" s="38" t="inlineStr">
        <is>
          <t>Dato válido con tiempo = 300 s.</t>
        </is>
      </c>
    </row>
    <row r="13" ht="30" customHeight="1" s="35">
      <c r="A13" s="46" t="n">
        <v>9</v>
      </c>
      <c r="B13" s="34" t="n">
        <v>46311</v>
      </c>
      <c r="C13" s="25" t="inlineStr">
        <is>
          <t>16:35</t>
        </is>
      </c>
      <c r="D13" s="25" t="inlineStr">
        <is>
          <t>Técnica</t>
        </is>
      </c>
      <c r="E13" s="38" t="inlineStr">
        <is>
          <t>Lentitud del portal (carga de más de 8 s) durante unos 15 minutos.</t>
        </is>
      </c>
      <c r="F13" s="38" t="inlineStr">
        <is>
          <t>Se anotó la franja horaria; no se detuvo la aplicación.</t>
        </is>
      </c>
      <c r="G13" s="38" t="inlineStr">
        <is>
          <t>Se marca para el análisis de sensibilidad.</t>
        </is>
      </c>
    </row>
    <row r="14" ht="30" customHeight="1" s="35">
      <c r="A14" s="47" t="n">
        <v>10</v>
      </c>
      <c r="B14" s="34" t="n">
        <v>46312</v>
      </c>
      <c r="C14" s="25" t="inlineStr">
        <is>
          <t>12:40</t>
        </is>
      </c>
      <c r="D14" s="25" t="inlineStr">
        <is>
          <t>Logística</t>
        </is>
      </c>
      <c r="E14" s="38" t="inlineStr">
        <is>
          <t>GU-TDH-059 se desconectó antes de iniciar la tarea 2 y no volvió.</t>
        </is>
      </c>
      <c r="F14" s="38" t="inlineStr">
        <is>
          <t>Se le escribió por WhatsApp; no respondió.</t>
        </is>
      </c>
      <c r="G14" s="38" t="inlineStr">
        <is>
          <t>Caso incompleto; se excluye en la depuración.</t>
        </is>
      </c>
    </row>
    <row r="15" ht="30" customHeight="1" s="35">
      <c r="A15" s="46" t="n">
        <v>11</v>
      </c>
      <c r="B15" s="34" t="n"/>
      <c r="C15" s="25" t="n"/>
      <c r="D15" s="25" t="n"/>
      <c r="E15" s="25" t="n"/>
      <c r="F15" s="25" t="n"/>
      <c r="G15" s="25" t="n"/>
    </row>
    <row r="16" ht="30" customHeight="1" s="35">
      <c r="A16" s="47" t="n">
        <v>12</v>
      </c>
      <c r="B16" s="34" t="n"/>
      <c r="C16" s="25" t="n"/>
      <c r="D16" s="25" t="n"/>
      <c r="E16" s="25" t="n"/>
      <c r="F16" s="25" t="n"/>
      <c r="G16" s="25" t="n"/>
    </row>
    <row r="17" ht="30" customHeight="1" s="35">
      <c r="A17" s="46" t="n">
        <v>13</v>
      </c>
      <c r="B17" s="34" t="n"/>
      <c r="C17" s="25" t="n"/>
      <c r="D17" s="25" t="n"/>
      <c r="E17" s="25" t="n"/>
      <c r="F17" s="25" t="n"/>
      <c r="G17" s="25" t="n"/>
    </row>
    <row r="18" ht="30" customHeight="1" s="35">
      <c r="A18" s="47" t="n">
        <v>14</v>
      </c>
      <c r="B18" s="34" t="n"/>
      <c r="C18" s="25" t="n"/>
      <c r="D18" s="25" t="n"/>
      <c r="E18" s="25" t="n"/>
      <c r="F18" s="25" t="n"/>
      <c r="G18" s="25" t="n"/>
    </row>
    <row r="19" ht="30" customHeight="1" s="35">
      <c r="A19" s="46" t="n">
        <v>15</v>
      </c>
      <c r="B19" s="34" t="n"/>
      <c r="C19" s="25" t="n"/>
      <c r="D19" s="25" t="n"/>
      <c r="E19" s="25" t="n"/>
      <c r="F19" s="25" t="n"/>
      <c r="G19" s="25" t="n"/>
    </row>
    <row r="20" ht="30" customHeight="1" s="35">
      <c r="A20" s="47" t="n">
        <v>16</v>
      </c>
      <c r="B20" s="34" t="n"/>
      <c r="C20" s="25" t="n"/>
      <c r="D20" s="25" t="n"/>
      <c r="E20" s="25" t="n"/>
      <c r="F20" s="25" t="n"/>
      <c r="G20" s="25" t="n"/>
    </row>
    <row r="21" ht="30" customHeight="1" s="35">
      <c r="A21" s="46" t="n">
        <v>17</v>
      </c>
      <c r="B21" s="34" t="n"/>
      <c r="C21" s="25" t="n"/>
      <c r="D21" s="25" t="n"/>
      <c r="E21" s="25" t="n"/>
      <c r="F21" s="25" t="n"/>
      <c r="G21" s="25" t="n"/>
    </row>
    <row r="22" ht="30" customHeight="1" s="35">
      <c r="A22" s="47" t="n">
        <v>18</v>
      </c>
      <c r="B22" s="34" t="n"/>
      <c r="C22" s="25" t="n"/>
      <c r="D22" s="25" t="n"/>
      <c r="E22" s="25" t="n"/>
      <c r="F22" s="25" t="n"/>
      <c r="G22" s="25" t="n"/>
    </row>
    <row r="23" ht="30" customHeight="1" s="35">
      <c r="A23" s="46" t="n">
        <v>19</v>
      </c>
      <c r="B23" s="34" t="n"/>
      <c r="C23" s="25" t="n"/>
      <c r="D23" s="25" t="n"/>
      <c r="E23" s="25" t="n"/>
      <c r="F23" s="25" t="n"/>
      <c r="G23" s="25" t="n"/>
    </row>
    <row r="24" ht="30" customHeight="1" s="35">
      <c r="A24" s="47" t="n">
        <v>20</v>
      </c>
      <c r="B24" s="34" t="n"/>
      <c r="C24" s="25" t="n"/>
      <c r="D24" s="25" t="n"/>
      <c r="E24" s="25" t="n"/>
      <c r="F24" s="25" t="n"/>
      <c r="G24" s="25" t="n"/>
    </row>
    <row r="25" ht="15.75" customHeight="1" s="35">
      <c r="A25" s="3" t="n"/>
      <c r="B25" s="3" t="n"/>
      <c r="C25" s="3" t="n"/>
      <c r="D25" s="3" t="n"/>
      <c r="E25" s="3" t="n"/>
      <c r="F25" s="3" t="n"/>
      <c r="G25" s="3" t="n"/>
    </row>
    <row r="26" ht="15" customHeight="1" s="35">
      <c r="A26" s="3" t="n"/>
      <c r="B26" s="17" t="inlineStr">
        <is>
          <t>Total de incidencias</t>
        </is>
      </c>
      <c r="C26" s="18">
        <f>COUNTA(E5:E24)</f>
        <v/>
      </c>
      <c r="D26" s="3" t="n"/>
      <c r="E26" s="3" t="n"/>
      <c r="F26" s="3" t="n"/>
      <c r="G26" s="3" t="n"/>
    </row>
    <row r="27" ht="15" customHeight="1" s="35">
      <c r="A27" s="3" t="n"/>
      <c r="B27" s="17" t="inlineStr">
        <is>
          <t>Incidencias éticas</t>
        </is>
      </c>
      <c r="C27" s="18">
        <f>COUNTIF(D5:D24,"Ética")</f>
        <v/>
      </c>
      <c r="D27" s="3" t="n"/>
      <c r="E27" s="3" t="n"/>
      <c r="F27" s="3" t="n"/>
      <c r="G27" s="3" t="n"/>
    </row>
    <row r="28" ht="15.75" customHeight="1" s="35">
      <c r="A28" s="3" t="n"/>
      <c r="B28" s="3" t="n"/>
      <c r="C28" s="3" t="n"/>
      <c r="D28" s="3" t="n"/>
      <c r="E28" s="3" t="n"/>
      <c r="F28" s="3" t="n"/>
      <c r="G28" s="3" t="n"/>
    </row>
    <row r="29" ht="15" customHeight="1" s="35">
      <c r="A29" s="3" t="n"/>
      <c r="B29" s="32" t="inlineStr">
        <is>
          <t>Cero incidencias en una jornada de campo real es, casi siempre, señal de que no se registraron, no de que no ocurrieron.</t>
        </is>
      </c>
      <c r="C29" s="3" t="n"/>
      <c r="D29" s="3" t="n"/>
      <c r="E29" s="3" t="n"/>
      <c r="F29" s="3" t="n"/>
      <c r="G29" s="3" t="n"/>
    </row>
    <row r="30" ht="15.75" customHeight="1" s="35">
      <c r="A30" s="3" t="n"/>
      <c r="B30" s="3" t="n"/>
      <c r="C30" s="3" t="n"/>
      <c r="D30" s="3" t="n"/>
      <c r="E30" s="3" t="n"/>
      <c r="F30" s="3" t="n"/>
      <c r="G30" s="3" t="n"/>
    </row>
    <row r="31" ht="15.75" customHeight="1" s="35">
      <c r="A31" s="3" t="n"/>
      <c r="B31" s="3" t="n"/>
      <c r="C31" s="3" t="n"/>
      <c r="D31" s="3" t="n"/>
      <c r="E31" s="3" t="n"/>
      <c r="F31" s="3" t="n"/>
      <c r="G31" s="3" t="n"/>
    </row>
    <row r="32" ht="15.75" customHeight="1" s="35">
      <c r="A32" s="3" t="n"/>
      <c r="B32" s="3" t="n"/>
      <c r="C32" s="3" t="n"/>
      <c r="D32" s="3" t="n"/>
      <c r="E32" s="3" t="n"/>
      <c r="F32" s="3" t="n"/>
      <c r="G32" s="3" t="n"/>
    </row>
    <row r="33" ht="15.75" customHeight="1" s="35">
      <c r="A33" s="3" t="n"/>
      <c r="B33" s="3" t="n"/>
      <c r="C33" s="3" t="n"/>
      <c r="D33" s="3" t="n"/>
      <c r="E33" s="3" t="n"/>
      <c r="F33" s="3" t="n"/>
      <c r="G33" s="3" t="n"/>
    </row>
    <row r="34" ht="15.75" customHeight="1" s="35">
      <c r="A34" s="3" t="n"/>
      <c r="B34" s="3" t="n"/>
      <c r="C34" s="3" t="n"/>
      <c r="D34" s="3" t="n"/>
      <c r="E34" s="3" t="n"/>
      <c r="F34" s="3" t="n"/>
      <c r="G34" s="3" t="n"/>
    </row>
    <row r="35" ht="15.75" customHeight="1" s="35">
      <c r="A35" s="3" t="n"/>
      <c r="B35" s="3" t="n"/>
      <c r="C35" s="3" t="n"/>
      <c r="D35" s="3" t="n"/>
      <c r="E35" s="3" t="n"/>
      <c r="F35" s="3" t="n"/>
      <c r="G35" s="3" t="n"/>
    </row>
    <row r="36" ht="15.75" customHeight="1" s="35">
      <c r="A36" s="3" t="n"/>
      <c r="B36" s="3" t="n"/>
      <c r="C36" s="3" t="n"/>
      <c r="D36" s="3" t="n"/>
      <c r="E36" s="3" t="n"/>
      <c r="F36" s="3" t="n"/>
      <c r="G36" s="3" t="n"/>
    </row>
    <row r="37" ht="15.75" customHeight="1" s="35">
      <c r="A37" s="3" t="n"/>
      <c r="B37" s="3" t="n"/>
      <c r="C37" s="3" t="n"/>
      <c r="D37" s="3" t="n"/>
      <c r="E37" s="3" t="n"/>
      <c r="F37" s="3" t="n"/>
      <c r="G37" s="3" t="n"/>
    </row>
    <row r="38" ht="15.75" customHeight="1" s="35">
      <c r="A38" s="3" t="n"/>
      <c r="B38" s="3" t="n"/>
      <c r="C38" s="3" t="n"/>
      <c r="D38" s="3" t="n"/>
      <c r="E38" s="3" t="n"/>
      <c r="F38" s="3" t="n"/>
      <c r="G38" s="3" t="n"/>
    </row>
    <row r="39" ht="15.75" customHeight="1" s="35">
      <c r="A39" s="3" t="n"/>
      <c r="B39" s="3" t="n"/>
      <c r="C39" s="3" t="n"/>
      <c r="D39" s="3" t="n"/>
      <c r="E39" s="3" t="n"/>
      <c r="F39" s="3" t="n"/>
      <c r="G39" s="3" t="n"/>
    </row>
    <row r="40" ht="15.75" customHeight="1" s="35">
      <c r="A40" s="3" t="n"/>
      <c r="B40" s="3" t="n"/>
      <c r="C40" s="3" t="n"/>
      <c r="D40" s="3" t="n"/>
      <c r="E40" s="3" t="n"/>
      <c r="F40" s="3" t="n"/>
      <c r="G40" s="3" t="n"/>
    </row>
    <row r="41" ht="15.75" customHeight="1" s="35">
      <c r="A41" s="3" t="n"/>
      <c r="B41" s="3" t="n"/>
      <c r="C41" s="3" t="n"/>
      <c r="D41" s="3" t="n"/>
      <c r="E41" s="3" t="n"/>
      <c r="F41" s="3" t="n"/>
      <c r="G41" s="3" t="n"/>
    </row>
    <row r="42" ht="15.75" customHeight="1" s="35">
      <c r="A42" s="3" t="n"/>
      <c r="B42" s="3" t="n"/>
      <c r="C42" s="3" t="n"/>
      <c r="D42" s="3" t="n"/>
      <c r="E42" s="3" t="n"/>
      <c r="F42" s="3" t="n"/>
      <c r="G42" s="3" t="n"/>
    </row>
    <row r="43" ht="15.75" customHeight="1" s="35">
      <c r="A43" s="3" t="n"/>
      <c r="B43" s="3" t="n"/>
      <c r="C43" s="3" t="n"/>
      <c r="D43" s="3" t="n"/>
      <c r="E43" s="3" t="n"/>
      <c r="F43" s="3" t="n"/>
      <c r="G43" s="3" t="n"/>
    </row>
    <row r="44" ht="15.75" customHeight="1" s="35">
      <c r="A44" s="3" t="n"/>
      <c r="B44" s="3" t="n"/>
      <c r="C44" s="3" t="n"/>
      <c r="D44" s="3" t="n"/>
      <c r="E44" s="3" t="n"/>
      <c r="F44" s="3" t="n"/>
      <c r="G44" s="3" t="n"/>
    </row>
    <row r="45" ht="15.75" customHeight="1" s="35">
      <c r="A45" s="3" t="n"/>
      <c r="B45" s="3" t="n"/>
      <c r="C45" s="3" t="n"/>
      <c r="D45" s="3" t="n"/>
      <c r="E45" s="3" t="n"/>
      <c r="F45" s="3" t="n"/>
      <c r="G45" s="3" t="n"/>
    </row>
    <row r="46" ht="15.75" customHeight="1" s="35">
      <c r="A46" s="3" t="n"/>
      <c r="B46" s="3" t="n"/>
      <c r="C46" s="3" t="n"/>
      <c r="D46" s="3" t="n"/>
      <c r="E46" s="3" t="n"/>
      <c r="F46" s="3" t="n"/>
      <c r="G46" s="3" t="n"/>
    </row>
    <row r="47" ht="15.75" customHeight="1" s="35">
      <c r="A47" s="3" t="n"/>
      <c r="B47" s="3" t="n"/>
      <c r="C47" s="3" t="n"/>
      <c r="D47" s="3" t="n"/>
      <c r="E47" s="3" t="n"/>
      <c r="F47" s="3" t="n"/>
      <c r="G47" s="3" t="n"/>
    </row>
    <row r="48" ht="15.75" customHeight="1" s="35">
      <c r="A48" s="3" t="n"/>
      <c r="B48" s="3" t="n"/>
      <c r="C48" s="3" t="n"/>
      <c r="D48" s="3" t="n"/>
      <c r="E48" s="3" t="n"/>
      <c r="F48" s="3" t="n"/>
      <c r="G48" s="3" t="n"/>
    </row>
    <row r="49" ht="15.75" customHeight="1" s="35">
      <c r="A49" s="3" t="n"/>
      <c r="B49" s="3" t="n"/>
      <c r="C49" s="3" t="n"/>
      <c r="D49" s="3" t="n"/>
      <c r="E49" s="3" t="n"/>
      <c r="F49" s="3" t="n"/>
      <c r="G49" s="3" t="n"/>
    </row>
    <row r="50" ht="15.75" customHeight="1" s="35">
      <c r="A50" s="3" t="n"/>
      <c r="B50" s="3" t="n"/>
      <c r="C50" s="3" t="n"/>
      <c r="D50" s="3" t="n"/>
      <c r="E50" s="3" t="n"/>
      <c r="F50" s="3" t="n"/>
      <c r="G50" s="3" t="n"/>
    </row>
    <row r="51" ht="15.75" customHeight="1" s="35">
      <c r="A51" s="3" t="n"/>
      <c r="B51" s="3" t="n"/>
      <c r="C51" s="3" t="n"/>
      <c r="D51" s="3" t="n"/>
      <c r="E51" s="3" t="n"/>
      <c r="F51" s="3" t="n"/>
      <c r="G51" s="3" t="n"/>
    </row>
    <row r="52" ht="15.75" customHeight="1" s="35">
      <c r="A52" s="3" t="n"/>
      <c r="B52" s="3" t="n"/>
      <c r="C52" s="3" t="n"/>
      <c r="D52" s="3" t="n"/>
      <c r="E52" s="3" t="n"/>
      <c r="F52" s="3" t="n"/>
      <c r="G52" s="3" t="n"/>
    </row>
    <row r="53" ht="15.75" customHeight="1" s="35">
      <c r="A53" s="3" t="n"/>
      <c r="B53" s="3" t="n"/>
      <c r="C53" s="3" t="n"/>
      <c r="D53" s="3" t="n"/>
      <c r="E53" s="3" t="n"/>
      <c r="F53" s="3" t="n"/>
      <c r="G53" s="3" t="n"/>
    </row>
    <row r="54" ht="15.75" customHeight="1" s="35">
      <c r="A54" s="3" t="n"/>
      <c r="B54" s="3" t="n"/>
      <c r="C54" s="3" t="n"/>
      <c r="D54" s="3" t="n"/>
      <c r="E54" s="3" t="n"/>
      <c r="F54" s="3" t="n"/>
      <c r="G54" s="3" t="n"/>
    </row>
    <row r="55" ht="15.75" customHeight="1" s="35">
      <c r="A55" s="3" t="n"/>
      <c r="B55" s="3" t="n"/>
      <c r="C55" s="3" t="n"/>
      <c r="D55" s="3" t="n"/>
      <c r="E55" s="3" t="n"/>
      <c r="F55" s="3" t="n"/>
      <c r="G55" s="3" t="n"/>
    </row>
    <row r="56" ht="15.75" customHeight="1" s="35">
      <c r="A56" s="3" t="n"/>
      <c r="B56" s="3" t="n"/>
      <c r="C56" s="3" t="n"/>
      <c r="D56" s="3" t="n"/>
      <c r="E56" s="3" t="n"/>
      <c r="F56" s="3" t="n"/>
      <c r="G56" s="3" t="n"/>
    </row>
    <row r="57" ht="15.75" customHeight="1" s="35">
      <c r="A57" s="3" t="n"/>
      <c r="B57" s="3" t="n"/>
      <c r="C57" s="3" t="n"/>
      <c r="D57" s="3" t="n"/>
      <c r="E57" s="3" t="n"/>
      <c r="F57" s="3" t="n"/>
      <c r="G57" s="3" t="n"/>
    </row>
    <row r="58" ht="15.75" customHeight="1" s="35">
      <c r="A58" s="3" t="n"/>
      <c r="B58" s="3" t="n"/>
      <c r="C58" s="3" t="n"/>
      <c r="D58" s="3" t="n"/>
      <c r="E58" s="3" t="n"/>
      <c r="F58" s="3" t="n"/>
      <c r="G58" s="3" t="n"/>
    </row>
    <row r="59" ht="15.75" customHeight="1" s="35">
      <c r="A59" s="3" t="n"/>
      <c r="B59" s="3" t="n"/>
      <c r="C59" s="3" t="n"/>
      <c r="D59" s="3" t="n"/>
      <c r="E59" s="3" t="n"/>
      <c r="F59" s="3" t="n"/>
      <c r="G59" s="3" t="n"/>
    </row>
    <row r="60" ht="15.75" customHeight="1" s="35">
      <c r="A60" s="3" t="n"/>
      <c r="B60" s="3" t="n"/>
      <c r="C60" s="3" t="n"/>
      <c r="D60" s="3" t="n"/>
      <c r="E60" s="3" t="n"/>
      <c r="F60" s="3" t="n"/>
      <c r="G60" s="3" t="n"/>
    </row>
    <row r="61" ht="15.75" customHeight="1" s="35">
      <c r="A61" s="3" t="n"/>
      <c r="B61" s="3" t="n"/>
      <c r="C61" s="3" t="n"/>
      <c r="D61" s="3" t="n"/>
      <c r="E61" s="3" t="n"/>
      <c r="F61" s="3" t="n"/>
      <c r="G61" s="3" t="n"/>
    </row>
    <row r="62" ht="15.75" customHeight="1" s="35">
      <c r="A62" s="3" t="n"/>
      <c r="B62" s="3" t="n"/>
      <c r="C62" s="3" t="n"/>
      <c r="D62" s="3" t="n"/>
      <c r="E62" s="3" t="n"/>
      <c r="F62" s="3" t="n"/>
      <c r="G62" s="3" t="n"/>
    </row>
    <row r="63" ht="15.75" customHeight="1" s="35">
      <c r="A63" s="3" t="n"/>
      <c r="B63" s="3" t="n"/>
      <c r="C63" s="3" t="n"/>
      <c r="D63" s="3" t="n"/>
      <c r="E63" s="3" t="n"/>
      <c r="F63" s="3" t="n"/>
      <c r="G63" s="3" t="n"/>
    </row>
    <row r="64" ht="15.75" customHeight="1" s="35">
      <c r="A64" s="3" t="n"/>
      <c r="B64" s="3" t="n"/>
      <c r="C64" s="3" t="n"/>
      <c r="D64" s="3" t="n"/>
      <c r="E64" s="3" t="n"/>
      <c r="F64" s="3" t="n"/>
      <c r="G64" s="3" t="n"/>
    </row>
    <row r="65" ht="15.75" customHeight="1" s="35">
      <c r="A65" s="3" t="n"/>
      <c r="B65" s="3" t="n"/>
      <c r="C65" s="3" t="n"/>
      <c r="D65" s="3" t="n"/>
      <c r="E65" s="3" t="n"/>
      <c r="F65" s="3" t="n"/>
      <c r="G65" s="3" t="n"/>
    </row>
    <row r="66" ht="15.75" customHeight="1" s="35">
      <c r="A66" s="3" t="n"/>
      <c r="B66" s="3" t="n"/>
      <c r="C66" s="3" t="n"/>
      <c r="D66" s="3" t="n"/>
      <c r="E66" s="3" t="n"/>
      <c r="F66" s="3" t="n"/>
      <c r="G66" s="3" t="n"/>
    </row>
    <row r="67" ht="15.75" customHeight="1" s="35">
      <c r="A67" s="3" t="n"/>
      <c r="B67" s="3" t="n"/>
      <c r="C67" s="3" t="n"/>
      <c r="D67" s="3" t="n"/>
      <c r="E67" s="3" t="n"/>
      <c r="F67" s="3" t="n"/>
      <c r="G67" s="3" t="n"/>
    </row>
    <row r="68" ht="15.75" customHeight="1" s="35">
      <c r="A68" s="3" t="n"/>
      <c r="B68" s="3" t="n"/>
      <c r="C68" s="3" t="n"/>
      <c r="D68" s="3" t="n"/>
      <c r="E68" s="3" t="n"/>
      <c r="F68" s="3" t="n"/>
      <c r="G68" s="3" t="n"/>
    </row>
    <row r="69" ht="15.75" customHeight="1" s="35">
      <c r="A69" s="3" t="n"/>
      <c r="B69" s="3" t="n"/>
      <c r="C69" s="3" t="n"/>
      <c r="D69" s="3" t="n"/>
      <c r="E69" s="3" t="n"/>
      <c r="F69" s="3" t="n"/>
      <c r="G69" s="3" t="n"/>
    </row>
    <row r="70" ht="15.75" customHeight="1" s="35">
      <c r="A70" s="3" t="n"/>
      <c r="B70" s="3" t="n"/>
      <c r="C70" s="3" t="n"/>
      <c r="D70" s="3" t="n"/>
      <c r="E70" s="3" t="n"/>
      <c r="F70" s="3" t="n"/>
      <c r="G70" s="3" t="n"/>
    </row>
    <row r="71" ht="15.75" customHeight="1" s="35">
      <c r="A71" s="3" t="n"/>
      <c r="B71" s="3" t="n"/>
      <c r="C71" s="3" t="n"/>
      <c r="D71" s="3" t="n"/>
      <c r="E71" s="3" t="n"/>
      <c r="F71" s="3" t="n"/>
      <c r="G71" s="3" t="n"/>
    </row>
    <row r="72" ht="15.75" customHeight="1" s="35">
      <c r="A72" s="3" t="n"/>
      <c r="B72" s="3" t="n"/>
      <c r="C72" s="3" t="n"/>
      <c r="D72" s="3" t="n"/>
      <c r="E72" s="3" t="n"/>
      <c r="F72" s="3" t="n"/>
      <c r="G72" s="3" t="n"/>
    </row>
    <row r="73" ht="15.75" customHeight="1" s="35">
      <c r="A73" s="3" t="n"/>
      <c r="B73" s="3" t="n"/>
      <c r="C73" s="3" t="n"/>
      <c r="D73" s="3" t="n"/>
      <c r="E73" s="3" t="n"/>
      <c r="F73" s="3" t="n"/>
      <c r="G73" s="3" t="n"/>
    </row>
    <row r="74" ht="15.75" customHeight="1" s="35">
      <c r="A74" s="3" t="n"/>
      <c r="B74" s="3" t="n"/>
      <c r="C74" s="3" t="n"/>
      <c r="D74" s="3" t="n"/>
      <c r="E74" s="3" t="n"/>
      <c r="F74" s="3" t="n"/>
      <c r="G74" s="3" t="n"/>
    </row>
    <row r="75" ht="15.75" customHeight="1" s="35">
      <c r="A75" s="3" t="n"/>
      <c r="B75" s="3" t="n"/>
      <c r="C75" s="3" t="n"/>
      <c r="D75" s="3" t="n"/>
      <c r="E75" s="3" t="n"/>
      <c r="F75" s="3" t="n"/>
      <c r="G75" s="3" t="n"/>
    </row>
    <row r="76" ht="15.75" customHeight="1" s="35">
      <c r="A76" s="3" t="n"/>
      <c r="B76" s="3" t="n"/>
      <c r="C76" s="3" t="n"/>
      <c r="D76" s="3" t="n"/>
      <c r="E76" s="3" t="n"/>
      <c r="F76" s="3" t="n"/>
      <c r="G76" s="3" t="n"/>
    </row>
    <row r="77" ht="15.75" customHeight="1" s="35">
      <c r="A77" s="3" t="n"/>
      <c r="B77" s="3" t="n"/>
      <c r="C77" s="3" t="n"/>
      <c r="D77" s="3" t="n"/>
      <c r="E77" s="3" t="n"/>
      <c r="F77" s="3" t="n"/>
      <c r="G77" s="3" t="n"/>
    </row>
    <row r="78" ht="15.75" customHeight="1" s="35">
      <c r="A78" s="3" t="n"/>
      <c r="B78" s="3" t="n"/>
      <c r="C78" s="3" t="n"/>
      <c r="D78" s="3" t="n"/>
      <c r="E78" s="3" t="n"/>
      <c r="F78" s="3" t="n"/>
      <c r="G78" s="3" t="n"/>
    </row>
    <row r="79" ht="15.75" customHeight="1" s="35">
      <c r="A79" s="3" t="n"/>
      <c r="B79" s="3" t="n"/>
      <c r="C79" s="3" t="n"/>
      <c r="D79" s="3" t="n"/>
      <c r="E79" s="3" t="n"/>
      <c r="F79" s="3" t="n"/>
      <c r="G79" s="3" t="n"/>
    </row>
    <row r="80" ht="15.75" customHeight="1" s="35">
      <c r="A80" s="3" t="n"/>
      <c r="B80" s="3" t="n"/>
      <c r="C80" s="3" t="n"/>
      <c r="D80" s="3" t="n"/>
      <c r="E80" s="3" t="n"/>
      <c r="F80" s="3" t="n"/>
      <c r="G80" s="3" t="n"/>
    </row>
    <row r="81" ht="15.75" customHeight="1" s="35">
      <c r="A81" s="3" t="n"/>
      <c r="B81" s="3" t="n"/>
      <c r="C81" s="3" t="n"/>
      <c r="D81" s="3" t="n"/>
      <c r="E81" s="3" t="n"/>
      <c r="F81" s="3" t="n"/>
      <c r="G81" s="3" t="n"/>
    </row>
    <row r="82" ht="15.75" customHeight="1" s="35">
      <c r="A82" s="3" t="n"/>
      <c r="B82" s="3" t="n"/>
      <c r="C82" s="3" t="n"/>
      <c r="D82" s="3" t="n"/>
      <c r="E82" s="3" t="n"/>
      <c r="F82" s="3" t="n"/>
      <c r="G82" s="3" t="n"/>
    </row>
    <row r="83" ht="15.75" customHeight="1" s="35">
      <c r="A83" s="3" t="n"/>
      <c r="B83" s="3" t="n"/>
      <c r="C83" s="3" t="n"/>
      <c r="D83" s="3" t="n"/>
      <c r="E83" s="3" t="n"/>
      <c r="F83" s="3" t="n"/>
      <c r="G83" s="3" t="n"/>
    </row>
    <row r="84" ht="15.75" customHeight="1" s="35">
      <c r="A84" s="3" t="n"/>
      <c r="B84" s="3" t="n"/>
      <c r="C84" s="3" t="n"/>
      <c r="D84" s="3" t="n"/>
      <c r="E84" s="3" t="n"/>
      <c r="F84" s="3" t="n"/>
      <c r="G84" s="3" t="n"/>
    </row>
    <row r="85" ht="15.75" customHeight="1" s="35">
      <c r="A85" s="3" t="n"/>
      <c r="B85" s="3" t="n"/>
      <c r="C85" s="3" t="n"/>
      <c r="D85" s="3" t="n"/>
      <c r="E85" s="3" t="n"/>
      <c r="F85" s="3" t="n"/>
      <c r="G85" s="3" t="n"/>
    </row>
    <row r="86" ht="15.75" customHeight="1" s="35">
      <c r="A86" s="3" t="n"/>
      <c r="B86" s="3" t="n"/>
      <c r="C86" s="3" t="n"/>
      <c r="D86" s="3" t="n"/>
      <c r="E86" s="3" t="n"/>
      <c r="F86" s="3" t="n"/>
      <c r="G86" s="3" t="n"/>
    </row>
    <row r="87" ht="15.75" customHeight="1" s="35">
      <c r="A87" s="3" t="n"/>
      <c r="B87" s="3" t="n"/>
      <c r="C87" s="3" t="n"/>
      <c r="D87" s="3" t="n"/>
      <c r="E87" s="3" t="n"/>
      <c r="F87" s="3" t="n"/>
      <c r="G87" s="3" t="n"/>
    </row>
    <row r="88" ht="15.75" customHeight="1" s="35">
      <c r="A88" s="3" t="n"/>
      <c r="B88" s="3" t="n"/>
      <c r="C88" s="3" t="n"/>
      <c r="D88" s="3" t="n"/>
      <c r="E88" s="3" t="n"/>
      <c r="F88" s="3" t="n"/>
      <c r="G88" s="3" t="n"/>
    </row>
    <row r="89" ht="15.75" customHeight="1" s="35">
      <c r="A89" s="3" t="n"/>
      <c r="B89" s="3" t="n"/>
      <c r="C89" s="3" t="n"/>
      <c r="D89" s="3" t="n"/>
      <c r="E89" s="3" t="n"/>
      <c r="F89" s="3" t="n"/>
      <c r="G89" s="3" t="n"/>
    </row>
    <row r="90" ht="15.75" customHeight="1" s="35">
      <c r="A90" s="3" t="n"/>
      <c r="B90" s="3" t="n"/>
      <c r="C90" s="3" t="n"/>
      <c r="D90" s="3" t="n"/>
      <c r="E90" s="3" t="n"/>
      <c r="F90" s="3" t="n"/>
      <c r="G90" s="3" t="n"/>
    </row>
    <row r="91" ht="15.75" customHeight="1" s="35">
      <c r="A91" s="3" t="n"/>
      <c r="B91" s="3" t="n"/>
      <c r="C91" s="3" t="n"/>
      <c r="D91" s="3" t="n"/>
      <c r="E91" s="3" t="n"/>
      <c r="F91" s="3" t="n"/>
      <c r="G91" s="3" t="n"/>
    </row>
    <row r="92" ht="15.75" customHeight="1" s="35">
      <c r="A92" s="3" t="n"/>
      <c r="B92" s="3" t="n"/>
      <c r="C92" s="3" t="n"/>
      <c r="D92" s="3" t="n"/>
      <c r="E92" s="3" t="n"/>
      <c r="F92" s="3" t="n"/>
      <c r="G92" s="3" t="n"/>
    </row>
    <row r="93" ht="15.75" customHeight="1" s="35">
      <c r="A93" s="3" t="n"/>
      <c r="B93" s="3" t="n"/>
      <c r="C93" s="3" t="n"/>
      <c r="D93" s="3" t="n"/>
      <c r="E93" s="3" t="n"/>
      <c r="F93" s="3" t="n"/>
      <c r="G93" s="3" t="n"/>
    </row>
    <row r="94" ht="15.75" customHeight="1" s="35">
      <c r="A94" s="3" t="n"/>
      <c r="B94" s="3" t="n"/>
      <c r="C94" s="3" t="n"/>
      <c r="D94" s="3" t="n"/>
      <c r="E94" s="3" t="n"/>
      <c r="F94" s="3" t="n"/>
      <c r="G94" s="3" t="n"/>
    </row>
    <row r="95" ht="15.75" customHeight="1" s="35">
      <c r="A95" s="3" t="n"/>
      <c r="B95" s="3" t="n"/>
      <c r="C95" s="3" t="n"/>
      <c r="D95" s="3" t="n"/>
      <c r="E95" s="3" t="n"/>
      <c r="F95" s="3" t="n"/>
      <c r="G95" s="3" t="n"/>
    </row>
    <row r="96" ht="15.75" customHeight="1" s="35">
      <c r="A96" s="3" t="n"/>
      <c r="B96" s="3" t="n"/>
      <c r="C96" s="3" t="n"/>
      <c r="D96" s="3" t="n"/>
      <c r="E96" s="3" t="n"/>
      <c r="F96" s="3" t="n"/>
      <c r="G96" s="3" t="n"/>
    </row>
    <row r="97" ht="15.75" customHeight="1" s="35">
      <c r="A97" s="3" t="n"/>
      <c r="B97" s="3" t="n"/>
      <c r="C97" s="3" t="n"/>
      <c r="D97" s="3" t="n"/>
      <c r="E97" s="3" t="n"/>
      <c r="F97" s="3" t="n"/>
      <c r="G97" s="3" t="n"/>
    </row>
    <row r="98" ht="15.75" customHeight="1" s="35">
      <c r="A98" s="3" t="n"/>
      <c r="B98" s="3" t="n"/>
      <c r="C98" s="3" t="n"/>
      <c r="D98" s="3" t="n"/>
      <c r="E98" s="3" t="n"/>
      <c r="F98" s="3" t="n"/>
      <c r="G98" s="3" t="n"/>
    </row>
    <row r="99" ht="15.75" customHeight="1" s="35">
      <c r="A99" s="3" t="n"/>
      <c r="B99" s="3" t="n"/>
      <c r="C99" s="3" t="n"/>
      <c r="D99" s="3" t="n"/>
      <c r="E99" s="3" t="n"/>
      <c r="F99" s="3" t="n"/>
      <c r="G99" s="3" t="n"/>
    </row>
    <row r="100" ht="15.75" customHeight="1" s="35">
      <c r="A100" s="3" t="n"/>
      <c r="B100" s="3" t="n"/>
      <c r="C100" s="3" t="n"/>
      <c r="D100" s="3" t="n"/>
      <c r="E100" s="3" t="n"/>
      <c r="F100" s="3" t="n"/>
      <c r="G100" s="3" t="n"/>
    </row>
    <row r="101" ht="15.75" customHeight="1" s="35">
      <c r="A101" s="3" t="n"/>
      <c r="B101" s="3" t="n"/>
      <c r="C101" s="3" t="n"/>
      <c r="D101" s="3" t="n"/>
      <c r="E101" s="3" t="n"/>
      <c r="F101" s="3" t="n"/>
      <c r="G101" s="3" t="n"/>
    </row>
    <row r="102" ht="15.75" customHeight="1" s="35">
      <c r="A102" s="3" t="n"/>
      <c r="B102" s="3" t="n"/>
      <c r="C102" s="3" t="n"/>
      <c r="D102" s="3" t="n"/>
      <c r="E102" s="3" t="n"/>
      <c r="F102" s="3" t="n"/>
      <c r="G102" s="3" t="n"/>
    </row>
    <row r="103" ht="15.75" customHeight="1" s="35">
      <c r="A103" s="3" t="n"/>
      <c r="B103" s="3" t="n"/>
      <c r="C103" s="3" t="n"/>
      <c r="D103" s="3" t="n"/>
      <c r="E103" s="3" t="n"/>
      <c r="F103" s="3" t="n"/>
      <c r="G103" s="3" t="n"/>
    </row>
    <row r="104" ht="15.75" customHeight="1" s="35">
      <c r="A104" s="3" t="n"/>
      <c r="B104" s="3" t="n"/>
      <c r="C104" s="3" t="n"/>
      <c r="D104" s="3" t="n"/>
      <c r="E104" s="3" t="n"/>
      <c r="F104" s="3" t="n"/>
      <c r="G104" s="3" t="n"/>
    </row>
    <row r="105" ht="15.75" customHeight="1" s="35">
      <c r="A105" s="3" t="n"/>
      <c r="B105" s="3" t="n"/>
      <c r="C105" s="3" t="n"/>
      <c r="D105" s="3" t="n"/>
      <c r="E105" s="3" t="n"/>
      <c r="F105" s="3" t="n"/>
      <c r="G105" s="3" t="n"/>
    </row>
    <row r="106" ht="15.75" customHeight="1" s="35">
      <c r="A106" s="3" t="n"/>
      <c r="B106" s="3" t="n"/>
      <c r="C106" s="3" t="n"/>
      <c r="D106" s="3" t="n"/>
      <c r="E106" s="3" t="n"/>
      <c r="F106" s="3" t="n"/>
      <c r="G106" s="3" t="n"/>
    </row>
    <row r="107" ht="15.75" customHeight="1" s="35">
      <c r="A107" s="3" t="n"/>
      <c r="B107" s="3" t="n"/>
      <c r="C107" s="3" t="n"/>
      <c r="D107" s="3" t="n"/>
      <c r="E107" s="3" t="n"/>
      <c r="F107" s="3" t="n"/>
      <c r="G107" s="3" t="n"/>
    </row>
    <row r="108" ht="15.75" customHeight="1" s="35">
      <c r="A108" s="3" t="n"/>
      <c r="B108" s="3" t="n"/>
      <c r="C108" s="3" t="n"/>
      <c r="D108" s="3" t="n"/>
      <c r="E108" s="3" t="n"/>
      <c r="F108" s="3" t="n"/>
      <c r="G108" s="3" t="n"/>
    </row>
    <row r="109" ht="15.75" customHeight="1" s="35">
      <c r="A109" s="3" t="n"/>
      <c r="B109" s="3" t="n"/>
      <c r="C109" s="3" t="n"/>
      <c r="D109" s="3" t="n"/>
      <c r="E109" s="3" t="n"/>
      <c r="F109" s="3" t="n"/>
      <c r="G109" s="3" t="n"/>
    </row>
    <row r="110" ht="15.75" customHeight="1" s="35">
      <c r="A110" s="3" t="n"/>
      <c r="B110" s="3" t="n"/>
      <c r="C110" s="3" t="n"/>
      <c r="D110" s="3" t="n"/>
      <c r="E110" s="3" t="n"/>
      <c r="F110" s="3" t="n"/>
      <c r="G110" s="3" t="n"/>
    </row>
    <row r="111" ht="15.75" customHeight="1" s="35">
      <c r="A111" s="3" t="n"/>
      <c r="B111" s="3" t="n"/>
      <c r="C111" s="3" t="n"/>
      <c r="D111" s="3" t="n"/>
      <c r="E111" s="3" t="n"/>
      <c r="F111" s="3" t="n"/>
      <c r="G111" s="3" t="n"/>
    </row>
    <row r="112" ht="15.75" customHeight="1" s="35">
      <c r="A112" s="3" t="n"/>
      <c r="B112" s="3" t="n"/>
      <c r="C112" s="3" t="n"/>
      <c r="D112" s="3" t="n"/>
      <c r="E112" s="3" t="n"/>
      <c r="F112" s="3" t="n"/>
      <c r="G112" s="3" t="n"/>
    </row>
    <row r="113" ht="15.75" customHeight="1" s="35">
      <c r="A113" s="3" t="n"/>
      <c r="B113" s="3" t="n"/>
      <c r="C113" s="3" t="n"/>
      <c r="D113" s="3" t="n"/>
      <c r="E113" s="3" t="n"/>
      <c r="F113" s="3" t="n"/>
      <c r="G113" s="3" t="n"/>
    </row>
    <row r="114" ht="15.75" customHeight="1" s="35">
      <c r="A114" s="3" t="n"/>
      <c r="B114" s="3" t="n"/>
      <c r="C114" s="3" t="n"/>
      <c r="D114" s="3" t="n"/>
      <c r="E114" s="3" t="n"/>
      <c r="F114" s="3" t="n"/>
      <c r="G114" s="3" t="n"/>
    </row>
    <row r="115" ht="15.75" customHeight="1" s="35">
      <c r="A115" s="3" t="n"/>
      <c r="B115" s="3" t="n"/>
      <c r="C115" s="3" t="n"/>
      <c r="D115" s="3" t="n"/>
      <c r="E115" s="3" t="n"/>
      <c r="F115" s="3" t="n"/>
      <c r="G115" s="3" t="n"/>
    </row>
    <row r="116" ht="15.75" customHeight="1" s="35">
      <c r="A116" s="3" t="n"/>
      <c r="B116" s="3" t="n"/>
      <c r="C116" s="3" t="n"/>
      <c r="D116" s="3" t="n"/>
      <c r="E116" s="3" t="n"/>
      <c r="F116" s="3" t="n"/>
      <c r="G116" s="3" t="n"/>
    </row>
    <row r="117" ht="15.75" customHeight="1" s="35">
      <c r="A117" s="3" t="n"/>
      <c r="B117" s="3" t="n"/>
      <c r="C117" s="3" t="n"/>
      <c r="D117" s="3" t="n"/>
      <c r="E117" s="3" t="n"/>
      <c r="F117" s="3" t="n"/>
      <c r="G117" s="3" t="n"/>
    </row>
    <row r="118" ht="15.75" customHeight="1" s="35">
      <c r="A118" s="3" t="n"/>
      <c r="B118" s="3" t="n"/>
      <c r="C118" s="3" t="n"/>
      <c r="D118" s="3" t="n"/>
      <c r="E118" s="3" t="n"/>
      <c r="F118" s="3" t="n"/>
      <c r="G118" s="3" t="n"/>
    </row>
    <row r="119" ht="15.75" customHeight="1" s="35">
      <c r="A119" s="3" t="n"/>
      <c r="B119" s="3" t="n"/>
      <c r="C119" s="3" t="n"/>
      <c r="D119" s="3" t="n"/>
      <c r="E119" s="3" t="n"/>
      <c r="F119" s="3" t="n"/>
      <c r="G119" s="3" t="n"/>
    </row>
    <row r="120" ht="15.75" customHeight="1" s="35">
      <c r="A120" s="3" t="n"/>
      <c r="B120" s="3" t="n"/>
      <c r="C120" s="3" t="n"/>
      <c r="D120" s="3" t="n"/>
      <c r="E120" s="3" t="n"/>
      <c r="F120" s="3" t="n"/>
      <c r="G120" s="3" t="n"/>
    </row>
    <row r="121" ht="15.75" customHeight="1" s="35">
      <c r="A121" s="3" t="n"/>
      <c r="B121" s="3" t="n"/>
      <c r="C121" s="3" t="n"/>
      <c r="D121" s="3" t="n"/>
      <c r="E121" s="3" t="n"/>
      <c r="F121" s="3" t="n"/>
      <c r="G121" s="3" t="n"/>
    </row>
    <row r="122" ht="15.75" customHeight="1" s="35">
      <c r="A122" s="3" t="n"/>
      <c r="B122" s="3" t="n"/>
      <c r="C122" s="3" t="n"/>
      <c r="D122" s="3" t="n"/>
      <c r="E122" s="3" t="n"/>
      <c r="F122" s="3" t="n"/>
      <c r="G122" s="3" t="n"/>
    </row>
    <row r="123" ht="15.75" customHeight="1" s="35">
      <c r="A123" s="3" t="n"/>
      <c r="B123" s="3" t="n"/>
      <c r="C123" s="3" t="n"/>
      <c r="D123" s="3" t="n"/>
      <c r="E123" s="3" t="n"/>
      <c r="F123" s="3" t="n"/>
      <c r="G123" s="3" t="n"/>
    </row>
    <row r="124" ht="15.75" customHeight="1" s="35">
      <c r="A124" s="3" t="n"/>
      <c r="B124" s="3" t="n"/>
      <c r="C124" s="3" t="n"/>
      <c r="D124" s="3" t="n"/>
      <c r="E124" s="3" t="n"/>
      <c r="F124" s="3" t="n"/>
      <c r="G124" s="3" t="n"/>
    </row>
    <row r="125" ht="15.75" customHeight="1" s="35">
      <c r="A125" s="3" t="n"/>
      <c r="B125" s="3" t="n"/>
      <c r="C125" s="3" t="n"/>
      <c r="D125" s="3" t="n"/>
      <c r="E125" s="3" t="n"/>
      <c r="F125" s="3" t="n"/>
      <c r="G125" s="3" t="n"/>
    </row>
    <row r="126" ht="15.75" customHeight="1" s="35">
      <c r="A126" s="3" t="n"/>
      <c r="B126" s="3" t="n"/>
      <c r="C126" s="3" t="n"/>
      <c r="D126" s="3" t="n"/>
      <c r="E126" s="3" t="n"/>
      <c r="F126" s="3" t="n"/>
      <c r="G126" s="3" t="n"/>
    </row>
    <row r="127" ht="15.75" customHeight="1" s="35">
      <c r="A127" s="3" t="n"/>
      <c r="B127" s="3" t="n"/>
      <c r="C127" s="3" t="n"/>
      <c r="D127" s="3" t="n"/>
      <c r="E127" s="3" t="n"/>
      <c r="F127" s="3" t="n"/>
      <c r="G127" s="3" t="n"/>
    </row>
    <row r="128" ht="15.75" customHeight="1" s="35">
      <c r="A128" s="3" t="n"/>
      <c r="B128" s="3" t="n"/>
      <c r="C128" s="3" t="n"/>
      <c r="D128" s="3" t="n"/>
      <c r="E128" s="3" t="n"/>
      <c r="F128" s="3" t="n"/>
      <c r="G128" s="3" t="n"/>
    </row>
    <row r="129" ht="15.75" customHeight="1" s="35">
      <c r="A129" s="3" t="n"/>
      <c r="B129" s="3" t="n"/>
      <c r="C129" s="3" t="n"/>
      <c r="D129" s="3" t="n"/>
      <c r="E129" s="3" t="n"/>
      <c r="F129" s="3" t="n"/>
      <c r="G129" s="3" t="n"/>
    </row>
    <row r="130" ht="15.75" customHeight="1" s="35">
      <c r="A130" s="3" t="n"/>
      <c r="B130" s="3" t="n"/>
      <c r="C130" s="3" t="n"/>
      <c r="D130" s="3" t="n"/>
      <c r="E130" s="3" t="n"/>
      <c r="F130" s="3" t="n"/>
      <c r="G130" s="3" t="n"/>
    </row>
    <row r="131" ht="15.75" customHeight="1" s="35">
      <c r="A131" s="3" t="n"/>
      <c r="B131" s="3" t="n"/>
      <c r="C131" s="3" t="n"/>
      <c r="D131" s="3" t="n"/>
      <c r="E131" s="3" t="n"/>
      <c r="F131" s="3" t="n"/>
      <c r="G131" s="3" t="n"/>
    </row>
    <row r="132" ht="15.75" customHeight="1" s="35">
      <c r="A132" s="3" t="n"/>
      <c r="B132" s="3" t="n"/>
      <c r="C132" s="3" t="n"/>
      <c r="D132" s="3" t="n"/>
      <c r="E132" s="3" t="n"/>
      <c r="F132" s="3" t="n"/>
      <c r="G132" s="3" t="n"/>
    </row>
    <row r="133" ht="15.75" customHeight="1" s="35">
      <c r="A133" s="3" t="n"/>
      <c r="B133" s="3" t="n"/>
      <c r="C133" s="3" t="n"/>
      <c r="D133" s="3" t="n"/>
      <c r="E133" s="3" t="n"/>
      <c r="F133" s="3" t="n"/>
      <c r="G133" s="3" t="n"/>
    </row>
    <row r="134" ht="15.75" customHeight="1" s="35">
      <c r="A134" s="3" t="n"/>
      <c r="B134" s="3" t="n"/>
      <c r="C134" s="3" t="n"/>
      <c r="D134" s="3" t="n"/>
      <c r="E134" s="3" t="n"/>
      <c r="F134" s="3" t="n"/>
      <c r="G134" s="3" t="n"/>
    </row>
    <row r="135" ht="15.75" customHeight="1" s="35">
      <c r="A135" s="3" t="n"/>
      <c r="B135" s="3" t="n"/>
      <c r="C135" s="3" t="n"/>
      <c r="D135" s="3" t="n"/>
      <c r="E135" s="3" t="n"/>
      <c r="F135" s="3" t="n"/>
      <c r="G135" s="3" t="n"/>
    </row>
    <row r="136" ht="15.75" customHeight="1" s="35">
      <c r="A136" s="3" t="n"/>
      <c r="B136" s="3" t="n"/>
      <c r="C136" s="3" t="n"/>
      <c r="D136" s="3" t="n"/>
      <c r="E136" s="3" t="n"/>
      <c r="F136" s="3" t="n"/>
      <c r="G136" s="3" t="n"/>
    </row>
    <row r="137" ht="15.75" customHeight="1" s="35">
      <c r="A137" s="3" t="n"/>
      <c r="B137" s="3" t="n"/>
      <c r="C137" s="3" t="n"/>
      <c r="D137" s="3" t="n"/>
      <c r="E137" s="3" t="n"/>
      <c r="F137" s="3" t="n"/>
      <c r="G137" s="3" t="n"/>
    </row>
    <row r="138" ht="15.75" customHeight="1" s="35">
      <c r="A138" s="3" t="n"/>
      <c r="B138" s="3" t="n"/>
      <c r="C138" s="3" t="n"/>
      <c r="D138" s="3" t="n"/>
      <c r="E138" s="3" t="n"/>
      <c r="F138" s="3" t="n"/>
      <c r="G138" s="3" t="n"/>
    </row>
    <row r="139" ht="15.75" customHeight="1" s="35">
      <c r="A139" s="3" t="n"/>
      <c r="B139" s="3" t="n"/>
      <c r="C139" s="3" t="n"/>
      <c r="D139" s="3" t="n"/>
      <c r="E139" s="3" t="n"/>
      <c r="F139" s="3" t="n"/>
      <c r="G139" s="3" t="n"/>
    </row>
    <row r="140" ht="15.75" customHeight="1" s="35">
      <c r="A140" s="3" t="n"/>
      <c r="B140" s="3" t="n"/>
      <c r="C140" s="3" t="n"/>
      <c r="D140" s="3" t="n"/>
      <c r="E140" s="3" t="n"/>
      <c r="F140" s="3" t="n"/>
      <c r="G140" s="3" t="n"/>
    </row>
    <row r="141" ht="15.75" customHeight="1" s="35">
      <c r="A141" s="3" t="n"/>
      <c r="B141" s="3" t="n"/>
      <c r="C141" s="3" t="n"/>
      <c r="D141" s="3" t="n"/>
      <c r="E141" s="3" t="n"/>
      <c r="F141" s="3" t="n"/>
      <c r="G141" s="3" t="n"/>
    </row>
    <row r="142" ht="15.75" customHeight="1" s="35">
      <c r="A142" s="3" t="n"/>
      <c r="B142" s="3" t="n"/>
      <c r="C142" s="3" t="n"/>
      <c r="D142" s="3" t="n"/>
      <c r="E142" s="3" t="n"/>
      <c r="F142" s="3" t="n"/>
      <c r="G142" s="3" t="n"/>
    </row>
    <row r="143" ht="15.75" customHeight="1" s="35">
      <c r="A143" s="3" t="n"/>
      <c r="B143" s="3" t="n"/>
      <c r="C143" s="3" t="n"/>
      <c r="D143" s="3" t="n"/>
      <c r="E143" s="3" t="n"/>
      <c r="F143" s="3" t="n"/>
      <c r="G143" s="3" t="n"/>
    </row>
    <row r="144" ht="15.75" customHeight="1" s="35">
      <c r="A144" s="3" t="n"/>
      <c r="B144" s="3" t="n"/>
      <c r="C144" s="3" t="n"/>
      <c r="D144" s="3" t="n"/>
      <c r="E144" s="3" t="n"/>
      <c r="F144" s="3" t="n"/>
      <c r="G144" s="3" t="n"/>
    </row>
    <row r="145" ht="15.75" customHeight="1" s="35">
      <c r="A145" s="3" t="n"/>
      <c r="B145" s="3" t="n"/>
      <c r="C145" s="3" t="n"/>
      <c r="D145" s="3" t="n"/>
      <c r="E145" s="3" t="n"/>
      <c r="F145" s="3" t="n"/>
      <c r="G145" s="3" t="n"/>
    </row>
    <row r="146" ht="15.75" customHeight="1" s="35">
      <c r="A146" s="3" t="n"/>
      <c r="B146" s="3" t="n"/>
      <c r="C146" s="3" t="n"/>
      <c r="D146" s="3" t="n"/>
      <c r="E146" s="3" t="n"/>
      <c r="F146" s="3" t="n"/>
      <c r="G146" s="3" t="n"/>
    </row>
    <row r="147" ht="15.75" customHeight="1" s="35">
      <c r="A147" s="3" t="n"/>
      <c r="B147" s="3" t="n"/>
      <c r="C147" s="3" t="n"/>
      <c r="D147" s="3" t="n"/>
      <c r="E147" s="3" t="n"/>
      <c r="F147" s="3" t="n"/>
      <c r="G147" s="3" t="n"/>
    </row>
    <row r="148" ht="15.75" customHeight="1" s="35">
      <c r="A148" s="3" t="n"/>
      <c r="B148" s="3" t="n"/>
      <c r="C148" s="3" t="n"/>
      <c r="D148" s="3" t="n"/>
      <c r="E148" s="3" t="n"/>
      <c r="F148" s="3" t="n"/>
      <c r="G148" s="3" t="n"/>
    </row>
    <row r="149" ht="15.75" customHeight="1" s="35">
      <c r="A149" s="3" t="n"/>
      <c r="B149" s="3" t="n"/>
      <c r="C149" s="3" t="n"/>
      <c r="D149" s="3" t="n"/>
      <c r="E149" s="3" t="n"/>
      <c r="F149" s="3" t="n"/>
      <c r="G149" s="3" t="n"/>
    </row>
    <row r="150" ht="15.75" customHeight="1" s="35">
      <c r="A150" s="3" t="n"/>
      <c r="B150" s="3" t="n"/>
      <c r="C150" s="3" t="n"/>
      <c r="D150" s="3" t="n"/>
      <c r="E150" s="3" t="n"/>
      <c r="F150" s="3" t="n"/>
      <c r="G150" s="3" t="n"/>
    </row>
    <row r="151" ht="15.75" customHeight="1" s="35">
      <c r="A151" s="3" t="n"/>
      <c r="B151" s="3" t="n"/>
      <c r="C151" s="3" t="n"/>
      <c r="D151" s="3" t="n"/>
      <c r="E151" s="3" t="n"/>
      <c r="F151" s="3" t="n"/>
      <c r="G151" s="3" t="n"/>
    </row>
    <row r="152" ht="15.75" customHeight="1" s="35">
      <c r="A152" s="3" t="n"/>
      <c r="B152" s="3" t="n"/>
      <c r="C152" s="3" t="n"/>
      <c r="D152" s="3" t="n"/>
      <c r="E152" s="3" t="n"/>
      <c r="F152" s="3" t="n"/>
      <c r="G152" s="3" t="n"/>
    </row>
    <row r="153" ht="15.75" customHeight="1" s="35">
      <c r="A153" s="3" t="n"/>
      <c r="B153" s="3" t="n"/>
      <c r="C153" s="3" t="n"/>
      <c r="D153" s="3" t="n"/>
      <c r="E153" s="3" t="n"/>
      <c r="F153" s="3" t="n"/>
      <c r="G153" s="3" t="n"/>
    </row>
    <row r="154" ht="15.75" customHeight="1" s="35">
      <c r="A154" s="3" t="n"/>
      <c r="B154" s="3" t="n"/>
      <c r="C154" s="3" t="n"/>
      <c r="D154" s="3" t="n"/>
      <c r="E154" s="3" t="n"/>
      <c r="F154" s="3" t="n"/>
      <c r="G154" s="3" t="n"/>
    </row>
    <row r="155" ht="15.75" customHeight="1" s="35">
      <c r="A155" s="3" t="n"/>
      <c r="B155" s="3" t="n"/>
      <c r="C155" s="3" t="n"/>
      <c r="D155" s="3" t="n"/>
      <c r="E155" s="3" t="n"/>
      <c r="F155" s="3" t="n"/>
      <c r="G155" s="3" t="n"/>
    </row>
    <row r="156" ht="15.75" customHeight="1" s="35">
      <c r="A156" s="3" t="n"/>
      <c r="B156" s="3" t="n"/>
      <c r="C156" s="3" t="n"/>
      <c r="D156" s="3" t="n"/>
      <c r="E156" s="3" t="n"/>
      <c r="F156" s="3" t="n"/>
      <c r="G156" s="3" t="n"/>
    </row>
    <row r="157" ht="15.75" customHeight="1" s="35">
      <c r="A157" s="3" t="n"/>
      <c r="B157" s="3" t="n"/>
      <c r="C157" s="3" t="n"/>
      <c r="D157" s="3" t="n"/>
      <c r="E157" s="3" t="n"/>
      <c r="F157" s="3" t="n"/>
      <c r="G157" s="3" t="n"/>
    </row>
    <row r="158" ht="15.75" customHeight="1" s="35">
      <c r="A158" s="3" t="n"/>
      <c r="B158" s="3" t="n"/>
      <c r="C158" s="3" t="n"/>
      <c r="D158" s="3" t="n"/>
      <c r="E158" s="3" t="n"/>
      <c r="F158" s="3" t="n"/>
      <c r="G158" s="3" t="n"/>
    </row>
    <row r="159" ht="15.75" customHeight="1" s="35">
      <c r="A159" s="3" t="n"/>
      <c r="B159" s="3" t="n"/>
      <c r="C159" s="3" t="n"/>
      <c r="D159" s="3" t="n"/>
      <c r="E159" s="3" t="n"/>
      <c r="F159" s="3" t="n"/>
      <c r="G159" s="3" t="n"/>
    </row>
    <row r="160" ht="15.75" customHeight="1" s="35">
      <c r="A160" s="3" t="n"/>
      <c r="B160" s="3" t="n"/>
      <c r="C160" s="3" t="n"/>
      <c r="D160" s="3" t="n"/>
      <c r="E160" s="3" t="n"/>
      <c r="F160" s="3" t="n"/>
      <c r="G160" s="3" t="n"/>
    </row>
    <row r="161" ht="15.75" customHeight="1" s="35">
      <c r="A161" s="3" t="n"/>
      <c r="B161" s="3" t="n"/>
      <c r="C161" s="3" t="n"/>
      <c r="D161" s="3" t="n"/>
      <c r="E161" s="3" t="n"/>
      <c r="F161" s="3" t="n"/>
      <c r="G161" s="3" t="n"/>
    </row>
    <row r="162" ht="15.75" customHeight="1" s="35">
      <c r="A162" s="3" t="n"/>
      <c r="B162" s="3" t="n"/>
      <c r="C162" s="3" t="n"/>
      <c r="D162" s="3" t="n"/>
      <c r="E162" s="3" t="n"/>
      <c r="F162" s="3" t="n"/>
      <c r="G162" s="3" t="n"/>
    </row>
    <row r="163" ht="15.75" customHeight="1" s="35">
      <c r="A163" s="3" t="n"/>
      <c r="B163" s="3" t="n"/>
      <c r="C163" s="3" t="n"/>
      <c r="D163" s="3" t="n"/>
      <c r="E163" s="3" t="n"/>
      <c r="F163" s="3" t="n"/>
      <c r="G163" s="3" t="n"/>
    </row>
    <row r="164" ht="15.75" customHeight="1" s="35">
      <c r="A164" s="3" t="n"/>
      <c r="B164" s="3" t="n"/>
      <c r="C164" s="3" t="n"/>
      <c r="D164" s="3" t="n"/>
      <c r="E164" s="3" t="n"/>
      <c r="F164" s="3" t="n"/>
      <c r="G164" s="3" t="n"/>
    </row>
    <row r="165" ht="15.75" customHeight="1" s="35">
      <c r="A165" s="3" t="n"/>
      <c r="B165" s="3" t="n"/>
      <c r="C165" s="3" t="n"/>
      <c r="D165" s="3" t="n"/>
      <c r="E165" s="3" t="n"/>
      <c r="F165" s="3" t="n"/>
      <c r="G165" s="3" t="n"/>
    </row>
    <row r="166" ht="15.75" customHeight="1" s="35">
      <c r="A166" s="3" t="n"/>
      <c r="B166" s="3" t="n"/>
      <c r="C166" s="3" t="n"/>
      <c r="D166" s="3" t="n"/>
      <c r="E166" s="3" t="n"/>
      <c r="F166" s="3" t="n"/>
      <c r="G166" s="3" t="n"/>
    </row>
    <row r="167" ht="15.75" customHeight="1" s="35">
      <c r="A167" s="3" t="n"/>
      <c r="B167" s="3" t="n"/>
      <c r="C167" s="3" t="n"/>
      <c r="D167" s="3" t="n"/>
      <c r="E167" s="3" t="n"/>
      <c r="F167" s="3" t="n"/>
      <c r="G167" s="3" t="n"/>
    </row>
    <row r="168" ht="15.75" customHeight="1" s="35">
      <c r="A168" s="3" t="n"/>
      <c r="B168" s="3" t="n"/>
      <c r="C168" s="3" t="n"/>
      <c r="D168" s="3" t="n"/>
      <c r="E168" s="3" t="n"/>
      <c r="F168" s="3" t="n"/>
      <c r="G168" s="3" t="n"/>
    </row>
    <row r="169" ht="15.75" customHeight="1" s="35">
      <c r="A169" s="3" t="n"/>
      <c r="B169" s="3" t="n"/>
      <c r="C169" s="3" t="n"/>
      <c r="D169" s="3" t="n"/>
      <c r="E169" s="3" t="n"/>
      <c r="F169" s="3" t="n"/>
      <c r="G169" s="3" t="n"/>
    </row>
    <row r="170" ht="15.75" customHeight="1" s="35">
      <c r="A170" s="3" t="n"/>
      <c r="B170" s="3" t="n"/>
      <c r="C170" s="3" t="n"/>
      <c r="D170" s="3" t="n"/>
      <c r="E170" s="3" t="n"/>
      <c r="F170" s="3" t="n"/>
      <c r="G170" s="3" t="n"/>
    </row>
    <row r="171" ht="15.75" customHeight="1" s="35">
      <c r="A171" s="3" t="n"/>
      <c r="B171" s="3" t="n"/>
      <c r="C171" s="3" t="n"/>
      <c r="D171" s="3" t="n"/>
      <c r="E171" s="3" t="n"/>
      <c r="F171" s="3" t="n"/>
      <c r="G171" s="3" t="n"/>
    </row>
    <row r="172" ht="15.75" customHeight="1" s="35">
      <c r="A172" s="3" t="n"/>
      <c r="B172" s="3" t="n"/>
      <c r="C172" s="3" t="n"/>
      <c r="D172" s="3" t="n"/>
      <c r="E172" s="3" t="n"/>
      <c r="F172" s="3" t="n"/>
      <c r="G172" s="3" t="n"/>
    </row>
    <row r="173" ht="15.75" customHeight="1" s="35">
      <c r="A173" s="3" t="n"/>
      <c r="B173" s="3" t="n"/>
      <c r="C173" s="3" t="n"/>
      <c r="D173" s="3" t="n"/>
      <c r="E173" s="3" t="n"/>
      <c r="F173" s="3" t="n"/>
      <c r="G173" s="3" t="n"/>
    </row>
    <row r="174" ht="15.75" customHeight="1" s="35">
      <c r="A174" s="3" t="n"/>
      <c r="B174" s="3" t="n"/>
      <c r="C174" s="3" t="n"/>
      <c r="D174" s="3" t="n"/>
      <c r="E174" s="3" t="n"/>
      <c r="F174" s="3" t="n"/>
      <c r="G174" s="3" t="n"/>
    </row>
    <row r="175" ht="15.75" customHeight="1" s="35">
      <c r="A175" s="3" t="n"/>
      <c r="B175" s="3" t="n"/>
      <c r="C175" s="3" t="n"/>
      <c r="D175" s="3" t="n"/>
      <c r="E175" s="3" t="n"/>
      <c r="F175" s="3" t="n"/>
      <c r="G175" s="3" t="n"/>
    </row>
    <row r="176" ht="15.75" customHeight="1" s="35">
      <c r="A176" s="3" t="n"/>
      <c r="B176" s="3" t="n"/>
      <c r="C176" s="3" t="n"/>
      <c r="D176" s="3" t="n"/>
      <c r="E176" s="3" t="n"/>
      <c r="F176" s="3" t="n"/>
      <c r="G176" s="3" t="n"/>
    </row>
    <row r="177" ht="15.75" customHeight="1" s="35">
      <c r="A177" s="3" t="n"/>
      <c r="B177" s="3" t="n"/>
      <c r="C177" s="3" t="n"/>
      <c r="D177" s="3" t="n"/>
      <c r="E177" s="3" t="n"/>
      <c r="F177" s="3" t="n"/>
      <c r="G177" s="3" t="n"/>
    </row>
    <row r="178" ht="15.75" customHeight="1" s="35">
      <c r="A178" s="3" t="n"/>
      <c r="B178" s="3" t="n"/>
      <c r="C178" s="3" t="n"/>
      <c r="D178" s="3" t="n"/>
      <c r="E178" s="3" t="n"/>
      <c r="F178" s="3" t="n"/>
      <c r="G178" s="3" t="n"/>
    </row>
    <row r="179" ht="15.75" customHeight="1" s="35">
      <c r="A179" s="3" t="n"/>
      <c r="B179" s="3" t="n"/>
      <c r="C179" s="3" t="n"/>
      <c r="D179" s="3" t="n"/>
      <c r="E179" s="3" t="n"/>
      <c r="F179" s="3" t="n"/>
      <c r="G179" s="3" t="n"/>
    </row>
    <row r="180" ht="15.75" customHeight="1" s="35">
      <c r="A180" s="3" t="n"/>
      <c r="B180" s="3" t="n"/>
      <c r="C180" s="3" t="n"/>
      <c r="D180" s="3" t="n"/>
      <c r="E180" s="3" t="n"/>
      <c r="F180" s="3" t="n"/>
      <c r="G180" s="3" t="n"/>
    </row>
    <row r="181" ht="15.75" customHeight="1" s="35">
      <c r="A181" s="3" t="n"/>
      <c r="B181" s="3" t="n"/>
      <c r="C181" s="3" t="n"/>
      <c r="D181" s="3" t="n"/>
      <c r="E181" s="3" t="n"/>
      <c r="F181" s="3" t="n"/>
      <c r="G181" s="3" t="n"/>
    </row>
    <row r="182" ht="15.75" customHeight="1" s="35">
      <c r="A182" s="3" t="n"/>
      <c r="B182" s="3" t="n"/>
      <c r="C182" s="3" t="n"/>
      <c r="D182" s="3" t="n"/>
      <c r="E182" s="3" t="n"/>
      <c r="F182" s="3" t="n"/>
      <c r="G182" s="3" t="n"/>
    </row>
    <row r="183" ht="15.75" customHeight="1" s="35">
      <c r="A183" s="3" t="n"/>
      <c r="B183" s="3" t="n"/>
      <c r="C183" s="3" t="n"/>
      <c r="D183" s="3" t="n"/>
      <c r="E183" s="3" t="n"/>
      <c r="F183" s="3" t="n"/>
      <c r="G183" s="3" t="n"/>
    </row>
    <row r="184" ht="15.75" customHeight="1" s="35">
      <c r="A184" s="3" t="n"/>
      <c r="B184" s="3" t="n"/>
      <c r="C184" s="3" t="n"/>
      <c r="D184" s="3" t="n"/>
      <c r="E184" s="3" t="n"/>
      <c r="F184" s="3" t="n"/>
      <c r="G184" s="3" t="n"/>
    </row>
    <row r="185" ht="15.75" customHeight="1" s="35">
      <c r="A185" s="3" t="n"/>
      <c r="B185" s="3" t="n"/>
      <c r="C185" s="3" t="n"/>
      <c r="D185" s="3" t="n"/>
      <c r="E185" s="3" t="n"/>
      <c r="F185" s="3" t="n"/>
      <c r="G185" s="3" t="n"/>
    </row>
    <row r="186" ht="15.75" customHeight="1" s="35">
      <c r="A186" s="3" t="n"/>
      <c r="B186" s="3" t="n"/>
      <c r="C186" s="3" t="n"/>
      <c r="D186" s="3" t="n"/>
      <c r="E186" s="3" t="n"/>
      <c r="F186" s="3" t="n"/>
      <c r="G186" s="3" t="n"/>
    </row>
    <row r="187" ht="15.75" customHeight="1" s="35">
      <c r="A187" s="3" t="n"/>
      <c r="B187" s="3" t="n"/>
      <c r="C187" s="3" t="n"/>
      <c r="D187" s="3" t="n"/>
      <c r="E187" s="3" t="n"/>
      <c r="F187" s="3" t="n"/>
      <c r="G187" s="3" t="n"/>
    </row>
    <row r="188" ht="15.75" customHeight="1" s="35">
      <c r="A188" s="3" t="n"/>
      <c r="B188" s="3" t="n"/>
      <c r="C188" s="3" t="n"/>
      <c r="D188" s="3" t="n"/>
      <c r="E188" s="3" t="n"/>
      <c r="F188" s="3" t="n"/>
      <c r="G188" s="3" t="n"/>
    </row>
    <row r="189" ht="15.75" customHeight="1" s="35">
      <c r="A189" s="3" t="n"/>
      <c r="B189" s="3" t="n"/>
      <c r="C189" s="3" t="n"/>
      <c r="D189" s="3" t="n"/>
      <c r="E189" s="3" t="n"/>
      <c r="F189" s="3" t="n"/>
      <c r="G189" s="3" t="n"/>
    </row>
    <row r="190" ht="15.75" customHeight="1" s="35">
      <c r="A190" s="3" t="n"/>
      <c r="B190" s="3" t="n"/>
      <c r="C190" s="3" t="n"/>
      <c r="D190" s="3" t="n"/>
      <c r="E190" s="3" t="n"/>
      <c r="F190" s="3" t="n"/>
      <c r="G190" s="3" t="n"/>
    </row>
    <row r="191" ht="15.75" customHeight="1" s="35">
      <c r="A191" s="3" t="n"/>
      <c r="B191" s="3" t="n"/>
      <c r="C191" s="3" t="n"/>
      <c r="D191" s="3" t="n"/>
      <c r="E191" s="3" t="n"/>
      <c r="F191" s="3" t="n"/>
      <c r="G191" s="3" t="n"/>
    </row>
    <row r="192" ht="15.75" customHeight="1" s="35">
      <c r="A192" s="3" t="n"/>
      <c r="B192" s="3" t="n"/>
      <c r="C192" s="3" t="n"/>
      <c r="D192" s="3" t="n"/>
      <c r="E192" s="3" t="n"/>
      <c r="F192" s="3" t="n"/>
      <c r="G192" s="3" t="n"/>
    </row>
    <row r="193" ht="15.75" customHeight="1" s="35">
      <c r="A193" s="3" t="n"/>
      <c r="B193" s="3" t="n"/>
      <c r="C193" s="3" t="n"/>
      <c r="D193" s="3" t="n"/>
      <c r="E193" s="3" t="n"/>
      <c r="F193" s="3" t="n"/>
      <c r="G193" s="3" t="n"/>
    </row>
    <row r="194" ht="15.75" customHeight="1" s="35">
      <c r="A194" s="3" t="n"/>
      <c r="B194" s="3" t="n"/>
      <c r="C194" s="3" t="n"/>
      <c r="D194" s="3" t="n"/>
      <c r="E194" s="3" t="n"/>
      <c r="F194" s="3" t="n"/>
      <c r="G194" s="3" t="n"/>
    </row>
    <row r="195" ht="15.75" customHeight="1" s="35">
      <c r="A195" s="3" t="n"/>
      <c r="B195" s="3" t="n"/>
      <c r="C195" s="3" t="n"/>
      <c r="D195" s="3" t="n"/>
      <c r="E195" s="3" t="n"/>
      <c r="F195" s="3" t="n"/>
      <c r="G195" s="3" t="n"/>
    </row>
    <row r="196" ht="15.75" customHeight="1" s="35">
      <c r="A196" s="3" t="n"/>
      <c r="B196" s="3" t="n"/>
      <c r="C196" s="3" t="n"/>
      <c r="D196" s="3" t="n"/>
      <c r="E196" s="3" t="n"/>
      <c r="F196" s="3" t="n"/>
      <c r="G196" s="3" t="n"/>
    </row>
    <row r="197" ht="15.75" customHeight="1" s="35">
      <c r="A197" s="3" t="n"/>
      <c r="B197" s="3" t="n"/>
      <c r="C197" s="3" t="n"/>
      <c r="D197" s="3" t="n"/>
      <c r="E197" s="3" t="n"/>
      <c r="F197" s="3" t="n"/>
      <c r="G197" s="3" t="n"/>
    </row>
    <row r="198" ht="15.75" customHeight="1" s="35">
      <c r="A198" s="3" t="n"/>
      <c r="B198" s="3" t="n"/>
      <c r="C198" s="3" t="n"/>
      <c r="D198" s="3" t="n"/>
      <c r="E198" s="3" t="n"/>
      <c r="F198" s="3" t="n"/>
      <c r="G198" s="3" t="n"/>
    </row>
    <row r="199" ht="15.75" customHeight="1" s="35">
      <c r="A199" s="3" t="n"/>
      <c r="B199" s="3" t="n"/>
      <c r="C199" s="3" t="n"/>
      <c r="D199" s="3" t="n"/>
      <c r="E199" s="3" t="n"/>
      <c r="F199" s="3" t="n"/>
      <c r="G199" s="3" t="n"/>
    </row>
    <row r="200" ht="15.75" customHeight="1" s="35">
      <c r="A200" s="3" t="n"/>
      <c r="B200" s="3" t="n"/>
      <c r="C200" s="3" t="n"/>
      <c r="D200" s="3" t="n"/>
      <c r="E200" s="3" t="n"/>
      <c r="F200" s="3" t="n"/>
      <c r="G200" s="3" t="n"/>
    </row>
    <row r="201" ht="15.75" customHeight="1" s="35">
      <c r="A201" s="3" t="n"/>
      <c r="B201" s="3" t="n"/>
      <c r="C201" s="3" t="n"/>
      <c r="D201" s="3" t="n"/>
      <c r="E201" s="3" t="n"/>
      <c r="F201" s="3" t="n"/>
      <c r="G201" s="3" t="n"/>
    </row>
    <row r="202" ht="15.75" customHeight="1" s="35">
      <c r="A202" s="3" t="n"/>
      <c r="B202" s="3" t="n"/>
      <c r="C202" s="3" t="n"/>
      <c r="D202" s="3" t="n"/>
      <c r="E202" s="3" t="n"/>
      <c r="F202" s="3" t="n"/>
      <c r="G202" s="3" t="n"/>
    </row>
    <row r="203" ht="15.75" customHeight="1" s="35">
      <c r="A203" s="3" t="n"/>
      <c r="B203" s="3" t="n"/>
      <c r="C203" s="3" t="n"/>
      <c r="D203" s="3" t="n"/>
      <c r="E203" s="3" t="n"/>
      <c r="F203" s="3" t="n"/>
      <c r="G203" s="3" t="n"/>
    </row>
    <row r="204" ht="15.75" customHeight="1" s="35">
      <c r="A204" s="3" t="n"/>
      <c r="B204" s="3" t="n"/>
      <c r="C204" s="3" t="n"/>
      <c r="D204" s="3" t="n"/>
      <c r="E204" s="3" t="n"/>
      <c r="F204" s="3" t="n"/>
      <c r="G204" s="3" t="n"/>
    </row>
    <row r="205" ht="15.75" customHeight="1" s="35">
      <c r="A205" s="3" t="n"/>
      <c r="B205" s="3" t="n"/>
      <c r="C205" s="3" t="n"/>
      <c r="D205" s="3" t="n"/>
      <c r="E205" s="3" t="n"/>
      <c r="F205" s="3" t="n"/>
      <c r="G205" s="3" t="n"/>
    </row>
    <row r="206" ht="15.75" customHeight="1" s="35">
      <c r="A206" s="3" t="n"/>
      <c r="B206" s="3" t="n"/>
      <c r="C206" s="3" t="n"/>
      <c r="D206" s="3" t="n"/>
      <c r="E206" s="3" t="n"/>
      <c r="F206" s="3" t="n"/>
      <c r="G206" s="3" t="n"/>
    </row>
    <row r="207" ht="15.75" customHeight="1" s="35">
      <c r="A207" s="3" t="n"/>
      <c r="B207" s="3" t="n"/>
      <c r="C207" s="3" t="n"/>
      <c r="D207" s="3" t="n"/>
      <c r="E207" s="3" t="n"/>
      <c r="F207" s="3" t="n"/>
      <c r="G207" s="3" t="n"/>
    </row>
    <row r="208" ht="15.75" customHeight="1" s="35">
      <c r="A208" s="3" t="n"/>
      <c r="B208" s="3" t="n"/>
      <c r="C208" s="3" t="n"/>
      <c r="D208" s="3" t="n"/>
      <c r="E208" s="3" t="n"/>
      <c r="F208" s="3" t="n"/>
      <c r="G208" s="3" t="n"/>
    </row>
    <row r="209" ht="15.75" customHeight="1" s="35">
      <c r="A209" s="3" t="n"/>
      <c r="B209" s="3" t="n"/>
      <c r="C209" s="3" t="n"/>
      <c r="D209" s="3" t="n"/>
      <c r="E209" s="3" t="n"/>
      <c r="F209" s="3" t="n"/>
      <c r="G209" s="3" t="n"/>
    </row>
    <row r="210" ht="15.75" customHeight="1" s="35">
      <c r="A210" s="3" t="n"/>
      <c r="B210" s="3" t="n"/>
      <c r="C210" s="3" t="n"/>
      <c r="D210" s="3" t="n"/>
      <c r="E210" s="3" t="n"/>
      <c r="F210" s="3" t="n"/>
      <c r="G210" s="3" t="n"/>
    </row>
    <row r="211" ht="15.75" customHeight="1" s="35">
      <c r="A211" s="3" t="n"/>
      <c r="B211" s="3" t="n"/>
      <c r="C211" s="3" t="n"/>
      <c r="D211" s="3" t="n"/>
      <c r="E211" s="3" t="n"/>
      <c r="F211" s="3" t="n"/>
      <c r="G211" s="3" t="n"/>
    </row>
    <row r="212" ht="15.75" customHeight="1" s="35">
      <c r="A212" s="3" t="n"/>
      <c r="B212" s="3" t="n"/>
      <c r="C212" s="3" t="n"/>
      <c r="D212" s="3" t="n"/>
      <c r="E212" s="3" t="n"/>
      <c r="F212" s="3" t="n"/>
      <c r="G212" s="3" t="n"/>
    </row>
    <row r="213" ht="15.75" customHeight="1" s="35">
      <c r="A213" s="3" t="n"/>
      <c r="B213" s="3" t="n"/>
      <c r="C213" s="3" t="n"/>
      <c r="D213" s="3" t="n"/>
      <c r="E213" s="3" t="n"/>
      <c r="F213" s="3" t="n"/>
      <c r="G213" s="3" t="n"/>
    </row>
    <row r="214" ht="15.75" customHeight="1" s="35">
      <c r="A214" s="3" t="n"/>
      <c r="B214" s="3" t="n"/>
      <c r="C214" s="3" t="n"/>
      <c r="D214" s="3" t="n"/>
      <c r="E214" s="3" t="n"/>
      <c r="F214" s="3" t="n"/>
      <c r="G214" s="3" t="n"/>
    </row>
    <row r="215" ht="15.75" customHeight="1" s="35">
      <c r="A215" s="3" t="n"/>
      <c r="B215" s="3" t="n"/>
      <c r="C215" s="3" t="n"/>
      <c r="D215" s="3" t="n"/>
      <c r="E215" s="3" t="n"/>
      <c r="F215" s="3" t="n"/>
      <c r="G215" s="3" t="n"/>
    </row>
    <row r="216" ht="15.75" customHeight="1" s="35">
      <c r="A216" s="3" t="n"/>
      <c r="B216" s="3" t="n"/>
      <c r="C216" s="3" t="n"/>
      <c r="D216" s="3" t="n"/>
      <c r="E216" s="3" t="n"/>
      <c r="F216" s="3" t="n"/>
      <c r="G216" s="3" t="n"/>
    </row>
    <row r="217" ht="15.75" customHeight="1" s="35">
      <c r="A217" s="3" t="n"/>
      <c r="B217" s="3" t="n"/>
      <c r="C217" s="3" t="n"/>
      <c r="D217" s="3" t="n"/>
      <c r="E217" s="3" t="n"/>
      <c r="F217" s="3" t="n"/>
      <c r="G217" s="3" t="n"/>
    </row>
    <row r="218" ht="15.75" customHeight="1" s="35">
      <c r="A218" s="3" t="n"/>
      <c r="B218" s="3" t="n"/>
      <c r="C218" s="3" t="n"/>
      <c r="D218" s="3" t="n"/>
      <c r="E218" s="3" t="n"/>
      <c r="F218" s="3" t="n"/>
      <c r="G218" s="3" t="n"/>
    </row>
    <row r="219" ht="15.75" customHeight="1" s="35">
      <c r="A219" s="3" t="n"/>
      <c r="B219" s="3" t="n"/>
      <c r="C219" s="3" t="n"/>
      <c r="D219" s="3" t="n"/>
      <c r="E219" s="3" t="n"/>
      <c r="F219" s="3" t="n"/>
      <c r="G219" s="3" t="n"/>
    </row>
    <row r="220" ht="15.75" customHeight="1" s="35">
      <c r="A220" s="3" t="n"/>
      <c r="B220" s="3" t="n"/>
      <c r="C220" s="3" t="n"/>
      <c r="D220" s="3" t="n"/>
      <c r="E220" s="3" t="n"/>
      <c r="F220" s="3" t="n"/>
      <c r="G220" s="3" t="n"/>
    </row>
    <row r="221" ht="15.75" customHeight="1" s="35">
      <c r="A221" s="3" t="n"/>
      <c r="B221" s="3" t="n"/>
      <c r="C221" s="3" t="n"/>
      <c r="D221" s="3" t="n"/>
      <c r="E221" s="3" t="n"/>
      <c r="F221" s="3" t="n"/>
      <c r="G221" s="3" t="n"/>
    </row>
    <row r="222" ht="15.75" customHeight="1" s="35">
      <c r="A222" s="3" t="n"/>
      <c r="B222" s="3" t="n"/>
      <c r="C222" s="3" t="n"/>
      <c r="D222" s="3" t="n"/>
      <c r="E222" s="3" t="n"/>
      <c r="F222" s="3" t="n"/>
      <c r="G222" s="3" t="n"/>
    </row>
    <row r="223" ht="15.75" customHeight="1" s="35">
      <c r="A223" s="3" t="n"/>
      <c r="B223" s="3" t="n"/>
      <c r="C223" s="3" t="n"/>
      <c r="D223" s="3" t="n"/>
      <c r="E223" s="3" t="n"/>
      <c r="F223" s="3" t="n"/>
      <c r="G223" s="3" t="n"/>
    </row>
    <row r="224" ht="15.75" customHeight="1" s="35">
      <c r="A224" s="3" t="n"/>
      <c r="B224" s="3" t="n"/>
      <c r="C224" s="3" t="n"/>
      <c r="D224" s="3" t="n"/>
      <c r="E224" s="3" t="n"/>
      <c r="F224" s="3" t="n"/>
      <c r="G224" s="3" t="n"/>
    </row>
    <row r="225" ht="15.75" customHeight="1" s="35">
      <c r="A225" s="3" t="n"/>
      <c r="B225" s="3" t="n"/>
      <c r="C225" s="3" t="n"/>
      <c r="D225" s="3" t="n"/>
      <c r="E225" s="3" t="n"/>
      <c r="F225" s="3" t="n"/>
      <c r="G225" s="3" t="n"/>
    </row>
    <row r="226" ht="15.75" customHeight="1" s="35">
      <c r="A226" s="3" t="n"/>
      <c r="B226" s="3" t="n"/>
      <c r="C226" s="3" t="n"/>
      <c r="D226" s="3" t="n"/>
      <c r="E226" s="3" t="n"/>
      <c r="F226" s="3" t="n"/>
      <c r="G226" s="3" t="n"/>
    </row>
    <row r="227" ht="15.75" customHeight="1" s="35">
      <c r="A227" s="3" t="n"/>
      <c r="B227" s="3" t="n"/>
      <c r="C227" s="3" t="n"/>
      <c r="D227" s="3" t="n"/>
      <c r="E227" s="3" t="n"/>
      <c r="F227" s="3" t="n"/>
      <c r="G227" s="3" t="n"/>
    </row>
    <row r="228" ht="15.75" customHeight="1" s="35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35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G2"/>
    <mergeCell ref="A1:G1"/>
  </mergeCells>
  <dataValidations count="1">
    <dataValidation sqref="D5:D24" showDropDown="0" showInputMessage="0" showErrorMessage="0" allowBlank="1" type="list">
      <formula1>"Técnica,Metodológica,Logística,Ética"</formula1>
    </dataValidation>
  </dataValidation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6" customWidth="1" style="35" min="1" max="1"/>
    <col width="14" customWidth="1" style="35" min="2" max="2"/>
    <col width="13" customWidth="1" style="35" min="3" max="7"/>
    <col width="16" customWidth="1" style="35" min="8" max="8"/>
  </cols>
  <sheetData>
    <row r="1" ht="25.5" customHeight="1" s="35">
      <c r="A1" s="1" t="inlineStr">
        <is>
          <t>Control de trazabilidad</t>
        </is>
      </c>
    </row>
    <row r="2" ht="30" customHeight="1" s="35">
      <c r="A2" s="2" t="inlineStr">
        <is>
          <t>Verifica la cadena participante–código–instrumento–base–evidencia. Toda la fila debe estar en «Sí» para considerar el dato auditable.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9.75" customHeight="1" s="35">
      <c r="A4" s="4" t="inlineStr">
        <is>
          <t>Código</t>
        </is>
      </c>
      <c r="B4" s="4" t="inlineStr">
        <is>
          <t>Grupo</t>
        </is>
      </c>
      <c r="C4" s="4" t="inlineStr">
        <is>
          <t>Consent. verificado</t>
        </is>
      </c>
      <c r="D4" s="4" t="inlineStr">
        <is>
          <t>Instrumento recibido</t>
        </is>
      </c>
      <c r="E4" s="4" t="inlineStr">
        <is>
          <t>Instrumento codificado</t>
        </is>
      </c>
      <c r="F4" s="4" t="inlineStr">
        <is>
          <t>Fila digitada</t>
        </is>
      </c>
      <c r="G4" s="4" t="inlineStr">
        <is>
          <t>Doble digitación</t>
        </is>
      </c>
      <c r="H4" s="4" t="inlineStr">
        <is>
          <t>¿Trazable?</t>
        </is>
      </c>
    </row>
    <row r="5" ht="19.5" customHeight="1" s="35">
      <c r="A5" s="45" t="inlineStr">
        <is>
          <t>GU-TDH-002</t>
        </is>
      </c>
      <c r="B5" s="45" t="inlineStr">
        <is>
          <t>GU</t>
        </is>
      </c>
      <c r="C5" s="45" t="inlineStr">
        <is>
          <t>Sí</t>
        </is>
      </c>
      <c r="D5" s="45" t="inlineStr">
        <is>
          <t>Sí</t>
        </is>
      </c>
      <c r="E5" s="45" t="inlineStr">
        <is>
          <t>Sí</t>
        </is>
      </c>
      <c r="F5" s="45" t="inlineStr">
        <is>
          <t>Sí</t>
        </is>
      </c>
      <c r="G5" s="45" t="inlineStr">
        <is>
          <t>Sí</t>
        </is>
      </c>
      <c r="H5" s="46">
        <f>IF(COUNTIF(C5:G5,"Sí")=5,"Sí","Revisar")</f>
        <v/>
      </c>
    </row>
    <row r="6" ht="19.5" customHeight="1" s="35">
      <c r="A6" s="45" t="inlineStr">
        <is>
          <t>GU-TDH-003</t>
        </is>
      </c>
      <c r="B6" s="45" t="inlineStr">
        <is>
          <t>GU</t>
        </is>
      </c>
      <c r="C6" s="45" t="inlineStr">
        <is>
          <t>Sí</t>
        </is>
      </c>
      <c r="D6" s="45" t="inlineStr">
        <is>
          <t>Sí</t>
        </is>
      </c>
      <c r="E6" s="45" t="inlineStr">
        <is>
          <t>Sí</t>
        </is>
      </c>
      <c r="F6" s="45" t="inlineStr">
        <is>
          <t>Sí</t>
        </is>
      </c>
      <c r="G6" s="45" t="inlineStr">
        <is>
          <t>Sí</t>
        </is>
      </c>
      <c r="H6" s="47">
        <f>IF(COUNTIF(C6:G6,"Sí")=5,"Sí","Revisar")</f>
        <v/>
      </c>
    </row>
    <row r="7" ht="19.5" customHeight="1" s="35">
      <c r="A7" s="45" t="inlineStr">
        <is>
          <t>GU-TDH-004</t>
        </is>
      </c>
      <c r="B7" s="45" t="inlineStr">
        <is>
          <t>GU</t>
        </is>
      </c>
      <c r="C7" s="45" t="inlineStr">
        <is>
          <t>Sí</t>
        </is>
      </c>
      <c r="D7" s="45" t="inlineStr">
        <is>
          <t>Sí</t>
        </is>
      </c>
      <c r="E7" s="45" t="inlineStr">
        <is>
          <t>Sí</t>
        </is>
      </c>
      <c r="F7" s="45" t="inlineStr">
        <is>
          <t>Sí</t>
        </is>
      </c>
      <c r="G7" s="45" t="inlineStr">
        <is>
          <t>Sí</t>
        </is>
      </c>
      <c r="H7" s="46">
        <f>IF(COUNTIF(C7:G7,"Sí")=5,"Sí","Revisar")</f>
        <v/>
      </c>
    </row>
    <row r="8" ht="19.5" customHeight="1" s="35">
      <c r="A8" s="45" t="inlineStr">
        <is>
          <t>GU-TDH-006</t>
        </is>
      </c>
      <c r="B8" s="45" t="inlineStr">
        <is>
          <t>GU</t>
        </is>
      </c>
      <c r="C8" s="45" t="inlineStr">
        <is>
          <t>Sí</t>
        </is>
      </c>
      <c r="D8" s="45" t="inlineStr">
        <is>
          <t>Sí</t>
        </is>
      </c>
      <c r="E8" s="45" t="inlineStr">
        <is>
          <t>Sí</t>
        </is>
      </c>
      <c r="F8" s="45" t="inlineStr">
        <is>
          <t>Sí</t>
        </is>
      </c>
      <c r="G8" s="45" t="inlineStr">
        <is>
          <t>Sí</t>
        </is>
      </c>
      <c r="H8" s="47">
        <f>IF(COUNTIF(C8:G8,"Sí")=5,"Sí","Revisar")</f>
        <v/>
      </c>
    </row>
    <row r="9" ht="19.5" customHeight="1" s="35">
      <c r="A9" s="45" t="inlineStr">
        <is>
          <t>GU-TDH-007</t>
        </is>
      </c>
      <c r="B9" s="45" t="inlineStr">
        <is>
          <t>GU</t>
        </is>
      </c>
      <c r="C9" s="45" t="inlineStr">
        <is>
          <t>Sí</t>
        </is>
      </c>
      <c r="D9" s="45" t="inlineStr">
        <is>
          <t>Sí</t>
        </is>
      </c>
      <c r="E9" s="45" t="inlineStr">
        <is>
          <t>Sí</t>
        </is>
      </c>
      <c r="F9" s="45" t="inlineStr">
        <is>
          <t>Sí</t>
        </is>
      </c>
      <c r="G9" s="45" t="inlineStr">
        <is>
          <t>Sí</t>
        </is>
      </c>
      <c r="H9" s="46">
        <f>IF(COUNTIF(C9:G9,"Sí")=5,"Sí","Revisar")</f>
        <v/>
      </c>
    </row>
    <row r="10" ht="19.5" customHeight="1" s="35">
      <c r="A10" s="45" t="inlineStr">
        <is>
          <t>GU-TDH-008</t>
        </is>
      </c>
      <c r="B10" s="45" t="inlineStr">
        <is>
          <t>GU</t>
        </is>
      </c>
      <c r="C10" s="45" t="inlineStr">
        <is>
          <t>Sí</t>
        </is>
      </c>
      <c r="D10" s="45" t="inlineStr">
        <is>
          <t>Sí</t>
        </is>
      </c>
      <c r="E10" s="45" t="inlineStr">
        <is>
          <t>Sí</t>
        </is>
      </c>
      <c r="F10" s="45" t="inlineStr">
        <is>
          <t>Sí</t>
        </is>
      </c>
      <c r="G10" s="45" t="inlineStr">
        <is>
          <t>Sí</t>
        </is>
      </c>
      <c r="H10" s="47">
        <f>IF(COUNTIF(C10:G10,"Sí")=5,"Sí","Revisar")</f>
        <v/>
      </c>
    </row>
    <row r="11" ht="19.5" customHeight="1" s="35">
      <c r="A11" s="45" t="inlineStr">
        <is>
          <t>GU-TDH-009</t>
        </is>
      </c>
      <c r="B11" s="45" t="inlineStr">
        <is>
          <t>GU</t>
        </is>
      </c>
      <c r="C11" s="45" t="inlineStr">
        <is>
          <t>Sí</t>
        </is>
      </c>
      <c r="D11" s="45" t="inlineStr">
        <is>
          <t>Sí</t>
        </is>
      </c>
      <c r="E11" s="45" t="inlineStr">
        <is>
          <t>Sí</t>
        </is>
      </c>
      <c r="F11" s="45" t="inlineStr">
        <is>
          <t>Sí</t>
        </is>
      </c>
      <c r="G11" s="45" t="inlineStr">
        <is>
          <t>Sí</t>
        </is>
      </c>
      <c r="H11" s="46">
        <f>IF(COUNTIF(C11:G11,"Sí")=5,"Sí","Revisar")</f>
        <v/>
      </c>
    </row>
    <row r="12" ht="19.5" customHeight="1" s="35">
      <c r="A12" s="45" t="inlineStr">
        <is>
          <t>GU-TDH-010</t>
        </is>
      </c>
      <c r="B12" s="45" t="inlineStr">
        <is>
          <t>GU</t>
        </is>
      </c>
      <c r="C12" s="45" t="inlineStr">
        <is>
          <t>Sí</t>
        </is>
      </c>
      <c r="D12" s="45" t="inlineStr">
        <is>
          <t>Sí</t>
        </is>
      </c>
      <c r="E12" s="45" t="inlineStr">
        <is>
          <t>Sí</t>
        </is>
      </c>
      <c r="F12" s="45" t="inlineStr">
        <is>
          <t>Sí</t>
        </is>
      </c>
      <c r="G12" s="45" t="inlineStr">
        <is>
          <t>Sí</t>
        </is>
      </c>
      <c r="H12" s="47">
        <f>IF(COUNTIF(C12:G12,"Sí")=5,"Sí","Revisar")</f>
        <v/>
      </c>
    </row>
    <row r="13" ht="19.5" customHeight="1" s="35">
      <c r="A13" s="45" t="inlineStr">
        <is>
          <t>GU-TDH-011</t>
        </is>
      </c>
      <c r="B13" s="45" t="inlineStr">
        <is>
          <t>GU</t>
        </is>
      </c>
      <c r="C13" s="45" t="inlineStr">
        <is>
          <t>Sí</t>
        </is>
      </c>
      <c r="D13" s="45" t="inlineStr">
        <is>
          <t>Sí</t>
        </is>
      </c>
      <c r="E13" s="45" t="inlineStr">
        <is>
          <t>Sí</t>
        </is>
      </c>
      <c r="F13" s="45" t="inlineStr">
        <is>
          <t>Sí</t>
        </is>
      </c>
      <c r="G13" s="45" t="inlineStr">
        <is>
          <t>Sí</t>
        </is>
      </c>
      <c r="H13" s="46">
        <f>IF(COUNTIF(C13:G13,"Sí")=5,"Sí","Revisar")</f>
        <v/>
      </c>
    </row>
    <row r="14" ht="19.5" customHeight="1" s="35">
      <c r="A14" s="45" t="inlineStr">
        <is>
          <t>GU-TDH-012</t>
        </is>
      </c>
      <c r="B14" s="45" t="inlineStr">
        <is>
          <t>GU</t>
        </is>
      </c>
      <c r="C14" s="45" t="inlineStr">
        <is>
          <t>Sí</t>
        </is>
      </c>
      <c r="D14" s="45" t="inlineStr">
        <is>
          <t>Sí</t>
        </is>
      </c>
      <c r="E14" s="45" t="inlineStr">
        <is>
          <t>Sí</t>
        </is>
      </c>
      <c r="F14" s="45" t="inlineStr">
        <is>
          <t>Sí</t>
        </is>
      </c>
      <c r="G14" s="45" t="inlineStr">
        <is>
          <t>Sí</t>
        </is>
      </c>
      <c r="H14" s="47">
        <f>IF(COUNTIF(C14:G14,"Sí")=5,"Sí","Revisar")</f>
        <v/>
      </c>
    </row>
    <row r="15" ht="19.5" customHeight="1" s="35">
      <c r="A15" s="45" t="inlineStr">
        <is>
          <t>GU-TDH-014</t>
        </is>
      </c>
      <c r="B15" s="45" t="inlineStr">
        <is>
          <t>GU</t>
        </is>
      </c>
      <c r="C15" s="45" t="inlineStr">
        <is>
          <t>Sí</t>
        </is>
      </c>
      <c r="D15" s="45" t="inlineStr">
        <is>
          <t>Sí</t>
        </is>
      </c>
      <c r="E15" s="45" t="inlineStr">
        <is>
          <t>Sí</t>
        </is>
      </c>
      <c r="F15" s="45" t="inlineStr">
        <is>
          <t>Sí</t>
        </is>
      </c>
      <c r="G15" s="45" t="inlineStr">
        <is>
          <t>Sí</t>
        </is>
      </c>
      <c r="H15" s="46">
        <f>IF(COUNTIF(C15:G15,"Sí")=5,"Sí","Revisar")</f>
        <v/>
      </c>
    </row>
    <row r="16" ht="19.5" customHeight="1" s="35">
      <c r="A16" s="45" t="inlineStr">
        <is>
          <t>GU-TDH-015</t>
        </is>
      </c>
      <c r="B16" s="45" t="inlineStr">
        <is>
          <t>GU</t>
        </is>
      </c>
      <c r="C16" s="45" t="inlineStr">
        <is>
          <t>Sí</t>
        </is>
      </c>
      <c r="D16" s="45" t="inlineStr">
        <is>
          <t>Sí</t>
        </is>
      </c>
      <c r="E16" s="45" t="inlineStr">
        <is>
          <t>Sí</t>
        </is>
      </c>
      <c r="F16" s="45" t="inlineStr">
        <is>
          <t>Sí</t>
        </is>
      </c>
      <c r="G16" s="45" t="inlineStr">
        <is>
          <t>Sí</t>
        </is>
      </c>
      <c r="H16" s="47">
        <f>IF(COUNTIF(C16:G16,"Sí")=5,"Sí","Revisar")</f>
        <v/>
      </c>
    </row>
    <row r="17" ht="19.5" customHeight="1" s="35">
      <c r="A17" s="45" t="inlineStr">
        <is>
          <t>GU-TDH-016</t>
        </is>
      </c>
      <c r="B17" s="45" t="inlineStr">
        <is>
          <t>GU</t>
        </is>
      </c>
      <c r="C17" s="45" t="inlineStr">
        <is>
          <t>Sí</t>
        </is>
      </c>
      <c r="D17" s="45" t="inlineStr">
        <is>
          <t>Sí</t>
        </is>
      </c>
      <c r="E17" s="45" t="inlineStr">
        <is>
          <t>Sí</t>
        </is>
      </c>
      <c r="F17" s="45" t="inlineStr">
        <is>
          <t>Sí</t>
        </is>
      </c>
      <c r="G17" s="45" t="inlineStr">
        <is>
          <t>Sí</t>
        </is>
      </c>
      <c r="H17" s="46">
        <f>IF(COUNTIF(C17:G17,"Sí")=5,"Sí","Revisar")</f>
        <v/>
      </c>
    </row>
    <row r="18" ht="19.5" customHeight="1" s="35">
      <c r="A18" s="45" t="inlineStr">
        <is>
          <t>GU-TDH-017</t>
        </is>
      </c>
      <c r="B18" s="45" t="inlineStr">
        <is>
          <t>GU</t>
        </is>
      </c>
      <c r="C18" s="45" t="inlineStr">
        <is>
          <t>Sí</t>
        </is>
      </c>
      <c r="D18" s="45" t="inlineStr">
        <is>
          <t>Sí</t>
        </is>
      </c>
      <c r="E18" s="45" t="inlineStr">
        <is>
          <t>Sí</t>
        </is>
      </c>
      <c r="F18" s="45" t="inlineStr">
        <is>
          <t>Sí</t>
        </is>
      </c>
      <c r="G18" s="45" t="inlineStr">
        <is>
          <t>Sí</t>
        </is>
      </c>
      <c r="H18" s="47">
        <f>IF(COUNTIF(C18:G18,"Sí")=5,"Sí","Revisar")</f>
        <v/>
      </c>
    </row>
    <row r="19" ht="19.5" customHeight="1" s="35">
      <c r="A19" s="45" t="inlineStr">
        <is>
          <t>GU-TDH-019</t>
        </is>
      </c>
      <c r="B19" s="45" t="inlineStr">
        <is>
          <t>GU</t>
        </is>
      </c>
      <c r="C19" s="45" t="inlineStr">
        <is>
          <t>Sí</t>
        </is>
      </c>
      <c r="D19" s="45" t="inlineStr">
        <is>
          <t>Sí</t>
        </is>
      </c>
      <c r="E19" s="45" t="inlineStr">
        <is>
          <t>Sí</t>
        </is>
      </c>
      <c r="F19" s="45" t="inlineStr">
        <is>
          <t>Sí</t>
        </is>
      </c>
      <c r="G19" s="45" t="inlineStr">
        <is>
          <t>Sí</t>
        </is>
      </c>
      <c r="H19" s="46">
        <f>IF(COUNTIF(C19:G19,"Sí")=5,"Sí","Revisar")</f>
        <v/>
      </c>
    </row>
    <row r="20" ht="19.5" customHeight="1" s="35">
      <c r="A20" s="45" t="inlineStr">
        <is>
          <t>GU-TDH-020</t>
        </is>
      </c>
      <c r="B20" s="45" t="inlineStr">
        <is>
          <t>GU</t>
        </is>
      </c>
      <c r="C20" s="45" t="inlineStr">
        <is>
          <t>Sí</t>
        </is>
      </c>
      <c r="D20" s="45" t="inlineStr">
        <is>
          <t>Sí</t>
        </is>
      </c>
      <c r="E20" s="45" t="inlineStr">
        <is>
          <t>Sí</t>
        </is>
      </c>
      <c r="F20" s="45" t="inlineStr">
        <is>
          <t>Sí</t>
        </is>
      </c>
      <c r="G20" s="45" t="inlineStr">
        <is>
          <t>Sí</t>
        </is>
      </c>
      <c r="H20" s="47">
        <f>IF(COUNTIF(C20:G20,"Sí")=5,"Sí","Revisar")</f>
        <v/>
      </c>
    </row>
    <row r="21" ht="19.5" customHeight="1" s="35">
      <c r="A21" s="45" t="inlineStr">
        <is>
          <t>GU-TDH-021</t>
        </is>
      </c>
      <c r="B21" s="45" t="inlineStr">
        <is>
          <t>GU</t>
        </is>
      </c>
      <c r="C21" s="45" t="inlineStr">
        <is>
          <t>Sí</t>
        </is>
      </c>
      <c r="D21" s="45" t="inlineStr">
        <is>
          <t>Sí</t>
        </is>
      </c>
      <c r="E21" s="45" t="inlineStr">
        <is>
          <t>Sí</t>
        </is>
      </c>
      <c r="F21" s="45" t="inlineStr">
        <is>
          <t>Sí</t>
        </is>
      </c>
      <c r="G21" s="45" t="inlineStr">
        <is>
          <t>Sí</t>
        </is>
      </c>
      <c r="H21" s="46">
        <f>IF(COUNTIF(C21:G21,"Sí")=5,"Sí","Revisar")</f>
        <v/>
      </c>
    </row>
    <row r="22" ht="19.5" customHeight="1" s="35">
      <c r="A22" s="45" t="inlineStr">
        <is>
          <t>GU-TDH-022</t>
        </is>
      </c>
      <c r="B22" s="45" t="inlineStr">
        <is>
          <t>GU</t>
        </is>
      </c>
      <c r="C22" s="45" t="inlineStr">
        <is>
          <t>Sí</t>
        </is>
      </c>
      <c r="D22" s="45" t="inlineStr">
        <is>
          <t>Sí</t>
        </is>
      </c>
      <c r="E22" s="45" t="inlineStr">
        <is>
          <t>Sí</t>
        </is>
      </c>
      <c r="F22" s="45" t="inlineStr">
        <is>
          <t>Sí</t>
        </is>
      </c>
      <c r="G22" s="45" t="inlineStr">
        <is>
          <t>Sí</t>
        </is>
      </c>
      <c r="H22" s="47">
        <f>IF(COUNTIF(C22:G22,"Sí")=5,"Sí","Revisar")</f>
        <v/>
      </c>
    </row>
    <row r="23" ht="19.5" customHeight="1" s="35">
      <c r="A23" s="45" t="inlineStr">
        <is>
          <t>GU-TDH-023</t>
        </is>
      </c>
      <c r="B23" s="45" t="inlineStr">
        <is>
          <t>GU</t>
        </is>
      </c>
      <c r="C23" s="45" t="inlineStr">
        <is>
          <t>Sí</t>
        </is>
      </c>
      <c r="D23" s="45" t="inlineStr">
        <is>
          <t>Sí</t>
        </is>
      </c>
      <c r="E23" s="45" t="inlineStr">
        <is>
          <t>Sí</t>
        </is>
      </c>
      <c r="F23" s="45" t="inlineStr">
        <is>
          <t>Sí</t>
        </is>
      </c>
      <c r="G23" s="45" t="inlineStr">
        <is>
          <t>Sí</t>
        </is>
      </c>
      <c r="H23" s="46">
        <f>IF(COUNTIF(C23:G23,"Sí")=5,"Sí","Revisar")</f>
        <v/>
      </c>
    </row>
    <row r="24" ht="19.5" customHeight="1" s="35">
      <c r="A24" s="45" t="inlineStr">
        <is>
          <t>GU-TDH-024</t>
        </is>
      </c>
      <c r="B24" s="45" t="inlineStr">
        <is>
          <t>GU</t>
        </is>
      </c>
      <c r="C24" s="45" t="inlineStr">
        <is>
          <t>Sí</t>
        </is>
      </c>
      <c r="D24" s="45" t="inlineStr">
        <is>
          <t>Sí</t>
        </is>
      </c>
      <c r="E24" s="45" t="inlineStr">
        <is>
          <t>Sí</t>
        </is>
      </c>
      <c r="F24" s="45" t="inlineStr">
        <is>
          <t>Sí</t>
        </is>
      </c>
      <c r="G24" s="45" t="inlineStr">
        <is>
          <t>Sí</t>
        </is>
      </c>
      <c r="H24" s="47">
        <f>IF(COUNTIF(C24:G24,"Sí")=5,"Sí","Revisar")</f>
        <v/>
      </c>
    </row>
    <row r="25" ht="19.5" customHeight="1" s="35">
      <c r="A25" s="45" t="inlineStr">
        <is>
          <t>GU-TDH-025</t>
        </is>
      </c>
      <c r="B25" s="45" t="inlineStr">
        <is>
          <t>GU</t>
        </is>
      </c>
      <c r="C25" s="45" t="inlineStr">
        <is>
          <t>Sí</t>
        </is>
      </c>
      <c r="D25" s="45" t="inlineStr">
        <is>
          <t>Sí</t>
        </is>
      </c>
      <c r="E25" s="45" t="inlineStr">
        <is>
          <t>Sí</t>
        </is>
      </c>
      <c r="F25" s="45" t="inlineStr">
        <is>
          <t>Sí</t>
        </is>
      </c>
      <c r="G25" s="45" t="inlineStr">
        <is>
          <t>Sí</t>
        </is>
      </c>
      <c r="H25" s="46">
        <f>IF(COUNTIF(C25:G25,"Sí")=5,"Sí","Revisar")</f>
        <v/>
      </c>
    </row>
    <row r="26" ht="19.5" customHeight="1" s="35">
      <c r="A26" s="45" t="inlineStr">
        <is>
          <t>GU-TDH-026</t>
        </is>
      </c>
      <c r="B26" s="45" t="inlineStr">
        <is>
          <t>GU</t>
        </is>
      </c>
      <c r="C26" s="45" t="inlineStr">
        <is>
          <t>Sí</t>
        </is>
      </c>
      <c r="D26" s="45" t="inlineStr">
        <is>
          <t>Sí</t>
        </is>
      </c>
      <c r="E26" s="45" t="inlineStr">
        <is>
          <t>Sí</t>
        </is>
      </c>
      <c r="F26" s="45" t="inlineStr">
        <is>
          <t>Sí</t>
        </is>
      </c>
      <c r="G26" s="45" t="inlineStr">
        <is>
          <t>Sí</t>
        </is>
      </c>
      <c r="H26" s="47">
        <f>IF(COUNTIF(C26:G26,"Sí")=5,"Sí","Revisar")</f>
        <v/>
      </c>
    </row>
    <row r="27" ht="19.5" customHeight="1" s="35">
      <c r="A27" s="45" t="inlineStr">
        <is>
          <t>GU-TDH-027</t>
        </is>
      </c>
      <c r="B27" s="45" t="inlineStr">
        <is>
          <t>GU</t>
        </is>
      </c>
      <c r="C27" s="45" t="inlineStr">
        <is>
          <t>Sí</t>
        </is>
      </c>
      <c r="D27" s="45" t="inlineStr">
        <is>
          <t>Sí</t>
        </is>
      </c>
      <c r="E27" s="45" t="inlineStr">
        <is>
          <t>Sí</t>
        </is>
      </c>
      <c r="F27" s="45" t="inlineStr">
        <is>
          <t>Sí</t>
        </is>
      </c>
      <c r="G27" s="45" t="inlineStr">
        <is>
          <t>Sí</t>
        </is>
      </c>
      <c r="H27" s="46">
        <f>IF(COUNTIF(C27:G27,"Sí")=5,"Sí","Revisar")</f>
        <v/>
      </c>
    </row>
    <row r="28" ht="19.5" customHeight="1" s="35">
      <c r="A28" s="45" t="inlineStr">
        <is>
          <t>GU-TDH-028</t>
        </is>
      </c>
      <c r="B28" s="45" t="inlineStr">
        <is>
          <t>GU</t>
        </is>
      </c>
      <c r="C28" s="45" t="inlineStr">
        <is>
          <t>Sí</t>
        </is>
      </c>
      <c r="D28" s="45" t="inlineStr">
        <is>
          <t>Sí</t>
        </is>
      </c>
      <c r="E28" s="45" t="inlineStr">
        <is>
          <t>Sí</t>
        </is>
      </c>
      <c r="F28" s="45" t="inlineStr">
        <is>
          <t>Sí</t>
        </is>
      </c>
      <c r="G28" s="45" t="inlineStr">
        <is>
          <t>Sí</t>
        </is>
      </c>
      <c r="H28" s="47">
        <f>IF(COUNTIF(C28:G28,"Sí")=5,"Sí","Revisar")</f>
        <v/>
      </c>
    </row>
    <row r="29" ht="19.5" customHeight="1" s="35">
      <c r="A29" s="45" t="inlineStr">
        <is>
          <t>GU-TDH-029</t>
        </is>
      </c>
      <c r="B29" s="45" t="inlineStr">
        <is>
          <t>GU</t>
        </is>
      </c>
      <c r="C29" s="45" t="inlineStr">
        <is>
          <t>Sí</t>
        </is>
      </c>
      <c r="D29" s="45" t="inlineStr">
        <is>
          <t>Sí</t>
        </is>
      </c>
      <c r="E29" s="45" t="inlineStr">
        <is>
          <t>Sí</t>
        </is>
      </c>
      <c r="F29" s="45" t="inlineStr">
        <is>
          <t>Sí</t>
        </is>
      </c>
      <c r="G29" s="45" t="inlineStr">
        <is>
          <t>Sí</t>
        </is>
      </c>
      <c r="H29" s="46">
        <f>IF(COUNTIF(C29:G29,"Sí")=5,"Sí","Revisar")</f>
        <v/>
      </c>
    </row>
    <row r="30" ht="19.5" customHeight="1" s="35">
      <c r="A30" s="45" t="inlineStr">
        <is>
          <t>GU-TDH-030</t>
        </is>
      </c>
      <c r="B30" s="45" t="inlineStr">
        <is>
          <t>GU</t>
        </is>
      </c>
      <c r="C30" s="45" t="inlineStr">
        <is>
          <t>Sí</t>
        </is>
      </c>
      <c r="D30" s="45" t="inlineStr">
        <is>
          <t>Sí</t>
        </is>
      </c>
      <c r="E30" s="45" t="inlineStr">
        <is>
          <t>Sí</t>
        </is>
      </c>
      <c r="F30" s="45" t="inlineStr">
        <is>
          <t>Sí</t>
        </is>
      </c>
      <c r="G30" s="45" t="inlineStr">
        <is>
          <t>Sí</t>
        </is>
      </c>
      <c r="H30" s="47">
        <f>IF(COUNTIF(C30:G30,"Sí")=5,"Sí","Revisar")</f>
        <v/>
      </c>
    </row>
    <row r="31" ht="19.5" customHeight="1" s="35">
      <c r="A31" s="45" t="inlineStr">
        <is>
          <t>GU-TDH-032</t>
        </is>
      </c>
      <c r="B31" s="45" t="inlineStr">
        <is>
          <t>GU</t>
        </is>
      </c>
      <c r="C31" s="45" t="inlineStr">
        <is>
          <t>Sí</t>
        </is>
      </c>
      <c r="D31" s="45" t="inlineStr">
        <is>
          <t>Sí</t>
        </is>
      </c>
      <c r="E31" s="45" t="inlineStr">
        <is>
          <t>Sí</t>
        </is>
      </c>
      <c r="F31" s="45" t="inlineStr">
        <is>
          <t>Sí</t>
        </is>
      </c>
      <c r="G31" s="45" t="inlineStr">
        <is>
          <t>Sí</t>
        </is>
      </c>
      <c r="H31" s="46">
        <f>IF(COUNTIF(C31:G31,"Sí")=5,"Sí","Revisar")</f>
        <v/>
      </c>
    </row>
    <row r="32" ht="19.5" customHeight="1" s="35">
      <c r="A32" s="45" t="inlineStr">
        <is>
          <t>GU-TDH-033</t>
        </is>
      </c>
      <c r="B32" s="45" t="inlineStr">
        <is>
          <t>GU</t>
        </is>
      </c>
      <c r="C32" s="45" t="inlineStr">
        <is>
          <t>Sí</t>
        </is>
      </c>
      <c r="D32" s="45" t="inlineStr">
        <is>
          <t>Sí</t>
        </is>
      </c>
      <c r="E32" s="45" t="inlineStr">
        <is>
          <t>Sí</t>
        </is>
      </c>
      <c r="F32" s="45" t="inlineStr">
        <is>
          <t>Sí</t>
        </is>
      </c>
      <c r="G32" s="45" t="inlineStr">
        <is>
          <t>Sí</t>
        </is>
      </c>
      <c r="H32" s="47">
        <f>IF(COUNTIF(C32:G32,"Sí")=5,"Sí","Revisar")</f>
        <v/>
      </c>
    </row>
    <row r="33" ht="19.5" customHeight="1" s="35">
      <c r="A33" s="45" t="inlineStr">
        <is>
          <t>GU-TDH-034</t>
        </is>
      </c>
      <c r="B33" s="45" t="inlineStr">
        <is>
          <t>GU</t>
        </is>
      </c>
      <c r="C33" s="45" t="inlineStr">
        <is>
          <t>Sí</t>
        </is>
      </c>
      <c r="D33" s="45" t="inlineStr">
        <is>
          <t>Sí</t>
        </is>
      </c>
      <c r="E33" s="45" t="inlineStr">
        <is>
          <t>Sí</t>
        </is>
      </c>
      <c r="F33" s="45" t="inlineStr">
        <is>
          <t>Sí</t>
        </is>
      </c>
      <c r="G33" s="45" t="inlineStr">
        <is>
          <t>Sí</t>
        </is>
      </c>
      <c r="H33" s="46">
        <f>IF(COUNTIF(C33:G33,"Sí")=5,"Sí","Revisar")</f>
        <v/>
      </c>
    </row>
    <row r="34" ht="19.5" customHeight="1" s="35">
      <c r="A34" s="45" t="inlineStr">
        <is>
          <t>GU-TDH-035</t>
        </is>
      </c>
      <c r="B34" s="45" t="inlineStr">
        <is>
          <t>GU</t>
        </is>
      </c>
      <c r="C34" s="45" t="inlineStr">
        <is>
          <t>Sí</t>
        </is>
      </c>
      <c r="D34" s="45" t="inlineStr">
        <is>
          <t>Sí</t>
        </is>
      </c>
      <c r="E34" s="45" t="inlineStr">
        <is>
          <t>Sí</t>
        </is>
      </c>
      <c r="F34" s="45" t="inlineStr">
        <is>
          <t>Sí</t>
        </is>
      </c>
      <c r="G34" s="45" t="inlineStr">
        <is>
          <t>Sí</t>
        </is>
      </c>
      <c r="H34" s="47">
        <f>IF(COUNTIF(C34:G34,"Sí")=5,"Sí","Revisar")</f>
        <v/>
      </c>
    </row>
    <row r="35" ht="15.75" customHeight="1" s="35">
      <c r="A35" s="45" t="inlineStr">
        <is>
          <t>GU-TDH-036</t>
        </is>
      </c>
      <c r="B35" s="45" t="inlineStr">
        <is>
          <t>GU</t>
        </is>
      </c>
      <c r="C35" s="45" t="inlineStr">
        <is>
          <t>Sí</t>
        </is>
      </c>
      <c r="D35" s="45" t="inlineStr">
        <is>
          <t>Sí</t>
        </is>
      </c>
      <c r="E35" s="45" t="inlineStr">
        <is>
          <t>Sí</t>
        </is>
      </c>
      <c r="F35" s="45" t="inlineStr">
        <is>
          <t>Sí</t>
        </is>
      </c>
      <c r="G35" s="45" t="inlineStr">
        <is>
          <t>Sí</t>
        </is>
      </c>
      <c r="H35" s="46">
        <f>IF(COUNTIF(C35:G35,"Sí")=5,"Sí","Revisar")</f>
        <v/>
      </c>
    </row>
    <row r="36" ht="15" customHeight="1" s="35">
      <c r="A36" s="45" t="inlineStr">
        <is>
          <t>GU-TDH-038</t>
        </is>
      </c>
      <c r="B36" s="45" t="inlineStr">
        <is>
          <t>GU</t>
        </is>
      </c>
      <c r="C36" s="45" t="inlineStr">
        <is>
          <t>Sí</t>
        </is>
      </c>
      <c r="D36" s="45" t="inlineStr">
        <is>
          <t>Sí</t>
        </is>
      </c>
      <c r="E36" s="45" t="inlineStr">
        <is>
          <t>Sí</t>
        </is>
      </c>
      <c r="F36" s="45" t="inlineStr">
        <is>
          <t>Sí</t>
        </is>
      </c>
      <c r="G36" s="45" t="inlineStr">
        <is>
          <t>Sí</t>
        </is>
      </c>
      <c r="H36" s="47">
        <f>IF(COUNTIF(C36:G36,"Sí")=5,"Sí","Revisar")</f>
        <v/>
      </c>
    </row>
    <row r="37" ht="15" customHeight="1" s="35">
      <c r="A37" s="45" t="inlineStr">
        <is>
          <t>GU-TDH-039</t>
        </is>
      </c>
      <c r="B37" s="45" t="inlineStr">
        <is>
          <t>GU</t>
        </is>
      </c>
      <c r="C37" s="45" t="inlineStr">
        <is>
          <t>Sí</t>
        </is>
      </c>
      <c r="D37" s="45" t="inlineStr">
        <is>
          <t>Sí</t>
        </is>
      </c>
      <c r="E37" s="45" t="inlineStr">
        <is>
          <t>Sí</t>
        </is>
      </c>
      <c r="F37" s="45" t="inlineStr">
        <is>
          <t>Sí</t>
        </is>
      </c>
      <c r="G37" s="45" t="inlineStr">
        <is>
          <t>Sí</t>
        </is>
      </c>
      <c r="H37" s="46">
        <f>IF(COUNTIF(C37:G37,"Sí")=5,"Sí","Revisar")</f>
        <v/>
      </c>
    </row>
    <row r="38" ht="15" customHeight="1" s="35">
      <c r="A38" s="45" t="inlineStr">
        <is>
          <t>GU-TDH-040</t>
        </is>
      </c>
      <c r="B38" s="45" t="inlineStr">
        <is>
          <t>GU</t>
        </is>
      </c>
      <c r="C38" s="45" t="inlineStr">
        <is>
          <t>Sí</t>
        </is>
      </c>
      <c r="D38" s="45" t="inlineStr">
        <is>
          <t>Sí</t>
        </is>
      </c>
      <c r="E38" s="45" t="inlineStr">
        <is>
          <t>Sí</t>
        </is>
      </c>
      <c r="F38" s="45" t="inlineStr">
        <is>
          <t>Sí</t>
        </is>
      </c>
      <c r="G38" s="45" t="inlineStr">
        <is>
          <t>Sí</t>
        </is>
      </c>
      <c r="H38" s="47">
        <f>IF(COUNTIF(C38:G38,"Sí")=5,"Sí","Revisar")</f>
        <v/>
      </c>
    </row>
    <row r="39" ht="15.75" customHeight="1" s="35">
      <c r="A39" s="45" t="inlineStr">
        <is>
          <t>GU-TDH-041</t>
        </is>
      </c>
      <c r="B39" s="45" t="inlineStr">
        <is>
          <t>GU</t>
        </is>
      </c>
      <c r="C39" s="45" t="inlineStr">
        <is>
          <t>Sí</t>
        </is>
      </c>
      <c r="D39" s="45" t="inlineStr">
        <is>
          <t>Sí</t>
        </is>
      </c>
      <c r="E39" s="45" t="inlineStr">
        <is>
          <t>Sí</t>
        </is>
      </c>
      <c r="F39" s="45" t="inlineStr">
        <is>
          <t>Sí</t>
        </is>
      </c>
      <c r="G39" s="45" t="inlineStr">
        <is>
          <t>Sí</t>
        </is>
      </c>
      <c r="H39" s="46">
        <f>IF(COUNTIF(C39:G39,"Sí")=5,"Sí","Revisar")</f>
        <v/>
      </c>
    </row>
    <row r="40" ht="15.75" customHeight="1" s="35">
      <c r="A40" s="45" t="inlineStr">
        <is>
          <t>GU-TDH-042</t>
        </is>
      </c>
      <c r="B40" s="45" t="inlineStr">
        <is>
          <t>GU</t>
        </is>
      </c>
      <c r="C40" s="45" t="inlineStr">
        <is>
          <t>Sí</t>
        </is>
      </c>
      <c r="D40" s="45" t="inlineStr">
        <is>
          <t>Sí</t>
        </is>
      </c>
      <c r="E40" s="45" t="inlineStr">
        <is>
          <t>Sí</t>
        </is>
      </c>
      <c r="F40" s="45" t="inlineStr">
        <is>
          <t>Sí</t>
        </is>
      </c>
      <c r="G40" s="45" t="inlineStr">
        <is>
          <t>Sí</t>
        </is>
      </c>
      <c r="H40" s="47">
        <f>IF(COUNTIF(C40:G40,"Sí")=5,"Sí","Revisar")</f>
        <v/>
      </c>
    </row>
    <row r="41" ht="15.75" customHeight="1" s="35">
      <c r="A41" s="45" t="inlineStr">
        <is>
          <t>GU-TDH-043</t>
        </is>
      </c>
      <c r="B41" s="45" t="inlineStr">
        <is>
          <t>GU</t>
        </is>
      </c>
      <c r="C41" s="45" t="inlineStr">
        <is>
          <t>Sí</t>
        </is>
      </c>
      <c r="D41" s="45" t="inlineStr">
        <is>
          <t>Sí</t>
        </is>
      </c>
      <c r="E41" s="45" t="inlineStr">
        <is>
          <t>Sí</t>
        </is>
      </c>
      <c r="F41" s="45" t="inlineStr">
        <is>
          <t>Sí</t>
        </is>
      </c>
      <c r="G41" s="45" t="inlineStr">
        <is>
          <t>Sí</t>
        </is>
      </c>
      <c r="H41" s="46">
        <f>IF(COUNTIF(C41:G41,"Sí")=5,"Sí","Revisar")</f>
        <v/>
      </c>
    </row>
    <row r="42" ht="15.75" customHeight="1" s="35">
      <c r="A42" s="45" t="inlineStr">
        <is>
          <t>GU-TDH-045</t>
        </is>
      </c>
      <c r="B42" s="45" t="inlineStr">
        <is>
          <t>GU</t>
        </is>
      </c>
      <c r="C42" s="45" t="inlineStr">
        <is>
          <t>Sí</t>
        </is>
      </c>
      <c r="D42" s="45" t="inlineStr">
        <is>
          <t>Sí</t>
        </is>
      </c>
      <c r="E42" s="45" t="inlineStr">
        <is>
          <t>Sí</t>
        </is>
      </c>
      <c r="F42" s="45" t="inlineStr">
        <is>
          <t>Sí</t>
        </is>
      </c>
      <c r="G42" s="45" t="inlineStr">
        <is>
          <t>Sí</t>
        </is>
      </c>
      <c r="H42" s="47">
        <f>IF(COUNTIF(C42:G42,"Sí")=5,"Sí","Revisar")</f>
        <v/>
      </c>
    </row>
    <row r="43" ht="15.75" customHeight="1" s="35">
      <c r="A43" s="45" t="inlineStr">
        <is>
          <t>GU-TDH-047</t>
        </is>
      </c>
      <c r="B43" s="45" t="inlineStr">
        <is>
          <t>GU</t>
        </is>
      </c>
      <c r="C43" s="45" t="inlineStr">
        <is>
          <t>Sí</t>
        </is>
      </c>
      <c r="D43" s="45" t="inlineStr">
        <is>
          <t>Sí</t>
        </is>
      </c>
      <c r="E43" s="45" t="inlineStr">
        <is>
          <t>Sí</t>
        </is>
      </c>
      <c r="F43" s="45" t="inlineStr">
        <is>
          <t>Sí</t>
        </is>
      </c>
      <c r="G43" s="45" t="inlineStr">
        <is>
          <t>Sí</t>
        </is>
      </c>
      <c r="H43" s="46">
        <f>IF(COUNTIF(C43:G43,"Sí")=5,"Sí","Revisar")</f>
        <v/>
      </c>
    </row>
    <row r="44" ht="15.75" customHeight="1" s="35">
      <c r="A44" s="45" t="inlineStr">
        <is>
          <t>GU-TDH-048</t>
        </is>
      </c>
      <c r="B44" s="45" t="inlineStr">
        <is>
          <t>GU</t>
        </is>
      </c>
      <c r="C44" s="45" t="inlineStr">
        <is>
          <t>Sí</t>
        </is>
      </c>
      <c r="D44" s="45" t="inlineStr">
        <is>
          <t>Sí</t>
        </is>
      </c>
      <c r="E44" s="45" t="inlineStr">
        <is>
          <t>Sí</t>
        </is>
      </c>
      <c r="F44" s="45" t="inlineStr">
        <is>
          <t>Sí</t>
        </is>
      </c>
      <c r="G44" s="45" t="inlineStr">
        <is>
          <t>Sí</t>
        </is>
      </c>
      <c r="H44" s="47">
        <f>IF(COUNTIF(C44:G44,"Sí")=5,"Sí","Revisar")</f>
        <v/>
      </c>
    </row>
    <row r="45" ht="15.75" customHeight="1" s="35">
      <c r="A45" s="45" t="inlineStr">
        <is>
          <t>GU-TDH-049</t>
        </is>
      </c>
      <c r="B45" s="45" t="inlineStr">
        <is>
          <t>GU</t>
        </is>
      </c>
      <c r="C45" s="45" t="inlineStr">
        <is>
          <t>Sí</t>
        </is>
      </c>
      <c r="D45" s="45" t="inlineStr">
        <is>
          <t>Sí</t>
        </is>
      </c>
      <c r="E45" s="45" t="inlineStr">
        <is>
          <t>Sí</t>
        </is>
      </c>
      <c r="F45" s="45" t="inlineStr">
        <is>
          <t>Sí</t>
        </is>
      </c>
      <c r="G45" s="45" t="inlineStr">
        <is>
          <t>Sí</t>
        </is>
      </c>
      <c r="H45" s="46">
        <f>IF(COUNTIF(C45:G45,"Sí")=5,"Sí","Revisar")</f>
        <v/>
      </c>
    </row>
    <row r="46" ht="15.75" customHeight="1" s="35">
      <c r="A46" s="45" t="inlineStr">
        <is>
          <t>GU-TDH-050</t>
        </is>
      </c>
      <c r="B46" s="45" t="inlineStr">
        <is>
          <t>GU</t>
        </is>
      </c>
      <c r="C46" s="45" t="inlineStr">
        <is>
          <t>Sí</t>
        </is>
      </c>
      <c r="D46" s="45" t="inlineStr">
        <is>
          <t>Sí</t>
        </is>
      </c>
      <c r="E46" s="45" t="inlineStr">
        <is>
          <t>Sí</t>
        </is>
      </c>
      <c r="F46" s="45" t="inlineStr">
        <is>
          <t>Sí</t>
        </is>
      </c>
      <c r="G46" s="45" t="inlineStr">
        <is>
          <t>Sí</t>
        </is>
      </c>
      <c r="H46" s="47">
        <f>IF(COUNTIF(C46:G46,"Sí")=5,"Sí","Revisar")</f>
        <v/>
      </c>
    </row>
    <row r="47" ht="15.75" customHeight="1" s="35">
      <c r="A47" s="45" t="inlineStr">
        <is>
          <t>GU-TDH-051</t>
        </is>
      </c>
      <c r="B47" s="45" t="inlineStr">
        <is>
          <t>GU</t>
        </is>
      </c>
      <c r="C47" s="45" t="inlineStr">
        <is>
          <t>Sí</t>
        </is>
      </c>
      <c r="D47" s="45" t="inlineStr">
        <is>
          <t>Sí</t>
        </is>
      </c>
      <c r="E47" s="45" t="inlineStr">
        <is>
          <t>Sí</t>
        </is>
      </c>
      <c r="F47" s="45" t="inlineStr">
        <is>
          <t>Sí</t>
        </is>
      </c>
      <c r="G47" s="45" t="inlineStr">
        <is>
          <t>Sí</t>
        </is>
      </c>
      <c r="H47" s="46">
        <f>IF(COUNTIF(C47:G47,"Sí")=5,"Sí","Revisar")</f>
        <v/>
      </c>
    </row>
    <row r="48" ht="15.75" customHeight="1" s="35">
      <c r="A48" s="45" t="inlineStr">
        <is>
          <t>GU-TDH-052</t>
        </is>
      </c>
      <c r="B48" s="45" t="inlineStr">
        <is>
          <t>GU</t>
        </is>
      </c>
      <c r="C48" s="45" t="inlineStr">
        <is>
          <t>Sí</t>
        </is>
      </c>
      <c r="D48" s="45" t="inlineStr">
        <is>
          <t>Sí</t>
        </is>
      </c>
      <c r="E48" s="45" t="inlineStr">
        <is>
          <t>Sí</t>
        </is>
      </c>
      <c r="F48" s="45" t="inlineStr">
        <is>
          <t>Sí</t>
        </is>
      </c>
      <c r="G48" s="45" t="inlineStr">
        <is>
          <t>Sí</t>
        </is>
      </c>
      <c r="H48" s="47">
        <f>IF(COUNTIF(C48:G48,"Sí")=5,"Sí","Revisar")</f>
        <v/>
      </c>
    </row>
    <row r="49" ht="15.75" customHeight="1" s="35">
      <c r="A49" s="45" t="inlineStr">
        <is>
          <t>GU-TDH-053</t>
        </is>
      </c>
      <c r="B49" s="45" t="inlineStr">
        <is>
          <t>GU</t>
        </is>
      </c>
      <c r="C49" s="45" t="inlineStr">
        <is>
          <t>Sí</t>
        </is>
      </c>
      <c r="D49" s="45" t="inlineStr">
        <is>
          <t>Sí</t>
        </is>
      </c>
      <c r="E49" s="45" t="inlineStr">
        <is>
          <t>Sí</t>
        </is>
      </c>
      <c r="F49" s="45" t="inlineStr">
        <is>
          <t>Sí</t>
        </is>
      </c>
      <c r="G49" s="45" t="inlineStr">
        <is>
          <t>Sí</t>
        </is>
      </c>
      <c r="H49" s="46">
        <f>IF(COUNTIF(C49:G49,"Sí")=5,"Sí","Revisar")</f>
        <v/>
      </c>
    </row>
    <row r="50" ht="15.75" customHeight="1" s="35">
      <c r="A50" s="45" t="inlineStr">
        <is>
          <t>GU-TDH-054</t>
        </is>
      </c>
      <c r="B50" s="45" t="inlineStr">
        <is>
          <t>GU</t>
        </is>
      </c>
      <c r="C50" s="45" t="inlineStr">
        <is>
          <t>Sí</t>
        </is>
      </c>
      <c r="D50" s="45" t="inlineStr">
        <is>
          <t>Sí</t>
        </is>
      </c>
      <c r="E50" s="45" t="inlineStr">
        <is>
          <t>Sí</t>
        </is>
      </c>
      <c r="F50" s="45" t="inlineStr">
        <is>
          <t>Sí</t>
        </is>
      </c>
      <c r="G50" s="45" t="inlineStr">
        <is>
          <t>Sí</t>
        </is>
      </c>
      <c r="H50" s="47">
        <f>IF(COUNTIF(C50:G50,"Sí")=5,"Sí","Revisar")</f>
        <v/>
      </c>
    </row>
    <row r="51" ht="15.75" customHeight="1" s="35">
      <c r="A51" s="45" t="inlineStr">
        <is>
          <t>GU-TDH-056</t>
        </is>
      </c>
      <c r="B51" s="45" t="inlineStr">
        <is>
          <t>GU</t>
        </is>
      </c>
      <c r="C51" s="45" t="inlineStr">
        <is>
          <t>Sí</t>
        </is>
      </c>
      <c r="D51" s="45" t="inlineStr">
        <is>
          <t>Sí</t>
        </is>
      </c>
      <c r="E51" s="45" t="inlineStr">
        <is>
          <t>Sí</t>
        </is>
      </c>
      <c r="F51" s="45" t="inlineStr">
        <is>
          <t>Sí</t>
        </is>
      </c>
      <c r="G51" s="45" t="inlineStr">
        <is>
          <t>Sí</t>
        </is>
      </c>
      <c r="H51" s="46">
        <f>IF(COUNTIF(C51:G51,"Sí")=5,"Sí","Revisar")</f>
        <v/>
      </c>
    </row>
    <row r="52" ht="15.75" customHeight="1" s="35">
      <c r="A52" s="45" t="inlineStr">
        <is>
          <t>GU-TDH-057</t>
        </is>
      </c>
      <c r="B52" s="45" t="inlineStr">
        <is>
          <t>GU</t>
        </is>
      </c>
      <c r="C52" s="45" t="inlineStr">
        <is>
          <t>Sí</t>
        </is>
      </c>
      <c r="D52" s="45" t="inlineStr">
        <is>
          <t>Sí</t>
        </is>
      </c>
      <c r="E52" s="45" t="inlineStr">
        <is>
          <t>Sí</t>
        </is>
      </c>
      <c r="F52" s="45" t="inlineStr">
        <is>
          <t>Sí</t>
        </is>
      </c>
      <c r="G52" s="45" t="inlineStr">
        <is>
          <t>Sí</t>
        </is>
      </c>
      <c r="H52" s="47">
        <f>IF(COUNTIF(C52:G52,"Sí")=5,"Sí","Revisar")</f>
        <v/>
      </c>
    </row>
    <row r="53" ht="15.75" customHeight="1" s="35">
      <c r="A53" s="45" t="inlineStr">
        <is>
          <t>GU-TDH-058</t>
        </is>
      </c>
      <c r="B53" s="45" t="inlineStr">
        <is>
          <t>GU</t>
        </is>
      </c>
      <c r="C53" s="45" t="inlineStr">
        <is>
          <t>Sí</t>
        </is>
      </c>
      <c r="D53" s="45" t="inlineStr">
        <is>
          <t>Sí</t>
        </is>
      </c>
      <c r="E53" s="45" t="inlineStr">
        <is>
          <t>Sí</t>
        </is>
      </c>
      <c r="F53" s="45" t="inlineStr">
        <is>
          <t>Sí</t>
        </is>
      </c>
      <c r="G53" s="45" t="inlineStr">
        <is>
          <t>Sí</t>
        </is>
      </c>
      <c r="H53" s="46">
        <f>IF(COUNTIF(C53:G53,"Sí")=5,"Sí","Revisar")</f>
        <v/>
      </c>
    </row>
    <row r="54" ht="15.75" customHeight="1" s="35">
      <c r="A54" s="45" t="inlineStr">
        <is>
          <t>GU-TDH-060</t>
        </is>
      </c>
      <c r="B54" s="45" t="inlineStr">
        <is>
          <t>GU</t>
        </is>
      </c>
      <c r="C54" s="45" t="inlineStr">
        <is>
          <t>Sí</t>
        </is>
      </c>
      <c r="D54" s="45" t="inlineStr">
        <is>
          <t>Sí</t>
        </is>
      </c>
      <c r="E54" s="45" t="inlineStr">
        <is>
          <t>Sí</t>
        </is>
      </c>
      <c r="F54" s="45" t="inlineStr">
        <is>
          <t>Sí</t>
        </is>
      </c>
      <c r="G54" s="45" t="inlineStr">
        <is>
          <t>Sí</t>
        </is>
      </c>
      <c r="H54" s="47">
        <f>IF(COUNTIF(C54:G54,"Sí")=5,"Sí","Revisar")</f>
        <v/>
      </c>
    </row>
    <row r="55" ht="15.75" customHeight="1" s="35">
      <c r="A55" s="45" t="inlineStr">
        <is>
          <t>GU-TDH-061</t>
        </is>
      </c>
      <c r="B55" s="45" t="inlineStr">
        <is>
          <t>GU</t>
        </is>
      </c>
      <c r="C55" s="45" t="inlineStr">
        <is>
          <t>Sí</t>
        </is>
      </c>
      <c r="D55" s="45" t="inlineStr">
        <is>
          <t>Sí</t>
        </is>
      </c>
      <c r="E55" s="45" t="inlineStr">
        <is>
          <t>Sí</t>
        </is>
      </c>
      <c r="F55" s="45" t="inlineStr">
        <is>
          <t>Sí</t>
        </is>
      </c>
      <c r="G55" s="45" t="inlineStr">
        <is>
          <t>Sí</t>
        </is>
      </c>
      <c r="H55" s="46">
        <f>IF(COUNTIF(C55:G55,"Sí")=5,"Sí","Revisar")</f>
        <v/>
      </c>
    </row>
    <row r="56" ht="15.75" customHeight="1" s="35">
      <c r="A56" s="45" t="inlineStr">
        <is>
          <t>GU-TDH-062</t>
        </is>
      </c>
      <c r="B56" s="45" t="inlineStr">
        <is>
          <t>GU</t>
        </is>
      </c>
      <c r="C56" s="45" t="inlineStr">
        <is>
          <t>Sí</t>
        </is>
      </c>
      <c r="D56" s="45" t="inlineStr">
        <is>
          <t>Sí</t>
        </is>
      </c>
      <c r="E56" s="45" t="inlineStr">
        <is>
          <t>Sí</t>
        </is>
      </c>
      <c r="F56" s="45" t="inlineStr">
        <is>
          <t>Sí</t>
        </is>
      </c>
      <c r="G56" s="45" t="inlineStr">
        <is>
          <t>Sí</t>
        </is>
      </c>
      <c r="H56" s="47">
        <f>IF(COUNTIF(C56:G56,"Sí")=5,"Sí","Revisar")</f>
        <v/>
      </c>
    </row>
    <row r="57" ht="15.75" customHeight="1" s="35">
      <c r="A57" s="45" t="inlineStr">
        <is>
          <t>GU-TDH-063</t>
        </is>
      </c>
      <c r="B57" s="45" t="inlineStr">
        <is>
          <t>GU</t>
        </is>
      </c>
      <c r="C57" s="45" t="inlineStr">
        <is>
          <t>Sí</t>
        </is>
      </c>
      <c r="D57" s="45" t="inlineStr">
        <is>
          <t>Sí</t>
        </is>
      </c>
      <c r="E57" s="45" t="inlineStr">
        <is>
          <t>Sí</t>
        </is>
      </c>
      <c r="F57" s="45" t="inlineStr">
        <is>
          <t>Sí</t>
        </is>
      </c>
      <c r="G57" s="45" t="inlineStr">
        <is>
          <t>Sí</t>
        </is>
      </c>
      <c r="H57" s="46">
        <f>IF(COUNTIF(C57:G57,"Sí")=5,"Sí","Revisar")</f>
        <v/>
      </c>
    </row>
    <row r="58" ht="15.75" customHeight="1" s="35">
      <c r="A58" s="45" t="inlineStr">
        <is>
          <t>GU-TDH-064</t>
        </is>
      </c>
      <c r="B58" s="45" t="inlineStr">
        <is>
          <t>GU</t>
        </is>
      </c>
      <c r="C58" s="45" t="inlineStr">
        <is>
          <t>Sí</t>
        </is>
      </c>
      <c r="D58" s="45" t="inlineStr">
        <is>
          <t>Sí</t>
        </is>
      </c>
      <c r="E58" s="45" t="inlineStr">
        <is>
          <t>Sí</t>
        </is>
      </c>
      <c r="F58" s="45" t="inlineStr">
        <is>
          <t>Sí</t>
        </is>
      </c>
      <c r="G58" s="45" t="inlineStr">
        <is>
          <t>Sí</t>
        </is>
      </c>
      <c r="H58" s="47">
        <f>IF(COUNTIF(C58:G58,"Sí")=5,"Sí","Revisar")</f>
        <v/>
      </c>
    </row>
    <row r="59" ht="15.75" customHeight="1" s="35">
      <c r="A59" s="45" t="inlineStr">
        <is>
          <t>GU-TDH-065</t>
        </is>
      </c>
      <c r="B59" s="45" t="inlineStr">
        <is>
          <t>GU</t>
        </is>
      </c>
      <c r="C59" s="45" t="inlineStr">
        <is>
          <t>Sí</t>
        </is>
      </c>
      <c r="D59" s="45" t="inlineStr">
        <is>
          <t>Sí</t>
        </is>
      </c>
      <c r="E59" s="45" t="inlineStr">
        <is>
          <t>Sí</t>
        </is>
      </c>
      <c r="F59" s="45" t="inlineStr">
        <is>
          <t>Sí</t>
        </is>
      </c>
      <c r="G59" s="45" t="inlineStr">
        <is>
          <t>Sí</t>
        </is>
      </c>
      <c r="H59" s="46">
        <f>IF(COUNTIF(C59:G59,"Sí")=5,"Sí","Revisar")</f>
        <v/>
      </c>
    </row>
    <row r="60" ht="15.75" customHeight="1" s="35">
      <c r="A60" s="45" t="inlineStr">
        <is>
          <t>GU-TDH-066</t>
        </is>
      </c>
      <c r="B60" s="45" t="inlineStr">
        <is>
          <t>GU</t>
        </is>
      </c>
      <c r="C60" s="45" t="inlineStr">
        <is>
          <t>Sí</t>
        </is>
      </c>
      <c r="D60" s="45" t="inlineStr">
        <is>
          <t>Sí</t>
        </is>
      </c>
      <c r="E60" s="45" t="inlineStr">
        <is>
          <t>Sí</t>
        </is>
      </c>
      <c r="F60" s="45" t="inlineStr">
        <is>
          <t>Sí</t>
        </is>
      </c>
      <c r="G60" s="45" t="inlineStr">
        <is>
          <t>Sí</t>
        </is>
      </c>
      <c r="H60" s="47">
        <f>IF(COUNTIF(C60:G60,"Sí")=5,"Sí","Revisar")</f>
        <v/>
      </c>
    </row>
    <row r="61" ht="15.75" customHeight="1" s="35">
      <c r="A61" s="45" t="inlineStr">
        <is>
          <t>GU-TDH-067</t>
        </is>
      </c>
      <c r="B61" s="45" t="inlineStr">
        <is>
          <t>GU</t>
        </is>
      </c>
      <c r="C61" s="45" t="inlineStr">
        <is>
          <t>Sí</t>
        </is>
      </c>
      <c r="D61" s="45" t="inlineStr">
        <is>
          <t>Sí</t>
        </is>
      </c>
      <c r="E61" s="45" t="inlineStr">
        <is>
          <t>Sí</t>
        </is>
      </c>
      <c r="F61" s="45" t="inlineStr">
        <is>
          <t>Sí</t>
        </is>
      </c>
      <c r="G61" s="45" t="inlineStr">
        <is>
          <t>Sí</t>
        </is>
      </c>
      <c r="H61" s="46">
        <f>IF(COUNTIF(C61:G61,"Sí")=5,"Sí","Revisar")</f>
        <v/>
      </c>
    </row>
    <row r="62" ht="15.75" customHeight="1" s="35">
      <c r="A62" s="45" t="inlineStr">
        <is>
          <t>GU-TDH-069</t>
        </is>
      </c>
      <c r="B62" s="45" t="inlineStr">
        <is>
          <t>GU</t>
        </is>
      </c>
      <c r="C62" s="45" t="inlineStr">
        <is>
          <t>Sí</t>
        </is>
      </c>
      <c r="D62" s="45" t="inlineStr">
        <is>
          <t>Sí</t>
        </is>
      </c>
      <c r="E62" s="45" t="inlineStr">
        <is>
          <t>Sí</t>
        </is>
      </c>
      <c r="F62" s="45" t="inlineStr">
        <is>
          <t>Sí</t>
        </is>
      </c>
      <c r="G62" s="45" t="inlineStr">
        <is>
          <t>Sí</t>
        </is>
      </c>
      <c r="H62" s="47">
        <f>IF(COUNTIF(C62:G62,"Sí")=5,"Sí","Revisar")</f>
        <v/>
      </c>
    </row>
    <row r="63" ht="15.75" customHeight="1" s="35">
      <c r="A63" s="45" t="inlineStr">
        <is>
          <t>GU-TDH-070</t>
        </is>
      </c>
      <c r="B63" s="45" t="inlineStr">
        <is>
          <t>GU</t>
        </is>
      </c>
      <c r="C63" s="45" t="inlineStr">
        <is>
          <t>Sí</t>
        </is>
      </c>
      <c r="D63" s="45" t="inlineStr">
        <is>
          <t>Sí</t>
        </is>
      </c>
      <c r="E63" s="45" t="inlineStr">
        <is>
          <t>Sí</t>
        </is>
      </c>
      <c r="F63" s="45" t="inlineStr">
        <is>
          <t>Sí</t>
        </is>
      </c>
      <c r="G63" s="45" t="inlineStr">
        <is>
          <t>Sí</t>
        </is>
      </c>
      <c r="H63" s="46">
        <f>IF(COUNTIF(C63:G63,"Sí")=5,"Sí","Revisar")</f>
        <v/>
      </c>
    </row>
    <row r="64" ht="15.75" customHeight="1" s="35">
      <c r="A64" s="45" t="inlineStr">
        <is>
          <t>GU-TDH-071</t>
        </is>
      </c>
      <c r="B64" s="45" t="inlineStr">
        <is>
          <t>GU</t>
        </is>
      </c>
      <c r="C64" s="45" t="inlineStr">
        <is>
          <t>Sí</t>
        </is>
      </c>
      <c r="D64" s="45" t="inlineStr">
        <is>
          <t>Sí</t>
        </is>
      </c>
      <c r="E64" s="45" t="inlineStr">
        <is>
          <t>Sí</t>
        </is>
      </c>
      <c r="F64" s="45" t="inlineStr">
        <is>
          <t>Sí</t>
        </is>
      </c>
      <c r="G64" s="45" t="inlineStr">
        <is>
          <t>Sí</t>
        </is>
      </c>
      <c r="H64" s="47">
        <f>IF(COUNTIF(C64:G64,"Sí")=5,"Sí","Revisar")</f>
        <v/>
      </c>
    </row>
    <row r="65" ht="15.75" customHeight="1" s="35">
      <c r="A65" s="45" t="inlineStr">
        <is>
          <t>GU-TDH-072</t>
        </is>
      </c>
      <c r="B65" s="45" t="inlineStr">
        <is>
          <t>GU</t>
        </is>
      </c>
      <c r="C65" s="45" t="inlineStr">
        <is>
          <t>Sí</t>
        </is>
      </c>
      <c r="D65" s="45" t="inlineStr">
        <is>
          <t>Sí</t>
        </is>
      </c>
      <c r="E65" s="45" t="inlineStr">
        <is>
          <t>Sí</t>
        </is>
      </c>
      <c r="F65" s="45" t="inlineStr">
        <is>
          <t>Sí</t>
        </is>
      </c>
      <c r="G65" s="45" t="inlineStr">
        <is>
          <t>Sí</t>
        </is>
      </c>
      <c r="H65" s="46">
        <f>IF(COUNTIF(C65:G65,"Sí")=5,"Sí","Revisar")</f>
        <v/>
      </c>
    </row>
    <row r="66" ht="15.75" customHeight="1" s="35">
      <c r="A66" s="45" t="inlineStr">
        <is>
          <t>GU-TDH-073</t>
        </is>
      </c>
      <c r="B66" s="45" t="inlineStr">
        <is>
          <t>GU</t>
        </is>
      </c>
      <c r="C66" s="45" t="inlineStr">
        <is>
          <t>Sí</t>
        </is>
      </c>
      <c r="D66" s="45" t="inlineStr">
        <is>
          <t>Sí</t>
        </is>
      </c>
      <c r="E66" s="45" t="inlineStr">
        <is>
          <t>Sí</t>
        </is>
      </c>
      <c r="F66" s="45" t="inlineStr">
        <is>
          <t>Sí</t>
        </is>
      </c>
      <c r="G66" s="45" t="inlineStr">
        <is>
          <t>Sí</t>
        </is>
      </c>
      <c r="H66" s="47">
        <f>IF(COUNTIF(C66:G66,"Sí")=5,"Sí","Revisar")</f>
        <v/>
      </c>
    </row>
    <row r="67" ht="15.75" customHeight="1" s="35">
      <c r="A67" s="45" t="inlineStr">
        <is>
          <t>GU-TDH-074</t>
        </is>
      </c>
      <c r="B67" s="45" t="inlineStr">
        <is>
          <t>GU</t>
        </is>
      </c>
      <c r="C67" s="45" t="inlineStr">
        <is>
          <t>Sí</t>
        </is>
      </c>
      <c r="D67" s="45" t="inlineStr">
        <is>
          <t>Sí</t>
        </is>
      </c>
      <c r="E67" s="45" t="inlineStr">
        <is>
          <t>Sí</t>
        </is>
      </c>
      <c r="F67" s="45" t="inlineStr">
        <is>
          <t>Sí</t>
        </is>
      </c>
      <c r="G67" s="45" t="inlineStr">
        <is>
          <t>Sí</t>
        </is>
      </c>
      <c r="H67" s="46">
        <f>IF(COUNTIF(C67:G67,"Sí")=5,"Sí","Revisar")</f>
        <v/>
      </c>
    </row>
    <row r="68" ht="15.75" customHeight="1" s="35">
      <c r="A68" s="45" t="inlineStr">
        <is>
          <t>GU-TDH-075</t>
        </is>
      </c>
      <c r="B68" s="45" t="inlineStr">
        <is>
          <t>GU</t>
        </is>
      </c>
      <c r="C68" s="45" t="inlineStr">
        <is>
          <t>Sí</t>
        </is>
      </c>
      <c r="D68" s="45" t="inlineStr">
        <is>
          <t>Sí</t>
        </is>
      </c>
      <c r="E68" s="45" t="inlineStr">
        <is>
          <t>Sí</t>
        </is>
      </c>
      <c r="F68" s="45" t="inlineStr">
        <is>
          <t>Sí</t>
        </is>
      </c>
      <c r="G68" s="45" t="inlineStr">
        <is>
          <t>Sí</t>
        </is>
      </c>
      <c r="H68" s="47">
        <f>IF(COUNTIF(C68:G68,"Sí")=5,"Sí","Revisar")</f>
        <v/>
      </c>
    </row>
    <row r="69" ht="15.75" customHeight="1" s="35">
      <c r="A69" s="45" t="inlineStr">
        <is>
          <t>GU-TDH-076</t>
        </is>
      </c>
      <c r="B69" s="45" t="inlineStr">
        <is>
          <t>GU</t>
        </is>
      </c>
      <c r="C69" s="45" t="inlineStr">
        <is>
          <t>Sí</t>
        </is>
      </c>
      <c r="D69" s="45" t="inlineStr">
        <is>
          <t>Sí</t>
        </is>
      </c>
      <c r="E69" s="45" t="inlineStr">
        <is>
          <t>Sí</t>
        </is>
      </c>
      <c r="F69" s="45" t="inlineStr">
        <is>
          <t>Sí</t>
        </is>
      </c>
      <c r="G69" s="45" t="inlineStr">
        <is>
          <t>Sí</t>
        </is>
      </c>
      <c r="H69" s="46">
        <f>IF(COUNTIF(C69:G69,"Sí")=5,"Sí","Revisar")</f>
        <v/>
      </c>
    </row>
    <row r="70" ht="15.75" customHeight="1" s="35">
      <c r="A70" s="45" t="inlineStr">
        <is>
          <t>GU-TDH-077</t>
        </is>
      </c>
      <c r="B70" s="45" t="inlineStr">
        <is>
          <t>GU</t>
        </is>
      </c>
      <c r="C70" s="45" t="inlineStr">
        <is>
          <t>Sí</t>
        </is>
      </c>
      <c r="D70" s="45" t="inlineStr">
        <is>
          <t>Sí</t>
        </is>
      </c>
      <c r="E70" s="45" t="inlineStr">
        <is>
          <t>Sí</t>
        </is>
      </c>
      <c r="F70" s="45" t="inlineStr">
        <is>
          <t>Sí</t>
        </is>
      </c>
      <c r="G70" s="45" t="inlineStr">
        <is>
          <t>Sí</t>
        </is>
      </c>
      <c r="H70" s="47">
        <f>IF(COUNTIF(C70:G70,"Sí")=5,"Sí","Revisar")</f>
        <v/>
      </c>
    </row>
    <row r="71" ht="15.75" customHeight="1" s="35">
      <c r="A71" s="45" t="inlineStr">
        <is>
          <t>GU-TDH-078</t>
        </is>
      </c>
      <c r="B71" s="45" t="inlineStr">
        <is>
          <t>GU</t>
        </is>
      </c>
      <c r="C71" s="45" t="inlineStr">
        <is>
          <t>Sí</t>
        </is>
      </c>
      <c r="D71" s="45" t="inlineStr">
        <is>
          <t>Sí</t>
        </is>
      </c>
      <c r="E71" s="45" t="inlineStr">
        <is>
          <t>Sí</t>
        </is>
      </c>
      <c r="F71" s="45" t="inlineStr">
        <is>
          <t>Sí</t>
        </is>
      </c>
      <c r="G71" s="45" t="inlineStr">
        <is>
          <t>Sí</t>
        </is>
      </c>
      <c r="H71" s="46">
        <f>IF(COUNTIF(C71:G71,"Sí")=5,"Sí","Revisar")</f>
        <v/>
      </c>
    </row>
    <row r="72" ht="15.75" customHeight="1" s="35">
      <c r="A72" s="45" t="inlineStr">
        <is>
          <t>GU-TDH-079</t>
        </is>
      </c>
      <c r="B72" s="45" t="inlineStr">
        <is>
          <t>GU</t>
        </is>
      </c>
      <c r="C72" s="45" t="inlineStr">
        <is>
          <t>Sí</t>
        </is>
      </c>
      <c r="D72" s="45" t="inlineStr">
        <is>
          <t>Sí</t>
        </is>
      </c>
      <c r="E72" s="45" t="inlineStr">
        <is>
          <t>Sí</t>
        </is>
      </c>
      <c r="F72" s="45" t="inlineStr">
        <is>
          <t>Sí</t>
        </is>
      </c>
      <c r="G72" s="45" t="inlineStr">
        <is>
          <t>Sí</t>
        </is>
      </c>
      <c r="H72" s="47">
        <f>IF(COUNTIF(C72:G72,"Sí")=5,"Sí","Revisar")</f>
        <v/>
      </c>
    </row>
    <row r="73" ht="15.75" customHeight="1" s="35">
      <c r="A73" s="45" t="inlineStr">
        <is>
          <t>GU-TDH-080</t>
        </is>
      </c>
      <c r="B73" s="45" t="inlineStr">
        <is>
          <t>GU</t>
        </is>
      </c>
      <c r="C73" s="45" t="inlineStr">
        <is>
          <t>Sí</t>
        </is>
      </c>
      <c r="D73" s="45" t="inlineStr">
        <is>
          <t>Sí</t>
        </is>
      </c>
      <c r="E73" s="45" t="inlineStr">
        <is>
          <t>Sí</t>
        </is>
      </c>
      <c r="F73" s="45" t="inlineStr">
        <is>
          <t>Sí</t>
        </is>
      </c>
      <c r="G73" s="45" t="inlineStr">
        <is>
          <t>Sí</t>
        </is>
      </c>
      <c r="H73" s="46">
        <f>IF(COUNTIF(C73:G73,"Sí")=5,"Sí","Revisar")</f>
        <v/>
      </c>
    </row>
    <row r="74" ht="15.75" customHeight="1" s="35">
      <c r="A74" s="45" t="inlineStr">
        <is>
          <t>GU-TDH-081</t>
        </is>
      </c>
      <c r="B74" s="45" t="inlineStr">
        <is>
          <t>GU</t>
        </is>
      </c>
      <c r="C74" s="45" t="inlineStr">
        <is>
          <t>Sí</t>
        </is>
      </c>
      <c r="D74" s="45" t="inlineStr">
        <is>
          <t>Sí</t>
        </is>
      </c>
      <c r="E74" s="45" t="inlineStr">
        <is>
          <t>Sí</t>
        </is>
      </c>
      <c r="F74" s="45" t="inlineStr">
        <is>
          <t>Sí</t>
        </is>
      </c>
      <c r="G74" s="45" t="inlineStr">
        <is>
          <t>Sí</t>
        </is>
      </c>
      <c r="H74" s="47">
        <f>IF(COUNTIF(C74:G74,"Sí")=5,"Sí","Revisar")</f>
        <v/>
      </c>
    </row>
    <row r="75" ht="15.75" customHeight="1" s="35">
      <c r="A75" s="45" t="inlineStr">
        <is>
          <t>GU-TDH-082</t>
        </is>
      </c>
      <c r="B75" s="45" t="inlineStr">
        <is>
          <t>GU</t>
        </is>
      </c>
      <c r="C75" s="45" t="inlineStr">
        <is>
          <t>Sí</t>
        </is>
      </c>
      <c r="D75" s="45" t="inlineStr">
        <is>
          <t>Sí</t>
        </is>
      </c>
      <c r="E75" s="45" t="inlineStr">
        <is>
          <t>Sí</t>
        </is>
      </c>
      <c r="F75" s="45" t="inlineStr">
        <is>
          <t>Sí</t>
        </is>
      </c>
      <c r="G75" s="45" t="inlineStr">
        <is>
          <t>Sí</t>
        </is>
      </c>
      <c r="H75" s="46">
        <f>IF(COUNTIF(C75:G75,"Sí")=5,"Sí","Revisar")</f>
        <v/>
      </c>
    </row>
    <row r="76" ht="15.75" customHeight="1" s="35">
      <c r="A76" s="45" t="inlineStr">
        <is>
          <t>GU-TDH-083</t>
        </is>
      </c>
      <c r="B76" s="45" t="inlineStr">
        <is>
          <t>GU</t>
        </is>
      </c>
      <c r="C76" s="45" t="inlineStr">
        <is>
          <t>Sí</t>
        </is>
      </c>
      <c r="D76" s="45" t="inlineStr">
        <is>
          <t>Sí</t>
        </is>
      </c>
      <c r="E76" s="45" t="inlineStr">
        <is>
          <t>Sí</t>
        </is>
      </c>
      <c r="F76" s="45" t="inlineStr">
        <is>
          <t>Sí</t>
        </is>
      </c>
      <c r="G76" s="45" t="inlineStr">
        <is>
          <t>Sí</t>
        </is>
      </c>
      <c r="H76" s="47">
        <f>IF(COUNTIF(C76:G76,"Sí")=5,"Sí","Revisar")</f>
        <v/>
      </c>
    </row>
    <row r="77" ht="15.75" customHeight="1" s="35">
      <c r="A77" s="45" t="inlineStr">
        <is>
          <t>GU-TDH-084</t>
        </is>
      </c>
      <c r="B77" s="45" t="inlineStr">
        <is>
          <t>GU</t>
        </is>
      </c>
      <c r="C77" s="45" t="inlineStr">
        <is>
          <t>Sí</t>
        </is>
      </c>
      <c r="D77" s="45" t="inlineStr">
        <is>
          <t>Sí</t>
        </is>
      </c>
      <c r="E77" s="45" t="inlineStr">
        <is>
          <t>Sí</t>
        </is>
      </c>
      <c r="F77" s="45" t="inlineStr">
        <is>
          <t>Sí</t>
        </is>
      </c>
      <c r="G77" s="45" t="inlineStr">
        <is>
          <t>Sí</t>
        </is>
      </c>
      <c r="H77" s="46">
        <f>IF(COUNTIF(C77:G77,"Sí")=5,"Sí","Revisar")</f>
        <v/>
      </c>
    </row>
    <row r="78" ht="15.75" customHeight="1" s="35">
      <c r="A78" s="45" t="inlineStr">
        <is>
          <t>GU-TDH-085</t>
        </is>
      </c>
      <c r="B78" s="45" t="inlineStr">
        <is>
          <t>GU</t>
        </is>
      </c>
      <c r="C78" s="45" t="inlineStr">
        <is>
          <t>Sí</t>
        </is>
      </c>
      <c r="D78" s="45" t="inlineStr">
        <is>
          <t>Sí</t>
        </is>
      </c>
      <c r="E78" s="45" t="inlineStr">
        <is>
          <t>Sí</t>
        </is>
      </c>
      <c r="F78" s="45" t="inlineStr">
        <is>
          <t>Sí</t>
        </is>
      </c>
      <c r="G78" s="45" t="inlineStr">
        <is>
          <t>Sí</t>
        </is>
      </c>
      <c r="H78" s="47">
        <f>IF(COUNTIF(C78:G78,"Sí")=5,"Sí","Revisar")</f>
        <v/>
      </c>
    </row>
    <row r="79" ht="15.75" customHeight="1" s="35">
      <c r="A79" s="45" t="inlineStr">
        <is>
          <t>GU-TDH-086</t>
        </is>
      </c>
      <c r="B79" s="45" t="inlineStr">
        <is>
          <t>GU</t>
        </is>
      </c>
      <c r="C79" s="45" t="inlineStr">
        <is>
          <t>Sí</t>
        </is>
      </c>
      <c r="D79" s="45" t="inlineStr">
        <is>
          <t>Sí</t>
        </is>
      </c>
      <c r="E79" s="45" t="inlineStr">
        <is>
          <t>Sí</t>
        </is>
      </c>
      <c r="F79" s="45" t="inlineStr">
        <is>
          <t>Sí</t>
        </is>
      </c>
      <c r="G79" s="45" t="inlineStr">
        <is>
          <t>Sí</t>
        </is>
      </c>
      <c r="H79" s="46">
        <f>IF(COUNTIF(C79:G79,"Sí")=5,"Sí","Revisar")</f>
        <v/>
      </c>
    </row>
    <row r="80" ht="15.75" customHeight="1" s="35">
      <c r="A80" s="45" t="inlineStr">
        <is>
          <t>GU-TDH-087</t>
        </is>
      </c>
      <c r="B80" s="45" t="inlineStr">
        <is>
          <t>GU</t>
        </is>
      </c>
      <c r="C80" s="45" t="inlineStr">
        <is>
          <t>Sí</t>
        </is>
      </c>
      <c r="D80" s="45" t="inlineStr">
        <is>
          <t>Sí</t>
        </is>
      </c>
      <c r="E80" s="45" t="inlineStr">
        <is>
          <t>Sí</t>
        </is>
      </c>
      <c r="F80" s="45" t="inlineStr">
        <is>
          <t>Sí</t>
        </is>
      </c>
      <c r="G80" s="45" t="inlineStr">
        <is>
          <t>Sí</t>
        </is>
      </c>
      <c r="H80" s="47">
        <f>IF(COUNTIF(C80:G80,"Sí")=5,"Sí","Revisar")</f>
        <v/>
      </c>
    </row>
    <row r="81" ht="15.75" customHeight="1" s="35">
      <c r="A81" s="45" t="inlineStr">
        <is>
          <t>GU-TDH-088</t>
        </is>
      </c>
      <c r="B81" s="45" t="inlineStr">
        <is>
          <t>GU</t>
        </is>
      </c>
      <c r="C81" s="45" t="inlineStr">
        <is>
          <t>Sí</t>
        </is>
      </c>
      <c r="D81" s="45" t="inlineStr">
        <is>
          <t>Sí</t>
        </is>
      </c>
      <c r="E81" s="45" t="inlineStr">
        <is>
          <t>Sí</t>
        </is>
      </c>
      <c r="F81" s="45" t="inlineStr">
        <is>
          <t>Sí</t>
        </is>
      </c>
      <c r="G81" s="45" t="inlineStr">
        <is>
          <t>Sí</t>
        </is>
      </c>
      <c r="H81" s="46">
        <f>IF(COUNTIF(C81:G81,"Sí")=5,"Sí","Revisar")</f>
        <v/>
      </c>
    </row>
    <row r="82" ht="15.75" customHeight="1" s="35">
      <c r="A82" s="45" t="inlineStr">
        <is>
          <t>GU-TDH-089</t>
        </is>
      </c>
      <c r="B82" s="45" t="inlineStr">
        <is>
          <t>GU</t>
        </is>
      </c>
      <c r="C82" s="45" t="inlineStr">
        <is>
          <t>Sí</t>
        </is>
      </c>
      <c r="D82" s="45" t="inlineStr">
        <is>
          <t>Sí</t>
        </is>
      </c>
      <c r="E82" s="45" t="inlineStr">
        <is>
          <t>Sí</t>
        </is>
      </c>
      <c r="F82" s="45" t="inlineStr">
        <is>
          <t>Sí</t>
        </is>
      </c>
      <c r="G82" s="45" t="inlineStr">
        <is>
          <t>Sí</t>
        </is>
      </c>
      <c r="H82" s="47">
        <f>IF(COUNTIF(C82:G82,"Sí")=5,"Sí","Revisar")</f>
        <v/>
      </c>
    </row>
    <row r="83" ht="15.75" customHeight="1" s="35">
      <c r="A83" s="45" t="inlineStr">
        <is>
          <t>GU-TDH-090</t>
        </is>
      </c>
      <c r="B83" s="45" t="inlineStr">
        <is>
          <t>GU</t>
        </is>
      </c>
      <c r="C83" s="45" t="inlineStr">
        <is>
          <t>Sí</t>
        </is>
      </c>
      <c r="D83" s="45" t="inlineStr">
        <is>
          <t>Sí</t>
        </is>
      </c>
      <c r="E83" s="45" t="inlineStr">
        <is>
          <t>Sí</t>
        </is>
      </c>
      <c r="F83" s="45" t="inlineStr">
        <is>
          <t>Sí</t>
        </is>
      </c>
      <c r="G83" s="45" t="inlineStr">
        <is>
          <t>Sí</t>
        </is>
      </c>
      <c r="H83" s="46">
        <f>IF(COUNTIF(C83:G83,"Sí")=5,"Sí","Revisar")</f>
        <v/>
      </c>
    </row>
    <row r="84" ht="15.75" customHeight="1" s="35">
      <c r="A84" s="45" t="inlineStr">
        <is>
          <t>GU-TDH-091</t>
        </is>
      </c>
      <c r="B84" s="45" t="inlineStr">
        <is>
          <t>GU</t>
        </is>
      </c>
      <c r="C84" s="45" t="inlineStr">
        <is>
          <t>Sí</t>
        </is>
      </c>
      <c r="D84" s="45" t="inlineStr">
        <is>
          <t>Sí</t>
        </is>
      </c>
      <c r="E84" s="45" t="inlineStr">
        <is>
          <t>Sí</t>
        </is>
      </c>
      <c r="F84" s="45" t="inlineStr">
        <is>
          <t>Sí</t>
        </is>
      </c>
      <c r="G84" s="45" t="inlineStr">
        <is>
          <t>Sí</t>
        </is>
      </c>
      <c r="H84" s="47">
        <f>IF(COUNTIF(C84:G84,"Sí")=5,"Sí","Revisar")</f>
        <v/>
      </c>
    </row>
    <row r="85" ht="15.75" customHeight="1" s="35">
      <c r="A85" s="45" t="inlineStr">
        <is>
          <t>GU-TDH-092</t>
        </is>
      </c>
      <c r="B85" s="45" t="inlineStr">
        <is>
          <t>GU</t>
        </is>
      </c>
      <c r="C85" s="45" t="inlineStr">
        <is>
          <t>Sí</t>
        </is>
      </c>
      <c r="D85" s="45" t="inlineStr">
        <is>
          <t>Sí</t>
        </is>
      </c>
      <c r="E85" s="45" t="inlineStr">
        <is>
          <t>Sí</t>
        </is>
      </c>
      <c r="F85" s="45" t="inlineStr">
        <is>
          <t>Sí</t>
        </is>
      </c>
      <c r="G85" s="45" t="inlineStr">
        <is>
          <t>Sí</t>
        </is>
      </c>
      <c r="H85" s="46">
        <f>IF(COUNTIF(C85:G85,"Sí")=5,"Sí","Revisar")</f>
        <v/>
      </c>
    </row>
    <row r="86" ht="15.75" customHeight="1" s="35">
      <c r="A86" s="45" t="inlineStr">
        <is>
          <t>GU-TDH-093</t>
        </is>
      </c>
      <c r="B86" s="45" t="inlineStr">
        <is>
          <t>GU</t>
        </is>
      </c>
      <c r="C86" s="45" t="inlineStr">
        <is>
          <t>Sí</t>
        </is>
      </c>
      <c r="D86" s="45" t="inlineStr">
        <is>
          <t>Sí</t>
        </is>
      </c>
      <c r="E86" s="45" t="inlineStr">
        <is>
          <t>Sí</t>
        </is>
      </c>
      <c r="F86" s="45" t="inlineStr">
        <is>
          <t>Sí</t>
        </is>
      </c>
      <c r="G86" s="45" t="inlineStr">
        <is>
          <t>Sí</t>
        </is>
      </c>
      <c r="H86" s="47">
        <f>IF(COUNTIF(C86:G86,"Sí")=5,"Sí","Revisar")</f>
        <v/>
      </c>
    </row>
    <row r="87" ht="15.75" customHeight="1" s="35">
      <c r="A87" s="45" t="inlineStr">
        <is>
          <t>GU-TDH-095</t>
        </is>
      </c>
      <c r="B87" s="45" t="inlineStr">
        <is>
          <t>GU</t>
        </is>
      </c>
      <c r="C87" s="45" t="inlineStr">
        <is>
          <t>Sí</t>
        </is>
      </c>
      <c r="D87" s="45" t="inlineStr">
        <is>
          <t>Sí</t>
        </is>
      </c>
      <c r="E87" s="45" t="inlineStr">
        <is>
          <t>Sí</t>
        </is>
      </c>
      <c r="F87" s="45" t="inlineStr">
        <is>
          <t>Sí</t>
        </is>
      </c>
      <c r="G87" s="45" t="inlineStr">
        <is>
          <t>Sí</t>
        </is>
      </c>
      <c r="H87" s="46">
        <f>IF(COUNTIF(C87:G87,"Sí")=5,"Sí","Revisar")</f>
        <v/>
      </c>
    </row>
    <row r="88" ht="15.75" customHeight="1" s="35">
      <c r="A88" s="45" t="inlineStr">
        <is>
          <t>GU-TDH-097</t>
        </is>
      </c>
      <c r="B88" s="45" t="inlineStr">
        <is>
          <t>GU</t>
        </is>
      </c>
      <c r="C88" s="45" t="inlineStr">
        <is>
          <t>Sí</t>
        </is>
      </c>
      <c r="D88" s="45" t="inlineStr">
        <is>
          <t>Sí</t>
        </is>
      </c>
      <c r="E88" s="45" t="inlineStr">
        <is>
          <t>Sí</t>
        </is>
      </c>
      <c r="F88" s="45" t="inlineStr">
        <is>
          <t>Sí</t>
        </is>
      </c>
      <c r="G88" s="45" t="inlineStr">
        <is>
          <t>Sí</t>
        </is>
      </c>
      <c r="H88" s="47">
        <f>IF(COUNTIF(C88:G88,"Sí")=5,"Sí","Revisar")</f>
        <v/>
      </c>
    </row>
    <row r="89" ht="15.75" customHeight="1" s="35">
      <c r="A89" s="45" t="inlineStr">
        <is>
          <t>GU-TDH-098</t>
        </is>
      </c>
      <c r="B89" s="45" t="inlineStr">
        <is>
          <t>GU</t>
        </is>
      </c>
      <c r="C89" s="45" t="inlineStr">
        <is>
          <t>Sí</t>
        </is>
      </c>
      <c r="D89" s="45" t="inlineStr">
        <is>
          <t>Sí</t>
        </is>
      </c>
      <c r="E89" s="45" t="inlineStr">
        <is>
          <t>Sí</t>
        </is>
      </c>
      <c r="F89" s="45" t="inlineStr">
        <is>
          <t>Sí</t>
        </is>
      </c>
      <c r="G89" s="45" t="inlineStr">
        <is>
          <t>Sí</t>
        </is>
      </c>
      <c r="H89" s="46">
        <f>IF(COUNTIF(C89:G89,"Sí")=5,"Sí","Revisar")</f>
        <v/>
      </c>
    </row>
    <row r="90" ht="15.75" customHeight="1" s="35">
      <c r="A90" s="45" t="inlineStr">
        <is>
          <t>GU-TDH-099</t>
        </is>
      </c>
      <c r="B90" s="45" t="inlineStr">
        <is>
          <t>GU</t>
        </is>
      </c>
      <c r="C90" s="45" t="inlineStr">
        <is>
          <t>Sí</t>
        </is>
      </c>
      <c r="D90" s="45" t="inlineStr">
        <is>
          <t>Sí</t>
        </is>
      </c>
      <c r="E90" s="45" t="inlineStr">
        <is>
          <t>Sí</t>
        </is>
      </c>
      <c r="F90" s="45" t="inlineStr">
        <is>
          <t>Sí</t>
        </is>
      </c>
      <c r="G90" s="45" t="inlineStr">
        <is>
          <t>Sí</t>
        </is>
      </c>
      <c r="H90" s="47">
        <f>IF(COUNTIF(C90:G90,"Sí")=5,"Sí","Revisar")</f>
        <v/>
      </c>
    </row>
    <row r="91" ht="15.75" customHeight="1" s="35">
      <c r="A91" s="45" t="inlineStr">
        <is>
          <t>GU-TDH-100</t>
        </is>
      </c>
      <c r="B91" s="45" t="inlineStr">
        <is>
          <t>GU</t>
        </is>
      </c>
      <c r="C91" s="45" t="inlineStr">
        <is>
          <t>Sí</t>
        </is>
      </c>
      <c r="D91" s="45" t="inlineStr">
        <is>
          <t>Sí</t>
        </is>
      </c>
      <c r="E91" s="45" t="inlineStr">
        <is>
          <t>Sí</t>
        </is>
      </c>
      <c r="F91" s="45" t="inlineStr">
        <is>
          <t>Sí</t>
        </is>
      </c>
      <c r="G91" s="45" t="inlineStr">
        <is>
          <t>Sí</t>
        </is>
      </c>
      <c r="H91" s="46">
        <f>IF(COUNTIF(C91:G91,"Sí")=5,"Sí","Revisar")</f>
        <v/>
      </c>
    </row>
    <row r="92" ht="15.75" customHeight="1" s="35">
      <c r="A92" s="45" t="inlineStr">
        <is>
          <t>GU-TDH-101</t>
        </is>
      </c>
      <c r="B92" s="45" t="inlineStr">
        <is>
          <t>GU</t>
        </is>
      </c>
      <c r="C92" s="45" t="inlineStr">
        <is>
          <t>Sí</t>
        </is>
      </c>
      <c r="D92" s="45" t="inlineStr">
        <is>
          <t>Sí</t>
        </is>
      </c>
      <c r="E92" s="45" t="inlineStr">
        <is>
          <t>Sí</t>
        </is>
      </c>
      <c r="F92" s="45" t="inlineStr">
        <is>
          <t>Sí</t>
        </is>
      </c>
      <c r="G92" s="45" t="inlineStr">
        <is>
          <t>Sí</t>
        </is>
      </c>
      <c r="H92" s="47">
        <f>IF(COUNTIF(C92:G92,"Sí")=5,"Sí","Revisar")</f>
        <v/>
      </c>
    </row>
    <row r="93" ht="15.75" customHeight="1" s="35">
      <c r="A93" s="45" t="inlineStr">
        <is>
          <t>GU-TDH-102</t>
        </is>
      </c>
      <c r="B93" s="45" t="inlineStr">
        <is>
          <t>GU</t>
        </is>
      </c>
      <c r="C93" s="45" t="inlineStr">
        <is>
          <t>Sí</t>
        </is>
      </c>
      <c r="D93" s="45" t="inlineStr">
        <is>
          <t>Sí</t>
        </is>
      </c>
      <c r="E93" s="45" t="inlineStr">
        <is>
          <t>Sí</t>
        </is>
      </c>
      <c r="F93" s="45" t="inlineStr">
        <is>
          <t>Sí</t>
        </is>
      </c>
      <c r="G93" s="45" t="inlineStr">
        <is>
          <t>Sí</t>
        </is>
      </c>
      <c r="H93" s="46">
        <f>IF(COUNTIF(C93:G93,"Sí")=5,"Sí","Revisar")</f>
        <v/>
      </c>
    </row>
    <row r="94" ht="15.75" customHeight="1" s="35">
      <c r="A94" s="45" t="inlineStr">
        <is>
          <t>GU-TDH-103</t>
        </is>
      </c>
      <c r="B94" s="45" t="inlineStr">
        <is>
          <t>GU</t>
        </is>
      </c>
      <c r="C94" s="45" t="inlineStr">
        <is>
          <t>Sí</t>
        </is>
      </c>
      <c r="D94" s="45" t="inlineStr">
        <is>
          <t>Sí</t>
        </is>
      </c>
      <c r="E94" s="45" t="inlineStr">
        <is>
          <t>Sí</t>
        </is>
      </c>
      <c r="F94" s="45" t="inlineStr">
        <is>
          <t>Sí</t>
        </is>
      </c>
      <c r="G94" s="45" t="inlineStr">
        <is>
          <t>Sí</t>
        </is>
      </c>
      <c r="H94" s="47">
        <f>IF(COUNTIF(C94:G94,"Sí")=5,"Sí","Revisar")</f>
        <v/>
      </c>
    </row>
    <row r="95" ht="15.75" customHeight="1" s="35">
      <c r="A95" s="45" t="inlineStr">
        <is>
          <t>GU-TDH-104</t>
        </is>
      </c>
      <c r="B95" s="45" t="inlineStr">
        <is>
          <t>GU</t>
        </is>
      </c>
      <c r="C95" s="45" t="inlineStr">
        <is>
          <t>Sí</t>
        </is>
      </c>
      <c r="D95" s="45" t="inlineStr">
        <is>
          <t>Sí</t>
        </is>
      </c>
      <c r="E95" s="45" t="inlineStr">
        <is>
          <t>Sí</t>
        </is>
      </c>
      <c r="F95" s="45" t="inlineStr">
        <is>
          <t>Sí</t>
        </is>
      </c>
      <c r="G95" s="45" t="inlineStr">
        <is>
          <t>Sí</t>
        </is>
      </c>
      <c r="H95" s="46">
        <f>IF(COUNTIF(C95:G95,"Sí")=5,"Sí","Revisar")</f>
        <v/>
      </c>
    </row>
    <row r="96" ht="15.75" customHeight="1" s="35">
      <c r="A96" s="45" t="inlineStr">
        <is>
          <t>GU-TDH-106</t>
        </is>
      </c>
      <c r="B96" s="45" t="inlineStr">
        <is>
          <t>GU</t>
        </is>
      </c>
      <c r="C96" s="45" t="inlineStr">
        <is>
          <t>Sí</t>
        </is>
      </c>
      <c r="D96" s="45" t="inlineStr">
        <is>
          <t>Sí</t>
        </is>
      </c>
      <c r="E96" s="45" t="inlineStr">
        <is>
          <t>Sí</t>
        </is>
      </c>
      <c r="F96" s="45" t="inlineStr">
        <is>
          <t>Sí</t>
        </is>
      </c>
      <c r="G96" s="45" t="inlineStr">
        <is>
          <t>Sí</t>
        </is>
      </c>
      <c r="H96" s="47">
        <f>IF(COUNTIF(C96:G96,"Sí")=5,"Sí","Revisar")</f>
        <v/>
      </c>
    </row>
    <row r="97" ht="15.75" customHeight="1" s="35">
      <c r="A97" s="45" t="inlineStr">
        <is>
          <t>GU-TDH-108</t>
        </is>
      </c>
      <c r="B97" s="45" t="inlineStr">
        <is>
          <t>GU</t>
        </is>
      </c>
      <c r="C97" s="45" t="inlineStr">
        <is>
          <t>Sí</t>
        </is>
      </c>
      <c r="D97" s="45" t="inlineStr">
        <is>
          <t>Sí</t>
        </is>
      </c>
      <c r="E97" s="45" t="inlineStr">
        <is>
          <t>Sí</t>
        </is>
      </c>
      <c r="F97" s="45" t="inlineStr">
        <is>
          <t>Sí</t>
        </is>
      </c>
      <c r="G97" s="45" t="inlineStr">
        <is>
          <t>Sí</t>
        </is>
      </c>
      <c r="H97" s="46">
        <f>IF(COUNTIF(C97:G97,"Sí")=5,"Sí","Revisar")</f>
        <v/>
      </c>
    </row>
    <row r="98" ht="15.75" customHeight="1" s="35">
      <c r="A98" s="45" t="inlineStr">
        <is>
          <t>GU-TDH-109</t>
        </is>
      </c>
      <c r="B98" s="45" t="inlineStr">
        <is>
          <t>GU</t>
        </is>
      </c>
      <c r="C98" s="45" t="inlineStr">
        <is>
          <t>Sí</t>
        </is>
      </c>
      <c r="D98" s="45" t="inlineStr">
        <is>
          <t>Sí</t>
        </is>
      </c>
      <c r="E98" s="45" t="inlineStr">
        <is>
          <t>Sí</t>
        </is>
      </c>
      <c r="F98" s="45" t="inlineStr">
        <is>
          <t>Sí</t>
        </is>
      </c>
      <c r="G98" s="45" t="inlineStr">
        <is>
          <t>Sí</t>
        </is>
      </c>
      <c r="H98" s="47">
        <f>IF(COUNTIF(C98:G98,"Sí")=5,"Sí","Revisar")</f>
        <v/>
      </c>
    </row>
    <row r="99" ht="15.75" customHeight="1" s="35">
      <c r="A99" s="45" t="inlineStr">
        <is>
          <t>GU-TDH-110</t>
        </is>
      </c>
      <c r="B99" s="45" t="inlineStr">
        <is>
          <t>GU</t>
        </is>
      </c>
      <c r="C99" s="45" t="inlineStr">
        <is>
          <t>Sí</t>
        </is>
      </c>
      <c r="D99" s="45" t="inlineStr">
        <is>
          <t>Sí</t>
        </is>
      </c>
      <c r="E99" s="45" t="inlineStr">
        <is>
          <t>Sí</t>
        </is>
      </c>
      <c r="F99" s="45" t="inlineStr">
        <is>
          <t>Sí</t>
        </is>
      </c>
      <c r="G99" s="45" t="inlineStr">
        <is>
          <t>Sí</t>
        </is>
      </c>
      <c r="H99" s="46">
        <f>IF(COUNTIF(C99:G99,"Sí")=5,"Sí","Revisar")</f>
        <v/>
      </c>
    </row>
    <row r="100" ht="15.75" customHeight="1" s="35">
      <c r="A100" s="45" t="inlineStr">
        <is>
          <t>GU-TDH-111</t>
        </is>
      </c>
      <c r="B100" s="45" t="inlineStr">
        <is>
          <t>GU</t>
        </is>
      </c>
      <c r="C100" s="45" t="inlineStr">
        <is>
          <t>Sí</t>
        </is>
      </c>
      <c r="D100" s="45" t="inlineStr">
        <is>
          <t>Sí</t>
        </is>
      </c>
      <c r="E100" s="45" t="inlineStr">
        <is>
          <t>Sí</t>
        </is>
      </c>
      <c r="F100" s="45" t="inlineStr">
        <is>
          <t>Sí</t>
        </is>
      </c>
      <c r="G100" s="45" t="inlineStr">
        <is>
          <t>Sí</t>
        </is>
      </c>
      <c r="H100" s="47">
        <f>IF(COUNTIF(C100:G100,"Sí")=5,"Sí","Revisar")</f>
        <v/>
      </c>
    </row>
    <row r="101" ht="15.75" customHeight="1" s="35">
      <c r="A101" s="45" t="inlineStr">
        <is>
          <t>GU-TDH-113</t>
        </is>
      </c>
      <c r="B101" s="45" t="inlineStr">
        <is>
          <t>GU</t>
        </is>
      </c>
      <c r="C101" s="45" t="inlineStr">
        <is>
          <t>Sí</t>
        </is>
      </c>
      <c r="D101" s="45" t="inlineStr">
        <is>
          <t>Sí</t>
        </is>
      </c>
      <c r="E101" s="45" t="inlineStr">
        <is>
          <t>Sí</t>
        </is>
      </c>
      <c r="F101" s="45" t="inlineStr">
        <is>
          <t>Sí</t>
        </is>
      </c>
      <c r="G101" s="45" t="inlineStr">
        <is>
          <t>Sí</t>
        </is>
      </c>
      <c r="H101" s="46">
        <f>IF(COUNTIF(C101:G101,"Sí")=5,"Sí","Revisar")</f>
        <v/>
      </c>
    </row>
    <row r="102" ht="15.75" customHeight="1" s="35">
      <c r="A102" s="45" t="inlineStr">
        <is>
          <t>GU-TDH-114</t>
        </is>
      </c>
      <c r="B102" s="45" t="inlineStr">
        <is>
          <t>GU</t>
        </is>
      </c>
      <c r="C102" s="45" t="inlineStr">
        <is>
          <t>Sí</t>
        </is>
      </c>
      <c r="D102" s="45" t="inlineStr">
        <is>
          <t>Sí</t>
        </is>
      </c>
      <c r="E102" s="45" t="inlineStr">
        <is>
          <t>Sí</t>
        </is>
      </c>
      <c r="F102" s="45" t="inlineStr">
        <is>
          <t>Sí</t>
        </is>
      </c>
      <c r="G102" s="45" t="inlineStr">
        <is>
          <t>Sí</t>
        </is>
      </c>
      <c r="H102" s="47">
        <f>IF(COUNTIF(C102:G102,"Sí")=5,"Sí","Revisar")</f>
        <v/>
      </c>
    </row>
    <row r="103" ht="15.75" customHeight="1" s="35">
      <c r="A103" s="45" t="inlineStr">
        <is>
          <t>GU-TDH-115</t>
        </is>
      </c>
      <c r="B103" s="45" t="inlineStr">
        <is>
          <t>GU</t>
        </is>
      </c>
      <c r="C103" s="45" t="inlineStr">
        <is>
          <t>Sí</t>
        </is>
      </c>
      <c r="D103" s="45" t="inlineStr">
        <is>
          <t>Sí</t>
        </is>
      </c>
      <c r="E103" s="45" t="inlineStr">
        <is>
          <t>Sí</t>
        </is>
      </c>
      <c r="F103" s="45" t="inlineStr">
        <is>
          <t>Sí</t>
        </is>
      </c>
      <c r="G103" s="45" t="inlineStr">
        <is>
          <t>Sí</t>
        </is>
      </c>
      <c r="H103" s="46">
        <f>IF(COUNTIF(C103:G103,"Sí")=5,"Sí","Revisar")</f>
        <v/>
      </c>
    </row>
    <row r="104" ht="15.75" customHeight="1" s="35">
      <c r="A104" s="45" t="inlineStr">
        <is>
          <t>GU-TDH-116</t>
        </is>
      </c>
      <c r="B104" s="45" t="inlineStr">
        <is>
          <t>GU</t>
        </is>
      </c>
      <c r="C104" s="45" t="inlineStr">
        <is>
          <t>Sí</t>
        </is>
      </c>
      <c r="D104" s="45" t="inlineStr">
        <is>
          <t>Sí</t>
        </is>
      </c>
      <c r="E104" s="45" t="inlineStr">
        <is>
          <t>Sí</t>
        </is>
      </c>
      <c r="F104" s="45" t="inlineStr">
        <is>
          <t>Sí</t>
        </is>
      </c>
      <c r="G104" s="45" t="inlineStr">
        <is>
          <t>Sí</t>
        </is>
      </c>
      <c r="H104" s="47">
        <f>IF(COUNTIF(C104:G104,"Sí")=5,"Sí","Revisar")</f>
        <v/>
      </c>
    </row>
    <row r="105" ht="15.75" customHeight="1" s="35">
      <c r="A105" s="45" t="inlineStr">
        <is>
          <t>GU-TDH-117</t>
        </is>
      </c>
      <c r="B105" s="45" t="inlineStr">
        <is>
          <t>GU</t>
        </is>
      </c>
      <c r="C105" s="45" t="inlineStr">
        <is>
          <t>Sí</t>
        </is>
      </c>
      <c r="D105" s="45" t="inlineStr">
        <is>
          <t>Sí</t>
        </is>
      </c>
      <c r="E105" s="45" t="inlineStr">
        <is>
          <t>Sí</t>
        </is>
      </c>
      <c r="F105" s="45" t="inlineStr">
        <is>
          <t>Sí</t>
        </is>
      </c>
      <c r="G105" s="45" t="inlineStr">
        <is>
          <t>Sí</t>
        </is>
      </c>
      <c r="H105" s="46">
        <f>IF(COUNTIF(C105:G105,"Sí")=5,"Sí","Revisar")</f>
        <v/>
      </c>
    </row>
    <row r="106" ht="15.75" customHeight="1" s="35">
      <c r="A106" s="45" t="inlineStr">
        <is>
          <t>GU-TDH-118</t>
        </is>
      </c>
      <c r="B106" s="45" t="inlineStr">
        <is>
          <t>GU</t>
        </is>
      </c>
      <c r="C106" s="45" t="inlineStr">
        <is>
          <t>Sí</t>
        </is>
      </c>
      <c r="D106" s="45" t="inlineStr">
        <is>
          <t>Sí</t>
        </is>
      </c>
      <c r="E106" s="45" t="inlineStr">
        <is>
          <t>Sí</t>
        </is>
      </c>
      <c r="F106" s="45" t="inlineStr">
        <is>
          <t>Sí</t>
        </is>
      </c>
      <c r="G106" s="45" t="inlineStr">
        <is>
          <t>Sí</t>
        </is>
      </c>
      <c r="H106" s="47">
        <f>IF(COUNTIF(C106:G106,"Sí")=5,"Sí","Revisar")</f>
        <v/>
      </c>
    </row>
    <row r="107" ht="15.75" customHeight="1" s="35">
      <c r="A107" s="45" t="inlineStr">
        <is>
          <t>GU-TDH-119</t>
        </is>
      </c>
      <c r="B107" s="45" t="inlineStr">
        <is>
          <t>GU</t>
        </is>
      </c>
      <c r="C107" s="45" t="inlineStr">
        <is>
          <t>Sí</t>
        </is>
      </c>
      <c r="D107" s="45" t="inlineStr">
        <is>
          <t>Sí</t>
        </is>
      </c>
      <c r="E107" s="45" t="inlineStr">
        <is>
          <t>Sí</t>
        </is>
      </c>
      <c r="F107" s="45" t="inlineStr">
        <is>
          <t>Sí</t>
        </is>
      </c>
      <c r="G107" s="45" t="inlineStr">
        <is>
          <t>Sí</t>
        </is>
      </c>
      <c r="H107" s="46">
        <f>IF(COUNTIF(C107:G107,"Sí")=5,"Sí","Revisar")</f>
        <v/>
      </c>
    </row>
    <row r="108" ht="15.75" customHeight="1" s="35">
      <c r="A108" s="45" t="inlineStr">
        <is>
          <t>GU-TDH-120</t>
        </is>
      </c>
      <c r="B108" s="45" t="inlineStr">
        <is>
          <t>GU</t>
        </is>
      </c>
      <c r="C108" s="45" t="inlineStr">
        <is>
          <t>Sí</t>
        </is>
      </c>
      <c r="D108" s="45" t="inlineStr">
        <is>
          <t>Sí</t>
        </is>
      </c>
      <c r="E108" s="45" t="inlineStr">
        <is>
          <t>Sí</t>
        </is>
      </c>
      <c r="F108" s="45" t="inlineStr">
        <is>
          <t>Sí</t>
        </is>
      </c>
      <c r="G108" s="45" t="inlineStr">
        <is>
          <t>Sí</t>
        </is>
      </c>
      <c r="H108" s="47">
        <f>IF(COUNTIF(C108:G108,"Sí")=5,"Sí","Revisar")</f>
        <v/>
      </c>
    </row>
    <row r="109" ht="15.75" customHeight="1" s="35">
      <c r="A109" s="45" t="inlineStr">
        <is>
          <t>GU-TDH-121</t>
        </is>
      </c>
      <c r="B109" s="45" t="inlineStr">
        <is>
          <t>GU</t>
        </is>
      </c>
      <c r="C109" s="45" t="inlineStr">
        <is>
          <t>Sí</t>
        </is>
      </c>
      <c r="D109" s="45" t="inlineStr">
        <is>
          <t>Sí</t>
        </is>
      </c>
      <c r="E109" s="45" t="inlineStr">
        <is>
          <t>Sí</t>
        </is>
      </c>
      <c r="F109" s="45" t="inlineStr">
        <is>
          <t>Sí</t>
        </is>
      </c>
      <c r="G109" s="45" t="inlineStr">
        <is>
          <t>Sí</t>
        </is>
      </c>
      <c r="H109" s="46">
        <f>IF(COUNTIF(C109:G109,"Sí")=5,"Sí","Revisar")</f>
        <v/>
      </c>
    </row>
    <row r="110" ht="15.75" customHeight="1" s="35">
      <c r="A110" s="45" t="inlineStr">
        <is>
          <t>GU-TDH-122</t>
        </is>
      </c>
      <c r="B110" s="45" t="inlineStr">
        <is>
          <t>GU</t>
        </is>
      </c>
      <c r="C110" s="45" t="inlineStr">
        <is>
          <t>Sí</t>
        </is>
      </c>
      <c r="D110" s="45" t="inlineStr">
        <is>
          <t>Sí</t>
        </is>
      </c>
      <c r="E110" s="45" t="inlineStr">
        <is>
          <t>Sí</t>
        </is>
      </c>
      <c r="F110" s="45" t="inlineStr">
        <is>
          <t>Sí</t>
        </is>
      </c>
      <c r="G110" s="45" t="inlineStr">
        <is>
          <t>Sí</t>
        </is>
      </c>
      <c r="H110" s="47">
        <f>IF(COUNTIF(C110:G110,"Sí")=5,"Sí","Revisar")</f>
        <v/>
      </c>
    </row>
    <row r="111" ht="15.75" customHeight="1" s="35">
      <c r="A111" s="45" t="inlineStr">
        <is>
          <t>GU-TDH-124</t>
        </is>
      </c>
      <c r="B111" s="45" t="inlineStr">
        <is>
          <t>GU</t>
        </is>
      </c>
      <c r="C111" s="45" t="inlineStr">
        <is>
          <t>Sí</t>
        </is>
      </c>
      <c r="D111" s="45" t="inlineStr">
        <is>
          <t>Sí</t>
        </is>
      </c>
      <c r="E111" s="45" t="inlineStr">
        <is>
          <t>Sí</t>
        </is>
      </c>
      <c r="F111" s="45" t="inlineStr">
        <is>
          <t>Sí</t>
        </is>
      </c>
      <c r="G111" s="45" t="inlineStr">
        <is>
          <t>Sí</t>
        </is>
      </c>
      <c r="H111" s="46">
        <f>IF(COUNTIF(C111:G111,"Sí")=5,"Sí","Revisar")</f>
        <v/>
      </c>
    </row>
    <row r="112" ht="15.75" customHeight="1" s="35">
      <c r="A112" s="45" t="inlineStr">
        <is>
          <t>GU-TDH-125</t>
        </is>
      </c>
      <c r="B112" s="45" t="inlineStr">
        <is>
          <t>GU</t>
        </is>
      </c>
      <c r="C112" s="45" t="inlineStr">
        <is>
          <t>Sí</t>
        </is>
      </c>
      <c r="D112" s="45" t="inlineStr">
        <is>
          <t>Sí</t>
        </is>
      </c>
      <c r="E112" s="45" t="inlineStr">
        <is>
          <t>Sí</t>
        </is>
      </c>
      <c r="F112" s="45" t="inlineStr">
        <is>
          <t>Sí</t>
        </is>
      </c>
      <c r="G112" s="45" t="inlineStr">
        <is>
          <t>Sí</t>
        </is>
      </c>
      <c r="H112" s="47">
        <f>IF(COUNTIF(C112:G112,"Sí")=5,"Sí","Revisar")</f>
        <v/>
      </c>
    </row>
    <row r="113" ht="15.75" customHeight="1" s="35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15.75" customHeight="1" s="35">
      <c r="A114" s="36" t="inlineStr">
        <is>
          <t>Unidades registradas</t>
        </is>
      </c>
      <c r="B114" s="3">
        <f>COUNTA(A5:A112)</f>
        <v/>
      </c>
      <c r="C114" s="3" t="n"/>
      <c r="D114" s="3" t="n"/>
      <c r="E114" s="3" t="n"/>
      <c r="F114" s="3" t="n"/>
      <c r="G114" s="3" t="n"/>
      <c r="H114" s="3" t="n"/>
    </row>
    <row r="115" ht="15.75" customHeight="1" s="35">
      <c r="A115" s="36" t="inlineStr">
        <is>
          <t>Unidades trazables</t>
        </is>
      </c>
      <c r="B115" s="3">
        <f>COUNTIF(H5:H112,"Sí")</f>
        <v/>
      </c>
      <c r="C115" s="3" t="n"/>
      <c r="D115" s="3" t="n"/>
      <c r="E115" s="3" t="n"/>
      <c r="F115" s="3" t="n"/>
      <c r="G115" s="3" t="n"/>
      <c r="H115" s="3" t="n"/>
    </row>
    <row r="116" ht="15.75" customHeight="1" s="35">
      <c r="A116" s="36" t="inlineStr">
        <is>
          <t>Estado del expediente</t>
        </is>
      </c>
      <c r="B116" s="3">
        <f>IF(B114=0,"Sin datos",IF(B115=B114,"TRAZABILIDAD COMPLETA","CADENA ROTA: revisar filas marcadas"))</f>
        <v/>
      </c>
      <c r="C116" s="3" t="n"/>
      <c r="D116" s="3" t="n"/>
      <c r="E116" s="3" t="n"/>
      <c r="F116" s="3" t="n"/>
      <c r="G116" s="3" t="n"/>
      <c r="H116" s="3" t="n"/>
    </row>
    <row r="117" ht="15.75" customHeight="1" s="35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5.75" customHeight="1" s="35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15.75" customHeight="1" s="35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5.75" customHeight="1" s="35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15.75" customHeight="1" s="35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5.75" customHeight="1" s="35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15.75" customHeight="1" s="35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5.75" customHeight="1" s="35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15.75" customHeight="1" s="3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15.75" customHeight="1" s="35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15.75" customHeight="1" s="35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15.75" customHeight="1" s="35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15.75" customHeight="1" s="35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15.75" customHeight="1" s="35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15.75" customHeight="1" s="35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5.75" customHeight="1" s="35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15.75" customHeight="1" s="35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15.75" customHeight="1" s="35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15.75" customHeight="1" s="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15.75" customHeight="1" s="35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15.75" customHeight="1" s="35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15.75" customHeight="1" s="35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15.75" customHeight="1" s="35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15.75" customHeight="1" s="35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15.75" customHeight="1" s="35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15.75" customHeight="1" s="35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15.75" customHeight="1" s="35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15.75" customHeight="1" s="35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15.75" customHeight="1" s="3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15.75" customHeight="1" s="35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15.75" customHeight="1" s="35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15.75" customHeight="1" s="35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15.75" customHeight="1" s="35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15.75" customHeight="1" s="35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15.75" customHeight="1" s="35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15.75" customHeight="1" s="35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15.75" customHeight="1" s="35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15.75" customHeight="1" s="35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15.75" customHeight="1" s="3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15.75" customHeight="1" s="35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15.75" customHeight="1" s="35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15.75" customHeight="1" s="35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15.75" customHeight="1" s="35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15.75" customHeight="1" s="35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15.75" customHeight="1" s="35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15.75" customHeight="1" s="35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15.75" customHeight="1" s="35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15.75" customHeight="1" s="35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15.75" customHeight="1" s="3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15.75" customHeight="1" s="35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15.75" customHeight="1" s="35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15.75" customHeight="1" s="35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15.75" customHeight="1" s="35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15.75" customHeight="1" s="35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15.75" customHeight="1" s="35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15.75" customHeight="1" s="35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15.75" customHeight="1" s="35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15.75" customHeight="1" s="35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15.75" customHeight="1" s="3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15.75" customHeight="1" s="35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5.75" customHeight="1" s="35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15.75" customHeight="1" s="35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5.75" customHeight="1" s="35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15.75" customHeight="1" s="35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5.75" customHeight="1" s="35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15.75" customHeight="1" s="35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5.75" customHeight="1" s="35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15.75" customHeight="1" s="35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15.75" customHeight="1" s="3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15.75" customHeight="1" s="35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15.75" customHeight="1" s="35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15.75" customHeight="1" s="35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15.75" customHeight="1" s="35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5.75" customHeight="1" s="35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15.75" customHeight="1" s="35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15.75" customHeight="1" s="35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15.75" customHeight="1" s="35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15.75" customHeight="1" s="35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15.75" customHeight="1" s="3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15.75" customHeight="1" s="35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15.75" customHeight="1" s="35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15.75" customHeight="1" s="35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15.75" customHeight="1" s="35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15.75" customHeight="1" s="35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15.75" customHeight="1" s="35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15.75" customHeight="1" s="35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15.75" customHeight="1" s="35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15.75" customHeight="1" s="35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15.75" customHeight="1" s="3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15.75" customHeight="1" s="35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15.75" customHeight="1" s="35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15.75" customHeight="1" s="35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15.75" customHeight="1" s="35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15.75" customHeight="1" s="35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15.75" customHeight="1" s="35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15.75" customHeight="1" s="35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15.75" customHeight="1" s="35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15.75" customHeight="1" s="35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15.75" customHeight="1" s="3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15.75" customHeight="1" s="35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15.75" customHeight="1" s="35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15.75" customHeight="1" s="35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15.75" customHeight="1" s="35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5.75" customHeight="1" s="35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15.75" customHeight="1" s="35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5.75" customHeight="1" s="35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15.75" customHeight="1" s="35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15.75" customHeight="1" s="35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15.75" customHeight="1" s="3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15.75" customHeight="1" s="35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15.75" customHeight="1" s="35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15.75" customHeight="1" s="35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15.75" customHeight="1" s="35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15.75" customHeight="1" s="35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15.75" customHeight="1" s="35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15.75" customHeight="1" s="35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5.75" customHeight="1" s="35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15.75" customHeight="1" s="35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5.75" customHeight="1" s="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15.75" customHeight="1" s="35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5.75" customHeight="1" s="35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15.75" customHeight="1" s="35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H2"/>
    <mergeCell ref="A1:H1"/>
  </mergeCells>
  <conditionalFormatting sqref="H5:H34">
    <cfRule type="cellIs" priority="1" operator="equal" dxfId="0">
      <formula>"Revisar"</formula>
    </cfRule>
    <cfRule type="cellIs" priority="2" operator="equal" dxfId="1">
      <formula>"Sí"</formula>
    </cfRule>
  </conditionalFormatting>
  <dataValidations count="1">
    <dataValidation sqref="C5:G112" showDropDown="0" showInputMessage="0" showErrorMessage="0" allowBlank="1" type="list">
      <formula1>"Sí,No"</formula1>
    </dataValidation>
  </dataValidation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5" min="1" max="1"/>
    <col width="60" customWidth="1" style="35" min="2" max="2"/>
    <col width="12" customWidth="1" style="35" min="3" max="3"/>
    <col width="14" customWidth="1" style="35" min="4" max="4"/>
    <col width="40" customWidth="1" style="35" min="5" max="5"/>
    <col width="8.710000000000001" customWidth="1" style="35" min="6" max="6"/>
  </cols>
  <sheetData>
    <row r="1" ht="25.5" customHeight="1" s="35">
      <c r="A1" s="1" t="inlineStr">
        <is>
          <t>Portafolio de evidencias del pretest</t>
        </is>
      </c>
    </row>
    <row r="2" ht="30" customHeight="1" s="35">
      <c r="A2" s="2" t="inlineStr">
        <is>
          <t>Inventario de lo que se entrega al cierre de la fase. Se sube a la plataforma antes de la Sesión 3.</t>
        </is>
      </c>
    </row>
    <row r="3">
      <c r="A3" s="3" t="n"/>
      <c r="B3" s="3" t="n"/>
      <c r="C3" s="3" t="n"/>
      <c r="D3" s="3" t="n"/>
      <c r="E3" s="3" t="n"/>
    </row>
    <row r="4" ht="31.5" customHeight="1" s="35">
      <c r="A4" s="4" t="inlineStr">
        <is>
          <t>N.°</t>
        </is>
      </c>
      <c r="B4" s="4" t="inlineStr">
        <is>
          <t>Evidencia</t>
        </is>
      </c>
      <c r="C4" s="4" t="inlineStr">
        <is>
          <t>Adjunta</t>
        </is>
      </c>
      <c r="D4" s="4" t="inlineStr">
        <is>
          <t>Formato</t>
        </is>
      </c>
      <c r="E4" s="4" t="inlineStr">
        <is>
          <t>Observación</t>
        </is>
      </c>
    </row>
    <row r="5" ht="24" customHeight="1" s="35">
      <c r="A5" s="46" t="n">
        <v>1</v>
      </c>
      <c r="B5" s="6" t="inlineStr">
        <is>
          <t>Guion de aplicación en versión final</t>
        </is>
      </c>
      <c r="C5" s="45" t="inlineStr">
        <is>
          <t>Sí</t>
        </is>
      </c>
      <c r="D5" s="46" t="inlineStr">
        <is>
          <t>PDF</t>
        </is>
      </c>
      <c r="E5" s="38" t="inlineStr">
        <is>
          <t>guion_pretest_v_final.pdf</t>
        </is>
      </c>
    </row>
    <row r="6" ht="24" customHeight="1" s="35">
      <c r="A6" s="47" t="n">
        <v>2</v>
      </c>
      <c r="B6" s="8" t="inlineStr">
        <is>
          <t>Ficha de condiciones estandarizadas firmada</t>
        </is>
      </c>
      <c r="C6" s="45" t="inlineStr">
        <is>
          <t>Sí</t>
        </is>
      </c>
      <c r="D6" s="47" t="inlineStr">
        <is>
          <t>PDF</t>
        </is>
      </c>
      <c r="E6" s="38" t="inlineStr">
        <is>
          <t>Firmada por el tesista y el aplicador de apoyo.</t>
        </is>
      </c>
    </row>
    <row r="7" ht="24" customHeight="1" s="35">
      <c r="A7" s="46" t="n">
        <v>3</v>
      </c>
      <c r="B7" s="6" t="inlineStr">
        <is>
          <t>Acta de aplicación con firma de la contraparte</t>
        </is>
      </c>
      <c r="C7" s="45" t="inlineStr">
        <is>
          <t>Sí</t>
        </is>
      </c>
      <c r="D7" s="46" t="inlineStr">
        <is>
          <t>PDF</t>
        </is>
      </c>
      <c r="E7" s="38" t="inlineStr">
        <is>
          <t>Actas del 12 al 17/10/2026; la del cierre firmada por la Gerencia del diario.</t>
        </is>
      </c>
    </row>
    <row r="8" ht="24" customHeight="1" s="35">
      <c r="A8" s="47" t="n">
        <v>4</v>
      </c>
      <c r="B8" s="8" t="inlineStr">
        <is>
          <t>Registro de incidencias de la jornada</t>
        </is>
      </c>
      <c r="C8" s="45" t="inlineStr">
        <is>
          <t>Sí</t>
        </is>
      </c>
      <c r="D8" s="47" t="inlineStr">
        <is>
          <t>PDF / XLSX</t>
        </is>
      </c>
      <c r="E8" s="38" t="inlineStr">
        <is>
          <t>10 incidencias registradas (hoja 6).</t>
        </is>
      </c>
    </row>
    <row r="9" ht="24" customHeight="1" s="35">
      <c r="A9" s="46" t="n">
        <v>5</v>
      </c>
      <c r="B9" s="6" t="inlineStr">
        <is>
          <t>Lista de cotejo de aplicación completada</t>
        </is>
      </c>
      <c r="C9" s="45" t="inlineStr">
        <is>
          <t>Sí</t>
        </is>
      </c>
      <c r="D9" s="46" t="inlineStr">
        <is>
          <t>XLSX</t>
        </is>
      </c>
      <c r="E9" s="38" t="inlineStr">
        <is>
          <t>Hoja 4 de este cuaderno.</t>
        </is>
      </c>
    </row>
    <row r="10" ht="24" customHeight="1" s="35">
      <c r="A10" s="47" t="n">
        <v>6</v>
      </c>
      <c r="B10" s="8" t="inlineStr">
        <is>
          <t>Ficha de observación del compañero o del docente</t>
        </is>
      </c>
      <c r="C10" s="45" t="inlineStr">
        <is>
          <t>Sí</t>
        </is>
      </c>
      <c r="D10" s="47" t="inlineStr">
        <is>
          <t>PDF</t>
        </is>
      </c>
      <c r="E10" s="38" t="inlineStr">
        <is>
          <t>Ficha del aplicador de apoyo como observador (hoja 5).</t>
        </is>
      </c>
    </row>
    <row r="11" ht="24" customHeight="1" s="35">
      <c r="A11" s="46" t="n">
        <v>7</v>
      </c>
      <c r="B11" s="6" t="inlineStr">
        <is>
          <t>Instrumentos aplicados, escaneados y codificados</t>
        </is>
      </c>
      <c r="C11" s="45" t="inlineStr">
        <is>
          <t>No aplica</t>
        </is>
      </c>
      <c r="D11" s="46" t="inlineStr">
        <is>
          <t>PDF</t>
        </is>
      </c>
      <c r="E11" s="38" t="inlineStr">
        <is>
          <t>Instrumentos digitales: se adjunta la exportación del módulo del experimento.</t>
        </is>
      </c>
    </row>
    <row r="12" ht="24" customHeight="1" s="35">
      <c r="A12" s="47" t="n">
        <v>8</v>
      </c>
      <c r="B12" s="8" t="inlineStr">
        <is>
          <t>Consentimientos informados firmados</t>
        </is>
      </c>
      <c r="C12" s="45" t="inlineStr">
        <is>
          <t>Sí</t>
        </is>
      </c>
      <c r="D12" s="47" t="inlineStr">
        <is>
          <t>PDF</t>
        </is>
      </c>
      <c r="E12" s="38" t="inlineStr">
        <is>
          <t>Registro digital de 122 consentimientos aceptados, exportado en PDF.</t>
        </is>
      </c>
    </row>
    <row r="13" ht="24" customHeight="1" s="35">
      <c r="A13" s="46" t="n">
        <v>9</v>
      </c>
      <c r="B13" s="6" t="inlineStr">
        <is>
          <t>Base de datos del pretest, codificada</t>
        </is>
      </c>
      <c r="C13" s="45" t="inlineStr">
        <is>
          <t>Sí</t>
        </is>
      </c>
      <c r="D13" s="46" t="inlineStr">
        <is>
          <t>XLSX</t>
        </is>
      </c>
      <c r="E13" s="38" t="inlineStr">
        <is>
          <t>base_pretest_cruda.xlsx y base_pretest_depurada.xlsx (Sesión 03).</t>
        </is>
      </c>
    </row>
    <row r="14" ht="24" customHeight="1" s="35">
      <c r="A14" s="47" t="n">
        <v>10</v>
      </c>
      <c r="B14" s="8" t="inlineStr">
        <is>
          <t>Archivo con la consulta de extracción congelada</t>
        </is>
      </c>
      <c r="C14" s="45" t="inlineStr">
        <is>
          <t>Sí</t>
        </is>
      </c>
      <c r="D14" s="47" t="inlineStr">
        <is>
          <t>SQL / TXT</t>
        </is>
      </c>
      <c r="E14" s="38" t="inlineStr">
        <is>
          <t>pretest_extraccion_v1.sql</t>
        </is>
      </c>
    </row>
    <row r="15" ht="24" customHeight="1" s="35">
      <c r="A15" s="46" t="n">
        <v>11</v>
      </c>
      <c r="B15" s="6" t="inlineStr">
        <is>
          <t>Captura del reporte del sistema con fecha visible</t>
        </is>
      </c>
      <c r="C15" s="45" t="inlineStr">
        <is>
          <t>Sí</t>
        </is>
      </c>
      <c r="D15" s="46" t="inlineStr">
        <is>
          <t>PNG / PDF</t>
        </is>
      </c>
      <c r="E15" s="38" t="inlineStr">
        <is>
          <t>captura_extraccion_pretest_2026-10-18.png</t>
        </is>
      </c>
    </row>
    <row r="16" ht="24" customHeight="1" s="35">
      <c r="A16" s="47" t="n">
        <v>12</v>
      </c>
      <c r="B16" s="8" t="inlineStr">
        <is>
          <t>Evidencia fotográfica de la aplicación (autorizada)</t>
        </is>
      </c>
      <c r="C16" s="45" t="inlineStr">
        <is>
          <t>No aplica</t>
        </is>
      </c>
      <c r="D16" s="47" t="inlineStr">
        <is>
          <t>PNG</t>
        </is>
      </c>
      <c r="E16" s="38" t="inlineStr">
        <is>
          <t>Aplicación virtual en el dispositivo del participante; no se tomaron fotografías.</t>
        </is>
      </c>
    </row>
    <row r="17" ht="24" customHeight="1" s="35">
      <c r="A17" s="46" t="n">
        <v>13</v>
      </c>
      <c r="B17" s="6" t="inlineStr">
        <is>
          <t>Constancia de respaldo en dos ubicaciones</t>
        </is>
      </c>
      <c r="C17" s="45" t="inlineStr">
        <is>
          <t>Sí</t>
        </is>
      </c>
      <c r="D17" s="46" t="inlineStr">
        <is>
          <t>PDF</t>
        </is>
      </c>
      <c r="E17" s="38" t="inlineStr">
        <is>
          <t>Constancia de la copia en Supabase y en la unidad externa cifrada.</t>
        </is>
      </c>
    </row>
    <row r="18" ht="24" customHeight="1" s="35">
      <c r="A18" s="47" t="n">
        <v>14</v>
      </c>
      <c r="B18" s="8" t="inlineStr">
        <is>
          <t>Control de trazabilidad completado</t>
        </is>
      </c>
      <c r="C18" s="45" t="inlineStr">
        <is>
          <t>Sí</t>
        </is>
      </c>
      <c r="D18" s="47" t="inlineStr">
        <is>
          <t>XLSX</t>
        </is>
      </c>
      <c r="E18" s="38" t="inlineStr">
        <is>
          <t>Hoja 7 de este cuaderno.</t>
        </is>
      </c>
    </row>
    <row r="19">
      <c r="A19" s="3" t="n"/>
      <c r="B19" s="3" t="n"/>
      <c r="C19" s="3" t="n"/>
      <c r="D19" s="3" t="n"/>
      <c r="E19" s="3" t="n"/>
    </row>
    <row r="20" ht="15" customHeight="1" s="35">
      <c r="A20" s="3" t="n"/>
      <c r="B20" s="27" t="inlineStr">
        <is>
          <t>Evidencias adjuntas</t>
        </is>
      </c>
      <c r="C20" s="28">
        <f>COUNTIF(C5:C18,"Sí")</f>
        <v/>
      </c>
      <c r="D20" s="3" t="n"/>
      <c r="E20" s="3" t="n"/>
    </row>
    <row r="21" ht="15" customHeight="1" s="35">
      <c r="A21" s="3" t="n"/>
      <c r="B21" s="27" t="inlineStr">
        <is>
          <t>Evidencias pendientes</t>
        </is>
      </c>
      <c r="C21" s="28">
        <f>COUNTIF(C5:C18,"No")</f>
        <v/>
      </c>
      <c r="D21" s="3" t="n"/>
      <c r="E21" s="3" t="n"/>
    </row>
    <row r="22" ht="15" customHeight="1" s="35">
      <c r="A22" s="3" t="n"/>
      <c r="B22" s="27" t="inlineStr">
        <is>
          <t>Estado del portafolio</t>
        </is>
      </c>
      <c r="C22" s="28">
        <f>IF(C21=0,"COMPLETO","INCOMPLETO: faltan evidencias")</f>
        <v/>
      </c>
      <c r="D22" s="3" t="n"/>
      <c r="E22" s="3" t="n"/>
    </row>
    <row r="23" ht="15.75" customHeight="1" s="35">
      <c r="A23" s="3" t="n"/>
      <c r="B23" s="3" t="n"/>
      <c r="C23" s="3" t="n"/>
      <c r="D23" s="3" t="n"/>
      <c r="E23" s="3" t="n"/>
    </row>
    <row r="24" ht="15.75" customHeight="1" s="35">
      <c r="A24" s="3" t="n"/>
      <c r="B24" s="3" t="n"/>
      <c r="C24" s="3" t="n"/>
      <c r="D24" s="3" t="n"/>
      <c r="E24" s="3" t="n"/>
    </row>
    <row r="25" ht="15.75" customHeight="1" s="35">
      <c r="A25" s="3" t="n"/>
      <c r="B25" s="3" t="n"/>
      <c r="C25" s="3" t="n"/>
      <c r="D25" s="3" t="n"/>
      <c r="E25" s="3" t="n"/>
    </row>
    <row r="26" ht="15.75" customHeight="1" s="35">
      <c r="A26" s="3" t="n"/>
      <c r="B26" s="3" t="n"/>
      <c r="C26" s="3" t="n"/>
      <c r="D26" s="3" t="n"/>
      <c r="E26" s="3" t="n"/>
    </row>
    <row r="27" ht="15.75" customHeight="1" s="35">
      <c r="A27" s="3" t="n"/>
      <c r="B27" s="3" t="n"/>
      <c r="C27" s="3" t="n"/>
      <c r="D27" s="3" t="n"/>
      <c r="E27" s="3" t="n"/>
    </row>
    <row r="28" ht="15.75" customHeight="1" s="35">
      <c r="A28" s="3" t="n"/>
      <c r="B28" s="3" t="n"/>
      <c r="C28" s="3" t="n"/>
      <c r="D28" s="3" t="n"/>
      <c r="E28" s="3" t="n"/>
    </row>
    <row r="29" ht="15.75" customHeight="1" s="35">
      <c r="A29" s="3" t="n"/>
      <c r="B29" s="3" t="n"/>
      <c r="C29" s="3" t="n"/>
      <c r="D29" s="3" t="n"/>
      <c r="E29" s="3" t="n"/>
    </row>
    <row r="30" ht="15.75" customHeight="1" s="35">
      <c r="A30" s="3" t="n"/>
      <c r="B30" s="3" t="n"/>
      <c r="C30" s="3" t="n"/>
      <c r="D30" s="3" t="n"/>
      <c r="E30" s="3" t="n"/>
    </row>
    <row r="31" ht="15.75" customHeight="1" s="35">
      <c r="A31" s="3" t="n"/>
      <c r="B31" s="3" t="n"/>
      <c r="C31" s="3" t="n"/>
      <c r="D31" s="3" t="n"/>
      <c r="E31" s="3" t="n"/>
    </row>
    <row r="32" ht="15.75" customHeight="1" s="35">
      <c r="A32" s="3" t="n"/>
      <c r="B32" s="3" t="n"/>
      <c r="C32" s="3" t="n"/>
      <c r="D32" s="3" t="n"/>
      <c r="E32" s="3" t="n"/>
    </row>
    <row r="33" ht="15.75" customHeight="1" s="35">
      <c r="A33" s="3" t="n"/>
      <c r="B33" s="3" t="n"/>
      <c r="C33" s="3" t="n"/>
      <c r="D33" s="3" t="n"/>
      <c r="E33" s="3" t="n"/>
    </row>
    <row r="34" ht="15.75" customHeight="1" s="35">
      <c r="A34" s="3" t="n"/>
      <c r="B34" s="3" t="n"/>
      <c r="C34" s="3" t="n"/>
      <c r="D34" s="3" t="n"/>
      <c r="E34" s="3" t="n"/>
    </row>
    <row r="35" ht="15.75" customHeight="1" s="35">
      <c r="A35" s="3" t="n"/>
      <c r="B35" s="3" t="n"/>
      <c r="C35" s="3" t="n"/>
      <c r="D35" s="3" t="n"/>
      <c r="E35" s="3" t="n"/>
    </row>
    <row r="36" ht="15.75" customHeight="1" s="35">
      <c r="A36" s="3" t="n"/>
      <c r="B36" s="3" t="n"/>
      <c r="C36" s="3" t="n"/>
      <c r="D36" s="3" t="n"/>
      <c r="E36" s="3" t="n"/>
    </row>
    <row r="37" ht="15.75" customHeight="1" s="35">
      <c r="A37" s="3" t="n"/>
      <c r="B37" s="3" t="n"/>
      <c r="C37" s="3" t="n"/>
      <c r="D37" s="3" t="n"/>
      <c r="E37" s="3" t="n"/>
    </row>
    <row r="38" ht="15.75" customHeight="1" s="35">
      <c r="A38" s="3" t="n"/>
      <c r="B38" s="3" t="n"/>
      <c r="C38" s="3" t="n"/>
      <c r="D38" s="3" t="n"/>
      <c r="E38" s="3" t="n"/>
    </row>
    <row r="39" ht="15.75" customHeight="1" s="35">
      <c r="A39" s="3" t="n"/>
      <c r="B39" s="3" t="n"/>
      <c r="C39" s="3" t="n"/>
      <c r="D39" s="3" t="n"/>
      <c r="E39" s="3" t="n"/>
    </row>
    <row r="40" ht="15.75" customHeight="1" s="35">
      <c r="A40" s="3" t="n"/>
      <c r="B40" s="3" t="n"/>
      <c r="C40" s="3" t="n"/>
      <c r="D40" s="3" t="n"/>
      <c r="E40" s="3" t="n"/>
    </row>
    <row r="41" ht="15.75" customHeight="1" s="35">
      <c r="A41" s="3" t="n"/>
      <c r="B41" s="3" t="n"/>
      <c r="C41" s="3" t="n"/>
      <c r="D41" s="3" t="n"/>
      <c r="E41" s="3" t="n"/>
    </row>
    <row r="42" ht="15.75" customHeight="1" s="35">
      <c r="A42" s="3" t="n"/>
      <c r="B42" s="3" t="n"/>
      <c r="C42" s="3" t="n"/>
      <c r="D42" s="3" t="n"/>
      <c r="E42" s="3" t="n"/>
    </row>
    <row r="43" ht="15.75" customHeight="1" s="35">
      <c r="A43" s="3" t="n"/>
      <c r="B43" s="3" t="n"/>
      <c r="C43" s="3" t="n"/>
      <c r="D43" s="3" t="n"/>
      <c r="E43" s="3" t="n"/>
    </row>
    <row r="44" ht="15.75" customHeight="1" s="35">
      <c r="A44" s="3" t="n"/>
      <c r="B44" s="3" t="n"/>
      <c r="C44" s="3" t="n"/>
      <c r="D44" s="3" t="n"/>
      <c r="E44" s="3" t="n"/>
    </row>
    <row r="45" ht="15.75" customHeight="1" s="35">
      <c r="A45" s="3" t="n"/>
      <c r="B45" s="3" t="n"/>
      <c r="C45" s="3" t="n"/>
      <c r="D45" s="3" t="n"/>
      <c r="E45" s="3" t="n"/>
    </row>
    <row r="46" ht="15.75" customHeight="1" s="35">
      <c r="A46" s="3" t="n"/>
      <c r="B46" s="3" t="n"/>
      <c r="C46" s="3" t="n"/>
      <c r="D46" s="3" t="n"/>
      <c r="E46" s="3" t="n"/>
    </row>
    <row r="47" ht="15.75" customHeight="1" s="35">
      <c r="A47" s="3" t="n"/>
      <c r="B47" s="3" t="n"/>
      <c r="C47" s="3" t="n"/>
      <c r="D47" s="3" t="n"/>
      <c r="E47" s="3" t="n"/>
    </row>
    <row r="48" ht="15.75" customHeight="1" s="35">
      <c r="A48" s="3" t="n"/>
      <c r="B48" s="3" t="n"/>
      <c r="C48" s="3" t="n"/>
      <c r="D48" s="3" t="n"/>
      <c r="E48" s="3" t="n"/>
    </row>
    <row r="49" ht="15.75" customHeight="1" s="35">
      <c r="A49" s="3" t="n"/>
      <c r="B49" s="3" t="n"/>
      <c r="C49" s="3" t="n"/>
      <c r="D49" s="3" t="n"/>
      <c r="E49" s="3" t="n"/>
    </row>
    <row r="50" ht="15.75" customHeight="1" s="35">
      <c r="A50" s="3" t="n"/>
      <c r="B50" s="3" t="n"/>
      <c r="C50" s="3" t="n"/>
      <c r="D50" s="3" t="n"/>
      <c r="E50" s="3" t="n"/>
    </row>
    <row r="51" ht="15.75" customHeight="1" s="35">
      <c r="A51" s="3" t="n"/>
      <c r="B51" s="3" t="n"/>
      <c r="C51" s="3" t="n"/>
      <c r="D51" s="3" t="n"/>
      <c r="E51" s="3" t="n"/>
    </row>
    <row r="52" ht="15.75" customHeight="1" s="35">
      <c r="A52" s="3" t="n"/>
      <c r="B52" s="3" t="n"/>
      <c r="C52" s="3" t="n"/>
      <c r="D52" s="3" t="n"/>
      <c r="E52" s="3" t="n"/>
    </row>
    <row r="53" ht="15.75" customHeight="1" s="35">
      <c r="A53" s="3" t="n"/>
      <c r="B53" s="3" t="n"/>
      <c r="C53" s="3" t="n"/>
      <c r="D53" s="3" t="n"/>
      <c r="E53" s="3" t="n"/>
    </row>
    <row r="54" ht="15.75" customHeight="1" s="35">
      <c r="A54" s="3" t="n"/>
      <c r="B54" s="3" t="n"/>
      <c r="C54" s="3" t="n"/>
      <c r="D54" s="3" t="n"/>
      <c r="E54" s="3" t="n"/>
    </row>
    <row r="55" ht="15.75" customHeight="1" s="35">
      <c r="A55" s="3" t="n"/>
      <c r="B55" s="3" t="n"/>
      <c r="C55" s="3" t="n"/>
      <c r="D55" s="3" t="n"/>
      <c r="E55" s="3" t="n"/>
    </row>
    <row r="56" ht="15.75" customHeight="1" s="35">
      <c r="A56" s="3" t="n"/>
      <c r="B56" s="3" t="n"/>
      <c r="C56" s="3" t="n"/>
      <c r="D56" s="3" t="n"/>
      <c r="E56" s="3" t="n"/>
    </row>
    <row r="57" ht="15.75" customHeight="1" s="35">
      <c r="A57" s="3" t="n"/>
      <c r="B57" s="3" t="n"/>
      <c r="C57" s="3" t="n"/>
      <c r="D57" s="3" t="n"/>
      <c r="E57" s="3" t="n"/>
    </row>
    <row r="58" ht="15.75" customHeight="1" s="35">
      <c r="A58" s="3" t="n"/>
      <c r="B58" s="3" t="n"/>
      <c r="C58" s="3" t="n"/>
      <c r="D58" s="3" t="n"/>
      <c r="E58" s="3" t="n"/>
    </row>
    <row r="59" ht="15.75" customHeight="1" s="35">
      <c r="A59" s="3" t="n"/>
      <c r="B59" s="3" t="n"/>
      <c r="C59" s="3" t="n"/>
      <c r="D59" s="3" t="n"/>
      <c r="E59" s="3" t="n"/>
    </row>
    <row r="60" ht="15.75" customHeight="1" s="35">
      <c r="A60" s="3" t="n"/>
      <c r="B60" s="3" t="n"/>
      <c r="C60" s="3" t="n"/>
      <c r="D60" s="3" t="n"/>
      <c r="E60" s="3" t="n"/>
    </row>
    <row r="61" ht="15.75" customHeight="1" s="35">
      <c r="A61" s="3" t="n"/>
      <c r="B61" s="3" t="n"/>
      <c r="C61" s="3" t="n"/>
      <c r="D61" s="3" t="n"/>
      <c r="E61" s="3" t="n"/>
    </row>
    <row r="62" ht="15.75" customHeight="1" s="35">
      <c r="A62" s="3" t="n"/>
      <c r="B62" s="3" t="n"/>
      <c r="C62" s="3" t="n"/>
      <c r="D62" s="3" t="n"/>
      <c r="E62" s="3" t="n"/>
    </row>
    <row r="63" ht="15.75" customHeight="1" s="35">
      <c r="A63" s="3" t="n"/>
      <c r="B63" s="3" t="n"/>
      <c r="C63" s="3" t="n"/>
      <c r="D63" s="3" t="n"/>
      <c r="E63" s="3" t="n"/>
    </row>
    <row r="64" ht="15.75" customHeight="1" s="35">
      <c r="A64" s="3" t="n"/>
      <c r="B64" s="3" t="n"/>
      <c r="C64" s="3" t="n"/>
      <c r="D64" s="3" t="n"/>
      <c r="E64" s="3" t="n"/>
    </row>
    <row r="65" ht="15.75" customHeight="1" s="35">
      <c r="A65" s="3" t="n"/>
      <c r="B65" s="3" t="n"/>
      <c r="C65" s="3" t="n"/>
      <c r="D65" s="3" t="n"/>
      <c r="E65" s="3" t="n"/>
    </row>
    <row r="66" ht="15.75" customHeight="1" s="35">
      <c r="A66" s="3" t="n"/>
      <c r="B66" s="3" t="n"/>
      <c r="C66" s="3" t="n"/>
      <c r="D66" s="3" t="n"/>
      <c r="E66" s="3" t="n"/>
    </row>
    <row r="67" ht="15.75" customHeight="1" s="35">
      <c r="A67" s="3" t="n"/>
      <c r="B67" s="3" t="n"/>
      <c r="C67" s="3" t="n"/>
      <c r="D67" s="3" t="n"/>
      <c r="E67" s="3" t="n"/>
    </row>
    <row r="68" ht="15.75" customHeight="1" s="35">
      <c r="A68" s="3" t="n"/>
      <c r="B68" s="3" t="n"/>
      <c r="C68" s="3" t="n"/>
      <c r="D68" s="3" t="n"/>
      <c r="E68" s="3" t="n"/>
    </row>
    <row r="69" ht="15.75" customHeight="1" s="35">
      <c r="A69" s="3" t="n"/>
      <c r="B69" s="3" t="n"/>
      <c r="C69" s="3" t="n"/>
      <c r="D69" s="3" t="n"/>
      <c r="E69" s="3" t="n"/>
    </row>
    <row r="70" ht="15.75" customHeight="1" s="35">
      <c r="A70" s="3" t="n"/>
      <c r="B70" s="3" t="n"/>
      <c r="C70" s="3" t="n"/>
      <c r="D70" s="3" t="n"/>
      <c r="E70" s="3" t="n"/>
    </row>
    <row r="71" ht="15.75" customHeight="1" s="35">
      <c r="A71" s="3" t="n"/>
      <c r="B71" s="3" t="n"/>
      <c r="C71" s="3" t="n"/>
      <c r="D71" s="3" t="n"/>
      <c r="E71" s="3" t="n"/>
    </row>
    <row r="72" ht="15.75" customHeight="1" s="35">
      <c r="A72" s="3" t="n"/>
      <c r="B72" s="3" t="n"/>
      <c r="C72" s="3" t="n"/>
      <c r="D72" s="3" t="n"/>
      <c r="E72" s="3" t="n"/>
    </row>
    <row r="73" ht="15.75" customHeight="1" s="35">
      <c r="A73" s="3" t="n"/>
      <c r="B73" s="3" t="n"/>
      <c r="C73" s="3" t="n"/>
      <c r="D73" s="3" t="n"/>
      <c r="E73" s="3" t="n"/>
    </row>
    <row r="74" ht="15.75" customHeight="1" s="35">
      <c r="A74" s="3" t="n"/>
      <c r="B74" s="3" t="n"/>
      <c r="C74" s="3" t="n"/>
      <c r="D74" s="3" t="n"/>
      <c r="E74" s="3" t="n"/>
    </row>
    <row r="75" ht="15.75" customHeight="1" s="35">
      <c r="A75" s="3" t="n"/>
      <c r="B75" s="3" t="n"/>
      <c r="C75" s="3" t="n"/>
      <c r="D75" s="3" t="n"/>
      <c r="E75" s="3" t="n"/>
    </row>
    <row r="76" ht="15.75" customHeight="1" s="35">
      <c r="A76" s="3" t="n"/>
      <c r="B76" s="3" t="n"/>
      <c r="C76" s="3" t="n"/>
      <c r="D76" s="3" t="n"/>
      <c r="E76" s="3" t="n"/>
    </row>
    <row r="77" ht="15.75" customHeight="1" s="35">
      <c r="A77" s="3" t="n"/>
      <c r="B77" s="3" t="n"/>
      <c r="C77" s="3" t="n"/>
      <c r="D77" s="3" t="n"/>
      <c r="E77" s="3" t="n"/>
    </row>
    <row r="78" ht="15.75" customHeight="1" s="35">
      <c r="A78" s="3" t="n"/>
      <c r="B78" s="3" t="n"/>
      <c r="C78" s="3" t="n"/>
      <c r="D78" s="3" t="n"/>
      <c r="E78" s="3" t="n"/>
    </row>
    <row r="79" ht="15.75" customHeight="1" s="35">
      <c r="A79" s="3" t="n"/>
      <c r="B79" s="3" t="n"/>
      <c r="C79" s="3" t="n"/>
      <c r="D79" s="3" t="n"/>
      <c r="E79" s="3" t="n"/>
    </row>
    <row r="80" ht="15.75" customHeight="1" s="35">
      <c r="A80" s="3" t="n"/>
      <c r="B80" s="3" t="n"/>
      <c r="C80" s="3" t="n"/>
      <c r="D80" s="3" t="n"/>
      <c r="E80" s="3" t="n"/>
    </row>
    <row r="81" ht="15.75" customHeight="1" s="35">
      <c r="A81" s="3" t="n"/>
      <c r="B81" s="3" t="n"/>
      <c r="C81" s="3" t="n"/>
      <c r="D81" s="3" t="n"/>
      <c r="E81" s="3" t="n"/>
    </row>
    <row r="82" ht="15.75" customHeight="1" s="35">
      <c r="A82" s="3" t="n"/>
      <c r="B82" s="3" t="n"/>
      <c r="C82" s="3" t="n"/>
      <c r="D82" s="3" t="n"/>
      <c r="E82" s="3" t="n"/>
    </row>
    <row r="83" ht="15.75" customHeight="1" s="35">
      <c r="A83" s="3" t="n"/>
      <c r="B83" s="3" t="n"/>
      <c r="C83" s="3" t="n"/>
      <c r="D83" s="3" t="n"/>
      <c r="E83" s="3" t="n"/>
    </row>
    <row r="84" ht="15.75" customHeight="1" s="35">
      <c r="A84" s="3" t="n"/>
      <c r="B84" s="3" t="n"/>
      <c r="C84" s="3" t="n"/>
      <c r="D84" s="3" t="n"/>
      <c r="E84" s="3" t="n"/>
    </row>
    <row r="85" ht="15.75" customHeight="1" s="35">
      <c r="A85" s="3" t="n"/>
      <c r="B85" s="3" t="n"/>
      <c r="C85" s="3" t="n"/>
      <c r="D85" s="3" t="n"/>
      <c r="E85" s="3" t="n"/>
    </row>
    <row r="86" ht="15.75" customHeight="1" s="35">
      <c r="A86" s="3" t="n"/>
      <c r="B86" s="3" t="n"/>
      <c r="C86" s="3" t="n"/>
      <c r="D86" s="3" t="n"/>
      <c r="E86" s="3" t="n"/>
    </row>
    <row r="87" ht="15.75" customHeight="1" s="35">
      <c r="A87" s="3" t="n"/>
      <c r="B87" s="3" t="n"/>
      <c r="C87" s="3" t="n"/>
      <c r="D87" s="3" t="n"/>
      <c r="E87" s="3" t="n"/>
    </row>
    <row r="88" ht="15.75" customHeight="1" s="35">
      <c r="A88" s="3" t="n"/>
      <c r="B88" s="3" t="n"/>
      <c r="C88" s="3" t="n"/>
      <c r="D88" s="3" t="n"/>
      <c r="E88" s="3" t="n"/>
    </row>
    <row r="89" ht="15.75" customHeight="1" s="35">
      <c r="A89" s="3" t="n"/>
      <c r="B89" s="3" t="n"/>
      <c r="C89" s="3" t="n"/>
      <c r="D89" s="3" t="n"/>
      <c r="E89" s="3" t="n"/>
    </row>
    <row r="90" ht="15.75" customHeight="1" s="35">
      <c r="A90" s="3" t="n"/>
      <c r="B90" s="3" t="n"/>
      <c r="C90" s="3" t="n"/>
      <c r="D90" s="3" t="n"/>
      <c r="E90" s="3" t="n"/>
    </row>
    <row r="91" ht="15.75" customHeight="1" s="35">
      <c r="A91" s="3" t="n"/>
      <c r="B91" s="3" t="n"/>
      <c r="C91" s="3" t="n"/>
      <c r="D91" s="3" t="n"/>
      <c r="E91" s="3" t="n"/>
    </row>
    <row r="92" ht="15.75" customHeight="1" s="35">
      <c r="A92" s="3" t="n"/>
      <c r="B92" s="3" t="n"/>
      <c r="C92" s="3" t="n"/>
      <c r="D92" s="3" t="n"/>
      <c r="E92" s="3" t="n"/>
    </row>
    <row r="93" ht="15.75" customHeight="1" s="35">
      <c r="A93" s="3" t="n"/>
      <c r="B93" s="3" t="n"/>
      <c r="C93" s="3" t="n"/>
      <c r="D93" s="3" t="n"/>
      <c r="E93" s="3" t="n"/>
    </row>
    <row r="94" ht="15.75" customHeight="1" s="35">
      <c r="A94" s="3" t="n"/>
      <c r="B94" s="3" t="n"/>
      <c r="C94" s="3" t="n"/>
      <c r="D94" s="3" t="n"/>
      <c r="E94" s="3" t="n"/>
    </row>
    <row r="95" ht="15.75" customHeight="1" s="35">
      <c r="A95" s="3" t="n"/>
      <c r="B95" s="3" t="n"/>
      <c r="C95" s="3" t="n"/>
      <c r="D95" s="3" t="n"/>
      <c r="E95" s="3" t="n"/>
    </row>
    <row r="96" ht="15.75" customHeight="1" s="35">
      <c r="A96" s="3" t="n"/>
      <c r="B96" s="3" t="n"/>
      <c r="C96" s="3" t="n"/>
      <c r="D96" s="3" t="n"/>
      <c r="E96" s="3" t="n"/>
    </row>
    <row r="97" ht="15.75" customHeight="1" s="35">
      <c r="A97" s="3" t="n"/>
      <c r="B97" s="3" t="n"/>
      <c r="C97" s="3" t="n"/>
      <c r="D97" s="3" t="n"/>
      <c r="E97" s="3" t="n"/>
    </row>
    <row r="98" ht="15.75" customHeight="1" s="35">
      <c r="A98" s="3" t="n"/>
      <c r="B98" s="3" t="n"/>
      <c r="C98" s="3" t="n"/>
      <c r="D98" s="3" t="n"/>
      <c r="E98" s="3" t="n"/>
    </row>
    <row r="99" ht="15.75" customHeight="1" s="35">
      <c r="A99" s="3" t="n"/>
      <c r="B99" s="3" t="n"/>
      <c r="C99" s="3" t="n"/>
      <c r="D99" s="3" t="n"/>
      <c r="E99" s="3" t="n"/>
    </row>
    <row r="100" ht="15.75" customHeight="1" s="35">
      <c r="A100" s="3" t="n"/>
      <c r="B100" s="3" t="n"/>
      <c r="C100" s="3" t="n"/>
      <c r="D100" s="3" t="n"/>
      <c r="E100" s="3" t="n"/>
    </row>
    <row r="101" ht="15.75" customHeight="1" s="35">
      <c r="A101" s="3" t="n"/>
      <c r="B101" s="3" t="n"/>
      <c r="C101" s="3" t="n"/>
      <c r="D101" s="3" t="n"/>
      <c r="E101" s="3" t="n"/>
    </row>
    <row r="102" ht="15.75" customHeight="1" s="35">
      <c r="A102" s="3" t="n"/>
      <c r="B102" s="3" t="n"/>
      <c r="C102" s="3" t="n"/>
      <c r="D102" s="3" t="n"/>
      <c r="E102" s="3" t="n"/>
    </row>
    <row r="103" ht="15.75" customHeight="1" s="35">
      <c r="A103" s="3" t="n"/>
      <c r="B103" s="3" t="n"/>
      <c r="C103" s="3" t="n"/>
      <c r="D103" s="3" t="n"/>
      <c r="E103" s="3" t="n"/>
    </row>
    <row r="104" ht="15.75" customHeight="1" s="35">
      <c r="A104" s="3" t="n"/>
      <c r="B104" s="3" t="n"/>
      <c r="C104" s="3" t="n"/>
      <c r="D104" s="3" t="n"/>
      <c r="E104" s="3" t="n"/>
    </row>
    <row r="105" ht="15.75" customHeight="1" s="35">
      <c r="A105" s="3" t="n"/>
      <c r="B105" s="3" t="n"/>
      <c r="C105" s="3" t="n"/>
      <c r="D105" s="3" t="n"/>
      <c r="E105" s="3" t="n"/>
    </row>
    <row r="106" ht="15.75" customHeight="1" s="35">
      <c r="A106" s="3" t="n"/>
      <c r="B106" s="3" t="n"/>
      <c r="C106" s="3" t="n"/>
      <c r="D106" s="3" t="n"/>
      <c r="E106" s="3" t="n"/>
    </row>
    <row r="107" ht="15.75" customHeight="1" s="35">
      <c r="A107" s="3" t="n"/>
      <c r="B107" s="3" t="n"/>
      <c r="C107" s="3" t="n"/>
      <c r="D107" s="3" t="n"/>
      <c r="E107" s="3" t="n"/>
    </row>
    <row r="108" ht="15.75" customHeight="1" s="35">
      <c r="A108" s="3" t="n"/>
      <c r="B108" s="3" t="n"/>
      <c r="C108" s="3" t="n"/>
      <c r="D108" s="3" t="n"/>
      <c r="E108" s="3" t="n"/>
    </row>
    <row r="109" ht="15.75" customHeight="1" s="35">
      <c r="A109" s="3" t="n"/>
      <c r="B109" s="3" t="n"/>
      <c r="C109" s="3" t="n"/>
      <c r="D109" s="3" t="n"/>
      <c r="E109" s="3" t="n"/>
    </row>
    <row r="110" ht="15.75" customHeight="1" s="35">
      <c r="A110" s="3" t="n"/>
      <c r="B110" s="3" t="n"/>
      <c r="C110" s="3" t="n"/>
      <c r="D110" s="3" t="n"/>
      <c r="E110" s="3" t="n"/>
    </row>
    <row r="111" ht="15.75" customHeight="1" s="35">
      <c r="A111" s="3" t="n"/>
      <c r="B111" s="3" t="n"/>
      <c r="C111" s="3" t="n"/>
      <c r="D111" s="3" t="n"/>
      <c r="E111" s="3" t="n"/>
    </row>
    <row r="112" ht="15.75" customHeight="1" s="35">
      <c r="A112" s="3" t="n"/>
      <c r="B112" s="3" t="n"/>
      <c r="C112" s="3" t="n"/>
      <c r="D112" s="3" t="n"/>
      <c r="E112" s="3" t="n"/>
    </row>
    <row r="113" ht="15.75" customHeight="1" s="35">
      <c r="A113" s="3" t="n"/>
      <c r="B113" s="3" t="n"/>
      <c r="C113" s="3" t="n"/>
      <c r="D113" s="3" t="n"/>
      <c r="E113" s="3" t="n"/>
    </row>
    <row r="114" ht="15.75" customHeight="1" s="35">
      <c r="A114" s="3" t="n"/>
      <c r="B114" s="3" t="n"/>
      <c r="C114" s="3" t="n"/>
      <c r="D114" s="3" t="n"/>
      <c r="E114" s="3" t="n"/>
    </row>
    <row r="115" ht="15.75" customHeight="1" s="35">
      <c r="A115" s="3" t="n"/>
      <c r="B115" s="3" t="n"/>
      <c r="C115" s="3" t="n"/>
      <c r="D115" s="3" t="n"/>
      <c r="E115" s="3" t="n"/>
    </row>
    <row r="116" ht="15.75" customHeight="1" s="35">
      <c r="A116" s="3" t="n"/>
      <c r="B116" s="3" t="n"/>
      <c r="C116" s="3" t="n"/>
      <c r="D116" s="3" t="n"/>
      <c r="E116" s="3" t="n"/>
    </row>
    <row r="117" ht="15.75" customHeight="1" s="35">
      <c r="A117" s="3" t="n"/>
      <c r="B117" s="3" t="n"/>
      <c r="C117" s="3" t="n"/>
      <c r="D117" s="3" t="n"/>
      <c r="E117" s="3" t="n"/>
    </row>
    <row r="118" ht="15.75" customHeight="1" s="35">
      <c r="A118" s="3" t="n"/>
      <c r="B118" s="3" t="n"/>
      <c r="C118" s="3" t="n"/>
      <c r="D118" s="3" t="n"/>
      <c r="E118" s="3" t="n"/>
    </row>
    <row r="119" ht="15.75" customHeight="1" s="35">
      <c r="A119" s="3" t="n"/>
      <c r="B119" s="3" t="n"/>
      <c r="C119" s="3" t="n"/>
      <c r="D119" s="3" t="n"/>
      <c r="E119" s="3" t="n"/>
    </row>
    <row r="120" ht="15.75" customHeight="1" s="35">
      <c r="A120" s="3" t="n"/>
      <c r="B120" s="3" t="n"/>
      <c r="C120" s="3" t="n"/>
      <c r="D120" s="3" t="n"/>
      <c r="E120" s="3" t="n"/>
    </row>
    <row r="121" ht="15.75" customHeight="1" s="35">
      <c r="A121" s="3" t="n"/>
      <c r="B121" s="3" t="n"/>
      <c r="C121" s="3" t="n"/>
      <c r="D121" s="3" t="n"/>
      <c r="E121" s="3" t="n"/>
    </row>
    <row r="122" ht="15.75" customHeight="1" s="35">
      <c r="A122" s="3" t="n"/>
      <c r="B122" s="3" t="n"/>
      <c r="C122" s="3" t="n"/>
      <c r="D122" s="3" t="n"/>
      <c r="E122" s="3" t="n"/>
    </row>
    <row r="123" ht="15.75" customHeight="1" s="35">
      <c r="A123" s="3" t="n"/>
      <c r="B123" s="3" t="n"/>
      <c r="C123" s="3" t="n"/>
      <c r="D123" s="3" t="n"/>
      <c r="E123" s="3" t="n"/>
    </row>
    <row r="124" ht="15.75" customHeight="1" s="35">
      <c r="A124" s="3" t="n"/>
      <c r="B124" s="3" t="n"/>
      <c r="C124" s="3" t="n"/>
      <c r="D124" s="3" t="n"/>
      <c r="E124" s="3" t="n"/>
    </row>
    <row r="125" ht="15.75" customHeight="1" s="35">
      <c r="A125" s="3" t="n"/>
      <c r="B125" s="3" t="n"/>
      <c r="C125" s="3" t="n"/>
      <c r="D125" s="3" t="n"/>
      <c r="E125" s="3" t="n"/>
    </row>
    <row r="126" ht="15.75" customHeight="1" s="35">
      <c r="A126" s="3" t="n"/>
      <c r="B126" s="3" t="n"/>
      <c r="C126" s="3" t="n"/>
      <c r="D126" s="3" t="n"/>
      <c r="E126" s="3" t="n"/>
    </row>
    <row r="127" ht="15.75" customHeight="1" s="35">
      <c r="A127" s="3" t="n"/>
      <c r="B127" s="3" t="n"/>
      <c r="C127" s="3" t="n"/>
      <c r="D127" s="3" t="n"/>
      <c r="E127" s="3" t="n"/>
    </row>
    <row r="128" ht="15.75" customHeight="1" s="35">
      <c r="A128" s="3" t="n"/>
      <c r="B128" s="3" t="n"/>
      <c r="C128" s="3" t="n"/>
      <c r="D128" s="3" t="n"/>
      <c r="E128" s="3" t="n"/>
    </row>
    <row r="129" ht="15.75" customHeight="1" s="35">
      <c r="A129" s="3" t="n"/>
      <c r="B129" s="3" t="n"/>
      <c r="C129" s="3" t="n"/>
      <c r="D129" s="3" t="n"/>
      <c r="E129" s="3" t="n"/>
    </row>
    <row r="130" ht="15.75" customHeight="1" s="35">
      <c r="A130" s="3" t="n"/>
      <c r="B130" s="3" t="n"/>
      <c r="C130" s="3" t="n"/>
      <c r="D130" s="3" t="n"/>
      <c r="E130" s="3" t="n"/>
    </row>
    <row r="131" ht="15.75" customHeight="1" s="35">
      <c r="A131" s="3" t="n"/>
      <c r="B131" s="3" t="n"/>
      <c r="C131" s="3" t="n"/>
      <c r="D131" s="3" t="n"/>
      <c r="E131" s="3" t="n"/>
    </row>
    <row r="132" ht="15.75" customHeight="1" s="35">
      <c r="A132" s="3" t="n"/>
      <c r="B132" s="3" t="n"/>
      <c r="C132" s="3" t="n"/>
      <c r="D132" s="3" t="n"/>
      <c r="E132" s="3" t="n"/>
    </row>
    <row r="133" ht="15.75" customHeight="1" s="35">
      <c r="A133" s="3" t="n"/>
      <c r="B133" s="3" t="n"/>
      <c r="C133" s="3" t="n"/>
      <c r="D133" s="3" t="n"/>
      <c r="E133" s="3" t="n"/>
    </row>
    <row r="134" ht="15.75" customHeight="1" s="35">
      <c r="A134" s="3" t="n"/>
      <c r="B134" s="3" t="n"/>
      <c r="C134" s="3" t="n"/>
      <c r="D134" s="3" t="n"/>
      <c r="E134" s="3" t="n"/>
    </row>
    <row r="135" ht="15.75" customHeight="1" s="35">
      <c r="A135" s="3" t="n"/>
      <c r="B135" s="3" t="n"/>
      <c r="C135" s="3" t="n"/>
      <c r="D135" s="3" t="n"/>
      <c r="E135" s="3" t="n"/>
    </row>
    <row r="136" ht="15.75" customHeight="1" s="35">
      <c r="A136" s="3" t="n"/>
      <c r="B136" s="3" t="n"/>
      <c r="C136" s="3" t="n"/>
      <c r="D136" s="3" t="n"/>
      <c r="E136" s="3" t="n"/>
    </row>
    <row r="137" ht="15.75" customHeight="1" s="35">
      <c r="A137" s="3" t="n"/>
      <c r="B137" s="3" t="n"/>
      <c r="C137" s="3" t="n"/>
      <c r="D137" s="3" t="n"/>
      <c r="E137" s="3" t="n"/>
    </row>
    <row r="138" ht="15.75" customHeight="1" s="35">
      <c r="A138" s="3" t="n"/>
      <c r="B138" s="3" t="n"/>
      <c r="C138" s="3" t="n"/>
      <c r="D138" s="3" t="n"/>
      <c r="E138" s="3" t="n"/>
    </row>
    <row r="139" ht="15.75" customHeight="1" s="35">
      <c r="A139" s="3" t="n"/>
      <c r="B139" s="3" t="n"/>
      <c r="C139" s="3" t="n"/>
      <c r="D139" s="3" t="n"/>
      <c r="E139" s="3" t="n"/>
    </row>
    <row r="140" ht="15.75" customHeight="1" s="35">
      <c r="A140" s="3" t="n"/>
      <c r="B140" s="3" t="n"/>
      <c r="C140" s="3" t="n"/>
      <c r="D140" s="3" t="n"/>
      <c r="E140" s="3" t="n"/>
    </row>
    <row r="141" ht="15.75" customHeight="1" s="35">
      <c r="A141" s="3" t="n"/>
      <c r="B141" s="3" t="n"/>
      <c r="C141" s="3" t="n"/>
      <c r="D141" s="3" t="n"/>
      <c r="E141" s="3" t="n"/>
    </row>
    <row r="142" ht="15.75" customHeight="1" s="35">
      <c r="A142" s="3" t="n"/>
      <c r="B142" s="3" t="n"/>
      <c r="C142" s="3" t="n"/>
      <c r="D142" s="3" t="n"/>
      <c r="E142" s="3" t="n"/>
    </row>
    <row r="143" ht="15.75" customHeight="1" s="35">
      <c r="A143" s="3" t="n"/>
      <c r="B143" s="3" t="n"/>
      <c r="C143" s="3" t="n"/>
      <c r="D143" s="3" t="n"/>
      <c r="E143" s="3" t="n"/>
    </row>
    <row r="144" ht="15.75" customHeight="1" s="35">
      <c r="A144" s="3" t="n"/>
      <c r="B144" s="3" t="n"/>
      <c r="C144" s="3" t="n"/>
      <c r="D144" s="3" t="n"/>
      <c r="E144" s="3" t="n"/>
    </row>
    <row r="145" ht="15.75" customHeight="1" s="35">
      <c r="A145" s="3" t="n"/>
      <c r="B145" s="3" t="n"/>
      <c r="C145" s="3" t="n"/>
      <c r="D145" s="3" t="n"/>
      <c r="E145" s="3" t="n"/>
    </row>
    <row r="146" ht="15.75" customHeight="1" s="35">
      <c r="A146" s="3" t="n"/>
      <c r="B146" s="3" t="n"/>
      <c r="C146" s="3" t="n"/>
      <c r="D146" s="3" t="n"/>
      <c r="E146" s="3" t="n"/>
    </row>
    <row r="147" ht="15.75" customHeight="1" s="35">
      <c r="A147" s="3" t="n"/>
      <c r="B147" s="3" t="n"/>
      <c r="C147" s="3" t="n"/>
      <c r="D147" s="3" t="n"/>
      <c r="E147" s="3" t="n"/>
    </row>
    <row r="148" ht="15.75" customHeight="1" s="35">
      <c r="A148" s="3" t="n"/>
      <c r="B148" s="3" t="n"/>
      <c r="C148" s="3" t="n"/>
      <c r="D148" s="3" t="n"/>
      <c r="E148" s="3" t="n"/>
    </row>
    <row r="149" ht="15.75" customHeight="1" s="35">
      <c r="A149" s="3" t="n"/>
      <c r="B149" s="3" t="n"/>
      <c r="C149" s="3" t="n"/>
      <c r="D149" s="3" t="n"/>
      <c r="E149" s="3" t="n"/>
    </row>
    <row r="150" ht="15.75" customHeight="1" s="35">
      <c r="A150" s="3" t="n"/>
      <c r="B150" s="3" t="n"/>
      <c r="C150" s="3" t="n"/>
      <c r="D150" s="3" t="n"/>
      <c r="E150" s="3" t="n"/>
    </row>
    <row r="151" ht="15.75" customHeight="1" s="35">
      <c r="A151" s="3" t="n"/>
      <c r="B151" s="3" t="n"/>
      <c r="C151" s="3" t="n"/>
      <c r="D151" s="3" t="n"/>
      <c r="E151" s="3" t="n"/>
    </row>
    <row r="152" ht="15.75" customHeight="1" s="35">
      <c r="A152" s="3" t="n"/>
      <c r="B152" s="3" t="n"/>
      <c r="C152" s="3" t="n"/>
      <c r="D152" s="3" t="n"/>
      <c r="E152" s="3" t="n"/>
    </row>
    <row r="153" ht="15.75" customHeight="1" s="35">
      <c r="A153" s="3" t="n"/>
      <c r="B153" s="3" t="n"/>
      <c r="C153" s="3" t="n"/>
      <c r="D153" s="3" t="n"/>
      <c r="E153" s="3" t="n"/>
    </row>
    <row r="154" ht="15.75" customHeight="1" s="35">
      <c r="A154" s="3" t="n"/>
      <c r="B154" s="3" t="n"/>
      <c r="C154" s="3" t="n"/>
      <c r="D154" s="3" t="n"/>
      <c r="E154" s="3" t="n"/>
    </row>
    <row r="155" ht="15.75" customHeight="1" s="35">
      <c r="A155" s="3" t="n"/>
      <c r="B155" s="3" t="n"/>
      <c r="C155" s="3" t="n"/>
      <c r="D155" s="3" t="n"/>
      <c r="E155" s="3" t="n"/>
    </row>
    <row r="156" ht="15.75" customHeight="1" s="35">
      <c r="A156" s="3" t="n"/>
      <c r="B156" s="3" t="n"/>
      <c r="C156" s="3" t="n"/>
      <c r="D156" s="3" t="n"/>
      <c r="E156" s="3" t="n"/>
    </row>
    <row r="157" ht="15.75" customHeight="1" s="35">
      <c r="A157" s="3" t="n"/>
      <c r="B157" s="3" t="n"/>
      <c r="C157" s="3" t="n"/>
      <c r="D157" s="3" t="n"/>
      <c r="E157" s="3" t="n"/>
    </row>
    <row r="158" ht="15.75" customHeight="1" s="35">
      <c r="A158" s="3" t="n"/>
      <c r="B158" s="3" t="n"/>
      <c r="C158" s="3" t="n"/>
      <c r="D158" s="3" t="n"/>
      <c r="E158" s="3" t="n"/>
    </row>
    <row r="159" ht="15.75" customHeight="1" s="35">
      <c r="A159" s="3" t="n"/>
      <c r="B159" s="3" t="n"/>
      <c r="C159" s="3" t="n"/>
      <c r="D159" s="3" t="n"/>
      <c r="E159" s="3" t="n"/>
    </row>
    <row r="160" ht="15.75" customHeight="1" s="35">
      <c r="A160" s="3" t="n"/>
      <c r="B160" s="3" t="n"/>
      <c r="C160" s="3" t="n"/>
      <c r="D160" s="3" t="n"/>
      <c r="E160" s="3" t="n"/>
    </row>
    <row r="161" ht="15.75" customHeight="1" s="35">
      <c r="A161" s="3" t="n"/>
      <c r="B161" s="3" t="n"/>
      <c r="C161" s="3" t="n"/>
      <c r="D161" s="3" t="n"/>
      <c r="E161" s="3" t="n"/>
    </row>
    <row r="162" ht="15.75" customHeight="1" s="35">
      <c r="A162" s="3" t="n"/>
      <c r="B162" s="3" t="n"/>
      <c r="C162" s="3" t="n"/>
      <c r="D162" s="3" t="n"/>
      <c r="E162" s="3" t="n"/>
    </row>
    <row r="163" ht="15.75" customHeight="1" s="35">
      <c r="A163" s="3" t="n"/>
      <c r="B163" s="3" t="n"/>
      <c r="C163" s="3" t="n"/>
      <c r="D163" s="3" t="n"/>
      <c r="E163" s="3" t="n"/>
    </row>
    <row r="164" ht="15.75" customHeight="1" s="35">
      <c r="A164" s="3" t="n"/>
      <c r="B164" s="3" t="n"/>
      <c r="C164" s="3" t="n"/>
      <c r="D164" s="3" t="n"/>
      <c r="E164" s="3" t="n"/>
    </row>
    <row r="165" ht="15.75" customHeight="1" s="35">
      <c r="A165" s="3" t="n"/>
      <c r="B165" s="3" t="n"/>
      <c r="C165" s="3" t="n"/>
      <c r="D165" s="3" t="n"/>
      <c r="E165" s="3" t="n"/>
    </row>
    <row r="166" ht="15.75" customHeight="1" s="35">
      <c r="A166" s="3" t="n"/>
      <c r="B166" s="3" t="n"/>
      <c r="C166" s="3" t="n"/>
      <c r="D166" s="3" t="n"/>
      <c r="E166" s="3" t="n"/>
    </row>
    <row r="167" ht="15.75" customHeight="1" s="35">
      <c r="A167" s="3" t="n"/>
      <c r="B167" s="3" t="n"/>
      <c r="C167" s="3" t="n"/>
      <c r="D167" s="3" t="n"/>
      <c r="E167" s="3" t="n"/>
    </row>
    <row r="168" ht="15.75" customHeight="1" s="35">
      <c r="A168" s="3" t="n"/>
      <c r="B168" s="3" t="n"/>
      <c r="C168" s="3" t="n"/>
      <c r="D168" s="3" t="n"/>
      <c r="E168" s="3" t="n"/>
    </row>
    <row r="169" ht="15.75" customHeight="1" s="35">
      <c r="A169" s="3" t="n"/>
      <c r="B169" s="3" t="n"/>
      <c r="C169" s="3" t="n"/>
      <c r="D169" s="3" t="n"/>
      <c r="E169" s="3" t="n"/>
    </row>
    <row r="170" ht="15.75" customHeight="1" s="35">
      <c r="A170" s="3" t="n"/>
      <c r="B170" s="3" t="n"/>
      <c r="C170" s="3" t="n"/>
      <c r="D170" s="3" t="n"/>
      <c r="E170" s="3" t="n"/>
    </row>
    <row r="171" ht="15.75" customHeight="1" s="35">
      <c r="A171" s="3" t="n"/>
      <c r="B171" s="3" t="n"/>
      <c r="C171" s="3" t="n"/>
      <c r="D171" s="3" t="n"/>
      <c r="E171" s="3" t="n"/>
    </row>
    <row r="172" ht="15.75" customHeight="1" s="35">
      <c r="A172" s="3" t="n"/>
      <c r="B172" s="3" t="n"/>
      <c r="C172" s="3" t="n"/>
      <c r="D172" s="3" t="n"/>
      <c r="E172" s="3" t="n"/>
    </row>
    <row r="173" ht="15.75" customHeight="1" s="35">
      <c r="A173" s="3" t="n"/>
      <c r="B173" s="3" t="n"/>
      <c r="C173" s="3" t="n"/>
      <c r="D173" s="3" t="n"/>
      <c r="E173" s="3" t="n"/>
    </row>
    <row r="174" ht="15.75" customHeight="1" s="35">
      <c r="A174" s="3" t="n"/>
      <c r="B174" s="3" t="n"/>
      <c r="C174" s="3" t="n"/>
      <c r="D174" s="3" t="n"/>
      <c r="E174" s="3" t="n"/>
    </row>
    <row r="175" ht="15.75" customHeight="1" s="35">
      <c r="A175" s="3" t="n"/>
      <c r="B175" s="3" t="n"/>
      <c r="C175" s="3" t="n"/>
      <c r="D175" s="3" t="n"/>
      <c r="E175" s="3" t="n"/>
    </row>
    <row r="176" ht="15.75" customHeight="1" s="35">
      <c r="A176" s="3" t="n"/>
      <c r="B176" s="3" t="n"/>
      <c r="C176" s="3" t="n"/>
      <c r="D176" s="3" t="n"/>
      <c r="E176" s="3" t="n"/>
    </row>
    <row r="177" ht="15.75" customHeight="1" s="35">
      <c r="A177" s="3" t="n"/>
      <c r="B177" s="3" t="n"/>
      <c r="C177" s="3" t="n"/>
      <c r="D177" s="3" t="n"/>
      <c r="E177" s="3" t="n"/>
    </row>
    <row r="178" ht="15.75" customHeight="1" s="35">
      <c r="A178" s="3" t="n"/>
      <c r="B178" s="3" t="n"/>
      <c r="C178" s="3" t="n"/>
      <c r="D178" s="3" t="n"/>
      <c r="E178" s="3" t="n"/>
    </row>
    <row r="179" ht="15.75" customHeight="1" s="35">
      <c r="A179" s="3" t="n"/>
      <c r="B179" s="3" t="n"/>
      <c r="C179" s="3" t="n"/>
      <c r="D179" s="3" t="n"/>
      <c r="E179" s="3" t="n"/>
    </row>
    <row r="180" ht="15.75" customHeight="1" s="35">
      <c r="A180" s="3" t="n"/>
      <c r="B180" s="3" t="n"/>
      <c r="C180" s="3" t="n"/>
      <c r="D180" s="3" t="n"/>
      <c r="E180" s="3" t="n"/>
    </row>
    <row r="181" ht="15.75" customHeight="1" s="35">
      <c r="A181" s="3" t="n"/>
      <c r="B181" s="3" t="n"/>
      <c r="C181" s="3" t="n"/>
      <c r="D181" s="3" t="n"/>
      <c r="E181" s="3" t="n"/>
    </row>
    <row r="182" ht="15.75" customHeight="1" s="35">
      <c r="A182" s="3" t="n"/>
      <c r="B182" s="3" t="n"/>
      <c r="C182" s="3" t="n"/>
      <c r="D182" s="3" t="n"/>
      <c r="E182" s="3" t="n"/>
    </row>
    <row r="183" ht="15.75" customHeight="1" s="35">
      <c r="A183" s="3" t="n"/>
      <c r="B183" s="3" t="n"/>
      <c r="C183" s="3" t="n"/>
      <c r="D183" s="3" t="n"/>
      <c r="E183" s="3" t="n"/>
    </row>
    <row r="184" ht="15.75" customHeight="1" s="35">
      <c r="A184" s="3" t="n"/>
      <c r="B184" s="3" t="n"/>
      <c r="C184" s="3" t="n"/>
      <c r="D184" s="3" t="n"/>
      <c r="E184" s="3" t="n"/>
    </row>
    <row r="185" ht="15.75" customHeight="1" s="35">
      <c r="A185" s="3" t="n"/>
      <c r="B185" s="3" t="n"/>
      <c r="C185" s="3" t="n"/>
      <c r="D185" s="3" t="n"/>
      <c r="E185" s="3" t="n"/>
    </row>
    <row r="186" ht="15.75" customHeight="1" s="35">
      <c r="A186" s="3" t="n"/>
      <c r="B186" s="3" t="n"/>
      <c r="C186" s="3" t="n"/>
      <c r="D186" s="3" t="n"/>
      <c r="E186" s="3" t="n"/>
    </row>
    <row r="187" ht="15.75" customHeight="1" s="35">
      <c r="A187" s="3" t="n"/>
      <c r="B187" s="3" t="n"/>
      <c r="C187" s="3" t="n"/>
      <c r="D187" s="3" t="n"/>
      <c r="E187" s="3" t="n"/>
    </row>
    <row r="188" ht="15.75" customHeight="1" s="35">
      <c r="A188" s="3" t="n"/>
      <c r="B188" s="3" t="n"/>
      <c r="C188" s="3" t="n"/>
      <c r="D188" s="3" t="n"/>
      <c r="E188" s="3" t="n"/>
    </row>
    <row r="189" ht="15.75" customHeight="1" s="35">
      <c r="A189" s="3" t="n"/>
      <c r="B189" s="3" t="n"/>
      <c r="C189" s="3" t="n"/>
      <c r="D189" s="3" t="n"/>
      <c r="E189" s="3" t="n"/>
    </row>
    <row r="190" ht="15.75" customHeight="1" s="35">
      <c r="A190" s="3" t="n"/>
      <c r="B190" s="3" t="n"/>
      <c r="C190" s="3" t="n"/>
      <c r="D190" s="3" t="n"/>
      <c r="E190" s="3" t="n"/>
    </row>
    <row r="191" ht="15.75" customHeight="1" s="35">
      <c r="A191" s="3" t="n"/>
      <c r="B191" s="3" t="n"/>
      <c r="C191" s="3" t="n"/>
      <c r="D191" s="3" t="n"/>
      <c r="E191" s="3" t="n"/>
    </row>
    <row r="192" ht="15.75" customHeight="1" s="35">
      <c r="A192" s="3" t="n"/>
      <c r="B192" s="3" t="n"/>
      <c r="C192" s="3" t="n"/>
      <c r="D192" s="3" t="n"/>
      <c r="E192" s="3" t="n"/>
    </row>
    <row r="193" ht="15.75" customHeight="1" s="35">
      <c r="A193" s="3" t="n"/>
      <c r="B193" s="3" t="n"/>
      <c r="C193" s="3" t="n"/>
      <c r="D193" s="3" t="n"/>
      <c r="E193" s="3" t="n"/>
    </row>
    <row r="194" ht="15.75" customHeight="1" s="35">
      <c r="A194" s="3" t="n"/>
      <c r="B194" s="3" t="n"/>
      <c r="C194" s="3" t="n"/>
      <c r="D194" s="3" t="n"/>
      <c r="E194" s="3" t="n"/>
    </row>
    <row r="195" ht="15.75" customHeight="1" s="35">
      <c r="A195" s="3" t="n"/>
      <c r="B195" s="3" t="n"/>
      <c r="C195" s="3" t="n"/>
      <c r="D195" s="3" t="n"/>
      <c r="E195" s="3" t="n"/>
    </row>
    <row r="196" ht="15.75" customHeight="1" s="35">
      <c r="A196" s="3" t="n"/>
      <c r="B196" s="3" t="n"/>
      <c r="C196" s="3" t="n"/>
      <c r="D196" s="3" t="n"/>
      <c r="E196" s="3" t="n"/>
    </row>
    <row r="197" ht="15.75" customHeight="1" s="35">
      <c r="A197" s="3" t="n"/>
      <c r="B197" s="3" t="n"/>
      <c r="C197" s="3" t="n"/>
      <c r="D197" s="3" t="n"/>
      <c r="E197" s="3" t="n"/>
    </row>
    <row r="198" ht="15.75" customHeight="1" s="35">
      <c r="A198" s="3" t="n"/>
      <c r="B198" s="3" t="n"/>
      <c r="C198" s="3" t="n"/>
      <c r="D198" s="3" t="n"/>
      <c r="E198" s="3" t="n"/>
    </row>
    <row r="199" ht="15.75" customHeight="1" s="35">
      <c r="A199" s="3" t="n"/>
      <c r="B199" s="3" t="n"/>
      <c r="C199" s="3" t="n"/>
      <c r="D199" s="3" t="n"/>
      <c r="E199" s="3" t="n"/>
    </row>
    <row r="200" ht="15.75" customHeight="1" s="35">
      <c r="A200" s="3" t="n"/>
      <c r="B200" s="3" t="n"/>
      <c r="C200" s="3" t="n"/>
      <c r="D200" s="3" t="n"/>
      <c r="E200" s="3" t="n"/>
    </row>
    <row r="201" ht="15.75" customHeight="1" s="35">
      <c r="A201" s="3" t="n"/>
      <c r="B201" s="3" t="n"/>
      <c r="C201" s="3" t="n"/>
      <c r="D201" s="3" t="n"/>
      <c r="E201" s="3" t="n"/>
    </row>
    <row r="202" ht="15.75" customHeight="1" s="35">
      <c r="A202" s="3" t="n"/>
      <c r="B202" s="3" t="n"/>
      <c r="C202" s="3" t="n"/>
      <c r="D202" s="3" t="n"/>
      <c r="E202" s="3" t="n"/>
    </row>
    <row r="203" ht="15.75" customHeight="1" s="35">
      <c r="A203" s="3" t="n"/>
      <c r="B203" s="3" t="n"/>
      <c r="C203" s="3" t="n"/>
      <c r="D203" s="3" t="n"/>
      <c r="E203" s="3" t="n"/>
    </row>
    <row r="204" ht="15.75" customHeight="1" s="35">
      <c r="A204" s="3" t="n"/>
      <c r="B204" s="3" t="n"/>
      <c r="C204" s="3" t="n"/>
      <c r="D204" s="3" t="n"/>
      <c r="E204" s="3" t="n"/>
    </row>
    <row r="205" ht="15.75" customHeight="1" s="35">
      <c r="A205" s="3" t="n"/>
      <c r="B205" s="3" t="n"/>
      <c r="C205" s="3" t="n"/>
      <c r="D205" s="3" t="n"/>
      <c r="E205" s="3" t="n"/>
    </row>
    <row r="206" ht="15.75" customHeight="1" s="35">
      <c r="A206" s="3" t="n"/>
      <c r="B206" s="3" t="n"/>
      <c r="C206" s="3" t="n"/>
      <c r="D206" s="3" t="n"/>
      <c r="E206" s="3" t="n"/>
    </row>
    <row r="207" ht="15.75" customHeight="1" s="35">
      <c r="A207" s="3" t="n"/>
      <c r="B207" s="3" t="n"/>
      <c r="C207" s="3" t="n"/>
      <c r="D207" s="3" t="n"/>
      <c r="E207" s="3" t="n"/>
    </row>
    <row r="208" ht="15.75" customHeight="1" s="35">
      <c r="A208" s="3" t="n"/>
      <c r="B208" s="3" t="n"/>
      <c r="C208" s="3" t="n"/>
      <c r="D208" s="3" t="n"/>
      <c r="E208" s="3" t="n"/>
    </row>
    <row r="209" ht="15.75" customHeight="1" s="35">
      <c r="A209" s="3" t="n"/>
      <c r="B209" s="3" t="n"/>
      <c r="C209" s="3" t="n"/>
      <c r="D209" s="3" t="n"/>
      <c r="E209" s="3" t="n"/>
    </row>
    <row r="210" ht="15.75" customHeight="1" s="35">
      <c r="A210" s="3" t="n"/>
      <c r="B210" s="3" t="n"/>
      <c r="C210" s="3" t="n"/>
      <c r="D210" s="3" t="n"/>
      <c r="E210" s="3" t="n"/>
    </row>
    <row r="211" ht="15.75" customHeight="1" s="35">
      <c r="A211" s="3" t="n"/>
      <c r="B211" s="3" t="n"/>
      <c r="C211" s="3" t="n"/>
      <c r="D211" s="3" t="n"/>
      <c r="E211" s="3" t="n"/>
    </row>
    <row r="212" ht="15.75" customHeight="1" s="35">
      <c r="A212" s="3" t="n"/>
      <c r="B212" s="3" t="n"/>
      <c r="C212" s="3" t="n"/>
      <c r="D212" s="3" t="n"/>
      <c r="E212" s="3" t="n"/>
    </row>
    <row r="213" ht="15.75" customHeight="1" s="35">
      <c r="A213" s="3" t="n"/>
      <c r="B213" s="3" t="n"/>
      <c r="C213" s="3" t="n"/>
      <c r="D213" s="3" t="n"/>
      <c r="E213" s="3" t="n"/>
    </row>
    <row r="214" ht="15.75" customHeight="1" s="35">
      <c r="A214" s="3" t="n"/>
      <c r="B214" s="3" t="n"/>
      <c r="C214" s="3" t="n"/>
      <c r="D214" s="3" t="n"/>
      <c r="E214" s="3" t="n"/>
    </row>
    <row r="215" ht="15.75" customHeight="1" s="35">
      <c r="A215" s="3" t="n"/>
      <c r="B215" s="3" t="n"/>
      <c r="C215" s="3" t="n"/>
      <c r="D215" s="3" t="n"/>
      <c r="E215" s="3" t="n"/>
    </row>
    <row r="216" ht="15.75" customHeight="1" s="35">
      <c r="A216" s="3" t="n"/>
      <c r="B216" s="3" t="n"/>
      <c r="C216" s="3" t="n"/>
      <c r="D216" s="3" t="n"/>
      <c r="E216" s="3" t="n"/>
    </row>
    <row r="217" ht="15.75" customHeight="1" s="35">
      <c r="A217" s="3" t="n"/>
      <c r="B217" s="3" t="n"/>
      <c r="C217" s="3" t="n"/>
      <c r="D217" s="3" t="n"/>
      <c r="E217" s="3" t="n"/>
    </row>
    <row r="218" ht="15.75" customHeight="1" s="35">
      <c r="A218" s="3" t="n"/>
      <c r="B218" s="3" t="n"/>
      <c r="C218" s="3" t="n"/>
      <c r="D218" s="3" t="n"/>
      <c r="E218" s="3" t="n"/>
    </row>
    <row r="219" ht="15.75" customHeight="1" s="35">
      <c r="A219" s="3" t="n"/>
      <c r="B219" s="3" t="n"/>
      <c r="C219" s="3" t="n"/>
      <c r="D219" s="3" t="n"/>
      <c r="E219" s="3" t="n"/>
    </row>
    <row r="220" ht="15.75" customHeight="1" s="35">
      <c r="A220" s="3" t="n"/>
      <c r="B220" s="3" t="n"/>
      <c r="C220" s="3" t="n"/>
      <c r="D220" s="3" t="n"/>
      <c r="E220" s="3" t="n"/>
    </row>
    <row r="221" ht="15.75" customHeight="1" s="35">
      <c r="A221" s="3" t="n"/>
      <c r="B221" s="3" t="n"/>
      <c r="C221" s="3" t="n"/>
      <c r="D221" s="3" t="n"/>
      <c r="E221" s="3" t="n"/>
    </row>
    <row r="222" ht="15.75" customHeight="1" s="35">
      <c r="A222" s="3" t="n"/>
      <c r="B222" s="3" t="n"/>
      <c r="C222" s="3" t="n"/>
      <c r="D222" s="3" t="n"/>
      <c r="E222" s="3" t="n"/>
    </row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">
    <mergeCell ref="A2:E2"/>
    <mergeCell ref="A1:E1"/>
  </mergeCells>
  <dataValidations count="1">
    <dataValidation sqref="C5:C18" showDropDown="0" showInputMessage="0" showErrorMessage="0" allowBlank="1" type="list">
      <formula1>"Sí,No,No aplica"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2026-10-24T05:39:30Z</dcterms:created>
  <dcterms:modified xmlns:dcterms="http://purl.org/dc/terms/" xmlns:xsi="http://www.w3.org/2001/XMLSchema-instance" xsi:type="dcterms:W3CDTF">2026-10-27T01:01:06Z</dcterms:modified>
</cp:coreProperties>
</file>