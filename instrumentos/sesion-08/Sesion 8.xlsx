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Instrucciones" sheetId="1" state="visible" r:id="rId1"/>
    <sheet xmlns:r="http://schemas.openxmlformats.org/officeDocument/2006/relationships" name="1_PRE_RAW" sheetId="2" state="visible" r:id="rId2"/>
    <sheet xmlns:r="http://schemas.openxmlformats.org/officeDocument/2006/relationships" name="2_POST_RAW" sheetId="3" state="visible" r:id="rId3"/>
    <sheet xmlns:r="http://schemas.openxmlformats.org/officeDocument/2006/relationships" name="2a_PRE_TRABAJO" sheetId="4" state="visible" r:id="rId4"/>
    <sheet xmlns:r="http://schemas.openxmlformats.org/officeDocument/2006/relationships" name="2b_POST_TRABAJO" sheetId="5" state="visible" r:id="rId5"/>
    <sheet xmlns:r="http://schemas.openxmlformats.org/officeDocument/2006/relationships" name="3_Mortalidad" sheetId="6" state="visible" r:id="rId6"/>
    <sheet xmlns:r="http://schemas.openxmlformats.org/officeDocument/2006/relationships" name="4_Conciliacion" sheetId="7" state="visible" r:id="rId7"/>
    <sheet xmlns:r="http://schemas.openxmlformats.org/officeDocument/2006/relationships" name="5_Consolidada" sheetId="8" state="visible" r:id="rId8"/>
    <sheet xmlns:r="http://schemas.openxmlformats.org/officeDocument/2006/relationships" name="6_Control_Calidad" sheetId="9" state="visible" r:id="rId9"/>
    <sheet xmlns:r="http://schemas.openxmlformats.org/officeDocument/2006/relationships" name="7_Diccionario" sheetId="10" state="visible" r:id="rId10"/>
    <sheet xmlns:r="http://schemas.openxmlformats.org/officeDocument/2006/relationships" name="8_Bitacora" sheetId="11" state="visible" r:id="rId11"/>
    <sheet xmlns:r="http://schemas.openxmlformats.org/officeDocument/2006/relationships" name="9_Lista_Cotejo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0000FF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0B2A6B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2" fillId="3" borderId="1" pivotButton="0" quotePrefix="0" xfId="0"/>
    <xf numFmtId="164" fontId="2" fillId="3" borderId="1" pivotButton="0" quotePrefix="0" xfId="0"/>
    <xf numFmtId="0" fontId="3" fillId="0" borderId="1" pivotButton="0" quotePrefix="0" xfId="0"/>
    <xf numFmtId="164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Seminario de Tesis III · Sesión 8 · Consolidación de Tu Diario Huánuco</t>
        </is>
      </c>
    </row>
    <row r="2">
      <c r="A2" s="1" t="inlineStr">
        <is>
          <t>Versión: v1.0-simulada. No está liberada para campo.</t>
        </is>
      </c>
    </row>
    <row r="3">
      <c r="A3" s="1" t="inlineStr">
        <is>
          <t>Firma del asesor: pendiente.</t>
        </is>
      </c>
    </row>
    <row r="5">
      <c r="A5" s="1" t="inlineStr">
        <is>
          <t>Tesis: Influencia de una aplicación multiplataforma de búsqueda semántica conversacional en la experiencia de lectores de Tu Diario Huánuco, 2026.</t>
        </is>
      </c>
    </row>
    <row r="6">
      <c r="A6" s="1" t="inlineStr">
        <is>
          <t>Autores: Trujillo Avila, Marcel Alexander Javier; Godoy Condezo, Alejandro Jeanpier. UDH, Ingeniería de Sistemas e Informática.</t>
        </is>
      </c>
    </row>
    <row r="7">
      <c r="A7" s="1" t="inlineStr">
        <is>
          <t>Diseño: preexperimental de grupo único, O1 — X — O2. En esta base el grupo se guarda como GE. No hay GC. En la sesión 7 el mismo grupo figura como G.</t>
        </is>
      </c>
    </row>
    <row r="8">
      <c r="A8" s="1" t="inlineStr">
        <is>
          <t>Población N = 150. Muestra n = 108. Códigos GU-TDH-002 a GU-TDH-125. GU-TDH-001 no entra.</t>
        </is>
      </c>
    </row>
    <row r="9">
      <c r="A9" s="1" t="inlineStr">
        <is>
          <t>Retiros sin postest: GU-TDH-015, GU-TDH-033 y GU-TDH-053. INCLUIR = 0. Los otros 105 tienen INCLUIR = 1.</t>
        </is>
      </c>
    </row>
    <row r="10">
      <c r="A10" s="1" t="inlineStr">
        <is>
          <t>Pretest O1: 12–17/10/2026. Cierre y versión congelada: 18/10/2026, tag de referencia v1.0.0-frozen-2026-10-18.</t>
        </is>
      </c>
    </row>
    <row r="11">
      <c r="A11" s="1" t="inlineStr">
        <is>
          <t>Intervención X: 19–25/10/2026, T₀ el 19/10 a las 09:00. Postest O2 previsto: 26–31/10/2026.</t>
        </is>
      </c>
    </row>
    <row r="12">
      <c r="A12" s="1" t="inlineStr">
        <is>
          <t>El SUS del postest proviene del Excel 7 y es simulado. No es medición de campo. No se borra y no se usa como O2 real.</t>
        </is>
      </c>
    </row>
    <row r="13">
      <c r="A13" s="1" t="inlineStr">
        <is>
          <t>El libro de códigos con identidad no está en este archivo. Sigue en Drive.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1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BASE DEL PRETEST — RAW</t>
        </is>
      </c>
    </row>
    <row r="2">
      <c r="A2" t="inlineStr">
        <is>
          <t>Fuente: Sesión 3, hoja «1. Base del pretest». Fechas corridas 8 días atrás respecto del cronograma que decía 20–25/10.</t>
        </is>
      </c>
    </row>
    <row r="4">
      <c r="A4" s="2" t="inlineStr">
        <is>
          <t>ID</t>
        </is>
      </c>
      <c r="B4" s="2" t="inlineStr">
        <is>
          <t>GRUPO</t>
        </is>
      </c>
      <c r="C4" s="2" t="inlineStr">
        <is>
          <t>EDAD</t>
        </is>
      </c>
      <c r="D4" s="2" t="inlineStr">
        <is>
          <t>ZONA</t>
        </is>
      </c>
      <c r="E4" s="2" t="inlineStr">
        <is>
          <t>FREC_SEM</t>
        </is>
      </c>
      <c r="F4" s="2" t="inlineStr">
        <is>
          <t>RED</t>
        </is>
      </c>
      <c r="G4" s="2" t="inlineStr">
        <is>
          <t>FECHA_PRE</t>
        </is>
      </c>
      <c r="H4" s="2" t="inlineStr">
        <is>
          <t>SUS01</t>
        </is>
      </c>
      <c r="I4" s="2" t="inlineStr">
        <is>
          <t>SUS02</t>
        </is>
      </c>
      <c r="J4" s="2" t="inlineStr">
        <is>
          <t>SUS03</t>
        </is>
      </c>
      <c r="K4" s="2" t="inlineStr">
        <is>
          <t>SUS04</t>
        </is>
      </c>
      <c r="L4" s="2" t="inlineStr">
        <is>
          <t>SUS05</t>
        </is>
      </c>
      <c r="M4" s="2" t="inlineStr">
        <is>
          <t>SUS06</t>
        </is>
      </c>
      <c r="N4" s="2" t="inlineStr">
        <is>
          <t>SUS07</t>
        </is>
      </c>
      <c r="O4" s="2" t="inlineStr">
        <is>
          <t>SUS08</t>
        </is>
      </c>
      <c r="P4" s="2" t="inlineStr">
        <is>
          <t>SUS09</t>
        </is>
      </c>
      <c r="Q4" s="2" t="inlineStr">
        <is>
          <t>SUS10</t>
        </is>
      </c>
      <c r="R4" s="2" t="inlineStr">
        <is>
          <t>TAM01</t>
        </is>
      </c>
      <c r="S4" s="2" t="inlineStr">
        <is>
          <t>TAM02</t>
        </is>
      </c>
      <c r="T4" s="2" t="inlineStr">
        <is>
          <t>TAM03</t>
        </is>
      </c>
      <c r="U4" s="2" t="inlineStr">
        <is>
          <t>TAM04</t>
        </is>
      </c>
      <c r="V4" s="2" t="inlineStr">
        <is>
          <t>TAM05</t>
        </is>
      </c>
      <c r="W4" s="2" t="inlineStr">
        <is>
          <t>TAM06</t>
        </is>
      </c>
      <c r="X4" s="2" t="inlineStr">
        <is>
          <t>TAM07</t>
        </is>
      </c>
      <c r="Y4" s="2" t="inlineStr">
        <is>
          <t>TAM08</t>
        </is>
      </c>
      <c r="Z4" s="2" t="inlineStr">
        <is>
          <t>T1_SEG</t>
        </is>
      </c>
      <c r="AA4" s="2" t="inlineStr">
        <is>
          <t>T1_CLICS</t>
        </is>
      </c>
      <c r="AB4" s="2" t="inlineStr">
        <is>
          <t>T2_SEG</t>
        </is>
      </c>
      <c r="AC4" s="2" t="inlineStr">
        <is>
          <t>T2_CLICS</t>
        </is>
      </c>
    </row>
    <row r="5">
      <c r="A5" s="3" t="inlineStr">
        <is>
          <t>GU-TDH-002</t>
        </is>
      </c>
      <c r="B5" s="3" t="inlineStr">
        <is>
          <t>GE</t>
        </is>
      </c>
      <c r="C5" s="3" t="n">
        <v>32</v>
      </c>
      <c r="D5" s="3" t="n">
        <v>2</v>
      </c>
      <c r="E5" s="3" t="n">
        <v>12</v>
      </c>
      <c r="F5" s="3" t="n">
        <v>2</v>
      </c>
      <c r="G5" s="6" t="n">
        <v>46310</v>
      </c>
      <c r="H5" s="3" t="n">
        <v>5</v>
      </c>
      <c r="I5" s="3" t="n">
        <v>2</v>
      </c>
      <c r="J5" s="3" t="n">
        <v>3</v>
      </c>
      <c r="K5" s="3" t="n">
        <v>3</v>
      </c>
      <c r="L5" s="3" t="n">
        <v>5</v>
      </c>
      <c r="M5" s="3" t="n">
        <v>2</v>
      </c>
      <c r="N5" s="3" t="n">
        <v>5</v>
      </c>
      <c r="O5" s="3" t="n">
        <v>3</v>
      </c>
      <c r="P5" s="3" t="n">
        <v>4</v>
      </c>
      <c r="Q5" s="3" t="n">
        <v>2</v>
      </c>
      <c r="R5" s="3" t="n">
        <v>4</v>
      </c>
      <c r="S5" s="3" t="n">
        <v>4</v>
      </c>
      <c r="T5" s="3" t="n">
        <v>3</v>
      </c>
      <c r="U5" s="3" t="n">
        <v>5</v>
      </c>
      <c r="V5" s="3" t="n">
        <v>2</v>
      </c>
      <c r="W5" s="3" t="n">
        <v>3</v>
      </c>
      <c r="X5" s="3" t="n">
        <v>4</v>
      </c>
      <c r="Y5" s="3" t="n">
        <v>3</v>
      </c>
      <c r="Z5" s="3" t="n">
        <v>197</v>
      </c>
      <c r="AA5" s="3" t="n">
        <v>10</v>
      </c>
      <c r="AB5" s="3" t="n">
        <v>144</v>
      </c>
      <c r="AC5" s="3" t="n">
        <v>9</v>
      </c>
    </row>
    <row r="6">
      <c r="A6" s="3" t="inlineStr">
        <is>
          <t>GU-TDH-003</t>
        </is>
      </c>
      <c r="B6" s="3" t="inlineStr">
        <is>
          <t>GE</t>
        </is>
      </c>
      <c r="C6" s="3" t="n">
        <v>46</v>
      </c>
      <c r="D6" s="3" t="n">
        <v>2</v>
      </c>
      <c r="E6" s="3" t="n">
        <v>4</v>
      </c>
      <c r="F6" s="3" t="n">
        <v>4</v>
      </c>
      <c r="G6" s="6" t="n">
        <v>46307</v>
      </c>
      <c r="H6" s="3" t="n">
        <v>3</v>
      </c>
      <c r="I6" s="3" t="n">
        <v>3</v>
      </c>
      <c r="J6" s="3" t="n">
        <v>2</v>
      </c>
      <c r="K6" s="3" t="n">
        <v>2</v>
      </c>
      <c r="L6" s="3" t="n">
        <v>3</v>
      </c>
      <c r="M6" s="3" t="n">
        <v>3</v>
      </c>
      <c r="N6" s="3" t="n">
        <v>4</v>
      </c>
      <c r="O6" s="3" t="n">
        <v>3</v>
      </c>
      <c r="P6" s="3" t="n">
        <v>4</v>
      </c>
      <c r="Q6" s="3" t="n">
        <v>3</v>
      </c>
      <c r="R6" s="3" t="n">
        <v>3</v>
      </c>
      <c r="S6" s="3" t="n">
        <v>3</v>
      </c>
      <c r="T6" s="3" t="n">
        <v>3</v>
      </c>
      <c r="U6" s="3" t="n">
        <v>2</v>
      </c>
      <c r="V6" s="3" t="n">
        <v>3</v>
      </c>
      <c r="W6" s="3" t="n">
        <v>3</v>
      </c>
      <c r="X6" s="3" t="n">
        <v>1</v>
      </c>
      <c r="Y6" s="3" t="n">
        <v>1</v>
      </c>
      <c r="Z6" s="3" t="n">
        <v>235</v>
      </c>
      <c r="AA6" s="3" t="n">
        <v>14</v>
      </c>
      <c r="AB6" s="3" t="n">
        <v>216</v>
      </c>
      <c r="AC6" s="3" t="n">
        <v>11</v>
      </c>
    </row>
    <row r="7">
      <c r="A7" s="3" t="inlineStr">
        <is>
          <t>GU-TDH-004</t>
        </is>
      </c>
      <c r="B7" s="3" t="inlineStr">
        <is>
          <t>GE</t>
        </is>
      </c>
      <c r="C7" s="3" t="n">
        <v>34</v>
      </c>
      <c r="D7" s="3" t="n">
        <v>1</v>
      </c>
      <c r="E7" s="3" t="n">
        <v>7</v>
      </c>
      <c r="F7" s="3" t="n">
        <v>2</v>
      </c>
      <c r="G7" s="6" t="n">
        <v>46308</v>
      </c>
      <c r="H7" s="3" t="n">
        <v>2</v>
      </c>
      <c r="I7" s="3" t="n">
        <v>3</v>
      </c>
      <c r="J7" s="3" t="n">
        <v>3</v>
      </c>
      <c r="K7" s="3" t="n">
        <v>4</v>
      </c>
      <c r="L7" s="3" t="n">
        <v>3</v>
      </c>
      <c r="M7" s="3" t="n">
        <v>3</v>
      </c>
      <c r="N7" s="3" t="n">
        <v>2</v>
      </c>
      <c r="O7" s="3" t="n">
        <v>3</v>
      </c>
      <c r="P7" s="3" t="n">
        <v>4</v>
      </c>
      <c r="Q7" s="3" t="n">
        <v>4</v>
      </c>
      <c r="R7" s="3" t="n">
        <v>3</v>
      </c>
      <c r="S7" s="3" t="n">
        <v>2</v>
      </c>
      <c r="T7" s="3" t="n">
        <v>2</v>
      </c>
      <c r="U7" s="3" t="n">
        <v>1</v>
      </c>
      <c r="V7" s="3" t="n">
        <v>2</v>
      </c>
      <c r="W7" s="3" t="n">
        <v>2</v>
      </c>
      <c r="X7" s="3" t="n">
        <v>2</v>
      </c>
      <c r="Y7" s="3" t="n">
        <v>2</v>
      </c>
      <c r="Z7" s="3" t="n">
        <v>261</v>
      </c>
      <c r="AA7" s="3" t="n">
        <v>16</v>
      </c>
      <c r="AB7" s="3" t="n">
        <v>200</v>
      </c>
      <c r="AC7" s="3" t="n">
        <v>7</v>
      </c>
    </row>
    <row r="8">
      <c r="A8" s="3" t="inlineStr">
        <is>
          <t>GU-TDH-006</t>
        </is>
      </c>
      <c r="B8" s="3" t="inlineStr">
        <is>
          <t>GE</t>
        </is>
      </c>
      <c r="C8" s="3" t="n">
        <v>24</v>
      </c>
      <c r="D8" s="3" t="n">
        <v>1</v>
      </c>
      <c r="E8" s="3" t="n">
        <v>7</v>
      </c>
      <c r="F8" s="3" t="n">
        <v>2</v>
      </c>
      <c r="G8" s="6" t="n">
        <v>46311</v>
      </c>
      <c r="H8" s="3" t="n">
        <v>4</v>
      </c>
      <c r="I8" s="3" t="n">
        <v>2</v>
      </c>
      <c r="J8" s="3" t="n">
        <v>5</v>
      </c>
      <c r="K8" s="3" t="n">
        <v>1</v>
      </c>
      <c r="L8" s="3" t="n">
        <v>3</v>
      </c>
      <c r="M8" s="3" t="n">
        <v>4</v>
      </c>
      <c r="N8" s="3" t="n">
        <v>5</v>
      </c>
      <c r="O8" s="3" t="n">
        <v>3</v>
      </c>
      <c r="P8" s="3" t="n">
        <v>4</v>
      </c>
      <c r="Q8" s="3" t="n">
        <v>1</v>
      </c>
      <c r="R8" s="3" t="n">
        <v>5</v>
      </c>
      <c r="S8" s="3" t="n">
        <v>3</v>
      </c>
      <c r="T8" s="3" t="n">
        <v>3</v>
      </c>
      <c r="U8" s="3" t="n">
        <v>3</v>
      </c>
      <c r="V8" s="3" t="n">
        <v>3</v>
      </c>
      <c r="W8" s="3" t="n">
        <v>5</v>
      </c>
      <c r="X8" s="3" t="n">
        <v>4</v>
      </c>
      <c r="Y8" s="3" t="n">
        <v>3</v>
      </c>
      <c r="Z8" s="3" t="n">
        <v>245</v>
      </c>
      <c r="AA8" s="3" t="n">
        <v>15</v>
      </c>
      <c r="AB8" s="3" t="n">
        <v>143</v>
      </c>
      <c r="AC8" s="3" t="n">
        <v>8</v>
      </c>
    </row>
    <row r="9">
      <c r="A9" s="3" t="inlineStr">
        <is>
          <t>GU-TDH-007</t>
        </is>
      </c>
      <c r="B9" s="3" t="inlineStr">
        <is>
          <t>GE</t>
        </is>
      </c>
      <c r="C9" s="3" t="n">
        <v>32</v>
      </c>
      <c r="D9" s="3" t="n">
        <v>1</v>
      </c>
      <c r="E9" s="3" t="n">
        <v>6</v>
      </c>
      <c r="F9" s="3" t="n">
        <v>2</v>
      </c>
      <c r="G9" s="6" t="n">
        <v>46308</v>
      </c>
      <c r="H9" s="3" t="n">
        <v>3</v>
      </c>
      <c r="I9" s="3" t="n">
        <v>3</v>
      </c>
      <c r="J9" s="3" t="n">
        <v>2</v>
      </c>
      <c r="K9" s="3" t="n">
        <v>3</v>
      </c>
      <c r="L9" s="3" t="n">
        <v>4</v>
      </c>
      <c r="M9" s="3" t="n">
        <v>2</v>
      </c>
      <c r="N9" s="3" t="n">
        <v>3</v>
      </c>
      <c r="O9" s="3" t="n">
        <v>2</v>
      </c>
      <c r="P9" s="3" t="n">
        <v>4</v>
      </c>
      <c r="Q9" s="3" t="n">
        <v>4</v>
      </c>
      <c r="R9" s="3" t="n">
        <v>3</v>
      </c>
      <c r="S9" s="3" t="n">
        <v>2</v>
      </c>
      <c r="T9" s="3" t="n">
        <v>3</v>
      </c>
      <c r="U9" s="3" t="n">
        <v>3</v>
      </c>
      <c r="V9" s="3" t="n">
        <v>2</v>
      </c>
      <c r="W9" s="3" t="n">
        <v>3</v>
      </c>
      <c r="X9" s="3" t="n">
        <v>2</v>
      </c>
      <c r="Y9" s="3" t="n">
        <v>2</v>
      </c>
      <c r="Z9" s="3" t="n">
        <v>105</v>
      </c>
      <c r="AA9" s="3" t="n">
        <v>2</v>
      </c>
      <c r="AB9" s="3" t="n">
        <v>228</v>
      </c>
      <c r="AC9" s="3" t="n">
        <v>9</v>
      </c>
    </row>
    <row r="10">
      <c r="A10" s="3" t="inlineStr">
        <is>
          <t>GU-TDH-008</t>
        </is>
      </c>
      <c r="B10" s="3" t="inlineStr">
        <is>
          <t>GE</t>
        </is>
      </c>
      <c r="C10" s="3" t="n">
        <v>38</v>
      </c>
      <c r="D10" s="3" t="n">
        <v>1</v>
      </c>
      <c r="E10" s="3" t="n">
        <v>10</v>
      </c>
      <c r="F10" s="3" t="n">
        <v>1</v>
      </c>
      <c r="G10" s="6" t="n">
        <v>46308</v>
      </c>
      <c r="H10" s="3" t="n">
        <v>1</v>
      </c>
      <c r="I10" s="3" t="n">
        <v>3</v>
      </c>
      <c r="J10" s="3" t="n">
        <v>3</v>
      </c>
      <c r="K10" s="3" t="n">
        <v>4</v>
      </c>
      <c r="L10" s="3" t="n">
        <v>3</v>
      </c>
      <c r="M10" s="3" t="n">
        <v>3</v>
      </c>
      <c r="N10" s="3" t="n">
        <v>4</v>
      </c>
      <c r="O10" s="3" t="n">
        <v>5</v>
      </c>
      <c r="P10" s="3" t="n">
        <v>3</v>
      </c>
      <c r="Q10" s="3" t="n">
        <v>3</v>
      </c>
      <c r="R10" s="3" t="n">
        <v>3</v>
      </c>
      <c r="S10" s="3" t="n">
        <v>1</v>
      </c>
      <c r="T10" s="3" t="n">
        <v>1</v>
      </c>
      <c r="U10" s="3" t="n">
        <v>2</v>
      </c>
      <c r="V10" s="3" t="n">
        <v>2</v>
      </c>
      <c r="W10" s="3" t="n">
        <v>2</v>
      </c>
      <c r="X10" s="3" t="n">
        <v>1</v>
      </c>
      <c r="Y10" s="3" t="n">
        <v>1</v>
      </c>
      <c r="Z10" s="3" t="n">
        <v>278</v>
      </c>
      <c r="AA10" s="3" t="n">
        <v>12</v>
      </c>
      <c r="AB10" s="3" t="n">
        <v>288</v>
      </c>
      <c r="AC10" s="3" t="n">
        <v>17</v>
      </c>
    </row>
    <row r="11">
      <c r="A11" s="3" t="inlineStr">
        <is>
          <t>GU-TDH-009</t>
        </is>
      </c>
      <c r="B11" s="3" t="inlineStr">
        <is>
          <t>GE</t>
        </is>
      </c>
      <c r="C11" s="3" t="n">
        <v>22</v>
      </c>
      <c r="D11" s="3" t="n">
        <v>1</v>
      </c>
      <c r="E11" s="3" t="n">
        <v>5</v>
      </c>
      <c r="F11" s="3" t="n">
        <v>2</v>
      </c>
      <c r="G11" s="6" t="n">
        <v>46312</v>
      </c>
      <c r="H11" s="3" t="n">
        <v>3</v>
      </c>
      <c r="I11" s="3" t="n">
        <v>2</v>
      </c>
      <c r="J11" s="3" t="n">
        <v>3</v>
      </c>
      <c r="K11" s="3" t="n">
        <v>4</v>
      </c>
      <c r="L11" s="3" t="n">
        <v>4</v>
      </c>
      <c r="M11" s="3" t="n">
        <v>3</v>
      </c>
      <c r="N11" s="3" t="n">
        <v>3</v>
      </c>
      <c r="O11" s="3" t="n">
        <v>3</v>
      </c>
      <c r="P11" s="3" t="n">
        <v>2</v>
      </c>
      <c r="Q11" s="3" t="n">
        <v>3</v>
      </c>
      <c r="R11" s="3" t="n">
        <v>4</v>
      </c>
      <c r="S11" s="3" t="n">
        <v>3</v>
      </c>
      <c r="T11" s="3" t="n">
        <v>3</v>
      </c>
      <c r="U11" s="3" t="n">
        <v>2</v>
      </c>
      <c r="V11" s="3" t="n">
        <v>2</v>
      </c>
      <c r="W11" s="3" t="n">
        <v>2</v>
      </c>
      <c r="X11" s="3" t="n">
        <v>1</v>
      </c>
      <c r="Y11" s="3" t="n">
        <v>4</v>
      </c>
      <c r="Z11" s="3" t="n">
        <v>210</v>
      </c>
      <c r="AA11" s="3" t="n">
        <v>13</v>
      </c>
      <c r="AB11" s="3" t="n">
        <v>295</v>
      </c>
      <c r="AC11" s="3" t="n">
        <v>15</v>
      </c>
    </row>
    <row r="12">
      <c r="A12" s="3" t="inlineStr">
        <is>
          <t>GU-TDH-010</t>
        </is>
      </c>
      <c r="B12" s="3" t="inlineStr">
        <is>
          <t>GE</t>
        </is>
      </c>
      <c r="C12" s="3" t="n">
        <v>24</v>
      </c>
      <c r="D12" s="3" t="n">
        <v>1</v>
      </c>
      <c r="E12" s="3" t="n">
        <v>4</v>
      </c>
      <c r="F12" s="3" t="n">
        <v>4</v>
      </c>
      <c r="G12" s="6" t="n">
        <v>46309</v>
      </c>
      <c r="H12" s="3" t="n">
        <v>5</v>
      </c>
      <c r="I12" s="3" t="n">
        <v>1</v>
      </c>
      <c r="J12" s="3" t="n">
        <v>4</v>
      </c>
      <c r="K12" s="3" t="n">
        <v>4</v>
      </c>
      <c r="L12" s="3" t="n">
        <v>5</v>
      </c>
      <c r="M12" s="3" t="n">
        <v>1</v>
      </c>
      <c r="N12" s="3" t="n">
        <v>4</v>
      </c>
      <c r="O12" s="3" t="n">
        <v>2</v>
      </c>
      <c r="P12" s="3" t="n">
        <v>4</v>
      </c>
      <c r="Q12" s="3" t="n">
        <v>2</v>
      </c>
      <c r="R12" s="3" t="n">
        <v>4</v>
      </c>
      <c r="S12" s="3" t="n">
        <v>4</v>
      </c>
      <c r="T12" s="3" t="n">
        <v>5</v>
      </c>
      <c r="U12" s="3" t="n">
        <v>5</v>
      </c>
      <c r="V12" s="3" t="n">
        <v>4</v>
      </c>
      <c r="W12" s="3" t="n">
        <v>4</v>
      </c>
      <c r="X12" s="3" t="n">
        <v>4</v>
      </c>
      <c r="Y12" s="3" t="n">
        <v>4</v>
      </c>
      <c r="Z12" s="3" t="n">
        <v>103</v>
      </c>
      <c r="AA12" s="3" t="n">
        <v>6</v>
      </c>
      <c r="AB12" s="3" t="n">
        <v>93</v>
      </c>
      <c r="AC12" s="3" t="n">
        <v>5</v>
      </c>
    </row>
    <row r="13">
      <c r="A13" s="3" t="inlineStr">
        <is>
          <t>GU-TDH-011</t>
        </is>
      </c>
      <c r="B13" s="3" t="inlineStr">
        <is>
          <t>GE</t>
        </is>
      </c>
      <c r="C13" s="3" t="n">
        <v>30</v>
      </c>
      <c r="D13" s="3" t="n">
        <v>1</v>
      </c>
      <c r="E13" s="3" t="n">
        <v>11</v>
      </c>
      <c r="F13" s="3" t="n">
        <v>4</v>
      </c>
      <c r="G13" s="6" t="n">
        <v>46309</v>
      </c>
      <c r="H13" s="3" t="n">
        <v>2</v>
      </c>
      <c r="I13" s="3" t="n">
        <v>4</v>
      </c>
      <c r="J13" s="3" t="n">
        <v>2</v>
      </c>
      <c r="K13" s="3" t="n">
        <v>4</v>
      </c>
      <c r="L13" s="3" t="n">
        <v>2</v>
      </c>
      <c r="M13" s="3" t="n">
        <v>4</v>
      </c>
      <c r="N13" s="3" t="n">
        <v>2</v>
      </c>
      <c r="O13" s="3" t="n">
        <v>4</v>
      </c>
      <c r="P13" s="3" t="n">
        <v>3</v>
      </c>
      <c r="Q13" s="3" t="n">
        <v>3</v>
      </c>
      <c r="R13" s="3" t="n">
        <v>3</v>
      </c>
      <c r="S13" s="3" t="n">
        <v>3</v>
      </c>
      <c r="T13" s="3" t="n">
        <v>4</v>
      </c>
      <c r="U13" s="3" t="n">
        <v>2</v>
      </c>
      <c r="V13" s="3" t="n">
        <v>3</v>
      </c>
      <c r="W13" s="3" t="n">
        <v>3</v>
      </c>
      <c r="X13" s="3" t="n">
        <v>5</v>
      </c>
      <c r="Y13" s="3" t="n">
        <v>2</v>
      </c>
      <c r="Z13" s="3" t="n">
        <v>227</v>
      </c>
      <c r="AA13" s="3" t="n">
        <v>13</v>
      </c>
      <c r="AB13" s="3" t="n">
        <v>289</v>
      </c>
      <c r="AC13" s="3" t="n">
        <v>14</v>
      </c>
    </row>
    <row r="14">
      <c r="A14" s="3" t="inlineStr">
        <is>
          <t>GU-TDH-012</t>
        </is>
      </c>
      <c r="B14" s="3" t="inlineStr">
        <is>
          <t>GE</t>
        </is>
      </c>
      <c r="C14" s="3" t="n">
        <v>33</v>
      </c>
      <c r="D14" s="3" t="n">
        <v>2</v>
      </c>
      <c r="E14" s="3" t="n">
        <v>8</v>
      </c>
      <c r="F14" s="3" t="n">
        <v>2</v>
      </c>
      <c r="G14" s="6" t="n">
        <v>46310</v>
      </c>
      <c r="H14" s="3" t="n">
        <v>4</v>
      </c>
      <c r="I14" s="3" t="n">
        <v>3</v>
      </c>
      <c r="J14" s="3" t="n">
        <v>4</v>
      </c>
      <c r="K14" s="3" t="n">
        <v>3</v>
      </c>
      <c r="L14" s="3" t="n">
        <v>5</v>
      </c>
      <c r="M14" s="3" t="n">
        <v>2</v>
      </c>
      <c r="N14" s="3" t="n">
        <v>3</v>
      </c>
      <c r="O14" s="3" t="n">
        <v>2</v>
      </c>
      <c r="P14" s="3" t="n">
        <v>3</v>
      </c>
      <c r="Q14" s="3" t="n">
        <v>3</v>
      </c>
      <c r="R14" s="3" t="n">
        <v>2</v>
      </c>
      <c r="S14" s="3" t="n">
        <v>2</v>
      </c>
      <c r="T14" s="3" t="n">
        <v>3</v>
      </c>
      <c r="U14" s="3" t="n">
        <v>3</v>
      </c>
      <c r="V14" s="3" t="n">
        <v>3</v>
      </c>
      <c r="W14" s="3" t="n">
        <v>2</v>
      </c>
      <c r="X14" s="3" t="n">
        <v>2</v>
      </c>
      <c r="Y14" s="3" t="n">
        <v>2</v>
      </c>
      <c r="Z14" s="3" t="n">
        <v>145</v>
      </c>
      <c r="AA14" s="3" t="n">
        <v>11</v>
      </c>
      <c r="AB14" s="3" t="n">
        <v>196</v>
      </c>
      <c r="AC14" s="3" t="n">
        <v>12</v>
      </c>
    </row>
    <row r="15">
      <c r="A15" s="3" t="inlineStr">
        <is>
          <t>GU-TDH-014</t>
        </is>
      </c>
      <c r="B15" s="3" t="inlineStr">
        <is>
          <t>GE</t>
        </is>
      </c>
      <c r="C15" s="3" t="n">
        <v>38</v>
      </c>
      <c r="D15" s="3" t="n">
        <v>1</v>
      </c>
      <c r="E15" s="3" t="n">
        <v>10</v>
      </c>
      <c r="F15" s="3" t="n">
        <v>2</v>
      </c>
      <c r="G15" s="6" t="n">
        <v>46307</v>
      </c>
      <c r="H15" s="3" t="n">
        <v>4</v>
      </c>
      <c r="I15" s="3" t="n">
        <v>3</v>
      </c>
      <c r="J15" s="3" t="n">
        <v>3</v>
      </c>
      <c r="K15" s="3" t="n">
        <v>2</v>
      </c>
      <c r="L15" s="3" t="n">
        <v>3</v>
      </c>
      <c r="M15" s="3" t="n">
        <v>3</v>
      </c>
      <c r="N15" s="3" t="n">
        <v>2</v>
      </c>
      <c r="O15" s="3" t="n">
        <v>3</v>
      </c>
      <c r="P15" s="3" t="n">
        <v>3</v>
      </c>
      <c r="Q15" s="3" t="n">
        <v>2</v>
      </c>
      <c r="R15" s="3" t="n">
        <v>4</v>
      </c>
      <c r="S15" s="3" t="n">
        <v>4</v>
      </c>
      <c r="T15" s="3" t="n">
        <v>5</v>
      </c>
      <c r="U15" s="3" t="n">
        <v>4</v>
      </c>
      <c r="V15" s="3" t="n">
        <v>3</v>
      </c>
      <c r="W15" s="3" t="n">
        <v>3</v>
      </c>
      <c r="X15" s="3" t="n">
        <v>4</v>
      </c>
      <c r="Y15" s="3" t="n">
        <v>3</v>
      </c>
      <c r="Z15" s="3" t="n">
        <v>202</v>
      </c>
      <c r="AA15" s="3" t="n">
        <v>9</v>
      </c>
      <c r="AB15" s="3" t="n">
        <v>69</v>
      </c>
      <c r="AC15" s="3" t="n">
        <v>2</v>
      </c>
    </row>
    <row r="16">
      <c r="A16" s="3" t="inlineStr">
        <is>
          <t>GU-TDH-015</t>
        </is>
      </c>
      <c r="B16" s="3" t="inlineStr">
        <is>
          <t>GE</t>
        </is>
      </c>
      <c r="C16" s="3" t="n">
        <v>28</v>
      </c>
      <c r="D16" s="3" t="n">
        <v>1</v>
      </c>
      <c r="E16" s="3" t="n">
        <v>15</v>
      </c>
      <c r="F16" s="3" t="n">
        <v>4</v>
      </c>
      <c r="G16" s="6" t="n">
        <v>46311</v>
      </c>
      <c r="H16" s="3" t="n">
        <v>4</v>
      </c>
      <c r="I16" s="3" t="n">
        <v>1</v>
      </c>
      <c r="J16" s="3" t="n">
        <v>4</v>
      </c>
      <c r="K16" s="3" t="n">
        <v>1</v>
      </c>
      <c r="L16" s="3" t="n">
        <v>4</v>
      </c>
      <c r="M16" s="3" t="n">
        <v>2</v>
      </c>
      <c r="N16" s="3" t="n">
        <v>4</v>
      </c>
      <c r="O16" s="3" t="n">
        <v>3</v>
      </c>
      <c r="P16" s="3" t="n">
        <v>3</v>
      </c>
      <c r="Q16" s="3" t="n">
        <v>3</v>
      </c>
      <c r="R16" s="3" t="n">
        <v>5</v>
      </c>
      <c r="S16" s="3" t="n">
        <v>3</v>
      </c>
      <c r="T16" s="3" t="n">
        <v>4</v>
      </c>
      <c r="U16" s="3" t="n">
        <v>2</v>
      </c>
      <c r="V16" s="3" t="n">
        <v>4</v>
      </c>
      <c r="W16" s="3" t="n">
        <v>3</v>
      </c>
      <c r="X16" s="3" t="n">
        <v>3</v>
      </c>
      <c r="Y16" s="3" t="n">
        <v>2</v>
      </c>
      <c r="Z16" s="3" t="n">
        <v>209</v>
      </c>
      <c r="AA16" s="3" t="n">
        <v>11</v>
      </c>
      <c r="AB16" s="3" t="n">
        <v>183</v>
      </c>
      <c r="AC16" s="3" t="n">
        <v>12</v>
      </c>
    </row>
    <row r="17">
      <c r="A17" s="3" t="inlineStr">
        <is>
          <t>GU-TDH-016</t>
        </is>
      </c>
      <c r="B17" s="3" t="inlineStr">
        <is>
          <t>GE</t>
        </is>
      </c>
      <c r="C17" s="3" t="n">
        <v>27</v>
      </c>
      <c r="D17" s="3" t="n">
        <v>1</v>
      </c>
      <c r="E17" s="3" t="n">
        <v>8</v>
      </c>
      <c r="F17" s="3" t="n">
        <v>4</v>
      </c>
      <c r="G17" s="6" t="n">
        <v>46309</v>
      </c>
      <c r="H17" s="3" t="n">
        <v>3</v>
      </c>
      <c r="I17" s="3" t="n">
        <v>4</v>
      </c>
      <c r="J17" s="3" t="n">
        <v>4</v>
      </c>
      <c r="K17" s="3" t="n">
        <v>3</v>
      </c>
      <c r="L17" s="3" t="n">
        <v>2</v>
      </c>
      <c r="M17" s="3" t="n">
        <v>2</v>
      </c>
      <c r="N17" s="3" t="n">
        <v>4</v>
      </c>
      <c r="O17" s="3" t="n">
        <v>5</v>
      </c>
      <c r="P17" s="3" t="n">
        <v>1</v>
      </c>
      <c r="Q17" s="3" t="n">
        <v>3</v>
      </c>
      <c r="R17" s="3" t="n">
        <v>1</v>
      </c>
      <c r="S17" s="3" t="n">
        <v>1</v>
      </c>
      <c r="T17" s="3" t="n">
        <v>1</v>
      </c>
      <c r="U17" s="3" t="n">
        <v>1</v>
      </c>
      <c r="V17" s="3" t="n">
        <v>2</v>
      </c>
      <c r="W17" s="3" t="n">
        <v>1</v>
      </c>
      <c r="X17" s="3" t="n">
        <v>2</v>
      </c>
      <c r="Y17" s="3" t="n">
        <v>1</v>
      </c>
      <c r="Z17" s="3" t="n">
        <v>213</v>
      </c>
      <c r="AA17" s="3" t="n">
        <v>11</v>
      </c>
      <c r="AB17" s="3" t="n">
        <v>136</v>
      </c>
      <c r="AC17" s="3" t="n">
        <v>10</v>
      </c>
    </row>
    <row r="18">
      <c r="A18" s="3" t="inlineStr">
        <is>
          <t>GU-TDH-017</t>
        </is>
      </c>
      <c r="B18" s="3" t="inlineStr">
        <is>
          <t>GE</t>
        </is>
      </c>
      <c r="C18" s="3" t="n">
        <v>22</v>
      </c>
      <c r="D18" s="3" t="n">
        <v>1</v>
      </c>
      <c r="E18" s="3" t="n">
        <v>9</v>
      </c>
      <c r="F18" s="3" t="n">
        <v>4</v>
      </c>
      <c r="G18" s="6" t="n">
        <v>46309</v>
      </c>
      <c r="H18" s="3" t="n">
        <v>4</v>
      </c>
      <c r="I18" s="3" t="n">
        <v>3</v>
      </c>
      <c r="J18" s="3" t="n">
        <v>3</v>
      </c>
      <c r="K18" s="3" t="n">
        <v>3</v>
      </c>
      <c r="L18" s="3" t="n">
        <v>4</v>
      </c>
      <c r="M18" s="3" t="n">
        <v>2</v>
      </c>
      <c r="N18" s="3" t="n">
        <v>3</v>
      </c>
      <c r="O18" s="3" t="n">
        <v>2</v>
      </c>
      <c r="P18" s="3" t="n">
        <v>4</v>
      </c>
      <c r="Q18" s="3" t="n">
        <v>3</v>
      </c>
      <c r="R18" s="3" t="n">
        <v>1</v>
      </c>
      <c r="S18" s="3" t="n">
        <v>2</v>
      </c>
      <c r="T18" s="3" t="n">
        <v>2</v>
      </c>
      <c r="U18" s="3" t="n">
        <v>3</v>
      </c>
      <c r="V18" s="3" t="n">
        <v>2</v>
      </c>
      <c r="W18" s="3" t="n">
        <v>2</v>
      </c>
      <c r="X18" s="3" t="n">
        <v>3</v>
      </c>
      <c r="Y18" s="3" t="n">
        <v>2</v>
      </c>
      <c r="Z18" s="3" t="n">
        <v>188</v>
      </c>
      <c r="AA18" s="3" t="n">
        <v>12</v>
      </c>
      <c r="AB18" s="3" t="n">
        <v>179</v>
      </c>
      <c r="AC18" s="3" t="n">
        <v>9</v>
      </c>
    </row>
    <row r="19">
      <c r="A19" s="3" t="inlineStr">
        <is>
          <t>GU-TDH-019</t>
        </is>
      </c>
      <c r="B19" s="3" t="inlineStr">
        <is>
          <t>GE</t>
        </is>
      </c>
      <c r="C19" s="3" t="n">
        <v>40</v>
      </c>
      <c r="D19" s="3" t="n">
        <v>1</v>
      </c>
      <c r="E19" s="3" t="n">
        <v>9</v>
      </c>
      <c r="F19" s="3" t="n">
        <v>4</v>
      </c>
      <c r="G19" s="6" t="n">
        <v>46308</v>
      </c>
      <c r="H19" s="3" t="n">
        <v>3</v>
      </c>
      <c r="I19" s="3" t="n">
        <v>4</v>
      </c>
      <c r="J19" s="3" t="n">
        <v>5</v>
      </c>
      <c r="K19" s="3" t="n">
        <v>2</v>
      </c>
      <c r="L19" s="3" t="n">
        <v>5</v>
      </c>
      <c r="M19" s="3" t="n">
        <v>4</v>
      </c>
      <c r="N19" s="3" t="n">
        <v>4</v>
      </c>
      <c r="O19" s="3" t="n">
        <v>1</v>
      </c>
      <c r="P19" s="3" t="n">
        <v>4</v>
      </c>
      <c r="Q19" s="3" t="n">
        <v>3</v>
      </c>
      <c r="R19" s="3" t="n">
        <v>3</v>
      </c>
      <c r="S19" s="3" t="n">
        <v>4</v>
      </c>
      <c r="T19" s="3" t="n">
        <v>4</v>
      </c>
      <c r="U19" s="3" t="n">
        <v>3</v>
      </c>
      <c r="V19" s="3" t="n">
        <v>4</v>
      </c>
      <c r="W19" s="3" t="n">
        <v>3</v>
      </c>
      <c r="X19" s="3" t="n">
        <v>4</v>
      </c>
      <c r="Y19" s="3" t="n">
        <v>3</v>
      </c>
      <c r="Z19" s="3" t="n">
        <v>157</v>
      </c>
      <c r="AA19" s="3" t="n">
        <v>9</v>
      </c>
      <c r="AB19" s="3" t="n">
        <v>126</v>
      </c>
      <c r="AC19" s="3" t="n">
        <v>5</v>
      </c>
    </row>
    <row r="20">
      <c r="A20" s="3" t="inlineStr">
        <is>
          <t>GU-TDH-020</t>
        </is>
      </c>
      <c r="B20" s="3" t="inlineStr">
        <is>
          <t>GE</t>
        </is>
      </c>
      <c r="C20" s="3" t="n">
        <v>32</v>
      </c>
      <c r="D20" s="3" t="n">
        <v>1</v>
      </c>
      <c r="E20" s="3" t="n">
        <v>11</v>
      </c>
      <c r="F20" s="3" t="n">
        <v>4</v>
      </c>
      <c r="G20" s="6" t="n">
        <v>46310</v>
      </c>
      <c r="H20" s="3" t="n">
        <v>4</v>
      </c>
      <c r="I20" s="3" t="n">
        <v>3</v>
      </c>
      <c r="J20" s="3" t="n">
        <v>3</v>
      </c>
      <c r="K20" s="3" t="n">
        <v>3</v>
      </c>
      <c r="L20" s="3" t="n">
        <v>3</v>
      </c>
      <c r="M20" s="3" t="n">
        <v>1</v>
      </c>
      <c r="N20" s="3" t="n">
        <v>3</v>
      </c>
      <c r="O20" s="3" t="n">
        <v>3</v>
      </c>
      <c r="P20" s="3" t="n">
        <v>4</v>
      </c>
      <c r="Q20" s="3" t="n">
        <v>4</v>
      </c>
      <c r="R20" s="3" t="n">
        <v>1</v>
      </c>
      <c r="S20" s="3" t="n">
        <v>2</v>
      </c>
      <c r="T20" s="3" t="n">
        <v>3</v>
      </c>
      <c r="U20" s="3" t="n">
        <v>2</v>
      </c>
      <c r="V20" s="3" t="n">
        <v>1</v>
      </c>
      <c r="W20" s="3" t="n">
        <v>2</v>
      </c>
      <c r="X20" s="3" t="n">
        <v>3</v>
      </c>
      <c r="Y20" s="3" t="n">
        <v>3</v>
      </c>
      <c r="Z20" s="3" t="n">
        <v>190</v>
      </c>
      <c r="AA20" s="3" t="n">
        <v>7</v>
      </c>
      <c r="AB20" s="3" t="n">
        <v>136</v>
      </c>
      <c r="AC20" s="3" t="n">
        <v>10</v>
      </c>
    </row>
    <row r="21">
      <c r="A21" s="3" t="inlineStr">
        <is>
          <t>GU-TDH-021</t>
        </is>
      </c>
      <c r="B21" s="3" t="inlineStr">
        <is>
          <t>GE</t>
        </is>
      </c>
      <c r="C21" s="3" t="n">
        <v>26</v>
      </c>
      <c r="D21" s="3" t="n">
        <v>1</v>
      </c>
      <c r="E21" s="3" t="n">
        <v>10</v>
      </c>
      <c r="F21" s="3" t="n">
        <v>4</v>
      </c>
      <c r="G21" s="6" t="n">
        <v>46307</v>
      </c>
      <c r="H21" s="3" t="n">
        <v>3</v>
      </c>
      <c r="I21" s="3" t="n">
        <v>3</v>
      </c>
      <c r="J21" s="3" t="n">
        <v>3</v>
      </c>
      <c r="K21" s="3" t="n">
        <v>1</v>
      </c>
      <c r="L21" s="3" t="n">
        <v>3</v>
      </c>
      <c r="M21" s="3" t="n">
        <v>3</v>
      </c>
      <c r="N21" s="3" t="n">
        <v>3</v>
      </c>
      <c r="O21" s="3" t="n">
        <v>4</v>
      </c>
      <c r="P21" s="3" t="n">
        <v>5</v>
      </c>
      <c r="Q21" s="3" t="n">
        <v>4</v>
      </c>
      <c r="R21" s="3" t="n">
        <v>3</v>
      </c>
      <c r="S21" s="3" t="n">
        <v>4</v>
      </c>
      <c r="T21" s="3" t="n">
        <v>3</v>
      </c>
      <c r="U21" s="3" t="n">
        <v>2</v>
      </c>
      <c r="V21" s="3" t="n">
        <v>3</v>
      </c>
      <c r="W21" s="3" t="n">
        <v>4</v>
      </c>
      <c r="X21" s="3" t="n">
        <v>3</v>
      </c>
      <c r="Y21" s="3" t="n">
        <v>3</v>
      </c>
      <c r="Z21" s="3" t="n">
        <v>251</v>
      </c>
      <c r="AA21" s="3" t="n">
        <v>14</v>
      </c>
      <c r="AB21" s="3" t="n">
        <v>232</v>
      </c>
      <c r="AC21" s="3" t="n">
        <v>10</v>
      </c>
    </row>
    <row r="22">
      <c r="A22" s="3" t="inlineStr">
        <is>
          <t>GU-TDH-022</t>
        </is>
      </c>
      <c r="B22" s="3" t="inlineStr">
        <is>
          <t>GE</t>
        </is>
      </c>
      <c r="C22" s="3" t="n">
        <v>32</v>
      </c>
      <c r="D22" s="3" t="n">
        <v>1</v>
      </c>
      <c r="E22" s="3" t="n">
        <v>11</v>
      </c>
      <c r="F22" s="3" t="n">
        <v>2</v>
      </c>
      <c r="G22" s="6" t="n">
        <v>46311</v>
      </c>
      <c r="H22" s="3" t="n">
        <v>4</v>
      </c>
      <c r="I22" s="3" t="n">
        <v>4</v>
      </c>
      <c r="J22" s="3" t="n">
        <v>2</v>
      </c>
      <c r="K22" s="3" t="n">
        <v>3</v>
      </c>
      <c r="L22" s="3" t="n">
        <v>3</v>
      </c>
      <c r="M22" s="3" t="n">
        <v>4</v>
      </c>
      <c r="N22" s="3" t="n">
        <v>4</v>
      </c>
      <c r="O22" s="3" t="n">
        <v>2</v>
      </c>
      <c r="P22" s="3" t="n">
        <v>4</v>
      </c>
      <c r="Q22" s="3" t="n">
        <v>3</v>
      </c>
      <c r="R22" s="3" t="n">
        <v>1</v>
      </c>
      <c r="S22" s="3" t="n">
        <v>1</v>
      </c>
      <c r="T22" s="3" t="n">
        <v>2</v>
      </c>
      <c r="U22" s="3" t="n">
        <v>1</v>
      </c>
      <c r="V22" s="3" t="n">
        <v>1</v>
      </c>
      <c r="W22" s="3" t="n">
        <v>2</v>
      </c>
      <c r="X22" s="3" t="n">
        <v>2</v>
      </c>
      <c r="Y22" s="3" t="n">
        <v>2</v>
      </c>
      <c r="Z22" s="3" t="n">
        <v>249</v>
      </c>
      <c r="AA22" s="3" t="n">
        <v>14</v>
      </c>
      <c r="AB22" s="3" t="n">
        <v>262</v>
      </c>
      <c r="AC22" s="3" t="n">
        <v>15</v>
      </c>
    </row>
    <row r="23">
      <c r="A23" s="3" t="inlineStr">
        <is>
          <t>GU-TDH-023</t>
        </is>
      </c>
      <c r="B23" s="3" t="inlineStr">
        <is>
          <t>GE</t>
        </is>
      </c>
      <c r="C23" s="3" t="n">
        <v>31</v>
      </c>
      <c r="D23" s="3" t="n">
        <v>1</v>
      </c>
      <c r="E23" s="3" t="n">
        <v>8</v>
      </c>
      <c r="F23" s="3" t="n">
        <v>4</v>
      </c>
      <c r="G23" s="6" t="n">
        <v>46311</v>
      </c>
      <c r="H23" s="3" t="n">
        <v>3</v>
      </c>
      <c r="I23" s="3" t="n">
        <v>4</v>
      </c>
      <c r="J23" s="3" t="n">
        <v>3</v>
      </c>
      <c r="K23" s="3" t="n">
        <v>4</v>
      </c>
      <c r="L23" s="3" t="n">
        <v>2</v>
      </c>
      <c r="M23" s="3" t="n">
        <v>3</v>
      </c>
      <c r="N23" s="3" t="n">
        <v>4</v>
      </c>
      <c r="O23" s="3" t="n">
        <v>2</v>
      </c>
      <c r="P23" s="3" t="n">
        <v>4</v>
      </c>
      <c r="Q23" s="3" t="n">
        <v>3</v>
      </c>
      <c r="R23" s="3" t="n">
        <v>3</v>
      </c>
      <c r="S23" s="3" t="n">
        <v>2</v>
      </c>
      <c r="T23" s="3" t="n">
        <v>2</v>
      </c>
      <c r="U23" s="3" t="n">
        <v>2</v>
      </c>
      <c r="V23" s="3" t="n">
        <v>4</v>
      </c>
      <c r="W23" s="3" t="n">
        <v>1</v>
      </c>
      <c r="X23" s="3" t="n">
        <v>2</v>
      </c>
      <c r="Y23" s="3" t="n">
        <v>2</v>
      </c>
      <c r="Z23" s="3" t="n">
        <v>215</v>
      </c>
      <c r="AA23" s="3" t="n">
        <v>11</v>
      </c>
      <c r="AB23" s="3" t="n">
        <v>193</v>
      </c>
      <c r="AC23" s="3" t="n">
        <v>11</v>
      </c>
    </row>
    <row r="24">
      <c r="A24" s="3" t="inlineStr">
        <is>
          <t>GU-TDH-024</t>
        </is>
      </c>
      <c r="B24" s="3" t="inlineStr">
        <is>
          <t>GE</t>
        </is>
      </c>
      <c r="C24" s="3" t="n">
        <v>31</v>
      </c>
      <c r="D24" s="3" t="n">
        <v>1</v>
      </c>
      <c r="E24" s="3" t="n">
        <v>7</v>
      </c>
      <c r="F24" s="3" t="n">
        <v>2</v>
      </c>
      <c r="G24" s="6" t="n">
        <v>46311</v>
      </c>
      <c r="H24" s="3" t="n">
        <v>5</v>
      </c>
      <c r="I24" s="3" t="n">
        <v>4</v>
      </c>
      <c r="J24" s="3" t="n">
        <v>5</v>
      </c>
      <c r="K24" s="3" t="n">
        <v>3</v>
      </c>
      <c r="L24" s="3" t="n">
        <v>3</v>
      </c>
      <c r="M24" s="3" t="n">
        <v>4</v>
      </c>
      <c r="N24" s="3" t="n">
        <v>3</v>
      </c>
      <c r="O24" s="3" t="n">
        <v>2</v>
      </c>
      <c r="P24" s="3" t="n">
        <v>4</v>
      </c>
      <c r="Q24" s="3" t="n">
        <v>4</v>
      </c>
      <c r="R24" s="3" t="n">
        <v>3</v>
      </c>
      <c r="S24" s="3" t="n">
        <v>4</v>
      </c>
      <c r="T24" s="3" t="n">
        <v>3</v>
      </c>
      <c r="U24" s="3" t="n">
        <v>4</v>
      </c>
      <c r="V24" s="3" t="n">
        <v>3</v>
      </c>
      <c r="W24" s="3" t="n">
        <v>2</v>
      </c>
      <c r="X24" s="3" t="n">
        <v>4</v>
      </c>
      <c r="Y24" s="3" t="n">
        <v>2</v>
      </c>
      <c r="Z24" s="3" t="n">
        <v>246</v>
      </c>
      <c r="AA24" s="3" t="n">
        <v>10</v>
      </c>
      <c r="AB24" s="3" t="n">
        <v>244</v>
      </c>
      <c r="AC24" s="3" t="n">
        <v>11</v>
      </c>
    </row>
    <row r="25">
      <c r="A25" s="3" t="inlineStr">
        <is>
          <t>GU-TDH-025</t>
        </is>
      </c>
      <c r="B25" s="3" t="inlineStr">
        <is>
          <t>GE</t>
        </is>
      </c>
      <c r="C25" s="3" t="n">
        <v>39</v>
      </c>
      <c r="D25" s="3" t="n">
        <v>2</v>
      </c>
      <c r="E25" s="3" t="n">
        <v>5</v>
      </c>
      <c r="F25" s="3" t="n">
        <v>2</v>
      </c>
      <c r="G25" s="6" t="n">
        <v>46313</v>
      </c>
      <c r="H25" s="3" t="n">
        <v>2</v>
      </c>
      <c r="I25" s="3" t="n">
        <v>2</v>
      </c>
      <c r="J25" s="3" t="n">
        <v>4</v>
      </c>
      <c r="K25" s="3" t="n">
        <v>3</v>
      </c>
      <c r="L25" s="3" t="n">
        <v>4</v>
      </c>
      <c r="M25" s="3" t="n">
        <v>4</v>
      </c>
      <c r="N25" s="3" t="n">
        <v>4</v>
      </c>
      <c r="O25" s="3" t="n">
        <v>2</v>
      </c>
      <c r="P25" s="3" t="n">
        <v>4</v>
      </c>
      <c r="Q25" s="3" t="n">
        <v>2</v>
      </c>
      <c r="R25" s="3" t="n">
        <v>2</v>
      </c>
      <c r="S25" s="3" t="n">
        <v>5</v>
      </c>
      <c r="T25" s="3" t="n">
        <v>5</v>
      </c>
      <c r="U25" s="3" t="n">
        <v>4</v>
      </c>
      <c r="V25" s="3" t="n">
        <v>5</v>
      </c>
      <c r="W25" s="3" t="n">
        <v>2</v>
      </c>
      <c r="X25" s="3" t="n">
        <v>4</v>
      </c>
      <c r="Y25" s="3" t="n">
        <v>3</v>
      </c>
      <c r="Z25" s="3" t="n">
        <v>222</v>
      </c>
      <c r="AA25" s="3" t="n">
        <v>12</v>
      </c>
      <c r="AB25" s="3" t="n">
        <v>231</v>
      </c>
      <c r="AC25" s="3" t="n">
        <v>13</v>
      </c>
    </row>
    <row r="26">
      <c r="A26" s="3" t="inlineStr">
        <is>
          <t>GU-TDH-026</t>
        </is>
      </c>
      <c r="B26" s="3" t="inlineStr">
        <is>
          <t>GE</t>
        </is>
      </c>
      <c r="C26" s="3" t="n">
        <v>28</v>
      </c>
      <c r="D26" s="3" t="n">
        <v>1</v>
      </c>
      <c r="E26" s="3" t="n">
        <v>14</v>
      </c>
      <c r="F26" s="3" t="n">
        <v>2</v>
      </c>
      <c r="G26" s="6" t="n">
        <v>46313</v>
      </c>
      <c r="H26" s="3" t="n">
        <v>4</v>
      </c>
      <c r="I26" s="3" t="n">
        <v>3</v>
      </c>
      <c r="J26" s="3" t="n">
        <v>2</v>
      </c>
      <c r="K26" s="3" t="n">
        <v>2</v>
      </c>
      <c r="L26" s="3" t="n">
        <v>3</v>
      </c>
      <c r="M26" s="3" t="n">
        <v>3</v>
      </c>
      <c r="N26" s="3" t="n">
        <v>3</v>
      </c>
      <c r="O26" s="3" t="n">
        <v>4</v>
      </c>
      <c r="P26" s="3" t="n">
        <v>4</v>
      </c>
      <c r="Q26" s="3" t="n">
        <v>2</v>
      </c>
      <c r="R26" s="3" t="n">
        <v>3</v>
      </c>
      <c r="S26" s="3" t="n">
        <v>3</v>
      </c>
      <c r="T26" s="3" t="n">
        <v>4</v>
      </c>
      <c r="U26" s="3" t="n">
        <v>3</v>
      </c>
      <c r="V26" s="3" t="n">
        <v>4</v>
      </c>
      <c r="W26" s="3" t="n">
        <v>3</v>
      </c>
      <c r="X26" s="3" t="n">
        <v>2</v>
      </c>
      <c r="Y26" s="3" t="n">
        <v>3</v>
      </c>
      <c r="Z26" s="3" t="n">
        <v>187</v>
      </c>
      <c r="AA26" s="3" t="n">
        <v>13</v>
      </c>
      <c r="AB26" s="3" t="n">
        <v>256</v>
      </c>
      <c r="AC26" s="3" t="n">
        <v>15</v>
      </c>
    </row>
    <row r="27">
      <c r="A27" s="3" t="inlineStr">
        <is>
          <t>GU-TDH-027</t>
        </is>
      </c>
      <c r="B27" s="3" t="inlineStr">
        <is>
          <t>GE</t>
        </is>
      </c>
      <c r="C27" s="3" t="n">
        <v>24</v>
      </c>
      <c r="D27" s="3" t="n">
        <v>2</v>
      </c>
      <c r="E27" s="3" t="n">
        <v>10</v>
      </c>
      <c r="F27" s="3" t="n">
        <v>2</v>
      </c>
      <c r="G27" s="6" t="n">
        <v>46311</v>
      </c>
      <c r="H27" s="3" t="n">
        <v>2</v>
      </c>
      <c r="I27" s="3" t="n">
        <v>4</v>
      </c>
      <c r="J27" s="3" t="n">
        <v>4</v>
      </c>
      <c r="K27" s="3" t="n">
        <v>4</v>
      </c>
      <c r="L27" s="3" t="n">
        <v>3</v>
      </c>
      <c r="M27" s="3" t="n">
        <v>3</v>
      </c>
      <c r="N27" s="3" t="n">
        <v>3</v>
      </c>
      <c r="O27" s="3" t="n">
        <v>3</v>
      </c>
      <c r="P27" s="3" t="n">
        <v>3</v>
      </c>
      <c r="Q27" s="3" t="n">
        <v>3</v>
      </c>
      <c r="R27" s="3" t="n">
        <v>2</v>
      </c>
      <c r="S27" s="3" t="n">
        <v>2</v>
      </c>
      <c r="T27" s="3" t="n">
        <v>3</v>
      </c>
      <c r="U27" s="3" t="n">
        <v>2</v>
      </c>
      <c r="V27" s="3" t="n">
        <v>2</v>
      </c>
      <c r="W27" s="3" t="n">
        <v>2</v>
      </c>
      <c r="X27" s="3" t="n">
        <v>3</v>
      </c>
      <c r="Y27" s="3" t="n">
        <v>2</v>
      </c>
      <c r="Z27" s="3" t="n">
        <v>300</v>
      </c>
      <c r="AA27" s="3" t="n">
        <v>17</v>
      </c>
      <c r="AB27" s="3" t="n">
        <v>192</v>
      </c>
      <c r="AC27" s="3" t="n">
        <v>8</v>
      </c>
    </row>
    <row r="28">
      <c r="A28" s="3" t="inlineStr">
        <is>
          <t>GU-TDH-028</t>
        </is>
      </c>
      <c r="B28" s="3" t="inlineStr">
        <is>
          <t>GE</t>
        </is>
      </c>
      <c r="C28" s="3" t="n">
        <v>23</v>
      </c>
      <c r="D28" s="3" t="n">
        <v>2</v>
      </c>
      <c r="E28" s="3" t="n">
        <v>8</v>
      </c>
      <c r="F28" s="3" t="n">
        <v>4</v>
      </c>
      <c r="G28" s="6" t="n">
        <v>46308</v>
      </c>
      <c r="H28" s="3" t="n">
        <v>2</v>
      </c>
      <c r="I28" s="3" t="n">
        <v>3</v>
      </c>
      <c r="J28" s="3" t="n">
        <v>3</v>
      </c>
      <c r="K28" s="3" t="n">
        <v>2</v>
      </c>
      <c r="L28" s="3" t="n">
        <v>5</v>
      </c>
      <c r="M28" s="3" t="n">
        <v>4</v>
      </c>
      <c r="N28" s="3" t="n">
        <v>3</v>
      </c>
      <c r="O28" s="3" t="n">
        <v>3</v>
      </c>
      <c r="P28" s="3" t="n">
        <v>3</v>
      </c>
      <c r="Q28" s="3" t="n">
        <v>3</v>
      </c>
      <c r="R28" s="3" t="n">
        <v>1</v>
      </c>
      <c r="S28" s="3" t="n">
        <v>1</v>
      </c>
      <c r="T28" s="3" t="n">
        <v>2</v>
      </c>
      <c r="U28" s="3" t="n">
        <v>3</v>
      </c>
      <c r="V28" s="3" t="n">
        <v>2</v>
      </c>
      <c r="W28" s="3" t="n">
        <v>3</v>
      </c>
      <c r="X28" s="3" t="n">
        <v>2</v>
      </c>
      <c r="Y28" s="3" t="n">
        <v>3</v>
      </c>
      <c r="Z28" s="3" t="n">
        <v>199</v>
      </c>
      <c r="AA28" s="3" t="n">
        <v>11</v>
      </c>
      <c r="AB28" s="3" t="n">
        <v>197</v>
      </c>
      <c r="AC28" s="3" t="n">
        <v>10</v>
      </c>
    </row>
    <row r="29">
      <c r="A29" s="3" t="inlineStr">
        <is>
          <t>GU-TDH-029</t>
        </is>
      </c>
      <c r="B29" s="3" t="inlineStr">
        <is>
          <t>GE</t>
        </is>
      </c>
      <c r="C29" s="3" t="n">
        <v>29</v>
      </c>
      <c r="D29" s="3" t="n">
        <v>1</v>
      </c>
      <c r="E29" s="3" t="n">
        <v>4</v>
      </c>
      <c r="F29" s="3" t="n">
        <v>2</v>
      </c>
      <c r="G29" s="6" t="n">
        <v>46308</v>
      </c>
      <c r="H29" s="3" t="n">
        <v>5</v>
      </c>
      <c r="I29" s="3" t="n">
        <v>4</v>
      </c>
      <c r="J29" s="3" t="n">
        <v>3</v>
      </c>
      <c r="K29" s="3" t="n">
        <v>2</v>
      </c>
      <c r="L29" s="3" t="n">
        <v>4</v>
      </c>
      <c r="M29" s="3" t="n">
        <v>3</v>
      </c>
      <c r="N29" s="3" t="n">
        <v>3</v>
      </c>
      <c r="O29" s="3" t="n">
        <v>2</v>
      </c>
      <c r="P29" s="3" t="n">
        <v>3</v>
      </c>
      <c r="Q29" s="3" t="n">
        <v>4</v>
      </c>
      <c r="R29" s="3" t="n">
        <v>3</v>
      </c>
      <c r="S29" s="3" t="n">
        <v>3</v>
      </c>
      <c r="T29" s="3" t="n">
        <v>3</v>
      </c>
      <c r="U29" s="3" t="n">
        <v>4</v>
      </c>
      <c r="V29" s="3" t="n">
        <v>4</v>
      </c>
      <c r="W29" s="3" t="n">
        <v>4</v>
      </c>
      <c r="X29" s="3" t="n">
        <v>4</v>
      </c>
      <c r="Y29" s="3" t="n">
        <v>5</v>
      </c>
      <c r="Z29" s="3" t="n">
        <v>161</v>
      </c>
      <c r="AA29" s="3" t="n">
        <v>9</v>
      </c>
      <c r="AB29" s="3" t="n">
        <v>166</v>
      </c>
      <c r="AC29" s="3" t="n">
        <v>7</v>
      </c>
    </row>
    <row r="30">
      <c r="A30" s="3" t="inlineStr">
        <is>
          <t>GU-TDH-030</t>
        </is>
      </c>
      <c r="B30" s="3" t="inlineStr">
        <is>
          <t>GE</t>
        </is>
      </c>
      <c r="C30" s="3" t="n">
        <v>27</v>
      </c>
      <c r="D30" s="3" t="n">
        <v>1</v>
      </c>
      <c r="E30" s="3" t="n">
        <v>8</v>
      </c>
      <c r="F30" s="3" t="n">
        <v>4</v>
      </c>
      <c r="G30" s="6" t="n">
        <v>46308</v>
      </c>
      <c r="H30" s="3" t="n">
        <v>3</v>
      </c>
      <c r="I30" s="3" t="n">
        <v>2</v>
      </c>
      <c r="J30" s="3" t="n">
        <v>3</v>
      </c>
      <c r="K30" s="3" t="n">
        <v>2</v>
      </c>
      <c r="L30" s="3" t="n">
        <v>3</v>
      </c>
      <c r="M30" s="3" t="n">
        <v>2</v>
      </c>
      <c r="N30" s="3" t="n">
        <v>3</v>
      </c>
      <c r="O30" s="3" t="n">
        <v>3</v>
      </c>
      <c r="P30" s="3" t="n">
        <v>4</v>
      </c>
      <c r="Q30" s="3" t="n">
        <v>3</v>
      </c>
      <c r="R30" s="3" t="n">
        <v>3</v>
      </c>
      <c r="S30" s="3" t="n">
        <v>2</v>
      </c>
      <c r="T30" s="3" t="n">
        <v>2</v>
      </c>
      <c r="U30" s="3" t="n">
        <v>2</v>
      </c>
      <c r="V30" s="3" t="n">
        <v>2</v>
      </c>
      <c r="W30" s="3" t="n">
        <v>1</v>
      </c>
      <c r="X30" s="3" t="n">
        <v>2</v>
      </c>
      <c r="Y30" s="3" t="n">
        <v>2</v>
      </c>
      <c r="Z30" s="3" t="n">
        <v>246</v>
      </c>
      <c r="AA30" s="3" t="n">
        <v>14</v>
      </c>
      <c r="AB30" s="3" t="n">
        <v>252</v>
      </c>
      <c r="AC30" s="3" t="n">
        <v>16</v>
      </c>
    </row>
    <row r="31">
      <c r="A31" s="3" t="inlineStr">
        <is>
          <t>GU-TDH-032</t>
        </is>
      </c>
      <c r="B31" s="3" t="inlineStr">
        <is>
          <t>GE</t>
        </is>
      </c>
      <c r="C31" s="3" t="n">
        <v>27</v>
      </c>
      <c r="D31" s="3" t="n">
        <v>2</v>
      </c>
      <c r="E31" s="3" t="n">
        <v>7</v>
      </c>
      <c r="F31" s="3" t="n">
        <v>2</v>
      </c>
      <c r="G31" s="6" t="n">
        <v>46313</v>
      </c>
      <c r="H31" s="3" t="n">
        <v>4</v>
      </c>
      <c r="I31" s="3" t="n">
        <v>1</v>
      </c>
      <c r="J31" s="3" t="n">
        <v>4</v>
      </c>
      <c r="K31" s="3" t="n">
        <v>3</v>
      </c>
      <c r="L31" s="3" t="n">
        <v>4</v>
      </c>
      <c r="M31" s="3" t="n">
        <v>1</v>
      </c>
      <c r="N31" s="3" t="n">
        <v>4</v>
      </c>
      <c r="O31" s="3" t="n">
        <v>2</v>
      </c>
      <c r="P31" s="3" t="n">
        <v>4</v>
      </c>
      <c r="Q31" s="3" t="n">
        <v>2</v>
      </c>
      <c r="R31" s="3" t="n">
        <v>3</v>
      </c>
      <c r="S31" s="3" t="n">
        <v>3</v>
      </c>
      <c r="T31" s="3" t="n">
        <v>2</v>
      </c>
      <c r="U31" s="3" t="n">
        <v>4</v>
      </c>
      <c r="V31" s="3" t="n">
        <v>3</v>
      </c>
      <c r="W31" s="3" t="n">
        <v>2</v>
      </c>
      <c r="X31" s="3" t="n">
        <v>4</v>
      </c>
      <c r="Y31" s="3" t="n">
        <v>2</v>
      </c>
      <c r="Z31" s="3" t="n">
        <v>235</v>
      </c>
      <c r="AA31" s="3" t="n">
        <v>14</v>
      </c>
      <c r="AB31" s="3" t="n">
        <v>229</v>
      </c>
      <c r="AC31" s="3" t="n">
        <v>12</v>
      </c>
    </row>
    <row r="32">
      <c r="A32" s="3" t="inlineStr">
        <is>
          <t>GU-TDH-033</t>
        </is>
      </c>
      <c r="B32" s="3" t="inlineStr">
        <is>
          <t>GE</t>
        </is>
      </c>
      <c r="C32" s="3" t="n">
        <v>31</v>
      </c>
      <c r="D32" s="3" t="n">
        <v>2</v>
      </c>
      <c r="E32" s="3" t="n">
        <v>10</v>
      </c>
      <c r="F32" s="3" t="n">
        <v>4</v>
      </c>
      <c r="G32" s="6" t="n">
        <v>46313</v>
      </c>
      <c r="H32" s="3" t="n">
        <v>4</v>
      </c>
      <c r="I32" s="3" t="n">
        <v>1</v>
      </c>
      <c r="J32" s="3" t="n">
        <v>4</v>
      </c>
      <c r="K32" s="3" t="n">
        <v>2</v>
      </c>
      <c r="L32" s="3" t="n">
        <v>3</v>
      </c>
      <c r="M32" s="3" t="n">
        <v>2</v>
      </c>
      <c r="N32" s="3" t="n">
        <v>4</v>
      </c>
      <c r="O32" s="3" t="n">
        <v>3</v>
      </c>
      <c r="P32" s="3" t="n">
        <v>2</v>
      </c>
      <c r="Q32" s="3" t="n">
        <v>2</v>
      </c>
      <c r="R32" s="3" t="n">
        <v>2</v>
      </c>
      <c r="S32" s="3" t="n">
        <v>1</v>
      </c>
      <c r="T32" s="3" t="n">
        <v>2</v>
      </c>
      <c r="U32" s="3" t="n">
        <v>2</v>
      </c>
      <c r="V32" s="3" t="n">
        <v>2</v>
      </c>
      <c r="W32" s="3" t="n">
        <v>3</v>
      </c>
      <c r="X32" s="3" t="n">
        <v>1</v>
      </c>
      <c r="Y32" s="3" t="n">
        <v>1</v>
      </c>
      <c r="Z32" s="3" t="n">
        <v>118</v>
      </c>
      <c r="AA32" s="3" t="n">
        <v>6</v>
      </c>
      <c r="AB32" s="3" t="n">
        <v>198</v>
      </c>
      <c r="AC32" s="3" t="n">
        <v>13</v>
      </c>
    </row>
    <row r="33">
      <c r="A33" s="3" t="inlineStr">
        <is>
          <t>GU-TDH-034</t>
        </is>
      </c>
      <c r="B33" s="3" t="inlineStr">
        <is>
          <t>GE</t>
        </is>
      </c>
      <c r="C33" s="3" t="n">
        <v>27</v>
      </c>
      <c r="D33" s="3" t="n">
        <v>1</v>
      </c>
      <c r="E33" s="3" t="n">
        <v>9</v>
      </c>
      <c r="F33" s="3" t="n">
        <v>4</v>
      </c>
      <c r="G33" s="6" t="n">
        <v>46310</v>
      </c>
      <c r="H33" s="3" t="n">
        <v>3</v>
      </c>
      <c r="I33" s="3" t="n">
        <v>4</v>
      </c>
      <c r="J33" s="3" t="n">
        <v>4</v>
      </c>
      <c r="K33" s="3" t="n">
        <v>4</v>
      </c>
      <c r="L33" s="3" t="n">
        <v>3</v>
      </c>
      <c r="M33" s="3" t="n">
        <v>2</v>
      </c>
      <c r="N33" s="3" t="n">
        <v>4</v>
      </c>
      <c r="O33" s="3" t="n">
        <v>2</v>
      </c>
      <c r="P33" s="3" t="n">
        <v>3</v>
      </c>
      <c r="Q33" s="3" t="n">
        <v>2</v>
      </c>
      <c r="R33" s="3" t="n">
        <v>3</v>
      </c>
      <c r="S33" s="3" t="n">
        <v>2</v>
      </c>
      <c r="T33" s="3" t="n">
        <v>1</v>
      </c>
      <c r="U33" s="3" t="n">
        <v>2</v>
      </c>
      <c r="V33" s="3" t="n">
        <v>3</v>
      </c>
      <c r="W33" s="3" t="n">
        <v>2</v>
      </c>
      <c r="X33" s="3" t="n">
        <v>4</v>
      </c>
      <c r="Y33" s="3" t="n">
        <v>3</v>
      </c>
      <c r="Z33" s="3" t="n">
        <v>205</v>
      </c>
      <c r="AA33" s="3" t="n">
        <v>14</v>
      </c>
      <c r="AB33" s="3" t="n">
        <v>184</v>
      </c>
      <c r="AC33" s="3" t="n">
        <v>8</v>
      </c>
    </row>
    <row r="34">
      <c r="A34" s="3" t="inlineStr">
        <is>
          <t>GU-TDH-035</t>
        </is>
      </c>
      <c r="B34" s="3" t="inlineStr">
        <is>
          <t>GE</t>
        </is>
      </c>
      <c r="C34" s="3" t="n">
        <v>39</v>
      </c>
      <c r="D34" s="3" t="n">
        <v>1</v>
      </c>
      <c r="E34" s="3" t="n">
        <v>12</v>
      </c>
      <c r="F34" s="3" t="n">
        <v>2</v>
      </c>
      <c r="G34" s="6" t="n">
        <v>46313</v>
      </c>
      <c r="H34" s="3" t="n">
        <v>3</v>
      </c>
      <c r="I34" s="3" t="n">
        <v>3</v>
      </c>
      <c r="J34" s="3" t="n">
        <v>3</v>
      </c>
      <c r="K34" s="3" t="n">
        <v>2</v>
      </c>
      <c r="L34" s="3" t="n">
        <v>1</v>
      </c>
      <c r="M34" s="3" t="n">
        <v>4</v>
      </c>
      <c r="N34" s="3" t="n">
        <v>3</v>
      </c>
      <c r="O34" s="3" t="n">
        <v>4</v>
      </c>
      <c r="P34" s="3" t="n">
        <v>3</v>
      </c>
      <c r="Q34" s="3" t="n">
        <v>5</v>
      </c>
      <c r="R34" s="3" t="n">
        <v>1</v>
      </c>
      <c r="S34" s="3" t="n">
        <v>2</v>
      </c>
      <c r="T34" s="3" t="n">
        <v>2</v>
      </c>
      <c r="U34" s="3" t="n">
        <v>1</v>
      </c>
      <c r="V34" s="3" t="n">
        <v>3</v>
      </c>
      <c r="W34" s="3" t="n">
        <v>2</v>
      </c>
      <c r="X34" s="3" t="n">
        <v>2</v>
      </c>
      <c r="Y34" s="3" t="n">
        <v>2</v>
      </c>
      <c r="Z34" s="3" t="n">
        <v>300</v>
      </c>
      <c r="AA34" s="3" t="n">
        <v>14</v>
      </c>
      <c r="AB34" s="3" t="n">
        <v>206</v>
      </c>
      <c r="AC34" s="3" t="n">
        <v>15</v>
      </c>
    </row>
    <row r="35">
      <c r="A35" s="3" t="inlineStr">
        <is>
          <t>GU-TDH-036</t>
        </is>
      </c>
      <c r="B35" s="3" t="inlineStr">
        <is>
          <t>GE</t>
        </is>
      </c>
      <c r="C35" s="3" t="n">
        <v>36</v>
      </c>
      <c r="D35" s="3" t="n">
        <v>1</v>
      </c>
      <c r="E35" s="3" t="n">
        <v>5</v>
      </c>
      <c r="F35" s="3" t="n">
        <v>2</v>
      </c>
      <c r="G35" s="6" t="n">
        <v>46309</v>
      </c>
      <c r="H35" s="3" t="n">
        <v>3</v>
      </c>
      <c r="I35" s="3" t="n">
        <v>4</v>
      </c>
      <c r="J35" s="3" t="n">
        <v>3</v>
      </c>
      <c r="K35" s="3" t="n">
        <v>4</v>
      </c>
      <c r="L35" s="3" t="n">
        <v>3</v>
      </c>
      <c r="M35" s="3" t="n">
        <v>2</v>
      </c>
      <c r="N35" s="3" t="n">
        <v>3</v>
      </c>
      <c r="O35" s="3" t="n">
        <v>2</v>
      </c>
      <c r="P35" s="3" t="n">
        <v>2</v>
      </c>
      <c r="Q35" s="3" t="n">
        <v>2</v>
      </c>
      <c r="R35" s="3" t="n">
        <v>2</v>
      </c>
      <c r="S35" s="3" t="n">
        <v>2</v>
      </c>
      <c r="T35" s="3" t="n">
        <v>4</v>
      </c>
      <c r="U35" s="3" t="n">
        <v>2</v>
      </c>
      <c r="V35" s="3" t="n">
        <v>3</v>
      </c>
      <c r="W35" s="3" t="n">
        <v>3</v>
      </c>
      <c r="X35" s="3" t="n">
        <v>4</v>
      </c>
      <c r="Y35" s="3" t="n">
        <v>2</v>
      </c>
      <c r="Z35" s="3" t="n">
        <v>246</v>
      </c>
      <c r="AA35" s="3" t="n">
        <v>9</v>
      </c>
      <c r="AB35" s="3" t="n">
        <v>231</v>
      </c>
      <c r="AC35" s="3" t="n">
        <v>15</v>
      </c>
    </row>
    <row r="36">
      <c r="A36" s="3" t="inlineStr">
        <is>
          <t>GU-TDH-038</t>
        </is>
      </c>
      <c r="B36" s="3" t="inlineStr">
        <is>
          <t>GE</t>
        </is>
      </c>
      <c r="C36" s="3" t="n">
        <v>27</v>
      </c>
      <c r="D36" s="3" t="n">
        <v>1</v>
      </c>
      <c r="E36" s="3" t="n">
        <v>7</v>
      </c>
      <c r="F36" s="3" t="n">
        <v>2</v>
      </c>
      <c r="G36" s="6" t="n">
        <v>46311</v>
      </c>
      <c r="H36" s="3" t="n">
        <v>4</v>
      </c>
      <c r="I36" s="3" t="n">
        <v>3</v>
      </c>
      <c r="J36" s="3" t="n">
        <v>4</v>
      </c>
      <c r="K36" s="3" t="n">
        <v>3</v>
      </c>
      <c r="L36" s="3" t="n">
        <v>4</v>
      </c>
      <c r="M36" s="3" t="n">
        <v>3</v>
      </c>
      <c r="N36" s="3" t="n">
        <v>4</v>
      </c>
      <c r="O36" s="3" t="n">
        <v>3</v>
      </c>
      <c r="P36" s="3" t="n">
        <v>3</v>
      </c>
      <c r="Q36" s="3" t="n">
        <v>2</v>
      </c>
      <c r="R36" s="3" t="n">
        <v>3</v>
      </c>
      <c r="S36" s="3" t="n">
        <v>2</v>
      </c>
      <c r="T36" s="3" t="n">
        <v>2</v>
      </c>
      <c r="U36" s="3" t="n">
        <v>2</v>
      </c>
      <c r="V36" s="3" t="n">
        <v>2</v>
      </c>
      <c r="W36" s="3" t="n">
        <v>3</v>
      </c>
      <c r="X36" s="3" t="n">
        <v>4</v>
      </c>
      <c r="Y36" s="3" t="n">
        <v>1</v>
      </c>
      <c r="Z36" s="3" t="n">
        <v>190</v>
      </c>
      <c r="AA36" s="3" t="n">
        <v>11</v>
      </c>
      <c r="AB36" s="3" t="n">
        <v>217</v>
      </c>
      <c r="AC36" s="3" t="n">
        <v>12</v>
      </c>
    </row>
    <row r="37">
      <c r="A37" s="3" t="inlineStr">
        <is>
          <t>GU-TDH-039</t>
        </is>
      </c>
      <c r="B37" s="3" t="inlineStr">
        <is>
          <t>GE</t>
        </is>
      </c>
      <c r="C37" s="3" t="n">
        <v>39</v>
      </c>
      <c r="D37" s="3" t="n">
        <v>2</v>
      </c>
      <c r="E37" s="3" t="n">
        <v>4</v>
      </c>
      <c r="F37" s="3" t="n">
        <v>2</v>
      </c>
      <c r="G37" s="6" t="n">
        <v>46311</v>
      </c>
      <c r="H37" s="3" t="n">
        <v>3</v>
      </c>
      <c r="I37" s="3" t="n">
        <v>3</v>
      </c>
      <c r="J37" s="3" t="n">
        <v>3</v>
      </c>
      <c r="K37" s="3" t="n">
        <v>4</v>
      </c>
      <c r="L37" s="3" t="n">
        <v>1</v>
      </c>
      <c r="M37" s="3" t="n">
        <v>3</v>
      </c>
      <c r="N37" s="3" t="n">
        <v>3</v>
      </c>
      <c r="O37" s="3" t="n">
        <v>3</v>
      </c>
      <c r="P37" s="3" t="n">
        <v>2</v>
      </c>
      <c r="Q37" s="3" t="n">
        <v>5</v>
      </c>
      <c r="R37" s="3" t="n">
        <v>2</v>
      </c>
      <c r="S37" s="3" t="n">
        <v>2</v>
      </c>
      <c r="T37" s="3" t="n">
        <v>2</v>
      </c>
      <c r="U37" s="3" t="n">
        <v>2</v>
      </c>
      <c r="V37" s="3" t="n">
        <v>2</v>
      </c>
      <c r="W37" s="3" t="n">
        <v>3</v>
      </c>
      <c r="X37" s="3" t="n">
        <v>2</v>
      </c>
      <c r="Y37" s="3" t="n">
        <v>2</v>
      </c>
      <c r="Z37" s="3" t="n">
        <v>221</v>
      </c>
      <c r="AA37" s="3" t="n">
        <v>13</v>
      </c>
      <c r="AB37" s="3" t="n">
        <v>199</v>
      </c>
      <c r="AC37" s="3" t="n">
        <v>8</v>
      </c>
    </row>
    <row r="38">
      <c r="A38" s="3" t="inlineStr">
        <is>
          <t>GU-TDH-040</t>
        </is>
      </c>
      <c r="B38" s="3" t="inlineStr">
        <is>
          <t>GE</t>
        </is>
      </c>
      <c r="C38" s="3" t="n">
        <v>29</v>
      </c>
      <c r="D38" s="3" t="n">
        <v>1</v>
      </c>
      <c r="E38" s="3" t="n">
        <v>9</v>
      </c>
      <c r="F38" s="3" t="n">
        <v>2</v>
      </c>
      <c r="G38" s="6" t="n">
        <v>46312</v>
      </c>
      <c r="H38" s="3" t="n">
        <v>4</v>
      </c>
      <c r="I38" s="3" t="n">
        <v>3</v>
      </c>
      <c r="J38" s="3" t="n">
        <v>4</v>
      </c>
      <c r="K38" s="3" t="n">
        <v>4</v>
      </c>
      <c r="L38" s="3" t="n">
        <v>2</v>
      </c>
      <c r="M38" s="3" t="n">
        <v>4</v>
      </c>
      <c r="N38" s="3" t="n">
        <v>3</v>
      </c>
      <c r="O38" s="3" t="n">
        <v>3</v>
      </c>
      <c r="P38" s="3" t="n">
        <v>3</v>
      </c>
      <c r="Q38" s="3" t="n">
        <v>4</v>
      </c>
      <c r="R38" s="3" t="n">
        <v>3</v>
      </c>
      <c r="S38" s="3" t="n">
        <v>3</v>
      </c>
      <c r="T38" s="3" t="n">
        <v>3</v>
      </c>
      <c r="U38" s="3" t="n">
        <v>2</v>
      </c>
      <c r="V38" s="3" t="n">
        <v>2</v>
      </c>
      <c r="W38" s="3" t="n">
        <v>3</v>
      </c>
      <c r="X38" s="3" t="n">
        <v>3</v>
      </c>
      <c r="Y38" s="3" t="n">
        <v>2</v>
      </c>
      <c r="Z38" s="3" t="n">
        <v>209</v>
      </c>
      <c r="AA38" s="3" t="n">
        <v>11</v>
      </c>
      <c r="AB38" s="3" t="n">
        <v>216</v>
      </c>
      <c r="AC38" s="3" t="n">
        <v>10</v>
      </c>
    </row>
    <row r="39">
      <c r="A39" s="3" t="inlineStr">
        <is>
          <t>GU-TDH-041</t>
        </is>
      </c>
      <c r="B39" s="3" t="inlineStr">
        <is>
          <t>GE</t>
        </is>
      </c>
      <c r="C39" s="3" t="n">
        <v>39</v>
      </c>
      <c r="D39" s="3" t="n">
        <v>1</v>
      </c>
      <c r="E39" s="3" t="n">
        <v>6</v>
      </c>
      <c r="F39" s="3" t="n">
        <v>4</v>
      </c>
      <c r="G39" s="6" t="n">
        <v>46313</v>
      </c>
      <c r="H39" s="3" t="n">
        <v>5</v>
      </c>
      <c r="I39" s="3" t="n">
        <v>2</v>
      </c>
      <c r="J39" s="3" t="n">
        <v>3</v>
      </c>
      <c r="K39" s="3" t="n">
        <v>3</v>
      </c>
      <c r="L39" s="3" t="n">
        <v>5</v>
      </c>
      <c r="M39" s="3" t="n">
        <v>3</v>
      </c>
      <c r="N39" s="3" t="n">
        <v>3</v>
      </c>
      <c r="O39" s="3" t="n">
        <v>2</v>
      </c>
      <c r="P39" s="3" t="n">
        <v>4</v>
      </c>
      <c r="Q39" s="3" t="n">
        <v>3</v>
      </c>
      <c r="R39" s="3" t="n">
        <v>3</v>
      </c>
      <c r="S39" s="3" t="n">
        <v>3</v>
      </c>
      <c r="T39" s="3" t="n">
        <v>4</v>
      </c>
      <c r="U39" s="3" t="n">
        <v>4</v>
      </c>
      <c r="V39" s="3" t="n">
        <v>3</v>
      </c>
      <c r="W39" s="3" t="n">
        <v>3</v>
      </c>
      <c r="X39" s="3" t="n">
        <v>3</v>
      </c>
      <c r="Y39" s="3" t="n">
        <v>3</v>
      </c>
      <c r="Z39" s="3" t="n">
        <v>137</v>
      </c>
      <c r="AA39" s="3" t="n">
        <v>7</v>
      </c>
      <c r="AB39" s="3" t="n">
        <v>300</v>
      </c>
      <c r="AC39" s="3" t="n">
        <v>13</v>
      </c>
    </row>
    <row r="40">
      <c r="A40" s="3" t="inlineStr">
        <is>
          <t>GU-TDH-042</t>
        </is>
      </c>
      <c r="B40" s="3" t="inlineStr">
        <is>
          <t>GE</t>
        </is>
      </c>
      <c r="C40" s="3" t="n">
        <v>27</v>
      </c>
      <c r="D40" s="3" t="n">
        <v>1</v>
      </c>
      <c r="E40" s="3" t="n">
        <v>6</v>
      </c>
      <c r="F40" s="3" t="n">
        <v>2</v>
      </c>
      <c r="G40" s="6" t="n">
        <v>46308</v>
      </c>
      <c r="H40" s="3" t="n">
        <v>3</v>
      </c>
      <c r="I40" s="3" t="n">
        <v>3</v>
      </c>
      <c r="J40" s="3" t="n">
        <v>4</v>
      </c>
      <c r="K40" s="3" t="n">
        <v>2</v>
      </c>
      <c r="L40" s="3" t="n">
        <v>5</v>
      </c>
      <c r="M40" s="3" t="n">
        <v>1</v>
      </c>
      <c r="N40" s="3" t="n">
        <v>5</v>
      </c>
      <c r="O40" s="3" t="n">
        <v>3</v>
      </c>
      <c r="P40" s="3" t="n">
        <v>3</v>
      </c>
      <c r="Q40" s="3" t="n">
        <v>1</v>
      </c>
      <c r="R40" s="3" t="n">
        <v>3</v>
      </c>
      <c r="S40" s="3" t="n">
        <v>2</v>
      </c>
      <c r="T40" s="3" t="n">
        <v>2</v>
      </c>
      <c r="U40" s="3" t="n">
        <v>2</v>
      </c>
      <c r="V40" s="3" t="n">
        <v>3</v>
      </c>
      <c r="W40" s="3" t="n">
        <v>2</v>
      </c>
      <c r="X40" s="3" t="n">
        <v>3</v>
      </c>
      <c r="Y40" s="3" t="n">
        <v>2</v>
      </c>
      <c r="Z40" s="3" t="n">
        <v>233</v>
      </c>
      <c r="AA40" s="3" t="n">
        <v>9</v>
      </c>
      <c r="AB40" s="3" t="n">
        <v>239</v>
      </c>
      <c r="AC40" s="3" t="n">
        <v>13</v>
      </c>
    </row>
    <row r="41">
      <c r="A41" s="3" t="inlineStr">
        <is>
          <t>GU-TDH-043</t>
        </is>
      </c>
      <c r="B41" s="3" t="inlineStr">
        <is>
          <t>GE</t>
        </is>
      </c>
      <c r="C41" s="3" t="n">
        <v>31</v>
      </c>
      <c r="D41" s="3" t="n">
        <v>2</v>
      </c>
      <c r="E41" s="3" t="n">
        <v>5</v>
      </c>
      <c r="F41" s="3" t="n">
        <v>4</v>
      </c>
      <c r="G41" s="6" t="n">
        <v>46309</v>
      </c>
      <c r="H41" s="3" t="n">
        <v>2</v>
      </c>
      <c r="I41" s="3" t="n">
        <v>3</v>
      </c>
      <c r="J41" s="3" t="n">
        <v>1</v>
      </c>
      <c r="K41" s="3" t="n">
        <v>3</v>
      </c>
      <c r="L41" s="3" t="n">
        <v>2</v>
      </c>
      <c r="M41" s="3" t="n">
        <v>3</v>
      </c>
      <c r="N41" s="3" t="n">
        <v>1</v>
      </c>
      <c r="O41" s="3" t="n">
        <v>3</v>
      </c>
      <c r="P41" s="3" t="n">
        <v>2</v>
      </c>
      <c r="Q41" s="3" t="n">
        <v>3</v>
      </c>
      <c r="R41" s="3" t="n">
        <v>3</v>
      </c>
      <c r="S41" s="3" t="n">
        <v>1</v>
      </c>
      <c r="T41" s="3" t="n">
        <v>2</v>
      </c>
      <c r="U41" s="3" t="n">
        <v>2</v>
      </c>
      <c r="V41" s="3" t="n">
        <v>3</v>
      </c>
      <c r="W41" s="3" t="n">
        <v>2</v>
      </c>
      <c r="X41" s="3" t="n">
        <v>2</v>
      </c>
      <c r="Y41" s="3" t="n">
        <v>2</v>
      </c>
      <c r="Z41" s="3" t="n">
        <v>282</v>
      </c>
      <c r="AA41" s="3" t="n">
        <v>12</v>
      </c>
      <c r="AB41" s="3" t="n">
        <v>238</v>
      </c>
      <c r="AC41" s="3" t="n">
        <v>8</v>
      </c>
    </row>
    <row r="42">
      <c r="A42" s="3" t="inlineStr">
        <is>
          <t>GU-TDH-045</t>
        </is>
      </c>
      <c r="B42" s="3" t="inlineStr">
        <is>
          <t>GE</t>
        </is>
      </c>
      <c r="C42" s="3" t="n">
        <v>28</v>
      </c>
      <c r="D42" s="3" t="n">
        <v>1</v>
      </c>
      <c r="E42" s="3" t="n">
        <v>17</v>
      </c>
      <c r="F42" s="3" t="n">
        <v>4</v>
      </c>
      <c r="G42" s="6" t="n">
        <v>46309</v>
      </c>
      <c r="H42" s="3" t="n">
        <v>3</v>
      </c>
      <c r="I42" s="3" t="n">
        <v>3</v>
      </c>
      <c r="J42" s="3" t="n">
        <v>4</v>
      </c>
      <c r="K42" s="3" t="n">
        <v>3</v>
      </c>
      <c r="L42" s="3" t="n">
        <v>5</v>
      </c>
      <c r="M42" s="3" t="n">
        <v>3</v>
      </c>
      <c r="N42" s="3" t="n">
        <v>3</v>
      </c>
      <c r="O42" s="3" t="n">
        <v>2</v>
      </c>
      <c r="P42" s="3" t="n">
        <v>4</v>
      </c>
      <c r="Q42" s="3" t="n">
        <v>2</v>
      </c>
      <c r="R42" s="3" t="n">
        <v>3</v>
      </c>
      <c r="S42" s="3" t="n">
        <v>3</v>
      </c>
      <c r="T42" s="3" t="n">
        <v>4</v>
      </c>
      <c r="U42" s="3" t="n">
        <v>3</v>
      </c>
      <c r="V42" s="3" t="n">
        <v>4</v>
      </c>
      <c r="W42" s="3" t="n">
        <v>3</v>
      </c>
      <c r="X42" s="3" t="n">
        <v>3</v>
      </c>
      <c r="Y42" s="3" t="n">
        <v>4</v>
      </c>
      <c r="Z42" s="3" t="n">
        <v>233</v>
      </c>
      <c r="AA42" s="3" t="n">
        <v>12</v>
      </c>
      <c r="AB42" s="3" t="n">
        <v>129</v>
      </c>
      <c r="AC42" s="3" t="n">
        <v>5</v>
      </c>
    </row>
    <row r="43">
      <c r="A43" s="3" t="inlineStr">
        <is>
          <t>GU-TDH-047</t>
        </is>
      </c>
      <c r="B43" s="3" t="inlineStr">
        <is>
          <t>GE</t>
        </is>
      </c>
      <c r="C43" s="3" t="n">
        <v>24</v>
      </c>
      <c r="D43" s="3" t="n">
        <v>2</v>
      </c>
      <c r="E43" s="3" t="n">
        <v>14</v>
      </c>
      <c r="F43" s="3" t="n">
        <v>2</v>
      </c>
      <c r="G43" s="6" t="n">
        <v>46311</v>
      </c>
      <c r="H43" s="3" t="n">
        <v>2</v>
      </c>
      <c r="I43" s="3" t="n">
        <v>4</v>
      </c>
      <c r="J43" s="3" t="n">
        <v>2</v>
      </c>
      <c r="K43" s="3" t="n">
        <v>4</v>
      </c>
      <c r="L43" s="3" t="n">
        <v>3</v>
      </c>
      <c r="M43" s="3" t="n">
        <v>3</v>
      </c>
      <c r="N43" s="3" t="n">
        <v>2</v>
      </c>
      <c r="O43" s="3" t="n">
        <v>4</v>
      </c>
      <c r="P43" s="3" t="n">
        <v>2</v>
      </c>
      <c r="Q43" s="3" t="n">
        <v>4</v>
      </c>
      <c r="R43" s="3" t="n">
        <v>2</v>
      </c>
      <c r="S43" s="3" t="n">
        <v>2</v>
      </c>
      <c r="T43" s="3" t="n">
        <v>2</v>
      </c>
      <c r="U43" s="3" t="n">
        <v>1</v>
      </c>
      <c r="V43" s="3" t="n">
        <v>3</v>
      </c>
      <c r="W43" s="3" t="n">
        <v>2</v>
      </c>
      <c r="X43" s="3" t="n">
        <v>1</v>
      </c>
      <c r="Y43" s="3" t="n">
        <v>3</v>
      </c>
      <c r="Z43" s="3" t="n">
        <v>298</v>
      </c>
      <c r="AA43" s="3" t="n">
        <v>18</v>
      </c>
      <c r="AB43" s="3" t="n">
        <v>84</v>
      </c>
      <c r="AC43" s="3" t="n">
        <v>10</v>
      </c>
    </row>
    <row r="44">
      <c r="A44" s="3" t="inlineStr">
        <is>
          <t>GU-TDH-048</t>
        </is>
      </c>
      <c r="B44" s="3" t="inlineStr">
        <is>
          <t>GE</t>
        </is>
      </c>
      <c r="C44" s="3" t="n">
        <v>33</v>
      </c>
      <c r="D44" s="3" t="n">
        <v>1</v>
      </c>
      <c r="E44" s="3" t="n">
        <v>8</v>
      </c>
      <c r="F44" s="3" t="n">
        <v>4</v>
      </c>
      <c r="G44" s="6" t="n">
        <v>46311</v>
      </c>
      <c r="H44" s="3" t="n">
        <v>3</v>
      </c>
      <c r="I44" s="3" t="n">
        <v>4</v>
      </c>
      <c r="J44" s="3" t="n">
        <v>3</v>
      </c>
      <c r="K44" s="3" t="n">
        <v>3</v>
      </c>
      <c r="L44" s="3" t="n">
        <v>2</v>
      </c>
      <c r="M44" s="3" t="n">
        <v>2</v>
      </c>
      <c r="N44" s="3" t="n">
        <v>5</v>
      </c>
      <c r="O44" s="3" t="n">
        <v>2</v>
      </c>
      <c r="P44" s="3" t="n">
        <v>3</v>
      </c>
      <c r="Q44" s="3" t="n">
        <v>3</v>
      </c>
      <c r="R44" s="3" t="n">
        <v>4</v>
      </c>
      <c r="S44" s="3" t="n">
        <v>3</v>
      </c>
      <c r="T44" s="3" t="n">
        <v>5</v>
      </c>
      <c r="U44" s="3" t="n">
        <v>4</v>
      </c>
      <c r="V44" s="3" t="n">
        <v>4</v>
      </c>
      <c r="W44" s="3" t="n">
        <v>3</v>
      </c>
      <c r="X44" s="3" t="n">
        <v>3</v>
      </c>
      <c r="Y44" s="3" t="n">
        <v>4</v>
      </c>
      <c r="Z44" s="3" t="n">
        <v>238</v>
      </c>
      <c r="AA44" s="3" t="n">
        <v>14</v>
      </c>
      <c r="AB44" s="3" t="n">
        <v>200</v>
      </c>
      <c r="AC44" s="3" t="n">
        <v>9</v>
      </c>
    </row>
    <row r="45">
      <c r="A45" s="3" t="inlineStr">
        <is>
          <t>GU-TDH-049</t>
        </is>
      </c>
      <c r="B45" s="3" t="inlineStr">
        <is>
          <t>GE</t>
        </is>
      </c>
      <c r="C45" s="3" t="n">
        <v>29</v>
      </c>
      <c r="D45" s="3" t="n">
        <v>1</v>
      </c>
      <c r="E45" s="3" t="n">
        <v>9</v>
      </c>
      <c r="F45" s="3" t="n">
        <v>4</v>
      </c>
      <c r="G45" s="6" t="n">
        <v>46308</v>
      </c>
      <c r="H45" s="3" t="n">
        <v>3</v>
      </c>
      <c r="I45" s="3" t="n">
        <v>4</v>
      </c>
      <c r="J45" s="3" t="n">
        <v>3</v>
      </c>
      <c r="K45" s="3" t="n">
        <v>3</v>
      </c>
      <c r="L45" s="3" t="n">
        <v>3</v>
      </c>
      <c r="M45" s="3" t="n">
        <v>2</v>
      </c>
      <c r="N45" s="3" t="n">
        <v>3</v>
      </c>
      <c r="O45" s="3" t="n">
        <v>4</v>
      </c>
      <c r="P45" s="3" t="n">
        <v>4</v>
      </c>
      <c r="Q45" s="3" t="n">
        <v>5</v>
      </c>
      <c r="R45" s="3" t="n">
        <v>3</v>
      </c>
      <c r="S45" s="3" t="n">
        <v>2</v>
      </c>
      <c r="T45" s="3" t="n">
        <v>3</v>
      </c>
      <c r="U45" s="3" t="n">
        <v>4</v>
      </c>
      <c r="V45" s="3" t="n">
        <v>4</v>
      </c>
      <c r="W45" s="3" t="n">
        <v>3</v>
      </c>
      <c r="X45" s="3" t="n">
        <v>3</v>
      </c>
      <c r="Y45" s="3" t="n">
        <v>3</v>
      </c>
      <c r="Z45" s="3" t="n">
        <v>287</v>
      </c>
      <c r="AA45" s="3" t="n">
        <v>14</v>
      </c>
      <c r="AB45" s="3" t="n">
        <v>235</v>
      </c>
      <c r="AC45" s="3" t="n">
        <v>11</v>
      </c>
    </row>
    <row r="46">
      <c r="A46" s="3" t="inlineStr">
        <is>
          <t>GU-TDH-050</t>
        </is>
      </c>
      <c r="B46" s="3" t="inlineStr">
        <is>
          <t>GE</t>
        </is>
      </c>
      <c r="C46" s="3" t="n">
        <v>30</v>
      </c>
      <c r="D46" s="3" t="n">
        <v>2</v>
      </c>
      <c r="E46" s="3" t="n">
        <v>17</v>
      </c>
      <c r="F46" s="3" t="n">
        <v>4</v>
      </c>
      <c r="G46" s="6" t="n">
        <v>46310</v>
      </c>
      <c r="H46" s="3" t="n">
        <v>3</v>
      </c>
      <c r="I46" s="3" t="n">
        <v>4</v>
      </c>
      <c r="J46" s="3" t="n">
        <v>2</v>
      </c>
      <c r="K46" s="3" t="n">
        <v>3</v>
      </c>
      <c r="L46" s="3" t="n">
        <v>2</v>
      </c>
      <c r="M46" s="3" t="n">
        <v>4</v>
      </c>
      <c r="N46" s="3" t="n">
        <v>3</v>
      </c>
      <c r="O46" s="3" t="n">
        <v>3</v>
      </c>
      <c r="P46" s="3" t="n">
        <v>4</v>
      </c>
      <c r="Q46" s="3" t="n">
        <v>4</v>
      </c>
      <c r="R46" s="3" t="n">
        <v>2</v>
      </c>
      <c r="S46" s="3" t="n">
        <v>2</v>
      </c>
      <c r="T46" s="3" t="n">
        <v>3</v>
      </c>
      <c r="U46" s="3" t="n">
        <v>2</v>
      </c>
      <c r="V46" s="3" t="n">
        <v>3</v>
      </c>
      <c r="W46" s="3" t="n">
        <v>1</v>
      </c>
      <c r="X46" s="3" t="n">
        <v>1</v>
      </c>
      <c r="Y46" s="3" t="n">
        <v>2</v>
      </c>
      <c r="Z46" s="3" t="n">
        <v>193</v>
      </c>
      <c r="AA46" s="3" t="n">
        <v>6</v>
      </c>
      <c r="AB46" s="3" t="n">
        <v>209</v>
      </c>
      <c r="AC46" s="3" t="n">
        <v>13</v>
      </c>
    </row>
    <row r="47">
      <c r="A47" s="3" t="inlineStr">
        <is>
          <t>GU-TDH-051</t>
        </is>
      </c>
      <c r="B47" s="3" t="inlineStr">
        <is>
          <t>GE</t>
        </is>
      </c>
      <c r="C47" s="3" t="n">
        <v>39</v>
      </c>
      <c r="D47" s="3" t="n">
        <v>1</v>
      </c>
      <c r="E47" s="3" t="n">
        <v>10</v>
      </c>
      <c r="F47" s="3" t="n">
        <v>2</v>
      </c>
      <c r="G47" s="6" t="n">
        <v>46312</v>
      </c>
      <c r="H47" s="3" t="n">
        <v>3</v>
      </c>
      <c r="I47" s="3" t="n">
        <v>2</v>
      </c>
      <c r="J47" s="3" t="n">
        <v>4</v>
      </c>
      <c r="K47" s="3" t="n">
        <v>2</v>
      </c>
      <c r="L47" s="3" t="n">
        <v>3</v>
      </c>
      <c r="M47" s="3" t="n">
        <v>2</v>
      </c>
      <c r="N47" s="3" t="n">
        <v>3</v>
      </c>
      <c r="O47" s="3" t="n">
        <v>2</v>
      </c>
      <c r="P47" s="3" t="n">
        <v>2</v>
      </c>
      <c r="Q47" s="3" t="n">
        <v>2</v>
      </c>
      <c r="R47" s="3" t="n">
        <v>4</v>
      </c>
      <c r="S47" s="3" t="n">
        <v>2</v>
      </c>
      <c r="T47" s="3" t="n">
        <v>2</v>
      </c>
      <c r="U47" s="3" t="n">
        <v>2</v>
      </c>
      <c r="V47" s="3" t="n">
        <v>4</v>
      </c>
      <c r="W47" s="3" t="n">
        <v>2</v>
      </c>
      <c r="X47" s="3" t="n">
        <v>2</v>
      </c>
      <c r="Y47" s="3" t="n">
        <v>2</v>
      </c>
      <c r="Z47" s="3" t="n">
        <v>202</v>
      </c>
      <c r="AA47" s="3" t="n">
        <v>11</v>
      </c>
      <c r="AB47" s="3" t="n">
        <v>212</v>
      </c>
      <c r="AC47" s="3" t="n">
        <v>9</v>
      </c>
    </row>
    <row r="48">
      <c r="A48" s="3" t="inlineStr">
        <is>
          <t>GU-TDH-052</t>
        </is>
      </c>
      <c r="B48" s="3" t="inlineStr">
        <is>
          <t>GE</t>
        </is>
      </c>
      <c r="C48" s="3" t="n">
        <v>27</v>
      </c>
      <c r="D48" s="3" t="n">
        <v>1</v>
      </c>
      <c r="E48" s="3" t="n">
        <v>7</v>
      </c>
      <c r="F48" s="3" t="n">
        <v>4</v>
      </c>
      <c r="G48" s="6" t="n">
        <v>46310</v>
      </c>
      <c r="H48" s="3" t="n">
        <v>4</v>
      </c>
      <c r="I48" s="3" t="n">
        <v>4</v>
      </c>
      <c r="J48" s="3" t="n">
        <v>3</v>
      </c>
      <c r="K48" s="3" t="n">
        <v>2</v>
      </c>
      <c r="L48" s="3" t="n">
        <v>3</v>
      </c>
      <c r="M48" s="3" t="n">
        <v>4</v>
      </c>
      <c r="N48" s="3" t="n">
        <v>3</v>
      </c>
      <c r="O48" s="3" t="n">
        <v>3</v>
      </c>
      <c r="P48" s="3" t="n">
        <v>3</v>
      </c>
      <c r="Q48" s="3" t="n">
        <v>4</v>
      </c>
      <c r="R48" s="3" t="n">
        <v>2</v>
      </c>
      <c r="S48" s="3" t="n">
        <v>2</v>
      </c>
      <c r="T48" s="3" t="n">
        <v>2</v>
      </c>
      <c r="U48" s="3" t="n">
        <v>3</v>
      </c>
      <c r="V48" s="3" t="n">
        <v>3</v>
      </c>
      <c r="W48" s="3" t="n">
        <v>3</v>
      </c>
      <c r="X48" s="3" t="n">
        <v>2</v>
      </c>
      <c r="Y48" s="3" t="n">
        <v>1</v>
      </c>
      <c r="Z48" s="3" t="n">
        <v>283</v>
      </c>
      <c r="AA48" s="3" t="n">
        <v>19</v>
      </c>
      <c r="AB48" s="3" t="n">
        <v>220</v>
      </c>
      <c r="AC48" s="3" t="n">
        <v>10</v>
      </c>
    </row>
    <row r="49">
      <c r="A49" s="3" t="inlineStr">
        <is>
          <t>GU-TDH-053</t>
        </is>
      </c>
      <c r="B49" s="3" t="inlineStr">
        <is>
          <t>GE</t>
        </is>
      </c>
      <c r="C49" s="3" t="n">
        <v>31</v>
      </c>
      <c r="D49" s="3" t="n">
        <v>2</v>
      </c>
      <c r="E49" s="3" t="n">
        <v>7</v>
      </c>
      <c r="F49" s="3" t="n">
        <v>1</v>
      </c>
      <c r="G49" s="6" t="n">
        <v>46311</v>
      </c>
      <c r="H49" s="3" t="n">
        <v>2</v>
      </c>
      <c r="I49" s="3" t="n">
        <v>2</v>
      </c>
      <c r="J49" s="3" t="n">
        <v>4</v>
      </c>
      <c r="K49" s="3" t="n">
        <v>2</v>
      </c>
      <c r="L49" s="3" t="n">
        <v>4</v>
      </c>
      <c r="M49" s="3" t="n">
        <v>2</v>
      </c>
      <c r="N49" s="3" t="n">
        <v>3</v>
      </c>
      <c r="O49" s="3" t="n">
        <v>3</v>
      </c>
      <c r="P49" s="3" t="n">
        <v>3</v>
      </c>
      <c r="Q49" s="3" t="n">
        <v>2</v>
      </c>
      <c r="R49" s="3" t="n">
        <v>4</v>
      </c>
      <c r="S49" s="3" t="n">
        <v>3</v>
      </c>
      <c r="T49" s="3" t="n">
        <v>2</v>
      </c>
      <c r="U49" s="3" t="n">
        <v>3</v>
      </c>
      <c r="V49" s="3" t="n">
        <v>3</v>
      </c>
      <c r="W49" s="3" t="n">
        <v>4</v>
      </c>
      <c r="X49" s="3" t="n">
        <v>4</v>
      </c>
      <c r="Y49" s="3" t="n">
        <v>2</v>
      </c>
      <c r="Z49" s="3" t="n">
        <v>215</v>
      </c>
      <c r="AA49" s="3" t="n">
        <v>14</v>
      </c>
      <c r="AB49" s="3" t="n">
        <v>251</v>
      </c>
      <c r="AC49" s="3" t="n">
        <v>13</v>
      </c>
    </row>
    <row r="50">
      <c r="A50" s="3" t="inlineStr">
        <is>
          <t>GU-TDH-054</t>
        </is>
      </c>
      <c r="B50" s="3" t="inlineStr">
        <is>
          <t>GE</t>
        </is>
      </c>
      <c r="C50" s="3" t="n">
        <v>31</v>
      </c>
      <c r="D50" s="3" t="n">
        <v>2</v>
      </c>
      <c r="E50" s="3" t="n">
        <v>8</v>
      </c>
      <c r="F50" s="3" t="n">
        <v>4</v>
      </c>
      <c r="G50" s="6" t="n">
        <v>46311</v>
      </c>
      <c r="H50" s="3" t="n">
        <v>5</v>
      </c>
      <c r="I50" s="3" t="n">
        <v>2</v>
      </c>
      <c r="J50" s="3" t="n">
        <v>3</v>
      </c>
      <c r="K50" s="3" t="n">
        <v>1</v>
      </c>
      <c r="L50" s="3" t="n">
        <v>4</v>
      </c>
      <c r="M50" s="3" t="n">
        <v>3</v>
      </c>
      <c r="N50" s="3" t="n">
        <v>3</v>
      </c>
      <c r="O50" s="3" t="n">
        <v>3</v>
      </c>
      <c r="P50" s="3" t="n">
        <v>3</v>
      </c>
      <c r="Q50" s="3" t="n">
        <v>4</v>
      </c>
      <c r="R50" s="3" t="n">
        <v>3</v>
      </c>
      <c r="S50" s="3" t="n">
        <v>5</v>
      </c>
      <c r="T50" s="3" t="n">
        <v>2</v>
      </c>
      <c r="U50" s="3" t="n">
        <v>4</v>
      </c>
      <c r="V50" s="3" t="n">
        <v>3</v>
      </c>
      <c r="W50" s="3" t="n">
        <v>3</v>
      </c>
      <c r="X50" s="3" t="n">
        <v>4</v>
      </c>
      <c r="Y50" s="3" t="n">
        <v>3</v>
      </c>
      <c r="Z50" s="3" t="n">
        <v>223</v>
      </c>
      <c r="AA50" s="3" t="n">
        <v>8</v>
      </c>
      <c r="AB50" s="3" t="n">
        <v>242</v>
      </c>
      <c r="AC50" s="3" t="n">
        <v>12</v>
      </c>
    </row>
    <row r="51">
      <c r="A51" s="3" t="inlineStr">
        <is>
          <t>GU-TDH-056</t>
        </is>
      </c>
      <c r="B51" s="3" t="inlineStr">
        <is>
          <t>GE</t>
        </is>
      </c>
      <c r="C51" s="3" t="n">
        <v>34</v>
      </c>
      <c r="D51" s="3" t="n">
        <v>1</v>
      </c>
      <c r="E51" s="3" t="n">
        <v>12</v>
      </c>
      <c r="F51" s="3" t="n">
        <v>4</v>
      </c>
      <c r="G51" s="6" t="n">
        <v>46311</v>
      </c>
      <c r="H51" s="3" t="n">
        <v>4</v>
      </c>
      <c r="I51" s="3" t="n">
        <v>4</v>
      </c>
      <c r="J51" s="3" t="n">
        <v>2</v>
      </c>
      <c r="K51" s="3" t="n">
        <v>3</v>
      </c>
      <c r="L51" s="3" t="n">
        <v>3</v>
      </c>
      <c r="M51" s="3" t="n">
        <v>4</v>
      </c>
      <c r="N51" s="3" t="n">
        <v>3</v>
      </c>
      <c r="O51" s="3" t="n">
        <v>3</v>
      </c>
      <c r="P51" s="3" t="n">
        <v>3</v>
      </c>
      <c r="Q51" s="3" t="n">
        <v>3</v>
      </c>
      <c r="R51" s="3" t="n">
        <v>5</v>
      </c>
      <c r="S51" s="3" t="n">
        <v>5</v>
      </c>
      <c r="T51" s="3" t="n">
        <v>4</v>
      </c>
      <c r="U51" s="3" t="n">
        <v>4</v>
      </c>
      <c r="V51" s="3" t="n">
        <v>5</v>
      </c>
      <c r="W51" s="3" t="n">
        <v>3</v>
      </c>
      <c r="X51" s="3" t="n">
        <v>3</v>
      </c>
      <c r="Y51" s="3" t="n">
        <v>4</v>
      </c>
      <c r="Z51" s="3" t="n">
        <v>230</v>
      </c>
      <c r="AA51" s="3" t="n">
        <v>8</v>
      </c>
      <c r="AB51" s="3" t="n">
        <v>249</v>
      </c>
      <c r="AC51" s="3" t="n">
        <v>12</v>
      </c>
    </row>
    <row r="52">
      <c r="A52" s="3" t="inlineStr">
        <is>
          <t>GU-TDH-057</t>
        </is>
      </c>
      <c r="B52" s="3" t="inlineStr">
        <is>
          <t>GE</t>
        </is>
      </c>
      <c r="C52" s="3" t="n">
        <v>21</v>
      </c>
      <c r="D52" s="3" t="n">
        <v>1</v>
      </c>
      <c r="E52" s="3" t="n">
        <v>9</v>
      </c>
      <c r="F52" s="3" t="n">
        <v>4</v>
      </c>
      <c r="G52" s="6" t="n">
        <v>46307</v>
      </c>
      <c r="H52" s="3" t="n">
        <v>4</v>
      </c>
      <c r="I52" s="3" t="n">
        <v>2</v>
      </c>
      <c r="J52" s="3" t="n">
        <v>3</v>
      </c>
      <c r="K52" s="3" t="n">
        <v>2</v>
      </c>
      <c r="L52" s="3" t="n">
        <v>3</v>
      </c>
      <c r="M52" s="3" t="n">
        <v>3</v>
      </c>
      <c r="N52" s="3" t="n">
        <v>3</v>
      </c>
      <c r="O52" s="3" t="n">
        <v>4</v>
      </c>
      <c r="P52" s="3" t="n">
        <v>2</v>
      </c>
      <c r="Q52" s="3" t="n">
        <v>2</v>
      </c>
      <c r="R52" s="3" t="n">
        <v>3</v>
      </c>
      <c r="S52" s="3" t="n">
        <v>3</v>
      </c>
      <c r="T52" s="3" t="n">
        <v>2</v>
      </c>
      <c r="U52" s="3" t="n">
        <v>2</v>
      </c>
      <c r="V52" s="3" t="n">
        <v>3</v>
      </c>
      <c r="W52" s="3" t="n">
        <v>2</v>
      </c>
      <c r="X52" s="3" t="n">
        <v>2</v>
      </c>
      <c r="Y52" s="3" t="n">
        <v>2</v>
      </c>
      <c r="Z52" s="3" t="n">
        <v>300</v>
      </c>
      <c r="AA52" s="3" t="n">
        <v>15</v>
      </c>
      <c r="AB52" s="3" t="n">
        <v>264</v>
      </c>
      <c r="AC52" s="3" t="n">
        <v>17</v>
      </c>
    </row>
    <row r="53">
      <c r="A53" s="3" t="inlineStr">
        <is>
          <t>GU-TDH-058</t>
        </is>
      </c>
      <c r="B53" s="3" t="inlineStr">
        <is>
          <t>GE</t>
        </is>
      </c>
      <c r="C53" s="3" t="n">
        <v>25</v>
      </c>
      <c r="D53" s="3" t="n">
        <v>2</v>
      </c>
      <c r="E53" s="3" t="n">
        <v>4</v>
      </c>
      <c r="F53" s="3" t="n">
        <v>4</v>
      </c>
      <c r="G53" s="6" t="n">
        <v>46308</v>
      </c>
      <c r="H53" s="3" t="n">
        <v>4</v>
      </c>
      <c r="I53" s="3" t="n">
        <v>4</v>
      </c>
      <c r="J53" s="3" t="n">
        <v>4</v>
      </c>
      <c r="K53" s="3" t="n">
        <v>1</v>
      </c>
      <c r="L53" s="3" t="n">
        <v>5</v>
      </c>
      <c r="M53" s="3" t="n">
        <v>2</v>
      </c>
      <c r="N53" s="3" t="n">
        <v>4</v>
      </c>
      <c r="O53" s="3" t="n">
        <v>1</v>
      </c>
      <c r="P53" s="3" t="n">
        <v>4</v>
      </c>
      <c r="Q53" s="3" t="n">
        <v>1</v>
      </c>
      <c r="R53" s="3" t="n">
        <v>3</v>
      </c>
      <c r="S53" s="3" t="n">
        <v>3</v>
      </c>
      <c r="T53" s="3" t="n">
        <v>3</v>
      </c>
      <c r="U53" s="3" t="n">
        <v>4</v>
      </c>
      <c r="V53" s="3" t="n">
        <v>2</v>
      </c>
      <c r="W53" s="3" t="n">
        <v>1</v>
      </c>
      <c r="X53" s="3" t="n">
        <v>3</v>
      </c>
      <c r="Y53" s="3" t="n">
        <v>4</v>
      </c>
      <c r="Z53" s="3" t="n">
        <v>203</v>
      </c>
      <c r="AA53" s="3" t="n">
        <v>11</v>
      </c>
      <c r="AB53" s="3" t="n">
        <v>69</v>
      </c>
      <c r="AC53" s="3" t="n">
        <v>2</v>
      </c>
    </row>
    <row r="54">
      <c r="A54" s="3" t="inlineStr">
        <is>
          <t>GU-TDH-060</t>
        </is>
      </c>
      <c r="B54" s="3" t="inlineStr">
        <is>
          <t>GE</t>
        </is>
      </c>
      <c r="C54" s="3" t="n">
        <v>36</v>
      </c>
      <c r="D54" s="3" t="n">
        <v>1</v>
      </c>
      <c r="E54" s="3" t="n">
        <v>12</v>
      </c>
      <c r="F54" s="3" t="n">
        <v>2</v>
      </c>
      <c r="G54" s="6" t="n">
        <v>46311</v>
      </c>
      <c r="H54" s="3" t="n">
        <v>2</v>
      </c>
      <c r="I54" s="3" t="n">
        <v>2</v>
      </c>
      <c r="J54" s="3" t="n">
        <v>3</v>
      </c>
      <c r="K54" s="3" t="n">
        <v>3</v>
      </c>
      <c r="L54" s="3" t="n">
        <v>4</v>
      </c>
      <c r="M54" s="3" t="n">
        <v>3</v>
      </c>
      <c r="N54" s="3" t="n">
        <v>2</v>
      </c>
      <c r="O54" s="3" t="n">
        <v>2</v>
      </c>
      <c r="P54" s="3" t="n">
        <v>3</v>
      </c>
      <c r="Q54" s="3" t="n">
        <v>3</v>
      </c>
      <c r="R54" s="3" t="n">
        <v>3</v>
      </c>
      <c r="S54" s="3" t="n">
        <v>1</v>
      </c>
      <c r="T54" s="3" t="n">
        <v>3</v>
      </c>
      <c r="U54" s="3" t="n">
        <v>3</v>
      </c>
      <c r="V54" s="3" t="n">
        <v>3</v>
      </c>
      <c r="W54" s="3" t="n">
        <v>3</v>
      </c>
      <c r="X54" s="3" t="n">
        <v>3</v>
      </c>
      <c r="Y54" s="3" t="n">
        <v>2</v>
      </c>
      <c r="Z54" s="3" t="n">
        <v>197</v>
      </c>
      <c r="AA54" s="3" t="n">
        <v>11</v>
      </c>
      <c r="AB54" s="3" t="n">
        <v>163</v>
      </c>
      <c r="AC54" s="3" t="n">
        <v>9</v>
      </c>
    </row>
    <row r="55">
      <c r="A55" s="3" t="inlineStr">
        <is>
          <t>GU-TDH-061</t>
        </is>
      </c>
      <c r="B55" s="3" t="inlineStr">
        <is>
          <t>GE</t>
        </is>
      </c>
      <c r="C55" s="3" t="n">
        <v>31</v>
      </c>
      <c r="D55" s="3" t="n">
        <v>1</v>
      </c>
      <c r="E55" s="3" t="n">
        <v>5</v>
      </c>
      <c r="F55" s="3" t="n">
        <v>4</v>
      </c>
      <c r="G55" s="6" t="n">
        <v>46309</v>
      </c>
      <c r="H55" s="3" t="n">
        <v>3</v>
      </c>
      <c r="I55" s="3" t="n">
        <v>3</v>
      </c>
      <c r="J55" s="3" t="n">
        <v>4</v>
      </c>
      <c r="K55" s="3" t="n">
        <v>2</v>
      </c>
      <c r="L55" s="3" t="n">
        <v>3</v>
      </c>
      <c r="M55" s="3" t="n">
        <v>3</v>
      </c>
      <c r="N55" s="3" t="n">
        <v>3</v>
      </c>
      <c r="O55" s="3" t="n">
        <v>3</v>
      </c>
      <c r="P55" s="3" t="n">
        <v>3</v>
      </c>
      <c r="Q55" s="3" t="n">
        <v>3</v>
      </c>
      <c r="R55" s="3" t="n">
        <v>2</v>
      </c>
      <c r="S55" s="3" t="n">
        <v>3</v>
      </c>
      <c r="T55" s="3" t="n">
        <v>2</v>
      </c>
      <c r="U55" s="3" t="n">
        <v>2</v>
      </c>
      <c r="V55" s="3" t="n">
        <v>3</v>
      </c>
      <c r="W55" s="3" t="n">
        <v>3</v>
      </c>
      <c r="X55" s="3" t="n">
        <v>3</v>
      </c>
      <c r="Y55" s="3" t="n">
        <v>2</v>
      </c>
      <c r="Z55" s="3" t="n">
        <v>201</v>
      </c>
      <c r="AA55" s="3" t="n">
        <v>13</v>
      </c>
      <c r="AB55" s="3" t="n">
        <v>233</v>
      </c>
      <c r="AC55" s="3" t="n">
        <v>14</v>
      </c>
    </row>
    <row r="56">
      <c r="A56" s="3" t="inlineStr">
        <is>
          <t>GU-TDH-062</t>
        </is>
      </c>
      <c r="B56" s="3" t="inlineStr">
        <is>
          <t>GE</t>
        </is>
      </c>
      <c r="C56" s="3" t="n">
        <v>30</v>
      </c>
      <c r="D56" s="3" t="n">
        <v>1</v>
      </c>
      <c r="E56" s="3" t="n">
        <v>12</v>
      </c>
      <c r="F56" s="3" t="n">
        <v>2</v>
      </c>
      <c r="G56" s="6" t="n">
        <v>46308</v>
      </c>
      <c r="H56" s="3" t="n">
        <v>4</v>
      </c>
      <c r="I56" s="3" t="n">
        <v>3</v>
      </c>
      <c r="J56" s="3" t="n">
        <v>3</v>
      </c>
      <c r="K56" s="3" t="n">
        <v>3</v>
      </c>
      <c r="L56" s="3" t="n">
        <v>4</v>
      </c>
      <c r="M56" s="3" t="n">
        <v>1</v>
      </c>
      <c r="N56" s="3" t="n">
        <v>4</v>
      </c>
      <c r="O56" s="3" t="n">
        <v>4</v>
      </c>
      <c r="P56" s="3" t="n">
        <v>4</v>
      </c>
      <c r="Q56" s="3" t="n">
        <v>3</v>
      </c>
      <c r="R56" s="3" t="n">
        <v>3</v>
      </c>
      <c r="S56" s="3" t="n">
        <v>2</v>
      </c>
      <c r="T56" s="3" t="n">
        <v>3</v>
      </c>
      <c r="U56" s="3" t="n">
        <v>2</v>
      </c>
      <c r="V56" s="3" t="n">
        <v>4</v>
      </c>
      <c r="W56" s="3" t="n">
        <v>2</v>
      </c>
      <c r="X56" s="3" t="n">
        <v>3</v>
      </c>
      <c r="Y56" s="3" t="n">
        <v>2</v>
      </c>
      <c r="Z56" s="3" t="n">
        <v>236</v>
      </c>
      <c r="AA56" s="3" t="n">
        <v>16</v>
      </c>
      <c r="AB56" s="3" t="n">
        <v>103</v>
      </c>
      <c r="AC56" s="3" t="n">
        <v>3</v>
      </c>
    </row>
    <row r="57">
      <c r="A57" s="3" t="inlineStr">
        <is>
          <t>GU-TDH-063</t>
        </is>
      </c>
      <c r="B57" s="3" t="inlineStr">
        <is>
          <t>GE</t>
        </is>
      </c>
      <c r="C57" s="3" t="n">
        <v>27</v>
      </c>
      <c r="D57" s="3" t="n">
        <v>1</v>
      </c>
      <c r="E57" s="3" t="n">
        <v>5</v>
      </c>
      <c r="F57" s="3" t="n">
        <v>1</v>
      </c>
      <c r="G57" s="6" t="n">
        <v>46309</v>
      </c>
      <c r="H57" s="3" t="n">
        <v>3</v>
      </c>
      <c r="I57" s="3" t="n">
        <v>4</v>
      </c>
      <c r="J57" s="3" t="n">
        <v>3</v>
      </c>
      <c r="K57" s="3" t="n">
        <v>3</v>
      </c>
      <c r="L57" s="3" t="n">
        <v>2</v>
      </c>
      <c r="M57" s="3" t="n">
        <v>3</v>
      </c>
      <c r="N57" s="3" t="n">
        <v>4</v>
      </c>
      <c r="O57" s="3" t="n">
        <v>3</v>
      </c>
      <c r="P57" s="3" t="n">
        <v>3</v>
      </c>
      <c r="Q57" s="3" t="n">
        <v>3</v>
      </c>
      <c r="R57" s="3" t="n">
        <v>1</v>
      </c>
      <c r="S57" s="3" t="n">
        <v>1</v>
      </c>
      <c r="T57" s="3" t="n">
        <v>1</v>
      </c>
      <c r="U57" s="3" t="n">
        <v>1</v>
      </c>
      <c r="V57" s="3" t="n">
        <v>2</v>
      </c>
      <c r="W57" s="3" t="n">
        <v>2</v>
      </c>
      <c r="X57" s="3" t="n">
        <v>2</v>
      </c>
      <c r="Y57" s="3" t="n">
        <v>2</v>
      </c>
      <c r="Z57" s="3" t="n">
        <v>235</v>
      </c>
      <c r="AA57" s="3" t="n">
        <v>14</v>
      </c>
      <c r="AB57" s="3" t="n">
        <v>198</v>
      </c>
      <c r="AC57" s="3" t="n">
        <v>13</v>
      </c>
    </row>
    <row r="58">
      <c r="A58" s="3" t="inlineStr">
        <is>
          <t>GU-TDH-064</t>
        </is>
      </c>
      <c r="B58" s="3" t="inlineStr">
        <is>
          <t>GE</t>
        </is>
      </c>
      <c r="C58" s="3" t="n">
        <v>24</v>
      </c>
      <c r="D58" s="3" t="n">
        <v>2</v>
      </c>
      <c r="E58" s="3" t="n">
        <v>9</v>
      </c>
      <c r="F58" s="3" t="n">
        <v>4</v>
      </c>
      <c r="G58" s="6" t="n">
        <v>46312</v>
      </c>
      <c r="H58" s="3" t="n">
        <v>2</v>
      </c>
      <c r="I58" s="3" t="n">
        <v>4</v>
      </c>
      <c r="J58" s="3" t="n">
        <v>3</v>
      </c>
      <c r="K58" s="3" t="n">
        <v>3</v>
      </c>
      <c r="L58" s="3" t="n">
        <v>3</v>
      </c>
      <c r="M58" s="3" t="n">
        <v>3</v>
      </c>
      <c r="N58" s="3" t="n">
        <v>4</v>
      </c>
      <c r="O58" s="3" t="n">
        <v>3</v>
      </c>
      <c r="P58" s="3" t="n">
        <v>3</v>
      </c>
      <c r="Q58" s="3" t="n">
        <v>2</v>
      </c>
      <c r="R58" s="3" t="n">
        <v>4</v>
      </c>
      <c r="S58" s="3" t="n">
        <v>5</v>
      </c>
      <c r="T58" s="3" t="n">
        <v>3</v>
      </c>
      <c r="U58" s="3" t="n">
        <v>2</v>
      </c>
      <c r="V58" s="3" t="n">
        <v>2</v>
      </c>
      <c r="W58" s="3" t="n">
        <v>3</v>
      </c>
      <c r="X58" s="3" t="n">
        <v>3</v>
      </c>
      <c r="Y58" s="3" t="n">
        <v>1</v>
      </c>
      <c r="Z58" s="3" t="n">
        <v>300</v>
      </c>
      <c r="AA58" s="3" t="n">
        <v>14</v>
      </c>
      <c r="AB58" s="3" t="n">
        <v>209</v>
      </c>
      <c r="AC58" s="3" t="n">
        <v>16</v>
      </c>
    </row>
    <row r="59">
      <c r="A59" s="3" t="inlineStr">
        <is>
          <t>GU-TDH-065</t>
        </is>
      </c>
      <c r="B59" s="3" t="inlineStr">
        <is>
          <t>GE</t>
        </is>
      </c>
      <c r="C59" s="3" t="n">
        <v>29</v>
      </c>
      <c r="D59" s="3" t="n">
        <v>1</v>
      </c>
      <c r="E59" s="3" t="n">
        <v>7</v>
      </c>
      <c r="F59" s="3" t="n">
        <v>2</v>
      </c>
      <c r="G59" s="6" t="n">
        <v>46312</v>
      </c>
      <c r="H59" s="3" t="n">
        <v>5</v>
      </c>
      <c r="I59" s="3" t="n">
        <v>3</v>
      </c>
      <c r="J59" s="3" t="n">
        <v>4</v>
      </c>
      <c r="K59" s="3" t="n">
        <v>2</v>
      </c>
      <c r="L59" s="3" t="n">
        <v>5</v>
      </c>
      <c r="M59" s="3" t="n">
        <v>2</v>
      </c>
      <c r="N59" s="3" t="n">
        <v>3</v>
      </c>
      <c r="O59" s="3" t="n">
        <v>2</v>
      </c>
      <c r="P59" s="3" t="n">
        <v>3</v>
      </c>
      <c r="Q59" s="3" t="n">
        <v>2</v>
      </c>
      <c r="R59" s="3" t="n">
        <v>3</v>
      </c>
      <c r="S59" s="3" t="n">
        <v>4</v>
      </c>
      <c r="T59" s="3" t="n">
        <v>3</v>
      </c>
      <c r="U59" s="3" t="n">
        <v>4</v>
      </c>
      <c r="V59" s="3" t="n">
        <v>3</v>
      </c>
      <c r="W59" s="3" t="n">
        <v>3</v>
      </c>
      <c r="X59" s="3" t="n">
        <v>3</v>
      </c>
      <c r="Y59" s="3" t="n">
        <v>4</v>
      </c>
      <c r="Z59" s="3" t="n">
        <v>171</v>
      </c>
      <c r="AA59" s="3" t="n">
        <v>10</v>
      </c>
      <c r="AB59" s="3" t="n">
        <v>165</v>
      </c>
      <c r="AC59" s="3" t="n">
        <v>5</v>
      </c>
    </row>
    <row r="60">
      <c r="A60" s="3" t="inlineStr">
        <is>
          <t>GU-TDH-066</t>
        </is>
      </c>
      <c r="B60" s="3" t="inlineStr">
        <is>
          <t>GE</t>
        </is>
      </c>
      <c r="C60" s="3" t="n">
        <v>33</v>
      </c>
      <c r="D60" s="3" t="n">
        <v>2</v>
      </c>
      <c r="E60" s="3" t="n">
        <v>5</v>
      </c>
      <c r="F60" s="3" t="n">
        <v>4</v>
      </c>
      <c r="G60" s="6" t="n">
        <v>46310</v>
      </c>
      <c r="H60" s="3" t="n">
        <v>3</v>
      </c>
      <c r="I60" s="3" t="n">
        <v>3</v>
      </c>
      <c r="J60" s="3" t="n">
        <v>2</v>
      </c>
      <c r="K60" s="3" t="n">
        <v>3</v>
      </c>
      <c r="L60" s="3" t="n">
        <v>3</v>
      </c>
      <c r="M60" s="3" t="n">
        <v>4</v>
      </c>
      <c r="N60" s="3" t="n">
        <v>2</v>
      </c>
      <c r="O60" s="3" t="n">
        <v>3</v>
      </c>
      <c r="P60" s="3" t="n">
        <v>2</v>
      </c>
      <c r="Q60" s="3" t="n">
        <v>4</v>
      </c>
      <c r="R60" s="3" t="n">
        <v>2</v>
      </c>
      <c r="S60" s="3" t="n">
        <v>2</v>
      </c>
      <c r="T60" s="3" t="n">
        <v>2</v>
      </c>
      <c r="U60" s="3" t="n">
        <v>1</v>
      </c>
      <c r="V60" s="3" t="n">
        <v>2</v>
      </c>
      <c r="W60" s="3" t="n">
        <v>3</v>
      </c>
      <c r="X60" s="3" t="n">
        <v>2</v>
      </c>
      <c r="Y60" s="3" t="n">
        <v>1</v>
      </c>
      <c r="Z60" s="3" t="n">
        <v>300</v>
      </c>
      <c r="AA60" s="3" t="n">
        <v>16</v>
      </c>
      <c r="AB60" s="3" t="n">
        <v>236</v>
      </c>
      <c r="AC60" s="3" t="n">
        <v>10</v>
      </c>
    </row>
    <row r="61">
      <c r="A61" s="3" t="inlineStr">
        <is>
          <t>GU-TDH-067</t>
        </is>
      </c>
      <c r="B61" s="3" t="inlineStr">
        <is>
          <t>GE</t>
        </is>
      </c>
      <c r="C61" s="3" t="n">
        <v>24</v>
      </c>
      <c r="D61" s="3" t="n">
        <v>1</v>
      </c>
      <c r="E61" s="3" t="n">
        <v>8</v>
      </c>
      <c r="F61" s="3" t="n">
        <v>2</v>
      </c>
      <c r="G61" s="6" t="n">
        <v>46309</v>
      </c>
      <c r="H61" s="3" t="n">
        <v>4</v>
      </c>
      <c r="I61" s="3" t="n">
        <v>4</v>
      </c>
      <c r="J61" s="3" t="n">
        <v>2</v>
      </c>
      <c r="K61" s="3" t="n">
        <v>4</v>
      </c>
      <c r="L61" s="3" t="n">
        <v>2</v>
      </c>
      <c r="M61" s="3" t="n">
        <v>3</v>
      </c>
      <c r="N61" s="3" t="n">
        <v>2</v>
      </c>
      <c r="O61" s="3" t="n">
        <v>3</v>
      </c>
      <c r="P61" s="3" t="n">
        <v>2</v>
      </c>
      <c r="Q61" s="3" t="n">
        <v>2</v>
      </c>
      <c r="R61" s="3" t="n">
        <v>3</v>
      </c>
      <c r="S61" s="3" t="n">
        <v>2</v>
      </c>
      <c r="T61" s="3" t="n">
        <v>2</v>
      </c>
      <c r="U61" s="3" t="n">
        <v>1</v>
      </c>
      <c r="V61" s="3" t="n">
        <v>2</v>
      </c>
      <c r="W61" s="3" t="n">
        <v>2</v>
      </c>
      <c r="X61" s="3" t="n">
        <v>1</v>
      </c>
      <c r="Y61" s="3" t="n">
        <v>2</v>
      </c>
      <c r="Z61" s="3" t="n">
        <v>205</v>
      </c>
      <c r="AA61" s="3" t="n">
        <v>10</v>
      </c>
      <c r="AB61" s="3" t="n">
        <v>286</v>
      </c>
      <c r="AC61" s="3" t="n">
        <v>17</v>
      </c>
    </row>
    <row r="62">
      <c r="A62" s="3" t="inlineStr">
        <is>
          <t>GU-TDH-069</t>
        </is>
      </c>
      <c r="B62" s="3" t="inlineStr">
        <is>
          <t>GE</t>
        </is>
      </c>
      <c r="C62" s="3" t="n">
        <v>26</v>
      </c>
      <c r="D62" s="3" t="n">
        <v>2</v>
      </c>
      <c r="E62" s="3" t="n">
        <v>18</v>
      </c>
      <c r="F62" s="3" t="n">
        <v>4</v>
      </c>
      <c r="G62" s="6" t="n">
        <v>46310</v>
      </c>
      <c r="H62" s="3" t="n">
        <v>2</v>
      </c>
      <c r="I62" s="3" t="n">
        <v>3</v>
      </c>
      <c r="J62" s="3" t="n">
        <v>4</v>
      </c>
      <c r="K62" s="3" t="n">
        <v>3</v>
      </c>
      <c r="L62" s="3" t="n">
        <v>3</v>
      </c>
      <c r="M62" s="3" t="n">
        <v>5</v>
      </c>
      <c r="N62" s="3" t="n">
        <v>3</v>
      </c>
      <c r="O62" s="3" t="n">
        <v>3</v>
      </c>
      <c r="P62" s="3" t="n">
        <v>5</v>
      </c>
      <c r="Q62" s="3" t="n">
        <v>3</v>
      </c>
      <c r="R62" s="3" t="n">
        <v>4</v>
      </c>
      <c r="S62" s="3" t="n">
        <v>3</v>
      </c>
      <c r="T62" s="3" t="n">
        <v>3</v>
      </c>
      <c r="U62" s="3" t="n">
        <v>3</v>
      </c>
      <c r="V62" s="3" t="n">
        <v>3</v>
      </c>
      <c r="W62" s="3" t="n">
        <v>3</v>
      </c>
      <c r="X62" s="3" t="n">
        <v>2</v>
      </c>
      <c r="Y62" s="3" t="n">
        <v>3</v>
      </c>
      <c r="Z62" s="3" t="n">
        <v>170</v>
      </c>
      <c r="AA62" s="3" t="n">
        <v>11</v>
      </c>
      <c r="AB62" s="3" t="n">
        <v>209</v>
      </c>
      <c r="AC62" s="3" t="n">
        <v>15</v>
      </c>
    </row>
    <row r="63">
      <c r="A63" s="3" t="inlineStr">
        <is>
          <t>GU-TDH-070</t>
        </is>
      </c>
      <c r="B63" s="3" t="inlineStr">
        <is>
          <t>GE</t>
        </is>
      </c>
      <c r="C63" s="3" t="n">
        <v>21</v>
      </c>
      <c r="D63" s="3" t="n">
        <v>2</v>
      </c>
      <c r="E63" s="3" t="n">
        <v>5</v>
      </c>
      <c r="F63" s="3" t="n">
        <v>2</v>
      </c>
      <c r="G63" s="6" t="n">
        <v>46311</v>
      </c>
      <c r="H63" s="3" t="n">
        <v>4</v>
      </c>
      <c r="I63" s="3" t="n">
        <v>3</v>
      </c>
      <c r="J63" s="3" t="n">
        <v>3</v>
      </c>
      <c r="K63" s="3" t="n">
        <v>3</v>
      </c>
      <c r="L63" s="3" t="n">
        <v>3</v>
      </c>
      <c r="M63" s="3" t="n">
        <v>1</v>
      </c>
      <c r="N63" s="3" t="n">
        <v>3</v>
      </c>
      <c r="O63" s="3" t="n">
        <v>2</v>
      </c>
      <c r="P63" s="3" t="n">
        <v>5</v>
      </c>
      <c r="Q63" s="3" t="n">
        <v>2</v>
      </c>
      <c r="R63" s="3" t="n">
        <v>2</v>
      </c>
      <c r="S63" s="3" t="n">
        <v>2</v>
      </c>
      <c r="T63" s="3" t="n">
        <v>2</v>
      </c>
      <c r="U63" s="3" t="n">
        <v>2</v>
      </c>
      <c r="V63" s="3" t="n">
        <v>3</v>
      </c>
      <c r="W63" s="3" t="n">
        <v>1</v>
      </c>
      <c r="X63" s="3" t="n">
        <v>1</v>
      </c>
      <c r="Y63" s="3" t="n">
        <v>2</v>
      </c>
      <c r="Z63" s="3" t="n">
        <v>168</v>
      </c>
      <c r="AA63" s="3" t="n">
        <v>15</v>
      </c>
      <c r="AB63" s="3" t="n">
        <v>186</v>
      </c>
      <c r="AC63" s="3" t="n">
        <v>7</v>
      </c>
    </row>
    <row r="64">
      <c r="A64" s="3" t="inlineStr">
        <is>
          <t>GU-TDH-071</t>
        </is>
      </c>
      <c r="B64" s="3" t="inlineStr">
        <is>
          <t>GE</t>
        </is>
      </c>
      <c r="C64" s="3" t="n">
        <v>24</v>
      </c>
      <c r="D64" s="3" t="n">
        <v>1</v>
      </c>
      <c r="E64" s="3" t="n">
        <v>7</v>
      </c>
      <c r="F64" s="3" t="n">
        <v>4</v>
      </c>
      <c r="G64" s="6" t="n">
        <v>46312</v>
      </c>
      <c r="H64" s="3" t="n">
        <v>1</v>
      </c>
      <c r="I64" s="3" t="n">
        <v>3</v>
      </c>
      <c r="J64" s="3" t="n">
        <v>3</v>
      </c>
      <c r="K64" s="3" t="n">
        <v>2</v>
      </c>
      <c r="L64" s="3" t="n">
        <v>3</v>
      </c>
      <c r="M64" s="3" t="n">
        <v>4</v>
      </c>
      <c r="N64" s="3" t="n">
        <v>3</v>
      </c>
      <c r="O64" s="3" t="n">
        <v>3</v>
      </c>
      <c r="P64" s="3" t="n">
        <v>1</v>
      </c>
      <c r="Q64" s="3" t="n">
        <v>3</v>
      </c>
      <c r="R64" s="3" t="n">
        <v>2</v>
      </c>
      <c r="S64" s="3" t="n">
        <v>2</v>
      </c>
      <c r="T64" s="3" t="n">
        <v>1</v>
      </c>
      <c r="U64" s="3" t="n">
        <v>2</v>
      </c>
      <c r="V64" s="3" t="n">
        <v>3</v>
      </c>
      <c r="W64" s="3" t="n">
        <v>1</v>
      </c>
      <c r="X64" s="3" t="n">
        <v>1</v>
      </c>
      <c r="Y64" s="3" t="n">
        <v>1</v>
      </c>
      <c r="Z64" s="3" t="n">
        <v>265</v>
      </c>
      <c r="AA64" s="3" t="n">
        <v>18</v>
      </c>
      <c r="AB64" s="3" t="n">
        <v>263</v>
      </c>
      <c r="AC64" s="3" t="n">
        <v>13</v>
      </c>
    </row>
    <row r="65">
      <c r="A65" s="3" t="inlineStr">
        <is>
          <t>GU-TDH-072</t>
        </is>
      </c>
      <c r="B65" s="3" t="inlineStr">
        <is>
          <t>GE</t>
        </is>
      </c>
      <c r="C65" s="3" t="n">
        <v>28</v>
      </c>
      <c r="D65" s="3" t="n">
        <v>1</v>
      </c>
      <c r="E65" s="3" t="n">
        <v>9</v>
      </c>
      <c r="F65" s="3" t="n">
        <v>1</v>
      </c>
      <c r="G65" s="6" t="n">
        <v>46313</v>
      </c>
      <c r="H65" s="3" t="n">
        <v>3</v>
      </c>
      <c r="I65" s="3" t="n">
        <v>3</v>
      </c>
      <c r="J65" s="3" t="n">
        <v>3</v>
      </c>
      <c r="K65" s="3" t="n">
        <v>2</v>
      </c>
      <c r="L65" s="3" t="n">
        <v>5</v>
      </c>
      <c r="M65" s="3" t="n">
        <v>3</v>
      </c>
      <c r="N65" s="3" t="n">
        <v>2</v>
      </c>
      <c r="O65" s="3" t="n">
        <v>2</v>
      </c>
      <c r="P65" s="3" t="n">
        <v>3</v>
      </c>
      <c r="Q65" s="3" t="n">
        <v>2</v>
      </c>
      <c r="R65" s="3" t="n">
        <v>3</v>
      </c>
      <c r="S65" s="3" t="n">
        <v>3</v>
      </c>
      <c r="T65" s="3" t="n">
        <v>2</v>
      </c>
      <c r="U65" s="3" t="n">
        <v>3</v>
      </c>
      <c r="V65" s="3" t="n">
        <v>3</v>
      </c>
      <c r="W65" s="3" t="n">
        <v>2</v>
      </c>
      <c r="X65" s="3" t="n">
        <v>4</v>
      </c>
      <c r="Y65" s="3" t="n">
        <v>2</v>
      </c>
      <c r="Z65" s="3" t="n">
        <v>177</v>
      </c>
      <c r="AA65" s="3" t="n">
        <v>8</v>
      </c>
      <c r="AB65" s="3" t="n">
        <v>210</v>
      </c>
      <c r="AC65" s="3" t="n">
        <v>12</v>
      </c>
    </row>
    <row r="66">
      <c r="A66" s="3" t="inlineStr">
        <is>
          <t>GU-TDH-073</t>
        </is>
      </c>
      <c r="B66" s="3" t="inlineStr">
        <is>
          <t>GE</t>
        </is>
      </c>
      <c r="C66" s="3" t="n">
        <v>36</v>
      </c>
      <c r="D66" s="3" t="n">
        <v>1</v>
      </c>
      <c r="E66" s="3" t="n">
        <v>5</v>
      </c>
      <c r="F66" s="3" t="n">
        <v>1</v>
      </c>
      <c r="G66" s="6" t="n">
        <v>46311</v>
      </c>
      <c r="H66" s="3" t="n">
        <v>2</v>
      </c>
      <c r="I66" s="3" t="n">
        <v>2</v>
      </c>
      <c r="J66" s="3" t="n">
        <v>4</v>
      </c>
      <c r="K66" s="3" t="n">
        <v>2</v>
      </c>
      <c r="L66" s="3" t="n">
        <v>3</v>
      </c>
      <c r="M66" s="3" t="n">
        <v>3</v>
      </c>
      <c r="N66" s="3" t="n">
        <v>3</v>
      </c>
      <c r="O66" s="3" t="n">
        <v>3</v>
      </c>
      <c r="P66" s="3" t="n">
        <v>2</v>
      </c>
      <c r="Q66" s="3" t="n">
        <v>3</v>
      </c>
      <c r="R66" s="3" t="n">
        <v>2</v>
      </c>
      <c r="S66" s="3" t="n">
        <v>1</v>
      </c>
      <c r="T66" s="3" t="n">
        <v>2</v>
      </c>
      <c r="U66" s="3" t="n">
        <v>3</v>
      </c>
      <c r="V66" s="3" t="n">
        <v>2</v>
      </c>
      <c r="W66" s="3" t="n">
        <v>2</v>
      </c>
      <c r="X66" s="3" t="n">
        <v>3</v>
      </c>
      <c r="Y66" s="3" t="n">
        <v>1</v>
      </c>
      <c r="Z66" s="3" t="n">
        <v>254</v>
      </c>
      <c r="AA66" s="3" t="n">
        <v>14</v>
      </c>
      <c r="AB66" s="3" t="n">
        <v>264</v>
      </c>
      <c r="AC66" s="3" t="n">
        <v>16</v>
      </c>
    </row>
    <row r="67">
      <c r="A67" s="3" t="inlineStr">
        <is>
          <t>GU-TDH-074</t>
        </is>
      </c>
      <c r="B67" s="3" t="inlineStr">
        <is>
          <t>GE</t>
        </is>
      </c>
      <c r="C67" s="3" t="n">
        <v>24</v>
      </c>
      <c r="D67" s="3" t="n">
        <v>2</v>
      </c>
      <c r="E67" s="3" t="n">
        <v>4</v>
      </c>
      <c r="F67" s="3" t="n">
        <v>4</v>
      </c>
      <c r="G67" s="6" t="n">
        <v>46310</v>
      </c>
      <c r="H67" s="3" t="n">
        <v>5</v>
      </c>
      <c r="I67" s="3" t="n">
        <v>2</v>
      </c>
      <c r="J67" s="3" t="n">
        <v>4</v>
      </c>
      <c r="K67" s="3" t="n">
        <v>3</v>
      </c>
      <c r="L67" s="3" t="n">
        <v>4</v>
      </c>
      <c r="M67" s="3" t="n">
        <v>1</v>
      </c>
      <c r="N67" s="3" t="n">
        <v>2</v>
      </c>
      <c r="O67" s="3" t="n">
        <v>2</v>
      </c>
      <c r="P67" s="3" t="n">
        <v>4</v>
      </c>
      <c r="Q67" s="3" t="n">
        <v>2</v>
      </c>
      <c r="R67" s="3" t="n">
        <v>3</v>
      </c>
      <c r="S67" s="3" t="n">
        <v>3</v>
      </c>
      <c r="T67" s="3" t="n">
        <v>3</v>
      </c>
      <c r="U67" s="3" t="n">
        <v>4</v>
      </c>
      <c r="V67" s="3" t="n">
        <v>3</v>
      </c>
      <c r="W67" s="3" t="n">
        <v>3</v>
      </c>
      <c r="X67" s="3" t="n">
        <v>2</v>
      </c>
      <c r="Y67" s="3" t="n">
        <v>4</v>
      </c>
      <c r="Z67" s="3" t="n">
        <v>203</v>
      </c>
      <c r="AA67" s="3" t="n">
        <v>8</v>
      </c>
      <c r="AB67" s="3" t="n">
        <v>185</v>
      </c>
      <c r="AC67" s="3" t="n">
        <v>10</v>
      </c>
    </row>
    <row r="68">
      <c r="A68" s="3" t="inlineStr">
        <is>
          <t>GU-TDH-075</t>
        </is>
      </c>
      <c r="B68" s="3" t="inlineStr">
        <is>
          <t>GE</t>
        </is>
      </c>
      <c r="C68" s="3" t="n">
        <v>37</v>
      </c>
      <c r="D68" s="3" t="n">
        <v>2</v>
      </c>
      <c r="E68" s="3" t="n">
        <v>6</v>
      </c>
      <c r="F68" s="3" t="n">
        <v>3</v>
      </c>
      <c r="G68" s="6" t="n">
        <v>46308</v>
      </c>
      <c r="H68" s="3" t="n">
        <v>5</v>
      </c>
      <c r="I68" s="3" t="n">
        <v>2</v>
      </c>
      <c r="J68" s="3" t="n">
        <v>5</v>
      </c>
      <c r="K68" s="3" t="n">
        <v>2</v>
      </c>
      <c r="L68" s="3" t="n">
        <v>5</v>
      </c>
      <c r="M68" s="3" t="n">
        <v>3</v>
      </c>
      <c r="N68" s="3" t="n">
        <v>5</v>
      </c>
      <c r="O68" s="3" t="n">
        <v>3</v>
      </c>
      <c r="P68" s="3" t="n">
        <v>5</v>
      </c>
      <c r="Q68" s="3" t="n">
        <v>1</v>
      </c>
      <c r="R68" s="3" t="n">
        <v>5</v>
      </c>
      <c r="S68" s="3" t="n">
        <v>3</v>
      </c>
      <c r="T68" s="3" t="n">
        <v>4</v>
      </c>
      <c r="U68" s="3" t="n">
        <v>3</v>
      </c>
      <c r="V68" s="3" t="n">
        <v>4</v>
      </c>
      <c r="W68" s="3" t="n">
        <v>3</v>
      </c>
      <c r="X68" s="3" t="n">
        <v>3</v>
      </c>
      <c r="Y68" s="3" t="n">
        <v>3</v>
      </c>
      <c r="Z68" s="3" t="n">
        <v>198</v>
      </c>
      <c r="AA68" s="3" t="n">
        <v>12</v>
      </c>
      <c r="AB68" s="3" t="n">
        <v>95</v>
      </c>
      <c r="AC68" s="3" t="n">
        <v>2</v>
      </c>
    </row>
    <row r="69">
      <c r="A69" s="3" t="inlineStr">
        <is>
          <t>GU-TDH-076</t>
        </is>
      </c>
      <c r="B69" s="3" t="inlineStr">
        <is>
          <t>GE</t>
        </is>
      </c>
      <c r="C69" s="3" t="n">
        <v>26</v>
      </c>
      <c r="D69" s="3" t="n">
        <v>1</v>
      </c>
      <c r="E69" s="3" t="n">
        <v>13</v>
      </c>
      <c r="F69" s="3" t="n">
        <v>2</v>
      </c>
      <c r="G69" s="6" t="n">
        <v>46311</v>
      </c>
      <c r="H69" s="3" t="n">
        <v>3</v>
      </c>
      <c r="I69" s="3" t="n">
        <v>3</v>
      </c>
      <c r="J69" s="3" t="n">
        <v>4</v>
      </c>
      <c r="K69" s="3" t="n">
        <v>3</v>
      </c>
      <c r="L69" s="3" t="n">
        <v>4</v>
      </c>
      <c r="M69" s="3" t="n">
        <v>2</v>
      </c>
      <c r="N69" s="3" t="n">
        <v>4</v>
      </c>
      <c r="O69" s="3" t="n">
        <v>2</v>
      </c>
      <c r="P69" s="3" t="n">
        <v>3</v>
      </c>
      <c r="Q69" s="3" t="n">
        <v>2</v>
      </c>
      <c r="R69" s="3" t="n">
        <v>3</v>
      </c>
      <c r="S69" s="3" t="n">
        <v>3</v>
      </c>
      <c r="T69" s="3" t="n">
        <v>4</v>
      </c>
      <c r="U69" s="3" t="n">
        <v>3</v>
      </c>
      <c r="V69" s="3" t="n">
        <v>4</v>
      </c>
      <c r="W69" s="3" t="n">
        <v>3</v>
      </c>
      <c r="X69" s="3" t="n">
        <v>2</v>
      </c>
      <c r="Y69" s="3" t="n">
        <v>4</v>
      </c>
      <c r="Z69" s="3" t="n">
        <v>172</v>
      </c>
      <c r="AA69" s="3" t="n">
        <v>11</v>
      </c>
      <c r="AB69" s="3" t="n">
        <v>171</v>
      </c>
      <c r="AC69" s="3" t="n">
        <v>12</v>
      </c>
    </row>
    <row r="70">
      <c r="A70" s="3" t="inlineStr">
        <is>
          <t>GU-TDH-077</t>
        </is>
      </c>
      <c r="B70" s="3" t="inlineStr">
        <is>
          <t>GE</t>
        </is>
      </c>
      <c r="C70" s="3" t="n">
        <v>31</v>
      </c>
      <c r="D70" s="3" t="n">
        <v>1</v>
      </c>
      <c r="E70" s="3" t="n">
        <v>6</v>
      </c>
      <c r="F70" s="3" t="n">
        <v>2</v>
      </c>
      <c r="G70" s="6" t="n">
        <v>46312</v>
      </c>
      <c r="H70" s="3" t="n">
        <v>3</v>
      </c>
      <c r="I70" s="3" t="n">
        <v>4</v>
      </c>
      <c r="J70" s="3" t="n">
        <v>2</v>
      </c>
      <c r="K70" s="3" t="n">
        <v>2</v>
      </c>
      <c r="L70" s="3" t="n">
        <v>3</v>
      </c>
      <c r="M70" s="3" t="n">
        <v>3</v>
      </c>
      <c r="N70" s="3" t="n">
        <v>3</v>
      </c>
      <c r="O70" s="3" t="n">
        <v>3</v>
      </c>
      <c r="P70" s="3" t="n">
        <v>4</v>
      </c>
      <c r="Q70" s="3" t="n">
        <v>2</v>
      </c>
      <c r="R70" s="3" t="n">
        <v>1</v>
      </c>
      <c r="S70" s="3" t="n">
        <v>1</v>
      </c>
      <c r="T70" s="3" t="n">
        <v>2</v>
      </c>
      <c r="U70" s="3" t="n">
        <v>2</v>
      </c>
      <c r="V70" s="3" t="n">
        <v>2</v>
      </c>
      <c r="W70" s="3" t="n">
        <v>2</v>
      </c>
      <c r="X70" s="3" t="n">
        <v>2</v>
      </c>
      <c r="Y70" s="3" t="n">
        <v>2</v>
      </c>
      <c r="Z70" s="3" t="n">
        <v>184</v>
      </c>
      <c r="AA70" s="3" t="n">
        <v>8</v>
      </c>
      <c r="AB70" s="3" t="n">
        <v>117</v>
      </c>
      <c r="AC70" s="3" t="n">
        <v>4</v>
      </c>
    </row>
    <row r="71">
      <c r="A71" s="3" t="inlineStr">
        <is>
          <t>GU-TDH-078</t>
        </is>
      </c>
      <c r="B71" s="3" t="inlineStr">
        <is>
          <t>GE</t>
        </is>
      </c>
      <c r="C71" s="3" t="n">
        <v>25</v>
      </c>
      <c r="D71" s="3" t="n">
        <v>1</v>
      </c>
      <c r="E71" s="3" t="n">
        <v>5</v>
      </c>
      <c r="F71" s="3" t="n">
        <v>4</v>
      </c>
      <c r="G71" s="6" t="n">
        <v>46310</v>
      </c>
      <c r="H71" s="3" t="n">
        <v>4</v>
      </c>
      <c r="I71" s="3" t="n">
        <v>4</v>
      </c>
      <c r="J71" s="3" t="n">
        <v>3</v>
      </c>
      <c r="K71" s="3" t="n">
        <v>2</v>
      </c>
      <c r="L71" s="3" t="n">
        <v>5</v>
      </c>
      <c r="M71" s="3" t="n">
        <v>2</v>
      </c>
      <c r="N71" s="3" t="n">
        <v>4</v>
      </c>
      <c r="O71" s="3" t="n">
        <v>3</v>
      </c>
      <c r="P71" s="3" t="n">
        <v>4</v>
      </c>
      <c r="Q71" s="3" t="n">
        <v>4</v>
      </c>
      <c r="R71" s="3" t="n">
        <v>3</v>
      </c>
      <c r="S71" s="3" t="n">
        <v>4</v>
      </c>
      <c r="T71" s="3" t="n">
        <v>3</v>
      </c>
      <c r="U71" s="3" t="n">
        <v>2</v>
      </c>
      <c r="V71" s="3" t="n">
        <v>3</v>
      </c>
      <c r="W71" s="3" t="n">
        <v>3</v>
      </c>
      <c r="X71" s="3" t="n">
        <v>3</v>
      </c>
      <c r="Y71" s="3" t="n">
        <v>2</v>
      </c>
      <c r="Z71" s="3" t="n">
        <v>300</v>
      </c>
      <c r="AA71" s="3" t="n">
        <v>21</v>
      </c>
      <c r="AB71" s="3" t="n">
        <v>143</v>
      </c>
      <c r="AC71" s="3" t="n">
        <v>10</v>
      </c>
    </row>
    <row r="72">
      <c r="A72" s="3" t="inlineStr">
        <is>
          <t>GU-TDH-079</t>
        </is>
      </c>
      <c r="B72" s="3" t="inlineStr">
        <is>
          <t>GE</t>
        </is>
      </c>
      <c r="C72" s="3" t="n">
        <v>26</v>
      </c>
      <c r="D72" s="3" t="n">
        <v>1</v>
      </c>
      <c r="E72" s="3" t="n">
        <v>10</v>
      </c>
      <c r="F72" s="3" t="n">
        <v>2</v>
      </c>
      <c r="G72" s="6" t="n">
        <v>46310</v>
      </c>
      <c r="H72" s="3" t="n">
        <v>3</v>
      </c>
      <c r="I72" s="3" t="n">
        <v>4</v>
      </c>
      <c r="J72" s="3" t="n">
        <v>2</v>
      </c>
      <c r="K72" s="3" t="n">
        <v>3</v>
      </c>
      <c r="L72" s="3" t="n">
        <v>3</v>
      </c>
      <c r="M72" s="3" t="n">
        <v>2</v>
      </c>
      <c r="N72" s="3" t="n">
        <v>2</v>
      </c>
      <c r="O72" s="3" t="n">
        <v>3</v>
      </c>
      <c r="P72" s="3" t="n">
        <v>3</v>
      </c>
      <c r="Q72" s="3" t="n">
        <v>3</v>
      </c>
      <c r="R72" s="3" t="n">
        <v>3</v>
      </c>
      <c r="S72" s="3" t="n">
        <v>1</v>
      </c>
      <c r="T72" s="3" t="n">
        <v>1</v>
      </c>
      <c r="U72" s="3" t="n">
        <v>2</v>
      </c>
      <c r="V72" s="3" t="n">
        <v>2</v>
      </c>
      <c r="W72" s="3" t="n">
        <v>2</v>
      </c>
      <c r="X72" s="3" t="n">
        <v>3</v>
      </c>
      <c r="Y72" s="3" t="n">
        <v>1</v>
      </c>
      <c r="Z72" s="3" t="n">
        <v>243</v>
      </c>
      <c r="AA72" s="3" t="n">
        <v>11</v>
      </c>
      <c r="AB72" s="3" t="n">
        <v>206</v>
      </c>
      <c r="AC72" s="3" t="n">
        <v>11</v>
      </c>
    </row>
    <row r="73">
      <c r="A73" s="3" t="inlineStr">
        <is>
          <t>GU-TDH-080</t>
        </is>
      </c>
      <c r="B73" s="3" t="inlineStr">
        <is>
          <t>GE</t>
        </is>
      </c>
      <c r="C73" s="3" t="n">
        <v>26</v>
      </c>
      <c r="D73" s="3" t="n">
        <v>2</v>
      </c>
      <c r="E73" s="3" t="n">
        <v>12</v>
      </c>
      <c r="F73" s="3" t="n">
        <v>2</v>
      </c>
      <c r="G73" s="6" t="n">
        <v>46308</v>
      </c>
      <c r="H73" s="3" t="n">
        <v>4</v>
      </c>
      <c r="I73" s="3" t="n">
        <v>3</v>
      </c>
      <c r="J73" s="3" t="n">
        <v>4</v>
      </c>
      <c r="K73" s="3" t="n">
        <v>2</v>
      </c>
      <c r="L73" s="3" t="n">
        <v>4</v>
      </c>
      <c r="M73" s="3" t="n">
        <v>2</v>
      </c>
      <c r="N73" s="3" t="n">
        <v>4</v>
      </c>
      <c r="O73" s="3" t="n">
        <v>4</v>
      </c>
      <c r="P73" s="3" t="n">
        <v>4</v>
      </c>
      <c r="Q73" s="3" t="n">
        <v>2</v>
      </c>
      <c r="R73" s="3" t="n">
        <v>2</v>
      </c>
      <c r="S73" s="3" t="n">
        <v>4</v>
      </c>
      <c r="T73" s="3" t="n">
        <v>2</v>
      </c>
      <c r="U73" s="3" t="n">
        <v>3</v>
      </c>
      <c r="V73" s="3" t="n">
        <v>4</v>
      </c>
      <c r="W73" s="3" t="n">
        <v>3</v>
      </c>
      <c r="X73" s="3" t="n">
        <v>2</v>
      </c>
      <c r="Y73" s="3" t="n">
        <v>5</v>
      </c>
      <c r="Z73" s="3" t="n">
        <v>207</v>
      </c>
      <c r="AA73" s="3" t="n">
        <v>14</v>
      </c>
      <c r="AB73" s="3" t="n">
        <v>233</v>
      </c>
      <c r="AC73" s="3" t="n">
        <v>10</v>
      </c>
    </row>
    <row r="74">
      <c r="A74" s="3" t="inlineStr">
        <is>
          <t>GU-TDH-081</t>
        </is>
      </c>
      <c r="B74" s="3" t="inlineStr">
        <is>
          <t>GE</t>
        </is>
      </c>
      <c r="C74" s="3" t="n">
        <v>20</v>
      </c>
      <c r="D74" s="3" t="n">
        <v>2</v>
      </c>
      <c r="E74" s="3" t="n">
        <v>6</v>
      </c>
      <c r="F74" s="3" t="n">
        <v>4</v>
      </c>
      <c r="G74" s="6" t="n">
        <v>46312</v>
      </c>
      <c r="H74" s="3" t="n">
        <v>3</v>
      </c>
      <c r="I74" s="3" t="n">
        <v>2</v>
      </c>
      <c r="J74" s="3" t="n">
        <v>4</v>
      </c>
      <c r="K74" s="3" t="n">
        <v>4</v>
      </c>
      <c r="L74" s="3" t="n">
        <v>3</v>
      </c>
      <c r="M74" s="3" t="n">
        <v>3</v>
      </c>
      <c r="N74" s="3" t="n">
        <v>3</v>
      </c>
      <c r="O74" s="3" t="n">
        <v>3</v>
      </c>
      <c r="P74" s="3" t="n">
        <v>3</v>
      </c>
      <c r="Q74" s="3" t="n">
        <v>2</v>
      </c>
      <c r="R74" s="3" t="n">
        <v>2</v>
      </c>
      <c r="S74" s="3" t="n">
        <v>3</v>
      </c>
      <c r="T74" s="3" t="n">
        <v>4</v>
      </c>
      <c r="U74" s="3" t="n">
        <v>3</v>
      </c>
      <c r="V74" s="3" t="n">
        <v>3</v>
      </c>
      <c r="W74" s="3" t="n">
        <v>4</v>
      </c>
      <c r="X74" s="3" t="n">
        <v>2</v>
      </c>
      <c r="Y74" s="3" t="n">
        <v>3</v>
      </c>
      <c r="Z74" s="3" t="n">
        <v>300</v>
      </c>
      <c r="AA74" s="3" t="n">
        <v>15</v>
      </c>
      <c r="AB74" s="3" t="n">
        <v>217</v>
      </c>
      <c r="AC74" s="3" t="n">
        <v>11</v>
      </c>
    </row>
    <row r="75">
      <c r="A75" s="3" t="inlineStr">
        <is>
          <t>GU-TDH-082</t>
        </is>
      </c>
      <c r="B75" s="3" t="inlineStr">
        <is>
          <t>GE</t>
        </is>
      </c>
      <c r="C75" s="3" t="n">
        <v>29</v>
      </c>
      <c r="D75" s="3" t="n">
        <v>1</v>
      </c>
      <c r="E75" s="3" t="n">
        <v>10</v>
      </c>
      <c r="F75" s="3" t="n">
        <v>2</v>
      </c>
      <c r="G75" s="6" t="n">
        <v>46311</v>
      </c>
      <c r="H75" s="3" t="n">
        <v>4</v>
      </c>
      <c r="I75" s="3" t="n">
        <v>3</v>
      </c>
      <c r="J75" s="3" t="n">
        <v>1</v>
      </c>
      <c r="K75" s="3" t="n">
        <v>2</v>
      </c>
      <c r="L75" s="3" t="n">
        <v>4</v>
      </c>
      <c r="M75" s="3" t="n">
        <v>1</v>
      </c>
      <c r="N75" s="3" t="n">
        <v>4</v>
      </c>
      <c r="O75" s="3" t="n">
        <v>2</v>
      </c>
      <c r="P75" s="3" t="n">
        <v>3</v>
      </c>
      <c r="Q75" s="3" t="n">
        <v>2</v>
      </c>
      <c r="R75" s="3" t="n">
        <v>4</v>
      </c>
      <c r="S75" s="3" t="n">
        <v>4</v>
      </c>
      <c r="T75" s="3" t="n">
        <v>3</v>
      </c>
      <c r="U75" s="3" t="n">
        <v>5</v>
      </c>
      <c r="V75" s="3" t="n">
        <v>2</v>
      </c>
      <c r="W75" s="3" t="n">
        <v>4</v>
      </c>
      <c r="X75" s="3" t="n">
        <v>3</v>
      </c>
      <c r="Y75" s="3" t="n">
        <v>3</v>
      </c>
      <c r="Z75" s="3" t="n">
        <v>273</v>
      </c>
      <c r="AA75" s="3" t="n">
        <v>16</v>
      </c>
      <c r="AB75" s="3" t="n">
        <v>208</v>
      </c>
      <c r="AC75" s="3" t="n">
        <v>8</v>
      </c>
    </row>
    <row r="76">
      <c r="A76" s="3" t="inlineStr">
        <is>
          <t>GU-TDH-083</t>
        </is>
      </c>
      <c r="B76" s="3" t="inlineStr">
        <is>
          <t>GE</t>
        </is>
      </c>
      <c r="C76" s="3" t="n">
        <v>27</v>
      </c>
      <c r="D76" s="3" t="n">
        <v>1</v>
      </c>
      <c r="E76" s="3" t="n">
        <v>12</v>
      </c>
      <c r="F76" s="3" t="n">
        <v>3</v>
      </c>
      <c r="G76" s="6" t="n">
        <v>46313</v>
      </c>
      <c r="H76" s="3" t="n">
        <v>3</v>
      </c>
      <c r="I76" s="3" t="n">
        <v>2</v>
      </c>
      <c r="J76" s="3" t="n">
        <v>3</v>
      </c>
      <c r="K76" s="3" t="n">
        <v>3</v>
      </c>
      <c r="L76" s="3" t="n">
        <v>3</v>
      </c>
      <c r="M76" s="3" t="n">
        <v>2</v>
      </c>
      <c r="N76" s="3" t="n">
        <v>3</v>
      </c>
      <c r="O76" s="3" t="n">
        <v>2</v>
      </c>
      <c r="P76" s="3" t="n">
        <v>3</v>
      </c>
      <c r="Q76" s="3" t="n">
        <v>4</v>
      </c>
      <c r="R76" s="3" t="n">
        <v>3</v>
      </c>
      <c r="S76" s="3" t="n">
        <v>2</v>
      </c>
      <c r="T76" s="3" t="n">
        <v>4</v>
      </c>
      <c r="U76" s="3" t="n">
        <v>3</v>
      </c>
      <c r="V76" s="3" t="n">
        <v>3</v>
      </c>
      <c r="W76" s="3" t="n">
        <v>3</v>
      </c>
      <c r="X76" s="3" t="n">
        <v>3</v>
      </c>
      <c r="Y76" s="3" t="n">
        <v>2</v>
      </c>
      <c r="Z76" s="3" t="n">
        <v>237</v>
      </c>
      <c r="AA76" s="3" t="n">
        <v>14</v>
      </c>
      <c r="AB76" s="3" t="n">
        <v>151</v>
      </c>
      <c r="AC76" s="3" t="n">
        <v>12</v>
      </c>
    </row>
    <row r="77">
      <c r="A77" s="3" t="inlineStr">
        <is>
          <t>GU-TDH-084</t>
        </is>
      </c>
      <c r="B77" s="3" t="inlineStr">
        <is>
          <t>GE</t>
        </is>
      </c>
      <c r="C77" s="3" t="n">
        <v>23</v>
      </c>
      <c r="D77" s="3" t="n">
        <v>1</v>
      </c>
      <c r="E77" s="3" t="n">
        <v>14</v>
      </c>
      <c r="F77" s="3" t="n">
        <v>4</v>
      </c>
      <c r="G77" s="6" t="n">
        <v>46312</v>
      </c>
      <c r="H77" s="3" t="n">
        <v>3</v>
      </c>
      <c r="I77" s="3" t="n">
        <v>5</v>
      </c>
      <c r="J77" s="3" t="n">
        <v>3</v>
      </c>
      <c r="K77" s="3" t="n">
        <v>3</v>
      </c>
      <c r="L77" s="3" t="n">
        <v>4</v>
      </c>
      <c r="M77" s="3" t="n">
        <v>4</v>
      </c>
      <c r="N77" s="3" t="n">
        <v>4</v>
      </c>
      <c r="O77" s="3" t="n">
        <v>2</v>
      </c>
      <c r="P77" s="3" t="n">
        <v>2</v>
      </c>
      <c r="Q77" s="3" t="n">
        <v>3</v>
      </c>
      <c r="R77" s="3" t="n">
        <v>2</v>
      </c>
      <c r="S77" s="3" t="n">
        <v>4</v>
      </c>
      <c r="T77" s="3" t="n">
        <v>3</v>
      </c>
      <c r="U77" s="3" t="n">
        <v>2</v>
      </c>
      <c r="V77" s="3" t="n">
        <v>4</v>
      </c>
      <c r="W77" s="3" t="n">
        <v>3</v>
      </c>
      <c r="X77" s="3" t="n">
        <v>4</v>
      </c>
      <c r="Y77" s="3" t="n">
        <v>3</v>
      </c>
      <c r="Z77" s="3" t="n">
        <v>251</v>
      </c>
      <c r="AA77" s="3" t="n">
        <v>10</v>
      </c>
      <c r="AB77" s="3" t="n">
        <v>264</v>
      </c>
      <c r="AC77" s="3" t="n">
        <v>12</v>
      </c>
    </row>
    <row r="78">
      <c r="A78" s="3" t="inlineStr">
        <is>
          <t>GU-TDH-085</t>
        </is>
      </c>
      <c r="B78" s="3" t="inlineStr">
        <is>
          <t>GE</t>
        </is>
      </c>
      <c r="C78" s="3" t="n">
        <v>28</v>
      </c>
      <c r="D78" s="3" t="n">
        <v>1</v>
      </c>
      <c r="E78" s="3" t="n">
        <v>10</v>
      </c>
      <c r="F78" s="3" t="n">
        <v>2</v>
      </c>
      <c r="G78" s="6" t="n">
        <v>46307</v>
      </c>
      <c r="H78" s="3" t="n">
        <v>2</v>
      </c>
      <c r="I78" s="3" t="n">
        <v>3</v>
      </c>
      <c r="J78" s="3" t="n">
        <v>5</v>
      </c>
      <c r="K78" s="3" t="n">
        <v>3</v>
      </c>
      <c r="L78" s="3" t="n">
        <v>4</v>
      </c>
      <c r="M78" s="3" t="n">
        <v>3</v>
      </c>
      <c r="N78" s="3" t="n">
        <v>3</v>
      </c>
      <c r="O78" s="3" t="n">
        <v>3</v>
      </c>
      <c r="P78" s="3" t="n">
        <v>5</v>
      </c>
      <c r="Q78" s="3" t="n">
        <v>2</v>
      </c>
      <c r="R78" s="3" t="n">
        <v>4</v>
      </c>
      <c r="S78" s="3" t="n">
        <v>3</v>
      </c>
      <c r="T78" s="3" t="n">
        <v>4</v>
      </c>
      <c r="U78" s="3" t="n">
        <v>4</v>
      </c>
      <c r="V78" s="3" t="n">
        <v>4</v>
      </c>
      <c r="W78" s="3" t="n">
        <v>4</v>
      </c>
      <c r="X78" s="3" t="n">
        <v>3</v>
      </c>
      <c r="Y78" s="3" t="n">
        <v>4</v>
      </c>
      <c r="Z78" s="3" t="n">
        <v>199</v>
      </c>
      <c r="AA78" s="3" t="n">
        <v>8</v>
      </c>
      <c r="AB78" s="3" t="n">
        <v>228</v>
      </c>
      <c r="AC78" s="3" t="n">
        <v>11</v>
      </c>
    </row>
    <row r="79">
      <c r="A79" s="3" t="inlineStr">
        <is>
          <t>GU-TDH-086</t>
        </is>
      </c>
      <c r="B79" s="3" t="inlineStr">
        <is>
          <t>GE</t>
        </is>
      </c>
      <c r="C79" s="3" t="n">
        <v>33</v>
      </c>
      <c r="D79" s="3" t="n">
        <v>1</v>
      </c>
      <c r="E79" s="3" t="n">
        <v>11</v>
      </c>
      <c r="F79" s="3" t="n">
        <v>1</v>
      </c>
      <c r="G79" s="6" t="n">
        <v>46307</v>
      </c>
      <c r="H79" s="3" t="n">
        <v>2</v>
      </c>
      <c r="I79" s="3" t="n">
        <v>3</v>
      </c>
      <c r="J79" s="3" t="n">
        <v>3</v>
      </c>
      <c r="K79" s="3" t="n">
        <v>3</v>
      </c>
      <c r="L79" s="3" t="n">
        <v>4</v>
      </c>
      <c r="M79" s="3" t="n">
        <v>3</v>
      </c>
      <c r="N79" s="3" t="n">
        <v>3</v>
      </c>
      <c r="O79" s="3" t="n">
        <v>3</v>
      </c>
      <c r="P79" s="3" t="n">
        <v>3</v>
      </c>
      <c r="Q79" s="3" t="n">
        <v>4</v>
      </c>
      <c r="R79" s="3" t="n">
        <v>2</v>
      </c>
      <c r="S79" s="3" t="n">
        <v>2</v>
      </c>
      <c r="T79" s="3" t="n">
        <v>2</v>
      </c>
      <c r="U79" s="3" t="n">
        <v>3</v>
      </c>
      <c r="V79" s="3" t="n">
        <v>3</v>
      </c>
      <c r="W79" s="3" t="n">
        <v>2</v>
      </c>
      <c r="X79" s="3" t="n">
        <v>3</v>
      </c>
      <c r="Y79" s="3" t="n">
        <v>3</v>
      </c>
      <c r="Z79" s="3" t="n">
        <v>174</v>
      </c>
      <c r="AA79" s="3" t="n">
        <v>10</v>
      </c>
      <c r="AB79" s="3" t="n">
        <v>235</v>
      </c>
      <c r="AC79" s="3" t="n">
        <v>17</v>
      </c>
    </row>
    <row r="80">
      <c r="A80" s="3" t="inlineStr">
        <is>
          <t>GU-TDH-087</t>
        </is>
      </c>
      <c r="B80" s="3" t="inlineStr">
        <is>
          <t>GE</t>
        </is>
      </c>
      <c r="C80" s="3" t="n">
        <v>35</v>
      </c>
      <c r="D80" s="3" t="n">
        <v>1</v>
      </c>
      <c r="E80" s="3" t="n">
        <v>5</v>
      </c>
      <c r="F80" s="3" t="n">
        <v>2</v>
      </c>
      <c r="G80" s="6" t="n">
        <v>46309</v>
      </c>
      <c r="H80" s="3" t="n">
        <v>4</v>
      </c>
      <c r="I80" s="3" t="n">
        <v>1</v>
      </c>
      <c r="J80" s="3" t="n">
        <v>4</v>
      </c>
      <c r="K80" s="3" t="n">
        <v>2</v>
      </c>
      <c r="L80" s="3" t="n">
        <v>4</v>
      </c>
      <c r="M80" s="3" t="n">
        <v>3</v>
      </c>
      <c r="N80" s="3" t="n">
        <v>3</v>
      </c>
      <c r="O80" s="3" t="n">
        <v>3</v>
      </c>
      <c r="P80" s="3" t="n">
        <v>3</v>
      </c>
      <c r="Q80" s="3" t="n">
        <v>2</v>
      </c>
      <c r="R80" s="3" t="n">
        <v>3</v>
      </c>
      <c r="S80" s="3" t="n">
        <v>3</v>
      </c>
      <c r="T80" s="3" t="n">
        <v>2</v>
      </c>
      <c r="U80" s="3" t="n">
        <v>3</v>
      </c>
      <c r="V80" s="3" t="n">
        <v>2</v>
      </c>
      <c r="W80" s="3" t="n">
        <v>2</v>
      </c>
      <c r="X80" s="3" t="n">
        <v>2</v>
      </c>
      <c r="Y80" s="3" t="n">
        <v>3</v>
      </c>
      <c r="Z80" s="3" t="n">
        <v>196</v>
      </c>
      <c r="AA80" s="3" t="n">
        <v>9</v>
      </c>
      <c r="AB80" s="3" t="n">
        <v>218</v>
      </c>
      <c r="AC80" s="3" t="n">
        <v>13</v>
      </c>
    </row>
    <row r="81">
      <c r="A81" s="3" t="inlineStr">
        <is>
          <t>GU-TDH-088</t>
        </is>
      </c>
      <c r="B81" s="3" t="inlineStr">
        <is>
          <t>GE</t>
        </is>
      </c>
      <c r="C81" s="3" t="n">
        <v>26</v>
      </c>
      <c r="D81" s="3" t="n">
        <v>1</v>
      </c>
      <c r="E81" s="3" t="n">
        <v>10</v>
      </c>
      <c r="F81" s="3" t="n">
        <v>4</v>
      </c>
      <c r="G81" s="6" t="n">
        <v>46310</v>
      </c>
      <c r="H81" s="3" t="n">
        <v>3</v>
      </c>
      <c r="I81" s="3" t="n">
        <v>3</v>
      </c>
      <c r="J81" s="3" t="n">
        <v>5</v>
      </c>
      <c r="K81" s="3" t="n">
        <v>1</v>
      </c>
      <c r="L81" s="3" t="n">
        <v>4</v>
      </c>
      <c r="M81" s="3" t="n">
        <v>2</v>
      </c>
      <c r="N81" s="3" t="n">
        <v>3</v>
      </c>
      <c r="O81" s="3" t="n">
        <v>3</v>
      </c>
      <c r="P81" s="3" t="n">
        <v>3</v>
      </c>
      <c r="Q81" s="3" t="n">
        <v>3</v>
      </c>
      <c r="R81" s="3" t="n">
        <v>3</v>
      </c>
      <c r="S81" s="3" t="n">
        <v>4</v>
      </c>
      <c r="T81" s="3" t="n">
        <v>4</v>
      </c>
      <c r="U81" s="3" t="n">
        <v>3</v>
      </c>
      <c r="V81" s="3" t="n">
        <v>3</v>
      </c>
      <c r="W81" s="3" t="n">
        <v>3</v>
      </c>
      <c r="X81" s="3" t="n">
        <v>2</v>
      </c>
      <c r="Y81" s="3" t="n">
        <v>3</v>
      </c>
      <c r="Z81" s="3" t="n">
        <v>183</v>
      </c>
      <c r="AA81" s="3" t="n">
        <v>9</v>
      </c>
      <c r="AB81" s="3" t="n">
        <v>246</v>
      </c>
      <c r="AC81" s="3" t="n">
        <v>16</v>
      </c>
    </row>
    <row r="82">
      <c r="A82" s="3" t="inlineStr">
        <is>
          <t>GU-TDH-089</t>
        </is>
      </c>
      <c r="B82" s="3" t="inlineStr">
        <is>
          <t>GE</t>
        </is>
      </c>
      <c r="C82" s="3" t="n">
        <v>24</v>
      </c>
      <c r="D82" s="3" t="n">
        <v>2</v>
      </c>
      <c r="E82" s="3" t="n">
        <v>6</v>
      </c>
      <c r="F82" s="3" t="n">
        <v>1</v>
      </c>
      <c r="G82" s="6" t="n">
        <v>46307</v>
      </c>
      <c r="H82" s="3" t="n">
        <v>3</v>
      </c>
      <c r="I82" s="3" t="n">
        <v>2</v>
      </c>
      <c r="J82" s="3" t="n">
        <v>4</v>
      </c>
      <c r="K82" s="3" t="n">
        <v>2</v>
      </c>
      <c r="L82" s="3" t="n">
        <v>4</v>
      </c>
      <c r="M82" s="3" t="n">
        <v>4</v>
      </c>
      <c r="N82" s="3" t="n">
        <v>4</v>
      </c>
      <c r="O82" s="3" t="n">
        <v>3</v>
      </c>
      <c r="P82" s="3" t="n">
        <v>3</v>
      </c>
      <c r="Q82" s="3" t="n">
        <v>2</v>
      </c>
      <c r="R82" s="3" t="n">
        <v>3</v>
      </c>
      <c r="S82" s="3" t="n">
        <v>4</v>
      </c>
      <c r="T82" s="3" t="n">
        <v>2</v>
      </c>
      <c r="U82" s="3" t="n">
        <v>2</v>
      </c>
      <c r="V82" s="3" t="n">
        <v>3</v>
      </c>
      <c r="W82" s="3" t="n">
        <v>3</v>
      </c>
      <c r="X82" s="3" t="n">
        <v>3</v>
      </c>
      <c r="Y82" s="3" t="n">
        <v>2</v>
      </c>
      <c r="Z82" s="3" t="n">
        <v>190</v>
      </c>
      <c r="AA82" s="3" t="n">
        <v>13</v>
      </c>
      <c r="AB82" s="3" t="n">
        <v>166</v>
      </c>
      <c r="AC82" s="3" t="n">
        <v>8</v>
      </c>
    </row>
    <row r="83">
      <c r="A83" s="3" t="inlineStr">
        <is>
          <t>GU-TDH-090</t>
        </is>
      </c>
      <c r="B83" s="3" t="inlineStr">
        <is>
          <t>GE</t>
        </is>
      </c>
      <c r="C83" s="3" t="n">
        <v>43</v>
      </c>
      <c r="D83" s="3" t="n">
        <v>1</v>
      </c>
      <c r="E83" s="3" t="n">
        <v>5</v>
      </c>
      <c r="F83" s="3" t="n">
        <v>2</v>
      </c>
      <c r="G83" s="6" t="n">
        <v>46308</v>
      </c>
      <c r="H83" s="3" t="n">
        <v>3</v>
      </c>
      <c r="I83" s="3" t="n">
        <v>4</v>
      </c>
      <c r="J83" s="3" t="n">
        <v>4</v>
      </c>
      <c r="K83" s="3" t="n">
        <v>3</v>
      </c>
      <c r="L83" s="3" t="n">
        <v>4</v>
      </c>
      <c r="M83" s="3" t="n">
        <v>2</v>
      </c>
      <c r="N83" s="3" t="n">
        <v>3</v>
      </c>
      <c r="O83" s="3" t="n">
        <v>2</v>
      </c>
      <c r="P83" s="3" t="n">
        <v>4</v>
      </c>
      <c r="Q83" s="3" t="n">
        <v>2</v>
      </c>
      <c r="R83" s="3" t="n">
        <v>5</v>
      </c>
      <c r="S83" s="3" t="n">
        <v>4</v>
      </c>
      <c r="T83" s="3" t="n">
        <v>4</v>
      </c>
      <c r="U83" s="3" t="n">
        <v>3</v>
      </c>
      <c r="V83" s="3" t="n">
        <v>3</v>
      </c>
      <c r="W83" s="3" t="n">
        <v>3</v>
      </c>
      <c r="X83" s="3" t="n">
        <v>4</v>
      </c>
      <c r="Y83" s="3" t="n">
        <v>3</v>
      </c>
      <c r="Z83" s="3" t="n">
        <v>216</v>
      </c>
      <c r="AA83" s="3" t="n">
        <v>11</v>
      </c>
      <c r="AB83" s="3" t="n">
        <v>231</v>
      </c>
      <c r="AC83" s="3" t="n">
        <v>11</v>
      </c>
    </row>
    <row r="84">
      <c r="A84" s="3" t="inlineStr">
        <is>
          <t>GU-TDH-091</t>
        </is>
      </c>
      <c r="B84" s="3" t="inlineStr">
        <is>
          <t>GE</t>
        </is>
      </c>
      <c r="C84" s="3" t="n">
        <v>24</v>
      </c>
      <c r="D84" s="3" t="n">
        <v>2</v>
      </c>
      <c r="E84" s="3" t="n">
        <v>14</v>
      </c>
      <c r="F84" s="3" t="n">
        <v>2</v>
      </c>
      <c r="G84" s="6" t="n">
        <v>46308</v>
      </c>
      <c r="H84" s="3" t="n">
        <v>3</v>
      </c>
      <c r="I84" s="3" t="n">
        <v>3</v>
      </c>
      <c r="J84" s="3" t="n">
        <v>3</v>
      </c>
      <c r="K84" s="3" t="n">
        <v>3</v>
      </c>
      <c r="L84" s="3" t="n">
        <v>3</v>
      </c>
      <c r="M84" s="3" t="n">
        <v>3</v>
      </c>
      <c r="N84" s="3" t="n">
        <v>4</v>
      </c>
      <c r="O84" s="3" t="n">
        <v>3</v>
      </c>
      <c r="P84" s="3" t="n">
        <v>3</v>
      </c>
      <c r="Q84" s="3" t="n">
        <v>3</v>
      </c>
      <c r="R84" s="3" t="n">
        <v>3</v>
      </c>
      <c r="S84" s="3" t="n">
        <v>3</v>
      </c>
      <c r="T84" s="3" t="n">
        <v>3</v>
      </c>
      <c r="U84" s="3" t="n">
        <v>5</v>
      </c>
      <c r="V84" s="3" t="n">
        <v>5</v>
      </c>
      <c r="W84" s="3" t="n">
        <v>2</v>
      </c>
      <c r="X84" s="3" t="n">
        <v>2</v>
      </c>
      <c r="Y84" s="3" t="n">
        <v>3</v>
      </c>
      <c r="Z84" s="3" t="n">
        <v>100</v>
      </c>
      <c r="AA84" s="3" t="n">
        <v>2</v>
      </c>
      <c r="AB84" s="3" t="n">
        <v>175</v>
      </c>
      <c r="AC84" s="3" t="n">
        <v>9</v>
      </c>
    </row>
    <row r="85">
      <c r="A85" s="3" t="inlineStr">
        <is>
          <t>GU-TDH-092</t>
        </is>
      </c>
      <c r="B85" s="3" t="inlineStr">
        <is>
          <t>GE</t>
        </is>
      </c>
      <c r="C85" s="3" t="n">
        <v>29</v>
      </c>
      <c r="D85" s="3" t="n">
        <v>1</v>
      </c>
      <c r="E85" s="3" t="n">
        <v>11</v>
      </c>
      <c r="F85" s="3" t="n">
        <v>4</v>
      </c>
      <c r="G85" s="6" t="n">
        <v>46311</v>
      </c>
      <c r="H85" s="3" t="n">
        <v>2</v>
      </c>
      <c r="I85" s="3" t="n">
        <v>2</v>
      </c>
      <c r="J85" s="3" t="n">
        <v>4</v>
      </c>
      <c r="K85" s="3" t="n">
        <v>3</v>
      </c>
      <c r="L85" s="3" t="n">
        <v>2</v>
      </c>
      <c r="M85" s="3" t="n">
        <v>3</v>
      </c>
      <c r="N85" s="3" t="n">
        <v>5</v>
      </c>
      <c r="O85" s="3" t="n">
        <v>2</v>
      </c>
      <c r="P85" s="3" t="n">
        <v>5</v>
      </c>
      <c r="Q85" s="3" t="n">
        <v>2</v>
      </c>
      <c r="R85" s="3" t="n">
        <v>2</v>
      </c>
      <c r="S85" s="3" t="n">
        <v>3</v>
      </c>
      <c r="T85" s="3" t="n">
        <v>2</v>
      </c>
      <c r="U85" s="3" t="n">
        <v>2</v>
      </c>
      <c r="V85" s="3" t="n">
        <v>2</v>
      </c>
      <c r="W85" s="3" t="n">
        <v>3</v>
      </c>
      <c r="X85" s="3" t="n">
        <v>2</v>
      </c>
      <c r="Y85" s="3" t="n">
        <v>3</v>
      </c>
      <c r="Z85" s="3" t="n">
        <v>274</v>
      </c>
      <c r="AA85" s="3" t="n">
        <v>18</v>
      </c>
      <c r="AB85" s="3" t="n">
        <v>248</v>
      </c>
      <c r="AC85" s="3" t="n">
        <v>14</v>
      </c>
    </row>
    <row r="86">
      <c r="A86" s="3" t="inlineStr">
        <is>
          <t>GU-TDH-093</t>
        </is>
      </c>
      <c r="B86" s="3" t="inlineStr">
        <is>
          <t>GE</t>
        </is>
      </c>
      <c r="C86" s="3" t="n">
        <v>24</v>
      </c>
      <c r="D86" s="3" t="n">
        <v>2</v>
      </c>
      <c r="E86" s="3" t="n">
        <v>7</v>
      </c>
      <c r="F86" s="3" t="n">
        <v>2</v>
      </c>
      <c r="G86" s="6" t="n">
        <v>46310</v>
      </c>
      <c r="H86" s="3" t="n">
        <v>3</v>
      </c>
      <c r="I86" s="3" t="n">
        <v>3</v>
      </c>
      <c r="J86" s="3" t="n">
        <v>3</v>
      </c>
      <c r="K86" s="3" t="n">
        <v>3</v>
      </c>
      <c r="L86" s="3" t="n">
        <v>2</v>
      </c>
      <c r="M86" s="3" t="n">
        <v>4</v>
      </c>
      <c r="N86" s="3" t="n">
        <v>2</v>
      </c>
      <c r="O86" s="3" t="n">
        <v>3</v>
      </c>
      <c r="P86" s="3" t="n">
        <v>4</v>
      </c>
      <c r="Q86" s="3" t="n">
        <v>4</v>
      </c>
      <c r="R86" s="3" t="n">
        <v>1</v>
      </c>
      <c r="S86" s="3" t="n">
        <v>1</v>
      </c>
      <c r="T86" s="3" t="n">
        <v>2</v>
      </c>
      <c r="U86" s="3" t="n">
        <v>1</v>
      </c>
      <c r="V86" s="3" t="n">
        <v>1</v>
      </c>
      <c r="W86" s="3" t="n">
        <v>1</v>
      </c>
      <c r="X86" s="3" t="n">
        <v>1</v>
      </c>
      <c r="Y86" s="3" t="n">
        <v>1</v>
      </c>
      <c r="Z86" s="3" t="n">
        <v>256</v>
      </c>
      <c r="AA86" s="3" t="n">
        <v>12</v>
      </c>
      <c r="AB86" s="3" t="n">
        <v>144</v>
      </c>
      <c r="AC86" s="3" t="n">
        <v>6</v>
      </c>
    </row>
    <row r="87">
      <c r="A87" s="3" t="inlineStr">
        <is>
          <t>GU-TDH-095</t>
        </is>
      </c>
      <c r="B87" s="3" t="inlineStr">
        <is>
          <t>GE</t>
        </is>
      </c>
      <c r="C87" s="3" t="n">
        <v>27</v>
      </c>
      <c r="D87" s="3" t="n">
        <v>2</v>
      </c>
      <c r="E87" s="3" t="n">
        <v>11</v>
      </c>
      <c r="F87" s="3" t="n">
        <v>4</v>
      </c>
      <c r="G87" s="6" t="n">
        <v>46308</v>
      </c>
      <c r="H87" s="3" t="n">
        <v>4</v>
      </c>
      <c r="I87" s="3" t="n">
        <v>2</v>
      </c>
      <c r="J87" s="3" t="n">
        <v>5</v>
      </c>
      <c r="K87" s="3" t="n">
        <v>2</v>
      </c>
      <c r="L87" s="3" t="n">
        <v>5</v>
      </c>
      <c r="M87" s="3" t="n">
        <v>4</v>
      </c>
      <c r="N87" s="3" t="n">
        <v>4</v>
      </c>
      <c r="O87" s="3" t="n">
        <v>3</v>
      </c>
      <c r="P87" s="3" t="n">
        <v>3</v>
      </c>
      <c r="Q87" s="3" t="n">
        <v>1</v>
      </c>
      <c r="R87" s="3" t="n">
        <v>2</v>
      </c>
      <c r="S87" s="3" t="n">
        <v>5</v>
      </c>
      <c r="T87" s="3" t="n">
        <v>4</v>
      </c>
      <c r="U87" s="3" t="n">
        <v>2</v>
      </c>
      <c r="V87" s="3" t="n">
        <v>5</v>
      </c>
      <c r="W87" s="3" t="n">
        <v>3</v>
      </c>
      <c r="X87" s="3" t="n">
        <v>4</v>
      </c>
      <c r="Y87" s="3" t="n">
        <v>4</v>
      </c>
      <c r="Z87" s="3" t="n">
        <v>201</v>
      </c>
      <c r="AA87" s="3" t="n">
        <v>9</v>
      </c>
      <c r="AB87" s="3" t="n">
        <v>197</v>
      </c>
      <c r="AC87" s="3" t="n">
        <v>11</v>
      </c>
    </row>
    <row r="88">
      <c r="A88" s="3" t="inlineStr">
        <is>
          <t>GU-TDH-097</t>
        </is>
      </c>
      <c r="B88" s="3" t="inlineStr">
        <is>
          <t>GE</t>
        </is>
      </c>
      <c r="C88" s="3" t="n">
        <v>25</v>
      </c>
      <c r="D88" s="3" t="n">
        <v>1</v>
      </c>
      <c r="E88" s="3" t="n">
        <v>11</v>
      </c>
      <c r="F88" s="3" t="n">
        <v>2</v>
      </c>
      <c r="G88" s="6" t="n">
        <v>46309</v>
      </c>
      <c r="H88" s="3" t="n">
        <v>4</v>
      </c>
      <c r="I88" s="3" t="n">
        <v>2</v>
      </c>
      <c r="J88" s="3" t="n">
        <v>3</v>
      </c>
      <c r="K88" s="3" t="n">
        <v>3</v>
      </c>
      <c r="L88" s="3" t="n">
        <v>3</v>
      </c>
      <c r="M88" s="3" t="n">
        <v>3</v>
      </c>
      <c r="N88" s="3" t="n">
        <v>2</v>
      </c>
      <c r="O88" s="3" t="n">
        <v>4</v>
      </c>
      <c r="P88" s="3" t="n">
        <v>2</v>
      </c>
      <c r="Q88" s="3" t="n">
        <v>3</v>
      </c>
      <c r="R88" s="3" t="n">
        <v>2</v>
      </c>
      <c r="S88" s="3" t="n">
        <v>4</v>
      </c>
      <c r="T88" s="3" t="n">
        <v>4</v>
      </c>
      <c r="U88" s="3" t="n">
        <v>4</v>
      </c>
      <c r="V88" s="3" t="n">
        <v>4</v>
      </c>
      <c r="W88" s="3" t="n">
        <v>4</v>
      </c>
      <c r="X88" s="3" t="n">
        <v>2</v>
      </c>
      <c r="Y88" s="3" t="n">
        <v>4</v>
      </c>
      <c r="Z88" s="3" t="n">
        <v>208</v>
      </c>
      <c r="AA88" s="3" t="n">
        <v>10</v>
      </c>
      <c r="AB88" s="3" t="n">
        <v>226</v>
      </c>
      <c r="AC88" s="3" t="n">
        <v>9</v>
      </c>
    </row>
    <row r="89">
      <c r="A89" s="3" t="inlineStr">
        <is>
          <t>GU-TDH-098</t>
        </is>
      </c>
      <c r="B89" s="3" t="inlineStr">
        <is>
          <t>GE</t>
        </is>
      </c>
      <c r="C89" s="3" t="n">
        <v>28</v>
      </c>
      <c r="D89" s="3" t="n">
        <v>2</v>
      </c>
      <c r="E89" s="3" t="n">
        <v>6</v>
      </c>
      <c r="F89" s="3" t="n">
        <v>4</v>
      </c>
      <c r="G89" s="6" t="n">
        <v>46312</v>
      </c>
      <c r="H89" s="3" t="n">
        <v>3</v>
      </c>
      <c r="I89" s="3" t="n">
        <v>3</v>
      </c>
      <c r="J89" s="3" t="n">
        <v>3</v>
      </c>
      <c r="K89" s="3" t="n">
        <v>3</v>
      </c>
      <c r="L89" s="3" t="n">
        <v>4</v>
      </c>
      <c r="M89" s="3" t="n">
        <v>5</v>
      </c>
      <c r="N89" s="3" t="n">
        <v>3</v>
      </c>
      <c r="O89" s="3" t="n">
        <v>4</v>
      </c>
      <c r="P89" s="3" t="n">
        <v>3</v>
      </c>
      <c r="Q89" s="3" t="n">
        <v>3</v>
      </c>
      <c r="R89" s="3" t="n">
        <v>3</v>
      </c>
      <c r="S89" s="3" t="n">
        <v>3</v>
      </c>
      <c r="T89" s="3" t="n">
        <v>4</v>
      </c>
      <c r="U89" s="3" t="n">
        <v>3</v>
      </c>
      <c r="V89" s="3" t="n">
        <v>3</v>
      </c>
      <c r="W89" s="3" t="n">
        <v>2</v>
      </c>
      <c r="X89" s="3" t="n">
        <v>3</v>
      </c>
      <c r="Y89" s="3" t="n">
        <v>4</v>
      </c>
      <c r="Z89" s="3" t="n">
        <v>148</v>
      </c>
      <c r="AA89" s="3" t="n">
        <v>10</v>
      </c>
      <c r="AB89" s="3" t="n">
        <v>171</v>
      </c>
      <c r="AC89" s="3" t="n">
        <v>7</v>
      </c>
    </row>
    <row r="90">
      <c r="A90" s="3" t="inlineStr">
        <is>
          <t>GU-TDH-099</t>
        </is>
      </c>
      <c r="B90" s="3" t="inlineStr">
        <is>
          <t>GE</t>
        </is>
      </c>
      <c r="C90" s="3" t="n">
        <v>36</v>
      </c>
      <c r="D90" s="3" t="n">
        <v>1</v>
      </c>
      <c r="E90" s="3" t="n">
        <v>18</v>
      </c>
      <c r="F90" s="3" t="n">
        <v>2</v>
      </c>
      <c r="G90" s="6" t="n">
        <v>46309</v>
      </c>
      <c r="H90" s="3" t="n">
        <v>4</v>
      </c>
      <c r="I90" s="3" t="n">
        <v>4</v>
      </c>
      <c r="J90" s="3" t="n">
        <v>4</v>
      </c>
      <c r="K90" s="3" t="n">
        <v>3</v>
      </c>
      <c r="L90" s="3" t="n">
        <v>2</v>
      </c>
      <c r="M90" s="3" t="n">
        <v>2</v>
      </c>
      <c r="N90" s="3" t="n">
        <v>2</v>
      </c>
      <c r="O90" s="3" t="n">
        <v>3</v>
      </c>
      <c r="P90" s="3" t="n">
        <v>2</v>
      </c>
      <c r="Q90" s="3" t="n">
        <v>2</v>
      </c>
      <c r="R90" s="3" t="n">
        <v>4</v>
      </c>
      <c r="S90" s="3" t="n">
        <v>3</v>
      </c>
      <c r="T90" s="3" t="n">
        <v>3</v>
      </c>
      <c r="U90" s="3" t="n">
        <v>3</v>
      </c>
      <c r="V90" s="3" t="n">
        <v>3</v>
      </c>
      <c r="W90" s="3" t="n">
        <v>2</v>
      </c>
      <c r="X90" s="3" t="n">
        <v>4</v>
      </c>
      <c r="Y90" s="3" t="n">
        <v>3</v>
      </c>
      <c r="Z90" s="3" t="n">
        <v>149</v>
      </c>
      <c r="AA90" s="3" t="n">
        <v>9</v>
      </c>
      <c r="AB90" s="3" t="n">
        <v>192</v>
      </c>
      <c r="AC90" s="3" t="n">
        <v>7</v>
      </c>
    </row>
    <row r="91">
      <c r="A91" s="3" t="inlineStr">
        <is>
          <t>GU-TDH-100</t>
        </is>
      </c>
      <c r="B91" s="3" t="inlineStr">
        <is>
          <t>GE</t>
        </is>
      </c>
      <c r="C91" s="3" t="n">
        <v>27</v>
      </c>
      <c r="D91" s="3" t="n">
        <v>1</v>
      </c>
      <c r="E91" s="3" t="n">
        <v>7</v>
      </c>
      <c r="F91" s="3" t="n">
        <v>4</v>
      </c>
      <c r="G91" s="6" t="n">
        <v>46310</v>
      </c>
      <c r="H91" s="3" t="n">
        <v>3</v>
      </c>
      <c r="I91" s="3" t="n">
        <v>1</v>
      </c>
      <c r="J91" s="3" t="n">
        <v>3</v>
      </c>
      <c r="K91" s="3" t="n">
        <v>3</v>
      </c>
      <c r="L91" s="3" t="n">
        <v>3</v>
      </c>
      <c r="M91" s="3" t="n">
        <v>2</v>
      </c>
      <c r="N91" s="3" t="n">
        <v>4</v>
      </c>
      <c r="O91" s="3" t="n">
        <v>4</v>
      </c>
      <c r="P91" s="3" t="n">
        <v>4</v>
      </c>
      <c r="Q91" s="3" t="n">
        <v>3</v>
      </c>
      <c r="R91" s="3" t="n">
        <v>4</v>
      </c>
      <c r="S91" s="3" t="n">
        <v>4</v>
      </c>
      <c r="T91" s="3" t="n">
        <v>4</v>
      </c>
      <c r="U91" s="3" t="n">
        <v>4</v>
      </c>
      <c r="V91" s="3" t="n">
        <v>3</v>
      </c>
      <c r="W91" s="3" t="n">
        <v>4</v>
      </c>
      <c r="X91" s="3" t="n">
        <v>5</v>
      </c>
      <c r="Y91" s="3" t="n">
        <v>5</v>
      </c>
      <c r="Z91" s="3" t="n">
        <v>220</v>
      </c>
      <c r="AA91" s="3" t="n">
        <v>10</v>
      </c>
      <c r="AB91" s="3" t="n">
        <v>114</v>
      </c>
      <c r="AC91" s="3" t="n">
        <v>5</v>
      </c>
    </row>
    <row r="92">
      <c r="A92" s="3" t="inlineStr">
        <is>
          <t>GU-TDH-101</t>
        </is>
      </c>
      <c r="B92" s="3" t="inlineStr">
        <is>
          <t>GE</t>
        </is>
      </c>
      <c r="C92" s="3" t="n">
        <v>30</v>
      </c>
      <c r="D92" s="3" t="n">
        <v>1</v>
      </c>
      <c r="E92" s="3" t="n">
        <v>9</v>
      </c>
      <c r="F92" s="3" t="n">
        <v>2</v>
      </c>
      <c r="G92" s="6" t="n">
        <v>46310</v>
      </c>
      <c r="H92" s="3" t="n">
        <v>3</v>
      </c>
      <c r="I92" s="3" t="n">
        <v>3</v>
      </c>
      <c r="J92" s="3" t="n">
        <v>3</v>
      </c>
      <c r="K92" s="3" t="n">
        <v>3</v>
      </c>
      <c r="L92" s="3" t="n">
        <v>3</v>
      </c>
      <c r="M92" s="3" t="n">
        <v>4</v>
      </c>
      <c r="N92" s="3" t="n">
        <v>2</v>
      </c>
      <c r="O92" s="3" t="n">
        <v>3</v>
      </c>
      <c r="P92" s="3" t="n">
        <v>4</v>
      </c>
      <c r="Q92" s="3" t="n">
        <v>3</v>
      </c>
      <c r="R92" s="3" t="n">
        <v>2</v>
      </c>
      <c r="S92" s="3" t="n">
        <v>1</v>
      </c>
      <c r="T92" s="3" t="n">
        <v>2</v>
      </c>
      <c r="U92" s="3" t="n">
        <v>3</v>
      </c>
      <c r="V92" s="3" t="n">
        <v>2</v>
      </c>
      <c r="W92" s="3" t="n">
        <v>2</v>
      </c>
      <c r="X92" s="3" t="n">
        <v>1</v>
      </c>
      <c r="Y92" s="3" t="n">
        <v>3</v>
      </c>
      <c r="Z92" s="3" t="n">
        <v>146</v>
      </c>
      <c r="AA92" s="3" t="n">
        <v>9</v>
      </c>
      <c r="AB92" s="3" t="n">
        <v>148</v>
      </c>
      <c r="AC92" s="3" t="n">
        <v>11</v>
      </c>
    </row>
    <row r="93">
      <c r="A93" s="3" t="inlineStr">
        <is>
          <t>GU-TDH-102</t>
        </is>
      </c>
      <c r="B93" s="3" t="inlineStr">
        <is>
          <t>GE</t>
        </is>
      </c>
      <c r="C93" s="3" t="n">
        <v>50</v>
      </c>
      <c r="D93" s="3" t="n">
        <v>1</v>
      </c>
      <c r="E93" s="3" t="n">
        <v>9</v>
      </c>
      <c r="F93" s="3" t="n">
        <v>4</v>
      </c>
      <c r="G93" s="6" t="n">
        <v>46312</v>
      </c>
      <c r="H93" s="3" t="n">
        <v>4</v>
      </c>
      <c r="I93" s="3" t="n">
        <v>2</v>
      </c>
      <c r="J93" s="3" t="n">
        <v>4</v>
      </c>
      <c r="K93" s="3" t="n">
        <v>2</v>
      </c>
      <c r="L93" s="3" t="n">
        <v>3</v>
      </c>
      <c r="M93" s="3" t="n">
        <v>3</v>
      </c>
      <c r="N93" s="3" t="n">
        <v>4</v>
      </c>
      <c r="O93" s="3" t="n">
        <v>3</v>
      </c>
      <c r="P93" s="3" t="n">
        <v>4</v>
      </c>
      <c r="Q93" s="3" t="n">
        <v>2</v>
      </c>
      <c r="R93" s="3" t="n">
        <v>2</v>
      </c>
      <c r="S93" s="3" t="n">
        <v>3</v>
      </c>
      <c r="T93" s="3" t="n">
        <v>2</v>
      </c>
      <c r="U93" s="3" t="n">
        <v>2</v>
      </c>
      <c r="V93" s="3" t="n">
        <v>3</v>
      </c>
      <c r="W93" s="3" t="n">
        <v>2</v>
      </c>
      <c r="X93" s="3" t="n">
        <v>4</v>
      </c>
      <c r="Y93" s="3" t="n">
        <v>1</v>
      </c>
      <c r="Z93" s="3" t="n">
        <v>178</v>
      </c>
      <c r="AA93" s="3" t="n">
        <v>9</v>
      </c>
      <c r="AB93" s="3" t="n">
        <v>231</v>
      </c>
      <c r="AC93" s="3" t="n">
        <v>11</v>
      </c>
    </row>
    <row r="94">
      <c r="A94" s="3" t="inlineStr">
        <is>
          <t>GU-TDH-103</t>
        </is>
      </c>
      <c r="B94" s="3" t="inlineStr">
        <is>
          <t>GE</t>
        </is>
      </c>
      <c r="C94" s="3" t="n">
        <v>33</v>
      </c>
      <c r="D94" s="3" t="n">
        <v>2</v>
      </c>
      <c r="E94" s="3" t="n">
        <v>7</v>
      </c>
      <c r="F94" s="3" t="n">
        <v>4</v>
      </c>
      <c r="G94" s="6" t="n">
        <v>46314</v>
      </c>
      <c r="H94" s="3" t="n">
        <v>5</v>
      </c>
      <c r="I94" s="3" t="n">
        <v>4</v>
      </c>
      <c r="J94" s="3" t="n">
        <v>2</v>
      </c>
      <c r="K94" s="3" t="n">
        <v>4</v>
      </c>
      <c r="L94" s="3" t="n">
        <v>4</v>
      </c>
      <c r="M94" s="3" t="n">
        <v>3</v>
      </c>
      <c r="N94" s="3" t="n">
        <v>3</v>
      </c>
      <c r="O94" s="3" t="n">
        <v>3</v>
      </c>
      <c r="P94" s="3" t="n">
        <v>5</v>
      </c>
      <c r="Q94" s="3" t="n">
        <v>3</v>
      </c>
      <c r="R94" s="3" t="n">
        <v>2</v>
      </c>
      <c r="S94" s="3" t="n">
        <v>2</v>
      </c>
      <c r="T94" s="3" t="n">
        <v>2</v>
      </c>
      <c r="U94" s="3" t="n">
        <v>1</v>
      </c>
      <c r="V94" s="3" t="n">
        <v>2</v>
      </c>
      <c r="W94" s="3" t="n">
        <v>2</v>
      </c>
      <c r="X94" s="3" t="n">
        <v>3</v>
      </c>
      <c r="Y94" s="3" t="n">
        <v>2</v>
      </c>
      <c r="Z94" s="3" t="n">
        <v>163</v>
      </c>
      <c r="AA94" s="3" t="n">
        <v>11</v>
      </c>
      <c r="AB94" s="3" t="n">
        <v>234</v>
      </c>
      <c r="AC94" s="3" t="n">
        <v>13</v>
      </c>
    </row>
    <row r="95">
      <c r="A95" s="3" t="inlineStr">
        <is>
          <t>GU-TDH-104</t>
        </is>
      </c>
      <c r="B95" s="3" t="inlineStr">
        <is>
          <t>GE</t>
        </is>
      </c>
      <c r="C95" s="3" t="n">
        <v>29</v>
      </c>
      <c r="D95" s="3" t="n">
        <v>2</v>
      </c>
      <c r="E95" s="3" t="n">
        <v>5</v>
      </c>
      <c r="F95" s="3" t="n">
        <v>2</v>
      </c>
      <c r="G95" s="6" t="n">
        <v>46314</v>
      </c>
      <c r="H95" s="3" t="n">
        <v>2</v>
      </c>
      <c r="I95" s="3" t="n">
        <v>3</v>
      </c>
      <c r="J95" s="3" t="n">
        <v>3</v>
      </c>
      <c r="K95" s="3" t="n">
        <v>4</v>
      </c>
      <c r="L95" s="3" t="n">
        <v>2</v>
      </c>
      <c r="M95" s="3" t="n">
        <v>4</v>
      </c>
      <c r="N95" s="3" t="n">
        <v>3</v>
      </c>
      <c r="O95" s="3" t="n">
        <v>4</v>
      </c>
      <c r="P95" s="3" t="n">
        <v>2</v>
      </c>
      <c r="Q95" s="3" t="n">
        <v>3</v>
      </c>
      <c r="R95" s="3" t="n">
        <v>2</v>
      </c>
      <c r="S95" s="3" t="n">
        <v>2</v>
      </c>
      <c r="T95" s="3" t="n">
        <v>2</v>
      </c>
      <c r="U95" s="3" t="n">
        <v>2</v>
      </c>
      <c r="V95" s="3" t="n">
        <v>3</v>
      </c>
      <c r="W95" s="3" t="n">
        <v>1</v>
      </c>
      <c r="X95" s="3" t="n">
        <v>3</v>
      </c>
      <c r="Y95" s="3" t="n">
        <v>3</v>
      </c>
      <c r="Z95" s="3" t="n">
        <v>290</v>
      </c>
      <c r="AA95" s="3" t="n">
        <v>17</v>
      </c>
      <c r="AB95" s="3" t="n">
        <v>297</v>
      </c>
      <c r="AC95" s="3" t="n">
        <v>15</v>
      </c>
    </row>
    <row r="96">
      <c r="A96" s="3" t="inlineStr">
        <is>
          <t>GU-TDH-106</t>
        </is>
      </c>
      <c r="B96" s="3" t="inlineStr">
        <is>
          <t>GE</t>
        </is>
      </c>
      <c r="C96" s="3" t="n">
        <v>25</v>
      </c>
      <c r="D96" s="3" t="n">
        <v>2</v>
      </c>
      <c r="E96" s="3" t="n">
        <v>8</v>
      </c>
      <c r="F96" s="3" t="n">
        <v>4</v>
      </c>
      <c r="G96" s="6" t="n">
        <v>46311</v>
      </c>
      <c r="H96" s="3" t="n">
        <v>3</v>
      </c>
      <c r="I96" s="3" t="n">
        <v>4</v>
      </c>
      <c r="J96" s="3" t="n">
        <v>2</v>
      </c>
      <c r="K96" s="3" t="n">
        <v>3</v>
      </c>
      <c r="L96" s="3" t="n">
        <v>3</v>
      </c>
      <c r="M96" s="3" t="n">
        <v>3</v>
      </c>
      <c r="N96" s="3" t="n">
        <v>4</v>
      </c>
      <c r="O96" s="3" t="n">
        <v>2</v>
      </c>
      <c r="P96" s="3" t="n">
        <v>3</v>
      </c>
      <c r="Q96" s="3" t="n">
        <v>1</v>
      </c>
      <c r="R96" s="3" t="n">
        <v>3</v>
      </c>
      <c r="S96" s="3" t="n">
        <v>3</v>
      </c>
      <c r="T96" s="3" t="n">
        <v>5</v>
      </c>
      <c r="U96" s="3" t="n">
        <v>4</v>
      </c>
      <c r="V96" s="3" t="n">
        <v>3</v>
      </c>
      <c r="W96" s="3" t="n">
        <v>4</v>
      </c>
      <c r="X96" s="3" t="n">
        <v>3</v>
      </c>
      <c r="Y96" s="3" t="n">
        <v>3</v>
      </c>
      <c r="Z96" s="3" t="n">
        <v>265</v>
      </c>
      <c r="AA96" s="3" t="n">
        <v>9</v>
      </c>
      <c r="AB96" s="3" t="n">
        <v>247</v>
      </c>
      <c r="AC96" s="3" t="n">
        <v>15</v>
      </c>
    </row>
    <row r="97">
      <c r="A97" s="3" t="inlineStr">
        <is>
          <t>GU-TDH-108</t>
        </is>
      </c>
      <c r="B97" s="3" t="inlineStr">
        <is>
          <t>GE</t>
        </is>
      </c>
      <c r="C97" s="3" t="n">
        <v>37</v>
      </c>
      <c r="D97" s="3" t="n">
        <v>1</v>
      </c>
      <c r="E97" s="3" t="n">
        <v>10</v>
      </c>
      <c r="F97" s="3" t="n">
        <v>2</v>
      </c>
      <c r="G97" s="6" t="n">
        <v>46313</v>
      </c>
      <c r="H97" s="3" t="n">
        <v>2</v>
      </c>
      <c r="I97" s="3" t="n">
        <v>5</v>
      </c>
      <c r="J97" s="3" t="n">
        <v>3</v>
      </c>
      <c r="K97" s="3" t="n">
        <v>4</v>
      </c>
      <c r="L97" s="3" t="n">
        <v>2</v>
      </c>
      <c r="M97" s="3" t="n">
        <v>4</v>
      </c>
      <c r="N97" s="3" t="n">
        <v>2</v>
      </c>
      <c r="O97" s="3" t="n">
        <v>4</v>
      </c>
      <c r="P97" s="3" t="n">
        <v>3</v>
      </c>
      <c r="Q97" s="3" t="n">
        <v>3</v>
      </c>
      <c r="R97" s="3" t="n">
        <v>2</v>
      </c>
      <c r="S97" s="3" t="n">
        <v>1</v>
      </c>
      <c r="T97" s="3" t="n">
        <v>3</v>
      </c>
      <c r="U97" s="3" t="n">
        <v>3</v>
      </c>
      <c r="V97" s="3" t="n">
        <v>3</v>
      </c>
      <c r="W97" s="3" t="n">
        <v>4</v>
      </c>
      <c r="X97" s="3" t="n">
        <v>3</v>
      </c>
      <c r="Y97" s="3" t="n">
        <v>3</v>
      </c>
      <c r="Z97" s="3" t="n">
        <v>255</v>
      </c>
      <c r="AA97" s="3" t="n">
        <v>8</v>
      </c>
      <c r="AB97" s="3" t="n">
        <v>227</v>
      </c>
      <c r="AC97" s="3" t="n">
        <v>12</v>
      </c>
    </row>
    <row r="98">
      <c r="A98" s="3" t="inlineStr">
        <is>
          <t>GU-TDH-109</t>
        </is>
      </c>
      <c r="B98" s="3" t="inlineStr">
        <is>
          <t>GE</t>
        </is>
      </c>
      <c r="C98" s="3" t="n">
        <v>27</v>
      </c>
      <c r="D98" s="3" t="n">
        <v>1</v>
      </c>
      <c r="E98" s="3" t="n">
        <v>4</v>
      </c>
      <c r="F98" s="3" t="n">
        <v>2</v>
      </c>
      <c r="G98" s="6" t="n">
        <v>46307</v>
      </c>
      <c r="H98" s="3" t="n">
        <v>5</v>
      </c>
      <c r="I98" s="3" t="n">
        <v>2</v>
      </c>
      <c r="J98" s="3" t="n">
        <v>4</v>
      </c>
      <c r="K98" s="3" t="n">
        <v>3</v>
      </c>
      <c r="L98" s="3" t="n">
        <v>5</v>
      </c>
      <c r="M98" s="3" t="n">
        <v>2</v>
      </c>
      <c r="N98" s="3" t="n">
        <v>4</v>
      </c>
      <c r="O98" s="3" t="n">
        <v>1</v>
      </c>
      <c r="P98" s="3" t="n">
        <v>5</v>
      </c>
      <c r="Q98" s="3" t="n">
        <v>2</v>
      </c>
      <c r="R98" s="3" t="n">
        <v>5</v>
      </c>
      <c r="S98" s="3" t="n">
        <v>4</v>
      </c>
      <c r="T98" s="3" t="n">
        <v>5</v>
      </c>
      <c r="U98" s="3" t="n">
        <v>4</v>
      </c>
      <c r="V98" s="3" t="n">
        <v>5</v>
      </c>
      <c r="W98" s="3" t="n">
        <v>4</v>
      </c>
      <c r="X98" s="3" t="n">
        <v>5</v>
      </c>
      <c r="Y98" s="3" t="n">
        <v>4</v>
      </c>
      <c r="Z98" s="3" t="n">
        <v>172</v>
      </c>
      <c r="AA98" s="3" t="n">
        <v>11</v>
      </c>
      <c r="AB98" s="3" t="n">
        <v>154</v>
      </c>
      <c r="AC98" s="3" t="n">
        <v>3</v>
      </c>
    </row>
    <row r="99">
      <c r="A99" s="3" t="inlineStr">
        <is>
          <t>GU-TDH-110</t>
        </is>
      </c>
      <c r="B99" s="3" t="inlineStr">
        <is>
          <t>GE</t>
        </is>
      </c>
      <c r="C99" s="3" t="n">
        <v>34</v>
      </c>
      <c r="D99" s="3" t="n">
        <v>1</v>
      </c>
      <c r="E99" s="3" t="n">
        <v>13</v>
      </c>
      <c r="F99" s="3" t="n">
        <v>4</v>
      </c>
      <c r="G99" s="6" t="n">
        <v>46313</v>
      </c>
      <c r="H99" s="3" t="n">
        <v>2</v>
      </c>
      <c r="I99" s="3" t="n">
        <v>2</v>
      </c>
      <c r="J99" s="3" t="n">
        <v>4</v>
      </c>
      <c r="K99" s="3" t="n">
        <v>3</v>
      </c>
      <c r="L99" s="3" t="n">
        <v>3</v>
      </c>
      <c r="M99" s="3" t="n">
        <v>2</v>
      </c>
      <c r="N99" s="3" t="n">
        <v>3</v>
      </c>
      <c r="O99" s="3" t="n">
        <v>2</v>
      </c>
      <c r="P99" s="3" t="n">
        <v>3</v>
      </c>
      <c r="Q99" s="3" t="n">
        <v>3</v>
      </c>
      <c r="R99" s="3" t="n">
        <v>3</v>
      </c>
      <c r="S99" s="3" t="n">
        <v>2</v>
      </c>
      <c r="T99" s="3" t="n">
        <v>2</v>
      </c>
      <c r="U99" s="3" t="n">
        <v>3</v>
      </c>
      <c r="V99" s="3" t="n">
        <v>3</v>
      </c>
      <c r="W99" s="3" t="n">
        <v>3</v>
      </c>
      <c r="X99" s="3" t="n">
        <v>2</v>
      </c>
      <c r="Y99" s="3" t="n">
        <v>2</v>
      </c>
      <c r="Z99" s="3" t="n">
        <v>194</v>
      </c>
      <c r="AA99" s="3" t="n">
        <v>10</v>
      </c>
      <c r="AB99" s="3" t="n">
        <v>229</v>
      </c>
      <c r="AC99" s="3" t="n">
        <v>13</v>
      </c>
    </row>
    <row r="100">
      <c r="A100" s="3" t="inlineStr">
        <is>
          <t>GU-TDH-111</t>
        </is>
      </c>
      <c r="B100" s="3" t="inlineStr">
        <is>
          <t>GE</t>
        </is>
      </c>
      <c r="C100" s="3" t="n">
        <v>26</v>
      </c>
      <c r="D100" s="3" t="n">
        <v>2</v>
      </c>
      <c r="E100" s="3" t="n">
        <v>5</v>
      </c>
      <c r="F100" s="3" t="n">
        <v>2</v>
      </c>
      <c r="G100" s="6" t="n">
        <v>46312</v>
      </c>
      <c r="H100" s="3" t="n">
        <v>4</v>
      </c>
      <c r="I100" s="3" t="n">
        <v>3</v>
      </c>
      <c r="J100" s="3" t="n">
        <v>2</v>
      </c>
      <c r="K100" s="3" t="n">
        <v>3</v>
      </c>
      <c r="L100" s="3" t="n">
        <v>2</v>
      </c>
      <c r="M100" s="3" t="n">
        <v>3</v>
      </c>
      <c r="N100" s="3" t="n">
        <v>3</v>
      </c>
      <c r="O100" s="3" t="n">
        <v>3</v>
      </c>
      <c r="P100" s="3" t="n">
        <v>3</v>
      </c>
      <c r="Q100" s="3" t="n">
        <v>3</v>
      </c>
      <c r="R100" s="3" t="n">
        <v>3</v>
      </c>
      <c r="S100" s="3" t="n">
        <v>2</v>
      </c>
      <c r="T100" s="3" t="n">
        <v>2</v>
      </c>
      <c r="U100" s="3" t="n">
        <v>2</v>
      </c>
      <c r="V100" s="3" t="n">
        <v>1</v>
      </c>
      <c r="W100" s="3" t="n">
        <v>2</v>
      </c>
      <c r="X100" s="3" t="n">
        <v>2</v>
      </c>
      <c r="Y100" s="3" t="n">
        <v>3</v>
      </c>
      <c r="Z100" s="3" t="n">
        <v>238</v>
      </c>
      <c r="AA100" s="3" t="n">
        <v>16</v>
      </c>
      <c r="AB100" s="3" t="n">
        <v>243</v>
      </c>
      <c r="AC100" s="3" t="n">
        <v>13</v>
      </c>
    </row>
    <row r="101">
      <c r="A101" s="3" t="inlineStr">
        <is>
          <t>GU-TDH-113</t>
        </is>
      </c>
      <c r="B101" s="3" t="inlineStr">
        <is>
          <t>GE</t>
        </is>
      </c>
      <c r="C101" s="3" t="n">
        <v>26</v>
      </c>
      <c r="D101" s="3" t="n">
        <v>1</v>
      </c>
      <c r="E101" s="3" t="n">
        <v>6</v>
      </c>
      <c r="F101" s="3" t="n">
        <v>4</v>
      </c>
      <c r="G101" s="6" t="n">
        <v>46309</v>
      </c>
      <c r="H101" s="3" t="n">
        <v>1</v>
      </c>
      <c r="I101" s="3" t="n">
        <v>4</v>
      </c>
      <c r="J101" s="3" t="n">
        <v>2</v>
      </c>
      <c r="K101" s="3" t="n">
        <v>3</v>
      </c>
      <c r="L101" s="3" t="n">
        <v>4</v>
      </c>
      <c r="M101" s="3" t="n">
        <v>5</v>
      </c>
      <c r="N101" s="3" t="n">
        <v>3</v>
      </c>
      <c r="O101" s="3" t="n">
        <v>3</v>
      </c>
      <c r="P101" s="3" t="n">
        <v>3</v>
      </c>
      <c r="Q101" s="3" t="n">
        <v>3</v>
      </c>
      <c r="R101" s="3" t="n">
        <v>2</v>
      </c>
      <c r="S101" s="3" t="n">
        <v>1</v>
      </c>
      <c r="T101" s="3" t="n">
        <v>2</v>
      </c>
      <c r="U101" s="3" t="n">
        <v>2</v>
      </c>
      <c r="V101" s="3" t="n">
        <v>1</v>
      </c>
      <c r="W101" s="3" t="n">
        <v>1</v>
      </c>
      <c r="X101" s="3" t="n">
        <v>2</v>
      </c>
      <c r="Y101" s="3" t="n">
        <v>1</v>
      </c>
      <c r="Z101" s="3" t="n">
        <v>241</v>
      </c>
      <c r="AA101" s="3" t="n">
        <v>13</v>
      </c>
      <c r="AB101" s="3" t="n">
        <v>300</v>
      </c>
      <c r="AC101" s="3" t="n">
        <v>15</v>
      </c>
    </row>
    <row r="102">
      <c r="A102" s="3" t="inlineStr">
        <is>
          <t>GU-TDH-114</t>
        </is>
      </c>
      <c r="B102" s="3" t="inlineStr">
        <is>
          <t>GE</t>
        </is>
      </c>
      <c r="C102" s="3" t="n">
        <v>29</v>
      </c>
      <c r="D102" s="3" t="n">
        <v>1</v>
      </c>
      <c r="E102" s="3" t="n">
        <v>15</v>
      </c>
      <c r="F102" s="3" t="n">
        <v>4</v>
      </c>
      <c r="G102" s="6" t="n">
        <v>46313</v>
      </c>
      <c r="H102" s="3" t="n">
        <v>4</v>
      </c>
      <c r="I102" s="3" t="n">
        <v>4</v>
      </c>
      <c r="J102" s="3" t="n">
        <v>4</v>
      </c>
      <c r="K102" s="3" t="n">
        <v>2</v>
      </c>
      <c r="L102" s="3" t="n">
        <v>3</v>
      </c>
      <c r="M102" s="3" t="n">
        <v>4</v>
      </c>
      <c r="N102" s="3" t="n">
        <v>4</v>
      </c>
      <c r="O102" s="3" t="n">
        <v>2</v>
      </c>
      <c r="P102" s="3" t="n">
        <v>4</v>
      </c>
      <c r="Q102" s="3" t="n">
        <v>3</v>
      </c>
      <c r="R102" s="3" t="n">
        <v>2</v>
      </c>
      <c r="S102" s="3" t="n">
        <v>2</v>
      </c>
      <c r="T102" s="3" t="n">
        <v>4</v>
      </c>
      <c r="U102" s="3" t="n">
        <v>3</v>
      </c>
      <c r="V102" s="3" t="n">
        <v>3</v>
      </c>
      <c r="W102" s="3" t="n">
        <v>4</v>
      </c>
      <c r="X102" s="3" t="n">
        <v>3</v>
      </c>
      <c r="Y102" s="3" t="n">
        <v>2</v>
      </c>
      <c r="Z102" s="3" t="n">
        <v>116</v>
      </c>
      <c r="AA102" s="3" t="n">
        <v>4</v>
      </c>
      <c r="AB102" s="3" t="n">
        <v>163</v>
      </c>
      <c r="AC102" s="3" t="n">
        <v>10</v>
      </c>
    </row>
    <row r="103">
      <c r="A103" s="3" t="inlineStr">
        <is>
          <t>GU-TDH-115</t>
        </is>
      </c>
      <c r="B103" s="3" t="inlineStr">
        <is>
          <t>GE</t>
        </is>
      </c>
      <c r="C103" s="3" t="n">
        <v>37</v>
      </c>
      <c r="D103" s="3" t="n">
        <v>2</v>
      </c>
      <c r="E103" s="3" t="n">
        <v>5</v>
      </c>
      <c r="F103" s="3" t="n">
        <v>2</v>
      </c>
      <c r="G103" s="6" t="n">
        <v>46312</v>
      </c>
      <c r="H103" s="3" t="n">
        <v>4</v>
      </c>
      <c r="I103" s="3" t="n">
        <v>3</v>
      </c>
      <c r="J103" s="3" t="n">
        <v>3</v>
      </c>
      <c r="K103" s="3" t="n">
        <v>3</v>
      </c>
      <c r="L103" s="3" t="n">
        <v>3</v>
      </c>
      <c r="M103" s="3" t="n">
        <v>2</v>
      </c>
      <c r="N103" s="3" t="n">
        <v>3</v>
      </c>
      <c r="O103" s="3" t="n">
        <v>4</v>
      </c>
      <c r="P103" s="3" t="n">
        <v>5</v>
      </c>
      <c r="Q103" s="3" t="n">
        <v>3</v>
      </c>
      <c r="R103" s="3" t="n">
        <v>3</v>
      </c>
      <c r="S103" s="3" t="n">
        <v>5</v>
      </c>
      <c r="T103" s="3" t="n">
        <v>4</v>
      </c>
      <c r="U103" s="3" t="n">
        <v>5</v>
      </c>
      <c r="V103" s="3" t="n">
        <v>4</v>
      </c>
      <c r="W103" s="3" t="n">
        <v>4</v>
      </c>
      <c r="X103" s="3" t="n">
        <v>4</v>
      </c>
      <c r="Y103" s="3" t="n">
        <v>4</v>
      </c>
      <c r="Z103" s="3" t="n">
        <v>216</v>
      </c>
      <c r="AA103" s="3" t="n">
        <v>14</v>
      </c>
      <c r="AB103" s="3" t="n">
        <v>300</v>
      </c>
      <c r="AC103" s="3" t="n">
        <v>14</v>
      </c>
    </row>
    <row r="104">
      <c r="A104" s="3" t="inlineStr">
        <is>
          <t>GU-TDH-116</t>
        </is>
      </c>
      <c r="B104" s="3" t="inlineStr">
        <is>
          <t>GE</t>
        </is>
      </c>
      <c r="C104" s="3" t="n">
        <v>30</v>
      </c>
      <c r="D104" s="3" t="n">
        <v>1</v>
      </c>
      <c r="E104" s="3" t="n">
        <v>5</v>
      </c>
      <c r="F104" s="3" t="n">
        <v>2</v>
      </c>
      <c r="G104" s="6" t="n">
        <v>46308</v>
      </c>
      <c r="H104" s="3" t="n">
        <v>4</v>
      </c>
      <c r="I104" s="3" t="n">
        <v>2</v>
      </c>
      <c r="J104" s="3" t="n">
        <v>4</v>
      </c>
      <c r="K104" s="3" t="n">
        <v>3</v>
      </c>
      <c r="L104" s="3" t="n">
        <v>5</v>
      </c>
      <c r="M104" s="3" t="n">
        <v>2</v>
      </c>
      <c r="N104" s="3" t="n">
        <v>4</v>
      </c>
      <c r="O104" s="3" t="n">
        <v>2</v>
      </c>
      <c r="P104" s="3" t="n">
        <v>4</v>
      </c>
      <c r="Q104" s="3" t="n">
        <v>1</v>
      </c>
      <c r="R104" s="3" t="n">
        <v>3</v>
      </c>
      <c r="S104" s="3" t="n">
        <v>3</v>
      </c>
      <c r="T104" s="3" t="n">
        <v>4</v>
      </c>
      <c r="U104" s="3" t="n">
        <v>3</v>
      </c>
      <c r="V104" s="3" t="n">
        <v>3</v>
      </c>
      <c r="W104" s="3" t="n">
        <v>3</v>
      </c>
      <c r="X104" s="3" t="n">
        <v>3</v>
      </c>
      <c r="Y104" s="3" t="n">
        <v>3</v>
      </c>
      <c r="Z104" s="3" t="n">
        <v>216</v>
      </c>
      <c r="AA104" s="3" t="n">
        <v>14</v>
      </c>
      <c r="AB104" s="3" t="n">
        <v>271</v>
      </c>
      <c r="AC104" s="3" t="n">
        <v>14</v>
      </c>
    </row>
    <row r="105">
      <c r="A105" s="3" t="inlineStr">
        <is>
          <t>GU-TDH-117</t>
        </is>
      </c>
      <c r="B105" s="3" t="inlineStr">
        <is>
          <t>GE</t>
        </is>
      </c>
      <c r="C105" s="3" t="n">
        <v>30</v>
      </c>
      <c r="D105" s="3" t="n">
        <v>1</v>
      </c>
      <c r="E105" s="3" t="n">
        <v>6</v>
      </c>
      <c r="F105" s="3" t="n">
        <v>2</v>
      </c>
      <c r="G105" s="6" t="n">
        <v>46310</v>
      </c>
      <c r="H105" s="3" t="n">
        <v>5</v>
      </c>
      <c r="I105" s="3" t="n">
        <v>3</v>
      </c>
      <c r="J105" s="3" t="n">
        <v>4</v>
      </c>
      <c r="K105" s="3" t="n">
        <v>2</v>
      </c>
      <c r="L105" s="3" t="n">
        <v>5</v>
      </c>
      <c r="M105" s="3" t="n">
        <v>3</v>
      </c>
      <c r="N105" s="3" t="n">
        <v>4</v>
      </c>
      <c r="O105" s="3" t="n">
        <v>2</v>
      </c>
      <c r="P105" s="3" t="n">
        <v>4</v>
      </c>
      <c r="Q105" s="3" t="n">
        <v>3</v>
      </c>
      <c r="R105" s="3" t="n">
        <v>1</v>
      </c>
      <c r="S105" s="3" t="n">
        <v>1</v>
      </c>
      <c r="T105" s="3" t="n">
        <v>2</v>
      </c>
      <c r="U105" s="3" t="n">
        <v>2</v>
      </c>
      <c r="V105" s="3" t="n">
        <v>2</v>
      </c>
      <c r="W105" s="3" t="n">
        <v>3</v>
      </c>
      <c r="X105" s="3" t="n">
        <v>2</v>
      </c>
      <c r="Y105" s="3" t="n">
        <v>3</v>
      </c>
      <c r="Z105" s="3" t="n">
        <v>192</v>
      </c>
      <c r="AA105" s="3" t="n">
        <v>13</v>
      </c>
      <c r="AB105" s="3" t="n">
        <v>202</v>
      </c>
      <c r="AC105" s="3" t="n">
        <v>11</v>
      </c>
    </row>
    <row r="106">
      <c r="A106" s="3" t="inlineStr">
        <is>
          <t>GU-TDH-118</t>
        </is>
      </c>
      <c r="B106" s="3" t="inlineStr">
        <is>
          <t>GE</t>
        </is>
      </c>
      <c r="C106" s="3" t="n">
        <v>32</v>
      </c>
      <c r="D106" s="3" t="n">
        <v>1</v>
      </c>
      <c r="E106" s="3" t="n">
        <v>6</v>
      </c>
      <c r="F106" s="3" t="n">
        <v>4</v>
      </c>
      <c r="G106" s="6" t="n">
        <v>46309</v>
      </c>
      <c r="H106" s="3" t="n">
        <v>5</v>
      </c>
      <c r="I106" s="3" t="n">
        <v>2</v>
      </c>
      <c r="J106" s="3" t="n">
        <v>4</v>
      </c>
      <c r="K106" s="3" t="n">
        <v>3</v>
      </c>
      <c r="L106" s="3" t="n">
        <v>4</v>
      </c>
      <c r="M106" s="3" t="n">
        <v>2</v>
      </c>
      <c r="N106" s="3" t="n">
        <v>5</v>
      </c>
      <c r="O106" s="3" t="n">
        <v>3</v>
      </c>
      <c r="P106" s="3" t="n">
        <v>3</v>
      </c>
      <c r="Q106" s="3" t="n">
        <v>2</v>
      </c>
      <c r="R106" s="3" t="n">
        <v>4</v>
      </c>
      <c r="S106" s="3" t="n">
        <v>3</v>
      </c>
      <c r="T106" s="3" t="n">
        <v>5</v>
      </c>
      <c r="U106" s="3" t="n">
        <v>5</v>
      </c>
      <c r="V106" s="3" t="n">
        <v>3</v>
      </c>
      <c r="W106" s="3" t="n">
        <v>5</v>
      </c>
      <c r="X106" s="3" t="n">
        <v>5</v>
      </c>
      <c r="Y106" s="3" t="n">
        <v>5</v>
      </c>
      <c r="Z106" s="3" t="n">
        <v>175</v>
      </c>
      <c r="AA106" s="3" t="n">
        <v>7</v>
      </c>
      <c r="AB106" s="3" t="n">
        <v>151</v>
      </c>
      <c r="AC106" s="3" t="n">
        <v>8</v>
      </c>
    </row>
    <row r="107">
      <c r="A107" s="3" t="inlineStr">
        <is>
          <t>GU-TDH-119</t>
        </is>
      </c>
      <c r="B107" s="3" t="inlineStr">
        <is>
          <t>GE</t>
        </is>
      </c>
      <c r="C107" s="3" t="n">
        <v>30</v>
      </c>
      <c r="D107" s="3" t="n">
        <v>1</v>
      </c>
      <c r="E107" s="3" t="n">
        <v>21</v>
      </c>
      <c r="F107" s="3" t="n">
        <v>2</v>
      </c>
      <c r="G107" s="6" t="n">
        <v>46310</v>
      </c>
      <c r="H107" s="3" t="n">
        <v>5</v>
      </c>
      <c r="I107" s="3" t="n">
        <v>1</v>
      </c>
      <c r="J107" s="3" t="n">
        <v>4</v>
      </c>
      <c r="K107" s="3" t="n">
        <v>3</v>
      </c>
      <c r="L107" s="3" t="n">
        <v>4</v>
      </c>
      <c r="M107" s="3" t="n">
        <v>3</v>
      </c>
      <c r="N107" s="3" t="n">
        <v>4</v>
      </c>
      <c r="O107" s="3" t="n">
        <v>3</v>
      </c>
      <c r="P107" s="3" t="n">
        <v>4</v>
      </c>
      <c r="Q107" s="3" t="n">
        <v>3</v>
      </c>
      <c r="R107" s="3" t="n">
        <v>2</v>
      </c>
      <c r="S107" s="3" t="n">
        <v>2</v>
      </c>
      <c r="T107" s="3" t="n">
        <v>3</v>
      </c>
      <c r="U107" s="3" t="n">
        <v>2</v>
      </c>
      <c r="V107" s="3" t="n">
        <v>3</v>
      </c>
      <c r="W107" s="3" t="n">
        <v>4</v>
      </c>
      <c r="X107" s="3" t="n">
        <v>3</v>
      </c>
      <c r="Y107" s="3" t="n">
        <v>3</v>
      </c>
      <c r="Z107" s="3" t="n">
        <v>228</v>
      </c>
      <c r="AA107" s="3" t="n">
        <v>11</v>
      </c>
      <c r="AB107" s="3" t="n">
        <v>91</v>
      </c>
      <c r="AC107" s="3" t="n">
        <v>5</v>
      </c>
    </row>
    <row r="108">
      <c r="A108" s="3" t="inlineStr">
        <is>
          <t>GU-TDH-120</t>
        </is>
      </c>
      <c r="B108" s="3" t="inlineStr">
        <is>
          <t>GE</t>
        </is>
      </c>
      <c r="C108" s="3" t="n">
        <v>36</v>
      </c>
      <c r="D108" s="3" t="n">
        <v>1</v>
      </c>
      <c r="E108" s="3" t="n">
        <v>8</v>
      </c>
      <c r="F108" s="3" t="n">
        <v>1</v>
      </c>
      <c r="G108" s="6" t="n">
        <v>46312</v>
      </c>
      <c r="H108" s="3" t="n">
        <v>5</v>
      </c>
      <c r="I108" s="3" t="n">
        <v>1</v>
      </c>
      <c r="J108" s="3" t="n">
        <v>4</v>
      </c>
      <c r="K108" s="3" t="n">
        <v>2</v>
      </c>
      <c r="L108" s="3" t="n">
        <v>4</v>
      </c>
      <c r="M108" s="3" t="n">
        <v>2</v>
      </c>
      <c r="N108" s="3" t="n">
        <v>5</v>
      </c>
      <c r="O108" s="3" t="n">
        <v>2</v>
      </c>
      <c r="P108" s="3" t="n">
        <v>4</v>
      </c>
      <c r="Q108" s="3" t="n">
        <v>3</v>
      </c>
      <c r="R108" s="3" t="n">
        <v>4</v>
      </c>
      <c r="S108" s="3" t="n">
        <v>5</v>
      </c>
      <c r="T108" s="3" t="n">
        <v>5</v>
      </c>
      <c r="U108" s="3" t="n">
        <v>3</v>
      </c>
      <c r="V108" s="3" t="n">
        <v>4</v>
      </c>
      <c r="W108" s="3" t="n">
        <v>5</v>
      </c>
      <c r="X108" s="3" t="n">
        <v>4</v>
      </c>
      <c r="Y108" s="3" t="n">
        <v>4</v>
      </c>
      <c r="Z108" s="3" t="n">
        <v>261</v>
      </c>
      <c r="AA108" s="3" t="n">
        <v>13</v>
      </c>
      <c r="AB108" s="3" t="n">
        <v>292</v>
      </c>
      <c r="AC108" s="3" t="n">
        <v>14</v>
      </c>
    </row>
    <row r="109">
      <c r="A109" s="3" t="inlineStr">
        <is>
          <t>GU-TDH-121</t>
        </is>
      </c>
      <c r="B109" s="3" t="inlineStr">
        <is>
          <t>GE</t>
        </is>
      </c>
      <c r="C109" s="3" t="n">
        <v>27</v>
      </c>
      <c r="D109" s="3" t="n">
        <v>1</v>
      </c>
      <c r="E109" s="3" t="n">
        <v>12</v>
      </c>
      <c r="F109" s="3" t="n">
        <v>4</v>
      </c>
      <c r="G109" s="6" t="n">
        <v>46312</v>
      </c>
      <c r="H109" s="3" t="n">
        <v>4</v>
      </c>
      <c r="I109" s="3" t="n">
        <v>1</v>
      </c>
      <c r="J109" s="3" t="n">
        <v>5</v>
      </c>
      <c r="K109" s="3" t="n">
        <v>2</v>
      </c>
      <c r="L109" s="3" t="n">
        <v>4</v>
      </c>
      <c r="M109" s="3" t="n">
        <v>3</v>
      </c>
      <c r="N109" s="3" t="n">
        <v>4</v>
      </c>
      <c r="O109" s="3" t="n">
        <v>4</v>
      </c>
      <c r="P109" s="3" t="n">
        <v>3</v>
      </c>
      <c r="Q109" s="3" t="n">
        <v>2</v>
      </c>
      <c r="R109" s="3" t="n">
        <v>3</v>
      </c>
      <c r="S109" s="3" t="n">
        <v>3</v>
      </c>
      <c r="T109" s="3" t="n">
        <v>2</v>
      </c>
      <c r="U109" s="3" t="n">
        <v>3</v>
      </c>
      <c r="V109" s="3" t="n">
        <v>2</v>
      </c>
      <c r="W109" s="3" t="n">
        <v>3</v>
      </c>
      <c r="X109" s="3" t="n">
        <v>2</v>
      </c>
      <c r="Y109" s="3" t="n">
        <v>4</v>
      </c>
      <c r="Z109" s="3" t="n">
        <v>99</v>
      </c>
      <c r="AA109" s="3" t="n">
        <v>5</v>
      </c>
      <c r="AB109" s="3" t="n">
        <v>250</v>
      </c>
      <c r="AC109" s="3" t="n">
        <v>15</v>
      </c>
    </row>
    <row r="110">
      <c r="A110" s="3" t="inlineStr">
        <is>
          <t>GU-TDH-122</t>
        </is>
      </c>
      <c r="B110" s="3" t="inlineStr">
        <is>
          <t>GE</t>
        </is>
      </c>
      <c r="C110" s="3" t="n">
        <v>29</v>
      </c>
      <c r="D110" s="3" t="n">
        <v>1</v>
      </c>
      <c r="E110" s="3" t="n">
        <v>19</v>
      </c>
      <c r="F110" s="3" t="n">
        <v>2</v>
      </c>
      <c r="G110" s="6" t="n">
        <v>46309</v>
      </c>
      <c r="H110" s="3" t="n">
        <v>4</v>
      </c>
      <c r="I110" s="3" t="n">
        <v>2</v>
      </c>
      <c r="J110" s="3" t="n">
        <v>3</v>
      </c>
      <c r="K110" s="3" t="n">
        <v>4</v>
      </c>
      <c r="L110" s="3" t="n">
        <v>4</v>
      </c>
      <c r="M110" s="3" t="n">
        <v>3</v>
      </c>
      <c r="N110" s="3" t="n">
        <v>4</v>
      </c>
      <c r="O110" s="3" t="n">
        <v>3</v>
      </c>
      <c r="P110" s="3" t="n">
        <v>4</v>
      </c>
      <c r="Q110" s="3" t="n">
        <v>1</v>
      </c>
      <c r="R110" s="3" t="n">
        <v>5</v>
      </c>
      <c r="S110" s="3" t="n">
        <v>3</v>
      </c>
      <c r="T110" s="3" t="n">
        <v>3</v>
      </c>
      <c r="U110" s="3" t="n">
        <v>4</v>
      </c>
      <c r="V110" s="3" t="n">
        <v>3</v>
      </c>
      <c r="W110" s="3" t="n">
        <v>4</v>
      </c>
      <c r="X110" s="3" t="n">
        <v>4</v>
      </c>
      <c r="Y110" s="3" t="n">
        <v>2</v>
      </c>
      <c r="Z110" s="3" t="n">
        <v>158</v>
      </c>
      <c r="AA110" s="3" t="n">
        <v>10</v>
      </c>
      <c r="AB110" s="3" t="n">
        <v>180</v>
      </c>
      <c r="AC110" s="3" t="n">
        <v>15</v>
      </c>
    </row>
    <row r="111">
      <c r="A111" s="3" t="inlineStr">
        <is>
          <t>GU-TDH-124</t>
        </is>
      </c>
      <c r="B111" s="3" t="inlineStr">
        <is>
          <t>GE</t>
        </is>
      </c>
      <c r="C111" s="3" t="n">
        <v>33</v>
      </c>
      <c r="D111" s="3" t="n">
        <v>2</v>
      </c>
      <c r="E111" s="3" t="n">
        <v>5</v>
      </c>
      <c r="F111" s="3" t="n">
        <v>2</v>
      </c>
      <c r="G111" s="6" t="n">
        <v>46312</v>
      </c>
      <c r="H111" s="3" t="n">
        <v>2</v>
      </c>
      <c r="I111" s="3" t="n">
        <v>3</v>
      </c>
      <c r="J111" s="3" t="n">
        <v>2</v>
      </c>
      <c r="K111" s="3" t="n">
        <v>5</v>
      </c>
      <c r="L111" s="3" t="n">
        <v>2</v>
      </c>
      <c r="M111" s="3" t="n">
        <v>3</v>
      </c>
      <c r="N111" s="3" t="n">
        <v>3</v>
      </c>
      <c r="O111" s="3" t="n">
        <v>4</v>
      </c>
      <c r="P111" s="3" t="n">
        <v>1</v>
      </c>
      <c r="Q111" s="3" t="n">
        <v>4</v>
      </c>
      <c r="R111" s="3" t="n">
        <v>1</v>
      </c>
      <c r="S111" s="3" t="n">
        <v>2</v>
      </c>
      <c r="T111" s="3" t="n">
        <v>2</v>
      </c>
      <c r="U111" s="3" t="n">
        <v>1</v>
      </c>
      <c r="V111" s="3" t="n">
        <v>1</v>
      </c>
      <c r="W111" s="3" t="n">
        <v>2</v>
      </c>
      <c r="X111" s="3" t="n">
        <v>2</v>
      </c>
      <c r="Y111" s="3" t="n">
        <v>1</v>
      </c>
      <c r="Z111" s="3" t="n">
        <v>200</v>
      </c>
      <c r="AA111" s="3" t="n">
        <v>6</v>
      </c>
      <c r="AB111" s="3" t="n">
        <v>187</v>
      </c>
      <c r="AC111" s="3" t="n">
        <v>14</v>
      </c>
    </row>
    <row r="112">
      <c r="A112" s="3" t="inlineStr">
        <is>
          <t>GU-TDH-125</t>
        </is>
      </c>
      <c r="B112" s="3" t="inlineStr">
        <is>
          <t>GE</t>
        </is>
      </c>
      <c r="C112" s="3" t="n">
        <v>43</v>
      </c>
      <c r="D112" s="3" t="n">
        <v>2</v>
      </c>
      <c r="E112" s="3" t="n">
        <v>12</v>
      </c>
      <c r="F112" s="3" t="n">
        <v>2</v>
      </c>
      <c r="G112" s="6" t="n">
        <v>46310</v>
      </c>
      <c r="H112" s="3" t="n">
        <v>3</v>
      </c>
      <c r="I112" s="3" t="n">
        <v>2</v>
      </c>
      <c r="J112" s="3" t="n">
        <v>3</v>
      </c>
      <c r="K112" s="3" t="n">
        <v>2</v>
      </c>
      <c r="L112" s="3" t="n">
        <v>4</v>
      </c>
      <c r="M112" s="3" t="n">
        <v>2</v>
      </c>
      <c r="N112" s="3" t="n">
        <v>3</v>
      </c>
      <c r="O112" s="3" t="n">
        <v>3</v>
      </c>
      <c r="P112" s="3" t="n">
        <v>2</v>
      </c>
      <c r="Q112" s="3" t="n">
        <v>3</v>
      </c>
      <c r="R112" s="3" t="n">
        <v>3</v>
      </c>
      <c r="S112" s="3" t="n">
        <v>3</v>
      </c>
      <c r="T112" s="3" t="n">
        <v>3</v>
      </c>
      <c r="U112" s="3" t="n">
        <v>2</v>
      </c>
      <c r="V112" s="3" t="n">
        <v>3</v>
      </c>
      <c r="W112" s="3" t="n">
        <v>2</v>
      </c>
      <c r="X112" s="3" t="n">
        <v>1</v>
      </c>
      <c r="Y112" s="3" t="n">
        <v>4</v>
      </c>
      <c r="Z112" s="3" t="n">
        <v>223</v>
      </c>
      <c r="AA112" s="3" t="n">
        <v>12</v>
      </c>
      <c r="AB112" s="3" t="n">
        <v>283</v>
      </c>
      <c r="AC112" s="3" t="n">
        <v>14</v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0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BASE DEL POSTEST — RAW</t>
        </is>
      </c>
    </row>
    <row r="2">
      <c r="A2" t="inlineStr">
        <is>
          <t>Fuente: Sesión 7, solo quien tiene postest. SUS_POST es simulado. No es O2 de campo.</t>
        </is>
      </c>
    </row>
    <row r="4">
      <c r="A4" s="2" t="inlineStr">
        <is>
          <t>ID</t>
        </is>
      </c>
      <c r="B4" s="2" t="inlineStr">
        <is>
          <t>GRUPO</t>
        </is>
      </c>
      <c r="C4" s="2" t="inlineStr">
        <is>
          <t>FECHA_POST</t>
        </is>
      </c>
      <c r="D4" s="2" t="inlineStr">
        <is>
          <t>SUS_POST</t>
        </is>
      </c>
      <c r="E4" s="2" t="inlineStr">
        <is>
          <t>NOTA</t>
        </is>
      </c>
    </row>
    <row r="5">
      <c r="A5" s="3" t="inlineStr">
        <is>
          <t>GU-TDH-002</t>
        </is>
      </c>
      <c r="B5" s="3" t="inlineStr">
        <is>
          <t>GE</t>
        </is>
      </c>
      <c r="C5" s="6" t="n">
        <v>46322</v>
      </c>
      <c r="D5" s="3" t="n">
        <v>90</v>
      </c>
      <c r="E5" s="3" t="inlineStr">
        <is>
          <t>Simulado. No es medición de campo.</t>
        </is>
      </c>
    </row>
    <row r="6">
      <c r="A6" s="3" t="inlineStr">
        <is>
          <t>GU-TDH-003</t>
        </is>
      </c>
      <c r="B6" s="3" t="inlineStr">
        <is>
          <t>GE</t>
        </is>
      </c>
      <c r="C6" s="6" t="n">
        <v>46321</v>
      </c>
      <c r="D6" s="3" t="n">
        <v>75</v>
      </c>
      <c r="E6" s="3" t="inlineStr">
        <is>
          <t>Simulado. No es medición de campo.</t>
        </is>
      </c>
    </row>
    <row r="7">
      <c r="A7" s="3" t="inlineStr">
        <is>
          <t>GU-TDH-004</t>
        </is>
      </c>
      <c r="B7" s="3" t="inlineStr">
        <is>
          <t>GE</t>
        </is>
      </c>
      <c r="C7" s="6" t="n">
        <v>46321</v>
      </c>
      <c r="D7" s="3" t="n">
        <v>67.5</v>
      </c>
      <c r="E7" s="3" t="inlineStr">
        <is>
          <t>Simulado. No es medición de campo.</t>
        </is>
      </c>
    </row>
    <row r="8">
      <c r="A8" s="3" t="inlineStr">
        <is>
          <t>GU-TDH-006</t>
        </is>
      </c>
      <c r="B8" s="3" t="inlineStr">
        <is>
          <t>GE</t>
        </is>
      </c>
      <c r="C8" s="6" t="n">
        <v>46324</v>
      </c>
      <c r="D8" s="3" t="n">
        <v>80</v>
      </c>
      <c r="E8" s="3" t="inlineStr">
        <is>
          <t>Simulado. No es medición de campo.</t>
        </is>
      </c>
    </row>
    <row r="9">
      <c r="A9" s="3" t="inlineStr">
        <is>
          <t>GU-TDH-007</t>
        </is>
      </c>
      <c r="B9" s="3" t="inlineStr">
        <is>
          <t>GE</t>
        </is>
      </c>
      <c r="C9" s="6" t="n">
        <v>46321</v>
      </c>
      <c r="D9" s="3" t="n">
        <v>85</v>
      </c>
      <c r="E9" s="3" t="inlineStr">
        <is>
          <t>Simulado. No es medición de campo.</t>
        </is>
      </c>
    </row>
    <row r="10">
      <c r="A10" s="3" t="inlineStr">
        <is>
          <t>GU-TDH-008</t>
        </is>
      </c>
      <c r="B10" s="3" t="inlineStr">
        <is>
          <t>GE</t>
        </is>
      </c>
      <c r="C10" s="6" t="n">
        <v>46322</v>
      </c>
      <c r="D10" s="3" t="n">
        <v>50</v>
      </c>
      <c r="E10" s="3" t="inlineStr">
        <is>
          <t>Simulado. No es medición de campo.</t>
        </is>
      </c>
    </row>
    <row r="11">
      <c r="A11" s="3" t="inlineStr">
        <is>
          <t>GU-TDH-009</t>
        </is>
      </c>
      <c r="B11" s="3" t="inlineStr">
        <is>
          <t>GE</t>
        </is>
      </c>
      <c r="C11" s="6" t="n">
        <v>46324</v>
      </c>
      <c r="D11" s="3" t="n">
        <v>65</v>
      </c>
      <c r="E11" s="3" t="inlineStr">
        <is>
          <t>Simulado. No es medición de campo.</t>
        </is>
      </c>
    </row>
    <row r="12">
      <c r="A12" s="3" t="inlineStr">
        <is>
          <t>GU-TDH-010</t>
        </is>
      </c>
      <c r="B12" s="3" t="inlineStr">
        <is>
          <t>GE</t>
        </is>
      </c>
      <c r="C12" s="6" t="n">
        <v>46321</v>
      </c>
      <c r="D12" s="3" t="n">
        <v>90</v>
      </c>
      <c r="E12" s="3" t="inlineStr">
        <is>
          <t>Simulado. No es medición de campo.</t>
        </is>
      </c>
    </row>
    <row r="13">
      <c r="A13" s="3" t="inlineStr">
        <is>
          <t>GU-TDH-011</t>
        </is>
      </c>
      <c r="B13" s="3" t="inlineStr">
        <is>
          <t>GE</t>
        </is>
      </c>
      <c r="C13" s="6" t="n">
        <v>46322</v>
      </c>
      <c r="D13" s="3" t="n">
        <v>67.5</v>
      </c>
      <c r="E13" s="3" t="inlineStr">
        <is>
          <t>Simulado. No es medición de campo.</t>
        </is>
      </c>
    </row>
    <row r="14">
      <c r="A14" s="3" t="inlineStr">
        <is>
          <t>GU-TDH-012</t>
        </is>
      </c>
      <c r="B14" s="3" t="inlineStr">
        <is>
          <t>GE</t>
        </is>
      </c>
      <c r="C14" s="6" t="n">
        <v>46322</v>
      </c>
      <c r="D14" s="3" t="n">
        <v>80</v>
      </c>
      <c r="E14" s="3" t="inlineStr">
        <is>
          <t>Simulado. No es medición de campo.</t>
        </is>
      </c>
    </row>
    <row r="15">
      <c r="A15" s="3" t="inlineStr">
        <is>
          <t>GU-TDH-014</t>
        </is>
      </c>
      <c r="B15" s="3" t="inlineStr">
        <is>
          <t>GE</t>
        </is>
      </c>
      <c r="C15" s="6" t="n">
        <v>46321</v>
      </c>
      <c r="D15" s="3" t="n">
        <v>65</v>
      </c>
      <c r="E15" s="3" t="inlineStr">
        <is>
          <t>Simulado. No es medición de campo.</t>
        </is>
      </c>
    </row>
    <row r="16">
      <c r="A16" s="3" t="inlineStr">
        <is>
          <t>GU-TDH-016</t>
        </is>
      </c>
      <c r="B16" s="3" t="inlineStr">
        <is>
          <t>GE</t>
        </is>
      </c>
      <c r="C16" s="6" t="n">
        <v>46322</v>
      </c>
      <c r="D16" s="3" t="n">
        <v>82.5</v>
      </c>
      <c r="E16" s="3" t="inlineStr">
        <is>
          <t>Simulado. No es medición de campo.</t>
        </is>
      </c>
    </row>
    <row r="17">
      <c r="A17" s="3" t="inlineStr">
        <is>
          <t>GU-TDH-017</t>
        </is>
      </c>
      <c r="B17" s="3" t="inlineStr">
        <is>
          <t>GE</t>
        </is>
      </c>
      <c r="C17" s="6" t="n">
        <v>46322</v>
      </c>
      <c r="D17" s="3" t="n">
        <v>75</v>
      </c>
      <c r="E17" s="3" t="inlineStr">
        <is>
          <t>Simulado. No es medición de campo.</t>
        </is>
      </c>
    </row>
    <row r="18">
      <c r="A18" s="3" t="inlineStr">
        <is>
          <t>GU-TDH-019</t>
        </is>
      </c>
      <c r="B18" s="3" t="inlineStr">
        <is>
          <t>GE</t>
        </is>
      </c>
      <c r="C18" s="6" t="n">
        <v>46321</v>
      </c>
      <c r="D18" s="3" t="n">
        <v>85</v>
      </c>
      <c r="E18" s="3" t="inlineStr">
        <is>
          <t>Simulado. No es medición de campo.</t>
        </is>
      </c>
    </row>
    <row r="19">
      <c r="A19" s="3" t="inlineStr">
        <is>
          <t>GU-TDH-020</t>
        </is>
      </c>
      <c r="B19" s="3" t="inlineStr">
        <is>
          <t>GE</t>
        </is>
      </c>
      <c r="C19" s="6" t="n">
        <v>46323</v>
      </c>
      <c r="D19" s="3" t="n">
        <v>67.5</v>
      </c>
      <c r="E19" s="3" t="inlineStr">
        <is>
          <t>Simulado. No es medición de campo.</t>
        </is>
      </c>
    </row>
    <row r="20">
      <c r="A20" s="3" t="inlineStr">
        <is>
          <t>GU-TDH-021</t>
        </is>
      </c>
      <c r="B20" s="3" t="inlineStr">
        <is>
          <t>GE</t>
        </is>
      </c>
      <c r="C20" s="6" t="n">
        <v>46321</v>
      </c>
      <c r="D20" s="3" t="n">
        <v>80</v>
      </c>
      <c r="E20" s="3" t="inlineStr">
        <is>
          <t>Simulado. No es medición de campo.</t>
        </is>
      </c>
    </row>
    <row r="21">
      <c r="A21" s="3" t="inlineStr">
        <is>
          <t>GU-TDH-022</t>
        </is>
      </c>
      <c r="B21" s="3" t="inlineStr">
        <is>
          <t>GE</t>
        </is>
      </c>
      <c r="C21" s="6" t="n">
        <v>46323</v>
      </c>
      <c r="D21" s="3" t="n">
        <v>87.5</v>
      </c>
      <c r="E21" s="3" t="inlineStr">
        <is>
          <t>Simulado. No es medición de campo.</t>
        </is>
      </c>
    </row>
    <row r="22">
      <c r="A22" s="3" t="inlineStr">
        <is>
          <t>GU-TDH-023</t>
        </is>
      </c>
      <c r="B22" s="3" t="inlineStr">
        <is>
          <t>GE</t>
        </is>
      </c>
      <c r="C22" s="6" t="n">
        <v>46325</v>
      </c>
      <c r="D22" s="3" t="n">
        <v>95</v>
      </c>
      <c r="E22" s="3" t="inlineStr">
        <is>
          <t>Simulado. No es medición de campo.</t>
        </is>
      </c>
    </row>
    <row r="23">
      <c r="A23" s="3" t="inlineStr">
        <is>
          <t>GU-TDH-024</t>
        </is>
      </c>
      <c r="B23" s="3" t="inlineStr">
        <is>
          <t>GE</t>
        </is>
      </c>
      <c r="C23" s="6" t="n">
        <v>46323</v>
      </c>
      <c r="D23" s="3" t="n">
        <v>80</v>
      </c>
      <c r="E23" s="3" t="inlineStr">
        <is>
          <t>Simulado. No es medición de campo.</t>
        </is>
      </c>
    </row>
    <row r="24">
      <c r="A24" s="3" t="inlineStr">
        <is>
          <t>GU-TDH-025</t>
        </is>
      </c>
      <c r="B24" s="3" t="inlineStr">
        <is>
          <t>GE</t>
        </is>
      </c>
      <c r="C24" s="6" t="n">
        <v>46325</v>
      </c>
      <c r="D24" s="3" t="n">
        <v>75</v>
      </c>
      <c r="E24" s="3" t="inlineStr">
        <is>
          <t>Simulado. No es medición de campo.</t>
        </is>
      </c>
    </row>
    <row r="25">
      <c r="A25" s="3" t="inlineStr">
        <is>
          <t>GU-TDH-026</t>
        </is>
      </c>
      <c r="B25" s="3" t="inlineStr">
        <is>
          <t>GE</t>
        </is>
      </c>
      <c r="C25" s="6" t="n">
        <v>46326</v>
      </c>
      <c r="D25" s="3" t="n">
        <v>40</v>
      </c>
      <c r="E25" s="3" t="inlineStr">
        <is>
          <t>Simulado. No es medición de campo.</t>
        </is>
      </c>
    </row>
    <row r="26">
      <c r="A26" s="3" t="inlineStr">
        <is>
          <t>GU-TDH-027</t>
        </is>
      </c>
      <c r="B26" s="3" t="inlineStr">
        <is>
          <t>GE</t>
        </is>
      </c>
      <c r="C26" s="6" t="n">
        <v>46324</v>
      </c>
      <c r="D26" s="3" t="n">
        <v>72.5</v>
      </c>
      <c r="E26" s="3" t="inlineStr">
        <is>
          <t>Simulado. No es medición de campo.</t>
        </is>
      </c>
    </row>
    <row r="27">
      <c r="A27" s="3" t="inlineStr">
        <is>
          <t>GU-TDH-028</t>
        </is>
      </c>
      <c r="B27" s="3" t="inlineStr">
        <is>
          <t>GE</t>
        </is>
      </c>
      <c r="C27" s="6" t="n">
        <v>46321</v>
      </c>
      <c r="D27" s="3" t="n">
        <v>70</v>
      </c>
      <c r="E27" s="3" t="inlineStr">
        <is>
          <t>Simulado. No es medición de campo.</t>
        </is>
      </c>
    </row>
    <row r="28">
      <c r="A28" s="3" t="inlineStr">
        <is>
          <t>GU-TDH-029</t>
        </is>
      </c>
      <c r="B28" s="3" t="inlineStr">
        <is>
          <t>GE</t>
        </is>
      </c>
      <c r="C28" s="6" t="n">
        <v>46321</v>
      </c>
      <c r="D28" s="3" t="n">
        <v>85</v>
      </c>
      <c r="E28" s="3" t="inlineStr">
        <is>
          <t>Simulado. No es medición de campo.</t>
        </is>
      </c>
    </row>
    <row r="29">
      <c r="A29" s="3" t="inlineStr">
        <is>
          <t>GU-TDH-030</t>
        </is>
      </c>
      <c r="B29" s="3" t="inlineStr">
        <is>
          <t>GE</t>
        </is>
      </c>
      <c r="C29" s="6" t="n">
        <v>46321</v>
      </c>
      <c r="D29" s="3" t="n">
        <v>75</v>
      </c>
      <c r="E29" s="3" t="inlineStr">
        <is>
          <t>Simulado. No es medición de campo.</t>
        </is>
      </c>
    </row>
    <row r="30">
      <c r="A30" s="3" t="inlineStr">
        <is>
          <t>GU-TDH-032</t>
        </is>
      </c>
      <c r="B30" s="3" t="inlineStr">
        <is>
          <t>GE</t>
        </is>
      </c>
      <c r="C30" s="6" t="n">
        <v>46326</v>
      </c>
      <c r="D30" s="3" t="n">
        <v>90</v>
      </c>
      <c r="E30" s="3" t="inlineStr">
        <is>
          <t>Simulado. No es medición de campo.</t>
        </is>
      </c>
    </row>
    <row r="31">
      <c r="A31" s="3" t="inlineStr">
        <is>
          <t>GU-TDH-034</t>
        </is>
      </c>
      <c r="B31" s="3" t="inlineStr">
        <is>
          <t>GE</t>
        </is>
      </c>
      <c r="C31" s="6" t="n">
        <v>46322</v>
      </c>
      <c r="D31" s="3" t="n">
        <v>72.5</v>
      </c>
      <c r="E31" s="3" t="inlineStr">
        <is>
          <t>Simulado. No es medición de campo.</t>
        </is>
      </c>
    </row>
    <row r="32">
      <c r="A32" s="3" t="inlineStr">
        <is>
          <t>GU-TDH-035</t>
        </is>
      </c>
      <c r="B32" s="3" t="inlineStr">
        <is>
          <t>GE</t>
        </is>
      </c>
      <c r="C32" s="6" t="n">
        <v>46326</v>
      </c>
      <c r="D32" s="3" t="n">
        <v>50</v>
      </c>
      <c r="E32" s="3" t="inlineStr">
        <is>
          <t>Simulado. No es medición de campo.</t>
        </is>
      </c>
    </row>
    <row r="33">
      <c r="A33" s="3" t="inlineStr">
        <is>
          <t>GU-TDH-036</t>
        </is>
      </c>
      <c r="B33" s="3" t="inlineStr">
        <is>
          <t>GE</t>
        </is>
      </c>
      <c r="C33" s="6" t="n">
        <v>46321</v>
      </c>
      <c r="D33" s="3" t="n">
        <v>47.5</v>
      </c>
      <c r="E33" s="3" t="inlineStr">
        <is>
          <t>Simulado. No es medición de campo.</t>
        </is>
      </c>
    </row>
    <row r="34">
      <c r="A34" s="3" t="inlineStr">
        <is>
          <t>GU-TDH-038</t>
        </is>
      </c>
      <c r="B34" s="3" t="inlineStr">
        <is>
          <t>GE</t>
        </is>
      </c>
      <c r="C34" s="6" t="n">
        <v>46324</v>
      </c>
      <c r="D34" s="3" t="n">
        <v>65</v>
      </c>
      <c r="E34" s="3" t="inlineStr">
        <is>
          <t>Simulado. No es medición de campo.</t>
        </is>
      </c>
    </row>
    <row r="35">
      <c r="A35" s="3" t="inlineStr">
        <is>
          <t>GU-TDH-039</t>
        </is>
      </c>
      <c r="B35" s="3" t="inlineStr">
        <is>
          <t>GE</t>
        </is>
      </c>
      <c r="C35" s="6" t="n">
        <v>46323</v>
      </c>
      <c r="D35" s="3" t="n">
        <v>47.5</v>
      </c>
      <c r="E35" s="3" t="inlineStr">
        <is>
          <t>Simulado. No es medición de campo.</t>
        </is>
      </c>
    </row>
    <row r="36">
      <c r="A36" s="3" t="inlineStr">
        <is>
          <t>GU-TDH-040</t>
        </is>
      </c>
      <c r="B36" s="3" t="inlineStr">
        <is>
          <t>GE</t>
        </is>
      </c>
      <c r="C36" s="6" t="n">
        <v>46325</v>
      </c>
      <c r="D36" s="3" t="n">
        <v>50</v>
      </c>
      <c r="E36" s="3" t="inlineStr">
        <is>
          <t>Simulado. No es medición de campo.</t>
        </is>
      </c>
    </row>
    <row r="37">
      <c r="A37" s="3" t="inlineStr">
        <is>
          <t>GU-TDH-041</t>
        </is>
      </c>
      <c r="B37" s="3" t="inlineStr">
        <is>
          <t>GE</t>
        </is>
      </c>
      <c r="C37" s="6" t="n">
        <v>46325</v>
      </c>
      <c r="D37" s="3" t="n">
        <v>75</v>
      </c>
      <c r="E37" s="3" t="inlineStr">
        <is>
          <t>Simulado. No es medición de campo.</t>
        </is>
      </c>
    </row>
    <row r="38">
      <c r="A38" s="3" t="inlineStr">
        <is>
          <t>GU-TDH-042</t>
        </is>
      </c>
      <c r="B38" s="3" t="inlineStr">
        <is>
          <t>GE</t>
        </is>
      </c>
      <c r="C38" s="6" t="n">
        <v>46321</v>
      </c>
      <c r="D38" s="3" t="n">
        <v>95</v>
      </c>
      <c r="E38" s="3" t="inlineStr">
        <is>
          <t>Simulado. No es medición de campo.</t>
        </is>
      </c>
    </row>
    <row r="39">
      <c r="A39" s="3" t="inlineStr">
        <is>
          <t>GU-TDH-043</t>
        </is>
      </c>
      <c r="B39" s="3" t="inlineStr">
        <is>
          <t>GE</t>
        </is>
      </c>
      <c r="C39" s="6" t="n">
        <v>46323</v>
      </c>
      <c r="D39" s="3" t="n">
        <v>70</v>
      </c>
      <c r="E39" s="3" t="inlineStr">
        <is>
          <t>Simulado. No es medición de campo.</t>
        </is>
      </c>
    </row>
    <row r="40">
      <c r="A40" s="3" t="inlineStr">
        <is>
          <t>GU-TDH-045</t>
        </is>
      </c>
      <c r="B40" s="3" t="inlineStr">
        <is>
          <t>GE</t>
        </is>
      </c>
      <c r="C40" s="6" t="n">
        <v>46322</v>
      </c>
      <c r="D40" s="3" t="n">
        <v>75</v>
      </c>
      <c r="E40" s="3" t="inlineStr">
        <is>
          <t>Simulado. No es medición de campo.</t>
        </is>
      </c>
    </row>
    <row r="41">
      <c r="A41" s="3" t="inlineStr">
        <is>
          <t>GU-TDH-047</t>
        </is>
      </c>
      <c r="B41" s="3" t="inlineStr">
        <is>
          <t>GE</t>
        </is>
      </c>
      <c r="C41" s="6" t="n">
        <v>46323</v>
      </c>
      <c r="D41" s="3" t="n">
        <v>87.5</v>
      </c>
      <c r="E41" s="3" t="inlineStr">
        <is>
          <t>Simulado. No es medición de campo.</t>
        </is>
      </c>
    </row>
    <row r="42">
      <c r="A42" s="3" t="inlineStr">
        <is>
          <t>GU-TDH-048</t>
        </is>
      </c>
      <c r="B42" s="3" t="inlineStr">
        <is>
          <t>GE</t>
        </is>
      </c>
      <c r="C42" s="6" t="n">
        <v>46324</v>
      </c>
      <c r="D42" s="3" t="n">
        <v>75</v>
      </c>
      <c r="E42" s="3" t="inlineStr">
        <is>
          <t>Simulado. No es medición de campo.</t>
        </is>
      </c>
    </row>
    <row r="43">
      <c r="A43" s="3" t="inlineStr">
        <is>
          <t>GU-TDH-049</t>
        </is>
      </c>
      <c r="B43" s="3" t="inlineStr">
        <is>
          <t>GE</t>
        </is>
      </c>
      <c r="C43" s="6" t="n">
        <v>46321</v>
      </c>
      <c r="D43" s="3" t="n">
        <v>80</v>
      </c>
      <c r="E43" s="3" t="inlineStr">
        <is>
          <t>Simulado. No es medición de campo.</t>
        </is>
      </c>
    </row>
    <row r="44">
      <c r="A44" s="3" t="inlineStr">
        <is>
          <t>GU-TDH-050</t>
        </is>
      </c>
      <c r="B44" s="3" t="inlineStr">
        <is>
          <t>GE</t>
        </is>
      </c>
      <c r="C44" s="6" t="n">
        <v>46323</v>
      </c>
      <c r="D44" s="3" t="n">
        <v>70</v>
      </c>
      <c r="E44" s="3" t="inlineStr">
        <is>
          <t>Simulado. No es medición de campo.</t>
        </is>
      </c>
    </row>
    <row r="45">
      <c r="A45" s="3" t="inlineStr">
        <is>
          <t>GU-TDH-051</t>
        </is>
      </c>
      <c r="B45" s="3" t="inlineStr">
        <is>
          <t>GE</t>
        </is>
      </c>
      <c r="C45" s="6" t="n">
        <v>46325</v>
      </c>
      <c r="D45" s="3" t="n">
        <v>87.5</v>
      </c>
      <c r="E45" s="3" t="inlineStr">
        <is>
          <t>Simulado. No es medición de campo.</t>
        </is>
      </c>
    </row>
    <row r="46">
      <c r="A46" s="3" t="inlineStr">
        <is>
          <t>GU-TDH-052</t>
        </is>
      </c>
      <c r="B46" s="3" t="inlineStr">
        <is>
          <t>GE</t>
        </is>
      </c>
      <c r="C46" s="6" t="n">
        <v>46322</v>
      </c>
      <c r="D46" s="3" t="n">
        <v>70</v>
      </c>
      <c r="E46" s="3" t="inlineStr">
        <is>
          <t>Simulado. No es medición de campo.</t>
        </is>
      </c>
    </row>
    <row r="47">
      <c r="A47" s="3" t="inlineStr">
        <is>
          <t>GU-TDH-054</t>
        </is>
      </c>
      <c r="B47" s="3" t="inlineStr">
        <is>
          <t>GE</t>
        </is>
      </c>
      <c r="C47" s="6" t="n">
        <v>46324</v>
      </c>
      <c r="D47" s="3" t="n">
        <v>95</v>
      </c>
      <c r="E47" s="3" t="inlineStr">
        <is>
          <t>Simulado. No es medición de campo.</t>
        </is>
      </c>
    </row>
    <row r="48">
      <c r="A48" s="3" t="inlineStr">
        <is>
          <t>GU-TDH-056</t>
        </is>
      </c>
      <c r="B48" s="3" t="inlineStr">
        <is>
          <t>GE</t>
        </is>
      </c>
      <c r="C48" s="6" t="n">
        <v>46325</v>
      </c>
      <c r="D48" s="3" t="n">
        <v>67.5</v>
      </c>
      <c r="E48" s="3" t="inlineStr">
        <is>
          <t>Simulado. No es medición de campo.</t>
        </is>
      </c>
    </row>
    <row r="49">
      <c r="A49" s="3" t="inlineStr">
        <is>
          <t>GU-TDH-057</t>
        </is>
      </c>
      <c r="B49" s="3" t="inlineStr">
        <is>
          <t>GE</t>
        </is>
      </c>
      <c r="C49" s="6" t="n">
        <v>46321</v>
      </c>
      <c r="D49" s="3" t="n">
        <v>62.5</v>
      </c>
      <c r="E49" s="3" t="inlineStr">
        <is>
          <t>Simulado. No es medición de campo.</t>
        </is>
      </c>
    </row>
    <row r="50">
      <c r="A50" s="3" t="inlineStr">
        <is>
          <t>GU-TDH-058</t>
        </is>
      </c>
      <c r="B50" s="3" t="inlineStr">
        <is>
          <t>GE</t>
        </is>
      </c>
      <c r="C50" s="6" t="n">
        <v>46322</v>
      </c>
      <c r="D50" s="3" t="n">
        <v>90</v>
      </c>
      <c r="E50" s="3" t="inlineStr">
        <is>
          <t>Simulado. No es medición de campo.</t>
        </is>
      </c>
    </row>
    <row r="51">
      <c r="A51" s="3" t="inlineStr">
        <is>
          <t>GU-TDH-060</t>
        </is>
      </c>
      <c r="B51" s="3" t="inlineStr">
        <is>
          <t>GE</t>
        </is>
      </c>
      <c r="C51" s="6" t="n">
        <v>46323</v>
      </c>
      <c r="D51" s="3" t="n">
        <v>70</v>
      </c>
      <c r="E51" s="3" t="inlineStr">
        <is>
          <t>Simulado. No es medición de campo.</t>
        </is>
      </c>
    </row>
    <row r="52">
      <c r="A52" s="3" t="inlineStr">
        <is>
          <t>GU-TDH-061</t>
        </is>
      </c>
      <c r="B52" s="3" t="inlineStr">
        <is>
          <t>GE</t>
        </is>
      </c>
      <c r="C52" s="6" t="n">
        <v>46323</v>
      </c>
      <c r="D52" s="3" t="n">
        <v>65</v>
      </c>
      <c r="E52" s="3" t="inlineStr">
        <is>
          <t>Simulado. No es medición de campo.</t>
        </is>
      </c>
    </row>
    <row r="53">
      <c r="A53" s="3" t="inlineStr">
        <is>
          <t>GU-TDH-062</t>
        </is>
      </c>
      <c r="B53" s="3" t="inlineStr">
        <is>
          <t>GE</t>
        </is>
      </c>
      <c r="C53" s="6" t="n">
        <v>46321</v>
      </c>
      <c r="D53" s="3" t="n">
        <v>82.5</v>
      </c>
      <c r="E53" s="3" t="inlineStr">
        <is>
          <t>Simulado. No es medición de campo.</t>
        </is>
      </c>
    </row>
    <row r="54">
      <c r="A54" s="3" t="inlineStr">
        <is>
          <t>GU-TDH-063</t>
        </is>
      </c>
      <c r="B54" s="3" t="inlineStr">
        <is>
          <t>GE</t>
        </is>
      </c>
      <c r="C54" s="6" t="n">
        <v>46322</v>
      </c>
      <c r="D54" s="3" t="n">
        <v>57.5</v>
      </c>
      <c r="E54" s="3" t="inlineStr">
        <is>
          <t>Simulado. No es medición de campo.</t>
        </is>
      </c>
    </row>
    <row r="55">
      <c r="A55" s="3" t="inlineStr">
        <is>
          <t>GU-TDH-064</t>
        </is>
      </c>
      <c r="B55" s="3" t="inlineStr">
        <is>
          <t>GE</t>
        </is>
      </c>
      <c r="C55" s="6" t="n">
        <v>46326</v>
      </c>
      <c r="D55" s="3" t="n">
        <v>75</v>
      </c>
      <c r="E55" s="3" t="inlineStr">
        <is>
          <t>Simulado. No es medición de campo.</t>
        </is>
      </c>
    </row>
    <row r="56">
      <c r="A56" s="3" t="inlineStr">
        <is>
          <t>GU-TDH-065</t>
        </is>
      </c>
      <c r="B56" s="3" t="inlineStr">
        <is>
          <t>GE</t>
        </is>
      </c>
      <c r="C56" s="6" t="n">
        <v>46325</v>
      </c>
      <c r="D56" s="3" t="n">
        <v>85</v>
      </c>
      <c r="E56" s="3" t="inlineStr">
        <is>
          <t>Simulado. No es medición de campo.</t>
        </is>
      </c>
    </row>
    <row r="57">
      <c r="A57" s="3" t="inlineStr">
        <is>
          <t>GU-TDH-066</t>
        </is>
      </c>
      <c r="B57" s="3" t="inlineStr">
        <is>
          <t>GE</t>
        </is>
      </c>
      <c r="C57" s="6" t="n">
        <v>46324</v>
      </c>
      <c r="D57" s="3" t="n">
        <v>75</v>
      </c>
      <c r="E57" s="3" t="inlineStr">
        <is>
          <t>Simulado. No es medición de campo.</t>
        </is>
      </c>
    </row>
    <row r="58">
      <c r="A58" s="3" t="inlineStr">
        <is>
          <t>GU-TDH-067</t>
        </is>
      </c>
      <c r="B58" s="3" t="inlineStr">
        <is>
          <t>GE</t>
        </is>
      </c>
      <c r="C58" s="6" t="n">
        <v>46322</v>
      </c>
      <c r="D58" s="3" t="n">
        <v>85</v>
      </c>
      <c r="E58" s="3" t="inlineStr">
        <is>
          <t>Simulado. No es medición de campo.</t>
        </is>
      </c>
    </row>
    <row r="59">
      <c r="A59" s="3" t="inlineStr">
        <is>
          <t>GU-TDH-069</t>
        </is>
      </c>
      <c r="B59" s="3" t="inlineStr">
        <is>
          <t>GE</t>
        </is>
      </c>
      <c r="C59" s="6" t="n">
        <v>46321</v>
      </c>
      <c r="D59" s="3" t="n">
        <v>60</v>
      </c>
      <c r="E59" s="3" t="inlineStr">
        <is>
          <t>Simulado. No es medición de campo.</t>
        </is>
      </c>
    </row>
    <row r="60">
      <c r="A60" s="3" t="inlineStr">
        <is>
          <t>GU-TDH-070</t>
        </is>
      </c>
      <c r="B60" s="3" t="inlineStr">
        <is>
          <t>GE</t>
        </is>
      </c>
      <c r="C60" s="6" t="n">
        <v>46323</v>
      </c>
      <c r="D60" s="3" t="n">
        <v>97.5</v>
      </c>
      <c r="E60" s="3" t="inlineStr">
        <is>
          <t>Simulado. No es medición de campo.</t>
        </is>
      </c>
    </row>
    <row r="61">
      <c r="A61" s="3" t="inlineStr">
        <is>
          <t>GU-TDH-071</t>
        </is>
      </c>
      <c r="B61" s="3" t="inlineStr">
        <is>
          <t>GE</t>
        </is>
      </c>
      <c r="C61" s="6" t="n">
        <v>46324</v>
      </c>
      <c r="D61" s="3" t="n">
        <v>75</v>
      </c>
      <c r="E61" s="3" t="inlineStr">
        <is>
          <t>Simulado. No es medición de campo.</t>
        </is>
      </c>
    </row>
    <row r="62">
      <c r="A62" s="3" t="inlineStr">
        <is>
          <t>GU-TDH-072</t>
        </is>
      </c>
      <c r="B62" s="3" t="inlineStr">
        <is>
          <t>GE</t>
        </is>
      </c>
      <c r="C62" s="6" t="n">
        <v>46326</v>
      </c>
      <c r="D62" s="3" t="n">
        <v>90</v>
      </c>
      <c r="E62" s="3" t="inlineStr">
        <is>
          <t>Simulado. No es medición de campo.</t>
        </is>
      </c>
    </row>
    <row r="63">
      <c r="A63" s="3" t="inlineStr">
        <is>
          <t>GU-TDH-073</t>
        </is>
      </c>
      <c r="B63" s="3" t="inlineStr">
        <is>
          <t>GE</t>
        </is>
      </c>
      <c r="C63" s="6" t="n">
        <v>46323</v>
      </c>
      <c r="D63" s="3" t="n">
        <v>70</v>
      </c>
      <c r="E63" s="3" t="inlineStr">
        <is>
          <t>Simulado. No es medición de campo.</t>
        </is>
      </c>
    </row>
    <row r="64">
      <c r="A64" s="3" t="inlineStr">
        <is>
          <t>GU-TDH-074</t>
        </is>
      </c>
      <c r="B64" s="3" t="inlineStr">
        <is>
          <t>GE</t>
        </is>
      </c>
      <c r="C64" s="6" t="n">
        <v>46324</v>
      </c>
      <c r="D64" s="3" t="n">
        <v>85</v>
      </c>
      <c r="E64" s="3" t="inlineStr">
        <is>
          <t>Simulado. No es medición de campo.</t>
        </is>
      </c>
    </row>
    <row r="65">
      <c r="A65" s="3" t="inlineStr">
        <is>
          <t>GU-TDH-075</t>
        </is>
      </c>
      <c r="B65" s="3" t="inlineStr">
        <is>
          <t>GE</t>
        </is>
      </c>
      <c r="C65" s="6" t="n">
        <v>46322</v>
      </c>
      <c r="D65" s="3" t="n">
        <v>97.5</v>
      </c>
      <c r="E65" s="3" t="inlineStr">
        <is>
          <t>Simulado. No es medición de campo.</t>
        </is>
      </c>
    </row>
    <row r="66">
      <c r="A66" s="3" t="inlineStr">
        <is>
          <t>GU-TDH-076</t>
        </is>
      </c>
      <c r="B66" s="3" t="inlineStr">
        <is>
          <t>GE</t>
        </is>
      </c>
      <c r="C66" s="6" t="n">
        <v>46323</v>
      </c>
      <c r="D66" s="3" t="n">
        <v>65</v>
      </c>
      <c r="E66" s="3" t="inlineStr">
        <is>
          <t>Simulado. No es medición de campo.</t>
        </is>
      </c>
    </row>
    <row r="67">
      <c r="A67" s="3" t="inlineStr">
        <is>
          <t>GU-TDH-077</t>
        </is>
      </c>
      <c r="B67" s="3" t="inlineStr">
        <is>
          <t>GE</t>
        </is>
      </c>
      <c r="C67" s="6" t="n">
        <v>46325</v>
      </c>
      <c r="D67" s="3" t="n">
        <v>80</v>
      </c>
      <c r="E67" s="3" t="inlineStr">
        <is>
          <t>Simulado. No es medición de campo.</t>
        </is>
      </c>
    </row>
    <row r="68">
      <c r="A68" s="3" t="inlineStr">
        <is>
          <t>GU-TDH-078</t>
        </is>
      </c>
      <c r="B68" s="3" t="inlineStr">
        <is>
          <t>GE</t>
        </is>
      </c>
      <c r="C68" s="6" t="n">
        <v>46324</v>
      </c>
      <c r="D68" s="3" t="n">
        <v>90</v>
      </c>
      <c r="E68" s="3" t="inlineStr">
        <is>
          <t>Simulado. No es medición de campo.</t>
        </is>
      </c>
    </row>
    <row r="69">
      <c r="A69" s="3" t="inlineStr">
        <is>
          <t>GU-TDH-079</t>
        </is>
      </c>
      <c r="B69" s="3" t="inlineStr">
        <is>
          <t>GE</t>
        </is>
      </c>
      <c r="C69" s="6" t="n">
        <v>46324</v>
      </c>
      <c r="D69" s="3" t="n">
        <v>50</v>
      </c>
      <c r="E69" s="3" t="inlineStr">
        <is>
          <t>Simulado. No es medición de campo.</t>
        </is>
      </c>
    </row>
    <row r="70">
      <c r="A70" s="3" t="inlineStr">
        <is>
          <t>GU-TDH-080</t>
        </is>
      </c>
      <c r="B70" s="3" t="inlineStr">
        <is>
          <t>GE</t>
        </is>
      </c>
      <c r="C70" s="6" t="n">
        <v>46321</v>
      </c>
      <c r="D70" s="3" t="n">
        <v>87.5</v>
      </c>
      <c r="E70" s="3" t="inlineStr">
        <is>
          <t>Simulado. No es medición de campo.</t>
        </is>
      </c>
    </row>
    <row r="71">
      <c r="A71" s="3" t="inlineStr">
        <is>
          <t>GU-TDH-081</t>
        </is>
      </c>
      <c r="B71" s="3" t="inlineStr">
        <is>
          <t>GE</t>
        </is>
      </c>
      <c r="C71" s="6" t="n">
        <v>46326</v>
      </c>
      <c r="D71" s="3" t="n">
        <v>75</v>
      </c>
      <c r="E71" s="3" t="inlineStr">
        <is>
          <t>Simulado. No es medición de campo.</t>
        </is>
      </c>
    </row>
    <row r="72">
      <c r="A72" s="3" t="inlineStr">
        <is>
          <t>GU-TDH-082</t>
        </is>
      </c>
      <c r="B72" s="3" t="inlineStr">
        <is>
          <t>GE</t>
        </is>
      </c>
      <c r="C72" s="6" t="n">
        <v>46323</v>
      </c>
      <c r="D72" s="3" t="n">
        <v>80</v>
      </c>
      <c r="E72" s="3" t="inlineStr">
        <is>
          <t>Simulado. No es medición de campo.</t>
        </is>
      </c>
    </row>
    <row r="73">
      <c r="A73" s="3" t="inlineStr">
        <is>
          <t>GU-TDH-083</t>
        </is>
      </c>
      <c r="B73" s="3" t="inlineStr">
        <is>
          <t>GE</t>
        </is>
      </c>
      <c r="C73" s="6" t="n">
        <v>46325</v>
      </c>
      <c r="D73" s="3" t="n">
        <v>82.5</v>
      </c>
      <c r="E73" s="3" t="inlineStr">
        <is>
          <t>Simulado. No es medición de campo.</t>
        </is>
      </c>
    </row>
    <row r="74">
      <c r="A74" s="3" t="inlineStr">
        <is>
          <t>GU-TDH-084</t>
        </is>
      </c>
      <c r="B74" s="3" t="inlineStr">
        <is>
          <t>GE</t>
        </is>
      </c>
      <c r="C74" s="6" t="n">
        <v>46324</v>
      </c>
      <c r="D74" s="3" t="n">
        <v>62.5</v>
      </c>
      <c r="E74" s="3" t="inlineStr">
        <is>
          <t>Simulado. No es medición de campo.</t>
        </is>
      </c>
    </row>
    <row r="75">
      <c r="A75" s="3" t="inlineStr">
        <is>
          <t>GU-TDH-085</t>
        </is>
      </c>
      <c r="B75" s="3" t="inlineStr">
        <is>
          <t>GE</t>
        </is>
      </c>
      <c r="C75" s="6" t="n">
        <v>46321</v>
      </c>
      <c r="D75" s="3" t="n">
        <v>85</v>
      </c>
      <c r="E75" s="3" t="inlineStr">
        <is>
          <t>Simulado. No es medición de campo.</t>
        </is>
      </c>
    </row>
    <row r="76">
      <c r="A76" s="3" t="inlineStr">
        <is>
          <t>GU-TDH-086</t>
        </is>
      </c>
      <c r="B76" s="3" t="inlineStr">
        <is>
          <t>GE</t>
        </is>
      </c>
      <c r="C76" s="6" t="n">
        <v>46321</v>
      </c>
      <c r="D76" s="3" t="n">
        <v>77.5</v>
      </c>
      <c r="E76" s="3" t="inlineStr">
        <is>
          <t>Simulado. No es medición de campo.</t>
        </is>
      </c>
    </row>
    <row r="77">
      <c r="A77" s="3" t="inlineStr">
        <is>
          <t>GU-TDH-087</t>
        </is>
      </c>
      <c r="B77" s="3" t="inlineStr">
        <is>
          <t>GE</t>
        </is>
      </c>
      <c r="C77" s="6" t="n">
        <v>46322</v>
      </c>
      <c r="D77" s="3" t="n">
        <v>82.5</v>
      </c>
      <c r="E77" s="3" t="inlineStr">
        <is>
          <t>Simulado. No es medición de campo.</t>
        </is>
      </c>
    </row>
    <row r="78">
      <c r="A78" s="3" t="inlineStr">
        <is>
          <t>GU-TDH-088</t>
        </is>
      </c>
      <c r="B78" s="3" t="inlineStr">
        <is>
          <t>GE</t>
        </is>
      </c>
      <c r="C78" s="6" t="n">
        <v>46324</v>
      </c>
      <c r="D78" s="3" t="n">
        <v>70</v>
      </c>
      <c r="E78" s="3" t="inlineStr">
        <is>
          <t>Simulado. No es medición de campo.</t>
        </is>
      </c>
    </row>
    <row r="79">
      <c r="A79" s="3" t="inlineStr">
        <is>
          <t>GU-TDH-089</t>
        </is>
      </c>
      <c r="B79" s="3" t="inlineStr">
        <is>
          <t>GE</t>
        </is>
      </c>
      <c r="C79" s="6" t="n">
        <v>46321</v>
      </c>
      <c r="D79" s="3" t="n">
        <v>97.5</v>
      </c>
      <c r="E79" s="3" t="inlineStr">
        <is>
          <t>Simulado. No es medición de campo.</t>
        </is>
      </c>
    </row>
    <row r="80">
      <c r="A80" s="3" t="inlineStr">
        <is>
          <t>GU-TDH-090</t>
        </is>
      </c>
      <c r="B80" s="3" t="inlineStr">
        <is>
          <t>GE</t>
        </is>
      </c>
      <c r="C80" s="6" t="n">
        <v>46321</v>
      </c>
      <c r="D80" s="3" t="n">
        <v>90</v>
      </c>
      <c r="E80" s="3" t="inlineStr">
        <is>
          <t>Simulado. No es medición de campo.</t>
        </is>
      </c>
    </row>
    <row r="81">
      <c r="A81" s="3" t="inlineStr">
        <is>
          <t>GU-TDH-091</t>
        </is>
      </c>
      <c r="B81" s="3" t="inlineStr">
        <is>
          <t>GE</t>
        </is>
      </c>
      <c r="C81" s="6" t="n">
        <v>46321</v>
      </c>
      <c r="D81" s="3" t="n">
        <v>77.5</v>
      </c>
      <c r="E81" s="3" t="inlineStr">
        <is>
          <t>Simulado. No es medición de campo.</t>
        </is>
      </c>
    </row>
    <row r="82">
      <c r="A82" s="3" t="inlineStr">
        <is>
          <t>GU-TDH-092</t>
        </is>
      </c>
      <c r="B82" s="3" t="inlineStr">
        <is>
          <t>GE</t>
        </is>
      </c>
      <c r="C82" s="6" t="n">
        <v>46324</v>
      </c>
      <c r="D82" s="3" t="n">
        <v>92.5</v>
      </c>
      <c r="E82" s="3" t="inlineStr">
        <is>
          <t>Simulado. No es medición de campo.</t>
        </is>
      </c>
    </row>
    <row r="83">
      <c r="A83" s="3" t="inlineStr">
        <is>
          <t>GU-TDH-093</t>
        </is>
      </c>
      <c r="B83" s="3" t="inlineStr">
        <is>
          <t>GE</t>
        </is>
      </c>
      <c r="C83" s="6" t="n">
        <v>46324</v>
      </c>
      <c r="D83" s="3" t="n">
        <v>75</v>
      </c>
      <c r="E83" s="3" t="inlineStr">
        <is>
          <t>Simulado. No es medición de campo.</t>
        </is>
      </c>
    </row>
    <row r="84">
      <c r="A84" s="3" t="inlineStr">
        <is>
          <t>GU-TDH-095</t>
        </is>
      </c>
      <c r="B84" s="3" t="inlineStr">
        <is>
          <t>GE</t>
        </is>
      </c>
      <c r="C84" s="6" t="n">
        <v>46322</v>
      </c>
      <c r="D84" s="3" t="n">
        <v>90</v>
      </c>
      <c r="E84" s="3" t="inlineStr">
        <is>
          <t>Simulado. No es medición de campo.</t>
        </is>
      </c>
    </row>
    <row r="85">
      <c r="A85" s="3" t="inlineStr">
        <is>
          <t>GU-TDH-097</t>
        </is>
      </c>
      <c r="B85" s="3" t="inlineStr">
        <is>
          <t>GE</t>
        </is>
      </c>
      <c r="C85" s="6" t="n">
        <v>46323</v>
      </c>
      <c r="D85" s="3" t="n">
        <v>75</v>
      </c>
      <c r="E85" s="3" t="inlineStr">
        <is>
          <t>Simulado. No es medición de campo.</t>
        </is>
      </c>
    </row>
    <row r="86">
      <c r="A86" s="3" t="inlineStr">
        <is>
          <t>GU-TDH-098</t>
        </is>
      </c>
      <c r="B86" s="3" t="inlineStr">
        <is>
          <t>GE</t>
        </is>
      </c>
      <c r="C86" s="6" t="n">
        <v>46325</v>
      </c>
      <c r="D86" s="3" t="n">
        <v>50</v>
      </c>
      <c r="E86" s="3" t="inlineStr">
        <is>
          <t>Simulado. No es medición de campo.</t>
        </is>
      </c>
    </row>
    <row r="87">
      <c r="A87" s="3" t="inlineStr">
        <is>
          <t>GU-TDH-099</t>
        </is>
      </c>
      <c r="B87" s="3" t="inlineStr">
        <is>
          <t>GE</t>
        </is>
      </c>
      <c r="C87" s="6" t="n">
        <v>46323</v>
      </c>
      <c r="D87" s="3" t="n">
        <v>55</v>
      </c>
      <c r="E87" s="3" t="inlineStr">
        <is>
          <t>Simulado. No es medición de campo.</t>
        </is>
      </c>
    </row>
    <row r="88">
      <c r="A88" s="3" t="inlineStr">
        <is>
          <t>GU-TDH-100</t>
        </is>
      </c>
      <c r="B88" s="3" t="inlineStr">
        <is>
          <t>GE</t>
        </is>
      </c>
      <c r="C88" s="6" t="n">
        <v>46324</v>
      </c>
      <c r="D88" s="3" t="n">
        <v>80</v>
      </c>
      <c r="E88" s="3" t="inlineStr">
        <is>
          <t>Simulado. No es medición de campo.</t>
        </is>
      </c>
    </row>
    <row r="89">
      <c r="A89" s="3" t="inlineStr">
        <is>
          <t>GU-TDH-101</t>
        </is>
      </c>
      <c r="B89" s="3" t="inlineStr">
        <is>
          <t>GE</t>
        </is>
      </c>
      <c r="C89" s="6" t="n">
        <v>46324</v>
      </c>
      <c r="D89" s="3" t="n">
        <v>75</v>
      </c>
      <c r="E89" s="3" t="inlineStr">
        <is>
          <t>Simulado. No es medición de campo.</t>
        </is>
      </c>
    </row>
    <row r="90">
      <c r="A90" s="3" t="inlineStr">
        <is>
          <t>GU-TDH-102</t>
        </is>
      </c>
      <c r="B90" s="3" t="inlineStr">
        <is>
          <t>GE</t>
        </is>
      </c>
      <c r="C90" s="6" t="n">
        <v>46324</v>
      </c>
      <c r="D90" s="3" t="n">
        <v>92.5</v>
      </c>
      <c r="E90" s="3" t="inlineStr">
        <is>
          <t>Simulado. No es medición de campo.</t>
        </is>
      </c>
    </row>
    <row r="91">
      <c r="A91" s="3" t="inlineStr">
        <is>
          <t>GU-TDH-103</t>
        </is>
      </c>
      <c r="B91" s="3" t="inlineStr">
        <is>
          <t>GE</t>
        </is>
      </c>
      <c r="C91" s="6" t="n">
        <v>46326</v>
      </c>
      <c r="D91" s="3" t="n">
        <v>77.5</v>
      </c>
      <c r="E91" s="3" t="inlineStr">
        <is>
          <t>Simulado. No es medición de campo.</t>
        </is>
      </c>
    </row>
    <row r="92">
      <c r="A92" s="3" t="inlineStr">
        <is>
          <t>GU-TDH-104</t>
        </is>
      </c>
      <c r="B92" s="3" t="inlineStr">
        <is>
          <t>GE</t>
        </is>
      </c>
      <c r="C92" s="6" t="n">
        <v>46326</v>
      </c>
      <c r="D92" s="3" t="n">
        <v>60</v>
      </c>
      <c r="E92" s="3" t="inlineStr">
        <is>
          <t>Simulado. No es medición de campo.</t>
        </is>
      </c>
    </row>
    <row r="93">
      <c r="A93" s="3" t="inlineStr">
        <is>
          <t>GU-TDH-106</t>
        </is>
      </c>
      <c r="B93" s="3" t="inlineStr">
        <is>
          <t>GE</t>
        </is>
      </c>
      <c r="C93" s="6" t="n">
        <v>46324</v>
      </c>
      <c r="D93" s="3" t="n">
        <v>67.5</v>
      </c>
      <c r="E93" s="3" t="inlineStr">
        <is>
          <t>Simulado. No es medición de campo.</t>
        </is>
      </c>
    </row>
    <row r="94">
      <c r="A94" s="3" t="inlineStr">
        <is>
          <t>GU-TDH-108</t>
        </is>
      </c>
      <c r="B94" s="3" t="inlineStr">
        <is>
          <t>GE</t>
        </is>
      </c>
      <c r="C94" s="6" t="n">
        <v>46326</v>
      </c>
      <c r="D94" s="3" t="n">
        <v>92.5</v>
      </c>
      <c r="E94" s="3" t="inlineStr">
        <is>
          <t>Simulado. No es medición de campo.</t>
        </is>
      </c>
    </row>
    <row r="95">
      <c r="A95" s="3" t="inlineStr">
        <is>
          <t>GU-TDH-109</t>
        </is>
      </c>
      <c r="B95" s="3" t="inlineStr">
        <is>
          <t>GE</t>
        </is>
      </c>
      <c r="C95" s="6" t="n">
        <v>46324</v>
      </c>
      <c r="D95" s="3" t="n">
        <v>95</v>
      </c>
      <c r="E95" s="3" t="inlineStr">
        <is>
          <t>Simulado. No es medición de campo.</t>
        </is>
      </c>
    </row>
    <row r="96">
      <c r="A96" s="3" t="inlineStr">
        <is>
          <t>GU-TDH-110</t>
        </is>
      </c>
      <c r="B96" s="3" t="inlineStr">
        <is>
          <t>GE</t>
        </is>
      </c>
      <c r="C96" s="6" t="n">
        <v>46326</v>
      </c>
      <c r="D96" s="3" t="n">
        <v>70</v>
      </c>
      <c r="E96" s="3" t="inlineStr">
        <is>
          <t>Simulado. No es medición de campo.</t>
        </is>
      </c>
    </row>
    <row r="97">
      <c r="A97" s="3" t="inlineStr">
        <is>
          <t>GU-TDH-111</t>
        </is>
      </c>
      <c r="B97" s="3" t="inlineStr">
        <is>
          <t>GE</t>
        </is>
      </c>
      <c r="C97" s="6" t="n">
        <v>46326</v>
      </c>
      <c r="D97" s="3" t="n">
        <v>72.5</v>
      </c>
      <c r="E97" s="3" t="inlineStr">
        <is>
          <t>Simulado. No es medición de campo.</t>
        </is>
      </c>
    </row>
    <row r="98">
      <c r="A98" s="3" t="inlineStr">
        <is>
          <t>GU-TDH-113</t>
        </is>
      </c>
      <c r="B98" s="3" t="inlineStr">
        <is>
          <t>GE</t>
        </is>
      </c>
      <c r="C98" s="6" t="n">
        <v>46321</v>
      </c>
      <c r="D98" s="3" t="n">
        <v>75</v>
      </c>
      <c r="E98" s="3" t="inlineStr">
        <is>
          <t>Simulado. No es medición de campo.</t>
        </is>
      </c>
    </row>
    <row r="99">
      <c r="A99" s="3" t="inlineStr">
        <is>
          <t>GU-TDH-114</t>
        </is>
      </c>
      <c r="B99" s="3" t="inlineStr">
        <is>
          <t>GE</t>
        </is>
      </c>
      <c r="C99" s="6" t="n">
        <v>46326</v>
      </c>
      <c r="D99" s="3" t="n">
        <v>77.5</v>
      </c>
      <c r="E99" s="3" t="inlineStr">
        <is>
          <t>Simulado. No es medición de campo.</t>
        </is>
      </c>
    </row>
    <row r="100">
      <c r="A100" s="3" t="inlineStr">
        <is>
          <t>GU-TDH-115</t>
        </is>
      </c>
      <c r="B100" s="3" t="inlineStr">
        <is>
          <t>GE</t>
        </is>
      </c>
      <c r="C100" s="6" t="n">
        <v>46325</v>
      </c>
      <c r="D100" s="3" t="n">
        <v>72.5</v>
      </c>
      <c r="E100" s="3" t="inlineStr">
        <is>
          <t>Simulado. No es medición de campo.</t>
        </is>
      </c>
    </row>
    <row r="101">
      <c r="A101" s="3" t="inlineStr">
        <is>
          <t>GU-TDH-116</t>
        </is>
      </c>
      <c r="B101" s="3" t="inlineStr">
        <is>
          <t>GE</t>
        </is>
      </c>
      <c r="C101" s="6" t="n">
        <v>46321</v>
      </c>
      <c r="D101" s="3" t="n">
        <v>87.5</v>
      </c>
      <c r="E101" s="3" t="inlineStr">
        <is>
          <t>Simulado. No es medición de campo.</t>
        </is>
      </c>
    </row>
    <row r="102">
      <c r="A102" s="3" t="inlineStr">
        <is>
          <t>GU-TDH-117</t>
        </is>
      </c>
      <c r="B102" s="3" t="inlineStr">
        <is>
          <t>GE</t>
        </is>
      </c>
      <c r="C102" s="6" t="n">
        <v>46323</v>
      </c>
      <c r="D102" s="3" t="n">
        <v>90</v>
      </c>
      <c r="E102" s="3" t="inlineStr">
        <is>
          <t>Simulado. No es medición de campo.</t>
        </is>
      </c>
    </row>
    <row r="103">
      <c r="A103" s="3" t="inlineStr">
        <is>
          <t>GU-TDH-118</t>
        </is>
      </c>
      <c r="B103" s="3" t="inlineStr">
        <is>
          <t>GE</t>
        </is>
      </c>
      <c r="C103" s="6" t="n">
        <v>46322</v>
      </c>
      <c r="D103" s="3" t="n">
        <v>100</v>
      </c>
      <c r="E103" s="3" t="inlineStr">
        <is>
          <t>Simulado. No es medición de campo.</t>
        </is>
      </c>
    </row>
    <row r="104">
      <c r="A104" s="3" t="inlineStr">
        <is>
          <t>GU-TDH-119</t>
        </is>
      </c>
      <c r="B104" s="3" t="inlineStr">
        <is>
          <t>GE</t>
        </is>
      </c>
      <c r="C104" s="6" t="n">
        <v>46323</v>
      </c>
      <c r="D104" s="3" t="n">
        <v>92.5</v>
      </c>
      <c r="E104" s="3" t="inlineStr">
        <is>
          <t>Simulado. No es medición de campo.</t>
        </is>
      </c>
    </row>
    <row r="105">
      <c r="A105" s="3" t="inlineStr">
        <is>
          <t>GU-TDH-120</t>
        </is>
      </c>
      <c r="B105" s="3" t="inlineStr">
        <is>
          <t>GE</t>
        </is>
      </c>
      <c r="C105" s="6" t="n">
        <v>46325</v>
      </c>
      <c r="D105" s="3" t="n">
        <v>80</v>
      </c>
      <c r="E105" s="3" t="inlineStr">
        <is>
          <t>Simulado. No es medición de campo.</t>
        </is>
      </c>
    </row>
    <row r="106">
      <c r="A106" s="3" t="inlineStr">
        <is>
          <t>GU-TDH-121</t>
        </is>
      </c>
      <c r="B106" s="3" t="inlineStr">
        <is>
          <t>GE</t>
        </is>
      </c>
      <c r="C106" s="6" t="n">
        <v>46324</v>
      </c>
      <c r="D106" s="3" t="n">
        <v>80</v>
      </c>
      <c r="E106" s="3" t="inlineStr">
        <is>
          <t>Simulado. No es medición de campo.</t>
        </is>
      </c>
    </row>
    <row r="107">
      <c r="A107" s="3" t="inlineStr">
        <is>
          <t>GU-TDH-122</t>
        </is>
      </c>
      <c r="B107" s="3" t="inlineStr">
        <is>
          <t>GE</t>
        </is>
      </c>
      <c r="C107" s="6" t="n">
        <v>46322</v>
      </c>
      <c r="D107" s="3" t="n">
        <v>90</v>
      </c>
      <c r="E107" s="3" t="inlineStr">
        <is>
          <t>Simulado. No es medición de campo.</t>
        </is>
      </c>
    </row>
    <row r="108">
      <c r="A108" s="3" t="inlineStr">
        <is>
          <t>GU-TDH-124</t>
        </is>
      </c>
      <c r="B108" s="3" t="inlineStr">
        <is>
          <t>GE</t>
        </is>
      </c>
      <c r="C108" s="6" t="n">
        <v>46324</v>
      </c>
      <c r="D108" s="3" t="n">
        <v>70</v>
      </c>
      <c r="E108" s="3" t="inlineStr">
        <is>
          <t>Simulado. No es medición de campo.</t>
        </is>
      </c>
    </row>
    <row r="109">
      <c r="A109" s="3" t="inlineStr">
        <is>
          <t>GU-TDH-125</t>
        </is>
      </c>
      <c r="B109" s="3" t="inlineStr">
        <is>
          <t>GE</t>
        </is>
      </c>
      <c r="C109" s="6" t="n">
        <v>46323</v>
      </c>
      <c r="D109" s="3" t="n">
        <v>70</v>
      </c>
      <c r="E109" s="3" t="inlineStr">
        <is>
          <t>Simulado. No es medición de campo.</t>
        </is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G1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COPIA DE TRABAJO DEL PRETEST</t>
        </is>
      </c>
    </row>
    <row r="2">
      <c r="A2" t="inlineStr">
        <is>
          <t>SUS con la fórmula de Brooke (ítems pares invertidos) × 2.5. TAM = suma de 8 ítems. Tiempo = promedio de las dos tareas. Clics = suma.</t>
        </is>
      </c>
    </row>
    <row r="4">
      <c r="A4" s="2" t="inlineStr">
        <is>
          <t>ID</t>
        </is>
      </c>
      <c r="B4" s="2" t="inlineStr">
        <is>
          <t>GRUPO</t>
        </is>
      </c>
      <c r="C4" s="2" t="inlineStr">
        <is>
          <t>EDAD</t>
        </is>
      </c>
      <c r="D4" s="2" t="inlineStr">
        <is>
          <t>ZONA</t>
        </is>
      </c>
      <c r="E4" s="2" t="inlineStr">
        <is>
          <t>FREC_SEM</t>
        </is>
      </c>
      <c r="F4" s="2" t="inlineStr">
        <is>
          <t>RED</t>
        </is>
      </c>
      <c r="G4" s="2" t="inlineStr">
        <is>
          <t>FECHA_PRE</t>
        </is>
      </c>
      <c r="H4" s="2" t="inlineStr">
        <is>
          <t>SUS01</t>
        </is>
      </c>
      <c r="I4" s="2" t="inlineStr">
        <is>
          <t>SUS02</t>
        </is>
      </c>
      <c r="J4" s="2" t="inlineStr">
        <is>
          <t>SUS03</t>
        </is>
      </c>
      <c r="K4" s="2" t="inlineStr">
        <is>
          <t>SUS04</t>
        </is>
      </c>
      <c r="L4" s="2" t="inlineStr">
        <is>
          <t>SUS05</t>
        </is>
      </c>
      <c r="M4" s="2" t="inlineStr">
        <is>
          <t>SUS06</t>
        </is>
      </c>
      <c r="N4" s="2" t="inlineStr">
        <is>
          <t>SUS07</t>
        </is>
      </c>
      <c r="O4" s="2" t="inlineStr">
        <is>
          <t>SUS08</t>
        </is>
      </c>
      <c r="P4" s="2" t="inlineStr">
        <is>
          <t>SUS09</t>
        </is>
      </c>
      <c r="Q4" s="2" t="inlineStr">
        <is>
          <t>SUS10</t>
        </is>
      </c>
      <c r="R4" s="2" t="inlineStr">
        <is>
          <t>TAM01</t>
        </is>
      </c>
      <c r="S4" s="2" t="inlineStr">
        <is>
          <t>TAM02</t>
        </is>
      </c>
      <c r="T4" s="2" t="inlineStr">
        <is>
          <t>TAM03</t>
        </is>
      </c>
      <c r="U4" s="2" t="inlineStr">
        <is>
          <t>TAM04</t>
        </is>
      </c>
      <c r="V4" s="2" t="inlineStr">
        <is>
          <t>TAM05</t>
        </is>
      </c>
      <c r="W4" s="2" t="inlineStr">
        <is>
          <t>TAM06</t>
        </is>
      </c>
      <c r="X4" s="2" t="inlineStr">
        <is>
          <t>TAM07</t>
        </is>
      </c>
      <c r="Y4" s="2" t="inlineStr">
        <is>
          <t>TAM08</t>
        </is>
      </c>
      <c r="Z4" s="2" t="inlineStr">
        <is>
          <t>T1_SEG</t>
        </is>
      </c>
      <c r="AA4" s="2" t="inlineStr">
        <is>
          <t>T1_CLICS</t>
        </is>
      </c>
      <c r="AB4" s="2" t="inlineStr">
        <is>
          <t>T2_SEG</t>
        </is>
      </c>
      <c r="AC4" s="2" t="inlineStr">
        <is>
          <t>T2_CLICS</t>
        </is>
      </c>
      <c r="AD4" s="2" t="inlineStr">
        <is>
          <t>SUS_PRE</t>
        </is>
      </c>
      <c r="AE4" s="2" t="inlineStr">
        <is>
          <t>TAM_PRE</t>
        </is>
      </c>
      <c r="AF4" s="2" t="inlineStr">
        <is>
          <t>TIEMPO_PRE</t>
        </is>
      </c>
      <c r="AG4" s="2" t="inlineStr">
        <is>
          <t>CLICS_PRE</t>
        </is>
      </c>
    </row>
    <row r="5">
      <c r="A5" s="5">
        <f>1_PRE_RAW!A5</f>
        <v/>
      </c>
      <c r="B5" s="5">
        <f>1_PRE_RAW!B5</f>
        <v/>
      </c>
      <c r="C5" s="5">
        <f>1_PRE_RAW!C5</f>
        <v/>
      </c>
      <c r="D5" s="5">
        <f>1_PRE_RAW!D5</f>
        <v/>
      </c>
      <c r="E5" s="5">
        <f>1_PRE_RAW!E5</f>
        <v/>
      </c>
      <c r="F5" s="5">
        <f>1_PRE_RAW!F5</f>
        <v/>
      </c>
      <c r="G5" s="5">
        <f>1_PRE_RAW!G5</f>
        <v/>
      </c>
      <c r="H5" s="5">
        <f>1_PRE_RAW!H5</f>
        <v/>
      </c>
      <c r="I5" s="5">
        <f>1_PRE_RAW!I5</f>
        <v/>
      </c>
      <c r="J5" s="5">
        <f>1_PRE_RAW!J5</f>
        <v/>
      </c>
      <c r="K5" s="5">
        <f>1_PRE_RAW!K5</f>
        <v/>
      </c>
      <c r="L5" s="5">
        <f>1_PRE_RAW!L5</f>
        <v/>
      </c>
      <c r="M5" s="5">
        <f>1_PRE_RAW!M5</f>
        <v/>
      </c>
      <c r="N5" s="5">
        <f>1_PRE_RAW!N5</f>
        <v/>
      </c>
      <c r="O5" s="5">
        <f>1_PRE_RAW!O5</f>
        <v/>
      </c>
      <c r="P5" s="5">
        <f>1_PRE_RAW!P5</f>
        <v/>
      </c>
      <c r="Q5" s="5">
        <f>1_PRE_RAW!Q5</f>
        <v/>
      </c>
      <c r="R5" s="5">
        <f>1_PRE_RAW!R5</f>
        <v/>
      </c>
      <c r="S5" s="5">
        <f>1_PRE_RAW!S5</f>
        <v/>
      </c>
      <c r="T5" s="5">
        <f>1_PRE_RAW!T5</f>
        <v/>
      </c>
      <c r="U5" s="5">
        <f>1_PRE_RAW!U5</f>
        <v/>
      </c>
      <c r="V5" s="5">
        <f>1_PRE_RAW!V5</f>
        <v/>
      </c>
      <c r="W5" s="5">
        <f>1_PRE_RAW!W5</f>
        <v/>
      </c>
      <c r="X5" s="5">
        <f>1_PRE_RAW!X5</f>
        <v/>
      </c>
      <c r="Y5" s="5">
        <f>1_PRE_RAW!Y5</f>
        <v/>
      </c>
      <c r="Z5" s="5">
        <f>1_PRE_RAW!Z5</f>
        <v/>
      </c>
      <c r="AA5" s="5">
        <f>1_PRE_RAW!AA5</f>
        <v/>
      </c>
      <c r="AB5" s="5">
        <f>1_PRE_RAW!AB5</f>
        <v/>
      </c>
      <c r="AC5" s="5">
        <f>1_PRE_RAW!AC5</f>
        <v/>
      </c>
      <c r="AD5" s="5">
        <f>2.5*((H5-1)+(5-I5)+(J5-1)+(5-K5)+(L5-1)+(5-M5)+(N5-1)+(5-O5)+(P5-1)+(5-Q5))</f>
        <v/>
      </c>
      <c r="AE5" s="5">
        <f>SUM(R5:Y5)</f>
        <v/>
      </c>
      <c r="AF5" s="5">
        <f>AVERAGE(Z5,AB5)</f>
        <v/>
      </c>
      <c r="AG5" s="5">
        <f>AA5+AC5</f>
        <v/>
      </c>
    </row>
    <row r="6">
      <c r="A6" s="5">
        <f>1_PRE_RAW!A6</f>
        <v/>
      </c>
      <c r="B6" s="5">
        <f>1_PRE_RAW!B6</f>
        <v/>
      </c>
      <c r="C6" s="5">
        <f>1_PRE_RAW!C6</f>
        <v/>
      </c>
      <c r="D6" s="5">
        <f>1_PRE_RAW!D6</f>
        <v/>
      </c>
      <c r="E6" s="5">
        <f>1_PRE_RAW!E6</f>
        <v/>
      </c>
      <c r="F6" s="5">
        <f>1_PRE_RAW!F6</f>
        <v/>
      </c>
      <c r="G6" s="5">
        <f>1_PRE_RAW!G6</f>
        <v/>
      </c>
      <c r="H6" s="5">
        <f>1_PRE_RAW!H6</f>
        <v/>
      </c>
      <c r="I6" s="5">
        <f>1_PRE_RAW!I6</f>
        <v/>
      </c>
      <c r="J6" s="5">
        <f>1_PRE_RAW!J6</f>
        <v/>
      </c>
      <c r="K6" s="5">
        <f>1_PRE_RAW!K6</f>
        <v/>
      </c>
      <c r="L6" s="5">
        <f>1_PRE_RAW!L6</f>
        <v/>
      </c>
      <c r="M6" s="5">
        <f>1_PRE_RAW!M6</f>
        <v/>
      </c>
      <c r="N6" s="5">
        <f>1_PRE_RAW!N6</f>
        <v/>
      </c>
      <c r="O6" s="5">
        <f>1_PRE_RAW!O6</f>
        <v/>
      </c>
      <c r="P6" s="5">
        <f>1_PRE_RAW!P6</f>
        <v/>
      </c>
      <c r="Q6" s="5">
        <f>1_PRE_RAW!Q6</f>
        <v/>
      </c>
      <c r="R6" s="5">
        <f>1_PRE_RAW!R6</f>
        <v/>
      </c>
      <c r="S6" s="5">
        <f>1_PRE_RAW!S6</f>
        <v/>
      </c>
      <c r="T6" s="5">
        <f>1_PRE_RAW!T6</f>
        <v/>
      </c>
      <c r="U6" s="5">
        <f>1_PRE_RAW!U6</f>
        <v/>
      </c>
      <c r="V6" s="5">
        <f>1_PRE_RAW!V6</f>
        <v/>
      </c>
      <c r="W6" s="5">
        <f>1_PRE_RAW!W6</f>
        <v/>
      </c>
      <c r="X6" s="5">
        <f>1_PRE_RAW!X6</f>
        <v/>
      </c>
      <c r="Y6" s="5">
        <f>1_PRE_RAW!Y6</f>
        <v/>
      </c>
      <c r="Z6" s="5">
        <f>1_PRE_RAW!Z6</f>
        <v/>
      </c>
      <c r="AA6" s="5">
        <f>1_PRE_RAW!AA6</f>
        <v/>
      </c>
      <c r="AB6" s="5">
        <f>1_PRE_RAW!AB6</f>
        <v/>
      </c>
      <c r="AC6" s="5">
        <f>1_PRE_RAW!AC6</f>
        <v/>
      </c>
      <c r="AD6" s="5">
        <f>2.5*((H6-1)+(5-I6)+(J6-1)+(5-K6)+(L6-1)+(5-M6)+(N6-1)+(5-O6)+(P6-1)+(5-Q6))</f>
        <v/>
      </c>
      <c r="AE6" s="5">
        <f>SUM(R6:Y6)</f>
        <v/>
      </c>
      <c r="AF6" s="5">
        <f>AVERAGE(Z6,AB6)</f>
        <v/>
      </c>
      <c r="AG6" s="5">
        <f>AA6+AC6</f>
        <v/>
      </c>
    </row>
    <row r="7">
      <c r="A7" s="5">
        <f>1_PRE_RAW!A7</f>
        <v/>
      </c>
      <c r="B7" s="5">
        <f>1_PRE_RAW!B7</f>
        <v/>
      </c>
      <c r="C7" s="5">
        <f>1_PRE_RAW!C7</f>
        <v/>
      </c>
      <c r="D7" s="5">
        <f>1_PRE_RAW!D7</f>
        <v/>
      </c>
      <c r="E7" s="5">
        <f>1_PRE_RAW!E7</f>
        <v/>
      </c>
      <c r="F7" s="5">
        <f>1_PRE_RAW!F7</f>
        <v/>
      </c>
      <c r="G7" s="5">
        <f>1_PRE_RAW!G7</f>
        <v/>
      </c>
      <c r="H7" s="5">
        <f>1_PRE_RAW!H7</f>
        <v/>
      </c>
      <c r="I7" s="5">
        <f>1_PRE_RAW!I7</f>
        <v/>
      </c>
      <c r="J7" s="5">
        <f>1_PRE_RAW!J7</f>
        <v/>
      </c>
      <c r="K7" s="5">
        <f>1_PRE_RAW!K7</f>
        <v/>
      </c>
      <c r="L7" s="5">
        <f>1_PRE_RAW!L7</f>
        <v/>
      </c>
      <c r="M7" s="5">
        <f>1_PRE_RAW!M7</f>
        <v/>
      </c>
      <c r="N7" s="5">
        <f>1_PRE_RAW!N7</f>
        <v/>
      </c>
      <c r="O7" s="5">
        <f>1_PRE_RAW!O7</f>
        <v/>
      </c>
      <c r="P7" s="5">
        <f>1_PRE_RAW!P7</f>
        <v/>
      </c>
      <c r="Q7" s="5">
        <f>1_PRE_RAW!Q7</f>
        <v/>
      </c>
      <c r="R7" s="5">
        <f>1_PRE_RAW!R7</f>
        <v/>
      </c>
      <c r="S7" s="5">
        <f>1_PRE_RAW!S7</f>
        <v/>
      </c>
      <c r="T7" s="5">
        <f>1_PRE_RAW!T7</f>
        <v/>
      </c>
      <c r="U7" s="5">
        <f>1_PRE_RAW!U7</f>
        <v/>
      </c>
      <c r="V7" s="5">
        <f>1_PRE_RAW!V7</f>
        <v/>
      </c>
      <c r="W7" s="5">
        <f>1_PRE_RAW!W7</f>
        <v/>
      </c>
      <c r="X7" s="5">
        <f>1_PRE_RAW!X7</f>
        <v/>
      </c>
      <c r="Y7" s="5">
        <f>1_PRE_RAW!Y7</f>
        <v/>
      </c>
      <c r="Z7" s="5">
        <f>1_PRE_RAW!Z7</f>
        <v/>
      </c>
      <c r="AA7" s="5">
        <f>1_PRE_RAW!AA7</f>
        <v/>
      </c>
      <c r="AB7" s="5">
        <f>1_PRE_RAW!AB7</f>
        <v/>
      </c>
      <c r="AC7" s="5">
        <f>1_PRE_RAW!AC7</f>
        <v/>
      </c>
      <c r="AD7" s="5">
        <f>2.5*((H7-1)+(5-I7)+(J7-1)+(5-K7)+(L7-1)+(5-M7)+(N7-1)+(5-O7)+(P7-1)+(5-Q7))</f>
        <v/>
      </c>
      <c r="AE7" s="5">
        <f>SUM(R7:Y7)</f>
        <v/>
      </c>
      <c r="AF7" s="5">
        <f>AVERAGE(Z7,AB7)</f>
        <v/>
      </c>
      <c r="AG7" s="5">
        <f>AA7+AC7</f>
        <v/>
      </c>
    </row>
    <row r="8">
      <c r="A8" s="5">
        <f>1_PRE_RAW!A8</f>
        <v/>
      </c>
      <c r="B8" s="5">
        <f>1_PRE_RAW!B8</f>
        <v/>
      </c>
      <c r="C8" s="5">
        <f>1_PRE_RAW!C8</f>
        <v/>
      </c>
      <c r="D8" s="5">
        <f>1_PRE_RAW!D8</f>
        <v/>
      </c>
      <c r="E8" s="5">
        <f>1_PRE_RAW!E8</f>
        <v/>
      </c>
      <c r="F8" s="5">
        <f>1_PRE_RAW!F8</f>
        <v/>
      </c>
      <c r="G8" s="5">
        <f>1_PRE_RAW!G8</f>
        <v/>
      </c>
      <c r="H8" s="5">
        <f>1_PRE_RAW!H8</f>
        <v/>
      </c>
      <c r="I8" s="5">
        <f>1_PRE_RAW!I8</f>
        <v/>
      </c>
      <c r="J8" s="5">
        <f>1_PRE_RAW!J8</f>
        <v/>
      </c>
      <c r="K8" s="5">
        <f>1_PRE_RAW!K8</f>
        <v/>
      </c>
      <c r="L8" s="5">
        <f>1_PRE_RAW!L8</f>
        <v/>
      </c>
      <c r="M8" s="5">
        <f>1_PRE_RAW!M8</f>
        <v/>
      </c>
      <c r="N8" s="5">
        <f>1_PRE_RAW!N8</f>
        <v/>
      </c>
      <c r="O8" s="5">
        <f>1_PRE_RAW!O8</f>
        <v/>
      </c>
      <c r="P8" s="5">
        <f>1_PRE_RAW!P8</f>
        <v/>
      </c>
      <c r="Q8" s="5">
        <f>1_PRE_RAW!Q8</f>
        <v/>
      </c>
      <c r="R8" s="5">
        <f>1_PRE_RAW!R8</f>
        <v/>
      </c>
      <c r="S8" s="5">
        <f>1_PRE_RAW!S8</f>
        <v/>
      </c>
      <c r="T8" s="5">
        <f>1_PRE_RAW!T8</f>
        <v/>
      </c>
      <c r="U8" s="5">
        <f>1_PRE_RAW!U8</f>
        <v/>
      </c>
      <c r="V8" s="5">
        <f>1_PRE_RAW!V8</f>
        <v/>
      </c>
      <c r="W8" s="5">
        <f>1_PRE_RAW!W8</f>
        <v/>
      </c>
      <c r="X8" s="5">
        <f>1_PRE_RAW!X8</f>
        <v/>
      </c>
      <c r="Y8" s="5">
        <f>1_PRE_RAW!Y8</f>
        <v/>
      </c>
      <c r="Z8" s="5">
        <f>1_PRE_RAW!Z8</f>
        <v/>
      </c>
      <c r="AA8" s="5">
        <f>1_PRE_RAW!AA8</f>
        <v/>
      </c>
      <c r="AB8" s="5">
        <f>1_PRE_RAW!AB8</f>
        <v/>
      </c>
      <c r="AC8" s="5">
        <f>1_PRE_RAW!AC8</f>
        <v/>
      </c>
      <c r="AD8" s="5">
        <f>2.5*((H8-1)+(5-I8)+(J8-1)+(5-K8)+(L8-1)+(5-M8)+(N8-1)+(5-O8)+(P8-1)+(5-Q8))</f>
        <v/>
      </c>
      <c r="AE8" s="5">
        <f>SUM(R8:Y8)</f>
        <v/>
      </c>
      <c r="AF8" s="5">
        <f>AVERAGE(Z8,AB8)</f>
        <v/>
      </c>
      <c r="AG8" s="5">
        <f>AA8+AC8</f>
        <v/>
      </c>
    </row>
    <row r="9">
      <c r="A9" s="5">
        <f>1_PRE_RAW!A9</f>
        <v/>
      </c>
      <c r="B9" s="5">
        <f>1_PRE_RAW!B9</f>
        <v/>
      </c>
      <c r="C9" s="5">
        <f>1_PRE_RAW!C9</f>
        <v/>
      </c>
      <c r="D9" s="5">
        <f>1_PRE_RAW!D9</f>
        <v/>
      </c>
      <c r="E9" s="5">
        <f>1_PRE_RAW!E9</f>
        <v/>
      </c>
      <c r="F9" s="5">
        <f>1_PRE_RAW!F9</f>
        <v/>
      </c>
      <c r="G9" s="5">
        <f>1_PRE_RAW!G9</f>
        <v/>
      </c>
      <c r="H9" s="5">
        <f>1_PRE_RAW!H9</f>
        <v/>
      </c>
      <c r="I9" s="5">
        <f>1_PRE_RAW!I9</f>
        <v/>
      </c>
      <c r="J9" s="5">
        <f>1_PRE_RAW!J9</f>
        <v/>
      </c>
      <c r="K9" s="5">
        <f>1_PRE_RAW!K9</f>
        <v/>
      </c>
      <c r="L9" s="5">
        <f>1_PRE_RAW!L9</f>
        <v/>
      </c>
      <c r="M9" s="5">
        <f>1_PRE_RAW!M9</f>
        <v/>
      </c>
      <c r="N9" s="5">
        <f>1_PRE_RAW!N9</f>
        <v/>
      </c>
      <c r="O9" s="5">
        <f>1_PRE_RAW!O9</f>
        <v/>
      </c>
      <c r="P9" s="5">
        <f>1_PRE_RAW!P9</f>
        <v/>
      </c>
      <c r="Q9" s="5">
        <f>1_PRE_RAW!Q9</f>
        <v/>
      </c>
      <c r="R9" s="5">
        <f>1_PRE_RAW!R9</f>
        <v/>
      </c>
      <c r="S9" s="5">
        <f>1_PRE_RAW!S9</f>
        <v/>
      </c>
      <c r="T9" s="5">
        <f>1_PRE_RAW!T9</f>
        <v/>
      </c>
      <c r="U9" s="5">
        <f>1_PRE_RAW!U9</f>
        <v/>
      </c>
      <c r="V9" s="5">
        <f>1_PRE_RAW!V9</f>
        <v/>
      </c>
      <c r="W9" s="5">
        <f>1_PRE_RAW!W9</f>
        <v/>
      </c>
      <c r="X9" s="5">
        <f>1_PRE_RAW!X9</f>
        <v/>
      </c>
      <c r="Y9" s="5">
        <f>1_PRE_RAW!Y9</f>
        <v/>
      </c>
      <c r="Z9" s="5">
        <f>1_PRE_RAW!Z9</f>
        <v/>
      </c>
      <c r="AA9" s="5">
        <f>1_PRE_RAW!AA9</f>
        <v/>
      </c>
      <c r="AB9" s="5">
        <f>1_PRE_RAW!AB9</f>
        <v/>
      </c>
      <c r="AC9" s="5">
        <f>1_PRE_RAW!AC9</f>
        <v/>
      </c>
      <c r="AD9" s="5">
        <f>2.5*((H9-1)+(5-I9)+(J9-1)+(5-K9)+(L9-1)+(5-M9)+(N9-1)+(5-O9)+(P9-1)+(5-Q9))</f>
        <v/>
      </c>
      <c r="AE9" s="5">
        <f>SUM(R9:Y9)</f>
        <v/>
      </c>
      <c r="AF9" s="5">
        <f>AVERAGE(Z9,AB9)</f>
        <v/>
      </c>
      <c r="AG9" s="5">
        <f>AA9+AC9</f>
        <v/>
      </c>
    </row>
    <row r="10">
      <c r="A10" s="5">
        <f>1_PRE_RAW!A10</f>
        <v/>
      </c>
      <c r="B10" s="5">
        <f>1_PRE_RAW!B10</f>
        <v/>
      </c>
      <c r="C10" s="5">
        <f>1_PRE_RAW!C10</f>
        <v/>
      </c>
      <c r="D10" s="5">
        <f>1_PRE_RAW!D10</f>
        <v/>
      </c>
      <c r="E10" s="5">
        <f>1_PRE_RAW!E10</f>
        <v/>
      </c>
      <c r="F10" s="5">
        <f>1_PRE_RAW!F10</f>
        <v/>
      </c>
      <c r="G10" s="5">
        <f>1_PRE_RAW!G10</f>
        <v/>
      </c>
      <c r="H10" s="5">
        <f>1_PRE_RAW!H10</f>
        <v/>
      </c>
      <c r="I10" s="5">
        <f>1_PRE_RAW!I10</f>
        <v/>
      </c>
      <c r="J10" s="5">
        <f>1_PRE_RAW!J10</f>
        <v/>
      </c>
      <c r="K10" s="5">
        <f>1_PRE_RAW!K10</f>
        <v/>
      </c>
      <c r="L10" s="5">
        <f>1_PRE_RAW!L10</f>
        <v/>
      </c>
      <c r="M10" s="5">
        <f>1_PRE_RAW!M10</f>
        <v/>
      </c>
      <c r="N10" s="5">
        <f>1_PRE_RAW!N10</f>
        <v/>
      </c>
      <c r="O10" s="5">
        <f>1_PRE_RAW!O10</f>
        <v/>
      </c>
      <c r="P10" s="5">
        <f>1_PRE_RAW!P10</f>
        <v/>
      </c>
      <c r="Q10" s="5">
        <f>1_PRE_RAW!Q10</f>
        <v/>
      </c>
      <c r="R10" s="5">
        <f>1_PRE_RAW!R10</f>
        <v/>
      </c>
      <c r="S10" s="5">
        <f>1_PRE_RAW!S10</f>
        <v/>
      </c>
      <c r="T10" s="5">
        <f>1_PRE_RAW!T10</f>
        <v/>
      </c>
      <c r="U10" s="5">
        <f>1_PRE_RAW!U10</f>
        <v/>
      </c>
      <c r="V10" s="5">
        <f>1_PRE_RAW!V10</f>
        <v/>
      </c>
      <c r="W10" s="5">
        <f>1_PRE_RAW!W10</f>
        <v/>
      </c>
      <c r="X10" s="5">
        <f>1_PRE_RAW!X10</f>
        <v/>
      </c>
      <c r="Y10" s="5">
        <f>1_PRE_RAW!Y10</f>
        <v/>
      </c>
      <c r="Z10" s="5">
        <f>1_PRE_RAW!Z10</f>
        <v/>
      </c>
      <c r="AA10" s="5">
        <f>1_PRE_RAW!AA10</f>
        <v/>
      </c>
      <c r="AB10" s="5">
        <f>1_PRE_RAW!AB10</f>
        <v/>
      </c>
      <c r="AC10" s="5">
        <f>1_PRE_RAW!AC10</f>
        <v/>
      </c>
      <c r="AD10" s="5">
        <f>2.5*((H10-1)+(5-I10)+(J10-1)+(5-K10)+(L10-1)+(5-M10)+(N10-1)+(5-O10)+(P10-1)+(5-Q10))</f>
        <v/>
      </c>
      <c r="AE10" s="5">
        <f>SUM(R10:Y10)</f>
        <v/>
      </c>
      <c r="AF10" s="5">
        <f>AVERAGE(Z10,AB10)</f>
        <v/>
      </c>
      <c r="AG10" s="5">
        <f>AA10+AC10</f>
        <v/>
      </c>
    </row>
    <row r="11">
      <c r="A11" s="5">
        <f>1_PRE_RAW!A11</f>
        <v/>
      </c>
      <c r="B11" s="5">
        <f>1_PRE_RAW!B11</f>
        <v/>
      </c>
      <c r="C11" s="5">
        <f>1_PRE_RAW!C11</f>
        <v/>
      </c>
      <c r="D11" s="5">
        <f>1_PRE_RAW!D11</f>
        <v/>
      </c>
      <c r="E11" s="5">
        <f>1_PRE_RAW!E11</f>
        <v/>
      </c>
      <c r="F11" s="5">
        <f>1_PRE_RAW!F11</f>
        <v/>
      </c>
      <c r="G11" s="5">
        <f>1_PRE_RAW!G11</f>
        <v/>
      </c>
      <c r="H11" s="5">
        <f>1_PRE_RAW!H11</f>
        <v/>
      </c>
      <c r="I11" s="5">
        <f>1_PRE_RAW!I11</f>
        <v/>
      </c>
      <c r="J11" s="5">
        <f>1_PRE_RAW!J11</f>
        <v/>
      </c>
      <c r="K11" s="5">
        <f>1_PRE_RAW!K11</f>
        <v/>
      </c>
      <c r="L11" s="5">
        <f>1_PRE_RAW!L11</f>
        <v/>
      </c>
      <c r="M11" s="5">
        <f>1_PRE_RAW!M11</f>
        <v/>
      </c>
      <c r="N11" s="5">
        <f>1_PRE_RAW!N11</f>
        <v/>
      </c>
      <c r="O11" s="5">
        <f>1_PRE_RAW!O11</f>
        <v/>
      </c>
      <c r="P11" s="5">
        <f>1_PRE_RAW!P11</f>
        <v/>
      </c>
      <c r="Q11" s="5">
        <f>1_PRE_RAW!Q11</f>
        <v/>
      </c>
      <c r="R11" s="5">
        <f>1_PRE_RAW!R11</f>
        <v/>
      </c>
      <c r="S11" s="5">
        <f>1_PRE_RAW!S11</f>
        <v/>
      </c>
      <c r="T11" s="5">
        <f>1_PRE_RAW!T11</f>
        <v/>
      </c>
      <c r="U11" s="5">
        <f>1_PRE_RAW!U11</f>
        <v/>
      </c>
      <c r="V11" s="5">
        <f>1_PRE_RAW!V11</f>
        <v/>
      </c>
      <c r="W11" s="5">
        <f>1_PRE_RAW!W11</f>
        <v/>
      </c>
      <c r="X11" s="5">
        <f>1_PRE_RAW!X11</f>
        <v/>
      </c>
      <c r="Y11" s="5">
        <f>1_PRE_RAW!Y11</f>
        <v/>
      </c>
      <c r="Z11" s="5">
        <f>1_PRE_RAW!Z11</f>
        <v/>
      </c>
      <c r="AA11" s="5">
        <f>1_PRE_RAW!AA11</f>
        <v/>
      </c>
      <c r="AB11" s="5">
        <f>1_PRE_RAW!AB11</f>
        <v/>
      </c>
      <c r="AC11" s="5">
        <f>1_PRE_RAW!AC11</f>
        <v/>
      </c>
      <c r="AD11" s="5">
        <f>2.5*((H11-1)+(5-I11)+(J11-1)+(5-K11)+(L11-1)+(5-M11)+(N11-1)+(5-O11)+(P11-1)+(5-Q11))</f>
        <v/>
      </c>
      <c r="AE11" s="5">
        <f>SUM(R11:Y11)</f>
        <v/>
      </c>
      <c r="AF11" s="5">
        <f>AVERAGE(Z11,AB11)</f>
        <v/>
      </c>
      <c r="AG11" s="5">
        <f>AA11+AC11</f>
        <v/>
      </c>
    </row>
    <row r="12">
      <c r="A12" s="5">
        <f>1_PRE_RAW!A12</f>
        <v/>
      </c>
      <c r="B12" s="5">
        <f>1_PRE_RAW!B12</f>
        <v/>
      </c>
      <c r="C12" s="5">
        <f>1_PRE_RAW!C12</f>
        <v/>
      </c>
      <c r="D12" s="5">
        <f>1_PRE_RAW!D12</f>
        <v/>
      </c>
      <c r="E12" s="5">
        <f>1_PRE_RAW!E12</f>
        <v/>
      </c>
      <c r="F12" s="5">
        <f>1_PRE_RAW!F12</f>
        <v/>
      </c>
      <c r="G12" s="5">
        <f>1_PRE_RAW!G12</f>
        <v/>
      </c>
      <c r="H12" s="5">
        <f>1_PRE_RAW!H12</f>
        <v/>
      </c>
      <c r="I12" s="5">
        <f>1_PRE_RAW!I12</f>
        <v/>
      </c>
      <c r="J12" s="5">
        <f>1_PRE_RAW!J12</f>
        <v/>
      </c>
      <c r="K12" s="5">
        <f>1_PRE_RAW!K12</f>
        <v/>
      </c>
      <c r="L12" s="5">
        <f>1_PRE_RAW!L12</f>
        <v/>
      </c>
      <c r="M12" s="5">
        <f>1_PRE_RAW!M12</f>
        <v/>
      </c>
      <c r="N12" s="5">
        <f>1_PRE_RAW!N12</f>
        <v/>
      </c>
      <c r="O12" s="5">
        <f>1_PRE_RAW!O12</f>
        <v/>
      </c>
      <c r="P12" s="5">
        <f>1_PRE_RAW!P12</f>
        <v/>
      </c>
      <c r="Q12" s="5">
        <f>1_PRE_RAW!Q12</f>
        <v/>
      </c>
      <c r="R12" s="5">
        <f>1_PRE_RAW!R12</f>
        <v/>
      </c>
      <c r="S12" s="5">
        <f>1_PRE_RAW!S12</f>
        <v/>
      </c>
      <c r="T12" s="5">
        <f>1_PRE_RAW!T12</f>
        <v/>
      </c>
      <c r="U12" s="5">
        <f>1_PRE_RAW!U12</f>
        <v/>
      </c>
      <c r="V12" s="5">
        <f>1_PRE_RAW!V12</f>
        <v/>
      </c>
      <c r="W12" s="5">
        <f>1_PRE_RAW!W12</f>
        <v/>
      </c>
      <c r="X12" s="5">
        <f>1_PRE_RAW!X12</f>
        <v/>
      </c>
      <c r="Y12" s="5">
        <f>1_PRE_RAW!Y12</f>
        <v/>
      </c>
      <c r="Z12" s="5">
        <f>1_PRE_RAW!Z12</f>
        <v/>
      </c>
      <c r="AA12" s="5">
        <f>1_PRE_RAW!AA12</f>
        <v/>
      </c>
      <c r="AB12" s="5">
        <f>1_PRE_RAW!AB12</f>
        <v/>
      </c>
      <c r="AC12" s="5">
        <f>1_PRE_RAW!AC12</f>
        <v/>
      </c>
      <c r="AD12" s="5">
        <f>2.5*((H12-1)+(5-I12)+(J12-1)+(5-K12)+(L12-1)+(5-M12)+(N12-1)+(5-O12)+(P12-1)+(5-Q12))</f>
        <v/>
      </c>
      <c r="AE12" s="5">
        <f>SUM(R12:Y12)</f>
        <v/>
      </c>
      <c r="AF12" s="5">
        <f>AVERAGE(Z12,AB12)</f>
        <v/>
      </c>
      <c r="AG12" s="5">
        <f>AA12+AC12</f>
        <v/>
      </c>
    </row>
    <row r="13">
      <c r="A13" s="5">
        <f>1_PRE_RAW!A13</f>
        <v/>
      </c>
      <c r="B13" s="5">
        <f>1_PRE_RAW!B13</f>
        <v/>
      </c>
      <c r="C13" s="5">
        <f>1_PRE_RAW!C13</f>
        <v/>
      </c>
      <c r="D13" s="5">
        <f>1_PRE_RAW!D13</f>
        <v/>
      </c>
      <c r="E13" s="5">
        <f>1_PRE_RAW!E13</f>
        <v/>
      </c>
      <c r="F13" s="5">
        <f>1_PRE_RAW!F13</f>
        <v/>
      </c>
      <c r="G13" s="5">
        <f>1_PRE_RAW!G13</f>
        <v/>
      </c>
      <c r="H13" s="5">
        <f>1_PRE_RAW!H13</f>
        <v/>
      </c>
      <c r="I13" s="5">
        <f>1_PRE_RAW!I13</f>
        <v/>
      </c>
      <c r="J13" s="5">
        <f>1_PRE_RAW!J13</f>
        <v/>
      </c>
      <c r="K13" s="5">
        <f>1_PRE_RAW!K13</f>
        <v/>
      </c>
      <c r="L13" s="5">
        <f>1_PRE_RAW!L13</f>
        <v/>
      </c>
      <c r="M13" s="5">
        <f>1_PRE_RAW!M13</f>
        <v/>
      </c>
      <c r="N13" s="5">
        <f>1_PRE_RAW!N13</f>
        <v/>
      </c>
      <c r="O13" s="5">
        <f>1_PRE_RAW!O13</f>
        <v/>
      </c>
      <c r="P13" s="5">
        <f>1_PRE_RAW!P13</f>
        <v/>
      </c>
      <c r="Q13" s="5">
        <f>1_PRE_RAW!Q13</f>
        <v/>
      </c>
      <c r="R13" s="5">
        <f>1_PRE_RAW!R13</f>
        <v/>
      </c>
      <c r="S13" s="5">
        <f>1_PRE_RAW!S13</f>
        <v/>
      </c>
      <c r="T13" s="5">
        <f>1_PRE_RAW!T13</f>
        <v/>
      </c>
      <c r="U13" s="5">
        <f>1_PRE_RAW!U13</f>
        <v/>
      </c>
      <c r="V13" s="5">
        <f>1_PRE_RAW!V13</f>
        <v/>
      </c>
      <c r="W13" s="5">
        <f>1_PRE_RAW!W13</f>
        <v/>
      </c>
      <c r="X13" s="5">
        <f>1_PRE_RAW!X13</f>
        <v/>
      </c>
      <c r="Y13" s="5">
        <f>1_PRE_RAW!Y13</f>
        <v/>
      </c>
      <c r="Z13" s="5">
        <f>1_PRE_RAW!Z13</f>
        <v/>
      </c>
      <c r="AA13" s="5">
        <f>1_PRE_RAW!AA13</f>
        <v/>
      </c>
      <c r="AB13" s="5">
        <f>1_PRE_RAW!AB13</f>
        <v/>
      </c>
      <c r="AC13" s="5">
        <f>1_PRE_RAW!AC13</f>
        <v/>
      </c>
      <c r="AD13" s="5">
        <f>2.5*((H13-1)+(5-I13)+(J13-1)+(5-K13)+(L13-1)+(5-M13)+(N13-1)+(5-O13)+(P13-1)+(5-Q13))</f>
        <v/>
      </c>
      <c r="AE13" s="5">
        <f>SUM(R13:Y13)</f>
        <v/>
      </c>
      <c r="AF13" s="5">
        <f>AVERAGE(Z13,AB13)</f>
        <v/>
      </c>
      <c r="AG13" s="5">
        <f>AA13+AC13</f>
        <v/>
      </c>
    </row>
    <row r="14">
      <c r="A14" s="5">
        <f>1_PRE_RAW!A14</f>
        <v/>
      </c>
      <c r="B14" s="5">
        <f>1_PRE_RAW!B14</f>
        <v/>
      </c>
      <c r="C14" s="5">
        <f>1_PRE_RAW!C14</f>
        <v/>
      </c>
      <c r="D14" s="5">
        <f>1_PRE_RAW!D14</f>
        <v/>
      </c>
      <c r="E14" s="5">
        <f>1_PRE_RAW!E14</f>
        <v/>
      </c>
      <c r="F14" s="5">
        <f>1_PRE_RAW!F14</f>
        <v/>
      </c>
      <c r="G14" s="5">
        <f>1_PRE_RAW!G14</f>
        <v/>
      </c>
      <c r="H14" s="5">
        <f>1_PRE_RAW!H14</f>
        <v/>
      </c>
      <c r="I14" s="5">
        <f>1_PRE_RAW!I14</f>
        <v/>
      </c>
      <c r="J14" s="5">
        <f>1_PRE_RAW!J14</f>
        <v/>
      </c>
      <c r="K14" s="5">
        <f>1_PRE_RAW!K14</f>
        <v/>
      </c>
      <c r="L14" s="5">
        <f>1_PRE_RAW!L14</f>
        <v/>
      </c>
      <c r="M14" s="5">
        <f>1_PRE_RAW!M14</f>
        <v/>
      </c>
      <c r="N14" s="5">
        <f>1_PRE_RAW!N14</f>
        <v/>
      </c>
      <c r="O14" s="5">
        <f>1_PRE_RAW!O14</f>
        <v/>
      </c>
      <c r="P14" s="5">
        <f>1_PRE_RAW!P14</f>
        <v/>
      </c>
      <c r="Q14" s="5">
        <f>1_PRE_RAW!Q14</f>
        <v/>
      </c>
      <c r="R14" s="5">
        <f>1_PRE_RAW!R14</f>
        <v/>
      </c>
      <c r="S14" s="5">
        <f>1_PRE_RAW!S14</f>
        <v/>
      </c>
      <c r="T14" s="5">
        <f>1_PRE_RAW!T14</f>
        <v/>
      </c>
      <c r="U14" s="5">
        <f>1_PRE_RAW!U14</f>
        <v/>
      </c>
      <c r="V14" s="5">
        <f>1_PRE_RAW!V14</f>
        <v/>
      </c>
      <c r="W14" s="5">
        <f>1_PRE_RAW!W14</f>
        <v/>
      </c>
      <c r="X14" s="5">
        <f>1_PRE_RAW!X14</f>
        <v/>
      </c>
      <c r="Y14" s="5">
        <f>1_PRE_RAW!Y14</f>
        <v/>
      </c>
      <c r="Z14" s="5">
        <f>1_PRE_RAW!Z14</f>
        <v/>
      </c>
      <c r="AA14" s="5">
        <f>1_PRE_RAW!AA14</f>
        <v/>
      </c>
      <c r="AB14" s="5">
        <f>1_PRE_RAW!AB14</f>
        <v/>
      </c>
      <c r="AC14" s="5">
        <f>1_PRE_RAW!AC14</f>
        <v/>
      </c>
      <c r="AD14" s="5">
        <f>2.5*((H14-1)+(5-I14)+(J14-1)+(5-K14)+(L14-1)+(5-M14)+(N14-1)+(5-O14)+(P14-1)+(5-Q14))</f>
        <v/>
      </c>
      <c r="AE14" s="5">
        <f>SUM(R14:Y14)</f>
        <v/>
      </c>
      <c r="AF14" s="5">
        <f>AVERAGE(Z14,AB14)</f>
        <v/>
      </c>
      <c r="AG14" s="5">
        <f>AA14+AC14</f>
        <v/>
      </c>
    </row>
    <row r="15">
      <c r="A15" s="5">
        <f>1_PRE_RAW!A15</f>
        <v/>
      </c>
      <c r="B15" s="5">
        <f>1_PRE_RAW!B15</f>
        <v/>
      </c>
      <c r="C15" s="5">
        <f>1_PRE_RAW!C15</f>
        <v/>
      </c>
      <c r="D15" s="5">
        <f>1_PRE_RAW!D15</f>
        <v/>
      </c>
      <c r="E15" s="5">
        <f>1_PRE_RAW!E15</f>
        <v/>
      </c>
      <c r="F15" s="5">
        <f>1_PRE_RAW!F15</f>
        <v/>
      </c>
      <c r="G15" s="5">
        <f>1_PRE_RAW!G15</f>
        <v/>
      </c>
      <c r="H15" s="5">
        <f>1_PRE_RAW!H15</f>
        <v/>
      </c>
      <c r="I15" s="5">
        <f>1_PRE_RAW!I15</f>
        <v/>
      </c>
      <c r="J15" s="5">
        <f>1_PRE_RAW!J15</f>
        <v/>
      </c>
      <c r="K15" s="5">
        <f>1_PRE_RAW!K15</f>
        <v/>
      </c>
      <c r="L15" s="5">
        <f>1_PRE_RAW!L15</f>
        <v/>
      </c>
      <c r="M15" s="5">
        <f>1_PRE_RAW!M15</f>
        <v/>
      </c>
      <c r="N15" s="5">
        <f>1_PRE_RAW!N15</f>
        <v/>
      </c>
      <c r="O15" s="5">
        <f>1_PRE_RAW!O15</f>
        <v/>
      </c>
      <c r="P15" s="5">
        <f>1_PRE_RAW!P15</f>
        <v/>
      </c>
      <c r="Q15" s="5">
        <f>1_PRE_RAW!Q15</f>
        <v/>
      </c>
      <c r="R15" s="5">
        <f>1_PRE_RAW!R15</f>
        <v/>
      </c>
      <c r="S15" s="5">
        <f>1_PRE_RAW!S15</f>
        <v/>
      </c>
      <c r="T15" s="5">
        <f>1_PRE_RAW!T15</f>
        <v/>
      </c>
      <c r="U15" s="5">
        <f>1_PRE_RAW!U15</f>
        <v/>
      </c>
      <c r="V15" s="5">
        <f>1_PRE_RAW!V15</f>
        <v/>
      </c>
      <c r="W15" s="5">
        <f>1_PRE_RAW!W15</f>
        <v/>
      </c>
      <c r="X15" s="5">
        <f>1_PRE_RAW!X15</f>
        <v/>
      </c>
      <c r="Y15" s="5">
        <f>1_PRE_RAW!Y15</f>
        <v/>
      </c>
      <c r="Z15" s="5">
        <f>1_PRE_RAW!Z15</f>
        <v/>
      </c>
      <c r="AA15" s="5">
        <f>1_PRE_RAW!AA15</f>
        <v/>
      </c>
      <c r="AB15" s="5">
        <f>1_PRE_RAW!AB15</f>
        <v/>
      </c>
      <c r="AC15" s="5">
        <f>1_PRE_RAW!AC15</f>
        <v/>
      </c>
      <c r="AD15" s="5">
        <f>2.5*((H15-1)+(5-I15)+(J15-1)+(5-K15)+(L15-1)+(5-M15)+(N15-1)+(5-O15)+(P15-1)+(5-Q15))</f>
        <v/>
      </c>
      <c r="AE15" s="5">
        <f>SUM(R15:Y15)</f>
        <v/>
      </c>
      <c r="AF15" s="5">
        <f>AVERAGE(Z15,AB15)</f>
        <v/>
      </c>
      <c r="AG15" s="5">
        <f>AA15+AC15</f>
        <v/>
      </c>
    </row>
    <row r="16">
      <c r="A16" s="5">
        <f>1_PRE_RAW!A16</f>
        <v/>
      </c>
      <c r="B16" s="5">
        <f>1_PRE_RAW!B16</f>
        <v/>
      </c>
      <c r="C16" s="5">
        <f>1_PRE_RAW!C16</f>
        <v/>
      </c>
      <c r="D16" s="5">
        <f>1_PRE_RAW!D16</f>
        <v/>
      </c>
      <c r="E16" s="5">
        <f>1_PRE_RAW!E16</f>
        <v/>
      </c>
      <c r="F16" s="5">
        <f>1_PRE_RAW!F16</f>
        <v/>
      </c>
      <c r="G16" s="5">
        <f>1_PRE_RAW!G16</f>
        <v/>
      </c>
      <c r="H16" s="5">
        <f>1_PRE_RAW!H16</f>
        <v/>
      </c>
      <c r="I16" s="5">
        <f>1_PRE_RAW!I16</f>
        <v/>
      </c>
      <c r="J16" s="5">
        <f>1_PRE_RAW!J16</f>
        <v/>
      </c>
      <c r="K16" s="5">
        <f>1_PRE_RAW!K16</f>
        <v/>
      </c>
      <c r="L16" s="5">
        <f>1_PRE_RAW!L16</f>
        <v/>
      </c>
      <c r="M16" s="5">
        <f>1_PRE_RAW!M16</f>
        <v/>
      </c>
      <c r="N16" s="5">
        <f>1_PRE_RAW!N16</f>
        <v/>
      </c>
      <c r="O16" s="5">
        <f>1_PRE_RAW!O16</f>
        <v/>
      </c>
      <c r="P16" s="5">
        <f>1_PRE_RAW!P16</f>
        <v/>
      </c>
      <c r="Q16" s="5">
        <f>1_PRE_RAW!Q16</f>
        <v/>
      </c>
      <c r="R16" s="5">
        <f>1_PRE_RAW!R16</f>
        <v/>
      </c>
      <c r="S16" s="5">
        <f>1_PRE_RAW!S16</f>
        <v/>
      </c>
      <c r="T16" s="5">
        <f>1_PRE_RAW!T16</f>
        <v/>
      </c>
      <c r="U16" s="5">
        <f>1_PRE_RAW!U16</f>
        <v/>
      </c>
      <c r="V16" s="5">
        <f>1_PRE_RAW!V16</f>
        <v/>
      </c>
      <c r="W16" s="5">
        <f>1_PRE_RAW!W16</f>
        <v/>
      </c>
      <c r="X16" s="5">
        <f>1_PRE_RAW!X16</f>
        <v/>
      </c>
      <c r="Y16" s="5">
        <f>1_PRE_RAW!Y16</f>
        <v/>
      </c>
      <c r="Z16" s="5">
        <f>1_PRE_RAW!Z16</f>
        <v/>
      </c>
      <c r="AA16" s="5">
        <f>1_PRE_RAW!AA16</f>
        <v/>
      </c>
      <c r="AB16" s="5">
        <f>1_PRE_RAW!AB16</f>
        <v/>
      </c>
      <c r="AC16" s="5">
        <f>1_PRE_RAW!AC16</f>
        <v/>
      </c>
      <c r="AD16" s="5">
        <f>2.5*((H16-1)+(5-I16)+(J16-1)+(5-K16)+(L16-1)+(5-M16)+(N16-1)+(5-O16)+(P16-1)+(5-Q16))</f>
        <v/>
      </c>
      <c r="AE16" s="5">
        <f>SUM(R16:Y16)</f>
        <v/>
      </c>
      <c r="AF16" s="5">
        <f>AVERAGE(Z16,AB16)</f>
        <v/>
      </c>
      <c r="AG16" s="5">
        <f>AA16+AC16</f>
        <v/>
      </c>
    </row>
    <row r="17">
      <c r="A17" s="5">
        <f>1_PRE_RAW!A17</f>
        <v/>
      </c>
      <c r="B17" s="5">
        <f>1_PRE_RAW!B17</f>
        <v/>
      </c>
      <c r="C17" s="5">
        <f>1_PRE_RAW!C17</f>
        <v/>
      </c>
      <c r="D17" s="5">
        <f>1_PRE_RAW!D17</f>
        <v/>
      </c>
      <c r="E17" s="5">
        <f>1_PRE_RAW!E17</f>
        <v/>
      </c>
      <c r="F17" s="5">
        <f>1_PRE_RAW!F17</f>
        <v/>
      </c>
      <c r="G17" s="5">
        <f>1_PRE_RAW!G17</f>
        <v/>
      </c>
      <c r="H17" s="5">
        <f>1_PRE_RAW!H17</f>
        <v/>
      </c>
      <c r="I17" s="5">
        <f>1_PRE_RAW!I17</f>
        <v/>
      </c>
      <c r="J17" s="5">
        <f>1_PRE_RAW!J17</f>
        <v/>
      </c>
      <c r="K17" s="5">
        <f>1_PRE_RAW!K17</f>
        <v/>
      </c>
      <c r="L17" s="5">
        <f>1_PRE_RAW!L17</f>
        <v/>
      </c>
      <c r="M17" s="5">
        <f>1_PRE_RAW!M17</f>
        <v/>
      </c>
      <c r="N17" s="5">
        <f>1_PRE_RAW!N17</f>
        <v/>
      </c>
      <c r="O17" s="5">
        <f>1_PRE_RAW!O17</f>
        <v/>
      </c>
      <c r="P17" s="5">
        <f>1_PRE_RAW!P17</f>
        <v/>
      </c>
      <c r="Q17" s="5">
        <f>1_PRE_RAW!Q17</f>
        <v/>
      </c>
      <c r="R17" s="5">
        <f>1_PRE_RAW!R17</f>
        <v/>
      </c>
      <c r="S17" s="5">
        <f>1_PRE_RAW!S17</f>
        <v/>
      </c>
      <c r="T17" s="5">
        <f>1_PRE_RAW!T17</f>
        <v/>
      </c>
      <c r="U17" s="5">
        <f>1_PRE_RAW!U17</f>
        <v/>
      </c>
      <c r="V17" s="5">
        <f>1_PRE_RAW!V17</f>
        <v/>
      </c>
      <c r="W17" s="5">
        <f>1_PRE_RAW!W17</f>
        <v/>
      </c>
      <c r="X17" s="5">
        <f>1_PRE_RAW!X17</f>
        <v/>
      </c>
      <c r="Y17" s="5">
        <f>1_PRE_RAW!Y17</f>
        <v/>
      </c>
      <c r="Z17" s="5">
        <f>1_PRE_RAW!Z17</f>
        <v/>
      </c>
      <c r="AA17" s="5">
        <f>1_PRE_RAW!AA17</f>
        <v/>
      </c>
      <c r="AB17" s="5">
        <f>1_PRE_RAW!AB17</f>
        <v/>
      </c>
      <c r="AC17" s="5">
        <f>1_PRE_RAW!AC17</f>
        <v/>
      </c>
      <c r="AD17" s="5">
        <f>2.5*((H17-1)+(5-I17)+(J17-1)+(5-K17)+(L17-1)+(5-M17)+(N17-1)+(5-O17)+(P17-1)+(5-Q17))</f>
        <v/>
      </c>
      <c r="AE17" s="5">
        <f>SUM(R17:Y17)</f>
        <v/>
      </c>
      <c r="AF17" s="5">
        <f>AVERAGE(Z17,AB17)</f>
        <v/>
      </c>
      <c r="AG17" s="5">
        <f>AA17+AC17</f>
        <v/>
      </c>
    </row>
    <row r="18">
      <c r="A18" s="5">
        <f>1_PRE_RAW!A18</f>
        <v/>
      </c>
      <c r="B18" s="5">
        <f>1_PRE_RAW!B18</f>
        <v/>
      </c>
      <c r="C18" s="5">
        <f>1_PRE_RAW!C18</f>
        <v/>
      </c>
      <c r="D18" s="5">
        <f>1_PRE_RAW!D18</f>
        <v/>
      </c>
      <c r="E18" s="5">
        <f>1_PRE_RAW!E18</f>
        <v/>
      </c>
      <c r="F18" s="5">
        <f>1_PRE_RAW!F18</f>
        <v/>
      </c>
      <c r="G18" s="5">
        <f>1_PRE_RAW!G18</f>
        <v/>
      </c>
      <c r="H18" s="5">
        <f>1_PRE_RAW!H18</f>
        <v/>
      </c>
      <c r="I18" s="5">
        <f>1_PRE_RAW!I18</f>
        <v/>
      </c>
      <c r="J18" s="5">
        <f>1_PRE_RAW!J18</f>
        <v/>
      </c>
      <c r="K18" s="5">
        <f>1_PRE_RAW!K18</f>
        <v/>
      </c>
      <c r="L18" s="5">
        <f>1_PRE_RAW!L18</f>
        <v/>
      </c>
      <c r="M18" s="5">
        <f>1_PRE_RAW!M18</f>
        <v/>
      </c>
      <c r="N18" s="5">
        <f>1_PRE_RAW!N18</f>
        <v/>
      </c>
      <c r="O18" s="5">
        <f>1_PRE_RAW!O18</f>
        <v/>
      </c>
      <c r="P18" s="5">
        <f>1_PRE_RAW!P18</f>
        <v/>
      </c>
      <c r="Q18" s="5">
        <f>1_PRE_RAW!Q18</f>
        <v/>
      </c>
      <c r="R18" s="5">
        <f>1_PRE_RAW!R18</f>
        <v/>
      </c>
      <c r="S18" s="5">
        <f>1_PRE_RAW!S18</f>
        <v/>
      </c>
      <c r="T18" s="5">
        <f>1_PRE_RAW!T18</f>
        <v/>
      </c>
      <c r="U18" s="5">
        <f>1_PRE_RAW!U18</f>
        <v/>
      </c>
      <c r="V18" s="5">
        <f>1_PRE_RAW!V18</f>
        <v/>
      </c>
      <c r="W18" s="5">
        <f>1_PRE_RAW!W18</f>
        <v/>
      </c>
      <c r="X18" s="5">
        <f>1_PRE_RAW!X18</f>
        <v/>
      </c>
      <c r="Y18" s="5">
        <f>1_PRE_RAW!Y18</f>
        <v/>
      </c>
      <c r="Z18" s="5">
        <f>1_PRE_RAW!Z18</f>
        <v/>
      </c>
      <c r="AA18" s="5">
        <f>1_PRE_RAW!AA18</f>
        <v/>
      </c>
      <c r="AB18" s="5">
        <f>1_PRE_RAW!AB18</f>
        <v/>
      </c>
      <c r="AC18" s="5">
        <f>1_PRE_RAW!AC18</f>
        <v/>
      </c>
      <c r="AD18" s="5">
        <f>2.5*((H18-1)+(5-I18)+(J18-1)+(5-K18)+(L18-1)+(5-M18)+(N18-1)+(5-O18)+(P18-1)+(5-Q18))</f>
        <v/>
      </c>
      <c r="AE18" s="5">
        <f>SUM(R18:Y18)</f>
        <v/>
      </c>
      <c r="AF18" s="5">
        <f>AVERAGE(Z18,AB18)</f>
        <v/>
      </c>
      <c r="AG18" s="5">
        <f>AA18+AC18</f>
        <v/>
      </c>
    </row>
    <row r="19">
      <c r="A19" s="5">
        <f>1_PRE_RAW!A19</f>
        <v/>
      </c>
      <c r="B19" s="5">
        <f>1_PRE_RAW!B19</f>
        <v/>
      </c>
      <c r="C19" s="5">
        <f>1_PRE_RAW!C19</f>
        <v/>
      </c>
      <c r="D19" s="5">
        <f>1_PRE_RAW!D19</f>
        <v/>
      </c>
      <c r="E19" s="5">
        <f>1_PRE_RAW!E19</f>
        <v/>
      </c>
      <c r="F19" s="5">
        <f>1_PRE_RAW!F19</f>
        <v/>
      </c>
      <c r="G19" s="5">
        <f>1_PRE_RAW!G19</f>
        <v/>
      </c>
      <c r="H19" s="5">
        <f>1_PRE_RAW!H19</f>
        <v/>
      </c>
      <c r="I19" s="5">
        <f>1_PRE_RAW!I19</f>
        <v/>
      </c>
      <c r="J19" s="5">
        <f>1_PRE_RAW!J19</f>
        <v/>
      </c>
      <c r="K19" s="5">
        <f>1_PRE_RAW!K19</f>
        <v/>
      </c>
      <c r="L19" s="5">
        <f>1_PRE_RAW!L19</f>
        <v/>
      </c>
      <c r="M19" s="5">
        <f>1_PRE_RAW!M19</f>
        <v/>
      </c>
      <c r="N19" s="5">
        <f>1_PRE_RAW!N19</f>
        <v/>
      </c>
      <c r="O19" s="5">
        <f>1_PRE_RAW!O19</f>
        <v/>
      </c>
      <c r="P19" s="5">
        <f>1_PRE_RAW!P19</f>
        <v/>
      </c>
      <c r="Q19" s="5">
        <f>1_PRE_RAW!Q19</f>
        <v/>
      </c>
      <c r="R19" s="5">
        <f>1_PRE_RAW!R19</f>
        <v/>
      </c>
      <c r="S19" s="5">
        <f>1_PRE_RAW!S19</f>
        <v/>
      </c>
      <c r="T19" s="5">
        <f>1_PRE_RAW!T19</f>
        <v/>
      </c>
      <c r="U19" s="5">
        <f>1_PRE_RAW!U19</f>
        <v/>
      </c>
      <c r="V19" s="5">
        <f>1_PRE_RAW!V19</f>
        <v/>
      </c>
      <c r="W19" s="5">
        <f>1_PRE_RAW!W19</f>
        <v/>
      </c>
      <c r="X19" s="5">
        <f>1_PRE_RAW!X19</f>
        <v/>
      </c>
      <c r="Y19" s="5">
        <f>1_PRE_RAW!Y19</f>
        <v/>
      </c>
      <c r="Z19" s="5">
        <f>1_PRE_RAW!Z19</f>
        <v/>
      </c>
      <c r="AA19" s="5">
        <f>1_PRE_RAW!AA19</f>
        <v/>
      </c>
      <c r="AB19" s="5">
        <f>1_PRE_RAW!AB19</f>
        <v/>
      </c>
      <c r="AC19" s="5">
        <f>1_PRE_RAW!AC19</f>
        <v/>
      </c>
      <c r="AD19" s="5">
        <f>2.5*((H19-1)+(5-I19)+(J19-1)+(5-K19)+(L19-1)+(5-M19)+(N19-1)+(5-O19)+(P19-1)+(5-Q19))</f>
        <v/>
      </c>
      <c r="AE19" s="5">
        <f>SUM(R19:Y19)</f>
        <v/>
      </c>
      <c r="AF19" s="5">
        <f>AVERAGE(Z19,AB19)</f>
        <v/>
      </c>
      <c r="AG19" s="5">
        <f>AA19+AC19</f>
        <v/>
      </c>
    </row>
    <row r="20">
      <c r="A20" s="5">
        <f>1_PRE_RAW!A20</f>
        <v/>
      </c>
      <c r="B20" s="5">
        <f>1_PRE_RAW!B20</f>
        <v/>
      </c>
      <c r="C20" s="5">
        <f>1_PRE_RAW!C20</f>
        <v/>
      </c>
      <c r="D20" s="5">
        <f>1_PRE_RAW!D20</f>
        <v/>
      </c>
      <c r="E20" s="5">
        <f>1_PRE_RAW!E20</f>
        <v/>
      </c>
      <c r="F20" s="5">
        <f>1_PRE_RAW!F20</f>
        <v/>
      </c>
      <c r="G20" s="5">
        <f>1_PRE_RAW!G20</f>
        <v/>
      </c>
      <c r="H20" s="5">
        <f>1_PRE_RAW!H20</f>
        <v/>
      </c>
      <c r="I20" s="5">
        <f>1_PRE_RAW!I20</f>
        <v/>
      </c>
      <c r="J20" s="5">
        <f>1_PRE_RAW!J20</f>
        <v/>
      </c>
      <c r="K20" s="5">
        <f>1_PRE_RAW!K20</f>
        <v/>
      </c>
      <c r="L20" s="5">
        <f>1_PRE_RAW!L20</f>
        <v/>
      </c>
      <c r="M20" s="5">
        <f>1_PRE_RAW!M20</f>
        <v/>
      </c>
      <c r="N20" s="5">
        <f>1_PRE_RAW!N20</f>
        <v/>
      </c>
      <c r="O20" s="5">
        <f>1_PRE_RAW!O20</f>
        <v/>
      </c>
      <c r="P20" s="5">
        <f>1_PRE_RAW!P20</f>
        <v/>
      </c>
      <c r="Q20" s="5">
        <f>1_PRE_RAW!Q20</f>
        <v/>
      </c>
      <c r="R20" s="5">
        <f>1_PRE_RAW!R20</f>
        <v/>
      </c>
      <c r="S20" s="5">
        <f>1_PRE_RAW!S20</f>
        <v/>
      </c>
      <c r="T20" s="5">
        <f>1_PRE_RAW!T20</f>
        <v/>
      </c>
      <c r="U20" s="5">
        <f>1_PRE_RAW!U20</f>
        <v/>
      </c>
      <c r="V20" s="5">
        <f>1_PRE_RAW!V20</f>
        <v/>
      </c>
      <c r="W20" s="5">
        <f>1_PRE_RAW!W20</f>
        <v/>
      </c>
      <c r="X20" s="5">
        <f>1_PRE_RAW!X20</f>
        <v/>
      </c>
      <c r="Y20" s="5">
        <f>1_PRE_RAW!Y20</f>
        <v/>
      </c>
      <c r="Z20" s="5">
        <f>1_PRE_RAW!Z20</f>
        <v/>
      </c>
      <c r="AA20" s="5">
        <f>1_PRE_RAW!AA20</f>
        <v/>
      </c>
      <c r="AB20" s="5">
        <f>1_PRE_RAW!AB20</f>
        <v/>
      </c>
      <c r="AC20" s="5">
        <f>1_PRE_RAW!AC20</f>
        <v/>
      </c>
      <c r="AD20" s="5">
        <f>2.5*((H20-1)+(5-I20)+(J20-1)+(5-K20)+(L20-1)+(5-M20)+(N20-1)+(5-O20)+(P20-1)+(5-Q20))</f>
        <v/>
      </c>
      <c r="AE20" s="5">
        <f>SUM(R20:Y20)</f>
        <v/>
      </c>
      <c r="AF20" s="5">
        <f>AVERAGE(Z20,AB20)</f>
        <v/>
      </c>
      <c r="AG20" s="5">
        <f>AA20+AC20</f>
        <v/>
      </c>
    </row>
    <row r="21">
      <c r="A21" s="5">
        <f>1_PRE_RAW!A21</f>
        <v/>
      </c>
      <c r="B21" s="5">
        <f>1_PRE_RAW!B21</f>
        <v/>
      </c>
      <c r="C21" s="5">
        <f>1_PRE_RAW!C21</f>
        <v/>
      </c>
      <c r="D21" s="5">
        <f>1_PRE_RAW!D21</f>
        <v/>
      </c>
      <c r="E21" s="5">
        <f>1_PRE_RAW!E21</f>
        <v/>
      </c>
      <c r="F21" s="5">
        <f>1_PRE_RAW!F21</f>
        <v/>
      </c>
      <c r="G21" s="5">
        <f>1_PRE_RAW!G21</f>
        <v/>
      </c>
      <c r="H21" s="5">
        <f>1_PRE_RAW!H21</f>
        <v/>
      </c>
      <c r="I21" s="5">
        <f>1_PRE_RAW!I21</f>
        <v/>
      </c>
      <c r="J21" s="5">
        <f>1_PRE_RAW!J21</f>
        <v/>
      </c>
      <c r="K21" s="5">
        <f>1_PRE_RAW!K21</f>
        <v/>
      </c>
      <c r="L21" s="5">
        <f>1_PRE_RAW!L21</f>
        <v/>
      </c>
      <c r="M21" s="5">
        <f>1_PRE_RAW!M21</f>
        <v/>
      </c>
      <c r="N21" s="5">
        <f>1_PRE_RAW!N21</f>
        <v/>
      </c>
      <c r="O21" s="5">
        <f>1_PRE_RAW!O21</f>
        <v/>
      </c>
      <c r="P21" s="5">
        <f>1_PRE_RAW!P21</f>
        <v/>
      </c>
      <c r="Q21" s="5">
        <f>1_PRE_RAW!Q21</f>
        <v/>
      </c>
      <c r="R21" s="5">
        <f>1_PRE_RAW!R21</f>
        <v/>
      </c>
      <c r="S21" s="5">
        <f>1_PRE_RAW!S21</f>
        <v/>
      </c>
      <c r="T21" s="5">
        <f>1_PRE_RAW!T21</f>
        <v/>
      </c>
      <c r="U21" s="5">
        <f>1_PRE_RAW!U21</f>
        <v/>
      </c>
      <c r="V21" s="5">
        <f>1_PRE_RAW!V21</f>
        <v/>
      </c>
      <c r="W21" s="5">
        <f>1_PRE_RAW!W21</f>
        <v/>
      </c>
      <c r="X21" s="5">
        <f>1_PRE_RAW!X21</f>
        <v/>
      </c>
      <c r="Y21" s="5">
        <f>1_PRE_RAW!Y21</f>
        <v/>
      </c>
      <c r="Z21" s="5">
        <f>1_PRE_RAW!Z21</f>
        <v/>
      </c>
      <c r="AA21" s="5">
        <f>1_PRE_RAW!AA21</f>
        <v/>
      </c>
      <c r="AB21" s="5">
        <f>1_PRE_RAW!AB21</f>
        <v/>
      </c>
      <c r="AC21" s="5">
        <f>1_PRE_RAW!AC21</f>
        <v/>
      </c>
      <c r="AD21" s="5">
        <f>2.5*((H21-1)+(5-I21)+(J21-1)+(5-K21)+(L21-1)+(5-M21)+(N21-1)+(5-O21)+(P21-1)+(5-Q21))</f>
        <v/>
      </c>
      <c r="AE21" s="5">
        <f>SUM(R21:Y21)</f>
        <v/>
      </c>
      <c r="AF21" s="5">
        <f>AVERAGE(Z21,AB21)</f>
        <v/>
      </c>
      <c r="AG21" s="5">
        <f>AA21+AC21</f>
        <v/>
      </c>
    </row>
    <row r="22">
      <c r="A22" s="5">
        <f>1_PRE_RAW!A22</f>
        <v/>
      </c>
      <c r="B22" s="5">
        <f>1_PRE_RAW!B22</f>
        <v/>
      </c>
      <c r="C22" s="5">
        <f>1_PRE_RAW!C22</f>
        <v/>
      </c>
      <c r="D22" s="5">
        <f>1_PRE_RAW!D22</f>
        <v/>
      </c>
      <c r="E22" s="5">
        <f>1_PRE_RAW!E22</f>
        <v/>
      </c>
      <c r="F22" s="5">
        <f>1_PRE_RAW!F22</f>
        <v/>
      </c>
      <c r="G22" s="5">
        <f>1_PRE_RAW!G22</f>
        <v/>
      </c>
      <c r="H22" s="5">
        <f>1_PRE_RAW!H22</f>
        <v/>
      </c>
      <c r="I22" s="5">
        <f>1_PRE_RAW!I22</f>
        <v/>
      </c>
      <c r="J22" s="5">
        <f>1_PRE_RAW!J22</f>
        <v/>
      </c>
      <c r="K22" s="5">
        <f>1_PRE_RAW!K22</f>
        <v/>
      </c>
      <c r="L22" s="5">
        <f>1_PRE_RAW!L22</f>
        <v/>
      </c>
      <c r="M22" s="5">
        <f>1_PRE_RAW!M22</f>
        <v/>
      </c>
      <c r="N22" s="5">
        <f>1_PRE_RAW!N22</f>
        <v/>
      </c>
      <c r="O22" s="5">
        <f>1_PRE_RAW!O22</f>
        <v/>
      </c>
      <c r="P22" s="5">
        <f>1_PRE_RAW!P22</f>
        <v/>
      </c>
      <c r="Q22" s="5">
        <f>1_PRE_RAW!Q22</f>
        <v/>
      </c>
      <c r="R22" s="5">
        <f>1_PRE_RAW!R22</f>
        <v/>
      </c>
      <c r="S22" s="5">
        <f>1_PRE_RAW!S22</f>
        <v/>
      </c>
      <c r="T22" s="5">
        <f>1_PRE_RAW!T22</f>
        <v/>
      </c>
      <c r="U22" s="5">
        <f>1_PRE_RAW!U22</f>
        <v/>
      </c>
      <c r="V22" s="5">
        <f>1_PRE_RAW!V22</f>
        <v/>
      </c>
      <c r="W22" s="5">
        <f>1_PRE_RAW!W22</f>
        <v/>
      </c>
      <c r="X22" s="5">
        <f>1_PRE_RAW!X22</f>
        <v/>
      </c>
      <c r="Y22" s="5">
        <f>1_PRE_RAW!Y22</f>
        <v/>
      </c>
      <c r="Z22" s="5">
        <f>1_PRE_RAW!Z22</f>
        <v/>
      </c>
      <c r="AA22" s="5">
        <f>1_PRE_RAW!AA22</f>
        <v/>
      </c>
      <c r="AB22" s="5">
        <f>1_PRE_RAW!AB22</f>
        <v/>
      </c>
      <c r="AC22" s="5">
        <f>1_PRE_RAW!AC22</f>
        <v/>
      </c>
      <c r="AD22" s="5">
        <f>2.5*((H22-1)+(5-I22)+(J22-1)+(5-K22)+(L22-1)+(5-M22)+(N22-1)+(5-O22)+(P22-1)+(5-Q22))</f>
        <v/>
      </c>
      <c r="AE22" s="5">
        <f>SUM(R22:Y22)</f>
        <v/>
      </c>
      <c r="AF22" s="5">
        <f>AVERAGE(Z22,AB22)</f>
        <v/>
      </c>
      <c r="AG22" s="5">
        <f>AA22+AC22</f>
        <v/>
      </c>
    </row>
    <row r="23">
      <c r="A23" s="5">
        <f>1_PRE_RAW!A23</f>
        <v/>
      </c>
      <c r="B23" s="5">
        <f>1_PRE_RAW!B23</f>
        <v/>
      </c>
      <c r="C23" s="5">
        <f>1_PRE_RAW!C23</f>
        <v/>
      </c>
      <c r="D23" s="5">
        <f>1_PRE_RAW!D23</f>
        <v/>
      </c>
      <c r="E23" s="5">
        <f>1_PRE_RAW!E23</f>
        <v/>
      </c>
      <c r="F23" s="5">
        <f>1_PRE_RAW!F23</f>
        <v/>
      </c>
      <c r="G23" s="5">
        <f>1_PRE_RAW!G23</f>
        <v/>
      </c>
      <c r="H23" s="5">
        <f>1_PRE_RAW!H23</f>
        <v/>
      </c>
      <c r="I23" s="5">
        <f>1_PRE_RAW!I23</f>
        <v/>
      </c>
      <c r="J23" s="5">
        <f>1_PRE_RAW!J23</f>
        <v/>
      </c>
      <c r="K23" s="5">
        <f>1_PRE_RAW!K23</f>
        <v/>
      </c>
      <c r="L23" s="5">
        <f>1_PRE_RAW!L23</f>
        <v/>
      </c>
      <c r="M23" s="5">
        <f>1_PRE_RAW!M23</f>
        <v/>
      </c>
      <c r="N23" s="5">
        <f>1_PRE_RAW!N23</f>
        <v/>
      </c>
      <c r="O23" s="5">
        <f>1_PRE_RAW!O23</f>
        <v/>
      </c>
      <c r="P23" s="5">
        <f>1_PRE_RAW!P23</f>
        <v/>
      </c>
      <c r="Q23" s="5">
        <f>1_PRE_RAW!Q23</f>
        <v/>
      </c>
      <c r="R23" s="5">
        <f>1_PRE_RAW!R23</f>
        <v/>
      </c>
      <c r="S23" s="5">
        <f>1_PRE_RAW!S23</f>
        <v/>
      </c>
      <c r="T23" s="5">
        <f>1_PRE_RAW!T23</f>
        <v/>
      </c>
      <c r="U23" s="5">
        <f>1_PRE_RAW!U23</f>
        <v/>
      </c>
      <c r="V23" s="5">
        <f>1_PRE_RAW!V23</f>
        <v/>
      </c>
      <c r="W23" s="5">
        <f>1_PRE_RAW!W23</f>
        <v/>
      </c>
      <c r="X23" s="5">
        <f>1_PRE_RAW!X23</f>
        <v/>
      </c>
      <c r="Y23" s="5">
        <f>1_PRE_RAW!Y23</f>
        <v/>
      </c>
      <c r="Z23" s="5">
        <f>1_PRE_RAW!Z23</f>
        <v/>
      </c>
      <c r="AA23" s="5">
        <f>1_PRE_RAW!AA23</f>
        <v/>
      </c>
      <c r="AB23" s="5">
        <f>1_PRE_RAW!AB23</f>
        <v/>
      </c>
      <c r="AC23" s="5">
        <f>1_PRE_RAW!AC23</f>
        <v/>
      </c>
      <c r="AD23" s="5">
        <f>2.5*((H23-1)+(5-I23)+(J23-1)+(5-K23)+(L23-1)+(5-M23)+(N23-1)+(5-O23)+(P23-1)+(5-Q23))</f>
        <v/>
      </c>
      <c r="AE23" s="5">
        <f>SUM(R23:Y23)</f>
        <v/>
      </c>
      <c r="AF23" s="5">
        <f>AVERAGE(Z23,AB23)</f>
        <v/>
      </c>
      <c r="AG23" s="5">
        <f>AA23+AC23</f>
        <v/>
      </c>
    </row>
    <row r="24">
      <c r="A24" s="5">
        <f>1_PRE_RAW!A24</f>
        <v/>
      </c>
      <c r="B24" s="5">
        <f>1_PRE_RAW!B24</f>
        <v/>
      </c>
      <c r="C24" s="5">
        <f>1_PRE_RAW!C24</f>
        <v/>
      </c>
      <c r="D24" s="5">
        <f>1_PRE_RAW!D24</f>
        <v/>
      </c>
      <c r="E24" s="5">
        <f>1_PRE_RAW!E24</f>
        <v/>
      </c>
      <c r="F24" s="5">
        <f>1_PRE_RAW!F24</f>
        <v/>
      </c>
      <c r="G24" s="5">
        <f>1_PRE_RAW!G24</f>
        <v/>
      </c>
      <c r="H24" s="5">
        <f>1_PRE_RAW!H24</f>
        <v/>
      </c>
      <c r="I24" s="5">
        <f>1_PRE_RAW!I24</f>
        <v/>
      </c>
      <c r="J24" s="5">
        <f>1_PRE_RAW!J24</f>
        <v/>
      </c>
      <c r="K24" s="5">
        <f>1_PRE_RAW!K24</f>
        <v/>
      </c>
      <c r="L24" s="5">
        <f>1_PRE_RAW!L24</f>
        <v/>
      </c>
      <c r="M24" s="5">
        <f>1_PRE_RAW!M24</f>
        <v/>
      </c>
      <c r="N24" s="5">
        <f>1_PRE_RAW!N24</f>
        <v/>
      </c>
      <c r="O24" s="5">
        <f>1_PRE_RAW!O24</f>
        <v/>
      </c>
      <c r="P24" s="5">
        <f>1_PRE_RAW!P24</f>
        <v/>
      </c>
      <c r="Q24" s="5">
        <f>1_PRE_RAW!Q24</f>
        <v/>
      </c>
      <c r="R24" s="5">
        <f>1_PRE_RAW!R24</f>
        <v/>
      </c>
      <c r="S24" s="5">
        <f>1_PRE_RAW!S24</f>
        <v/>
      </c>
      <c r="T24" s="5">
        <f>1_PRE_RAW!T24</f>
        <v/>
      </c>
      <c r="U24" s="5">
        <f>1_PRE_RAW!U24</f>
        <v/>
      </c>
      <c r="V24" s="5">
        <f>1_PRE_RAW!V24</f>
        <v/>
      </c>
      <c r="W24" s="5">
        <f>1_PRE_RAW!W24</f>
        <v/>
      </c>
      <c r="X24" s="5">
        <f>1_PRE_RAW!X24</f>
        <v/>
      </c>
      <c r="Y24" s="5">
        <f>1_PRE_RAW!Y24</f>
        <v/>
      </c>
      <c r="Z24" s="5">
        <f>1_PRE_RAW!Z24</f>
        <v/>
      </c>
      <c r="AA24" s="5">
        <f>1_PRE_RAW!AA24</f>
        <v/>
      </c>
      <c r="AB24" s="5">
        <f>1_PRE_RAW!AB24</f>
        <v/>
      </c>
      <c r="AC24" s="5">
        <f>1_PRE_RAW!AC24</f>
        <v/>
      </c>
      <c r="AD24" s="5">
        <f>2.5*((H24-1)+(5-I24)+(J24-1)+(5-K24)+(L24-1)+(5-M24)+(N24-1)+(5-O24)+(P24-1)+(5-Q24))</f>
        <v/>
      </c>
      <c r="AE24" s="5">
        <f>SUM(R24:Y24)</f>
        <v/>
      </c>
      <c r="AF24" s="5">
        <f>AVERAGE(Z24,AB24)</f>
        <v/>
      </c>
      <c r="AG24" s="5">
        <f>AA24+AC24</f>
        <v/>
      </c>
    </row>
    <row r="25">
      <c r="A25" s="5">
        <f>1_PRE_RAW!A25</f>
        <v/>
      </c>
      <c r="B25" s="5">
        <f>1_PRE_RAW!B25</f>
        <v/>
      </c>
      <c r="C25" s="5">
        <f>1_PRE_RAW!C25</f>
        <v/>
      </c>
      <c r="D25" s="5">
        <f>1_PRE_RAW!D25</f>
        <v/>
      </c>
      <c r="E25" s="5">
        <f>1_PRE_RAW!E25</f>
        <v/>
      </c>
      <c r="F25" s="5">
        <f>1_PRE_RAW!F25</f>
        <v/>
      </c>
      <c r="G25" s="5">
        <f>1_PRE_RAW!G25</f>
        <v/>
      </c>
      <c r="H25" s="5">
        <f>1_PRE_RAW!H25</f>
        <v/>
      </c>
      <c r="I25" s="5">
        <f>1_PRE_RAW!I25</f>
        <v/>
      </c>
      <c r="J25" s="5">
        <f>1_PRE_RAW!J25</f>
        <v/>
      </c>
      <c r="K25" s="5">
        <f>1_PRE_RAW!K25</f>
        <v/>
      </c>
      <c r="L25" s="5">
        <f>1_PRE_RAW!L25</f>
        <v/>
      </c>
      <c r="M25" s="5">
        <f>1_PRE_RAW!M25</f>
        <v/>
      </c>
      <c r="N25" s="5">
        <f>1_PRE_RAW!N25</f>
        <v/>
      </c>
      <c r="O25" s="5">
        <f>1_PRE_RAW!O25</f>
        <v/>
      </c>
      <c r="P25" s="5">
        <f>1_PRE_RAW!P25</f>
        <v/>
      </c>
      <c r="Q25" s="5">
        <f>1_PRE_RAW!Q25</f>
        <v/>
      </c>
      <c r="R25" s="5">
        <f>1_PRE_RAW!R25</f>
        <v/>
      </c>
      <c r="S25" s="5">
        <f>1_PRE_RAW!S25</f>
        <v/>
      </c>
      <c r="T25" s="5">
        <f>1_PRE_RAW!T25</f>
        <v/>
      </c>
      <c r="U25" s="5">
        <f>1_PRE_RAW!U25</f>
        <v/>
      </c>
      <c r="V25" s="5">
        <f>1_PRE_RAW!V25</f>
        <v/>
      </c>
      <c r="W25" s="5">
        <f>1_PRE_RAW!W25</f>
        <v/>
      </c>
      <c r="X25" s="5">
        <f>1_PRE_RAW!X25</f>
        <v/>
      </c>
      <c r="Y25" s="5">
        <f>1_PRE_RAW!Y25</f>
        <v/>
      </c>
      <c r="Z25" s="5">
        <f>1_PRE_RAW!Z25</f>
        <v/>
      </c>
      <c r="AA25" s="5">
        <f>1_PRE_RAW!AA25</f>
        <v/>
      </c>
      <c r="AB25" s="5">
        <f>1_PRE_RAW!AB25</f>
        <v/>
      </c>
      <c r="AC25" s="5">
        <f>1_PRE_RAW!AC25</f>
        <v/>
      </c>
      <c r="AD25" s="5">
        <f>2.5*((H25-1)+(5-I25)+(J25-1)+(5-K25)+(L25-1)+(5-M25)+(N25-1)+(5-O25)+(P25-1)+(5-Q25))</f>
        <v/>
      </c>
      <c r="AE25" s="5">
        <f>SUM(R25:Y25)</f>
        <v/>
      </c>
      <c r="AF25" s="5">
        <f>AVERAGE(Z25,AB25)</f>
        <v/>
      </c>
      <c r="AG25" s="5">
        <f>AA25+AC25</f>
        <v/>
      </c>
    </row>
    <row r="26">
      <c r="A26" s="5">
        <f>1_PRE_RAW!A26</f>
        <v/>
      </c>
      <c r="B26" s="5">
        <f>1_PRE_RAW!B26</f>
        <v/>
      </c>
      <c r="C26" s="5">
        <f>1_PRE_RAW!C26</f>
        <v/>
      </c>
      <c r="D26" s="5">
        <f>1_PRE_RAW!D26</f>
        <v/>
      </c>
      <c r="E26" s="5">
        <f>1_PRE_RAW!E26</f>
        <v/>
      </c>
      <c r="F26" s="5">
        <f>1_PRE_RAW!F26</f>
        <v/>
      </c>
      <c r="G26" s="5">
        <f>1_PRE_RAW!G26</f>
        <v/>
      </c>
      <c r="H26" s="5">
        <f>1_PRE_RAW!H26</f>
        <v/>
      </c>
      <c r="I26" s="5">
        <f>1_PRE_RAW!I26</f>
        <v/>
      </c>
      <c r="J26" s="5">
        <f>1_PRE_RAW!J26</f>
        <v/>
      </c>
      <c r="K26" s="5">
        <f>1_PRE_RAW!K26</f>
        <v/>
      </c>
      <c r="L26" s="5">
        <f>1_PRE_RAW!L26</f>
        <v/>
      </c>
      <c r="M26" s="5">
        <f>1_PRE_RAW!M26</f>
        <v/>
      </c>
      <c r="N26" s="5">
        <f>1_PRE_RAW!N26</f>
        <v/>
      </c>
      <c r="O26" s="5">
        <f>1_PRE_RAW!O26</f>
        <v/>
      </c>
      <c r="P26" s="5">
        <f>1_PRE_RAW!P26</f>
        <v/>
      </c>
      <c r="Q26" s="5">
        <f>1_PRE_RAW!Q26</f>
        <v/>
      </c>
      <c r="R26" s="5">
        <f>1_PRE_RAW!R26</f>
        <v/>
      </c>
      <c r="S26" s="5">
        <f>1_PRE_RAW!S26</f>
        <v/>
      </c>
      <c r="T26" s="5">
        <f>1_PRE_RAW!T26</f>
        <v/>
      </c>
      <c r="U26" s="5">
        <f>1_PRE_RAW!U26</f>
        <v/>
      </c>
      <c r="V26" s="5">
        <f>1_PRE_RAW!V26</f>
        <v/>
      </c>
      <c r="W26" s="5">
        <f>1_PRE_RAW!W26</f>
        <v/>
      </c>
      <c r="X26" s="5">
        <f>1_PRE_RAW!X26</f>
        <v/>
      </c>
      <c r="Y26" s="5">
        <f>1_PRE_RAW!Y26</f>
        <v/>
      </c>
      <c r="Z26" s="5">
        <f>1_PRE_RAW!Z26</f>
        <v/>
      </c>
      <c r="AA26" s="5">
        <f>1_PRE_RAW!AA26</f>
        <v/>
      </c>
      <c r="AB26" s="5">
        <f>1_PRE_RAW!AB26</f>
        <v/>
      </c>
      <c r="AC26" s="5">
        <f>1_PRE_RAW!AC26</f>
        <v/>
      </c>
      <c r="AD26" s="5">
        <f>2.5*((H26-1)+(5-I26)+(J26-1)+(5-K26)+(L26-1)+(5-M26)+(N26-1)+(5-O26)+(P26-1)+(5-Q26))</f>
        <v/>
      </c>
      <c r="AE26" s="5">
        <f>SUM(R26:Y26)</f>
        <v/>
      </c>
      <c r="AF26" s="5">
        <f>AVERAGE(Z26,AB26)</f>
        <v/>
      </c>
      <c r="AG26" s="5">
        <f>AA26+AC26</f>
        <v/>
      </c>
    </row>
    <row r="27">
      <c r="A27" s="5">
        <f>1_PRE_RAW!A27</f>
        <v/>
      </c>
      <c r="B27" s="5">
        <f>1_PRE_RAW!B27</f>
        <v/>
      </c>
      <c r="C27" s="5">
        <f>1_PRE_RAW!C27</f>
        <v/>
      </c>
      <c r="D27" s="5">
        <f>1_PRE_RAW!D27</f>
        <v/>
      </c>
      <c r="E27" s="5">
        <f>1_PRE_RAW!E27</f>
        <v/>
      </c>
      <c r="F27" s="5">
        <f>1_PRE_RAW!F27</f>
        <v/>
      </c>
      <c r="G27" s="5">
        <f>1_PRE_RAW!G27</f>
        <v/>
      </c>
      <c r="H27" s="5">
        <f>1_PRE_RAW!H27</f>
        <v/>
      </c>
      <c r="I27" s="5">
        <f>1_PRE_RAW!I27</f>
        <v/>
      </c>
      <c r="J27" s="5">
        <f>1_PRE_RAW!J27</f>
        <v/>
      </c>
      <c r="K27" s="5">
        <f>1_PRE_RAW!K27</f>
        <v/>
      </c>
      <c r="L27" s="5">
        <f>1_PRE_RAW!L27</f>
        <v/>
      </c>
      <c r="M27" s="5">
        <f>1_PRE_RAW!M27</f>
        <v/>
      </c>
      <c r="N27" s="5">
        <f>1_PRE_RAW!N27</f>
        <v/>
      </c>
      <c r="O27" s="5">
        <f>1_PRE_RAW!O27</f>
        <v/>
      </c>
      <c r="P27" s="5">
        <f>1_PRE_RAW!P27</f>
        <v/>
      </c>
      <c r="Q27" s="5">
        <f>1_PRE_RAW!Q27</f>
        <v/>
      </c>
      <c r="R27" s="5">
        <f>1_PRE_RAW!R27</f>
        <v/>
      </c>
      <c r="S27" s="5">
        <f>1_PRE_RAW!S27</f>
        <v/>
      </c>
      <c r="T27" s="5">
        <f>1_PRE_RAW!T27</f>
        <v/>
      </c>
      <c r="U27" s="5">
        <f>1_PRE_RAW!U27</f>
        <v/>
      </c>
      <c r="V27" s="5">
        <f>1_PRE_RAW!V27</f>
        <v/>
      </c>
      <c r="W27" s="5">
        <f>1_PRE_RAW!W27</f>
        <v/>
      </c>
      <c r="X27" s="5">
        <f>1_PRE_RAW!X27</f>
        <v/>
      </c>
      <c r="Y27" s="5">
        <f>1_PRE_RAW!Y27</f>
        <v/>
      </c>
      <c r="Z27" s="5">
        <f>1_PRE_RAW!Z27</f>
        <v/>
      </c>
      <c r="AA27" s="5">
        <f>1_PRE_RAW!AA27</f>
        <v/>
      </c>
      <c r="AB27" s="5">
        <f>1_PRE_RAW!AB27</f>
        <v/>
      </c>
      <c r="AC27" s="5">
        <f>1_PRE_RAW!AC27</f>
        <v/>
      </c>
      <c r="AD27" s="5">
        <f>2.5*((H27-1)+(5-I27)+(J27-1)+(5-K27)+(L27-1)+(5-M27)+(N27-1)+(5-O27)+(P27-1)+(5-Q27))</f>
        <v/>
      </c>
      <c r="AE27" s="5">
        <f>SUM(R27:Y27)</f>
        <v/>
      </c>
      <c r="AF27" s="5">
        <f>AVERAGE(Z27,AB27)</f>
        <v/>
      </c>
      <c r="AG27" s="5">
        <f>AA27+AC27</f>
        <v/>
      </c>
    </row>
    <row r="28">
      <c r="A28" s="5">
        <f>1_PRE_RAW!A28</f>
        <v/>
      </c>
      <c r="B28" s="5">
        <f>1_PRE_RAW!B28</f>
        <v/>
      </c>
      <c r="C28" s="5">
        <f>1_PRE_RAW!C28</f>
        <v/>
      </c>
      <c r="D28" s="5">
        <f>1_PRE_RAW!D28</f>
        <v/>
      </c>
      <c r="E28" s="5">
        <f>1_PRE_RAW!E28</f>
        <v/>
      </c>
      <c r="F28" s="5">
        <f>1_PRE_RAW!F28</f>
        <v/>
      </c>
      <c r="G28" s="5">
        <f>1_PRE_RAW!G28</f>
        <v/>
      </c>
      <c r="H28" s="5">
        <f>1_PRE_RAW!H28</f>
        <v/>
      </c>
      <c r="I28" s="5">
        <f>1_PRE_RAW!I28</f>
        <v/>
      </c>
      <c r="J28" s="5">
        <f>1_PRE_RAW!J28</f>
        <v/>
      </c>
      <c r="K28" s="5">
        <f>1_PRE_RAW!K28</f>
        <v/>
      </c>
      <c r="L28" s="5">
        <f>1_PRE_RAW!L28</f>
        <v/>
      </c>
      <c r="M28" s="5">
        <f>1_PRE_RAW!M28</f>
        <v/>
      </c>
      <c r="N28" s="5">
        <f>1_PRE_RAW!N28</f>
        <v/>
      </c>
      <c r="O28" s="5">
        <f>1_PRE_RAW!O28</f>
        <v/>
      </c>
      <c r="P28" s="5">
        <f>1_PRE_RAW!P28</f>
        <v/>
      </c>
      <c r="Q28" s="5">
        <f>1_PRE_RAW!Q28</f>
        <v/>
      </c>
      <c r="R28" s="5">
        <f>1_PRE_RAW!R28</f>
        <v/>
      </c>
      <c r="S28" s="5">
        <f>1_PRE_RAW!S28</f>
        <v/>
      </c>
      <c r="T28" s="5">
        <f>1_PRE_RAW!T28</f>
        <v/>
      </c>
      <c r="U28" s="5">
        <f>1_PRE_RAW!U28</f>
        <v/>
      </c>
      <c r="V28" s="5">
        <f>1_PRE_RAW!V28</f>
        <v/>
      </c>
      <c r="W28" s="5">
        <f>1_PRE_RAW!W28</f>
        <v/>
      </c>
      <c r="X28" s="5">
        <f>1_PRE_RAW!X28</f>
        <v/>
      </c>
      <c r="Y28" s="5">
        <f>1_PRE_RAW!Y28</f>
        <v/>
      </c>
      <c r="Z28" s="5">
        <f>1_PRE_RAW!Z28</f>
        <v/>
      </c>
      <c r="AA28" s="5">
        <f>1_PRE_RAW!AA28</f>
        <v/>
      </c>
      <c r="AB28" s="5">
        <f>1_PRE_RAW!AB28</f>
        <v/>
      </c>
      <c r="AC28" s="5">
        <f>1_PRE_RAW!AC28</f>
        <v/>
      </c>
      <c r="AD28" s="5">
        <f>2.5*((H28-1)+(5-I28)+(J28-1)+(5-K28)+(L28-1)+(5-M28)+(N28-1)+(5-O28)+(P28-1)+(5-Q28))</f>
        <v/>
      </c>
      <c r="AE28" s="5">
        <f>SUM(R28:Y28)</f>
        <v/>
      </c>
      <c r="AF28" s="5">
        <f>AVERAGE(Z28,AB28)</f>
        <v/>
      </c>
      <c r="AG28" s="5">
        <f>AA28+AC28</f>
        <v/>
      </c>
    </row>
    <row r="29">
      <c r="A29" s="5">
        <f>1_PRE_RAW!A29</f>
        <v/>
      </c>
      <c r="B29" s="5">
        <f>1_PRE_RAW!B29</f>
        <v/>
      </c>
      <c r="C29" s="5">
        <f>1_PRE_RAW!C29</f>
        <v/>
      </c>
      <c r="D29" s="5">
        <f>1_PRE_RAW!D29</f>
        <v/>
      </c>
      <c r="E29" s="5">
        <f>1_PRE_RAW!E29</f>
        <v/>
      </c>
      <c r="F29" s="5">
        <f>1_PRE_RAW!F29</f>
        <v/>
      </c>
      <c r="G29" s="5">
        <f>1_PRE_RAW!G29</f>
        <v/>
      </c>
      <c r="H29" s="5">
        <f>1_PRE_RAW!H29</f>
        <v/>
      </c>
      <c r="I29" s="5">
        <f>1_PRE_RAW!I29</f>
        <v/>
      </c>
      <c r="J29" s="5">
        <f>1_PRE_RAW!J29</f>
        <v/>
      </c>
      <c r="K29" s="5">
        <f>1_PRE_RAW!K29</f>
        <v/>
      </c>
      <c r="L29" s="5">
        <f>1_PRE_RAW!L29</f>
        <v/>
      </c>
      <c r="M29" s="5">
        <f>1_PRE_RAW!M29</f>
        <v/>
      </c>
      <c r="N29" s="5">
        <f>1_PRE_RAW!N29</f>
        <v/>
      </c>
      <c r="O29" s="5">
        <f>1_PRE_RAW!O29</f>
        <v/>
      </c>
      <c r="P29" s="5">
        <f>1_PRE_RAW!P29</f>
        <v/>
      </c>
      <c r="Q29" s="5">
        <f>1_PRE_RAW!Q29</f>
        <v/>
      </c>
      <c r="R29" s="5">
        <f>1_PRE_RAW!R29</f>
        <v/>
      </c>
      <c r="S29" s="5">
        <f>1_PRE_RAW!S29</f>
        <v/>
      </c>
      <c r="T29" s="5">
        <f>1_PRE_RAW!T29</f>
        <v/>
      </c>
      <c r="U29" s="5">
        <f>1_PRE_RAW!U29</f>
        <v/>
      </c>
      <c r="V29" s="5">
        <f>1_PRE_RAW!V29</f>
        <v/>
      </c>
      <c r="W29" s="5">
        <f>1_PRE_RAW!W29</f>
        <v/>
      </c>
      <c r="X29" s="5">
        <f>1_PRE_RAW!X29</f>
        <v/>
      </c>
      <c r="Y29" s="5">
        <f>1_PRE_RAW!Y29</f>
        <v/>
      </c>
      <c r="Z29" s="5">
        <f>1_PRE_RAW!Z29</f>
        <v/>
      </c>
      <c r="AA29" s="5">
        <f>1_PRE_RAW!AA29</f>
        <v/>
      </c>
      <c r="AB29" s="5">
        <f>1_PRE_RAW!AB29</f>
        <v/>
      </c>
      <c r="AC29" s="5">
        <f>1_PRE_RAW!AC29</f>
        <v/>
      </c>
      <c r="AD29" s="5">
        <f>2.5*((H29-1)+(5-I29)+(J29-1)+(5-K29)+(L29-1)+(5-M29)+(N29-1)+(5-O29)+(P29-1)+(5-Q29))</f>
        <v/>
      </c>
      <c r="AE29" s="5">
        <f>SUM(R29:Y29)</f>
        <v/>
      </c>
      <c r="AF29" s="5">
        <f>AVERAGE(Z29,AB29)</f>
        <v/>
      </c>
      <c r="AG29" s="5">
        <f>AA29+AC29</f>
        <v/>
      </c>
    </row>
    <row r="30">
      <c r="A30" s="5">
        <f>1_PRE_RAW!A30</f>
        <v/>
      </c>
      <c r="B30" s="5">
        <f>1_PRE_RAW!B30</f>
        <v/>
      </c>
      <c r="C30" s="5">
        <f>1_PRE_RAW!C30</f>
        <v/>
      </c>
      <c r="D30" s="5">
        <f>1_PRE_RAW!D30</f>
        <v/>
      </c>
      <c r="E30" s="5">
        <f>1_PRE_RAW!E30</f>
        <v/>
      </c>
      <c r="F30" s="5">
        <f>1_PRE_RAW!F30</f>
        <v/>
      </c>
      <c r="G30" s="5">
        <f>1_PRE_RAW!G30</f>
        <v/>
      </c>
      <c r="H30" s="5">
        <f>1_PRE_RAW!H30</f>
        <v/>
      </c>
      <c r="I30" s="5">
        <f>1_PRE_RAW!I30</f>
        <v/>
      </c>
      <c r="J30" s="5">
        <f>1_PRE_RAW!J30</f>
        <v/>
      </c>
      <c r="K30" s="5">
        <f>1_PRE_RAW!K30</f>
        <v/>
      </c>
      <c r="L30" s="5">
        <f>1_PRE_RAW!L30</f>
        <v/>
      </c>
      <c r="M30" s="5">
        <f>1_PRE_RAW!M30</f>
        <v/>
      </c>
      <c r="N30" s="5">
        <f>1_PRE_RAW!N30</f>
        <v/>
      </c>
      <c r="O30" s="5">
        <f>1_PRE_RAW!O30</f>
        <v/>
      </c>
      <c r="P30" s="5">
        <f>1_PRE_RAW!P30</f>
        <v/>
      </c>
      <c r="Q30" s="5">
        <f>1_PRE_RAW!Q30</f>
        <v/>
      </c>
      <c r="R30" s="5">
        <f>1_PRE_RAW!R30</f>
        <v/>
      </c>
      <c r="S30" s="5">
        <f>1_PRE_RAW!S30</f>
        <v/>
      </c>
      <c r="T30" s="5">
        <f>1_PRE_RAW!T30</f>
        <v/>
      </c>
      <c r="U30" s="5">
        <f>1_PRE_RAW!U30</f>
        <v/>
      </c>
      <c r="V30" s="5">
        <f>1_PRE_RAW!V30</f>
        <v/>
      </c>
      <c r="W30" s="5">
        <f>1_PRE_RAW!W30</f>
        <v/>
      </c>
      <c r="X30" s="5">
        <f>1_PRE_RAW!X30</f>
        <v/>
      </c>
      <c r="Y30" s="5">
        <f>1_PRE_RAW!Y30</f>
        <v/>
      </c>
      <c r="Z30" s="5">
        <f>1_PRE_RAW!Z30</f>
        <v/>
      </c>
      <c r="AA30" s="5">
        <f>1_PRE_RAW!AA30</f>
        <v/>
      </c>
      <c r="AB30" s="5">
        <f>1_PRE_RAW!AB30</f>
        <v/>
      </c>
      <c r="AC30" s="5">
        <f>1_PRE_RAW!AC30</f>
        <v/>
      </c>
      <c r="AD30" s="5">
        <f>2.5*((H30-1)+(5-I30)+(J30-1)+(5-K30)+(L30-1)+(5-M30)+(N30-1)+(5-O30)+(P30-1)+(5-Q30))</f>
        <v/>
      </c>
      <c r="AE30" s="5">
        <f>SUM(R30:Y30)</f>
        <v/>
      </c>
      <c r="AF30" s="5">
        <f>AVERAGE(Z30,AB30)</f>
        <v/>
      </c>
      <c r="AG30" s="5">
        <f>AA30+AC30</f>
        <v/>
      </c>
    </row>
    <row r="31">
      <c r="A31" s="5">
        <f>1_PRE_RAW!A31</f>
        <v/>
      </c>
      <c r="B31" s="5">
        <f>1_PRE_RAW!B31</f>
        <v/>
      </c>
      <c r="C31" s="5">
        <f>1_PRE_RAW!C31</f>
        <v/>
      </c>
      <c r="D31" s="5">
        <f>1_PRE_RAW!D31</f>
        <v/>
      </c>
      <c r="E31" s="5">
        <f>1_PRE_RAW!E31</f>
        <v/>
      </c>
      <c r="F31" s="5">
        <f>1_PRE_RAW!F31</f>
        <v/>
      </c>
      <c r="G31" s="5">
        <f>1_PRE_RAW!G31</f>
        <v/>
      </c>
      <c r="H31" s="5">
        <f>1_PRE_RAW!H31</f>
        <v/>
      </c>
      <c r="I31" s="5">
        <f>1_PRE_RAW!I31</f>
        <v/>
      </c>
      <c r="J31" s="5">
        <f>1_PRE_RAW!J31</f>
        <v/>
      </c>
      <c r="K31" s="5">
        <f>1_PRE_RAW!K31</f>
        <v/>
      </c>
      <c r="L31" s="5">
        <f>1_PRE_RAW!L31</f>
        <v/>
      </c>
      <c r="M31" s="5">
        <f>1_PRE_RAW!M31</f>
        <v/>
      </c>
      <c r="N31" s="5">
        <f>1_PRE_RAW!N31</f>
        <v/>
      </c>
      <c r="O31" s="5">
        <f>1_PRE_RAW!O31</f>
        <v/>
      </c>
      <c r="P31" s="5">
        <f>1_PRE_RAW!P31</f>
        <v/>
      </c>
      <c r="Q31" s="5">
        <f>1_PRE_RAW!Q31</f>
        <v/>
      </c>
      <c r="R31" s="5">
        <f>1_PRE_RAW!R31</f>
        <v/>
      </c>
      <c r="S31" s="5">
        <f>1_PRE_RAW!S31</f>
        <v/>
      </c>
      <c r="T31" s="5">
        <f>1_PRE_RAW!T31</f>
        <v/>
      </c>
      <c r="U31" s="5">
        <f>1_PRE_RAW!U31</f>
        <v/>
      </c>
      <c r="V31" s="5">
        <f>1_PRE_RAW!V31</f>
        <v/>
      </c>
      <c r="W31" s="5">
        <f>1_PRE_RAW!W31</f>
        <v/>
      </c>
      <c r="X31" s="5">
        <f>1_PRE_RAW!X31</f>
        <v/>
      </c>
      <c r="Y31" s="5">
        <f>1_PRE_RAW!Y31</f>
        <v/>
      </c>
      <c r="Z31" s="5">
        <f>1_PRE_RAW!Z31</f>
        <v/>
      </c>
      <c r="AA31" s="5">
        <f>1_PRE_RAW!AA31</f>
        <v/>
      </c>
      <c r="AB31" s="5">
        <f>1_PRE_RAW!AB31</f>
        <v/>
      </c>
      <c r="AC31" s="5">
        <f>1_PRE_RAW!AC31</f>
        <v/>
      </c>
      <c r="AD31" s="5">
        <f>2.5*((H31-1)+(5-I31)+(J31-1)+(5-K31)+(L31-1)+(5-M31)+(N31-1)+(5-O31)+(P31-1)+(5-Q31))</f>
        <v/>
      </c>
      <c r="AE31" s="5">
        <f>SUM(R31:Y31)</f>
        <v/>
      </c>
      <c r="AF31" s="5">
        <f>AVERAGE(Z31,AB31)</f>
        <v/>
      </c>
      <c r="AG31" s="5">
        <f>AA31+AC31</f>
        <v/>
      </c>
    </row>
    <row r="32">
      <c r="A32" s="5">
        <f>1_PRE_RAW!A32</f>
        <v/>
      </c>
      <c r="B32" s="5">
        <f>1_PRE_RAW!B32</f>
        <v/>
      </c>
      <c r="C32" s="5">
        <f>1_PRE_RAW!C32</f>
        <v/>
      </c>
      <c r="D32" s="5">
        <f>1_PRE_RAW!D32</f>
        <v/>
      </c>
      <c r="E32" s="5">
        <f>1_PRE_RAW!E32</f>
        <v/>
      </c>
      <c r="F32" s="5">
        <f>1_PRE_RAW!F32</f>
        <v/>
      </c>
      <c r="G32" s="5">
        <f>1_PRE_RAW!G32</f>
        <v/>
      </c>
      <c r="H32" s="5">
        <f>1_PRE_RAW!H32</f>
        <v/>
      </c>
      <c r="I32" s="5">
        <f>1_PRE_RAW!I32</f>
        <v/>
      </c>
      <c r="J32" s="5">
        <f>1_PRE_RAW!J32</f>
        <v/>
      </c>
      <c r="K32" s="5">
        <f>1_PRE_RAW!K32</f>
        <v/>
      </c>
      <c r="L32" s="5">
        <f>1_PRE_RAW!L32</f>
        <v/>
      </c>
      <c r="M32" s="5">
        <f>1_PRE_RAW!M32</f>
        <v/>
      </c>
      <c r="N32" s="5">
        <f>1_PRE_RAW!N32</f>
        <v/>
      </c>
      <c r="O32" s="5">
        <f>1_PRE_RAW!O32</f>
        <v/>
      </c>
      <c r="P32" s="5">
        <f>1_PRE_RAW!P32</f>
        <v/>
      </c>
      <c r="Q32" s="5">
        <f>1_PRE_RAW!Q32</f>
        <v/>
      </c>
      <c r="R32" s="5">
        <f>1_PRE_RAW!R32</f>
        <v/>
      </c>
      <c r="S32" s="5">
        <f>1_PRE_RAW!S32</f>
        <v/>
      </c>
      <c r="T32" s="5">
        <f>1_PRE_RAW!T32</f>
        <v/>
      </c>
      <c r="U32" s="5">
        <f>1_PRE_RAW!U32</f>
        <v/>
      </c>
      <c r="V32" s="5">
        <f>1_PRE_RAW!V32</f>
        <v/>
      </c>
      <c r="W32" s="5">
        <f>1_PRE_RAW!W32</f>
        <v/>
      </c>
      <c r="X32" s="5">
        <f>1_PRE_RAW!X32</f>
        <v/>
      </c>
      <c r="Y32" s="5">
        <f>1_PRE_RAW!Y32</f>
        <v/>
      </c>
      <c r="Z32" s="5">
        <f>1_PRE_RAW!Z32</f>
        <v/>
      </c>
      <c r="AA32" s="5">
        <f>1_PRE_RAW!AA32</f>
        <v/>
      </c>
      <c r="AB32" s="5">
        <f>1_PRE_RAW!AB32</f>
        <v/>
      </c>
      <c r="AC32" s="5">
        <f>1_PRE_RAW!AC32</f>
        <v/>
      </c>
      <c r="AD32" s="5">
        <f>2.5*((H32-1)+(5-I32)+(J32-1)+(5-K32)+(L32-1)+(5-M32)+(N32-1)+(5-O32)+(P32-1)+(5-Q32))</f>
        <v/>
      </c>
      <c r="AE32" s="5">
        <f>SUM(R32:Y32)</f>
        <v/>
      </c>
      <c r="AF32" s="5">
        <f>AVERAGE(Z32,AB32)</f>
        <v/>
      </c>
      <c r="AG32" s="5">
        <f>AA32+AC32</f>
        <v/>
      </c>
    </row>
    <row r="33">
      <c r="A33" s="5">
        <f>1_PRE_RAW!A33</f>
        <v/>
      </c>
      <c r="B33" s="5">
        <f>1_PRE_RAW!B33</f>
        <v/>
      </c>
      <c r="C33" s="5">
        <f>1_PRE_RAW!C33</f>
        <v/>
      </c>
      <c r="D33" s="5">
        <f>1_PRE_RAW!D33</f>
        <v/>
      </c>
      <c r="E33" s="5">
        <f>1_PRE_RAW!E33</f>
        <v/>
      </c>
      <c r="F33" s="5">
        <f>1_PRE_RAW!F33</f>
        <v/>
      </c>
      <c r="G33" s="5">
        <f>1_PRE_RAW!G33</f>
        <v/>
      </c>
      <c r="H33" s="5">
        <f>1_PRE_RAW!H33</f>
        <v/>
      </c>
      <c r="I33" s="5">
        <f>1_PRE_RAW!I33</f>
        <v/>
      </c>
      <c r="J33" s="5">
        <f>1_PRE_RAW!J33</f>
        <v/>
      </c>
      <c r="K33" s="5">
        <f>1_PRE_RAW!K33</f>
        <v/>
      </c>
      <c r="L33" s="5">
        <f>1_PRE_RAW!L33</f>
        <v/>
      </c>
      <c r="M33" s="5">
        <f>1_PRE_RAW!M33</f>
        <v/>
      </c>
      <c r="N33" s="5">
        <f>1_PRE_RAW!N33</f>
        <v/>
      </c>
      <c r="O33" s="5">
        <f>1_PRE_RAW!O33</f>
        <v/>
      </c>
      <c r="P33" s="5">
        <f>1_PRE_RAW!P33</f>
        <v/>
      </c>
      <c r="Q33" s="5">
        <f>1_PRE_RAW!Q33</f>
        <v/>
      </c>
      <c r="R33" s="5">
        <f>1_PRE_RAW!R33</f>
        <v/>
      </c>
      <c r="S33" s="5">
        <f>1_PRE_RAW!S33</f>
        <v/>
      </c>
      <c r="T33" s="5">
        <f>1_PRE_RAW!T33</f>
        <v/>
      </c>
      <c r="U33" s="5">
        <f>1_PRE_RAW!U33</f>
        <v/>
      </c>
      <c r="V33" s="5">
        <f>1_PRE_RAW!V33</f>
        <v/>
      </c>
      <c r="W33" s="5">
        <f>1_PRE_RAW!W33</f>
        <v/>
      </c>
      <c r="X33" s="5">
        <f>1_PRE_RAW!X33</f>
        <v/>
      </c>
      <c r="Y33" s="5">
        <f>1_PRE_RAW!Y33</f>
        <v/>
      </c>
      <c r="Z33" s="5">
        <f>1_PRE_RAW!Z33</f>
        <v/>
      </c>
      <c r="AA33" s="5">
        <f>1_PRE_RAW!AA33</f>
        <v/>
      </c>
      <c r="AB33" s="5">
        <f>1_PRE_RAW!AB33</f>
        <v/>
      </c>
      <c r="AC33" s="5">
        <f>1_PRE_RAW!AC33</f>
        <v/>
      </c>
      <c r="AD33" s="5">
        <f>2.5*((H33-1)+(5-I33)+(J33-1)+(5-K33)+(L33-1)+(5-M33)+(N33-1)+(5-O33)+(P33-1)+(5-Q33))</f>
        <v/>
      </c>
      <c r="AE33" s="5">
        <f>SUM(R33:Y33)</f>
        <v/>
      </c>
      <c r="AF33" s="5">
        <f>AVERAGE(Z33,AB33)</f>
        <v/>
      </c>
      <c r="AG33" s="5">
        <f>AA33+AC33</f>
        <v/>
      </c>
    </row>
    <row r="34">
      <c r="A34" s="5">
        <f>1_PRE_RAW!A34</f>
        <v/>
      </c>
      <c r="B34" s="5">
        <f>1_PRE_RAW!B34</f>
        <v/>
      </c>
      <c r="C34" s="5">
        <f>1_PRE_RAW!C34</f>
        <v/>
      </c>
      <c r="D34" s="5">
        <f>1_PRE_RAW!D34</f>
        <v/>
      </c>
      <c r="E34" s="5">
        <f>1_PRE_RAW!E34</f>
        <v/>
      </c>
      <c r="F34" s="5">
        <f>1_PRE_RAW!F34</f>
        <v/>
      </c>
      <c r="G34" s="5">
        <f>1_PRE_RAW!G34</f>
        <v/>
      </c>
      <c r="H34" s="5">
        <f>1_PRE_RAW!H34</f>
        <v/>
      </c>
      <c r="I34" s="5">
        <f>1_PRE_RAW!I34</f>
        <v/>
      </c>
      <c r="J34" s="5">
        <f>1_PRE_RAW!J34</f>
        <v/>
      </c>
      <c r="K34" s="5">
        <f>1_PRE_RAW!K34</f>
        <v/>
      </c>
      <c r="L34" s="5">
        <f>1_PRE_RAW!L34</f>
        <v/>
      </c>
      <c r="M34" s="5">
        <f>1_PRE_RAW!M34</f>
        <v/>
      </c>
      <c r="N34" s="5">
        <f>1_PRE_RAW!N34</f>
        <v/>
      </c>
      <c r="O34" s="5">
        <f>1_PRE_RAW!O34</f>
        <v/>
      </c>
      <c r="P34" s="5">
        <f>1_PRE_RAW!P34</f>
        <v/>
      </c>
      <c r="Q34" s="5">
        <f>1_PRE_RAW!Q34</f>
        <v/>
      </c>
      <c r="R34" s="5">
        <f>1_PRE_RAW!R34</f>
        <v/>
      </c>
      <c r="S34" s="5">
        <f>1_PRE_RAW!S34</f>
        <v/>
      </c>
      <c r="T34" s="5">
        <f>1_PRE_RAW!T34</f>
        <v/>
      </c>
      <c r="U34" s="5">
        <f>1_PRE_RAW!U34</f>
        <v/>
      </c>
      <c r="V34" s="5">
        <f>1_PRE_RAW!V34</f>
        <v/>
      </c>
      <c r="W34" s="5">
        <f>1_PRE_RAW!W34</f>
        <v/>
      </c>
      <c r="X34" s="5">
        <f>1_PRE_RAW!X34</f>
        <v/>
      </c>
      <c r="Y34" s="5">
        <f>1_PRE_RAW!Y34</f>
        <v/>
      </c>
      <c r="Z34" s="5">
        <f>1_PRE_RAW!Z34</f>
        <v/>
      </c>
      <c r="AA34" s="5">
        <f>1_PRE_RAW!AA34</f>
        <v/>
      </c>
      <c r="AB34" s="5">
        <f>1_PRE_RAW!AB34</f>
        <v/>
      </c>
      <c r="AC34" s="5">
        <f>1_PRE_RAW!AC34</f>
        <v/>
      </c>
      <c r="AD34" s="5">
        <f>2.5*((H34-1)+(5-I34)+(J34-1)+(5-K34)+(L34-1)+(5-M34)+(N34-1)+(5-O34)+(P34-1)+(5-Q34))</f>
        <v/>
      </c>
      <c r="AE34" s="5">
        <f>SUM(R34:Y34)</f>
        <v/>
      </c>
      <c r="AF34" s="5">
        <f>AVERAGE(Z34,AB34)</f>
        <v/>
      </c>
      <c r="AG34" s="5">
        <f>AA34+AC34</f>
        <v/>
      </c>
    </row>
    <row r="35">
      <c r="A35" s="5">
        <f>1_PRE_RAW!A35</f>
        <v/>
      </c>
      <c r="B35" s="5">
        <f>1_PRE_RAW!B35</f>
        <v/>
      </c>
      <c r="C35" s="5">
        <f>1_PRE_RAW!C35</f>
        <v/>
      </c>
      <c r="D35" s="5">
        <f>1_PRE_RAW!D35</f>
        <v/>
      </c>
      <c r="E35" s="5">
        <f>1_PRE_RAW!E35</f>
        <v/>
      </c>
      <c r="F35" s="5">
        <f>1_PRE_RAW!F35</f>
        <v/>
      </c>
      <c r="G35" s="5">
        <f>1_PRE_RAW!G35</f>
        <v/>
      </c>
      <c r="H35" s="5">
        <f>1_PRE_RAW!H35</f>
        <v/>
      </c>
      <c r="I35" s="5">
        <f>1_PRE_RAW!I35</f>
        <v/>
      </c>
      <c r="J35" s="5">
        <f>1_PRE_RAW!J35</f>
        <v/>
      </c>
      <c r="K35" s="5">
        <f>1_PRE_RAW!K35</f>
        <v/>
      </c>
      <c r="L35" s="5">
        <f>1_PRE_RAW!L35</f>
        <v/>
      </c>
      <c r="M35" s="5">
        <f>1_PRE_RAW!M35</f>
        <v/>
      </c>
      <c r="N35" s="5">
        <f>1_PRE_RAW!N35</f>
        <v/>
      </c>
      <c r="O35" s="5">
        <f>1_PRE_RAW!O35</f>
        <v/>
      </c>
      <c r="P35" s="5">
        <f>1_PRE_RAW!P35</f>
        <v/>
      </c>
      <c r="Q35" s="5">
        <f>1_PRE_RAW!Q35</f>
        <v/>
      </c>
      <c r="R35" s="5">
        <f>1_PRE_RAW!R35</f>
        <v/>
      </c>
      <c r="S35" s="5">
        <f>1_PRE_RAW!S35</f>
        <v/>
      </c>
      <c r="T35" s="5">
        <f>1_PRE_RAW!T35</f>
        <v/>
      </c>
      <c r="U35" s="5">
        <f>1_PRE_RAW!U35</f>
        <v/>
      </c>
      <c r="V35" s="5">
        <f>1_PRE_RAW!V35</f>
        <v/>
      </c>
      <c r="W35" s="5">
        <f>1_PRE_RAW!W35</f>
        <v/>
      </c>
      <c r="X35" s="5">
        <f>1_PRE_RAW!X35</f>
        <v/>
      </c>
      <c r="Y35" s="5">
        <f>1_PRE_RAW!Y35</f>
        <v/>
      </c>
      <c r="Z35" s="5">
        <f>1_PRE_RAW!Z35</f>
        <v/>
      </c>
      <c r="AA35" s="5">
        <f>1_PRE_RAW!AA35</f>
        <v/>
      </c>
      <c r="AB35" s="5">
        <f>1_PRE_RAW!AB35</f>
        <v/>
      </c>
      <c r="AC35" s="5">
        <f>1_PRE_RAW!AC35</f>
        <v/>
      </c>
      <c r="AD35" s="5">
        <f>2.5*((H35-1)+(5-I35)+(J35-1)+(5-K35)+(L35-1)+(5-M35)+(N35-1)+(5-O35)+(P35-1)+(5-Q35))</f>
        <v/>
      </c>
      <c r="AE35" s="5">
        <f>SUM(R35:Y35)</f>
        <v/>
      </c>
      <c r="AF35" s="5">
        <f>AVERAGE(Z35,AB35)</f>
        <v/>
      </c>
      <c r="AG35" s="5">
        <f>AA35+AC35</f>
        <v/>
      </c>
    </row>
    <row r="36">
      <c r="A36" s="5">
        <f>1_PRE_RAW!A36</f>
        <v/>
      </c>
      <c r="B36" s="5">
        <f>1_PRE_RAW!B36</f>
        <v/>
      </c>
      <c r="C36" s="5">
        <f>1_PRE_RAW!C36</f>
        <v/>
      </c>
      <c r="D36" s="5">
        <f>1_PRE_RAW!D36</f>
        <v/>
      </c>
      <c r="E36" s="5">
        <f>1_PRE_RAW!E36</f>
        <v/>
      </c>
      <c r="F36" s="5">
        <f>1_PRE_RAW!F36</f>
        <v/>
      </c>
      <c r="G36" s="5">
        <f>1_PRE_RAW!G36</f>
        <v/>
      </c>
      <c r="H36" s="5">
        <f>1_PRE_RAW!H36</f>
        <v/>
      </c>
      <c r="I36" s="5">
        <f>1_PRE_RAW!I36</f>
        <v/>
      </c>
      <c r="J36" s="5">
        <f>1_PRE_RAW!J36</f>
        <v/>
      </c>
      <c r="K36" s="5">
        <f>1_PRE_RAW!K36</f>
        <v/>
      </c>
      <c r="L36" s="5">
        <f>1_PRE_RAW!L36</f>
        <v/>
      </c>
      <c r="M36" s="5">
        <f>1_PRE_RAW!M36</f>
        <v/>
      </c>
      <c r="N36" s="5">
        <f>1_PRE_RAW!N36</f>
        <v/>
      </c>
      <c r="O36" s="5">
        <f>1_PRE_RAW!O36</f>
        <v/>
      </c>
      <c r="P36" s="5">
        <f>1_PRE_RAW!P36</f>
        <v/>
      </c>
      <c r="Q36" s="5">
        <f>1_PRE_RAW!Q36</f>
        <v/>
      </c>
      <c r="R36" s="5">
        <f>1_PRE_RAW!R36</f>
        <v/>
      </c>
      <c r="S36" s="5">
        <f>1_PRE_RAW!S36</f>
        <v/>
      </c>
      <c r="T36" s="5">
        <f>1_PRE_RAW!T36</f>
        <v/>
      </c>
      <c r="U36" s="5">
        <f>1_PRE_RAW!U36</f>
        <v/>
      </c>
      <c r="V36" s="5">
        <f>1_PRE_RAW!V36</f>
        <v/>
      </c>
      <c r="W36" s="5">
        <f>1_PRE_RAW!W36</f>
        <v/>
      </c>
      <c r="X36" s="5">
        <f>1_PRE_RAW!X36</f>
        <v/>
      </c>
      <c r="Y36" s="5">
        <f>1_PRE_RAW!Y36</f>
        <v/>
      </c>
      <c r="Z36" s="5">
        <f>1_PRE_RAW!Z36</f>
        <v/>
      </c>
      <c r="AA36" s="5">
        <f>1_PRE_RAW!AA36</f>
        <v/>
      </c>
      <c r="AB36" s="5">
        <f>1_PRE_RAW!AB36</f>
        <v/>
      </c>
      <c r="AC36" s="5">
        <f>1_PRE_RAW!AC36</f>
        <v/>
      </c>
      <c r="AD36" s="5">
        <f>2.5*((H36-1)+(5-I36)+(J36-1)+(5-K36)+(L36-1)+(5-M36)+(N36-1)+(5-O36)+(P36-1)+(5-Q36))</f>
        <v/>
      </c>
      <c r="AE36" s="5">
        <f>SUM(R36:Y36)</f>
        <v/>
      </c>
      <c r="AF36" s="5">
        <f>AVERAGE(Z36,AB36)</f>
        <v/>
      </c>
      <c r="AG36" s="5">
        <f>AA36+AC36</f>
        <v/>
      </c>
    </row>
    <row r="37">
      <c r="A37" s="5">
        <f>1_PRE_RAW!A37</f>
        <v/>
      </c>
      <c r="B37" s="5">
        <f>1_PRE_RAW!B37</f>
        <v/>
      </c>
      <c r="C37" s="5">
        <f>1_PRE_RAW!C37</f>
        <v/>
      </c>
      <c r="D37" s="5">
        <f>1_PRE_RAW!D37</f>
        <v/>
      </c>
      <c r="E37" s="5">
        <f>1_PRE_RAW!E37</f>
        <v/>
      </c>
      <c r="F37" s="5">
        <f>1_PRE_RAW!F37</f>
        <v/>
      </c>
      <c r="G37" s="5">
        <f>1_PRE_RAW!G37</f>
        <v/>
      </c>
      <c r="H37" s="5">
        <f>1_PRE_RAW!H37</f>
        <v/>
      </c>
      <c r="I37" s="5">
        <f>1_PRE_RAW!I37</f>
        <v/>
      </c>
      <c r="J37" s="5">
        <f>1_PRE_RAW!J37</f>
        <v/>
      </c>
      <c r="K37" s="5">
        <f>1_PRE_RAW!K37</f>
        <v/>
      </c>
      <c r="L37" s="5">
        <f>1_PRE_RAW!L37</f>
        <v/>
      </c>
      <c r="M37" s="5">
        <f>1_PRE_RAW!M37</f>
        <v/>
      </c>
      <c r="N37" s="5">
        <f>1_PRE_RAW!N37</f>
        <v/>
      </c>
      <c r="O37" s="5">
        <f>1_PRE_RAW!O37</f>
        <v/>
      </c>
      <c r="P37" s="5">
        <f>1_PRE_RAW!P37</f>
        <v/>
      </c>
      <c r="Q37" s="5">
        <f>1_PRE_RAW!Q37</f>
        <v/>
      </c>
      <c r="R37" s="5">
        <f>1_PRE_RAW!R37</f>
        <v/>
      </c>
      <c r="S37" s="5">
        <f>1_PRE_RAW!S37</f>
        <v/>
      </c>
      <c r="T37" s="5">
        <f>1_PRE_RAW!T37</f>
        <v/>
      </c>
      <c r="U37" s="5">
        <f>1_PRE_RAW!U37</f>
        <v/>
      </c>
      <c r="V37" s="5">
        <f>1_PRE_RAW!V37</f>
        <v/>
      </c>
      <c r="W37" s="5">
        <f>1_PRE_RAW!W37</f>
        <v/>
      </c>
      <c r="X37" s="5">
        <f>1_PRE_RAW!X37</f>
        <v/>
      </c>
      <c r="Y37" s="5">
        <f>1_PRE_RAW!Y37</f>
        <v/>
      </c>
      <c r="Z37" s="5">
        <f>1_PRE_RAW!Z37</f>
        <v/>
      </c>
      <c r="AA37" s="5">
        <f>1_PRE_RAW!AA37</f>
        <v/>
      </c>
      <c r="AB37" s="5">
        <f>1_PRE_RAW!AB37</f>
        <v/>
      </c>
      <c r="AC37" s="5">
        <f>1_PRE_RAW!AC37</f>
        <v/>
      </c>
      <c r="AD37" s="5">
        <f>2.5*((H37-1)+(5-I37)+(J37-1)+(5-K37)+(L37-1)+(5-M37)+(N37-1)+(5-O37)+(P37-1)+(5-Q37))</f>
        <v/>
      </c>
      <c r="AE37" s="5">
        <f>SUM(R37:Y37)</f>
        <v/>
      </c>
      <c r="AF37" s="5">
        <f>AVERAGE(Z37,AB37)</f>
        <v/>
      </c>
      <c r="AG37" s="5">
        <f>AA37+AC37</f>
        <v/>
      </c>
    </row>
    <row r="38">
      <c r="A38" s="5">
        <f>1_PRE_RAW!A38</f>
        <v/>
      </c>
      <c r="B38" s="5">
        <f>1_PRE_RAW!B38</f>
        <v/>
      </c>
      <c r="C38" s="5">
        <f>1_PRE_RAW!C38</f>
        <v/>
      </c>
      <c r="D38" s="5">
        <f>1_PRE_RAW!D38</f>
        <v/>
      </c>
      <c r="E38" s="5">
        <f>1_PRE_RAW!E38</f>
        <v/>
      </c>
      <c r="F38" s="5">
        <f>1_PRE_RAW!F38</f>
        <v/>
      </c>
      <c r="G38" s="5">
        <f>1_PRE_RAW!G38</f>
        <v/>
      </c>
      <c r="H38" s="5">
        <f>1_PRE_RAW!H38</f>
        <v/>
      </c>
      <c r="I38" s="5">
        <f>1_PRE_RAW!I38</f>
        <v/>
      </c>
      <c r="J38" s="5">
        <f>1_PRE_RAW!J38</f>
        <v/>
      </c>
      <c r="K38" s="5">
        <f>1_PRE_RAW!K38</f>
        <v/>
      </c>
      <c r="L38" s="5">
        <f>1_PRE_RAW!L38</f>
        <v/>
      </c>
      <c r="M38" s="5">
        <f>1_PRE_RAW!M38</f>
        <v/>
      </c>
      <c r="N38" s="5">
        <f>1_PRE_RAW!N38</f>
        <v/>
      </c>
      <c r="O38" s="5">
        <f>1_PRE_RAW!O38</f>
        <v/>
      </c>
      <c r="P38" s="5">
        <f>1_PRE_RAW!P38</f>
        <v/>
      </c>
      <c r="Q38" s="5">
        <f>1_PRE_RAW!Q38</f>
        <v/>
      </c>
      <c r="R38" s="5">
        <f>1_PRE_RAW!R38</f>
        <v/>
      </c>
      <c r="S38" s="5">
        <f>1_PRE_RAW!S38</f>
        <v/>
      </c>
      <c r="T38" s="5">
        <f>1_PRE_RAW!T38</f>
        <v/>
      </c>
      <c r="U38" s="5">
        <f>1_PRE_RAW!U38</f>
        <v/>
      </c>
      <c r="V38" s="5">
        <f>1_PRE_RAW!V38</f>
        <v/>
      </c>
      <c r="W38" s="5">
        <f>1_PRE_RAW!W38</f>
        <v/>
      </c>
      <c r="X38" s="5">
        <f>1_PRE_RAW!X38</f>
        <v/>
      </c>
      <c r="Y38" s="5">
        <f>1_PRE_RAW!Y38</f>
        <v/>
      </c>
      <c r="Z38" s="5">
        <f>1_PRE_RAW!Z38</f>
        <v/>
      </c>
      <c r="AA38" s="5">
        <f>1_PRE_RAW!AA38</f>
        <v/>
      </c>
      <c r="AB38" s="5">
        <f>1_PRE_RAW!AB38</f>
        <v/>
      </c>
      <c r="AC38" s="5">
        <f>1_PRE_RAW!AC38</f>
        <v/>
      </c>
      <c r="AD38" s="5">
        <f>2.5*((H38-1)+(5-I38)+(J38-1)+(5-K38)+(L38-1)+(5-M38)+(N38-1)+(5-O38)+(P38-1)+(5-Q38))</f>
        <v/>
      </c>
      <c r="AE38" s="5">
        <f>SUM(R38:Y38)</f>
        <v/>
      </c>
      <c r="AF38" s="5">
        <f>AVERAGE(Z38,AB38)</f>
        <v/>
      </c>
      <c r="AG38" s="5">
        <f>AA38+AC38</f>
        <v/>
      </c>
    </row>
    <row r="39">
      <c r="A39" s="5">
        <f>1_PRE_RAW!A39</f>
        <v/>
      </c>
      <c r="B39" s="5">
        <f>1_PRE_RAW!B39</f>
        <v/>
      </c>
      <c r="C39" s="5">
        <f>1_PRE_RAW!C39</f>
        <v/>
      </c>
      <c r="D39" s="5">
        <f>1_PRE_RAW!D39</f>
        <v/>
      </c>
      <c r="E39" s="5">
        <f>1_PRE_RAW!E39</f>
        <v/>
      </c>
      <c r="F39" s="5">
        <f>1_PRE_RAW!F39</f>
        <v/>
      </c>
      <c r="G39" s="5">
        <f>1_PRE_RAW!G39</f>
        <v/>
      </c>
      <c r="H39" s="5">
        <f>1_PRE_RAW!H39</f>
        <v/>
      </c>
      <c r="I39" s="5">
        <f>1_PRE_RAW!I39</f>
        <v/>
      </c>
      <c r="J39" s="5">
        <f>1_PRE_RAW!J39</f>
        <v/>
      </c>
      <c r="K39" s="5">
        <f>1_PRE_RAW!K39</f>
        <v/>
      </c>
      <c r="L39" s="5">
        <f>1_PRE_RAW!L39</f>
        <v/>
      </c>
      <c r="M39" s="5">
        <f>1_PRE_RAW!M39</f>
        <v/>
      </c>
      <c r="N39" s="5">
        <f>1_PRE_RAW!N39</f>
        <v/>
      </c>
      <c r="O39" s="5">
        <f>1_PRE_RAW!O39</f>
        <v/>
      </c>
      <c r="P39" s="5">
        <f>1_PRE_RAW!P39</f>
        <v/>
      </c>
      <c r="Q39" s="5">
        <f>1_PRE_RAW!Q39</f>
        <v/>
      </c>
      <c r="R39" s="5">
        <f>1_PRE_RAW!R39</f>
        <v/>
      </c>
      <c r="S39" s="5">
        <f>1_PRE_RAW!S39</f>
        <v/>
      </c>
      <c r="T39" s="5">
        <f>1_PRE_RAW!T39</f>
        <v/>
      </c>
      <c r="U39" s="5">
        <f>1_PRE_RAW!U39</f>
        <v/>
      </c>
      <c r="V39" s="5">
        <f>1_PRE_RAW!V39</f>
        <v/>
      </c>
      <c r="W39" s="5">
        <f>1_PRE_RAW!W39</f>
        <v/>
      </c>
      <c r="X39" s="5">
        <f>1_PRE_RAW!X39</f>
        <v/>
      </c>
      <c r="Y39" s="5">
        <f>1_PRE_RAW!Y39</f>
        <v/>
      </c>
      <c r="Z39" s="5">
        <f>1_PRE_RAW!Z39</f>
        <v/>
      </c>
      <c r="AA39" s="5">
        <f>1_PRE_RAW!AA39</f>
        <v/>
      </c>
      <c r="AB39" s="5">
        <f>1_PRE_RAW!AB39</f>
        <v/>
      </c>
      <c r="AC39" s="5">
        <f>1_PRE_RAW!AC39</f>
        <v/>
      </c>
      <c r="AD39" s="5">
        <f>2.5*((H39-1)+(5-I39)+(J39-1)+(5-K39)+(L39-1)+(5-M39)+(N39-1)+(5-O39)+(P39-1)+(5-Q39))</f>
        <v/>
      </c>
      <c r="AE39" s="5">
        <f>SUM(R39:Y39)</f>
        <v/>
      </c>
      <c r="AF39" s="5">
        <f>AVERAGE(Z39,AB39)</f>
        <v/>
      </c>
      <c r="AG39" s="5">
        <f>AA39+AC39</f>
        <v/>
      </c>
    </row>
    <row r="40">
      <c r="A40" s="5">
        <f>1_PRE_RAW!A40</f>
        <v/>
      </c>
      <c r="B40" s="5">
        <f>1_PRE_RAW!B40</f>
        <v/>
      </c>
      <c r="C40" s="5">
        <f>1_PRE_RAW!C40</f>
        <v/>
      </c>
      <c r="D40" s="5">
        <f>1_PRE_RAW!D40</f>
        <v/>
      </c>
      <c r="E40" s="5">
        <f>1_PRE_RAW!E40</f>
        <v/>
      </c>
      <c r="F40" s="5">
        <f>1_PRE_RAW!F40</f>
        <v/>
      </c>
      <c r="G40" s="5">
        <f>1_PRE_RAW!G40</f>
        <v/>
      </c>
      <c r="H40" s="5">
        <f>1_PRE_RAW!H40</f>
        <v/>
      </c>
      <c r="I40" s="5">
        <f>1_PRE_RAW!I40</f>
        <v/>
      </c>
      <c r="J40" s="5">
        <f>1_PRE_RAW!J40</f>
        <v/>
      </c>
      <c r="K40" s="5">
        <f>1_PRE_RAW!K40</f>
        <v/>
      </c>
      <c r="L40" s="5">
        <f>1_PRE_RAW!L40</f>
        <v/>
      </c>
      <c r="M40" s="5">
        <f>1_PRE_RAW!M40</f>
        <v/>
      </c>
      <c r="N40" s="5">
        <f>1_PRE_RAW!N40</f>
        <v/>
      </c>
      <c r="O40" s="5">
        <f>1_PRE_RAW!O40</f>
        <v/>
      </c>
      <c r="P40" s="5">
        <f>1_PRE_RAW!P40</f>
        <v/>
      </c>
      <c r="Q40" s="5">
        <f>1_PRE_RAW!Q40</f>
        <v/>
      </c>
      <c r="R40" s="5">
        <f>1_PRE_RAW!R40</f>
        <v/>
      </c>
      <c r="S40" s="5">
        <f>1_PRE_RAW!S40</f>
        <v/>
      </c>
      <c r="T40" s="5">
        <f>1_PRE_RAW!T40</f>
        <v/>
      </c>
      <c r="U40" s="5">
        <f>1_PRE_RAW!U40</f>
        <v/>
      </c>
      <c r="V40" s="5">
        <f>1_PRE_RAW!V40</f>
        <v/>
      </c>
      <c r="W40" s="5">
        <f>1_PRE_RAW!W40</f>
        <v/>
      </c>
      <c r="X40" s="5">
        <f>1_PRE_RAW!X40</f>
        <v/>
      </c>
      <c r="Y40" s="5">
        <f>1_PRE_RAW!Y40</f>
        <v/>
      </c>
      <c r="Z40" s="5">
        <f>1_PRE_RAW!Z40</f>
        <v/>
      </c>
      <c r="AA40" s="5">
        <f>1_PRE_RAW!AA40</f>
        <v/>
      </c>
      <c r="AB40" s="5">
        <f>1_PRE_RAW!AB40</f>
        <v/>
      </c>
      <c r="AC40" s="5">
        <f>1_PRE_RAW!AC40</f>
        <v/>
      </c>
      <c r="AD40" s="5">
        <f>2.5*((H40-1)+(5-I40)+(J40-1)+(5-K40)+(L40-1)+(5-M40)+(N40-1)+(5-O40)+(P40-1)+(5-Q40))</f>
        <v/>
      </c>
      <c r="AE40" s="5">
        <f>SUM(R40:Y40)</f>
        <v/>
      </c>
      <c r="AF40" s="5">
        <f>AVERAGE(Z40,AB40)</f>
        <v/>
      </c>
      <c r="AG40" s="5">
        <f>AA40+AC40</f>
        <v/>
      </c>
    </row>
    <row r="41">
      <c r="A41" s="5">
        <f>1_PRE_RAW!A41</f>
        <v/>
      </c>
      <c r="B41" s="5">
        <f>1_PRE_RAW!B41</f>
        <v/>
      </c>
      <c r="C41" s="5">
        <f>1_PRE_RAW!C41</f>
        <v/>
      </c>
      <c r="D41" s="5">
        <f>1_PRE_RAW!D41</f>
        <v/>
      </c>
      <c r="E41" s="5">
        <f>1_PRE_RAW!E41</f>
        <v/>
      </c>
      <c r="F41" s="5">
        <f>1_PRE_RAW!F41</f>
        <v/>
      </c>
      <c r="G41" s="5">
        <f>1_PRE_RAW!G41</f>
        <v/>
      </c>
      <c r="H41" s="5">
        <f>1_PRE_RAW!H41</f>
        <v/>
      </c>
      <c r="I41" s="5">
        <f>1_PRE_RAW!I41</f>
        <v/>
      </c>
      <c r="J41" s="5">
        <f>1_PRE_RAW!J41</f>
        <v/>
      </c>
      <c r="K41" s="5">
        <f>1_PRE_RAW!K41</f>
        <v/>
      </c>
      <c r="L41" s="5">
        <f>1_PRE_RAW!L41</f>
        <v/>
      </c>
      <c r="M41" s="5">
        <f>1_PRE_RAW!M41</f>
        <v/>
      </c>
      <c r="N41" s="5">
        <f>1_PRE_RAW!N41</f>
        <v/>
      </c>
      <c r="O41" s="5">
        <f>1_PRE_RAW!O41</f>
        <v/>
      </c>
      <c r="P41" s="5">
        <f>1_PRE_RAW!P41</f>
        <v/>
      </c>
      <c r="Q41" s="5">
        <f>1_PRE_RAW!Q41</f>
        <v/>
      </c>
      <c r="R41" s="5">
        <f>1_PRE_RAW!R41</f>
        <v/>
      </c>
      <c r="S41" s="5">
        <f>1_PRE_RAW!S41</f>
        <v/>
      </c>
      <c r="T41" s="5">
        <f>1_PRE_RAW!T41</f>
        <v/>
      </c>
      <c r="U41" s="5">
        <f>1_PRE_RAW!U41</f>
        <v/>
      </c>
      <c r="V41" s="5">
        <f>1_PRE_RAW!V41</f>
        <v/>
      </c>
      <c r="W41" s="5">
        <f>1_PRE_RAW!W41</f>
        <v/>
      </c>
      <c r="X41" s="5">
        <f>1_PRE_RAW!X41</f>
        <v/>
      </c>
      <c r="Y41" s="5">
        <f>1_PRE_RAW!Y41</f>
        <v/>
      </c>
      <c r="Z41" s="5">
        <f>1_PRE_RAW!Z41</f>
        <v/>
      </c>
      <c r="AA41" s="5">
        <f>1_PRE_RAW!AA41</f>
        <v/>
      </c>
      <c r="AB41" s="5">
        <f>1_PRE_RAW!AB41</f>
        <v/>
      </c>
      <c r="AC41" s="5">
        <f>1_PRE_RAW!AC41</f>
        <v/>
      </c>
      <c r="AD41" s="5">
        <f>2.5*((H41-1)+(5-I41)+(J41-1)+(5-K41)+(L41-1)+(5-M41)+(N41-1)+(5-O41)+(P41-1)+(5-Q41))</f>
        <v/>
      </c>
      <c r="AE41" s="5">
        <f>SUM(R41:Y41)</f>
        <v/>
      </c>
      <c r="AF41" s="5">
        <f>AVERAGE(Z41,AB41)</f>
        <v/>
      </c>
      <c r="AG41" s="5">
        <f>AA41+AC41</f>
        <v/>
      </c>
    </row>
    <row r="42">
      <c r="A42" s="5">
        <f>1_PRE_RAW!A42</f>
        <v/>
      </c>
      <c r="B42" s="5">
        <f>1_PRE_RAW!B42</f>
        <v/>
      </c>
      <c r="C42" s="5">
        <f>1_PRE_RAW!C42</f>
        <v/>
      </c>
      <c r="D42" s="5">
        <f>1_PRE_RAW!D42</f>
        <v/>
      </c>
      <c r="E42" s="5">
        <f>1_PRE_RAW!E42</f>
        <v/>
      </c>
      <c r="F42" s="5">
        <f>1_PRE_RAW!F42</f>
        <v/>
      </c>
      <c r="G42" s="5">
        <f>1_PRE_RAW!G42</f>
        <v/>
      </c>
      <c r="H42" s="5">
        <f>1_PRE_RAW!H42</f>
        <v/>
      </c>
      <c r="I42" s="5">
        <f>1_PRE_RAW!I42</f>
        <v/>
      </c>
      <c r="J42" s="5">
        <f>1_PRE_RAW!J42</f>
        <v/>
      </c>
      <c r="K42" s="5">
        <f>1_PRE_RAW!K42</f>
        <v/>
      </c>
      <c r="L42" s="5">
        <f>1_PRE_RAW!L42</f>
        <v/>
      </c>
      <c r="M42" s="5">
        <f>1_PRE_RAW!M42</f>
        <v/>
      </c>
      <c r="N42" s="5">
        <f>1_PRE_RAW!N42</f>
        <v/>
      </c>
      <c r="O42" s="5">
        <f>1_PRE_RAW!O42</f>
        <v/>
      </c>
      <c r="P42" s="5">
        <f>1_PRE_RAW!P42</f>
        <v/>
      </c>
      <c r="Q42" s="5">
        <f>1_PRE_RAW!Q42</f>
        <v/>
      </c>
      <c r="R42" s="5">
        <f>1_PRE_RAW!R42</f>
        <v/>
      </c>
      <c r="S42" s="5">
        <f>1_PRE_RAW!S42</f>
        <v/>
      </c>
      <c r="T42" s="5">
        <f>1_PRE_RAW!T42</f>
        <v/>
      </c>
      <c r="U42" s="5">
        <f>1_PRE_RAW!U42</f>
        <v/>
      </c>
      <c r="V42" s="5">
        <f>1_PRE_RAW!V42</f>
        <v/>
      </c>
      <c r="W42" s="5">
        <f>1_PRE_RAW!W42</f>
        <v/>
      </c>
      <c r="X42" s="5">
        <f>1_PRE_RAW!X42</f>
        <v/>
      </c>
      <c r="Y42" s="5">
        <f>1_PRE_RAW!Y42</f>
        <v/>
      </c>
      <c r="Z42" s="5">
        <f>1_PRE_RAW!Z42</f>
        <v/>
      </c>
      <c r="AA42" s="5">
        <f>1_PRE_RAW!AA42</f>
        <v/>
      </c>
      <c r="AB42" s="5">
        <f>1_PRE_RAW!AB42</f>
        <v/>
      </c>
      <c r="AC42" s="5">
        <f>1_PRE_RAW!AC42</f>
        <v/>
      </c>
      <c r="AD42" s="5">
        <f>2.5*((H42-1)+(5-I42)+(J42-1)+(5-K42)+(L42-1)+(5-M42)+(N42-1)+(5-O42)+(P42-1)+(5-Q42))</f>
        <v/>
      </c>
      <c r="AE42" s="5">
        <f>SUM(R42:Y42)</f>
        <v/>
      </c>
      <c r="AF42" s="5">
        <f>AVERAGE(Z42,AB42)</f>
        <v/>
      </c>
      <c r="AG42" s="5">
        <f>AA42+AC42</f>
        <v/>
      </c>
    </row>
    <row r="43">
      <c r="A43" s="5">
        <f>1_PRE_RAW!A43</f>
        <v/>
      </c>
      <c r="B43" s="5">
        <f>1_PRE_RAW!B43</f>
        <v/>
      </c>
      <c r="C43" s="5">
        <f>1_PRE_RAW!C43</f>
        <v/>
      </c>
      <c r="D43" s="5">
        <f>1_PRE_RAW!D43</f>
        <v/>
      </c>
      <c r="E43" s="5">
        <f>1_PRE_RAW!E43</f>
        <v/>
      </c>
      <c r="F43" s="5">
        <f>1_PRE_RAW!F43</f>
        <v/>
      </c>
      <c r="G43" s="5">
        <f>1_PRE_RAW!G43</f>
        <v/>
      </c>
      <c r="H43" s="5">
        <f>1_PRE_RAW!H43</f>
        <v/>
      </c>
      <c r="I43" s="5">
        <f>1_PRE_RAW!I43</f>
        <v/>
      </c>
      <c r="J43" s="5">
        <f>1_PRE_RAW!J43</f>
        <v/>
      </c>
      <c r="K43" s="5">
        <f>1_PRE_RAW!K43</f>
        <v/>
      </c>
      <c r="L43" s="5">
        <f>1_PRE_RAW!L43</f>
        <v/>
      </c>
      <c r="M43" s="5">
        <f>1_PRE_RAW!M43</f>
        <v/>
      </c>
      <c r="N43" s="5">
        <f>1_PRE_RAW!N43</f>
        <v/>
      </c>
      <c r="O43" s="5">
        <f>1_PRE_RAW!O43</f>
        <v/>
      </c>
      <c r="P43" s="5">
        <f>1_PRE_RAW!P43</f>
        <v/>
      </c>
      <c r="Q43" s="5">
        <f>1_PRE_RAW!Q43</f>
        <v/>
      </c>
      <c r="R43" s="5">
        <f>1_PRE_RAW!R43</f>
        <v/>
      </c>
      <c r="S43" s="5">
        <f>1_PRE_RAW!S43</f>
        <v/>
      </c>
      <c r="T43" s="5">
        <f>1_PRE_RAW!T43</f>
        <v/>
      </c>
      <c r="U43" s="5">
        <f>1_PRE_RAW!U43</f>
        <v/>
      </c>
      <c r="V43" s="5">
        <f>1_PRE_RAW!V43</f>
        <v/>
      </c>
      <c r="W43" s="5">
        <f>1_PRE_RAW!W43</f>
        <v/>
      </c>
      <c r="X43" s="5">
        <f>1_PRE_RAW!X43</f>
        <v/>
      </c>
      <c r="Y43" s="5">
        <f>1_PRE_RAW!Y43</f>
        <v/>
      </c>
      <c r="Z43" s="5">
        <f>1_PRE_RAW!Z43</f>
        <v/>
      </c>
      <c r="AA43" s="5">
        <f>1_PRE_RAW!AA43</f>
        <v/>
      </c>
      <c r="AB43" s="5">
        <f>1_PRE_RAW!AB43</f>
        <v/>
      </c>
      <c r="AC43" s="5">
        <f>1_PRE_RAW!AC43</f>
        <v/>
      </c>
      <c r="AD43" s="5">
        <f>2.5*((H43-1)+(5-I43)+(J43-1)+(5-K43)+(L43-1)+(5-M43)+(N43-1)+(5-O43)+(P43-1)+(5-Q43))</f>
        <v/>
      </c>
      <c r="AE43" s="5">
        <f>SUM(R43:Y43)</f>
        <v/>
      </c>
      <c r="AF43" s="5">
        <f>AVERAGE(Z43,AB43)</f>
        <v/>
      </c>
      <c r="AG43" s="5">
        <f>AA43+AC43</f>
        <v/>
      </c>
    </row>
    <row r="44">
      <c r="A44" s="5">
        <f>1_PRE_RAW!A44</f>
        <v/>
      </c>
      <c r="B44" s="5">
        <f>1_PRE_RAW!B44</f>
        <v/>
      </c>
      <c r="C44" s="5">
        <f>1_PRE_RAW!C44</f>
        <v/>
      </c>
      <c r="D44" s="5">
        <f>1_PRE_RAW!D44</f>
        <v/>
      </c>
      <c r="E44" s="5">
        <f>1_PRE_RAW!E44</f>
        <v/>
      </c>
      <c r="F44" s="5">
        <f>1_PRE_RAW!F44</f>
        <v/>
      </c>
      <c r="G44" s="5">
        <f>1_PRE_RAW!G44</f>
        <v/>
      </c>
      <c r="H44" s="5">
        <f>1_PRE_RAW!H44</f>
        <v/>
      </c>
      <c r="I44" s="5">
        <f>1_PRE_RAW!I44</f>
        <v/>
      </c>
      <c r="J44" s="5">
        <f>1_PRE_RAW!J44</f>
        <v/>
      </c>
      <c r="K44" s="5">
        <f>1_PRE_RAW!K44</f>
        <v/>
      </c>
      <c r="L44" s="5">
        <f>1_PRE_RAW!L44</f>
        <v/>
      </c>
      <c r="M44" s="5">
        <f>1_PRE_RAW!M44</f>
        <v/>
      </c>
      <c r="N44" s="5">
        <f>1_PRE_RAW!N44</f>
        <v/>
      </c>
      <c r="O44" s="5">
        <f>1_PRE_RAW!O44</f>
        <v/>
      </c>
      <c r="P44" s="5">
        <f>1_PRE_RAW!P44</f>
        <v/>
      </c>
      <c r="Q44" s="5">
        <f>1_PRE_RAW!Q44</f>
        <v/>
      </c>
      <c r="R44" s="5">
        <f>1_PRE_RAW!R44</f>
        <v/>
      </c>
      <c r="S44" s="5">
        <f>1_PRE_RAW!S44</f>
        <v/>
      </c>
      <c r="T44" s="5">
        <f>1_PRE_RAW!T44</f>
        <v/>
      </c>
      <c r="U44" s="5">
        <f>1_PRE_RAW!U44</f>
        <v/>
      </c>
      <c r="V44" s="5">
        <f>1_PRE_RAW!V44</f>
        <v/>
      </c>
      <c r="W44" s="5">
        <f>1_PRE_RAW!W44</f>
        <v/>
      </c>
      <c r="X44" s="5">
        <f>1_PRE_RAW!X44</f>
        <v/>
      </c>
      <c r="Y44" s="5">
        <f>1_PRE_RAW!Y44</f>
        <v/>
      </c>
      <c r="Z44" s="5">
        <f>1_PRE_RAW!Z44</f>
        <v/>
      </c>
      <c r="AA44" s="5">
        <f>1_PRE_RAW!AA44</f>
        <v/>
      </c>
      <c r="AB44" s="5">
        <f>1_PRE_RAW!AB44</f>
        <v/>
      </c>
      <c r="AC44" s="5">
        <f>1_PRE_RAW!AC44</f>
        <v/>
      </c>
      <c r="AD44" s="5">
        <f>2.5*((H44-1)+(5-I44)+(J44-1)+(5-K44)+(L44-1)+(5-M44)+(N44-1)+(5-O44)+(P44-1)+(5-Q44))</f>
        <v/>
      </c>
      <c r="AE44" s="5">
        <f>SUM(R44:Y44)</f>
        <v/>
      </c>
      <c r="AF44" s="5">
        <f>AVERAGE(Z44,AB44)</f>
        <v/>
      </c>
      <c r="AG44" s="5">
        <f>AA44+AC44</f>
        <v/>
      </c>
    </row>
    <row r="45">
      <c r="A45" s="5">
        <f>1_PRE_RAW!A45</f>
        <v/>
      </c>
      <c r="B45" s="5">
        <f>1_PRE_RAW!B45</f>
        <v/>
      </c>
      <c r="C45" s="5">
        <f>1_PRE_RAW!C45</f>
        <v/>
      </c>
      <c r="D45" s="5">
        <f>1_PRE_RAW!D45</f>
        <v/>
      </c>
      <c r="E45" s="5">
        <f>1_PRE_RAW!E45</f>
        <v/>
      </c>
      <c r="F45" s="5">
        <f>1_PRE_RAW!F45</f>
        <v/>
      </c>
      <c r="G45" s="5">
        <f>1_PRE_RAW!G45</f>
        <v/>
      </c>
      <c r="H45" s="5">
        <f>1_PRE_RAW!H45</f>
        <v/>
      </c>
      <c r="I45" s="5">
        <f>1_PRE_RAW!I45</f>
        <v/>
      </c>
      <c r="J45" s="5">
        <f>1_PRE_RAW!J45</f>
        <v/>
      </c>
      <c r="K45" s="5">
        <f>1_PRE_RAW!K45</f>
        <v/>
      </c>
      <c r="L45" s="5">
        <f>1_PRE_RAW!L45</f>
        <v/>
      </c>
      <c r="M45" s="5">
        <f>1_PRE_RAW!M45</f>
        <v/>
      </c>
      <c r="N45" s="5">
        <f>1_PRE_RAW!N45</f>
        <v/>
      </c>
      <c r="O45" s="5">
        <f>1_PRE_RAW!O45</f>
        <v/>
      </c>
      <c r="P45" s="5">
        <f>1_PRE_RAW!P45</f>
        <v/>
      </c>
      <c r="Q45" s="5">
        <f>1_PRE_RAW!Q45</f>
        <v/>
      </c>
      <c r="R45" s="5">
        <f>1_PRE_RAW!R45</f>
        <v/>
      </c>
      <c r="S45" s="5">
        <f>1_PRE_RAW!S45</f>
        <v/>
      </c>
      <c r="T45" s="5">
        <f>1_PRE_RAW!T45</f>
        <v/>
      </c>
      <c r="U45" s="5">
        <f>1_PRE_RAW!U45</f>
        <v/>
      </c>
      <c r="V45" s="5">
        <f>1_PRE_RAW!V45</f>
        <v/>
      </c>
      <c r="W45" s="5">
        <f>1_PRE_RAW!W45</f>
        <v/>
      </c>
      <c r="X45" s="5">
        <f>1_PRE_RAW!X45</f>
        <v/>
      </c>
      <c r="Y45" s="5">
        <f>1_PRE_RAW!Y45</f>
        <v/>
      </c>
      <c r="Z45" s="5">
        <f>1_PRE_RAW!Z45</f>
        <v/>
      </c>
      <c r="AA45" s="5">
        <f>1_PRE_RAW!AA45</f>
        <v/>
      </c>
      <c r="AB45" s="5">
        <f>1_PRE_RAW!AB45</f>
        <v/>
      </c>
      <c r="AC45" s="5">
        <f>1_PRE_RAW!AC45</f>
        <v/>
      </c>
      <c r="AD45" s="5">
        <f>2.5*((H45-1)+(5-I45)+(J45-1)+(5-K45)+(L45-1)+(5-M45)+(N45-1)+(5-O45)+(P45-1)+(5-Q45))</f>
        <v/>
      </c>
      <c r="AE45" s="5">
        <f>SUM(R45:Y45)</f>
        <v/>
      </c>
      <c r="AF45" s="5">
        <f>AVERAGE(Z45,AB45)</f>
        <v/>
      </c>
      <c r="AG45" s="5">
        <f>AA45+AC45</f>
        <v/>
      </c>
    </row>
    <row r="46">
      <c r="A46" s="5">
        <f>1_PRE_RAW!A46</f>
        <v/>
      </c>
      <c r="B46" s="5">
        <f>1_PRE_RAW!B46</f>
        <v/>
      </c>
      <c r="C46" s="5">
        <f>1_PRE_RAW!C46</f>
        <v/>
      </c>
      <c r="D46" s="5">
        <f>1_PRE_RAW!D46</f>
        <v/>
      </c>
      <c r="E46" s="5">
        <f>1_PRE_RAW!E46</f>
        <v/>
      </c>
      <c r="F46" s="5">
        <f>1_PRE_RAW!F46</f>
        <v/>
      </c>
      <c r="G46" s="5">
        <f>1_PRE_RAW!G46</f>
        <v/>
      </c>
      <c r="H46" s="5">
        <f>1_PRE_RAW!H46</f>
        <v/>
      </c>
      <c r="I46" s="5">
        <f>1_PRE_RAW!I46</f>
        <v/>
      </c>
      <c r="J46" s="5">
        <f>1_PRE_RAW!J46</f>
        <v/>
      </c>
      <c r="K46" s="5">
        <f>1_PRE_RAW!K46</f>
        <v/>
      </c>
      <c r="L46" s="5">
        <f>1_PRE_RAW!L46</f>
        <v/>
      </c>
      <c r="M46" s="5">
        <f>1_PRE_RAW!M46</f>
        <v/>
      </c>
      <c r="N46" s="5">
        <f>1_PRE_RAW!N46</f>
        <v/>
      </c>
      <c r="O46" s="5">
        <f>1_PRE_RAW!O46</f>
        <v/>
      </c>
      <c r="P46" s="5">
        <f>1_PRE_RAW!P46</f>
        <v/>
      </c>
      <c r="Q46" s="5">
        <f>1_PRE_RAW!Q46</f>
        <v/>
      </c>
      <c r="R46" s="5">
        <f>1_PRE_RAW!R46</f>
        <v/>
      </c>
      <c r="S46" s="5">
        <f>1_PRE_RAW!S46</f>
        <v/>
      </c>
      <c r="T46" s="5">
        <f>1_PRE_RAW!T46</f>
        <v/>
      </c>
      <c r="U46" s="5">
        <f>1_PRE_RAW!U46</f>
        <v/>
      </c>
      <c r="V46" s="5">
        <f>1_PRE_RAW!V46</f>
        <v/>
      </c>
      <c r="W46" s="5">
        <f>1_PRE_RAW!W46</f>
        <v/>
      </c>
      <c r="X46" s="5">
        <f>1_PRE_RAW!X46</f>
        <v/>
      </c>
      <c r="Y46" s="5">
        <f>1_PRE_RAW!Y46</f>
        <v/>
      </c>
      <c r="Z46" s="5">
        <f>1_PRE_RAW!Z46</f>
        <v/>
      </c>
      <c r="AA46" s="5">
        <f>1_PRE_RAW!AA46</f>
        <v/>
      </c>
      <c r="AB46" s="5">
        <f>1_PRE_RAW!AB46</f>
        <v/>
      </c>
      <c r="AC46" s="5">
        <f>1_PRE_RAW!AC46</f>
        <v/>
      </c>
      <c r="AD46" s="5">
        <f>2.5*((H46-1)+(5-I46)+(J46-1)+(5-K46)+(L46-1)+(5-M46)+(N46-1)+(5-O46)+(P46-1)+(5-Q46))</f>
        <v/>
      </c>
      <c r="AE46" s="5">
        <f>SUM(R46:Y46)</f>
        <v/>
      </c>
      <c r="AF46" s="5">
        <f>AVERAGE(Z46,AB46)</f>
        <v/>
      </c>
      <c r="AG46" s="5">
        <f>AA46+AC46</f>
        <v/>
      </c>
    </row>
    <row r="47">
      <c r="A47" s="5">
        <f>1_PRE_RAW!A47</f>
        <v/>
      </c>
      <c r="B47" s="5">
        <f>1_PRE_RAW!B47</f>
        <v/>
      </c>
      <c r="C47" s="5">
        <f>1_PRE_RAW!C47</f>
        <v/>
      </c>
      <c r="D47" s="5">
        <f>1_PRE_RAW!D47</f>
        <v/>
      </c>
      <c r="E47" s="5">
        <f>1_PRE_RAW!E47</f>
        <v/>
      </c>
      <c r="F47" s="5">
        <f>1_PRE_RAW!F47</f>
        <v/>
      </c>
      <c r="G47" s="5">
        <f>1_PRE_RAW!G47</f>
        <v/>
      </c>
      <c r="H47" s="5">
        <f>1_PRE_RAW!H47</f>
        <v/>
      </c>
      <c r="I47" s="5">
        <f>1_PRE_RAW!I47</f>
        <v/>
      </c>
      <c r="J47" s="5">
        <f>1_PRE_RAW!J47</f>
        <v/>
      </c>
      <c r="K47" s="5">
        <f>1_PRE_RAW!K47</f>
        <v/>
      </c>
      <c r="L47" s="5">
        <f>1_PRE_RAW!L47</f>
        <v/>
      </c>
      <c r="M47" s="5">
        <f>1_PRE_RAW!M47</f>
        <v/>
      </c>
      <c r="N47" s="5">
        <f>1_PRE_RAW!N47</f>
        <v/>
      </c>
      <c r="O47" s="5">
        <f>1_PRE_RAW!O47</f>
        <v/>
      </c>
      <c r="P47" s="5">
        <f>1_PRE_RAW!P47</f>
        <v/>
      </c>
      <c r="Q47" s="5">
        <f>1_PRE_RAW!Q47</f>
        <v/>
      </c>
      <c r="R47" s="5">
        <f>1_PRE_RAW!R47</f>
        <v/>
      </c>
      <c r="S47" s="5">
        <f>1_PRE_RAW!S47</f>
        <v/>
      </c>
      <c r="T47" s="5">
        <f>1_PRE_RAW!T47</f>
        <v/>
      </c>
      <c r="U47" s="5">
        <f>1_PRE_RAW!U47</f>
        <v/>
      </c>
      <c r="V47" s="5">
        <f>1_PRE_RAW!V47</f>
        <v/>
      </c>
      <c r="W47" s="5">
        <f>1_PRE_RAW!W47</f>
        <v/>
      </c>
      <c r="X47" s="5">
        <f>1_PRE_RAW!X47</f>
        <v/>
      </c>
      <c r="Y47" s="5">
        <f>1_PRE_RAW!Y47</f>
        <v/>
      </c>
      <c r="Z47" s="5">
        <f>1_PRE_RAW!Z47</f>
        <v/>
      </c>
      <c r="AA47" s="5">
        <f>1_PRE_RAW!AA47</f>
        <v/>
      </c>
      <c r="AB47" s="5">
        <f>1_PRE_RAW!AB47</f>
        <v/>
      </c>
      <c r="AC47" s="5">
        <f>1_PRE_RAW!AC47</f>
        <v/>
      </c>
      <c r="AD47" s="5">
        <f>2.5*((H47-1)+(5-I47)+(J47-1)+(5-K47)+(L47-1)+(5-M47)+(N47-1)+(5-O47)+(P47-1)+(5-Q47))</f>
        <v/>
      </c>
      <c r="AE47" s="5">
        <f>SUM(R47:Y47)</f>
        <v/>
      </c>
      <c r="AF47" s="5">
        <f>AVERAGE(Z47,AB47)</f>
        <v/>
      </c>
      <c r="AG47" s="5">
        <f>AA47+AC47</f>
        <v/>
      </c>
    </row>
    <row r="48">
      <c r="A48" s="5">
        <f>1_PRE_RAW!A48</f>
        <v/>
      </c>
      <c r="B48" s="5">
        <f>1_PRE_RAW!B48</f>
        <v/>
      </c>
      <c r="C48" s="5">
        <f>1_PRE_RAW!C48</f>
        <v/>
      </c>
      <c r="D48" s="5">
        <f>1_PRE_RAW!D48</f>
        <v/>
      </c>
      <c r="E48" s="5">
        <f>1_PRE_RAW!E48</f>
        <v/>
      </c>
      <c r="F48" s="5">
        <f>1_PRE_RAW!F48</f>
        <v/>
      </c>
      <c r="G48" s="5">
        <f>1_PRE_RAW!G48</f>
        <v/>
      </c>
      <c r="H48" s="5">
        <f>1_PRE_RAW!H48</f>
        <v/>
      </c>
      <c r="I48" s="5">
        <f>1_PRE_RAW!I48</f>
        <v/>
      </c>
      <c r="J48" s="5">
        <f>1_PRE_RAW!J48</f>
        <v/>
      </c>
      <c r="K48" s="5">
        <f>1_PRE_RAW!K48</f>
        <v/>
      </c>
      <c r="L48" s="5">
        <f>1_PRE_RAW!L48</f>
        <v/>
      </c>
      <c r="M48" s="5">
        <f>1_PRE_RAW!M48</f>
        <v/>
      </c>
      <c r="N48" s="5">
        <f>1_PRE_RAW!N48</f>
        <v/>
      </c>
      <c r="O48" s="5">
        <f>1_PRE_RAW!O48</f>
        <v/>
      </c>
      <c r="P48" s="5">
        <f>1_PRE_RAW!P48</f>
        <v/>
      </c>
      <c r="Q48" s="5">
        <f>1_PRE_RAW!Q48</f>
        <v/>
      </c>
      <c r="R48" s="5">
        <f>1_PRE_RAW!R48</f>
        <v/>
      </c>
      <c r="S48" s="5">
        <f>1_PRE_RAW!S48</f>
        <v/>
      </c>
      <c r="T48" s="5">
        <f>1_PRE_RAW!T48</f>
        <v/>
      </c>
      <c r="U48" s="5">
        <f>1_PRE_RAW!U48</f>
        <v/>
      </c>
      <c r="V48" s="5">
        <f>1_PRE_RAW!V48</f>
        <v/>
      </c>
      <c r="W48" s="5">
        <f>1_PRE_RAW!W48</f>
        <v/>
      </c>
      <c r="X48" s="5">
        <f>1_PRE_RAW!X48</f>
        <v/>
      </c>
      <c r="Y48" s="5">
        <f>1_PRE_RAW!Y48</f>
        <v/>
      </c>
      <c r="Z48" s="5">
        <f>1_PRE_RAW!Z48</f>
        <v/>
      </c>
      <c r="AA48" s="5">
        <f>1_PRE_RAW!AA48</f>
        <v/>
      </c>
      <c r="AB48" s="5">
        <f>1_PRE_RAW!AB48</f>
        <v/>
      </c>
      <c r="AC48" s="5">
        <f>1_PRE_RAW!AC48</f>
        <v/>
      </c>
      <c r="AD48" s="5">
        <f>2.5*((H48-1)+(5-I48)+(J48-1)+(5-K48)+(L48-1)+(5-M48)+(N48-1)+(5-O48)+(P48-1)+(5-Q48))</f>
        <v/>
      </c>
      <c r="AE48" s="5">
        <f>SUM(R48:Y48)</f>
        <v/>
      </c>
      <c r="AF48" s="5">
        <f>AVERAGE(Z48,AB48)</f>
        <v/>
      </c>
      <c r="AG48" s="5">
        <f>AA48+AC48</f>
        <v/>
      </c>
    </row>
    <row r="49">
      <c r="A49" s="5">
        <f>1_PRE_RAW!A49</f>
        <v/>
      </c>
      <c r="B49" s="5">
        <f>1_PRE_RAW!B49</f>
        <v/>
      </c>
      <c r="C49" s="5">
        <f>1_PRE_RAW!C49</f>
        <v/>
      </c>
      <c r="D49" s="5">
        <f>1_PRE_RAW!D49</f>
        <v/>
      </c>
      <c r="E49" s="5">
        <f>1_PRE_RAW!E49</f>
        <v/>
      </c>
      <c r="F49" s="5">
        <f>1_PRE_RAW!F49</f>
        <v/>
      </c>
      <c r="G49" s="5">
        <f>1_PRE_RAW!G49</f>
        <v/>
      </c>
      <c r="H49" s="5">
        <f>1_PRE_RAW!H49</f>
        <v/>
      </c>
      <c r="I49" s="5">
        <f>1_PRE_RAW!I49</f>
        <v/>
      </c>
      <c r="J49" s="5">
        <f>1_PRE_RAW!J49</f>
        <v/>
      </c>
      <c r="K49" s="5">
        <f>1_PRE_RAW!K49</f>
        <v/>
      </c>
      <c r="L49" s="5">
        <f>1_PRE_RAW!L49</f>
        <v/>
      </c>
      <c r="M49" s="5">
        <f>1_PRE_RAW!M49</f>
        <v/>
      </c>
      <c r="N49" s="5">
        <f>1_PRE_RAW!N49</f>
        <v/>
      </c>
      <c r="O49" s="5">
        <f>1_PRE_RAW!O49</f>
        <v/>
      </c>
      <c r="P49" s="5">
        <f>1_PRE_RAW!P49</f>
        <v/>
      </c>
      <c r="Q49" s="5">
        <f>1_PRE_RAW!Q49</f>
        <v/>
      </c>
      <c r="R49" s="5">
        <f>1_PRE_RAW!R49</f>
        <v/>
      </c>
      <c r="S49" s="5">
        <f>1_PRE_RAW!S49</f>
        <v/>
      </c>
      <c r="T49" s="5">
        <f>1_PRE_RAW!T49</f>
        <v/>
      </c>
      <c r="U49" s="5">
        <f>1_PRE_RAW!U49</f>
        <v/>
      </c>
      <c r="V49" s="5">
        <f>1_PRE_RAW!V49</f>
        <v/>
      </c>
      <c r="W49" s="5">
        <f>1_PRE_RAW!W49</f>
        <v/>
      </c>
      <c r="X49" s="5">
        <f>1_PRE_RAW!X49</f>
        <v/>
      </c>
      <c r="Y49" s="5">
        <f>1_PRE_RAW!Y49</f>
        <v/>
      </c>
      <c r="Z49" s="5">
        <f>1_PRE_RAW!Z49</f>
        <v/>
      </c>
      <c r="AA49" s="5">
        <f>1_PRE_RAW!AA49</f>
        <v/>
      </c>
      <c r="AB49" s="5">
        <f>1_PRE_RAW!AB49</f>
        <v/>
      </c>
      <c r="AC49" s="5">
        <f>1_PRE_RAW!AC49</f>
        <v/>
      </c>
      <c r="AD49" s="5">
        <f>2.5*((H49-1)+(5-I49)+(J49-1)+(5-K49)+(L49-1)+(5-M49)+(N49-1)+(5-O49)+(P49-1)+(5-Q49))</f>
        <v/>
      </c>
      <c r="AE49" s="5">
        <f>SUM(R49:Y49)</f>
        <v/>
      </c>
      <c r="AF49" s="5">
        <f>AVERAGE(Z49,AB49)</f>
        <v/>
      </c>
      <c r="AG49" s="5">
        <f>AA49+AC49</f>
        <v/>
      </c>
    </row>
    <row r="50">
      <c r="A50" s="5">
        <f>1_PRE_RAW!A50</f>
        <v/>
      </c>
      <c r="B50" s="5">
        <f>1_PRE_RAW!B50</f>
        <v/>
      </c>
      <c r="C50" s="5">
        <f>1_PRE_RAW!C50</f>
        <v/>
      </c>
      <c r="D50" s="5">
        <f>1_PRE_RAW!D50</f>
        <v/>
      </c>
      <c r="E50" s="5">
        <f>1_PRE_RAW!E50</f>
        <v/>
      </c>
      <c r="F50" s="5">
        <f>1_PRE_RAW!F50</f>
        <v/>
      </c>
      <c r="G50" s="5">
        <f>1_PRE_RAW!G50</f>
        <v/>
      </c>
      <c r="H50" s="5">
        <f>1_PRE_RAW!H50</f>
        <v/>
      </c>
      <c r="I50" s="5">
        <f>1_PRE_RAW!I50</f>
        <v/>
      </c>
      <c r="J50" s="5">
        <f>1_PRE_RAW!J50</f>
        <v/>
      </c>
      <c r="K50" s="5">
        <f>1_PRE_RAW!K50</f>
        <v/>
      </c>
      <c r="L50" s="5">
        <f>1_PRE_RAW!L50</f>
        <v/>
      </c>
      <c r="M50" s="5">
        <f>1_PRE_RAW!M50</f>
        <v/>
      </c>
      <c r="N50" s="5">
        <f>1_PRE_RAW!N50</f>
        <v/>
      </c>
      <c r="O50" s="5">
        <f>1_PRE_RAW!O50</f>
        <v/>
      </c>
      <c r="P50" s="5">
        <f>1_PRE_RAW!P50</f>
        <v/>
      </c>
      <c r="Q50" s="5">
        <f>1_PRE_RAW!Q50</f>
        <v/>
      </c>
      <c r="R50" s="5">
        <f>1_PRE_RAW!R50</f>
        <v/>
      </c>
      <c r="S50" s="5">
        <f>1_PRE_RAW!S50</f>
        <v/>
      </c>
      <c r="T50" s="5">
        <f>1_PRE_RAW!T50</f>
        <v/>
      </c>
      <c r="U50" s="5">
        <f>1_PRE_RAW!U50</f>
        <v/>
      </c>
      <c r="V50" s="5">
        <f>1_PRE_RAW!V50</f>
        <v/>
      </c>
      <c r="W50" s="5">
        <f>1_PRE_RAW!W50</f>
        <v/>
      </c>
      <c r="X50" s="5">
        <f>1_PRE_RAW!X50</f>
        <v/>
      </c>
      <c r="Y50" s="5">
        <f>1_PRE_RAW!Y50</f>
        <v/>
      </c>
      <c r="Z50" s="5">
        <f>1_PRE_RAW!Z50</f>
        <v/>
      </c>
      <c r="AA50" s="5">
        <f>1_PRE_RAW!AA50</f>
        <v/>
      </c>
      <c r="AB50" s="5">
        <f>1_PRE_RAW!AB50</f>
        <v/>
      </c>
      <c r="AC50" s="5">
        <f>1_PRE_RAW!AC50</f>
        <v/>
      </c>
      <c r="AD50" s="5">
        <f>2.5*((H50-1)+(5-I50)+(J50-1)+(5-K50)+(L50-1)+(5-M50)+(N50-1)+(5-O50)+(P50-1)+(5-Q50))</f>
        <v/>
      </c>
      <c r="AE50" s="5">
        <f>SUM(R50:Y50)</f>
        <v/>
      </c>
      <c r="AF50" s="5">
        <f>AVERAGE(Z50,AB50)</f>
        <v/>
      </c>
      <c r="AG50" s="5">
        <f>AA50+AC50</f>
        <v/>
      </c>
    </row>
    <row r="51">
      <c r="A51" s="5">
        <f>1_PRE_RAW!A51</f>
        <v/>
      </c>
      <c r="B51" s="5">
        <f>1_PRE_RAW!B51</f>
        <v/>
      </c>
      <c r="C51" s="5">
        <f>1_PRE_RAW!C51</f>
        <v/>
      </c>
      <c r="D51" s="5">
        <f>1_PRE_RAW!D51</f>
        <v/>
      </c>
      <c r="E51" s="5">
        <f>1_PRE_RAW!E51</f>
        <v/>
      </c>
      <c r="F51" s="5">
        <f>1_PRE_RAW!F51</f>
        <v/>
      </c>
      <c r="G51" s="5">
        <f>1_PRE_RAW!G51</f>
        <v/>
      </c>
      <c r="H51" s="5">
        <f>1_PRE_RAW!H51</f>
        <v/>
      </c>
      <c r="I51" s="5">
        <f>1_PRE_RAW!I51</f>
        <v/>
      </c>
      <c r="J51" s="5">
        <f>1_PRE_RAW!J51</f>
        <v/>
      </c>
      <c r="K51" s="5">
        <f>1_PRE_RAW!K51</f>
        <v/>
      </c>
      <c r="L51" s="5">
        <f>1_PRE_RAW!L51</f>
        <v/>
      </c>
      <c r="M51" s="5">
        <f>1_PRE_RAW!M51</f>
        <v/>
      </c>
      <c r="N51" s="5">
        <f>1_PRE_RAW!N51</f>
        <v/>
      </c>
      <c r="O51" s="5">
        <f>1_PRE_RAW!O51</f>
        <v/>
      </c>
      <c r="P51" s="5">
        <f>1_PRE_RAW!P51</f>
        <v/>
      </c>
      <c r="Q51" s="5">
        <f>1_PRE_RAW!Q51</f>
        <v/>
      </c>
      <c r="R51" s="5">
        <f>1_PRE_RAW!R51</f>
        <v/>
      </c>
      <c r="S51" s="5">
        <f>1_PRE_RAW!S51</f>
        <v/>
      </c>
      <c r="T51" s="5">
        <f>1_PRE_RAW!T51</f>
        <v/>
      </c>
      <c r="U51" s="5">
        <f>1_PRE_RAW!U51</f>
        <v/>
      </c>
      <c r="V51" s="5">
        <f>1_PRE_RAW!V51</f>
        <v/>
      </c>
      <c r="W51" s="5">
        <f>1_PRE_RAW!W51</f>
        <v/>
      </c>
      <c r="X51" s="5">
        <f>1_PRE_RAW!X51</f>
        <v/>
      </c>
      <c r="Y51" s="5">
        <f>1_PRE_RAW!Y51</f>
        <v/>
      </c>
      <c r="Z51" s="5">
        <f>1_PRE_RAW!Z51</f>
        <v/>
      </c>
      <c r="AA51" s="5">
        <f>1_PRE_RAW!AA51</f>
        <v/>
      </c>
      <c r="AB51" s="5">
        <f>1_PRE_RAW!AB51</f>
        <v/>
      </c>
      <c r="AC51" s="5">
        <f>1_PRE_RAW!AC51</f>
        <v/>
      </c>
      <c r="AD51" s="5">
        <f>2.5*((H51-1)+(5-I51)+(J51-1)+(5-K51)+(L51-1)+(5-M51)+(N51-1)+(5-O51)+(P51-1)+(5-Q51))</f>
        <v/>
      </c>
      <c r="AE51" s="5">
        <f>SUM(R51:Y51)</f>
        <v/>
      </c>
      <c r="AF51" s="5">
        <f>AVERAGE(Z51,AB51)</f>
        <v/>
      </c>
      <c r="AG51" s="5">
        <f>AA51+AC51</f>
        <v/>
      </c>
    </row>
    <row r="52">
      <c r="A52" s="5">
        <f>1_PRE_RAW!A52</f>
        <v/>
      </c>
      <c r="B52" s="5">
        <f>1_PRE_RAW!B52</f>
        <v/>
      </c>
      <c r="C52" s="5">
        <f>1_PRE_RAW!C52</f>
        <v/>
      </c>
      <c r="D52" s="5">
        <f>1_PRE_RAW!D52</f>
        <v/>
      </c>
      <c r="E52" s="5">
        <f>1_PRE_RAW!E52</f>
        <v/>
      </c>
      <c r="F52" s="5">
        <f>1_PRE_RAW!F52</f>
        <v/>
      </c>
      <c r="G52" s="5">
        <f>1_PRE_RAW!G52</f>
        <v/>
      </c>
      <c r="H52" s="5">
        <f>1_PRE_RAW!H52</f>
        <v/>
      </c>
      <c r="I52" s="5">
        <f>1_PRE_RAW!I52</f>
        <v/>
      </c>
      <c r="J52" s="5">
        <f>1_PRE_RAW!J52</f>
        <v/>
      </c>
      <c r="K52" s="5">
        <f>1_PRE_RAW!K52</f>
        <v/>
      </c>
      <c r="L52" s="5">
        <f>1_PRE_RAW!L52</f>
        <v/>
      </c>
      <c r="M52" s="5">
        <f>1_PRE_RAW!M52</f>
        <v/>
      </c>
      <c r="N52" s="5">
        <f>1_PRE_RAW!N52</f>
        <v/>
      </c>
      <c r="O52" s="5">
        <f>1_PRE_RAW!O52</f>
        <v/>
      </c>
      <c r="P52" s="5">
        <f>1_PRE_RAW!P52</f>
        <v/>
      </c>
      <c r="Q52" s="5">
        <f>1_PRE_RAW!Q52</f>
        <v/>
      </c>
      <c r="R52" s="5">
        <f>1_PRE_RAW!R52</f>
        <v/>
      </c>
      <c r="S52" s="5">
        <f>1_PRE_RAW!S52</f>
        <v/>
      </c>
      <c r="T52" s="5">
        <f>1_PRE_RAW!T52</f>
        <v/>
      </c>
      <c r="U52" s="5">
        <f>1_PRE_RAW!U52</f>
        <v/>
      </c>
      <c r="V52" s="5">
        <f>1_PRE_RAW!V52</f>
        <v/>
      </c>
      <c r="W52" s="5">
        <f>1_PRE_RAW!W52</f>
        <v/>
      </c>
      <c r="X52" s="5">
        <f>1_PRE_RAW!X52</f>
        <v/>
      </c>
      <c r="Y52" s="5">
        <f>1_PRE_RAW!Y52</f>
        <v/>
      </c>
      <c r="Z52" s="5">
        <f>1_PRE_RAW!Z52</f>
        <v/>
      </c>
      <c r="AA52" s="5">
        <f>1_PRE_RAW!AA52</f>
        <v/>
      </c>
      <c r="AB52" s="5">
        <f>1_PRE_RAW!AB52</f>
        <v/>
      </c>
      <c r="AC52" s="5">
        <f>1_PRE_RAW!AC52</f>
        <v/>
      </c>
      <c r="AD52" s="5">
        <f>2.5*((H52-1)+(5-I52)+(J52-1)+(5-K52)+(L52-1)+(5-M52)+(N52-1)+(5-O52)+(P52-1)+(5-Q52))</f>
        <v/>
      </c>
      <c r="AE52" s="5">
        <f>SUM(R52:Y52)</f>
        <v/>
      </c>
      <c r="AF52" s="5">
        <f>AVERAGE(Z52,AB52)</f>
        <v/>
      </c>
      <c r="AG52" s="5">
        <f>AA52+AC52</f>
        <v/>
      </c>
    </row>
    <row r="53">
      <c r="A53" s="5">
        <f>1_PRE_RAW!A53</f>
        <v/>
      </c>
      <c r="B53" s="5">
        <f>1_PRE_RAW!B53</f>
        <v/>
      </c>
      <c r="C53" s="5">
        <f>1_PRE_RAW!C53</f>
        <v/>
      </c>
      <c r="D53" s="5">
        <f>1_PRE_RAW!D53</f>
        <v/>
      </c>
      <c r="E53" s="5">
        <f>1_PRE_RAW!E53</f>
        <v/>
      </c>
      <c r="F53" s="5">
        <f>1_PRE_RAW!F53</f>
        <v/>
      </c>
      <c r="G53" s="5">
        <f>1_PRE_RAW!G53</f>
        <v/>
      </c>
      <c r="H53" s="5">
        <f>1_PRE_RAW!H53</f>
        <v/>
      </c>
      <c r="I53" s="5">
        <f>1_PRE_RAW!I53</f>
        <v/>
      </c>
      <c r="J53" s="5">
        <f>1_PRE_RAW!J53</f>
        <v/>
      </c>
      <c r="K53" s="5">
        <f>1_PRE_RAW!K53</f>
        <v/>
      </c>
      <c r="L53" s="5">
        <f>1_PRE_RAW!L53</f>
        <v/>
      </c>
      <c r="M53" s="5">
        <f>1_PRE_RAW!M53</f>
        <v/>
      </c>
      <c r="N53" s="5">
        <f>1_PRE_RAW!N53</f>
        <v/>
      </c>
      <c r="O53" s="5">
        <f>1_PRE_RAW!O53</f>
        <v/>
      </c>
      <c r="P53" s="5">
        <f>1_PRE_RAW!P53</f>
        <v/>
      </c>
      <c r="Q53" s="5">
        <f>1_PRE_RAW!Q53</f>
        <v/>
      </c>
      <c r="R53" s="5">
        <f>1_PRE_RAW!R53</f>
        <v/>
      </c>
      <c r="S53" s="5">
        <f>1_PRE_RAW!S53</f>
        <v/>
      </c>
      <c r="T53" s="5">
        <f>1_PRE_RAW!T53</f>
        <v/>
      </c>
      <c r="U53" s="5">
        <f>1_PRE_RAW!U53</f>
        <v/>
      </c>
      <c r="V53" s="5">
        <f>1_PRE_RAW!V53</f>
        <v/>
      </c>
      <c r="W53" s="5">
        <f>1_PRE_RAW!W53</f>
        <v/>
      </c>
      <c r="X53" s="5">
        <f>1_PRE_RAW!X53</f>
        <v/>
      </c>
      <c r="Y53" s="5">
        <f>1_PRE_RAW!Y53</f>
        <v/>
      </c>
      <c r="Z53" s="5">
        <f>1_PRE_RAW!Z53</f>
        <v/>
      </c>
      <c r="AA53" s="5">
        <f>1_PRE_RAW!AA53</f>
        <v/>
      </c>
      <c r="AB53" s="5">
        <f>1_PRE_RAW!AB53</f>
        <v/>
      </c>
      <c r="AC53" s="5">
        <f>1_PRE_RAW!AC53</f>
        <v/>
      </c>
      <c r="AD53" s="5">
        <f>2.5*((H53-1)+(5-I53)+(J53-1)+(5-K53)+(L53-1)+(5-M53)+(N53-1)+(5-O53)+(P53-1)+(5-Q53))</f>
        <v/>
      </c>
      <c r="AE53" s="5">
        <f>SUM(R53:Y53)</f>
        <v/>
      </c>
      <c r="AF53" s="5">
        <f>AVERAGE(Z53,AB53)</f>
        <v/>
      </c>
      <c r="AG53" s="5">
        <f>AA53+AC53</f>
        <v/>
      </c>
    </row>
    <row r="54">
      <c r="A54" s="5">
        <f>1_PRE_RAW!A54</f>
        <v/>
      </c>
      <c r="B54" s="5">
        <f>1_PRE_RAW!B54</f>
        <v/>
      </c>
      <c r="C54" s="5">
        <f>1_PRE_RAW!C54</f>
        <v/>
      </c>
      <c r="D54" s="5">
        <f>1_PRE_RAW!D54</f>
        <v/>
      </c>
      <c r="E54" s="5">
        <f>1_PRE_RAW!E54</f>
        <v/>
      </c>
      <c r="F54" s="5">
        <f>1_PRE_RAW!F54</f>
        <v/>
      </c>
      <c r="G54" s="5">
        <f>1_PRE_RAW!G54</f>
        <v/>
      </c>
      <c r="H54" s="5">
        <f>1_PRE_RAW!H54</f>
        <v/>
      </c>
      <c r="I54" s="5">
        <f>1_PRE_RAW!I54</f>
        <v/>
      </c>
      <c r="J54" s="5">
        <f>1_PRE_RAW!J54</f>
        <v/>
      </c>
      <c r="K54" s="5">
        <f>1_PRE_RAW!K54</f>
        <v/>
      </c>
      <c r="L54" s="5">
        <f>1_PRE_RAW!L54</f>
        <v/>
      </c>
      <c r="M54" s="5">
        <f>1_PRE_RAW!M54</f>
        <v/>
      </c>
      <c r="N54" s="5">
        <f>1_PRE_RAW!N54</f>
        <v/>
      </c>
      <c r="O54" s="5">
        <f>1_PRE_RAW!O54</f>
        <v/>
      </c>
      <c r="P54" s="5">
        <f>1_PRE_RAW!P54</f>
        <v/>
      </c>
      <c r="Q54" s="5">
        <f>1_PRE_RAW!Q54</f>
        <v/>
      </c>
      <c r="R54" s="5">
        <f>1_PRE_RAW!R54</f>
        <v/>
      </c>
      <c r="S54" s="5">
        <f>1_PRE_RAW!S54</f>
        <v/>
      </c>
      <c r="T54" s="5">
        <f>1_PRE_RAW!T54</f>
        <v/>
      </c>
      <c r="U54" s="5">
        <f>1_PRE_RAW!U54</f>
        <v/>
      </c>
      <c r="V54" s="5">
        <f>1_PRE_RAW!V54</f>
        <v/>
      </c>
      <c r="W54" s="5">
        <f>1_PRE_RAW!W54</f>
        <v/>
      </c>
      <c r="X54" s="5">
        <f>1_PRE_RAW!X54</f>
        <v/>
      </c>
      <c r="Y54" s="5">
        <f>1_PRE_RAW!Y54</f>
        <v/>
      </c>
      <c r="Z54" s="5">
        <f>1_PRE_RAW!Z54</f>
        <v/>
      </c>
      <c r="AA54" s="5">
        <f>1_PRE_RAW!AA54</f>
        <v/>
      </c>
      <c r="AB54" s="5">
        <f>1_PRE_RAW!AB54</f>
        <v/>
      </c>
      <c r="AC54" s="5">
        <f>1_PRE_RAW!AC54</f>
        <v/>
      </c>
      <c r="AD54" s="5">
        <f>2.5*((H54-1)+(5-I54)+(J54-1)+(5-K54)+(L54-1)+(5-M54)+(N54-1)+(5-O54)+(P54-1)+(5-Q54))</f>
        <v/>
      </c>
      <c r="AE54" s="5">
        <f>SUM(R54:Y54)</f>
        <v/>
      </c>
      <c r="AF54" s="5">
        <f>AVERAGE(Z54,AB54)</f>
        <v/>
      </c>
      <c r="AG54" s="5">
        <f>AA54+AC54</f>
        <v/>
      </c>
    </row>
    <row r="55">
      <c r="A55" s="5">
        <f>1_PRE_RAW!A55</f>
        <v/>
      </c>
      <c r="B55" s="5">
        <f>1_PRE_RAW!B55</f>
        <v/>
      </c>
      <c r="C55" s="5">
        <f>1_PRE_RAW!C55</f>
        <v/>
      </c>
      <c r="D55" s="5">
        <f>1_PRE_RAW!D55</f>
        <v/>
      </c>
      <c r="E55" s="5">
        <f>1_PRE_RAW!E55</f>
        <v/>
      </c>
      <c r="F55" s="5">
        <f>1_PRE_RAW!F55</f>
        <v/>
      </c>
      <c r="G55" s="5">
        <f>1_PRE_RAW!G55</f>
        <v/>
      </c>
      <c r="H55" s="5">
        <f>1_PRE_RAW!H55</f>
        <v/>
      </c>
      <c r="I55" s="5">
        <f>1_PRE_RAW!I55</f>
        <v/>
      </c>
      <c r="J55" s="5">
        <f>1_PRE_RAW!J55</f>
        <v/>
      </c>
      <c r="K55" s="5">
        <f>1_PRE_RAW!K55</f>
        <v/>
      </c>
      <c r="L55" s="5">
        <f>1_PRE_RAW!L55</f>
        <v/>
      </c>
      <c r="M55" s="5">
        <f>1_PRE_RAW!M55</f>
        <v/>
      </c>
      <c r="N55" s="5">
        <f>1_PRE_RAW!N55</f>
        <v/>
      </c>
      <c r="O55" s="5">
        <f>1_PRE_RAW!O55</f>
        <v/>
      </c>
      <c r="P55" s="5">
        <f>1_PRE_RAW!P55</f>
        <v/>
      </c>
      <c r="Q55" s="5">
        <f>1_PRE_RAW!Q55</f>
        <v/>
      </c>
      <c r="R55" s="5">
        <f>1_PRE_RAW!R55</f>
        <v/>
      </c>
      <c r="S55" s="5">
        <f>1_PRE_RAW!S55</f>
        <v/>
      </c>
      <c r="T55" s="5">
        <f>1_PRE_RAW!T55</f>
        <v/>
      </c>
      <c r="U55" s="5">
        <f>1_PRE_RAW!U55</f>
        <v/>
      </c>
      <c r="V55" s="5">
        <f>1_PRE_RAW!V55</f>
        <v/>
      </c>
      <c r="W55" s="5">
        <f>1_PRE_RAW!W55</f>
        <v/>
      </c>
      <c r="X55" s="5">
        <f>1_PRE_RAW!X55</f>
        <v/>
      </c>
      <c r="Y55" s="5">
        <f>1_PRE_RAW!Y55</f>
        <v/>
      </c>
      <c r="Z55" s="5">
        <f>1_PRE_RAW!Z55</f>
        <v/>
      </c>
      <c r="AA55" s="5">
        <f>1_PRE_RAW!AA55</f>
        <v/>
      </c>
      <c r="AB55" s="5">
        <f>1_PRE_RAW!AB55</f>
        <v/>
      </c>
      <c r="AC55" s="5">
        <f>1_PRE_RAW!AC55</f>
        <v/>
      </c>
      <c r="AD55" s="5">
        <f>2.5*((H55-1)+(5-I55)+(J55-1)+(5-K55)+(L55-1)+(5-M55)+(N55-1)+(5-O55)+(P55-1)+(5-Q55))</f>
        <v/>
      </c>
      <c r="AE55" s="5">
        <f>SUM(R55:Y55)</f>
        <v/>
      </c>
      <c r="AF55" s="5">
        <f>AVERAGE(Z55,AB55)</f>
        <v/>
      </c>
      <c r="AG55" s="5">
        <f>AA55+AC55</f>
        <v/>
      </c>
    </row>
    <row r="56">
      <c r="A56" s="5">
        <f>1_PRE_RAW!A56</f>
        <v/>
      </c>
      <c r="B56" s="5">
        <f>1_PRE_RAW!B56</f>
        <v/>
      </c>
      <c r="C56" s="5">
        <f>1_PRE_RAW!C56</f>
        <v/>
      </c>
      <c r="D56" s="5">
        <f>1_PRE_RAW!D56</f>
        <v/>
      </c>
      <c r="E56" s="5">
        <f>1_PRE_RAW!E56</f>
        <v/>
      </c>
      <c r="F56" s="5">
        <f>1_PRE_RAW!F56</f>
        <v/>
      </c>
      <c r="G56" s="5">
        <f>1_PRE_RAW!G56</f>
        <v/>
      </c>
      <c r="H56" s="5">
        <f>1_PRE_RAW!H56</f>
        <v/>
      </c>
      <c r="I56" s="5">
        <f>1_PRE_RAW!I56</f>
        <v/>
      </c>
      <c r="J56" s="5">
        <f>1_PRE_RAW!J56</f>
        <v/>
      </c>
      <c r="K56" s="5">
        <f>1_PRE_RAW!K56</f>
        <v/>
      </c>
      <c r="L56" s="5">
        <f>1_PRE_RAW!L56</f>
        <v/>
      </c>
      <c r="M56" s="5">
        <f>1_PRE_RAW!M56</f>
        <v/>
      </c>
      <c r="N56" s="5">
        <f>1_PRE_RAW!N56</f>
        <v/>
      </c>
      <c r="O56" s="5">
        <f>1_PRE_RAW!O56</f>
        <v/>
      </c>
      <c r="P56" s="5">
        <f>1_PRE_RAW!P56</f>
        <v/>
      </c>
      <c r="Q56" s="5">
        <f>1_PRE_RAW!Q56</f>
        <v/>
      </c>
      <c r="R56" s="5">
        <f>1_PRE_RAW!R56</f>
        <v/>
      </c>
      <c r="S56" s="5">
        <f>1_PRE_RAW!S56</f>
        <v/>
      </c>
      <c r="T56" s="5">
        <f>1_PRE_RAW!T56</f>
        <v/>
      </c>
      <c r="U56" s="5">
        <f>1_PRE_RAW!U56</f>
        <v/>
      </c>
      <c r="V56" s="5">
        <f>1_PRE_RAW!V56</f>
        <v/>
      </c>
      <c r="W56" s="5">
        <f>1_PRE_RAW!W56</f>
        <v/>
      </c>
      <c r="X56" s="5">
        <f>1_PRE_RAW!X56</f>
        <v/>
      </c>
      <c r="Y56" s="5">
        <f>1_PRE_RAW!Y56</f>
        <v/>
      </c>
      <c r="Z56" s="5">
        <f>1_PRE_RAW!Z56</f>
        <v/>
      </c>
      <c r="AA56" s="5">
        <f>1_PRE_RAW!AA56</f>
        <v/>
      </c>
      <c r="AB56" s="5">
        <f>1_PRE_RAW!AB56</f>
        <v/>
      </c>
      <c r="AC56" s="5">
        <f>1_PRE_RAW!AC56</f>
        <v/>
      </c>
      <c r="AD56" s="5">
        <f>2.5*((H56-1)+(5-I56)+(J56-1)+(5-K56)+(L56-1)+(5-M56)+(N56-1)+(5-O56)+(P56-1)+(5-Q56))</f>
        <v/>
      </c>
      <c r="AE56" s="5">
        <f>SUM(R56:Y56)</f>
        <v/>
      </c>
      <c r="AF56" s="5">
        <f>AVERAGE(Z56,AB56)</f>
        <v/>
      </c>
      <c r="AG56" s="5">
        <f>AA56+AC56</f>
        <v/>
      </c>
    </row>
    <row r="57">
      <c r="A57" s="5">
        <f>1_PRE_RAW!A57</f>
        <v/>
      </c>
      <c r="B57" s="5">
        <f>1_PRE_RAW!B57</f>
        <v/>
      </c>
      <c r="C57" s="5">
        <f>1_PRE_RAW!C57</f>
        <v/>
      </c>
      <c r="D57" s="5">
        <f>1_PRE_RAW!D57</f>
        <v/>
      </c>
      <c r="E57" s="5">
        <f>1_PRE_RAW!E57</f>
        <v/>
      </c>
      <c r="F57" s="5">
        <f>1_PRE_RAW!F57</f>
        <v/>
      </c>
      <c r="G57" s="5">
        <f>1_PRE_RAW!G57</f>
        <v/>
      </c>
      <c r="H57" s="5">
        <f>1_PRE_RAW!H57</f>
        <v/>
      </c>
      <c r="I57" s="5">
        <f>1_PRE_RAW!I57</f>
        <v/>
      </c>
      <c r="J57" s="5">
        <f>1_PRE_RAW!J57</f>
        <v/>
      </c>
      <c r="K57" s="5">
        <f>1_PRE_RAW!K57</f>
        <v/>
      </c>
      <c r="L57" s="5">
        <f>1_PRE_RAW!L57</f>
        <v/>
      </c>
      <c r="M57" s="5">
        <f>1_PRE_RAW!M57</f>
        <v/>
      </c>
      <c r="N57" s="5">
        <f>1_PRE_RAW!N57</f>
        <v/>
      </c>
      <c r="O57" s="5">
        <f>1_PRE_RAW!O57</f>
        <v/>
      </c>
      <c r="P57" s="5">
        <f>1_PRE_RAW!P57</f>
        <v/>
      </c>
      <c r="Q57" s="5">
        <f>1_PRE_RAW!Q57</f>
        <v/>
      </c>
      <c r="R57" s="5">
        <f>1_PRE_RAW!R57</f>
        <v/>
      </c>
      <c r="S57" s="5">
        <f>1_PRE_RAW!S57</f>
        <v/>
      </c>
      <c r="T57" s="5">
        <f>1_PRE_RAW!T57</f>
        <v/>
      </c>
      <c r="U57" s="5">
        <f>1_PRE_RAW!U57</f>
        <v/>
      </c>
      <c r="V57" s="5">
        <f>1_PRE_RAW!V57</f>
        <v/>
      </c>
      <c r="W57" s="5">
        <f>1_PRE_RAW!W57</f>
        <v/>
      </c>
      <c r="X57" s="5">
        <f>1_PRE_RAW!X57</f>
        <v/>
      </c>
      <c r="Y57" s="5">
        <f>1_PRE_RAW!Y57</f>
        <v/>
      </c>
      <c r="Z57" s="5">
        <f>1_PRE_RAW!Z57</f>
        <v/>
      </c>
      <c r="AA57" s="5">
        <f>1_PRE_RAW!AA57</f>
        <v/>
      </c>
      <c r="AB57" s="5">
        <f>1_PRE_RAW!AB57</f>
        <v/>
      </c>
      <c r="AC57" s="5">
        <f>1_PRE_RAW!AC57</f>
        <v/>
      </c>
      <c r="AD57" s="5">
        <f>2.5*((H57-1)+(5-I57)+(J57-1)+(5-K57)+(L57-1)+(5-M57)+(N57-1)+(5-O57)+(P57-1)+(5-Q57))</f>
        <v/>
      </c>
      <c r="AE57" s="5">
        <f>SUM(R57:Y57)</f>
        <v/>
      </c>
      <c r="AF57" s="5">
        <f>AVERAGE(Z57,AB57)</f>
        <v/>
      </c>
      <c r="AG57" s="5">
        <f>AA57+AC57</f>
        <v/>
      </c>
    </row>
    <row r="58">
      <c r="A58" s="5">
        <f>1_PRE_RAW!A58</f>
        <v/>
      </c>
      <c r="B58" s="5">
        <f>1_PRE_RAW!B58</f>
        <v/>
      </c>
      <c r="C58" s="5">
        <f>1_PRE_RAW!C58</f>
        <v/>
      </c>
      <c r="D58" s="5">
        <f>1_PRE_RAW!D58</f>
        <v/>
      </c>
      <c r="E58" s="5">
        <f>1_PRE_RAW!E58</f>
        <v/>
      </c>
      <c r="F58" s="5">
        <f>1_PRE_RAW!F58</f>
        <v/>
      </c>
      <c r="G58" s="5">
        <f>1_PRE_RAW!G58</f>
        <v/>
      </c>
      <c r="H58" s="5">
        <f>1_PRE_RAW!H58</f>
        <v/>
      </c>
      <c r="I58" s="5">
        <f>1_PRE_RAW!I58</f>
        <v/>
      </c>
      <c r="J58" s="5">
        <f>1_PRE_RAW!J58</f>
        <v/>
      </c>
      <c r="K58" s="5">
        <f>1_PRE_RAW!K58</f>
        <v/>
      </c>
      <c r="L58" s="5">
        <f>1_PRE_RAW!L58</f>
        <v/>
      </c>
      <c r="M58" s="5">
        <f>1_PRE_RAW!M58</f>
        <v/>
      </c>
      <c r="N58" s="5">
        <f>1_PRE_RAW!N58</f>
        <v/>
      </c>
      <c r="O58" s="5">
        <f>1_PRE_RAW!O58</f>
        <v/>
      </c>
      <c r="P58" s="5">
        <f>1_PRE_RAW!P58</f>
        <v/>
      </c>
      <c r="Q58" s="5">
        <f>1_PRE_RAW!Q58</f>
        <v/>
      </c>
      <c r="R58" s="5">
        <f>1_PRE_RAW!R58</f>
        <v/>
      </c>
      <c r="S58" s="5">
        <f>1_PRE_RAW!S58</f>
        <v/>
      </c>
      <c r="T58" s="5">
        <f>1_PRE_RAW!T58</f>
        <v/>
      </c>
      <c r="U58" s="5">
        <f>1_PRE_RAW!U58</f>
        <v/>
      </c>
      <c r="V58" s="5">
        <f>1_PRE_RAW!V58</f>
        <v/>
      </c>
      <c r="W58" s="5">
        <f>1_PRE_RAW!W58</f>
        <v/>
      </c>
      <c r="X58" s="5">
        <f>1_PRE_RAW!X58</f>
        <v/>
      </c>
      <c r="Y58" s="5">
        <f>1_PRE_RAW!Y58</f>
        <v/>
      </c>
      <c r="Z58" s="5">
        <f>1_PRE_RAW!Z58</f>
        <v/>
      </c>
      <c r="AA58" s="5">
        <f>1_PRE_RAW!AA58</f>
        <v/>
      </c>
      <c r="AB58" s="5">
        <f>1_PRE_RAW!AB58</f>
        <v/>
      </c>
      <c r="AC58" s="5">
        <f>1_PRE_RAW!AC58</f>
        <v/>
      </c>
      <c r="AD58" s="5">
        <f>2.5*((H58-1)+(5-I58)+(J58-1)+(5-K58)+(L58-1)+(5-M58)+(N58-1)+(5-O58)+(P58-1)+(5-Q58))</f>
        <v/>
      </c>
      <c r="AE58" s="5">
        <f>SUM(R58:Y58)</f>
        <v/>
      </c>
      <c r="AF58" s="5">
        <f>AVERAGE(Z58,AB58)</f>
        <v/>
      </c>
      <c r="AG58" s="5">
        <f>AA58+AC58</f>
        <v/>
      </c>
    </row>
    <row r="59">
      <c r="A59" s="5">
        <f>1_PRE_RAW!A59</f>
        <v/>
      </c>
      <c r="B59" s="5">
        <f>1_PRE_RAW!B59</f>
        <v/>
      </c>
      <c r="C59" s="5">
        <f>1_PRE_RAW!C59</f>
        <v/>
      </c>
      <c r="D59" s="5">
        <f>1_PRE_RAW!D59</f>
        <v/>
      </c>
      <c r="E59" s="5">
        <f>1_PRE_RAW!E59</f>
        <v/>
      </c>
      <c r="F59" s="5">
        <f>1_PRE_RAW!F59</f>
        <v/>
      </c>
      <c r="G59" s="5">
        <f>1_PRE_RAW!G59</f>
        <v/>
      </c>
      <c r="H59" s="5">
        <f>1_PRE_RAW!H59</f>
        <v/>
      </c>
      <c r="I59" s="5">
        <f>1_PRE_RAW!I59</f>
        <v/>
      </c>
      <c r="J59" s="5">
        <f>1_PRE_RAW!J59</f>
        <v/>
      </c>
      <c r="K59" s="5">
        <f>1_PRE_RAW!K59</f>
        <v/>
      </c>
      <c r="L59" s="5">
        <f>1_PRE_RAW!L59</f>
        <v/>
      </c>
      <c r="M59" s="5">
        <f>1_PRE_RAW!M59</f>
        <v/>
      </c>
      <c r="N59" s="5">
        <f>1_PRE_RAW!N59</f>
        <v/>
      </c>
      <c r="O59" s="5">
        <f>1_PRE_RAW!O59</f>
        <v/>
      </c>
      <c r="P59" s="5">
        <f>1_PRE_RAW!P59</f>
        <v/>
      </c>
      <c r="Q59" s="5">
        <f>1_PRE_RAW!Q59</f>
        <v/>
      </c>
      <c r="R59" s="5">
        <f>1_PRE_RAW!R59</f>
        <v/>
      </c>
      <c r="S59" s="5">
        <f>1_PRE_RAW!S59</f>
        <v/>
      </c>
      <c r="T59" s="5">
        <f>1_PRE_RAW!T59</f>
        <v/>
      </c>
      <c r="U59" s="5">
        <f>1_PRE_RAW!U59</f>
        <v/>
      </c>
      <c r="V59" s="5">
        <f>1_PRE_RAW!V59</f>
        <v/>
      </c>
      <c r="W59" s="5">
        <f>1_PRE_RAW!W59</f>
        <v/>
      </c>
      <c r="X59" s="5">
        <f>1_PRE_RAW!X59</f>
        <v/>
      </c>
      <c r="Y59" s="5">
        <f>1_PRE_RAW!Y59</f>
        <v/>
      </c>
      <c r="Z59" s="5">
        <f>1_PRE_RAW!Z59</f>
        <v/>
      </c>
      <c r="AA59" s="5">
        <f>1_PRE_RAW!AA59</f>
        <v/>
      </c>
      <c r="AB59" s="5">
        <f>1_PRE_RAW!AB59</f>
        <v/>
      </c>
      <c r="AC59" s="5">
        <f>1_PRE_RAW!AC59</f>
        <v/>
      </c>
      <c r="AD59" s="5">
        <f>2.5*((H59-1)+(5-I59)+(J59-1)+(5-K59)+(L59-1)+(5-M59)+(N59-1)+(5-O59)+(P59-1)+(5-Q59))</f>
        <v/>
      </c>
      <c r="AE59" s="5">
        <f>SUM(R59:Y59)</f>
        <v/>
      </c>
      <c r="AF59" s="5">
        <f>AVERAGE(Z59,AB59)</f>
        <v/>
      </c>
      <c r="AG59" s="5">
        <f>AA59+AC59</f>
        <v/>
      </c>
    </row>
    <row r="60">
      <c r="A60" s="5">
        <f>1_PRE_RAW!A60</f>
        <v/>
      </c>
      <c r="B60" s="5">
        <f>1_PRE_RAW!B60</f>
        <v/>
      </c>
      <c r="C60" s="5">
        <f>1_PRE_RAW!C60</f>
        <v/>
      </c>
      <c r="D60" s="5">
        <f>1_PRE_RAW!D60</f>
        <v/>
      </c>
      <c r="E60" s="5">
        <f>1_PRE_RAW!E60</f>
        <v/>
      </c>
      <c r="F60" s="5">
        <f>1_PRE_RAW!F60</f>
        <v/>
      </c>
      <c r="G60" s="5">
        <f>1_PRE_RAW!G60</f>
        <v/>
      </c>
      <c r="H60" s="5">
        <f>1_PRE_RAW!H60</f>
        <v/>
      </c>
      <c r="I60" s="5">
        <f>1_PRE_RAW!I60</f>
        <v/>
      </c>
      <c r="J60" s="5">
        <f>1_PRE_RAW!J60</f>
        <v/>
      </c>
      <c r="K60" s="5">
        <f>1_PRE_RAW!K60</f>
        <v/>
      </c>
      <c r="L60" s="5">
        <f>1_PRE_RAW!L60</f>
        <v/>
      </c>
      <c r="M60" s="5">
        <f>1_PRE_RAW!M60</f>
        <v/>
      </c>
      <c r="N60" s="5">
        <f>1_PRE_RAW!N60</f>
        <v/>
      </c>
      <c r="O60" s="5">
        <f>1_PRE_RAW!O60</f>
        <v/>
      </c>
      <c r="P60" s="5">
        <f>1_PRE_RAW!P60</f>
        <v/>
      </c>
      <c r="Q60" s="5">
        <f>1_PRE_RAW!Q60</f>
        <v/>
      </c>
      <c r="R60" s="5">
        <f>1_PRE_RAW!R60</f>
        <v/>
      </c>
      <c r="S60" s="5">
        <f>1_PRE_RAW!S60</f>
        <v/>
      </c>
      <c r="T60" s="5">
        <f>1_PRE_RAW!T60</f>
        <v/>
      </c>
      <c r="U60" s="5">
        <f>1_PRE_RAW!U60</f>
        <v/>
      </c>
      <c r="V60" s="5">
        <f>1_PRE_RAW!V60</f>
        <v/>
      </c>
      <c r="W60" s="5">
        <f>1_PRE_RAW!W60</f>
        <v/>
      </c>
      <c r="X60" s="5">
        <f>1_PRE_RAW!X60</f>
        <v/>
      </c>
      <c r="Y60" s="5">
        <f>1_PRE_RAW!Y60</f>
        <v/>
      </c>
      <c r="Z60" s="5">
        <f>1_PRE_RAW!Z60</f>
        <v/>
      </c>
      <c r="AA60" s="5">
        <f>1_PRE_RAW!AA60</f>
        <v/>
      </c>
      <c r="AB60" s="5">
        <f>1_PRE_RAW!AB60</f>
        <v/>
      </c>
      <c r="AC60" s="5">
        <f>1_PRE_RAW!AC60</f>
        <v/>
      </c>
      <c r="AD60" s="5">
        <f>2.5*((H60-1)+(5-I60)+(J60-1)+(5-K60)+(L60-1)+(5-M60)+(N60-1)+(5-O60)+(P60-1)+(5-Q60))</f>
        <v/>
      </c>
      <c r="AE60" s="5">
        <f>SUM(R60:Y60)</f>
        <v/>
      </c>
      <c r="AF60" s="5">
        <f>AVERAGE(Z60,AB60)</f>
        <v/>
      </c>
      <c r="AG60" s="5">
        <f>AA60+AC60</f>
        <v/>
      </c>
    </row>
    <row r="61">
      <c r="A61" s="5">
        <f>1_PRE_RAW!A61</f>
        <v/>
      </c>
      <c r="B61" s="5">
        <f>1_PRE_RAW!B61</f>
        <v/>
      </c>
      <c r="C61" s="5">
        <f>1_PRE_RAW!C61</f>
        <v/>
      </c>
      <c r="D61" s="5">
        <f>1_PRE_RAW!D61</f>
        <v/>
      </c>
      <c r="E61" s="5">
        <f>1_PRE_RAW!E61</f>
        <v/>
      </c>
      <c r="F61" s="5">
        <f>1_PRE_RAW!F61</f>
        <v/>
      </c>
      <c r="G61" s="5">
        <f>1_PRE_RAW!G61</f>
        <v/>
      </c>
      <c r="H61" s="5">
        <f>1_PRE_RAW!H61</f>
        <v/>
      </c>
      <c r="I61" s="5">
        <f>1_PRE_RAW!I61</f>
        <v/>
      </c>
      <c r="J61" s="5">
        <f>1_PRE_RAW!J61</f>
        <v/>
      </c>
      <c r="K61" s="5">
        <f>1_PRE_RAW!K61</f>
        <v/>
      </c>
      <c r="L61" s="5">
        <f>1_PRE_RAW!L61</f>
        <v/>
      </c>
      <c r="M61" s="5">
        <f>1_PRE_RAW!M61</f>
        <v/>
      </c>
      <c r="N61" s="5">
        <f>1_PRE_RAW!N61</f>
        <v/>
      </c>
      <c r="O61" s="5">
        <f>1_PRE_RAW!O61</f>
        <v/>
      </c>
      <c r="P61" s="5">
        <f>1_PRE_RAW!P61</f>
        <v/>
      </c>
      <c r="Q61" s="5">
        <f>1_PRE_RAW!Q61</f>
        <v/>
      </c>
      <c r="R61" s="5">
        <f>1_PRE_RAW!R61</f>
        <v/>
      </c>
      <c r="S61" s="5">
        <f>1_PRE_RAW!S61</f>
        <v/>
      </c>
      <c r="T61" s="5">
        <f>1_PRE_RAW!T61</f>
        <v/>
      </c>
      <c r="U61" s="5">
        <f>1_PRE_RAW!U61</f>
        <v/>
      </c>
      <c r="V61" s="5">
        <f>1_PRE_RAW!V61</f>
        <v/>
      </c>
      <c r="W61" s="5">
        <f>1_PRE_RAW!W61</f>
        <v/>
      </c>
      <c r="X61" s="5">
        <f>1_PRE_RAW!X61</f>
        <v/>
      </c>
      <c r="Y61" s="5">
        <f>1_PRE_RAW!Y61</f>
        <v/>
      </c>
      <c r="Z61" s="5">
        <f>1_PRE_RAW!Z61</f>
        <v/>
      </c>
      <c r="AA61" s="5">
        <f>1_PRE_RAW!AA61</f>
        <v/>
      </c>
      <c r="AB61" s="5">
        <f>1_PRE_RAW!AB61</f>
        <v/>
      </c>
      <c r="AC61" s="5">
        <f>1_PRE_RAW!AC61</f>
        <v/>
      </c>
      <c r="AD61" s="5">
        <f>2.5*((H61-1)+(5-I61)+(J61-1)+(5-K61)+(L61-1)+(5-M61)+(N61-1)+(5-O61)+(P61-1)+(5-Q61))</f>
        <v/>
      </c>
      <c r="AE61" s="5">
        <f>SUM(R61:Y61)</f>
        <v/>
      </c>
      <c r="AF61" s="5">
        <f>AVERAGE(Z61,AB61)</f>
        <v/>
      </c>
      <c r="AG61" s="5">
        <f>AA61+AC61</f>
        <v/>
      </c>
    </row>
    <row r="62">
      <c r="A62" s="5">
        <f>1_PRE_RAW!A62</f>
        <v/>
      </c>
      <c r="B62" s="5">
        <f>1_PRE_RAW!B62</f>
        <v/>
      </c>
      <c r="C62" s="5">
        <f>1_PRE_RAW!C62</f>
        <v/>
      </c>
      <c r="D62" s="5">
        <f>1_PRE_RAW!D62</f>
        <v/>
      </c>
      <c r="E62" s="5">
        <f>1_PRE_RAW!E62</f>
        <v/>
      </c>
      <c r="F62" s="5">
        <f>1_PRE_RAW!F62</f>
        <v/>
      </c>
      <c r="G62" s="5">
        <f>1_PRE_RAW!G62</f>
        <v/>
      </c>
      <c r="H62" s="5">
        <f>1_PRE_RAW!H62</f>
        <v/>
      </c>
      <c r="I62" s="5">
        <f>1_PRE_RAW!I62</f>
        <v/>
      </c>
      <c r="J62" s="5">
        <f>1_PRE_RAW!J62</f>
        <v/>
      </c>
      <c r="K62" s="5">
        <f>1_PRE_RAW!K62</f>
        <v/>
      </c>
      <c r="L62" s="5">
        <f>1_PRE_RAW!L62</f>
        <v/>
      </c>
      <c r="M62" s="5">
        <f>1_PRE_RAW!M62</f>
        <v/>
      </c>
      <c r="N62" s="5">
        <f>1_PRE_RAW!N62</f>
        <v/>
      </c>
      <c r="O62" s="5">
        <f>1_PRE_RAW!O62</f>
        <v/>
      </c>
      <c r="P62" s="5">
        <f>1_PRE_RAW!P62</f>
        <v/>
      </c>
      <c r="Q62" s="5">
        <f>1_PRE_RAW!Q62</f>
        <v/>
      </c>
      <c r="R62" s="5">
        <f>1_PRE_RAW!R62</f>
        <v/>
      </c>
      <c r="S62" s="5">
        <f>1_PRE_RAW!S62</f>
        <v/>
      </c>
      <c r="T62" s="5">
        <f>1_PRE_RAW!T62</f>
        <v/>
      </c>
      <c r="U62" s="5">
        <f>1_PRE_RAW!U62</f>
        <v/>
      </c>
      <c r="V62" s="5">
        <f>1_PRE_RAW!V62</f>
        <v/>
      </c>
      <c r="W62" s="5">
        <f>1_PRE_RAW!W62</f>
        <v/>
      </c>
      <c r="X62" s="5">
        <f>1_PRE_RAW!X62</f>
        <v/>
      </c>
      <c r="Y62" s="5">
        <f>1_PRE_RAW!Y62</f>
        <v/>
      </c>
      <c r="Z62" s="5">
        <f>1_PRE_RAW!Z62</f>
        <v/>
      </c>
      <c r="AA62" s="5">
        <f>1_PRE_RAW!AA62</f>
        <v/>
      </c>
      <c r="AB62" s="5">
        <f>1_PRE_RAW!AB62</f>
        <v/>
      </c>
      <c r="AC62" s="5">
        <f>1_PRE_RAW!AC62</f>
        <v/>
      </c>
      <c r="AD62" s="5">
        <f>2.5*((H62-1)+(5-I62)+(J62-1)+(5-K62)+(L62-1)+(5-M62)+(N62-1)+(5-O62)+(P62-1)+(5-Q62))</f>
        <v/>
      </c>
      <c r="AE62" s="5">
        <f>SUM(R62:Y62)</f>
        <v/>
      </c>
      <c r="AF62" s="5">
        <f>AVERAGE(Z62,AB62)</f>
        <v/>
      </c>
      <c r="AG62" s="5">
        <f>AA62+AC62</f>
        <v/>
      </c>
    </row>
    <row r="63">
      <c r="A63" s="5">
        <f>1_PRE_RAW!A63</f>
        <v/>
      </c>
      <c r="B63" s="5">
        <f>1_PRE_RAW!B63</f>
        <v/>
      </c>
      <c r="C63" s="5">
        <f>1_PRE_RAW!C63</f>
        <v/>
      </c>
      <c r="D63" s="5">
        <f>1_PRE_RAW!D63</f>
        <v/>
      </c>
      <c r="E63" s="5">
        <f>1_PRE_RAW!E63</f>
        <v/>
      </c>
      <c r="F63" s="5">
        <f>1_PRE_RAW!F63</f>
        <v/>
      </c>
      <c r="G63" s="5">
        <f>1_PRE_RAW!G63</f>
        <v/>
      </c>
      <c r="H63" s="5">
        <f>1_PRE_RAW!H63</f>
        <v/>
      </c>
      <c r="I63" s="5">
        <f>1_PRE_RAW!I63</f>
        <v/>
      </c>
      <c r="J63" s="5">
        <f>1_PRE_RAW!J63</f>
        <v/>
      </c>
      <c r="K63" s="5">
        <f>1_PRE_RAW!K63</f>
        <v/>
      </c>
      <c r="L63" s="5">
        <f>1_PRE_RAW!L63</f>
        <v/>
      </c>
      <c r="M63" s="5">
        <f>1_PRE_RAW!M63</f>
        <v/>
      </c>
      <c r="N63" s="5">
        <f>1_PRE_RAW!N63</f>
        <v/>
      </c>
      <c r="O63" s="5">
        <f>1_PRE_RAW!O63</f>
        <v/>
      </c>
      <c r="P63" s="5">
        <f>1_PRE_RAW!P63</f>
        <v/>
      </c>
      <c r="Q63" s="5">
        <f>1_PRE_RAW!Q63</f>
        <v/>
      </c>
      <c r="R63" s="5">
        <f>1_PRE_RAW!R63</f>
        <v/>
      </c>
      <c r="S63" s="5">
        <f>1_PRE_RAW!S63</f>
        <v/>
      </c>
      <c r="T63" s="5">
        <f>1_PRE_RAW!T63</f>
        <v/>
      </c>
      <c r="U63" s="5">
        <f>1_PRE_RAW!U63</f>
        <v/>
      </c>
      <c r="V63" s="5">
        <f>1_PRE_RAW!V63</f>
        <v/>
      </c>
      <c r="W63" s="5">
        <f>1_PRE_RAW!W63</f>
        <v/>
      </c>
      <c r="X63" s="5">
        <f>1_PRE_RAW!X63</f>
        <v/>
      </c>
      <c r="Y63" s="5">
        <f>1_PRE_RAW!Y63</f>
        <v/>
      </c>
      <c r="Z63" s="5">
        <f>1_PRE_RAW!Z63</f>
        <v/>
      </c>
      <c r="AA63" s="5">
        <f>1_PRE_RAW!AA63</f>
        <v/>
      </c>
      <c r="AB63" s="5">
        <f>1_PRE_RAW!AB63</f>
        <v/>
      </c>
      <c r="AC63" s="5">
        <f>1_PRE_RAW!AC63</f>
        <v/>
      </c>
      <c r="AD63" s="5">
        <f>2.5*((H63-1)+(5-I63)+(J63-1)+(5-K63)+(L63-1)+(5-M63)+(N63-1)+(5-O63)+(P63-1)+(5-Q63))</f>
        <v/>
      </c>
      <c r="AE63" s="5">
        <f>SUM(R63:Y63)</f>
        <v/>
      </c>
      <c r="AF63" s="5">
        <f>AVERAGE(Z63,AB63)</f>
        <v/>
      </c>
      <c r="AG63" s="5">
        <f>AA63+AC63</f>
        <v/>
      </c>
    </row>
    <row r="64">
      <c r="A64" s="5">
        <f>1_PRE_RAW!A64</f>
        <v/>
      </c>
      <c r="B64" s="5">
        <f>1_PRE_RAW!B64</f>
        <v/>
      </c>
      <c r="C64" s="5">
        <f>1_PRE_RAW!C64</f>
        <v/>
      </c>
      <c r="D64" s="5">
        <f>1_PRE_RAW!D64</f>
        <v/>
      </c>
      <c r="E64" s="5">
        <f>1_PRE_RAW!E64</f>
        <v/>
      </c>
      <c r="F64" s="5">
        <f>1_PRE_RAW!F64</f>
        <v/>
      </c>
      <c r="G64" s="5">
        <f>1_PRE_RAW!G64</f>
        <v/>
      </c>
      <c r="H64" s="5">
        <f>1_PRE_RAW!H64</f>
        <v/>
      </c>
      <c r="I64" s="5">
        <f>1_PRE_RAW!I64</f>
        <v/>
      </c>
      <c r="J64" s="5">
        <f>1_PRE_RAW!J64</f>
        <v/>
      </c>
      <c r="K64" s="5">
        <f>1_PRE_RAW!K64</f>
        <v/>
      </c>
      <c r="L64" s="5">
        <f>1_PRE_RAW!L64</f>
        <v/>
      </c>
      <c r="M64" s="5">
        <f>1_PRE_RAW!M64</f>
        <v/>
      </c>
      <c r="N64" s="5">
        <f>1_PRE_RAW!N64</f>
        <v/>
      </c>
      <c r="O64" s="5">
        <f>1_PRE_RAW!O64</f>
        <v/>
      </c>
      <c r="P64" s="5">
        <f>1_PRE_RAW!P64</f>
        <v/>
      </c>
      <c r="Q64" s="5">
        <f>1_PRE_RAW!Q64</f>
        <v/>
      </c>
      <c r="R64" s="5">
        <f>1_PRE_RAW!R64</f>
        <v/>
      </c>
      <c r="S64" s="5">
        <f>1_PRE_RAW!S64</f>
        <v/>
      </c>
      <c r="T64" s="5">
        <f>1_PRE_RAW!T64</f>
        <v/>
      </c>
      <c r="U64" s="5">
        <f>1_PRE_RAW!U64</f>
        <v/>
      </c>
      <c r="V64" s="5">
        <f>1_PRE_RAW!V64</f>
        <v/>
      </c>
      <c r="W64" s="5">
        <f>1_PRE_RAW!W64</f>
        <v/>
      </c>
      <c r="X64" s="5">
        <f>1_PRE_RAW!X64</f>
        <v/>
      </c>
      <c r="Y64" s="5">
        <f>1_PRE_RAW!Y64</f>
        <v/>
      </c>
      <c r="Z64" s="5">
        <f>1_PRE_RAW!Z64</f>
        <v/>
      </c>
      <c r="AA64" s="5">
        <f>1_PRE_RAW!AA64</f>
        <v/>
      </c>
      <c r="AB64" s="5">
        <f>1_PRE_RAW!AB64</f>
        <v/>
      </c>
      <c r="AC64" s="5">
        <f>1_PRE_RAW!AC64</f>
        <v/>
      </c>
      <c r="AD64" s="5">
        <f>2.5*((H64-1)+(5-I64)+(J64-1)+(5-K64)+(L64-1)+(5-M64)+(N64-1)+(5-O64)+(P64-1)+(5-Q64))</f>
        <v/>
      </c>
      <c r="AE64" s="5">
        <f>SUM(R64:Y64)</f>
        <v/>
      </c>
      <c r="AF64" s="5">
        <f>AVERAGE(Z64,AB64)</f>
        <v/>
      </c>
      <c r="AG64" s="5">
        <f>AA64+AC64</f>
        <v/>
      </c>
    </row>
    <row r="65">
      <c r="A65" s="5">
        <f>1_PRE_RAW!A65</f>
        <v/>
      </c>
      <c r="B65" s="5">
        <f>1_PRE_RAW!B65</f>
        <v/>
      </c>
      <c r="C65" s="5">
        <f>1_PRE_RAW!C65</f>
        <v/>
      </c>
      <c r="D65" s="5">
        <f>1_PRE_RAW!D65</f>
        <v/>
      </c>
      <c r="E65" s="5">
        <f>1_PRE_RAW!E65</f>
        <v/>
      </c>
      <c r="F65" s="5">
        <f>1_PRE_RAW!F65</f>
        <v/>
      </c>
      <c r="G65" s="5">
        <f>1_PRE_RAW!G65</f>
        <v/>
      </c>
      <c r="H65" s="5">
        <f>1_PRE_RAW!H65</f>
        <v/>
      </c>
      <c r="I65" s="5">
        <f>1_PRE_RAW!I65</f>
        <v/>
      </c>
      <c r="J65" s="5">
        <f>1_PRE_RAW!J65</f>
        <v/>
      </c>
      <c r="K65" s="5">
        <f>1_PRE_RAW!K65</f>
        <v/>
      </c>
      <c r="L65" s="5">
        <f>1_PRE_RAW!L65</f>
        <v/>
      </c>
      <c r="M65" s="5">
        <f>1_PRE_RAW!M65</f>
        <v/>
      </c>
      <c r="N65" s="5">
        <f>1_PRE_RAW!N65</f>
        <v/>
      </c>
      <c r="O65" s="5">
        <f>1_PRE_RAW!O65</f>
        <v/>
      </c>
      <c r="P65" s="5">
        <f>1_PRE_RAW!P65</f>
        <v/>
      </c>
      <c r="Q65" s="5">
        <f>1_PRE_RAW!Q65</f>
        <v/>
      </c>
      <c r="R65" s="5">
        <f>1_PRE_RAW!R65</f>
        <v/>
      </c>
      <c r="S65" s="5">
        <f>1_PRE_RAW!S65</f>
        <v/>
      </c>
      <c r="T65" s="5">
        <f>1_PRE_RAW!T65</f>
        <v/>
      </c>
      <c r="U65" s="5">
        <f>1_PRE_RAW!U65</f>
        <v/>
      </c>
      <c r="V65" s="5">
        <f>1_PRE_RAW!V65</f>
        <v/>
      </c>
      <c r="W65" s="5">
        <f>1_PRE_RAW!W65</f>
        <v/>
      </c>
      <c r="X65" s="5">
        <f>1_PRE_RAW!X65</f>
        <v/>
      </c>
      <c r="Y65" s="5">
        <f>1_PRE_RAW!Y65</f>
        <v/>
      </c>
      <c r="Z65" s="5">
        <f>1_PRE_RAW!Z65</f>
        <v/>
      </c>
      <c r="AA65" s="5">
        <f>1_PRE_RAW!AA65</f>
        <v/>
      </c>
      <c r="AB65" s="5">
        <f>1_PRE_RAW!AB65</f>
        <v/>
      </c>
      <c r="AC65" s="5">
        <f>1_PRE_RAW!AC65</f>
        <v/>
      </c>
      <c r="AD65" s="5">
        <f>2.5*((H65-1)+(5-I65)+(J65-1)+(5-K65)+(L65-1)+(5-M65)+(N65-1)+(5-O65)+(P65-1)+(5-Q65))</f>
        <v/>
      </c>
      <c r="AE65" s="5">
        <f>SUM(R65:Y65)</f>
        <v/>
      </c>
      <c r="AF65" s="5">
        <f>AVERAGE(Z65,AB65)</f>
        <v/>
      </c>
      <c r="AG65" s="5">
        <f>AA65+AC65</f>
        <v/>
      </c>
    </row>
    <row r="66">
      <c r="A66" s="5">
        <f>1_PRE_RAW!A66</f>
        <v/>
      </c>
      <c r="B66" s="5">
        <f>1_PRE_RAW!B66</f>
        <v/>
      </c>
      <c r="C66" s="5">
        <f>1_PRE_RAW!C66</f>
        <v/>
      </c>
      <c r="D66" s="5">
        <f>1_PRE_RAW!D66</f>
        <v/>
      </c>
      <c r="E66" s="5">
        <f>1_PRE_RAW!E66</f>
        <v/>
      </c>
      <c r="F66" s="5">
        <f>1_PRE_RAW!F66</f>
        <v/>
      </c>
      <c r="G66" s="5">
        <f>1_PRE_RAW!G66</f>
        <v/>
      </c>
      <c r="H66" s="5">
        <f>1_PRE_RAW!H66</f>
        <v/>
      </c>
      <c r="I66" s="5">
        <f>1_PRE_RAW!I66</f>
        <v/>
      </c>
      <c r="J66" s="5">
        <f>1_PRE_RAW!J66</f>
        <v/>
      </c>
      <c r="K66" s="5">
        <f>1_PRE_RAW!K66</f>
        <v/>
      </c>
      <c r="L66" s="5">
        <f>1_PRE_RAW!L66</f>
        <v/>
      </c>
      <c r="M66" s="5">
        <f>1_PRE_RAW!M66</f>
        <v/>
      </c>
      <c r="N66" s="5">
        <f>1_PRE_RAW!N66</f>
        <v/>
      </c>
      <c r="O66" s="5">
        <f>1_PRE_RAW!O66</f>
        <v/>
      </c>
      <c r="P66" s="5">
        <f>1_PRE_RAW!P66</f>
        <v/>
      </c>
      <c r="Q66" s="5">
        <f>1_PRE_RAW!Q66</f>
        <v/>
      </c>
      <c r="R66" s="5">
        <f>1_PRE_RAW!R66</f>
        <v/>
      </c>
      <c r="S66" s="5">
        <f>1_PRE_RAW!S66</f>
        <v/>
      </c>
      <c r="T66" s="5">
        <f>1_PRE_RAW!T66</f>
        <v/>
      </c>
      <c r="U66" s="5">
        <f>1_PRE_RAW!U66</f>
        <v/>
      </c>
      <c r="V66" s="5">
        <f>1_PRE_RAW!V66</f>
        <v/>
      </c>
      <c r="W66" s="5">
        <f>1_PRE_RAW!W66</f>
        <v/>
      </c>
      <c r="X66" s="5">
        <f>1_PRE_RAW!X66</f>
        <v/>
      </c>
      <c r="Y66" s="5">
        <f>1_PRE_RAW!Y66</f>
        <v/>
      </c>
      <c r="Z66" s="5">
        <f>1_PRE_RAW!Z66</f>
        <v/>
      </c>
      <c r="AA66" s="5">
        <f>1_PRE_RAW!AA66</f>
        <v/>
      </c>
      <c r="AB66" s="5">
        <f>1_PRE_RAW!AB66</f>
        <v/>
      </c>
      <c r="AC66" s="5">
        <f>1_PRE_RAW!AC66</f>
        <v/>
      </c>
      <c r="AD66" s="5">
        <f>2.5*((H66-1)+(5-I66)+(J66-1)+(5-K66)+(L66-1)+(5-M66)+(N66-1)+(5-O66)+(P66-1)+(5-Q66))</f>
        <v/>
      </c>
      <c r="AE66" s="5">
        <f>SUM(R66:Y66)</f>
        <v/>
      </c>
      <c r="AF66" s="5">
        <f>AVERAGE(Z66,AB66)</f>
        <v/>
      </c>
      <c r="AG66" s="5">
        <f>AA66+AC66</f>
        <v/>
      </c>
    </row>
    <row r="67">
      <c r="A67" s="5">
        <f>1_PRE_RAW!A67</f>
        <v/>
      </c>
      <c r="B67" s="5">
        <f>1_PRE_RAW!B67</f>
        <v/>
      </c>
      <c r="C67" s="5">
        <f>1_PRE_RAW!C67</f>
        <v/>
      </c>
      <c r="D67" s="5">
        <f>1_PRE_RAW!D67</f>
        <v/>
      </c>
      <c r="E67" s="5">
        <f>1_PRE_RAW!E67</f>
        <v/>
      </c>
      <c r="F67" s="5">
        <f>1_PRE_RAW!F67</f>
        <v/>
      </c>
      <c r="G67" s="5">
        <f>1_PRE_RAW!G67</f>
        <v/>
      </c>
      <c r="H67" s="5">
        <f>1_PRE_RAW!H67</f>
        <v/>
      </c>
      <c r="I67" s="5">
        <f>1_PRE_RAW!I67</f>
        <v/>
      </c>
      <c r="J67" s="5">
        <f>1_PRE_RAW!J67</f>
        <v/>
      </c>
      <c r="K67" s="5">
        <f>1_PRE_RAW!K67</f>
        <v/>
      </c>
      <c r="L67" s="5">
        <f>1_PRE_RAW!L67</f>
        <v/>
      </c>
      <c r="M67" s="5">
        <f>1_PRE_RAW!M67</f>
        <v/>
      </c>
      <c r="N67" s="5">
        <f>1_PRE_RAW!N67</f>
        <v/>
      </c>
      <c r="O67" s="5">
        <f>1_PRE_RAW!O67</f>
        <v/>
      </c>
      <c r="P67" s="5">
        <f>1_PRE_RAW!P67</f>
        <v/>
      </c>
      <c r="Q67" s="5">
        <f>1_PRE_RAW!Q67</f>
        <v/>
      </c>
      <c r="R67" s="5">
        <f>1_PRE_RAW!R67</f>
        <v/>
      </c>
      <c r="S67" s="5">
        <f>1_PRE_RAW!S67</f>
        <v/>
      </c>
      <c r="T67" s="5">
        <f>1_PRE_RAW!T67</f>
        <v/>
      </c>
      <c r="U67" s="5">
        <f>1_PRE_RAW!U67</f>
        <v/>
      </c>
      <c r="V67" s="5">
        <f>1_PRE_RAW!V67</f>
        <v/>
      </c>
      <c r="W67" s="5">
        <f>1_PRE_RAW!W67</f>
        <v/>
      </c>
      <c r="X67" s="5">
        <f>1_PRE_RAW!X67</f>
        <v/>
      </c>
      <c r="Y67" s="5">
        <f>1_PRE_RAW!Y67</f>
        <v/>
      </c>
      <c r="Z67" s="5">
        <f>1_PRE_RAW!Z67</f>
        <v/>
      </c>
      <c r="AA67" s="5">
        <f>1_PRE_RAW!AA67</f>
        <v/>
      </c>
      <c r="AB67" s="5">
        <f>1_PRE_RAW!AB67</f>
        <v/>
      </c>
      <c r="AC67" s="5">
        <f>1_PRE_RAW!AC67</f>
        <v/>
      </c>
      <c r="AD67" s="5">
        <f>2.5*((H67-1)+(5-I67)+(J67-1)+(5-K67)+(L67-1)+(5-M67)+(N67-1)+(5-O67)+(P67-1)+(5-Q67))</f>
        <v/>
      </c>
      <c r="AE67" s="5">
        <f>SUM(R67:Y67)</f>
        <v/>
      </c>
      <c r="AF67" s="5">
        <f>AVERAGE(Z67,AB67)</f>
        <v/>
      </c>
      <c r="AG67" s="5">
        <f>AA67+AC67</f>
        <v/>
      </c>
    </row>
    <row r="68">
      <c r="A68" s="5">
        <f>1_PRE_RAW!A68</f>
        <v/>
      </c>
      <c r="B68" s="5">
        <f>1_PRE_RAW!B68</f>
        <v/>
      </c>
      <c r="C68" s="5">
        <f>1_PRE_RAW!C68</f>
        <v/>
      </c>
      <c r="D68" s="5">
        <f>1_PRE_RAW!D68</f>
        <v/>
      </c>
      <c r="E68" s="5">
        <f>1_PRE_RAW!E68</f>
        <v/>
      </c>
      <c r="F68" s="5">
        <f>1_PRE_RAW!F68</f>
        <v/>
      </c>
      <c r="G68" s="5">
        <f>1_PRE_RAW!G68</f>
        <v/>
      </c>
      <c r="H68" s="5">
        <f>1_PRE_RAW!H68</f>
        <v/>
      </c>
      <c r="I68" s="5">
        <f>1_PRE_RAW!I68</f>
        <v/>
      </c>
      <c r="J68" s="5">
        <f>1_PRE_RAW!J68</f>
        <v/>
      </c>
      <c r="K68" s="5">
        <f>1_PRE_RAW!K68</f>
        <v/>
      </c>
      <c r="L68" s="5">
        <f>1_PRE_RAW!L68</f>
        <v/>
      </c>
      <c r="M68" s="5">
        <f>1_PRE_RAW!M68</f>
        <v/>
      </c>
      <c r="N68" s="5">
        <f>1_PRE_RAW!N68</f>
        <v/>
      </c>
      <c r="O68" s="5">
        <f>1_PRE_RAW!O68</f>
        <v/>
      </c>
      <c r="P68" s="5">
        <f>1_PRE_RAW!P68</f>
        <v/>
      </c>
      <c r="Q68" s="5">
        <f>1_PRE_RAW!Q68</f>
        <v/>
      </c>
      <c r="R68" s="5">
        <f>1_PRE_RAW!R68</f>
        <v/>
      </c>
      <c r="S68" s="5">
        <f>1_PRE_RAW!S68</f>
        <v/>
      </c>
      <c r="T68" s="5">
        <f>1_PRE_RAW!T68</f>
        <v/>
      </c>
      <c r="U68" s="5">
        <f>1_PRE_RAW!U68</f>
        <v/>
      </c>
      <c r="V68" s="5">
        <f>1_PRE_RAW!V68</f>
        <v/>
      </c>
      <c r="W68" s="5">
        <f>1_PRE_RAW!W68</f>
        <v/>
      </c>
      <c r="X68" s="5">
        <f>1_PRE_RAW!X68</f>
        <v/>
      </c>
      <c r="Y68" s="5">
        <f>1_PRE_RAW!Y68</f>
        <v/>
      </c>
      <c r="Z68" s="5">
        <f>1_PRE_RAW!Z68</f>
        <v/>
      </c>
      <c r="AA68" s="5">
        <f>1_PRE_RAW!AA68</f>
        <v/>
      </c>
      <c r="AB68" s="5">
        <f>1_PRE_RAW!AB68</f>
        <v/>
      </c>
      <c r="AC68" s="5">
        <f>1_PRE_RAW!AC68</f>
        <v/>
      </c>
      <c r="AD68" s="5">
        <f>2.5*((H68-1)+(5-I68)+(J68-1)+(5-K68)+(L68-1)+(5-M68)+(N68-1)+(5-O68)+(P68-1)+(5-Q68))</f>
        <v/>
      </c>
      <c r="AE68" s="5">
        <f>SUM(R68:Y68)</f>
        <v/>
      </c>
      <c r="AF68" s="5">
        <f>AVERAGE(Z68,AB68)</f>
        <v/>
      </c>
      <c r="AG68" s="5">
        <f>AA68+AC68</f>
        <v/>
      </c>
    </row>
    <row r="69">
      <c r="A69" s="5">
        <f>1_PRE_RAW!A69</f>
        <v/>
      </c>
      <c r="B69" s="5">
        <f>1_PRE_RAW!B69</f>
        <v/>
      </c>
      <c r="C69" s="5">
        <f>1_PRE_RAW!C69</f>
        <v/>
      </c>
      <c r="D69" s="5">
        <f>1_PRE_RAW!D69</f>
        <v/>
      </c>
      <c r="E69" s="5">
        <f>1_PRE_RAW!E69</f>
        <v/>
      </c>
      <c r="F69" s="5">
        <f>1_PRE_RAW!F69</f>
        <v/>
      </c>
      <c r="G69" s="5">
        <f>1_PRE_RAW!G69</f>
        <v/>
      </c>
      <c r="H69" s="5">
        <f>1_PRE_RAW!H69</f>
        <v/>
      </c>
      <c r="I69" s="5">
        <f>1_PRE_RAW!I69</f>
        <v/>
      </c>
      <c r="J69" s="5">
        <f>1_PRE_RAW!J69</f>
        <v/>
      </c>
      <c r="K69" s="5">
        <f>1_PRE_RAW!K69</f>
        <v/>
      </c>
      <c r="L69" s="5">
        <f>1_PRE_RAW!L69</f>
        <v/>
      </c>
      <c r="M69" s="5">
        <f>1_PRE_RAW!M69</f>
        <v/>
      </c>
      <c r="N69" s="5">
        <f>1_PRE_RAW!N69</f>
        <v/>
      </c>
      <c r="O69" s="5">
        <f>1_PRE_RAW!O69</f>
        <v/>
      </c>
      <c r="P69" s="5">
        <f>1_PRE_RAW!P69</f>
        <v/>
      </c>
      <c r="Q69" s="5">
        <f>1_PRE_RAW!Q69</f>
        <v/>
      </c>
      <c r="R69" s="5">
        <f>1_PRE_RAW!R69</f>
        <v/>
      </c>
      <c r="S69" s="5">
        <f>1_PRE_RAW!S69</f>
        <v/>
      </c>
      <c r="T69" s="5">
        <f>1_PRE_RAW!T69</f>
        <v/>
      </c>
      <c r="U69" s="5">
        <f>1_PRE_RAW!U69</f>
        <v/>
      </c>
      <c r="V69" s="5">
        <f>1_PRE_RAW!V69</f>
        <v/>
      </c>
      <c r="W69" s="5">
        <f>1_PRE_RAW!W69</f>
        <v/>
      </c>
      <c r="X69" s="5">
        <f>1_PRE_RAW!X69</f>
        <v/>
      </c>
      <c r="Y69" s="5">
        <f>1_PRE_RAW!Y69</f>
        <v/>
      </c>
      <c r="Z69" s="5">
        <f>1_PRE_RAW!Z69</f>
        <v/>
      </c>
      <c r="AA69" s="5">
        <f>1_PRE_RAW!AA69</f>
        <v/>
      </c>
      <c r="AB69" s="5">
        <f>1_PRE_RAW!AB69</f>
        <v/>
      </c>
      <c r="AC69" s="5">
        <f>1_PRE_RAW!AC69</f>
        <v/>
      </c>
      <c r="AD69" s="5">
        <f>2.5*((H69-1)+(5-I69)+(J69-1)+(5-K69)+(L69-1)+(5-M69)+(N69-1)+(5-O69)+(P69-1)+(5-Q69))</f>
        <v/>
      </c>
      <c r="AE69" s="5">
        <f>SUM(R69:Y69)</f>
        <v/>
      </c>
      <c r="AF69" s="5">
        <f>AVERAGE(Z69,AB69)</f>
        <v/>
      </c>
      <c r="AG69" s="5">
        <f>AA69+AC69</f>
        <v/>
      </c>
    </row>
    <row r="70">
      <c r="A70" s="5">
        <f>1_PRE_RAW!A70</f>
        <v/>
      </c>
      <c r="B70" s="5">
        <f>1_PRE_RAW!B70</f>
        <v/>
      </c>
      <c r="C70" s="5">
        <f>1_PRE_RAW!C70</f>
        <v/>
      </c>
      <c r="D70" s="5">
        <f>1_PRE_RAW!D70</f>
        <v/>
      </c>
      <c r="E70" s="5">
        <f>1_PRE_RAW!E70</f>
        <v/>
      </c>
      <c r="F70" s="5">
        <f>1_PRE_RAW!F70</f>
        <v/>
      </c>
      <c r="G70" s="5">
        <f>1_PRE_RAW!G70</f>
        <v/>
      </c>
      <c r="H70" s="5">
        <f>1_PRE_RAW!H70</f>
        <v/>
      </c>
      <c r="I70" s="5">
        <f>1_PRE_RAW!I70</f>
        <v/>
      </c>
      <c r="J70" s="5">
        <f>1_PRE_RAW!J70</f>
        <v/>
      </c>
      <c r="K70" s="5">
        <f>1_PRE_RAW!K70</f>
        <v/>
      </c>
      <c r="L70" s="5">
        <f>1_PRE_RAW!L70</f>
        <v/>
      </c>
      <c r="M70" s="5">
        <f>1_PRE_RAW!M70</f>
        <v/>
      </c>
      <c r="N70" s="5">
        <f>1_PRE_RAW!N70</f>
        <v/>
      </c>
      <c r="O70" s="5">
        <f>1_PRE_RAW!O70</f>
        <v/>
      </c>
      <c r="P70" s="5">
        <f>1_PRE_RAW!P70</f>
        <v/>
      </c>
      <c r="Q70" s="5">
        <f>1_PRE_RAW!Q70</f>
        <v/>
      </c>
      <c r="R70" s="5">
        <f>1_PRE_RAW!R70</f>
        <v/>
      </c>
      <c r="S70" s="5">
        <f>1_PRE_RAW!S70</f>
        <v/>
      </c>
      <c r="T70" s="5">
        <f>1_PRE_RAW!T70</f>
        <v/>
      </c>
      <c r="U70" s="5">
        <f>1_PRE_RAW!U70</f>
        <v/>
      </c>
      <c r="V70" s="5">
        <f>1_PRE_RAW!V70</f>
        <v/>
      </c>
      <c r="W70" s="5">
        <f>1_PRE_RAW!W70</f>
        <v/>
      </c>
      <c r="X70" s="5">
        <f>1_PRE_RAW!X70</f>
        <v/>
      </c>
      <c r="Y70" s="5">
        <f>1_PRE_RAW!Y70</f>
        <v/>
      </c>
      <c r="Z70" s="5">
        <f>1_PRE_RAW!Z70</f>
        <v/>
      </c>
      <c r="AA70" s="5">
        <f>1_PRE_RAW!AA70</f>
        <v/>
      </c>
      <c r="AB70" s="5">
        <f>1_PRE_RAW!AB70</f>
        <v/>
      </c>
      <c r="AC70" s="5">
        <f>1_PRE_RAW!AC70</f>
        <v/>
      </c>
      <c r="AD70" s="5">
        <f>2.5*((H70-1)+(5-I70)+(J70-1)+(5-K70)+(L70-1)+(5-M70)+(N70-1)+(5-O70)+(P70-1)+(5-Q70))</f>
        <v/>
      </c>
      <c r="AE70" s="5">
        <f>SUM(R70:Y70)</f>
        <v/>
      </c>
      <c r="AF70" s="5">
        <f>AVERAGE(Z70,AB70)</f>
        <v/>
      </c>
      <c r="AG70" s="5">
        <f>AA70+AC70</f>
        <v/>
      </c>
    </row>
    <row r="71">
      <c r="A71" s="5">
        <f>1_PRE_RAW!A71</f>
        <v/>
      </c>
      <c r="B71" s="5">
        <f>1_PRE_RAW!B71</f>
        <v/>
      </c>
      <c r="C71" s="5">
        <f>1_PRE_RAW!C71</f>
        <v/>
      </c>
      <c r="D71" s="5">
        <f>1_PRE_RAW!D71</f>
        <v/>
      </c>
      <c r="E71" s="5">
        <f>1_PRE_RAW!E71</f>
        <v/>
      </c>
      <c r="F71" s="5">
        <f>1_PRE_RAW!F71</f>
        <v/>
      </c>
      <c r="G71" s="5">
        <f>1_PRE_RAW!G71</f>
        <v/>
      </c>
      <c r="H71" s="5">
        <f>1_PRE_RAW!H71</f>
        <v/>
      </c>
      <c r="I71" s="5">
        <f>1_PRE_RAW!I71</f>
        <v/>
      </c>
      <c r="J71" s="5">
        <f>1_PRE_RAW!J71</f>
        <v/>
      </c>
      <c r="K71" s="5">
        <f>1_PRE_RAW!K71</f>
        <v/>
      </c>
      <c r="L71" s="5">
        <f>1_PRE_RAW!L71</f>
        <v/>
      </c>
      <c r="M71" s="5">
        <f>1_PRE_RAW!M71</f>
        <v/>
      </c>
      <c r="N71" s="5">
        <f>1_PRE_RAW!N71</f>
        <v/>
      </c>
      <c r="O71" s="5">
        <f>1_PRE_RAW!O71</f>
        <v/>
      </c>
      <c r="P71" s="5">
        <f>1_PRE_RAW!P71</f>
        <v/>
      </c>
      <c r="Q71" s="5">
        <f>1_PRE_RAW!Q71</f>
        <v/>
      </c>
      <c r="R71" s="5">
        <f>1_PRE_RAW!R71</f>
        <v/>
      </c>
      <c r="S71" s="5">
        <f>1_PRE_RAW!S71</f>
        <v/>
      </c>
      <c r="T71" s="5">
        <f>1_PRE_RAW!T71</f>
        <v/>
      </c>
      <c r="U71" s="5">
        <f>1_PRE_RAW!U71</f>
        <v/>
      </c>
      <c r="V71" s="5">
        <f>1_PRE_RAW!V71</f>
        <v/>
      </c>
      <c r="W71" s="5">
        <f>1_PRE_RAW!W71</f>
        <v/>
      </c>
      <c r="X71" s="5">
        <f>1_PRE_RAW!X71</f>
        <v/>
      </c>
      <c r="Y71" s="5">
        <f>1_PRE_RAW!Y71</f>
        <v/>
      </c>
      <c r="Z71" s="5">
        <f>1_PRE_RAW!Z71</f>
        <v/>
      </c>
      <c r="AA71" s="5">
        <f>1_PRE_RAW!AA71</f>
        <v/>
      </c>
      <c r="AB71" s="5">
        <f>1_PRE_RAW!AB71</f>
        <v/>
      </c>
      <c r="AC71" s="5">
        <f>1_PRE_RAW!AC71</f>
        <v/>
      </c>
      <c r="AD71" s="5">
        <f>2.5*((H71-1)+(5-I71)+(J71-1)+(5-K71)+(L71-1)+(5-M71)+(N71-1)+(5-O71)+(P71-1)+(5-Q71))</f>
        <v/>
      </c>
      <c r="AE71" s="5">
        <f>SUM(R71:Y71)</f>
        <v/>
      </c>
      <c r="AF71" s="5">
        <f>AVERAGE(Z71,AB71)</f>
        <v/>
      </c>
      <c r="AG71" s="5">
        <f>AA71+AC71</f>
        <v/>
      </c>
    </row>
    <row r="72">
      <c r="A72" s="5">
        <f>1_PRE_RAW!A72</f>
        <v/>
      </c>
      <c r="B72" s="5">
        <f>1_PRE_RAW!B72</f>
        <v/>
      </c>
      <c r="C72" s="5">
        <f>1_PRE_RAW!C72</f>
        <v/>
      </c>
      <c r="D72" s="5">
        <f>1_PRE_RAW!D72</f>
        <v/>
      </c>
      <c r="E72" s="5">
        <f>1_PRE_RAW!E72</f>
        <v/>
      </c>
      <c r="F72" s="5">
        <f>1_PRE_RAW!F72</f>
        <v/>
      </c>
      <c r="G72" s="5">
        <f>1_PRE_RAW!G72</f>
        <v/>
      </c>
      <c r="H72" s="5">
        <f>1_PRE_RAW!H72</f>
        <v/>
      </c>
      <c r="I72" s="5">
        <f>1_PRE_RAW!I72</f>
        <v/>
      </c>
      <c r="J72" s="5">
        <f>1_PRE_RAW!J72</f>
        <v/>
      </c>
      <c r="K72" s="5">
        <f>1_PRE_RAW!K72</f>
        <v/>
      </c>
      <c r="L72" s="5">
        <f>1_PRE_RAW!L72</f>
        <v/>
      </c>
      <c r="M72" s="5">
        <f>1_PRE_RAW!M72</f>
        <v/>
      </c>
      <c r="N72" s="5">
        <f>1_PRE_RAW!N72</f>
        <v/>
      </c>
      <c r="O72" s="5">
        <f>1_PRE_RAW!O72</f>
        <v/>
      </c>
      <c r="P72" s="5">
        <f>1_PRE_RAW!P72</f>
        <v/>
      </c>
      <c r="Q72" s="5">
        <f>1_PRE_RAW!Q72</f>
        <v/>
      </c>
      <c r="R72" s="5">
        <f>1_PRE_RAW!R72</f>
        <v/>
      </c>
      <c r="S72" s="5">
        <f>1_PRE_RAW!S72</f>
        <v/>
      </c>
      <c r="T72" s="5">
        <f>1_PRE_RAW!T72</f>
        <v/>
      </c>
      <c r="U72" s="5">
        <f>1_PRE_RAW!U72</f>
        <v/>
      </c>
      <c r="V72" s="5">
        <f>1_PRE_RAW!V72</f>
        <v/>
      </c>
      <c r="W72" s="5">
        <f>1_PRE_RAW!W72</f>
        <v/>
      </c>
      <c r="X72" s="5">
        <f>1_PRE_RAW!X72</f>
        <v/>
      </c>
      <c r="Y72" s="5">
        <f>1_PRE_RAW!Y72</f>
        <v/>
      </c>
      <c r="Z72" s="5">
        <f>1_PRE_RAW!Z72</f>
        <v/>
      </c>
      <c r="AA72" s="5">
        <f>1_PRE_RAW!AA72</f>
        <v/>
      </c>
      <c r="AB72" s="5">
        <f>1_PRE_RAW!AB72</f>
        <v/>
      </c>
      <c r="AC72" s="5">
        <f>1_PRE_RAW!AC72</f>
        <v/>
      </c>
      <c r="AD72" s="5">
        <f>2.5*((H72-1)+(5-I72)+(J72-1)+(5-K72)+(L72-1)+(5-M72)+(N72-1)+(5-O72)+(P72-1)+(5-Q72))</f>
        <v/>
      </c>
      <c r="AE72" s="5">
        <f>SUM(R72:Y72)</f>
        <v/>
      </c>
      <c r="AF72" s="5">
        <f>AVERAGE(Z72,AB72)</f>
        <v/>
      </c>
      <c r="AG72" s="5">
        <f>AA72+AC72</f>
        <v/>
      </c>
    </row>
    <row r="73">
      <c r="A73" s="5">
        <f>1_PRE_RAW!A73</f>
        <v/>
      </c>
      <c r="B73" s="5">
        <f>1_PRE_RAW!B73</f>
        <v/>
      </c>
      <c r="C73" s="5">
        <f>1_PRE_RAW!C73</f>
        <v/>
      </c>
      <c r="D73" s="5">
        <f>1_PRE_RAW!D73</f>
        <v/>
      </c>
      <c r="E73" s="5">
        <f>1_PRE_RAW!E73</f>
        <v/>
      </c>
      <c r="F73" s="5">
        <f>1_PRE_RAW!F73</f>
        <v/>
      </c>
      <c r="G73" s="5">
        <f>1_PRE_RAW!G73</f>
        <v/>
      </c>
      <c r="H73" s="5">
        <f>1_PRE_RAW!H73</f>
        <v/>
      </c>
      <c r="I73" s="5">
        <f>1_PRE_RAW!I73</f>
        <v/>
      </c>
      <c r="J73" s="5">
        <f>1_PRE_RAW!J73</f>
        <v/>
      </c>
      <c r="K73" s="5">
        <f>1_PRE_RAW!K73</f>
        <v/>
      </c>
      <c r="L73" s="5">
        <f>1_PRE_RAW!L73</f>
        <v/>
      </c>
      <c r="M73" s="5">
        <f>1_PRE_RAW!M73</f>
        <v/>
      </c>
      <c r="N73" s="5">
        <f>1_PRE_RAW!N73</f>
        <v/>
      </c>
      <c r="O73" s="5">
        <f>1_PRE_RAW!O73</f>
        <v/>
      </c>
      <c r="P73" s="5">
        <f>1_PRE_RAW!P73</f>
        <v/>
      </c>
      <c r="Q73" s="5">
        <f>1_PRE_RAW!Q73</f>
        <v/>
      </c>
      <c r="R73" s="5">
        <f>1_PRE_RAW!R73</f>
        <v/>
      </c>
      <c r="S73" s="5">
        <f>1_PRE_RAW!S73</f>
        <v/>
      </c>
      <c r="T73" s="5">
        <f>1_PRE_RAW!T73</f>
        <v/>
      </c>
      <c r="U73" s="5">
        <f>1_PRE_RAW!U73</f>
        <v/>
      </c>
      <c r="V73" s="5">
        <f>1_PRE_RAW!V73</f>
        <v/>
      </c>
      <c r="W73" s="5">
        <f>1_PRE_RAW!W73</f>
        <v/>
      </c>
      <c r="X73" s="5">
        <f>1_PRE_RAW!X73</f>
        <v/>
      </c>
      <c r="Y73" s="5">
        <f>1_PRE_RAW!Y73</f>
        <v/>
      </c>
      <c r="Z73" s="5">
        <f>1_PRE_RAW!Z73</f>
        <v/>
      </c>
      <c r="AA73" s="5">
        <f>1_PRE_RAW!AA73</f>
        <v/>
      </c>
      <c r="AB73" s="5">
        <f>1_PRE_RAW!AB73</f>
        <v/>
      </c>
      <c r="AC73" s="5">
        <f>1_PRE_RAW!AC73</f>
        <v/>
      </c>
      <c r="AD73" s="5">
        <f>2.5*((H73-1)+(5-I73)+(J73-1)+(5-K73)+(L73-1)+(5-M73)+(N73-1)+(5-O73)+(P73-1)+(5-Q73))</f>
        <v/>
      </c>
      <c r="AE73" s="5">
        <f>SUM(R73:Y73)</f>
        <v/>
      </c>
      <c r="AF73" s="5">
        <f>AVERAGE(Z73,AB73)</f>
        <v/>
      </c>
      <c r="AG73" s="5">
        <f>AA73+AC73</f>
        <v/>
      </c>
    </row>
    <row r="74">
      <c r="A74" s="5">
        <f>1_PRE_RAW!A74</f>
        <v/>
      </c>
      <c r="B74" s="5">
        <f>1_PRE_RAW!B74</f>
        <v/>
      </c>
      <c r="C74" s="5">
        <f>1_PRE_RAW!C74</f>
        <v/>
      </c>
      <c r="D74" s="5">
        <f>1_PRE_RAW!D74</f>
        <v/>
      </c>
      <c r="E74" s="5">
        <f>1_PRE_RAW!E74</f>
        <v/>
      </c>
      <c r="F74" s="5">
        <f>1_PRE_RAW!F74</f>
        <v/>
      </c>
      <c r="G74" s="5">
        <f>1_PRE_RAW!G74</f>
        <v/>
      </c>
      <c r="H74" s="5">
        <f>1_PRE_RAW!H74</f>
        <v/>
      </c>
      <c r="I74" s="5">
        <f>1_PRE_RAW!I74</f>
        <v/>
      </c>
      <c r="J74" s="5">
        <f>1_PRE_RAW!J74</f>
        <v/>
      </c>
      <c r="K74" s="5">
        <f>1_PRE_RAW!K74</f>
        <v/>
      </c>
      <c r="L74" s="5">
        <f>1_PRE_RAW!L74</f>
        <v/>
      </c>
      <c r="M74" s="5">
        <f>1_PRE_RAW!M74</f>
        <v/>
      </c>
      <c r="N74" s="5">
        <f>1_PRE_RAW!N74</f>
        <v/>
      </c>
      <c r="O74" s="5">
        <f>1_PRE_RAW!O74</f>
        <v/>
      </c>
      <c r="P74" s="5">
        <f>1_PRE_RAW!P74</f>
        <v/>
      </c>
      <c r="Q74" s="5">
        <f>1_PRE_RAW!Q74</f>
        <v/>
      </c>
      <c r="R74" s="5">
        <f>1_PRE_RAW!R74</f>
        <v/>
      </c>
      <c r="S74" s="5">
        <f>1_PRE_RAW!S74</f>
        <v/>
      </c>
      <c r="T74" s="5">
        <f>1_PRE_RAW!T74</f>
        <v/>
      </c>
      <c r="U74" s="5">
        <f>1_PRE_RAW!U74</f>
        <v/>
      </c>
      <c r="V74" s="5">
        <f>1_PRE_RAW!V74</f>
        <v/>
      </c>
      <c r="W74" s="5">
        <f>1_PRE_RAW!W74</f>
        <v/>
      </c>
      <c r="X74" s="5">
        <f>1_PRE_RAW!X74</f>
        <v/>
      </c>
      <c r="Y74" s="5">
        <f>1_PRE_RAW!Y74</f>
        <v/>
      </c>
      <c r="Z74" s="5">
        <f>1_PRE_RAW!Z74</f>
        <v/>
      </c>
      <c r="AA74" s="5">
        <f>1_PRE_RAW!AA74</f>
        <v/>
      </c>
      <c r="AB74" s="5">
        <f>1_PRE_RAW!AB74</f>
        <v/>
      </c>
      <c r="AC74" s="5">
        <f>1_PRE_RAW!AC74</f>
        <v/>
      </c>
      <c r="AD74" s="5">
        <f>2.5*((H74-1)+(5-I74)+(J74-1)+(5-K74)+(L74-1)+(5-M74)+(N74-1)+(5-O74)+(P74-1)+(5-Q74))</f>
        <v/>
      </c>
      <c r="AE74" s="5">
        <f>SUM(R74:Y74)</f>
        <v/>
      </c>
      <c r="AF74" s="5">
        <f>AVERAGE(Z74,AB74)</f>
        <v/>
      </c>
      <c r="AG74" s="5">
        <f>AA74+AC74</f>
        <v/>
      </c>
    </row>
    <row r="75">
      <c r="A75" s="5">
        <f>1_PRE_RAW!A75</f>
        <v/>
      </c>
      <c r="B75" s="5">
        <f>1_PRE_RAW!B75</f>
        <v/>
      </c>
      <c r="C75" s="5">
        <f>1_PRE_RAW!C75</f>
        <v/>
      </c>
      <c r="D75" s="5">
        <f>1_PRE_RAW!D75</f>
        <v/>
      </c>
      <c r="E75" s="5">
        <f>1_PRE_RAW!E75</f>
        <v/>
      </c>
      <c r="F75" s="5">
        <f>1_PRE_RAW!F75</f>
        <v/>
      </c>
      <c r="G75" s="5">
        <f>1_PRE_RAW!G75</f>
        <v/>
      </c>
      <c r="H75" s="5">
        <f>1_PRE_RAW!H75</f>
        <v/>
      </c>
      <c r="I75" s="5">
        <f>1_PRE_RAW!I75</f>
        <v/>
      </c>
      <c r="J75" s="5">
        <f>1_PRE_RAW!J75</f>
        <v/>
      </c>
      <c r="K75" s="5">
        <f>1_PRE_RAW!K75</f>
        <v/>
      </c>
      <c r="L75" s="5">
        <f>1_PRE_RAW!L75</f>
        <v/>
      </c>
      <c r="M75" s="5">
        <f>1_PRE_RAW!M75</f>
        <v/>
      </c>
      <c r="N75" s="5">
        <f>1_PRE_RAW!N75</f>
        <v/>
      </c>
      <c r="O75" s="5">
        <f>1_PRE_RAW!O75</f>
        <v/>
      </c>
      <c r="P75" s="5">
        <f>1_PRE_RAW!P75</f>
        <v/>
      </c>
      <c r="Q75" s="5">
        <f>1_PRE_RAW!Q75</f>
        <v/>
      </c>
      <c r="R75" s="5">
        <f>1_PRE_RAW!R75</f>
        <v/>
      </c>
      <c r="S75" s="5">
        <f>1_PRE_RAW!S75</f>
        <v/>
      </c>
      <c r="T75" s="5">
        <f>1_PRE_RAW!T75</f>
        <v/>
      </c>
      <c r="U75" s="5">
        <f>1_PRE_RAW!U75</f>
        <v/>
      </c>
      <c r="V75" s="5">
        <f>1_PRE_RAW!V75</f>
        <v/>
      </c>
      <c r="W75" s="5">
        <f>1_PRE_RAW!W75</f>
        <v/>
      </c>
      <c r="X75" s="5">
        <f>1_PRE_RAW!X75</f>
        <v/>
      </c>
      <c r="Y75" s="5">
        <f>1_PRE_RAW!Y75</f>
        <v/>
      </c>
      <c r="Z75" s="5">
        <f>1_PRE_RAW!Z75</f>
        <v/>
      </c>
      <c r="AA75" s="5">
        <f>1_PRE_RAW!AA75</f>
        <v/>
      </c>
      <c r="AB75" s="5">
        <f>1_PRE_RAW!AB75</f>
        <v/>
      </c>
      <c r="AC75" s="5">
        <f>1_PRE_RAW!AC75</f>
        <v/>
      </c>
      <c r="AD75" s="5">
        <f>2.5*((H75-1)+(5-I75)+(J75-1)+(5-K75)+(L75-1)+(5-M75)+(N75-1)+(5-O75)+(P75-1)+(5-Q75))</f>
        <v/>
      </c>
      <c r="AE75" s="5">
        <f>SUM(R75:Y75)</f>
        <v/>
      </c>
      <c r="AF75" s="5">
        <f>AVERAGE(Z75,AB75)</f>
        <v/>
      </c>
      <c r="AG75" s="5">
        <f>AA75+AC75</f>
        <v/>
      </c>
    </row>
    <row r="76">
      <c r="A76" s="5">
        <f>1_PRE_RAW!A76</f>
        <v/>
      </c>
      <c r="B76" s="5">
        <f>1_PRE_RAW!B76</f>
        <v/>
      </c>
      <c r="C76" s="5">
        <f>1_PRE_RAW!C76</f>
        <v/>
      </c>
      <c r="D76" s="5">
        <f>1_PRE_RAW!D76</f>
        <v/>
      </c>
      <c r="E76" s="5">
        <f>1_PRE_RAW!E76</f>
        <v/>
      </c>
      <c r="F76" s="5">
        <f>1_PRE_RAW!F76</f>
        <v/>
      </c>
      <c r="G76" s="5">
        <f>1_PRE_RAW!G76</f>
        <v/>
      </c>
      <c r="H76" s="5">
        <f>1_PRE_RAW!H76</f>
        <v/>
      </c>
      <c r="I76" s="5">
        <f>1_PRE_RAW!I76</f>
        <v/>
      </c>
      <c r="J76" s="5">
        <f>1_PRE_RAW!J76</f>
        <v/>
      </c>
      <c r="K76" s="5">
        <f>1_PRE_RAW!K76</f>
        <v/>
      </c>
      <c r="L76" s="5">
        <f>1_PRE_RAW!L76</f>
        <v/>
      </c>
      <c r="M76" s="5">
        <f>1_PRE_RAW!M76</f>
        <v/>
      </c>
      <c r="N76" s="5">
        <f>1_PRE_RAW!N76</f>
        <v/>
      </c>
      <c r="O76" s="5">
        <f>1_PRE_RAW!O76</f>
        <v/>
      </c>
      <c r="P76" s="5">
        <f>1_PRE_RAW!P76</f>
        <v/>
      </c>
      <c r="Q76" s="5">
        <f>1_PRE_RAW!Q76</f>
        <v/>
      </c>
      <c r="R76" s="5">
        <f>1_PRE_RAW!R76</f>
        <v/>
      </c>
      <c r="S76" s="5">
        <f>1_PRE_RAW!S76</f>
        <v/>
      </c>
      <c r="T76" s="5">
        <f>1_PRE_RAW!T76</f>
        <v/>
      </c>
      <c r="U76" s="5">
        <f>1_PRE_RAW!U76</f>
        <v/>
      </c>
      <c r="V76" s="5">
        <f>1_PRE_RAW!V76</f>
        <v/>
      </c>
      <c r="W76" s="5">
        <f>1_PRE_RAW!W76</f>
        <v/>
      </c>
      <c r="X76" s="5">
        <f>1_PRE_RAW!X76</f>
        <v/>
      </c>
      <c r="Y76" s="5">
        <f>1_PRE_RAW!Y76</f>
        <v/>
      </c>
      <c r="Z76" s="5">
        <f>1_PRE_RAW!Z76</f>
        <v/>
      </c>
      <c r="AA76" s="5">
        <f>1_PRE_RAW!AA76</f>
        <v/>
      </c>
      <c r="AB76" s="5">
        <f>1_PRE_RAW!AB76</f>
        <v/>
      </c>
      <c r="AC76" s="5">
        <f>1_PRE_RAW!AC76</f>
        <v/>
      </c>
      <c r="AD76" s="5">
        <f>2.5*((H76-1)+(5-I76)+(J76-1)+(5-K76)+(L76-1)+(5-M76)+(N76-1)+(5-O76)+(P76-1)+(5-Q76))</f>
        <v/>
      </c>
      <c r="AE76" s="5">
        <f>SUM(R76:Y76)</f>
        <v/>
      </c>
      <c r="AF76" s="5">
        <f>AVERAGE(Z76,AB76)</f>
        <v/>
      </c>
      <c r="AG76" s="5">
        <f>AA76+AC76</f>
        <v/>
      </c>
    </row>
    <row r="77">
      <c r="A77" s="5">
        <f>1_PRE_RAW!A77</f>
        <v/>
      </c>
      <c r="B77" s="5">
        <f>1_PRE_RAW!B77</f>
        <v/>
      </c>
      <c r="C77" s="5">
        <f>1_PRE_RAW!C77</f>
        <v/>
      </c>
      <c r="D77" s="5">
        <f>1_PRE_RAW!D77</f>
        <v/>
      </c>
      <c r="E77" s="5">
        <f>1_PRE_RAW!E77</f>
        <v/>
      </c>
      <c r="F77" s="5">
        <f>1_PRE_RAW!F77</f>
        <v/>
      </c>
      <c r="G77" s="5">
        <f>1_PRE_RAW!G77</f>
        <v/>
      </c>
      <c r="H77" s="5">
        <f>1_PRE_RAW!H77</f>
        <v/>
      </c>
      <c r="I77" s="5">
        <f>1_PRE_RAW!I77</f>
        <v/>
      </c>
      <c r="J77" s="5">
        <f>1_PRE_RAW!J77</f>
        <v/>
      </c>
      <c r="K77" s="5">
        <f>1_PRE_RAW!K77</f>
        <v/>
      </c>
      <c r="L77" s="5">
        <f>1_PRE_RAW!L77</f>
        <v/>
      </c>
      <c r="M77" s="5">
        <f>1_PRE_RAW!M77</f>
        <v/>
      </c>
      <c r="N77" s="5">
        <f>1_PRE_RAW!N77</f>
        <v/>
      </c>
      <c r="O77" s="5">
        <f>1_PRE_RAW!O77</f>
        <v/>
      </c>
      <c r="P77" s="5">
        <f>1_PRE_RAW!P77</f>
        <v/>
      </c>
      <c r="Q77" s="5">
        <f>1_PRE_RAW!Q77</f>
        <v/>
      </c>
      <c r="R77" s="5">
        <f>1_PRE_RAW!R77</f>
        <v/>
      </c>
      <c r="S77" s="5">
        <f>1_PRE_RAW!S77</f>
        <v/>
      </c>
      <c r="T77" s="5">
        <f>1_PRE_RAW!T77</f>
        <v/>
      </c>
      <c r="U77" s="5">
        <f>1_PRE_RAW!U77</f>
        <v/>
      </c>
      <c r="V77" s="5">
        <f>1_PRE_RAW!V77</f>
        <v/>
      </c>
      <c r="W77" s="5">
        <f>1_PRE_RAW!W77</f>
        <v/>
      </c>
      <c r="X77" s="5">
        <f>1_PRE_RAW!X77</f>
        <v/>
      </c>
      <c r="Y77" s="5">
        <f>1_PRE_RAW!Y77</f>
        <v/>
      </c>
      <c r="Z77" s="5">
        <f>1_PRE_RAW!Z77</f>
        <v/>
      </c>
      <c r="AA77" s="5">
        <f>1_PRE_RAW!AA77</f>
        <v/>
      </c>
      <c r="AB77" s="5">
        <f>1_PRE_RAW!AB77</f>
        <v/>
      </c>
      <c r="AC77" s="5">
        <f>1_PRE_RAW!AC77</f>
        <v/>
      </c>
      <c r="AD77" s="5">
        <f>2.5*((H77-1)+(5-I77)+(J77-1)+(5-K77)+(L77-1)+(5-M77)+(N77-1)+(5-O77)+(P77-1)+(5-Q77))</f>
        <v/>
      </c>
      <c r="AE77" s="5">
        <f>SUM(R77:Y77)</f>
        <v/>
      </c>
      <c r="AF77" s="5">
        <f>AVERAGE(Z77,AB77)</f>
        <v/>
      </c>
      <c r="AG77" s="5">
        <f>AA77+AC77</f>
        <v/>
      </c>
    </row>
    <row r="78">
      <c r="A78" s="5">
        <f>1_PRE_RAW!A78</f>
        <v/>
      </c>
      <c r="B78" s="5">
        <f>1_PRE_RAW!B78</f>
        <v/>
      </c>
      <c r="C78" s="5">
        <f>1_PRE_RAW!C78</f>
        <v/>
      </c>
      <c r="D78" s="5">
        <f>1_PRE_RAW!D78</f>
        <v/>
      </c>
      <c r="E78" s="5">
        <f>1_PRE_RAW!E78</f>
        <v/>
      </c>
      <c r="F78" s="5">
        <f>1_PRE_RAW!F78</f>
        <v/>
      </c>
      <c r="G78" s="5">
        <f>1_PRE_RAW!G78</f>
        <v/>
      </c>
      <c r="H78" s="5">
        <f>1_PRE_RAW!H78</f>
        <v/>
      </c>
      <c r="I78" s="5">
        <f>1_PRE_RAW!I78</f>
        <v/>
      </c>
      <c r="J78" s="5">
        <f>1_PRE_RAW!J78</f>
        <v/>
      </c>
      <c r="K78" s="5">
        <f>1_PRE_RAW!K78</f>
        <v/>
      </c>
      <c r="L78" s="5">
        <f>1_PRE_RAW!L78</f>
        <v/>
      </c>
      <c r="M78" s="5">
        <f>1_PRE_RAW!M78</f>
        <v/>
      </c>
      <c r="N78" s="5">
        <f>1_PRE_RAW!N78</f>
        <v/>
      </c>
      <c r="O78" s="5">
        <f>1_PRE_RAW!O78</f>
        <v/>
      </c>
      <c r="P78" s="5">
        <f>1_PRE_RAW!P78</f>
        <v/>
      </c>
      <c r="Q78" s="5">
        <f>1_PRE_RAW!Q78</f>
        <v/>
      </c>
      <c r="R78" s="5">
        <f>1_PRE_RAW!R78</f>
        <v/>
      </c>
      <c r="S78" s="5">
        <f>1_PRE_RAW!S78</f>
        <v/>
      </c>
      <c r="T78" s="5">
        <f>1_PRE_RAW!T78</f>
        <v/>
      </c>
      <c r="U78" s="5">
        <f>1_PRE_RAW!U78</f>
        <v/>
      </c>
      <c r="V78" s="5">
        <f>1_PRE_RAW!V78</f>
        <v/>
      </c>
      <c r="W78" s="5">
        <f>1_PRE_RAW!W78</f>
        <v/>
      </c>
      <c r="X78" s="5">
        <f>1_PRE_RAW!X78</f>
        <v/>
      </c>
      <c r="Y78" s="5">
        <f>1_PRE_RAW!Y78</f>
        <v/>
      </c>
      <c r="Z78" s="5">
        <f>1_PRE_RAW!Z78</f>
        <v/>
      </c>
      <c r="AA78" s="5">
        <f>1_PRE_RAW!AA78</f>
        <v/>
      </c>
      <c r="AB78" s="5">
        <f>1_PRE_RAW!AB78</f>
        <v/>
      </c>
      <c r="AC78" s="5">
        <f>1_PRE_RAW!AC78</f>
        <v/>
      </c>
      <c r="AD78" s="5">
        <f>2.5*((H78-1)+(5-I78)+(J78-1)+(5-K78)+(L78-1)+(5-M78)+(N78-1)+(5-O78)+(P78-1)+(5-Q78))</f>
        <v/>
      </c>
      <c r="AE78" s="5">
        <f>SUM(R78:Y78)</f>
        <v/>
      </c>
      <c r="AF78" s="5">
        <f>AVERAGE(Z78,AB78)</f>
        <v/>
      </c>
      <c r="AG78" s="5">
        <f>AA78+AC78</f>
        <v/>
      </c>
    </row>
    <row r="79">
      <c r="A79" s="5">
        <f>1_PRE_RAW!A79</f>
        <v/>
      </c>
      <c r="B79" s="5">
        <f>1_PRE_RAW!B79</f>
        <v/>
      </c>
      <c r="C79" s="5">
        <f>1_PRE_RAW!C79</f>
        <v/>
      </c>
      <c r="D79" s="5">
        <f>1_PRE_RAW!D79</f>
        <v/>
      </c>
      <c r="E79" s="5">
        <f>1_PRE_RAW!E79</f>
        <v/>
      </c>
      <c r="F79" s="5">
        <f>1_PRE_RAW!F79</f>
        <v/>
      </c>
      <c r="G79" s="5">
        <f>1_PRE_RAW!G79</f>
        <v/>
      </c>
      <c r="H79" s="5">
        <f>1_PRE_RAW!H79</f>
        <v/>
      </c>
      <c r="I79" s="5">
        <f>1_PRE_RAW!I79</f>
        <v/>
      </c>
      <c r="J79" s="5">
        <f>1_PRE_RAW!J79</f>
        <v/>
      </c>
      <c r="K79" s="5">
        <f>1_PRE_RAW!K79</f>
        <v/>
      </c>
      <c r="L79" s="5">
        <f>1_PRE_RAW!L79</f>
        <v/>
      </c>
      <c r="M79" s="5">
        <f>1_PRE_RAW!M79</f>
        <v/>
      </c>
      <c r="N79" s="5">
        <f>1_PRE_RAW!N79</f>
        <v/>
      </c>
      <c r="O79" s="5">
        <f>1_PRE_RAW!O79</f>
        <v/>
      </c>
      <c r="P79" s="5">
        <f>1_PRE_RAW!P79</f>
        <v/>
      </c>
      <c r="Q79" s="5">
        <f>1_PRE_RAW!Q79</f>
        <v/>
      </c>
      <c r="R79" s="5">
        <f>1_PRE_RAW!R79</f>
        <v/>
      </c>
      <c r="S79" s="5">
        <f>1_PRE_RAW!S79</f>
        <v/>
      </c>
      <c r="T79" s="5">
        <f>1_PRE_RAW!T79</f>
        <v/>
      </c>
      <c r="U79" s="5">
        <f>1_PRE_RAW!U79</f>
        <v/>
      </c>
      <c r="V79" s="5">
        <f>1_PRE_RAW!V79</f>
        <v/>
      </c>
      <c r="W79" s="5">
        <f>1_PRE_RAW!W79</f>
        <v/>
      </c>
      <c r="X79" s="5">
        <f>1_PRE_RAW!X79</f>
        <v/>
      </c>
      <c r="Y79" s="5">
        <f>1_PRE_RAW!Y79</f>
        <v/>
      </c>
      <c r="Z79" s="5">
        <f>1_PRE_RAW!Z79</f>
        <v/>
      </c>
      <c r="AA79" s="5">
        <f>1_PRE_RAW!AA79</f>
        <v/>
      </c>
      <c r="AB79" s="5">
        <f>1_PRE_RAW!AB79</f>
        <v/>
      </c>
      <c r="AC79" s="5">
        <f>1_PRE_RAW!AC79</f>
        <v/>
      </c>
      <c r="AD79" s="5">
        <f>2.5*((H79-1)+(5-I79)+(J79-1)+(5-K79)+(L79-1)+(5-M79)+(N79-1)+(5-O79)+(P79-1)+(5-Q79))</f>
        <v/>
      </c>
      <c r="AE79" s="5">
        <f>SUM(R79:Y79)</f>
        <v/>
      </c>
      <c r="AF79" s="5">
        <f>AVERAGE(Z79,AB79)</f>
        <v/>
      </c>
      <c r="AG79" s="5">
        <f>AA79+AC79</f>
        <v/>
      </c>
    </row>
    <row r="80">
      <c r="A80" s="5">
        <f>1_PRE_RAW!A80</f>
        <v/>
      </c>
      <c r="B80" s="5">
        <f>1_PRE_RAW!B80</f>
        <v/>
      </c>
      <c r="C80" s="5">
        <f>1_PRE_RAW!C80</f>
        <v/>
      </c>
      <c r="D80" s="5">
        <f>1_PRE_RAW!D80</f>
        <v/>
      </c>
      <c r="E80" s="5">
        <f>1_PRE_RAW!E80</f>
        <v/>
      </c>
      <c r="F80" s="5">
        <f>1_PRE_RAW!F80</f>
        <v/>
      </c>
      <c r="G80" s="5">
        <f>1_PRE_RAW!G80</f>
        <v/>
      </c>
      <c r="H80" s="5">
        <f>1_PRE_RAW!H80</f>
        <v/>
      </c>
      <c r="I80" s="5">
        <f>1_PRE_RAW!I80</f>
        <v/>
      </c>
      <c r="J80" s="5">
        <f>1_PRE_RAW!J80</f>
        <v/>
      </c>
      <c r="K80" s="5">
        <f>1_PRE_RAW!K80</f>
        <v/>
      </c>
      <c r="L80" s="5">
        <f>1_PRE_RAW!L80</f>
        <v/>
      </c>
      <c r="M80" s="5">
        <f>1_PRE_RAW!M80</f>
        <v/>
      </c>
      <c r="N80" s="5">
        <f>1_PRE_RAW!N80</f>
        <v/>
      </c>
      <c r="O80" s="5">
        <f>1_PRE_RAW!O80</f>
        <v/>
      </c>
      <c r="P80" s="5">
        <f>1_PRE_RAW!P80</f>
        <v/>
      </c>
      <c r="Q80" s="5">
        <f>1_PRE_RAW!Q80</f>
        <v/>
      </c>
      <c r="R80" s="5">
        <f>1_PRE_RAW!R80</f>
        <v/>
      </c>
      <c r="S80" s="5">
        <f>1_PRE_RAW!S80</f>
        <v/>
      </c>
      <c r="T80" s="5">
        <f>1_PRE_RAW!T80</f>
        <v/>
      </c>
      <c r="U80" s="5">
        <f>1_PRE_RAW!U80</f>
        <v/>
      </c>
      <c r="V80" s="5">
        <f>1_PRE_RAW!V80</f>
        <v/>
      </c>
      <c r="W80" s="5">
        <f>1_PRE_RAW!W80</f>
        <v/>
      </c>
      <c r="X80" s="5">
        <f>1_PRE_RAW!X80</f>
        <v/>
      </c>
      <c r="Y80" s="5">
        <f>1_PRE_RAW!Y80</f>
        <v/>
      </c>
      <c r="Z80" s="5">
        <f>1_PRE_RAW!Z80</f>
        <v/>
      </c>
      <c r="AA80" s="5">
        <f>1_PRE_RAW!AA80</f>
        <v/>
      </c>
      <c r="AB80" s="5">
        <f>1_PRE_RAW!AB80</f>
        <v/>
      </c>
      <c r="AC80" s="5">
        <f>1_PRE_RAW!AC80</f>
        <v/>
      </c>
      <c r="AD80" s="5">
        <f>2.5*((H80-1)+(5-I80)+(J80-1)+(5-K80)+(L80-1)+(5-M80)+(N80-1)+(5-O80)+(P80-1)+(5-Q80))</f>
        <v/>
      </c>
      <c r="AE80" s="5">
        <f>SUM(R80:Y80)</f>
        <v/>
      </c>
      <c r="AF80" s="5">
        <f>AVERAGE(Z80,AB80)</f>
        <v/>
      </c>
      <c r="AG80" s="5">
        <f>AA80+AC80</f>
        <v/>
      </c>
    </row>
    <row r="81">
      <c r="A81" s="5">
        <f>1_PRE_RAW!A81</f>
        <v/>
      </c>
      <c r="B81" s="5">
        <f>1_PRE_RAW!B81</f>
        <v/>
      </c>
      <c r="C81" s="5">
        <f>1_PRE_RAW!C81</f>
        <v/>
      </c>
      <c r="D81" s="5">
        <f>1_PRE_RAW!D81</f>
        <v/>
      </c>
      <c r="E81" s="5">
        <f>1_PRE_RAW!E81</f>
        <v/>
      </c>
      <c r="F81" s="5">
        <f>1_PRE_RAW!F81</f>
        <v/>
      </c>
      <c r="G81" s="5">
        <f>1_PRE_RAW!G81</f>
        <v/>
      </c>
      <c r="H81" s="5">
        <f>1_PRE_RAW!H81</f>
        <v/>
      </c>
      <c r="I81" s="5">
        <f>1_PRE_RAW!I81</f>
        <v/>
      </c>
      <c r="J81" s="5">
        <f>1_PRE_RAW!J81</f>
        <v/>
      </c>
      <c r="K81" s="5">
        <f>1_PRE_RAW!K81</f>
        <v/>
      </c>
      <c r="L81" s="5">
        <f>1_PRE_RAW!L81</f>
        <v/>
      </c>
      <c r="M81" s="5">
        <f>1_PRE_RAW!M81</f>
        <v/>
      </c>
      <c r="N81" s="5">
        <f>1_PRE_RAW!N81</f>
        <v/>
      </c>
      <c r="O81" s="5">
        <f>1_PRE_RAW!O81</f>
        <v/>
      </c>
      <c r="P81" s="5">
        <f>1_PRE_RAW!P81</f>
        <v/>
      </c>
      <c r="Q81" s="5">
        <f>1_PRE_RAW!Q81</f>
        <v/>
      </c>
      <c r="R81" s="5">
        <f>1_PRE_RAW!R81</f>
        <v/>
      </c>
      <c r="S81" s="5">
        <f>1_PRE_RAW!S81</f>
        <v/>
      </c>
      <c r="T81" s="5">
        <f>1_PRE_RAW!T81</f>
        <v/>
      </c>
      <c r="U81" s="5">
        <f>1_PRE_RAW!U81</f>
        <v/>
      </c>
      <c r="V81" s="5">
        <f>1_PRE_RAW!V81</f>
        <v/>
      </c>
      <c r="W81" s="5">
        <f>1_PRE_RAW!W81</f>
        <v/>
      </c>
      <c r="X81" s="5">
        <f>1_PRE_RAW!X81</f>
        <v/>
      </c>
      <c r="Y81" s="5">
        <f>1_PRE_RAW!Y81</f>
        <v/>
      </c>
      <c r="Z81" s="5">
        <f>1_PRE_RAW!Z81</f>
        <v/>
      </c>
      <c r="AA81" s="5">
        <f>1_PRE_RAW!AA81</f>
        <v/>
      </c>
      <c r="AB81" s="5">
        <f>1_PRE_RAW!AB81</f>
        <v/>
      </c>
      <c r="AC81" s="5">
        <f>1_PRE_RAW!AC81</f>
        <v/>
      </c>
      <c r="AD81" s="5">
        <f>2.5*((H81-1)+(5-I81)+(J81-1)+(5-K81)+(L81-1)+(5-M81)+(N81-1)+(5-O81)+(P81-1)+(5-Q81))</f>
        <v/>
      </c>
      <c r="AE81" s="5">
        <f>SUM(R81:Y81)</f>
        <v/>
      </c>
      <c r="AF81" s="5">
        <f>AVERAGE(Z81,AB81)</f>
        <v/>
      </c>
      <c r="AG81" s="5">
        <f>AA81+AC81</f>
        <v/>
      </c>
    </row>
    <row r="82">
      <c r="A82" s="5">
        <f>1_PRE_RAW!A82</f>
        <v/>
      </c>
      <c r="B82" s="5">
        <f>1_PRE_RAW!B82</f>
        <v/>
      </c>
      <c r="C82" s="5">
        <f>1_PRE_RAW!C82</f>
        <v/>
      </c>
      <c r="D82" s="5">
        <f>1_PRE_RAW!D82</f>
        <v/>
      </c>
      <c r="E82" s="5">
        <f>1_PRE_RAW!E82</f>
        <v/>
      </c>
      <c r="F82" s="5">
        <f>1_PRE_RAW!F82</f>
        <v/>
      </c>
      <c r="G82" s="5">
        <f>1_PRE_RAW!G82</f>
        <v/>
      </c>
      <c r="H82" s="5">
        <f>1_PRE_RAW!H82</f>
        <v/>
      </c>
      <c r="I82" s="5">
        <f>1_PRE_RAW!I82</f>
        <v/>
      </c>
      <c r="J82" s="5">
        <f>1_PRE_RAW!J82</f>
        <v/>
      </c>
      <c r="K82" s="5">
        <f>1_PRE_RAW!K82</f>
        <v/>
      </c>
      <c r="L82" s="5">
        <f>1_PRE_RAW!L82</f>
        <v/>
      </c>
      <c r="M82" s="5">
        <f>1_PRE_RAW!M82</f>
        <v/>
      </c>
      <c r="N82" s="5">
        <f>1_PRE_RAW!N82</f>
        <v/>
      </c>
      <c r="O82" s="5">
        <f>1_PRE_RAW!O82</f>
        <v/>
      </c>
      <c r="P82" s="5">
        <f>1_PRE_RAW!P82</f>
        <v/>
      </c>
      <c r="Q82" s="5">
        <f>1_PRE_RAW!Q82</f>
        <v/>
      </c>
      <c r="R82" s="5">
        <f>1_PRE_RAW!R82</f>
        <v/>
      </c>
      <c r="S82" s="5">
        <f>1_PRE_RAW!S82</f>
        <v/>
      </c>
      <c r="T82" s="5">
        <f>1_PRE_RAW!T82</f>
        <v/>
      </c>
      <c r="U82" s="5">
        <f>1_PRE_RAW!U82</f>
        <v/>
      </c>
      <c r="V82" s="5">
        <f>1_PRE_RAW!V82</f>
        <v/>
      </c>
      <c r="W82" s="5">
        <f>1_PRE_RAW!W82</f>
        <v/>
      </c>
      <c r="X82" s="5">
        <f>1_PRE_RAW!X82</f>
        <v/>
      </c>
      <c r="Y82" s="5">
        <f>1_PRE_RAW!Y82</f>
        <v/>
      </c>
      <c r="Z82" s="5">
        <f>1_PRE_RAW!Z82</f>
        <v/>
      </c>
      <c r="AA82" s="5">
        <f>1_PRE_RAW!AA82</f>
        <v/>
      </c>
      <c r="AB82" s="5">
        <f>1_PRE_RAW!AB82</f>
        <v/>
      </c>
      <c r="AC82" s="5">
        <f>1_PRE_RAW!AC82</f>
        <v/>
      </c>
      <c r="AD82" s="5">
        <f>2.5*((H82-1)+(5-I82)+(J82-1)+(5-K82)+(L82-1)+(5-M82)+(N82-1)+(5-O82)+(P82-1)+(5-Q82))</f>
        <v/>
      </c>
      <c r="AE82" s="5">
        <f>SUM(R82:Y82)</f>
        <v/>
      </c>
      <c r="AF82" s="5">
        <f>AVERAGE(Z82,AB82)</f>
        <v/>
      </c>
      <c r="AG82" s="5">
        <f>AA82+AC82</f>
        <v/>
      </c>
    </row>
    <row r="83">
      <c r="A83" s="5">
        <f>1_PRE_RAW!A83</f>
        <v/>
      </c>
      <c r="B83" s="5">
        <f>1_PRE_RAW!B83</f>
        <v/>
      </c>
      <c r="C83" s="5">
        <f>1_PRE_RAW!C83</f>
        <v/>
      </c>
      <c r="D83" s="5">
        <f>1_PRE_RAW!D83</f>
        <v/>
      </c>
      <c r="E83" s="5">
        <f>1_PRE_RAW!E83</f>
        <v/>
      </c>
      <c r="F83" s="5">
        <f>1_PRE_RAW!F83</f>
        <v/>
      </c>
      <c r="G83" s="5">
        <f>1_PRE_RAW!G83</f>
        <v/>
      </c>
      <c r="H83" s="5">
        <f>1_PRE_RAW!H83</f>
        <v/>
      </c>
      <c r="I83" s="5">
        <f>1_PRE_RAW!I83</f>
        <v/>
      </c>
      <c r="J83" s="5">
        <f>1_PRE_RAW!J83</f>
        <v/>
      </c>
      <c r="K83" s="5">
        <f>1_PRE_RAW!K83</f>
        <v/>
      </c>
      <c r="L83" s="5">
        <f>1_PRE_RAW!L83</f>
        <v/>
      </c>
      <c r="M83" s="5">
        <f>1_PRE_RAW!M83</f>
        <v/>
      </c>
      <c r="N83" s="5">
        <f>1_PRE_RAW!N83</f>
        <v/>
      </c>
      <c r="O83" s="5">
        <f>1_PRE_RAW!O83</f>
        <v/>
      </c>
      <c r="P83" s="5">
        <f>1_PRE_RAW!P83</f>
        <v/>
      </c>
      <c r="Q83" s="5">
        <f>1_PRE_RAW!Q83</f>
        <v/>
      </c>
      <c r="R83" s="5">
        <f>1_PRE_RAW!R83</f>
        <v/>
      </c>
      <c r="S83" s="5">
        <f>1_PRE_RAW!S83</f>
        <v/>
      </c>
      <c r="T83" s="5">
        <f>1_PRE_RAW!T83</f>
        <v/>
      </c>
      <c r="U83" s="5">
        <f>1_PRE_RAW!U83</f>
        <v/>
      </c>
      <c r="V83" s="5">
        <f>1_PRE_RAW!V83</f>
        <v/>
      </c>
      <c r="W83" s="5">
        <f>1_PRE_RAW!W83</f>
        <v/>
      </c>
      <c r="X83" s="5">
        <f>1_PRE_RAW!X83</f>
        <v/>
      </c>
      <c r="Y83" s="5">
        <f>1_PRE_RAW!Y83</f>
        <v/>
      </c>
      <c r="Z83" s="5">
        <f>1_PRE_RAW!Z83</f>
        <v/>
      </c>
      <c r="AA83" s="5">
        <f>1_PRE_RAW!AA83</f>
        <v/>
      </c>
      <c r="AB83" s="5">
        <f>1_PRE_RAW!AB83</f>
        <v/>
      </c>
      <c r="AC83" s="5">
        <f>1_PRE_RAW!AC83</f>
        <v/>
      </c>
      <c r="AD83" s="5">
        <f>2.5*((H83-1)+(5-I83)+(J83-1)+(5-K83)+(L83-1)+(5-M83)+(N83-1)+(5-O83)+(P83-1)+(5-Q83))</f>
        <v/>
      </c>
      <c r="AE83" s="5">
        <f>SUM(R83:Y83)</f>
        <v/>
      </c>
      <c r="AF83" s="5">
        <f>AVERAGE(Z83,AB83)</f>
        <v/>
      </c>
      <c r="AG83" s="5">
        <f>AA83+AC83</f>
        <v/>
      </c>
    </row>
    <row r="84">
      <c r="A84" s="5">
        <f>1_PRE_RAW!A84</f>
        <v/>
      </c>
      <c r="B84" s="5">
        <f>1_PRE_RAW!B84</f>
        <v/>
      </c>
      <c r="C84" s="5">
        <f>1_PRE_RAW!C84</f>
        <v/>
      </c>
      <c r="D84" s="5">
        <f>1_PRE_RAW!D84</f>
        <v/>
      </c>
      <c r="E84" s="5">
        <f>1_PRE_RAW!E84</f>
        <v/>
      </c>
      <c r="F84" s="5">
        <f>1_PRE_RAW!F84</f>
        <v/>
      </c>
      <c r="G84" s="5">
        <f>1_PRE_RAW!G84</f>
        <v/>
      </c>
      <c r="H84" s="5">
        <f>1_PRE_RAW!H84</f>
        <v/>
      </c>
      <c r="I84" s="5">
        <f>1_PRE_RAW!I84</f>
        <v/>
      </c>
      <c r="J84" s="5">
        <f>1_PRE_RAW!J84</f>
        <v/>
      </c>
      <c r="K84" s="5">
        <f>1_PRE_RAW!K84</f>
        <v/>
      </c>
      <c r="L84" s="5">
        <f>1_PRE_RAW!L84</f>
        <v/>
      </c>
      <c r="M84" s="5">
        <f>1_PRE_RAW!M84</f>
        <v/>
      </c>
      <c r="N84" s="5">
        <f>1_PRE_RAW!N84</f>
        <v/>
      </c>
      <c r="O84" s="5">
        <f>1_PRE_RAW!O84</f>
        <v/>
      </c>
      <c r="P84" s="5">
        <f>1_PRE_RAW!P84</f>
        <v/>
      </c>
      <c r="Q84" s="5">
        <f>1_PRE_RAW!Q84</f>
        <v/>
      </c>
      <c r="R84" s="5">
        <f>1_PRE_RAW!R84</f>
        <v/>
      </c>
      <c r="S84" s="5">
        <f>1_PRE_RAW!S84</f>
        <v/>
      </c>
      <c r="T84" s="5">
        <f>1_PRE_RAW!T84</f>
        <v/>
      </c>
      <c r="U84" s="5">
        <f>1_PRE_RAW!U84</f>
        <v/>
      </c>
      <c r="V84" s="5">
        <f>1_PRE_RAW!V84</f>
        <v/>
      </c>
      <c r="W84" s="5">
        <f>1_PRE_RAW!W84</f>
        <v/>
      </c>
      <c r="X84" s="5">
        <f>1_PRE_RAW!X84</f>
        <v/>
      </c>
      <c r="Y84" s="5">
        <f>1_PRE_RAW!Y84</f>
        <v/>
      </c>
      <c r="Z84" s="5">
        <f>1_PRE_RAW!Z84</f>
        <v/>
      </c>
      <c r="AA84" s="5">
        <f>1_PRE_RAW!AA84</f>
        <v/>
      </c>
      <c r="AB84" s="5">
        <f>1_PRE_RAW!AB84</f>
        <v/>
      </c>
      <c r="AC84" s="5">
        <f>1_PRE_RAW!AC84</f>
        <v/>
      </c>
      <c r="AD84" s="5">
        <f>2.5*((H84-1)+(5-I84)+(J84-1)+(5-K84)+(L84-1)+(5-M84)+(N84-1)+(5-O84)+(P84-1)+(5-Q84))</f>
        <v/>
      </c>
      <c r="AE84" s="5">
        <f>SUM(R84:Y84)</f>
        <v/>
      </c>
      <c r="AF84" s="5">
        <f>AVERAGE(Z84,AB84)</f>
        <v/>
      </c>
      <c r="AG84" s="5">
        <f>AA84+AC84</f>
        <v/>
      </c>
    </row>
    <row r="85">
      <c r="A85" s="5">
        <f>1_PRE_RAW!A85</f>
        <v/>
      </c>
      <c r="B85" s="5">
        <f>1_PRE_RAW!B85</f>
        <v/>
      </c>
      <c r="C85" s="5">
        <f>1_PRE_RAW!C85</f>
        <v/>
      </c>
      <c r="D85" s="5">
        <f>1_PRE_RAW!D85</f>
        <v/>
      </c>
      <c r="E85" s="5">
        <f>1_PRE_RAW!E85</f>
        <v/>
      </c>
      <c r="F85" s="5">
        <f>1_PRE_RAW!F85</f>
        <v/>
      </c>
      <c r="G85" s="5">
        <f>1_PRE_RAW!G85</f>
        <v/>
      </c>
      <c r="H85" s="5">
        <f>1_PRE_RAW!H85</f>
        <v/>
      </c>
      <c r="I85" s="5">
        <f>1_PRE_RAW!I85</f>
        <v/>
      </c>
      <c r="J85" s="5">
        <f>1_PRE_RAW!J85</f>
        <v/>
      </c>
      <c r="K85" s="5">
        <f>1_PRE_RAW!K85</f>
        <v/>
      </c>
      <c r="L85" s="5">
        <f>1_PRE_RAW!L85</f>
        <v/>
      </c>
      <c r="M85" s="5">
        <f>1_PRE_RAW!M85</f>
        <v/>
      </c>
      <c r="N85" s="5">
        <f>1_PRE_RAW!N85</f>
        <v/>
      </c>
      <c r="O85" s="5">
        <f>1_PRE_RAW!O85</f>
        <v/>
      </c>
      <c r="P85" s="5">
        <f>1_PRE_RAW!P85</f>
        <v/>
      </c>
      <c r="Q85" s="5">
        <f>1_PRE_RAW!Q85</f>
        <v/>
      </c>
      <c r="R85" s="5">
        <f>1_PRE_RAW!R85</f>
        <v/>
      </c>
      <c r="S85" s="5">
        <f>1_PRE_RAW!S85</f>
        <v/>
      </c>
      <c r="T85" s="5">
        <f>1_PRE_RAW!T85</f>
        <v/>
      </c>
      <c r="U85" s="5">
        <f>1_PRE_RAW!U85</f>
        <v/>
      </c>
      <c r="V85" s="5">
        <f>1_PRE_RAW!V85</f>
        <v/>
      </c>
      <c r="W85" s="5">
        <f>1_PRE_RAW!W85</f>
        <v/>
      </c>
      <c r="X85" s="5">
        <f>1_PRE_RAW!X85</f>
        <v/>
      </c>
      <c r="Y85" s="5">
        <f>1_PRE_RAW!Y85</f>
        <v/>
      </c>
      <c r="Z85" s="5">
        <f>1_PRE_RAW!Z85</f>
        <v/>
      </c>
      <c r="AA85" s="5">
        <f>1_PRE_RAW!AA85</f>
        <v/>
      </c>
      <c r="AB85" s="5">
        <f>1_PRE_RAW!AB85</f>
        <v/>
      </c>
      <c r="AC85" s="5">
        <f>1_PRE_RAW!AC85</f>
        <v/>
      </c>
      <c r="AD85" s="5">
        <f>2.5*((H85-1)+(5-I85)+(J85-1)+(5-K85)+(L85-1)+(5-M85)+(N85-1)+(5-O85)+(P85-1)+(5-Q85))</f>
        <v/>
      </c>
      <c r="AE85" s="5">
        <f>SUM(R85:Y85)</f>
        <v/>
      </c>
      <c r="AF85" s="5">
        <f>AVERAGE(Z85,AB85)</f>
        <v/>
      </c>
      <c r="AG85" s="5">
        <f>AA85+AC85</f>
        <v/>
      </c>
    </row>
    <row r="86">
      <c r="A86" s="5">
        <f>1_PRE_RAW!A86</f>
        <v/>
      </c>
      <c r="B86" s="5">
        <f>1_PRE_RAW!B86</f>
        <v/>
      </c>
      <c r="C86" s="5">
        <f>1_PRE_RAW!C86</f>
        <v/>
      </c>
      <c r="D86" s="5">
        <f>1_PRE_RAW!D86</f>
        <v/>
      </c>
      <c r="E86" s="5">
        <f>1_PRE_RAW!E86</f>
        <v/>
      </c>
      <c r="F86" s="5">
        <f>1_PRE_RAW!F86</f>
        <v/>
      </c>
      <c r="G86" s="5">
        <f>1_PRE_RAW!G86</f>
        <v/>
      </c>
      <c r="H86" s="5">
        <f>1_PRE_RAW!H86</f>
        <v/>
      </c>
      <c r="I86" s="5">
        <f>1_PRE_RAW!I86</f>
        <v/>
      </c>
      <c r="J86" s="5">
        <f>1_PRE_RAW!J86</f>
        <v/>
      </c>
      <c r="K86" s="5">
        <f>1_PRE_RAW!K86</f>
        <v/>
      </c>
      <c r="L86" s="5">
        <f>1_PRE_RAW!L86</f>
        <v/>
      </c>
      <c r="M86" s="5">
        <f>1_PRE_RAW!M86</f>
        <v/>
      </c>
      <c r="N86" s="5">
        <f>1_PRE_RAW!N86</f>
        <v/>
      </c>
      <c r="O86" s="5">
        <f>1_PRE_RAW!O86</f>
        <v/>
      </c>
      <c r="P86" s="5">
        <f>1_PRE_RAW!P86</f>
        <v/>
      </c>
      <c r="Q86" s="5">
        <f>1_PRE_RAW!Q86</f>
        <v/>
      </c>
      <c r="R86" s="5">
        <f>1_PRE_RAW!R86</f>
        <v/>
      </c>
      <c r="S86" s="5">
        <f>1_PRE_RAW!S86</f>
        <v/>
      </c>
      <c r="T86" s="5">
        <f>1_PRE_RAW!T86</f>
        <v/>
      </c>
      <c r="U86" s="5">
        <f>1_PRE_RAW!U86</f>
        <v/>
      </c>
      <c r="V86" s="5">
        <f>1_PRE_RAW!V86</f>
        <v/>
      </c>
      <c r="W86" s="5">
        <f>1_PRE_RAW!W86</f>
        <v/>
      </c>
      <c r="X86" s="5">
        <f>1_PRE_RAW!X86</f>
        <v/>
      </c>
      <c r="Y86" s="5">
        <f>1_PRE_RAW!Y86</f>
        <v/>
      </c>
      <c r="Z86" s="5">
        <f>1_PRE_RAW!Z86</f>
        <v/>
      </c>
      <c r="AA86" s="5">
        <f>1_PRE_RAW!AA86</f>
        <v/>
      </c>
      <c r="AB86" s="5">
        <f>1_PRE_RAW!AB86</f>
        <v/>
      </c>
      <c r="AC86" s="5">
        <f>1_PRE_RAW!AC86</f>
        <v/>
      </c>
      <c r="AD86" s="5">
        <f>2.5*((H86-1)+(5-I86)+(J86-1)+(5-K86)+(L86-1)+(5-M86)+(N86-1)+(5-O86)+(P86-1)+(5-Q86))</f>
        <v/>
      </c>
      <c r="AE86" s="5">
        <f>SUM(R86:Y86)</f>
        <v/>
      </c>
      <c r="AF86" s="5">
        <f>AVERAGE(Z86,AB86)</f>
        <v/>
      </c>
      <c r="AG86" s="5">
        <f>AA86+AC86</f>
        <v/>
      </c>
    </row>
    <row r="87">
      <c r="A87" s="5">
        <f>1_PRE_RAW!A87</f>
        <v/>
      </c>
      <c r="B87" s="5">
        <f>1_PRE_RAW!B87</f>
        <v/>
      </c>
      <c r="C87" s="5">
        <f>1_PRE_RAW!C87</f>
        <v/>
      </c>
      <c r="D87" s="5">
        <f>1_PRE_RAW!D87</f>
        <v/>
      </c>
      <c r="E87" s="5">
        <f>1_PRE_RAW!E87</f>
        <v/>
      </c>
      <c r="F87" s="5">
        <f>1_PRE_RAW!F87</f>
        <v/>
      </c>
      <c r="G87" s="5">
        <f>1_PRE_RAW!G87</f>
        <v/>
      </c>
      <c r="H87" s="5">
        <f>1_PRE_RAW!H87</f>
        <v/>
      </c>
      <c r="I87" s="5">
        <f>1_PRE_RAW!I87</f>
        <v/>
      </c>
      <c r="J87" s="5">
        <f>1_PRE_RAW!J87</f>
        <v/>
      </c>
      <c r="K87" s="5">
        <f>1_PRE_RAW!K87</f>
        <v/>
      </c>
      <c r="L87" s="5">
        <f>1_PRE_RAW!L87</f>
        <v/>
      </c>
      <c r="M87" s="5">
        <f>1_PRE_RAW!M87</f>
        <v/>
      </c>
      <c r="N87" s="5">
        <f>1_PRE_RAW!N87</f>
        <v/>
      </c>
      <c r="O87" s="5">
        <f>1_PRE_RAW!O87</f>
        <v/>
      </c>
      <c r="P87" s="5">
        <f>1_PRE_RAW!P87</f>
        <v/>
      </c>
      <c r="Q87" s="5">
        <f>1_PRE_RAW!Q87</f>
        <v/>
      </c>
      <c r="R87" s="5">
        <f>1_PRE_RAW!R87</f>
        <v/>
      </c>
      <c r="S87" s="5">
        <f>1_PRE_RAW!S87</f>
        <v/>
      </c>
      <c r="T87" s="5">
        <f>1_PRE_RAW!T87</f>
        <v/>
      </c>
      <c r="U87" s="5">
        <f>1_PRE_RAW!U87</f>
        <v/>
      </c>
      <c r="V87" s="5">
        <f>1_PRE_RAW!V87</f>
        <v/>
      </c>
      <c r="W87" s="5">
        <f>1_PRE_RAW!W87</f>
        <v/>
      </c>
      <c r="X87" s="5">
        <f>1_PRE_RAW!X87</f>
        <v/>
      </c>
      <c r="Y87" s="5">
        <f>1_PRE_RAW!Y87</f>
        <v/>
      </c>
      <c r="Z87" s="5">
        <f>1_PRE_RAW!Z87</f>
        <v/>
      </c>
      <c r="AA87" s="5">
        <f>1_PRE_RAW!AA87</f>
        <v/>
      </c>
      <c r="AB87" s="5">
        <f>1_PRE_RAW!AB87</f>
        <v/>
      </c>
      <c r="AC87" s="5">
        <f>1_PRE_RAW!AC87</f>
        <v/>
      </c>
      <c r="AD87" s="5">
        <f>2.5*((H87-1)+(5-I87)+(J87-1)+(5-K87)+(L87-1)+(5-M87)+(N87-1)+(5-O87)+(P87-1)+(5-Q87))</f>
        <v/>
      </c>
      <c r="AE87" s="5">
        <f>SUM(R87:Y87)</f>
        <v/>
      </c>
      <c r="AF87" s="5">
        <f>AVERAGE(Z87,AB87)</f>
        <v/>
      </c>
      <c r="AG87" s="5">
        <f>AA87+AC87</f>
        <v/>
      </c>
    </row>
    <row r="88">
      <c r="A88" s="5">
        <f>1_PRE_RAW!A88</f>
        <v/>
      </c>
      <c r="B88" s="5">
        <f>1_PRE_RAW!B88</f>
        <v/>
      </c>
      <c r="C88" s="5">
        <f>1_PRE_RAW!C88</f>
        <v/>
      </c>
      <c r="D88" s="5">
        <f>1_PRE_RAW!D88</f>
        <v/>
      </c>
      <c r="E88" s="5">
        <f>1_PRE_RAW!E88</f>
        <v/>
      </c>
      <c r="F88" s="5">
        <f>1_PRE_RAW!F88</f>
        <v/>
      </c>
      <c r="G88" s="5">
        <f>1_PRE_RAW!G88</f>
        <v/>
      </c>
      <c r="H88" s="5">
        <f>1_PRE_RAW!H88</f>
        <v/>
      </c>
      <c r="I88" s="5">
        <f>1_PRE_RAW!I88</f>
        <v/>
      </c>
      <c r="J88" s="5">
        <f>1_PRE_RAW!J88</f>
        <v/>
      </c>
      <c r="K88" s="5">
        <f>1_PRE_RAW!K88</f>
        <v/>
      </c>
      <c r="L88" s="5">
        <f>1_PRE_RAW!L88</f>
        <v/>
      </c>
      <c r="M88" s="5">
        <f>1_PRE_RAW!M88</f>
        <v/>
      </c>
      <c r="N88" s="5">
        <f>1_PRE_RAW!N88</f>
        <v/>
      </c>
      <c r="O88" s="5">
        <f>1_PRE_RAW!O88</f>
        <v/>
      </c>
      <c r="P88" s="5">
        <f>1_PRE_RAW!P88</f>
        <v/>
      </c>
      <c r="Q88" s="5">
        <f>1_PRE_RAW!Q88</f>
        <v/>
      </c>
      <c r="R88" s="5">
        <f>1_PRE_RAW!R88</f>
        <v/>
      </c>
      <c r="S88" s="5">
        <f>1_PRE_RAW!S88</f>
        <v/>
      </c>
      <c r="T88" s="5">
        <f>1_PRE_RAW!T88</f>
        <v/>
      </c>
      <c r="U88" s="5">
        <f>1_PRE_RAW!U88</f>
        <v/>
      </c>
      <c r="V88" s="5">
        <f>1_PRE_RAW!V88</f>
        <v/>
      </c>
      <c r="W88" s="5">
        <f>1_PRE_RAW!W88</f>
        <v/>
      </c>
      <c r="X88" s="5">
        <f>1_PRE_RAW!X88</f>
        <v/>
      </c>
      <c r="Y88" s="5">
        <f>1_PRE_RAW!Y88</f>
        <v/>
      </c>
      <c r="Z88" s="5">
        <f>1_PRE_RAW!Z88</f>
        <v/>
      </c>
      <c r="AA88" s="5">
        <f>1_PRE_RAW!AA88</f>
        <v/>
      </c>
      <c r="AB88" s="5">
        <f>1_PRE_RAW!AB88</f>
        <v/>
      </c>
      <c r="AC88" s="5">
        <f>1_PRE_RAW!AC88</f>
        <v/>
      </c>
      <c r="AD88" s="5">
        <f>2.5*((H88-1)+(5-I88)+(J88-1)+(5-K88)+(L88-1)+(5-M88)+(N88-1)+(5-O88)+(P88-1)+(5-Q88))</f>
        <v/>
      </c>
      <c r="AE88" s="5">
        <f>SUM(R88:Y88)</f>
        <v/>
      </c>
      <c r="AF88" s="5">
        <f>AVERAGE(Z88,AB88)</f>
        <v/>
      </c>
      <c r="AG88" s="5">
        <f>AA88+AC88</f>
        <v/>
      </c>
    </row>
    <row r="89">
      <c r="A89" s="5">
        <f>1_PRE_RAW!A89</f>
        <v/>
      </c>
      <c r="B89" s="5">
        <f>1_PRE_RAW!B89</f>
        <v/>
      </c>
      <c r="C89" s="5">
        <f>1_PRE_RAW!C89</f>
        <v/>
      </c>
      <c r="D89" s="5">
        <f>1_PRE_RAW!D89</f>
        <v/>
      </c>
      <c r="E89" s="5">
        <f>1_PRE_RAW!E89</f>
        <v/>
      </c>
      <c r="F89" s="5">
        <f>1_PRE_RAW!F89</f>
        <v/>
      </c>
      <c r="G89" s="5">
        <f>1_PRE_RAW!G89</f>
        <v/>
      </c>
      <c r="H89" s="5">
        <f>1_PRE_RAW!H89</f>
        <v/>
      </c>
      <c r="I89" s="5">
        <f>1_PRE_RAW!I89</f>
        <v/>
      </c>
      <c r="J89" s="5">
        <f>1_PRE_RAW!J89</f>
        <v/>
      </c>
      <c r="K89" s="5">
        <f>1_PRE_RAW!K89</f>
        <v/>
      </c>
      <c r="L89" s="5">
        <f>1_PRE_RAW!L89</f>
        <v/>
      </c>
      <c r="M89" s="5">
        <f>1_PRE_RAW!M89</f>
        <v/>
      </c>
      <c r="N89" s="5">
        <f>1_PRE_RAW!N89</f>
        <v/>
      </c>
      <c r="O89" s="5">
        <f>1_PRE_RAW!O89</f>
        <v/>
      </c>
      <c r="P89" s="5">
        <f>1_PRE_RAW!P89</f>
        <v/>
      </c>
      <c r="Q89" s="5">
        <f>1_PRE_RAW!Q89</f>
        <v/>
      </c>
      <c r="R89" s="5">
        <f>1_PRE_RAW!R89</f>
        <v/>
      </c>
      <c r="S89" s="5">
        <f>1_PRE_RAW!S89</f>
        <v/>
      </c>
      <c r="T89" s="5">
        <f>1_PRE_RAW!T89</f>
        <v/>
      </c>
      <c r="U89" s="5">
        <f>1_PRE_RAW!U89</f>
        <v/>
      </c>
      <c r="V89" s="5">
        <f>1_PRE_RAW!V89</f>
        <v/>
      </c>
      <c r="W89" s="5">
        <f>1_PRE_RAW!W89</f>
        <v/>
      </c>
      <c r="X89" s="5">
        <f>1_PRE_RAW!X89</f>
        <v/>
      </c>
      <c r="Y89" s="5">
        <f>1_PRE_RAW!Y89</f>
        <v/>
      </c>
      <c r="Z89" s="5">
        <f>1_PRE_RAW!Z89</f>
        <v/>
      </c>
      <c r="AA89" s="5">
        <f>1_PRE_RAW!AA89</f>
        <v/>
      </c>
      <c r="AB89" s="5">
        <f>1_PRE_RAW!AB89</f>
        <v/>
      </c>
      <c r="AC89" s="5">
        <f>1_PRE_RAW!AC89</f>
        <v/>
      </c>
      <c r="AD89" s="5">
        <f>2.5*((H89-1)+(5-I89)+(J89-1)+(5-K89)+(L89-1)+(5-M89)+(N89-1)+(5-O89)+(P89-1)+(5-Q89))</f>
        <v/>
      </c>
      <c r="AE89" s="5">
        <f>SUM(R89:Y89)</f>
        <v/>
      </c>
      <c r="AF89" s="5">
        <f>AVERAGE(Z89,AB89)</f>
        <v/>
      </c>
      <c r="AG89" s="5">
        <f>AA89+AC89</f>
        <v/>
      </c>
    </row>
    <row r="90">
      <c r="A90" s="5">
        <f>1_PRE_RAW!A90</f>
        <v/>
      </c>
      <c r="B90" s="5">
        <f>1_PRE_RAW!B90</f>
        <v/>
      </c>
      <c r="C90" s="5">
        <f>1_PRE_RAW!C90</f>
        <v/>
      </c>
      <c r="D90" s="5">
        <f>1_PRE_RAW!D90</f>
        <v/>
      </c>
      <c r="E90" s="5">
        <f>1_PRE_RAW!E90</f>
        <v/>
      </c>
      <c r="F90" s="5">
        <f>1_PRE_RAW!F90</f>
        <v/>
      </c>
      <c r="G90" s="5">
        <f>1_PRE_RAW!G90</f>
        <v/>
      </c>
      <c r="H90" s="5">
        <f>1_PRE_RAW!H90</f>
        <v/>
      </c>
      <c r="I90" s="5">
        <f>1_PRE_RAW!I90</f>
        <v/>
      </c>
      <c r="J90" s="5">
        <f>1_PRE_RAW!J90</f>
        <v/>
      </c>
      <c r="K90" s="5">
        <f>1_PRE_RAW!K90</f>
        <v/>
      </c>
      <c r="L90" s="5">
        <f>1_PRE_RAW!L90</f>
        <v/>
      </c>
      <c r="M90" s="5">
        <f>1_PRE_RAW!M90</f>
        <v/>
      </c>
      <c r="N90" s="5">
        <f>1_PRE_RAW!N90</f>
        <v/>
      </c>
      <c r="O90" s="5">
        <f>1_PRE_RAW!O90</f>
        <v/>
      </c>
      <c r="P90" s="5">
        <f>1_PRE_RAW!P90</f>
        <v/>
      </c>
      <c r="Q90" s="5">
        <f>1_PRE_RAW!Q90</f>
        <v/>
      </c>
      <c r="R90" s="5">
        <f>1_PRE_RAW!R90</f>
        <v/>
      </c>
      <c r="S90" s="5">
        <f>1_PRE_RAW!S90</f>
        <v/>
      </c>
      <c r="T90" s="5">
        <f>1_PRE_RAW!T90</f>
        <v/>
      </c>
      <c r="U90" s="5">
        <f>1_PRE_RAW!U90</f>
        <v/>
      </c>
      <c r="V90" s="5">
        <f>1_PRE_RAW!V90</f>
        <v/>
      </c>
      <c r="W90" s="5">
        <f>1_PRE_RAW!W90</f>
        <v/>
      </c>
      <c r="X90" s="5">
        <f>1_PRE_RAW!X90</f>
        <v/>
      </c>
      <c r="Y90" s="5">
        <f>1_PRE_RAW!Y90</f>
        <v/>
      </c>
      <c r="Z90" s="5">
        <f>1_PRE_RAW!Z90</f>
        <v/>
      </c>
      <c r="AA90" s="5">
        <f>1_PRE_RAW!AA90</f>
        <v/>
      </c>
      <c r="AB90" s="5">
        <f>1_PRE_RAW!AB90</f>
        <v/>
      </c>
      <c r="AC90" s="5">
        <f>1_PRE_RAW!AC90</f>
        <v/>
      </c>
      <c r="AD90" s="5">
        <f>2.5*((H90-1)+(5-I90)+(J90-1)+(5-K90)+(L90-1)+(5-M90)+(N90-1)+(5-O90)+(P90-1)+(5-Q90))</f>
        <v/>
      </c>
      <c r="AE90" s="5">
        <f>SUM(R90:Y90)</f>
        <v/>
      </c>
      <c r="AF90" s="5">
        <f>AVERAGE(Z90,AB90)</f>
        <v/>
      </c>
      <c r="AG90" s="5">
        <f>AA90+AC90</f>
        <v/>
      </c>
    </row>
    <row r="91">
      <c r="A91" s="5">
        <f>1_PRE_RAW!A91</f>
        <v/>
      </c>
      <c r="B91" s="5">
        <f>1_PRE_RAW!B91</f>
        <v/>
      </c>
      <c r="C91" s="5">
        <f>1_PRE_RAW!C91</f>
        <v/>
      </c>
      <c r="D91" s="5">
        <f>1_PRE_RAW!D91</f>
        <v/>
      </c>
      <c r="E91" s="5">
        <f>1_PRE_RAW!E91</f>
        <v/>
      </c>
      <c r="F91" s="5">
        <f>1_PRE_RAW!F91</f>
        <v/>
      </c>
      <c r="G91" s="5">
        <f>1_PRE_RAW!G91</f>
        <v/>
      </c>
      <c r="H91" s="5">
        <f>1_PRE_RAW!H91</f>
        <v/>
      </c>
      <c r="I91" s="5">
        <f>1_PRE_RAW!I91</f>
        <v/>
      </c>
      <c r="J91" s="5">
        <f>1_PRE_RAW!J91</f>
        <v/>
      </c>
      <c r="K91" s="5">
        <f>1_PRE_RAW!K91</f>
        <v/>
      </c>
      <c r="L91" s="5">
        <f>1_PRE_RAW!L91</f>
        <v/>
      </c>
      <c r="M91" s="5">
        <f>1_PRE_RAW!M91</f>
        <v/>
      </c>
      <c r="N91" s="5">
        <f>1_PRE_RAW!N91</f>
        <v/>
      </c>
      <c r="O91" s="5">
        <f>1_PRE_RAW!O91</f>
        <v/>
      </c>
      <c r="P91" s="5">
        <f>1_PRE_RAW!P91</f>
        <v/>
      </c>
      <c r="Q91" s="5">
        <f>1_PRE_RAW!Q91</f>
        <v/>
      </c>
      <c r="R91" s="5">
        <f>1_PRE_RAW!R91</f>
        <v/>
      </c>
      <c r="S91" s="5">
        <f>1_PRE_RAW!S91</f>
        <v/>
      </c>
      <c r="T91" s="5">
        <f>1_PRE_RAW!T91</f>
        <v/>
      </c>
      <c r="U91" s="5">
        <f>1_PRE_RAW!U91</f>
        <v/>
      </c>
      <c r="V91" s="5">
        <f>1_PRE_RAW!V91</f>
        <v/>
      </c>
      <c r="W91" s="5">
        <f>1_PRE_RAW!W91</f>
        <v/>
      </c>
      <c r="X91" s="5">
        <f>1_PRE_RAW!X91</f>
        <v/>
      </c>
      <c r="Y91" s="5">
        <f>1_PRE_RAW!Y91</f>
        <v/>
      </c>
      <c r="Z91" s="5">
        <f>1_PRE_RAW!Z91</f>
        <v/>
      </c>
      <c r="AA91" s="5">
        <f>1_PRE_RAW!AA91</f>
        <v/>
      </c>
      <c r="AB91" s="5">
        <f>1_PRE_RAW!AB91</f>
        <v/>
      </c>
      <c r="AC91" s="5">
        <f>1_PRE_RAW!AC91</f>
        <v/>
      </c>
      <c r="AD91" s="5">
        <f>2.5*((H91-1)+(5-I91)+(J91-1)+(5-K91)+(L91-1)+(5-M91)+(N91-1)+(5-O91)+(P91-1)+(5-Q91))</f>
        <v/>
      </c>
      <c r="AE91" s="5">
        <f>SUM(R91:Y91)</f>
        <v/>
      </c>
      <c r="AF91" s="5">
        <f>AVERAGE(Z91,AB91)</f>
        <v/>
      </c>
      <c r="AG91" s="5">
        <f>AA91+AC91</f>
        <v/>
      </c>
    </row>
    <row r="92">
      <c r="A92" s="5">
        <f>1_PRE_RAW!A92</f>
        <v/>
      </c>
      <c r="B92" s="5">
        <f>1_PRE_RAW!B92</f>
        <v/>
      </c>
      <c r="C92" s="5">
        <f>1_PRE_RAW!C92</f>
        <v/>
      </c>
      <c r="D92" s="5">
        <f>1_PRE_RAW!D92</f>
        <v/>
      </c>
      <c r="E92" s="5">
        <f>1_PRE_RAW!E92</f>
        <v/>
      </c>
      <c r="F92" s="5">
        <f>1_PRE_RAW!F92</f>
        <v/>
      </c>
      <c r="G92" s="5">
        <f>1_PRE_RAW!G92</f>
        <v/>
      </c>
      <c r="H92" s="5">
        <f>1_PRE_RAW!H92</f>
        <v/>
      </c>
      <c r="I92" s="5">
        <f>1_PRE_RAW!I92</f>
        <v/>
      </c>
      <c r="J92" s="5">
        <f>1_PRE_RAW!J92</f>
        <v/>
      </c>
      <c r="K92" s="5">
        <f>1_PRE_RAW!K92</f>
        <v/>
      </c>
      <c r="L92" s="5">
        <f>1_PRE_RAW!L92</f>
        <v/>
      </c>
      <c r="M92" s="5">
        <f>1_PRE_RAW!M92</f>
        <v/>
      </c>
      <c r="N92" s="5">
        <f>1_PRE_RAW!N92</f>
        <v/>
      </c>
      <c r="O92" s="5">
        <f>1_PRE_RAW!O92</f>
        <v/>
      </c>
      <c r="P92" s="5">
        <f>1_PRE_RAW!P92</f>
        <v/>
      </c>
      <c r="Q92" s="5">
        <f>1_PRE_RAW!Q92</f>
        <v/>
      </c>
      <c r="R92" s="5">
        <f>1_PRE_RAW!R92</f>
        <v/>
      </c>
      <c r="S92" s="5">
        <f>1_PRE_RAW!S92</f>
        <v/>
      </c>
      <c r="T92" s="5">
        <f>1_PRE_RAW!T92</f>
        <v/>
      </c>
      <c r="U92" s="5">
        <f>1_PRE_RAW!U92</f>
        <v/>
      </c>
      <c r="V92" s="5">
        <f>1_PRE_RAW!V92</f>
        <v/>
      </c>
      <c r="W92" s="5">
        <f>1_PRE_RAW!W92</f>
        <v/>
      </c>
      <c r="X92" s="5">
        <f>1_PRE_RAW!X92</f>
        <v/>
      </c>
      <c r="Y92" s="5">
        <f>1_PRE_RAW!Y92</f>
        <v/>
      </c>
      <c r="Z92" s="5">
        <f>1_PRE_RAW!Z92</f>
        <v/>
      </c>
      <c r="AA92" s="5">
        <f>1_PRE_RAW!AA92</f>
        <v/>
      </c>
      <c r="AB92" s="5">
        <f>1_PRE_RAW!AB92</f>
        <v/>
      </c>
      <c r="AC92" s="5">
        <f>1_PRE_RAW!AC92</f>
        <v/>
      </c>
      <c r="AD92" s="5">
        <f>2.5*((H92-1)+(5-I92)+(J92-1)+(5-K92)+(L92-1)+(5-M92)+(N92-1)+(5-O92)+(P92-1)+(5-Q92))</f>
        <v/>
      </c>
      <c r="AE92" s="5">
        <f>SUM(R92:Y92)</f>
        <v/>
      </c>
      <c r="AF92" s="5">
        <f>AVERAGE(Z92,AB92)</f>
        <v/>
      </c>
      <c r="AG92" s="5">
        <f>AA92+AC92</f>
        <v/>
      </c>
    </row>
    <row r="93">
      <c r="A93" s="5">
        <f>1_PRE_RAW!A93</f>
        <v/>
      </c>
      <c r="B93" s="5">
        <f>1_PRE_RAW!B93</f>
        <v/>
      </c>
      <c r="C93" s="5">
        <f>1_PRE_RAW!C93</f>
        <v/>
      </c>
      <c r="D93" s="5">
        <f>1_PRE_RAW!D93</f>
        <v/>
      </c>
      <c r="E93" s="5">
        <f>1_PRE_RAW!E93</f>
        <v/>
      </c>
      <c r="F93" s="5">
        <f>1_PRE_RAW!F93</f>
        <v/>
      </c>
      <c r="G93" s="5">
        <f>1_PRE_RAW!G93</f>
        <v/>
      </c>
      <c r="H93" s="5">
        <f>1_PRE_RAW!H93</f>
        <v/>
      </c>
      <c r="I93" s="5">
        <f>1_PRE_RAW!I93</f>
        <v/>
      </c>
      <c r="J93" s="5">
        <f>1_PRE_RAW!J93</f>
        <v/>
      </c>
      <c r="K93" s="5">
        <f>1_PRE_RAW!K93</f>
        <v/>
      </c>
      <c r="L93" s="5">
        <f>1_PRE_RAW!L93</f>
        <v/>
      </c>
      <c r="M93" s="5">
        <f>1_PRE_RAW!M93</f>
        <v/>
      </c>
      <c r="N93" s="5">
        <f>1_PRE_RAW!N93</f>
        <v/>
      </c>
      <c r="O93" s="5">
        <f>1_PRE_RAW!O93</f>
        <v/>
      </c>
      <c r="P93" s="5">
        <f>1_PRE_RAW!P93</f>
        <v/>
      </c>
      <c r="Q93" s="5">
        <f>1_PRE_RAW!Q93</f>
        <v/>
      </c>
      <c r="R93" s="5">
        <f>1_PRE_RAW!R93</f>
        <v/>
      </c>
      <c r="S93" s="5">
        <f>1_PRE_RAW!S93</f>
        <v/>
      </c>
      <c r="T93" s="5">
        <f>1_PRE_RAW!T93</f>
        <v/>
      </c>
      <c r="U93" s="5">
        <f>1_PRE_RAW!U93</f>
        <v/>
      </c>
      <c r="V93" s="5">
        <f>1_PRE_RAW!V93</f>
        <v/>
      </c>
      <c r="W93" s="5">
        <f>1_PRE_RAW!W93</f>
        <v/>
      </c>
      <c r="X93" s="5">
        <f>1_PRE_RAW!X93</f>
        <v/>
      </c>
      <c r="Y93" s="5">
        <f>1_PRE_RAW!Y93</f>
        <v/>
      </c>
      <c r="Z93" s="5">
        <f>1_PRE_RAW!Z93</f>
        <v/>
      </c>
      <c r="AA93" s="5">
        <f>1_PRE_RAW!AA93</f>
        <v/>
      </c>
      <c r="AB93" s="5">
        <f>1_PRE_RAW!AB93</f>
        <v/>
      </c>
      <c r="AC93" s="5">
        <f>1_PRE_RAW!AC93</f>
        <v/>
      </c>
      <c r="AD93" s="5">
        <f>2.5*((H93-1)+(5-I93)+(J93-1)+(5-K93)+(L93-1)+(5-M93)+(N93-1)+(5-O93)+(P93-1)+(5-Q93))</f>
        <v/>
      </c>
      <c r="AE93" s="5">
        <f>SUM(R93:Y93)</f>
        <v/>
      </c>
      <c r="AF93" s="5">
        <f>AVERAGE(Z93,AB93)</f>
        <v/>
      </c>
      <c r="AG93" s="5">
        <f>AA93+AC93</f>
        <v/>
      </c>
    </row>
    <row r="94">
      <c r="A94" s="5">
        <f>1_PRE_RAW!A94</f>
        <v/>
      </c>
      <c r="B94" s="5">
        <f>1_PRE_RAW!B94</f>
        <v/>
      </c>
      <c r="C94" s="5">
        <f>1_PRE_RAW!C94</f>
        <v/>
      </c>
      <c r="D94" s="5">
        <f>1_PRE_RAW!D94</f>
        <v/>
      </c>
      <c r="E94" s="5">
        <f>1_PRE_RAW!E94</f>
        <v/>
      </c>
      <c r="F94" s="5">
        <f>1_PRE_RAW!F94</f>
        <v/>
      </c>
      <c r="G94" s="5">
        <f>1_PRE_RAW!G94</f>
        <v/>
      </c>
      <c r="H94" s="5">
        <f>1_PRE_RAW!H94</f>
        <v/>
      </c>
      <c r="I94" s="5">
        <f>1_PRE_RAW!I94</f>
        <v/>
      </c>
      <c r="J94" s="5">
        <f>1_PRE_RAW!J94</f>
        <v/>
      </c>
      <c r="K94" s="5">
        <f>1_PRE_RAW!K94</f>
        <v/>
      </c>
      <c r="L94" s="5">
        <f>1_PRE_RAW!L94</f>
        <v/>
      </c>
      <c r="M94" s="5">
        <f>1_PRE_RAW!M94</f>
        <v/>
      </c>
      <c r="N94" s="5">
        <f>1_PRE_RAW!N94</f>
        <v/>
      </c>
      <c r="O94" s="5">
        <f>1_PRE_RAW!O94</f>
        <v/>
      </c>
      <c r="P94" s="5">
        <f>1_PRE_RAW!P94</f>
        <v/>
      </c>
      <c r="Q94" s="5">
        <f>1_PRE_RAW!Q94</f>
        <v/>
      </c>
      <c r="R94" s="5">
        <f>1_PRE_RAW!R94</f>
        <v/>
      </c>
      <c r="S94" s="5">
        <f>1_PRE_RAW!S94</f>
        <v/>
      </c>
      <c r="T94" s="5">
        <f>1_PRE_RAW!T94</f>
        <v/>
      </c>
      <c r="U94" s="5">
        <f>1_PRE_RAW!U94</f>
        <v/>
      </c>
      <c r="V94" s="5">
        <f>1_PRE_RAW!V94</f>
        <v/>
      </c>
      <c r="W94" s="5">
        <f>1_PRE_RAW!W94</f>
        <v/>
      </c>
      <c r="X94" s="5">
        <f>1_PRE_RAW!X94</f>
        <v/>
      </c>
      <c r="Y94" s="5">
        <f>1_PRE_RAW!Y94</f>
        <v/>
      </c>
      <c r="Z94" s="5">
        <f>1_PRE_RAW!Z94</f>
        <v/>
      </c>
      <c r="AA94" s="5">
        <f>1_PRE_RAW!AA94</f>
        <v/>
      </c>
      <c r="AB94" s="5">
        <f>1_PRE_RAW!AB94</f>
        <v/>
      </c>
      <c r="AC94" s="5">
        <f>1_PRE_RAW!AC94</f>
        <v/>
      </c>
      <c r="AD94" s="5">
        <f>2.5*((H94-1)+(5-I94)+(J94-1)+(5-K94)+(L94-1)+(5-M94)+(N94-1)+(5-O94)+(P94-1)+(5-Q94))</f>
        <v/>
      </c>
      <c r="AE94" s="5">
        <f>SUM(R94:Y94)</f>
        <v/>
      </c>
      <c r="AF94" s="5">
        <f>AVERAGE(Z94,AB94)</f>
        <v/>
      </c>
      <c r="AG94" s="5">
        <f>AA94+AC94</f>
        <v/>
      </c>
    </row>
    <row r="95">
      <c r="A95" s="5">
        <f>1_PRE_RAW!A95</f>
        <v/>
      </c>
      <c r="B95" s="5">
        <f>1_PRE_RAW!B95</f>
        <v/>
      </c>
      <c r="C95" s="5">
        <f>1_PRE_RAW!C95</f>
        <v/>
      </c>
      <c r="D95" s="5">
        <f>1_PRE_RAW!D95</f>
        <v/>
      </c>
      <c r="E95" s="5">
        <f>1_PRE_RAW!E95</f>
        <v/>
      </c>
      <c r="F95" s="5">
        <f>1_PRE_RAW!F95</f>
        <v/>
      </c>
      <c r="G95" s="5">
        <f>1_PRE_RAW!G95</f>
        <v/>
      </c>
      <c r="H95" s="5">
        <f>1_PRE_RAW!H95</f>
        <v/>
      </c>
      <c r="I95" s="5">
        <f>1_PRE_RAW!I95</f>
        <v/>
      </c>
      <c r="J95" s="5">
        <f>1_PRE_RAW!J95</f>
        <v/>
      </c>
      <c r="K95" s="5">
        <f>1_PRE_RAW!K95</f>
        <v/>
      </c>
      <c r="L95" s="5">
        <f>1_PRE_RAW!L95</f>
        <v/>
      </c>
      <c r="M95" s="5">
        <f>1_PRE_RAW!M95</f>
        <v/>
      </c>
      <c r="N95" s="5">
        <f>1_PRE_RAW!N95</f>
        <v/>
      </c>
      <c r="O95" s="5">
        <f>1_PRE_RAW!O95</f>
        <v/>
      </c>
      <c r="P95" s="5">
        <f>1_PRE_RAW!P95</f>
        <v/>
      </c>
      <c r="Q95" s="5">
        <f>1_PRE_RAW!Q95</f>
        <v/>
      </c>
      <c r="R95" s="5">
        <f>1_PRE_RAW!R95</f>
        <v/>
      </c>
      <c r="S95" s="5">
        <f>1_PRE_RAW!S95</f>
        <v/>
      </c>
      <c r="T95" s="5">
        <f>1_PRE_RAW!T95</f>
        <v/>
      </c>
      <c r="U95" s="5">
        <f>1_PRE_RAW!U95</f>
        <v/>
      </c>
      <c r="V95" s="5">
        <f>1_PRE_RAW!V95</f>
        <v/>
      </c>
      <c r="W95" s="5">
        <f>1_PRE_RAW!W95</f>
        <v/>
      </c>
      <c r="X95" s="5">
        <f>1_PRE_RAW!X95</f>
        <v/>
      </c>
      <c r="Y95" s="5">
        <f>1_PRE_RAW!Y95</f>
        <v/>
      </c>
      <c r="Z95" s="5">
        <f>1_PRE_RAW!Z95</f>
        <v/>
      </c>
      <c r="AA95" s="5">
        <f>1_PRE_RAW!AA95</f>
        <v/>
      </c>
      <c r="AB95" s="5">
        <f>1_PRE_RAW!AB95</f>
        <v/>
      </c>
      <c r="AC95" s="5">
        <f>1_PRE_RAW!AC95</f>
        <v/>
      </c>
      <c r="AD95" s="5">
        <f>2.5*((H95-1)+(5-I95)+(J95-1)+(5-K95)+(L95-1)+(5-M95)+(N95-1)+(5-O95)+(P95-1)+(5-Q95))</f>
        <v/>
      </c>
      <c r="AE95" s="5">
        <f>SUM(R95:Y95)</f>
        <v/>
      </c>
      <c r="AF95" s="5">
        <f>AVERAGE(Z95,AB95)</f>
        <v/>
      </c>
      <c r="AG95" s="5">
        <f>AA95+AC95</f>
        <v/>
      </c>
    </row>
    <row r="96">
      <c r="A96" s="5">
        <f>1_PRE_RAW!A96</f>
        <v/>
      </c>
      <c r="B96" s="5">
        <f>1_PRE_RAW!B96</f>
        <v/>
      </c>
      <c r="C96" s="5">
        <f>1_PRE_RAW!C96</f>
        <v/>
      </c>
      <c r="D96" s="5">
        <f>1_PRE_RAW!D96</f>
        <v/>
      </c>
      <c r="E96" s="5">
        <f>1_PRE_RAW!E96</f>
        <v/>
      </c>
      <c r="F96" s="5">
        <f>1_PRE_RAW!F96</f>
        <v/>
      </c>
      <c r="G96" s="5">
        <f>1_PRE_RAW!G96</f>
        <v/>
      </c>
      <c r="H96" s="5">
        <f>1_PRE_RAW!H96</f>
        <v/>
      </c>
      <c r="I96" s="5">
        <f>1_PRE_RAW!I96</f>
        <v/>
      </c>
      <c r="J96" s="5">
        <f>1_PRE_RAW!J96</f>
        <v/>
      </c>
      <c r="K96" s="5">
        <f>1_PRE_RAW!K96</f>
        <v/>
      </c>
      <c r="L96" s="5">
        <f>1_PRE_RAW!L96</f>
        <v/>
      </c>
      <c r="M96" s="5">
        <f>1_PRE_RAW!M96</f>
        <v/>
      </c>
      <c r="N96" s="5">
        <f>1_PRE_RAW!N96</f>
        <v/>
      </c>
      <c r="O96" s="5">
        <f>1_PRE_RAW!O96</f>
        <v/>
      </c>
      <c r="P96" s="5">
        <f>1_PRE_RAW!P96</f>
        <v/>
      </c>
      <c r="Q96" s="5">
        <f>1_PRE_RAW!Q96</f>
        <v/>
      </c>
      <c r="R96" s="5">
        <f>1_PRE_RAW!R96</f>
        <v/>
      </c>
      <c r="S96" s="5">
        <f>1_PRE_RAW!S96</f>
        <v/>
      </c>
      <c r="T96" s="5">
        <f>1_PRE_RAW!T96</f>
        <v/>
      </c>
      <c r="U96" s="5">
        <f>1_PRE_RAW!U96</f>
        <v/>
      </c>
      <c r="V96" s="5">
        <f>1_PRE_RAW!V96</f>
        <v/>
      </c>
      <c r="W96" s="5">
        <f>1_PRE_RAW!W96</f>
        <v/>
      </c>
      <c r="X96" s="5">
        <f>1_PRE_RAW!X96</f>
        <v/>
      </c>
      <c r="Y96" s="5">
        <f>1_PRE_RAW!Y96</f>
        <v/>
      </c>
      <c r="Z96" s="5">
        <f>1_PRE_RAW!Z96</f>
        <v/>
      </c>
      <c r="AA96" s="5">
        <f>1_PRE_RAW!AA96</f>
        <v/>
      </c>
      <c r="AB96" s="5">
        <f>1_PRE_RAW!AB96</f>
        <v/>
      </c>
      <c r="AC96" s="5">
        <f>1_PRE_RAW!AC96</f>
        <v/>
      </c>
      <c r="AD96" s="5">
        <f>2.5*((H96-1)+(5-I96)+(J96-1)+(5-K96)+(L96-1)+(5-M96)+(N96-1)+(5-O96)+(P96-1)+(5-Q96))</f>
        <v/>
      </c>
      <c r="AE96" s="5">
        <f>SUM(R96:Y96)</f>
        <v/>
      </c>
      <c r="AF96" s="5">
        <f>AVERAGE(Z96,AB96)</f>
        <v/>
      </c>
      <c r="AG96" s="5">
        <f>AA96+AC96</f>
        <v/>
      </c>
    </row>
    <row r="97">
      <c r="A97" s="5">
        <f>1_PRE_RAW!A97</f>
        <v/>
      </c>
      <c r="B97" s="5">
        <f>1_PRE_RAW!B97</f>
        <v/>
      </c>
      <c r="C97" s="5">
        <f>1_PRE_RAW!C97</f>
        <v/>
      </c>
      <c r="D97" s="5">
        <f>1_PRE_RAW!D97</f>
        <v/>
      </c>
      <c r="E97" s="5">
        <f>1_PRE_RAW!E97</f>
        <v/>
      </c>
      <c r="F97" s="5">
        <f>1_PRE_RAW!F97</f>
        <v/>
      </c>
      <c r="G97" s="5">
        <f>1_PRE_RAW!G97</f>
        <v/>
      </c>
      <c r="H97" s="5">
        <f>1_PRE_RAW!H97</f>
        <v/>
      </c>
      <c r="I97" s="5">
        <f>1_PRE_RAW!I97</f>
        <v/>
      </c>
      <c r="J97" s="5">
        <f>1_PRE_RAW!J97</f>
        <v/>
      </c>
      <c r="K97" s="5">
        <f>1_PRE_RAW!K97</f>
        <v/>
      </c>
      <c r="L97" s="5">
        <f>1_PRE_RAW!L97</f>
        <v/>
      </c>
      <c r="M97" s="5">
        <f>1_PRE_RAW!M97</f>
        <v/>
      </c>
      <c r="N97" s="5">
        <f>1_PRE_RAW!N97</f>
        <v/>
      </c>
      <c r="O97" s="5">
        <f>1_PRE_RAW!O97</f>
        <v/>
      </c>
      <c r="P97" s="5">
        <f>1_PRE_RAW!P97</f>
        <v/>
      </c>
      <c r="Q97" s="5">
        <f>1_PRE_RAW!Q97</f>
        <v/>
      </c>
      <c r="R97" s="5">
        <f>1_PRE_RAW!R97</f>
        <v/>
      </c>
      <c r="S97" s="5">
        <f>1_PRE_RAW!S97</f>
        <v/>
      </c>
      <c r="T97" s="5">
        <f>1_PRE_RAW!T97</f>
        <v/>
      </c>
      <c r="U97" s="5">
        <f>1_PRE_RAW!U97</f>
        <v/>
      </c>
      <c r="V97" s="5">
        <f>1_PRE_RAW!V97</f>
        <v/>
      </c>
      <c r="W97" s="5">
        <f>1_PRE_RAW!W97</f>
        <v/>
      </c>
      <c r="X97" s="5">
        <f>1_PRE_RAW!X97</f>
        <v/>
      </c>
      <c r="Y97" s="5">
        <f>1_PRE_RAW!Y97</f>
        <v/>
      </c>
      <c r="Z97" s="5">
        <f>1_PRE_RAW!Z97</f>
        <v/>
      </c>
      <c r="AA97" s="5">
        <f>1_PRE_RAW!AA97</f>
        <v/>
      </c>
      <c r="AB97" s="5">
        <f>1_PRE_RAW!AB97</f>
        <v/>
      </c>
      <c r="AC97" s="5">
        <f>1_PRE_RAW!AC97</f>
        <v/>
      </c>
      <c r="AD97" s="5">
        <f>2.5*((H97-1)+(5-I97)+(J97-1)+(5-K97)+(L97-1)+(5-M97)+(N97-1)+(5-O97)+(P97-1)+(5-Q97))</f>
        <v/>
      </c>
      <c r="AE97" s="5">
        <f>SUM(R97:Y97)</f>
        <v/>
      </c>
      <c r="AF97" s="5">
        <f>AVERAGE(Z97,AB97)</f>
        <v/>
      </c>
      <c r="AG97" s="5">
        <f>AA97+AC97</f>
        <v/>
      </c>
    </row>
    <row r="98">
      <c r="A98" s="5">
        <f>1_PRE_RAW!A98</f>
        <v/>
      </c>
      <c r="B98" s="5">
        <f>1_PRE_RAW!B98</f>
        <v/>
      </c>
      <c r="C98" s="5">
        <f>1_PRE_RAW!C98</f>
        <v/>
      </c>
      <c r="D98" s="5">
        <f>1_PRE_RAW!D98</f>
        <v/>
      </c>
      <c r="E98" s="5">
        <f>1_PRE_RAW!E98</f>
        <v/>
      </c>
      <c r="F98" s="5">
        <f>1_PRE_RAW!F98</f>
        <v/>
      </c>
      <c r="G98" s="5">
        <f>1_PRE_RAW!G98</f>
        <v/>
      </c>
      <c r="H98" s="5">
        <f>1_PRE_RAW!H98</f>
        <v/>
      </c>
      <c r="I98" s="5">
        <f>1_PRE_RAW!I98</f>
        <v/>
      </c>
      <c r="J98" s="5">
        <f>1_PRE_RAW!J98</f>
        <v/>
      </c>
      <c r="K98" s="5">
        <f>1_PRE_RAW!K98</f>
        <v/>
      </c>
      <c r="L98" s="5">
        <f>1_PRE_RAW!L98</f>
        <v/>
      </c>
      <c r="M98" s="5">
        <f>1_PRE_RAW!M98</f>
        <v/>
      </c>
      <c r="N98" s="5">
        <f>1_PRE_RAW!N98</f>
        <v/>
      </c>
      <c r="O98" s="5">
        <f>1_PRE_RAW!O98</f>
        <v/>
      </c>
      <c r="P98" s="5">
        <f>1_PRE_RAW!P98</f>
        <v/>
      </c>
      <c r="Q98" s="5">
        <f>1_PRE_RAW!Q98</f>
        <v/>
      </c>
      <c r="R98" s="5">
        <f>1_PRE_RAW!R98</f>
        <v/>
      </c>
      <c r="S98" s="5">
        <f>1_PRE_RAW!S98</f>
        <v/>
      </c>
      <c r="T98" s="5">
        <f>1_PRE_RAW!T98</f>
        <v/>
      </c>
      <c r="U98" s="5">
        <f>1_PRE_RAW!U98</f>
        <v/>
      </c>
      <c r="V98" s="5">
        <f>1_PRE_RAW!V98</f>
        <v/>
      </c>
      <c r="W98" s="5">
        <f>1_PRE_RAW!W98</f>
        <v/>
      </c>
      <c r="X98" s="5">
        <f>1_PRE_RAW!X98</f>
        <v/>
      </c>
      <c r="Y98" s="5">
        <f>1_PRE_RAW!Y98</f>
        <v/>
      </c>
      <c r="Z98" s="5">
        <f>1_PRE_RAW!Z98</f>
        <v/>
      </c>
      <c r="AA98" s="5">
        <f>1_PRE_RAW!AA98</f>
        <v/>
      </c>
      <c r="AB98" s="5">
        <f>1_PRE_RAW!AB98</f>
        <v/>
      </c>
      <c r="AC98" s="5">
        <f>1_PRE_RAW!AC98</f>
        <v/>
      </c>
      <c r="AD98" s="5">
        <f>2.5*((H98-1)+(5-I98)+(J98-1)+(5-K98)+(L98-1)+(5-M98)+(N98-1)+(5-O98)+(P98-1)+(5-Q98))</f>
        <v/>
      </c>
      <c r="AE98" s="5">
        <f>SUM(R98:Y98)</f>
        <v/>
      </c>
      <c r="AF98" s="5">
        <f>AVERAGE(Z98,AB98)</f>
        <v/>
      </c>
      <c r="AG98" s="5">
        <f>AA98+AC98</f>
        <v/>
      </c>
    </row>
    <row r="99">
      <c r="A99" s="5">
        <f>1_PRE_RAW!A99</f>
        <v/>
      </c>
      <c r="B99" s="5">
        <f>1_PRE_RAW!B99</f>
        <v/>
      </c>
      <c r="C99" s="5">
        <f>1_PRE_RAW!C99</f>
        <v/>
      </c>
      <c r="D99" s="5">
        <f>1_PRE_RAW!D99</f>
        <v/>
      </c>
      <c r="E99" s="5">
        <f>1_PRE_RAW!E99</f>
        <v/>
      </c>
      <c r="F99" s="5">
        <f>1_PRE_RAW!F99</f>
        <v/>
      </c>
      <c r="G99" s="5">
        <f>1_PRE_RAW!G99</f>
        <v/>
      </c>
      <c r="H99" s="5">
        <f>1_PRE_RAW!H99</f>
        <v/>
      </c>
      <c r="I99" s="5">
        <f>1_PRE_RAW!I99</f>
        <v/>
      </c>
      <c r="J99" s="5">
        <f>1_PRE_RAW!J99</f>
        <v/>
      </c>
      <c r="K99" s="5">
        <f>1_PRE_RAW!K99</f>
        <v/>
      </c>
      <c r="L99" s="5">
        <f>1_PRE_RAW!L99</f>
        <v/>
      </c>
      <c r="M99" s="5">
        <f>1_PRE_RAW!M99</f>
        <v/>
      </c>
      <c r="N99" s="5">
        <f>1_PRE_RAW!N99</f>
        <v/>
      </c>
      <c r="O99" s="5">
        <f>1_PRE_RAW!O99</f>
        <v/>
      </c>
      <c r="P99" s="5">
        <f>1_PRE_RAW!P99</f>
        <v/>
      </c>
      <c r="Q99" s="5">
        <f>1_PRE_RAW!Q99</f>
        <v/>
      </c>
      <c r="R99" s="5">
        <f>1_PRE_RAW!R99</f>
        <v/>
      </c>
      <c r="S99" s="5">
        <f>1_PRE_RAW!S99</f>
        <v/>
      </c>
      <c r="T99" s="5">
        <f>1_PRE_RAW!T99</f>
        <v/>
      </c>
      <c r="U99" s="5">
        <f>1_PRE_RAW!U99</f>
        <v/>
      </c>
      <c r="V99" s="5">
        <f>1_PRE_RAW!V99</f>
        <v/>
      </c>
      <c r="W99" s="5">
        <f>1_PRE_RAW!W99</f>
        <v/>
      </c>
      <c r="X99" s="5">
        <f>1_PRE_RAW!X99</f>
        <v/>
      </c>
      <c r="Y99" s="5">
        <f>1_PRE_RAW!Y99</f>
        <v/>
      </c>
      <c r="Z99" s="5">
        <f>1_PRE_RAW!Z99</f>
        <v/>
      </c>
      <c r="AA99" s="5">
        <f>1_PRE_RAW!AA99</f>
        <v/>
      </c>
      <c r="AB99" s="5">
        <f>1_PRE_RAW!AB99</f>
        <v/>
      </c>
      <c r="AC99" s="5">
        <f>1_PRE_RAW!AC99</f>
        <v/>
      </c>
      <c r="AD99" s="5">
        <f>2.5*((H99-1)+(5-I99)+(J99-1)+(5-K99)+(L99-1)+(5-M99)+(N99-1)+(5-O99)+(P99-1)+(5-Q99))</f>
        <v/>
      </c>
      <c r="AE99" s="5">
        <f>SUM(R99:Y99)</f>
        <v/>
      </c>
      <c r="AF99" s="5">
        <f>AVERAGE(Z99,AB99)</f>
        <v/>
      </c>
      <c r="AG99" s="5">
        <f>AA99+AC99</f>
        <v/>
      </c>
    </row>
    <row r="100">
      <c r="A100" s="5">
        <f>1_PRE_RAW!A100</f>
        <v/>
      </c>
      <c r="B100" s="5">
        <f>1_PRE_RAW!B100</f>
        <v/>
      </c>
      <c r="C100" s="5">
        <f>1_PRE_RAW!C100</f>
        <v/>
      </c>
      <c r="D100" s="5">
        <f>1_PRE_RAW!D100</f>
        <v/>
      </c>
      <c r="E100" s="5">
        <f>1_PRE_RAW!E100</f>
        <v/>
      </c>
      <c r="F100" s="5">
        <f>1_PRE_RAW!F100</f>
        <v/>
      </c>
      <c r="G100" s="5">
        <f>1_PRE_RAW!G100</f>
        <v/>
      </c>
      <c r="H100" s="5">
        <f>1_PRE_RAW!H100</f>
        <v/>
      </c>
      <c r="I100" s="5">
        <f>1_PRE_RAW!I100</f>
        <v/>
      </c>
      <c r="J100" s="5">
        <f>1_PRE_RAW!J100</f>
        <v/>
      </c>
      <c r="K100" s="5">
        <f>1_PRE_RAW!K100</f>
        <v/>
      </c>
      <c r="L100" s="5">
        <f>1_PRE_RAW!L100</f>
        <v/>
      </c>
      <c r="M100" s="5">
        <f>1_PRE_RAW!M100</f>
        <v/>
      </c>
      <c r="N100" s="5">
        <f>1_PRE_RAW!N100</f>
        <v/>
      </c>
      <c r="O100" s="5">
        <f>1_PRE_RAW!O100</f>
        <v/>
      </c>
      <c r="P100" s="5">
        <f>1_PRE_RAW!P100</f>
        <v/>
      </c>
      <c r="Q100" s="5">
        <f>1_PRE_RAW!Q100</f>
        <v/>
      </c>
      <c r="R100" s="5">
        <f>1_PRE_RAW!R100</f>
        <v/>
      </c>
      <c r="S100" s="5">
        <f>1_PRE_RAW!S100</f>
        <v/>
      </c>
      <c r="T100" s="5">
        <f>1_PRE_RAW!T100</f>
        <v/>
      </c>
      <c r="U100" s="5">
        <f>1_PRE_RAW!U100</f>
        <v/>
      </c>
      <c r="V100" s="5">
        <f>1_PRE_RAW!V100</f>
        <v/>
      </c>
      <c r="W100" s="5">
        <f>1_PRE_RAW!W100</f>
        <v/>
      </c>
      <c r="X100" s="5">
        <f>1_PRE_RAW!X100</f>
        <v/>
      </c>
      <c r="Y100" s="5">
        <f>1_PRE_RAW!Y100</f>
        <v/>
      </c>
      <c r="Z100" s="5">
        <f>1_PRE_RAW!Z100</f>
        <v/>
      </c>
      <c r="AA100" s="5">
        <f>1_PRE_RAW!AA100</f>
        <v/>
      </c>
      <c r="AB100" s="5">
        <f>1_PRE_RAW!AB100</f>
        <v/>
      </c>
      <c r="AC100" s="5">
        <f>1_PRE_RAW!AC100</f>
        <v/>
      </c>
      <c r="AD100" s="5">
        <f>2.5*((H100-1)+(5-I100)+(J100-1)+(5-K100)+(L100-1)+(5-M100)+(N100-1)+(5-O100)+(P100-1)+(5-Q100))</f>
        <v/>
      </c>
      <c r="AE100" s="5">
        <f>SUM(R100:Y100)</f>
        <v/>
      </c>
      <c r="AF100" s="5">
        <f>AVERAGE(Z100,AB100)</f>
        <v/>
      </c>
      <c r="AG100" s="5">
        <f>AA100+AC100</f>
        <v/>
      </c>
    </row>
    <row r="101">
      <c r="A101" s="5">
        <f>1_PRE_RAW!A101</f>
        <v/>
      </c>
      <c r="B101" s="5">
        <f>1_PRE_RAW!B101</f>
        <v/>
      </c>
      <c r="C101" s="5">
        <f>1_PRE_RAW!C101</f>
        <v/>
      </c>
      <c r="D101" s="5">
        <f>1_PRE_RAW!D101</f>
        <v/>
      </c>
      <c r="E101" s="5">
        <f>1_PRE_RAW!E101</f>
        <v/>
      </c>
      <c r="F101" s="5">
        <f>1_PRE_RAW!F101</f>
        <v/>
      </c>
      <c r="G101" s="5">
        <f>1_PRE_RAW!G101</f>
        <v/>
      </c>
      <c r="H101" s="5">
        <f>1_PRE_RAW!H101</f>
        <v/>
      </c>
      <c r="I101" s="5">
        <f>1_PRE_RAW!I101</f>
        <v/>
      </c>
      <c r="J101" s="5">
        <f>1_PRE_RAW!J101</f>
        <v/>
      </c>
      <c r="K101" s="5">
        <f>1_PRE_RAW!K101</f>
        <v/>
      </c>
      <c r="L101" s="5">
        <f>1_PRE_RAW!L101</f>
        <v/>
      </c>
      <c r="M101" s="5">
        <f>1_PRE_RAW!M101</f>
        <v/>
      </c>
      <c r="N101" s="5">
        <f>1_PRE_RAW!N101</f>
        <v/>
      </c>
      <c r="O101" s="5">
        <f>1_PRE_RAW!O101</f>
        <v/>
      </c>
      <c r="P101" s="5">
        <f>1_PRE_RAW!P101</f>
        <v/>
      </c>
      <c r="Q101" s="5">
        <f>1_PRE_RAW!Q101</f>
        <v/>
      </c>
      <c r="R101" s="5">
        <f>1_PRE_RAW!R101</f>
        <v/>
      </c>
      <c r="S101" s="5">
        <f>1_PRE_RAW!S101</f>
        <v/>
      </c>
      <c r="T101" s="5">
        <f>1_PRE_RAW!T101</f>
        <v/>
      </c>
      <c r="U101" s="5">
        <f>1_PRE_RAW!U101</f>
        <v/>
      </c>
      <c r="V101" s="5">
        <f>1_PRE_RAW!V101</f>
        <v/>
      </c>
      <c r="W101" s="5">
        <f>1_PRE_RAW!W101</f>
        <v/>
      </c>
      <c r="X101" s="5">
        <f>1_PRE_RAW!X101</f>
        <v/>
      </c>
      <c r="Y101" s="5">
        <f>1_PRE_RAW!Y101</f>
        <v/>
      </c>
      <c r="Z101" s="5">
        <f>1_PRE_RAW!Z101</f>
        <v/>
      </c>
      <c r="AA101" s="5">
        <f>1_PRE_RAW!AA101</f>
        <v/>
      </c>
      <c r="AB101" s="5">
        <f>1_PRE_RAW!AB101</f>
        <v/>
      </c>
      <c r="AC101" s="5">
        <f>1_PRE_RAW!AC101</f>
        <v/>
      </c>
      <c r="AD101" s="5">
        <f>2.5*((H101-1)+(5-I101)+(J101-1)+(5-K101)+(L101-1)+(5-M101)+(N101-1)+(5-O101)+(P101-1)+(5-Q101))</f>
        <v/>
      </c>
      <c r="AE101" s="5">
        <f>SUM(R101:Y101)</f>
        <v/>
      </c>
      <c r="AF101" s="5">
        <f>AVERAGE(Z101,AB101)</f>
        <v/>
      </c>
      <c r="AG101" s="5">
        <f>AA101+AC101</f>
        <v/>
      </c>
    </row>
    <row r="102">
      <c r="A102" s="5">
        <f>1_PRE_RAW!A102</f>
        <v/>
      </c>
      <c r="B102" s="5">
        <f>1_PRE_RAW!B102</f>
        <v/>
      </c>
      <c r="C102" s="5">
        <f>1_PRE_RAW!C102</f>
        <v/>
      </c>
      <c r="D102" s="5">
        <f>1_PRE_RAW!D102</f>
        <v/>
      </c>
      <c r="E102" s="5">
        <f>1_PRE_RAW!E102</f>
        <v/>
      </c>
      <c r="F102" s="5">
        <f>1_PRE_RAW!F102</f>
        <v/>
      </c>
      <c r="G102" s="5">
        <f>1_PRE_RAW!G102</f>
        <v/>
      </c>
      <c r="H102" s="5">
        <f>1_PRE_RAW!H102</f>
        <v/>
      </c>
      <c r="I102" s="5">
        <f>1_PRE_RAW!I102</f>
        <v/>
      </c>
      <c r="J102" s="5">
        <f>1_PRE_RAW!J102</f>
        <v/>
      </c>
      <c r="K102" s="5">
        <f>1_PRE_RAW!K102</f>
        <v/>
      </c>
      <c r="L102" s="5">
        <f>1_PRE_RAW!L102</f>
        <v/>
      </c>
      <c r="M102" s="5">
        <f>1_PRE_RAW!M102</f>
        <v/>
      </c>
      <c r="N102" s="5">
        <f>1_PRE_RAW!N102</f>
        <v/>
      </c>
      <c r="O102" s="5">
        <f>1_PRE_RAW!O102</f>
        <v/>
      </c>
      <c r="P102" s="5">
        <f>1_PRE_RAW!P102</f>
        <v/>
      </c>
      <c r="Q102" s="5">
        <f>1_PRE_RAW!Q102</f>
        <v/>
      </c>
      <c r="R102" s="5">
        <f>1_PRE_RAW!R102</f>
        <v/>
      </c>
      <c r="S102" s="5">
        <f>1_PRE_RAW!S102</f>
        <v/>
      </c>
      <c r="T102" s="5">
        <f>1_PRE_RAW!T102</f>
        <v/>
      </c>
      <c r="U102" s="5">
        <f>1_PRE_RAW!U102</f>
        <v/>
      </c>
      <c r="V102" s="5">
        <f>1_PRE_RAW!V102</f>
        <v/>
      </c>
      <c r="W102" s="5">
        <f>1_PRE_RAW!W102</f>
        <v/>
      </c>
      <c r="X102" s="5">
        <f>1_PRE_RAW!X102</f>
        <v/>
      </c>
      <c r="Y102" s="5">
        <f>1_PRE_RAW!Y102</f>
        <v/>
      </c>
      <c r="Z102" s="5">
        <f>1_PRE_RAW!Z102</f>
        <v/>
      </c>
      <c r="AA102" s="5">
        <f>1_PRE_RAW!AA102</f>
        <v/>
      </c>
      <c r="AB102" s="5">
        <f>1_PRE_RAW!AB102</f>
        <v/>
      </c>
      <c r="AC102" s="5">
        <f>1_PRE_RAW!AC102</f>
        <v/>
      </c>
      <c r="AD102" s="5">
        <f>2.5*((H102-1)+(5-I102)+(J102-1)+(5-K102)+(L102-1)+(5-M102)+(N102-1)+(5-O102)+(P102-1)+(5-Q102))</f>
        <v/>
      </c>
      <c r="AE102" s="5">
        <f>SUM(R102:Y102)</f>
        <v/>
      </c>
      <c r="AF102" s="5">
        <f>AVERAGE(Z102,AB102)</f>
        <v/>
      </c>
      <c r="AG102" s="5">
        <f>AA102+AC102</f>
        <v/>
      </c>
    </row>
    <row r="103">
      <c r="A103" s="5">
        <f>1_PRE_RAW!A103</f>
        <v/>
      </c>
      <c r="B103" s="5">
        <f>1_PRE_RAW!B103</f>
        <v/>
      </c>
      <c r="C103" s="5">
        <f>1_PRE_RAW!C103</f>
        <v/>
      </c>
      <c r="D103" s="5">
        <f>1_PRE_RAW!D103</f>
        <v/>
      </c>
      <c r="E103" s="5">
        <f>1_PRE_RAW!E103</f>
        <v/>
      </c>
      <c r="F103" s="5">
        <f>1_PRE_RAW!F103</f>
        <v/>
      </c>
      <c r="G103" s="5">
        <f>1_PRE_RAW!G103</f>
        <v/>
      </c>
      <c r="H103" s="5">
        <f>1_PRE_RAW!H103</f>
        <v/>
      </c>
      <c r="I103" s="5">
        <f>1_PRE_RAW!I103</f>
        <v/>
      </c>
      <c r="J103" s="5">
        <f>1_PRE_RAW!J103</f>
        <v/>
      </c>
      <c r="K103" s="5">
        <f>1_PRE_RAW!K103</f>
        <v/>
      </c>
      <c r="L103" s="5">
        <f>1_PRE_RAW!L103</f>
        <v/>
      </c>
      <c r="M103" s="5">
        <f>1_PRE_RAW!M103</f>
        <v/>
      </c>
      <c r="N103" s="5">
        <f>1_PRE_RAW!N103</f>
        <v/>
      </c>
      <c r="O103" s="5">
        <f>1_PRE_RAW!O103</f>
        <v/>
      </c>
      <c r="P103" s="5">
        <f>1_PRE_RAW!P103</f>
        <v/>
      </c>
      <c r="Q103" s="5">
        <f>1_PRE_RAW!Q103</f>
        <v/>
      </c>
      <c r="R103" s="5">
        <f>1_PRE_RAW!R103</f>
        <v/>
      </c>
      <c r="S103" s="5">
        <f>1_PRE_RAW!S103</f>
        <v/>
      </c>
      <c r="T103" s="5">
        <f>1_PRE_RAW!T103</f>
        <v/>
      </c>
      <c r="U103" s="5">
        <f>1_PRE_RAW!U103</f>
        <v/>
      </c>
      <c r="V103" s="5">
        <f>1_PRE_RAW!V103</f>
        <v/>
      </c>
      <c r="W103" s="5">
        <f>1_PRE_RAW!W103</f>
        <v/>
      </c>
      <c r="X103" s="5">
        <f>1_PRE_RAW!X103</f>
        <v/>
      </c>
      <c r="Y103" s="5">
        <f>1_PRE_RAW!Y103</f>
        <v/>
      </c>
      <c r="Z103" s="5">
        <f>1_PRE_RAW!Z103</f>
        <v/>
      </c>
      <c r="AA103" s="5">
        <f>1_PRE_RAW!AA103</f>
        <v/>
      </c>
      <c r="AB103" s="5">
        <f>1_PRE_RAW!AB103</f>
        <v/>
      </c>
      <c r="AC103" s="5">
        <f>1_PRE_RAW!AC103</f>
        <v/>
      </c>
      <c r="AD103" s="5">
        <f>2.5*((H103-1)+(5-I103)+(J103-1)+(5-K103)+(L103-1)+(5-M103)+(N103-1)+(5-O103)+(P103-1)+(5-Q103))</f>
        <v/>
      </c>
      <c r="AE103" s="5">
        <f>SUM(R103:Y103)</f>
        <v/>
      </c>
      <c r="AF103" s="5">
        <f>AVERAGE(Z103,AB103)</f>
        <v/>
      </c>
      <c r="AG103" s="5">
        <f>AA103+AC103</f>
        <v/>
      </c>
    </row>
    <row r="104">
      <c r="A104" s="5">
        <f>1_PRE_RAW!A104</f>
        <v/>
      </c>
      <c r="B104" s="5">
        <f>1_PRE_RAW!B104</f>
        <v/>
      </c>
      <c r="C104" s="5">
        <f>1_PRE_RAW!C104</f>
        <v/>
      </c>
      <c r="D104" s="5">
        <f>1_PRE_RAW!D104</f>
        <v/>
      </c>
      <c r="E104" s="5">
        <f>1_PRE_RAW!E104</f>
        <v/>
      </c>
      <c r="F104" s="5">
        <f>1_PRE_RAW!F104</f>
        <v/>
      </c>
      <c r="G104" s="5">
        <f>1_PRE_RAW!G104</f>
        <v/>
      </c>
      <c r="H104" s="5">
        <f>1_PRE_RAW!H104</f>
        <v/>
      </c>
      <c r="I104" s="5">
        <f>1_PRE_RAW!I104</f>
        <v/>
      </c>
      <c r="J104" s="5">
        <f>1_PRE_RAW!J104</f>
        <v/>
      </c>
      <c r="K104" s="5">
        <f>1_PRE_RAW!K104</f>
        <v/>
      </c>
      <c r="L104" s="5">
        <f>1_PRE_RAW!L104</f>
        <v/>
      </c>
      <c r="M104" s="5">
        <f>1_PRE_RAW!M104</f>
        <v/>
      </c>
      <c r="N104" s="5">
        <f>1_PRE_RAW!N104</f>
        <v/>
      </c>
      <c r="O104" s="5">
        <f>1_PRE_RAW!O104</f>
        <v/>
      </c>
      <c r="P104" s="5">
        <f>1_PRE_RAW!P104</f>
        <v/>
      </c>
      <c r="Q104" s="5">
        <f>1_PRE_RAW!Q104</f>
        <v/>
      </c>
      <c r="R104" s="5">
        <f>1_PRE_RAW!R104</f>
        <v/>
      </c>
      <c r="S104" s="5">
        <f>1_PRE_RAW!S104</f>
        <v/>
      </c>
      <c r="T104" s="5">
        <f>1_PRE_RAW!T104</f>
        <v/>
      </c>
      <c r="U104" s="5">
        <f>1_PRE_RAW!U104</f>
        <v/>
      </c>
      <c r="V104" s="5">
        <f>1_PRE_RAW!V104</f>
        <v/>
      </c>
      <c r="W104" s="5">
        <f>1_PRE_RAW!W104</f>
        <v/>
      </c>
      <c r="X104" s="5">
        <f>1_PRE_RAW!X104</f>
        <v/>
      </c>
      <c r="Y104" s="5">
        <f>1_PRE_RAW!Y104</f>
        <v/>
      </c>
      <c r="Z104" s="5">
        <f>1_PRE_RAW!Z104</f>
        <v/>
      </c>
      <c r="AA104" s="5">
        <f>1_PRE_RAW!AA104</f>
        <v/>
      </c>
      <c r="AB104" s="5">
        <f>1_PRE_RAW!AB104</f>
        <v/>
      </c>
      <c r="AC104" s="5">
        <f>1_PRE_RAW!AC104</f>
        <v/>
      </c>
      <c r="AD104" s="5">
        <f>2.5*((H104-1)+(5-I104)+(J104-1)+(5-K104)+(L104-1)+(5-M104)+(N104-1)+(5-O104)+(P104-1)+(5-Q104))</f>
        <v/>
      </c>
      <c r="AE104" s="5">
        <f>SUM(R104:Y104)</f>
        <v/>
      </c>
      <c r="AF104" s="5">
        <f>AVERAGE(Z104,AB104)</f>
        <v/>
      </c>
      <c r="AG104" s="5">
        <f>AA104+AC104</f>
        <v/>
      </c>
    </row>
    <row r="105">
      <c r="A105" s="5">
        <f>1_PRE_RAW!A105</f>
        <v/>
      </c>
      <c r="B105" s="5">
        <f>1_PRE_RAW!B105</f>
        <v/>
      </c>
      <c r="C105" s="5">
        <f>1_PRE_RAW!C105</f>
        <v/>
      </c>
      <c r="D105" s="5">
        <f>1_PRE_RAW!D105</f>
        <v/>
      </c>
      <c r="E105" s="5">
        <f>1_PRE_RAW!E105</f>
        <v/>
      </c>
      <c r="F105" s="5">
        <f>1_PRE_RAW!F105</f>
        <v/>
      </c>
      <c r="G105" s="5">
        <f>1_PRE_RAW!G105</f>
        <v/>
      </c>
      <c r="H105" s="5">
        <f>1_PRE_RAW!H105</f>
        <v/>
      </c>
      <c r="I105" s="5">
        <f>1_PRE_RAW!I105</f>
        <v/>
      </c>
      <c r="J105" s="5">
        <f>1_PRE_RAW!J105</f>
        <v/>
      </c>
      <c r="K105" s="5">
        <f>1_PRE_RAW!K105</f>
        <v/>
      </c>
      <c r="L105" s="5">
        <f>1_PRE_RAW!L105</f>
        <v/>
      </c>
      <c r="M105" s="5">
        <f>1_PRE_RAW!M105</f>
        <v/>
      </c>
      <c r="N105" s="5">
        <f>1_PRE_RAW!N105</f>
        <v/>
      </c>
      <c r="O105" s="5">
        <f>1_PRE_RAW!O105</f>
        <v/>
      </c>
      <c r="P105" s="5">
        <f>1_PRE_RAW!P105</f>
        <v/>
      </c>
      <c r="Q105" s="5">
        <f>1_PRE_RAW!Q105</f>
        <v/>
      </c>
      <c r="R105" s="5">
        <f>1_PRE_RAW!R105</f>
        <v/>
      </c>
      <c r="S105" s="5">
        <f>1_PRE_RAW!S105</f>
        <v/>
      </c>
      <c r="T105" s="5">
        <f>1_PRE_RAW!T105</f>
        <v/>
      </c>
      <c r="U105" s="5">
        <f>1_PRE_RAW!U105</f>
        <v/>
      </c>
      <c r="V105" s="5">
        <f>1_PRE_RAW!V105</f>
        <v/>
      </c>
      <c r="W105" s="5">
        <f>1_PRE_RAW!W105</f>
        <v/>
      </c>
      <c r="X105" s="5">
        <f>1_PRE_RAW!X105</f>
        <v/>
      </c>
      <c r="Y105" s="5">
        <f>1_PRE_RAW!Y105</f>
        <v/>
      </c>
      <c r="Z105" s="5">
        <f>1_PRE_RAW!Z105</f>
        <v/>
      </c>
      <c r="AA105" s="5">
        <f>1_PRE_RAW!AA105</f>
        <v/>
      </c>
      <c r="AB105" s="5">
        <f>1_PRE_RAW!AB105</f>
        <v/>
      </c>
      <c r="AC105" s="5">
        <f>1_PRE_RAW!AC105</f>
        <v/>
      </c>
      <c r="AD105" s="5">
        <f>2.5*((H105-1)+(5-I105)+(J105-1)+(5-K105)+(L105-1)+(5-M105)+(N105-1)+(5-O105)+(P105-1)+(5-Q105))</f>
        <v/>
      </c>
      <c r="AE105" s="5">
        <f>SUM(R105:Y105)</f>
        <v/>
      </c>
      <c r="AF105" s="5">
        <f>AVERAGE(Z105,AB105)</f>
        <v/>
      </c>
      <c r="AG105" s="5">
        <f>AA105+AC105</f>
        <v/>
      </c>
    </row>
    <row r="106">
      <c r="A106" s="5">
        <f>1_PRE_RAW!A106</f>
        <v/>
      </c>
      <c r="B106" s="5">
        <f>1_PRE_RAW!B106</f>
        <v/>
      </c>
      <c r="C106" s="5">
        <f>1_PRE_RAW!C106</f>
        <v/>
      </c>
      <c r="D106" s="5">
        <f>1_PRE_RAW!D106</f>
        <v/>
      </c>
      <c r="E106" s="5">
        <f>1_PRE_RAW!E106</f>
        <v/>
      </c>
      <c r="F106" s="5">
        <f>1_PRE_RAW!F106</f>
        <v/>
      </c>
      <c r="G106" s="5">
        <f>1_PRE_RAW!G106</f>
        <v/>
      </c>
      <c r="H106" s="5">
        <f>1_PRE_RAW!H106</f>
        <v/>
      </c>
      <c r="I106" s="5">
        <f>1_PRE_RAW!I106</f>
        <v/>
      </c>
      <c r="J106" s="5">
        <f>1_PRE_RAW!J106</f>
        <v/>
      </c>
      <c r="K106" s="5">
        <f>1_PRE_RAW!K106</f>
        <v/>
      </c>
      <c r="L106" s="5">
        <f>1_PRE_RAW!L106</f>
        <v/>
      </c>
      <c r="M106" s="5">
        <f>1_PRE_RAW!M106</f>
        <v/>
      </c>
      <c r="N106" s="5">
        <f>1_PRE_RAW!N106</f>
        <v/>
      </c>
      <c r="O106" s="5">
        <f>1_PRE_RAW!O106</f>
        <v/>
      </c>
      <c r="P106" s="5">
        <f>1_PRE_RAW!P106</f>
        <v/>
      </c>
      <c r="Q106" s="5">
        <f>1_PRE_RAW!Q106</f>
        <v/>
      </c>
      <c r="R106" s="5">
        <f>1_PRE_RAW!R106</f>
        <v/>
      </c>
      <c r="S106" s="5">
        <f>1_PRE_RAW!S106</f>
        <v/>
      </c>
      <c r="T106" s="5">
        <f>1_PRE_RAW!T106</f>
        <v/>
      </c>
      <c r="U106" s="5">
        <f>1_PRE_RAW!U106</f>
        <v/>
      </c>
      <c r="V106" s="5">
        <f>1_PRE_RAW!V106</f>
        <v/>
      </c>
      <c r="W106" s="5">
        <f>1_PRE_RAW!W106</f>
        <v/>
      </c>
      <c r="X106" s="5">
        <f>1_PRE_RAW!X106</f>
        <v/>
      </c>
      <c r="Y106" s="5">
        <f>1_PRE_RAW!Y106</f>
        <v/>
      </c>
      <c r="Z106" s="5">
        <f>1_PRE_RAW!Z106</f>
        <v/>
      </c>
      <c r="AA106" s="5">
        <f>1_PRE_RAW!AA106</f>
        <v/>
      </c>
      <c r="AB106" s="5">
        <f>1_PRE_RAW!AB106</f>
        <v/>
      </c>
      <c r="AC106" s="5">
        <f>1_PRE_RAW!AC106</f>
        <v/>
      </c>
      <c r="AD106" s="5">
        <f>2.5*((H106-1)+(5-I106)+(J106-1)+(5-K106)+(L106-1)+(5-M106)+(N106-1)+(5-O106)+(P106-1)+(5-Q106))</f>
        <v/>
      </c>
      <c r="AE106" s="5">
        <f>SUM(R106:Y106)</f>
        <v/>
      </c>
      <c r="AF106" s="5">
        <f>AVERAGE(Z106,AB106)</f>
        <v/>
      </c>
      <c r="AG106" s="5">
        <f>AA106+AC106</f>
        <v/>
      </c>
    </row>
    <row r="107">
      <c r="A107" s="5">
        <f>1_PRE_RAW!A107</f>
        <v/>
      </c>
      <c r="B107" s="5">
        <f>1_PRE_RAW!B107</f>
        <v/>
      </c>
      <c r="C107" s="5">
        <f>1_PRE_RAW!C107</f>
        <v/>
      </c>
      <c r="D107" s="5">
        <f>1_PRE_RAW!D107</f>
        <v/>
      </c>
      <c r="E107" s="5">
        <f>1_PRE_RAW!E107</f>
        <v/>
      </c>
      <c r="F107" s="5">
        <f>1_PRE_RAW!F107</f>
        <v/>
      </c>
      <c r="G107" s="5">
        <f>1_PRE_RAW!G107</f>
        <v/>
      </c>
      <c r="H107" s="5">
        <f>1_PRE_RAW!H107</f>
        <v/>
      </c>
      <c r="I107" s="5">
        <f>1_PRE_RAW!I107</f>
        <v/>
      </c>
      <c r="J107" s="5">
        <f>1_PRE_RAW!J107</f>
        <v/>
      </c>
      <c r="K107" s="5">
        <f>1_PRE_RAW!K107</f>
        <v/>
      </c>
      <c r="L107" s="5">
        <f>1_PRE_RAW!L107</f>
        <v/>
      </c>
      <c r="M107" s="5">
        <f>1_PRE_RAW!M107</f>
        <v/>
      </c>
      <c r="N107" s="5">
        <f>1_PRE_RAW!N107</f>
        <v/>
      </c>
      <c r="O107" s="5">
        <f>1_PRE_RAW!O107</f>
        <v/>
      </c>
      <c r="P107" s="5">
        <f>1_PRE_RAW!P107</f>
        <v/>
      </c>
      <c r="Q107" s="5">
        <f>1_PRE_RAW!Q107</f>
        <v/>
      </c>
      <c r="R107" s="5">
        <f>1_PRE_RAW!R107</f>
        <v/>
      </c>
      <c r="S107" s="5">
        <f>1_PRE_RAW!S107</f>
        <v/>
      </c>
      <c r="T107" s="5">
        <f>1_PRE_RAW!T107</f>
        <v/>
      </c>
      <c r="U107" s="5">
        <f>1_PRE_RAW!U107</f>
        <v/>
      </c>
      <c r="V107" s="5">
        <f>1_PRE_RAW!V107</f>
        <v/>
      </c>
      <c r="W107" s="5">
        <f>1_PRE_RAW!W107</f>
        <v/>
      </c>
      <c r="X107" s="5">
        <f>1_PRE_RAW!X107</f>
        <v/>
      </c>
      <c r="Y107" s="5">
        <f>1_PRE_RAW!Y107</f>
        <v/>
      </c>
      <c r="Z107" s="5">
        <f>1_PRE_RAW!Z107</f>
        <v/>
      </c>
      <c r="AA107" s="5">
        <f>1_PRE_RAW!AA107</f>
        <v/>
      </c>
      <c r="AB107" s="5">
        <f>1_PRE_RAW!AB107</f>
        <v/>
      </c>
      <c r="AC107" s="5">
        <f>1_PRE_RAW!AC107</f>
        <v/>
      </c>
      <c r="AD107" s="5">
        <f>2.5*((H107-1)+(5-I107)+(J107-1)+(5-K107)+(L107-1)+(5-M107)+(N107-1)+(5-O107)+(P107-1)+(5-Q107))</f>
        <v/>
      </c>
      <c r="AE107" s="5">
        <f>SUM(R107:Y107)</f>
        <v/>
      </c>
      <c r="AF107" s="5">
        <f>AVERAGE(Z107,AB107)</f>
        <v/>
      </c>
      <c r="AG107" s="5">
        <f>AA107+AC107</f>
        <v/>
      </c>
    </row>
    <row r="108">
      <c r="A108" s="5">
        <f>1_PRE_RAW!A108</f>
        <v/>
      </c>
      <c r="B108" s="5">
        <f>1_PRE_RAW!B108</f>
        <v/>
      </c>
      <c r="C108" s="5">
        <f>1_PRE_RAW!C108</f>
        <v/>
      </c>
      <c r="D108" s="5">
        <f>1_PRE_RAW!D108</f>
        <v/>
      </c>
      <c r="E108" s="5">
        <f>1_PRE_RAW!E108</f>
        <v/>
      </c>
      <c r="F108" s="5">
        <f>1_PRE_RAW!F108</f>
        <v/>
      </c>
      <c r="G108" s="5">
        <f>1_PRE_RAW!G108</f>
        <v/>
      </c>
      <c r="H108" s="5">
        <f>1_PRE_RAW!H108</f>
        <v/>
      </c>
      <c r="I108" s="5">
        <f>1_PRE_RAW!I108</f>
        <v/>
      </c>
      <c r="J108" s="5">
        <f>1_PRE_RAW!J108</f>
        <v/>
      </c>
      <c r="K108" s="5">
        <f>1_PRE_RAW!K108</f>
        <v/>
      </c>
      <c r="L108" s="5">
        <f>1_PRE_RAW!L108</f>
        <v/>
      </c>
      <c r="M108" s="5">
        <f>1_PRE_RAW!M108</f>
        <v/>
      </c>
      <c r="N108" s="5">
        <f>1_PRE_RAW!N108</f>
        <v/>
      </c>
      <c r="O108" s="5">
        <f>1_PRE_RAW!O108</f>
        <v/>
      </c>
      <c r="P108" s="5">
        <f>1_PRE_RAW!P108</f>
        <v/>
      </c>
      <c r="Q108" s="5">
        <f>1_PRE_RAW!Q108</f>
        <v/>
      </c>
      <c r="R108" s="5">
        <f>1_PRE_RAW!R108</f>
        <v/>
      </c>
      <c r="S108" s="5">
        <f>1_PRE_RAW!S108</f>
        <v/>
      </c>
      <c r="T108" s="5">
        <f>1_PRE_RAW!T108</f>
        <v/>
      </c>
      <c r="U108" s="5">
        <f>1_PRE_RAW!U108</f>
        <v/>
      </c>
      <c r="V108" s="5">
        <f>1_PRE_RAW!V108</f>
        <v/>
      </c>
      <c r="W108" s="5">
        <f>1_PRE_RAW!W108</f>
        <v/>
      </c>
      <c r="X108" s="5">
        <f>1_PRE_RAW!X108</f>
        <v/>
      </c>
      <c r="Y108" s="5">
        <f>1_PRE_RAW!Y108</f>
        <v/>
      </c>
      <c r="Z108" s="5">
        <f>1_PRE_RAW!Z108</f>
        <v/>
      </c>
      <c r="AA108" s="5">
        <f>1_PRE_RAW!AA108</f>
        <v/>
      </c>
      <c r="AB108" s="5">
        <f>1_PRE_RAW!AB108</f>
        <v/>
      </c>
      <c r="AC108" s="5">
        <f>1_PRE_RAW!AC108</f>
        <v/>
      </c>
      <c r="AD108" s="5">
        <f>2.5*((H108-1)+(5-I108)+(J108-1)+(5-K108)+(L108-1)+(5-M108)+(N108-1)+(5-O108)+(P108-1)+(5-Q108))</f>
        <v/>
      </c>
      <c r="AE108" s="5">
        <f>SUM(R108:Y108)</f>
        <v/>
      </c>
      <c r="AF108" s="5">
        <f>AVERAGE(Z108,AB108)</f>
        <v/>
      </c>
      <c r="AG108" s="5">
        <f>AA108+AC108</f>
        <v/>
      </c>
    </row>
    <row r="109">
      <c r="A109" s="5">
        <f>1_PRE_RAW!A109</f>
        <v/>
      </c>
      <c r="B109" s="5">
        <f>1_PRE_RAW!B109</f>
        <v/>
      </c>
      <c r="C109" s="5">
        <f>1_PRE_RAW!C109</f>
        <v/>
      </c>
      <c r="D109" s="5">
        <f>1_PRE_RAW!D109</f>
        <v/>
      </c>
      <c r="E109" s="5">
        <f>1_PRE_RAW!E109</f>
        <v/>
      </c>
      <c r="F109" s="5">
        <f>1_PRE_RAW!F109</f>
        <v/>
      </c>
      <c r="G109" s="5">
        <f>1_PRE_RAW!G109</f>
        <v/>
      </c>
      <c r="H109" s="5">
        <f>1_PRE_RAW!H109</f>
        <v/>
      </c>
      <c r="I109" s="5">
        <f>1_PRE_RAW!I109</f>
        <v/>
      </c>
      <c r="J109" s="5">
        <f>1_PRE_RAW!J109</f>
        <v/>
      </c>
      <c r="K109" s="5">
        <f>1_PRE_RAW!K109</f>
        <v/>
      </c>
      <c r="L109" s="5">
        <f>1_PRE_RAW!L109</f>
        <v/>
      </c>
      <c r="M109" s="5">
        <f>1_PRE_RAW!M109</f>
        <v/>
      </c>
      <c r="N109" s="5">
        <f>1_PRE_RAW!N109</f>
        <v/>
      </c>
      <c r="O109" s="5">
        <f>1_PRE_RAW!O109</f>
        <v/>
      </c>
      <c r="P109" s="5">
        <f>1_PRE_RAW!P109</f>
        <v/>
      </c>
      <c r="Q109" s="5">
        <f>1_PRE_RAW!Q109</f>
        <v/>
      </c>
      <c r="R109" s="5">
        <f>1_PRE_RAW!R109</f>
        <v/>
      </c>
      <c r="S109" s="5">
        <f>1_PRE_RAW!S109</f>
        <v/>
      </c>
      <c r="T109" s="5">
        <f>1_PRE_RAW!T109</f>
        <v/>
      </c>
      <c r="U109" s="5">
        <f>1_PRE_RAW!U109</f>
        <v/>
      </c>
      <c r="V109" s="5">
        <f>1_PRE_RAW!V109</f>
        <v/>
      </c>
      <c r="W109" s="5">
        <f>1_PRE_RAW!W109</f>
        <v/>
      </c>
      <c r="X109" s="5">
        <f>1_PRE_RAW!X109</f>
        <v/>
      </c>
      <c r="Y109" s="5">
        <f>1_PRE_RAW!Y109</f>
        <v/>
      </c>
      <c r="Z109" s="5">
        <f>1_PRE_RAW!Z109</f>
        <v/>
      </c>
      <c r="AA109" s="5">
        <f>1_PRE_RAW!AA109</f>
        <v/>
      </c>
      <c r="AB109" s="5">
        <f>1_PRE_RAW!AB109</f>
        <v/>
      </c>
      <c r="AC109" s="5">
        <f>1_PRE_RAW!AC109</f>
        <v/>
      </c>
      <c r="AD109" s="5">
        <f>2.5*((H109-1)+(5-I109)+(J109-1)+(5-K109)+(L109-1)+(5-M109)+(N109-1)+(5-O109)+(P109-1)+(5-Q109))</f>
        <v/>
      </c>
      <c r="AE109" s="5">
        <f>SUM(R109:Y109)</f>
        <v/>
      </c>
      <c r="AF109" s="5">
        <f>AVERAGE(Z109,AB109)</f>
        <v/>
      </c>
      <c r="AG109" s="5">
        <f>AA109+AC109</f>
        <v/>
      </c>
    </row>
    <row r="110">
      <c r="A110" s="5">
        <f>1_PRE_RAW!A110</f>
        <v/>
      </c>
      <c r="B110" s="5">
        <f>1_PRE_RAW!B110</f>
        <v/>
      </c>
      <c r="C110" s="5">
        <f>1_PRE_RAW!C110</f>
        <v/>
      </c>
      <c r="D110" s="5">
        <f>1_PRE_RAW!D110</f>
        <v/>
      </c>
      <c r="E110" s="5">
        <f>1_PRE_RAW!E110</f>
        <v/>
      </c>
      <c r="F110" s="5">
        <f>1_PRE_RAW!F110</f>
        <v/>
      </c>
      <c r="G110" s="5">
        <f>1_PRE_RAW!G110</f>
        <v/>
      </c>
      <c r="H110" s="5">
        <f>1_PRE_RAW!H110</f>
        <v/>
      </c>
      <c r="I110" s="5">
        <f>1_PRE_RAW!I110</f>
        <v/>
      </c>
      <c r="J110" s="5">
        <f>1_PRE_RAW!J110</f>
        <v/>
      </c>
      <c r="K110" s="5">
        <f>1_PRE_RAW!K110</f>
        <v/>
      </c>
      <c r="L110" s="5">
        <f>1_PRE_RAW!L110</f>
        <v/>
      </c>
      <c r="M110" s="5">
        <f>1_PRE_RAW!M110</f>
        <v/>
      </c>
      <c r="N110" s="5">
        <f>1_PRE_RAW!N110</f>
        <v/>
      </c>
      <c r="O110" s="5">
        <f>1_PRE_RAW!O110</f>
        <v/>
      </c>
      <c r="P110" s="5">
        <f>1_PRE_RAW!P110</f>
        <v/>
      </c>
      <c r="Q110" s="5">
        <f>1_PRE_RAW!Q110</f>
        <v/>
      </c>
      <c r="R110" s="5">
        <f>1_PRE_RAW!R110</f>
        <v/>
      </c>
      <c r="S110" s="5">
        <f>1_PRE_RAW!S110</f>
        <v/>
      </c>
      <c r="T110" s="5">
        <f>1_PRE_RAW!T110</f>
        <v/>
      </c>
      <c r="U110" s="5">
        <f>1_PRE_RAW!U110</f>
        <v/>
      </c>
      <c r="V110" s="5">
        <f>1_PRE_RAW!V110</f>
        <v/>
      </c>
      <c r="W110" s="5">
        <f>1_PRE_RAW!W110</f>
        <v/>
      </c>
      <c r="X110" s="5">
        <f>1_PRE_RAW!X110</f>
        <v/>
      </c>
      <c r="Y110" s="5">
        <f>1_PRE_RAW!Y110</f>
        <v/>
      </c>
      <c r="Z110" s="5">
        <f>1_PRE_RAW!Z110</f>
        <v/>
      </c>
      <c r="AA110" s="5">
        <f>1_PRE_RAW!AA110</f>
        <v/>
      </c>
      <c r="AB110" s="5">
        <f>1_PRE_RAW!AB110</f>
        <v/>
      </c>
      <c r="AC110" s="5">
        <f>1_PRE_RAW!AC110</f>
        <v/>
      </c>
      <c r="AD110" s="5">
        <f>2.5*((H110-1)+(5-I110)+(J110-1)+(5-K110)+(L110-1)+(5-M110)+(N110-1)+(5-O110)+(P110-1)+(5-Q110))</f>
        <v/>
      </c>
      <c r="AE110" s="5">
        <f>SUM(R110:Y110)</f>
        <v/>
      </c>
      <c r="AF110" s="5">
        <f>AVERAGE(Z110,AB110)</f>
        <v/>
      </c>
      <c r="AG110" s="5">
        <f>AA110+AC110</f>
        <v/>
      </c>
    </row>
    <row r="111">
      <c r="A111" s="5">
        <f>1_PRE_RAW!A111</f>
        <v/>
      </c>
      <c r="B111" s="5">
        <f>1_PRE_RAW!B111</f>
        <v/>
      </c>
      <c r="C111" s="5">
        <f>1_PRE_RAW!C111</f>
        <v/>
      </c>
      <c r="D111" s="5">
        <f>1_PRE_RAW!D111</f>
        <v/>
      </c>
      <c r="E111" s="5">
        <f>1_PRE_RAW!E111</f>
        <v/>
      </c>
      <c r="F111" s="5">
        <f>1_PRE_RAW!F111</f>
        <v/>
      </c>
      <c r="G111" s="5">
        <f>1_PRE_RAW!G111</f>
        <v/>
      </c>
      <c r="H111" s="5">
        <f>1_PRE_RAW!H111</f>
        <v/>
      </c>
      <c r="I111" s="5">
        <f>1_PRE_RAW!I111</f>
        <v/>
      </c>
      <c r="J111" s="5">
        <f>1_PRE_RAW!J111</f>
        <v/>
      </c>
      <c r="K111" s="5">
        <f>1_PRE_RAW!K111</f>
        <v/>
      </c>
      <c r="L111" s="5">
        <f>1_PRE_RAW!L111</f>
        <v/>
      </c>
      <c r="M111" s="5">
        <f>1_PRE_RAW!M111</f>
        <v/>
      </c>
      <c r="N111" s="5">
        <f>1_PRE_RAW!N111</f>
        <v/>
      </c>
      <c r="O111" s="5">
        <f>1_PRE_RAW!O111</f>
        <v/>
      </c>
      <c r="P111" s="5">
        <f>1_PRE_RAW!P111</f>
        <v/>
      </c>
      <c r="Q111" s="5">
        <f>1_PRE_RAW!Q111</f>
        <v/>
      </c>
      <c r="R111" s="5">
        <f>1_PRE_RAW!R111</f>
        <v/>
      </c>
      <c r="S111" s="5">
        <f>1_PRE_RAW!S111</f>
        <v/>
      </c>
      <c r="T111" s="5">
        <f>1_PRE_RAW!T111</f>
        <v/>
      </c>
      <c r="U111" s="5">
        <f>1_PRE_RAW!U111</f>
        <v/>
      </c>
      <c r="V111" s="5">
        <f>1_PRE_RAW!V111</f>
        <v/>
      </c>
      <c r="W111" s="5">
        <f>1_PRE_RAW!W111</f>
        <v/>
      </c>
      <c r="X111" s="5">
        <f>1_PRE_RAW!X111</f>
        <v/>
      </c>
      <c r="Y111" s="5">
        <f>1_PRE_RAW!Y111</f>
        <v/>
      </c>
      <c r="Z111" s="5">
        <f>1_PRE_RAW!Z111</f>
        <v/>
      </c>
      <c r="AA111" s="5">
        <f>1_PRE_RAW!AA111</f>
        <v/>
      </c>
      <c r="AB111" s="5">
        <f>1_PRE_RAW!AB111</f>
        <v/>
      </c>
      <c r="AC111" s="5">
        <f>1_PRE_RAW!AC111</f>
        <v/>
      </c>
      <c r="AD111" s="5">
        <f>2.5*((H111-1)+(5-I111)+(J111-1)+(5-K111)+(L111-1)+(5-M111)+(N111-1)+(5-O111)+(P111-1)+(5-Q111))</f>
        <v/>
      </c>
      <c r="AE111" s="5">
        <f>SUM(R111:Y111)</f>
        <v/>
      </c>
      <c r="AF111" s="5">
        <f>AVERAGE(Z111,AB111)</f>
        <v/>
      </c>
      <c r="AG111" s="5">
        <f>AA111+AC111</f>
        <v/>
      </c>
    </row>
    <row r="112">
      <c r="A112" s="5">
        <f>1_PRE_RAW!A112</f>
        <v/>
      </c>
      <c r="B112" s="5">
        <f>1_PRE_RAW!B112</f>
        <v/>
      </c>
      <c r="C112" s="5">
        <f>1_PRE_RAW!C112</f>
        <v/>
      </c>
      <c r="D112" s="5">
        <f>1_PRE_RAW!D112</f>
        <v/>
      </c>
      <c r="E112" s="5">
        <f>1_PRE_RAW!E112</f>
        <v/>
      </c>
      <c r="F112" s="5">
        <f>1_PRE_RAW!F112</f>
        <v/>
      </c>
      <c r="G112" s="5">
        <f>1_PRE_RAW!G112</f>
        <v/>
      </c>
      <c r="H112" s="5">
        <f>1_PRE_RAW!H112</f>
        <v/>
      </c>
      <c r="I112" s="5">
        <f>1_PRE_RAW!I112</f>
        <v/>
      </c>
      <c r="J112" s="5">
        <f>1_PRE_RAW!J112</f>
        <v/>
      </c>
      <c r="K112" s="5">
        <f>1_PRE_RAW!K112</f>
        <v/>
      </c>
      <c r="L112" s="5">
        <f>1_PRE_RAW!L112</f>
        <v/>
      </c>
      <c r="M112" s="5">
        <f>1_PRE_RAW!M112</f>
        <v/>
      </c>
      <c r="N112" s="5">
        <f>1_PRE_RAW!N112</f>
        <v/>
      </c>
      <c r="O112" s="5">
        <f>1_PRE_RAW!O112</f>
        <v/>
      </c>
      <c r="P112" s="5">
        <f>1_PRE_RAW!P112</f>
        <v/>
      </c>
      <c r="Q112" s="5">
        <f>1_PRE_RAW!Q112</f>
        <v/>
      </c>
      <c r="R112" s="5">
        <f>1_PRE_RAW!R112</f>
        <v/>
      </c>
      <c r="S112" s="5">
        <f>1_PRE_RAW!S112</f>
        <v/>
      </c>
      <c r="T112" s="5">
        <f>1_PRE_RAW!T112</f>
        <v/>
      </c>
      <c r="U112" s="5">
        <f>1_PRE_RAW!U112</f>
        <v/>
      </c>
      <c r="V112" s="5">
        <f>1_PRE_RAW!V112</f>
        <v/>
      </c>
      <c r="W112" s="5">
        <f>1_PRE_RAW!W112</f>
        <v/>
      </c>
      <c r="X112" s="5">
        <f>1_PRE_RAW!X112</f>
        <v/>
      </c>
      <c r="Y112" s="5">
        <f>1_PRE_RAW!Y112</f>
        <v/>
      </c>
      <c r="Z112" s="5">
        <f>1_PRE_RAW!Z112</f>
        <v/>
      </c>
      <c r="AA112" s="5">
        <f>1_PRE_RAW!AA112</f>
        <v/>
      </c>
      <c r="AB112" s="5">
        <f>1_PRE_RAW!AB112</f>
        <v/>
      </c>
      <c r="AC112" s="5">
        <f>1_PRE_RAW!AC112</f>
        <v/>
      </c>
      <c r="AD112" s="5">
        <f>2.5*((H112-1)+(5-I112)+(J112-1)+(5-K112)+(L112-1)+(5-M112)+(N112-1)+(5-O112)+(P112-1)+(5-Q112))</f>
        <v/>
      </c>
      <c r="AE112" s="5">
        <f>SUM(R112:Y112)</f>
        <v/>
      </c>
      <c r="AF112" s="5">
        <f>AVERAGE(Z112,AB112)</f>
        <v/>
      </c>
      <c r="AG112" s="5">
        <f>AA112+AC112</f>
        <v/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0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COPIA DE TRABAJO DEL POSTEST</t>
        </is>
      </c>
    </row>
    <row r="2">
      <c r="A2" t="inlineStr">
        <is>
          <t>Copia de 2_POST_RAW. SUS_POST sigue siendo simulado.</t>
        </is>
      </c>
    </row>
    <row r="4">
      <c r="A4" s="2" t="inlineStr">
        <is>
          <t>ID</t>
        </is>
      </c>
      <c r="B4" s="2" t="inlineStr">
        <is>
          <t>GRUPO</t>
        </is>
      </c>
      <c r="C4" s="2" t="inlineStr">
        <is>
          <t>FECHA_POST</t>
        </is>
      </c>
      <c r="D4" s="2" t="inlineStr">
        <is>
          <t>SUS_POST</t>
        </is>
      </c>
      <c r="E4" s="2" t="inlineStr">
        <is>
          <t>NOTA</t>
        </is>
      </c>
    </row>
    <row r="5">
      <c r="A5" s="5">
        <f>2_POST_RAW!A5</f>
        <v/>
      </c>
      <c r="B5" s="5">
        <f>2_POST_RAW!B5</f>
        <v/>
      </c>
      <c r="C5" s="5">
        <f>2_POST_RAW!C5</f>
        <v/>
      </c>
      <c r="D5" s="5">
        <f>2_POST_RAW!D5</f>
        <v/>
      </c>
      <c r="E5" s="5">
        <f>2_POST_RAW!E5</f>
        <v/>
      </c>
    </row>
    <row r="6">
      <c r="A6" s="5">
        <f>2_POST_RAW!A6</f>
        <v/>
      </c>
      <c r="B6" s="5">
        <f>2_POST_RAW!B6</f>
        <v/>
      </c>
      <c r="C6" s="5">
        <f>2_POST_RAW!C6</f>
        <v/>
      </c>
      <c r="D6" s="5">
        <f>2_POST_RAW!D6</f>
        <v/>
      </c>
      <c r="E6" s="5">
        <f>2_POST_RAW!E6</f>
        <v/>
      </c>
    </row>
    <row r="7">
      <c r="A7" s="5">
        <f>2_POST_RAW!A7</f>
        <v/>
      </c>
      <c r="B7" s="5">
        <f>2_POST_RAW!B7</f>
        <v/>
      </c>
      <c r="C7" s="5">
        <f>2_POST_RAW!C7</f>
        <v/>
      </c>
      <c r="D7" s="5">
        <f>2_POST_RAW!D7</f>
        <v/>
      </c>
      <c r="E7" s="5">
        <f>2_POST_RAW!E7</f>
        <v/>
      </c>
    </row>
    <row r="8">
      <c r="A8" s="5">
        <f>2_POST_RAW!A8</f>
        <v/>
      </c>
      <c r="B8" s="5">
        <f>2_POST_RAW!B8</f>
        <v/>
      </c>
      <c r="C8" s="5">
        <f>2_POST_RAW!C8</f>
        <v/>
      </c>
      <c r="D8" s="5">
        <f>2_POST_RAW!D8</f>
        <v/>
      </c>
      <c r="E8" s="5">
        <f>2_POST_RAW!E8</f>
        <v/>
      </c>
    </row>
    <row r="9">
      <c r="A9" s="5">
        <f>2_POST_RAW!A9</f>
        <v/>
      </c>
      <c r="B9" s="5">
        <f>2_POST_RAW!B9</f>
        <v/>
      </c>
      <c r="C9" s="5">
        <f>2_POST_RAW!C9</f>
        <v/>
      </c>
      <c r="D9" s="5">
        <f>2_POST_RAW!D9</f>
        <v/>
      </c>
      <c r="E9" s="5">
        <f>2_POST_RAW!E9</f>
        <v/>
      </c>
    </row>
    <row r="10">
      <c r="A10" s="5">
        <f>2_POST_RAW!A10</f>
        <v/>
      </c>
      <c r="B10" s="5">
        <f>2_POST_RAW!B10</f>
        <v/>
      </c>
      <c r="C10" s="5">
        <f>2_POST_RAW!C10</f>
        <v/>
      </c>
      <c r="D10" s="5">
        <f>2_POST_RAW!D10</f>
        <v/>
      </c>
      <c r="E10" s="5">
        <f>2_POST_RAW!E10</f>
        <v/>
      </c>
    </row>
    <row r="11">
      <c r="A11" s="5">
        <f>2_POST_RAW!A11</f>
        <v/>
      </c>
      <c r="B11" s="5">
        <f>2_POST_RAW!B11</f>
        <v/>
      </c>
      <c r="C11" s="5">
        <f>2_POST_RAW!C11</f>
        <v/>
      </c>
      <c r="D11" s="5">
        <f>2_POST_RAW!D11</f>
        <v/>
      </c>
      <c r="E11" s="5">
        <f>2_POST_RAW!E11</f>
        <v/>
      </c>
    </row>
    <row r="12">
      <c r="A12" s="5">
        <f>2_POST_RAW!A12</f>
        <v/>
      </c>
      <c r="B12" s="5">
        <f>2_POST_RAW!B12</f>
        <v/>
      </c>
      <c r="C12" s="5">
        <f>2_POST_RAW!C12</f>
        <v/>
      </c>
      <c r="D12" s="5">
        <f>2_POST_RAW!D12</f>
        <v/>
      </c>
      <c r="E12" s="5">
        <f>2_POST_RAW!E12</f>
        <v/>
      </c>
    </row>
    <row r="13">
      <c r="A13" s="5">
        <f>2_POST_RAW!A13</f>
        <v/>
      </c>
      <c r="B13" s="5">
        <f>2_POST_RAW!B13</f>
        <v/>
      </c>
      <c r="C13" s="5">
        <f>2_POST_RAW!C13</f>
        <v/>
      </c>
      <c r="D13" s="5">
        <f>2_POST_RAW!D13</f>
        <v/>
      </c>
      <c r="E13" s="5">
        <f>2_POST_RAW!E13</f>
        <v/>
      </c>
    </row>
    <row r="14">
      <c r="A14" s="5">
        <f>2_POST_RAW!A14</f>
        <v/>
      </c>
      <c r="B14" s="5">
        <f>2_POST_RAW!B14</f>
        <v/>
      </c>
      <c r="C14" s="5">
        <f>2_POST_RAW!C14</f>
        <v/>
      </c>
      <c r="D14" s="5">
        <f>2_POST_RAW!D14</f>
        <v/>
      </c>
      <c r="E14" s="5">
        <f>2_POST_RAW!E14</f>
        <v/>
      </c>
    </row>
    <row r="15">
      <c r="A15" s="5">
        <f>2_POST_RAW!A15</f>
        <v/>
      </c>
      <c r="B15" s="5">
        <f>2_POST_RAW!B15</f>
        <v/>
      </c>
      <c r="C15" s="5">
        <f>2_POST_RAW!C15</f>
        <v/>
      </c>
      <c r="D15" s="5">
        <f>2_POST_RAW!D15</f>
        <v/>
      </c>
      <c r="E15" s="5">
        <f>2_POST_RAW!E15</f>
        <v/>
      </c>
    </row>
    <row r="16">
      <c r="A16" s="5">
        <f>2_POST_RAW!A16</f>
        <v/>
      </c>
      <c r="B16" s="5">
        <f>2_POST_RAW!B16</f>
        <v/>
      </c>
      <c r="C16" s="5">
        <f>2_POST_RAW!C16</f>
        <v/>
      </c>
      <c r="D16" s="5">
        <f>2_POST_RAW!D16</f>
        <v/>
      </c>
      <c r="E16" s="5">
        <f>2_POST_RAW!E16</f>
        <v/>
      </c>
    </row>
    <row r="17">
      <c r="A17" s="5">
        <f>2_POST_RAW!A17</f>
        <v/>
      </c>
      <c r="B17" s="5">
        <f>2_POST_RAW!B17</f>
        <v/>
      </c>
      <c r="C17" s="5">
        <f>2_POST_RAW!C17</f>
        <v/>
      </c>
      <c r="D17" s="5">
        <f>2_POST_RAW!D17</f>
        <v/>
      </c>
      <c r="E17" s="5">
        <f>2_POST_RAW!E17</f>
        <v/>
      </c>
    </row>
    <row r="18">
      <c r="A18" s="5">
        <f>2_POST_RAW!A18</f>
        <v/>
      </c>
      <c r="B18" s="5">
        <f>2_POST_RAW!B18</f>
        <v/>
      </c>
      <c r="C18" s="5">
        <f>2_POST_RAW!C18</f>
        <v/>
      </c>
      <c r="D18" s="5">
        <f>2_POST_RAW!D18</f>
        <v/>
      </c>
      <c r="E18" s="5">
        <f>2_POST_RAW!E18</f>
        <v/>
      </c>
    </row>
    <row r="19">
      <c r="A19" s="5">
        <f>2_POST_RAW!A19</f>
        <v/>
      </c>
      <c r="B19" s="5">
        <f>2_POST_RAW!B19</f>
        <v/>
      </c>
      <c r="C19" s="5">
        <f>2_POST_RAW!C19</f>
        <v/>
      </c>
      <c r="D19" s="5">
        <f>2_POST_RAW!D19</f>
        <v/>
      </c>
      <c r="E19" s="5">
        <f>2_POST_RAW!E19</f>
        <v/>
      </c>
    </row>
    <row r="20">
      <c r="A20" s="5">
        <f>2_POST_RAW!A20</f>
        <v/>
      </c>
      <c r="B20" s="5">
        <f>2_POST_RAW!B20</f>
        <v/>
      </c>
      <c r="C20" s="5">
        <f>2_POST_RAW!C20</f>
        <v/>
      </c>
      <c r="D20" s="5">
        <f>2_POST_RAW!D20</f>
        <v/>
      </c>
      <c r="E20" s="5">
        <f>2_POST_RAW!E20</f>
        <v/>
      </c>
    </row>
    <row r="21">
      <c r="A21" s="5">
        <f>2_POST_RAW!A21</f>
        <v/>
      </c>
      <c r="B21" s="5">
        <f>2_POST_RAW!B21</f>
        <v/>
      </c>
      <c r="C21" s="5">
        <f>2_POST_RAW!C21</f>
        <v/>
      </c>
      <c r="D21" s="5">
        <f>2_POST_RAW!D21</f>
        <v/>
      </c>
      <c r="E21" s="5">
        <f>2_POST_RAW!E21</f>
        <v/>
      </c>
    </row>
    <row r="22">
      <c r="A22" s="5">
        <f>2_POST_RAW!A22</f>
        <v/>
      </c>
      <c r="B22" s="5">
        <f>2_POST_RAW!B22</f>
        <v/>
      </c>
      <c r="C22" s="5">
        <f>2_POST_RAW!C22</f>
        <v/>
      </c>
      <c r="D22" s="5">
        <f>2_POST_RAW!D22</f>
        <v/>
      </c>
      <c r="E22" s="5">
        <f>2_POST_RAW!E22</f>
        <v/>
      </c>
    </row>
    <row r="23">
      <c r="A23" s="5">
        <f>2_POST_RAW!A23</f>
        <v/>
      </c>
      <c r="B23" s="5">
        <f>2_POST_RAW!B23</f>
        <v/>
      </c>
      <c r="C23" s="5">
        <f>2_POST_RAW!C23</f>
        <v/>
      </c>
      <c r="D23" s="5">
        <f>2_POST_RAW!D23</f>
        <v/>
      </c>
      <c r="E23" s="5">
        <f>2_POST_RAW!E23</f>
        <v/>
      </c>
    </row>
    <row r="24">
      <c r="A24" s="5">
        <f>2_POST_RAW!A24</f>
        <v/>
      </c>
      <c r="B24" s="5">
        <f>2_POST_RAW!B24</f>
        <v/>
      </c>
      <c r="C24" s="5">
        <f>2_POST_RAW!C24</f>
        <v/>
      </c>
      <c r="D24" s="5">
        <f>2_POST_RAW!D24</f>
        <v/>
      </c>
      <c r="E24" s="5">
        <f>2_POST_RAW!E24</f>
        <v/>
      </c>
    </row>
    <row r="25">
      <c r="A25" s="5">
        <f>2_POST_RAW!A25</f>
        <v/>
      </c>
      <c r="B25" s="5">
        <f>2_POST_RAW!B25</f>
        <v/>
      </c>
      <c r="C25" s="5">
        <f>2_POST_RAW!C25</f>
        <v/>
      </c>
      <c r="D25" s="5">
        <f>2_POST_RAW!D25</f>
        <v/>
      </c>
      <c r="E25" s="5">
        <f>2_POST_RAW!E25</f>
        <v/>
      </c>
    </row>
    <row r="26">
      <c r="A26" s="5">
        <f>2_POST_RAW!A26</f>
        <v/>
      </c>
      <c r="B26" s="5">
        <f>2_POST_RAW!B26</f>
        <v/>
      </c>
      <c r="C26" s="5">
        <f>2_POST_RAW!C26</f>
        <v/>
      </c>
      <c r="D26" s="5">
        <f>2_POST_RAW!D26</f>
        <v/>
      </c>
      <c r="E26" s="5">
        <f>2_POST_RAW!E26</f>
        <v/>
      </c>
    </row>
    <row r="27">
      <c r="A27" s="5">
        <f>2_POST_RAW!A27</f>
        <v/>
      </c>
      <c r="B27" s="5">
        <f>2_POST_RAW!B27</f>
        <v/>
      </c>
      <c r="C27" s="5">
        <f>2_POST_RAW!C27</f>
        <v/>
      </c>
      <c r="D27" s="5">
        <f>2_POST_RAW!D27</f>
        <v/>
      </c>
      <c r="E27" s="5">
        <f>2_POST_RAW!E27</f>
        <v/>
      </c>
    </row>
    <row r="28">
      <c r="A28" s="5">
        <f>2_POST_RAW!A28</f>
        <v/>
      </c>
      <c r="B28" s="5">
        <f>2_POST_RAW!B28</f>
        <v/>
      </c>
      <c r="C28" s="5">
        <f>2_POST_RAW!C28</f>
        <v/>
      </c>
      <c r="D28" s="5">
        <f>2_POST_RAW!D28</f>
        <v/>
      </c>
      <c r="E28" s="5">
        <f>2_POST_RAW!E28</f>
        <v/>
      </c>
    </row>
    <row r="29">
      <c r="A29" s="5">
        <f>2_POST_RAW!A29</f>
        <v/>
      </c>
      <c r="B29" s="5">
        <f>2_POST_RAW!B29</f>
        <v/>
      </c>
      <c r="C29" s="5">
        <f>2_POST_RAW!C29</f>
        <v/>
      </c>
      <c r="D29" s="5">
        <f>2_POST_RAW!D29</f>
        <v/>
      </c>
      <c r="E29" s="5">
        <f>2_POST_RAW!E29</f>
        <v/>
      </c>
    </row>
    <row r="30">
      <c r="A30" s="5">
        <f>2_POST_RAW!A30</f>
        <v/>
      </c>
      <c r="B30" s="5">
        <f>2_POST_RAW!B30</f>
        <v/>
      </c>
      <c r="C30" s="5">
        <f>2_POST_RAW!C30</f>
        <v/>
      </c>
      <c r="D30" s="5">
        <f>2_POST_RAW!D30</f>
        <v/>
      </c>
      <c r="E30" s="5">
        <f>2_POST_RAW!E30</f>
        <v/>
      </c>
    </row>
    <row r="31">
      <c r="A31" s="5">
        <f>2_POST_RAW!A31</f>
        <v/>
      </c>
      <c r="B31" s="5">
        <f>2_POST_RAW!B31</f>
        <v/>
      </c>
      <c r="C31" s="5">
        <f>2_POST_RAW!C31</f>
        <v/>
      </c>
      <c r="D31" s="5">
        <f>2_POST_RAW!D31</f>
        <v/>
      </c>
      <c r="E31" s="5">
        <f>2_POST_RAW!E31</f>
        <v/>
      </c>
    </row>
    <row r="32">
      <c r="A32" s="5">
        <f>2_POST_RAW!A32</f>
        <v/>
      </c>
      <c r="B32" s="5">
        <f>2_POST_RAW!B32</f>
        <v/>
      </c>
      <c r="C32" s="5">
        <f>2_POST_RAW!C32</f>
        <v/>
      </c>
      <c r="D32" s="5">
        <f>2_POST_RAW!D32</f>
        <v/>
      </c>
      <c r="E32" s="5">
        <f>2_POST_RAW!E32</f>
        <v/>
      </c>
    </row>
    <row r="33">
      <c r="A33" s="5">
        <f>2_POST_RAW!A33</f>
        <v/>
      </c>
      <c r="B33" s="5">
        <f>2_POST_RAW!B33</f>
        <v/>
      </c>
      <c r="C33" s="5">
        <f>2_POST_RAW!C33</f>
        <v/>
      </c>
      <c r="D33" s="5">
        <f>2_POST_RAW!D33</f>
        <v/>
      </c>
      <c r="E33" s="5">
        <f>2_POST_RAW!E33</f>
        <v/>
      </c>
    </row>
    <row r="34">
      <c r="A34" s="5">
        <f>2_POST_RAW!A34</f>
        <v/>
      </c>
      <c r="B34" s="5">
        <f>2_POST_RAW!B34</f>
        <v/>
      </c>
      <c r="C34" s="5">
        <f>2_POST_RAW!C34</f>
        <v/>
      </c>
      <c r="D34" s="5">
        <f>2_POST_RAW!D34</f>
        <v/>
      </c>
      <c r="E34" s="5">
        <f>2_POST_RAW!E34</f>
        <v/>
      </c>
    </row>
    <row r="35">
      <c r="A35" s="5">
        <f>2_POST_RAW!A35</f>
        <v/>
      </c>
      <c r="B35" s="5">
        <f>2_POST_RAW!B35</f>
        <v/>
      </c>
      <c r="C35" s="5">
        <f>2_POST_RAW!C35</f>
        <v/>
      </c>
      <c r="D35" s="5">
        <f>2_POST_RAW!D35</f>
        <v/>
      </c>
      <c r="E35" s="5">
        <f>2_POST_RAW!E35</f>
        <v/>
      </c>
    </row>
    <row r="36">
      <c r="A36" s="5">
        <f>2_POST_RAW!A36</f>
        <v/>
      </c>
      <c r="B36" s="5">
        <f>2_POST_RAW!B36</f>
        <v/>
      </c>
      <c r="C36" s="5">
        <f>2_POST_RAW!C36</f>
        <v/>
      </c>
      <c r="D36" s="5">
        <f>2_POST_RAW!D36</f>
        <v/>
      </c>
      <c r="E36" s="5">
        <f>2_POST_RAW!E36</f>
        <v/>
      </c>
    </row>
    <row r="37">
      <c r="A37" s="5">
        <f>2_POST_RAW!A37</f>
        <v/>
      </c>
      <c r="B37" s="5">
        <f>2_POST_RAW!B37</f>
        <v/>
      </c>
      <c r="C37" s="5">
        <f>2_POST_RAW!C37</f>
        <v/>
      </c>
      <c r="D37" s="5">
        <f>2_POST_RAW!D37</f>
        <v/>
      </c>
      <c r="E37" s="5">
        <f>2_POST_RAW!E37</f>
        <v/>
      </c>
    </row>
    <row r="38">
      <c r="A38" s="5">
        <f>2_POST_RAW!A38</f>
        <v/>
      </c>
      <c r="B38" s="5">
        <f>2_POST_RAW!B38</f>
        <v/>
      </c>
      <c r="C38" s="5">
        <f>2_POST_RAW!C38</f>
        <v/>
      </c>
      <c r="D38" s="5">
        <f>2_POST_RAW!D38</f>
        <v/>
      </c>
      <c r="E38" s="5">
        <f>2_POST_RAW!E38</f>
        <v/>
      </c>
    </row>
    <row r="39">
      <c r="A39" s="5">
        <f>2_POST_RAW!A39</f>
        <v/>
      </c>
      <c r="B39" s="5">
        <f>2_POST_RAW!B39</f>
        <v/>
      </c>
      <c r="C39" s="5">
        <f>2_POST_RAW!C39</f>
        <v/>
      </c>
      <c r="D39" s="5">
        <f>2_POST_RAW!D39</f>
        <v/>
      </c>
      <c r="E39" s="5">
        <f>2_POST_RAW!E39</f>
        <v/>
      </c>
    </row>
    <row r="40">
      <c r="A40" s="5">
        <f>2_POST_RAW!A40</f>
        <v/>
      </c>
      <c r="B40" s="5">
        <f>2_POST_RAW!B40</f>
        <v/>
      </c>
      <c r="C40" s="5">
        <f>2_POST_RAW!C40</f>
        <v/>
      </c>
      <c r="D40" s="5">
        <f>2_POST_RAW!D40</f>
        <v/>
      </c>
      <c r="E40" s="5">
        <f>2_POST_RAW!E40</f>
        <v/>
      </c>
    </row>
    <row r="41">
      <c r="A41" s="5">
        <f>2_POST_RAW!A41</f>
        <v/>
      </c>
      <c r="B41" s="5">
        <f>2_POST_RAW!B41</f>
        <v/>
      </c>
      <c r="C41" s="5">
        <f>2_POST_RAW!C41</f>
        <v/>
      </c>
      <c r="D41" s="5">
        <f>2_POST_RAW!D41</f>
        <v/>
      </c>
      <c r="E41" s="5">
        <f>2_POST_RAW!E41</f>
        <v/>
      </c>
    </row>
    <row r="42">
      <c r="A42" s="5">
        <f>2_POST_RAW!A42</f>
        <v/>
      </c>
      <c r="B42" s="5">
        <f>2_POST_RAW!B42</f>
        <v/>
      </c>
      <c r="C42" s="5">
        <f>2_POST_RAW!C42</f>
        <v/>
      </c>
      <c r="D42" s="5">
        <f>2_POST_RAW!D42</f>
        <v/>
      </c>
      <c r="E42" s="5">
        <f>2_POST_RAW!E42</f>
        <v/>
      </c>
    </row>
    <row r="43">
      <c r="A43" s="5">
        <f>2_POST_RAW!A43</f>
        <v/>
      </c>
      <c r="B43" s="5">
        <f>2_POST_RAW!B43</f>
        <v/>
      </c>
      <c r="C43" s="5">
        <f>2_POST_RAW!C43</f>
        <v/>
      </c>
      <c r="D43" s="5">
        <f>2_POST_RAW!D43</f>
        <v/>
      </c>
      <c r="E43" s="5">
        <f>2_POST_RAW!E43</f>
        <v/>
      </c>
    </row>
    <row r="44">
      <c r="A44" s="5">
        <f>2_POST_RAW!A44</f>
        <v/>
      </c>
      <c r="B44" s="5">
        <f>2_POST_RAW!B44</f>
        <v/>
      </c>
      <c r="C44" s="5">
        <f>2_POST_RAW!C44</f>
        <v/>
      </c>
      <c r="D44" s="5">
        <f>2_POST_RAW!D44</f>
        <v/>
      </c>
      <c r="E44" s="5">
        <f>2_POST_RAW!E44</f>
        <v/>
      </c>
    </row>
    <row r="45">
      <c r="A45" s="5">
        <f>2_POST_RAW!A45</f>
        <v/>
      </c>
      <c r="B45" s="5">
        <f>2_POST_RAW!B45</f>
        <v/>
      </c>
      <c r="C45" s="5">
        <f>2_POST_RAW!C45</f>
        <v/>
      </c>
      <c r="D45" s="5">
        <f>2_POST_RAW!D45</f>
        <v/>
      </c>
      <c r="E45" s="5">
        <f>2_POST_RAW!E45</f>
        <v/>
      </c>
    </row>
    <row r="46">
      <c r="A46" s="5">
        <f>2_POST_RAW!A46</f>
        <v/>
      </c>
      <c r="B46" s="5">
        <f>2_POST_RAW!B46</f>
        <v/>
      </c>
      <c r="C46" s="5">
        <f>2_POST_RAW!C46</f>
        <v/>
      </c>
      <c r="D46" s="5">
        <f>2_POST_RAW!D46</f>
        <v/>
      </c>
      <c r="E46" s="5">
        <f>2_POST_RAW!E46</f>
        <v/>
      </c>
    </row>
    <row r="47">
      <c r="A47" s="5">
        <f>2_POST_RAW!A47</f>
        <v/>
      </c>
      <c r="B47" s="5">
        <f>2_POST_RAW!B47</f>
        <v/>
      </c>
      <c r="C47" s="5">
        <f>2_POST_RAW!C47</f>
        <v/>
      </c>
      <c r="D47" s="5">
        <f>2_POST_RAW!D47</f>
        <v/>
      </c>
      <c r="E47" s="5">
        <f>2_POST_RAW!E47</f>
        <v/>
      </c>
    </row>
    <row r="48">
      <c r="A48" s="5">
        <f>2_POST_RAW!A48</f>
        <v/>
      </c>
      <c r="B48" s="5">
        <f>2_POST_RAW!B48</f>
        <v/>
      </c>
      <c r="C48" s="5">
        <f>2_POST_RAW!C48</f>
        <v/>
      </c>
      <c r="D48" s="5">
        <f>2_POST_RAW!D48</f>
        <v/>
      </c>
      <c r="E48" s="5">
        <f>2_POST_RAW!E48</f>
        <v/>
      </c>
    </row>
    <row r="49">
      <c r="A49" s="5">
        <f>2_POST_RAW!A49</f>
        <v/>
      </c>
      <c r="B49" s="5">
        <f>2_POST_RAW!B49</f>
        <v/>
      </c>
      <c r="C49" s="5">
        <f>2_POST_RAW!C49</f>
        <v/>
      </c>
      <c r="D49" s="5">
        <f>2_POST_RAW!D49</f>
        <v/>
      </c>
      <c r="E49" s="5">
        <f>2_POST_RAW!E49</f>
        <v/>
      </c>
    </row>
    <row r="50">
      <c r="A50" s="5">
        <f>2_POST_RAW!A50</f>
        <v/>
      </c>
      <c r="B50" s="5">
        <f>2_POST_RAW!B50</f>
        <v/>
      </c>
      <c r="C50" s="5">
        <f>2_POST_RAW!C50</f>
        <v/>
      </c>
      <c r="D50" s="5">
        <f>2_POST_RAW!D50</f>
        <v/>
      </c>
      <c r="E50" s="5">
        <f>2_POST_RAW!E50</f>
        <v/>
      </c>
    </row>
    <row r="51">
      <c r="A51" s="5">
        <f>2_POST_RAW!A51</f>
        <v/>
      </c>
      <c r="B51" s="5">
        <f>2_POST_RAW!B51</f>
        <v/>
      </c>
      <c r="C51" s="5">
        <f>2_POST_RAW!C51</f>
        <v/>
      </c>
      <c r="D51" s="5">
        <f>2_POST_RAW!D51</f>
        <v/>
      </c>
      <c r="E51" s="5">
        <f>2_POST_RAW!E51</f>
        <v/>
      </c>
    </row>
    <row r="52">
      <c r="A52" s="5">
        <f>2_POST_RAW!A52</f>
        <v/>
      </c>
      <c r="B52" s="5">
        <f>2_POST_RAW!B52</f>
        <v/>
      </c>
      <c r="C52" s="5">
        <f>2_POST_RAW!C52</f>
        <v/>
      </c>
      <c r="D52" s="5">
        <f>2_POST_RAW!D52</f>
        <v/>
      </c>
      <c r="E52" s="5">
        <f>2_POST_RAW!E52</f>
        <v/>
      </c>
    </row>
    <row r="53">
      <c r="A53" s="5">
        <f>2_POST_RAW!A53</f>
        <v/>
      </c>
      <c r="B53" s="5">
        <f>2_POST_RAW!B53</f>
        <v/>
      </c>
      <c r="C53" s="5">
        <f>2_POST_RAW!C53</f>
        <v/>
      </c>
      <c r="D53" s="5">
        <f>2_POST_RAW!D53</f>
        <v/>
      </c>
      <c r="E53" s="5">
        <f>2_POST_RAW!E53</f>
        <v/>
      </c>
    </row>
    <row r="54">
      <c r="A54" s="5">
        <f>2_POST_RAW!A54</f>
        <v/>
      </c>
      <c r="B54" s="5">
        <f>2_POST_RAW!B54</f>
        <v/>
      </c>
      <c r="C54" s="5">
        <f>2_POST_RAW!C54</f>
        <v/>
      </c>
      <c r="D54" s="5">
        <f>2_POST_RAW!D54</f>
        <v/>
      </c>
      <c r="E54" s="5">
        <f>2_POST_RAW!E54</f>
        <v/>
      </c>
    </row>
    <row r="55">
      <c r="A55" s="5">
        <f>2_POST_RAW!A55</f>
        <v/>
      </c>
      <c r="B55" s="5">
        <f>2_POST_RAW!B55</f>
        <v/>
      </c>
      <c r="C55" s="5">
        <f>2_POST_RAW!C55</f>
        <v/>
      </c>
      <c r="D55" s="5">
        <f>2_POST_RAW!D55</f>
        <v/>
      </c>
      <c r="E55" s="5">
        <f>2_POST_RAW!E55</f>
        <v/>
      </c>
    </row>
    <row r="56">
      <c r="A56" s="5">
        <f>2_POST_RAW!A56</f>
        <v/>
      </c>
      <c r="B56" s="5">
        <f>2_POST_RAW!B56</f>
        <v/>
      </c>
      <c r="C56" s="5">
        <f>2_POST_RAW!C56</f>
        <v/>
      </c>
      <c r="D56" s="5">
        <f>2_POST_RAW!D56</f>
        <v/>
      </c>
      <c r="E56" s="5">
        <f>2_POST_RAW!E56</f>
        <v/>
      </c>
    </row>
    <row r="57">
      <c r="A57" s="5">
        <f>2_POST_RAW!A57</f>
        <v/>
      </c>
      <c r="B57" s="5">
        <f>2_POST_RAW!B57</f>
        <v/>
      </c>
      <c r="C57" s="5">
        <f>2_POST_RAW!C57</f>
        <v/>
      </c>
      <c r="D57" s="5">
        <f>2_POST_RAW!D57</f>
        <v/>
      </c>
      <c r="E57" s="5">
        <f>2_POST_RAW!E57</f>
        <v/>
      </c>
    </row>
    <row r="58">
      <c r="A58" s="5">
        <f>2_POST_RAW!A58</f>
        <v/>
      </c>
      <c r="B58" s="5">
        <f>2_POST_RAW!B58</f>
        <v/>
      </c>
      <c r="C58" s="5">
        <f>2_POST_RAW!C58</f>
        <v/>
      </c>
      <c r="D58" s="5">
        <f>2_POST_RAW!D58</f>
        <v/>
      </c>
      <c r="E58" s="5">
        <f>2_POST_RAW!E58</f>
        <v/>
      </c>
    </row>
    <row r="59">
      <c r="A59" s="5">
        <f>2_POST_RAW!A59</f>
        <v/>
      </c>
      <c r="B59" s="5">
        <f>2_POST_RAW!B59</f>
        <v/>
      </c>
      <c r="C59" s="5">
        <f>2_POST_RAW!C59</f>
        <v/>
      </c>
      <c r="D59" s="5">
        <f>2_POST_RAW!D59</f>
        <v/>
      </c>
      <c r="E59" s="5">
        <f>2_POST_RAW!E59</f>
        <v/>
      </c>
    </row>
    <row r="60">
      <c r="A60" s="5">
        <f>2_POST_RAW!A60</f>
        <v/>
      </c>
      <c r="B60" s="5">
        <f>2_POST_RAW!B60</f>
        <v/>
      </c>
      <c r="C60" s="5">
        <f>2_POST_RAW!C60</f>
        <v/>
      </c>
      <c r="D60" s="5">
        <f>2_POST_RAW!D60</f>
        <v/>
      </c>
      <c r="E60" s="5">
        <f>2_POST_RAW!E60</f>
        <v/>
      </c>
    </row>
    <row r="61">
      <c r="A61" s="5">
        <f>2_POST_RAW!A61</f>
        <v/>
      </c>
      <c r="B61" s="5">
        <f>2_POST_RAW!B61</f>
        <v/>
      </c>
      <c r="C61" s="5">
        <f>2_POST_RAW!C61</f>
        <v/>
      </c>
      <c r="D61" s="5">
        <f>2_POST_RAW!D61</f>
        <v/>
      </c>
      <c r="E61" s="5">
        <f>2_POST_RAW!E61</f>
        <v/>
      </c>
    </row>
    <row r="62">
      <c r="A62" s="5">
        <f>2_POST_RAW!A62</f>
        <v/>
      </c>
      <c r="B62" s="5">
        <f>2_POST_RAW!B62</f>
        <v/>
      </c>
      <c r="C62" s="5">
        <f>2_POST_RAW!C62</f>
        <v/>
      </c>
      <c r="D62" s="5">
        <f>2_POST_RAW!D62</f>
        <v/>
      </c>
      <c r="E62" s="5">
        <f>2_POST_RAW!E62</f>
        <v/>
      </c>
    </row>
    <row r="63">
      <c r="A63" s="5">
        <f>2_POST_RAW!A63</f>
        <v/>
      </c>
      <c r="B63" s="5">
        <f>2_POST_RAW!B63</f>
        <v/>
      </c>
      <c r="C63" s="5">
        <f>2_POST_RAW!C63</f>
        <v/>
      </c>
      <c r="D63" s="5">
        <f>2_POST_RAW!D63</f>
        <v/>
      </c>
      <c r="E63" s="5">
        <f>2_POST_RAW!E63</f>
        <v/>
      </c>
    </row>
    <row r="64">
      <c r="A64" s="5">
        <f>2_POST_RAW!A64</f>
        <v/>
      </c>
      <c r="B64" s="5">
        <f>2_POST_RAW!B64</f>
        <v/>
      </c>
      <c r="C64" s="5">
        <f>2_POST_RAW!C64</f>
        <v/>
      </c>
      <c r="D64" s="5">
        <f>2_POST_RAW!D64</f>
        <v/>
      </c>
      <c r="E64" s="5">
        <f>2_POST_RAW!E64</f>
        <v/>
      </c>
    </row>
    <row r="65">
      <c r="A65" s="5">
        <f>2_POST_RAW!A65</f>
        <v/>
      </c>
      <c r="B65" s="5">
        <f>2_POST_RAW!B65</f>
        <v/>
      </c>
      <c r="C65" s="5">
        <f>2_POST_RAW!C65</f>
        <v/>
      </c>
      <c r="D65" s="5">
        <f>2_POST_RAW!D65</f>
        <v/>
      </c>
      <c r="E65" s="5">
        <f>2_POST_RAW!E65</f>
        <v/>
      </c>
    </row>
    <row r="66">
      <c r="A66" s="5">
        <f>2_POST_RAW!A66</f>
        <v/>
      </c>
      <c r="B66" s="5">
        <f>2_POST_RAW!B66</f>
        <v/>
      </c>
      <c r="C66" s="5">
        <f>2_POST_RAW!C66</f>
        <v/>
      </c>
      <c r="D66" s="5">
        <f>2_POST_RAW!D66</f>
        <v/>
      </c>
      <c r="E66" s="5">
        <f>2_POST_RAW!E66</f>
        <v/>
      </c>
    </row>
    <row r="67">
      <c r="A67" s="5">
        <f>2_POST_RAW!A67</f>
        <v/>
      </c>
      <c r="B67" s="5">
        <f>2_POST_RAW!B67</f>
        <v/>
      </c>
      <c r="C67" s="5">
        <f>2_POST_RAW!C67</f>
        <v/>
      </c>
      <c r="D67" s="5">
        <f>2_POST_RAW!D67</f>
        <v/>
      </c>
      <c r="E67" s="5">
        <f>2_POST_RAW!E67</f>
        <v/>
      </c>
    </row>
    <row r="68">
      <c r="A68" s="5">
        <f>2_POST_RAW!A68</f>
        <v/>
      </c>
      <c r="B68" s="5">
        <f>2_POST_RAW!B68</f>
        <v/>
      </c>
      <c r="C68" s="5">
        <f>2_POST_RAW!C68</f>
        <v/>
      </c>
      <c r="D68" s="5">
        <f>2_POST_RAW!D68</f>
        <v/>
      </c>
      <c r="E68" s="5">
        <f>2_POST_RAW!E68</f>
        <v/>
      </c>
    </row>
    <row r="69">
      <c r="A69" s="5">
        <f>2_POST_RAW!A69</f>
        <v/>
      </c>
      <c r="B69" s="5">
        <f>2_POST_RAW!B69</f>
        <v/>
      </c>
      <c r="C69" s="5">
        <f>2_POST_RAW!C69</f>
        <v/>
      </c>
      <c r="D69" s="5">
        <f>2_POST_RAW!D69</f>
        <v/>
      </c>
      <c r="E69" s="5">
        <f>2_POST_RAW!E69</f>
        <v/>
      </c>
    </row>
    <row r="70">
      <c r="A70" s="5">
        <f>2_POST_RAW!A70</f>
        <v/>
      </c>
      <c r="B70" s="5">
        <f>2_POST_RAW!B70</f>
        <v/>
      </c>
      <c r="C70" s="5">
        <f>2_POST_RAW!C70</f>
        <v/>
      </c>
      <c r="D70" s="5">
        <f>2_POST_RAW!D70</f>
        <v/>
      </c>
      <c r="E70" s="5">
        <f>2_POST_RAW!E70</f>
        <v/>
      </c>
    </row>
    <row r="71">
      <c r="A71" s="5">
        <f>2_POST_RAW!A71</f>
        <v/>
      </c>
      <c r="B71" s="5">
        <f>2_POST_RAW!B71</f>
        <v/>
      </c>
      <c r="C71" s="5">
        <f>2_POST_RAW!C71</f>
        <v/>
      </c>
      <c r="D71" s="5">
        <f>2_POST_RAW!D71</f>
        <v/>
      </c>
      <c r="E71" s="5">
        <f>2_POST_RAW!E71</f>
        <v/>
      </c>
    </row>
    <row r="72">
      <c r="A72" s="5">
        <f>2_POST_RAW!A72</f>
        <v/>
      </c>
      <c r="B72" s="5">
        <f>2_POST_RAW!B72</f>
        <v/>
      </c>
      <c r="C72" s="5">
        <f>2_POST_RAW!C72</f>
        <v/>
      </c>
      <c r="D72" s="5">
        <f>2_POST_RAW!D72</f>
        <v/>
      </c>
      <c r="E72" s="5">
        <f>2_POST_RAW!E72</f>
        <v/>
      </c>
    </row>
    <row r="73">
      <c r="A73" s="5">
        <f>2_POST_RAW!A73</f>
        <v/>
      </c>
      <c r="B73" s="5">
        <f>2_POST_RAW!B73</f>
        <v/>
      </c>
      <c r="C73" s="5">
        <f>2_POST_RAW!C73</f>
        <v/>
      </c>
      <c r="D73" s="5">
        <f>2_POST_RAW!D73</f>
        <v/>
      </c>
      <c r="E73" s="5">
        <f>2_POST_RAW!E73</f>
        <v/>
      </c>
    </row>
    <row r="74">
      <c r="A74" s="5">
        <f>2_POST_RAW!A74</f>
        <v/>
      </c>
      <c r="B74" s="5">
        <f>2_POST_RAW!B74</f>
        <v/>
      </c>
      <c r="C74" s="5">
        <f>2_POST_RAW!C74</f>
        <v/>
      </c>
      <c r="D74" s="5">
        <f>2_POST_RAW!D74</f>
        <v/>
      </c>
      <c r="E74" s="5">
        <f>2_POST_RAW!E74</f>
        <v/>
      </c>
    </row>
    <row r="75">
      <c r="A75" s="5">
        <f>2_POST_RAW!A75</f>
        <v/>
      </c>
      <c r="B75" s="5">
        <f>2_POST_RAW!B75</f>
        <v/>
      </c>
      <c r="C75" s="5">
        <f>2_POST_RAW!C75</f>
        <v/>
      </c>
      <c r="D75" s="5">
        <f>2_POST_RAW!D75</f>
        <v/>
      </c>
      <c r="E75" s="5">
        <f>2_POST_RAW!E75</f>
        <v/>
      </c>
    </row>
    <row r="76">
      <c r="A76" s="5">
        <f>2_POST_RAW!A76</f>
        <v/>
      </c>
      <c r="B76" s="5">
        <f>2_POST_RAW!B76</f>
        <v/>
      </c>
      <c r="C76" s="5">
        <f>2_POST_RAW!C76</f>
        <v/>
      </c>
      <c r="D76" s="5">
        <f>2_POST_RAW!D76</f>
        <v/>
      </c>
      <c r="E76" s="5">
        <f>2_POST_RAW!E76</f>
        <v/>
      </c>
    </row>
    <row r="77">
      <c r="A77" s="5">
        <f>2_POST_RAW!A77</f>
        <v/>
      </c>
      <c r="B77" s="5">
        <f>2_POST_RAW!B77</f>
        <v/>
      </c>
      <c r="C77" s="5">
        <f>2_POST_RAW!C77</f>
        <v/>
      </c>
      <c r="D77" s="5">
        <f>2_POST_RAW!D77</f>
        <v/>
      </c>
      <c r="E77" s="5">
        <f>2_POST_RAW!E77</f>
        <v/>
      </c>
    </row>
    <row r="78">
      <c r="A78" s="5">
        <f>2_POST_RAW!A78</f>
        <v/>
      </c>
      <c r="B78" s="5">
        <f>2_POST_RAW!B78</f>
        <v/>
      </c>
      <c r="C78" s="5">
        <f>2_POST_RAW!C78</f>
        <v/>
      </c>
      <c r="D78" s="5">
        <f>2_POST_RAW!D78</f>
        <v/>
      </c>
      <c r="E78" s="5">
        <f>2_POST_RAW!E78</f>
        <v/>
      </c>
    </row>
    <row r="79">
      <c r="A79" s="5">
        <f>2_POST_RAW!A79</f>
        <v/>
      </c>
      <c r="B79" s="5">
        <f>2_POST_RAW!B79</f>
        <v/>
      </c>
      <c r="C79" s="5">
        <f>2_POST_RAW!C79</f>
        <v/>
      </c>
      <c r="D79" s="5">
        <f>2_POST_RAW!D79</f>
        <v/>
      </c>
      <c r="E79" s="5">
        <f>2_POST_RAW!E79</f>
        <v/>
      </c>
    </row>
    <row r="80">
      <c r="A80" s="5">
        <f>2_POST_RAW!A80</f>
        <v/>
      </c>
      <c r="B80" s="5">
        <f>2_POST_RAW!B80</f>
        <v/>
      </c>
      <c r="C80" s="5">
        <f>2_POST_RAW!C80</f>
        <v/>
      </c>
      <c r="D80" s="5">
        <f>2_POST_RAW!D80</f>
        <v/>
      </c>
      <c r="E80" s="5">
        <f>2_POST_RAW!E80</f>
        <v/>
      </c>
    </row>
    <row r="81">
      <c r="A81" s="5">
        <f>2_POST_RAW!A81</f>
        <v/>
      </c>
      <c r="B81" s="5">
        <f>2_POST_RAW!B81</f>
        <v/>
      </c>
      <c r="C81" s="5">
        <f>2_POST_RAW!C81</f>
        <v/>
      </c>
      <c r="D81" s="5">
        <f>2_POST_RAW!D81</f>
        <v/>
      </c>
      <c r="E81" s="5">
        <f>2_POST_RAW!E81</f>
        <v/>
      </c>
    </row>
    <row r="82">
      <c r="A82" s="5">
        <f>2_POST_RAW!A82</f>
        <v/>
      </c>
      <c r="B82" s="5">
        <f>2_POST_RAW!B82</f>
        <v/>
      </c>
      <c r="C82" s="5">
        <f>2_POST_RAW!C82</f>
        <v/>
      </c>
      <c r="D82" s="5">
        <f>2_POST_RAW!D82</f>
        <v/>
      </c>
      <c r="E82" s="5">
        <f>2_POST_RAW!E82</f>
        <v/>
      </c>
    </row>
    <row r="83">
      <c r="A83" s="5">
        <f>2_POST_RAW!A83</f>
        <v/>
      </c>
      <c r="B83" s="5">
        <f>2_POST_RAW!B83</f>
        <v/>
      </c>
      <c r="C83" s="5">
        <f>2_POST_RAW!C83</f>
        <v/>
      </c>
      <c r="D83" s="5">
        <f>2_POST_RAW!D83</f>
        <v/>
      </c>
      <c r="E83" s="5">
        <f>2_POST_RAW!E83</f>
        <v/>
      </c>
    </row>
    <row r="84">
      <c r="A84" s="5">
        <f>2_POST_RAW!A84</f>
        <v/>
      </c>
      <c r="B84" s="5">
        <f>2_POST_RAW!B84</f>
        <v/>
      </c>
      <c r="C84" s="5">
        <f>2_POST_RAW!C84</f>
        <v/>
      </c>
      <c r="D84" s="5">
        <f>2_POST_RAW!D84</f>
        <v/>
      </c>
      <c r="E84" s="5">
        <f>2_POST_RAW!E84</f>
        <v/>
      </c>
    </row>
    <row r="85">
      <c r="A85" s="5">
        <f>2_POST_RAW!A85</f>
        <v/>
      </c>
      <c r="B85" s="5">
        <f>2_POST_RAW!B85</f>
        <v/>
      </c>
      <c r="C85" s="5">
        <f>2_POST_RAW!C85</f>
        <v/>
      </c>
      <c r="D85" s="5">
        <f>2_POST_RAW!D85</f>
        <v/>
      </c>
      <c r="E85" s="5">
        <f>2_POST_RAW!E85</f>
        <v/>
      </c>
    </row>
    <row r="86">
      <c r="A86" s="5">
        <f>2_POST_RAW!A86</f>
        <v/>
      </c>
      <c r="B86" s="5">
        <f>2_POST_RAW!B86</f>
        <v/>
      </c>
      <c r="C86" s="5">
        <f>2_POST_RAW!C86</f>
        <v/>
      </c>
      <c r="D86" s="5">
        <f>2_POST_RAW!D86</f>
        <v/>
      </c>
      <c r="E86" s="5">
        <f>2_POST_RAW!E86</f>
        <v/>
      </c>
    </row>
    <row r="87">
      <c r="A87" s="5">
        <f>2_POST_RAW!A87</f>
        <v/>
      </c>
      <c r="B87" s="5">
        <f>2_POST_RAW!B87</f>
        <v/>
      </c>
      <c r="C87" s="5">
        <f>2_POST_RAW!C87</f>
        <v/>
      </c>
      <c r="D87" s="5">
        <f>2_POST_RAW!D87</f>
        <v/>
      </c>
      <c r="E87" s="5">
        <f>2_POST_RAW!E87</f>
        <v/>
      </c>
    </row>
    <row r="88">
      <c r="A88" s="5">
        <f>2_POST_RAW!A88</f>
        <v/>
      </c>
      <c r="B88" s="5">
        <f>2_POST_RAW!B88</f>
        <v/>
      </c>
      <c r="C88" s="5">
        <f>2_POST_RAW!C88</f>
        <v/>
      </c>
      <c r="D88" s="5">
        <f>2_POST_RAW!D88</f>
        <v/>
      </c>
      <c r="E88" s="5">
        <f>2_POST_RAW!E88</f>
        <v/>
      </c>
    </row>
    <row r="89">
      <c r="A89" s="5">
        <f>2_POST_RAW!A89</f>
        <v/>
      </c>
      <c r="B89" s="5">
        <f>2_POST_RAW!B89</f>
        <v/>
      </c>
      <c r="C89" s="5">
        <f>2_POST_RAW!C89</f>
        <v/>
      </c>
      <c r="D89" s="5">
        <f>2_POST_RAW!D89</f>
        <v/>
      </c>
      <c r="E89" s="5">
        <f>2_POST_RAW!E89</f>
        <v/>
      </c>
    </row>
    <row r="90">
      <c r="A90" s="5">
        <f>2_POST_RAW!A90</f>
        <v/>
      </c>
      <c r="B90" s="5">
        <f>2_POST_RAW!B90</f>
        <v/>
      </c>
      <c r="C90" s="5">
        <f>2_POST_RAW!C90</f>
        <v/>
      </c>
      <c r="D90" s="5">
        <f>2_POST_RAW!D90</f>
        <v/>
      </c>
      <c r="E90" s="5">
        <f>2_POST_RAW!E90</f>
        <v/>
      </c>
    </row>
    <row r="91">
      <c r="A91" s="5">
        <f>2_POST_RAW!A91</f>
        <v/>
      </c>
      <c r="B91" s="5">
        <f>2_POST_RAW!B91</f>
        <v/>
      </c>
      <c r="C91" s="5">
        <f>2_POST_RAW!C91</f>
        <v/>
      </c>
      <c r="D91" s="5">
        <f>2_POST_RAW!D91</f>
        <v/>
      </c>
      <c r="E91" s="5">
        <f>2_POST_RAW!E91</f>
        <v/>
      </c>
    </row>
    <row r="92">
      <c r="A92" s="5">
        <f>2_POST_RAW!A92</f>
        <v/>
      </c>
      <c r="B92" s="5">
        <f>2_POST_RAW!B92</f>
        <v/>
      </c>
      <c r="C92" s="5">
        <f>2_POST_RAW!C92</f>
        <v/>
      </c>
      <c r="D92" s="5">
        <f>2_POST_RAW!D92</f>
        <v/>
      </c>
      <c r="E92" s="5">
        <f>2_POST_RAW!E92</f>
        <v/>
      </c>
    </row>
    <row r="93">
      <c r="A93" s="5">
        <f>2_POST_RAW!A93</f>
        <v/>
      </c>
      <c r="B93" s="5">
        <f>2_POST_RAW!B93</f>
        <v/>
      </c>
      <c r="C93" s="5">
        <f>2_POST_RAW!C93</f>
        <v/>
      </c>
      <c r="D93" s="5">
        <f>2_POST_RAW!D93</f>
        <v/>
      </c>
      <c r="E93" s="5">
        <f>2_POST_RAW!E93</f>
        <v/>
      </c>
    </row>
    <row r="94">
      <c r="A94" s="5">
        <f>2_POST_RAW!A94</f>
        <v/>
      </c>
      <c r="B94" s="5">
        <f>2_POST_RAW!B94</f>
        <v/>
      </c>
      <c r="C94" s="5">
        <f>2_POST_RAW!C94</f>
        <v/>
      </c>
      <c r="D94" s="5">
        <f>2_POST_RAW!D94</f>
        <v/>
      </c>
      <c r="E94" s="5">
        <f>2_POST_RAW!E94</f>
        <v/>
      </c>
    </row>
    <row r="95">
      <c r="A95" s="5">
        <f>2_POST_RAW!A95</f>
        <v/>
      </c>
      <c r="B95" s="5">
        <f>2_POST_RAW!B95</f>
        <v/>
      </c>
      <c r="C95" s="5">
        <f>2_POST_RAW!C95</f>
        <v/>
      </c>
      <c r="D95" s="5">
        <f>2_POST_RAW!D95</f>
        <v/>
      </c>
      <c r="E95" s="5">
        <f>2_POST_RAW!E95</f>
        <v/>
      </c>
    </row>
    <row r="96">
      <c r="A96" s="5">
        <f>2_POST_RAW!A96</f>
        <v/>
      </c>
      <c r="B96" s="5">
        <f>2_POST_RAW!B96</f>
        <v/>
      </c>
      <c r="C96" s="5">
        <f>2_POST_RAW!C96</f>
        <v/>
      </c>
      <c r="D96" s="5">
        <f>2_POST_RAW!D96</f>
        <v/>
      </c>
      <c r="E96" s="5">
        <f>2_POST_RAW!E96</f>
        <v/>
      </c>
    </row>
    <row r="97">
      <c r="A97" s="5">
        <f>2_POST_RAW!A97</f>
        <v/>
      </c>
      <c r="B97" s="5">
        <f>2_POST_RAW!B97</f>
        <v/>
      </c>
      <c r="C97" s="5">
        <f>2_POST_RAW!C97</f>
        <v/>
      </c>
      <c r="D97" s="5">
        <f>2_POST_RAW!D97</f>
        <v/>
      </c>
      <c r="E97" s="5">
        <f>2_POST_RAW!E97</f>
        <v/>
      </c>
    </row>
    <row r="98">
      <c r="A98" s="5">
        <f>2_POST_RAW!A98</f>
        <v/>
      </c>
      <c r="B98" s="5">
        <f>2_POST_RAW!B98</f>
        <v/>
      </c>
      <c r="C98" s="5">
        <f>2_POST_RAW!C98</f>
        <v/>
      </c>
      <c r="D98" s="5">
        <f>2_POST_RAW!D98</f>
        <v/>
      </c>
      <c r="E98" s="5">
        <f>2_POST_RAW!E98</f>
        <v/>
      </c>
    </row>
    <row r="99">
      <c r="A99" s="5">
        <f>2_POST_RAW!A99</f>
        <v/>
      </c>
      <c r="B99" s="5">
        <f>2_POST_RAW!B99</f>
        <v/>
      </c>
      <c r="C99" s="5">
        <f>2_POST_RAW!C99</f>
        <v/>
      </c>
      <c r="D99" s="5">
        <f>2_POST_RAW!D99</f>
        <v/>
      </c>
      <c r="E99" s="5">
        <f>2_POST_RAW!E99</f>
        <v/>
      </c>
    </row>
    <row r="100">
      <c r="A100" s="5">
        <f>2_POST_RAW!A100</f>
        <v/>
      </c>
      <c r="B100" s="5">
        <f>2_POST_RAW!B100</f>
        <v/>
      </c>
      <c r="C100" s="5">
        <f>2_POST_RAW!C100</f>
        <v/>
      </c>
      <c r="D100" s="5">
        <f>2_POST_RAW!D100</f>
        <v/>
      </c>
      <c r="E100" s="5">
        <f>2_POST_RAW!E100</f>
        <v/>
      </c>
    </row>
    <row r="101">
      <c r="A101" s="5">
        <f>2_POST_RAW!A101</f>
        <v/>
      </c>
      <c r="B101" s="5">
        <f>2_POST_RAW!B101</f>
        <v/>
      </c>
      <c r="C101" s="5">
        <f>2_POST_RAW!C101</f>
        <v/>
      </c>
      <c r="D101" s="5">
        <f>2_POST_RAW!D101</f>
        <v/>
      </c>
      <c r="E101" s="5">
        <f>2_POST_RAW!E101</f>
        <v/>
      </c>
    </row>
    <row r="102">
      <c r="A102" s="5">
        <f>2_POST_RAW!A102</f>
        <v/>
      </c>
      <c r="B102" s="5">
        <f>2_POST_RAW!B102</f>
        <v/>
      </c>
      <c r="C102" s="5">
        <f>2_POST_RAW!C102</f>
        <v/>
      </c>
      <c r="D102" s="5">
        <f>2_POST_RAW!D102</f>
        <v/>
      </c>
      <c r="E102" s="5">
        <f>2_POST_RAW!E102</f>
        <v/>
      </c>
    </row>
    <row r="103">
      <c r="A103" s="5">
        <f>2_POST_RAW!A103</f>
        <v/>
      </c>
      <c r="B103" s="5">
        <f>2_POST_RAW!B103</f>
        <v/>
      </c>
      <c r="C103" s="5">
        <f>2_POST_RAW!C103</f>
        <v/>
      </c>
      <c r="D103" s="5">
        <f>2_POST_RAW!D103</f>
        <v/>
      </c>
      <c r="E103" s="5">
        <f>2_POST_RAW!E103</f>
        <v/>
      </c>
    </row>
    <row r="104">
      <c r="A104" s="5">
        <f>2_POST_RAW!A104</f>
        <v/>
      </c>
      <c r="B104" s="5">
        <f>2_POST_RAW!B104</f>
        <v/>
      </c>
      <c r="C104" s="5">
        <f>2_POST_RAW!C104</f>
        <v/>
      </c>
      <c r="D104" s="5">
        <f>2_POST_RAW!D104</f>
        <v/>
      </c>
      <c r="E104" s="5">
        <f>2_POST_RAW!E104</f>
        <v/>
      </c>
    </row>
    <row r="105">
      <c r="A105" s="5">
        <f>2_POST_RAW!A105</f>
        <v/>
      </c>
      <c r="B105" s="5">
        <f>2_POST_RAW!B105</f>
        <v/>
      </c>
      <c r="C105" s="5">
        <f>2_POST_RAW!C105</f>
        <v/>
      </c>
      <c r="D105" s="5">
        <f>2_POST_RAW!D105</f>
        <v/>
      </c>
      <c r="E105" s="5">
        <f>2_POST_RAW!E105</f>
        <v/>
      </c>
    </row>
    <row r="106">
      <c r="A106" s="5">
        <f>2_POST_RAW!A106</f>
        <v/>
      </c>
      <c r="B106" s="5">
        <f>2_POST_RAW!B106</f>
        <v/>
      </c>
      <c r="C106" s="5">
        <f>2_POST_RAW!C106</f>
        <v/>
      </c>
      <c r="D106" s="5">
        <f>2_POST_RAW!D106</f>
        <v/>
      </c>
      <c r="E106" s="5">
        <f>2_POST_RAW!E106</f>
        <v/>
      </c>
    </row>
    <row r="107">
      <c r="A107" s="5">
        <f>2_POST_RAW!A107</f>
        <v/>
      </c>
      <c r="B107" s="5">
        <f>2_POST_RAW!B107</f>
        <v/>
      </c>
      <c r="C107" s="5">
        <f>2_POST_RAW!C107</f>
        <v/>
      </c>
      <c r="D107" s="5">
        <f>2_POST_RAW!D107</f>
        <v/>
      </c>
      <c r="E107" s="5">
        <f>2_POST_RAW!E107</f>
        <v/>
      </c>
    </row>
    <row r="108">
      <c r="A108" s="5">
        <f>2_POST_RAW!A108</f>
        <v/>
      </c>
      <c r="B108" s="5">
        <f>2_POST_RAW!B108</f>
        <v/>
      </c>
      <c r="C108" s="5">
        <f>2_POST_RAW!C108</f>
        <v/>
      </c>
      <c r="D108" s="5">
        <f>2_POST_RAW!D108</f>
        <v/>
      </c>
      <c r="E108" s="5">
        <f>2_POST_RAW!E108</f>
        <v/>
      </c>
    </row>
    <row r="109">
      <c r="A109" s="5">
        <f>2_POST_RAW!A109</f>
        <v/>
      </c>
      <c r="B109" s="5">
        <f>2_POST_RAW!B109</f>
        <v/>
      </c>
      <c r="C109" s="5">
        <f>2_POST_RAW!C109</f>
        <v/>
      </c>
      <c r="D109" s="5">
        <f>2_POST_RAW!D109</f>
        <v/>
      </c>
      <c r="E109" s="5">
        <f>2_POST_RAW!E109</f>
        <v/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REGISTRO DE PARTICIPACIÓN FINAL</t>
        </is>
      </c>
    </row>
    <row r="2">
      <c r="A2" t="inlineStr">
        <is>
          <t>ESTADO: 1 = tiene postest e INCLUIR; 0 = retiro sin postest.</t>
        </is>
      </c>
    </row>
    <row r="4">
      <c r="A4" s="2" t="inlineStr">
        <is>
          <t>ID</t>
        </is>
      </c>
      <c r="B4" s="2" t="inlineStr">
        <is>
          <t>GRUPO</t>
        </is>
      </c>
      <c r="C4" s="2" t="inlineStr">
        <is>
          <t>ESTADO</t>
        </is>
      </c>
      <c r="D4" s="2" t="inlineStr">
        <is>
          <t>MOTIVO</t>
        </is>
      </c>
      <c r="E4" s="2" t="inlineStr">
        <is>
          <t>FECHA</t>
        </is>
      </c>
      <c r="F4" s="2" t="inlineStr">
        <is>
          <t>FUENTE</t>
        </is>
      </c>
    </row>
    <row r="5">
      <c r="A5" s="3" t="inlineStr">
        <is>
          <t>GU-TDH-002</t>
        </is>
      </c>
      <c r="B5" s="3" t="inlineStr">
        <is>
          <t>GE</t>
        </is>
      </c>
      <c r="C5" s="3" t="n">
        <v>1</v>
      </c>
      <c r="D5" s="3" t="inlineStr">
        <is>
          <t>Participación completa en el cuaderno simulado</t>
        </is>
      </c>
      <c r="E5" s="6" t="n">
        <v>46322</v>
      </c>
      <c r="F5" s="3" t="inlineStr">
        <is>
          <t>Sesión 7, hoja 2_Participantes</t>
        </is>
      </c>
    </row>
    <row r="6">
      <c r="A6" s="3" t="inlineStr">
        <is>
          <t>GU-TDH-003</t>
        </is>
      </c>
      <c r="B6" s="3" t="inlineStr">
        <is>
          <t>GE</t>
        </is>
      </c>
      <c r="C6" s="3" t="n">
        <v>1</v>
      </c>
      <c r="D6" s="3" t="inlineStr">
        <is>
          <t>Participación completa en el cuaderno simulado</t>
        </is>
      </c>
      <c r="E6" s="6" t="n">
        <v>46321</v>
      </c>
      <c r="F6" s="3" t="inlineStr">
        <is>
          <t>Sesión 7, hoja 2_Participantes</t>
        </is>
      </c>
    </row>
    <row r="7">
      <c r="A7" s="3" t="inlineStr">
        <is>
          <t>GU-TDH-004</t>
        </is>
      </c>
      <c r="B7" s="3" t="inlineStr">
        <is>
          <t>GE</t>
        </is>
      </c>
      <c r="C7" s="3" t="n">
        <v>1</v>
      </c>
      <c r="D7" s="3" t="inlineStr">
        <is>
          <t>Participación completa en el cuaderno simulado</t>
        </is>
      </c>
      <c r="E7" s="6" t="n">
        <v>46321</v>
      </c>
      <c r="F7" s="3" t="inlineStr">
        <is>
          <t>Sesión 7, hoja 2_Participantes</t>
        </is>
      </c>
    </row>
    <row r="8">
      <c r="A8" s="3" t="inlineStr">
        <is>
          <t>GU-TDH-006</t>
        </is>
      </c>
      <c r="B8" s="3" t="inlineStr">
        <is>
          <t>GE</t>
        </is>
      </c>
      <c r="C8" s="3" t="n">
        <v>1</v>
      </c>
      <c r="D8" s="3" t="inlineStr">
        <is>
          <t>Participación completa en el cuaderno simulado</t>
        </is>
      </c>
      <c r="E8" s="6" t="n">
        <v>46324</v>
      </c>
      <c r="F8" s="3" t="inlineStr">
        <is>
          <t>Sesión 7, hoja 2_Participantes</t>
        </is>
      </c>
    </row>
    <row r="9">
      <c r="A9" s="3" t="inlineStr">
        <is>
          <t>GU-TDH-007</t>
        </is>
      </c>
      <c r="B9" s="3" t="inlineStr">
        <is>
          <t>GE</t>
        </is>
      </c>
      <c r="C9" s="3" t="n">
        <v>1</v>
      </c>
      <c r="D9" s="3" t="inlineStr">
        <is>
          <t>Participación completa en el cuaderno simulado</t>
        </is>
      </c>
      <c r="E9" s="6" t="n">
        <v>46321</v>
      </c>
      <c r="F9" s="3" t="inlineStr">
        <is>
          <t>Sesión 7, hoja 2_Participantes</t>
        </is>
      </c>
    </row>
    <row r="10">
      <c r="A10" s="3" t="inlineStr">
        <is>
          <t>GU-TDH-008</t>
        </is>
      </c>
      <c r="B10" s="3" t="inlineStr">
        <is>
          <t>GE</t>
        </is>
      </c>
      <c r="C10" s="3" t="n">
        <v>1</v>
      </c>
      <c r="D10" s="3" t="inlineStr">
        <is>
          <t>Participación completa en el cuaderno simulado</t>
        </is>
      </c>
      <c r="E10" s="6" t="n">
        <v>46322</v>
      </c>
      <c r="F10" s="3" t="inlineStr">
        <is>
          <t>Sesión 7, hoja 2_Participantes</t>
        </is>
      </c>
    </row>
    <row r="11">
      <c r="A11" s="3" t="inlineStr">
        <is>
          <t>GU-TDH-009</t>
        </is>
      </c>
      <c r="B11" s="3" t="inlineStr">
        <is>
          <t>GE</t>
        </is>
      </c>
      <c r="C11" s="3" t="n">
        <v>1</v>
      </c>
      <c r="D11" s="3" t="inlineStr">
        <is>
          <t>Participación completa en el cuaderno simulado</t>
        </is>
      </c>
      <c r="E11" s="6" t="n">
        <v>46324</v>
      </c>
      <c r="F11" s="3" t="inlineStr">
        <is>
          <t>Sesión 7, hoja 2_Participantes</t>
        </is>
      </c>
    </row>
    <row r="12">
      <c r="A12" s="3" t="inlineStr">
        <is>
          <t>GU-TDH-010</t>
        </is>
      </c>
      <c r="B12" s="3" t="inlineStr">
        <is>
          <t>GE</t>
        </is>
      </c>
      <c r="C12" s="3" t="n">
        <v>1</v>
      </c>
      <c r="D12" s="3" t="inlineStr">
        <is>
          <t>Participación completa en el cuaderno simulado</t>
        </is>
      </c>
      <c r="E12" s="6" t="n">
        <v>46321</v>
      </c>
      <c r="F12" s="3" t="inlineStr">
        <is>
          <t>Sesión 7, hoja 2_Participantes</t>
        </is>
      </c>
    </row>
    <row r="13">
      <c r="A13" s="3" t="inlineStr">
        <is>
          <t>GU-TDH-011</t>
        </is>
      </c>
      <c r="B13" s="3" t="inlineStr">
        <is>
          <t>GE</t>
        </is>
      </c>
      <c r="C13" s="3" t="n">
        <v>1</v>
      </c>
      <c r="D13" s="3" t="inlineStr">
        <is>
          <t>Participación completa en el cuaderno simulado</t>
        </is>
      </c>
      <c r="E13" s="6" t="n">
        <v>46322</v>
      </c>
      <c r="F13" s="3" t="inlineStr">
        <is>
          <t>Sesión 7, hoja 2_Participantes</t>
        </is>
      </c>
    </row>
    <row r="14">
      <c r="A14" s="3" t="inlineStr">
        <is>
          <t>GU-TDH-012</t>
        </is>
      </c>
      <c r="B14" s="3" t="inlineStr">
        <is>
          <t>GE</t>
        </is>
      </c>
      <c r="C14" s="3" t="n">
        <v>1</v>
      </c>
      <c r="D14" s="3" t="inlineStr">
        <is>
          <t>Participación completa en el cuaderno simulado</t>
        </is>
      </c>
      <c r="E14" s="6" t="n">
        <v>46322</v>
      </c>
      <c r="F14" s="3" t="inlineStr">
        <is>
          <t>Sesión 7, hoja 2_Participantes</t>
        </is>
      </c>
    </row>
    <row r="15">
      <c r="A15" s="3" t="inlineStr">
        <is>
          <t>GU-TDH-014</t>
        </is>
      </c>
      <c r="B15" s="3" t="inlineStr">
        <is>
          <t>GE</t>
        </is>
      </c>
      <c r="C15" s="3" t="n">
        <v>1</v>
      </c>
      <c r="D15" s="3" t="inlineStr">
        <is>
          <t>Participación completa en el cuaderno simulado</t>
        </is>
      </c>
      <c r="E15" s="6" t="n">
        <v>46321</v>
      </c>
      <c r="F15" s="3" t="inlineStr">
        <is>
          <t>Sesión 7, hoja 2_Participantes</t>
        </is>
      </c>
    </row>
    <row r="16">
      <c r="A16" s="3" t="inlineStr">
        <is>
          <t>GU-TDH-015</t>
        </is>
      </c>
      <c r="B16" s="3" t="inlineStr">
        <is>
          <t>GE</t>
        </is>
      </c>
      <c r="C16" s="3" t="n">
        <v>0</v>
      </c>
      <c r="D16" s="3" t="inlineStr">
        <is>
          <t>Retiro sin postest: no completó las sesiones mínimas</t>
        </is>
      </c>
      <c r="E16" s="6" t="n">
        <v>46316</v>
      </c>
      <c r="F16" s="3" t="inlineStr">
        <is>
          <t>Sesión 7, hoja 2_Participantes</t>
        </is>
      </c>
    </row>
    <row r="17">
      <c r="A17" s="3" t="inlineStr">
        <is>
          <t>GU-TDH-016</t>
        </is>
      </c>
      <c r="B17" s="3" t="inlineStr">
        <is>
          <t>GE</t>
        </is>
      </c>
      <c r="C17" s="3" t="n">
        <v>1</v>
      </c>
      <c r="D17" s="3" t="inlineStr">
        <is>
          <t>Participación completa en el cuaderno simulado</t>
        </is>
      </c>
      <c r="E17" s="6" t="n">
        <v>46322</v>
      </c>
      <c r="F17" s="3" t="inlineStr">
        <is>
          <t>Sesión 7, hoja 2_Participantes</t>
        </is>
      </c>
    </row>
    <row r="18">
      <c r="A18" s="3" t="inlineStr">
        <is>
          <t>GU-TDH-017</t>
        </is>
      </c>
      <c r="B18" s="3" t="inlineStr">
        <is>
          <t>GE</t>
        </is>
      </c>
      <c r="C18" s="3" t="n">
        <v>1</v>
      </c>
      <c r="D18" s="3" t="inlineStr">
        <is>
          <t>Participación completa en el cuaderno simulado</t>
        </is>
      </c>
      <c r="E18" s="6" t="n">
        <v>46322</v>
      </c>
      <c r="F18" s="3" t="inlineStr">
        <is>
          <t>Sesión 7, hoja 2_Participantes</t>
        </is>
      </c>
    </row>
    <row r="19">
      <c r="A19" s="3" t="inlineStr">
        <is>
          <t>GU-TDH-019</t>
        </is>
      </c>
      <c r="B19" s="3" t="inlineStr">
        <is>
          <t>GE</t>
        </is>
      </c>
      <c r="C19" s="3" t="n">
        <v>1</v>
      </c>
      <c r="D19" s="3" t="inlineStr">
        <is>
          <t>Participación completa en el cuaderno simulado</t>
        </is>
      </c>
      <c r="E19" s="6" t="n">
        <v>46321</v>
      </c>
      <c r="F19" s="3" t="inlineStr">
        <is>
          <t>Sesión 7, hoja 2_Participantes</t>
        </is>
      </c>
    </row>
    <row r="20">
      <c r="A20" s="3" t="inlineStr">
        <is>
          <t>GU-TDH-020</t>
        </is>
      </c>
      <c r="B20" s="3" t="inlineStr">
        <is>
          <t>GE</t>
        </is>
      </c>
      <c r="C20" s="3" t="n">
        <v>1</v>
      </c>
      <c r="D20" s="3" t="inlineStr">
        <is>
          <t>Participación completa en el cuaderno simulado</t>
        </is>
      </c>
      <c r="E20" s="6" t="n">
        <v>46323</v>
      </c>
      <c r="F20" s="3" t="inlineStr">
        <is>
          <t>Sesión 7, hoja 2_Participantes</t>
        </is>
      </c>
    </row>
    <row r="21">
      <c r="A21" s="3" t="inlineStr">
        <is>
          <t>GU-TDH-021</t>
        </is>
      </c>
      <c r="B21" s="3" t="inlineStr">
        <is>
          <t>GE</t>
        </is>
      </c>
      <c r="C21" s="3" t="n">
        <v>1</v>
      </c>
      <c r="D21" s="3" t="inlineStr">
        <is>
          <t>Participación completa en el cuaderno simulado</t>
        </is>
      </c>
      <c r="E21" s="6" t="n">
        <v>46321</v>
      </c>
      <c r="F21" s="3" t="inlineStr">
        <is>
          <t>Sesión 7, hoja 2_Participantes</t>
        </is>
      </c>
    </row>
    <row r="22">
      <c r="A22" s="3" t="inlineStr">
        <is>
          <t>GU-TDH-022</t>
        </is>
      </c>
      <c r="B22" s="3" t="inlineStr">
        <is>
          <t>GE</t>
        </is>
      </c>
      <c r="C22" s="3" t="n">
        <v>1</v>
      </c>
      <c r="D22" s="3" t="inlineStr">
        <is>
          <t>Participación completa en el cuaderno simulado</t>
        </is>
      </c>
      <c r="E22" s="6" t="n">
        <v>46323</v>
      </c>
      <c r="F22" s="3" t="inlineStr">
        <is>
          <t>Sesión 7, hoja 2_Participantes</t>
        </is>
      </c>
    </row>
    <row r="23">
      <c r="A23" s="3" t="inlineStr">
        <is>
          <t>GU-TDH-023</t>
        </is>
      </c>
      <c r="B23" s="3" t="inlineStr">
        <is>
          <t>GE</t>
        </is>
      </c>
      <c r="C23" s="3" t="n">
        <v>1</v>
      </c>
      <c r="D23" s="3" t="inlineStr">
        <is>
          <t>Participación completa en el cuaderno simulado</t>
        </is>
      </c>
      <c r="E23" s="6" t="n">
        <v>46325</v>
      </c>
      <c r="F23" s="3" t="inlineStr">
        <is>
          <t>Sesión 7, hoja 2_Participantes</t>
        </is>
      </c>
    </row>
    <row r="24">
      <c r="A24" s="3" t="inlineStr">
        <is>
          <t>GU-TDH-024</t>
        </is>
      </c>
      <c r="B24" s="3" t="inlineStr">
        <is>
          <t>GE</t>
        </is>
      </c>
      <c r="C24" s="3" t="n">
        <v>1</v>
      </c>
      <c r="D24" s="3" t="inlineStr">
        <is>
          <t>Participación completa en el cuaderno simulado</t>
        </is>
      </c>
      <c r="E24" s="6" t="n">
        <v>46323</v>
      </c>
      <c r="F24" s="3" t="inlineStr">
        <is>
          <t>Sesión 7, hoja 2_Participantes</t>
        </is>
      </c>
    </row>
    <row r="25">
      <c r="A25" s="3" t="inlineStr">
        <is>
          <t>GU-TDH-025</t>
        </is>
      </c>
      <c r="B25" s="3" t="inlineStr">
        <is>
          <t>GE</t>
        </is>
      </c>
      <c r="C25" s="3" t="n">
        <v>1</v>
      </c>
      <c r="D25" s="3" t="inlineStr">
        <is>
          <t>Participación completa en el cuaderno simulado</t>
        </is>
      </c>
      <c r="E25" s="6" t="n">
        <v>46325</v>
      </c>
      <c r="F25" s="3" t="inlineStr">
        <is>
          <t>Sesión 7, hoja 2_Participantes</t>
        </is>
      </c>
    </row>
    <row r="26">
      <c r="A26" s="3" t="inlineStr">
        <is>
          <t>GU-TDH-026</t>
        </is>
      </c>
      <c r="B26" s="3" t="inlineStr">
        <is>
          <t>GE</t>
        </is>
      </c>
      <c r="C26" s="3" t="n">
        <v>1</v>
      </c>
      <c r="D26" s="3" t="inlineStr">
        <is>
          <t>Participación completa en el cuaderno simulado</t>
        </is>
      </c>
      <c r="E26" s="6" t="n">
        <v>46326</v>
      </c>
      <c r="F26" s="3" t="inlineStr">
        <is>
          <t>Sesión 7, hoja 2_Participantes</t>
        </is>
      </c>
    </row>
    <row r="27">
      <c r="A27" s="3" t="inlineStr">
        <is>
          <t>GU-TDH-027</t>
        </is>
      </c>
      <c r="B27" s="3" t="inlineStr">
        <is>
          <t>GE</t>
        </is>
      </c>
      <c r="C27" s="3" t="n">
        <v>1</v>
      </c>
      <c r="D27" s="3" t="inlineStr">
        <is>
          <t>Participación completa en el cuaderno simulado</t>
        </is>
      </c>
      <c r="E27" s="6" t="n">
        <v>46324</v>
      </c>
      <c r="F27" s="3" t="inlineStr">
        <is>
          <t>Sesión 7, hoja 2_Participantes</t>
        </is>
      </c>
    </row>
    <row r="28">
      <c r="A28" s="3" t="inlineStr">
        <is>
          <t>GU-TDH-028</t>
        </is>
      </c>
      <c r="B28" s="3" t="inlineStr">
        <is>
          <t>GE</t>
        </is>
      </c>
      <c r="C28" s="3" t="n">
        <v>1</v>
      </c>
      <c r="D28" s="3" t="inlineStr">
        <is>
          <t>Participación completa en el cuaderno simulado</t>
        </is>
      </c>
      <c r="E28" s="6" t="n">
        <v>46321</v>
      </c>
      <c r="F28" s="3" t="inlineStr">
        <is>
          <t>Sesión 7, hoja 2_Participantes</t>
        </is>
      </c>
    </row>
    <row r="29">
      <c r="A29" s="3" t="inlineStr">
        <is>
          <t>GU-TDH-029</t>
        </is>
      </c>
      <c r="B29" s="3" t="inlineStr">
        <is>
          <t>GE</t>
        </is>
      </c>
      <c r="C29" s="3" t="n">
        <v>1</v>
      </c>
      <c r="D29" s="3" t="inlineStr">
        <is>
          <t>Participación completa en el cuaderno simulado</t>
        </is>
      </c>
      <c r="E29" s="6" t="n">
        <v>46321</v>
      </c>
      <c r="F29" s="3" t="inlineStr">
        <is>
          <t>Sesión 7, hoja 2_Participantes</t>
        </is>
      </c>
    </row>
    <row r="30">
      <c r="A30" s="3" t="inlineStr">
        <is>
          <t>GU-TDH-030</t>
        </is>
      </c>
      <c r="B30" s="3" t="inlineStr">
        <is>
          <t>GE</t>
        </is>
      </c>
      <c r="C30" s="3" t="n">
        <v>1</v>
      </c>
      <c r="D30" s="3" t="inlineStr">
        <is>
          <t>Participación completa en el cuaderno simulado</t>
        </is>
      </c>
      <c r="E30" s="6" t="n">
        <v>46321</v>
      </c>
      <c r="F30" s="3" t="inlineStr">
        <is>
          <t>Sesión 7, hoja 2_Participantes</t>
        </is>
      </c>
    </row>
    <row r="31">
      <c r="A31" s="3" t="inlineStr">
        <is>
          <t>GU-TDH-032</t>
        </is>
      </c>
      <c r="B31" s="3" t="inlineStr">
        <is>
          <t>GE</t>
        </is>
      </c>
      <c r="C31" s="3" t="n">
        <v>1</v>
      </c>
      <c r="D31" s="3" t="inlineStr">
        <is>
          <t>Participación completa en el cuaderno simulado</t>
        </is>
      </c>
      <c r="E31" s="6" t="n">
        <v>46326</v>
      </c>
      <c r="F31" s="3" t="inlineStr">
        <is>
          <t>Sesión 7, hoja 2_Participantes</t>
        </is>
      </c>
    </row>
    <row r="32">
      <c r="A32" s="3" t="inlineStr">
        <is>
          <t>GU-TDH-033</t>
        </is>
      </c>
      <c r="B32" s="3" t="inlineStr">
        <is>
          <t>GE</t>
        </is>
      </c>
      <c r="C32" s="3" t="n">
        <v>0</v>
      </c>
      <c r="D32" s="3" t="inlineStr">
        <is>
          <t>Retiro sin postest: no completó las sesiones mínimas</t>
        </is>
      </c>
      <c r="E32" s="6" t="n">
        <v>46316</v>
      </c>
      <c r="F32" s="3" t="inlineStr">
        <is>
          <t>Sesión 7, hoja 2_Participantes</t>
        </is>
      </c>
    </row>
    <row r="33">
      <c r="A33" s="3" t="inlineStr">
        <is>
          <t>GU-TDH-034</t>
        </is>
      </c>
      <c r="B33" s="3" t="inlineStr">
        <is>
          <t>GE</t>
        </is>
      </c>
      <c r="C33" s="3" t="n">
        <v>1</v>
      </c>
      <c r="D33" s="3" t="inlineStr">
        <is>
          <t>Participación completa en el cuaderno simulado</t>
        </is>
      </c>
      <c r="E33" s="6" t="n">
        <v>46322</v>
      </c>
      <c r="F33" s="3" t="inlineStr">
        <is>
          <t>Sesión 7, hoja 2_Participantes</t>
        </is>
      </c>
    </row>
    <row r="34">
      <c r="A34" s="3" t="inlineStr">
        <is>
          <t>GU-TDH-035</t>
        </is>
      </c>
      <c r="B34" s="3" t="inlineStr">
        <is>
          <t>GE</t>
        </is>
      </c>
      <c r="C34" s="3" t="n">
        <v>1</v>
      </c>
      <c r="D34" s="3" t="inlineStr">
        <is>
          <t>Participación completa en el cuaderno simulado</t>
        </is>
      </c>
      <c r="E34" s="6" t="n">
        <v>46326</v>
      </c>
      <c r="F34" s="3" t="inlineStr">
        <is>
          <t>Sesión 7, hoja 2_Participantes</t>
        </is>
      </c>
    </row>
    <row r="35">
      <c r="A35" s="3" t="inlineStr">
        <is>
          <t>GU-TDH-036</t>
        </is>
      </c>
      <c r="B35" s="3" t="inlineStr">
        <is>
          <t>GE</t>
        </is>
      </c>
      <c r="C35" s="3" t="n">
        <v>1</v>
      </c>
      <c r="D35" s="3" t="inlineStr">
        <is>
          <t>Participación completa en el cuaderno simulado</t>
        </is>
      </c>
      <c r="E35" s="6" t="n">
        <v>46321</v>
      </c>
      <c r="F35" s="3" t="inlineStr">
        <is>
          <t>Sesión 7, hoja 2_Participantes</t>
        </is>
      </c>
    </row>
    <row r="36">
      <c r="A36" s="3" t="inlineStr">
        <is>
          <t>GU-TDH-038</t>
        </is>
      </c>
      <c r="B36" s="3" t="inlineStr">
        <is>
          <t>GE</t>
        </is>
      </c>
      <c r="C36" s="3" t="n">
        <v>1</v>
      </c>
      <c r="D36" s="3" t="inlineStr">
        <is>
          <t>Participación completa en el cuaderno simulado</t>
        </is>
      </c>
      <c r="E36" s="6" t="n">
        <v>46324</v>
      </c>
      <c r="F36" s="3" t="inlineStr">
        <is>
          <t>Sesión 7, hoja 2_Participantes</t>
        </is>
      </c>
    </row>
    <row r="37">
      <c r="A37" s="3" t="inlineStr">
        <is>
          <t>GU-TDH-039</t>
        </is>
      </c>
      <c r="B37" s="3" t="inlineStr">
        <is>
          <t>GE</t>
        </is>
      </c>
      <c r="C37" s="3" t="n">
        <v>1</v>
      </c>
      <c r="D37" s="3" t="inlineStr">
        <is>
          <t>Participación completa en el cuaderno simulado</t>
        </is>
      </c>
      <c r="E37" s="6" t="n">
        <v>46323</v>
      </c>
      <c r="F37" s="3" t="inlineStr">
        <is>
          <t>Sesión 7, hoja 2_Participantes</t>
        </is>
      </c>
    </row>
    <row r="38">
      <c r="A38" s="3" t="inlineStr">
        <is>
          <t>GU-TDH-040</t>
        </is>
      </c>
      <c r="B38" s="3" t="inlineStr">
        <is>
          <t>GE</t>
        </is>
      </c>
      <c r="C38" s="3" t="n">
        <v>1</v>
      </c>
      <c r="D38" s="3" t="inlineStr">
        <is>
          <t>Participación completa en el cuaderno simulado</t>
        </is>
      </c>
      <c r="E38" s="6" t="n">
        <v>46325</v>
      </c>
      <c r="F38" s="3" t="inlineStr">
        <is>
          <t>Sesión 7, hoja 2_Participantes</t>
        </is>
      </c>
    </row>
    <row r="39">
      <c r="A39" s="3" t="inlineStr">
        <is>
          <t>GU-TDH-041</t>
        </is>
      </c>
      <c r="B39" s="3" t="inlineStr">
        <is>
          <t>GE</t>
        </is>
      </c>
      <c r="C39" s="3" t="n">
        <v>1</v>
      </c>
      <c r="D39" s="3" t="inlineStr">
        <is>
          <t>Participación completa en el cuaderno simulado</t>
        </is>
      </c>
      <c r="E39" s="6" t="n">
        <v>46325</v>
      </c>
      <c r="F39" s="3" t="inlineStr">
        <is>
          <t>Sesión 7, hoja 2_Participantes</t>
        </is>
      </c>
    </row>
    <row r="40">
      <c r="A40" s="3" t="inlineStr">
        <is>
          <t>GU-TDH-042</t>
        </is>
      </c>
      <c r="B40" s="3" t="inlineStr">
        <is>
          <t>GE</t>
        </is>
      </c>
      <c r="C40" s="3" t="n">
        <v>1</v>
      </c>
      <c r="D40" s="3" t="inlineStr">
        <is>
          <t>Participación completa en el cuaderno simulado</t>
        </is>
      </c>
      <c r="E40" s="6" t="n">
        <v>46321</v>
      </c>
      <c r="F40" s="3" t="inlineStr">
        <is>
          <t>Sesión 7, hoja 2_Participantes</t>
        </is>
      </c>
    </row>
    <row r="41">
      <c r="A41" s="3" t="inlineStr">
        <is>
          <t>GU-TDH-043</t>
        </is>
      </c>
      <c r="B41" s="3" t="inlineStr">
        <is>
          <t>GE</t>
        </is>
      </c>
      <c r="C41" s="3" t="n">
        <v>1</v>
      </c>
      <c r="D41" s="3" t="inlineStr">
        <is>
          <t>Participación completa en el cuaderno simulado</t>
        </is>
      </c>
      <c r="E41" s="6" t="n">
        <v>46323</v>
      </c>
      <c r="F41" s="3" t="inlineStr">
        <is>
          <t>Sesión 7, hoja 2_Participantes</t>
        </is>
      </c>
    </row>
    <row r="42">
      <c r="A42" s="3" t="inlineStr">
        <is>
          <t>GU-TDH-045</t>
        </is>
      </c>
      <c r="B42" s="3" t="inlineStr">
        <is>
          <t>GE</t>
        </is>
      </c>
      <c r="C42" s="3" t="n">
        <v>1</v>
      </c>
      <c r="D42" s="3" t="inlineStr">
        <is>
          <t>Participación completa en el cuaderno simulado</t>
        </is>
      </c>
      <c r="E42" s="6" t="n">
        <v>46322</v>
      </c>
      <c r="F42" s="3" t="inlineStr">
        <is>
          <t>Sesión 7, hoja 2_Participantes</t>
        </is>
      </c>
    </row>
    <row r="43">
      <c r="A43" s="3" t="inlineStr">
        <is>
          <t>GU-TDH-047</t>
        </is>
      </c>
      <c r="B43" s="3" t="inlineStr">
        <is>
          <t>GE</t>
        </is>
      </c>
      <c r="C43" s="3" t="n">
        <v>1</v>
      </c>
      <c r="D43" s="3" t="inlineStr">
        <is>
          <t>Participación completa en el cuaderno simulado</t>
        </is>
      </c>
      <c r="E43" s="6" t="n">
        <v>46323</v>
      </c>
      <c r="F43" s="3" t="inlineStr">
        <is>
          <t>Sesión 7, hoja 2_Participantes</t>
        </is>
      </c>
    </row>
    <row r="44">
      <c r="A44" s="3" t="inlineStr">
        <is>
          <t>GU-TDH-048</t>
        </is>
      </c>
      <c r="B44" s="3" t="inlineStr">
        <is>
          <t>GE</t>
        </is>
      </c>
      <c r="C44" s="3" t="n">
        <v>1</v>
      </c>
      <c r="D44" s="3" t="inlineStr">
        <is>
          <t>Participación completa en el cuaderno simulado</t>
        </is>
      </c>
      <c r="E44" s="6" t="n">
        <v>46324</v>
      </c>
      <c r="F44" s="3" t="inlineStr">
        <is>
          <t>Sesión 7, hoja 2_Participantes</t>
        </is>
      </c>
    </row>
    <row r="45">
      <c r="A45" s="3" t="inlineStr">
        <is>
          <t>GU-TDH-049</t>
        </is>
      </c>
      <c r="B45" s="3" t="inlineStr">
        <is>
          <t>GE</t>
        </is>
      </c>
      <c r="C45" s="3" t="n">
        <v>1</v>
      </c>
      <c r="D45" s="3" t="inlineStr">
        <is>
          <t>Participación completa en el cuaderno simulado</t>
        </is>
      </c>
      <c r="E45" s="6" t="n">
        <v>46321</v>
      </c>
      <c r="F45" s="3" t="inlineStr">
        <is>
          <t>Sesión 7, hoja 2_Participantes</t>
        </is>
      </c>
    </row>
    <row r="46">
      <c r="A46" s="3" t="inlineStr">
        <is>
          <t>GU-TDH-050</t>
        </is>
      </c>
      <c r="B46" s="3" t="inlineStr">
        <is>
          <t>GE</t>
        </is>
      </c>
      <c r="C46" s="3" t="n">
        <v>1</v>
      </c>
      <c r="D46" s="3" t="inlineStr">
        <is>
          <t>Participación completa en el cuaderno simulado</t>
        </is>
      </c>
      <c r="E46" s="6" t="n">
        <v>46323</v>
      </c>
      <c r="F46" s="3" t="inlineStr">
        <is>
          <t>Sesión 7, hoja 2_Participantes</t>
        </is>
      </c>
    </row>
    <row r="47">
      <c r="A47" s="3" t="inlineStr">
        <is>
          <t>GU-TDH-051</t>
        </is>
      </c>
      <c r="B47" s="3" t="inlineStr">
        <is>
          <t>GE</t>
        </is>
      </c>
      <c r="C47" s="3" t="n">
        <v>1</v>
      </c>
      <c r="D47" s="3" t="inlineStr">
        <is>
          <t>Participación completa en el cuaderno simulado</t>
        </is>
      </c>
      <c r="E47" s="6" t="n">
        <v>46325</v>
      </c>
      <c r="F47" s="3" t="inlineStr">
        <is>
          <t>Sesión 7, hoja 2_Participantes</t>
        </is>
      </c>
    </row>
    <row r="48">
      <c r="A48" s="3" t="inlineStr">
        <is>
          <t>GU-TDH-052</t>
        </is>
      </c>
      <c r="B48" s="3" t="inlineStr">
        <is>
          <t>GE</t>
        </is>
      </c>
      <c r="C48" s="3" t="n">
        <v>1</v>
      </c>
      <c r="D48" s="3" t="inlineStr">
        <is>
          <t>Participación completa en el cuaderno simulado</t>
        </is>
      </c>
      <c r="E48" s="6" t="n">
        <v>46322</v>
      </c>
      <c r="F48" s="3" t="inlineStr">
        <is>
          <t>Sesión 7, hoja 2_Participantes</t>
        </is>
      </c>
    </row>
    <row r="49">
      <c r="A49" s="3" t="inlineStr">
        <is>
          <t>GU-TDH-053</t>
        </is>
      </c>
      <c r="B49" s="3" t="inlineStr">
        <is>
          <t>GE</t>
        </is>
      </c>
      <c r="C49" s="3" t="n">
        <v>0</v>
      </c>
      <c r="D49" s="3" t="inlineStr">
        <is>
          <t>Retiro sin postest: no completó las sesiones mínimas</t>
        </is>
      </c>
      <c r="E49" s="6" t="n">
        <v>46316</v>
      </c>
      <c r="F49" s="3" t="inlineStr">
        <is>
          <t>Sesión 7, hoja 2_Participantes</t>
        </is>
      </c>
    </row>
    <row r="50">
      <c r="A50" s="3" t="inlineStr">
        <is>
          <t>GU-TDH-054</t>
        </is>
      </c>
      <c r="B50" s="3" t="inlineStr">
        <is>
          <t>GE</t>
        </is>
      </c>
      <c r="C50" s="3" t="n">
        <v>1</v>
      </c>
      <c r="D50" s="3" t="inlineStr">
        <is>
          <t>Participación completa en el cuaderno simulado</t>
        </is>
      </c>
      <c r="E50" s="6" t="n">
        <v>46324</v>
      </c>
      <c r="F50" s="3" t="inlineStr">
        <is>
          <t>Sesión 7, hoja 2_Participantes</t>
        </is>
      </c>
    </row>
    <row r="51">
      <c r="A51" s="3" t="inlineStr">
        <is>
          <t>GU-TDH-056</t>
        </is>
      </c>
      <c r="B51" s="3" t="inlineStr">
        <is>
          <t>GE</t>
        </is>
      </c>
      <c r="C51" s="3" t="n">
        <v>1</v>
      </c>
      <c r="D51" s="3" t="inlineStr">
        <is>
          <t>Participación completa en el cuaderno simulado</t>
        </is>
      </c>
      <c r="E51" s="6" t="n">
        <v>46325</v>
      </c>
      <c r="F51" s="3" t="inlineStr">
        <is>
          <t>Sesión 7, hoja 2_Participantes</t>
        </is>
      </c>
    </row>
    <row r="52">
      <c r="A52" s="3" t="inlineStr">
        <is>
          <t>GU-TDH-057</t>
        </is>
      </c>
      <c r="B52" s="3" t="inlineStr">
        <is>
          <t>GE</t>
        </is>
      </c>
      <c r="C52" s="3" t="n">
        <v>1</v>
      </c>
      <c r="D52" s="3" t="inlineStr">
        <is>
          <t>Participación completa en el cuaderno simulado</t>
        </is>
      </c>
      <c r="E52" s="6" t="n">
        <v>46321</v>
      </c>
      <c r="F52" s="3" t="inlineStr">
        <is>
          <t>Sesión 7, hoja 2_Participantes</t>
        </is>
      </c>
    </row>
    <row r="53">
      <c r="A53" s="3" t="inlineStr">
        <is>
          <t>GU-TDH-058</t>
        </is>
      </c>
      <c r="B53" s="3" t="inlineStr">
        <is>
          <t>GE</t>
        </is>
      </c>
      <c r="C53" s="3" t="n">
        <v>1</v>
      </c>
      <c r="D53" s="3" t="inlineStr">
        <is>
          <t>Participación completa en el cuaderno simulado</t>
        </is>
      </c>
      <c r="E53" s="6" t="n">
        <v>46322</v>
      </c>
      <c r="F53" s="3" t="inlineStr">
        <is>
          <t>Sesión 7, hoja 2_Participantes</t>
        </is>
      </c>
    </row>
    <row r="54">
      <c r="A54" s="3" t="inlineStr">
        <is>
          <t>GU-TDH-060</t>
        </is>
      </c>
      <c r="B54" s="3" t="inlineStr">
        <is>
          <t>GE</t>
        </is>
      </c>
      <c r="C54" s="3" t="n">
        <v>1</v>
      </c>
      <c r="D54" s="3" t="inlineStr">
        <is>
          <t>Participación completa en el cuaderno simulado</t>
        </is>
      </c>
      <c r="E54" s="6" t="n">
        <v>46323</v>
      </c>
      <c r="F54" s="3" t="inlineStr">
        <is>
          <t>Sesión 7, hoja 2_Participantes</t>
        </is>
      </c>
    </row>
    <row r="55">
      <c r="A55" s="3" t="inlineStr">
        <is>
          <t>GU-TDH-061</t>
        </is>
      </c>
      <c r="B55" s="3" t="inlineStr">
        <is>
          <t>GE</t>
        </is>
      </c>
      <c r="C55" s="3" t="n">
        <v>1</v>
      </c>
      <c r="D55" s="3" t="inlineStr">
        <is>
          <t>Participación completa en el cuaderno simulado</t>
        </is>
      </c>
      <c r="E55" s="6" t="n">
        <v>46323</v>
      </c>
      <c r="F55" s="3" t="inlineStr">
        <is>
          <t>Sesión 7, hoja 2_Participantes</t>
        </is>
      </c>
    </row>
    <row r="56">
      <c r="A56" s="3" t="inlineStr">
        <is>
          <t>GU-TDH-062</t>
        </is>
      </c>
      <c r="B56" s="3" t="inlineStr">
        <is>
          <t>GE</t>
        </is>
      </c>
      <c r="C56" s="3" t="n">
        <v>1</v>
      </c>
      <c r="D56" s="3" t="inlineStr">
        <is>
          <t>Participación completa en el cuaderno simulado</t>
        </is>
      </c>
      <c r="E56" s="6" t="n">
        <v>46321</v>
      </c>
      <c r="F56" s="3" t="inlineStr">
        <is>
          <t>Sesión 7, hoja 2_Participantes</t>
        </is>
      </c>
    </row>
    <row r="57">
      <c r="A57" s="3" t="inlineStr">
        <is>
          <t>GU-TDH-063</t>
        </is>
      </c>
      <c r="B57" s="3" t="inlineStr">
        <is>
          <t>GE</t>
        </is>
      </c>
      <c r="C57" s="3" t="n">
        <v>1</v>
      </c>
      <c r="D57" s="3" t="inlineStr">
        <is>
          <t>Participación completa en el cuaderno simulado</t>
        </is>
      </c>
      <c r="E57" s="6" t="n">
        <v>46322</v>
      </c>
      <c r="F57" s="3" t="inlineStr">
        <is>
          <t>Sesión 7, hoja 2_Participantes</t>
        </is>
      </c>
    </row>
    <row r="58">
      <c r="A58" s="3" t="inlineStr">
        <is>
          <t>GU-TDH-064</t>
        </is>
      </c>
      <c r="B58" s="3" t="inlineStr">
        <is>
          <t>GE</t>
        </is>
      </c>
      <c r="C58" s="3" t="n">
        <v>1</v>
      </c>
      <c r="D58" s="3" t="inlineStr">
        <is>
          <t>Participación completa en el cuaderno simulado</t>
        </is>
      </c>
      <c r="E58" s="6" t="n">
        <v>46326</v>
      </c>
      <c r="F58" s="3" t="inlineStr">
        <is>
          <t>Sesión 7, hoja 2_Participantes</t>
        </is>
      </c>
    </row>
    <row r="59">
      <c r="A59" s="3" t="inlineStr">
        <is>
          <t>GU-TDH-065</t>
        </is>
      </c>
      <c r="B59" s="3" t="inlineStr">
        <is>
          <t>GE</t>
        </is>
      </c>
      <c r="C59" s="3" t="n">
        <v>1</v>
      </c>
      <c r="D59" s="3" t="inlineStr">
        <is>
          <t>Participación completa en el cuaderno simulado</t>
        </is>
      </c>
      <c r="E59" s="6" t="n">
        <v>46325</v>
      </c>
      <c r="F59" s="3" t="inlineStr">
        <is>
          <t>Sesión 7, hoja 2_Participantes</t>
        </is>
      </c>
    </row>
    <row r="60">
      <c r="A60" s="3" t="inlineStr">
        <is>
          <t>GU-TDH-066</t>
        </is>
      </c>
      <c r="B60" s="3" t="inlineStr">
        <is>
          <t>GE</t>
        </is>
      </c>
      <c r="C60" s="3" t="n">
        <v>1</v>
      </c>
      <c r="D60" s="3" t="inlineStr">
        <is>
          <t>Participación completa en el cuaderno simulado</t>
        </is>
      </c>
      <c r="E60" s="6" t="n">
        <v>46324</v>
      </c>
      <c r="F60" s="3" t="inlineStr">
        <is>
          <t>Sesión 7, hoja 2_Participantes</t>
        </is>
      </c>
    </row>
    <row r="61">
      <c r="A61" s="3" t="inlineStr">
        <is>
          <t>GU-TDH-067</t>
        </is>
      </c>
      <c r="B61" s="3" t="inlineStr">
        <is>
          <t>GE</t>
        </is>
      </c>
      <c r="C61" s="3" t="n">
        <v>1</v>
      </c>
      <c r="D61" s="3" t="inlineStr">
        <is>
          <t>Participación completa en el cuaderno simulado</t>
        </is>
      </c>
      <c r="E61" s="6" t="n">
        <v>46322</v>
      </c>
      <c r="F61" s="3" t="inlineStr">
        <is>
          <t>Sesión 7, hoja 2_Participantes</t>
        </is>
      </c>
    </row>
    <row r="62">
      <c r="A62" s="3" t="inlineStr">
        <is>
          <t>GU-TDH-069</t>
        </is>
      </c>
      <c r="B62" s="3" t="inlineStr">
        <is>
          <t>GE</t>
        </is>
      </c>
      <c r="C62" s="3" t="n">
        <v>1</v>
      </c>
      <c r="D62" s="3" t="inlineStr">
        <is>
          <t>Participación completa en el cuaderno simulado</t>
        </is>
      </c>
      <c r="E62" s="6" t="n">
        <v>46321</v>
      </c>
      <c r="F62" s="3" t="inlineStr">
        <is>
          <t>Sesión 7, hoja 2_Participantes</t>
        </is>
      </c>
    </row>
    <row r="63">
      <c r="A63" s="3" t="inlineStr">
        <is>
          <t>GU-TDH-070</t>
        </is>
      </c>
      <c r="B63" s="3" t="inlineStr">
        <is>
          <t>GE</t>
        </is>
      </c>
      <c r="C63" s="3" t="n">
        <v>1</v>
      </c>
      <c r="D63" s="3" t="inlineStr">
        <is>
          <t>Participación completa en el cuaderno simulado</t>
        </is>
      </c>
      <c r="E63" s="6" t="n">
        <v>46323</v>
      </c>
      <c r="F63" s="3" t="inlineStr">
        <is>
          <t>Sesión 7, hoja 2_Participantes</t>
        </is>
      </c>
    </row>
    <row r="64">
      <c r="A64" s="3" t="inlineStr">
        <is>
          <t>GU-TDH-071</t>
        </is>
      </c>
      <c r="B64" s="3" t="inlineStr">
        <is>
          <t>GE</t>
        </is>
      </c>
      <c r="C64" s="3" t="n">
        <v>1</v>
      </c>
      <c r="D64" s="3" t="inlineStr">
        <is>
          <t>Participación completa en el cuaderno simulado</t>
        </is>
      </c>
      <c r="E64" s="6" t="n">
        <v>46324</v>
      </c>
      <c r="F64" s="3" t="inlineStr">
        <is>
          <t>Sesión 7, hoja 2_Participantes</t>
        </is>
      </c>
    </row>
    <row r="65">
      <c r="A65" s="3" t="inlineStr">
        <is>
          <t>GU-TDH-072</t>
        </is>
      </c>
      <c r="B65" s="3" t="inlineStr">
        <is>
          <t>GE</t>
        </is>
      </c>
      <c r="C65" s="3" t="n">
        <v>1</v>
      </c>
      <c r="D65" s="3" t="inlineStr">
        <is>
          <t>Participación completa en el cuaderno simulado</t>
        </is>
      </c>
      <c r="E65" s="6" t="n">
        <v>46326</v>
      </c>
      <c r="F65" s="3" t="inlineStr">
        <is>
          <t>Sesión 7, hoja 2_Participantes</t>
        </is>
      </c>
    </row>
    <row r="66">
      <c r="A66" s="3" t="inlineStr">
        <is>
          <t>GU-TDH-073</t>
        </is>
      </c>
      <c r="B66" s="3" t="inlineStr">
        <is>
          <t>GE</t>
        </is>
      </c>
      <c r="C66" s="3" t="n">
        <v>1</v>
      </c>
      <c r="D66" s="3" t="inlineStr">
        <is>
          <t>Participación completa en el cuaderno simulado</t>
        </is>
      </c>
      <c r="E66" s="6" t="n">
        <v>46323</v>
      </c>
      <c r="F66" s="3" t="inlineStr">
        <is>
          <t>Sesión 7, hoja 2_Participantes</t>
        </is>
      </c>
    </row>
    <row r="67">
      <c r="A67" s="3" t="inlineStr">
        <is>
          <t>GU-TDH-074</t>
        </is>
      </c>
      <c r="B67" s="3" t="inlineStr">
        <is>
          <t>GE</t>
        </is>
      </c>
      <c r="C67" s="3" t="n">
        <v>1</v>
      </c>
      <c r="D67" s="3" t="inlineStr">
        <is>
          <t>Participación completa en el cuaderno simulado</t>
        </is>
      </c>
      <c r="E67" s="6" t="n">
        <v>46324</v>
      </c>
      <c r="F67" s="3" t="inlineStr">
        <is>
          <t>Sesión 7, hoja 2_Participantes</t>
        </is>
      </c>
    </row>
    <row r="68">
      <c r="A68" s="3" t="inlineStr">
        <is>
          <t>GU-TDH-075</t>
        </is>
      </c>
      <c r="B68" s="3" t="inlineStr">
        <is>
          <t>GE</t>
        </is>
      </c>
      <c r="C68" s="3" t="n">
        <v>1</v>
      </c>
      <c r="D68" s="3" t="inlineStr">
        <is>
          <t>Participación completa en el cuaderno simulado</t>
        </is>
      </c>
      <c r="E68" s="6" t="n">
        <v>46322</v>
      </c>
      <c r="F68" s="3" t="inlineStr">
        <is>
          <t>Sesión 7, hoja 2_Participantes</t>
        </is>
      </c>
    </row>
    <row r="69">
      <c r="A69" s="3" t="inlineStr">
        <is>
          <t>GU-TDH-076</t>
        </is>
      </c>
      <c r="B69" s="3" t="inlineStr">
        <is>
          <t>GE</t>
        </is>
      </c>
      <c r="C69" s="3" t="n">
        <v>1</v>
      </c>
      <c r="D69" s="3" t="inlineStr">
        <is>
          <t>Participación completa en el cuaderno simulado</t>
        </is>
      </c>
      <c r="E69" s="6" t="n">
        <v>46323</v>
      </c>
      <c r="F69" s="3" t="inlineStr">
        <is>
          <t>Sesión 7, hoja 2_Participantes</t>
        </is>
      </c>
    </row>
    <row r="70">
      <c r="A70" s="3" t="inlineStr">
        <is>
          <t>GU-TDH-077</t>
        </is>
      </c>
      <c r="B70" s="3" t="inlineStr">
        <is>
          <t>GE</t>
        </is>
      </c>
      <c r="C70" s="3" t="n">
        <v>1</v>
      </c>
      <c r="D70" s="3" t="inlineStr">
        <is>
          <t>Participación completa en el cuaderno simulado</t>
        </is>
      </c>
      <c r="E70" s="6" t="n">
        <v>46325</v>
      </c>
      <c r="F70" s="3" t="inlineStr">
        <is>
          <t>Sesión 7, hoja 2_Participantes</t>
        </is>
      </c>
    </row>
    <row r="71">
      <c r="A71" s="3" t="inlineStr">
        <is>
          <t>GU-TDH-078</t>
        </is>
      </c>
      <c r="B71" s="3" t="inlineStr">
        <is>
          <t>GE</t>
        </is>
      </c>
      <c r="C71" s="3" t="n">
        <v>1</v>
      </c>
      <c r="D71" s="3" t="inlineStr">
        <is>
          <t>Participación completa en el cuaderno simulado</t>
        </is>
      </c>
      <c r="E71" s="6" t="n">
        <v>46324</v>
      </c>
      <c r="F71" s="3" t="inlineStr">
        <is>
          <t>Sesión 7, hoja 2_Participantes</t>
        </is>
      </c>
    </row>
    <row r="72">
      <c r="A72" s="3" t="inlineStr">
        <is>
          <t>GU-TDH-079</t>
        </is>
      </c>
      <c r="B72" s="3" t="inlineStr">
        <is>
          <t>GE</t>
        </is>
      </c>
      <c r="C72" s="3" t="n">
        <v>1</v>
      </c>
      <c r="D72" s="3" t="inlineStr">
        <is>
          <t>Participación completa en el cuaderno simulado</t>
        </is>
      </c>
      <c r="E72" s="6" t="n">
        <v>46324</v>
      </c>
      <c r="F72" s="3" t="inlineStr">
        <is>
          <t>Sesión 7, hoja 2_Participantes</t>
        </is>
      </c>
    </row>
    <row r="73">
      <c r="A73" s="3" t="inlineStr">
        <is>
          <t>GU-TDH-080</t>
        </is>
      </c>
      <c r="B73" s="3" t="inlineStr">
        <is>
          <t>GE</t>
        </is>
      </c>
      <c r="C73" s="3" t="n">
        <v>1</v>
      </c>
      <c r="D73" s="3" t="inlineStr">
        <is>
          <t>Participación completa en el cuaderno simulado</t>
        </is>
      </c>
      <c r="E73" s="6" t="n">
        <v>46321</v>
      </c>
      <c r="F73" s="3" t="inlineStr">
        <is>
          <t>Sesión 7, hoja 2_Participantes</t>
        </is>
      </c>
    </row>
    <row r="74">
      <c r="A74" s="3" t="inlineStr">
        <is>
          <t>GU-TDH-081</t>
        </is>
      </c>
      <c r="B74" s="3" t="inlineStr">
        <is>
          <t>GE</t>
        </is>
      </c>
      <c r="C74" s="3" t="n">
        <v>1</v>
      </c>
      <c r="D74" s="3" t="inlineStr">
        <is>
          <t>Participación completa en el cuaderno simulado</t>
        </is>
      </c>
      <c r="E74" s="6" t="n">
        <v>46326</v>
      </c>
      <c r="F74" s="3" t="inlineStr">
        <is>
          <t>Sesión 7, hoja 2_Participantes</t>
        </is>
      </c>
    </row>
    <row r="75">
      <c r="A75" s="3" t="inlineStr">
        <is>
          <t>GU-TDH-082</t>
        </is>
      </c>
      <c r="B75" s="3" t="inlineStr">
        <is>
          <t>GE</t>
        </is>
      </c>
      <c r="C75" s="3" t="n">
        <v>1</v>
      </c>
      <c r="D75" s="3" t="inlineStr">
        <is>
          <t>Participación completa en el cuaderno simulado</t>
        </is>
      </c>
      <c r="E75" s="6" t="n">
        <v>46323</v>
      </c>
      <c r="F75" s="3" t="inlineStr">
        <is>
          <t>Sesión 7, hoja 2_Participantes</t>
        </is>
      </c>
    </row>
    <row r="76">
      <c r="A76" s="3" t="inlineStr">
        <is>
          <t>GU-TDH-083</t>
        </is>
      </c>
      <c r="B76" s="3" t="inlineStr">
        <is>
          <t>GE</t>
        </is>
      </c>
      <c r="C76" s="3" t="n">
        <v>1</v>
      </c>
      <c r="D76" s="3" t="inlineStr">
        <is>
          <t>Participación completa en el cuaderno simulado</t>
        </is>
      </c>
      <c r="E76" s="6" t="n">
        <v>46325</v>
      </c>
      <c r="F76" s="3" t="inlineStr">
        <is>
          <t>Sesión 7, hoja 2_Participantes</t>
        </is>
      </c>
    </row>
    <row r="77">
      <c r="A77" s="3" t="inlineStr">
        <is>
          <t>GU-TDH-084</t>
        </is>
      </c>
      <c r="B77" s="3" t="inlineStr">
        <is>
          <t>GE</t>
        </is>
      </c>
      <c r="C77" s="3" t="n">
        <v>1</v>
      </c>
      <c r="D77" s="3" t="inlineStr">
        <is>
          <t>Participación completa en el cuaderno simulado</t>
        </is>
      </c>
      <c r="E77" s="6" t="n">
        <v>46324</v>
      </c>
      <c r="F77" s="3" t="inlineStr">
        <is>
          <t>Sesión 7, hoja 2_Participantes</t>
        </is>
      </c>
    </row>
    <row r="78">
      <c r="A78" s="3" t="inlineStr">
        <is>
          <t>GU-TDH-085</t>
        </is>
      </c>
      <c r="B78" s="3" t="inlineStr">
        <is>
          <t>GE</t>
        </is>
      </c>
      <c r="C78" s="3" t="n">
        <v>1</v>
      </c>
      <c r="D78" s="3" t="inlineStr">
        <is>
          <t>Participación completa en el cuaderno simulado</t>
        </is>
      </c>
      <c r="E78" s="6" t="n">
        <v>46321</v>
      </c>
      <c r="F78" s="3" t="inlineStr">
        <is>
          <t>Sesión 7, hoja 2_Participantes</t>
        </is>
      </c>
    </row>
    <row r="79">
      <c r="A79" s="3" t="inlineStr">
        <is>
          <t>GU-TDH-086</t>
        </is>
      </c>
      <c r="B79" s="3" t="inlineStr">
        <is>
          <t>GE</t>
        </is>
      </c>
      <c r="C79" s="3" t="n">
        <v>1</v>
      </c>
      <c r="D79" s="3" t="inlineStr">
        <is>
          <t>Participación completa en el cuaderno simulado</t>
        </is>
      </c>
      <c r="E79" s="6" t="n">
        <v>46321</v>
      </c>
      <c r="F79" s="3" t="inlineStr">
        <is>
          <t>Sesión 7, hoja 2_Participantes</t>
        </is>
      </c>
    </row>
    <row r="80">
      <c r="A80" s="3" t="inlineStr">
        <is>
          <t>GU-TDH-087</t>
        </is>
      </c>
      <c r="B80" s="3" t="inlineStr">
        <is>
          <t>GE</t>
        </is>
      </c>
      <c r="C80" s="3" t="n">
        <v>1</v>
      </c>
      <c r="D80" s="3" t="inlineStr">
        <is>
          <t>Participación completa en el cuaderno simulado</t>
        </is>
      </c>
      <c r="E80" s="6" t="n">
        <v>46322</v>
      </c>
      <c r="F80" s="3" t="inlineStr">
        <is>
          <t>Sesión 7, hoja 2_Participantes</t>
        </is>
      </c>
    </row>
    <row r="81">
      <c r="A81" s="3" t="inlineStr">
        <is>
          <t>GU-TDH-088</t>
        </is>
      </c>
      <c r="B81" s="3" t="inlineStr">
        <is>
          <t>GE</t>
        </is>
      </c>
      <c r="C81" s="3" t="n">
        <v>1</v>
      </c>
      <c r="D81" s="3" t="inlineStr">
        <is>
          <t>Participación completa en el cuaderno simulado</t>
        </is>
      </c>
      <c r="E81" s="6" t="n">
        <v>46324</v>
      </c>
      <c r="F81" s="3" t="inlineStr">
        <is>
          <t>Sesión 7, hoja 2_Participantes</t>
        </is>
      </c>
    </row>
    <row r="82">
      <c r="A82" s="3" t="inlineStr">
        <is>
          <t>GU-TDH-089</t>
        </is>
      </c>
      <c r="B82" s="3" t="inlineStr">
        <is>
          <t>GE</t>
        </is>
      </c>
      <c r="C82" s="3" t="n">
        <v>1</v>
      </c>
      <c r="D82" s="3" t="inlineStr">
        <is>
          <t>Participación completa en el cuaderno simulado</t>
        </is>
      </c>
      <c r="E82" s="6" t="n">
        <v>46321</v>
      </c>
      <c r="F82" s="3" t="inlineStr">
        <is>
          <t>Sesión 7, hoja 2_Participantes</t>
        </is>
      </c>
    </row>
    <row r="83">
      <c r="A83" s="3" t="inlineStr">
        <is>
          <t>GU-TDH-090</t>
        </is>
      </c>
      <c r="B83" s="3" t="inlineStr">
        <is>
          <t>GE</t>
        </is>
      </c>
      <c r="C83" s="3" t="n">
        <v>1</v>
      </c>
      <c r="D83" s="3" t="inlineStr">
        <is>
          <t>Participación completa en el cuaderno simulado</t>
        </is>
      </c>
      <c r="E83" s="6" t="n">
        <v>46321</v>
      </c>
      <c r="F83" s="3" t="inlineStr">
        <is>
          <t>Sesión 7, hoja 2_Participantes</t>
        </is>
      </c>
    </row>
    <row r="84">
      <c r="A84" s="3" t="inlineStr">
        <is>
          <t>GU-TDH-091</t>
        </is>
      </c>
      <c r="B84" s="3" t="inlineStr">
        <is>
          <t>GE</t>
        </is>
      </c>
      <c r="C84" s="3" t="n">
        <v>1</v>
      </c>
      <c r="D84" s="3" t="inlineStr">
        <is>
          <t>Participación completa en el cuaderno simulado</t>
        </is>
      </c>
      <c r="E84" s="6" t="n">
        <v>46321</v>
      </c>
      <c r="F84" s="3" t="inlineStr">
        <is>
          <t>Sesión 7, hoja 2_Participantes</t>
        </is>
      </c>
    </row>
    <row r="85">
      <c r="A85" s="3" t="inlineStr">
        <is>
          <t>GU-TDH-092</t>
        </is>
      </c>
      <c r="B85" s="3" t="inlineStr">
        <is>
          <t>GE</t>
        </is>
      </c>
      <c r="C85" s="3" t="n">
        <v>1</v>
      </c>
      <c r="D85" s="3" t="inlineStr">
        <is>
          <t>Participación completa en el cuaderno simulado</t>
        </is>
      </c>
      <c r="E85" s="6" t="n">
        <v>46324</v>
      </c>
      <c r="F85" s="3" t="inlineStr">
        <is>
          <t>Sesión 7, hoja 2_Participantes</t>
        </is>
      </c>
    </row>
    <row r="86">
      <c r="A86" s="3" t="inlineStr">
        <is>
          <t>GU-TDH-093</t>
        </is>
      </c>
      <c r="B86" s="3" t="inlineStr">
        <is>
          <t>GE</t>
        </is>
      </c>
      <c r="C86" s="3" t="n">
        <v>1</v>
      </c>
      <c r="D86" s="3" t="inlineStr">
        <is>
          <t>Participación completa en el cuaderno simulado</t>
        </is>
      </c>
      <c r="E86" s="6" t="n">
        <v>46324</v>
      </c>
      <c r="F86" s="3" t="inlineStr">
        <is>
          <t>Sesión 7, hoja 2_Participantes</t>
        </is>
      </c>
    </row>
    <row r="87">
      <c r="A87" s="3" t="inlineStr">
        <is>
          <t>GU-TDH-095</t>
        </is>
      </c>
      <c r="B87" s="3" t="inlineStr">
        <is>
          <t>GE</t>
        </is>
      </c>
      <c r="C87" s="3" t="n">
        <v>1</v>
      </c>
      <c r="D87" s="3" t="inlineStr">
        <is>
          <t>Participación completa en el cuaderno simulado</t>
        </is>
      </c>
      <c r="E87" s="6" t="n">
        <v>46322</v>
      </c>
      <c r="F87" s="3" t="inlineStr">
        <is>
          <t>Sesión 7, hoja 2_Participantes</t>
        </is>
      </c>
    </row>
    <row r="88">
      <c r="A88" s="3" t="inlineStr">
        <is>
          <t>GU-TDH-097</t>
        </is>
      </c>
      <c r="B88" s="3" t="inlineStr">
        <is>
          <t>GE</t>
        </is>
      </c>
      <c r="C88" s="3" t="n">
        <v>1</v>
      </c>
      <c r="D88" s="3" t="inlineStr">
        <is>
          <t>Participación completa en el cuaderno simulado</t>
        </is>
      </c>
      <c r="E88" s="6" t="n">
        <v>46323</v>
      </c>
      <c r="F88" s="3" t="inlineStr">
        <is>
          <t>Sesión 7, hoja 2_Participantes</t>
        </is>
      </c>
    </row>
    <row r="89">
      <c r="A89" s="3" t="inlineStr">
        <is>
          <t>GU-TDH-098</t>
        </is>
      </c>
      <c r="B89" s="3" t="inlineStr">
        <is>
          <t>GE</t>
        </is>
      </c>
      <c r="C89" s="3" t="n">
        <v>1</v>
      </c>
      <c r="D89" s="3" t="inlineStr">
        <is>
          <t>Participación completa en el cuaderno simulado</t>
        </is>
      </c>
      <c r="E89" s="6" t="n">
        <v>46325</v>
      </c>
      <c r="F89" s="3" t="inlineStr">
        <is>
          <t>Sesión 7, hoja 2_Participantes</t>
        </is>
      </c>
    </row>
    <row r="90">
      <c r="A90" s="3" t="inlineStr">
        <is>
          <t>GU-TDH-099</t>
        </is>
      </c>
      <c r="B90" s="3" t="inlineStr">
        <is>
          <t>GE</t>
        </is>
      </c>
      <c r="C90" s="3" t="n">
        <v>1</v>
      </c>
      <c r="D90" s="3" t="inlineStr">
        <is>
          <t>Participación completa en el cuaderno simulado</t>
        </is>
      </c>
      <c r="E90" s="6" t="n">
        <v>46323</v>
      </c>
      <c r="F90" s="3" t="inlineStr">
        <is>
          <t>Sesión 7, hoja 2_Participantes</t>
        </is>
      </c>
    </row>
    <row r="91">
      <c r="A91" s="3" t="inlineStr">
        <is>
          <t>GU-TDH-100</t>
        </is>
      </c>
      <c r="B91" s="3" t="inlineStr">
        <is>
          <t>GE</t>
        </is>
      </c>
      <c r="C91" s="3" t="n">
        <v>1</v>
      </c>
      <c r="D91" s="3" t="inlineStr">
        <is>
          <t>Participación completa en el cuaderno simulado</t>
        </is>
      </c>
      <c r="E91" s="6" t="n">
        <v>46324</v>
      </c>
      <c r="F91" s="3" t="inlineStr">
        <is>
          <t>Sesión 7, hoja 2_Participantes</t>
        </is>
      </c>
    </row>
    <row r="92">
      <c r="A92" s="3" t="inlineStr">
        <is>
          <t>GU-TDH-101</t>
        </is>
      </c>
      <c r="B92" s="3" t="inlineStr">
        <is>
          <t>GE</t>
        </is>
      </c>
      <c r="C92" s="3" t="n">
        <v>1</v>
      </c>
      <c r="D92" s="3" t="inlineStr">
        <is>
          <t>Participación completa en el cuaderno simulado</t>
        </is>
      </c>
      <c r="E92" s="6" t="n">
        <v>46324</v>
      </c>
      <c r="F92" s="3" t="inlineStr">
        <is>
          <t>Sesión 7, hoja 2_Participantes</t>
        </is>
      </c>
    </row>
    <row r="93">
      <c r="A93" s="3" t="inlineStr">
        <is>
          <t>GU-TDH-102</t>
        </is>
      </c>
      <c r="B93" s="3" t="inlineStr">
        <is>
          <t>GE</t>
        </is>
      </c>
      <c r="C93" s="3" t="n">
        <v>1</v>
      </c>
      <c r="D93" s="3" t="inlineStr">
        <is>
          <t>Participación completa en el cuaderno simulado</t>
        </is>
      </c>
      <c r="E93" s="6" t="n">
        <v>46324</v>
      </c>
      <c r="F93" s="3" t="inlineStr">
        <is>
          <t>Sesión 7, hoja 2_Participantes</t>
        </is>
      </c>
    </row>
    <row r="94">
      <c r="A94" s="3" t="inlineStr">
        <is>
          <t>GU-TDH-103</t>
        </is>
      </c>
      <c r="B94" s="3" t="inlineStr">
        <is>
          <t>GE</t>
        </is>
      </c>
      <c r="C94" s="3" t="n">
        <v>1</v>
      </c>
      <c r="D94" s="3" t="inlineStr">
        <is>
          <t>Participación completa en el cuaderno simulado</t>
        </is>
      </c>
      <c r="E94" s="6" t="n">
        <v>46326</v>
      </c>
      <c r="F94" s="3" t="inlineStr">
        <is>
          <t>Sesión 7, hoja 2_Participantes</t>
        </is>
      </c>
    </row>
    <row r="95">
      <c r="A95" s="3" t="inlineStr">
        <is>
          <t>GU-TDH-104</t>
        </is>
      </c>
      <c r="B95" s="3" t="inlineStr">
        <is>
          <t>GE</t>
        </is>
      </c>
      <c r="C95" s="3" t="n">
        <v>1</v>
      </c>
      <c r="D95" s="3" t="inlineStr">
        <is>
          <t>Participación completa en el cuaderno simulado</t>
        </is>
      </c>
      <c r="E95" s="6" t="n">
        <v>46326</v>
      </c>
      <c r="F95" s="3" t="inlineStr">
        <is>
          <t>Sesión 7, hoja 2_Participantes</t>
        </is>
      </c>
    </row>
    <row r="96">
      <c r="A96" s="3" t="inlineStr">
        <is>
          <t>GU-TDH-106</t>
        </is>
      </c>
      <c r="B96" s="3" t="inlineStr">
        <is>
          <t>GE</t>
        </is>
      </c>
      <c r="C96" s="3" t="n">
        <v>1</v>
      </c>
      <c r="D96" s="3" t="inlineStr">
        <is>
          <t>Participación completa en el cuaderno simulado</t>
        </is>
      </c>
      <c r="E96" s="6" t="n">
        <v>46324</v>
      </c>
      <c r="F96" s="3" t="inlineStr">
        <is>
          <t>Sesión 7, hoja 2_Participantes</t>
        </is>
      </c>
    </row>
    <row r="97">
      <c r="A97" s="3" t="inlineStr">
        <is>
          <t>GU-TDH-108</t>
        </is>
      </c>
      <c r="B97" s="3" t="inlineStr">
        <is>
          <t>GE</t>
        </is>
      </c>
      <c r="C97" s="3" t="n">
        <v>1</v>
      </c>
      <c r="D97" s="3" t="inlineStr">
        <is>
          <t>Participación completa en el cuaderno simulado</t>
        </is>
      </c>
      <c r="E97" s="6" t="n">
        <v>46326</v>
      </c>
      <c r="F97" s="3" t="inlineStr">
        <is>
          <t>Sesión 7, hoja 2_Participantes</t>
        </is>
      </c>
    </row>
    <row r="98">
      <c r="A98" s="3" t="inlineStr">
        <is>
          <t>GU-TDH-109</t>
        </is>
      </c>
      <c r="B98" s="3" t="inlineStr">
        <is>
          <t>GE</t>
        </is>
      </c>
      <c r="C98" s="3" t="n">
        <v>1</v>
      </c>
      <c r="D98" s="3" t="inlineStr">
        <is>
          <t>Participación completa en el cuaderno simulado</t>
        </is>
      </c>
      <c r="E98" s="6" t="n">
        <v>46324</v>
      </c>
      <c r="F98" s="3" t="inlineStr">
        <is>
          <t>Sesión 7, hoja 2_Participantes</t>
        </is>
      </c>
    </row>
    <row r="99">
      <c r="A99" s="3" t="inlineStr">
        <is>
          <t>GU-TDH-110</t>
        </is>
      </c>
      <c r="B99" s="3" t="inlineStr">
        <is>
          <t>GE</t>
        </is>
      </c>
      <c r="C99" s="3" t="n">
        <v>1</v>
      </c>
      <c r="D99" s="3" t="inlineStr">
        <is>
          <t>Participación completa en el cuaderno simulado</t>
        </is>
      </c>
      <c r="E99" s="6" t="n">
        <v>46326</v>
      </c>
      <c r="F99" s="3" t="inlineStr">
        <is>
          <t>Sesión 7, hoja 2_Participantes</t>
        </is>
      </c>
    </row>
    <row r="100">
      <c r="A100" s="3" t="inlineStr">
        <is>
          <t>GU-TDH-111</t>
        </is>
      </c>
      <c r="B100" s="3" t="inlineStr">
        <is>
          <t>GE</t>
        </is>
      </c>
      <c r="C100" s="3" t="n">
        <v>1</v>
      </c>
      <c r="D100" s="3" t="inlineStr">
        <is>
          <t>Participación completa en el cuaderno simulado</t>
        </is>
      </c>
      <c r="E100" s="6" t="n">
        <v>46326</v>
      </c>
      <c r="F100" s="3" t="inlineStr">
        <is>
          <t>Sesión 7, hoja 2_Participantes</t>
        </is>
      </c>
    </row>
    <row r="101">
      <c r="A101" s="3" t="inlineStr">
        <is>
          <t>GU-TDH-113</t>
        </is>
      </c>
      <c r="B101" s="3" t="inlineStr">
        <is>
          <t>GE</t>
        </is>
      </c>
      <c r="C101" s="3" t="n">
        <v>1</v>
      </c>
      <c r="D101" s="3" t="inlineStr">
        <is>
          <t>Participación completa en el cuaderno simulado</t>
        </is>
      </c>
      <c r="E101" s="6" t="n">
        <v>46321</v>
      </c>
      <c r="F101" s="3" t="inlineStr">
        <is>
          <t>Sesión 7, hoja 2_Participantes</t>
        </is>
      </c>
    </row>
    <row r="102">
      <c r="A102" s="3" t="inlineStr">
        <is>
          <t>GU-TDH-114</t>
        </is>
      </c>
      <c r="B102" s="3" t="inlineStr">
        <is>
          <t>GE</t>
        </is>
      </c>
      <c r="C102" s="3" t="n">
        <v>1</v>
      </c>
      <c r="D102" s="3" t="inlineStr">
        <is>
          <t>Participación completa en el cuaderno simulado</t>
        </is>
      </c>
      <c r="E102" s="6" t="n">
        <v>46326</v>
      </c>
      <c r="F102" s="3" t="inlineStr">
        <is>
          <t>Sesión 7, hoja 2_Participantes</t>
        </is>
      </c>
    </row>
    <row r="103">
      <c r="A103" s="3" t="inlineStr">
        <is>
          <t>GU-TDH-115</t>
        </is>
      </c>
      <c r="B103" s="3" t="inlineStr">
        <is>
          <t>GE</t>
        </is>
      </c>
      <c r="C103" s="3" t="n">
        <v>1</v>
      </c>
      <c r="D103" s="3" t="inlineStr">
        <is>
          <t>Participación completa en el cuaderno simulado</t>
        </is>
      </c>
      <c r="E103" s="6" t="n">
        <v>46325</v>
      </c>
      <c r="F103" s="3" t="inlineStr">
        <is>
          <t>Sesión 7, hoja 2_Participantes</t>
        </is>
      </c>
    </row>
    <row r="104">
      <c r="A104" s="3" t="inlineStr">
        <is>
          <t>GU-TDH-116</t>
        </is>
      </c>
      <c r="B104" s="3" t="inlineStr">
        <is>
          <t>GE</t>
        </is>
      </c>
      <c r="C104" s="3" t="n">
        <v>1</v>
      </c>
      <c r="D104" s="3" t="inlineStr">
        <is>
          <t>Participación completa en el cuaderno simulado</t>
        </is>
      </c>
      <c r="E104" s="6" t="n">
        <v>46321</v>
      </c>
      <c r="F104" s="3" t="inlineStr">
        <is>
          <t>Sesión 7, hoja 2_Participantes</t>
        </is>
      </c>
    </row>
    <row r="105">
      <c r="A105" s="3" t="inlineStr">
        <is>
          <t>GU-TDH-117</t>
        </is>
      </c>
      <c r="B105" s="3" t="inlineStr">
        <is>
          <t>GE</t>
        </is>
      </c>
      <c r="C105" s="3" t="n">
        <v>1</v>
      </c>
      <c r="D105" s="3" t="inlineStr">
        <is>
          <t>Participación completa en el cuaderno simulado</t>
        </is>
      </c>
      <c r="E105" s="6" t="n">
        <v>46323</v>
      </c>
      <c r="F105" s="3" t="inlineStr">
        <is>
          <t>Sesión 7, hoja 2_Participantes</t>
        </is>
      </c>
    </row>
    <row r="106">
      <c r="A106" s="3" t="inlineStr">
        <is>
          <t>GU-TDH-118</t>
        </is>
      </c>
      <c r="B106" s="3" t="inlineStr">
        <is>
          <t>GE</t>
        </is>
      </c>
      <c r="C106" s="3" t="n">
        <v>1</v>
      </c>
      <c r="D106" s="3" t="inlineStr">
        <is>
          <t>Participación completa en el cuaderno simulado</t>
        </is>
      </c>
      <c r="E106" s="6" t="n">
        <v>46322</v>
      </c>
      <c r="F106" s="3" t="inlineStr">
        <is>
          <t>Sesión 7, hoja 2_Participantes</t>
        </is>
      </c>
    </row>
    <row r="107">
      <c r="A107" s="3" t="inlineStr">
        <is>
          <t>GU-TDH-119</t>
        </is>
      </c>
      <c r="B107" s="3" t="inlineStr">
        <is>
          <t>GE</t>
        </is>
      </c>
      <c r="C107" s="3" t="n">
        <v>1</v>
      </c>
      <c r="D107" s="3" t="inlineStr">
        <is>
          <t>Participación completa en el cuaderno simulado</t>
        </is>
      </c>
      <c r="E107" s="6" t="n">
        <v>46323</v>
      </c>
      <c r="F107" s="3" t="inlineStr">
        <is>
          <t>Sesión 7, hoja 2_Participantes</t>
        </is>
      </c>
    </row>
    <row r="108">
      <c r="A108" s="3" t="inlineStr">
        <is>
          <t>GU-TDH-120</t>
        </is>
      </c>
      <c r="B108" s="3" t="inlineStr">
        <is>
          <t>GE</t>
        </is>
      </c>
      <c r="C108" s="3" t="n">
        <v>1</v>
      </c>
      <c r="D108" s="3" t="inlineStr">
        <is>
          <t>Participación completa en el cuaderno simulado</t>
        </is>
      </c>
      <c r="E108" s="6" t="n">
        <v>46325</v>
      </c>
      <c r="F108" s="3" t="inlineStr">
        <is>
          <t>Sesión 7, hoja 2_Participantes</t>
        </is>
      </c>
    </row>
    <row r="109">
      <c r="A109" s="3" t="inlineStr">
        <is>
          <t>GU-TDH-121</t>
        </is>
      </c>
      <c r="B109" s="3" t="inlineStr">
        <is>
          <t>GE</t>
        </is>
      </c>
      <c r="C109" s="3" t="n">
        <v>1</v>
      </c>
      <c r="D109" s="3" t="inlineStr">
        <is>
          <t>Participación completa en el cuaderno simulado</t>
        </is>
      </c>
      <c r="E109" s="6" t="n">
        <v>46324</v>
      </c>
      <c r="F109" s="3" t="inlineStr">
        <is>
          <t>Sesión 7, hoja 2_Participantes</t>
        </is>
      </c>
    </row>
    <row r="110">
      <c r="A110" s="3" t="inlineStr">
        <is>
          <t>GU-TDH-122</t>
        </is>
      </c>
      <c r="B110" s="3" t="inlineStr">
        <is>
          <t>GE</t>
        </is>
      </c>
      <c r="C110" s="3" t="n">
        <v>1</v>
      </c>
      <c r="D110" s="3" t="inlineStr">
        <is>
          <t>Participación completa en el cuaderno simulado</t>
        </is>
      </c>
      <c r="E110" s="6" t="n">
        <v>46322</v>
      </c>
      <c r="F110" s="3" t="inlineStr">
        <is>
          <t>Sesión 7, hoja 2_Participantes</t>
        </is>
      </c>
    </row>
    <row r="111">
      <c r="A111" s="3" t="inlineStr">
        <is>
          <t>GU-TDH-124</t>
        </is>
      </c>
      <c r="B111" s="3" t="inlineStr">
        <is>
          <t>GE</t>
        </is>
      </c>
      <c r="C111" s="3" t="n">
        <v>1</v>
      </c>
      <c r="D111" s="3" t="inlineStr">
        <is>
          <t>Participación completa en el cuaderno simulado</t>
        </is>
      </c>
      <c r="E111" s="6" t="n">
        <v>46324</v>
      </c>
      <c r="F111" s="3" t="inlineStr">
        <is>
          <t>Sesión 7, hoja 2_Participantes</t>
        </is>
      </c>
    </row>
    <row r="112">
      <c r="A112" s="3" t="inlineStr">
        <is>
          <t>GU-TDH-125</t>
        </is>
      </c>
      <c r="B112" s="3" t="inlineStr">
        <is>
          <t>GE</t>
        </is>
      </c>
      <c r="C112" s="3" t="n">
        <v>1</v>
      </c>
      <c r="D112" s="3" t="inlineStr">
        <is>
          <t>Participación completa en el cuaderno simulado</t>
        </is>
      </c>
      <c r="E112" s="6" t="n">
        <v>46323</v>
      </c>
      <c r="F112" s="3" t="inlineStr">
        <is>
          <t>Sesión 7, hoja 2_Participantes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CONCILIACIÓN POR ID</t>
        </is>
      </c>
    </row>
    <row r="2">
      <c r="A2" t="inlineStr">
        <is>
          <t>Un ID sin postest solo es válido si está en los tres retiros.</t>
        </is>
      </c>
    </row>
    <row r="4">
      <c r="A4" s="2" t="inlineStr">
        <is>
          <t>ID</t>
        </is>
      </c>
      <c r="B4" s="2" t="inlineStr">
        <is>
          <t>EN_PRE</t>
        </is>
      </c>
      <c r="C4" s="2" t="inlineStr">
        <is>
          <t>EN_POST</t>
        </is>
      </c>
      <c r="D4" s="2" t="inlineStr">
        <is>
          <t>ESTADO_MORTALIDAD</t>
        </is>
      </c>
      <c r="E4" s="2" t="inlineStr">
        <is>
          <t>CORRESPONDENCIA</t>
        </is>
      </c>
    </row>
    <row r="5">
      <c r="A5" s="5">
        <f>3_Mortalidad!A5</f>
        <v/>
      </c>
      <c r="B5" s="5">
        <f>COUNTIF(2a_PRE_TRABAJO!$A$5:$A$112,A5)</f>
        <v/>
      </c>
      <c r="C5" s="5">
        <f>COUNTIF(2b_POST_TRABAJO!$A$5:$A$109,A5)</f>
        <v/>
      </c>
      <c r="D5" s="5">
        <f>3_Mortalidad!C5</f>
        <v/>
      </c>
      <c r="E5" s="5">
        <f>IF(AND(B5=1,C5=1,D5=1),"PAR",IF(AND(B5=1,C5=0,D5=0),"RETIRO SIN POSTEST","REVISAR"))</f>
        <v/>
      </c>
    </row>
    <row r="6">
      <c r="A6" s="5">
        <f>3_Mortalidad!A6</f>
        <v/>
      </c>
      <c r="B6" s="5">
        <f>COUNTIF(2a_PRE_TRABAJO!$A$5:$A$112,A6)</f>
        <v/>
      </c>
      <c r="C6" s="5">
        <f>COUNTIF(2b_POST_TRABAJO!$A$5:$A$109,A6)</f>
        <v/>
      </c>
      <c r="D6" s="5">
        <f>3_Mortalidad!C6</f>
        <v/>
      </c>
      <c r="E6" s="5">
        <f>IF(AND(B6=1,C6=1,D6=1),"PAR",IF(AND(B6=1,C6=0,D6=0),"RETIRO SIN POSTEST","REVISAR"))</f>
        <v/>
      </c>
    </row>
    <row r="7">
      <c r="A7" s="5">
        <f>3_Mortalidad!A7</f>
        <v/>
      </c>
      <c r="B7" s="5">
        <f>COUNTIF(2a_PRE_TRABAJO!$A$5:$A$112,A7)</f>
        <v/>
      </c>
      <c r="C7" s="5">
        <f>COUNTIF(2b_POST_TRABAJO!$A$5:$A$109,A7)</f>
        <v/>
      </c>
      <c r="D7" s="5">
        <f>3_Mortalidad!C7</f>
        <v/>
      </c>
      <c r="E7" s="5">
        <f>IF(AND(B7=1,C7=1,D7=1),"PAR",IF(AND(B7=1,C7=0,D7=0),"RETIRO SIN POSTEST","REVISAR"))</f>
        <v/>
      </c>
    </row>
    <row r="8">
      <c r="A8" s="5">
        <f>3_Mortalidad!A8</f>
        <v/>
      </c>
      <c r="B8" s="5">
        <f>COUNTIF(2a_PRE_TRABAJO!$A$5:$A$112,A8)</f>
        <v/>
      </c>
      <c r="C8" s="5">
        <f>COUNTIF(2b_POST_TRABAJO!$A$5:$A$109,A8)</f>
        <v/>
      </c>
      <c r="D8" s="5">
        <f>3_Mortalidad!C8</f>
        <v/>
      </c>
      <c r="E8" s="5">
        <f>IF(AND(B8=1,C8=1,D8=1),"PAR",IF(AND(B8=1,C8=0,D8=0),"RETIRO SIN POSTEST","REVISAR"))</f>
        <v/>
      </c>
    </row>
    <row r="9">
      <c r="A9" s="5">
        <f>3_Mortalidad!A9</f>
        <v/>
      </c>
      <c r="B9" s="5">
        <f>COUNTIF(2a_PRE_TRABAJO!$A$5:$A$112,A9)</f>
        <v/>
      </c>
      <c r="C9" s="5">
        <f>COUNTIF(2b_POST_TRABAJO!$A$5:$A$109,A9)</f>
        <v/>
      </c>
      <c r="D9" s="5">
        <f>3_Mortalidad!C9</f>
        <v/>
      </c>
      <c r="E9" s="5">
        <f>IF(AND(B9=1,C9=1,D9=1),"PAR",IF(AND(B9=1,C9=0,D9=0),"RETIRO SIN POSTEST","REVISAR"))</f>
        <v/>
      </c>
    </row>
    <row r="10">
      <c r="A10" s="5">
        <f>3_Mortalidad!A10</f>
        <v/>
      </c>
      <c r="B10" s="5">
        <f>COUNTIF(2a_PRE_TRABAJO!$A$5:$A$112,A10)</f>
        <v/>
      </c>
      <c r="C10" s="5">
        <f>COUNTIF(2b_POST_TRABAJO!$A$5:$A$109,A10)</f>
        <v/>
      </c>
      <c r="D10" s="5">
        <f>3_Mortalidad!C10</f>
        <v/>
      </c>
      <c r="E10" s="5">
        <f>IF(AND(B10=1,C10=1,D10=1),"PAR",IF(AND(B10=1,C10=0,D10=0),"RETIRO SIN POSTEST","REVISAR"))</f>
        <v/>
      </c>
    </row>
    <row r="11">
      <c r="A11" s="5">
        <f>3_Mortalidad!A11</f>
        <v/>
      </c>
      <c r="B11" s="5">
        <f>COUNTIF(2a_PRE_TRABAJO!$A$5:$A$112,A11)</f>
        <v/>
      </c>
      <c r="C11" s="5">
        <f>COUNTIF(2b_POST_TRABAJO!$A$5:$A$109,A11)</f>
        <v/>
      </c>
      <c r="D11" s="5">
        <f>3_Mortalidad!C11</f>
        <v/>
      </c>
      <c r="E11" s="5">
        <f>IF(AND(B11=1,C11=1,D11=1),"PAR",IF(AND(B11=1,C11=0,D11=0),"RETIRO SIN POSTEST","REVISAR"))</f>
        <v/>
      </c>
    </row>
    <row r="12">
      <c r="A12" s="5">
        <f>3_Mortalidad!A12</f>
        <v/>
      </c>
      <c r="B12" s="5">
        <f>COUNTIF(2a_PRE_TRABAJO!$A$5:$A$112,A12)</f>
        <v/>
      </c>
      <c r="C12" s="5">
        <f>COUNTIF(2b_POST_TRABAJO!$A$5:$A$109,A12)</f>
        <v/>
      </c>
      <c r="D12" s="5">
        <f>3_Mortalidad!C12</f>
        <v/>
      </c>
      <c r="E12" s="5">
        <f>IF(AND(B12=1,C12=1,D12=1),"PAR",IF(AND(B12=1,C12=0,D12=0),"RETIRO SIN POSTEST","REVISAR"))</f>
        <v/>
      </c>
    </row>
    <row r="13">
      <c r="A13" s="5">
        <f>3_Mortalidad!A13</f>
        <v/>
      </c>
      <c r="B13" s="5">
        <f>COUNTIF(2a_PRE_TRABAJO!$A$5:$A$112,A13)</f>
        <v/>
      </c>
      <c r="C13" s="5">
        <f>COUNTIF(2b_POST_TRABAJO!$A$5:$A$109,A13)</f>
        <v/>
      </c>
      <c r="D13" s="5">
        <f>3_Mortalidad!C13</f>
        <v/>
      </c>
      <c r="E13" s="5">
        <f>IF(AND(B13=1,C13=1,D13=1),"PAR",IF(AND(B13=1,C13=0,D13=0),"RETIRO SIN POSTEST","REVISAR"))</f>
        <v/>
      </c>
    </row>
    <row r="14">
      <c r="A14" s="5">
        <f>3_Mortalidad!A14</f>
        <v/>
      </c>
      <c r="B14" s="5">
        <f>COUNTIF(2a_PRE_TRABAJO!$A$5:$A$112,A14)</f>
        <v/>
      </c>
      <c r="C14" s="5">
        <f>COUNTIF(2b_POST_TRABAJO!$A$5:$A$109,A14)</f>
        <v/>
      </c>
      <c r="D14" s="5">
        <f>3_Mortalidad!C14</f>
        <v/>
      </c>
      <c r="E14" s="5">
        <f>IF(AND(B14=1,C14=1,D14=1),"PAR",IF(AND(B14=1,C14=0,D14=0),"RETIRO SIN POSTEST","REVISAR"))</f>
        <v/>
      </c>
    </row>
    <row r="15">
      <c r="A15" s="5">
        <f>3_Mortalidad!A15</f>
        <v/>
      </c>
      <c r="B15" s="5">
        <f>COUNTIF(2a_PRE_TRABAJO!$A$5:$A$112,A15)</f>
        <v/>
      </c>
      <c r="C15" s="5">
        <f>COUNTIF(2b_POST_TRABAJO!$A$5:$A$109,A15)</f>
        <v/>
      </c>
      <c r="D15" s="5">
        <f>3_Mortalidad!C15</f>
        <v/>
      </c>
      <c r="E15" s="5">
        <f>IF(AND(B15=1,C15=1,D15=1),"PAR",IF(AND(B15=1,C15=0,D15=0),"RETIRO SIN POSTEST","REVISAR"))</f>
        <v/>
      </c>
    </row>
    <row r="16">
      <c r="A16" s="5">
        <f>3_Mortalidad!A16</f>
        <v/>
      </c>
      <c r="B16" s="5">
        <f>COUNTIF(2a_PRE_TRABAJO!$A$5:$A$112,A16)</f>
        <v/>
      </c>
      <c r="C16" s="5">
        <f>COUNTIF(2b_POST_TRABAJO!$A$5:$A$109,A16)</f>
        <v/>
      </c>
      <c r="D16" s="5">
        <f>3_Mortalidad!C16</f>
        <v/>
      </c>
      <c r="E16" s="5">
        <f>IF(AND(B16=1,C16=1,D16=1),"PAR",IF(AND(B16=1,C16=0,D16=0),"RETIRO SIN POSTEST","REVISAR"))</f>
        <v/>
      </c>
    </row>
    <row r="17">
      <c r="A17" s="5">
        <f>3_Mortalidad!A17</f>
        <v/>
      </c>
      <c r="B17" s="5">
        <f>COUNTIF(2a_PRE_TRABAJO!$A$5:$A$112,A17)</f>
        <v/>
      </c>
      <c r="C17" s="5">
        <f>COUNTIF(2b_POST_TRABAJO!$A$5:$A$109,A17)</f>
        <v/>
      </c>
      <c r="D17" s="5">
        <f>3_Mortalidad!C17</f>
        <v/>
      </c>
      <c r="E17" s="5">
        <f>IF(AND(B17=1,C17=1,D17=1),"PAR",IF(AND(B17=1,C17=0,D17=0),"RETIRO SIN POSTEST","REVISAR"))</f>
        <v/>
      </c>
    </row>
    <row r="18">
      <c r="A18" s="5">
        <f>3_Mortalidad!A18</f>
        <v/>
      </c>
      <c r="B18" s="5">
        <f>COUNTIF(2a_PRE_TRABAJO!$A$5:$A$112,A18)</f>
        <v/>
      </c>
      <c r="C18" s="5">
        <f>COUNTIF(2b_POST_TRABAJO!$A$5:$A$109,A18)</f>
        <v/>
      </c>
      <c r="D18" s="5">
        <f>3_Mortalidad!C18</f>
        <v/>
      </c>
      <c r="E18" s="5">
        <f>IF(AND(B18=1,C18=1,D18=1),"PAR",IF(AND(B18=1,C18=0,D18=0),"RETIRO SIN POSTEST","REVISAR"))</f>
        <v/>
      </c>
    </row>
    <row r="19">
      <c r="A19" s="5">
        <f>3_Mortalidad!A19</f>
        <v/>
      </c>
      <c r="B19" s="5">
        <f>COUNTIF(2a_PRE_TRABAJO!$A$5:$A$112,A19)</f>
        <v/>
      </c>
      <c r="C19" s="5">
        <f>COUNTIF(2b_POST_TRABAJO!$A$5:$A$109,A19)</f>
        <v/>
      </c>
      <c r="D19" s="5">
        <f>3_Mortalidad!C19</f>
        <v/>
      </c>
      <c r="E19" s="5">
        <f>IF(AND(B19=1,C19=1,D19=1),"PAR",IF(AND(B19=1,C19=0,D19=0),"RETIRO SIN POSTEST","REVISAR"))</f>
        <v/>
      </c>
    </row>
    <row r="20">
      <c r="A20" s="5">
        <f>3_Mortalidad!A20</f>
        <v/>
      </c>
      <c r="B20" s="5">
        <f>COUNTIF(2a_PRE_TRABAJO!$A$5:$A$112,A20)</f>
        <v/>
      </c>
      <c r="C20" s="5">
        <f>COUNTIF(2b_POST_TRABAJO!$A$5:$A$109,A20)</f>
        <v/>
      </c>
      <c r="D20" s="5">
        <f>3_Mortalidad!C20</f>
        <v/>
      </c>
      <c r="E20" s="5">
        <f>IF(AND(B20=1,C20=1,D20=1),"PAR",IF(AND(B20=1,C20=0,D20=0),"RETIRO SIN POSTEST","REVISAR"))</f>
        <v/>
      </c>
    </row>
    <row r="21">
      <c r="A21" s="5">
        <f>3_Mortalidad!A21</f>
        <v/>
      </c>
      <c r="B21" s="5">
        <f>COUNTIF(2a_PRE_TRABAJO!$A$5:$A$112,A21)</f>
        <v/>
      </c>
      <c r="C21" s="5">
        <f>COUNTIF(2b_POST_TRABAJO!$A$5:$A$109,A21)</f>
        <v/>
      </c>
      <c r="D21" s="5">
        <f>3_Mortalidad!C21</f>
        <v/>
      </c>
      <c r="E21" s="5">
        <f>IF(AND(B21=1,C21=1,D21=1),"PAR",IF(AND(B21=1,C21=0,D21=0),"RETIRO SIN POSTEST","REVISAR"))</f>
        <v/>
      </c>
    </row>
    <row r="22">
      <c r="A22" s="5">
        <f>3_Mortalidad!A22</f>
        <v/>
      </c>
      <c r="B22" s="5">
        <f>COUNTIF(2a_PRE_TRABAJO!$A$5:$A$112,A22)</f>
        <v/>
      </c>
      <c r="C22" s="5">
        <f>COUNTIF(2b_POST_TRABAJO!$A$5:$A$109,A22)</f>
        <v/>
      </c>
      <c r="D22" s="5">
        <f>3_Mortalidad!C22</f>
        <v/>
      </c>
      <c r="E22" s="5">
        <f>IF(AND(B22=1,C22=1,D22=1),"PAR",IF(AND(B22=1,C22=0,D22=0),"RETIRO SIN POSTEST","REVISAR"))</f>
        <v/>
      </c>
    </row>
    <row r="23">
      <c r="A23" s="5">
        <f>3_Mortalidad!A23</f>
        <v/>
      </c>
      <c r="B23" s="5">
        <f>COUNTIF(2a_PRE_TRABAJO!$A$5:$A$112,A23)</f>
        <v/>
      </c>
      <c r="C23" s="5">
        <f>COUNTIF(2b_POST_TRABAJO!$A$5:$A$109,A23)</f>
        <v/>
      </c>
      <c r="D23" s="5">
        <f>3_Mortalidad!C23</f>
        <v/>
      </c>
      <c r="E23" s="5">
        <f>IF(AND(B23=1,C23=1,D23=1),"PAR",IF(AND(B23=1,C23=0,D23=0),"RETIRO SIN POSTEST","REVISAR"))</f>
        <v/>
      </c>
    </row>
    <row r="24">
      <c r="A24" s="5">
        <f>3_Mortalidad!A24</f>
        <v/>
      </c>
      <c r="B24" s="5">
        <f>COUNTIF(2a_PRE_TRABAJO!$A$5:$A$112,A24)</f>
        <v/>
      </c>
      <c r="C24" s="5">
        <f>COUNTIF(2b_POST_TRABAJO!$A$5:$A$109,A24)</f>
        <v/>
      </c>
      <c r="D24" s="5">
        <f>3_Mortalidad!C24</f>
        <v/>
      </c>
      <c r="E24" s="5">
        <f>IF(AND(B24=1,C24=1,D24=1),"PAR",IF(AND(B24=1,C24=0,D24=0),"RETIRO SIN POSTEST","REVISAR"))</f>
        <v/>
      </c>
    </row>
    <row r="25">
      <c r="A25" s="5">
        <f>3_Mortalidad!A25</f>
        <v/>
      </c>
      <c r="B25" s="5">
        <f>COUNTIF(2a_PRE_TRABAJO!$A$5:$A$112,A25)</f>
        <v/>
      </c>
      <c r="C25" s="5">
        <f>COUNTIF(2b_POST_TRABAJO!$A$5:$A$109,A25)</f>
        <v/>
      </c>
      <c r="D25" s="5">
        <f>3_Mortalidad!C25</f>
        <v/>
      </c>
      <c r="E25" s="5">
        <f>IF(AND(B25=1,C25=1,D25=1),"PAR",IF(AND(B25=1,C25=0,D25=0),"RETIRO SIN POSTEST","REVISAR"))</f>
        <v/>
      </c>
    </row>
    <row r="26">
      <c r="A26" s="5">
        <f>3_Mortalidad!A26</f>
        <v/>
      </c>
      <c r="B26" s="5">
        <f>COUNTIF(2a_PRE_TRABAJO!$A$5:$A$112,A26)</f>
        <v/>
      </c>
      <c r="C26" s="5">
        <f>COUNTIF(2b_POST_TRABAJO!$A$5:$A$109,A26)</f>
        <v/>
      </c>
      <c r="D26" s="5">
        <f>3_Mortalidad!C26</f>
        <v/>
      </c>
      <c r="E26" s="5">
        <f>IF(AND(B26=1,C26=1,D26=1),"PAR",IF(AND(B26=1,C26=0,D26=0),"RETIRO SIN POSTEST","REVISAR"))</f>
        <v/>
      </c>
    </row>
    <row r="27">
      <c r="A27" s="5">
        <f>3_Mortalidad!A27</f>
        <v/>
      </c>
      <c r="B27" s="5">
        <f>COUNTIF(2a_PRE_TRABAJO!$A$5:$A$112,A27)</f>
        <v/>
      </c>
      <c r="C27" s="5">
        <f>COUNTIF(2b_POST_TRABAJO!$A$5:$A$109,A27)</f>
        <v/>
      </c>
      <c r="D27" s="5">
        <f>3_Mortalidad!C27</f>
        <v/>
      </c>
      <c r="E27" s="5">
        <f>IF(AND(B27=1,C27=1,D27=1),"PAR",IF(AND(B27=1,C27=0,D27=0),"RETIRO SIN POSTEST","REVISAR"))</f>
        <v/>
      </c>
    </row>
    <row r="28">
      <c r="A28" s="5">
        <f>3_Mortalidad!A28</f>
        <v/>
      </c>
      <c r="B28" s="5">
        <f>COUNTIF(2a_PRE_TRABAJO!$A$5:$A$112,A28)</f>
        <v/>
      </c>
      <c r="C28" s="5">
        <f>COUNTIF(2b_POST_TRABAJO!$A$5:$A$109,A28)</f>
        <v/>
      </c>
      <c r="D28" s="5">
        <f>3_Mortalidad!C28</f>
        <v/>
      </c>
      <c r="E28" s="5">
        <f>IF(AND(B28=1,C28=1,D28=1),"PAR",IF(AND(B28=1,C28=0,D28=0),"RETIRO SIN POSTEST","REVISAR"))</f>
        <v/>
      </c>
    </row>
    <row r="29">
      <c r="A29" s="5">
        <f>3_Mortalidad!A29</f>
        <v/>
      </c>
      <c r="B29" s="5">
        <f>COUNTIF(2a_PRE_TRABAJO!$A$5:$A$112,A29)</f>
        <v/>
      </c>
      <c r="C29" s="5">
        <f>COUNTIF(2b_POST_TRABAJO!$A$5:$A$109,A29)</f>
        <v/>
      </c>
      <c r="D29" s="5">
        <f>3_Mortalidad!C29</f>
        <v/>
      </c>
      <c r="E29" s="5">
        <f>IF(AND(B29=1,C29=1,D29=1),"PAR",IF(AND(B29=1,C29=0,D29=0),"RETIRO SIN POSTEST","REVISAR"))</f>
        <v/>
      </c>
    </row>
    <row r="30">
      <c r="A30" s="5">
        <f>3_Mortalidad!A30</f>
        <v/>
      </c>
      <c r="B30" s="5">
        <f>COUNTIF(2a_PRE_TRABAJO!$A$5:$A$112,A30)</f>
        <v/>
      </c>
      <c r="C30" s="5">
        <f>COUNTIF(2b_POST_TRABAJO!$A$5:$A$109,A30)</f>
        <v/>
      </c>
      <c r="D30" s="5">
        <f>3_Mortalidad!C30</f>
        <v/>
      </c>
      <c r="E30" s="5">
        <f>IF(AND(B30=1,C30=1,D30=1),"PAR",IF(AND(B30=1,C30=0,D30=0),"RETIRO SIN POSTEST","REVISAR"))</f>
        <v/>
      </c>
    </row>
    <row r="31">
      <c r="A31" s="5">
        <f>3_Mortalidad!A31</f>
        <v/>
      </c>
      <c r="B31" s="5">
        <f>COUNTIF(2a_PRE_TRABAJO!$A$5:$A$112,A31)</f>
        <v/>
      </c>
      <c r="C31" s="5">
        <f>COUNTIF(2b_POST_TRABAJO!$A$5:$A$109,A31)</f>
        <v/>
      </c>
      <c r="D31" s="5">
        <f>3_Mortalidad!C31</f>
        <v/>
      </c>
      <c r="E31" s="5">
        <f>IF(AND(B31=1,C31=1,D31=1),"PAR",IF(AND(B31=1,C31=0,D31=0),"RETIRO SIN POSTEST","REVISAR"))</f>
        <v/>
      </c>
    </row>
    <row r="32">
      <c r="A32" s="5">
        <f>3_Mortalidad!A32</f>
        <v/>
      </c>
      <c r="B32" s="5">
        <f>COUNTIF(2a_PRE_TRABAJO!$A$5:$A$112,A32)</f>
        <v/>
      </c>
      <c r="C32" s="5">
        <f>COUNTIF(2b_POST_TRABAJO!$A$5:$A$109,A32)</f>
        <v/>
      </c>
      <c r="D32" s="5">
        <f>3_Mortalidad!C32</f>
        <v/>
      </c>
      <c r="E32" s="5">
        <f>IF(AND(B32=1,C32=1,D32=1),"PAR",IF(AND(B32=1,C32=0,D32=0),"RETIRO SIN POSTEST","REVISAR"))</f>
        <v/>
      </c>
    </row>
    <row r="33">
      <c r="A33" s="5">
        <f>3_Mortalidad!A33</f>
        <v/>
      </c>
      <c r="B33" s="5">
        <f>COUNTIF(2a_PRE_TRABAJO!$A$5:$A$112,A33)</f>
        <v/>
      </c>
      <c r="C33" s="5">
        <f>COUNTIF(2b_POST_TRABAJO!$A$5:$A$109,A33)</f>
        <v/>
      </c>
      <c r="D33" s="5">
        <f>3_Mortalidad!C33</f>
        <v/>
      </c>
      <c r="E33" s="5">
        <f>IF(AND(B33=1,C33=1,D33=1),"PAR",IF(AND(B33=1,C33=0,D33=0),"RETIRO SIN POSTEST","REVISAR"))</f>
        <v/>
      </c>
    </row>
    <row r="34">
      <c r="A34" s="5">
        <f>3_Mortalidad!A34</f>
        <v/>
      </c>
      <c r="B34" s="5">
        <f>COUNTIF(2a_PRE_TRABAJO!$A$5:$A$112,A34)</f>
        <v/>
      </c>
      <c r="C34" s="5">
        <f>COUNTIF(2b_POST_TRABAJO!$A$5:$A$109,A34)</f>
        <v/>
      </c>
      <c r="D34" s="5">
        <f>3_Mortalidad!C34</f>
        <v/>
      </c>
      <c r="E34" s="5">
        <f>IF(AND(B34=1,C34=1,D34=1),"PAR",IF(AND(B34=1,C34=0,D34=0),"RETIRO SIN POSTEST","REVISAR"))</f>
        <v/>
      </c>
    </row>
    <row r="35">
      <c r="A35" s="5">
        <f>3_Mortalidad!A35</f>
        <v/>
      </c>
      <c r="B35" s="5">
        <f>COUNTIF(2a_PRE_TRABAJO!$A$5:$A$112,A35)</f>
        <v/>
      </c>
      <c r="C35" s="5">
        <f>COUNTIF(2b_POST_TRABAJO!$A$5:$A$109,A35)</f>
        <v/>
      </c>
      <c r="D35" s="5">
        <f>3_Mortalidad!C35</f>
        <v/>
      </c>
      <c r="E35" s="5">
        <f>IF(AND(B35=1,C35=1,D35=1),"PAR",IF(AND(B35=1,C35=0,D35=0),"RETIRO SIN POSTEST","REVISAR"))</f>
        <v/>
      </c>
    </row>
    <row r="36">
      <c r="A36" s="5">
        <f>3_Mortalidad!A36</f>
        <v/>
      </c>
      <c r="B36" s="5">
        <f>COUNTIF(2a_PRE_TRABAJO!$A$5:$A$112,A36)</f>
        <v/>
      </c>
      <c r="C36" s="5">
        <f>COUNTIF(2b_POST_TRABAJO!$A$5:$A$109,A36)</f>
        <v/>
      </c>
      <c r="D36" s="5">
        <f>3_Mortalidad!C36</f>
        <v/>
      </c>
      <c r="E36" s="5">
        <f>IF(AND(B36=1,C36=1,D36=1),"PAR",IF(AND(B36=1,C36=0,D36=0),"RETIRO SIN POSTEST","REVISAR"))</f>
        <v/>
      </c>
    </row>
    <row r="37">
      <c r="A37" s="5">
        <f>3_Mortalidad!A37</f>
        <v/>
      </c>
      <c r="B37" s="5">
        <f>COUNTIF(2a_PRE_TRABAJO!$A$5:$A$112,A37)</f>
        <v/>
      </c>
      <c r="C37" s="5">
        <f>COUNTIF(2b_POST_TRABAJO!$A$5:$A$109,A37)</f>
        <v/>
      </c>
      <c r="D37" s="5">
        <f>3_Mortalidad!C37</f>
        <v/>
      </c>
      <c r="E37" s="5">
        <f>IF(AND(B37=1,C37=1,D37=1),"PAR",IF(AND(B37=1,C37=0,D37=0),"RETIRO SIN POSTEST","REVISAR"))</f>
        <v/>
      </c>
    </row>
    <row r="38">
      <c r="A38" s="5">
        <f>3_Mortalidad!A38</f>
        <v/>
      </c>
      <c r="B38" s="5">
        <f>COUNTIF(2a_PRE_TRABAJO!$A$5:$A$112,A38)</f>
        <v/>
      </c>
      <c r="C38" s="5">
        <f>COUNTIF(2b_POST_TRABAJO!$A$5:$A$109,A38)</f>
        <v/>
      </c>
      <c r="D38" s="5">
        <f>3_Mortalidad!C38</f>
        <v/>
      </c>
      <c r="E38" s="5">
        <f>IF(AND(B38=1,C38=1,D38=1),"PAR",IF(AND(B38=1,C38=0,D38=0),"RETIRO SIN POSTEST","REVISAR"))</f>
        <v/>
      </c>
    </row>
    <row r="39">
      <c r="A39" s="5">
        <f>3_Mortalidad!A39</f>
        <v/>
      </c>
      <c r="B39" s="5">
        <f>COUNTIF(2a_PRE_TRABAJO!$A$5:$A$112,A39)</f>
        <v/>
      </c>
      <c r="C39" s="5">
        <f>COUNTIF(2b_POST_TRABAJO!$A$5:$A$109,A39)</f>
        <v/>
      </c>
      <c r="D39" s="5">
        <f>3_Mortalidad!C39</f>
        <v/>
      </c>
      <c r="E39" s="5">
        <f>IF(AND(B39=1,C39=1,D39=1),"PAR",IF(AND(B39=1,C39=0,D39=0),"RETIRO SIN POSTEST","REVISAR"))</f>
        <v/>
      </c>
    </row>
    <row r="40">
      <c r="A40" s="5">
        <f>3_Mortalidad!A40</f>
        <v/>
      </c>
      <c r="B40" s="5">
        <f>COUNTIF(2a_PRE_TRABAJO!$A$5:$A$112,A40)</f>
        <v/>
      </c>
      <c r="C40" s="5">
        <f>COUNTIF(2b_POST_TRABAJO!$A$5:$A$109,A40)</f>
        <v/>
      </c>
      <c r="D40" s="5">
        <f>3_Mortalidad!C40</f>
        <v/>
      </c>
      <c r="E40" s="5">
        <f>IF(AND(B40=1,C40=1,D40=1),"PAR",IF(AND(B40=1,C40=0,D40=0),"RETIRO SIN POSTEST","REVISAR"))</f>
        <v/>
      </c>
    </row>
    <row r="41">
      <c r="A41" s="5">
        <f>3_Mortalidad!A41</f>
        <v/>
      </c>
      <c r="B41" s="5">
        <f>COUNTIF(2a_PRE_TRABAJO!$A$5:$A$112,A41)</f>
        <v/>
      </c>
      <c r="C41" s="5">
        <f>COUNTIF(2b_POST_TRABAJO!$A$5:$A$109,A41)</f>
        <v/>
      </c>
      <c r="D41" s="5">
        <f>3_Mortalidad!C41</f>
        <v/>
      </c>
      <c r="E41" s="5">
        <f>IF(AND(B41=1,C41=1,D41=1),"PAR",IF(AND(B41=1,C41=0,D41=0),"RETIRO SIN POSTEST","REVISAR"))</f>
        <v/>
      </c>
    </row>
    <row r="42">
      <c r="A42" s="5">
        <f>3_Mortalidad!A42</f>
        <v/>
      </c>
      <c r="B42" s="5">
        <f>COUNTIF(2a_PRE_TRABAJO!$A$5:$A$112,A42)</f>
        <v/>
      </c>
      <c r="C42" s="5">
        <f>COUNTIF(2b_POST_TRABAJO!$A$5:$A$109,A42)</f>
        <v/>
      </c>
      <c r="D42" s="5">
        <f>3_Mortalidad!C42</f>
        <v/>
      </c>
      <c r="E42" s="5">
        <f>IF(AND(B42=1,C42=1,D42=1),"PAR",IF(AND(B42=1,C42=0,D42=0),"RETIRO SIN POSTEST","REVISAR"))</f>
        <v/>
      </c>
    </row>
    <row r="43">
      <c r="A43" s="5">
        <f>3_Mortalidad!A43</f>
        <v/>
      </c>
      <c r="B43" s="5">
        <f>COUNTIF(2a_PRE_TRABAJO!$A$5:$A$112,A43)</f>
        <v/>
      </c>
      <c r="C43" s="5">
        <f>COUNTIF(2b_POST_TRABAJO!$A$5:$A$109,A43)</f>
        <v/>
      </c>
      <c r="D43" s="5">
        <f>3_Mortalidad!C43</f>
        <v/>
      </c>
      <c r="E43" s="5">
        <f>IF(AND(B43=1,C43=1,D43=1),"PAR",IF(AND(B43=1,C43=0,D43=0),"RETIRO SIN POSTEST","REVISAR"))</f>
        <v/>
      </c>
    </row>
    <row r="44">
      <c r="A44" s="5">
        <f>3_Mortalidad!A44</f>
        <v/>
      </c>
      <c r="B44" s="5">
        <f>COUNTIF(2a_PRE_TRABAJO!$A$5:$A$112,A44)</f>
        <v/>
      </c>
      <c r="C44" s="5">
        <f>COUNTIF(2b_POST_TRABAJO!$A$5:$A$109,A44)</f>
        <v/>
      </c>
      <c r="D44" s="5">
        <f>3_Mortalidad!C44</f>
        <v/>
      </c>
      <c r="E44" s="5">
        <f>IF(AND(B44=1,C44=1,D44=1),"PAR",IF(AND(B44=1,C44=0,D44=0),"RETIRO SIN POSTEST","REVISAR"))</f>
        <v/>
      </c>
    </row>
    <row r="45">
      <c r="A45" s="5">
        <f>3_Mortalidad!A45</f>
        <v/>
      </c>
      <c r="B45" s="5">
        <f>COUNTIF(2a_PRE_TRABAJO!$A$5:$A$112,A45)</f>
        <v/>
      </c>
      <c r="C45" s="5">
        <f>COUNTIF(2b_POST_TRABAJO!$A$5:$A$109,A45)</f>
        <v/>
      </c>
      <c r="D45" s="5">
        <f>3_Mortalidad!C45</f>
        <v/>
      </c>
      <c r="E45" s="5">
        <f>IF(AND(B45=1,C45=1,D45=1),"PAR",IF(AND(B45=1,C45=0,D45=0),"RETIRO SIN POSTEST","REVISAR"))</f>
        <v/>
      </c>
    </row>
    <row r="46">
      <c r="A46" s="5">
        <f>3_Mortalidad!A46</f>
        <v/>
      </c>
      <c r="B46" s="5">
        <f>COUNTIF(2a_PRE_TRABAJO!$A$5:$A$112,A46)</f>
        <v/>
      </c>
      <c r="C46" s="5">
        <f>COUNTIF(2b_POST_TRABAJO!$A$5:$A$109,A46)</f>
        <v/>
      </c>
      <c r="D46" s="5">
        <f>3_Mortalidad!C46</f>
        <v/>
      </c>
      <c r="E46" s="5">
        <f>IF(AND(B46=1,C46=1,D46=1),"PAR",IF(AND(B46=1,C46=0,D46=0),"RETIRO SIN POSTEST","REVISAR"))</f>
        <v/>
      </c>
    </row>
    <row r="47">
      <c r="A47" s="5">
        <f>3_Mortalidad!A47</f>
        <v/>
      </c>
      <c r="B47" s="5">
        <f>COUNTIF(2a_PRE_TRABAJO!$A$5:$A$112,A47)</f>
        <v/>
      </c>
      <c r="C47" s="5">
        <f>COUNTIF(2b_POST_TRABAJO!$A$5:$A$109,A47)</f>
        <v/>
      </c>
      <c r="D47" s="5">
        <f>3_Mortalidad!C47</f>
        <v/>
      </c>
      <c r="E47" s="5">
        <f>IF(AND(B47=1,C47=1,D47=1),"PAR",IF(AND(B47=1,C47=0,D47=0),"RETIRO SIN POSTEST","REVISAR"))</f>
        <v/>
      </c>
    </row>
    <row r="48">
      <c r="A48" s="5">
        <f>3_Mortalidad!A48</f>
        <v/>
      </c>
      <c r="B48" s="5">
        <f>COUNTIF(2a_PRE_TRABAJO!$A$5:$A$112,A48)</f>
        <v/>
      </c>
      <c r="C48" s="5">
        <f>COUNTIF(2b_POST_TRABAJO!$A$5:$A$109,A48)</f>
        <v/>
      </c>
      <c r="D48" s="5">
        <f>3_Mortalidad!C48</f>
        <v/>
      </c>
      <c r="E48" s="5">
        <f>IF(AND(B48=1,C48=1,D48=1),"PAR",IF(AND(B48=1,C48=0,D48=0),"RETIRO SIN POSTEST","REVISAR"))</f>
        <v/>
      </c>
    </row>
    <row r="49">
      <c r="A49" s="5">
        <f>3_Mortalidad!A49</f>
        <v/>
      </c>
      <c r="B49" s="5">
        <f>COUNTIF(2a_PRE_TRABAJO!$A$5:$A$112,A49)</f>
        <v/>
      </c>
      <c r="C49" s="5">
        <f>COUNTIF(2b_POST_TRABAJO!$A$5:$A$109,A49)</f>
        <v/>
      </c>
      <c r="D49" s="5">
        <f>3_Mortalidad!C49</f>
        <v/>
      </c>
      <c r="E49" s="5">
        <f>IF(AND(B49=1,C49=1,D49=1),"PAR",IF(AND(B49=1,C49=0,D49=0),"RETIRO SIN POSTEST","REVISAR"))</f>
        <v/>
      </c>
    </row>
    <row r="50">
      <c r="A50" s="5">
        <f>3_Mortalidad!A50</f>
        <v/>
      </c>
      <c r="B50" s="5">
        <f>COUNTIF(2a_PRE_TRABAJO!$A$5:$A$112,A50)</f>
        <v/>
      </c>
      <c r="C50" s="5">
        <f>COUNTIF(2b_POST_TRABAJO!$A$5:$A$109,A50)</f>
        <v/>
      </c>
      <c r="D50" s="5">
        <f>3_Mortalidad!C50</f>
        <v/>
      </c>
      <c r="E50" s="5">
        <f>IF(AND(B50=1,C50=1,D50=1),"PAR",IF(AND(B50=1,C50=0,D50=0),"RETIRO SIN POSTEST","REVISAR"))</f>
        <v/>
      </c>
    </row>
    <row r="51">
      <c r="A51" s="5">
        <f>3_Mortalidad!A51</f>
        <v/>
      </c>
      <c r="B51" s="5">
        <f>COUNTIF(2a_PRE_TRABAJO!$A$5:$A$112,A51)</f>
        <v/>
      </c>
      <c r="C51" s="5">
        <f>COUNTIF(2b_POST_TRABAJO!$A$5:$A$109,A51)</f>
        <v/>
      </c>
      <c r="D51" s="5">
        <f>3_Mortalidad!C51</f>
        <v/>
      </c>
      <c r="E51" s="5">
        <f>IF(AND(B51=1,C51=1,D51=1),"PAR",IF(AND(B51=1,C51=0,D51=0),"RETIRO SIN POSTEST","REVISAR"))</f>
        <v/>
      </c>
    </row>
    <row r="52">
      <c r="A52" s="5">
        <f>3_Mortalidad!A52</f>
        <v/>
      </c>
      <c r="B52" s="5">
        <f>COUNTIF(2a_PRE_TRABAJO!$A$5:$A$112,A52)</f>
        <v/>
      </c>
      <c r="C52" s="5">
        <f>COUNTIF(2b_POST_TRABAJO!$A$5:$A$109,A52)</f>
        <v/>
      </c>
      <c r="D52" s="5">
        <f>3_Mortalidad!C52</f>
        <v/>
      </c>
      <c r="E52" s="5">
        <f>IF(AND(B52=1,C52=1,D52=1),"PAR",IF(AND(B52=1,C52=0,D52=0),"RETIRO SIN POSTEST","REVISAR"))</f>
        <v/>
      </c>
    </row>
    <row r="53">
      <c r="A53" s="5">
        <f>3_Mortalidad!A53</f>
        <v/>
      </c>
      <c r="B53" s="5">
        <f>COUNTIF(2a_PRE_TRABAJO!$A$5:$A$112,A53)</f>
        <v/>
      </c>
      <c r="C53" s="5">
        <f>COUNTIF(2b_POST_TRABAJO!$A$5:$A$109,A53)</f>
        <v/>
      </c>
      <c r="D53" s="5">
        <f>3_Mortalidad!C53</f>
        <v/>
      </c>
      <c r="E53" s="5">
        <f>IF(AND(B53=1,C53=1,D53=1),"PAR",IF(AND(B53=1,C53=0,D53=0),"RETIRO SIN POSTEST","REVISAR"))</f>
        <v/>
      </c>
    </row>
    <row r="54">
      <c r="A54" s="5">
        <f>3_Mortalidad!A54</f>
        <v/>
      </c>
      <c r="B54" s="5">
        <f>COUNTIF(2a_PRE_TRABAJO!$A$5:$A$112,A54)</f>
        <v/>
      </c>
      <c r="C54" s="5">
        <f>COUNTIF(2b_POST_TRABAJO!$A$5:$A$109,A54)</f>
        <v/>
      </c>
      <c r="D54" s="5">
        <f>3_Mortalidad!C54</f>
        <v/>
      </c>
      <c r="E54" s="5">
        <f>IF(AND(B54=1,C54=1,D54=1),"PAR",IF(AND(B54=1,C54=0,D54=0),"RETIRO SIN POSTEST","REVISAR"))</f>
        <v/>
      </c>
    </row>
    <row r="55">
      <c r="A55" s="5">
        <f>3_Mortalidad!A55</f>
        <v/>
      </c>
      <c r="B55" s="5">
        <f>COUNTIF(2a_PRE_TRABAJO!$A$5:$A$112,A55)</f>
        <v/>
      </c>
      <c r="C55" s="5">
        <f>COUNTIF(2b_POST_TRABAJO!$A$5:$A$109,A55)</f>
        <v/>
      </c>
      <c r="D55" s="5">
        <f>3_Mortalidad!C55</f>
        <v/>
      </c>
      <c r="E55" s="5">
        <f>IF(AND(B55=1,C55=1,D55=1),"PAR",IF(AND(B55=1,C55=0,D55=0),"RETIRO SIN POSTEST","REVISAR"))</f>
        <v/>
      </c>
    </row>
    <row r="56">
      <c r="A56" s="5">
        <f>3_Mortalidad!A56</f>
        <v/>
      </c>
      <c r="B56" s="5">
        <f>COUNTIF(2a_PRE_TRABAJO!$A$5:$A$112,A56)</f>
        <v/>
      </c>
      <c r="C56" s="5">
        <f>COUNTIF(2b_POST_TRABAJO!$A$5:$A$109,A56)</f>
        <v/>
      </c>
      <c r="D56" s="5">
        <f>3_Mortalidad!C56</f>
        <v/>
      </c>
      <c r="E56" s="5">
        <f>IF(AND(B56=1,C56=1,D56=1),"PAR",IF(AND(B56=1,C56=0,D56=0),"RETIRO SIN POSTEST","REVISAR"))</f>
        <v/>
      </c>
    </row>
    <row r="57">
      <c r="A57" s="5">
        <f>3_Mortalidad!A57</f>
        <v/>
      </c>
      <c r="B57" s="5">
        <f>COUNTIF(2a_PRE_TRABAJO!$A$5:$A$112,A57)</f>
        <v/>
      </c>
      <c r="C57" s="5">
        <f>COUNTIF(2b_POST_TRABAJO!$A$5:$A$109,A57)</f>
        <v/>
      </c>
      <c r="D57" s="5">
        <f>3_Mortalidad!C57</f>
        <v/>
      </c>
      <c r="E57" s="5">
        <f>IF(AND(B57=1,C57=1,D57=1),"PAR",IF(AND(B57=1,C57=0,D57=0),"RETIRO SIN POSTEST","REVISAR"))</f>
        <v/>
      </c>
    </row>
    <row r="58">
      <c r="A58" s="5">
        <f>3_Mortalidad!A58</f>
        <v/>
      </c>
      <c r="B58" s="5">
        <f>COUNTIF(2a_PRE_TRABAJO!$A$5:$A$112,A58)</f>
        <v/>
      </c>
      <c r="C58" s="5">
        <f>COUNTIF(2b_POST_TRABAJO!$A$5:$A$109,A58)</f>
        <v/>
      </c>
      <c r="D58" s="5">
        <f>3_Mortalidad!C58</f>
        <v/>
      </c>
      <c r="E58" s="5">
        <f>IF(AND(B58=1,C58=1,D58=1),"PAR",IF(AND(B58=1,C58=0,D58=0),"RETIRO SIN POSTEST","REVISAR"))</f>
        <v/>
      </c>
    </row>
    <row r="59">
      <c r="A59" s="5">
        <f>3_Mortalidad!A59</f>
        <v/>
      </c>
      <c r="B59" s="5">
        <f>COUNTIF(2a_PRE_TRABAJO!$A$5:$A$112,A59)</f>
        <v/>
      </c>
      <c r="C59" s="5">
        <f>COUNTIF(2b_POST_TRABAJO!$A$5:$A$109,A59)</f>
        <v/>
      </c>
      <c r="D59" s="5">
        <f>3_Mortalidad!C59</f>
        <v/>
      </c>
      <c r="E59" s="5">
        <f>IF(AND(B59=1,C59=1,D59=1),"PAR",IF(AND(B59=1,C59=0,D59=0),"RETIRO SIN POSTEST","REVISAR"))</f>
        <v/>
      </c>
    </row>
    <row r="60">
      <c r="A60" s="5">
        <f>3_Mortalidad!A60</f>
        <v/>
      </c>
      <c r="B60" s="5">
        <f>COUNTIF(2a_PRE_TRABAJO!$A$5:$A$112,A60)</f>
        <v/>
      </c>
      <c r="C60" s="5">
        <f>COUNTIF(2b_POST_TRABAJO!$A$5:$A$109,A60)</f>
        <v/>
      </c>
      <c r="D60" s="5">
        <f>3_Mortalidad!C60</f>
        <v/>
      </c>
      <c r="E60" s="5">
        <f>IF(AND(B60=1,C60=1,D60=1),"PAR",IF(AND(B60=1,C60=0,D60=0),"RETIRO SIN POSTEST","REVISAR"))</f>
        <v/>
      </c>
    </row>
    <row r="61">
      <c r="A61" s="5">
        <f>3_Mortalidad!A61</f>
        <v/>
      </c>
      <c r="B61" s="5">
        <f>COUNTIF(2a_PRE_TRABAJO!$A$5:$A$112,A61)</f>
        <v/>
      </c>
      <c r="C61" s="5">
        <f>COUNTIF(2b_POST_TRABAJO!$A$5:$A$109,A61)</f>
        <v/>
      </c>
      <c r="D61" s="5">
        <f>3_Mortalidad!C61</f>
        <v/>
      </c>
      <c r="E61" s="5">
        <f>IF(AND(B61=1,C61=1,D61=1),"PAR",IF(AND(B61=1,C61=0,D61=0),"RETIRO SIN POSTEST","REVISAR"))</f>
        <v/>
      </c>
    </row>
    <row r="62">
      <c r="A62" s="5">
        <f>3_Mortalidad!A62</f>
        <v/>
      </c>
      <c r="B62" s="5">
        <f>COUNTIF(2a_PRE_TRABAJO!$A$5:$A$112,A62)</f>
        <v/>
      </c>
      <c r="C62" s="5">
        <f>COUNTIF(2b_POST_TRABAJO!$A$5:$A$109,A62)</f>
        <v/>
      </c>
      <c r="D62" s="5">
        <f>3_Mortalidad!C62</f>
        <v/>
      </c>
      <c r="E62" s="5">
        <f>IF(AND(B62=1,C62=1,D62=1),"PAR",IF(AND(B62=1,C62=0,D62=0),"RETIRO SIN POSTEST","REVISAR"))</f>
        <v/>
      </c>
    </row>
    <row r="63">
      <c r="A63" s="5">
        <f>3_Mortalidad!A63</f>
        <v/>
      </c>
      <c r="B63" s="5">
        <f>COUNTIF(2a_PRE_TRABAJO!$A$5:$A$112,A63)</f>
        <v/>
      </c>
      <c r="C63" s="5">
        <f>COUNTIF(2b_POST_TRABAJO!$A$5:$A$109,A63)</f>
        <v/>
      </c>
      <c r="D63" s="5">
        <f>3_Mortalidad!C63</f>
        <v/>
      </c>
      <c r="E63" s="5">
        <f>IF(AND(B63=1,C63=1,D63=1),"PAR",IF(AND(B63=1,C63=0,D63=0),"RETIRO SIN POSTEST","REVISAR"))</f>
        <v/>
      </c>
    </row>
    <row r="64">
      <c r="A64" s="5">
        <f>3_Mortalidad!A64</f>
        <v/>
      </c>
      <c r="B64" s="5">
        <f>COUNTIF(2a_PRE_TRABAJO!$A$5:$A$112,A64)</f>
        <v/>
      </c>
      <c r="C64" s="5">
        <f>COUNTIF(2b_POST_TRABAJO!$A$5:$A$109,A64)</f>
        <v/>
      </c>
      <c r="D64" s="5">
        <f>3_Mortalidad!C64</f>
        <v/>
      </c>
      <c r="E64" s="5">
        <f>IF(AND(B64=1,C64=1,D64=1),"PAR",IF(AND(B64=1,C64=0,D64=0),"RETIRO SIN POSTEST","REVISAR"))</f>
        <v/>
      </c>
    </row>
    <row r="65">
      <c r="A65" s="5">
        <f>3_Mortalidad!A65</f>
        <v/>
      </c>
      <c r="B65" s="5">
        <f>COUNTIF(2a_PRE_TRABAJO!$A$5:$A$112,A65)</f>
        <v/>
      </c>
      <c r="C65" s="5">
        <f>COUNTIF(2b_POST_TRABAJO!$A$5:$A$109,A65)</f>
        <v/>
      </c>
      <c r="D65" s="5">
        <f>3_Mortalidad!C65</f>
        <v/>
      </c>
      <c r="E65" s="5">
        <f>IF(AND(B65=1,C65=1,D65=1),"PAR",IF(AND(B65=1,C65=0,D65=0),"RETIRO SIN POSTEST","REVISAR"))</f>
        <v/>
      </c>
    </row>
    <row r="66">
      <c r="A66" s="5">
        <f>3_Mortalidad!A66</f>
        <v/>
      </c>
      <c r="B66" s="5">
        <f>COUNTIF(2a_PRE_TRABAJO!$A$5:$A$112,A66)</f>
        <v/>
      </c>
      <c r="C66" s="5">
        <f>COUNTIF(2b_POST_TRABAJO!$A$5:$A$109,A66)</f>
        <v/>
      </c>
      <c r="D66" s="5">
        <f>3_Mortalidad!C66</f>
        <v/>
      </c>
      <c r="E66" s="5">
        <f>IF(AND(B66=1,C66=1,D66=1),"PAR",IF(AND(B66=1,C66=0,D66=0),"RETIRO SIN POSTEST","REVISAR"))</f>
        <v/>
      </c>
    </row>
    <row r="67">
      <c r="A67" s="5">
        <f>3_Mortalidad!A67</f>
        <v/>
      </c>
      <c r="B67" s="5">
        <f>COUNTIF(2a_PRE_TRABAJO!$A$5:$A$112,A67)</f>
        <v/>
      </c>
      <c r="C67" s="5">
        <f>COUNTIF(2b_POST_TRABAJO!$A$5:$A$109,A67)</f>
        <v/>
      </c>
      <c r="D67" s="5">
        <f>3_Mortalidad!C67</f>
        <v/>
      </c>
      <c r="E67" s="5">
        <f>IF(AND(B67=1,C67=1,D67=1),"PAR",IF(AND(B67=1,C67=0,D67=0),"RETIRO SIN POSTEST","REVISAR"))</f>
        <v/>
      </c>
    </row>
    <row r="68">
      <c r="A68" s="5">
        <f>3_Mortalidad!A68</f>
        <v/>
      </c>
      <c r="B68" s="5">
        <f>COUNTIF(2a_PRE_TRABAJO!$A$5:$A$112,A68)</f>
        <v/>
      </c>
      <c r="C68" s="5">
        <f>COUNTIF(2b_POST_TRABAJO!$A$5:$A$109,A68)</f>
        <v/>
      </c>
      <c r="D68" s="5">
        <f>3_Mortalidad!C68</f>
        <v/>
      </c>
      <c r="E68" s="5">
        <f>IF(AND(B68=1,C68=1,D68=1),"PAR",IF(AND(B68=1,C68=0,D68=0),"RETIRO SIN POSTEST","REVISAR"))</f>
        <v/>
      </c>
    </row>
    <row r="69">
      <c r="A69" s="5">
        <f>3_Mortalidad!A69</f>
        <v/>
      </c>
      <c r="B69" s="5">
        <f>COUNTIF(2a_PRE_TRABAJO!$A$5:$A$112,A69)</f>
        <v/>
      </c>
      <c r="C69" s="5">
        <f>COUNTIF(2b_POST_TRABAJO!$A$5:$A$109,A69)</f>
        <v/>
      </c>
      <c r="D69" s="5">
        <f>3_Mortalidad!C69</f>
        <v/>
      </c>
      <c r="E69" s="5">
        <f>IF(AND(B69=1,C69=1,D69=1),"PAR",IF(AND(B69=1,C69=0,D69=0),"RETIRO SIN POSTEST","REVISAR"))</f>
        <v/>
      </c>
    </row>
    <row r="70">
      <c r="A70" s="5">
        <f>3_Mortalidad!A70</f>
        <v/>
      </c>
      <c r="B70" s="5">
        <f>COUNTIF(2a_PRE_TRABAJO!$A$5:$A$112,A70)</f>
        <v/>
      </c>
      <c r="C70" s="5">
        <f>COUNTIF(2b_POST_TRABAJO!$A$5:$A$109,A70)</f>
        <v/>
      </c>
      <c r="D70" s="5">
        <f>3_Mortalidad!C70</f>
        <v/>
      </c>
      <c r="E70" s="5">
        <f>IF(AND(B70=1,C70=1,D70=1),"PAR",IF(AND(B70=1,C70=0,D70=0),"RETIRO SIN POSTEST","REVISAR"))</f>
        <v/>
      </c>
    </row>
    <row r="71">
      <c r="A71" s="5">
        <f>3_Mortalidad!A71</f>
        <v/>
      </c>
      <c r="B71" s="5">
        <f>COUNTIF(2a_PRE_TRABAJO!$A$5:$A$112,A71)</f>
        <v/>
      </c>
      <c r="C71" s="5">
        <f>COUNTIF(2b_POST_TRABAJO!$A$5:$A$109,A71)</f>
        <v/>
      </c>
      <c r="D71" s="5">
        <f>3_Mortalidad!C71</f>
        <v/>
      </c>
      <c r="E71" s="5">
        <f>IF(AND(B71=1,C71=1,D71=1),"PAR",IF(AND(B71=1,C71=0,D71=0),"RETIRO SIN POSTEST","REVISAR"))</f>
        <v/>
      </c>
    </row>
    <row r="72">
      <c r="A72" s="5">
        <f>3_Mortalidad!A72</f>
        <v/>
      </c>
      <c r="B72" s="5">
        <f>COUNTIF(2a_PRE_TRABAJO!$A$5:$A$112,A72)</f>
        <v/>
      </c>
      <c r="C72" s="5">
        <f>COUNTIF(2b_POST_TRABAJO!$A$5:$A$109,A72)</f>
        <v/>
      </c>
      <c r="D72" s="5">
        <f>3_Mortalidad!C72</f>
        <v/>
      </c>
      <c r="E72" s="5">
        <f>IF(AND(B72=1,C72=1,D72=1),"PAR",IF(AND(B72=1,C72=0,D72=0),"RETIRO SIN POSTEST","REVISAR"))</f>
        <v/>
      </c>
    </row>
    <row r="73">
      <c r="A73" s="5">
        <f>3_Mortalidad!A73</f>
        <v/>
      </c>
      <c r="B73" s="5">
        <f>COUNTIF(2a_PRE_TRABAJO!$A$5:$A$112,A73)</f>
        <v/>
      </c>
      <c r="C73" s="5">
        <f>COUNTIF(2b_POST_TRABAJO!$A$5:$A$109,A73)</f>
        <v/>
      </c>
      <c r="D73" s="5">
        <f>3_Mortalidad!C73</f>
        <v/>
      </c>
      <c r="E73" s="5">
        <f>IF(AND(B73=1,C73=1,D73=1),"PAR",IF(AND(B73=1,C73=0,D73=0),"RETIRO SIN POSTEST","REVISAR"))</f>
        <v/>
      </c>
    </row>
    <row r="74">
      <c r="A74" s="5">
        <f>3_Mortalidad!A74</f>
        <v/>
      </c>
      <c r="B74" s="5">
        <f>COUNTIF(2a_PRE_TRABAJO!$A$5:$A$112,A74)</f>
        <v/>
      </c>
      <c r="C74" s="5">
        <f>COUNTIF(2b_POST_TRABAJO!$A$5:$A$109,A74)</f>
        <v/>
      </c>
      <c r="D74" s="5">
        <f>3_Mortalidad!C74</f>
        <v/>
      </c>
      <c r="E74" s="5">
        <f>IF(AND(B74=1,C74=1,D74=1),"PAR",IF(AND(B74=1,C74=0,D74=0),"RETIRO SIN POSTEST","REVISAR"))</f>
        <v/>
      </c>
    </row>
    <row r="75">
      <c r="A75" s="5">
        <f>3_Mortalidad!A75</f>
        <v/>
      </c>
      <c r="B75" s="5">
        <f>COUNTIF(2a_PRE_TRABAJO!$A$5:$A$112,A75)</f>
        <v/>
      </c>
      <c r="C75" s="5">
        <f>COUNTIF(2b_POST_TRABAJO!$A$5:$A$109,A75)</f>
        <v/>
      </c>
      <c r="D75" s="5">
        <f>3_Mortalidad!C75</f>
        <v/>
      </c>
      <c r="E75" s="5">
        <f>IF(AND(B75=1,C75=1,D75=1),"PAR",IF(AND(B75=1,C75=0,D75=0),"RETIRO SIN POSTEST","REVISAR"))</f>
        <v/>
      </c>
    </row>
    <row r="76">
      <c r="A76" s="5">
        <f>3_Mortalidad!A76</f>
        <v/>
      </c>
      <c r="B76" s="5">
        <f>COUNTIF(2a_PRE_TRABAJO!$A$5:$A$112,A76)</f>
        <v/>
      </c>
      <c r="C76" s="5">
        <f>COUNTIF(2b_POST_TRABAJO!$A$5:$A$109,A76)</f>
        <v/>
      </c>
      <c r="D76" s="5">
        <f>3_Mortalidad!C76</f>
        <v/>
      </c>
      <c r="E76" s="5">
        <f>IF(AND(B76=1,C76=1,D76=1),"PAR",IF(AND(B76=1,C76=0,D76=0),"RETIRO SIN POSTEST","REVISAR"))</f>
        <v/>
      </c>
    </row>
    <row r="77">
      <c r="A77" s="5">
        <f>3_Mortalidad!A77</f>
        <v/>
      </c>
      <c r="B77" s="5">
        <f>COUNTIF(2a_PRE_TRABAJO!$A$5:$A$112,A77)</f>
        <v/>
      </c>
      <c r="C77" s="5">
        <f>COUNTIF(2b_POST_TRABAJO!$A$5:$A$109,A77)</f>
        <v/>
      </c>
      <c r="D77" s="5">
        <f>3_Mortalidad!C77</f>
        <v/>
      </c>
      <c r="E77" s="5">
        <f>IF(AND(B77=1,C77=1,D77=1),"PAR",IF(AND(B77=1,C77=0,D77=0),"RETIRO SIN POSTEST","REVISAR"))</f>
        <v/>
      </c>
    </row>
    <row r="78">
      <c r="A78" s="5">
        <f>3_Mortalidad!A78</f>
        <v/>
      </c>
      <c r="B78" s="5">
        <f>COUNTIF(2a_PRE_TRABAJO!$A$5:$A$112,A78)</f>
        <v/>
      </c>
      <c r="C78" s="5">
        <f>COUNTIF(2b_POST_TRABAJO!$A$5:$A$109,A78)</f>
        <v/>
      </c>
      <c r="D78" s="5">
        <f>3_Mortalidad!C78</f>
        <v/>
      </c>
      <c r="E78" s="5">
        <f>IF(AND(B78=1,C78=1,D78=1),"PAR",IF(AND(B78=1,C78=0,D78=0),"RETIRO SIN POSTEST","REVISAR"))</f>
        <v/>
      </c>
    </row>
    <row r="79">
      <c r="A79" s="5">
        <f>3_Mortalidad!A79</f>
        <v/>
      </c>
      <c r="B79" s="5">
        <f>COUNTIF(2a_PRE_TRABAJO!$A$5:$A$112,A79)</f>
        <v/>
      </c>
      <c r="C79" s="5">
        <f>COUNTIF(2b_POST_TRABAJO!$A$5:$A$109,A79)</f>
        <v/>
      </c>
      <c r="D79" s="5">
        <f>3_Mortalidad!C79</f>
        <v/>
      </c>
      <c r="E79" s="5">
        <f>IF(AND(B79=1,C79=1,D79=1),"PAR",IF(AND(B79=1,C79=0,D79=0),"RETIRO SIN POSTEST","REVISAR"))</f>
        <v/>
      </c>
    </row>
    <row r="80">
      <c r="A80" s="5">
        <f>3_Mortalidad!A80</f>
        <v/>
      </c>
      <c r="B80" s="5">
        <f>COUNTIF(2a_PRE_TRABAJO!$A$5:$A$112,A80)</f>
        <v/>
      </c>
      <c r="C80" s="5">
        <f>COUNTIF(2b_POST_TRABAJO!$A$5:$A$109,A80)</f>
        <v/>
      </c>
      <c r="D80" s="5">
        <f>3_Mortalidad!C80</f>
        <v/>
      </c>
      <c r="E80" s="5">
        <f>IF(AND(B80=1,C80=1,D80=1),"PAR",IF(AND(B80=1,C80=0,D80=0),"RETIRO SIN POSTEST","REVISAR"))</f>
        <v/>
      </c>
    </row>
    <row r="81">
      <c r="A81" s="5">
        <f>3_Mortalidad!A81</f>
        <v/>
      </c>
      <c r="B81" s="5">
        <f>COUNTIF(2a_PRE_TRABAJO!$A$5:$A$112,A81)</f>
        <v/>
      </c>
      <c r="C81" s="5">
        <f>COUNTIF(2b_POST_TRABAJO!$A$5:$A$109,A81)</f>
        <v/>
      </c>
      <c r="D81" s="5">
        <f>3_Mortalidad!C81</f>
        <v/>
      </c>
      <c r="E81" s="5">
        <f>IF(AND(B81=1,C81=1,D81=1),"PAR",IF(AND(B81=1,C81=0,D81=0),"RETIRO SIN POSTEST","REVISAR"))</f>
        <v/>
      </c>
    </row>
    <row r="82">
      <c r="A82" s="5">
        <f>3_Mortalidad!A82</f>
        <v/>
      </c>
      <c r="B82" s="5">
        <f>COUNTIF(2a_PRE_TRABAJO!$A$5:$A$112,A82)</f>
        <v/>
      </c>
      <c r="C82" s="5">
        <f>COUNTIF(2b_POST_TRABAJO!$A$5:$A$109,A82)</f>
        <v/>
      </c>
      <c r="D82" s="5">
        <f>3_Mortalidad!C82</f>
        <v/>
      </c>
      <c r="E82" s="5">
        <f>IF(AND(B82=1,C82=1,D82=1),"PAR",IF(AND(B82=1,C82=0,D82=0),"RETIRO SIN POSTEST","REVISAR"))</f>
        <v/>
      </c>
    </row>
    <row r="83">
      <c r="A83" s="5">
        <f>3_Mortalidad!A83</f>
        <v/>
      </c>
      <c r="B83" s="5">
        <f>COUNTIF(2a_PRE_TRABAJO!$A$5:$A$112,A83)</f>
        <v/>
      </c>
      <c r="C83" s="5">
        <f>COUNTIF(2b_POST_TRABAJO!$A$5:$A$109,A83)</f>
        <v/>
      </c>
      <c r="D83" s="5">
        <f>3_Mortalidad!C83</f>
        <v/>
      </c>
      <c r="E83" s="5">
        <f>IF(AND(B83=1,C83=1,D83=1),"PAR",IF(AND(B83=1,C83=0,D83=0),"RETIRO SIN POSTEST","REVISAR"))</f>
        <v/>
      </c>
    </row>
    <row r="84">
      <c r="A84" s="5">
        <f>3_Mortalidad!A84</f>
        <v/>
      </c>
      <c r="B84" s="5">
        <f>COUNTIF(2a_PRE_TRABAJO!$A$5:$A$112,A84)</f>
        <v/>
      </c>
      <c r="C84" s="5">
        <f>COUNTIF(2b_POST_TRABAJO!$A$5:$A$109,A84)</f>
        <v/>
      </c>
      <c r="D84" s="5">
        <f>3_Mortalidad!C84</f>
        <v/>
      </c>
      <c r="E84" s="5">
        <f>IF(AND(B84=1,C84=1,D84=1),"PAR",IF(AND(B84=1,C84=0,D84=0),"RETIRO SIN POSTEST","REVISAR"))</f>
        <v/>
      </c>
    </row>
    <row r="85">
      <c r="A85" s="5">
        <f>3_Mortalidad!A85</f>
        <v/>
      </c>
      <c r="B85" s="5">
        <f>COUNTIF(2a_PRE_TRABAJO!$A$5:$A$112,A85)</f>
        <v/>
      </c>
      <c r="C85" s="5">
        <f>COUNTIF(2b_POST_TRABAJO!$A$5:$A$109,A85)</f>
        <v/>
      </c>
      <c r="D85" s="5">
        <f>3_Mortalidad!C85</f>
        <v/>
      </c>
      <c r="E85" s="5">
        <f>IF(AND(B85=1,C85=1,D85=1),"PAR",IF(AND(B85=1,C85=0,D85=0),"RETIRO SIN POSTEST","REVISAR"))</f>
        <v/>
      </c>
    </row>
    <row r="86">
      <c r="A86" s="5">
        <f>3_Mortalidad!A86</f>
        <v/>
      </c>
      <c r="B86" s="5">
        <f>COUNTIF(2a_PRE_TRABAJO!$A$5:$A$112,A86)</f>
        <v/>
      </c>
      <c r="C86" s="5">
        <f>COUNTIF(2b_POST_TRABAJO!$A$5:$A$109,A86)</f>
        <v/>
      </c>
      <c r="D86" s="5">
        <f>3_Mortalidad!C86</f>
        <v/>
      </c>
      <c r="E86" s="5">
        <f>IF(AND(B86=1,C86=1,D86=1),"PAR",IF(AND(B86=1,C86=0,D86=0),"RETIRO SIN POSTEST","REVISAR"))</f>
        <v/>
      </c>
    </row>
    <row r="87">
      <c r="A87" s="5">
        <f>3_Mortalidad!A87</f>
        <v/>
      </c>
      <c r="B87" s="5">
        <f>COUNTIF(2a_PRE_TRABAJO!$A$5:$A$112,A87)</f>
        <v/>
      </c>
      <c r="C87" s="5">
        <f>COUNTIF(2b_POST_TRABAJO!$A$5:$A$109,A87)</f>
        <v/>
      </c>
      <c r="D87" s="5">
        <f>3_Mortalidad!C87</f>
        <v/>
      </c>
      <c r="E87" s="5">
        <f>IF(AND(B87=1,C87=1,D87=1),"PAR",IF(AND(B87=1,C87=0,D87=0),"RETIRO SIN POSTEST","REVISAR"))</f>
        <v/>
      </c>
    </row>
    <row r="88">
      <c r="A88" s="5">
        <f>3_Mortalidad!A88</f>
        <v/>
      </c>
      <c r="B88" s="5">
        <f>COUNTIF(2a_PRE_TRABAJO!$A$5:$A$112,A88)</f>
        <v/>
      </c>
      <c r="C88" s="5">
        <f>COUNTIF(2b_POST_TRABAJO!$A$5:$A$109,A88)</f>
        <v/>
      </c>
      <c r="D88" s="5">
        <f>3_Mortalidad!C88</f>
        <v/>
      </c>
      <c r="E88" s="5">
        <f>IF(AND(B88=1,C88=1,D88=1),"PAR",IF(AND(B88=1,C88=0,D88=0),"RETIRO SIN POSTEST","REVISAR"))</f>
        <v/>
      </c>
    </row>
    <row r="89">
      <c r="A89" s="5">
        <f>3_Mortalidad!A89</f>
        <v/>
      </c>
      <c r="B89" s="5">
        <f>COUNTIF(2a_PRE_TRABAJO!$A$5:$A$112,A89)</f>
        <v/>
      </c>
      <c r="C89" s="5">
        <f>COUNTIF(2b_POST_TRABAJO!$A$5:$A$109,A89)</f>
        <v/>
      </c>
      <c r="D89" s="5">
        <f>3_Mortalidad!C89</f>
        <v/>
      </c>
      <c r="E89" s="5">
        <f>IF(AND(B89=1,C89=1,D89=1),"PAR",IF(AND(B89=1,C89=0,D89=0),"RETIRO SIN POSTEST","REVISAR"))</f>
        <v/>
      </c>
    </row>
    <row r="90">
      <c r="A90" s="5">
        <f>3_Mortalidad!A90</f>
        <v/>
      </c>
      <c r="B90" s="5">
        <f>COUNTIF(2a_PRE_TRABAJO!$A$5:$A$112,A90)</f>
        <v/>
      </c>
      <c r="C90" s="5">
        <f>COUNTIF(2b_POST_TRABAJO!$A$5:$A$109,A90)</f>
        <v/>
      </c>
      <c r="D90" s="5">
        <f>3_Mortalidad!C90</f>
        <v/>
      </c>
      <c r="E90" s="5">
        <f>IF(AND(B90=1,C90=1,D90=1),"PAR",IF(AND(B90=1,C90=0,D90=0),"RETIRO SIN POSTEST","REVISAR"))</f>
        <v/>
      </c>
    </row>
    <row r="91">
      <c r="A91" s="5">
        <f>3_Mortalidad!A91</f>
        <v/>
      </c>
      <c r="B91" s="5">
        <f>COUNTIF(2a_PRE_TRABAJO!$A$5:$A$112,A91)</f>
        <v/>
      </c>
      <c r="C91" s="5">
        <f>COUNTIF(2b_POST_TRABAJO!$A$5:$A$109,A91)</f>
        <v/>
      </c>
      <c r="D91" s="5">
        <f>3_Mortalidad!C91</f>
        <v/>
      </c>
      <c r="E91" s="5">
        <f>IF(AND(B91=1,C91=1,D91=1),"PAR",IF(AND(B91=1,C91=0,D91=0),"RETIRO SIN POSTEST","REVISAR"))</f>
        <v/>
      </c>
    </row>
    <row r="92">
      <c r="A92" s="5">
        <f>3_Mortalidad!A92</f>
        <v/>
      </c>
      <c r="B92" s="5">
        <f>COUNTIF(2a_PRE_TRABAJO!$A$5:$A$112,A92)</f>
        <v/>
      </c>
      <c r="C92" s="5">
        <f>COUNTIF(2b_POST_TRABAJO!$A$5:$A$109,A92)</f>
        <v/>
      </c>
      <c r="D92" s="5">
        <f>3_Mortalidad!C92</f>
        <v/>
      </c>
      <c r="E92" s="5">
        <f>IF(AND(B92=1,C92=1,D92=1),"PAR",IF(AND(B92=1,C92=0,D92=0),"RETIRO SIN POSTEST","REVISAR"))</f>
        <v/>
      </c>
    </row>
    <row r="93">
      <c r="A93" s="5">
        <f>3_Mortalidad!A93</f>
        <v/>
      </c>
      <c r="B93" s="5">
        <f>COUNTIF(2a_PRE_TRABAJO!$A$5:$A$112,A93)</f>
        <v/>
      </c>
      <c r="C93" s="5">
        <f>COUNTIF(2b_POST_TRABAJO!$A$5:$A$109,A93)</f>
        <v/>
      </c>
      <c r="D93" s="5">
        <f>3_Mortalidad!C93</f>
        <v/>
      </c>
      <c r="E93" s="5">
        <f>IF(AND(B93=1,C93=1,D93=1),"PAR",IF(AND(B93=1,C93=0,D93=0),"RETIRO SIN POSTEST","REVISAR"))</f>
        <v/>
      </c>
    </row>
    <row r="94">
      <c r="A94" s="5">
        <f>3_Mortalidad!A94</f>
        <v/>
      </c>
      <c r="B94" s="5">
        <f>COUNTIF(2a_PRE_TRABAJO!$A$5:$A$112,A94)</f>
        <v/>
      </c>
      <c r="C94" s="5">
        <f>COUNTIF(2b_POST_TRABAJO!$A$5:$A$109,A94)</f>
        <v/>
      </c>
      <c r="D94" s="5">
        <f>3_Mortalidad!C94</f>
        <v/>
      </c>
      <c r="E94" s="5">
        <f>IF(AND(B94=1,C94=1,D94=1),"PAR",IF(AND(B94=1,C94=0,D94=0),"RETIRO SIN POSTEST","REVISAR"))</f>
        <v/>
      </c>
    </row>
    <row r="95">
      <c r="A95" s="5">
        <f>3_Mortalidad!A95</f>
        <v/>
      </c>
      <c r="B95" s="5">
        <f>COUNTIF(2a_PRE_TRABAJO!$A$5:$A$112,A95)</f>
        <v/>
      </c>
      <c r="C95" s="5">
        <f>COUNTIF(2b_POST_TRABAJO!$A$5:$A$109,A95)</f>
        <v/>
      </c>
      <c r="D95" s="5">
        <f>3_Mortalidad!C95</f>
        <v/>
      </c>
      <c r="E95" s="5">
        <f>IF(AND(B95=1,C95=1,D95=1),"PAR",IF(AND(B95=1,C95=0,D95=0),"RETIRO SIN POSTEST","REVISAR"))</f>
        <v/>
      </c>
    </row>
    <row r="96">
      <c r="A96" s="5">
        <f>3_Mortalidad!A96</f>
        <v/>
      </c>
      <c r="B96" s="5">
        <f>COUNTIF(2a_PRE_TRABAJO!$A$5:$A$112,A96)</f>
        <v/>
      </c>
      <c r="C96" s="5">
        <f>COUNTIF(2b_POST_TRABAJO!$A$5:$A$109,A96)</f>
        <v/>
      </c>
      <c r="D96" s="5">
        <f>3_Mortalidad!C96</f>
        <v/>
      </c>
      <c r="E96" s="5">
        <f>IF(AND(B96=1,C96=1,D96=1),"PAR",IF(AND(B96=1,C96=0,D96=0),"RETIRO SIN POSTEST","REVISAR"))</f>
        <v/>
      </c>
    </row>
    <row r="97">
      <c r="A97" s="5">
        <f>3_Mortalidad!A97</f>
        <v/>
      </c>
      <c r="B97" s="5">
        <f>COUNTIF(2a_PRE_TRABAJO!$A$5:$A$112,A97)</f>
        <v/>
      </c>
      <c r="C97" s="5">
        <f>COUNTIF(2b_POST_TRABAJO!$A$5:$A$109,A97)</f>
        <v/>
      </c>
      <c r="D97" s="5">
        <f>3_Mortalidad!C97</f>
        <v/>
      </c>
      <c r="E97" s="5">
        <f>IF(AND(B97=1,C97=1,D97=1),"PAR",IF(AND(B97=1,C97=0,D97=0),"RETIRO SIN POSTEST","REVISAR"))</f>
        <v/>
      </c>
    </row>
    <row r="98">
      <c r="A98" s="5">
        <f>3_Mortalidad!A98</f>
        <v/>
      </c>
      <c r="B98" s="5">
        <f>COUNTIF(2a_PRE_TRABAJO!$A$5:$A$112,A98)</f>
        <v/>
      </c>
      <c r="C98" s="5">
        <f>COUNTIF(2b_POST_TRABAJO!$A$5:$A$109,A98)</f>
        <v/>
      </c>
      <c r="D98" s="5">
        <f>3_Mortalidad!C98</f>
        <v/>
      </c>
      <c r="E98" s="5">
        <f>IF(AND(B98=1,C98=1,D98=1),"PAR",IF(AND(B98=1,C98=0,D98=0),"RETIRO SIN POSTEST","REVISAR"))</f>
        <v/>
      </c>
    </row>
    <row r="99">
      <c r="A99" s="5">
        <f>3_Mortalidad!A99</f>
        <v/>
      </c>
      <c r="B99" s="5">
        <f>COUNTIF(2a_PRE_TRABAJO!$A$5:$A$112,A99)</f>
        <v/>
      </c>
      <c r="C99" s="5">
        <f>COUNTIF(2b_POST_TRABAJO!$A$5:$A$109,A99)</f>
        <v/>
      </c>
      <c r="D99" s="5">
        <f>3_Mortalidad!C99</f>
        <v/>
      </c>
      <c r="E99" s="5">
        <f>IF(AND(B99=1,C99=1,D99=1),"PAR",IF(AND(B99=1,C99=0,D99=0),"RETIRO SIN POSTEST","REVISAR"))</f>
        <v/>
      </c>
    </row>
    <row r="100">
      <c r="A100" s="5">
        <f>3_Mortalidad!A100</f>
        <v/>
      </c>
      <c r="B100" s="5">
        <f>COUNTIF(2a_PRE_TRABAJO!$A$5:$A$112,A100)</f>
        <v/>
      </c>
      <c r="C100" s="5">
        <f>COUNTIF(2b_POST_TRABAJO!$A$5:$A$109,A100)</f>
        <v/>
      </c>
      <c r="D100" s="5">
        <f>3_Mortalidad!C100</f>
        <v/>
      </c>
      <c r="E100" s="5">
        <f>IF(AND(B100=1,C100=1,D100=1),"PAR",IF(AND(B100=1,C100=0,D100=0),"RETIRO SIN POSTEST","REVISAR"))</f>
        <v/>
      </c>
    </row>
    <row r="101">
      <c r="A101" s="5">
        <f>3_Mortalidad!A101</f>
        <v/>
      </c>
      <c r="B101" s="5">
        <f>COUNTIF(2a_PRE_TRABAJO!$A$5:$A$112,A101)</f>
        <v/>
      </c>
      <c r="C101" s="5">
        <f>COUNTIF(2b_POST_TRABAJO!$A$5:$A$109,A101)</f>
        <v/>
      </c>
      <c r="D101" s="5">
        <f>3_Mortalidad!C101</f>
        <v/>
      </c>
      <c r="E101" s="5">
        <f>IF(AND(B101=1,C101=1,D101=1),"PAR",IF(AND(B101=1,C101=0,D101=0),"RETIRO SIN POSTEST","REVISAR"))</f>
        <v/>
      </c>
    </row>
    <row r="102">
      <c r="A102" s="5">
        <f>3_Mortalidad!A102</f>
        <v/>
      </c>
      <c r="B102" s="5">
        <f>COUNTIF(2a_PRE_TRABAJO!$A$5:$A$112,A102)</f>
        <v/>
      </c>
      <c r="C102" s="5">
        <f>COUNTIF(2b_POST_TRABAJO!$A$5:$A$109,A102)</f>
        <v/>
      </c>
      <c r="D102" s="5">
        <f>3_Mortalidad!C102</f>
        <v/>
      </c>
      <c r="E102" s="5">
        <f>IF(AND(B102=1,C102=1,D102=1),"PAR",IF(AND(B102=1,C102=0,D102=0),"RETIRO SIN POSTEST","REVISAR"))</f>
        <v/>
      </c>
    </row>
    <row r="103">
      <c r="A103" s="5">
        <f>3_Mortalidad!A103</f>
        <v/>
      </c>
      <c r="B103" s="5">
        <f>COUNTIF(2a_PRE_TRABAJO!$A$5:$A$112,A103)</f>
        <v/>
      </c>
      <c r="C103" s="5">
        <f>COUNTIF(2b_POST_TRABAJO!$A$5:$A$109,A103)</f>
        <v/>
      </c>
      <c r="D103" s="5">
        <f>3_Mortalidad!C103</f>
        <v/>
      </c>
      <c r="E103" s="5">
        <f>IF(AND(B103=1,C103=1,D103=1),"PAR",IF(AND(B103=1,C103=0,D103=0),"RETIRO SIN POSTEST","REVISAR"))</f>
        <v/>
      </c>
    </row>
    <row r="104">
      <c r="A104" s="5">
        <f>3_Mortalidad!A104</f>
        <v/>
      </c>
      <c r="B104" s="5">
        <f>COUNTIF(2a_PRE_TRABAJO!$A$5:$A$112,A104)</f>
        <v/>
      </c>
      <c r="C104" s="5">
        <f>COUNTIF(2b_POST_TRABAJO!$A$5:$A$109,A104)</f>
        <v/>
      </c>
      <c r="D104" s="5">
        <f>3_Mortalidad!C104</f>
        <v/>
      </c>
      <c r="E104" s="5">
        <f>IF(AND(B104=1,C104=1,D104=1),"PAR",IF(AND(B104=1,C104=0,D104=0),"RETIRO SIN POSTEST","REVISAR"))</f>
        <v/>
      </c>
    </row>
    <row r="105">
      <c r="A105" s="5">
        <f>3_Mortalidad!A105</f>
        <v/>
      </c>
      <c r="B105" s="5">
        <f>COUNTIF(2a_PRE_TRABAJO!$A$5:$A$112,A105)</f>
        <v/>
      </c>
      <c r="C105" s="5">
        <f>COUNTIF(2b_POST_TRABAJO!$A$5:$A$109,A105)</f>
        <v/>
      </c>
      <c r="D105" s="5">
        <f>3_Mortalidad!C105</f>
        <v/>
      </c>
      <c r="E105" s="5">
        <f>IF(AND(B105=1,C105=1,D105=1),"PAR",IF(AND(B105=1,C105=0,D105=0),"RETIRO SIN POSTEST","REVISAR"))</f>
        <v/>
      </c>
    </row>
    <row r="106">
      <c r="A106" s="5">
        <f>3_Mortalidad!A106</f>
        <v/>
      </c>
      <c r="B106" s="5">
        <f>COUNTIF(2a_PRE_TRABAJO!$A$5:$A$112,A106)</f>
        <v/>
      </c>
      <c r="C106" s="5">
        <f>COUNTIF(2b_POST_TRABAJO!$A$5:$A$109,A106)</f>
        <v/>
      </c>
      <c r="D106" s="5">
        <f>3_Mortalidad!C106</f>
        <v/>
      </c>
      <c r="E106" s="5">
        <f>IF(AND(B106=1,C106=1,D106=1),"PAR",IF(AND(B106=1,C106=0,D106=0),"RETIRO SIN POSTEST","REVISAR"))</f>
        <v/>
      </c>
    </row>
    <row r="107">
      <c r="A107" s="5">
        <f>3_Mortalidad!A107</f>
        <v/>
      </c>
      <c r="B107" s="5">
        <f>COUNTIF(2a_PRE_TRABAJO!$A$5:$A$112,A107)</f>
        <v/>
      </c>
      <c r="C107" s="5">
        <f>COUNTIF(2b_POST_TRABAJO!$A$5:$A$109,A107)</f>
        <v/>
      </c>
      <c r="D107" s="5">
        <f>3_Mortalidad!C107</f>
        <v/>
      </c>
      <c r="E107" s="5">
        <f>IF(AND(B107=1,C107=1,D107=1),"PAR",IF(AND(B107=1,C107=0,D107=0),"RETIRO SIN POSTEST","REVISAR"))</f>
        <v/>
      </c>
    </row>
    <row r="108">
      <c r="A108" s="5">
        <f>3_Mortalidad!A108</f>
        <v/>
      </c>
      <c r="B108" s="5">
        <f>COUNTIF(2a_PRE_TRABAJO!$A$5:$A$112,A108)</f>
        <v/>
      </c>
      <c r="C108" s="5">
        <f>COUNTIF(2b_POST_TRABAJO!$A$5:$A$109,A108)</f>
        <v/>
      </c>
      <c r="D108" s="5">
        <f>3_Mortalidad!C108</f>
        <v/>
      </c>
      <c r="E108" s="5">
        <f>IF(AND(B108=1,C108=1,D108=1),"PAR",IF(AND(B108=1,C108=0,D108=0),"RETIRO SIN POSTEST","REVISAR"))</f>
        <v/>
      </c>
    </row>
    <row r="109">
      <c r="A109" s="5">
        <f>3_Mortalidad!A109</f>
        <v/>
      </c>
      <c r="B109" s="5">
        <f>COUNTIF(2a_PRE_TRABAJO!$A$5:$A$112,A109)</f>
        <v/>
      </c>
      <c r="C109" s="5">
        <f>COUNTIF(2b_POST_TRABAJO!$A$5:$A$109,A109)</f>
        <v/>
      </c>
      <c r="D109" s="5">
        <f>3_Mortalidad!C109</f>
        <v/>
      </c>
      <c r="E109" s="5">
        <f>IF(AND(B109=1,C109=1,D109=1),"PAR",IF(AND(B109=1,C109=0,D109=0),"RETIRO SIN POSTEST","REVISAR"))</f>
        <v/>
      </c>
    </row>
    <row r="110">
      <c r="A110" s="5">
        <f>3_Mortalidad!A110</f>
        <v/>
      </c>
      <c r="B110" s="5">
        <f>COUNTIF(2a_PRE_TRABAJO!$A$5:$A$112,A110)</f>
        <v/>
      </c>
      <c r="C110" s="5">
        <f>COUNTIF(2b_POST_TRABAJO!$A$5:$A$109,A110)</f>
        <v/>
      </c>
      <c r="D110" s="5">
        <f>3_Mortalidad!C110</f>
        <v/>
      </c>
      <c r="E110" s="5">
        <f>IF(AND(B110=1,C110=1,D110=1),"PAR",IF(AND(B110=1,C110=0,D110=0),"RETIRO SIN POSTEST","REVISAR"))</f>
        <v/>
      </c>
    </row>
    <row r="111">
      <c r="A111" s="5">
        <f>3_Mortalidad!A111</f>
        <v/>
      </c>
      <c r="B111" s="5">
        <f>COUNTIF(2a_PRE_TRABAJO!$A$5:$A$112,A111)</f>
        <v/>
      </c>
      <c r="C111" s="5">
        <f>COUNTIF(2b_POST_TRABAJO!$A$5:$A$109,A111)</f>
        <v/>
      </c>
      <c r="D111" s="5">
        <f>3_Mortalidad!C111</f>
        <v/>
      </c>
      <c r="E111" s="5">
        <f>IF(AND(B111=1,C111=1,D111=1),"PAR",IF(AND(B111=1,C111=0,D111=0),"RETIRO SIN POSTEST","REVISAR"))</f>
        <v/>
      </c>
    </row>
    <row r="112">
      <c r="A112" s="5">
        <f>3_Mortalidad!A112</f>
        <v/>
      </c>
      <c r="B112" s="5">
        <f>COUNTIF(2a_PRE_TRABAJO!$A$5:$A$112,A112)</f>
        <v/>
      </c>
      <c r="C112" s="5">
        <f>COUNTIF(2b_POST_TRABAJO!$A$5:$A$109,A112)</f>
        <v/>
      </c>
      <c r="D112" s="5">
        <f>3_Mortalidad!C112</f>
        <v/>
      </c>
      <c r="E112" s="5">
        <f>IF(AND(B112=1,C112=1,D112=1),"PAR",IF(AND(B112=1,C112=0,D112=0),"RETIRO SIN POSTEST","REVISAR"))</f>
        <v/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K1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BASE CONSOLIDADA (formato ancho, 108 filas)</t>
        </is>
      </c>
    </row>
    <row r="2">
      <c r="A2" t="inlineStr">
        <is>
          <t>INCLUIR = 1 en 105 y 0 en GU-TDH-015, GU-TDH-033 y GU-TDH-053. SUS_POST simulado.</t>
        </is>
      </c>
    </row>
    <row r="4">
      <c r="A4" s="2" t="inlineStr">
        <is>
          <t>ID</t>
        </is>
      </c>
      <c r="B4" s="2" t="inlineStr">
        <is>
          <t>INCLUIR</t>
        </is>
      </c>
      <c r="C4" s="2" t="inlineStr">
        <is>
          <t>GRUPO</t>
        </is>
      </c>
      <c r="D4" s="2" t="inlineStr">
        <is>
          <t>EDAD</t>
        </is>
      </c>
      <c r="E4" s="2" t="inlineStr">
        <is>
          <t>ZONA</t>
        </is>
      </c>
      <c r="F4" s="2" t="inlineStr">
        <is>
          <t>FREC_SEM</t>
        </is>
      </c>
      <c r="G4" s="2" t="inlineStr">
        <is>
          <t>RED</t>
        </is>
      </c>
      <c r="H4" s="2" t="inlineStr">
        <is>
          <t>FECHA_PRE</t>
        </is>
      </c>
      <c r="I4" s="2" t="inlineStr">
        <is>
          <t>FECHA_POST</t>
        </is>
      </c>
      <c r="J4" s="2" t="inlineStr">
        <is>
          <t>SUS_PRE</t>
        </is>
      </c>
      <c r="K4" s="2" t="inlineStr">
        <is>
          <t>TAM_PRE</t>
        </is>
      </c>
      <c r="L4" s="2" t="inlineStr">
        <is>
          <t>TIEMPO_PRE</t>
        </is>
      </c>
      <c r="M4" s="2" t="inlineStr">
        <is>
          <t>CLICS_PRE</t>
        </is>
      </c>
      <c r="N4" s="2" t="inlineStr">
        <is>
          <t>SUS_POST</t>
        </is>
      </c>
      <c r="O4" s="2" t="inlineStr">
        <is>
          <t>DIF_SUS</t>
        </is>
      </c>
      <c r="P4" s="2" t="inlineStr">
        <is>
          <t>SUS01</t>
        </is>
      </c>
      <c r="Q4" s="2" t="inlineStr">
        <is>
          <t>SUS02</t>
        </is>
      </c>
      <c r="R4" s="2" t="inlineStr">
        <is>
          <t>SUS03</t>
        </is>
      </c>
      <c r="S4" s="2" t="inlineStr">
        <is>
          <t>SUS04</t>
        </is>
      </c>
      <c r="T4" s="2" t="inlineStr">
        <is>
          <t>SUS05</t>
        </is>
      </c>
      <c r="U4" s="2" t="inlineStr">
        <is>
          <t>SUS06</t>
        </is>
      </c>
      <c r="V4" s="2" t="inlineStr">
        <is>
          <t>SUS07</t>
        </is>
      </c>
      <c r="W4" s="2" t="inlineStr">
        <is>
          <t>SUS08</t>
        </is>
      </c>
      <c r="X4" s="2" t="inlineStr">
        <is>
          <t>SUS09</t>
        </is>
      </c>
      <c r="Y4" s="2" t="inlineStr">
        <is>
          <t>SUS10</t>
        </is>
      </c>
      <c r="Z4" s="2" t="inlineStr">
        <is>
          <t>TAM01</t>
        </is>
      </c>
      <c r="AA4" s="2" t="inlineStr">
        <is>
          <t>TAM02</t>
        </is>
      </c>
      <c r="AB4" s="2" t="inlineStr">
        <is>
          <t>TAM03</t>
        </is>
      </c>
      <c r="AC4" s="2" t="inlineStr">
        <is>
          <t>TAM04</t>
        </is>
      </c>
      <c r="AD4" s="2" t="inlineStr">
        <is>
          <t>TAM05</t>
        </is>
      </c>
      <c r="AE4" s="2" t="inlineStr">
        <is>
          <t>TAM06</t>
        </is>
      </c>
      <c r="AF4" s="2" t="inlineStr">
        <is>
          <t>TAM07</t>
        </is>
      </c>
      <c r="AG4" s="2" t="inlineStr">
        <is>
          <t>TAM08</t>
        </is>
      </c>
      <c r="AH4" s="2" t="inlineStr">
        <is>
          <t>T1_SEG</t>
        </is>
      </c>
      <c r="AI4" s="2" t="inlineStr">
        <is>
          <t>T1_CLICS</t>
        </is>
      </c>
      <c r="AJ4" s="2" t="inlineStr">
        <is>
          <t>T2_SEG</t>
        </is>
      </c>
      <c r="AK4" s="2" t="inlineStr">
        <is>
          <t>T2_CLICS</t>
        </is>
      </c>
    </row>
    <row r="5">
      <c r="A5" s="3" t="inlineStr">
        <is>
          <t>GU-TDH-002</t>
        </is>
      </c>
      <c r="B5" s="3" t="n">
        <v>1</v>
      </c>
      <c r="C5" s="5">
        <f>IFERROR(INDEX(2a_PRE_TRABAJO!B$5:B$112,MATCH($A5,2a_PRE_TRABAJO!$A$5:$A$112,0)),"")</f>
        <v/>
      </c>
      <c r="D5" s="5">
        <f>IFERROR(INDEX(2a_PRE_TRABAJO!C$5:C$112,MATCH($A5,2a_PRE_TRABAJO!$A$5:$A$112,0)),"")</f>
        <v/>
      </c>
      <c r="E5" s="5">
        <f>IFERROR(INDEX(2a_PRE_TRABAJO!D$5:D$112,MATCH($A5,2a_PRE_TRABAJO!$A$5:$A$112,0)),"")</f>
        <v/>
      </c>
      <c r="F5" s="5">
        <f>IFERROR(INDEX(2a_PRE_TRABAJO!E$5:E$112,MATCH($A5,2a_PRE_TRABAJO!$A$5:$A$112,0)),"")</f>
        <v/>
      </c>
      <c r="G5" s="5">
        <f>IFERROR(INDEX(2a_PRE_TRABAJO!F$5:F$112,MATCH($A5,2a_PRE_TRABAJO!$A$5:$A$112,0)),"")</f>
        <v/>
      </c>
      <c r="H5" s="5">
        <f>IFERROR(INDEX(2a_PRE_TRABAJO!G$5:G$112,MATCH($A5,2a_PRE_TRABAJO!$A$5:$A$112,0)),"")</f>
        <v/>
      </c>
      <c r="I5" s="5">
        <f>IFERROR(INDEX(2b_POST_TRABAJO!C$5:C$109,MATCH($A5,2b_POST_TRABAJO!$A$5:$A$109,0)),"")</f>
        <v/>
      </c>
      <c r="J5" s="5">
        <f>IFERROR(INDEX(2a_PRE_TRABAJO!AD$5:AD$112,MATCH($A5,2a_PRE_TRABAJO!$A$5:$A$112,0)),"")</f>
        <v/>
      </c>
      <c r="K5" s="5">
        <f>IFERROR(INDEX(2a_PRE_TRABAJO!AE$5:AE$112,MATCH($A5,2a_PRE_TRABAJO!$A$5:$A$112,0)),"")</f>
        <v/>
      </c>
      <c r="L5" s="5">
        <f>IFERROR(INDEX(2a_PRE_TRABAJO!AF$5:AF$112,MATCH($A5,2a_PRE_TRABAJO!$A$5:$A$112,0)),"")</f>
        <v/>
      </c>
      <c r="M5" s="5">
        <f>IFERROR(INDEX(2a_PRE_TRABAJO!AG$5:AG$112,MATCH($A5,2a_PRE_TRABAJO!$A$5:$A$112,0)),"")</f>
        <v/>
      </c>
      <c r="N5" s="5">
        <f>IFERROR(INDEX(2b_POST_TRABAJO!D$5:D$109,MATCH($A5,2b_POST_TRABAJO!$A$5:$A$109,0)),"")</f>
        <v/>
      </c>
      <c r="O5" s="5">
        <f>IF(OR(N5="",J5=""),"",N5-J5)</f>
        <v/>
      </c>
      <c r="P5" s="5">
        <f>IFERROR(INDEX(2a_PRE_TRABAJO!H$5:H$112,MATCH($A5,2a_PRE_TRABAJO!$A$5:$A$112,0)),"")</f>
        <v/>
      </c>
      <c r="Q5" s="5">
        <f>IFERROR(INDEX(2a_PRE_TRABAJO!I$5:I$112,MATCH($A5,2a_PRE_TRABAJO!$A$5:$A$112,0)),"")</f>
        <v/>
      </c>
      <c r="R5" s="5">
        <f>IFERROR(INDEX(2a_PRE_TRABAJO!J$5:J$112,MATCH($A5,2a_PRE_TRABAJO!$A$5:$A$112,0)),"")</f>
        <v/>
      </c>
      <c r="S5" s="5">
        <f>IFERROR(INDEX(2a_PRE_TRABAJO!K$5:K$112,MATCH($A5,2a_PRE_TRABAJO!$A$5:$A$112,0)),"")</f>
        <v/>
      </c>
      <c r="T5" s="5">
        <f>IFERROR(INDEX(2a_PRE_TRABAJO!L$5:L$112,MATCH($A5,2a_PRE_TRABAJO!$A$5:$A$112,0)),"")</f>
        <v/>
      </c>
      <c r="U5" s="5">
        <f>IFERROR(INDEX(2a_PRE_TRABAJO!M$5:M$112,MATCH($A5,2a_PRE_TRABAJO!$A$5:$A$112,0)),"")</f>
        <v/>
      </c>
      <c r="V5" s="5">
        <f>IFERROR(INDEX(2a_PRE_TRABAJO!N$5:N$112,MATCH($A5,2a_PRE_TRABAJO!$A$5:$A$112,0)),"")</f>
        <v/>
      </c>
      <c r="W5" s="5">
        <f>IFERROR(INDEX(2a_PRE_TRABAJO!O$5:O$112,MATCH($A5,2a_PRE_TRABAJO!$A$5:$A$112,0)),"")</f>
        <v/>
      </c>
      <c r="X5" s="5">
        <f>IFERROR(INDEX(2a_PRE_TRABAJO!P$5:P$112,MATCH($A5,2a_PRE_TRABAJO!$A$5:$A$112,0)),"")</f>
        <v/>
      </c>
      <c r="Y5" s="5">
        <f>IFERROR(INDEX(2a_PRE_TRABAJO!Q$5:Q$112,MATCH($A5,2a_PRE_TRABAJO!$A$5:$A$112,0)),"")</f>
        <v/>
      </c>
      <c r="Z5" s="5">
        <f>IFERROR(INDEX(2a_PRE_TRABAJO!R$5:R$112,MATCH($A5,2a_PRE_TRABAJO!$A$5:$A$112,0)),"")</f>
        <v/>
      </c>
      <c r="AA5" s="5">
        <f>IFERROR(INDEX(2a_PRE_TRABAJO!S$5:S$112,MATCH($A5,2a_PRE_TRABAJO!$A$5:$A$112,0)),"")</f>
        <v/>
      </c>
      <c r="AB5" s="5">
        <f>IFERROR(INDEX(2a_PRE_TRABAJO!T$5:T$112,MATCH($A5,2a_PRE_TRABAJO!$A$5:$A$112,0)),"")</f>
        <v/>
      </c>
      <c r="AC5" s="5">
        <f>IFERROR(INDEX(2a_PRE_TRABAJO!U$5:U$112,MATCH($A5,2a_PRE_TRABAJO!$A$5:$A$112,0)),"")</f>
        <v/>
      </c>
      <c r="AD5" s="5">
        <f>IFERROR(INDEX(2a_PRE_TRABAJO!V$5:V$112,MATCH($A5,2a_PRE_TRABAJO!$A$5:$A$112,0)),"")</f>
        <v/>
      </c>
      <c r="AE5" s="5">
        <f>IFERROR(INDEX(2a_PRE_TRABAJO!W$5:W$112,MATCH($A5,2a_PRE_TRABAJO!$A$5:$A$112,0)),"")</f>
        <v/>
      </c>
      <c r="AF5" s="5">
        <f>IFERROR(INDEX(2a_PRE_TRABAJO!X$5:X$112,MATCH($A5,2a_PRE_TRABAJO!$A$5:$A$112,0)),"")</f>
        <v/>
      </c>
      <c r="AG5" s="5">
        <f>IFERROR(INDEX(2a_PRE_TRABAJO!Y$5:Y$112,MATCH($A5,2a_PRE_TRABAJO!$A$5:$A$112,0)),"")</f>
        <v/>
      </c>
      <c r="AH5" s="5">
        <f>IFERROR(INDEX(2a_PRE_TRABAJO!Z$5:Z$112,MATCH($A5,2a_PRE_TRABAJO!$A$5:$A$112,0)),"")</f>
        <v/>
      </c>
      <c r="AI5" s="5">
        <f>IFERROR(INDEX(2a_PRE_TRABAJO!AA$5:AA$112,MATCH($A5,2a_PRE_TRABAJO!$A$5:$A$112,0)),"")</f>
        <v/>
      </c>
      <c r="AJ5" s="5">
        <f>IFERROR(INDEX(2a_PRE_TRABAJO!AB$5:AB$112,MATCH($A5,2a_PRE_TRABAJO!$A$5:$A$112,0)),"")</f>
        <v/>
      </c>
      <c r="AK5" s="5">
        <f>IFERROR(INDEX(2a_PRE_TRABAJO!AC$5:AC$112,MATCH($A5,2a_PRE_TRABAJO!$A$5:$A$112,0)),"")</f>
        <v/>
      </c>
    </row>
    <row r="6">
      <c r="A6" s="3" t="inlineStr">
        <is>
          <t>GU-TDH-003</t>
        </is>
      </c>
      <c r="B6" s="3" t="n">
        <v>1</v>
      </c>
      <c r="C6" s="5">
        <f>IFERROR(INDEX(2a_PRE_TRABAJO!B$5:B$112,MATCH($A6,2a_PRE_TRABAJO!$A$5:$A$112,0)),"")</f>
        <v/>
      </c>
      <c r="D6" s="5">
        <f>IFERROR(INDEX(2a_PRE_TRABAJO!C$5:C$112,MATCH($A6,2a_PRE_TRABAJO!$A$5:$A$112,0)),"")</f>
        <v/>
      </c>
      <c r="E6" s="5">
        <f>IFERROR(INDEX(2a_PRE_TRABAJO!D$5:D$112,MATCH($A6,2a_PRE_TRABAJO!$A$5:$A$112,0)),"")</f>
        <v/>
      </c>
      <c r="F6" s="5">
        <f>IFERROR(INDEX(2a_PRE_TRABAJO!E$5:E$112,MATCH($A6,2a_PRE_TRABAJO!$A$5:$A$112,0)),"")</f>
        <v/>
      </c>
      <c r="G6" s="5">
        <f>IFERROR(INDEX(2a_PRE_TRABAJO!F$5:F$112,MATCH($A6,2a_PRE_TRABAJO!$A$5:$A$112,0)),"")</f>
        <v/>
      </c>
      <c r="H6" s="5">
        <f>IFERROR(INDEX(2a_PRE_TRABAJO!G$5:G$112,MATCH($A6,2a_PRE_TRABAJO!$A$5:$A$112,0)),"")</f>
        <v/>
      </c>
      <c r="I6" s="5">
        <f>IFERROR(INDEX(2b_POST_TRABAJO!C$5:C$109,MATCH($A6,2b_POST_TRABAJO!$A$5:$A$109,0)),"")</f>
        <v/>
      </c>
      <c r="J6" s="5">
        <f>IFERROR(INDEX(2a_PRE_TRABAJO!AD$5:AD$112,MATCH($A6,2a_PRE_TRABAJO!$A$5:$A$112,0)),"")</f>
        <v/>
      </c>
      <c r="K6" s="5">
        <f>IFERROR(INDEX(2a_PRE_TRABAJO!AE$5:AE$112,MATCH($A6,2a_PRE_TRABAJO!$A$5:$A$112,0)),"")</f>
        <v/>
      </c>
      <c r="L6" s="5">
        <f>IFERROR(INDEX(2a_PRE_TRABAJO!AF$5:AF$112,MATCH($A6,2a_PRE_TRABAJO!$A$5:$A$112,0)),"")</f>
        <v/>
      </c>
      <c r="M6" s="5">
        <f>IFERROR(INDEX(2a_PRE_TRABAJO!AG$5:AG$112,MATCH($A6,2a_PRE_TRABAJO!$A$5:$A$112,0)),"")</f>
        <v/>
      </c>
      <c r="N6" s="5">
        <f>IFERROR(INDEX(2b_POST_TRABAJO!D$5:D$109,MATCH($A6,2b_POST_TRABAJO!$A$5:$A$109,0)),"")</f>
        <v/>
      </c>
      <c r="O6" s="5">
        <f>IF(OR(N6="",J6=""),"",N6-J6)</f>
        <v/>
      </c>
      <c r="P6" s="5">
        <f>IFERROR(INDEX(2a_PRE_TRABAJO!H$5:H$112,MATCH($A6,2a_PRE_TRABAJO!$A$5:$A$112,0)),"")</f>
        <v/>
      </c>
      <c r="Q6" s="5">
        <f>IFERROR(INDEX(2a_PRE_TRABAJO!I$5:I$112,MATCH($A6,2a_PRE_TRABAJO!$A$5:$A$112,0)),"")</f>
        <v/>
      </c>
      <c r="R6" s="5">
        <f>IFERROR(INDEX(2a_PRE_TRABAJO!J$5:J$112,MATCH($A6,2a_PRE_TRABAJO!$A$5:$A$112,0)),"")</f>
        <v/>
      </c>
      <c r="S6" s="5">
        <f>IFERROR(INDEX(2a_PRE_TRABAJO!K$5:K$112,MATCH($A6,2a_PRE_TRABAJO!$A$5:$A$112,0)),"")</f>
        <v/>
      </c>
      <c r="T6" s="5">
        <f>IFERROR(INDEX(2a_PRE_TRABAJO!L$5:L$112,MATCH($A6,2a_PRE_TRABAJO!$A$5:$A$112,0)),"")</f>
        <v/>
      </c>
      <c r="U6" s="5">
        <f>IFERROR(INDEX(2a_PRE_TRABAJO!M$5:M$112,MATCH($A6,2a_PRE_TRABAJO!$A$5:$A$112,0)),"")</f>
        <v/>
      </c>
      <c r="V6" s="5">
        <f>IFERROR(INDEX(2a_PRE_TRABAJO!N$5:N$112,MATCH($A6,2a_PRE_TRABAJO!$A$5:$A$112,0)),"")</f>
        <v/>
      </c>
      <c r="W6" s="5">
        <f>IFERROR(INDEX(2a_PRE_TRABAJO!O$5:O$112,MATCH($A6,2a_PRE_TRABAJO!$A$5:$A$112,0)),"")</f>
        <v/>
      </c>
      <c r="X6" s="5">
        <f>IFERROR(INDEX(2a_PRE_TRABAJO!P$5:P$112,MATCH($A6,2a_PRE_TRABAJO!$A$5:$A$112,0)),"")</f>
        <v/>
      </c>
      <c r="Y6" s="5">
        <f>IFERROR(INDEX(2a_PRE_TRABAJO!Q$5:Q$112,MATCH($A6,2a_PRE_TRABAJO!$A$5:$A$112,0)),"")</f>
        <v/>
      </c>
      <c r="Z6" s="5">
        <f>IFERROR(INDEX(2a_PRE_TRABAJO!R$5:R$112,MATCH($A6,2a_PRE_TRABAJO!$A$5:$A$112,0)),"")</f>
        <v/>
      </c>
      <c r="AA6" s="5">
        <f>IFERROR(INDEX(2a_PRE_TRABAJO!S$5:S$112,MATCH($A6,2a_PRE_TRABAJO!$A$5:$A$112,0)),"")</f>
        <v/>
      </c>
      <c r="AB6" s="5">
        <f>IFERROR(INDEX(2a_PRE_TRABAJO!T$5:T$112,MATCH($A6,2a_PRE_TRABAJO!$A$5:$A$112,0)),"")</f>
        <v/>
      </c>
      <c r="AC6" s="5">
        <f>IFERROR(INDEX(2a_PRE_TRABAJO!U$5:U$112,MATCH($A6,2a_PRE_TRABAJO!$A$5:$A$112,0)),"")</f>
        <v/>
      </c>
      <c r="AD6" s="5">
        <f>IFERROR(INDEX(2a_PRE_TRABAJO!V$5:V$112,MATCH($A6,2a_PRE_TRABAJO!$A$5:$A$112,0)),"")</f>
        <v/>
      </c>
      <c r="AE6" s="5">
        <f>IFERROR(INDEX(2a_PRE_TRABAJO!W$5:W$112,MATCH($A6,2a_PRE_TRABAJO!$A$5:$A$112,0)),"")</f>
        <v/>
      </c>
      <c r="AF6" s="5">
        <f>IFERROR(INDEX(2a_PRE_TRABAJO!X$5:X$112,MATCH($A6,2a_PRE_TRABAJO!$A$5:$A$112,0)),"")</f>
        <v/>
      </c>
      <c r="AG6" s="5">
        <f>IFERROR(INDEX(2a_PRE_TRABAJO!Y$5:Y$112,MATCH($A6,2a_PRE_TRABAJO!$A$5:$A$112,0)),"")</f>
        <v/>
      </c>
      <c r="AH6" s="5">
        <f>IFERROR(INDEX(2a_PRE_TRABAJO!Z$5:Z$112,MATCH($A6,2a_PRE_TRABAJO!$A$5:$A$112,0)),"")</f>
        <v/>
      </c>
      <c r="AI6" s="5">
        <f>IFERROR(INDEX(2a_PRE_TRABAJO!AA$5:AA$112,MATCH($A6,2a_PRE_TRABAJO!$A$5:$A$112,0)),"")</f>
        <v/>
      </c>
      <c r="AJ6" s="5">
        <f>IFERROR(INDEX(2a_PRE_TRABAJO!AB$5:AB$112,MATCH($A6,2a_PRE_TRABAJO!$A$5:$A$112,0)),"")</f>
        <v/>
      </c>
      <c r="AK6" s="5">
        <f>IFERROR(INDEX(2a_PRE_TRABAJO!AC$5:AC$112,MATCH($A6,2a_PRE_TRABAJO!$A$5:$A$112,0)),"")</f>
        <v/>
      </c>
    </row>
    <row r="7">
      <c r="A7" s="3" t="inlineStr">
        <is>
          <t>GU-TDH-004</t>
        </is>
      </c>
      <c r="B7" s="3" t="n">
        <v>1</v>
      </c>
      <c r="C7" s="5">
        <f>IFERROR(INDEX(2a_PRE_TRABAJO!B$5:B$112,MATCH($A7,2a_PRE_TRABAJO!$A$5:$A$112,0)),"")</f>
        <v/>
      </c>
      <c r="D7" s="5">
        <f>IFERROR(INDEX(2a_PRE_TRABAJO!C$5:C$112,MATCH($A7,2a_PRE_TRABAJO!$A$5:$A$112,0)),"")</f>
        <v/>
      </c>
      <c r="E7" s="5">
        <f>IFERROR(INDEX(2a_PRE_TRABAJO!D$5:D$112,MATCH($A7,2a_PRE_TRABAJO!$A$5:$A$112,0)),"")</f>
        <v/>
      </c>
      <c r="F7" s="5">
        <f>IFERROR(INDEX(2a_PRE_TRABAJO!E$5:E$112,MATCH($A7,2a_PRE_TRABAJO!$A$5:$A$112,0)),"")</f>
        <v/>
      </c>
      <c r="G7" s="5">
        <f>IFERROR(INDEX(2a_PRE_TRABAJO!F$5:F$112,MATCH($A7,2a_PRE_TRABAJO!$A$5:$A$112,0)),"")</f>
        <v/>
      </c>
      <c r="H7" s="5">
        <f>IFERROR(INDEX(2a_PRE_TRABAJO!G$5:G$112,MATCH($A7,2a_PRE_TRABAJO!$A$5:$A$112,0)),"")</f>
        <v/>
      </c>
      <c r="I7" s="5">
        <f>IFERROR(INDEX(2b_POST_TRABAJO!C$5:C$109,MATCH($A7,2b_POST_TRABAJO!$A$5:$A$109,0)),"")</f>
        <v/>
      </c>
      <c r="J7" s="5">
        <f>IFERROR(INDEX(2a_PRE_TRABAJO!AD$5:AD$112,MATCH($A7,2a_PRE_TRABAJO!$A$5:$A$112,0)),"")</f>
        <v/>
      </c>
      <c r="K7" s="5">
        <f>IFERROR(INDEX(2a_PRE_TRABAJO!AE$5:AE$112,MATCH($A7,2a_PRE_TRABAJO!$A$5:$A$112,0)),"")</f>
        <v/>
      </c>
      <c r="L7" s="5">
        <f>IFERROR(INDEX(2a_PRE_TRABAJO!AF$5:AF$112,MATCH($A7,2a_PRE_TRABAJO!$A$5:$A$112,0)),"")</f>
        <v/>
      </c>
      <c r="M7" s="5">
        <f>IFERROR(INDEX(2a_PRE_TRABAJO!AG$5:AG$112,MATCH($A7,2a_PRE_TRABAJO!$A$5:$A$112,0)),"")</f>
        <v/>
      </c>
      <c r="N7" s="5">
        <f>IFERROR(INDEX(2b_POST_TRABAJO!D$5:D$109,MATCH($A7,2b_POST_TRABAJO!$A$5:$A$109,0)),"")</f>
        <v/>
      </c>
      <c r="O7" s="5">
        <f>IF(OR(N7="",J7=""),"",N7-J7)</f>
        <v/>
      </c>
      <c r="P7" s="5">
        <f>IFERROR(INDEX(2a_PRE_TRABAJO!H$5:H$112,MATCH($A7,2a_PRE_TRABAJO!$A$5:$A$112,0)),"")</f>
        <v/>
      </c>
      <c r="Q7" s="5">
        <f>IFERROR(INDEX(2a_PRE_TRABAJO!I$5:I$112,MATCH($A7,2a_PRE_TRABAJO!$A$5:$A$112,0)),"")</f>
        <v/>
      </c>
      <c r="R7" s="5">
        <f>IFERROR(INDEX(2a_PRE_TRABAJO!J$5:J$112,MATCH($A7,2a_PRE_TRABAJO!$A$5:$A$112,0)),"")</f>
        <v/>
      </c>
      <c r="S7" s="5">
        <f>IFERROR(INDEX(2a_PRE_TRABAJO!K$5:K$112,MATCH($A7,2a_PRE_TRABAJO!$A$5:$A$112,0)),"")</f>
        <v/>
      </c>
      <c r="T7" s="5">
        <f>IFERROR(INDEX(2a_PRE_TRABAJO!L$5:L$112,MATCH($A7,2a_PRE_TRABAJO!$A$5:$A$112,0)),"")</f>
        <v/>
      </c>
      <c r="U7" s="5">
        <f>IFERROR(INDEX(2a_PRE_TRABAJO!M$5:M$112,MATCH($A7,2a_PRE_TRABAJO!$A$5:$A$112,0)),"")</f>
        <v/>
      </c>
      <c r="V7" s="5">
        <f>IFERROR(INDEX(2a_PRE_TRABAJO!N$5:N$112,MATCH($A7,2a_PRE_TRABAJO!$A$5:$A$112,0)),"")</f>
        <v/>
      </c>
      <c r="W7" s="5">
        <f>IFERROR(INDEX(2a_PRE_TRABAJO!O$5:O$112,MATCH($A7,2a_PRE_TRABAJO!$A$5:$A$112,0)),"")</f>
        <v/>
      </c>
      <c r="X7" s="5">
        <f>IFERROR(INDEX(2a_PRE_TRABAJO!P$5:P$112,MATCH($A7,2a_PRE_TRABAJO!$A$5:$A$112,0)),"")</f>
        <v/>
      </c>
      <c r="Y7" s="5">
        <f>IFERROR(INDEX(2a_PRE_TRABAJO!Q$5:Q$112,MATCH($A7,2a_PRE_TRABAJO!$A$5:$A$112,0)),"")</f>
        <v/>
      </c>
      <c r="Z7" s="5">
        <f>IFERROR(INDEX(2a_PRE_TRABAJO!R$5:R$112,MATCH($A7,2a_PRE_TRABAJO!$A$5:$A$112,0)),"")</f>
        <v/>
      </c>
      <c r="AA7" s="5">
        <f>IFERROR(INDEX(2a_PRE_TRABAJO!S$5:S$112,MATCH($A7,2a_PRE_TRABAJO!$A$5:$A$112,0)),"")</f>
        <v/>
      </c>
      <c r="AB7" s="5">
        <f>IFERROR(INDEX(2a_PRE_TRABAJO!T$5:T$112,MATCH($A7,2a_PRE_TRABAJO!$A$5:$A$112,0)),"")</f>
        <v/>
      </c>
      <c r="AC7" s="5">
        <f>IFERROR(INDEX(2a_PRE_TRABAJO!U$5:U$112,MATCH($A7,2a_PRE_TRABAJO!$A$5:$A$112,0)),"")</f>
        <v/>
      </c>
      <c r="AD7" s="5">
        <f>IFERROR(INDEX(2a_PRE_TRABAJO!V$5:V$112,MATCH($A7,2a_PRE_TRABAJO!$A$5:$A$112,0)),"")</f>
        <v/>
      </c>
      <c r="AE7" s="5">
        <f>IFERROR(INDEX(2a_PRE_TRABAJO!W$5:W$112,MATCH($A7,2a_PRE_TRABAJO!$A$5:$A$112,0)),"")</f>
        <v/>
      </c>
      <c r="AF7" s="5">
        <f>IFERROR(INDEX(2a_PRE_TRABAJO!X$5:X$112,MATCH($A7,2a_PRE_TRABAJO!$A$5:$A$112,0)),"")</f>
        <v/>
      </c>
      <c r="AG7" s="5">
        <f>IFERROR(INDEX(2a_PRE_TRABAJO!Y$5:Y$112,MATCH($A7,2a_PRE_TRABAJO!$A$5:$A$112,0)),"")</f>
        <v/>
      </c>
      <c r="AH7" s="5">
        <f>IFERROR(INDEX(2a_PRE_TRABAJO!Z$5:Z$112,MATCH($A7,2a_PRE_TRABAJO!$A$5:$A$112,0)),"")</f>
        <v/>
      </c>
      <c r="AI7" s="5">
        <f>IFERROR(INDEX(2a_PRE_TRABAJO!AA$5:AA$112,MATCH($A7,2a_PRE_TRABAJO!$A$5:$A$112,0)),"")</f>
        <v/>
      </c>
      <c r="AJ7" s="5">
        <f>IFERROR(INDEX(2a_PRE_TRABAJO!AB$5:AB$112,MATCH($A7,2a_PRE_TRABAJO!$A$5:$A$112,0)),"")</f>
        <v/>
      </c>
      <c r="AK7" s="5">
        <f>IFERROR(INDEX(2a_PRE_TRABAJO!AC$5:AC$112,MATCH($A7,2a_PRE_TRABAJO!$A$5:$A$112,0)),"")</f>
        <v/>
      </c>
    </row>
    <row r="8">
      <c r="A8" s="3" t="inlineStr">
        <is>
          <t>GU-TDH-006</t>
        </is>
      </c>
      <c r="B8" s="3" t="n">
        <v>1</v>
      </c>
      <c r="C8" s="5">
        <f>IFERROR(INDEX(2a_PRE_TRABAJO!B$5:B$112,MATCH($A8,2a_PRE_TRABAJO!$A$5:$A$112,0)),"")</f>
        <v/>
      </c>
      <c r="D8" s="5">
        <f>IFERROR(INDEX(2a_PRE_TRABAJO!C$5:C$112,MATCH($A8,2a_PRE_TRABAJO!$A$5:$A$112,0)),"")</f>
        <v/>
      </c>
      <c r="E8" s="5">
        <f>IFERROR(INDEX(2a_PRE_TRABAJO!D$5:D$112,MATCH($A8,2a_PRE_TRABAJO!$A$5:$A$112,0)),"")</f>
        <v/>
      </c>
      <c r="F8" s="5">
        <f>IFERROR(INDEX(2a_PRE_TRABAJO!E$5:E$112,MATCH($A8,2a_PRE_TRABAJO!$A$5:$A$112,0)),"")</f>
        <v/>
      </c>
      <c r="G8" s="5">
        <f>IFERROR(INDEX(2a_PRE_TRABAJO!F$5:F$112,MATCH($A8,2a_PRE_TRABAJO!$A$5:$A$112,0)),"")</f>
        <v/>
      </c>
      <c r="H8" s="5">
        <f>IFERROR(INDEX(2a_PRE_TRABAJO!G$5:G$112,MATCH($A8,2a_PRE_TRABAJO!$A$5:$A$112,0)),"")</f>
        <v/>
      </c>
      <c r="I8" s="5">
        <f>IFERROR(INDEX(2b_POST_TRABAJO!C$5:C$109,MATCH($A8,2b_POST_TRABAJO!$A$5:$A$109,0)),"")</f>
        <v/>
      </c>
      <c r="J8" s="5">
        <f>IFERROR(INDEX(2a_PRE_TRABAJO!AD$5:AD$112,MATCH($A8,2a_PRE_TRABAJO!$A$5:$A$112,0)),"")</f>
        <v/>
      </c>
      <c r="K8" s="5">
        <f>IFERROR(INDEX(2a_PRE_TRABAJO!AE$5:AE$112,MATCH($A8,2a_PRE_TRABAJO!$A$5:$A$112,0)),"")</f>
        <v/>
      </c>
      <c r="L8" s="5">
        <f>IFERROR(INDEX(2a_PRE_TRABAJO!AF$5:AF$112,MATCH($A8,2a_PRE_TRABAJO!$A$5:$A$112,0)),"")</f>
        <v/>
      </c>
      <c r="M8" s="5">
        <f>IFERROR(INDEX(2a_PRE_TRABAJO!AG$5:AG$112,MATCH($A8,2a_PRE_TRABAJO!$A$5:$A$112,0)),"")</f>
        <v/>
      </c>
      <c r="N8" s="5">
        <f>IFERROR(INDEX(2b_POST_TRABAJO!D$5:D$109,MATCH($A8,2b_POST_TRABAJO!$A$5:$A$109,0)),"")</f>
        <v/>
      </c>
      <c r="O8" s="5">
        <f>IF(OR(N8="",J8=""),"",N8-J8)</f>
        <v/>
      </c>
      <c r="P8" s="5">
        <f>IFERROR(INDEX(2a_PRE_TRABAJO!H$5:H$112,MATCH($A8,2a_PRE_TRABAJO!$A$5:$A$112,0)),"")</f>
        <v/>
      </c>
      <c r="Q8" s="5">
        <f>IFERROR(INDEX(2a_PRE_TRABAJO!I$5:I$112,MATCH($A8,2a_PRE_TRABAJO!$A$5:$A$112,0)),"")</f>
        <v/>
      </c>
      <c r="R8" s="5">
        <f>IFERROR(INDEX(2a_PRE_TRABAJO!J$5:J$112,MATCH($A8,2a_PRE_TRABAJO!$A$5:$A$112,0)),"")</f>
        <v/>
      </c>
      <c r="S8" s="5">
        <f>IFERROR(INDEX(2a_PRE_TRABAJO!K$5:K$112,MATCH($A8,2a_PRE_TRABAJO!$A$5:$A$112,0)),"")</f>
        <v/>
      </c>
      <c r="T8" s="5">
        <f>IFERROR(INDEX(2a_PRE_TRABAJO!L$5:L$112,MATCH($A8,2a_PRE_TRABAJO!$A$5:$A$112,0)),"")</f>
        <v/>
      </c>
      <c r="U8" s="5">
        <f>IFERROR(INDEX(2a_PRE_TRABAJO!M$5:M$112,MATCH($A8,2a_PRE_TRABAJO!$A$5:$A$112,0)),"")</f>
        <v/>
      </c>
      <c r="V8" s="5">
        <f>IFERROR(INDEX(2a_PRE_TRABAJO!N$5:N$112,MATCH($A8,2a_PRE_TRABAJO!$A$5:$A$112,0)),"")</f>
        <v/>
      </c>
      <c r="W8" s="5">
        <f>IFERROR(INDEX(2a_PRE_TRABAJO!O$5:O$112,MATCH($A8,2a_PRE_TRABAJO!$A$5:$A$112,0)),"")</f>
        <v/>
      </c>
      <c r="X8" s="5">
        <f>IFERROR(INDEX(2a_PRE_TRABAJO!P$5:P$112,MATCH($A8,2a_PRE_TRABAJO!$A$5:$A$112,0)),"")</f>
        <v/>
      </c>
      <c r="Y8" s="5">
        <f>IFERROR(INDEX(2a_PRE_TRABAJO!Q$5:Q$112,MATCH($A8,2a_PRE_TRABAJO!$A$5:$A$112,0)),"")</f>
        <v/>
      </c>
      <c r="Z8" s="5">
        <f>IFERROR(INDEX(2a_PRE_TRABAJO!R$5:R$112,MATCH($A8,2a_PRE_TRABAJO!$A$5:$A$112,0)),"")</f>
        <v/>
      </c>
      <c r="AA8" s="5">
        <f>IFERROR(INDEX(2a_PRE_TRABAJO!S$5:S$112,MATCH($A8,2a_PRE_TRABAJO!$A$5:$A$112,0)),"")</f>
        <v/>
      </c>
      <c r="AB8" s="5">
        <f>IFERROR(INDEX(2a_PRE_TRABAJO!T$5:T$112,MATCH($A8,2a_PRE_TRABAJO!$A$5:$A$112,0)),"")</f>
        <v/>
      </c>
      <c r="AC8" s="5">
        <f>IFERROR(INDEX(2a_PRE_TRABAJO!U$5:U$112,MATCH($A8,2a_PRE_TRABAJO!$A$5:$A$112,0)),"")</f>
        <v/>
      </c>
      <c r="AD8" s="5">
        <f>IFERROR(INDEX(2a_PRE_TRABAJO!V$5:V$112,MATCH($A8,2a_PRE_TRABAJO!$A$5:$A$112,0)),"")</f>
        <v/>
      </c>
      <c r="AE8" s="5">
        <f>IFERROR(INDEX(2a_PRE_TRABAJO!W$5:W$112,MATCH($A8,2a_PRE_TRABAJO!$A$5:$A$112,0)),"")</f>
        <v/>
      </c>
      <c r="AF8" s="5">
        <f>IFERROR(INDEX(2a_PRE_TRABAJO!X$5:X$112,MATCH($A8,2a_PRE_TRABAJO!$A$5:$A$112,0)),"")</f>
        <v/>
      </c>
      <c r="AG8" s="5">
        <f>IFERROR(INDEX(2a_PRE_TRABAJO!Y$5:Y$112,MATCH($A8,2a_PRE_TRABAJO!$A$5:$A$112,0)),"")</f>
        <v/>
      </c>
      <c r="AH8" s="5">
        <f>IFERROR(INDEX(2a_PRE_TRABAJO!Z$5:Z$112,MATCH($A8,2a_PRE_TRABAJO!$A$5:$A$112,0)),"")</f>
        <v/>
      </c>
      <c r="AI8" s="5">
        <f>IFERROR(INDEX(2a_PRE_TRABAJO!AA$5:AA$112,MATCH($A8,2a_PRE_TRABAJO!$A$5:$A$112,0)),"")</f>
        <v/>
      </c>
      <c r="AJ8" s="5">
        <f>IFERROR(INDEX(2a_PRE_TRABAJO!AB$5:AB$112,MATCH($A8,2a_PRE_TRABAJO!$A$5:$A$112,0)),"")</f>
        <v/>
      </c>
      <c r="AK8" s="5">
        <f>IFERROR(INDEX(2a_PRE_TRABAJO!AC$5:AC$112,MATCH($A8,2a_PRE_TRABAJO!$A$5:$A$112,0)),"")</f>
        <v/>
      </c>
    </row>
    <row r="9">
      <c r="A9" s="3" t="inlineStr">
        <is>
          <t>GU-TDH-007</t>
        </is>
      </c>
      <c r="B9" s="3" t="n">
        <v>1</v>
      </c>
      <c r="C9" s="5">
        <f>IFERROR(INDEX(2a_PRE_TRABAJO!B$5:B$112,MATCH($A9,2a_PRE_TRABAJO!$A$5:$A$112,0)),"")</f>
        <v/>
      </c>
      <c r="D9" s="5">
        <f>IFERROR(INDEX(2a_PRE_TRABAJO!C$5:C$112,MATCH($A9,2a_PRE_TRABAJO!$A$5:$A$112,0)),"")</f>
        <v/>
      </c>
      <c r="E9" s="5">
        <f>IFERROR(INDEX(2a_PRE_TRABAJO!D$5:D$112,MATCH($A9,2a_PRE_TRABAJO!$A$5:$A$112,0)),"")</f>
        <v/>
      </c>
      <c r="F9" s="5">
        <f>IFERROR(INDEX(2a_PRE_TRABAJO!E$5:E$112,MATCH($A9,2a_PRE_TRABAJO!$A$5:$A$112,0)),"")</f>
        <v/>
      </c>
      <c r="G9" s="5">
        <f>IFERROR(INDEX(2a_PRE_TRABAJO!F$5:F$112,MATCH($A9,2a_PRE_TRABAJO!$A$5:$A$112,0)),"")</f>
        <v/>
      </c>
      <c r="H9" s="5">
        <f>IFERROR(INDEX(2a_PRE_TRABAJO!G$5:G$112,MATCH($A9,2a_PRE_TRABAJO!$A$5:$A$112,0)),"")</f>
        <v/>
      </c>
      <c r="I9" s="5">
        <f>IFERROR(INDEX(2b_POST_TRABAJO!C$5:C$109,MATCH($A9,2b_POST_TRABAJO!$A$5:$A$109,0)),"")</f>
        <v/>
      </c>
      <c r="J9" s="5">
        <f>IFERROR(INDEX(2a_PRE_TRABAJO!AD$5:AD$112,MATCH($A9,2a_PRE_TRABAJO!$A$5:$A$112,0)),"")</f>
        <v/>
      </c>
      <c r="K9" s="5">
        <f>IFERROR(INDEX(2a_PRE_TRABAJO!AE$5:AE$112,MATCH($A9,2a_PRE_TRABAJO!$A$5:$A$112,0)),"")</f>
        <v/>
      </c>
      <c r="L9" s="5">
        <f>IFERROR(INDEX(2a_PRE_TRABAJO!AF$5:AF$112,MATCH($A9,2a_PRE_TRABAJO!$A$5:$A$112,0)),"")</f>
        <v/>
      </c>
      <c r="M9" s="5">
        <f>IFERROR(INDEX(2a_PRE_TRABAJO!AG$5:AG$112,MATCH($A9,2a_PRE_TRABAJO!$A$5:$A$112,0)),"")</f>
        <v/>
      </c>
      <c r="N9" s="5">
        <f>IFERROR(INDEX(2b_POST_TRABAJO!D$5:D$109,MATCH($A9,2b_POST_TRABAJO!$A$5:$A$109,0)),"")</f>
        <v/>
      </c>
      <c r="O9" s="5">
        <f>IF(OR(N9="",J9=""),"",N9-J9)</f>
        <v/>
      </c>
      <c r="P9" s="5">
        <f>IFERROR(INDEX(2a_PRE_TRABAJO!H$5:H$112,MATCH($A9,2a_PRE_TRABAJO!$A$5:$A$112,0)),"")</f>
        <v/>
      </c>
      <c r="Q9" s="5">
        <f>IFERROR(INDEX(2a_PRE_TRABAJO!I$5:I$112,MATCH($A9,2a_PRE_TRABAJO!$A$5:$A$112,0)),"")</f>
        <v/>
      </c>
      <c r="R9" s="5">
        <f>IFERROR(INDEX(2a_PRE_TRABAJO!J$5:J$112,MATCH($A9,2a_PRE_TRABAJO!$A$5:$A$112,0)),"")</f>
        <v/>
      </c>
      <c r="S9" s="5">
        <f>IFERROR(INDEX(2a_PRE_TRABAJO!K$5:K$112,MATCH($A9,2a_PRE_TRABAJO!$A$5:$A$112,0)),"")</f>
        <v/>
      </c>
      <c r="T9" s="5">
        <f>IFERROR(INDEX(2a_PRE_TRABAJO!L$5:L$112,MATCH($A9,2a_PRE_TRABAJO!$A$5:$A$112,0)),"")</f>
        <v/>
      </c>
      <c r="U9" s="5">
        <f>IFERROR(INDEX(2a_PRE_TRABAJO!M$5:M$112,MATCH($A9,2a_PRE_TRABAJO!$A$5:$A$112,0)),"")</f>
        <v/>
      </c>
      <c r="V9" s="5">
        <f>IFERROR(INDEX(2a_PRE_TRABAJO!N$5:N$112,MATCH($A9,2a_PRE_TRABAJO!$A$5:$A$112,0)),"")</f>
        <v/>
      </c>
      <c r="W9" s="5">
        <f>IFERROR(INDEX(2a_PRE_TRABAJO!O$5:O$112,MATCH($A9,2a_PRE_TRABAJO!$A$5:$A$112,0)),"")</f>
        <v/>
      </c>
      <c r="X9" s="5">
        <f>IFERROR(INDEX(2a_PRE_TRABAJO!P$5:P$112,MATCH($A9,2a_PRE_TRABAJO!$A$5:$A$112,0)),"")</f>
        <v/>
      </c>
      <c r="Y9" s="5">
        <f>IFERROR(INDEX(2a_PRE_TRABAJO!Q$5:Q$112,MATCH($A9,2a_PRE_TRABAJO!$A$5:$A$112,0)),"")</f>
        <v/>
      </c>
      <c r="Z9" s="5">
        <f>IFERROR(INDEX(2a_PRE_TRABAJO!R$5:R$112,MATCH($A9,2a_PRE_TRABAJO!$A$5:$A$112,0)),"")</f>
        <v/>
      </c>
      <c r="AA9" s="5">
        <f>IFERROR(INDEX(2a_PRE_TRABAJO!S$5:S$112,MATCH($A9,2a_PRE_TRABAJO!$A$5:$A$112,0)),"")</f>
        <v/>
      </c>
      <c r="AB9" s="5">
        <f>IFERROR(INDEX(2a_PRE_TRABAJO!T$5:T$112,MATCH($A9,2a_PRE_TRABAJO!$A$5:$A$112,0)),"")</f>
        <v/>
      </c>
      <c r="AC9" s="5">
        <f>IFERROR(INDEX(2a_PRE_TRABAJO!U$5:U$112,MATCH($A9,2a_PRE_TRABAJO!$A$5:$A$112,0)),"")</f>
        <v/>
      </c>
      <c r="AD9" s="5">
        <f>IFERROR(INDEX(2a_PRE_TRABAJO!V$5:V$112,MATCH($A9,2a_PRE_TRABAJO!$A$5:$A$112,0)),"")</f>
        <v/>
      </c>
      <c r="AE9" s="5">
        <f>IFERROR(INDEX(2a_PRE_TRABAJO!W$5:W$112,MATCH($A9,2a_PRE_TRABAJO!$A$5:$A$112,0)),"")</f>
        <v/>
      </c>
      <c r="AF9" s="5">
        <f>IFERROR(INDEX(2a_PRE_TRABAJO!X$5:X$112,MATCH($A9,2a_PRE_TRABAJO!$A$5:$A$112,0)),"")</f>
        <v/>
      </c>
      <c r="AG9" s="5">
        <f>IFERROR(INDEX(2a_PRE_TRABAJO!Y$5:Y$112,MATCH($A9,2a_PRE_TRABAJO!$A$5:$A$112,0)),"")</f>
        <v/>
      </c>
      <c r="AH9" s="5">
        <f>IFERROR(INDEX(2a_PRE_TRABAJO!Z$5:Z$112,MATCH($A9,2a_PRE_TRABAJO!$A$5:$A$112,0)),"")</f>
        <v/>
      </c>
      <c r="AI9" s="5">
        <f>IFERROR(INDEX(2a_PRE_TRABAJO!AA$5:AA$112,MATCH($A9,2a_PRE_TRABAJO!$A$5:$A$112,0)),"")</f>
        <v/>
      </c>
      <c r="AJ9" s="5">
        <f>IFERROR(INDEX(2a_PRE_TRABAJO!AB$5:AB$112,MATCH($A9,2a_PRE_TRABAJO!$A$5:$A$112,0)),"")</f>
        <v/>
      </c>
      <c r="AK9" s="5">
        <f>IFERROR(INDEX(2a_PRE_TRABAJO!AC$5:AC$112,MATCH($A9,2a_PRE_TRABAJO!$A$5:$A$112,0)),"")</f>
        <v/>
      </c>
    </row>
    <row r="10">
      <c r="A10" s="3" t="inlineStr">
        <is>
          <t>GU-TDH-008</t>
        </is>
      </c>
      <c r="B10" s="3" t="n">
        <v>1</v>
      </c>
      <c r="C10" s="5">
        <f>IFERROR(INDEX(2a_PRE_TRABAJO!B$5:B$112,MATCH($A10,2a_PRE_TRABAJO!$A$5:$A$112,0)),"")</f>
        <v/>
      </c>
      <c r="D10" s="5">
        <f>IFERROR(INDEX(2a_PRE_TRABAJO!C$5:C$112,MATCH($A10,2a_PRE_TRABAJO!$A$5:$A$112,0)),"")</f>
        <v/>
      </c>
      <c r="E10" s="5">
        <f>IFERROR(INDEX(2a_PRE_TRABAJO!D$5:D$112,MATCH($A10,2a_PRE_TRABAJO!$A$5:$A$112,0)),"")</f>
        <v/>
      </c>
      <c r="F10" s="5">
        <f>IFERROR(INDEX(2a_PRE_TRABAJO!E$5:E$112,MATCH($A10,2a_PRE_TRABAJO!$A$5:$A$112,0)),"")</f>
        <v/>
      </c>
      <c r="G10" s="5">
        <f>IFERROR(INDEX(2a_PRE_TRABAJO!F$5:F$112,MATCH($A10,2a_PRE_TRABAJO!$A$5:$A$112,0)),"")</f>
        <v/>
      </c>
      <c r="H10" s="5">
        <f>IFERROR(INDEX(2a_PRE_TRABAJO!G$5:G$112,MATCH($A10,2a_PRE_TRABAJO!$A$5:$A$112,0)),"")</f>
        <v/>
      </c>
      <c r="I10" s="5">
        <f>IFERROR(INDEX(2b_POST_TRABAJO!C$5:C$109,MATCH($A10,2b_POST_TRABAJO!$A$5:$A$109,0)),"")</f>
        <v/>
      </c>
      <c r="J10" s="5">
        <f>IFERROR(INDEX(2a_PRE_TRABAJO!AD$5:AD$112,MATCH($A10,2a_PRE_TRABAJO!$A$5:$A$112,0)),"")</f>
        <v/>
      </c>
      <c r="K10" s="5">
        <f>IFERROR(INDEX(2a_PRE_TRABAJO!AE$5:AE$112,MATCH($A10,2a_PRE_TRABAJO!$A$5:$A$112,0)),"")</f>
        <v/>
      </c>
      <c r="L10" s="5">
        <f>IFERROR(INDEX(2a_PRE_TRABAJO!AF$5:AF$112,MATCH($A10,2a_PRE_TRABAJO!$A$5:$A$112,0)),"")</f>
        <v/>
      </c>
      <c r="M10" s="5">
        <f>IFERROR(INDEX(2a_PRE_TRABAJO!AG$5:AG$112,MATCH($A10,2a_PRE_TRABAJO!$A$5:$A$112,0)),"")</f>
        <v/>
      </c>
      <c r="N10" s="5">
        <f>IFERROR(INDEX(2b_POST_TRABAJO!D$5:D$109,MATCH($A10,2b_POST_TRABAJO!$A$5:$A$109,0)),"")</f>
        <v/>
      </c>
      <c r="O10" s="5">
        <f>IF(OR(N10="",J10=""),"",N10-J10)</f>
        <v/>
      </c>
      <c r="P10" s="5">
        <f>IFERROR(INDEX(2a_PRE_TRABAJO!H$5:H$112,MATCH($A10,2a_PRE_TRABAJO!$A$5:$A$112,0)),"")</f>
        <v/>
      </c>
      <c r="Q10" s="5">
        <f>IFERROR(INDEX(2a_PRE_TRABAJO!I$5:I$112,MATCH($A10,2a_PRE_TRABAJO!$A$5:$A$112,0)),"")</f>
        <v/>
      </c>
      <c r="R10" s="5">
        <f>IFERROR(INDEX(2a_PRE_TRABAJO!J$5:J$112,MATCH($A10,2a_PRE_TRABAJO!$A$5:$A$112,0)),"")</f>
        <v/>
      </c>
      <c r="S10" s="5">
        <f>IFERROR(INDEX(2a_PRE_TRABAJO!K$5:K$112,MATCH($A10,2a_PRE_TRABAJO!$A$5:$A$112,0)),"")</f>
        <v/>
      </c>
      <c r="T10" s="5">
        <f>IFERROR(INDEX(2a_PRE_TRABAJO!L$5:L$112,MATCH($A10,2a_PRE_TRABAJO!$A$5:$A$112,0)),"")</f>
        <v/>
      </c>
      <c r="U10" s="5">
        <f>IFERROR(INDEX(2a_PRE_TRABAJO!M$5:M$112,MATCH($A10,2a_PRE_TRABAJO!$A$5:$A$112,0)),"")</f>
        <v/>
      </c>
      <c r="V10" s="5">
        <f>IFERROR(INDEX(2a_PRE_TRABAJO!N$5:N$112,MATCH($A10,2a_PRE_TRABAJO!$A$5:$A$112,0)),"")</f>
        <v/>
      </c>
      <c r="W10" s="5">
        <f>IFERROR(INDEX(2a_PRE_TRABAJO!O$5:O$112,MATCH($A10,2a_PRE_TRABAJO!$A$5:$A$112,0)),"")</f>
        <v/>
      </c>
      <c r="X10" s="5">
        <f>IFERROR(INDEX(2a_PRE_TRABAJO!P$5:P$112,MATCH($A10,2a_PRE_TRABAJO!$A$5:$A$112,0)),"")</f>
        <v/>
      </c>
      <c r="Y10" s="5">
        <f>IFERROR(INDEX(2a_PRE_TRABAJO!Q$5:Q$112,MATCH($A10,2a_PRE_TRABAJO!$A$5:$A$112,0)),"")</f>
        <v/>
      </c>
      <c r="Z10" s="5">
        <f>IFERROR(INDEX(2a_PRE_TRABAJO!R$5:R$112,MATCH($A10,2a_PRE_TRABAJO!$A$5:$A$112,0)),"")</f>
        <v/>
      </c>
      <c r="AA10" s="5">
        <f>IFERROR(INDEX(2a_PRE_TRABAJO!S$5:S$112,MATCH($A10,2a_PRE_TRABAJO!$A$5:$A$112,0)),"")</f>
        <v/>
      </c>
      <c r="AB10" s="5">
        <f>IFERROR(INDEX(2a_PRE_TRABAJO!T$5:T$112,MATCH($A10,2a_PRE_TRABAJO!$A$5:$A$112,0)),"")</f>
        <v/>
      </c>
      <c r="AC10" s="5">
        <f>IFERROR(INDEX(2a_PRE_TRABAJO!U$5:U$112,MATCH($A10,2a_PRE_TRABAJO!$A$5:$A$112,0)),"")</f>
        <v/>
      </c>
      <c r="AD10" s="5">
        <f>IFERROR(INDEX(2a_PRE_TRABAJO!V$5:V$112,MATCH($A10,2a_PRE_TRABAJO!$A$5:$A$112,0)),"")</f>
        <v/>
      </c>
      <c r="AE10" s="5">
        <f>IFERROR(INDEX(2a_PRE_TRABAJO!W$5:W$112,MATCH($A10,2a_PRE_TRABAJO!$A$5:$A$112,0)),"")</f>
        <v/>
      </c>
      <c r="AF10" s="5">
        <f>IFERROR(INDEX(2a_PRE_TRABAJO!X$5:X$112,MATCH($A10,2a_PRE_TRABAJO!$A$5:$A$112,0)),"")</f>
        <v/>
      </c>
      <c r="AG10" s="5">
        <f>IFERROR(INDEX(2a_PRE_TRABAJO!Y$5:Y$112,MATCH($A10,2a_PRE_TRABAJO!$A$5:$A$112,0)),"")</f>
        <v/>
      </c>
      <c r="AH10" s="5">
        <f>IFERROR(INDEX(2a_PRE_TRABAJO!Z$5:Z$112,MATCH($A10,2a_PRE_TRABAJO!$A$5:$A$112,0)),"")</f>
        <v/>
      </c>
      <c r="AI10" s="5">
        <f>IFERROR(INDEX(2a_PRE_TRABAJO!AA$5:AA$112,MATCH($A10,2a_PRE_TRABAJO!$A$5:$A$112,0)),"")</f>
        <v/>
      </c>
      <c r="AJ10" s="5">
        <f>IFERROR(INDEX(2a_PRE_TRABAJO!AB$5:AB$112,MATCH($A10,2a_PRE_TRABAJO!$A$5:$A$112,0)),"")</f>
        <v/>
      </c>
      <c r="AK10" s="5">
        <f>IFERROR(INDEX(2a_PRE_TRABAJO!AC$5:AC$112,MATCH($A10,2a_PRE_TRABAJO!$A$5:$A$112,0)),"")</f>
        <v/>
      </c>
    </row>
    <row r="11">
      <c r="A11" s="3" t="inlineStr">
        <is>
          <t>GU-TDH-009</t>
        </is>
      </c>
      <c r="B11" s="3" t="n">
        <v>1</v>
      </c>
      <c r="C11" s="5">
        <f>IFERROR(INDEX(2a_PRE_TRABAJO!B$5:B$112,MATCH($A11,2a_PRE_TRABAJO!$A$5:$A$112,0)),"")</f>
        <v/>
      </c>
      <c r="D11" s="5">
        <f>IFERROR(INDEX(2a_PRE_TRABAJO!C$5:C$112,MATCH($A11,2a_PRE_TRABAJO!$A$5:$A$112,0)),"")</f>
        <v/>
      </c>
      <c r="E11" s="5">
        <f>IFERROR(INDEX(2a_PRE_TRABAJO!D$5:D$112,MATCH($A11,2a_PRE_TRABAJO!$A$5:$A$112,0)),"")</f>
        <v/>
      </c>
      <c r="F11" s="5">
        <f>IFERROR(INDEX(2a_PRE_TRABAJO!E$5:E$112,MATCH($A11,2a_PRE_TRABAJO!$A$5:$A$112,0)),"")</f>
        <v/>
      </c>
      <c r="G11" s="5">
        <f>IFERROR(INDEX(2a_PRE_TRABAJO!F$5:F$112,MATCH($A11,2a_PRE_TRABAJO!$A$5:$A$112,0)),"")</f>
        <v/>
      </c>
      <c r="H11" s="5">
        <f>IFERROR(INDEX(2a_PRE_TRABAJO!G$5:G$112,MATCH($A11,2a_PRE_TRABAJO!$A$5:$A$112,0)),"")</f>
        <v/>
      </c>
      <c r="I11" s="5">
        <f>IFERROR(INDEX(2b_POST_TRABAJO!C$5:C$109,MATCH($A11,2b_POST_TRABAJO!$A$5:$A$109,0)),"")</f>
        <v/>
      </c>
      <c r="J11" s="5">
        <f>IFERROR(INDEX(2a_PRE_TRABAJO!AD$5:AD$112,MATCH($A11,2a_PRE_TRABAJO!$A$5:$A$112,0)),"")</f>
        <v/>
      </c>
      <c r="K11" s="5">
        <f>IFERROR(INDEX(2a_PRE_TRABAJO!AE$5:AE$112,MATCH($A11,2a_PRE_TRABAJO!$A$5:$A$112,0)),"")</f>
        <v/>
      </c>
      <c r="L11" s="5">
        <f>IFERROR(INDEX(2a_PRE_TRABAJO!AF$5:AF$112,MATCH($A11,2a_PRE_TRABAJO!$A$5:$A$112,0)),"")</f>
        <v/>
      </c>
      <c r="M11" s="5">
        <f>IFERROR(INDEX(2a_PRE_TRABAJO!AG$5:AG$112,MATCH($A11,2a_PRE_TRABAJO!$A$5:$A$112,0)),"")</f>
        <v/>
      </c>
      <c r="N11" s="5">
        <f>IFERROR(INDEX(2b_POST_TRABAJO!D$5:D$109,MATCH($A11,2b_POST_TRABAJO!$A$5:$A$109,0)),"")</f>
        <v/>
      </c>
      <c r="O11" s="5">
        <f>IF(OR(N11="",J11=""),"",N11-J11)</f>
        <v/>
      </c>
      <c r="P11" s="5">
        <f>IFERROR(INDEX(2a_PRE_TRABAJO!H$5:H$112,MATCH($A11,2a_PRE_TRABAJO!$A$5:$A$112,0)),"")</f>
        <v/>
      </c>
      <c r="Q11" s="5">
        <f>IFERROR(INDEX(2a_PRE_TRABAJO!I$5:I$112,MATCH($A11,2a_PRE_TRABAJO!$A$5:$A$112,0)),"")</f>
        <v/>
      </c>
      <c r="R11" s="5">
        <f>IFERROR(INDEX(2a_PRE_TRABAJO!J$5:J$112,MATCH($A11,2a_PRE_TRABAJO!$A$5:$A$112,0)),"")</f>
        <v/>
      </c>
      <c r="S11" s="5">
        <f>IFERROR(INDEX(2a_PRE_TRABAJO!K$5:K$112,MATCH($A11,2a_PRE_TRABAJO!$A$5:$A$112,0)),"")</f>
        <v/>
      </c>
      <c r="T11" s="5">
        <f>IFERROR(INDEX(2a_PRE_TRABAJO!L$5:L$112,MATCH($A11,2a_PRE_TRABAJO!$A$5:$A$112,0)),"")</f>
        <v/>
      </c>
      <c r="U11" s="5">
        <f>IFERROR(INDEX(2a_PRE_TRABAJO!M$5:M$112,MATCH($A11,2a_PRE_TRABAJO!$A$5:$A$112,0)),"")</f>
        <v/>
      </c>
      <c r="V11" s="5">
        <f>IFERROR(INDEX(2a_PRE_TRABAJO!N$5:N$112,MATCH($A11,2a_PRE_TRABAJO!$A$5:$A$112,0)),"")</f>
        <v/>
      </c>
      <c r="W11" s="5">
        <f>IFERROR(INDEX(2a_PRE_TRABAJO!O$5:O$112,MATCH($A11,2a_PRE_TRABAJO!$A$5:$A$112,0)),"")</f>
        <v/>
      </c>
      <c r="X11" s="5">
        <f>IFERROR(INDEX(2a_PRE_TRABAJO!P$5:P$112,MATCH($A11,2a_PRE_TRABAJO!$A$5:$A$112,0)),"")</f>
        <v/>
      </c>
      <c r="Y11" s="5">
        <f>IFERROR(INDEX(2a_PRE_TRABAJO!Q$5:Q$112,MATCH($A11,2a_PRE_TRABAJO!$A$5:$A$112,0)),"")</f>
        <v/>
      </c>
      <c r="Z11" s="5">
        <f>IFERROR(INDEX(2a_PRE_TRABAJO!R$5:R$112,MATCH($A11,2a_PRE_TRABAJO!$A$5:$A$112,0)),"")</f>
        <v/>
      </c>
      <c r="AA11" s="5">
        <f>IFERROR(INDEX(2a_PRE_TRABAJO!S$5:S$112,MATCH($A11,2a_PRE_TRABAJO!$A$5:$A$112,0)),"")</f>
        <v/>
      </c>
      <c r="AB11" s="5">
        <f>IFERROR(INDEX(2a_PRE_TRABAJO!T$5:T$112,MATCH($A11,2a_PRE_TRABAJO!$A$5:$A$112,0)),"")</f>
        <v/>
      </c>
      <c r="AC11" s="5">
        <f>IFERROR(INDEX(2a_PRE_TRABAJO!U$5:U$112,MATCH($A11,2a_PRE_TRABAJO!$A$5:$A$112,0)),"")</f>
        <v/>
      </c>
      <c r="AD11" s="5">
        <f>IFERROR(INDEX(2a_PRE_TRABAJO!V$5:V$112,MATCH($A11,2a_PRE_TRABAJO!$A$5:$A$112,0)),"")</f>
        <v/>
      </c>
      <c r="AE11" s="5">
        <f>IFERROR(INDEX(2a_PRE_TRABAJO!W$5:W$112,MATCH($A11,2a_PRE_TRABAJO!$A$5:$A$112,0)),"")</f>
        <v/>
      </c>
      <c r="AF11" s="5">
        <f>IFERROR(INDEX(2a_PRE_TRABAJO!X$5:X$112,MATCH($A11,2a_PRE_TRABAJO!$A$5:$A$112,0)),"")</f>
        <v/>
      </c>
      <c r="AG11" s="5">
        <f>IFERROR(INDEX(2a_PRE_TRABAJO!Y$5:Y$112,MATCH($A11,2a_PRE_TRABAJO!$A$5:$A$112,0)),"")</f>
        <v/>
      </c>
      <c r="AH11" s="5">
        <f>IFERROR(INDEX(2a_PRE_TRABAJO!Z$5:Z$112,MATCH($A11,2a_PRE_TRABAJO!$A$5:$A$112,0)),"")</f>
        <v/>
      </c>
      <c r="AI11" s="5">
        <f>IFERROR(INDEX(2a_PRE_TRABAJO!AA$5:AA$112,MATCH($A11,2a_PRE_TRABAJO!$A$5:$A$112,0)),"")</f>
        <v/>
      </c>
      <c r="AJ11" s="5">
        <f>IFERROR(INDEX(2a_PRE_TRABAJO!AB$5:AB$112,MATCH($A11,2a_PRE_TRABAJO!$A$5:$A$112,0)),"")</f>
        <v/>
      </c>
      <c r="AK11" s="5">
        <f>IFERROR(INDEX(2a_PRE_TRABAJO!AC$5:AC$112,MATCH($A11,2a_PRE_TRABAJO!$A$5:$A$112,0)),"")</f>
        <v/>
      </c>
    </row>
    <row r="12">
      <c r="A12" s="3" t="inlineStr">
        <is>
          <t>GU-TDH-010</t>
        </is>
      </c>
      <c r="B12" s="3" t="n">
        <v>1</v>
      </c>
      <c r="C12" s="5">
        <f>IFERROR(INDEX(2a_PRE_TRABAJO!B$5:B$112,MATCH($A12,2a_PRE_TRABAJO!$A$5:$A$112,0)),"")</f>
        <v/>
      </c>
      <c r="D12" s="5">
        <f>IFERROR(INDEX(2a_PRE_TRABAJO!C$5:C$112,MATCH($A12,2a_PRE_TRABAJO!$A$5:$A$112,0)),"")</f>
        <v/>
      </c>
      <c r="E12" s="5">
        <f>IFERROR(INDEX(2a_PRE_TRABAJO!D$5:D$112,MATCH($A12,2a_PRE_TRABAJO!$A$5:$A$112,0)),"")</f>
        <v/>
      </c>
      <c r="F12" s="5">
        <f>IFERROR(INDEX(2a_PRE_TRABAJO!E$5:E$112,MATCH($A12,2a_PRE_TRABAJO!$A$5:$A$112,0)),"")</f>
        <v/>
      </c>
      <c r="G12" s="5">
        <f>IFERROR(INDEX(2a_PRE_TRABAJO!F$5:F$112,MATCH($A12,2a_PRE_TRABAJO!$A$5:$A$112,0)),"")</f>
        <v/>
      </c>
      <c r="H12" s="5">
        <f>IFERROR(INDEX(2a_PRE_TRABAJO!G$5:G$112,MATCH($A12,2a_PRE_TRABAJO!$A$5:$A$112,0)),"")</f>
        <v/>
      </c>
      <c r="I12" s="5">
        <f>IFERROR(INDEX(2b_POST_TRABAJO!C$5:C$109,MATCH($A12,2b_POST_TRABAJO!$A$5:$A$109,0)),"")</f>
        <v/>
      </c>
      <c r="J12" s="5">
        <f>IFERROR(INDEX(2a_PRE_TRABAJO!AD$5:AD$112,MATCH($A12,2a_PRE_TRABAJO!$A$5:$A$112,0)),"")</f>
        <v/>
      </c>
      <c r="K12" s="5">
        <f>IFERROR(INDEX(2a_PRE_TRABAJO!AE$5:AE$112,MATCH($A12,2a_PRE_TRABAJO!$A$5:$A$112,0)),"")</f>
        <v/>
      </c>
      <c r="L12" s="5">
        <f>IFERROR(INDEX(2a_PRE_TRABAJO!AF$5:AF$112,MATCH($A12,2a_PRE_TRABAJO!$A$5:$A$112,0)),"")</f>
        <v/>
      </c>
      <c r="M12" s="5">
        <f>IFERROR(INDEX(2a_PRE_TRABAJO!AG$5:AG$112,MATCH($A12,2a_PRE_TRABAJO!$A$5:$A$112,0)),"")</f>
        <v/>
      </c>
      <c r="N12" s="5">
        <f>IFERROR(INDEX(2b_POST_TRABAJO!D$5:D$109,MATCH($A12,2b_POST_TRABAJO!$A$5:$A$109,0)),"")</f>
        <v/>
      </c>
      <c r="O12" s="5">
        <f>IF(OR(N12="",J12=""),"",N12-J12)</f>
        <v/>
      </c>
      <c r="P12" s="5">
        <f>IFERROR(INDEX(2a_PRE_TRABAJO!H$5:H$112,MATCH($A12,2a_PRE_TRABAJO!$A$5:$A$112,0)),"")</f>
        <v/>
      </c>
      <c r="Q12" s="5">
        <f>IFERROR(INDEX(2a_PRE_TRABAJO!I$5:I$112,MATCH($A12,2a_PRE_TRABAJO!$A$5:$A$112,0)),"")</f>
        <v/>
      </c>
      <c r="R12" s="5">
        <f>IFERROR(INDEX(2a_PRE_TRABAJO!J$5:J$112,MATCH($A12,2a_PRE_TRABAJO!$A$5:$A$112,0)),"")</f>
        <v/>
      </c>
      <c r="S12" s="5">
        <f>IFERROR(INDEX(2a_PRE_TRABAJO!K$5:K$112,MATCH($A12,2a_PRE_TRABAJO!$A$5:$A$112,0)),"")</f>
        <v/>
      </c>
      <c r="T12" s="5">
        <f>IFERROR(INDEX(2a_PRE_TRABAJO!L$5:L$112,MATCH($A12,2a_PRE_TRABAJO!$A$5:$A$112,0)),"")</f>
        <v/>
      </c>
      <c r="U12" s="5">
        <f>IFERROR(INDEX(2a_PRE_TRABAJO!M$5:M$112,MATCH($A12,2a_PRE_TRABAJO!$A$5:$A$112,0)),"")</f>
        <v/>
      </c>
      <c r="V12" s="5">
        <f>IFERROR(INDEX(2a_PRE_TRABAJO!N$5:N$112,MATCH($A12,2a_PRE_TRABAJO!$A$5:$A$112,0)),"")</f>
        <v/>
      </c>
      <c r="W12" s="5">
        <f>IFERROR(INDEX(2a_PRE_TRABAJO!O$5:O$112,MATCH($A12,2a_PRE_TRABAJO!$A$5:$A$112,0)),"")</f>
        <v/>
      </c>
      <c r="X12" s="5">
        <f>IFERROR(INDEX(2a_PRE_TRABAJO!P$5:P$112,MATCH($A12,2a_PRE_TRABAJO!$A$5:$A$112,0)),"")</f>
        <v/>
      </c>
      <c r="Y12" s="5">
        <f>IFERROR(INDEX(2a_PRE_TRABAJO!Q$5:Q$112,MATCH($A12,2a_PRE_TRABAJO!$A$5:$A$112,0)),"")</f>
        <v/>
      </c>
      <c r="Z12" s="5">
        <f>IFERROR(INDEX(2a_PRE_TRABAJO!R$5:R$112,MATCH($A12,2a_PRE_TRABAJO!$A$5:$A$112,0)),"")</f>
        <v/>
      </c>
      <c r="AA12" s="5">
        <f>IFERROR(INDEX(2a_PRE_TRABAJO!S$5:S$112,MATCH($A12,2a_PRE_TRABAJO!$A$5:$A$112,0)),"")</f>
        <v/>
      </c>
      <c r="AB12" s="5">
        <f>IFERROR(INDEX(2a_PRE_TRABAJO!T$5:T$112,MATCH($A12,2a_PRE_TRABAJO!$A$5:$A$112,0)),"")</f>
        <v/>
      </c>
      <c r="AC12" s="5">
        <f>IFERROR(INDEX(2a_PRE_TRABAJO!U$5:U$112,MATCH($A12,2a_PRE_TRABAJO!$A$5:$A$112,0)),"")</f>
        <v/>
      </c>
      <c r="AD12" s="5">
        <f>IFERROR(INDEX(2a_PRE_TRABAJO!V$5:V$112,MATCH($A12,2a_PRE_TRABAJO!$A$5:$A$112,0)),"")</f>
        <v/>
      </c>
      <c r="AE12" s="5">
        <f>IFERROR(INDEX(2a_PRE_TRABAJO!W$5:W$112,MATCH($A12,2a_PRE_TRABAJO!$A$5:$A$112,0)),"")</f>
        <v/>
      </c>
      <c r="AF12" s="5">
        <f>IFERROR(INDEX(2a_PRE_TRABAJO!X$5:X$112,MATCH($A12,2a_PRE_TRABAJO!$A$5:$A$112,0)),"")</f>
        <v/>
      </c>
      <c r="AG12" s="5">
        <f>IFERROR(INDEX(2a_PRE_TRABAJO!Y$5:Y$112,MATCH($A12,2a_PRE_TRABAJO!$A$5:$A$112,0)),"")</f>
        <v/>
      </c>
      <c r="AH12" s="5">
        <f>IFERROR(INDEX(2a_PRE_TRABAJO!Z$5:Z$112,MATCH($A12,2a_PRE_TRABAJO!$A$5:$A$112,0)),"")</f>
        <v/>
      </c>
      <c r="AI12" s="5">
        <f>IFERROR(INDEX(2a_PRE_TRABAJO!AA$5:AA$112,MATCH($A12,2a_PRE_TRABAJO!$A$5:$A$112,0)),"")</f>
        <v/>
      </c>
      <c r="AJ12" s="5">
        <f>IFERROR(INDEX(2a_PRE_TRABAJO!AB$5:AB$112,MATCH($A12,2a_PRE_TRABAJO!$A$5:$A$112,0)),"")</f>
        <v/>
      </c>
      <c r="AK12" s="5">
        <f>IFERROR(INDEX(2a_PRE_TRABAJO!AC$5:AC$112,MATCH($A12,2a_PRE_TRABAJO!$A$5:$A$112,0)),"")</f>
        <v/>
      </c>
    </row>
    <row r="13">
      <c r="A13" s="3" t="inlineStr">
        <is>
          <t>GU-TDH-011</t>
        </is>
      </c>
      <c r="B13" s="3" t="n">
        <v>1</v>
      </c>
      <c r="C13" s="5">
        <f>IFERROR(INDEX(2a_PRE_TRABAJO!B$5:B$112,MATCH($A13,2a_PRE_TRABAJO!$A$5:$A$112,0)),"")</f>
        <v/>
      </c>
      <c r="D13" s="5">
        <f>IFERROR(INDEX(2a_PRE_TRABAJO!C$5:C$112,MATCH($A13,2a_PRE_TRABAJO!$A$5:$A$112,0)),"")</f>
        <v/>
      </c>
      <c r="E13" s="5">
        <f>IFERROR(INDEX(2a_PRE_TRABAJO!D$5:D$112,MATCH($A13,2a_PRE_TRABAJO!$A$5:$A$112,0)),"")</f>
        <v/>
      </c>
      <c r="F13" s="5">
        <f>IFERROR(INDEX(2a_PRE_TRABAJO!E$5:E$112,MATCH($A13,2a_PRE_TRABAJO!$A$5:$A$112,0)),"")</f>
        <v/>
      </c>
      <c r="G13" s="5">
        <f>IFERROR(INDEX(2a_PRE_TRABAJO!F$5:F$112,MATCH($A13,2a_PRE_TRABAJO!$A$5:$A$112,0)),"")</f>
        <v/>
      </c>
      <c r="H13" s="5">
        <f>IFERROR(INDEX(2a_PRE_TRABAJO!G$5:G$112,MATCH($A13,2a_PRE_TRABAJO!$A$5:$A$112,0)),"")</f>
        <v/>
      </c>
      <c r="I13" s="5">
        <f>IFERROR(INDEX(2b_POST_TRABAJO!C$5:C$109,MATCH($A13,2b_POST_TRABAJO!$A$5:$A$109,0)),"")</f>
        <v/>
      </c>
      <c r="J13" s="5">
        <f>IFERROR(INDEX(2a_PRE_TRABAJO!AD$5:AD$112,MATCH($A13,2a_PRE_TRABAJO!$A$5:$A$112,0)),"")</f>
        <v/>
      </c>
      <c r="K13" s="5">
        <f>IFERROR(INDEX(2a_PRE_TRABAJO!AE$5:AE$112,MATCH($A13,2a_PRE_TRABAJO!$A$5:$A$112,0)),"")</f>
        <v/>
      </c>
      <c r="L13" s="5">
        <f>IFERROR(INDEX(2a_PRE_TRABAJO!AF$5:AF$112,MATCH($A13,2a_PRE_TRABAJO!$A$5:$A$112,0)),"")</f>
        <v/>
      </c>
      <c r="M13" s="5">
        <f>IFERROR(INDEX(2a_PRE_TRABAJO!AG$5:AG$112,MATCH($A13,2a_PRE_TRABAJO!$A$5:$A$112,0)),"")</f>
        <v/>
      </c>
      <c r="N13" s="5">
        <f>IFERROR(INDEX(2b_POST_TRABAJO!D$5:D$109,MATCH($A13,2b_POST_TRABAJO!$A$5:$A$109,0)),"")</f>
        <v/>
      </c>
      <c r="O13" s="5">
        <f>IF(OR(N13="",J13=""),"",N13-J13)</f>
        <v/>
      </c>
      <c r="P13" s="5">
        <f>IFERROR(INDEX(2a_PRE_TRABAJO!H$5:H$112,MATCH($A13,2a_PRE_TRABAJO!$A$5:$A$112,0)),"")</f>
        <v/>
      </c>
      <c r="Q13" s="5">
        <f>IFERROR(INDEX(2a_PRE_TRABAJO!I$5:I$112,MATCH($A13,2a_PRE_TRABAJO!$A$5:$A$112,0)),"")</f>
        <v/>
      </c>
      <c r="R13" s="5">
        <f>IFERROR(INDEX(2a_PRE_TRABAJO!J$5:J$112,MATCH($A13,2a_PRE_TRABAJO!$A$5:$A$112,0)),"")</f>
        <v/>
      </c>
      <c r="S13" s="5">
        <f>IFERROR(INDEX(2a_PRE_TRABAJO!K$5:K$112,MATCH($A13,2a_PRE_TRABAJO!$A$5:$A$112,0)),"")</f>
        <v/>
      </c>
      <c r="T13" s="5">
        <f>IFERROR(INDEX(2a_PRE_TRABAJO!L$5:L$112,MATCH($A13,2a_PRE_TRABAJO!$A$5:$A$112,0)),"")</f>
        <v/>
      </c>
      <c r="U13" s="5">
        <f>IFERROR(INDEX(2a_PRE_TRABAJO!M$5:M$112,MATCH($A13,2a_PRE_TRABAJO!$A$5:$A$112,0)),"")</f>
        <v/>
      </c>
      <c r="V13" s="5">
        <f>IFERROR(INDEX(2a_PRE_TRABAJO!N$5:N$112,MATCH($A13,2a_PRE_TRABAJO!$A$5:$A$112,0)),"")</f>
        <v/>
      </c>
      <c r="W13" s="5">
        <f>IFERROR(INDEX(2a_PRE_TRABAJO!O$5:O$112,MATCH($A13,2a_PRE_TRABAJO!$A$5:$A$112,0)),"")</f>
        <v/>
      </c>
      <c r="X13" s="5">
        <f>IFERROR(INDEX(2a_PRE_TRABAJO!P$5:P$112,MATCH($A13,2a_PRE_TRABAJO!$A$5:$A$112,0)),"")</f>
        <v/>
      </c>
      <c r="Y13" s="5">
        <f>IFERROR(INDEX(2a_PRE_TRABAJO!Q$5:Q$112,MATCH($A13,2a_PRE_TRABAJO!$A$5:$A$112,0)),"")</f>
        <v/>
      </c>
      <c r="Z13" s="5">
        <f>IFERROR(INDEX(2a_PRE_TRABAJO!R$5:R$112,MATCH($A13,2a_PRE_TRABAJO!$A$5:$A$112,0)),"")</f>
        <v/>
      </c>
      <c r="AA13" s="5">
        <f>IFERROR(INDEX(2a_PRE_TRABAJO!S$5:S$112,MATCH($A13,2a_PRE_TRABAJO!$A$5:$A$112,0)),"")</f>
        <v/>
      </c>
      <c r="AB13" s="5">
        <f>IFERROR(INDEX(2a_PRE_TRABAJO!T$5:T$112,MATCH($A13,2a_PRE_TRABAJO!$A$5:$A$112,0)),"")</f>
        <v/>
      </c>
      <c r="AC13" s="5">
        <f>IFERROR(INDEX(2a_PRE_TRABAJO!U$5:U$112,MATCH($A13,2a_PRE_TRABAJO!$A$5:$A$112,0)),"")</f>
        <v/>
      </c>
      <c r="AD13" s="5">
        <f>IFERROR(INDEX(2a_PRE_TRABAJO!V$5:V$112,MATCH($A13,2a_PRE_TRABAJO!$A$5:$A$112,0)),"")</f>
        <v/>
      </c>
      <c r="AE13" s="5">
        <f>IFERROR(INDEX(2a_PRE_TRABAJO!W$5:W$112,MATCH($A13,2a_PRE_TRABAJO!$A$5:$A$112,0)),"")</f>
        <v/>
      </c>
      <c r="AF13" s="5">
        <f>IFERROR(INDEX(2a_PRE_TRABAJO!X$5:X$112,MATCH($A13,2a_PRE_TRABAJO!$A$5:$A$112,0)),"")</f>
        <v/>
      </c>
      <c r="AG13" s="5">
        <f>IFERROR(INDEX(2a_PRE_TRABAJO!Y$5:Y$112,MATCH($A13,2a_PRE_TRABAJO!$A$5:$A$112,0)),"")</f>
        <v/>
      </c>
      <c r="AH13" s="5">
        <f>IFERROR(INDEX(2a_PRE_TRABAJO!Z$5:Z$112,MATCH($A13,2a_PRE_TRABAJO!$A$5:$A$112,0)),"")</f>
        <v/>
      </c>
      <c r="AI13" s="5">
        <f>IFERROR(INDEX(2a_PRE_TRABAJO!AA$5:AA$112,MATCH($A13,2a_PRE_TRABAJO!$A$5:$A$112,0)),"")</f>
        <v/>
      </c>
      <c r="AJ13" s="5">
        <f>IFERROR(INDEX(2a_PRE_TRABAJO!AB$5:AB$112,MATCH($A13,2a_PRE_TRABAJO!$A$5:$A$112,0)),"")</f>
        <v/>
      </c>
      <c r="AK13" s="5">
        <f>IFERROR(INDEX(2a_PRE_TRABAJO!AC$5:AC$112,MATCH($A13,2a_PRE_TRABAJO!$A$5:$A$112,0)),"")</f>
        <v/>
      </c>
    </row>
    <row r="14">
      <c r="A14" s="3" t="inlineStr">
        <is>
          <t>GU-TDH-012</t>
        </is>
      </c>
      <c r="B14" s="3" t="n">
        <v>1</v>
      </c>
      <c r="C14" s="5">
        <f>IFERROR(INDEX(2a_PRE_TRABAJO!B$5:B$112,MATCH($A14,2a_PRE_TRABAJO!$A$5:$A$112,0)),"")</f>
        <v/>
      </c>
      <c r="D14" s="5">
        <f>IFERROR(INDEX(2a_PRE_TRABAJO!C$5:C$112,MATCH($A14,2a_PRE_TRABAJO!$A$5:$A$112,0)),"")</f>
        <v/>
      </c>
      <c r="E14" s="5">
        <f>IFERROR(INDEX(2a_PRE_TRABAJO!D$5:D$112,MATCH($A14,2a_PRE_TRABAJO!$A$5:$A$112,0)),"")</f>
        <v/>
      </c>
      <c r="F14" s="5">
        <f>IFERROR(INDEX(2a_PRE_TRABAJO!E$5:E$112,MATCH($A14,2a_PRE_TRABAJO!$A$5:$A$112,0)),"")</f>
        <v/>
      </c>
      <c r="G14" s="5">
        <f>IFERROR(INDEX(2a_PRE_TRABAJO!F$5:F$112,MATCH($A14,2a_PRE_TRABAJO!$A$5:$A$112,0)),"")</f>
        <v/>
      </c>
      <c r="H14" s="5">
        <f>IFERROR(INDEX(2a_PRE_TRABAJO!G$5:G$112,MATCH($A14,2a_PRE_TRABAJO!$A$5:$A$112,0)),"")</f>
        <v/>
      </c>
      <c r="I14" s="5">
        <f>IFERROR(INDEX(2b_POST_TRABAJO!C$5:C$109,MATCH($A14,2b_POST_TRABAJO!$A$5:$A$109,0)),"")</f>
        <v/>
      </c>
      <c r="J14" s="5">
        <f>IFERROR(INDEX(2a_PRE_TRABAJO!AD$5:AD$112,MATCH($A14,2a_PRE_TRABAJO!$A$5:$A$112,0)),"")</f>
        <v/>
      </c>
      <c r="K14" s="5">
        <f>IFERROR(INDEX(2a_PRE_TRABAJO!AE$5:AE$112,MATCH($A14,2a_PRE_TRABAJO!$A$5:$A$112,0)),"")</f>
        <v/>
      </c>
      <c r="L14" s="5">
        <f>IFERROR(INDEX(2a_PRE_TRABAJO!AF$5:AF$112,MATCH($A14,2a_PRE_TRABAJO!$A$5:$A$112,0)),"")</f>
        <v/>
      </c>
      <c r="M14" s="5">
        <f>IFERROR(INDEX(2a_PRE_TRABAJO!AG$5:AG$112,MATCH($A14,2a_PRE_TRABAJO!$A$5:$A$112,0)),"")</f>
        <v/>
      </c>
      <c r="N14" s="5">
        <f>IFERROR(INDEX(2b_POST_TRABAJO!D$5:D$109,MATCH($A14,2b_POST_TRABAJO!$A$5:$A$109,0)),"")</f>
        <v/>
      </c>
      <c r="O14" s="5">
        <f>IF(OR(N14="",J14=""),"",N14-J14)</f>
        <v/>
      </c>
      <c r="P14" s="5">
        <f>IFERROR(INDEX(2a_PRE_TRABAJO!H$5:H$112,MATCH($A14,2a_PRE_TRABAJO!$A$5:$A$112,0)),"")</f>
        <v/>
      </c>
      <c r="Q14" s="5">
        <f>IFERROR(INDEX(2a_PRE_TRABAJO!I$5:I$112,MATCH($A14,2a_PRE_TRABAJO!$A$5:$A$112,0)),"")</f>
        <v/>
      </c>
      <c r="R14" s="5">
        <f>IFERROR(INDEX(2a_PRE_TRABAJO!J$5:J$112,MATCH($A14,2a_PRE_TRABAJO!$A$5:$A$112,0)),"")</f>
        <v/>
      </c>
      <c r="S14" s="5">
        <f>IFERROR(INDEX(2a_PRE_TRABAJO!K$5:K$112,MATCH($A14,2a_PRE_TRABAJO!$A$5:$A$112,0)),"")</f>
        <v/>
      </c>
      <c r="T14" s="5">
        <f>IFERROR(INDEX(2a_PRE_TRABAJO!L$5:L$112,MATCH($A14,2a_PRE_TRABAJO!$A$5:$A$112,0)),"")</f>
        <v/>
      </c>
      <c r="U14" s="5">
        <f>IFERROR(INDEX(2a_PRE_TRABAJO!M$5:M$112,MATCH($A14,2a_PRE_TRABAJO!$A$5:$A$112,0)),"")</f>
        <v/>
      </c>
      <c r="V14" s="5">
        <f>IFERROR(INDEX(2a_PRE_TRABAJO!N$5:N$112,MATCH($A14,2a_PRE_TRABAJO!$A$5:$A$112,0)),"")</f>
        <v/>
      </c>
      <c r="W14" s="5">
        <f>IFERROR(INDEX(2a_PRE_TRABAJO!O$5:O$112,MATCH($A14,2a_PRE_TRABAJO!$A$5:$A$112,0)),"")</f>
        <v/>
      </c>
      <c r="X14" s="5">
        <f>IFERROR(INDEX(2a_PRE_TRABAJO!P$5:P$112,MATCH($A14,2a_PRE_TRABAJO!$A$5:$A$112,0)),"")</f>
        <v/>
      </c>
      <c r="Y14" s="5">
        <f>IFERROR(INDEX(2a_PRE_TRABAJO!Q$5:Q$112,MATCH($A14,2a_PRE_TRABAJO!$A$5:$A$112,0)),"")</f>
        <v/>
      </c>
      <c r="Z14" s="5">
        <f>IFERROR(INDEX(2a_PRE_TRABAJO!R$5:R$112,MATCH($A14,2a_PRE_TRABAJO!$A$5:$A$112,0)),"")</f>
        <v/>
      </c>
      <c r="AA14" s="5">
        <f>IFERROR(INDEX(2a_PRE_TRABAJO!S$5:S$112,MATCH($A14,2a_PRE_TRABAJO!$A$5:$A$112,0)),"")</f>
        <v/>
      </c>
      <c r="AB14" s="5">
        <f>IFERROR(INDEX(2a_PRE_TRABAJO!T$5:T$112,MATCH($A14,2a_PRE_TRABAJO!$A$5:$A$112,0)),"")</f>
        <v/>
      </c>
      <c r="AC14" s="5">
        <f>IFERROR(INDEX(2a_PRE_TRABAJO!U$5:U$112,MATCH($A14,2a_PRE_TRABAJO!$A$5:$A$112,0)),"")</f>
        <v/>
      </c>
      <c r="AD14" s="5">
        <f>IFERROR(INDEX(2a_PRE_TRABAJO!V$5:V$112,MATCH($A14,2a_PRE_TRABAJO!$A$5:$A$112,0)),"")</f>
        <v/>
      </c>
      <c r="AE14" s="5">
        <f>IFERROR(INDEX(2a_PRE_TRABAJO!W$5:W$112,MATCH($A14,2a_PRE_TRABAJO!$A$5:$A$112,0)),"")</f>
        <v/>
      </c>
      <c r="AF14" s="5">
        <f>IFERROR(INDEX(2a_PRE_TRABAJO!X$5:X$112,MATCH($A14,2a_PRE_TRABAJO!$A$5:$A$112,0)),"")</f>
        <v/>
      </c>
      <c r="AG14" s="5">
        <f>IFERROR(INDEX(2a_PRE_TRABAJO!Y$5:Y$112,MATCH($A14,2a_PRE_TRABAJO!$A$5:$A$112,0)),"")</f>
        <v/>
      </c>
      <c r="AH14" s="5">
        <f>IFERROR(INDEX(2a_PRE_TRABAJO!Z$5:Z$112,MATCH($A14,2a_PRE_TRABAJO!$A$5:$A$112,0)),"")</f>
        <v/>
      </c>
      <c r="AI14" s="5">
        <f>IFERROR(INDEX(2a_PRE_TRABAJO!AA$5:AA$112,MATCH($A14,2a_PRE_TRABAJO!$A$5:$A$112,0)),"")</f>
        <v/>
      </c>
      <c r="AJ14" s="5">
        <f>IFERROR(INDEX(2a_PRE_TRABAJO!AB$5:AB$112,MATCH($A14,2a_PRE_TRABAJO!$A$5:$A$112,0)),"")</f>
        <v/>
      </c>
      <c r="AK14" s="5">
        <f>IFERROR(INDEX(2a_PRE_TRABAJO!AC$5:AC$112,MATCH($A14,2a_PRE_TRABAJO!$A$5:$A$112,0)),"")</f>
        <v/>
      </c>
    </row>
    <row r="15">
      <c r="A15" s="3" t="inlineStr">
        <is>
          <t>GU-TDH-014</t>
        </is>
      </c>
      <c r="B15" s="3" t="n">
        <v>1</v>
      </c>
      <c r="C15" s="5">
        <f>IFERROR(INDEX(2a_PRE_TRABAJO!B$5:B$112,MATCH($A15,2a_PRE_TRABAJO!$A$5:$A$112,0)),"")</f>
        <v/>
      </c>
      <c r="D15" s="5">
        <f>IFERROR(INDEX(2a_PRE_TRABAJO!C$5:C$112,MATCH($A15,2a_PRE_TRABAJO!$A$5:$A$112,0)),"")</f>
        <v/>
      </c>
      <c r="E15" s="5">
        <f>IFERROR(INDEX(2a_PRE_TRABAJO!D$5:D$112,MATCH($A15,2a_PRE_TRABAJO!$A$5:$A$112,0)),"")</f>
        <v/>
      </c>
      <c r="F15" s="5">
        <f>IFERROR(INDEX(2a_PRE_TRABAJO!E$5:E$112,MATCH($A15,2a_PRE_TRABAJO!$A$5:$A$112,0)),"")</f>
        <v/>
      </c>
      <c r="G15" s="5">
        <f>IFERROR(INDEX(2a_PRE_TRABAJO!F$5:F$112,MATCH($A15,2a_PRE_TRABAJO!$A$5:$A$112,0)),"")</f>
        <v/>
      </c>
      <c r="H15" s="5">
        <f>IFERROR(INDEX(2a_PRE_TRABAJO!G$5:G$112,MATCH($A15,2a_PRE_TRABAJO!$A$5:$A$112,0)),"")</f>
        <v/>
      </c>
      <c r="I15" s="5">
        <f>IFERROR(INDEX(2b_POST_TRABAJO!C$5:C$109,MATCH($A15,2b_POST_TRABAJO!$A$5:$A$109,0)),"")</f>
        <v/>
      </c>
      <c r="J15" s="5">
        <f>IFERROR(INDEX(2a_PRE_TRABAJO!AD$5:AD$112,MATCH($A15,2a_PRE_TRABAJO!$A$5:$A$112,0)),"")</f>
        <v/>
      </c>
      <c r="K15" s="5">
        <f>IFERROR(INDEX(2a_PRE_TRABAJO!AE$5:AE$112,MATCH($A15,2a_PRE_TRABAJO!$A$5:$A$112,0)),"")</f>
        <v/>
      </c>
      <c r="L15" s="5">
        <f>IFERROR(INDEX(2a_PRE_TRABAJO!AF$5:AF$112,MATCH($A15,2a_PRE_TRABAJO!$A$5:$A$112,0)),"")</f>
        <v/>
      </c>
      <c r="M15" s="5">
        <f>IFERROR(INDEX(2a_PRE_TRABAJO!AG$5:AG$112,MATCH($A15,2a_PRE_TRABAJO!$A$5:$A$112,0)),"")</f>
        <v/>
      </c>
      <c r="N15" s="5">
        <f>IFERROR(INDEX(2b_POST_TRABAJO!D$5:D$109,MATCH($A15,2b_POST_TRABAJO!$A$5:$A$109,0)),"")</f>
        <v/>
      </c>
      <c r="O15" s="5">
        <f>IF(OR(N15="",J15=""),"",N15-J15)</f>
        <v/>
      </c>
      <c r="P15" s="5">
        <f>IFERROR(INDEX(2a_PRE_TRABAJO!H$5:H$112,MATCH($A15,2a_PRE_TRABAJO!$A$5:$A$112,0)),"")</f>
        <v/>
      </c>
      <c r="Q15" s="5">
        <f>IFERROR(INDEX(2a_PRE_TRABAJO!I$5:I$112,MATCH($A15,2a_PRE_TRABAJO!$A$5:$A$112,0)),"")</f>
        <v/>
      </c>
      <c r="R15" s="5">
        <f>IFERROR(INDEX(2a_PRE_TRABAJO!J$5:J$112,MATCH($A15,2a_PRE_TRABAJO!$A$5:$A$112,0)),"")</f>
        <v/>
      </c>
      <c r="S15" s="5">
        <f>IFERROR(INDEX(2a_PRE_TRABAJO!K$5:K$112,MATCH($A15,2a_PRE_TRABAJO!$A$5:$A$112,0)),"")</f>
        <v/>
      </c>
      <c r="T15" s="5">
        <f>IFERROR(INDEX(2a_PRE_TRABAJO!L$5:L$112,MATCH($A15,2a_PRE_TRABAJO!$A$5:$A$112,0)),"")</f>
        <v/>
      </c>
      <c r="U15" s="5">
        <f>IFERROR(INDEX(2a_PRE_TRABAJO!M$5:M$112,MATCH($A15,2a_PRE_TRABAJO!$A$5:$A$112,0)),"")</f>
        <v/>
      </c>
      <c r="V15" s="5">
        <f>IFERROR(INDEX(2a_PRE_TRABAJO!N$5:N$112,MATCH($A15,2a_PRE_TRABAJO!$A$5:$A$112,0)),"")</f>
        <v/>
      </c>
      <c r="W15" s="5">
        <f>IFERROR(INDEX(2a_PRE_TRABAJO!O$5:O$112,MATCH($A15,2a_PRE_TRABAJO!$A$5:$A$112,0)),"")</f>
        <v/>
      </c>
      <c r="X15" s="5">
        <f>IFERROR(INDEX(2a_PRE_TRABAJO!P$5:P$112,MATCH($A15,2a_PRE_TRABAJO!$A$5:$A$112,0)),"")</f>
        <v/>
      </c>
      <c r="Y15" s="5">
        <f>IFERROR(INDEX(2a_PRE_TRABAJO!Q$5:Q$112,MATCH($A15,2a_PRE_TRABAJO!$A$5:$A$112,0)),"")</f>
        <v/>
      </c>
      <c r="Z15" s="5">
        <f>IFERROR(INDEX(2a_PRE_TRABAJO!R$5:R$112,MATCH($A15,2a_PRE_TRABAJO!$A$5:$A$112,0)),"")</f>
        <v/>
      </c>
      <c r="AA15" s="5">
        <f>IFERROR(INDEX(2a_PRE_TRABAJO!S$5:S$112,MATCH($A15,2a_PRE_TRABAJO!$A$5:$A$112,0)),"")</f>
        <v/>
      </c>
      <c r="AB15" s="5">
        <f>IFERROR(INDEX(2a_PRE_TRABAJO!T$5:T$112,MATCH($A15,2a_PRE_TRABAJO!$A$5:$A$112,0)),"")</f>
        <v/>
      </c>
      <c r="AC15" s="5">
        <f>IFERROR(INDEX(2a_PRE_TRABAJO!U$5:U$112,MATCH($A15,2a_PRE_TRABAJO!$A$5:$A$112,0)),"")</f>
        <v/>
      </c>
      <c r="AD15" s="5">
        <f>IFERROR(INDEX(2a_PRE_TRABAJO!V$5:V$112,MATCH($A15,2a_PRE_TRABAJO!$A$5:$A$112,0)),"")</f>
        <v/>
      </c>
      <c r="AE15" s="5">
        <f>IFERROR(INDEX(2a_PRE_TRABAJO!W$5:W$112,MATCH($A15,2a_PRE_TRABAJO!$A$5:$A$112,0)),"")</f>
        <v/>
      </c>
      <c r="AF15" s="5">
        <f>IFERROR(INDEX(2a_PRE_TRABAJO!X$5:X$112,MATCH($A15,2a_PRE_TRABAJO!$A$5:$A$112,0)),"")</f>
        <v/>
      </c>
      <c r="AG15" s="5">
        <f>IFERROR(INDEX(2a_PRE_TRABAJO!Y$5:Y$112,MATCH($A15,2a_PRE_TRABAJO!$A$5:$A$112,0)),"")</f>
        <v/>
      </c>
      <c r="AH15" s="5">
        <f>IFERROR(INDEX(2a_PRE_TRABAJO!Z$5:Z$112,MATCH($A15,2a_PRE_TRABAJO!$A$5:$A$112,0)),"")</f>
        <v/>
      </c>
      <c r="AI15" s="5">
        <f>IFERROR(INDEX(2a_PRE_TRABAJO!AA$5:AA$112,MATCH($A15,2a_PRE_TRABAJO!$A$5:$A$112,0)),"")</f>
        <v/>
      </c>
      <c r="AJ15" s="5">
        <f>IFERROR(INDEX(2a_PRE_TRABAJO!AB$5:AB$112,MATCH($A15,2a_PRE_TRABAJO!$A$5:$A$112,0)),"")</f>
        <v/>
      </c>
      <c r="AK15" s="5">
        <f>IFERROR(INDEX(2a_PRE_TRABAJO!AC$5:AC$112,MATCH($A15,2a_PRE_TRABAJO!$A$5:$A$112,0)),"")</f>
        <v/>
      </c>
    </row>
    <row r="16">
      <c r="A16" s="3" t="inlineStr">
        <is>
          <t>GU-TDH-015</t>
        </is>
      </c>
      <c r="B16" s="3" t="n">
        <v>0</v>
      </c>
      <c r="C16" s="5">
        <f>IFERROR(INDEX(2a_PRE_TRABAJO!B$5:B$112,MATCH($A16,2a_PRE_TRABAJO!$A$5:$A$112,0)),"")</f>
        <v/>
      </c>
      <c r="D16" s="5">
        <f>IFERROR(INDEX(2a_PRE_TRABAJO!C$5:C$112,MATCH($A16,2a_PRE_TRABAJO!$A$5:$A$112,0)),"")</f>
        <v/>
      </c>
      <c r="E16" s="5">
        <f>IFERROR(INDEX(2a_PRE_TRABAJO!D$5:D$112,MATCH($A16,2a_PRE_TRABAJO!$A$5:$A$112,0)),"")</f>
        <v/>
      </c>
      <c r="F16" s="5">
        <f>IFERROR(INDEX(2a_PRE_TRABAJO!E$5:E$112,MATCH($A16,2a_PRE_TRABAJO!$A$5:$A$112,0)),"")</f>
        <v/>
      </c>
      <c r="G16" s="5">
        <f>IFERROR(INDEX(2a_PRE_TRABAJO!F$5:F$112,MATCH($A16,2a_PRE_TRABAJO!$A$5:$A$112,0)),"")</f>
        <v/>
      </c>
      <c r="H16" s="5">
        <f>IFERROR(INDEX(2a_PRE_TRABAJO!G$5:G$112,MATCH($A16,2a_PRE_TRABAJO!$A$5:$A$112,0)),"")</f>
        <v/>
      </c>
      <c r="I16" s="5">
        <f>IFERROR(INDEX(2b_POST_TRABAJO!C$5:C$109,MATCH($A16,2b_POST_TRABAJO!$A$5:$A$109,0)),"")</f>
        <v/>
      </c>
      <c r="J16" s="5">
        <f>IFERROR(INDEX(2a_PRE_TRABAJO!AD$5:AD$112,MATCH($A16,2a_PRE_TRABAJO!$A$5:$A$112,0)),"")</f>
        <v/>
      </c>
      <c r="K16" s="5">
        <f>IFERROR(INDEX(2a_PRE_TRABAJO!AE$5:AE$112,MATCH($A16,2a_PRE_TRABAJO!$A$5:$A$112,0)),"")</f>
        <v/>
      </c>
      <c r="L16" s="5">
        <f>IFERROR(INDEX(2a_PRE_TRABAJO!AF$5:AF$112,MATCH($A16,2a_PRE_TRABAJO!$A$5:$A$112,0)),"")</f>
        <v/>
      </c>
      <c r="M16" s="5">
        <f>IFERROR(INDEX(2a_PRE_TRABAJO!AG$5:AG$112,MATCH($A16,2a_PRE_TRABAJO!$A$5:$A$112,0)),"")</f>
        <v/>
      </c>
      <c r="N16" s="5">
        <f>IFERROR(INDEX(2b_POST_TRABAJO!D$5:D$109,MATCH($A16,2b_POST_TRABAJO!$A$5:$A$109,0)),"")</f>
        <v/>
      </c>
      <c r="O16" s="5">
        <f>IF(OR(N16="",J16=""),"",N16-J16)</f>
        <v/>
      </c>
      <c r="P16" s="5">
        <f>IFERROR(INDEX(2a_PRE_TRABAJO!H$5:H$112,MATCH($A16,2a_PRE_TRABAJO!$A$5:$A$112,0)),"")</f>
        <v/>
      </c>
      <c r="Q16" s="5">
        <f>IFERROR(INDEX(2a_PRE_TRABAJO!I$5:I$112,MATCH($A16,2a_PRE_TRABAJO!$A$5:$A$112,0)),"")</f>
        <v/>
      </c>
      <c r="R16" s="5">
        <f>IFERROR(INDEX(2a_PRE_TRABAJO!J$5:J$112,MATCH($A16,2a_PRE_TRABAJO!$A$5:$A$112,0)),"")</f>
        <v/>
      </c>
      <c r="S16" s="5">
        <f>IFERROR(INDEX(2a_PRE_TRABAJO!K$5:K$112,MATCH($A16,2a_PRE_TRABAJO!$A$5:$A$112,0)),"")</f>
        <v/>
      </c>
      <c r="T16" s="5">
        <f>IFERROR(INDEX(2a_PRE_TRABAJO!L$5:L$112,MATCH($A16,2a_PRE_TRABAJO!$A$5:$A$112,0)),"")</f>
        <v/>
      </c>
      <c r="U16" s="5">
        <f>IFERROR(INDEX(2a_PRE_TRABAJO!M$5:M$112,MATCH($A16,2a_PRE_TRABAJO!$A$5:$A$112,0)),"")</f>
        <v/>
      </c>
      <c r="V16" s="5">
        <f>IFERROR(INDEX(2a_PRE_TRABAJO!N$5:N$112,MATCH($A16,2a_PRE_TRABAJO!$A$5:$A$112,0)),"")</f>
        <v/>
      </c>
      <c r="W16" s="5">
        <f>IFERROR(INDEX(2a_PRE_TRABAJO!O$5:O$112,MATCH($A16,2a_PRE_TRABAJO!$A$5:$A$112,0)),"")</f>
        <v/>
      </c>
      <c r="X16" s="5">
        <f>IFERROR(INDEX(2a_PRE_TRABAJO!P$5:P$112,MATCH($A16,2a_PRE_TRABAJO!$A$5:$A$112,0)),"")</f>
        <v/>
      </c>
      <c r="Y16" s="5">
        <f>IFERROR(INDEX(2a_PRE_TRABAJO!Q$5:Q$112,MATCH($A16,2a_PRE_TRABAJO!$A$5:$A$112,0)),"")</f>
        <v/>
      </c>
      <c r="Z16" s="5">
        <f>IFERROR(INDEX(2a_PRE_TRABAJO!R$5:R$112,MATCH($A16,2a_PRE_TRABAJO!$A$5:$A$112,0)),"")</f>
        <v/>
      </c>
      <c r="AA16" s="5">
        <f>IFERROR(INDEX(2a_PRE_TRABAJO!S$5:S$112,MATCH($A16,2a_PRE_TRABAJO!$A$5:$A$112,0)),"")</f>
        <v/>
      </c>
      <c r="AB16" s="5">
        <f>IFERROR(INDEX(2a_PRE_TRABAJO!T$5:T$112,MATCH($A16,2a_PRE_TRABAJO!$A$5:$A$112,0)),"")</f>
        <v/>
      </c>
      <c r="AC16" s="5">
        <f>IFERROR(INDEX(2a_PRE_TRABAJO!U$5:U$112,MATCH($A16,2a_PRE_TRABAJO!$A$5:$A$112,0)),"")</f>
        <v/>
      </c>
      <c r="AD16" s="5">
        <f>IFERROR(INDEX(2a_PRE_TRABAJO!V$5:V$112,MATCH($A16,2a_PRE_TRABAJO!$A$5:$A$112,0)),"")</f>
        <v/>
      </c>
      <c r="AE16" s="5">
        <f>IFERROR(INDEX(2a_PRE_TRABAJO!W$5:W$112,MATCH($A16,2a_PRE_TRABAJO!$A$5:$A$112,0)),"")</f>
        <v/>
      </c>
      <c r="AF16" s="5">
        <f>IFERROR(INDEX(2a_PRE_TRABAJO!X$5:X$112,MATCH($A16,2a_PRE_TRABAJO!$A$5:$A$112,0)),"")</f>
        <v/>
      </c>
      <c r="AG16" s="5">
        <f>IFERROR(INDEX(2a_PRE_TRABAJO!Y$5:Y$112,MATCH($A16,2a_PRE_TRABAJO!$A$5:$A$112,0)),"")</f>
        <v/>
      </c>
      <c r="AH16" s="5">
        <f>IFERROR(INDEX(2a_PRE_TRABAJO!Z$5:Z$112,MATCH($A16,2a_PRE_TRABAJO!$A$5:$A$112,0)),"")</f>
        <v/>
      </c>
      <c r="AI16" s="5">
        <f>IFERROR(INDEX(2a_PRE_TRABAJO!AA$5:AA$112,MATCH($A16,2a_PRE_TRABAJO!$A$5:$A$112,0)),"")</f>
        <v/>
      </c>
      <c r="AJ16" s="5">
        <f>IFERROR(INDEX(2a_PRE_TRABAJO!AB$5:AB$112,MATCH($A16,2a_PRE_TRABAJO!$A$5:$A$112,0)),"")</f>
        <v/>
      </c>
      <c r="AK16" s="5">
        <f>IFERROR(INDEX(2a_PRE_TRABAJO!AC$5:AC$112,MATCH($A16,2a_PRE_TRABAJO!$A$5:$A$112,0)),"")</f>
        <v/>
      </c>
    </row>
    <row r="17">
      <c r="A17" s="3" t="inlineStr">
        <is>
          <t>GU-TDH-016</t>
        </is>
      </c>
      <c r="B17" s="3" t="n">
        <v>1</v>
      </c>
      <c r="C17" s="5">
        <f>IFERROR(INDEX(2a_PRE_TRABAJO!B$5:B$112,MATCH($A17,2a_PRE_TRABAJO!$A$5:$A$112,0)),"")</f>
        <v/>
      </c>
      <c r="D17" s="5">
        <f>IFERROR(INDEX(2a_PRE_TRABAJO!C$5:C$112,MATCH($A17,2a_PRE_TRABAJO!$A$5:$A$112,0)),"")</f>
        <v/>
      </c>
      <c r="E17" s="5">
        <f>IFERROR(INDEX(2a_PRE_TRABAJO!D$5:D$112,MATCH($A17,2a_PRE_TRABAJO!$A$5:$A$112,0)),"")</f>
        <v/>
      </c>
      <c r="F17" s="5">
        <f>IFERROR(INDEX(2a_PRE_TRABAJO!E$5:E$112,MATCH($A17,2a_PRE_TRABAJO!$A$5:$A$112,0)),"")</f>
        <v/>
      </c>
      <c r="G17" s="5">
        <f>IFERROR(INDEX(2a_PRE_TRABAJO!F$5:F$112,MATCH($A17,2a_PRE_TRABAJO!$A$5:$A$112,0)),"")</f>
        <v/>
      </c>
      <c r="H17" s="5">
        <f>IFERROR(INDEX(2a_PRE_TRABAJO!G$5:G$112,MATCH($A17,2a_PRE_TRABAJO!$A$5:$A$112,0)),"")</f>
        <v/>
      </c>
      <c r="I17" s="5">
        <f>IFERROR(INDEX(2b_POST_TRABAJO!C$5:C$109,MATCH($A17,2b_POST_TRABAJO!$A$5:$A$109,0)),"")</f>
        <v/>
      </c>
      <c r="J17" s="5">
        <f>IFERROR(INDEX(2a_PRE_TRABAJO!AD$5:AD$112,MATCH($A17,2a_PRE_TRABAJO!$A$5:$A$112,0)),"")</f>
        <v/>
      </c>
      <c r="K17" s="5">
        <f>IFERROR(INDEX(2a_PRE_TRABAJO!AE$5:AE$112,MATCH($A17,2a_PRE_TRABAJO!$A$5:$A$112,0)),"")</f>
        <v/>
      </c>
      <c r="L17" s="5">
        <f>IFERROR(INDEX(2a_PRE_TRABAJO!AF$5:AF$112,MATCH($A17,2a_PRE_TRABAJO!$A$5:$A$112,0)),"")</f>
        <v/>
      </c>
      <c r="M17" s="5">
        <f>IFERROR(INDEX(2a_PRE_TRABAJO!AG$5:AG$112,MATCH($A17,2a_PRE_TRABAJO!$A$5:$A$112,0)),"")</f>
        <v/>
      </c>
      <c r="N17" s="5">
        <f>IFERROR(INDEX(2b_POST_TRABAJO!D$5:D$109,MATCH($A17,2b_POST_TRABAJO!$A$5:$A$109,0)),"")</f>
        <v/>
      </c>
      <c r="O17" s="5">
        <f>IF(OR(N17="",J17=""),"",N17-J17)</f>
        <v/>
      </c>
      <c r="P17" s="5">
        <f>IFERROR(INDEX(2a_PRE_TRABAJO!H$5:H$112,MATCH($A17,2a_PRE_TRABAJO!$A$5:$A$112,0)),"")</f>
        <v/>
      </c>
      <c r="Q17" s="5">
        <f>IFERROR(INDEX(2a_PRE_TRABAJO!I$5:I$112,MATCH($A17,2a_PRE_TRABAJO!$A$5:$A$112,0)),"")</f>
        <v/>
      </c>
      <c r="R17" s="5">
        <f>IFERROR(INDEX(2a_PRE_TRABAJO!J$5:J$112,MATCH($A17,2a_PRE_TRABAJO!$A$5:$A$112,0)),"")</f>
        <v/>
      </c>
      <c r="S17" s="5">
        <f>IFERROR(INDEX(2a_PRE_TRABAJO!K$5:K$112,MATCH($A17,2a_PRE_TRABAJO!$A$5:$A$112,0)),"")</f>
        <v/>
      </c>
      <c r="T17" s="5">
        <f>IFERROR(INDEX(2a_PRE_TRABAJO!L$5:L$112,MATCH($A17,2a_PRE_TRABAJO!$A$5:$A$112,0)),"")</f>
        <v/>
      </c>
      <c r="U17" s="5">
        <f>IFERROR(INDEX(2a_PRE_TRABAJO!M$5:M$112,MATCH($A17,2a_PRE_TRABAJO!$A$5:$A$112,0)),"")</f>
        <v/>
      </c>
      <c r="V17" s="5">
        <f>IFERROR(INDEX(2a_PRE_TRABAJO!N$5:N$112,MATCH($A17,2a_PRE_TRABAJO!$A$5:$A$112,0)),"")</f>
        <v/>
      </c>
      <c r="W17" s="5">
        <f>IFERROR(INDEX(2a_PRE_TRABAJO!O$5:O$112,MATCH($A17,2a_PRE_TRABAJO!$A$5:$A$112,0)),"")</f>
        <v/>
      </c>
      <c r="X17" s="5">
        <f>IFERROR(INDEX(2a_PRE_TRABAJO!P$5:P$112,MATCH($A17,2a_PRE_TRABAJO!$A$5:$A$112,0)),"")</f>
        <v/>
      </c>
      <c r="Y17" s="5">
        <f>IFERROR(INDEX(2a_PRE_TRABAJO!Q$5:Q$112,MATCH($A17,2a_PRE_TRABAJO!$A$5:$A$112,0)),"")</f>
        <v/>
      </c>
      <c r="Z17" s="5">
        <f>IFERROR(INDEX(2a_PRE_TRABAJO!R$5:R$112,MATCH($A17,2a_PRE_TRABAJO!$A$5:$A$112,0)),"")</f>
        <v/>
      </c>
      <c r="AA17" s="5">
        <f>IFERROR(INDEX(2a_PRE_TRABAJO!S$5:S$112,MATCH($A17,2a_PRE_TRABAJO!$A$5:$A$112,0)),"")</f>
        <v/>
      </c>
      <c r="AB17" s="5">
        <f>IFERROR(INDEX(2a_PRE_TRABAJO!T$5:T$112,MATCH($A17,2a_PRE_TRABAJO!$A$5:$A$112,0)),"")</f>
        <v/>
      </c>
      <c r="AC17" s="5">
        <f>IFERROR(INDEX(2a_PRE_TRABAJO!U$5:U$112,MATCH($A17,2a_PRE_TRABAJO!$A$5:$A$112,0)),"")</f>
        <v/>
      </c>
      <c r="AD17" s="5">
        <f>IFERROR(INDEX(2a_PRE_TRABAJO!V$5:V$112,MATCH($A17,2a_PRE_TRABAJO!$A$5:$A$112,0)),"")</f>
        <v/>
      </c>
      <c r="AE17" s="5">
        <f>IFERROR(INDEX(2a_PRE_TRABAJO!W$5:W$112,MATCH($A17,2a_PRE_TRABAJO!$A$5:$A$112,0)),"")</f>
        <v/>
      </c>
      <c r="AF17" s="5">
        <f>IFERROR(INDEX(2a_PRE_TRABAJO!X$5:X$112,MATCH($A17,2a_PRE_TRABAJO!$A$5:$A$112,0)),"")</f>
        <v/>
      </c>
      <c r="AG17" s="5">
        <f>IFERROR(INDEX(2a_PRE_TRABAJO!Y$5:Y$112,MATCH($A17,2a_PRE_TRABAJO!$A$5:$A$112,0)),"")</f>
        <v/>
      </c>
      <c r="AH17" s="5">
        <f>IFERROR(INDEX(2a_PRE_TRABAJO!Z$5:Z$112,MATCH($A17,2a_PRE_TRABAJO!$A$5:$A$112,0)),"")</f>
        <v/>
      </c>
      <c r="AI17" s="5">
        <f>IFERROR(INDEX(2a_PRE_TRABAJO!AA$5:AA$112,MATCH($A17,2a_PRE_TRABAJO!$A$5:$A$112,0)),"")</f>
        <v/>
      </c>
      <c r="AJ17" s="5">
        <f>IFERROR(INDEX(2a_PRE_TRABAJO!AB$5:AB$112,MATCH($A17,2a_PRE_TRABAJO!$A$5:$A$112,0)),"")</f>
        <v/>
      </c>
      <c r="AK17" s="5">
        <f>IFERROR(INDEX(2a_PRE_TRABAJO!AC$5:AC$112,MATCH($A17,2a_PRE_TRABAJO!$A$5:$A$112,0)),"")</f>
        <v/>
      </c>
    </row>
    <row r="18">
      <c r="A18" s="3" t="inlineStr">
        <is>
          <t>GU-TDH-017</t>
        </is>
      </c>
      <c r="B18" s="3" t="n">
        <v>1</v>
      </c>
      <c r="C18" s="5">
        <f>IFERROR(INDEX(2a_PRE_TRABAJO!B$5:B$112,MATCH($A18,2a_PRE_TRABAJO!$A$5:$A$112,0)),"")</f>
        <v/>
      </c>
      <c r="D18" s="5">
        <f>IFERROR(INDEX(2a_PRE_TRABAJO!C$5:C$112,MATCH($A18,2a_PRE_TRABAJO!$A$5:$A$112,0)),"")</f>
        <v/>
      </c>
      <c r="E18" s="5">
        <f>IFERROR(INDEX(2a_PRE_TRABAJO!D$5:D$112,MATCH($A18,2a_PRE_TRABAJO!$A$5:$A$112,0)),"")</f>
        <v/>
      </c>
      <c r="F18" s="5">
        <f>IFERROR(INDEX(2a_PRE_TRABAJO!E$5:E$112,MATCH($A18,2a_PRE_TRABAJO!$A$5:$A$112,0)),"")</f>
        <v/>
      </c>
      <c r="G18" s="5">
        <f>IFERROR(INDEX(2a_PRE_TRABAJO!F$5:F$112,MATCH($A18,2a_PRE_TRABAJO!$A$5:$A$112,0)),"")</f>
        <v/>
      </c>
      <c r="H18" s="5">
        <f>IFERROR(INDEX(2a_PRE_TRABAJO!G$5:G$112,MATCH($A18,2a_PRE_TRABAJO!$A$5:$A$112,0)),"")</f>
        <v/>
      </c>
      <c r="I18" s="5">
        <f>IFERROR(INDEX(2b_POST_TRABAJO!C$5:C$109,MATCH($A18,2b_POST_TRABAJO!$A$5:$A$109,0)),"")</f>
        <v/>
      </c>
      <c r="J18" s="5">
        <f>IFERROR(INDEX(2a_PRE_TRABAJO!AD$5:AD$112,MATCH($A18,2a_PRE_TRABAJO!$A$5:$A$112,0)),"")</f>
        <v/>
      </c>
      <c r="K18" s="5">
        <f>IFERROR(INDEX(2a_PRE_TRABAJO!AE$5:AE$112,MATCH($A18,2a_PRE_TRABAJO!$A$5:$A$112,0)),"")</f>
        <v/>
      </c>
      <c r="L18" s="5">
        <f>IFERROR(INDEX(2a_PRE_TRABAJO!AF$5:AF$112,MATCH($A18,2a_PRE_TRABAJO!$A$5:$A$112,0)),"")</f>
        <v/>
      </c>
      <c r="M18" s="5">
        <f>IFERROR(INDEX(2a_PRE_TRABAJO!AG$5:AG$112,MATCH($A18,2a_PRE_TRABAJO!$A$5:$A$112,0)),"")</f>
        <v/>
      </c>
      <c r="N18" s="5">
        <f>IFERROR(INDEX(2b_POST_TRABAJO!D$5:D$109,MATCH($A18,2b_POST_TRABAJO!$A$5:$A$109,0)),"")</f>
        <v/>
      </c>
      <c r="O18" s="5">
        <f>IF(OR(N18="",J18=""),"",N18-J18)</f>
        <v/>
      </c>
      <c r="P18" s="5">
        <f>IFERROR(INDEX(2a_PRE_TRABAJO!H$5:H$112,MATCH($A18,2a_PRE_TRABAJO!$A$5:$A$112,0)),"")</f>
        <v/>
      </c>
      <c r="Q18" s="5">
        <f>IFERROR(INDEX(2a_PRE_TRABAJO!I$5:I$112,MATCH($A18,2a_PRE_TRABAJO!$A$5:$A$112,0)),"")</f>
        <v/>
      </c>
      <c r="R18" s="5">
        <f>IFERROR(INDEX(2a_PRE_TRABAJO!J$5:J$112,MATCH($A18,2a_PRE_TRABAJO!$A$5:$A$112,0)),"")</f>
        <v/>
      </c>
      <c r="S18" s="5">
        <f>IFERROR(INDEX(2a_PRE_TRABAJO!K$5:K$112,MATCH($A18,2a_PRE_TRABAJO!$A$5:$A$112,0)),"")</f>
        <v/>
      </c>
      <c r="T18" s="5">
        <f>IFERROR(INDEX(2a_PRE_TRABAJO!L$5:L$112,MATCH($A18,2a_PRE_TRABAJO!$A$5:$A$112,0)),"")</f>
        <v/>
      </c>
      <c r="U18" s="5">
        <f>IFERROR(INDEX(2a_PRE_TRABAJO!M$5:M$112,MATCH($A18,2a_PRE_TRABAJO!$A$5:$A$112,0)),"")</f>
        <v/>
      </c>
      <c r="V18" s="5">
        <f>IFERROR(INDEX(2a_PRE_TRABAJO!N$5:N$112,MATCH($A18,2a_PRE_TRABAJO!$A$5:$A$112,0)),"")</f>
        <v/>
      </c>
      <c r="W18" s="5">
        <f>IFERROR(INDEX(2a_PRE_TRABAJO!O$5:O$112,MATCH($A18,2a_PRE_TRABAJO!$A$5:$A$112,0)),"")</f>
        <v/>
      </c>
      <c r="X18" s="5">
        <f>IFERROR(INDEX(2a_PRE_TRABAJO!P$5:P$112,MATCH($A18,2a_PRE_TRABAJO!$A$5:$A$112,0)),"")</f>
        <v/>
      </c>
      <c r="Y18" s="5">
        <f>IFERROR(INDEX(2a_PRE_TRABAJO!Q$5:Q$112,MATCH($A18,2a_PRE_TRABAJO!$A$5:$A$112,0)),"")</f>
        <v/>
      </c>
      <c r="Z18" s="5">
        <f>IFERROR(INDEX(2a_PRE_TRABAJO!R$5:R$112,MATCH($A18,2a_PRE_TRABAJO!$A$5:$A$112,0)),"")</f>
        <v/>
      </c>
      <c r="AA18" s="5">
        <f>IFERROR(INDEX(2a_PRE_TRABAJO!S$5:S$112,MATCH($A18,2a_PRE_TRABAJO!$A$5:$A$112,0)),"")</f>
        <v/>
      </c>
      <c r="AB18" s="5">
        <f>IFERROR(INDEX(2a_PRE_TRABAJO!T$5:T$112,MATCH($A18,2a_PRE_TRABAJO!$A$5:$A$112,0)),"")</f>
        <v/>
      </c>
      <c r="AC18" s="5">
        <f>IFERROR(INDEX(2a_PRE_TRABAJO!U$5:U$112,MATCH($A18,2a_PRE_TRABAJO!$A$5:$A$112,0)),"")</f>
        <v/>
      </c>
      <c r="AD18" s="5">
        <f>IFERROR(INDEX(2a_PRE_TRABAJO!V$5:V$112,MATCH($A18,2a_PRE_TRABAJO!$A$5:$A$112,0)),"")</f>
        <v/>
      </c>
      <c r="AE18" s="5">
        <f>IFERROR(INDEX(2a_PRE_TRABAJO!W$5:W$112,MATCH($A18,2a_PRE_TRABAJO!$A$5:$A$112,0)),"")</f>
        <v/>
      </c>
      <c r="AF18" s="5">
        <f>IFERROR(INDEX(2a_PRE_TRABAJO!X$5:X$112,MATCH($A18,2a_PRE_TRABAJO!$A$5:$A$112,0)),"")</f>
        <v/>
      </c>
      <c r="AG18" s="5">
        <f>IFERROR(INDEX(2a_PRE_TRABAJO!Y$5:Y$112,MATCH($A18,2a_PRE_TRABAJO!$A$5:$A$112,0)),"")</f>
        <v/>
      </c>
      <c r="AH18" s="5">
        <f>IFERROR(INDEX(2a_PRE_TRABAJO!Z$5:Z$112,MATCH($A18,2a_PRE_TRABAJO!$A$5:$A$112,0)),"")</f>
        <v/>
      </c>
      <c r="AI18" s="5">
        <f>IFERROR(INDEX(2a_PRE_TRABAJO!AA$5:AA$112,MATCH($A18,2a_PRE_TRABAJO!$A$5:$A$112,0)),"")</f>
        <v/>
      </c>
      <c r="AJ18" s="5">
        <f>IFERROR(INDEX(2a_PRE_TRABAJO!AB$5:AB$112,MATCH($A18,2a_PRE_TRABAJO!$A$5:$A$112,0)),"")</f>
        <v/>
      </c>
      <c r="AK18" s="5">
        <f>IFERROR(INDEX(2a_PRE_TRABAJO!AC$5:AC$112,MATCH($A18,2a_PRE_TRABAJO!$A$5:$A$112,0)),"")</f>
        <v/>
      </c>
    </row>
    <row r="19">
      <c r="A19" s="3" t="inlineStr">
        <is>
          <t>GU-TDH-019</t>
        </is>
      </c>
      <c r="B19" s="3" t="n">
        <v>1</v>
      </c>
      <c r="C19" s="5">
        <f>IFERROR(INDEX(2a_PRE_TRABAJO!B$5:B$112,MATCH($A19,2a_PRE_TRABAJO!$A$5:$A$112,0)),"")</f>
        <v/>
      </c>
      <c r="D19" s="5">
        <f>IFERROR(INDEX(2a_PRE_TRABAJO!C$5:C$112,MATCH($A19,2a_PRE_TRABAJO!$A$5:$A$112,0)),"")</f>
        <v/>
      </c>
      <c r="E19" s="5">
        <f>IFERROR(INDEX(2a_PRE_TRABAJO!D$5:D$112,MATCH($A19,2a_PRE_TRABAJO!$A$5:$A$112,0)),"")</f>
        <v/>
      </c>
      <c r="F19" s="5">
        <f>IFERROR(INDEX(2a_PRE_TRABAJO!E$5:E$112,MATCH($A19,2a_PRE_TRABAJO!$A$5:$A$112,0)),"")</f>
        <v/>
      </c>
      <c r="G19" s="5">
        <f>IFERROR(INDEX(2a_PRE_TRABAJO!F$5:F$112,MATCH($A19,2a_PRE_TRABAJO!$A$5:$A$112,0)),"")</f>
        <v/>
      </c>
      <c r="H19" s="5">
        <f>IFERROR(INDEX(2a_PRE_TRABAJO!G$5:G$112,MATCH($A19,2a_PRE_TRABAJO!$A$5:$A$112,0)),"")</f>
        <v/>
      </c>
      <c r="I19" s="5">
        <f>IFERROR(INDEX(2b_POST_TRABAJO!C$5:C$109,MATCH($A19,2b_POST_TRABAJO!$A$5:$A$109,0)),"")</f>
        <v/>
      </c>
      <c r="J19" s="5">
        <f>IFERROR(INDEX(2a_PRE_TRABAJO!AD$5:AD$112,MATCH($A19,2a_PRE_TRABAJO!$A$5:$A$112,0)),"")</f>
        <v/>
      </c>
      <c r="K19" s="5">
        <f>IFERROR(INDEX(2a_PRE_TRABAJO!AE$5:AE$112,MATCH($A19,2a_PRE_TRABAJO!$A$5:$A$112,0)),"")</f>
        <v/>
      </c>
      <c r="L19" s="5">
        <f>IFERROR(INDEX(2a_PRE_TRABAJO!AF$5:AF$112,MATCH($A19,2a_PRE_TRABAJO!$A$5:$A$112,0)),"")</f>
        <v/>
      </c>
      <c r="M19" s="5">
        <f>IFERROR(INDEX(2a_PRE_TRABAJO!AG$5:AG$112,MATCH($A19,2a_PRE_TRABAJO!$A$5:$A$112,0)),"")</f>
        <v/>
      </c>
      <c r="N19" s="5">
        <f>IFERROR(INDEX(2b_POST_TRABAJO!D$5:D$109,MATCH($A19,2b_POST_TRABAJO!$A$5:$A$109,0)),"")</f>
        <v/>
      </c>
      <c r="O19" s="5">
        <f>IF(OR(N19="",J19=""),"",N19-J19)</f>
        <v/>
      </c>
      <c r="P19" s="5">
        <f>IFERROR(INDEX(2a_PRE_TRABAJO!H$5:H$112,MATCH($A19,2a_PRE_TRABAJO!$A$5:$A$112,0)),"")</f>
        <v/>
      </c>
      <c r="Q19" s="5">
        <f>IFERROR(INDEX(2a_PRE_TRABAJO!I$5:I$112,MATCH($A19,2a_PRE_TRABAJO!$A$5:$A$112,0)),"")</f>
        <v/>
      </c>
      <c r="R19" s="5">
        <f>IFERROR(INDEX(2a_PRE_TRABAJO!J$5:J$112,MATCH($A19,2a_PRE_TRABAJO!$A$5:$A$112,0)),"")</f>
        <v/>
      </c>
      <c r="S19" s="5">
        <f>IFERROR(INDEX(2a_PRE_TRABAJO!K$5:K$112,MATCH($A19,2a_PRE_TRABAJO!$A$5:$A$112,0)),"")</f>
        <v/>
      </c>
      <c r="T19" s="5">
        <f>IFERROR(INDEX(2a_PRE_TRABAJO!L$5:L$112,MATCH($A19,2a_PRE_TRABAJO!$A$5:$A$112,0)),"")</f>
        <v/>
      </c>
      <c r="U19" s="5">
        <f>IFERROR(INDEX(2a_PRE_TRABAJO!M$5:M$112,MATCH($A19,2a_PRE_TRABAJO!$A$5:$A$112,0)),"")</f>
        <v/>
      </c>
      <c r="V19" s="5">
        <f>IFERROR(INDEX(2a_PRE_TRABAJO!N$5:N$112,MATCH($A19,2a_PRE_TRABAJO!$A$5:$A$112,0)),"")</f>
        <v/>
      </c>
      <c r="W19" s="5">
        <f>IFERROR(INDEX(2a_PRE_TRABAJO!O$5:O$112,MATCH($A19,2a_PRE_TRABAJO!$A$5:$A$112,0)),"")</f>
        <v/>
      </c>
      <c r="X19" s="5">
        <f>IFERROR(INDEX(2a_PRE_TRABAJO!P$5:P$112,MATCH($A19,2a_PRE_TRABAJO!$A$5:$A$112,0)),"")</f>
        <v/>
      </c>
      <c r="Y19" s="5">
        <f>IFERROR(INDEX(2a_PRE_TRABAJO!Q$5:Q$112,MATCH($A19,2a_PRE_TRABAJO!$A$5:$A$112,0)),"")</f>
        <v/>
      </c>
      <c r="Z19" s="5">
        <f>IFERROR(INDEX(2a_PRE_TRABAJO!R$5:R$112,MATCH($A19,2a_PRE_TRABAJO!$A$5:$A$112,0)),"")</f>
        <v/>
      </c>
      <c r="AA19" s="5">
        <f>IFERROR(INDEX(2a_PRE_TRABAJO!S$5:S$112,MATCH($A19,2a_PRE_TRABAJO!$A$5:$A$112,0)),"")</f>
        <v/>
      </c>
      <c r="AB19" s="5">
        <f>IFERROR(INDEX(2a_PRE_TRABAJO!T$5:T$112,MATCH($A19,2a_PRE_TRABAJO!$A$5:$A$112,0)),"")</f>
        <v/>
      </c>
      <c r="AC19" s="5">
        <f>IFERROR(INDEX(2a_PRE_TRABAJO!U$5:U$112,MATCH($A19,2a_PRE_TRABAJO!$A$5:$A$112,0)),"")</f>
        <v/>
      </c>
      <c r="AD19" s="5">
        <f>IFERROR(INDEX(2a_PRE_TRABAJO!V$5:V$112,MATCH($A19,2a_PRE_TRABAJO!$A$5:$A$112,0)),"")</f>
        <v/>
      </c>
      <c r="AE19" s="5">
        <f>IFERROR(INDEX(2a_PRE_TRABAJO!W$5:W$112,MATCH($A19,2a_PRE_TRABAJO!$A$5:$A$112,0)),"")</f>
        <v/>
      </c>
      <c r="AF19" s="5">
        <f>IFERROR(INDEX(2a_PRE_TRABAJO!X$5:X$112,MATCH($A19,2a_PRE_TRABAJO!$A$5:$A$112,0)),"")</f>
        <v/>
      </c>
      <c r="AG19" s="5">
        <f>IFERROR(INDEX(2a_PRE_TRABAJO!Y$5:Y$112,MATCH($A19,2a_PRE_TRABAJO!$A$5:$A$112,0)),"")</f>
        <v/>
      </c>
      <c r="AH19" s="5">
        <f>IFERROR(INDEX(2a_PRE_TRABAJO!Z$5:Z$112,MATCH($A19,2a_PRE_TRABAJO!$A$5:$A$112,0)),"")</f>
        <v/>
      </c>
      <c r="AI19" s="5">
        <f>IFERROR(INDEX(2a_PRE_TRABAJO!AA$5:AA$112,MATCH($A19,2a_PRE_TRABAJO!$A$5:$A$112,0)),"")</f>
        <v/>
      </c>
      <c r="AJ19" s="5">
        <f>IFERROR(INDEX(2a_PRE_TRABAJO!AB$5:AB$112,MATCH($A19,2a_PRE_TRABAJO!$A$5:$A$112,0)),"")</f>
        <v/>
      </c>
      <c r="AK19" s="5">
        <f>IFERROR(INDEX(2a_PRE_TRABAJO!AC$5:AC$112,MATCH($A19,2a_PRE_TRABAJO!$A$5:$A$112,0)),"")</f>
        <v/>
      </c>
    </row>
    <row r="20">
      <c r="A20" s="3" t="inlineStr">
        <is>
          <t>GU-TDH-020</t>
        </is>
      </c>
      <c r="B20" s="3" t="n">
        <v>1</v>
      </c>
      <c r="C20" s="5">
        <f>IFERROR(INDEX(2a_PRE_TRABAJO!B$5:B$112,MATCH($A20,2a_PRE_TRABAJO!$A$5:$A$112,0)),"")</f>
        <v/>
      </c>
      <c r="D20" s="5">
        <f>IFERROR(INDEX(2a_PRE_TRABAJO!C$5:C$112,MATCH($A20,2a_PRE_TRABAJO!$A$5:$A$112,0)),"")</f>
        <v/>
      </c>
      <c r="E20" s="5">
        <f>IFERROR(INDEX(2a_PRE_TRABAJO!D$5:D$112,MATCH($A20,2a_PRE_TRABAJO!$A$5:$A$112,0)),"")</f>
        <v/>
      </c>
      <c r="F20" s="5">
        <f>IFERROR(INDEX(2a_PRE_TRABAJO!E$5:E$112,MATCH($A20,2a_PRE_TRABAJO!$A$5:$A$112,0)),"")</f>
        <v/>
      </c>
      <c r="G20" s="5">
        <f>IFERROR(INDEX(2a_PRE_TRABAJO!F$5:F$112,MATCH($A20,2a_PRE_TRABAJO!$A$5:$A$112,0)),"")</f>
        <v/>
      </c>
      <c r="H20" s="5">
        <f>IFERROR(INDEX(2a_PRE_TRABAJO!G$5:G$112,MATCH($A20,2a_PRE_TRABAJO!$A$5:$A$112,0)),"")</f>
        <v/>
      </c>
      <c r="I20" s="5">
        <f>IFERROR(INDEX(2b_POST_TRABAJO!C$5:C$109,MATCH($A20,2b_POST_TRABAJO!$A$5:$A$109,0)),"")</f>
        <v/>
      </c>
      <c r="J20" s="5">
        <f>IFERROR(INDEX(2a_PRE_TRABAJO!AD$5:AD$112,MATCH($A20,2a_PRE_TRABAJO!$A$5:$A$112,0)),"")</f>
        <v/>
      </c>
      <c r="K20" s="5">
        <f>IFERROR(INDEX(2a_PRE_TRABAJO!AE$5:AE$112,MATCH($A20,2a_PRE_TRABAJO!$A$5:$A$112,0)),"")</f>
        <v/>
      </c>
      <c r="L20" s="5">
        <f>IFERROR(INDEX(2a_PRE_TRABAJO!AF$5:AF$112,MATCH($A20,2a_PRE_TRABAJO!$A$5:$A$112,0)),"")</f>
        <v/>
      </c>
      <c r="M20" s="5">
        <f>IFERROR(INDEX(2a_PRE_TRABAJO!AG$5:AG$112,MATCH($A20,2a_PRE_TRABAJO!$A$5:$A$112,0)),"")</f>
        <v/>
      </c>
      <c r="N20" s="5">
        <f>IFERROR(INDEX(2b_POST_TRABAJO!D$5:D$109,MATCH($A20,2b_POST_TRABAJO!$A$5:$A$109,0)),"")</f>
        <v/>
      </c>
      <c r="O20" s="5">
        <f>IF(OR(N20="",J20=""),"",N20-J20)</f>
        <v/>
      </c>
      <c r="P20" s="5">
        <f>IFERROR(INDEX(2a_PRE_TRABAJO!H$5:H$112,MATCH($A20,2a_PRE_TRABAJO!$A$5:$A$112,0)),"")</f>
        <v/>
      </c>
      <c r="Q20" s="5">
        <f>IFERROR(INDEX(2a_PRE_TRABAJO!I$5:I$112,MATCH($A20,2a_PRE_TRABAJO!$A$5:$A$112,0)),"")</f>
        <v/>
      </c>
      <c r="R20" s="5">
        <f>IFERROR(INDEX(2a_PRE_TRABAJO!J$5:J$112,MATCH($A20,2a_PRE_TRABAJO!$A$5:$A$112,0)),"")</f>
        <v/>
      </c>
      <c r="S20" s="5">
        <f>IFERROR(INDEX(2a_PRE_TRABAJO!K$5:K$112,MATCH($A20,2a_PRE_TRABAJO!$A$5:$A$112,0)),"")</f>
        <v/>
      </c>
      <c r="T20" s="5">
        <f>IFERROR(INDEX(2a_PRE_TRABAJO!L$5:L$112,MATCH($A20,2a_PRE_TRABAJO!$A$5:$A$112,0)),"")</f>
        <v/>
      </c>
      <c r="U20" s="5">
        <f>IFERROR(INDEX(2a_PRE_TRABAJO!M$5:M$112,MATCH($A20,2a_PRE_TRABAJO!$A$5:$A$112,0)),"")</f>
        <v/>
      </c>
      <c r="V20" s="5">
        <f>IFERROR(INDEX(2a_PRE_TRABAJO!N$5:N$112,MATCH($A20,2a_PRE_TRABAJO!$A$5:$A$112,0)),"")</f>
        <v/>
      </c>
      <c r="W20" s="5">
        <f>IFERROR(INDEX(2a_PRE_TRABAJO!O$5:O$112,MATCH($A20,2a_PRE_TRABAJO!$A$5:$A$112,0)),"")</f>
        <v/>
      </c>
      <c r="X20" s="5">
        <f>IFERROR(INDEX(2a_PRE_TRABAJO!P$5:P$112,MATCH($A20,2a_PRE_TRABAJO!$A$5:$A$112,0)),"")</f>
        <v/>
      </c>
      <c r="Y20" s="5">
        <f>IFERROR(INDEX(2a_PRE_TRABAJO!Q$5:Q$112,MATCH($A20,2a_PRE_TRABAJO!$A$5:$A$112,0)),"")</f>
        <v/>
      </c>
      <c r="Z20" s="5">
        <f>IFERROR(INDEX(2a_PRE_TRABAJO!R$5:R$112,MATCH($A20,2a_PRE_TRABAJO!$A$5:$A$112,0)),"")</f>
        <v/>
      </c>
      <c r="AA20" s="5">
        <f>IFERROR(INDEX(2a_PRE_TRABAJO!S$5:S$112,MATCH($A20,2a_PRE_TRABAJO!$A$5:$A$112,0)),"")</f>
        <v/>
      </c>
      <c r="AB20" s="5">
        <f>IFERROR(INDEX(2a_PRE_TRABAJO!T$5:T$112,MATCH($A20,2a_PRE_TRABAJO!$A$5:$A$112,0)),"")</f>
        <v/>
      </c>
      <c r="AC20" s="5">
        <f>IFERROR(INDEX(2a_PRE_TRABAJO!U$5:U$112,MATCH($A20,2a_PRE_TRABAJO!$A$5:$A$112,0)),"")</f>
        <v/>
      </c>
      <c r="AD20" s="5">
        <f>IFERROR(INDEX(2a_PRE_TRABAJO!V$5:V$112,MATCH($A20,2a_PRE_TRABAJO!$A$5:$A$112,0)),"")</f>
        <v/>
      </c>
      <c r="AE20" s="5">
        <f>IFERROR(INDEX(2a_PRE_TRABAJO!W$5:W$112,MATCH($A20,2a_PRE_TRABAJO!$A$5:$A$112,0)),"")</f>
        <v/>
      </c>
      <c r="AF20" s="5">
        <f>IFERROR(INDEX(2a_PRE_TRABAJO!X$5:X$112,MATCH($A20,2a_PRE_TRABAJO!$A$5:$A$112,0)),"")</f>
        <v/>
      </c>
      <c r="AG20" s="5">
        <f>IFERROR(INDEX(2a_PRE_TRABAJO!Y$5:Y$112,MATCH($A20,2a_PRE_TRABAJO!$A$5:$A$112,0)),"")</f>
        <v/>
      </c>
      <c r="AH20" s="5">
        <f>IFERROR(INDEX(2a_PRE_TRABAJO!Z$5:Z$112,MATCH($A20,2a_PRE_TRABAJO!$A$5:$A$112,0)),"")</f>
        <v/>
      </c>
      <c r="AI20" s="5">
        <f>IFERROR(INDEX(2a_PRE_TRABAJO!AA$5:AA$112,MATCH($A20,2a_PRE_TRABAJO!$A$5:$A$112,0)),"")</f>
        <v/>
      </c>
      <c r="AJ20" s="5">
        <f>IFERROR(INDEX(2a_PRE_TRABAJO!AB$5:AB$112,MATCH($A20,2a_PRE_TRABAJO!$A$5:$A$112,0)),"")</f>
        <v/>
      </c>
      <c r="AK20" s="5">
        <f>IFERROR(INDEX(2a_PRE_TRABAJO!AC$5:AC$112,MATCH($A20,2a_PRE_TRABAJO!$A$5:$A$112,0)),"")</f>
        <v/>
      </c>
    </row>
    <row r="21">
      <c r="A21" s="3" t="inlineStr">
        <is>
          <t>GU-TDH-021</t>
        </is>
      </c>
      <c r="B21" s="3" t="n">
        <v>1</v>
      </c>
      <c r="C21" s="5">
        <f>IFERROR(INDEX(2a_PRE_TRABAJO!B$5:B$112,MATCH($A21,2a_PRE_TRABAJO!$A$5:$A$112,0)),"")</f>
        <v/>
      </c>
      <c r="D21" s="5">
        <f>IFERROR(INDEX(2a_PRE_TRABAJO!C$5:C$112,MATCH($A21,2a_PRE_TRABAJO!$A$5:$A$112,0)),"")</f>
        <v/>
      </c>
      <c r="E21" s="5">
        <f>IFERROR(INDEX(2a_PRE_TRABAJO!D$5:D$112,MATCH($A21,2a_PRE_TRABAJO!$A$5:$A$112,0)),"")</f>
        <v/>
      </c>
      <c r="F21" s="5">
        <f>IFERROR(INDEX(2a_PRE_TRABAJO!E$5:E$112,MATCH($A21,2a_PRE_TRABAJO!$A$5:$A$112,0)),"")</f>
        <v/>
      </c>
      <c r="G21" s="5">
        <f>IFERROR(INDEX(2a_PRE_TRABAJO!F$5:F$112,MATCH($A21,2a_PRE_TRABAJO!$A$5:$A$112,0)),"")</f>
        <v/>
      </c>
      <c r="H21" s="5">
        <f>IFERROR(INDEX(2a_PRE_TRABAJO!G$5:G$112,MATCH($A21,2a_PRE_TRABAJO!$A$5:$A$112,0)),"")</f>
        <v/>
      </c>
      <c r="I21" s="5">
        <f>IFERROR(INDEX(2b_POST_TRABAJO!C$5:C$109,MATCH($A21,2b_POST_TRABAJO!$A$5:$A$109,0)),"")</f>
        <v/>
      </c>
      <c r="J21" s="5">
        <f>IFERROR(INDEX(2a_PRE_TRABAJO!AD$5:AD$112,MATCH($A21,2a_PRE_TRABAJO!$A$5:$A$112,0)),"")</f>
        <v/>
      </c>
      <c r="K21" s="5">
        <f>IFERROR(INDEX(2a_PRE_TRABAJO!AE$5:AE$112,MATCH($A21,2a_PRE_TRABAJO!$A$5:$A$112,0)),"")</f>
        <v/>
      </c>
      <c r="L21" s="5">
        <f>IFERROR(INDEX(2a_PRE_TRABAJO!AF$5:AF$112,MATCH($A21,2a_PRE_TRABAJO!$A$5:$A$112,0)),"")</f>
        <v/>
      </c>
      <c r="M21" s="5">
        <f>IFERROR(INDEX(2a_PRE_TRABAJO!AG$5:AG$112,MATCH($A21,2a_PRE_TRABAJO!$A$5:$A$112,0)),"")</f>
        <v/>
      </c>
      <c r="N21" s="5">
        <f>IFERROR(INDEX(2b_POST_TRABAJO!D$5:D$109,MATCH($A21,2b_POST_TRABAJO!$A$5:$A$109,0)),"")</f>
        <v/>
      </c>
      <c r="O21" s="5">
        <f>IF(OR(N21="",J21=""),"",N21-J21)</f>
        <v/>
      </c>
      <c r="P21" s="5">
        <f>IFERROR(INDEX(2a_PRE_TRABAJO!H$5:H$112,MATCH($A21,2a_PRE_TRABAJO!$A$5:$A$112,0)),"")</f>
        <v/>
      </c>
      <c r="Q21" s="5">
        <f>IFERROR(INDEX(2a_PRE_TRABAJO!I$5:I$112,MATCH($A21,2a_PRE_TRABAJO!$A$5:$A$112,0)),"")</f>
        <v/>
      </c>
      <c r="R21" s="5">
        <f>IFERROR(INDEX(2a_PRE_TRABAJO!J$5:J$112,MATCH($A21,2a_PRE_TRABAJO!$A$5:$A$112,0)),"")</f>
        <v/>
      </c>
      <c r="S21" s="5">
        <f>IFERROR(INDEX(2a_PRE_TRABAJO!K$5:K$112,MATCH($A21,2a_PRE_TRABAJO!$A$5:$A$112,0)),"")</f>
        <v/>
      </c>
      <c r="T21" s="5">
        <f>IFERROR(INDEX(2a_PRE_TRABAJO!L$5:L$112,MATCH($A21,2a_PRE_TRABAJO!$A$5:$A$112,0)),"")</f>
        <v/>
      </c>
      <c r="U21" s="5">
        <f>IFERROR(INDEX(2a_PRE_TRABAJO!M$5:M$112,MATCH($A21,2a_PRE_TRABAJO!$A$5:$A$112,0)),"")</f>
        <v/>
      </c>
      <c r="V21" s="5">
        <f>IFERROR(INDEX(2a_PRE_TRABAJO!N$5:N$112,MATCH($A21,2a_PRE_TRABAJO!$A$5:$A$112,0)),"")</f>
        <v/>
      </c>
      <c r="W21" s="5">
        <f>IFERROR(INDEX(2a_PRE_TRABAJO!O$5:O$112,MATCH($A21,2a_PRE_TRABAJO!$A$5:$A$112,0)),"")</f>
        <v/>
      </c>
      <c r="X21" s="5">
        <f>IFERROR(INDEX(2a_PRE_TRABAJO!P$5:P$112,MATCH($A21,2a_PRE_TRABAJO!$A$5:$A$112,0)),"")</f>
        <v/>
      </c>
      <c r="Y21" s="5">
        <f>IFERROR(INDEX(2a_PRE_TRABAJO!Q$5:Q$112,MATCH($A21,2a_PRE_TRABAJO!$A$5:$A$112,0)),"")</f>
        <v/>
      </c>
      <c r="Z21" s="5">
        <f>IFERROR(INDEX(2a_PRE_TRABAJO!R$5:R$112,MATCH($A21,2a_PRE_TRABAJO!$A$5:$A$112,0)),"")</f>
        <v/>
      </c>
      <c r="AA21" s="5">
        <f>IFERROR(INDEX(2a_PRE_TRABAJO!S$5:S$112,MATCH($A21,2a_PRE_TRABAJO!$A$5:$A$112,0)),"")</f>
        <v/>
      </c>
      <c r="AB21" s="5">
        <f>IFERROR(INDEX(2a_PRE_TRABAJO!T$5:T$112,MATCH($A21,2a_PRE_TRABAJO!$A$5:$A$112,0)),"")</f>
        <v/>
      </c>
      <c r="AC21" s="5">
        <f>IFERROR(INDEX(2a_PRE_TRABAJO!U$5:U$112,MATCH($A21,2a_PRE_TRABAJO!$A$5:$A$112,0)),"")</f>
        <v/>
      </c>
      <c r="AD21" s="5">
        <f>IFERROR(INDEX(2a_PRE_TRABAJO!V$5:V$112,MATCH($A21,2a_PRE_TRABAJO!$A$5:$A$112,0)),"")</f>
        <v/>
      </c>
      <c r="AE21" s="5">
        <f>IFERROR(INDEX(2a_PRE_TRABAJO!W$5:W$112,MATCH($A21,2a_PRE_TRABAJO!$A$5:$A$112,0)),"")</f>
        <v/>
      </c>
      <c r="AF21" s="5">
        <f>IFERROR(INDEX(2a_PRE_TRABAJO!X$5:X$112,MATCH($A21,2a_PRE_TRABAJO!$A$5:$A$112,0)),"")</f>
        <v/>
      </c>
      <c r="AG21" s="5">
        <f>IFERROR(INDEX(2a_PRE_TRABAJO!Y$5:Y$112,MATCH($A21,2a_PRE_TRABAJO!$A$5:$A$112,0)),"")</f>
        <v/>
      </c>
      <c r="AH21" s="5">
        <f>IFERROR(INDEX(2a_PRE_TRABAJO!Z$5:Z$112,MATCH($A21,2a_PRE_TRABAJO!$A$5:$A$112,0)),"")</f>
        <v/>
      </c>
      <c r="AI21" s="5">
        <f>IFERROR(INDEX(2a_PRE_TRABAJO!AA$5:AA$112,MATCH($A21,2a_PRE_TRABAJO!$A$5:$A$112,0)),"")</f>
        <v/>
      </c>
      <c r="AJ21" s="5">
        <f>IFERROR(INDEX(2a_PRE_TRABAJO!AB$5:AB$112,MATCH($A21,2a_PRE_TRABAJO!$A$5:$A$112,0)),"")</f>
        <v/>
      </c>
      <c r="AK21" s="5">
        <f>IFERROR(INDEX(2a_PRE_TRABAJO!AC$5:AC$112,MATCH($A21,2a_PRE_TRABAJO!$A$5:$A$112,0)),"")</f>
        <v/>
      </c>
    </row>
    <row r="22">
      <c r="A22" s="3" t="inlineStr">
        <is>
          <t>GU-TDH-022</t>
        </is>
      </c>
      <c r="B22" s="3" t="n">
        <v>1</v>
      </c>
      <c r="C22" s="5">
        <f>IFERROR(INDEX(2a_PRE_TRABAJO!B$5:B$112,MATCH($A22,2a_PRE_TRABAJO!$A$5:$A$112,0)),"")</f>
        <v/>
      </c>
      <c r="D22" s="5">
        <f>IFERROR(INDEX(2a_PRE_TRABAJO!C$5:C$112,MATCH($A22,2a_PRE_TRABAJO!$A$5:$A$112,0)),"")</f>
        <v/>
      </c>
      <c r="E22" s="5">
        <f>IFERROR(INDEX(2a_PRE_TRABAJO!D$5:D$112,MATCH($A22,2a_PRE_TRABAJO!$A$5:$A$112,0)),"")</f>
        <v/>
      </c>
      <c r="F22" s="5">
        <f>IFERROR(INDEX(2a_PRE_TRABAJO!E$5:E$112,MATCH($A22,2a_PRE_TRABAJO!$A$5:$A$112,0)),"")</f>
        <v/>
      </c>
      <c r="G22" s="5">
        <f>IFERROR(INDEX(2a_PRE_TRABAJO!F$5:F$112,MATCH($A22,2a_PRE_TRABAJO!$A$5:$A$112,0)),"")</f>
        <v/>
      </c>
      <c r="H22" s="5">
        <f>IFERROR(INDEX(2a_PRE_TRABAJO!G$5:G$112,MATCH($A22,2a_PRE_TRABAJO!$A$5:$A$112,0)),"")</f>
        <v/>
      </c>
      <c r="I22" s="5">
        <f>IFERROR(INDEX(2b_POST_TRABAJO!C$5:C$109,MATCH($A22,2b_POST_TRABAJO!$A$5:$A$109,0)),"")</f>
        <v/>
      </c>
      <c r="J22" s="5">
        <f>IFERROR(INDEX(2a_PRE_TRABAJO!AD$5:AD$112,MATCH($A22,2a_PRE_TRABAJO!$A$5:$A$112,0)),"")</f>
        <v/>
      </c>
      <c r="K22" s="5">
        <f>IFERROR(INDEX(2a_PRE_TRABAJO!AE$5:AE$112,MATCH($A22,2a_PRE_TRABAJO!$A$5:$A$112,0)),"")</f>
        <v/>
      </c>
      <c r="L22" s="5">
        <f>IFERROR(INDEX(2a_PRE_TRABAJO!AF$5:AF$112,MATCH($A22,2a_PRE_TRABAJO!$A$5:$A$112,0)),"")</f>
        <v/>
      </c>
      <c r="M22" s="5">
        <f>IFERROR(INDEX(2a_PRE_TRABAJO!AG$5:AG$112,MATCH($A22,2a_PRE_TRABAJO!$A$5:$A$112,0)),"")</f>
        <v/>
      </c>
      <c r="N22" s="5">
        <f>IFERROR(INDEX(2b_POST_TRABAJO!D$5:D$109,MATCH($A22,2b_POST_TRABAJO!$A$5:$A$109,0)),"")</f>
        <v/>
      </c>
      <c r="O22" s="5">
        <f>IF(OR(N22="",J22=""),"",N22-J22)</f>
        <v/>
      </c>
      <c r="P22" s="5">
        <f>IFERROR(INDEX(2a_PRE_TRABAJO!H$5:H$112,MATCH($A22,2a_PRE_TRABAJO!$A$5:$A$112,0)),"")</f>
        <v/>
      </c>
      <c r="Q22" s="5">
        <f>IFERROR(INDEX(2a_PRE_TRABAJO!I$5:I$112,MATCH($A22,2a_PRE_TRABAJO!$A$5:$A$112,0)),"")</f>
        <v/>
      </c>
      <c r="R22" s="5">
        <f>IFERROR(INDEX(2a_PRE_TRABAJO!J$5:J$112,MATCH($A22,2a_PRE_TRABAJO!$A$5:$A$112,0)),"")</f>
        <v/>
      </c>
      <c r="S22" s="5">
        <f>IFERROR(INDEX(2a_PRE_TRABAJO!K$5:K$112,MATCH($A22,2a_PRE_TRABAJO!$A$5:$A$112,0)),"")</f>
        <v/>
      </c>
      <c r="T22" s="5">
        <f>IFERROR(INDEX(2a_PRE_TRABAJO!L$5:L$112,MATCH($A22,2a_PRE_TRABAJO!$A$5:$A$112,0)),"")</f>
        <v/>
      </c>
      <c r="U22" s="5">
        <f>IFERROR(INDEX(2a_PRE_TRABAJO!M$5:M$112,MATCH($A22,2a_PRE_TRABAJO!$A$5:$A$112,0)),"")</f>
        <v/>
      </c>
      <c r="V22" s="5">
        <f>IFERROR(INDEX(2a_PRE_TRABAJO!N$5:N$112,MATCH($A22,2a_PRE_TRABAJO!$A$5:$A$112,0)),"")</f>
        <v/>
      </c>
      <c r="W22" s="5">
        <f>IFERROR(INDEX(2a_PRE_TRABAJO!O$5:O$112,MATCH($A22,2a_PRE_TRABAJO!$A$5:$A$112,0)),"")</f>
        <v/>
      </c>
      <c r="X22" s="5">
        <f>IFERROR(INDEX(2a_PRE_TRABAJO!P$5:P$112,MATCH($A22,2a_PRE_TRABAJO!$A$5:$A$112,0)),"")</f>
        <v/>
      </c>
      <c r="Y22" s="5">
        <f>IFERROR(INDEX(2a_PRE_TRABAJO!Q$5:Q$112,MATCH($A22,2a_PRE_TRABAJO!$A$5:$A$112,0)),"")</f>
        <v/>
      </c>
      <c r="Z22" s="5">
        <f>IFERROR(INDEX(2a_PRE_TRABAJO!R$5:R$112,MATCH($A22,2a_PRE_TRABAJO!$A$5:$A$112,0)),"")</f>
        <v/>
      </c>
      <c r="AA22" s="5">
        <f>IFERROR(INDEX(2a_PRE_TRABAJO!S$5:S$112,MATCH($A22,2a_PRE_TRABAJO!$A$5:$A$112,0)),"")</f>
        <v/>
      </c>
      <c r="AB22" s="5">
        <f>IFERROR(INDEX(2a_PRE_TRABAJO!T$5:T$112,MATCH($A22,2a_PRE_TRABAJO!$A$5:$A$112,0)),"")</f>
        <v/>
      </c>
      <c r="AC22" s="5">
        <f>IFERROR(INDEX(2a_PRE_TRABAJO!U$5:U$112,MATCH($A22,2a_PRE_TRABAJO!$A$5:$A$112,0)),"")</f>
        <v/>
      </c>
      <c r="AD22" s="5">
        <f>IFERROR(INDEX(2a_PRE_TRABAJO!V$5:V$112,MATCH($A22,2a_PRE_TRABAJO!$A$5:$A$112,0)),"")</f>
        <v/>
      </c>
      <c r="AE22" s="5">
        <f>IFERROR(INDEX(2a_PRE_TRABAJO!W$5:W$112,MATCH($A22,2a_PRE_TRABAJO!$A$5:$A$112,0)),"")</f>
        <v/>
      </c>
      <c r="AF22" s="5">
        <f>IFERROR(INDEX(2a_PRE_TRABAJO!X$5:X$112,MATCH($A22,2a_PRE_TRABAJO!$A$5:$A$112,0)),"")</f>
        <v/>
      </c>
      <c r="AG22" s="5">
        <f>IFERROR(INDEX(2a_PRE_TRABAJO!Y$5:Y$112,MATCH($A22,2a_PRE_TRABAJO!$A$5:$A$112,0)),"")</f>
        <v/>
      </c>
      <c r="AH22" s="5">
        <f>IFERROR(INDEX(2a_PRE_TRABAJO!Z$5:Z$112,MATCH($A22,2a_PRE_TRABAJO!$A$5:$A$112,0)),"")</f>
        <v/>
      </c>
      <c r="AI22" s="5">
        <f>IFERROR(INDEX(2a_PRE_TRABAJO!AA$5:AA$112,MATCH($A22,2a_PRE_TRABAJO!$A$5:$A$112,0)),"")</f>
        <v/>
      </c>
      <c r="AJ22" s="5">
        <f>IFERROR(INDEX(2a_PRE_TRABAJO!AB$5:AB$112,MATCH($A22,2a_PRE_TRABAJO!$A$5:$A$112,0)),"")</f>
        <v/>
      </c>
      <c r="AK22" s="5">
        <f>IFERROR(INDEX(2a_PRE_TRABAJO!AC$5:AC$112,MATCH($A22,2a_PRE_TRABAJO!$A$5:$A$112,0)),"")</f>
        <v/>
      </c>
    </row>
    <row r="23">
      <c r="A23" s="3" t="inlineStr">
        <is>
          <t>GU-TDH-023</t>
        </is>
      </c>
      <c r="B23" s="3" t="n">
        <v>1</v>
      </c>
      <c r="C23" s="5">
        <f>IFERROR(INDEX(2a_PRE_TRABAJO!B$5:B$112,MATCH($A23,2a_PRE_TRABAJO!$A$5:$A$112,0)),"")</f>
        <v/>
      </c>
      <c r="D23" s="5">
        <f>IFERROR(INDEX(2a_PRE_TRABAJO!C$5:C$112,MATCH($A23,2a_PRE_TRABAJO!$A$5:$A$112,0)),"")</f>
        <v/>
      </c>
      <c r="E23" s="5">
        <f>IFERROR(INDEX(2a_PRE_TRABAJO!D$5:D$112,MATCH($A23,2a_PRE_TRABAJO!$A$5:$A$112,0)),"")</f>
        <v/>
      </c>
      <c r="F23" s="5">
        <f>IFERROR(INDEX(2a_PRE_TRABAJO!E$5:E$112,MATCH($A23,2a_PRE_TRABAJO!$A$5:$A$112,0)),"")</f>
        <v/>
      </c>
      <c r="G23" s="5">
        <f>IFERROR(INDEX(2a_PRE_TRABAJO!F$5:F$112,MATCH($A23,2a_PRE_TRABAJO!$A$5:$A$112,0)),"")</f>
        <v/>
      </c>
      <c r="H23" s="5">
        <f>IFERROR(INDEX(2a_PRE_TRABAJO!G$5:G$112,MATCH($A23,2a_PRE_TRABAJO!$A$5:$A$112,0)),"")</f>
        <v/>
      </c>
      <c r="I23" s="5">
        <f>IFERROR(INDEX(2b_POST_TRABAJO!C$5:C$109,MATCH($A23,2b_POST_TRABAJO!$A$5:$A$109,0)),"")</f>
        <v/>
      </c>
      <c r="J23" s="5">
        <f>IFERROR(INDEX(2a_PRE_TRABAJO!AD$5:AD$112,MATCH($A23,2a_PRE_TRABAJO!$A$5:$A$112,0)),"")</f>
        <v/>
      </c>
      <c r="K23" s="5">
        <f>IFERROR(INDEX(2a_PRE_TRABAJO!AE$5:AE$112,MATCH($A23,2a_PRE_TRABAJO!$A$5:$A$112,0)),"")</f>
        <v/>
      </c>
      <c r="L23" s="5">
        <f>IFERROR(INDEX(2a_PRE_TRABAJO!AF$5:AF$112,MATCH($A23,2a_PRE_TRABAJO!$A$5:$A$112,0)),"")</f>
        <v/>
      </c>
      <c r="M23" s="5">
        <f>IFERROR(INDEX(2a_PRE_TRABAJO!AG$5:AG$112,MATCH($A23,2a_PRE_TRABAJO!$A$5:$A$112,0)),"")</f>
        <v/>
      </c>
      <c r="N23" s="5">
        <f>IFERROR(INDEX(2b_POST_TRABAJO!D$5:D$109,MATCH($A23,2b_POST_TRABAJO!$A$5:$A$109,0)),"")</f>
        <v/>
      </c>
      <c r="O23" s="5">
        <f>IF(OR(N23="",J23=""),"",N23-J23)</f>
        <v/>
      </c>
      <c r="P23" s="5">
        <f>IFERROR(INDEX(2a_PRE_TRABAJO!H$5:H$112,MATCH($A23,2a_PRE_TRABAJO!$A$5:$A$112,0)),"")</f>
        <v/>
      </c>
      <c r="Q23" s="5">
        <f>IFERROR(INDEX(2a_PRE_TRABAJO!I$5:I$112,MATCH($A23,2a_PRE_TRABAJO!$A$5:$A$112,0)),"")</f>
        <v/>
      </c>
      <c r="R23" s="5">
        <f>IFERROR(INDEX(2a_PRE_TRABAJO!J$5:J$112,MATCH($A23,2a_PRE_TRABAJO!$A$5:$A$112,0)),"")</f>
        <v/>
      </c>
      <c r="S23" s="5">
        <f>IFERROR(INDEX(2a_PRE_TRABAJO!K$5:K$112,MATCH($A23,2a_PRE_TRABAJO!$A$5:$A$112,0)),"")</f>
        <v/>
      </c>
      <c r="T23" s="5">
        <f>IFERROR(INDEX(2a_PRE_TRABAJO!L$5:L$112,MATCH($A23,2a_PRE_TRABAJO!$A$5:$A$112,0)),"")</f>
        <v/>
      </c>
      <c r="U23" s="5">
        <f>IFERROR(INDEX(2a_PRE_TRABAJO!M$5:M$112,MATCH($A23,2a_PRE_TRABAJO!$A$5:$A$112,0)),"")</f>
        <v/>
      </c>
      <c r="V23" s="5">
        <f>IFERROR(INDEX(2a_PRE_TRABAJO!N$5:N$112,MATCH($A23,2a_PRE_TRABAJO!$A$5:$A$112,0)),"")</f>
        <v/>
      </c>
      <c r="W23" s="5">
        <f>IFERROR(INDEX(2a_PRE_TRABAJO!O$5:O$112,MATCH($A23,2a_PRE_TRABAJO!$A$5:$A$112,0)),"")</f>
        <v/>
      </c>
      <c r="X23" s="5">
        <f>IFERROR(INDEX(2a_PRE_TRABAJO!P$5:P$112,MATCH($A23,2a_PRE_TRABAJO!$A$5:$A$112,0)),"")</f>
        <v/>
      </c>
      <c r="Y23" s="5">
        <f>IFERROR(INDEX(2a_PRE_TRABAJO!Q$5:Q$112,MATCH($A23,2a_PRE_TRABAJO!$A$5:$A$112,0)),"")</f>
        <v/>
      </c>
      <c r="Z23" s="5">
        <f>IFERROR(INDEX(2a_PRE_TRABAJO!R$5:R$112,MATCH($A23,2a_PRE_TRABAJO!$A$5:$A$112,0)),"")</f>
        <v/>
      </c>
      <c r="AA23" s="5">
        <f>IFERROR(INDEX(2a_PRE_TRABAJO!S$5:S$112,MATCH($A23,2a_PRE_TRABAJO!$A$5:$A$112,0)),"")</f>
        <v/>
      </c>
      <c r="AB23" s="5">
        <f>IFERROR(INDEX(2a_PRE_TRABAJO!T$5:T$112,MATCH($A23,2a_PRE_TRABAJO!$A$5:$A$112,0)),"")</f>
        <v/>
      </c>
      <c r="AC23" s="5">
        <f>IFERROR(INDEX(2a_PRE_TRABAJO!U$5:U$112,MATCH($A23,2a_PRE_TRABAJO!$A$5:$A$112,0)),"")</f>
        <v/>
      </c>
      <c r="AD23" s="5">
        <f>IFERROR(INDEX(2a_PRE_TRABAJO!V$5:V$112,MATCH($A23,2a_PRE_TRABAJO!$A$5:$A$112,0)),"")</f>
        <v/>
      </c>
      <c r="AE23" s="5">
        <f>IFERROR(INDEX(2a_PRE_TRABAJO!W$5:W$112,MATCH($A23,2a_PRE_TRABAJO!$A$5:$A$112,0)),"")</f>
        <v/>
      </c>
      <c r="AF23" s="5">
        <f>IFERROR(INDEX(2a_PRE_TRABAJO!X$5:X$112,MATCH($A23,2a_PRE_TRABAJO!$A$5:$A$112,0)),"")</f>
        <v/>
      </c>
      <c r="AG23" s="5">
        <f>IFERROR(INDEX(2a_PRE_TRABAJO!Y$5:Y$112,MATCH($A23,2a_PRE_TRABAJO!$A$5:$A$112,0)),"")</f>
        <v/>
      </c>
      <c r="AH23" s="5">
        <f>IFERROR(INDEX(2a_PRE_TRABAJO!Z$5:Z$112,MATCH($A23,2a_PRE_TRABAJO!$A$5:$A$112,0)),"")</f>
        <v/>
      </c>
      <c r="AI23" s="5">
        <f>IFERROR(INDEX(2a_PRE_TRABAJO!AA$5:AA$112,MATCH($A23,2a_PRE_TRABAJO!$A$5:$A$112,0)),"")</f>
        <v/>
      </c>
      <c r="AJ23" s="5">
        <f>IFERROR(INDEX(2a_PRE_TRABAJO!AB$5:AB$112,MATCH($A23,2a_PRE_TRABAJO!$A$5:$A$112,0)),"")</f>
        <v/>
      </c>
      <c r="AK23" s="5">
        <f>IFERROR(INDEX(2a_PRE_TRABAJO!AC$5:AC$112,MATCH($A23,2a_PRE_TRABAJO!$A$5:$A$112,0)),"")</f>
        <v/>
      </c>
    </row>
    <row r="24">
      <c r="A24" s="3" t="inlineStr">
        <is>
          <t>GU-TDH-024</t>
        </is>
      </c>
      <c r="B24" s="3" t="n">
        <v>1</v>
      </c>
      <c r="C24" s="5">
        <f>IFERROR(INDEX(2a_PRE_TRABAJO!B$5:B$112,MATCH($A24,2a_PRE_TRABAJO!$A$5:$A$112,0)),"")</f>
        <v/>
      </c>
      <c r="D24" s="5">
        <f>IFERROR(INDEX(2a_PRE_TRABAJO!C$5:C$112,MATCH($A24,2a_PRE_TRABAJO!$A$5:$A$112,0)),"")</f>
        <v/>
      </c>
      <c r="E24" s="5">
        <f>IFERROR(INDEX(2a_PRE_TRABAJO!D$5:D$112,MATCH($A24,2a_PRE_TRABAJO!$A$5:$A$112,0)),"")</f>
        <v/>
      </c>
      <c r="F24" s="5">
        <f>IFERROR(INDEX(2a_PRE_TRABAJO!E$5:E$112,MATCH($A24,2a_PRE_TRABAJO!$A$5:$A$112,0)),"")</f>
        <v/>
      </c>
      <c r="G24" s="5">
        <f>IFERROR(INDEX(2a_PRE_TRABAJO!F$5:F$112,MATCH($A24,2a_PRE_TRABAJO!$A$5:$A$112,0)),"")</f>
        <v/>
      </c>
      <c r="H24" s="5">
        <f>IFERROR(INDEX(2a_PRE_TRABAJO!G$5:G$112,MATCH($A24,2a_PRE_TRABAJO!$A$5:$A$112,0)),"")</f>
        <v/>
      </c>
      <c r="I24" s="5">
        <f>IFERROR(INDEX(2b_POST_TRABAJO!C$5:C$109,MATCH($A24,2b_POST_TRABAJO!$A$5:$A$109,0)),"")</f>
        <v/>
      </c>
      <c r="J24" s="5">
        <f>IFERROR(INDEX(2a_PRE_TRABAJO!AD$5:AD$112,MATCH($A24,2a_PRE_TRABAJO!$A$5:$A$112,0)),"")</f>
        <v/>
      </c>
      <c r="K24" s="5">
        <f>IFERROR(INDEX(2a_PRE_TRABAJO!AE$5:AE$112,MATCH($A24,2a_PRE_TRABAJO!$A$5:$A$112,0)),"")</f>
        <v/>
      </c>
      <c r="L24" s="5">
        <f>IFERROR(INDEX(2a_PRE_TRABAJO!AF$5:AF$112,MATCH($A24,2a_PRE_TRABAJO!$A$5:$A$112,0)),"")</f>
        <v/>
      </c>
      <c r="M24" s="5">
        <f>IFERROR(INDEX(2a_PRE_TRABAJO!AG$5:AG$112,MATCH($A24,2a_PRE_TRABAJO!$A$5:$A$112,0)),"")</f>
        <v/>
      </c>
      <c r="N24" s="5">
        <f>IFERROR(INDEX(2b_POST_TRABAJO!D$5:D$109,MATCH($A24,2b_POST_TRABAJO!$A$5:$A$109,0)),"")</f>
        <v/>
      </c>
      <c r="O24" s="5">
        <f>IF(OR(N24="",J24=""),"",N24-J24)</f>
        <v/>
      </c>
      <c r="P24" s="5">
        <f>IFERROR(INDEX(2a_PRE_TRABAJO!H$5:H$112,MATCH($A24,2a_PRE_TRABAJO!$A$5:$A$112,0)),"")</f>
        <v/>
      </c>
      <c r="Q24" s="5">
        <f>IFERROR(INDEX(2a_PRE_TRABAJO!I$5:I$112,MATCH($A24,2a_PRE_TRABAJO!$A$5:$A$112,0)),"")</f>
        <v/>
      </c>
      <c r="R24" s="5">
        <f>IFERROR(INDEX(2a_PRE_TRABAJO!J$5:J$112,MATCH($A24,2a_PRE_TRABAJO!$A$5:$A$112,0)),"")</f>
        <v/>
      </c>
      <c r="S24" s="5">
        <f>IFERROR(INDEX(2a_PRE_TRABAJO!K$5:K$112,MATCH($A24,2a_PRE_TRABAJO!$A$5:$A$112,0)),"")</f>
        <v/>
      </c>
      <c r="T24" s="5">
        <f>IFERROR(INDEX(2a_PRE_TRABAJO!L$5:L$112,MATCH($A24,2a_PRE_TRABAJO!$A$5:$A$112,0)),"")</f>
        <v/>
      </c>
      <c r="U24" s="5">
        <f>IFERROR(INDEX(2a_PRE_TRABAJO!M$5:M$112,MATCH($A24,2a_PRE_TRABAJO!$A$5:$A$112,0)),"")</f>
        <v/>
      </c>
      <c r="V24" s="5">
        <f>IFERROR(INDEX(2a_PRE_TRABAJO!N$5:N$112,MATCH($A24,2a_PRE_TRABAJO!$A$5:$A$112,0)),"")</f>
        <v/>
      </c>
      <c r="W24" s="5">
        <f>IFERROR(INDEX(2a_PRE_TRABAJO!O$5:O$112,MATCH($A24,2a_PRE_TRABAJO!$A$5:$A$112,0)),"")</f>
        <v/>
      </c>
      <c r="X24" s="5">
        <f>IFERROR(INDEX(2a_PRE_TRABAJO!P$5:P$112,MATCH($A24,2a_PRE_TRABAJO!$A$5:$A$112,0)),"")</f>
        <v/>
      </c>
      <c r="Y24" s="5">
        <f>IFERROR(INDEX(2a_PRE_TRABAJO!Q$5:Q$112,MATCH($A24,2a_PRE_TRABAJO!$A$5:$A$112,0)),"")</f>
        <v/>
      </c>
      <c r="Z24" s="5">
        <f>IFERROR(INDEX(2a_PRE_TRABAJO!R$5:R$112,MATCH($A24,2a_PRE_TRABAJO!$A$5:$A$112,0)),"")</f>
        <v/>
      </c>
      <c r="AA24" s="5">
        <f>IFERROR(INDEX(2a_PRE_TRABAJO!S$5:S$112,MATCH($A24,2a_PRE_TRABAJO!$A$5:$A$112,0)),"")</f>
        <v/>
      </c>
      <c r="AB24" s="5">
        <f>IFERROR(INDEX(2a_PRE_TRABAJO!T$5:T$112,MATCH($A24,2a_PRE_TRABAJO!$A$5:$A$112,0)),"")</f>
        <v/>
      </c>
      <c r="AC24" s="5">
        <f>IFERROR(INDEX(2a_PRE_TRABAJO!U$5:U$112,MATCH($A24,2a_PRE_TRABAJO!$A$5:$A$112,0)),"")</f>
        <v/>
      </c>
      <c r="AD24" s="5">
        <f>IFERROR(INDEX(2a_PRE_TRABAJO!V$5:V$112,MATCH($A24,2a_PRE_TRABAJO!$A$5:$A$112,0)),"")</f>
        <v/>
      </c>
      <c r="AE24" s="5">
        <f>IFERROR(INDEX(2a_PRE_TRABAJO!W$5:W$112,MATCH($A24,2a_PRE_TRABAJO!$A$5:$A$112,0)),"")</f>
        <v/>
      </c>
      <c r="AF24" s="5">
        <f>IFERROR(INDEX(2a_PRE_TRABAJO!X$5:X$112,MATCH($A24,2a_PRE_TRABAJO!$A$5:$A$112,0)),"")</f>
        <v/>
      </c>
      <c r="AG24" s="5">
        <f>IFERROR(INDEX(2a_PRE_TRABAJO!Y$5:Y$112,MATCH($A24,2a_PRE_TRABAJO!$A$5:$A$112,0)),"")</f>
        <v/>
      </c>
      <c r="AH24" s="5">
        <f>IFERROR(INDEX(2a_PRE_TRABAJO!Z$5:Z$112,MATCH($A24,2a_PRE_TRABAJO!$A$5:$A$112,0)),"")</f>
        <v/>
      </c>
      <c r="AI24" s="5">
        <f>IFERROR(INDEX(2a_PRE_TRABAJO!AA$5:AA$112,MATCH($A24,2a_PRE_TRABAJO!$A$5:$A$112,0)),"")</f>
        <v/>
      </c>
      <c r="AJ24" s="5">
        <f>IFERROR(INDEX(2a_PRE_TRABAJO!AB$5:AB$112,MATCH($A24,2a_PRE_TRABAJO!$A$5:$A$112,0)),"")</f>
        <v/>
      </c>
      <c r="AK24" s="5">
        <f>IFERROR(INDEX(2a_PRE_TRABAJO!AC$5:AC$112,MATCH($A24,2a_PRE_TRABAJO!$A$5:$A$112,0)),"")</f>
        <v/>
      </c>
    </row>
    <row r="25">
      <c r="A25" s="3" t="inlineStr">
        <is>
          <t>GU-TDH-025</t>
        </is>
      </c>
      <c r="B25" s="3" t="n">
        <v>1</v>
      </c>
      <c r="C25" s="5">
        <f>IFERROR(INDEX(2a_PRE_TRABAJO!B$5:B$112,MATCH($A25,2a_PRE_TRABAJO!$A$5:$A$112,0)),"")</f>
        <v/>
      </c>
      <c r="D25" s="5">
        <f>IFERROR(INDEX(2a_PRE_TRABAJO!C$5:C$112,MATCH($A25,2a_PRE_TRABAJO!$A$5:$A$112,0)),"")</f>
        <v/>
      </c>
      <c r="E25" s="5">
        <f>IFERROR(INDEX(2a_PRE_TRABAJO!D$5:D$112,MATCH($A25,2a_PRE_TRABAJO!$A$5:$A$112,0)),"")</f>
        <v/>
      </c>
      <c r="F25" s="5">
        <f>IFERROR(INDEX(2a_PRE_TRABAJO!E$5:E$112,MATCH($A25,2a_PRE_TRABAJO!$A$5:$A$112,0)),"")</f>
        <v/>
      </c>
      <c r="G25" s="5">
        <f>IFERROR(INDEX(2a_PRE_TRABAJO!F$5:F$112,MATCH($A25,2a_PRE_TRABAJO!$A$5:$A$112,0)),"")</f>
        <v/>
      </c>
      <c r="H25" s="5">
        <f>IFERROR(INDEX(2a_PRE_TRABAJO!G$5:G$112,MATCH($A25,2a_PRE_TRABAJO!$A$5:$A$112,0)),"")</f>
        <v/>
      </c>
      <c r="I25" s="5">
        <f>IFERROR(INDEX(2b_POST_TRABAJO!C$5:C$109,MATCH($A25,2b_POST_TRABAJO!$A$5:$A$109,0)),"")</f>
        <v/>
      </c>
      <c r="J25" s="5">
        <f>IFERROR(INDEX(2a_PRE_TRABAJO!AD$5:AD$112,MATCH($A25,2a_PRE_TRABAJO!$A$5:$A$112,0)),"")</f>
        <v/>
      </c>
      <c r="K25" s="5">
        <f>IFERROR(INDEX(2a_PRE_TRABAJO!AE$5:AE$112,MATCH($A25,2a_PRE_TRABAJO!$A$5:$A$112,0)),"")</f>
        <v/>
      </c>
      <c r="L25" s="5">
        <f>IFERROR(INDEX(2a_PRE_TRABAJO!AF$5:AF$112,MATCH($A25,2a_PRE_TRABAJO!$A$5:$A$112,0)),"")</f>
        <v/>
      </c>
      <c r="M25" s="5">
        <f>IFERROR(INDEX(2a_PRE_TRABAJO!AG$5:AG$112,MATCH($A25,2a_PRE_TRABAJO!$A$5:$A$112,0)),"")</f>
        <v/>
      </c>
      <c r="N25" s="5">
        <f>IFERROR(INDEX(2b_POST_TRABAJO!D$5:D$109,MATCH($A25,2b_POST_TRABAJO!$A$5:$A$109,0)),"")</f>
        <v/>
      </c>
      <c r="O25" s="5">
        <f>IF(OR(N25="",J25=""),"",N25-J25)</f>
        <v/>
      </c>
      <c r="P25" s="5">
        <f>IFERROR(INDEX(2a_PRE_TRABAJO!H$5:H$112,MATCH($A25,2a_PRE_TRABAJO!$A$5:$A$112,0)),"")</f>
        <v/>
      </c>
      <c r="Q25" s="5">
        <f>IFERROR(INDEX(2a_PRE_TRABAJO!I$5:I$112,MATCH($A25,2a_PRE_TRABAJO!$A$5:$A$112,0)),"")</f>
        <v/>
      </c>
      <c r="R25" s="5">
        <f>IFERROR(INDEX(2a_PRE_TRABAJO!J$5:J$112,MATCH($A25,2a_PRE_TRABAJO!$A$5:$A$112,0)),"")</f>
        <v/>
      </c>
      <c r="S25" s="5">
        <f>IFERROR(INDEX(2a_PRE_TRABAJO!K$5:K$112,MATCH($A25,2a_PRE_TRABAJO!$A$5:$A$112,0)),"")</f>
        <v/>
      </c>
      <c r="T25" s="5">
        <f>IFERROR(INDEX(2a_PRE_TRABAJO!L$5:L$112,MATCH($A25,2a_PRE_TRABAJO!$A$5:$A$112,0)),"")</f>
        <v/>
      </c>
      <c r="U25" s="5">
        <f>IFERROR(INDEX(2a_PRE_TRABAJO!M$5:M$112,MATCH($A25,2a_PRE_TRABAJO!$A$5:$A$112,0)),"")</f>
        <v/>
      </c>
      <c r="V25" s="5">
        <f>IFERROR(INDEX(2a_PRE_TRABAJO!N$5:N$112,MATCH($A25,2a_PRE_TRABAJO!$A$5:$A$112,0)),"")</f>
        <v/>
      </c>
      <c r="W25" s="5">
        <f>IFERROR(INDEX(2a_PRE_TRABAJO!O$5:O$112,MATCH($A25,2a_PRE_TRABAJO!$A$5:$A$112,0)),"")</f>
        <v/>
      </c>
      <c r="X25" s="5">
        <f>IFERROR(INDEX(2a_PRE_TRABAJO!P$5:P$112,MATCH($A25,2a_PRE_TRABAJO!$A$5:$A$112,0)),"")</f>
        <v/>
      </c>
      <c r="Y25" s="5">
        <f>IFERROR(INDEX(2a_PRE_TRABAJO!Q$5:Q$112,MATCH($A25,2a_PRE_TRABAJO!$A$5:$A$112,0)),"")</f>
        <v/>
      </c>
      <c r="Z25" s="5">
        <f>IFERROR(INDEX(2a_PRE_TRABAJO!R$5:R$112,MATCH($A25,2a_PRE_TRABAJO!$A$5:$A$112,0)),"")</f>
        <v/>
      </c>
      <c r="AA25" s="5">
        <f>IFERROR(INDEX(2a_PRE_TRABAJO!S$5:S$112,MATCH($A25,2a_PRE_TRABAJO!$A$5:$A$112,0)),"")</f>
        <v/>
      </c>
      <c r="AB25" s="5">
        <f>IFERROR(INDEX(2a_PRE_TRABAJO!T$5:T$112,MATCH($A25,2a_PRE_TRABAJO!$A$5:$A$112,0)),"")</f>
        <v/>
      </c>
      <c r="AC25" s="5">
        <f>IFERROR(INDEX(2a_PRE_TRABAJO!U$5:U$112,MATCH($A25,2a_PRE_TRABAJO!$A$5:$A$112,0)),"")</f>
        <v/>
      </c>
      <c r="AD25" s="5">
        <f>IFERROR(INDEX(2a_PRE_TRABAJO!V$5:V$112,MATCH($A25,2a_PRE_TRABAJO!$A$5:$A$112,0)),"")</f>
        <v/>
      </c>
      <c r="AE25" s="5">
        <f>IFERROR(INDEX(2a_PRE_TRABAJO!W$5:W$112,MATCH($A25,2a_PRE_TRABAJO!$A$5:$A$112,0)),"")</f>
        <v/>
      </c>
      <c r="AF25" s="5">
        <f>IFERROR(INDEX(2a_PRE_TRABAJO!X$5:X$112,MATCH($A25,2a_PRE_TRABAJO!$A$5:$A$112,0)),"")</f>
        <v/>
      </c>
      <c r="AG25" s="5">
        <f>IFERROR(INDEX(2a_PRE_TRABAJO!Y$5:Y$112,MATCH($A25,2a_PRE_TRABAJO!$A$5:$A$112,0)),"")</f>
        <v/>
      </c>
      <c r="AH25" s="5">
        <f>IFERROR(INDEX(2a_PRE_TRABAJO!Z$5:Z$112,MATCH($A25,2a_PRE_TRABAJO!$A$5:$A$112,0)),"")</f>
        <v/>
      </c>
      <c r="AI25" s="5">
        <f>IFERROR(INDEX(2a_PRE_TRABAJO!AA$5:AA$112,MATCH($A25,2a_PRE_TRABAJO!$A$5:$A$112,0)),"")</f>
        <v/>
      </c>
      <c r="AJ25" s="5">
        <f>IFERROR(INDEX(2a_PRE_TRABAJO!AB$5:AB$112,MATCH($A25,2a_PRE_TRABAJO!$A$5:$A$112,0)),"")</f>
        <v/>
      </c>
      <c r="AK25" s="5">
        <f>IFERROR(INDEX(2a_PRE_TRABAJO!AC$5:AC$112,MATCH($A25,2a_PRE_TRABAJO!$A$5:$A$112,0)),"")</f>
        <v/>
      </c>
    </row>
    <row r="26">
      <c r="A26" s="3" t="inlineStr">
        <is>
          <t>GU-TDH-026</t>
        </is>
      </c>
      <c r="B26" s="3" t="n">
        <v>1</v>
      </c>
      <c r="C26" s="5">
        <f>IFERROR(INDEX(2a_PRE_TRABAJO!B$5:B$112,MATCH($A26,2a_PRE_TRABAJO!$A$5:$A$112,0)),"")</f>
        <v/>
      </c>
      <c r="D26" s="5">
        <f>IFERROR(INDEX(2a_PRE_TRABAJO!C$5:C$112,MATCH($A26,2a_PRE_TRABAJO!$A$5:$A$112,0)),"")</f>
        <v/>
      </c>
      <c r="E26" s="5">
        <f>IFERROR(INDEX(2a_PRE_TRABAJO!D$5:D$112,MATCH($A26,2a_PRE_TRABAJO!$A$5:$A$112,0)),"")</f>
        <v/>
      </c>
      <c r="F26" s="5">
        <f>IFERROR(INDEX(2a_PRE_TRABAJO!E$5:E$112,MATCH($A26,2a_PRE_TRABAJO!$A$5:$A$112,0)),"")</f>
        <v/>
      </c>
      <c r="G26" s="5">
        <f>IFERROR(INDEX(2a_PRE_TRABAJO!F$5:F$112,MATCH($A26,2a_PRE_TRABAJO!$A$5:$A$112,0)),"")</f>
        <v/>
      </c>
      <c r="H26" s="5">
        <f>IFERROR(INDEX(2a_PRE_TRABAJO!G$5:G$112,MATCH($A26,2a_PRE_TRABAJO!$A$5:$A$112,0)),"")</f>
        <v/>
      </c>
      <c r="I26" s="5">
        <f>IFERROR(INDEX(2b_POST_TRABAJO!C$5:C$109,MATCH($A26,2b_POST_TRABAJO!$A$5:$A$109,0)),"")</f>
        <v/>
      </c>
      <c r="J26" s="5">
        <f>IFERROR(INDEX(2a_PRE_TRABAJO!AD$5:AD$112,MATCH($A26,2a_PRE_TRABAJO!$A$5:$A$112,0)),"")</f>
        <v/>
      </c>
      <c r="K26" s="5">
        <f>IFERROR(INDEX(2a_PRE_TRABAJO!AE$5:AE$112,MATCH($A26,2a_PRE_TRABAJO!$A$5:$A$112,0)),"")</f>
        <v/>
      </c>
      <c r="L26" s="5">
        <f>IFERROR(INDEX(2a_PRE_TRABAJO!AF$5:AF$112,MATCH($A26,2a_PRE_TRABAJO!$A$5:$A$112,0)),"")</f>
        <v/>
      </c>
      <c r="M26" s="5">
        <f>IFERROR(INDEX(2a_PRE_TRABAJO!AG$5:AG$112,MATCH($A26,2a_PRE_TRABAJO!$A$5:$A$112,0)),"")</f>
        <v/>
      </c>
      <c r="N26" s="5">
        <f>IFERROR(INDEX(2b_POST_TRABAJO!D$5:D$109,MATCH($A26,2b_POST_TRABAJO!$A$5:$A$109,0)),"")</f>
        <v/>
      </c>
      <c r="O26" s="5">
        <f>IF(OR(N26="",J26=""),"",N26-J26)</f>
        <v/>
      </c>
      <c r="P26" s="5">
        <f>IFERROR(INDEX(2a_PRE_TRABAJO!H$5:H$112,MATCH($A26,2a_PRE_TRABAJO!$A$5:$A$112,0)),"")</f>
        <v/>
      </c>
      <c r="Q26" s="5">
        <f>IFERROR(INDEX(2a_PRE_TRABAJO!I$5:I$112,MATCH($A26,2a_PRE_TRABAJO!$A$5:$A$112,0)),"")</f>
        <v/>
      </c>
      <c r="R26" s="5">
        <f>IFERROR(INDEX(2a_PRE_TRABAJO!J$5:J$112,MATCH($A26,2a_PRE_TRABAJO!$A$5:$A$112,0)),"")</f>
        <v/>
      </c>
      <c r="S26" s="5">
        <f>IFERROR(INDEX(2a_PRE_TRABAJO!K$5:K$112,MATCH($A26,2a_PRE_TRABAJO!$A$5:$A$112,0)),"")</f>
        <v/>
      </c>
      <c r="T26" s="5">
        <f>IFERROR(INDEX(2a_PRE_TRABAJO!L$5:L$112,MATCH($A26,2a_PRE_TRABAJO!$A$5:$A$112,0)),"")</f>
        <v/>
      </c>
      <c r="U26" s="5">
        <f>IFERROR(INDEX(2a_PRE_TRABAJO!M$5:M$112,MATCH($A26,2a_PRE_TRABAJO!$A$5:$A$112,0)),"")</f>
        <v/>
      </c>
      <c r="V26" s="5">
        <f>IFERROR(INDEX(2a_PRE_TRABAJO!N$5:N$112,MATCH($A26,2a_PRE_TRABAJO!$A$5:$A$112,0)),"")</f>
        <v/>
      </c>
      <c r="W26" s="5">
        <f>IFERROR(INDEX(2a_PRE_TRABAJO!O$5:O$112,MATCH($A26,2a_PRE_TRABAJO!$A$5:$A$112,0)),"")</f>
        <v/>
      </c>
      <c r="X26" s="5">
        <f>IFERROR(INDEX(2a_PRE_TRABAJO!P$5:P$112,MATCH($A26,2a_PRE_TRABAJO!$A$5:$A$112,0)),"")</f>
        <v/>
      </c>
      <c r="Y26" s="5">
        <f>IFERROR(INDEX(2a_PRE_TRABAJO!Q$5:Q$112,MATCH($A26,2a_PRE_TRABAJO!$A$5:$A$112,0)),"")</f>
        <v/>
      </c>
      <c r="Z26" s="5">
        <f>IFERROR(INDEX(2a_PRE_TRABAJO!R$5:R$112,MATCH($A26,2a_PRE_TRABAJO!$A$5:$A$112,0)),"")</f>
        <v/>
      </c>
      <c r="AA26" s="5">
        <f>IFERROR(INDEX(2a_PRE_TRABAJO!S$5:S$112,MATCH($A26,2a_PRE_TRABAJO!$A$5:$A$112,0)),"")</f>
        <v/>
      </c>
      <c r="AB26" s="5">
        <f>IFERROR(INDEX(2a_PRE_TRABAJO!T$5:T$112,MATCH($A26,2a_PRE_TRABAJO!$A$5:$A$112,0)),"")</f>
        <v/>
      </c>
      <c r="AC26" s="5">
        <f>IFERROR(INDEX(2a_PRE_TRABAJO!U$5:U$112,MATCH($A26,2a_PRE_TRABAJO!$A$5:$A$112,0)),"")</f>
        <v/>
      </c>
      <c r="AD26" s="5">
        <f>IFERROR(INDEX(2a_PRE_TRABAJO!V$5:V$112,MATCH($A26,2a_PRE_TRABAJO!$A$5:$A$112,0)),"")</f>
        <v/>
      </c>
      <c r="AE26" s="5">
        <f>IFERROR(INDEX(2a_PRE_TRABAJO!W$5:W$112,MATCH($A26,2a_PRE_TRABAJO!$A$5:$A$112,0)),"")</f>
        <v/>
      </c>
      <c r="AF26" s="5">
        <f>IFERROR(INDEX(2a_PRE_TRABAJO!X$5:X$112,MATCH($A26,2a_PRE_TRABAJO!$A$5:$A$112,0)),"")</f>
        <v/>
      </c>
      <c r="AG26" s="5">
        <f>IFERROR(INDEX(2a_PRE_TRABAJO!Y$5:Y$112,MATCH($A26,2a_PRE_TRABAJO!$A$5:$A$112,0)),"")</f>
        <v/>
      </c>
      <c r="AH26" s="5">
        <f>IFERROR(INDEX(2a_PRE_TRABAJO!Z$5:Z$112,MATCH($A26,2a_PRE_TRABAJO!$A$5:$A$112,0)),"")</f>
        <v/>
      </c>
      <c r="AI26" s="5">
        <f>IFERROR(INDEX(2a_PRE_TRABAJO!AA$5:AA$112,MATCH($A26,2a_PRE_TRABAJO!$A$5:$A$112,0)),"")</f>
        <v/>
      </c>
      <c r="AJ26" s="5">
        <f>IFERROR(INDEX(2a_PRE_TRABAJO!AB$5:AB$112,MATCH($A26,2a_PRE_TRABAJO!$A$5:$A$112,0)),"")</f>
        <v/>
      </c>
      <c r="AK26" s="5">
        <f>IFERROR(INDEX(2a_PRE_TRABAJO!AC$5:AC$112,MATCH($A26,2a_PRE_TRABAJO!$A$5:$A$112,0)),"")</f>
        <v/>
      </c>
    </row>
    <row r="27">
      <c r="A27" s="3" t="inlineStr">
        <is>
          <t>GU-TDH-027</t>
        </is>
      </c>
      <c r="B27" s="3" t="n">
        <v>1</v>
      </c>
      <c r="C27" s="5">
        <f>IFERROR(INDEX(2a_PRE_TRABAJO!B$5:B$112,MATCH($A27,2a_PRE_TRABAJO!$A$5:$A$112,0)),"")</f>
        <v/>
      </c>
      <c r="D27" s="5">
        <f>IFERROR(INDEX(2a_PRE_TRABAJO!C$5:C$112,MATCH($A27,2a_PRE_TRABAJO!$A$5:$A$112,0)),"")</f>
        <v/>
      </c>
      <c r="E27" s="5">
        <f>IFERROR(INDEX(2a_PRE_TRABAJO!D$5:D$112,MATCH($A27,2a_PRE_TRABAJO!$A$5:$A$112,0)),"")</f>
        <v/>
      </c>
      <c r="F27" s="5">
        <f>IFERROR(INDEX(2a_PRE_TRABAJO!E$5:E$112,MATCH($A27,2a_PRE_TRABAJO!$A$5:$A$112,0)),"")</f>
        <v/>
      </c>
      <c r="G27" s="5">
        <f>IFERROR(INDEX(2a_PRE_TRABAJO!F$5:F$112,MATCH($A27,2a_PRE_TRABAJO!$A$5:$A$112,0)),"")</f>
        <v/>
      </c>
      <c r="H27" s="5">
        <f>IFERROR(INDEX(2a_PRE_TRABAJO!G$5:G$112,MATCH($A27,2a_PRE_TRABAJO!$A$5:$A$112,0)),"")</f>
        <v/>
      </c>
      <c r="I27" s="5">
        <f>IFERROR(INDEX(2b_POST_TRABAJO!C$5:C$109,MATCH($A27,2b_POST_TRABAJO!$A$5:$A$109,0)),"")</f>
        <v/>
      </c>
      <c r="J27" s="5">
        <f>IFERROR(INDEX(2a_PRE_TRABAJO!AD$5:AD$112,MATCH($A27,2a_PRE_TRABAJO!$A$5:$A$112,0)),"")</f>
        <v/>
      </c>
      <c r="K27" s="5">
        <f>IFERROR(INDEX(2a_PRE_TRABAJO!AE$5:AE$112,MATCH($A27,2a_PRE_TRABAJO!$A$5:$A$112,0)),"")</f>
        <v/>
      </c>
      <c r="L27" s="5">
        <f>IFERROR(INDEX(2a_PRE_TRABAJO!AF$5:AF$112,MATCH($A27,2a_PRE_TRABAJO!$A$5:$A$112,0)),"")</f>
        <v/>
      </c>
      <c r="M27" s="5">
        <f>IFERROR(INDEX(2a_PRE_TRABAJO!AG$5:AG$112,MATCH($A27,2a_PRE_TRABAJO!$A$5:$A$112,0)),"")</f>
        <v/>
      </c>
      <c r="N27" s="5">
        <f>IFERROR(INDEX(2b_POST_TRABAJO!D$5:D$109,MATCH($A27,2b_POST_TRABAJO!$A$5:$A$109,0)),"")</f>
        <v/>
      </c>
      <c r="O27" s="5">
        <f>IF(OR(N27="",J27=""),"",N27-J27)</f>
        <v/>
      </c>
      <c r="P27" s="5">
        <f>IFERROR(INDEX(2a_PRE_TRABAJO!H$5:H$112,MATCH($A27,2a_PRE_TRABAJO!$A$5:$A$112,0)),"")</f>
        <v/>
      </c>
      <c r="Q27" s="5">
        <f>IFERROR(INDEX(2a_PRE_TRABAJO!I$5:I$112,MATCH($A27,2a_PRE_TRABAJO!$A$5:$A$112,0)),"")</f>
        <v/>
      </c>
      <c r="R27" s="5">
        <f>IFERROR(INDEX(2a_PRE_TRABAJO!J$5:J$112,MATCH($A27,2a_PRE_TRABAJO!$A$5:$A$112,0)),"")</f>
        <v/>
      </c>
      <c r="S27" s="5">
        <f>IFERROR(INDEX(2a_PRE_TRABAJO!K$5:K$112,MATCH($A27,2a_PRE_TRABAJO!$A$5:$A$112,0)),"")</f>
        <v/>
      </c>
      <c r="T27" s="5">
        <f>IFERROR(INDEX(2a_PRE_TRABAJO!L$5:L$112,MATCH($A27,2a_PRE_TRABAJO!$A$5:$A$112,0)),"")</f>
        <v/>
      </c>
      <c r="U27" s="5">
        <f>IFERROR(INDEX(2a_PRE_TRABAJO!M$5:M$112,MATCH($A27,2a_PRE_TRABAJO!$A$5:$A$112,0)),"")</f>
        <v/>
      </c>
      <c r="V27" s="5">
        <f>IFERROR(INDEX(2a_PRE_TRABAJO!N$5:N$112,MATCH($A27,2a_PRE_TRABAJO!$A$5:$A$112,0)),"")</f>
        <v/>
      </c>
      <c r="W27" s="5">
        <f>IFERROR(INDEX(2a_PRE_TRABAJO!O$5:O$112,MATCH($A27,2a_PRE_TRABAJO!$A$5:$A$112,0)),"")</f>
        <v/>
      </c>
      <c r="X27" s="5">
        <f>IFERROR(INDEX(2a_PRE_TRABAJO!P$5:P$112,MATCH($A27,2a_PRE_TRABAJO!$A$5:$A$112,0)),"")</f>
        <v/>
      </c>
      <c r="Y27" s="5">
        <f>IFERROR(INDEX(2a_PRE_TRABAJO!Q$5:Q$112,MATCH($A27,2a_PRE_TRABAJO!$A$5:$A$112,0)),"")</f>
        <v/>
      </c>
      <c r="Z27" s="5">
        <f>IFERROR(INDEX(2a_PRE_TRABAJO!R$5:R$112,MATCH($A27,2a_PRE_TRABAJO!$A$5:$A$112,0)),"")</f>
        <v/>
      </c>
      <c r="AA27" s="5">
        <f>IFERROR(INDEX(2a_PRE_TRABAJO!S$5:S$112,MATCH($A27,2a_PRE_TRABAJO!$A$5:$A$112,0)),"")</f>
        <v/>
      </c>
      <c r="AB27" s="5">
        <f>IFERROR(INDEX(2a_PRE_TRABAJO!T$5:T$112,MATCH($A27,2a_PRE_TRABAJO!$A$5:$A$112,0)),"")</f>
        <v/>
      </c>
      <c r="AC27" s="5">
        <f>IFERROR(INDEX(2a_PRE_TRABAJO!U$5:U$112,MATCH($A27,2a_PRE_TRABAJO!$A$5:$A$112,0)),"")</f>
        <v/>
      </c>
      <c r="AD27" s="5">
        <f>IFERROR(INDEX(2a_PRE_TRABAJO!V$5:V$112,MATCH($A27,2a_PRE_TRABAJO!$A$5:$A$112,0)),"")</f>
        <v/>
      </c>
      <c r="AE27" s="5">
        <f>IFERROR(INDEX(2a_PRE_TRABAJO!W$5:W$112,MATCH($A27,2a_PRE_TRABAJO!$A$5:$A$112,0)),"")</f>
        <v/>
      </c>
      <c r="AF27" s="5">
        <f>IFERROR(INDEX(2a_PRE_TRABAJO!X$5:X$112,MATCH($A27,2a_PRE_TRABAJO!$A$5:$A$112,0)),"")</f>
        <v/>
      </c>
      <c r="AG27" s="5">
        <f>IFERROR(INDEX(2a_PRE_TRABAJO!Y$5:Y$112,MATCH($A27,2a_PRE_TRABAJO!$A$5:$A$112,0)),"")</f>
        <v/>
      </c>
      <c r="AH27" s="5">
        <f>IFERROR(INDEX(2a_PRE_TRABAJO!Z$5:Z$112,MATCH($A27,2a_PRE_TRABAJO!$A$5:$A$112,0)),"")</f>
        <v/>
      </c>
      <c r="AI27" s="5">
        <f>IFERROR(INDEX(2a_PRE_TRABAJO!AA$5:AA$112,MATCH($A27,2a_PRE_TRABAJO!$A$5:$A$112,0)),"")</f>
        <v/>
      </c>
      <c r="AJ27" s="5">
        <f>IFERROR(INDEX(2a_PRE_TRABAJO!AB$5:AB$112,MATCH($A27,2a_PRE_TRABAJO!$A$5:$A$112,0)),"")</f>
        <v/>
      </c>
      <c r="AK27" s="5">
        <f>IFERROR(INDEX(2a_PRE_TRABAJO!AC$5:AC$112,MATCH($A27,2a_PRE_TRABAJO!$A$5:$A$112,0)),"")</f>
        <v/>
      </c>
    </row>
    <row r="28">
      <c r="A28" s="3" t="inlineStr">
        <is>
          <t>GU-TDH-028</t>
        </is>
      </c>
      <c r="B28" s="3" t="n">
        <v>1</v>
      </c>
      <c r="C28" s="5">
        <f>IFERROR(INDEX(2a_PRE_TRABAJO!B$5:B$112,MATCH($A28,2a_PRE_TRABAJO!$A$5:$A$112,0)),"")</f>
        <v/>
      </c>
      <c r="D28" s="5">
        <f>IFERROR(INDEX(2a_PRE_TRABAJO!C$5:C$112,MATCH($A28,2a_PRE_TRABAJO!$A$5:$A$112,0)),"")</f>
        <v/>
      </c>
      <c r="E28" s="5">
        <f>IFERROR(INDEX(2a_PRE_TRABAJO!D$5:D$112,MATCH($A28,2a_PRE_TRABAJO!$A$5:$A$112,0)),"")</f>
        <v/>
      </c>
      <c r="F28" s="5">
        <f>IFERROR(INDEX(2a_PRE_TRABAJO!E$5:E$112,MATCH($A28,2a_PRE_TRABAJO!$A$5:$A$112,0)),"")</f>
        <v/>
      </c>
      <c r="G28" s="5">
        <f>IFERROR(INDEX(2a_PRE_TRABAJO!F$5:F$112,MATCH($A28,2a_PRE_TRABAJO!$A$5:$A$112,0)),"")</f>
        <v/>
      </c>
      <c r="H28" s="5">
        <f>IFERROR(INDEX(2a_PRE_TRABAJO!G$5:G$112,MATCH($A28,2a_PRE_TRABAJO!$A$5:$A$112,0)),"")</f>
        <v/>
      </c>
      <c r="I28" s="5">
        <f>IFERROR(INDEX(2b_POST_TRABAJO!C$5:C$109,MATCH($A28,2b_POST_TRABAJO!$A$5:$A$109,0)),"")</f>
        <v/>
      </c>
      <c r="J28" s="5">
        <f>IFERROR(INDEX(2a_PRE_TRABAJO!AD$5:AD$112,MATCH($A28,2a_PRE_TRABAJO!$A$5:$A$112,0)),"")</f>
        <v/>
      </c>
      <c r="K28" s="5">
        <f>IFERROR(INDEX(2a_PRE_TRABAJO!AE$5:AE$112,MATCH($A28,2a_PRE_TRABAJO!$A$5:$A$112,0)),"")</f>
        <v/>
      </c>
      <c r="L28" s="5">
        <f>IFERROR(INDEX(2a_PRE_TRABAJO!AF$5:AF$112,MATCH($A28,2a_PRE_TRABAJO!$A$5:$A$112,0)),"")</f>
        <v/>
      </c>
      <c r="M28" s="5">
        <f>IFERROR(INDEX(2a_PRE_TRABAJO!AG$5:AG$112,MATCH($A28,2a_PRE_TRABAJO!$A$5:$A$112,0)),"")</f>
        <v/>
      </c>
      <c r="N28" s="5">
        <f>IFERROR(INDEX(2b_POST_TRABAJO!D$5:D$109,MATCH($A28,2b_POST_TRABAJO!$A$5:$A$109,0)),"")</f>
        <v/>
      </c>
      <c r="O28" s="5">
        <f>IF(OR(N28="",J28=""),"",N28-J28)</f>
        <v/>
      </c>
      <c r="P28" s="5">
        <f>IFERROR(INDEX(2a_PRE_TRABAJO!H$5:H$112,MATCH($A28,2a_PRE_TRABAJO!$A$5:$A$112,0)),"")</f>
        <v/>
      </c>
      <c r="Q28" s="5">
        <f>IFERROR(INDEX(2a_PRE_TRABAJO!I$5:I$112,MATCH($A28,2a_PRE_TRABAJO!$A$5:$A$112,0)),"")</f>
        <v/>
      </c>
      <c r="R28" s="5">
        <f>IFERROR(INDEX(2a_PRE_TRABAJO!J$5:J$112,MATCH($A28,2a_PRE_TRABAJO!$A$5:$A$112,0)),"")</f>
        <v/>
      </c>
      <c r="S28" s="5">
        <f>IFERROR(INDEX(2a_PRE_TRABAJO!K$5:K$112,MATCH($A28,2a_PRE_TRABAJO!$A$5:$A$112,0)),"")</f>
        <v/>
      </c>
      <c r="T28" s="5">
        <f>IFERROR(INDEX(2a_PRE_TRABAJO!L$5:L$112,MATCH($A28,2a_PRE_TRABAJO!$A$5:$A$112,0)),"")</f>
        <v/>
      </c>
      <c r="U28" s="5">
        <f>IFERROR(INDEX(2a_PRE_TRABAJO!M$5:M$112,MATCH($A28,2a_PRE_TRABAJO!$A$5:$A$112,0)),"")</f>
        <v/>
      </c>
      <c r="V28" s="5">
        <f>IFERROR(INDEX(2a_PRE_TRABAJO!N$5:N$112,MATCH($A28,2a_PRE_TRABAJO!$A$5:$A$112,0)),"")</f>
        <v/>
      </c>
      <c r="W28" s="5">
        <f>IFERROR(INDEX(2a_PRE_TRABAJO!O$5:O$112,MATCH($A28,2a_PRE_TRABAJO!$A$5:$A$112,0)),"")</f>
        <v/>
      </c>
      <c r="X28" s="5">
        <f>IFERROR(INDEX(2a_PRE_TRABAJO!P$5:P$112,MATCH($A28,2a_PRE_TRABAJO!$A$5:$A$112,0)),"")</f>
        <v/>
      </c>
      <c r="Y28" s="5">
        <f>IFERROR(INDEX(2a_PRE_TRABAJO!Q$5:Q$112,MATCH($A28,2a_PRE_TRABAJO!$A$5:$A$112,0)),"")</f>
        <v/>
      </c>
      <c r="Z28" s="5">
        <f>IFERROR(INDEX(2a_PRE_TRABAJO!R$5:R$112,MATCH($A28,2a_PRE_TRABAJO!$A$5:$A$112,0)),"")</f>
        <v/>
      </c>
      <c r="AA28" s="5">
        <f>IFERROR(INDEX(2a_PRE_TRABAJO!S$5:S$112,MATCH($A28,2a_PRE_TRABAJO!$A$5:$A$112,0)),"")</f>
        <v/>
      </c>
      <c r="AB28" s="5">
        <f>IFERROR(INDEX(2a_PRE_TRABAJO!T$5:T$112,MATCH($A28,2a_PRE_TRABAJO!$A$5:$A$112,0)),"")</f>
        <v/>
      </c>
      <c r="AC28" s="5">
        <f>IFERROR(INDEX(2a_PRE_TRABAJO!U$5:U$112,MATCH($A28,2a_PRE_TRABAJO!$A$5:$A$112,0)),"")</f>
        <v/>
      </c>
      <c r="AD28" s="5">
        <f>IFERROR(INDEX(2a_PRE_TRABAJO!V$5:V$112,MATCH($A28,2a_PRE_TRABAJO!$A$5:$A$112,0)),"")</f>
        <v/>
      </c>
      <c r="AE28" s="5">
        <f>IFERROR(INDEX(2a_PRE_TRABAJO!W$5:W$112,MATCH($A28,2a_PRE_TRABAJO!$A$5:$A$112,0)),"")</f>
        <v/>
      </c>
      <c r="AF28" s="5">
        <f>IFERROR(INDEX(2a_PRE_TRABAJO!X$5:X$112,MATCH($A28,2a_PRE_TRABAJO!$A$5:$A$112,0)),"")</f>
        <v/>
      </c>
      <c r="AG28" s="5">
        <f>IFERROR(INDEX(2a_PRE_TRABAJO!Y$5:Y$112,MATCH($A28,2a_PRE_TRABAJO!$A$5:$A$112,0)),"")</f>
        <v/>
      </c>
      <c r="AH28" s="5">
        <f>IFERROR(INDEX(2a_PRE_TRABAJO!Z$5:Z$112,MATCH($A28,2a_PRE_TRABAJO!$A$5:$A$112,0)),"")</f>
        <v/>
      </c>
      <c r="AI28" s="5">
        <f>IFERROR(INDEX(2a_PRE_TRABAJO!AA$5:AA$112,MATCH($A28,2a_PRE_TRABAJO!$A$5:$A$112,0)),"")</f>
        <v/>
      </c>
      <c r="AJ28" s="5">
        <f>IFERROR(INDEX(2a_PRE_TRABAJO!AB$5:AB$112,MATCH($A28,2a_PRE_TRABAJO!$A$5:$A$112,0)),"")</f>
        <v/>
      </c>
      <c r="AK28" s="5">
        <f>IFERROR(INDEX(2a_PRE_TRABAJO!AC$5:AC$112,MATCH($A28,2a_PRE_TRABAJO!$A$5:$A$112,0)),"")</f>
        <v/>
      </c>
    </row>
    <row r="29">
      <c r="A29" s="3" t="inlineStr">
        <is>
          <t>GU-TDH-029</t>
        </is>
      </c>
      <c r="B29" s="3" t="n">
        <v>1</v>
      </c>
      <c r="C29" s="5">
        <f>IFERROR(INDEX(2a_PRE_TRABAJO!B$5:B$112,MATCH($A29,2a_PRE_TRABAJO!$A$5:$A$112,0)),"")</f>
        <v/>
      </c>
      <c r="D29" s="5">
        <f>IFERROR(INDEX(2a_PRE_TRABAJO!C$5:C$112,MATCH($A29,2a_PRE_TRABAJO!$A$5:$A$112,0)),"")</f>
        <v/>
      </c>
      <c r="E29" s="5">
        <f>IFERROR(INDEX(2a_PRE_TRABAJO!D$5:D$112,MATCH($A29,2a_PRE_TRABAJO!$A$5:$A$112,0)),"")</f>
        <v/>
      </c>
      <c r="F29" s="5">
        <f>IFERROR(INDEX(2a_PRE_TRABAJO!E$5:E$112,MATCH($A29,2a_PRE_TRABAJO!$A$5:$A$112,0)),"")</f>
        <v/>
      </c>
      <c r="G29" s="5">
        <f>IFERROR(INDEX(2a_PRE_TRABAJO!F$5:F$112,MATCH($A29,2a_PRE_TRABAJO!$A$5:$A$112,0)),"")</f>
        <v/>
      </c>
      <c r="H29" s="5">
        <f>IFERROR(INDEX(2a_PRE_TRABAJO!G$5:G$112,MATCH($A29,2a_PRE_TRABAJO!$A$5:$A$112,0)),"")</f>
        <v/>
      </c>
      <c r="I29" s="5">
        <f>IFERROR(INDEX(2b_POST_TRABAJO!C$5:C$109,MATCH($A29,2b_POST_TRABAJO!$A$5:$A$109,0)),"")</f>
        <v/>
      </c>
      <c r="J29" s="5">
        <f>IFERROR(INDEX(2a_PRE_TRABAJO!AD$5:AD$112,MATCH($A29,2a_PRE_TRABAJO!$A$5:$A$112,0)),"")</f>
        <v/>
      </c>
      <c r="K29" s="5">
        <f>IFERROR(INDEX(2a_PRE_TRABAJO!AE$5:AE$112,MATCH($A29,2a_PRE_TRABAJO!$A$5:$A$112,0)),"")</f>
        <v/>
      </c>
      <c r="L29" s="5">
        <f>IFERROR(INDEX(2a_PRE_TRABAJO!AF$5:AF$112,MATCH($A29,2a_PRE_TRABAJO!$A$5:$A$112,0)),"")</f>
        <v/>
      </c>
      <c r="M29" s="5">
        <f>IFERROR(INDEX(2a_PRE_TRABAJO!AG$5:AG$112,MATCH($A29,2a_PRE_TRABAJO!$A$5:$A$112,0)),"")</f>
        <v/>
      </c>
      <c r="N29" s="5">
        <f>IFERROR(INDEX(2b_POST_TRABAJO!D$5:D$109,MATCH($A29,2b_POST_TRABAJO!$A$5:$A$109,0)),"")</f>
        <v/>
      </c>
      <c r="O29" s="5">
        <f>IF(OR(N29="",J29=""),"",N29-J29)</f>
        <v/>
      </c>
      <c r="P29" s="5">
        <f>IFERROR(INDEX(2a_PRE_TRABAJO!H$5:H$112,MATCH($A29,2a_PRE_TRABAJO!$A$5:$A$112,0)),"")</f>
        <v/>
      </c>
      <c r="Q29" s="5">
        <f>IFERROR(INDEX(2a_PRE_TRABAJO!I$5:I$112,MATCH($A29,2a_PRE_TRABAJO!$A$5:$A$112,0)),"")</f>
        <v/>
      </c>
      <c r="R29" s="5">
        <f>IFERROR(INDEX(2a_PRE_TRABAJO!J$5:J$112,MATCH($A29,2a_PRE_TRABAJO!$A$5:$A$112,0)),"")</f>
        <v/>
      </c>
      <c r="S29" s="5">
        <f>IFERROR(INDEX(2a_PRE_TRABAJO!K$5:K$112,MATCH($A29,2a_PRE_TRABAJO!$A$5:$A$112,0)),"")</f>
        <v/>
      </c>
      <c r="T29" s="5">
        <f>IFERROR(INDEX(2a_PRE_TRABAJO!L$5:L$112,MATCH($A29,2a_PRE_TRABAJO!$A$5:$A$112,0)),"")</f>
        <v/>
      </c>
      <c r="U29" s="5">
        <f>IFERROR(INDEX(2a_PRE_TRABAJO!M$5:M$112,MATCH($A29,2a_PRE_TRABAJO!$A$5:$A$112,0)),"")</f>
        <v/>
      </c>
      <c r="V29" s="5">
        <f>IFERROR(INDEX(2a_PRE_TRABAJO!N$5:N$112,MATCH($A29,2a_PRE_TRABAJO!$A$5:$A$112,0)),"")</f>
        <v/>
      </c>
      <c r="W29" s="5">
        <f>IFERROR(INDEX(2a_PRE_TRABAJO!O$5:O$112,MATCH($A29,2a_PRE_TRABAJO!$A$5:$A$112,0)),"")</f>
        <v/>
      </c>
      <c r="X29" s="5">
        <f>IFERROR(INDEX(2a_PRE_TRABAJO!P$5:P$112,MATCH($A29,2a_PRE_TRABAJO!$A$5:$A$112,0)),"")</f>
        <v/>
      </c>
      <c r="Y29" s="5">
        <f>IFERROR(INDEX(2a_PRE_TRABAJO!Q$5:Q$112,MATCH($A29,2a_PRE_TRABAJO!$A$5:$A$112,0)),"")</f>
        <v/>
      </c>
      <c r="Z29" s="5">
        <f>IFERROR(INDEX(2a_PRE_TRABAJO!R$5:R$112,MATCH($A29,2a_PRE_TRABAJO!$A$5:$A$112,0)),"")</f>
        <v/>
      </c>
      <c r="AA29" s="5">
        <f>IFERROR(INDEX(2a_PRE_TRABAJO!S$5:S$112,MATCH($A29,2a_PRE_TRABAJO!$A$5:$A$112,0)),"")</f>
        <v/>
      </c>
      <c r="AB29" s="5">
        <f>IFERROR(INDEX(2a_PRE_TRABAJO!T$5:T$112,MATCH($A29,2a_PRE_TRABAJO!$A$5:$A$112,0)),"")</f>
        <v/>
      </c>
      <c r="AC29" s="5">
        <f>IFERROR(INDEX(2a_PRE_TRABAJO!U$5:U$112,MATCH($A29,2a_PRE_TRABAJO!$A$5:$A$112,0)),"")</f>
        <v/>
      </c>
      <c r="AD29" s="5">
        <f>IFERROR(INDEX(2a_PRE_TRABAJO!V$5:V$112,MATCH($A29,2a_PRE_TRABAJO!$A$5:$A$112,0)),"")</f>
        <v/>
      </c>
      <c r="AE29" s="5">
        <f>IFERROR(INDEX(2a_PRE_TRABAJO!W$5:W$112,MATCH($A29,2a_PRE_TRABAJO!$A$5:$A$112,0)),"")</f>
        <v/>
      </c>
      <c r="AF29" s="5">
        <f>IFERROR(INDEX(2a_PRE_TRABAJO!X$5:X$112,MATCH($A29,2a_PRE_TRABAJO!$A$5:$A$112,0)),"")</f>
        <v/>
      </c>
      <c r="AG29" s="5">
        <f>IFERROR(INDEX(2a_PRE_TRABAJO!Y$5:Y$112,MATCH($A29,2a_PRE_TRABAJO!$A$5:$A$112,0)),"")</f>
        <v/>
      </c>
      <c r="AH29" s="5">
        <f>IFERROR(INDEX(2a_PRE_TRABAJO!Z$5:Z$112,MATCH($A29,2a_PRE_TRABAJO!$A$5:$A$112,0)),"")</f>
        <v/>
      </c>
      <c r="AI29" s="5">
        <f>IFERROR(INDEX(2a_PRE_TRABAJO!AA$5:AA$112,MATCH($A29,2a_PRE_TRABAJO!$A$5:$A$112,0)),"")</f>
        <v/>
      </c>
      <c r="AJ29" s="5">
        <f>IFERROR(INDEX(2a_PRE_TRABAJO!AB$5:AB$112,MATCH($A29,2a_PRE_TRABAJO!$A$5:$A$112,0)),"")</f>
        <v/>
      </c>
      <c r="AK29" s="5">
        <f>IFERROR(INDEX(2a_PRE_TRABAJO!AC$5:AC$112,MATCH($A29,2a_PRE_TRABAJO!$A$5:$A$112,0)),"")</f>
        <v/>
      </c>
    </row>
    <row r="30">
      <c r="A30" s="3" t="inlineStr">
        <is>
          <t>GU-TDH-030</t>
        </is>
      </c>
      <c r="B30" s="3" t="n">
        <v>1</v>
      </c>
      <c r="C30" s="5">
        <f>IFERROR(INDEX(2a_PRE_TRABAJO!B$5:B$112,MATCH($A30,2a_PRE_TRABAJO!$A$5:$A$112,0)),"")</f>
        <v/>
      </c>
      <c r="D30" s="5">
        <f>IFERROR(INDEX(2a_PRE_TRABAJO!C$5:C$112,MATCH($A30,2a_PRE_TRABAJO!$A$5:$A$112,0)),"")</f>
        <v/>
      </c>
      <c r="E30" s="5">
        <f>IFERROR(INDEX(2a_PRE_TRABAJO!D$5:D$112,MATCH($A30,2a_PRE_TRABAJO!$A$5:$A$112,0)),"")</f>
        <v/>
      </c>
      <c r="F30" s="5">
        <f>IFERROR(INDEX(2a_PRE_TRABAJO!E$5:E$112,MATCH($A30,2a_PRE_TRABAJO!$A$5:$A$112,0)),"")</f>
        <v/>
      </c>
      <c r="G30" s="5">
        <f>IFERROR(INDEX(2a_PRE_TRABAJO!F$5:F$112,MATCH($A30,2a_PRE_TRABAJO!$A$5:$A$112,0)),"")</f>
        <v/>
      </c>
      <c r="H30" s="5">
        <f>IFERROR(INDEX(2a_PRE_TRABAJO!G$5:G$112,MATCH($A30,2a_PRE_TRABAJO!$A$5:$A$112,0)),"")</f>
        <v/>
      </c>
      <c r="I30" s="5">
        <f>IFERROR(INDEX(2b_POST_TRABAJO!C$5:C$109,MATCH($A30,2b_POST_TRABAJO!$A$5:$A$109,0)),"")</f>
        <v/>
      </c>
      <c r="J30" s="5">
        <f>IFERROR(INDEX(2a_PRE_TRABAJO!AD$5:AD$112,MATCH($A30,2a_PRE_TRABAJO!$A$5:$A$112,0)),"")</f>
        <v/>
      </c>
      <c r="K30" s="5">
        <f>IFERROR(INDEX(2a_PRE_TRABAJO!AE$5:AE$112,MATCH($A30,2a_PRE_TRABAJO!$A$5:$A$112,0)),"")</f>
        <v/>
      </c>
      <c r="L30" s="5">
        <f>IFERROR(INDEX(2a_PRE_TRABAJO!AF$5:AF$112,MATCH($A30,2a_PRE_TRABAJO!$A$5:$A$112,0)),"")</f>
        <v/>
      </c>
      <c r="M30" s="5">
        <f>IFERROR(INDEX(2a_PRE_TRABAJO!AG$5:AG$112,MATCH($A30,2a_PRE_TRABAJO!$A$5:$A$112,0)),"")</f>
        <v/>
      </c>
      <c r="N30" s="5">
        <f>IFERROR(INDEX(2b_POST_TRABAJO!D$5:D$109,MATCH($A30,2b_POST_TRABAJO!$A$5:$A$109,0)),"")</f>
        <v/>
      </c>
      <c r="O30" s="5">
        <f>IF(OR(N30="",J30=""),"",N30-J30)</f>
        <v/>
      </c>
      <c r="P30" s="5">
        <f>IFERROR(INDEX(2a_PRE_TRABAJO!H$5:H$112,MATCH($A30,2a_PRE_TRABAJO!$A$5:$A$112,0)),"")</f>
        <v/>
      </c>
      <c r="Q30" s="5">
        <f>IFERROR(INDEX(2a_PRE_TRABAJO!I$5:I$112,MATCH($A30,2a_PRE_TRABAJO!$A$5:$A$112,0)),"")</f>
        <v/>
      </c>
      <c r="R30" s="5">
        <f>IFERROR(INDEX(2a_PRE_TRABAJO!J$5:J$112,MATCH($A30,2a_PRE_TRABAJO!$A$5:$A$112,0)),"")</f>
        <v/>
      </c>
      <c r="S30" s="5">
        <f>IFERROR(INDEX(2a_PRE_TRABAJO!K$5:K$112,MATCH($A30,2a_PRE_TRABAJO!$A$5:$A$112,0)),"")</f>
        <v/>
      </c>
      <c r="T30" s="5">
        <f>IFERROR(INDEX(2a_PRE_TRABAJO!L$5:L$112,MATCH($A30,2a_PRE_TRABAJO!$A$5:$A$112,0)),"")</f>
        <v/>
      </c>
      <c r="U30" s="5">
        <f>IFERROR(INDEX(2a_PRE_TRABAJO!M$5:M$112,MATCH($A30,2a_PRE_TRABAJO!$A$5:$A$112,0)),"")</f>
        <v/>
      </c>
      <c r="V30" s="5">
        <f>IFERROR(INDEX(2a_PRE_TRABAJO!N$5:N$112,MATCH($A30,2a_PRE_TRABAJO!$A$5:$A$112,0)),"")</f>
        <v/>
      </c>
      <c r="W30" s="5">
        <f>IFERROR(INDEX(2a_PRE_TRABAJO!O$5:O$112,MATCH($A30,2a_PRE_TRABAJO!$A$5:$A$112,0)),"")</f>
        <v/>
      </c>
      <c r="X30" s="5">
        <f>IFERROR(INDEX(2a_PRE_TRABAJO!P$5:P$112,MATCH($A30,2a_PRE_TRABAJO!$A$5:$A$112,0)),"")</f>
        <v/>
      </c>
      <c r="Y30" s="5">
        <f>IFERROR(INDEX(2a_PRE_TRABAJO!Q$5:Q$112,MATCH($A30,2a_PRE_TRABAJO!$A$5:$A$112,0)),"")</f>
        <v/>
      </c>
      <c r="Z30" s="5">
        <f>IFERROR(INDEX(2a_PRE_TRABAJO!R$5:R$112,MATCH($A30,2a_PRE_TRABAJO!$A$5:$A$112,0)),"")</f>
        <v/>
      </c>
      <c r="AA30" s="5">
        <f>IFERROR(INDEX(2a_PRE_TRABAJO!S$5:S$112,MATCH($A30,2a_PRE_TRABAJO!$A$5:$A$112,0)),"")</f>
        <v/>
      </c>
      <c r="AB30" s="5">
        <f>IFERROR(INDEX(2a_PRE_TRABAJO!T$5:T$112,MATCH($A30,2a_PRE_TRABAJO!$A$5:$A$112,0)),"")</f>
        <v/>
      </c>
      <c r="AC30" s="5">
        <f>IFERROR(INDEX(2a_PRE_TRABAJO!U$5:U$112,MATCH($A30,2a_PRE_TRABAJO!$A$5:$A$112,0)),"")</f>
        <v/>
      </c>
      <c r="AD30" s="5">
        <f>IFERROR(INDEX(2a_PRE_TRABAJO!V$5:V$112,MATCH($A30,2a_PRE_TRABAJO!$A$5:$A$112,0)),"")</f>
        <v/>
      </c>
      <c r="AE30" s="5">
        <f>IFERROR(INDEX(2a_PRE_TRABAJO!W$5:W$112,MATCH($A30,2a_PRE_TRABAJO!$A$5:$A$112,0)),"")</f>
        <v/>
      </c>
      <c r="AF30" s="5">
        <f>IFERROR(INDEX(2a_PRE_TRABAJO!X$5:X$112,MATCH($A30,2a_PRE_TRABAJO!$A$5:$A$112,0)),"")</f>
        <v/>
      </c>
      <c r="AG30" s="5">
        <f>IFERROR(INDEX(2a_PRE_TRABAJO!Y$5:Y$112,MATCH($A30,2a_PRE_TRABAJO!$A$5:$A$112,0)),"")</f>
        <v/>
      </c>
      <c r="AH30" s="5">
        <f>IFERROR(INDEX(2a_PRE_TRABAJO!Z$5:Z$112,MATCH($A30,2a_PRE_TRABAJO!$A$5:$A$112,0)),"")</f>
        <v/>
      </c>
      <c r="AI30" s="5">
        <f>IFERROR(INDEX(2a_PRE_TRABAJO!AA$5:AA$112,MATCH($A30,2a_PRE_TRABAJO!$A$5:$A$112,0)),"")</f>
        <v/>
      </c>
      <c r="AJ30" s="5">
        <f>IFERROR(INDEX(2a_PRE_TRABAJO!AB$5:AB$112,MATCH($A30,2a_PRE_TRABAJO!$A$5:$A$112,0)),"")</f>
        <v/>
      </c>
      <c r="AK30" s="5">
        <f>IFERROR(INDEX(2a_PRE_TRABAJO!AC$5:AC$112,MATCH($A30,2a_PRE_TRABAJO!$A$5:$A$112,0)),"")</f>
        <v/>
      </c>
    </row>
    <row r="31">
      <c r="A31" s="3" t="inlineStr">
        <is>
          <t>GU-TDH-032</t>
        </is>
      </c>
      <c r="B31" s="3" t="n">
        <v>1</v>
      </c>
      <c r="C31" s="5">
        <f>IFERROR(INDEX(2a_PRE_TRABAJO!B$5:B$112,MATCH($A31,2a_PRE_TRABAJO!$A$5:$A$112,0)),"")</f>
        <v/>
      </c>
      <c r="D31" s="5">
        <f>IFERROR(INDEX(2a_PRE_TRABAJO!C$5:C$112,MATCH($A31,2a_PRE_TRABAJO!$A$5:$A$112,0)),"")</f>
        <v/>
      </c>
      <c r="E31" s="5">
        <f>IFERROR(INDEX(2a_PRE_TRABAJO!D$5:D$112,MATCH($A31,2a_PRE_TRABAJO!$A$5:$A$112,0)),"")</f>
        <v/>
      </c>
      <c r="F31" s="5">
        <f>IFERROR(INDEX(2a_PRE_TRABAJO!E$5:E$112,MATCH($A31,2a_PRE_TRABAJO!$A$5:$A$112,0)),"")</f>
        <v/>
      </c>
      <c r="G31" s="5">
        <f>IFERROR(INDEX(2a_PRE_TRABAJO!F$5:F$112,MATCH($A31,2a_PRE_TRABAJO!$A$5:$A$112,0)),"")</f>
        <v/>
      </c>
      <c r="H31" s="5">
        <f>IFERROR(INDEX(2a_PRE_TRABAJO!G$5:G$112,MATCH($A31,2a_PRE_TRABAJO!$A$5:$A$112,0)),"")</f>
        <v/>
      </c>
      <c r="I31" s="5">
        <f>IFERROR(INDEX(2b_POST_TRABAJO!C$5:C$109,MATCH($A31,2b_POST_TRABAJO!$A$5:$A$109,0)),"")</f>
        <v/>
      </c>
      <c r="J31" s="5">
        <f>IFERROR(INDEX(2a_PRE_TRABAJO!AD$5:AD$112,MATCH($A31,2a_PRE_TRABAJO!$A$5:$A$112,0)),"")</f>
        <v/>
      </c>
      <c r="K31" s="5">
        <f>IFERROR(INDEX(2a_PRE_TRABAJO!AE$5:AE$112,MATCH($A31,2a_PRE_TRABAJO!$A$5:$A$112,0)),"")</f>
        <v/>
      </c>
      <c r="L31" s="5">
        <f>IFERROR(INDEX(2a_PRE_TRABAJO!AF$5:AF$112,MATCH($A31,2a_PRE_TRABAJO!$A$5:$A$112,0)),"")</f>
        <v/>
      </c>
      <c r="M31" s="5">
        <f>IFERROR(INDEX(2a_PRE_TRABAJO!AG$5:AG$112,MATCH($A31,2a_PRE_TRABAJO!$A$5:$A$112,0)),"")</f>
        <v/>
      </c>
      <c r="N31" s="5">
        <f>IFERROR(INDEX(2b_POST_TRABAJO!D$5:D$109,MATCH($A31,2b_POST_TRABAJO!$A$5:$A$109,0)),"")</f>
        <v/>
      </c>
      <c r="O31" s="5">
        <f>IF(OR(N31="",J31=""),"",N31-J31)</f>
        <v/>
      </c>
      <c r="P31" s="5">
        <f>IFERROR(INDEX(2a_PRE_TRABAJO!H$5:H$112,MATCH($A31,2a_PRE_TRABAJO!$A$5:$A$112,0)),"")</f>
        <v/>
      </c>
      <c r="Q31" s="5">
        <f>IFERROR(INDEX(2a_PRE_TRABAJO!I$5:I$112,MATCH($A31,2a_PRE_TRABAJO!$A$5:$A$112,0)),"")</f>
        <v/>
      </c>
      <c r="R31" s="5">
        <f>IFERROR(INDEX(2a_PRE_TRABAJO!J$5:J$112,MATCH($A31,2a_PRE_TRABAJO!$A$5:$A$112,0)),"")</f>
        <v/>
      </c>
      <c r="S31" s="5">
        <f>IFERROR(INDEX(2a_PRE_TRABAJO!K$5:K$112,MATCH($A31,2a_PRE_TRABAJO!$A$5:$A$112,0)),"")</f>
        <v/>
      </c>
      <c r="T31" s="5">
        <f>IFERROR(INDEX(2a_PRE_TRABAJO!L$5:L$112,MATCH($A31,2a_PRE_TRABAJO!$A$5:$A$112,0)),"")</f>
        <v/>
      </c>
      <c r="U31" s="5">
        <f>IFERROR(INDEX(2a_PRE_TRABAJO!M$5:M$112,MATCH($A31,2a_PRE_TRABAJO!$A$5:$A$112,0)),"")</f>
        <v/>
      </c>
      <c r="V31" s="5">
        <f>IFERROR(INDEX(2a_PRE_TRABAJO!N$5:N$112,MATCH($A31,2a_PRE_TRABAJO!$A$5:$A$112,0)),"")</f>
        <v/>
      </c>
      <c r="W31" s="5">
        <f>IFERROR(INDEX(2a_PRE_TRABAJO!O$5:O$112,MATCH($A31,2a_PRE_TRABAJO!$A$5:$A$112,0)),"")</f>
        <v/>
      </c>
      <c r="X31" s="5">
        <f>IFERROR(INDEX(2a_PRE_TRABAJO!P$5:P$112,MATCH($A31,2a_PRE_TRABAJO!$A$5:$A$112,0)),"")</f>
        <v/>
      </c>
      <c r="Y31" s="5">
        <f>IFERROR(INDEX(2a_PRE_TRABAJO!Q$5:Q$112,MATCH($A31,2a_PRE_TRABAJO!$A$5:$A$112,0)),"")</f>
        <v/>
      </c>
      <c r="Z31" s="5">
        <f>IFERROR(INDEX(2a_PRE_TRABAJO!R$5:R$112,MATCH($A31,2a_PRE_TRABAJO!$A$5:$A$112,0)),"")</f>
        <v/>
      </c>
      <c r="AA31" s="5">
        <f>IFERROR(INDEX(2a_PRE_TRABAJO!S$5:S$112,MATCH($A31,2a_PRE_TRABAJO!$A$5:$A$112,0)),"")</f>
        <v/>
      </c>
      <c r="AB31" s="5">
        <f>IFERROR(INDEX(2a_PRE_TRABAJO!T$5:T$112,MATCH($A31,2a_PRE_TRABAJO!$A$5:$A$112,0)),"")</f>
        <v/>
      </c>
      <c r="AC31" s="5">
        <f>IFERROR(INDEX(2a_PRE_TRABAJO!U$5:U$112,MATCH($A31,2a_PRE_TRABAJO!$A$5:$A$112,0)),"")</f>
        <v/>
      </c>
      <c r="AD31" s="5">
        <f>IFERROR(INDEX(2a_PRE_TRABAJO!V$5:V$112,MATCH($A31,2a_PRE_TRABAJO!$A$5:$A$112,0)),"")</f>
        <v/>
      </c>
      <c r="AE31" s="5">
        <f>IFERROR(INDEX(2a_PRE_TRABAJO!W$5:W$112,MATCH($A31,2a_PRE_TRABAJO!$A$5:$A$112,0)),"")</f>
        <v/>
      </c>
      <c r="AF31" s="5">
        <f>IFERROR(INDEX(2a_PRE_TRABAJO!X$5:X$112,MATCH($A31,2a_PRE_TRABAJO!$A$5:$A$112,0)),"")</f>
        <v/>
      </c>
      <c r="AG31" s="5">
        <f>IFERROR(INDEX(2a_PRE_TRABAJO!Y$5:Y$112,MATCH($A31,2a_PRE_TRABAJO!$A$5:$A$112,0)),"")</f>
        <v/>
      </c>
      <c r="AH31" s="5">
        <f>IFERROR(INDEX(2a_PRE_TRABAJO!Z$5:Z$112,MATCH($A31,2a_PRE_TRABAJO!$A$5:$A$112,0)),"")</f>
        <v/>
      </c>
      <c r="AI31" s="5">
        <f>IFERROR(INDEX(2a_PRE_TRABAJO!AA$5:AA$112,MATCH($A31,2a_PRE_TRABAJO!$A$5:$A$112,0)),"")</f>
        <v/>
      </c>
      <c r="AJ31" s="5">
        <f>IFERROR(INDEX(2a_PRE_TRABAJO!AB$5:AB$112,MATCH($A31,2a_PRE_TRABAJO!$A$5:$A$112,0)),"")</f>
        <v/>
      </c>
      <c r="AK31" s="5">
        <f>IFERROR(INDEX(2a_PRE_TRABAJO!AC$5:AC$112,MATCH($A31,2a_PRE_TRABAJO!$A$5:$A$112,0)),"")</f>
        <v/>
      </c>
    </row>
    <row r="32">
      <c r="A32" s="3" t="inlineStr">
        <is>
          <t>GU-TDH-033</t>
        </is>
      </c>
      <c r="B32" s="3" t="n">
        <v>0</v>
      </c>
      <c r="C32" s="5">
        <f>IFERROR(INDEX(2a_PRE_TRABAJO!B$5:B$112,MATCH($A32,2a_PRE_TRABAJO!$A$5:$A$112,0)),"")</f>
        <v/>
      </c>
      <c r="D32" s="5">
        <f>IFERROR(INDEX(2a_PRE_TRABAJO!C$5:C$112,MATCH($A32,2a_PRE_TRABAJO!$A$5:$A$112,0)),"")</f>
        <v/>
      </c>
      <c r="E32" s="5">
        <f>IFERROR(INDEX(2a_PRE_TRABAJO!D$5:D$112,MATCH($A32,2a_PRE_TRABAJO!$A$5:$A$112,0)),"")</f>
        <v/>
      </c>
      <c r="F32" s="5">
        <f>IFERROR(INDEX(2a_PRE_TRABAJO!E$5:E$112,MATCH($A32,2a_PRE_TRABAJO!$A$5:$A$112,0)),"")</f>
        <v/>
      </c>
      <c r="G32" s="5">
        <f>IFERROR(INDEX(2a_PRE_TRABAJO!F$5:F$112,MATCH($A32,2a_PRE_TRABAJO!$A$5:$A$112,0)),"")</f>
        <v/>
      </c>
      <c r="H32" s="5">
        <f>IFERROR(INDEX(2a_PRE_TRABAJO!G$5:G$112,MATCH($A32,2a_PRE_TRABAJO!$A$5:$A$112,0)),"")</f>
        <v/>
      </c>
      <c r="I32" s="5">
        <f>IFERROR(INDEX(2b_POST_TRABAJO!C$5:C$109,MATCH($A32,2b_POST_TRABAJO!$A$5:$A$109,0)),"")</f>
        <v/>
      </c>
      <c r="J32" s="5">
        <f>IFERROR(INDEX(2a_PRE_TRABAJO!AD$5:AD$112,MATCH($A32,2a_PRE_TRABAJO!$A$5:$A$112,0)),"")</f>
        <v/>
      </c>
      <c r="K32" s="5">
        <f>IFERROR(INDEX(2a_PRE_TRABAJO!AE$5:AE$112,MATCH($A32,2a_PRE_TRABAJO!$A$5:$A$112,0)),"")</f>
        <v/>
      </c>
      <c r="L32" s="5">
        <f>IFERROR(INDEX(2a_PRE_TRABAJO!AF$5:AF$112,MATCH($A32,2a_PRE_TRABAJO!$A$5:$A$112,0)),"")</f>
        <v/>
      </c>
      <c r="M32" s="5">
        <f>IFERROR(INDEX(2a_PRE_TRABAJO!AG$5:AG$112,MATCH($A32,2a_PRE_TRABAJO!$A$5:$A$112,0)),"")</f>
        <v/>
      </c>
      <c r="N32" s="5">
        <f>IFERROR(INDEX(2b_POST_TRABAJO!D$5:D$109,MATCH($A32,2b_POST_TRABAJO!$A$5:$A$109,0)),"")</f>
        <v/>
      </c>
      <c r="O32" s="5">
        <f>IF(OR(N32="",J32=""),"",N32-J32)</f>
        <v/>
      </c>
      <c r="P32" s="5">
        <f>IFERROR(INDEX(2a_PRE_TRABAJO!H$5:H$112,MATCH($A32,2a_PRE_TRABAJO!$A$5:$A$112,0)),"")</f>
        <v/>
      </c>
      <c r="Q32" s="5">
        <f>IFERROR(INDEX(2a_PRE_TRABAJO!I$5:I$112,MATCH($A32,2a_PRE_TRABAJO!$A$5:$A$112,0)),"")</f>
        <v/>
      </c>
      <c r="R32" s="5">
        <f>IFERROR(INDEX(2a_PRE_TRABAJO!J$5:J$112,MATCH($A32,2a_PRE_TRABAJO!$A$5:$A$112,0)),"")</f>
        <v/>
      </c>
      <c r="S32" s="5">
        <f>IFERROR(INDEX(2a_PRE_TRABAJO!K$5:K$112,MATCH($A32,2a_PRE_TRABAJO!$A$5:$A$112,0)),"")</f>
        <v/>
      </c>
      <c r="T32" s="5">
        <f>IFERROR(INDEX(2a_PRE_TRABAJO!L$5:L$112,MATCH($A32,2a_PRE_TRABAJO!$A$5:$A$112,0)),"")</f>
        <v/>
      </c>
      <c r="U32" s="5">
        <f>IFERROR(INDEX(2a_PRE_TRABAJO!M$5:M$112,MATCH($A32,2a_PRE_TRABAJO!$A$5:$A$112,0)),"")</f>
        <v/>
      </c>
      <c r="V32" s="5">
        <f>IFERROR(INDEX(2a_PRE_TRABAJO!N$5:N$112,MATCH($A32,2a_PRE_TRABAJO!$A$5:$A$112,0)),"")</f>
        <v/>
      </c>
      <c r="W32" s="5">
        <f>IFERROR(INDEX(2a_PRE_TRABAJO!O$5:O$112,MATCH($A32,2a_PRE_TRABAJO!$A$5:$A$112,0)),"")</f>
        <v/>
      </c>
      <c r="X32" s="5">
        <f>IFERROR(INDEX(2a_PRE_TRABAJO!P$5:P$112,MATCH($A32,2a_PRE_TRABAJO!$A$5:$A$112,0)),"")</f>
        <v/>
      </c>
      <c r="Y32" s="5">
        <f>IFERROR(INDEX(2a_PRE_TRABAJO!Q$5:Q$112,MATCH($A32,2a_PRE_TRABAJO!$A$5:$A$112,0)),"")</f>
        <v/>
      </c>
      <c r="Z32" s="5">
        <f>IFERROR(INDEX(2a_PRE_TRABAJO!R$5:R$112,MATCH($A32,2a_PRE_TRABAJO!$A$5:$A$112,0)),"")</f>
        <v/>
      </c>
      <c r="AA32" s="5">
        <f>IFERROR(INDEX(2a_PRE_TRABAJO!S$5:S$112,MATCH($A32,2a_PRE_TRABAJO!$A$5:$A$112,0)),"")</f>
        <v/>
      </c>
      <c r="AB32" s="5">
        <f>IFERROR(INDEX(2a_PRE_TRABAJO!T$5:T$112,MATCH($A32,2a_PRE_TRABAJO!$A$5:$A$112,0)),"")</f>
        <v/>
      </c>
      <c r="AC32" s="5">
        <f>IFERROR(INDEX(2a_PRE_TRABAJO!U$5:U$112,MATCH($A32,2a_PRE_TRABAJO!$A$5:$A$112,0)),"")</f>
        <v/>
      </c>
      <c r="AD32" s="5">
        <f>IFERROR(INDEX(2a_PRE_TRABAJO!V$5:V$112,MATCH($A32,2a_PRE_TRABAJO!$A$5:$A$112,0)),"")</f>
        <v/>
      </c>
      <c r="AE32" s="5">
        <f>IFERROR(INDEX(2a_PRE_TRABAJO!W$5:W$112,MATCH($A32,2a_PRE_TRABAJO!$A$5:$A$112,0)),"")</f>
        <v/>
      </c>
      <c r="AF32" s="5">
        <f>IFERROR(INDEX(2a_PRE_TRABAJO!X$5:X$112,MATCH($A32,2a_PRE_TRABAJO!$A$5:$A$112,0)),"")</f>
        <v/>
      </c>
      <c r="AG32" s="5">
        <f>IFERROR(INDEX(2a_PRE_TRABAJO!Y$5:Y$112,MATCH($A32,2a_PRE_TRABAJO!$A$5:$A$112,0)),"")</f>
        <v/>
      </c>
      <c r="AH32" s="5">
        <f>IFERROR(INDEX(2a_PRE_TRABAJO!Z$5:Z$112,MATCH($A32,2a_PRE_TRABAJO!$A$5:$A$112,0)),"")</f>
        <v/>
      </c>
      <c r="AI32" s="5">
        <f>IFERROR(INDEX(2a_PRE_TRABAJO!AA$5:AA$112,MATCH($A32,2a_PRE_TRABAJO!$A$5:$A$112,0)),"")</f>
        <v/>
      </c>
      <c r="AJ32" s="5">
        <f>IFERROR(INDEX(2a_PRE_TRABAJO!AB$5:AB$112,MATCH($A32,2a_PRE_TRABAJO!$A$5:$A$112,0)),"")</f>
        <v/>
      </c>
      <c r="AK32" s="5">
        <f>IFERROR(INDEX(2a_PRE_TRABAJO!AC$5:AC$112,MATCH($A32,2a_PRE_TRABAJO!$A$5:$A$112,0)),"")</f>
        <v/>
      </c>
    </row>
    <row r="33">
      <c r="A33" s="3" t="inlineStr">
        <is>
          <t>GU-TDH-034</t>
        </is>
      </c>
      <c r="B33" s="3" t="n">
        <v>1</v>
      </c>
      <c r="C33" s="5">
        <f>IFERROR(INDEX(2a_PRE_TRABAJO!B$5:B$112,MATCH($A33,2a_PRE_TRABAJO!$A$5:$A$112,0)),"")</f>
        <v/>
      </c>
      <c r="D33" s="5">
        <f>IFERROR(INDEX(2a_PRE_TRABAJO!C$5:C$112,MATCH($A33,2a_PRE_TRABAJO!$A$5:$A$112,0)),"")</f>
        <v/>
      </c>
      <c r="E33" s="5">
        <f>IFERROR(INDEX(2a_PRE_TRABAJO!D$5:D$112,MATCH($A33,2a_PRE_TRABAJO!$A$5:$A$112,0)),"")</f>
        <v/>
      </c>
      <c r="F33" s="5">
        <f>IFERROR(INDEX(2a_PRE_TRABAJO!E$5:E$112,MATCH($A33,2a_PRE_TRABAJO!$A$5:$A$112,0)),"")</f>
        <v/>
      </c>
      <c r="G33" s="5">
        <f>IFERROR(INDEX(2a_PRE_TRABAJO!F$5:F$112,MATCH($A33,2a_PRE_TRABAJO!$A$5:$A$112,0)),"")</f>
        <v/>
      </c>
      <c r="H33" s="5">
        <f>IFERROR(INDEX(2a_PRE_TRABAJO!G$5:G$112,MATCH($A33,2a_PRE_TRABAJO!$A$5:$A$112,0)),"")</f>
        <v/>
      </c>
      <c r="I33" s="5">
        <f>IFERROR(INDEX(2b_POST_TRABAJO!C$5:C$109,MATCH($A33,2b_POST_TRABAJO!$A$5:$A$109,0)),"")</f>
        <v/>
      </c>
      <c r="J33" s="5">
        <f>IFERROR(INDEX(2a_PRE_TRABAJO!AD$5:AD$112,MATCH($A33,2a_PRE_TRABAJO!$A$5:$A$112,0)),"")</f>
        <v/>
      </c>
      <c r="K33" s="5">
        <f>IFERROR(INDEX(2a_PRE_TRABAJO!AE$5:AE$112,MATCH($A33,2a_PRE_TRABAJO!$A$5:$A$112,0)),"")</f>
        <v/>
      </c>
      <c r="L33" s="5">
        <f>IFERROR(INDEX(2a_PRE_TRABAJO!AF$5:AF$112,MATCH($A33,2a_PRE_TRABAJO!$A$5:$A$112,0)),"")</f>
        <v/>
      </c>
      <c r="M33" s="5">
        <f>IFERROR(INDEX(2a_PRE_TRABAJO!AG$5:AG$112,MATCH($A33,2a_PRE_TRABAJO!$A$5:$A$112,0)),"")</f>
        <v/>
      </c>
      <c r="N33" s="5">
        <f>IFERROR(INDEX(2b_POST_TRABAJO!D$5:D$109,MATCH($A33,2b_POST_TRABAJO!$A$5:$A$109,0)),"")</f>
        <v/>
      </c>
      <c r="O33" s="5">
        <f>IF(OR(N33="",J33=""),"",N33-J33)</f>
        <v/>
      </c>
      <c r="P33" s="5">
        <f>IFERROR(INDEX(2a_PRE_TRABAJO!H$5:H$112,MATCH($A33,2a_PRE_TRABAJO!$A$5:$A$112,0)),"")</f>
        <v/>
      </c>
      <c r="Q33" s="5">
        <f>IFERROR(INDEX(2a_PRE_TRABAJO!I$5:I$112,MATCH($A33,2a_PRE_TRABAJO!$A$5:$A$112,0)),"")</f>
        <v/>
      </c>
      <c r="R33" s="5">
        <f>IFERROR(INDEX(2a_PRE_TRABAJO!J$5:J$112,MATCH($A33,2a_PRE_TRABAJO!$A$5:$A$112,0)),"")</f>
        <v/>
      </c>
      <c r="S33" s="5">
        <f>IFERROR(INDEX(2a_PRE_TRABAJO!K$5:K$112,MATCH($A33,2a_PRE_TRABAJO!$A$5:$A$112,0)),"")</f>
        <v/>
      </c>
      <c r="T33" s="5">
        <f>IFERROR(INDEX(2a_PRE_TRABAJO!L$5:L$112,MATCH($A33,2a_PRE_TRABAJO!$A$5:$A$112,0)),"")</f>
        <v/>
      </c>
      <c r="U33" s="5">
        <f>IFERROR(INDEX(2a_PRE_TRABAJO!M$5:M$112,MATCH($A33,2a_PRE_TRABAJO!$A$5:$A$112,0)),"")</f>
        <v/>
      </c>
      <c r="V33" s="5">
        <f>IFERROR(INDEX(2a_PRE_TRABAJO!N$5:N$112,MATCH($A33,2a_PRE_TRABAJO!$A$5:$A$112,0)),"")</f>
        <v/>
      </c>
      <c r="W33" s="5">
        <f>IFERROR(INDEX(2a_PRE_TRABAJO!O$5:O$112,MATCH($A33,2a_PRE_TRABAJO!$A$5:$A$112,0)),"")</f>
        <v/>
      </c>
      <c r="X33" s="5">
        <f>IFERROR(INDEX(2a_PRE_TRABAJO!P$5:P$112,MATCH($A33,2a_PRE_TRABAJO!$A$5:$A$112,0)),"")</f>
        <v/>
      </c>
      <c r="Y33" s="5">
        <f>IFERROR(INDEX(2a_PRE_TRABAJO!Q$5:Q$112,MATCH($A33,2a_PRE_TRABAJO!$A$5:$A$112,0)),"")</f>
        <v/>
      </c>
      <c r="Z33" s="5">
        <f>IFERROR(INDEX(2a_PRE_TRABAJO!R$5:R$112,MATCH($A33,2a_PRE_TRABAJO!$A$5:$A$112,0)),"")</f>
        <v/>
      </c>
      <c r="AA33" s="5">
        <f>IFERROR(INDEX(2a_PRE_TRABAJO!S$5:S$112,MATCH($A33,2a_PRE_TRABAJO!$A$5:$A$112,0)),"")</f>
        <v/>
      </c>
      <c r="AB33" s="5">
        <f>IFERROR(INDEX(2a_PRE_TRABAJO!T$5:T$112,MATCH($A33,2a_PRE_TRABAJO!$A$5:$A$112,0)),"")</f>
        <v/>
      </c>
      <c r="AC33" s="5">
        <f>IFERROR(INDEX(2a_PRE_TRABAJO!U$5:U$112,MATCH($A33,2a_PRE_TRABAJO!$A$5:$A$112,0)),"")</f>
        <v/>
      </c>
      <c r="AD33" s="5">
        <f>IFERROR(INDEX(2a_PRE_TRABAJO!V$5:V$112,MATCH($A33,2a_PRE_TRABAJO!$A$5:$A$112,0)),"")</f>
        <v/>
      </c>
      <c r="AE33" s="5">
        <f>IFERROR(INDEX(2a_PRE_TRABAJO!W$5:W$112,MATCH($A33,2a_PRE_TRABAJO!$A$5:$A$112,0)),"")</f>
        <v/>
      </c>
      <c r="AF33" s="5">
        <f>IFERROR(INDEX(2a_PRE_TRABAJO!X$5:X$112,MATCH($A33,2a_PRE_TRABAJO!$A$5:$A$112,0)),"")</f>
        <v/>
      </c>
      <c r="AG33" s="5">
        <f>IFERROR(INDEX(2a_PRE_TRABAJO!Y$5:Y$112,MATCH($A33,2a_PRE_TRABAJO!$A$5:$A$112,0)),"")</f>
        <v/>
      </c>
      <c r="AH33" s="5">
        <f>IFERROR(INDEX(2a_PRE_TRABAJO!Z$5:Z$112,MATCH($A33,2a_PRE_TRABAJO!$A$5:$A$112,0)),"")</f>
        <v/>
      </c>
      <c r="AI33" s="5">
        <f>IFERROR(INDEX(2a_PRE_TRABAJO!AA$5:AA$112,MATCH($A33,2a_PRE_TRABAJO!$A$5:$A$112,0)),"")</f>
        <v/>
      </c>
      <c r="AJ33" s="5">
        <f>IFERROR(INDEX(2a_PRE_TRABAJO!AB$5:AB$112,MATCH($A33,2a_PRE_TRABAJO!$A$5:$A$112,0)),"")</f>
        <v/>
      </c>
      <c r="AK33" s="5">
        <f>IFERROR(INDEX(2a_PRE_TRABAJO!AC$5:AC$112,MATCH($A33,2a_PRE_TRABAJO!$A$5:$A$112,0)),"")</f>
        <v/>
      </c>
    </row>
    <row r="34">
      <c r="A34" s="3" t="inlineStr">
        <is>
          <t>GU-TDH-035</t>
        </is>
      </c>
      <c r="B34" s="3" t="n">
        <v>1</v>
      </c>
      <c r="C34" s="5">
        <f>IFERROR(INDEX(2a_PRE_TRABAJO!B$5:B$112,MATCH($A34,2a_PRE_TRABAJO!$A$5:$A$112,0)),"")</f>
        <v/>
      </c>
      <c r="D34" s="5">
        <f>IFERROR(INDEX(2a_PRE_TRABAJO!C$5:C$112,MATCH($A34,2a_PRE_TRABAJO!$A$5:$A$112,0)),"")</f>
        <v/>
      </c>
      <c r="E34" s="5">
        <f>IFERROR(INDEX(2a_PRE_TRABAJO!D$5:D$112,MATCH($A34,2a_PRE_TRABAJO!$A$5:$A$112,0)),"")</f>
        <v/>
      </c>
      <c r="F34" s="5">
        <f>IFERROR(INDEX(2a_PRE_TRABAJO!E$5:E$112,MATCH($A34,2a_PRE_TRABAJO!$A$5:$A$112,0)),"")</f>
        <v/>
      </c>
      <c r="G34" s="5">
        <f>IFERROR(INDEX(2a_PRE_TRABAJO!F$5:F$112,MATCH($A34,2a_PRE_TRABAJO!$A$5:$A$112,0)),"")</f>
        <v/>
      </c>
      <c r="H34" s="5">
        <f>IFERROR(INDEX(2a_PRE_TRABAJO!G$5:G$112,MATCH($A34,2a_PRE_TRABAJO!$A$5:$A$112,0)),"")</f>
        <v/>
      </c>
      <c r="I34" s="5">
        <f>IFERROR(INDEX(2b_POST_TRABAJO!C$5:C$109,MATCH($A34,2b_POST_TRABAJO!$A$5:$A$109,0)),"")</f>
        <v/>
      </c>
      <c r="J34" s="5">
        <f>IFERROR(INDEX(2a_PRE_TRABAJO!AD$5:AD$112,MATCH($A34,2a_PRE_TRABAJO!$A$5:$A$112,0)),"")</f>
        <v/>
      </c>
      <c r="K34" s="5">
        <f>IFERROR(INDEX(2a_PRE_TRABAJO!AE$5:AE$112,MATCH($A34,2a_PRE_TRABAJO!$A$5:$A$112,0)),"")</f>
        <v/>
      </c>
      <c r="L34" s="5">
        <f>IFERROR(INDEX(2a_PRE_TRABAJO!AF$5:AF$112,MATCH($A34,2a_PRE_TRABAJO!$A$5:$A$112,0)),"")</f>
        <v/>
      </c>
      <c r="M34" s="5">
        <f>IFERROR(INDEX(2a_PRE_TRABAJO!AG$5:AG$112,MATCH($A34,2a_PRE_TRABAJO!$A$5:$A$112,0)),"")</f>
        <v/>
      </c>
      <c r="N34" s="5">
        <f>IFERROR(INDEX(2b_POST_TRABAJO!D$5:D$109,MATCH($A34,2b_POST_TRABAJO!$A$5:$A$109,0)),"")</f>
        <v/>
      </c>
      <c r="O34" s="5">
        <f>IF(OR(N34="",J34=""),"",N34-J34)</f>
        <v/>
      </c>
      <c r="P34" s="5">
        <f>IFERROR(INDEX(2a_PRE_TRABAJO!H$5:H$112,MATCH($A34,2a_PRE_TRABAJO!$A$5:$A$112,0)),"")</f>
        <v/>
      </c>
      <c r="Q34" s="5">
        <f>IFERROR(INDEX(2a_PRE_TRABAJO!I$5:I$112,MATCH($A34,2a_PRE_TRABAJO!$A$5:$A$112,0)),"")</f>
        <v/>
      </c>
      <c r="R34" s="5">
        <f>IFERROR(INDEX(2a_PRE_TRABAJO!J$5:J$112,MATCH($A34,2a_PRE_TRABAJO!$A$5:$A$112,0)),"")</f>
        <v/>
      </c>
      <c r="S34" s="5">
        <f>IFERROR(INDEX(2a_PRE_TRABAJO!K$5:K$112,MATCH($A34,2a_PRE_TRABAJO!$A$5:$A$112,0)),"")</f>
        <v/>
      </c>
      <c r="T34" s="5">
        <f>IFERROR(INDEX(2a_PRE_TRABAJO!L$5:L$112,MATCH($A34,2a_PRE_TRABAJO!$A$5:$A$112,0)),"")</f>
        <v/>
      </c>
      <c r="U34" s="5">
        <f>IFERROR(INDEX(2a_PRE_TRABAJO!M$5:M$112,MATCH($A34,2a_PRE_TRABAJO!$A$5:$A$112,0)),"")</f>
        <v/>
      </c>
      <c r="V34" s="5">
        <f>IFERROR(INDEX(2a_PRE_TRABAJO!N$5:N$112,MATCH($A34,2a_PRE_TRABAJO!$A$5:$A$112,0)),"")</f>
        <v/>
      </c>
      <c r="W34" s="5">
        <f>IFERROR(INDEX(2a_PRE_TRABAJO!O$5:O$112,MATCH($A34,2a_PRE_TRABAJO!$A$5:$A$112,0)),"")</f>
        <v/>
      </c>
      <c r="X34" s="5">
        <f>IFERROR(INDEX(2a_PRE_TRABAJO!P$5:P$112,MATCH($A34,2a_PRE_TRABAJO!$A$5:$A$112,0)),"")</f>
        <v/>
      </c>
      <c r="Y34" s="5">
        <f>IFERROR(INDEX(2a_PRE_TRABAJO!Q$5:Q$112,MATCH($A34,2a_PRE_TRABAJO!$A$5:$A$112,0)),"")</f>
        <v/>
      </c>
      <c r="Z34" s="5">
        <f>IFERROR(INDEX(2a_PRE_TRABAJO!R$5:R$112,MATCH($A34,2a_PRE_TRABAJO!$A$5:$A$112,0)),"")</f>
        <v/>
      </c>
      <c r="AA34" s="5">
        <f>IFERROR(INDEX(2a_PRE_TRABAJO!S$5:S$112,MATCH($A34,2a_PRE_TRABAJO!$A$5:$A$112,0)),"")</f>
        <v/>
      </c>
      <c r="AB34" s="5">
        <f>IFERROR(INDEX(2a_PRE_TRABAJO!T$5:T$112,MATCH($A34,2a_PRE_TRABAJO!$A$5:$A$112,0)),"")</f>
        <v/>
      </c>
      <c r="AC34" s="5">
        <f>IFERROR(INDEX(2a_PRE_TRABAJO!U$5:U$112,MATCH($A34,2a_PRE_TRABAJO!$A$5:$A$112,0)),"")</f>
        <v/>
      </c>
      <c r="AD34" s="5">
        <f>IFERROR(INDEX(2a_PRE_TRABAJO!V$5:V$112,MATCH($A34,2a_PRE_TRABAJO!$A$5:$A$112,0)),"")</f>
        <v/>
      </c>
      <c r="AE34" s="5">
        <f>IFERROR(INDEX(2a_PRE_TRABAJO!W$5:W$112,MATCH($A34,2a_PRE_TRABAJO!$A$5:$A$112,0)),"")</f>
        <v/>
      </c>
      <c r="AF34" s="5">
        <f>IFERROR(INDEX(2a_PRE_TRABAJO!X$5:X$112,MATCH($A34,2a_PRE_TRABAJO!$A$5:$A$112,0)),"")</f>
        <v/>
      </c>
      <c r="AG34" s="5">
        <f>IFERROR(INDEX(2a_PRE_TRABAJO!Y$5:Y$112,MATCH($A34,2a_PRE_TRABAJO!$A$5:$A$112,0)),"")</f>
        <v/>
      </c>
      <c r="AH34" s="5">
        <f>IFERROR(INDEX(2a_PRE_TRABAJO!Z$5:Z$112,MATCH($A34,2a_PRE_TRABAJO!$A$5:$A$112,0)),"")</f>
        <v/>
      </c>
      <c r="AI34" s="5">
        <f>IFERROR(INDEX(2a_PRE_TRABAJO!AA$5:AA$112,MATCH($A34,2a_PRE_TRABAJO!$A$5:$A$112,0)),"")</f>
        <v/>
      </c>
      <c r="AJ34" s="5">
        <f>IFERROR(INDEX(2a_PRE_TRABAJO!AB$5:AB$112,MATCH($A34,2a_PRE_TRABAJO!$A$5:$A$112,0)),"")</f>
        <v/>
      </c>
      <c r="AK34" s="5">
        <f>IFERROR(INDEX(2a_PRE_TRABAJO!AC$5:AC$112,MATCH($A34,2a_PRE_TRABAJO!$A$5:$A$112,0)),"")</f>
        <v/>
      </c>
    </row>
    <row r="35">
      <c r="A35" s="3" t="inlineStr">
        <is>
          <t>GU-TDH-036</t>
        </is>
      </c>
      <c r="B35" s="3" t="n">
        <v>1</v>
      </c>
      <c r="C35" s="5">
        <f>IFERROR(INDEX(2a_PRE_TRABAJO!B$5:B$112,MATCH($A35,2a_PRE_TRABAJO!$A$5:$A$112,0)),"")</f>
        <v/>
      </c>
      <c r="D35" s="5">
        <f>IFERROR(INDEX(2a_PRE_TRABAJO!C$5:C$112,MATCH($A35,2a_PRE_TRABAJO!$A$5:$A$112,0)),"")</f>
        <v/>
      </c>
      <c r="E35" s="5">
        <f>IFERROR(INDEX(2a_PRE_TRABAJO!D$5:D$112,MATCH($A35,2a_PRE_TRABAJO!$A$5:$A$112,0)),"")</f>
        <v/>
      </c>
      <c r="F35" s="5">
        <f>IFERROR(INDEX(2a_PRE_TRABAJO!E$5:E$112,MATCH($A35,2a_PRE_TRABAJO!$A$5:$A$112,0)),"")</f>
        <v/>
      </c>
      <c r="G35" s="5">
        <f>IFERROR(INDEX(2a_PRE_TRABAJO!F$5:F$112,MATCH($A35,2a_PRE_TRABAJO!$A$5:$A$112,0)),"")</f>
        <v/>
      </c>
      <c r="H35" s="5">
        <f>IFERROR(INDEX(2a_PRE_TRABAJO!G$5:G$112,MATCH($A35,2a_PRE_TRABAJO!$A$5:$A$112,0)),"")</f>
        <v/>
      </c>
      <c r="I35" s="5">
        <f>IFERROR(INDEX(2b_POST_TRABAJO!C$5:C$109,MATCH($A35,2b_POST_TRABAJO!$A$5:$A$109,0)),"")</f>
        <v/>
      </c>
      <c r="J35" s="5">
        <f>IFERROR(INDEX(2a_PRE_TRABAJO!AD$5:AD$112,MATCH($A35,2a_PRE_TRABAJO!$A$5:$A$112,0)),"")</f>
        <v/>
      </c>
      <c r="K35" s="5">
        <f>IFERROR(INDEX(2a_PRE_TRABAJO!AE$5:AE$112,MATCH($A35,2a_PRE_TRABAJO!$A$5:$A$112,0)),"")</f>
        <v/>
      </c>
      <c r="L35" s="5">
        <f>IFERROR(INDEX(2a_PRE_TRABAJO!AF$5:AF$112,MATCH($A35,2a_PRE_TRABAJO!$A$5:$A$112,0)),"")</f>
        <v/>
      </c>
      <c r="M35" s="5">
        <f>IFERROR(INDEX(2a_PRE_TRABAJO!AG$5:AG$112,MATCH($A35,2a_PRE_TRABAJO!$A$5:$A$112,0)),"")</f>
        <v/>
      </c>
      <c r="N35" s="5">
        <f>IFERROR(INDEX(2b_POST_TRABAJO!D$5:D$109,MATCH($A35,2b_POST_TRABAJO!$A$5:$A$109,0)),"")</f>
        <v/>
      </c>
      <c r="O35" s="5">
        <f>IF(OR(N35="",J35=""),"",N35-J35)</f>
        <v/>
      </c>
      <c r="P35" s="5">
        <f>IFERROR(INDEX(2a_PRE_TRABAJO!H$5:H$112,MATCH($A35,2a_PRE_TRABAJO!$A$5:$A$112,0)),"")</f>
        <v/>
      </c>
      <c r="Q35" s="5">
        <f>IFERROR(INDEX(2a_PRE_TRABAJO!I$5:I$112,MATCH($A35,2a_PRE_TRABAJO!$A$5:$A$112,0)),"")</f>
        <v/>
      </c>
      <c r="R35" s="5">
        <f>IFERROR(INDEX(2a_PRE_TRABAJO!J$5:J$112,MATCH($A35,2a_PRE_TRABAJO!$A$5:$A$112,0)),"")</f>
        <v/>
      </c>
      <c r="S35" s="5">
        <f>IFERROR(INDEX(2a_PRE_TRABAJO!K$5:K$112,MATCH($A35,2a_PRE_TRABAJO!$A$5:$A$112,0)),"")</f>
        <v/>
      </c>
      <c r="T35" s="5">
        <f>IFERROR(INDEX(2a_PRE_TRABAJO!L$5:L$112,MATCH($A35,2a_PRE_TRABAJO!$A$5:$A$112,0)),"")</f>
        <v/>
      </c>
      <c r="U35" s="5">
        <f>IFERROR(INDEX(2a_PRE_TRABAJO!M$5:M$112,MATCH($A35,2a_PRE_TRABAJO!$A$5:$A$112,0)),"")</f>
        <v/>
      </c>
      <c r="V35" s="5">
        <f>IFERROR(INDEX(2a_PRE_TRABAJO!N$5:N$112,MATCH($A35,2a_PRE_TRABAJO!$A$5:$A$112,0)),"")</f>
        <v/>
      </c>
      <c r="W35" s="5">
        <f>IFERROR(INDEX(2a_PRE_TRABAJO!O$5:O$112,MATCH($A35,2a_PRE_TRABAJO!$A$5:$A$112,0)),"")</f>
        <v/>
      </c>
      <c r="X35" s="5">
        <f>IFERROR(INDEX(2a_PRE_TRABAJO!P$5:P$112,MATCH($A35,2a_PRE_TRABAJO!$A$5:$A$112,0)),"")</f>
        <v/>
      </c>
      <c r="Y35" s="5">
        <f>IFERROR(INDEX(2a_PRE_TRABAJO!Q$5:Q$112,MATCH($A35,2a_PRE_TRABAJO!$A$5:$A$112,0)),"")</f>
        <v/>
      </c>
      <c r="Z35" s="5">
        <f>IFERROR(INDEX(2a_PRE_TRABAJO!R$5:R$112,MATCH($A35,2a_PRE_TRABAJO!$A$5:$A$112,0)),"")</f>
        <v/>
      </c>
      <c r="AA35" s="5">
        <f>IFERROR(INDEX(2a_PRE_TRABAJO!S$5:S$112,MATCH($A35,2a_PRE_TRABAJO!$A$5:$A$112,0)),"")</f>
        <v/>
      </c>
      <c r="AB35" s="5">
        <f>IFERROR(INDEX(2a_PRE_TRABAJO!T$5:T$112,MATCH($A35,2a_PRE_TRABAJO!$A$5:$A$112,0)),"")</f>
        <v/>
      </c>
      <c r="AC35" s="5">
        <f>IFERROR(INDEX(2a_PRE_TRABAJO!U$5:U$112,MATCH($A35,2a_PRE_TRABAJO!$A$5:$A$112,0)),"")</f>
        <v/>
      </c>
      <c r="AD35" s="5">
        <f>IFERROR(INDEX(2a_PRE_TRABAJO!V$5:V$112,MATCH($A35,2a_PRE_TRABAJO!$A$5:$A$112,0)),"")</f>
        <v/>
      </c>
      <c r="AE35" s="5">
        <f>IFERROR(INDEX(2a_PRE_TRABAJO!W$5:W$112,MATCH($A35,2a_PRE_TRABAJO!$A$5:$A$112,0)),"")</f>
        <v/>
      </c>
      <c r="AF35" s="5">
        <f>IFERROR(INDEX(2a_PRE_TRABAJO!X$5:X$112,MATCH($A35,2a_PRE_TRABAJO!$A$5:$A$112,0)),"")</f>
        <v/>
      </c>
      <c r="AG35" s="5">
        <f>IFERROR(INDEX(2a_PRE_TRABAJO!Y$5:Y$112,MATCH($A35,2a_PRE_TRABAJO!$A$5:$A$112,0)),"")</f>
        <v/>
      </c>
      <c r="AH35" s="5">
        <f>IFERROR(INDEX(2a_PRE_TRABAJO!Z$5:Z$112,MATCH($A35,2a_PRE_TRABAJO!$A$5:$A$112,0)),"")</f>
        <v/>
      </c>
      <c r="AI35" s="5">
        <f>IFERROR(INDEX(2a_PRE_TRABAJO!AA$5:AA$112,MATCH($A35,2a_PRE_TRABAJO!$A$5:$A$112,0)),"")</f>
        <v/>
      </c>
      <c r="AJ35" s="5">
        <f>IFERROR(INDEX(2a_PRE_TRABAJO!AB$5:AB$112,MATCH($A35,2a_PRE_TRABAJO!$A$5:$A$112,0)),"")</f>
        <v/>
      </c>
      <c r="AK35" s="5">
        <f>IFERROR(INDEX(2a_PRE_TRABAJO!AC$5:AC$112,MATCH($A35,2a_PRE_TRABAJO!$A$5:$A$112,0)),"")</f>
        <v/>
      </c>
    </row>
    <row r="36">
      <c r="A36" s="3" t="inlineStr">
        <is>
          <t>GU-TDH-038</t>
        </is>
      </c>
      <c r="B36" s="3" t="n">
        <v>1</v>
      </c>
      <c r="C36" s="5">
        <f>IFERROR(INDEX(2a_PRE_TRABAJO!B$5:B$112,MATCH($A36,2a_PRE_TRABAJO!$A$5:$A$112,0)),"")</f>
        <v/>
      </c>
      <c r="D36" s="5">
        <f>IFERROR(INDEX(2a_PRE_TRABAJO!C$5:C$112,MATCH($A36,2a_PRE_TRABAJO!$A$5:$A$112,0)),"")</f>
        <v/>
      </c>
      <c r="E36" s="5">
        <f>IFERROR(INDEX(2a_PRE_TRABAJO!D$5:D$112,MATCH($A36,2a_PRE_TRABAJO!$A$5:$A$112,0)),"")</f>
        <v/>
      </c>
      <c r="F36" s="5">
        <f>IFERROR(INDEX(2a_PRE_TRABAJO!E$5:E$112,MATCH($A36,2a_PRE_TRABAJO!$A$5:$A$112,0)),"")</f>
        <v/>
      </c>
      <c r="G36" s="5">
        <f>IFERROR(INDEX(2a_PRE_TRABAJO!F$5:F$112,MATCH($A36,2a_PRE_TRABAJO!$A$5:$A$112,0)),"")</f>
        <v/>
      </c>
      <c r="H36" s="5">
        <f>IFERROR(INDEX(2a_PRE_TRABAJO!G$5:G$112,MATCH($A36,2a_PRE_TRABAJO!$A$5:$A$112,0)),"")</f>
        <v/>
      </c>
      <c r="I36" s="5">
        <f>IFERROR(INDEX(2b_POST_TRABAJO!C$5:C$109,MATCH($A36,2b_POST_TRABAJO!$A$5:$A$109,0)),"")</f>
        <v/>
      </c>
      <c r="J36" s="5">
        <f>IFERROR(INDEX(2a_PRE_TRABAJO!AD$5:AD$112,MATCH($A36,2a_PRE_TRABAJO!$A$5:$A$112,0)),"")</f>
        <v/>
      </c>
      <c r="K36" s="5">
        <f>IFERROR(INDEX(2a_PRE_TRABAJO!AE$5:AE$112,MATCH($A36,2a_PRE_TRABAJO!$A$5:$A$112,0)),"")</f>
        <v/>
      </c>
      <c r="L36" s="5">
        <f>IFERROR(INDEX(2a_PRE_TRABAJO!AF$5:AF$112,MATCH($A36,2a_PRE_TRABAJO!$A$5:$A$112,0)),"")</f>
        <v/>
      </c>
      <c r="M36" s="5">
        <f>IFERROR(INDEX(2a_PRE_TRABAJO!AG$5:AG$112,MATCH($A36,2a_PRE_TRABAJO!$A$5:$A$112,0)),"")</f>
        <v/>
      </c>
      <c r="N36" s="5">
        <f>IFERROR(INDEX(2b_POST_TRABAJO!D$5:D$109,MATCH($A36,2b_POST_TRABAJO!$A$5:$A$109,0)),"")</f>
        <v/>
      </c>
      <c r="O36" s="5">
        <f>IF(OR(N36="",J36=""),"",N36-J36)</f>
        <v/>
      </c>
      <c r="P36" s="5">
        <f>IFERROR(INDEX(2a_PRE_TRABAJO!H$5:H$112,MATCH($A36,2a_PRE_TRABAJO!$A$5:$A$112,0)),"")</f>
        <v/>
      </c>
      <c r="Q36" s="5">
        <f>IFERROR(INDEX(2a_PRE_TRABAJO!I$5:I$112,MATCH($A36,2a_PRE_TRABAJO!$A$5:$A$112,0)),"")</f>
        <v/>
      </c>
      <c r="R36" s="5">
        <f>IFERROR(INDEX(2a_PRE_TRABAJO!J$5:J$112,MATCH($A36,2a_PRE_TRABAJO!$A$5:$A$112,0)),"")</f>
        <v/>
      </c>
      <c r="S36" s="5">
        <f>IFERROR(INDEX(2a_PRE_TRABAJO!K$5:K$112,MATCH($A36,2a_PRE_TRABAJO!$A$5:$A$112,0)),"")</f>
        <v/>
      </c>
      <c r="T36" s="5">
        <f>IFERROR(INDEX(2a_PRE_TRABAJO!L$5:L$112,MATCH($A36,2a_PRE_TRABAJO!$A$5:$A$112,0)),"")</f>
        <v/>
      </c>
      <c r="U36" s="5">
        <f>IFERROR(INDEX(2a_PRE_TRABAJO!M$5:M$112,MATCH($A36,2a_PRE_TRABAJO!$A$5:$A$112,0)),"")</f>
        <v/>
      </c>
      <c r="V36" s="5">
        <f>IFERROR(INDEX(2a_PRE_TRABAJO!N$5:N$112,MATCH($A36,2a_PRE_TRABAJO!$A$5:$A$112,0)),"")</f>
        <v/>
      </c>
      <c r="W36" s="5">
        <f>IFERROR(INDEX(2a_PRE_TRABAJO!O$5:O$112,MATCH($A36,2a_PRE_TRABAJO!$A$5:$A$112,0)),"")</f>
        <v/>
      </c>
      <c r="X36" s="5">
        <f>IFERROR(INDEX(2a_PRE_TRABAJO!P$5:P$112,MATCH($A36,2a_PRE_TRABAJO!$A$5:$A$112,0)),"")</f>
        <v/>
      </c>
      <c r="Y36" s="5">
        <f>IFERROR(INDEX(2a_PRE_TRABAJO!Q$5:Q$112,MATCH($A36,2a_PRE_TRABAJO!$A$5:$A$112,0)),"")</f>
        <v/>
      </c>
      <c r="Z36" s="5">
        <f>IFERROR(INDEX(2a_PRE_TRABAJO!R$5:R$112,MATCH($A36,2a_PRE_TRABAJO!$A$5:$A$112,0)),"")</f>
        <v/>
      </c>
      <c r="AA36" s="5">
        <f>IFERROR(INDEX(2a_PRE_TRABAJO!S$5:S$112,MATCH($A36,2a_PRE_TRABAJO!$A$5:$A$112,0)),"")</f>
        <v/>
      </c>
      <c r="AB36" s="5">
        <f>IFERROR(INDEX(2a_PRE_TRABAJO!T$5:T$112,MATCH($A36,2a_PRE_TRABAJO!$A$5:$A$112,0)),"")</f>
        <v/>
      </c>
      <c r="AC36" s="5">
        <f>IFERROR(INDEX(2a_PRE_TRABAJO!U$5:U$112,MATCH($A36,2a_PRE_TRABAJO!$A$5:$A$112,0)),"")</f>
        <v/>
      </c>
      <c r="AD36" s="5">
        <f>IFERROR(INDEX(2a_PRE_TRABAJO!V$5:V$112,MATCH($A36,2a_PRE_TRABAJO!$A$5:$A$112,0)),"")</f>
        <v/>
      </c>
      <c r="AE36" s="5">
        <f>IFERROR(INDEX(2a_PRE_TRABAJO!W$5:W$112,MATCH($A36,2a_PRE_TRABAJO!$A$5:$A$112,0)),"")</f>
        <v/>
      </c>
      <c r="AF36" s="5">
        <f>IFERROR(INDEX(2a_PRE_TRABAJO!X$5:X$112,MATCH($A36,2a_PRE_TRABAJO!$A$5:$A$112,0)),"")</f>
        <v/>
      </c>
      <c r="AG36" s="5">
        <f>IFERROR(INDEX(2a_PRE_TRABAJO!Y$5:Y$112,MATCH($A36,2a_PRE_TRABAJO!$A$5:$A$112,0)),"")</f>
        <v/>
      </c>
      <c r="AH36" s="5">
        <f>IFERROR(INDEX(2a_PRE_TRABAJO!Z$5:Z$112,MATCH($A36,2a_PRE_TRABAJO!$A$5:$A$112,0)),"")</f>
        <v/>
      </c>
      <c r="AI36" s="5">
        <f>IFERROR(INDEX(2a_PRE_TRABAJO!AA$5:AA$112,MATCH($A36,2a_PRE_TRABAJO!$A$5:$A$112,0)),"")</f>
        <v/>
      </c>
      <c r="AJ36" s="5">
        <f>IFERROR(INDEX(2a_PRE_TRABAJO!AB$5:AB$112,MATCH($A36,2a_PRE_TRABAJO!$A$5:$A$112,0)),"")</f>
        <v/>
      </c>
      <c r="AK36" s="5">
        <f>IFERROR(INDEX(2a_PRE_TRABAJO!AC$5:AC$112,MATCH($A36,2a_PRE_TRABAJO!$A$5:$A$112,0)),"")</f>
        <v/>
      </c>
    </row>
    <row r="37">
      <c r="A37" s="3" t="inlineStr">
        <is>
          <t>GU-TDH-039</t>
        </is>
      </c>
      <c r="B37" s="3" t="n">
        <v>1</v>
      </c>
      <c r="C37" s="5">
        <f>IFERROR(INDEX(2a_PRE_TRABAJO!B$5:B$112,MATCH($A37,2a_PRE_TRABAJO!$A$5:$A$112,0)),"")</f>
        <v/>
      </c>
      <c r="D37" s="5">
        <f>IFERROR(INDEX(2a_PRE_TRABAJO!C$5:C$112,MATCH($A37,2a_PRE_TRABAJO!$A$5:$A$112,0)),"")</f>
        <v/>
      </c>
      <c r="E37" s="5">
        <f>IFERROR(INDEX(2a_PRE_TRABAJO!D$5:D$112,MATCH($A37,2a_PRE_TRABAJO!$A$5:$A$112,0)),"")</f>
        <v/>
      </c>
      <c r="F37" s="5">
        <f>IFERROR(INDEX(2a_PRE_TRABAJO!E$5:E$112,MATCH($A37,2a_PRE_TRABAJO!$A$5:$A$112,0)),"")</f>
        <v/>
      </c>
      <c r="G37" s="5">
        <f>IFERROR(INDEX(2a_PRE_TRABAJO!F$5:F$112,MATCH($A37,2a_PRE_TRABAJO!$A$5:$A$112,0)),"")</f>
        <v/>
      </c>
      <c r="H37" s="5">
        <f>IFERROR(INDEX(2a_PRE_TRABAJO!G$5:G$112,MATCH($A37,2a_PRE_TRABAJO!$A$5:$A$112,0)),"")</f>
        <v/>
      </c>
      <c r="I37" s="5">
        <f>IFERROR(INDEX(2b_POST_TRABAJO!C$5:C$109,MATCH($A37,2b_POST_TRABAJO!$A$5:$A$109,0)),"")</f>
        <v/>
      </c>
      <c r="J37" s="5">
        <f>IFERROR(INDEX(2a_PRE_TRABAJO!AD$5:AD$112,MATCH($A37,2a_PRE_TRABAJO!$A$5:$A$112,0)),"")</f>
        <v/>
      </c>
      <c r="K37" s="5">
        <f>IFERROR(INDEX(2a_PRE_TRABAJO!AE$5:AE$112,MATCH($A37,2a_PRE_TRABAJO!$A$5:$A$112,0)),"")</f>
        <v/>
      </c>
      <c r="L37" s="5">
        <f>IFERROR(INDEX(2a_PRE_TRABAJO!AF$5:AF$112,MATCH($A37,2a_PRE_TRABAJO!$A$5:$A$112,0)),"")</f>
        <v/>
      </c>
      <c r="M37" s="5">
        <f>IFERROR(INDEX(2a_PRE_TRABAJO!AG$5:AG$112,MATCH($A37,2a_PRE_TRABAJO!$A$5:$A$112,0)),"")</f>
        <v/>
      </c>
      <c r="N37" s="5">
        <f>IFERROR(INDEX(2b_POST_TRABAJO!D$5:D$109,MATCH($A37,2b_POST_TRABAJO!$A$5:$A$109,0)),"")</f>
        <v/>
      </c>
      <c r="O37" s="5">
        <f>IF(OR(N37="",J37=""),"",N37-J37)</f>
        <v/>
      </c>
      <c r="P37" s="5">
        <f>IFERROR(INDEX(2a_PRE_TRABAJO!H$5:H$112,MATCH($A37,2a_PRE_TRABAJO!$A$5:$A$112,0)),"")</f>
        <v/>
      </c>
      <c r="Q37" s="5">
        <f>IFERROR(INDEX(2a_PRE_TRABAJO!I$5:I$112,MATCH($A37,2a_PRE_TRABAJO!$A$5:$A$112,0)),"")</f>
        <v/>
      </c>
      <c r="R37" s="5">
        <f>IFERROR(INDEX(2a_PRE_TRABAJO!J$5:J$112,MATCH($A37,2a_PRE_TRABAJO!$A$5:$A$112,0)),"")</f>
        <v/>
      </c>
      <c r="S37" s="5">
        <f>IFERROR(INDEX(2a_PRE_TRABAJO!K$5:K$112,MATCH($A37,2a_PRE_TRABAJO!$A$5:$A$112,0)),"")</f>
        <v/>
      </c>
      <c r="T37" s="5">
        <f>IFERROR(INDEX(2a_PRE_TRABAJO!L$5:L$112,MATCH($A37,2a_PRE_TRABAJO!$A$5:$A$112,0)),"")</f>
        <v/>
      </c>
      <c r="U37" s="5">
        <f>IFERROR(INDEX(2a_PRE_TRABAJO!M$5:M$112,MATCH($A37,2a_PRE_TRABAJO!$A$5:$A$112,0)),"")</f>
        <v/>
      </c>
      <c r="V37" s="5">
        <f>IFERROR(INDEX(2a_PRE_TRABAJO!N$5:N$112,MATCH($A37,2a_PRE_TRABAJO!$A$5:$A$112,0)),"")</f>
        <v/>
      </c>
      <c r="W37" s="5">
        <f>IFERROR(INDEX(2a_PRE_TRABAJO!O$5:O$112,MATCH($A37,2a_PRE_TRABAJO!$A$5:$A$112,0)),"")</f>
        <v/>
      </c>
      <c r="X37" s="5">
        <f>IFERROR(INDEX(2a_PRE_TRABAJO!P$5:P$112,MATCH($A37,2a_PRE_TRABAJO!$A$5:$A$112,0)),"")</f>
        <v/>
      </c>
      <c r="Y37" s="5">
        <f>IFERROR(INDEX(2a_PRE_TRABAJO!Q$5:Q$112,MATCH($A37,2a_PRE_TRABAJO!$A$5:$A$112,0)),"")</f>
        <v/>
      </c>
      <c r="Z37" s="5">
        <f>IFERROR(INDEX(2a_PRE_TRABAJO!R$5:R$112,MATCH($A37,2a_PRE_TRABAJO!$A$5:$A$112,0)),"")</f>
        <v/>
      </c>
      <c r="AA37" s="5">
        <f>IFERROR(INDEX(2a_PRE_TRABAJO!S$5:S$112,MATCH($A37,2a_PRE_TRABAJO!$A$5:$A$112,0)),"")</f>
        <v/>
      </c>
      <c r="AB37" s="5">
        <f>IFERROR(INDEX(2a_PRE_TRABAJO!T$5:T$112,MATCH($A37,2a_PRE_TRABAJO!$A$5:$A$112,0)),"")</f>
        <v/>
      </c>
      <c r="AC37" s="5">
        <f>IFERROR(INDEX(2a_PRE_TRABAJO!U$5:U$112,MATCH($A37,2a_PRE_TRABAJO!$A$5:$A$112,0)),"")</f>
        <v/>
      </c>
      <c r="AD37" s="5">
        <f>IFERROR(INDEX(2a_PRE_TRABAJO!V$5:V$112,MATCH($A37,2a_PRE_TRABAJO!$A$5:$A$112,0)),"")</f>
        <v/>
      </c>
      <c r="AE37" s="5">
        <f>IFERROR(INDEX(2a_PRE_TRABAJO!W$5:W$112,MATCH($A37,2a_PRE_TRABAJO!$A$5:$A$112,0)),"")</f>
        <v/>
      </c>
      <c r="AF37" s="5">
        <f>IFERROR(INDEX(2a_PRE_TRABAJO!X$5:X$112,MATCH($A37,2a_PRE_TRABAJO!$A$5:$A$112,0)),"")</f>
        <v/>
      </c>
      <c r="AG37" s="5">
        <f>IFERROR(INDEX(2a_PRE_TRABAJO!Y$5:Y$112,MATCH($A37,2a_PRE_TRABAJO!$A$5:$A$112,0)),"")</f>
        <v/>
      </c>
      <c r="AH37" s="5">
        <f>IFERROR(INDEX(2a_PRE_TRABAJO!Z$5:Z$112,MATCH($A37,2a_PRE_TRABAJO!$A$5:$A$112,0)),"")</f>
        <v/>
      </c>
      <c r="AI37" s="5">
        <f>IFERROR(INDEX(2a_PRE_TRABAJO!AA$5:AA$112,MATCH($A37,2a_PRE_TRABAJO!$A$5:$A$112,0)),"")</f>
        <v/>
      </c>
      <c r="AJ37" s="5">
        <f>IFERROR(INDEX(2a_PRE_TRABAJO!AB$5:AB$112,MATCH($A37,2a_PRE_TRABAJO!$A$5:$A$112,0)),"")</f>
        <v/>
      </c>
      <c r="AK37" s="5">
        <f>IFERROR(INDEX(2a_PRE_TRABAJO!AC$5:AC$112,MATCH($A37,2a_PRE_TRABAJO!$A$5:$A$112,0)),"")</f>
        <v/>
      </c>
    </row>
    <row r="38">
      <c r="A38" s="3" t="inlineStr">
        <is>
          <t>GU-TDH-040</t>
        </is>
      </c>
      <c r="B38" s="3" t="n">
        <v>1</v>
      </c>
      <c r="C38" s="5">
        <f>IFERROR(INDEX(2a_PRE_TRABAJO!B$5:B$112,MATCH($A38,2a_PRE_TRABAJO!$A$5:$A$112,0)),"")</f>
        <v/>
      </c>
      <c r="D38" s="5">
        <f>IFERROR(INDEX(2a_PRE_TRABAJO!C$5:C$112,MATCH($A38,2a_PRE_TRABAJO!$A$5:$A$112,0)),"")</f>
        <v/>
      </c>
      <c r="E38" s="5">
        <f>IFERROR(INDEX(2a_PRE_TRABAJO!D$5:D$112,MATCH($A38,2a_PRE_TRABAJO!$A$5:$A$112,0)),"")</f>
        <v/>
      </c>
      <c r="F38" s="5">
        <f>IFERROR(INDEX(2a_PRE_TRABAJO!E$5:E$112,MATCH($A38,2a_PRE_TRABAJO!$A$5:$A$112,0)),"")</f>
        <v/>
      </c>
      <c r="G38" s="5">
        <f>IFERROR(INDEX(2a_PRE_TRABAJO!F$5:F$112,MATCH($A38,2a_PRE_TRABAJO!$A$5:$A$112,0)),"")</f>
        <v/>
      </c>
      <c r="H38" s="5">
        <f>IFERROR(INDEX(2a_PRE_TRABAJO!G$5:G$112,MATCH($A38,2a_PRE_TRABAJO!$A$5:$A$112,0)),"")</f>
        <v/>
      </c>
      <c r="I38" s="5">
        <f>IFERROR(INDEX(2b_POST_TRABAJO!C$5:C$109,MATCH($A38,2b_POST_TRABAJO!$A$5:$A$109,0)),"")</f>
        <v/>
      </c>
      <c r="J38" s="5">
        <f>IFERROR(INDEX(2a_PRE_TRABAJO!AD$5:AD$112,MATCH($A38,2a_PRE_TRABAJO!$A$5:$A$112,0)),"")</f>
        <v/>
      </c>
      <c r="K38" s="5">
        <f>IFERROR(INDEX(2a_PRE_TRABAJO!AE$5:AE$112,MATCH($A38,2a_PRE_TRABAJO!$A$5:$A$112,0)),"")</f>
        <v/>
      </c>
      <c r="L38" s="5">
        <f>IFERROR(INDEX(2a_PRE_TRABAJO!AF$5:AF$112,MATCH($A38,2a_PRE_TRABAJO!$A$5:$A$112,0)),"")</f>
        <v/>
      </c>
      <c r="M38" s="5">
        <f>IFERROR(INDEX(2a_PRE_TRABAJO!AG$5:AG$112,MATCH($A38,2a_PRE_TRABAJO!$A$5:$A$112,0)),"")</f>
        <v/>
      </c>
      <c r="N38" s="5">
        <f>IFERROR(INDEX(2b_POST_TRABAJO!D$5:D$109,MATCH($A38,2b_POST_TRABAJO!$A$5:$A$109,0)),"")</f>
        <v/>
      </c>
      <c r="O38" s="5">
        <f>IF(OR(N38="",J38=""),"",N38-J38)</f>
        <v/>
      </c>
      <c r="P38" s="5">
        <f>IFERROR(INDEX(2a_PRE_TRABAJO!H$5:H$112,MATCH($A38,2a_PRE_TRABAJO!$A$5:$A$112,0)),"")</f>
        <v/>
      </c>
      <c r="Q38" s="5">
        <f>IFERROR(INDEX(2a_PRE_TRABAJO!I$5:I$112,MATCH($A38,2a_PRE_TRABAJO!$A$5:$A$112,0)),"")</f>
        <v/>
      </c>
      <c r="R38" s="5">
        <f>IFERROR(INDEX(2a_PRE_TRABAJO!J$5:J$112,MATCH($A38,2a_PRE_TRABAJO!$A$5:$A$112,0)),"")</f>
        <v/>
      </c>
      <c r="S38" s="5">
        <f>IFERROR(INDEX(2a_PRE_TRABAJO!K$5:K$112,MATCH($A38,2a_PRE_TRABAJO!$A$5:$A$112,0)),"")</f>
        <v/>
      </c>
      <c r="T38" s="5">
        <f>IFERROR(INDEX(2a_PRE_TRABAJO!L$5:L$112,MATCH($A38,2a_PRE_TRABAJO!$A$5:$A$112,0)),"")</f>
        <v/>
      </c>
      <c r="U38" s="5">
        <f>IFERROR(INDEX(2a_PRE_TRABAJO!M$5:M$112,MATCH($A38,2a_PRE_TRABAJO!$A$5:$A$112,0)),"")</f>
        <v/>
      </c>
      <c r="V38" s="5">
        <f>IFERROR(INDEX(2a_PRE_TRABAJO!N$5:N$112,MATCH($A38,2a_PRE_TRABAJO!$A$5:$A$112,0)),"")</f>
        <v/>
      </c>
      <c r="W38" s="5">
        <f>IFERROR(INDEX(2a_PRE_TRABAJO!O$5:O$112,MATCH($A38,2a_PRE_TRABAJO!$A$5:$A$112,0)),"")</f>
        <v/>
      </c>
      <c r="X38" s="5">
        <f>IFERROR(INDEX(2a_PRE_TRABAJO!P$5:P$112,MATCH($A38,2a_PRE_TRABAJO!$A$5:$A$112,0)),"")</f>
        <v/>
      </c>
      <c r="Y38" s="5">
        <f>IFERROR(INDEX(2a_PRE_TRABAJO!Q$5:Q$112,MATCH($A38,2a_PRE_TRABAJO!$A$5:$A$112,0)),"")</f>
        <v/>
      </c>
      <c r="Z38" s="5">
        <f>IFERROR(INDEX(2a_PRE_TRABAJO!R$5:R$112,MATCH($A38,2a_PRE_TRABAJO!$A$5:$A$112,0)),"")</f>
        <v/>
      </c>
      <c r="AA38" s="5">
        <f>IFERROR(INDEX(2a_PRE_TRABAJO!S$5:S$112,MATCH($A38,2a_PRE_TRABAJO!$A$5:$A$112,0)),"")</f>
        <v/>
      </c>
      <c r="AB38" s="5">
        <f>IFERROR(INDEX(2a_PRE_TRABAJO!T$5:T$112,MATCH($A38,2a_PRE_TRABAJO!$A$5:$A$112,0)),"")</f>
        <v/>
      </c>
      <c r="AC38" s="5">
        <f>IFERROR(INDEX(2a_PRE_TRABAJO!U$5:U$112,MATCH($A38,2a_PRE_TRABAJO!$A$5:$A$112,0)),"")</f>
        <v/>
      </c>
      <c r="AD38" s="5">
        <f>IFERROR(INDEX(2a_PRE_TRABAJO!V$5:V$112,MATCH($A38,2a_PRE_TRABAJO!$A$5:$A$112,0)),"")</f>
        <v/>
      </c>
      <c r="AE38" s="5">
        <f>IFERROR(INDEX(2a_PRE_TRABAJO!W$5:W$112,MATCH($A38,2a_PRE_TRABAJO!$A$5:$A$112,0)),"")</f>
        <v/>
      </c>
      <c r="AF38" s="5">
        <f>IFERROR(INDEX(2a_PRE_TRABAJO!X$5:X$112,MATCH($A38,2a_PRE_TRABAJO!$A$5:$A$112,0)),"")</f>
        <v/>
      </c>
      <c r="AG38" s="5">
        <f>IFERROR(INDEX(2a_PRE_TRABAJO!Y$5:Y$112,MATCH($A38,2a_PRE_TRABAJO!$A$5:$A$112,0)),"")</f>
        <v/>
      </c>
      <c r="AH38" s="5">
        <f>IFERROR(INDEX(2a_PRE_TRABAJO!Z$5:Z$112,MATCH($A38,2a_PRE_TRABAJO!$A$5:$A$112,0)),"")</f>
        <v/>
      </c>
      <c r="AI38" s="5">
        <f>IFERROR(INDEX(2a_PRE_TRABAJO!AA$5:AA$112,MATCH($A38,2a_PRE_TRABAJO!$A$5:$A$112,0)),"")</f>
        <v/>
      </c>
      <c r="AJ38" s="5">
        <f>IFERROR(INDEX(2a_PRE_TRABAJO!AB$5:AB$112,MATCH($A38,2a_PRE_TRABAJO!$A$5:$A$112,0)),"")</f>
        <v/>
      </c>
      <c r="AK38" s="5">
        <f>IFERROR(INDEX(2a_PRE_TRABAJO!AC$5:AC$112,MATCH($A38,2a_PRE_TRABAJO!$A$5:$A$112,0)),"")</f>
        <v/>
      </c>
    </row>
    <row r="39">
      <c r="A39" s="3" t="inlineStr">
        <is>
          <t>GU-TDH-041</t>
        </is>
      </c>
      <c r="B39" s="3" t="n">
        <v>1</v>
      </c>
      <c r="C39" s="5">
        <f>IFERROR(INDEX(2a_PRE_TRABAJO!B$5:B$112,MATCH($A39,2a_PRE_TRABAJO!$A$5:$A$112,0)),"")</f>
        <v/>
      </c>
      <c r="D39" s="5">
        <f>IFERROR(INDEX(2a_PRE_TRABAJO!C$5:C$112,MATCH($A39,2a_PRE_TRABAJO!$A$5:$A$112,0)),"")</f>
        <v/>
      </c>
      <c r="E39" s="5">
        <f>IFERROR(INDEX(2a_PRE_TRABAJO!D$5:D$112,MATCH($A39,2a_PRE_TRABAJO!$A$5:$A$112,0)),"")</f>
        <v/>
      </c>
      <c r="F39" s="5">
        <f>IFERROR(INDEX(2a_PRE_TRABAJO!E$5:E$112,MATCH($A39,2a_PRE_TRABAJO!$A$5:$A$112,0)),"")</f>
        <v/>
      </c>
      <c r="G39" s="5">
        <f>IFERROR(INDEX(2a_PRE_TRABAJO!F$5:F$112,MATCH($A39,2a_PRE_TRABAJO!$A$5:$A$112,0)),"")</f>
        <v/>
      </c>
      <c r="H39" s="5">
        <f>IFERROR(INDEX(2a_PRE_TRABAJO!G$5:G$112,MATCH($A39,2a_PRE_TRABAJO!$A$5:$A$112,0)),"")</f>
        <v/>
      </c>
      <c r="I39" s="5">
        <f>IFERROR(INDEX(2b_POST_TRABAJO!C$5:C$109,MATCH($A39,2b_POST_TRABAJO!$A$5:$A$109,0)),"")</f>
        <v/>
      </c>
      <c r="J39" s="5">
        <f>IFERROR(INDEX(2a_PRE_TRABAJO!AD$5:AD$112,MATCH($A39,2a_PRE_TRABAJO!$A$5:$A$112,0)),"")</f>
        <v/>
      </c>
      <c r="K39" s="5">
        <f>IFERROR(INDEX(2a_PRE_TRABAJO!AE$5:AE$112,MATCH($A39,2a_PRE_TRABAJO!$A$5:$A$112,0)),"")</f>
        <v/>
      </c>
      <c r="L39" s="5">
        <f>IFERROR(INDEX(2a_PRE_TRABAJO!AF$5:AF$112,MATCH($A39,2a_PRE_TRABAJO!$A$5:$A$112,0)),"")</f>
        <v/>
      </c>
      <c r="M39" s="5">
        <f>IFERROR(INDEX(2a_PRE_TRABAJO!AG$5:AG$112,MATCH($A39,2a_PRE_TRABAJO!$A$5:$A$112,0)),"")</f>
        <v/>
      </c>
      <c r="N39" s="5">
        <f>IFERROR(INDEX(2b_POST_TRABAJO!D$5:D$109,MATCH($A39,2b_POST_TRABAJO!$A$5:$A$109,0)),"")</f>
        <v/>
      </c>
      <c r="O39" s="5">
        <f>IF(OR(N39="",J39=""),"",N39-J39)</f>
        <v/>
      </c>
      <c r="P39" s="5">
        <f>IFERROR(INDEX(2a_PRE_TRABAJO!H$5:H$112,MATCH($A39,2a_PRE_TRABAJO!$A$5:$A$112,0)),"")</f>
        <v/>
      </c>
      <c r="Q39" s="5">
        <f>IFERROR(INDEX(2a_PRE_TRABAJO!I$5:I$112,MATCH($A39,2a_PRE_TRABAJO!$A$5:$A$112,0)),"")</f>
        <v/>
      </c>
      <c r="R39" s="5">
        <f>IFERROR(INDEX(2a_PRE_TRABAJO!J$5:J$112,MATCH($A39,2a_PRE_TRABAJO!$A$5:$A$112,0)),"")</f>
        <v/>
      </c>
      <c r="S39" s="5">
        <f>IFERROR(INDEX(2a_PRE_TRABAJO!K$5:K$112,MATCH($A39,2a_PRE_TRABAJO!$A$5:$A$112,0)),"")</f>
        <v/>
      </c>
      <c r="T39" s="5">
        <f>IFERROR(INDEX(2a_PRE_TRABAJO!L$5:L$112,MATCH($A39,2a_PRE_TRABAJO!$A$5:$A$112,0)),"")</f>
        <v/>
      </c>
      <c r="U39" s="5">
        <f>IFERROR(INDEX(2a_PRE_TRABAJO!M$5:M$112,MATCH($A39,2a_PRE_TRABAJO!$A$5:$A$112,0)),"")</f>
        <v/>
      </c>
      <c r="V39" s="5">
        <f>IFERROR(INDEX(2a_PRE_TRABAJO!N$5:N$112,MATCH($A39,2a_PRE_TRABAJO!$A$5:$A$112,0)),"")</f>
        <v/>
      </c>
      <c r="W39" s="5">
        <f>IFERROR(INDEX(2a_PRE_TRABAJO!O$5:O$112,MATCH($A39,2a_PRE_TRABAJO!$A$5:$A$112,0)),"")</f>
        <v/>
      </c>
      <c r="X39" s="5">
        <f>IFERROR(INDEX(2a_PRE_TRABAJO!P$5:P$112,MATCH($A39,2a_PRE_TRABAJO!$A$5:$A$112,0)),"")</f>
        <v/>
      </c>
      <c r="Y39" s="5">
        <f>IFERROR(INDEX(2a_PRE_TRABAJO!Q$5:Q$112,MATCH($A39,2a_PRE_TRABAJO!$A$5:$A$112,0)),"")</f>
        <v/>
      </c>
      <c r="Z39" s="5">
        <f>IFERROR(INDEX(2a_PRE_TRABAJO!R$5:R$112,MATCH($A39,2a_PRE_TRABAJO!$A$5:$A$112,0)),"")</f>
        <v/>
      </c>
      <c r="AA39" s="5">
        <f>IFERROR(INDEX(2a_PRE_TRABAJO!S$5:S$112,MATCH($A39,2a_PRE_TRABAJO!$A$5:$A$112,0)),"")</f>
        <v/>
      </c>
      <c r="AB39" s="5">
        <f>IFERROR(INDEX(2a_PRE_TRABAJO!T$5:T$112,MATCH($A39,2a_PRE_TRABAJO!$A$5:$A$112,0)),"")</f>
        <v/>
      </c>
      <c r="AC39" s="5">
        <f>IFERROR(INDEX(2a_PRE_TRABAJO!U$5:U$112,MATCH($A39,2a_PRE_TRABAJO!$A$5:$A$112,0)),"")</f>
        <v/>
      </c>
      <c r="AD39" s="5">
        <f>IFERROR(INDEX(2a_PRE_TRABAJO!V$5:V$112,MATCH($A39,2a_PRE_TRABAJO!$A$5:$A$112,0)),"")</f>
        <v/>
      </c>
      <c r="AE39" s="5">
        <f>IFERROR(INDEX(2a_PRE_TRABAJO!W$5:W$112,MATCH($A39,2a_PRE_TRABAJO!$A$5:$A$112,0)),"")</f>
        <v/>
      </c>
      <c r="AF39" s="5">
        <f>IFERROR(INDEX(2a_PRE_TRABAJO!X$5:X$112,MATCH($A39,2a_PRE_TRABAJO!$A$5:$A$112,0)),"")</f>
        <v/>
      </c>
      <c r="AG39" s="5">
        <f>IFERROR(INDEX(2a_PRE_TRABAJO!Y$5:Y$112,MATCH($A39,2a_PRE_TRABAJO!$A$5:$A$112,0)),"")</f>
        <v/>
      </c>
      <c r="AH39" s="5">
        <f>IFERROR(INDEX(2a_PRE_TRABAJO!Z$5:Z$112,MATCH($A39,2a_PRE_TRABAJO!$A$5:$A$112,0)),"")</f>
        <v/>
      </c>
      <c r="AI39" s="5">
        <f>IFERROR(INDEX(2a_PRE_TRABAJO!AA$5:AA$112,MATCH($A39,2a_PRE_TRABAJO!$A$5:$A$112,0)),"")</f>
        <v/>
      </c>
      <c r="AJ39" s="5">
        <f>IFERROR(INDEX(2a_PRE_TRABAJO!AB$5:AB$112,MATCH($A39,2a_PRE_TRABAJO!$A$5:$A$112,0)),"")</f>
        <v/>
      </c>
      <c r="AK39" s="5">
        <f>IFERROR(INDEX(2a_PRE_TRABAJO!AC$5:AC$112,MATCH($A39,2a_PRE_TRABAJO!$A$5:$A$112,0)),"")</f>
        <v/>
      </c>
    </row>
    <row r="40">
      <c r="A40" s="3" t="inlineStr">
        <is>
          <t>GU-TDH-042</t>
        </is>
      </c>
      <c r="B40" s="3" t="n">
        <v>1</v>
      </c>
      <c r="C40" s="5">
        <f>IFERROR(INDEX(2a_PRE_TRABAJO!B$5:B$112,MATCH($A40,2a_PRE_TRABAJO!$A$5:$A$112,0)),"")</f>
        <v/>
      </c>
      <c r="D40" s="5">
        <f>IFERROR(INDEX(2a_PRE_TRABAJO!C$5:C$112,MATCH($A40,2a_PRE_TRABAJO!$A$5:$A$112,0)),"")</f>
        <v/>
      </c>
      <c r="E40" s="5">
        <f>IFERROR(INDEX(2a_PRE_TRABAJO!D$5:D$112,MATCH($A40,2a_PRE_TRABAJO!$A$5:$A$112,0)),"")</f>
        <v/>
      </c>
      <c r="F40" s="5">
        <f>IFERROR(INDEX(2a_PRE_TRABAJO!E$5:E$112,MATCH($A40,2a_PRE_TRABAJO!$A$5:$A$112,0)),"")</f>
        <v/>
      </c>
      <c r="G40" s="5">
        <f>IFERROR(INDEX(2a_PRE_TRABAJO!F$5:F$112,MATCH($A40,2a_PRE_TRABAJO!$A$5:$A$112,0)),"")</f>
        <v/>
      </c>
      <c r="H40" s="5">
        <f>IFERROR(INDEX(2a_PRE_TRABAJO!G$5:G$112,MATCH($A40,2a_PRE_TRABAJO!$A$5:$A$112,0)),"")</f>
        <v/>
      </c>
      <c r="I40" s="5">
        <f>IFERROR(INDEX(2b_POST_TRABAJO!C$5:C$109,MATCH($A40,2b_POST_TRABAJO!$A$5:$A$109,0)),"")</f>
        <v/>
      </c>
      <c r="J40" s="5">
        <f>IFERROR(INDEX(2a_PRE_TRABAJO!AD$5:AD$112,MATCH($A40,2a_PRE_TRABAJO!$A$5:$A$112,0)),"")</f>
        <v/>
      </c>
      <c r="K40" s="5">
        <f>IFERROR(INDEX(2a_PRE_TRABAJO!AE$5:AE$112,MATCH($A40,2a_PRE_TRABAJO!$A$5:$A$112,0)),"")</f>
        <v/>
      </c>
      <c r="L40" s="5">
        <f>IFERROR(INDEX(2a_PRE_TRABAJO!AF$5:AF$112,MATCH($A40,2a_PRE_TRABAJO!$A$5:$A$112,0)),"")</f>
        <v/>
      </c>
      <c r="M40" s="5">
        <f>IFERROR(INDEX(2a_PRE_TRABAJO!AG$5:AG$112,MATCH($A40,2a_PRE_TRABAJO!$A$5:$A$112,0)),"")</f>
        <v/>
      </c>
      <c r="N40" s="5">
        <f>IFERROR(INDEX(2b_POST_TRABAJO!D$5:D$109,MATCH($A40,2b_POST_TRABAJO!$A$5:$A$109,0)),"")</f>
        <v/>
      </c>
      <c r="O40" s="5">
        <f>IF(OR(N40="",J40=""),"",N40-J40)</f>
        <v/>
      </c>
      <c r="P40" s="5">
        <f>IFERROR(INDEX(2a_PRE_TRABAJO!H$5:H$112,MATCH($A40,2a_PRE_TRABAJO!$A$5:$A$112,0)),"")</f>
        <v/>
      </c>
      <c r="Q40" s="5">
        <f>IFERROR(INDEX(2a_PRE_TRABAJO!I$5:I$112,MATCH($A40,2a_PRE_TRABAJO!$A$5:$A$112,0)),"")</f>
        <v/>
      </c>
      <c r="R40" s="5">
        <f>IFERROR(INDEX(2a_PRE_TRABAJO!J$5:J$112,MATCH($A40,2a_PRE_TRABAJO!$A$5:$A$112,0)),"")</f>
        <v/>
      </c>
      <c r="S40" s="5">
        <f>IFERROR(INDEX(2a_PRE_TRABAJO!K$5:K$112,MATCH($A40,2a_PRE_TRABAJO!$A$5:$A$112,0)),"")</f>
        <v/>
      </c>
      <c r="T40" s="5">
        <f>IFERROR(INDEX(2a_PRE_TRABAJO!L$5:L$112,MATCH($A40,2a_PRE_TRABAJO!$A$5:$A$112,0)),"")</f>
        <v/>
      </c>
      <c r="U40" s="5">
        <f>IFERROR(INDEX(2a_PRE_TRABAJO!M$5:M$112,MATCH($A40,2a_PRE_TRABAJO!$A$5:$A$112,0)),"")</f>
        <v/>
      </c>
      <c r="V40" s="5">
        <f>IFERROR(INDEX(2a_PRE_TRABAJO!N$5:N$112,MATCH($A40,2a_PRE_TRABAJO!$A$5:$A$112,0)),"")</f>
        <v/>
      </c>
      <c r="W40" s="5">
        <f>IFERROR(INDEX(2a_PRE_TRABAJO!O$5:O$112,MATCH($A40,2a_PRE_TRABAJO!$A$5:$A$112,0)),"")</f>
        <v/>
      </c>
      <c r="X40" s="5">
        <f>IFERROR(INDEX(2a_PRE_TRABAJO!P$5:P$112,MATCH($A40,2a_PRE_TRABAJO!$A$5:$A$112,0)),"")</f>
        <v/>
      </c>
      <c r="Y40" s="5">
        <f>IFERROR(INDEX(2a_PRE_TRABAJO!Q$5:Q$112,MATCH($A40,2a_PRE_TRABAJO!$A$5:$A$112,0)),"")</f>
        <v/>
      </c>
      <c r="Z40" s="5">
        <f>IFERROR(INDEX(2a_PRE_TRABAJO!R$5:R$112,MATCH($A40,2a_PRE_TRABAJO!$A$5:$A$112,0)),"")</f>
        <v/>
      </c>
      <c r="AA40" s="5">
        <f>IFERROR(INDEX(2a_PRE_TRABAJO!S$5:S$112,MATCH($A40,2a_PRE_TRABAJO!$A$5:$A$112,0)),"")</f>
        <v/>
      </c>
      <c r="AB40" s="5">
        <f>IFERROR(INDEX(2a_PRE_TRABAJO!T$5:T$112,MATCH($A40,2a_PRE_TRABAJO!$A$5:$A$112,0)),"")</f>
        <v/>
      </c>
      <c r="AC40" s="5">
        <f>IFERROR(INDEX(2a_PRE_TRABAJO!U$5:U$112,MATCH($A40,2a_PRE_TRABAJO!$A$5:$A$112,0)),"")</f>
        <v/>
      </c>
      <c r="AD40" s="5">
        <f>IFERROR(INDEX(2a_PRE_TRABAJO!V$5:V$112,MATCH($A40,2a_PRE_TRABAJO!$A$5:$A$112,0)),"")</f>
        <v/>
      </c>
      <c r="AE40" s="5">
        <f>IFERROR(INDEX(2a_PRE_TRABAJO!W$5:W$112,MATCH($A40,2a_PRE_TRABAJO!$A$5:$A$112,0)),"")</f>
        <v/>
      </c>
      <c r="AF40" s="5">
        <f>IFERROR(INDEX(2a_PRE_TRABAJO!X$5:X$112,MATCH($A40,2a_PRE_TRABAJO!$A$5:$A$112,0)),"")</f>
        <v/>
      </c>
      <c r="AG40" s="5">
        <f>IFERROR(INDEX(2a_PRE_TRABAJO!Y$5:Y$112,MATCH($A40,2a_PRE_TRABAJO!$A$5:$A$112,0)),"")</f>
        <v/>
      </c>
      <c r="AH40" s="5">
        <f>IFERROR(INDEX(2a_PRE_TRABAJO!Z$5:Z$112,MATCH($A40,2a_PRE_TRABAJO!$A$5:$A$112,0)),"")</f>
        <v/>
      </c>
      <c r="AI40" s="5">
        <f>IFERROR(INDEX(2a_PRE_TRABAJO!AA$5:AA$112,MATCH($A40,2a_PRE_TRABAJO!$A$5:$A$112,0)),"")</f>
        <v/>
      </c>
      <c r="AJ40" s="5">
        <f>IFERROR(INDEX(2a_PRE_TRABAJO!AB$5:AB$112,MATCH($A40,2a_PRE_TRABAJO!$A$5:$A$112,0)),"")</f>
        <v/>
      </c>
      <c r="AK40" s="5">
        <f>IFERROR(INDEX(2a_PRE_TRABAJO!AC$5:AC$112,MATCH($A40,2a_PRE_TRABAJO!$A$5:$A$112,0)),"")</f>
        <v/>
      </c>
    </row>
    <row r="41">
      <c r="A41" s="3" t="inlineStr">
        <is>
          <t>GU-TDH-043</t>
        </is>
      </c>
      <c r="B41" s="3" t="n">
        <v>1</v>
      </c>
      <c r="C41" s="5">
        <f>IFERROR(INDEX(2a_PRE_TRABAJO!B$5:B$112,MATCH($A41,2a_PRE_TRABAJO!$A$5:$A$112,0)),"")</f>
        <v/>
      </c>
      <c r="D41" s="5">
        <f>IFERROR(INDEX(2a_PRE_TRABAJO!C$5:C$112,MATCH($A41,2a_PRE_TRABAJO!$A$5:$A$112,0)),"")</f>
        <v/>
      </c>
      <c r="E41" s="5">
        <f>IFERROR(INDEX(2a_PRE_TRABAJO!D$5:D$112,MATCH($A41,2a_PRE_TRABAJO!$A$5:$A$112,0)),"")</f>
        <v/>
      </c>
      <c r="F41" s="5">
        <f>IFERROR(INDEX(2a_PRE_TRABAJO!E$5:E$112,MATCH($A41,2a_PRE_TRABAJO!$A$5:$A$112,0)),"")</f>
        <v/>
      </c>
      <c r="G41" s="5">
        <f>IFERROR(INDEX(2a_PRE_TRABAJO!F$5:F$112,MATCH($A41,2a_PRE_TRABAJO!$A$5:$A$112,0)),"")</f>
        <v/>
      </c>
      <c r="H41" s="5">
        <f>IFERROR(INDEX(2a_PRE_TRABAJO!G$5:G$112,MATCH($A41,2a_PRE_TRABAJO!$A$5:$A$112,0)),"")</f>
        <v/>
      </c>
      <c r="I41" s="5">
        <f>IFERROR(INDEX(2b_POST_TRABAJO!C$5:C$109,MATCH($A41,2b_POST_TRABAJO!$A$5:$A$109,0)),"")</f>
        <v/>
      </c>
      <c r="J41" s="5">
        <f>IFERROR(INDEX(2a_PRE_TRABAJO!AD$5:AD$112,MATCH($A41,2a_PRE_TRABAJO!$A$5:$A$112,0)),"")</f>
        <v/>
      </c>
      <c r="K41" s="5">
        <f>IFERROR(INDEX(2a_PRE_TRABAJO!AE$5:AE$112,MATCH($A41,2a_PRE_TRABAJO!$A$5:$A$112,0)),"")</f>
        <v/>
      </c>
      <c r="L41" s="5">
        <f>IFERROR(INDEX(2a_PRE_TRABAJO!AF$5:AF$112,MATCH($A41,2a_PRE_TRABAJO!$A$5:$A$112,0)),"")</f>
        <v/>
      </c>
      <c r="M41" s="5">
        <f>IFERROR(INDEX(2a_PRE_TRABAJO!AG$5:AG$112,MATCH($A41,2a_PRE_TRABAJO!$A$5:$A$112,0)),"")</f>
        <v/>
      </c>
      <c r="N41" s="5">
        <f>IFERROR(INDEX(2b_POST_TRABAJO!D$5:D$109,MATCH($A41,2b_POST_TRABAJO!$A$5:$A$109,0)),"")</f>
        <v/>
      </c>
      <c r="O41" s="5">
        <f>IF(OR(N41="",J41=""),"",N41-J41)</f>
        <v/>
      </c>
      <c r="P41" s="5">
        <f>IFERROR(INDEX(2a_PRE_TRABAJO!H$5:H$112,MATCH($A41,2a_PRE_TRABAJO!$A$5:$A$112,0)),"")</f>
        <v/>
      </c>
      <c r="Q41" s="5">
        <f>IFERROR(INDEX(2a_PRE_TRABAJO!I$5:I$112,MATCH($A41,2a_PRE_TRABAJO!$A$5:$A$112,0)),"")</f>
        <v/>
      </c>
      <c r="R41" s="5">
        <f>IFERROR(INDEX(2a_PRE_TRABAJO!J$5:J$112,MATCH($A41,2a_PRE_TRABAJO!$A$5:$A$112,0)),"")</f>
        <v/>
      </c>
      <c r="S41" s="5">
        <f>IFERROR(INDEX(2a_PRE_TRABAJO!K$5:K$112,MATCH($A41,2a_PRE_TRABAJO!$A$5:$A$112,0)),"")</f>
        <v/>
      </c>
      <c r="T41" s="5">
        <f>IFERROR(INDEX(2a_PRE_TRABAJO!L$5:L$112,MATCH($A41,2a_PRE_TRABAJO!$A$5:$A$112,0)),"")</f>
        <v/>
      </c>
      <c r="U41" s="5">
        <f>IFERROR(INDEX(2a_PRE_TRABAJO!M$5:M$112,MATCH($A41,2a_PRE_TRABAJO!$A$5:$A$112,0)),"")</f>
        <v/>
      </c>
      <c r="V41" s="5">
        <f>IFERROR(INDEX(2a_PRE_TRABAJO!N$5:N$112,MATCH($A41,2a_PRE_TRABAJO!$A$5:$A$112,0)),"")</f>
        <v/>
      </c>
      <c r="W41" s="5">
        <f>IFERROR(INDEX(2a_PRE_TRABAJO!O$5:O$112,MATCH($A41,2a_PRE_TRABAJO!$A$5:$A$112,0)),"")</f>
        <v/>
      </c>
      <c r="X41" s="5">
        <f>IFERROR(INDEX(2a_PRE_TRABAJO!P$5:P$112,MATCH($A41,2a_PRE_TRABAJO!$A$5:$A$112,0)),"")</f>
        <v/>
      </c>
      <c r="Y41" s="5">
        <f>IFERROR(INDEX(2a_PRE_TRABAJO!Q$5:Q$112,MATCH($A41,2a_PRE_TRABAJO!$A$5:$A$112,0)),"")</f>
        <v/>
      </c>
      <c r="Z41" s="5">
        <f>IFERROR(INDEX(2a_PRE_TRABAJO!R$5:R$112,MATCH($A41,2a_PRE_TRABAJO!$A$5:$A$112,0)),"")</f>
        <v/>
      </c>
      <c r="AA41" s="5">
        <f>IFERROR(INDEX(2a_PRE_TRABAJO!S$5:S$112,MATCH($A41,2a_PRE_TRABAJO!$A$5:$A$112,0)),"")</f>
        <v/>
      </c>
      <c r="AB41" s="5">
        <f>IFERROR(INDEX(2a_PRE_TRABAJO!T$5:T$112,MATCH($A41,2a_PRE_TRABAJO!$A$5:$A$112,0)),"")</f>
        <v/>
      </c>
      <c r="AC41" s="5">
        <f>IFERROR(INDEX(2a_PRE_TRABAJO!U$5:U$112,MATCH($A41,2a_PRE_TRABAJO!$A$5:$A$112,0)),"")</f>
        <v/>
      </c>
      <c r="AD41" s="5">
        <f>IFERROR(INDEX(2a_PRE_TRABAJO!V$5:V$112,MATCH($A41,2a_PRE_TRABAJO!$A$5:$A$112,0)),"")</f>
        <v/>
      </c>
      <c r="AE41" s="5">
        <f>IFERROR(INDEX(2a_PRE_TRABAJO!W$5:W$112,MATCH($A41,2a_PRE_TRABAJO!$A$5:$A$112,0)),"")</f>
        <v/>
      </c>
      <c r="AF41" s="5">
        <f>IFERROR(INDEX(2a_PRE_TRABAJO!X$5:X$112,MATCH($A41,2a_PRE_TRABAJO!$A$5:$A$112,0)),"")</f>
        <v/>
      </c>
      <c r="AG41" s="5">
        <f>IFERROR(INDEX(2a_PRE_TRABAJO!Y$5:Y$112,MATCH($A41,2a_PRE_TRABAJO!$A$5:$A$112,0)),"")</f>
        <v/>
      </c>
      <c r="AH41" s="5">
        <f>IFERROR(INDEX(2a_PRE_TRABAJO!Z$5:Z$112,MATCH($A41,2a_PRE_TRABAJO!$A$5:$A$112,0)),"")</f>
        <v/>
      </c>
      <c r="AI41" s="5">
        <f>IFERROR(INDEX(2a_PRE_TRABAJO!AA$5:AA$112,MATCH($A41,2a_PRE_TRABAJO!$A$5:$A$112,0)),"")</f>
        <v/>
      </c>
      <c r="AJ41" s="5">
        <f>IFERROR(INDEX(2a_PRE_TRABAJO!AB$5:AB$112,MATCH($A41,2a_PRE_TRABAJO!$A$5:$A$112,0)),"")</f>
        <v/>
      </c>
      <c r="AK41" s="5">
        <f>IFERROR(INDEX(2a_PRE_TRABAJO!AC$5:AC$112,MATCH($A41,2a_PRE_TRABAJO!$A$5:$A$112,0)),"")</f>
        <v/>
      </c>
    </row>
    <row r="42">
      <c r="A42" s="3" t="inlineStr">
        <is>
          <t>GU-TDH-045</t>
        </is>
      </c>
      <c r="B42" s="3" t="n">
        <v>1</v>
      </c>
      <c r="C42" s="5">
        <f>IFERROR(INDEX(2a_PRE_TRABAJO!B$5:B$112,MATCH($A42,2a_PRE_TRABAJO!$A$5:$A$112,0)),"")</f>
        <v/>
      </c>
      <c r="D42" s="5">
        <f>IFERROR(INDEX(2a_PRE_TRABAJO!C$5:C$112,MATCH($A42,2a_PRE_TRABAJO!$A$5:$A$112,0)),"")</f>
        <v/>
      </c>
      <c r="E42" s="5">
        <f>IFERROR(INDEX(2a_PRE_TRABAJO!D$5:D$112,MATCH($A42,2a_PRE_TRABAJO!$A$5:$A$112,0)),"")</f>
        <v/>
      </c>
      <c r="F42" s="5">
        <f>IFERROR(INDEX(2a_PRE_TRABAJO!E$5:E$112,MATCH($A42,2a_PRE_TRABAJO!$A$5:$A$112,0)),"")</f>
        <v/>
      </c>
      <c r="G42" s="5">
        <f>IFERROR(INDEX(2a_PRE_TRABAJO!F$5:F$112,MATCH($A42,2a_PRE_TRABAJO!$A$5:$A$112,0)),"")</f>
        <v/>
      </c>
      <c r="H42" s="5">
        <f>IFERROR(INDEX(2a_PRE_TRABAJO!G$5:G$112,MATCH($A42,2a_PRE_TRABAJO!$A$5:$A$112,0)),"")</f>
        <v/>
      </c>
      <c r="I42" s="5">
        <f>IFERROR(INDEX(2b_POST_TRABAJO!C$5:C$109,MATCH($A42,2b_POST_TRABAJO!$A$5:$A$109,0)),"")</f>
        <v/>
      </c>
      <c r="J42" s="5">
        <f>IFERROR(INDEX(2a_PRE_TRABAJO!AD$5:AD$112,MATCH($A42,2a_PRE_TRABAJO!$A$5:$A$112,0)),"")</f>
        <v/>
      </c>
      <c r="K42" s="5">
        <f>IFERROR(INDEX(2a_PRE_TRABAJO!AE$5:AE$112,MATCH($A42,2a_PRE_TRABAJO!$A$5:$A$112,0)),"")</f>
        <v/>
      </c>
      <c r="L42" s="5">
        <f>IFERROR(INDEX(2a_PRE_TRABAJO!AF$5:AF$112,MATCH($A42,2a_PRE_TRABAJO!$A$5:$A$112,0)),"")</f>
        <v/>
      </c>
      <c r="M42" s="5">
        <f>IFERROR(INDEX(2a_PRE_TRABAJO!AG$5:AG$112,MATCH($A42,2a_PRE_TRABAJO!$A$5:$A$112,0)),"")</f>
        <v/>
      </c>
      <c r="N42" s="5">
        <f>IFERROR(INDEX(2b_POST_TRABAJO!D$5:D$109,MATCH($A42,2b_POST_TRABAJO!$A$5:$A$109,0)),"")</f>
        <v/>
      </c>
      <c r="O42" s="5">
        <f>IF(OR(N42="",J42=""),"",N42-J42)</f>
        <v/>
      </c>
      <c r="P42" s="5">
        <f>IFERROR(INDEX(2a_PRE_TRABAJO!H$5:H$112,MATCH($A42,2a_PRE_TRABAJO!$A$5:$A$112,0)),"")</f>
        <v/>
      </c>
      <c r="Q42" s="5">
        <f>IFERROR(INDEX(2a_PRE_TRABAJO!I$5:I$112,MATCH($A42,2a_PRE_TRABAJO!$A$5:$A$112,0)),"")</f>
        <v/>
      </c>
      <c r="R42" s="5">
        <f>IFERROR(INDEX(2a_PRE_TRABAJO!J$5:J$112,MATCH($A42,2a_PRE_TRABAJO!$A$5:$A$112,0)),"")</f>
        <v/>
      </c>
      <c r="S42" s="5">
        <f>IFERROR(INDEX(2a_PRE_TRABAJO!K$5:K$112,MATCH($A42,2a_PRE_TRABAJO!$A$5:$A$112,0)),"")</f>
        <v/>
      </c>
      <c r="T42" s="5">
        <f>IFERROR(INDEX(2a_PRE_TRABAJO!L$5:L$112,MATCH($A42,2a_PRE_TRABAJO!$A$5:$A$112,0)),"")</f>
        <v/>
      </c>
      <c r="U42" s="5">
        <f>IFERROR(INDEX(2a_PRE_TRABAJO!M$5:M$112,MATCH($A42,2a_PRE_TRABAJO!$A$5:$A$112,0)),"")</f>
        <v/>
      </c>
      <c r="V42" s="5">
        <f>IFERROR(INDEX(2a_PRE_TRABAJO!N$5:N$112,MATCH($A42,2a_PRE_TRABAJO!$A$5:$A$112,0)),"")</f>
        <v/>
      </c>
      <c r="W42" s="5">
        <f>IFERROR(INDEX(2a_PRE_TRABAJO!O$5:O$112,MATCH($A42,2a_PRE_TRABAJO!$A$5:$A$112,0)),"")</f>
        <v/>
      </c>
      <c r="X42" s="5">
        <f>IFERROR(INDEX(2a_PRE_TRABAJO!P$5:P$112,MATCH($A42,2a_PRE_TRABAJO!$A$5:$A$112,0)),"")</f>
        <v/>
      </c>
      <c r="Y42" s="5">
        <f>IFERROR(INDEX(2a_PRE_TRABAJO!Q$5:Q$112,MATCH($A42,2a_PRE_TRABAJO!$A$5:$A$112,0)),"")</f>
        <v/>
      </c>
      <c r="Z42" s="5">
        <f>IFERROR(INDEX(2a_PRE_TRABAJO!R$5:R$112,MATCH($A42,2a_PRE_TRABAJO!$A$5:$A$112,0)),"")</f>
        <v/>
      </c>
      <c r="AA42" s="5">
        <f>IFERROR(INDEX(2a_PRE_TRABAJO!S$5:S$112,MATCH($A42,2a_PRE_TRABAJO!$A$5:$A$112,0)),"")</f>
        <v/>
      </c>
      <c r="AB42" s="5">
        <f>IFERROR(INDEX(2a_PRE_TRABAJO!T$5:T$112,MATCH($A42,2a_PRE_TRABAJO!$A$5:$A$112,0)),"")</f>
        <v/>
      </c>
      <c r="AC42" s="5">
        <f>IFERROR(INDEX(2a_PRE_TRABAJO!U$5:U$112,MATCH($A42,2a_PRE_TRABAJO!$A$5:$A$112,0)),"")</f>
        <v/>
      </c>
      <c r="AD42" s="5">
        <f>IFERROR(INDEX(2a_PRE_TRABAJO!V$5:V$112,MATCH($A42,2a_PRE_TRABAJO!$A$5:$A$112,0)),"")</f>
        <v/>
      </c>
      <c r="AE42" s="5">
        <f>IFERROR(INDEX(2a_PRE_TRABAJO!W$5:W$112,MATCH($A42,2a_PRE_TRABAJO!$A$5:$A$112,0)),"")</f>
        <v/>
      </c>
      <c r="AF42" s="5">
        <f>IFERROR(INDEX(2a_PRE_TRABAJO!X$5:X$112,MATCH($A42,2a_PRE_TRABAJO!$A$5:$A$112,0)),"")</f>
        <v/>
      </c>
      <c r="AG42" s="5">
        <f>IFERROR(INDEX(2a_PRE_TRABAJO!Y$5:Y$112,MATCH($A42,2a_PRE_TRABAJO!$A$5:$A$112,0)),"")</f>
        <v/>
      </c>
      <c r="AH42" s="5">
        <f>IFERROR(INDEX(2a_PRE_TRABAJO!Z$5:Z$112,MATCH($A42,2a_PRE_TRABAJO!$A$5:$A$112,0)),"")</f>
        <v/>
      </c>
      <c r="AI42" s="5">
        <f>IFERROR(INDEX(2a_PRE_TRABAJO!AA$5:AA$112,MATCH($A42,2a_PRE_TRABAJO!$A$5:$A$112,0)),"")</f>
        <v/>
      </c>
      <c r="AJ42" s="5">
        <f>IFERROR(INDEX(2a_PRE_TRABAJO!AB$5:AB$112,MATCH($A42,2a_PRE_TRABAJO!$A$5:$A$112,0)),"")</f>
        <v/>
      </c>
      <c r="AK42" s="5">
        <f>IFERROR(INDEX(2a_PRE_TRABAJO!AC$5:AC$112,MATCH($A42,2a_PRE_TRABAJO!$A$5:$A$112,0)),"")</f>
        <v/>
      </c>
    </row>
    <row r="43">
      <c r="A43" s="3" t="inlineStr">
        <is>
          <t>GU-TDH-047</t>
        </is>
      </c>
      <c r="B43" s="3" t="n">
        <v>1</v>
      </c>
      <c r="C43" s="5">
        <f>IFERROR(INDEX(2a_PRE_TRABAJO!B$5:B$112,MATCH($A43,2a_PRE_TRABAJO!$A$5:$A$112,0)),"")</f>
        <v/>
      </c>
      <c r="D43" s="5">
        <f>IFERROR(INDEX(2a_PRE_TRABAJO!C$5:C$112,MATCH($A43,2a_PRE_TRABAJO!$A$5:$A$112,0)),"")</f>
        <v/>
      </c>
      <c r="E43" s="5">
        <f>IFERROR(INDEX(2a_PRE_TRABAJO!D$5:D$112,MATCH($A43,2a_PRE_TRABAJO!$A$5:$A$112,0)),"")</f>
        <v/>
      </c>
      <c r="F43" s="5">
        <f>IFERROR(INDEX(2a_PRE_TRABAJO!E$5:E$112,MATCH($A43,2a_PRE_TRABAJO!$A$5:$A$112,0)),"")</f>
        <v/>
      </c>
      <c r="G43" s="5">
        <f>IFERROR(INDEX(2a_PRE_TRABAJO!F$5:F$112,MATCH($A43,2a_PRE_TRABAJO!$A$5:$A$112,0)),"")</f>
        <v/>
      </c>
      <c r="H43" s="5">
        <f>IFERROR(INDEX(2a_PRE_TRABAJO!G$5:G$112,MATCH($A43,2a_PRE_TRABAJO!$A$5:$A$112,0)),"")</f>
        <v/>
      </c>
      <c r="I43" s="5">
        <f>IFERROR(INDEX(2b_POST_TRABAJO!C$5:C$109,MATCH($A43,2b_POST_TRABAJO!$A$5:$A$109,0)),"")</f>
        <v/>
      </c>
      <c r="J43" s="5">
        <f>IFERROR(INDEX(2a_PRE_TRABAJO!AD$5:AD$112,MATCH($A43,2a_PRE_TRABAJO!$A$5:$A$112,0)),"")</f>
        <v/>
      </c>
      <c r="K43" s="5">
        <f>IFERROR(INDEX(2a_PRE_TRABAJO!AE$5:AE$112,MATCH($A43,2a_PRE_TRABAJO!$A$5:$A$112,0)),"")</f>
        <v/>
      </c>
      <c r="L43" s="5">
        <f>IFERROR(INDEX(2a_PRE_TRABAJO!AF$5:AF$112,MATCH($A43,2a_PRE_TRABAJO!$A$5:$A$112,0)),"")</f>
        <v/>
      </c>
      <c r="M43" s="5">
        <f>IFERROR(INDEX(2a_PRE_TRABAJO!AG$5:AG$112,MATCH($A43,2a_PRE_TRABAJO!$A$5:$A$112,0)),"")</f>
        <v/>
      </c>
      <c r="N43" s="5">
        <f>IFERROR(INDEX(2b_POST_TRABAJO!D$5:D$109,MATCH($A43,2b_POST_TRABAJO!$A$5:$A$109,0)),"")</f>
        <v/>
      </c>
      <c r="O43" s="5">
        <f>IF(OR(N43="",J43=""),"",N43-J43)</f>
        <v/>
      </c>
      <c r="P43" s="5">
        <f>IFERROR(INDEX(2a_PRE_TRABAJO!H$5:H$112,MATCH($A43,2a_PRE_TRABAJO!$A$5:$A$112,0)),"")</f>
        <v/>
      </c>
      <c r="Q43" s="5">
        <f>IFERROR(INDEX(2a_PRE_TRABAJO!I$5:I$112,MATCH($A43,2a_PRE_TRABAJO!$A$5:$A$112,0)),"")</f>
        <v/>
      </c>
      <c r="R43" s="5">
        <f>IFERROR(INDEX(2a_PRE_TRABAJO!J$5:J$112,MATCH($A43,2a_PRE_TRABAJO!$A$5:$A$112,0)),"")</f>
        <v/>
      </c>
      <c r="S43" s="5">
        <f>IFERROR(INDEX(2a_PRE_TRABAJO!K$5:K$112,MATCH($A43,2a_PRE_TRABAJO!$A$5:$A$112,0)),"")</f>
        <v/>
      </c>
      <c r="T43" s="5">
        <f>IFERROR(INDEX(2a_PRE_TRABAJO!L$5:L$112,MATCH($A43,2a_PRE_TRABAJO!$A$5:$A$112,0)),"")</f>
        <v/>
      </c>
      <c r="U43" s="5">
        <f>IFERROR(INDEX(2a_PRE_TRABAJO!M$5:M$112,MATCH($A43,2a_PRE_TRABAJO!$A$5:$A$112,0)),"")</f>
        <v/>
      </c>
      <c r="V43" s="5">
        <f>IFERROR(INDEX(2a_PRE_TRABAJO!N$5:N$112,MATCH($A43,2a_PRE_TRABAJO!$A$5:$A$112,0)),"")</f>
        <v/>
      </c>
      <c r="W43" s="5">
        <f>IFERROR(INDEX(2a_PRE_TRABAJO!O$5:O$112,MATCH($A43,2a_PRE_TRABAJO!$A$5:$A$112,0)),"")</f>
        <v/>
      </c>
      <c r="X43" s="5">
        <f>IFERROR(INDEX(2a_PRE_TRABAJO!P$5:P$112,MATCH($A43,2a_PRE_TRABAJO!$A$5:$A$112,0)),"")</f>
        <v/>
      </c>
      <c r="Y43" s="5">
        <f>IFERROR(INDEX(2a_PRE_TRABAJO!Q$5:Q$112,MATCH($A43,2a_PRE_TRABAJO!$A$5:$A$112,0)),"")</f>
        <v/>
      </c>
      <c r="Z43" s="5">
        <f>IFERROR(INDEX(2a_PRE_TRABAJO!R$5:R$112,MATCH($A43,2a_PRE_TRABAJO!$A$5:$A$112,0)),"")</f>
        <v/>
      </c>
      <c r="AA43" s="5">
        <f>IFERROR(INDEX(2a_PRE_TRABAJO!S$5:S$112,MATCH($A43,2a_PRE_TRABAJO!$A$5:$A$112,0)),"")</f>
        <v/>
      </c>
      <c r="AB43" s="5">
        <f>IFERROR(INDEX(2a_PRE_TRABAJO!T$5:T$112,MATCH($A43,2a_PRE_TRABAJO!$A$5:$A$112,0)),"")</f>
        <v/>
      </c>
      <c r="AC43" s="5">
        <f>IFERROR(INDEX(2a_PRE_TRABAJO!U$5:U$112,MATCH($A43,2a_PRE_TRABAJO!$A$5:$A$112,0)),"")</f>
        <v/>
      </c>
      <c r="AD43" s="5">
        <f>IFERROR(INDEX(2a_PRE_TRABAJO!V$5:V$112,MATCH($A43,2a_PRE_TRABAJO!$A$5:$A$112,0)),"")</f>
        <v/>
      </c>
      <c r="AE43" s="5">
        <f>IFERROR(INDEX(2a_PRE_TRABAJO!W$5:W$112,MATCH($A43,2a_PRE_TRABAJO!$A$5:$A$112,0)),"")</f>
        <v/>
      </c>
      <c r="AF43" s="5">
        <f>IFERROR(INDEX(2a_PRE_TRABAJO!X$5:X$112,MATCH($A43,2a_PRE_TRABAJO!$A$5:$A$112,0)),"")</f>
        <v/>
      </c>
      <c r="AG43" s="5">
        <f>IFERROR(INDEX(2a_PRE_TRABAJO!Y$5:Y$112,MATCH($A43,2a_PRE_TRABAJO!$A$5:$A$112,0)),"")</f>
        <v/>
      </c>
      <c r="AH43" s="5">
        <f>IFERROR(INDEX(2a_PRE_TRABAJO!Z$5:Z$112,MATCH($A43,2a_PRE_TRABAJO!$A$5:$A$112,0)),"")</f>
        <v/>
      </c>
      <c r="AI43" s="5">
        <f>IFERROR(INDEX(2a_PRE_TRABAJO!AA$5:AA$112,MATCH($A43,2a_PRE_TRABAJO!$A$5:$A$112,0)),"")</f>
        <v/>
      </c>
      <c r="AJ43" s="5">
        <f>IFERROR(INDEX(2a_PRE_TRABAJO!AB$5:AB$112,MATCH($A43,2a_PRE_TRABAJO!$A$5:$A$112,0)),"")</f>
        <v/>
      </c>
      <c r="AK43" s="5">
        <f>IFERROR(INDEX(2a_PRE_TRABAJO!AC$5:AC$112,MATCH($A43,2a_PRE_TRABAJO!$A$5:$A$112,0)),"")</f>
        <v/>
      </c>
    </row>
    <row r="44">
      <c r="A44" s="3" t="inlineStr">
        <is>
          <t>GU-TDH-048</t>
        </is>
      </c>
      <c r="B44" s="3" t="n">
        <v>1</v>
      </c>
      <c r="C44" s="5">
        <f>IFERROR(INDEX(2a_PRE_TRABAJO!B$5:B$112,MATCH($A44,2a_PRE_TRABAJO!$A$5:$A$112,0)),"")</f>
        <v/>
      </c>
      <c r="D44" s="5">
        <f>IFERROR(INDEX(2a_PRE_TRABAJO!C$5:C$112,MATCH($A44,2a_PRE_TRABAJO!$A$5:$A$112,0)),"")</f>
        <v/>
      </c>
      <c r="E44" s="5">
        <f>IFERROR(INDEX(2a_PRE_TRABAJO!D$5:D$112,MATCH($A44,2a_PRE_TRABAJO!$A$5:$A$112,0)),"")</f>
        <v/>
      </c>
      <c r="F44" s="5">
        <f>IFERROR(INDEX(2a_PRE_TRABAJO!E$5:E$112,MATCH($A44,2a_PRE_TRABAJO!$A$5:$A$112,0)),"")</f>
        <v/>
      </c>
      <c r="G44" s="5">
        <f>IFERROR(INDEX(2a_PRE_TRABAJO!F$5:F$112,MATCH($A44,2a_PRE_TRABAJO!$A$5:$A$112,0)),"")</f>
        <v/>
      </c>
      <c r="H44" s="5">
        <f>IFERROR(INDEX(2a_PRE_TRABAJO!G$5:G$112,MATCH($A44,2a_PRE_TRABAJO!$A$5:$A$112,0)),"")</f>
        <v/>
      </c>
      <c r="I44" s="5">
        <f>IFERROR(INDEX(2b_POST_TRABAJO!C$5:C$109,MATCH($A44,2b_POST_TRABAJO!$A$5:$A$109,0)),"")</f>
        <v/>
      </c>
      <c r="J44" s="5">
        <f>IFERROR(INDEX(2a_PRE_TRABAJO!AD$5:AD$112,MATCH($A44,2a_PRE_TRABAJO!$A$5:$A$112,0)),"")</f>
        <v/>
      </c>
      <c r="K44" s="5">
        <f>IFERROR(INDEX(2a_PRE_TRABAJO!AE$5:AE$112,MATCH($A44,2a_PRE_TRABAJO!$A$5:$A$112,0)),"")</f>
        <v/>
      </c>
      <c r="L44" s="5">
        <f>IFERROR(INDEX(2a_PRE_TRABAJO!AF$5:AF$112,MATCH($A44,2a_PRE_TRABAJO!$A$5:$A$112,0)),"")</f>
        <v/>
      </c>
      <c r="M44" s="5">
        <f>IFERROR(INDEX(2a_PRE_TRABAJO!AG$5:AG$112,MATCH($A44,2a_PRE_TRABAJO!$A$5:$A$112,0)),"")</f>
        <v/>
      </c>
      <c r="N44" s="5">
        <f>IFERROR(INDEX(2b_POST_TRABAJO!D$5:D$109,MATCH($A44,2b_POST_TRABAJO!$A$5:$A$109,0)),"")</f>
        <v/>
      </c>
      <c r="O44" s="5">
        <f>IF(OR(N44="",J44=""),"",N44-J44)</f>
        <v/>
      </c>
      <c r="P44" s="5">
        <f>IFERROR(INDEX(2a_PRE_TRABAJO!H$5:H$112,MATCH($A44,2a_PRE_TRABAJO!$A$5:$A$112,0)),"")</f>
        <v/>
      </c>
      <c r="Q44" s="5">
        <f>IFERROR(INDEX(2a_PRE_TRABAJO!I$5:I$112,MATCH($A44,2a_PRE_TRABAJO!$A$5:$A$112,0)),"")</f>
        <v/>
      </c>
      <c r="R44" s="5">
        <f>IFERROR(INDEX(2a_PRE_TRABAJO!J$5:J$112,MATCH($A44,2a_PRE_TRABAJO!$A$5:$A$112,0)),"")</f>
        <v/>
      </c>
      <c r="S44" s="5">
        <f>IFERROR(INDEX(2a_PRE_TRABAJO!K$5:K$112,MATCH($A44,2a_PRE_TRABAJO!$A$5:$A$112,0)),"")</f>
        <v/>
      </c>
      <c r="T44" s="5">
        <f>IFERROR(INDEX(2a_PRE_TRABAJO!L$5:L$112,MATCH($A44,2a_PRE_TRABAJO!$A$5:$A$112,0)),"")</f>
        <v/>
      </c>
      <c r="U44" s="5">
        <f>IFERROR(INDEX(2a_PRE_TRABAJO!M$5:M$112,MATCH($A44,2a_PRE_TRABAJO!$A$5:$A$112,0)),"")</f>
        <v/>
      </c>
      <c r="V44" s="5">
        <f>IFERROR(INDEX(2a_PRE_TRABAJO!N$5:N$112,MATCH($A44,2a_PRE_TRABAJO!$A$5:$A$112,0)),"")</f>
        <v/>
      </c>
      <c r="W44" s="5">
        <f>IFERROR(INDEX(2a_PRE_TRABAJO!O$5:O$112,MATCH($A44,2a_PRE_TRABAJO!$A$5:$A$112,0)),"")</f>
        <v/>
      </c>
      <c r="X44" s="5">
        <f>IFERROR(INDEX(2a_PRE_TRABAJO!P$5:P$112,MATCH($A44,2a_PRE_TRABAJO!$A$5:$A$112,0)),"")</f>
        <v/>
      </c>
      <c r="Y44" s="5">
        <f>IFERROR(INDEX(2a_PRE_TRABAJO!Q$5:Q$112,MATCH($A44,2a_PRE_TRABAJO!$A$5:$A$112,0)),"")</f>
        <v/>
      </c>
      <c r="Z44" s="5">
        <f>IFERROR(INDEX(2a_PRE_TRABAJO!R$5:R$112,MATCH($A44,2a_PRE_TRABAJO!$A$5:$A$112,0)),"")</f>
        <v/>
      </c>
      <c r="AA44" s="5">
        <f>IFERROR(INDEX(2a_PRE_TRABAJO!S$5:S$112,MATCH($A44,2a_PRE_TRABAJO!$A$5:$A$112,0)),"")</f>
        <v/>
      </c>
      <c r="AB44" s="5">
        <f>IFERROR(INDEX(2a_PRE_TRABAJO!T$5:T$112,MATCH($A44,2a_PRE_TRABAJO!$A$5:$A$112,0)),"")</f>
        <v/>
      </c>
      <c r="AC44" s="5">
        <f>IFERROR(INDEX(2a_PRE_TRABAJO!U$5:U$112,MATCH($A44,2a_PRE_TRABAJO!$A$5:$A$112,0)),"")</f>
        <v/>
      </c>
      <c r="AD44" s="5">
        <f>IFERROR(INDEX(2a_PRE_TRABAJO!V$5:V$112,MATCH($A44,2a_PRE_TRABAJO!$A$5:$A$112,0)),"")</f>
        <v/>
      </c>
      <c r="AE44" s="5">
        <f>IFERROR(INDEX(2a_PRE_TRABAJO!W$5:W$112,MATCH($A44,2a_PRE_TRABAJO!$A$5:$A$112,0)),"")</f>
        <v/>
      </c>
      <c r="AF44" s="5">
        <f>IFERROR(INDEX(2a_PRE_TRABAJO!X$5:X$112,MATCH($A44,2a_PRE_TRABAJO!$A$5:$A$112,0)),"")</f>
        <v/>
      </c>
      <c r="AG44" s="5">
        <f>IFERROR(INDEX(2a_PRE_TRABAJO!Y$5:Y$112,MATCH($A44,2a_PRE_TRABAJO!$A$5:$A$112,0)),"")</f>
        <v/>
      </c>
      <c r="AH44" s="5">
        <f>IFERROR(INDEX(2a_PRE_TRABAJO!Z$5:Z$112,MATCH($A44,2a_PRE_TRABAJO!$A$5:$A$112,0)),"")</f>
        <v/>
      </c>
      <c r="AI44" s="5">
        <f>IFERROR(INDEX(2a_PRE_TRABAJO!AA$5:AA$112,MATCH($A44,2a_PRE_TRABAJO!$A$5:$A$112,0)),"")</f>
        <v/>
      </c>
      <c r="AJ44" s="5">
        <f>IFERROR(INDEX(2a_PRE_TRABAJO!AB$5:AB$112,MATCH($A44,2a_PRE_TRABAJO!$A$5:$A$112,0)),"")</f>
        <v/>
      </c>
      <c r="AK44" s="5">
        <f>IFERROR(INDEX(2a_PRE_TRABAJO!AC$5:AC$112,MATCH($A44,2a_PRE_TRABAJO!$A$5:$A$112,0)),"")</f>
        <v/>
      </c>
    </row>
    <row r="45">
      <c r="A45" s="3" t="inlineStr">
        <is>
          <t>GU-TDH-049</t>
        </is>
      </c>
      <c r="B45" s="3" t="n">
        <v>1</v>
      </c>
      <c r="C45" s="5">
        <f>IFERROR(INDEX(2a_PRE_TRABAJO!B$5:B$112,MATCH($A45,2a_PRE_TRABAJO!$A$5:$A$112,0)),"")</f>
        <v/>
      </c>
      <c r="D45" s="5">
        <f>IFERROR(INDEX(2a_PRE_TRABAJO!C$5:C$112,MATCH($A45,2a_PRE_TRABAJO!$A$5:$A$112,0)),"")</f>
        <v/>
      </c>
      <c r="E45" s="5">
        <f>IFERROR(INDEX(2a_PRE_TRABAJO!D$5:D$112,MATCH($A45,2a_PRE_TRABAJO!$A$5:$A$112,0)),"")</f>
        <v/>
      </c>
      <c r="F45" s="5">
        <f>IFERROR(INDEX(2a_PRE_TRABAJO!E$5:E$112,MATCH($A45,2a_PRE_TRABAJO!$A$5:$A$112,0)),"")</f>
        <v/>
      </c>
      <c r="G45" s="5">
        <f>IFERROR(INDEX(2a_PRE_TRABAJO!F$5:F$112,MATCH($A45,2a_PRE_TRABAJO!$A$5:$A$112,0)),"")</f>
        <v/>
      </c>
      <c r="H45" s="5">
        <f>IFERROR(INDEX(2a_PRE_TRABAJO!G$5:G$112,MATCH($A45,2a_PRE_TRABAJO!$A$5:$A$112,0)),"")</f>
        <v/>
      </c>
      <c r="I45" s="5">
        <f>IFERROR(INDEX(2b_POST_TRABAJO!C$5:C$109,MATCH($A45,2b_POST_TRABAJO!$A$5:$A$109,0)),"")</f>
        <v/>
      </c>
      <c r="J45" s="5">
        <f>IFERROR(INDEX(2a_PRE_TRABAJO!AD$5:AD$112,MATCH($A45,2a_PRE_TRABAJO!$A$5:$A$112,0)),"")</f>
        <v/>
      </c>
      <c r="K45" s="5">
        <f>IFERROR(INDEX(2a_PRE_TRABAJO!AE$5:AE$112,MATCH($A45,2a_PRE_TRABAJO!$A$5:$A$112,0)),"")</f>
        <v/>
      </c>
      <c r="L45" s="5">
        <f>IFERROR(INDEX(2a_PRE_TRABAJO!AF$5:AF$112,MATCH($A45,2a_PRE_TRABAJO!$A$5:$A$112,0)),"")</f>
        <v/>
      </c>
      <c r="M45" s="5">
        <f>IFERROR(INDEX(2a_PRE_TRABAJO!AG$5:AG$112,MATCH($A45,2a_PRE_TRABAJO!$A$5:$A$112,0)),"")</f>
        <v/>
      </c>
      <c r="N45" s="5">
        <f>IFERROR(INDEX(2b_POST_TRABAJO!D$5:D$109,MATCH($A45,2b_POST_TRABAJO!$A$5:$A$109,0)),"")</f>
        <v/>
      </c>
      <c r="O45" s="5">
        <f>IF(OR(N45="",J45=""),"",N45-J45)</f>
        <v/>
      </c>
      <c r="P45" s="5">
        <f>IFERROR(INDEX(2a_PRE_TRABAJO!H$5:H$112,MATCH($A45,2a_PRE_TRABAJO!$A$5:$A$112,0)),"")</f>
        <v/>
      </c>
      <c r="Q45" s="5">
        <f>IFERROR(INDEX(2a_PRE_TRABAJO!I$5:I$112,MATCH($A45,2a_PRE_TRABAJO!$A$5:$A$112,0)),"")</f>
        <v/>
      </c>
      <c r="R45" s="5">
        <f>IFERROR(INDEX(2a_PRE_TRABAJO!J$5:J$112,MATCH($A45,2a_PRE_TRABAJO!$A$5:$A$112,0)),"")</f>
        <v/>
      </c>
      <c r="S45" s="5">
        <f>IFERROR(INDEX(2a_PRE_TRABAJO!K$5:K$112,MATCH($A45,2a_PRE_TRABAJO!$A$5:$A$112,0)),"")</f>
        <v/>
      </c>
      <c r="T45" s="5">
        <f>IFERROR(INDEX(2a_PRE_TRABAJO!L$5:L$112,MATCH($A45,2a_PRE_TRABAJO!$A$5:$A$112,0)),"")</f>
        <v/>
      </c>
      <c r="U45" s="5">
        <f>IFERROR(INDEX(2a_PRE_TRABAJO!M$5:M$112,MATCH($A45,2a_PRE_TRABAJO!$A$5:$A$112,0)),"")</f>
        <v/>
      </c>
      <c r="V45" s="5">
        <f>IFERROR(INDEX(2a_PRE_TRABAJO!N$5:N$112,MATCH($A45,2a_PRE_TRABAJO!$A$5:$A$112,0)),"")</f>
        <v/>
      </c>
      <c r="W45" s="5">
        <f>IFERROR(INDEX(2a_PRE_TRABAJO!O$5:O$112,MATCH($A45,2a_PRE_TRABAJO!$A$5:$A$112,0)),"")</f>
        <v/>
      </c>
      <c r="X45" s="5">
        <f>IFERROR(INDEX(2a_PRE_TRABAJO!P$5:P$112,MATCH($A45,2a_PRE_TRABAJO!$A$5:$A$112,0)),"")</f>
        <v/>
      </c>
      <c r="Y45" s="5">
        <f>IFERROR(INDEX(2a_PRE_TRABAJO!Q$5:Q$112,MATCH($A45,2a_PRE_TRABAJO!$A$5:$A$112,0)),"")</f>
        <v/>
      </c>
      <c r="Z45" s="5">
        <f>IFERROR(INDEX(2a_PRE_TRABAJO!R$5:R$112,MATCH($A45,2a_PRE_TRABAJO!$A$5:$A$112,0)),"")</f>
        <v/>
      </c>
      <c r="AA45" s="5">
        <f>IFERROR(INDEX(2a_PRE_TRABAJO!S$5:S$112,MATCH($A45,2a_PRE_TRABAJO!$A$5:$A$112,0)),"")</f>
        <v/>
      </c>
      <c r="AB45" s="5">
        <f>IFERROR(INDEX(2a_PRE_TRABAJO!T$5:T$112,MATCH($A45,2a_PRE_TRABAJO!$A$5:$A$112,0)),"")</f>
        <v/>
      </c>
      <c r="AC45" s="5">
        <f>IFERROR(INDEX(2a_PRE_TRABAJO!U$5:U$112,MATCH($A45,2a_PRE_TRABAJO!$A$5:$A$112,0)),"")</f>
        <v/>
      </c>
      <c r="AD45" s="5">
        <f>IFERROR(INDEX(2a_PRE_TRABAJO!V$5:V$112,MATCH($A45,2a_PRE_TRABAJO!$A$5:$A$112,0)),"")</f>
        <v/>
      </c>
      <c r="AE45" s="5">
        <f>IFERROR(INDEX(2a_PRE_TRABAJO!W$5:W$112,MATCH($A45,2a_PRE_TRABAJO!$A$5:$A$112,0)),"")</f>
        <v/>
      </c>
      <c r="AF45" s="5">
        <f>IFERROR(INDEX(2a_PRE_TRABAJO!X$5:X$112,MATCH($A45,2a_PRE_TRABAJO!$A$5:$A$112,0)),"")</f>
        <v/>
      </c>
      <c r="AG45" s="5">
        <f>IFERROR(INDEX(2a_PRE_TRABAJO!Y$5:Y$112,MATCH($A45,2a_PRE_TRABAJO!$A$5:$A$112,0)),"")</f>
        <v/>
      </c>
      <c r="AH45" s="5">
        <f>IFERROR(INDEX(2a_PRE_TRABAJO!Z$5:Z$112,MATCH($A45,2a_PRE_TRABAJO!$A$5:$A$112,0)),"")</f>
        <v/>
      </c>
      <c r="AI45" s="5">
        <f>IFERROR(INDEX(2a_PRE_TRABAJO!AA$5:AA$112,MATCH($A45,2a_PRE_TRABAJO!$A$5:$A$112,0)),"")</f>
        <v/>
      </c>
      <c r="AJ45" s="5">
        <f>IFERROR(INDEX(2a_PRE_TRABAJO!AB$5:AB$112,MATCH($A45,2a_PRE_TRABAJO!$A$5:$A$112,0)),"")</f>
        <v/>
      </c>
      <c r="AK45" s="5">
        <f>IFERROR(INDEX(2a_PRE_TRABAJO!AC$5:AC$112,MATCH($A45,2a_PRE_TRABAJO!$A$5:$A$112,0)),"")</f>
        <v/>
      </c>
    </row>
    <row r="46">
      <c r="A46" s="3" t="inlineStr">
        <is>
          <t>GU-TDH-050</t>
        </is>
      </c>
      <c r="B46" s="3" t="n">
        <v>1</v>
      </c>
      <c r="C46" s="5">
        <f>IFERROR(INDEX(2a_PRE_TRABAJO!B$5:B$112,MATCH($A46,2a_PRE_TRABAJO!$A$5:$A$112,0)),"")</f>
        <v/>
      </c>
      <c r="D46" s="5">
        <f>IFERROR(INDEX(2a_PRE_TRABAJO!C$5:C$112,MATCH($A46,2a_PRE_TRABAJO!$A$5:$A$112,0)),"")</f>
        <v/>
      </c>
      <c r="E46" s="5">
        <f>IFERROR(INDEX(2a_PRE_TRABAJO!D$5:D$112,MATCH($A46,2a_PRE_TRABAJO!$A$5:$A$112,0)),"")</f>
        <v/>
      </c>
      <c r="F46" s="5">
        <f>IFERROR(INDEX(2a_PRE_TRABAJO!E$5:E$112,MATCH($A46,2a_PRE_TRABAJO!$A$5:$A$112,0)),"")</f>
        <v/>
      </c>
      <c r="G46" s="5">
        <f>IFERROR(INDEX(2a_PRE_TRABAJO!F$5:F$112,MATCH($A46,2a_PRE_TRABAJO!$A$5:$A$112,0)),"")</f>
        <v/>
      </c>
      <c r="H46" s="5">
        <f>IFERROR(INDEX(2a_PRE_TRABAJO!G$5:G$112,MATCH($A46,2a_PRE_TRABAJO!$A$5:$A$112,0)),"")</f>
        <v/>
      </c>
      <c r="I46" s="5">
        <f>IFERROR(INDEX(2b_POST_TRABAJO!C$5:C$109,MATCH($A46,2b_POST_TRABAJO!$A$5:$A$109,0)),"")</f>
        <v/>
      </c>
      <c r="J46" s="5">
        <f>IFERROR(INDEX(2a_PRE_TRABAJO!AD$5:AD$112,MATCH($A46,2a_PRE_TRABAJO!$A$5:$A$112,0)),"")</f>
        <v/>
      </c>
      <c r="K46" s="5">
        <f>IFERROR(INDEX(2a_PRE_TRABAJO!AE$5:AE$112,MATCH($A46,2a_PRE_TRABAJO!$A$5:$A$112,0)),"")</f>
        <v/>
      </c>
      <c r="L46" s="5">
        <f>IFERROR(INDEX(2a_PRE_TRABAJO!AF$5:AF$112,MATCH($A46,2a_PRE_TRABAJO!$A$5:$A$112,0)),"")</f>
        <v/>
      </c>
      <c r="M46" s="5">
        <f>IFERROR(INDEX(2a_PRE_TRABAJO!AG$5:AG$112,MATCH($A46,2a_PRE_TRABAJO!$A$5:$A$112,0)),"")</f>
        <v/>
      </c>
      <c r="N46" s="5">
        <f>IFERROR(INDEX(2b_POST_TRABAJO!D$5:D$109,MATCH($A46,2b_POST_TRABAJO!$A$5:$A$109,0)),"")</f>
        <v/>
      </c>
      <c r="O46" s="5">
        <f>IF(OR(N46="",J46=""),"",N46-J46)</f>
        <v/>
      </c>
      <c r="P46" s="5">
        <f>IFERROR(INDEX(2a_PRE_TRABAJO!H$5:H$112,MATCH($A46,2a_PRE_TRABAJO!$A$5:$A$112,0)),"")</f>
        <v/>
      </c>
      <c r="Q46" s="5">
        <f>IFERROR(INDEX(2a_PRE_TRABAJO!I$5:I$112,MATCH($A46,2a_PRE_TRABAJO!$A$5:$A$112,0)),"")</f>
        <v/>
      </c>
      <c r="R46" s="5">
        <f>IFERROR(INDEX(2a_PRE_TRABAJO!J$5:J$112,MATCH($A46,2a_PRE_TRABAJO!$A$5:$A$112,0)),"")</f>
        <v/>
      </c>
      <c r="S46" s="5">
        <f>IFERROR(INDEX(2a_PRE_TRABAJO!K$5:K$112,MATCH($A46,2a_PRE_TRABAJO!$A$5:$A$112,0)),"")</f>
        <v/>
      </c>
      <c r="T46" s="5">
        <f>IFERROR(INDEX(2a_PRE_TRABAJO!L$5:L$112,MATCH($A46,2a_PRE_TRABAJO!$A$5:$A$112,0)),"")</f>
        <v/>
      </c>
      <c r="U46" s="5">
        <f>IFERROR(INDEX(2a_PRE_TRABAJO!M$5:M$112,MATCH($A46,2a_PRE_TRABAJO!$A$5:$A$112,0)),"")</f>
        <v/>
      </c>
      <c r="V46" s="5">
        <f>IFERROR(INDEX(2a_PRE_TRABAJO!N$5:N$112,MATCH($A46,2a_PRE_TRABAJO!$A$5:$A$112,0)),"")</f>
        <v/>
      </c>
      <c r="W46" s="5">
        <f>IFERROR(INDEX(2a_PRE_TRABAJO!O$5:O$112,MATCH($A46,2a_PRE_TRABAJO!$A$5:$A$112,0)),"")</f>
        <v/>
      </c>
      <c r="X46" s="5">
        <f>IFERROR(INDEX(2a_PRE_TRABAJO!P$5:P$112,MATCH($A46,2a_PRE_TRABAJO!$A$5:$A$112,0)),"")</f>
        <v/>
      </c>
      <c r="Y46" s="5">
        <f>IFERROR(INDEX(2a_PRE_TRABAJO!Q$5:Q$112,MATCH($A46,2a_PRE_TRABAJO!$A$5:$A$112,0)),"")</f>
        <v/>
      </c>
      <c r="Z46" s="5">
        <f>IFERROR(INDEX(2a_PRE_TRABAJO!R$5:R$112,MATCH($A46,2a_PRE_TRABAJO!$A$5:$A$112,0)),"")</f>
        <v/>
      </c>
      <c r="AA46" s="5">
        <f>IFERROR(INDEX(2a_PRE_TRABAJO!S$5:S$112,MATCH($A46,2a_PRE_TRABAJO!$A$5:$A$112,0)),"")</f>
        <v/>
      </c>
      <c r="AB46" s="5">
        <f>IFERROR(INDEX(2a_PRE_TRABAJO!T$5:T$112,MATCH($A46,2a_PRE_TRABAJO!$A$5:$A$112,0)),"")</f>
        <v/>
      </c>
      <c r="AC46" s="5">
        <f>IFERROR(INDEX(2a_PRE_TRABAJO!U$5:U$112,MATCH($A46,2a_PRE_TRABAJO!$A$5:$A$112,0)),"")</f>
        <v/>
      </c>
      <c r="AD46" s="5">
        <f>IFERROR(INDEX(2a_PRE_TRABAJO!V$5:V$112,MATCH($A46,2a_PRE_TRABAJO!$A$5:$A$112,0)),"")</f>
        <v/>
      </c>
      <c r="AE46" s="5">
        <f>IFERROR(INDEX(2a_PRE_TRABAJO!W$5:W$112,MATCH($A46,2a_PRE_TRABAJO!$A$5:$A$112,0)),"")</f>
        <v/>
      </c>
      <c r="AF46" s="5">
        <f>IFERROR(INDEX(2a_PRE_TRABAJO!X$5:X$112,MATCH($A46,2a_PRE_TRABAJO!$A$5:$A$112,0)),"")</f>
        <v/>
      </c>
      <c r="AG46" s="5">
        <f>IFERROR(INDEX(2a_PRE_TRABAJO!Y$5:Y$112,MATCH($A46,2a_PRE_TRABAJO!$A$5:$A$112,0)),"")</f>
        <v/>
      </c>
      <c r="AH46" s="5">
        <f>IFERROR(INDEX(2a_PRE_TRABAJO!Z$5:Z$112,MATCH($A46,2a_PRE_TRABAJO!$A$5:$A$112,0)),"")</f>
        <v/>
      </c>
      <c r="AI46" s="5">
        <f>IFERROR(INDEX(2a_PRE_TRABAJO!AA$5:AA$112,MATCH($A46,2a_PRE_TRABAJO!$A$5:$A$112,0)),"")</f>
        <v/>
      </c>
      <c r="AJ46" s="5">
        <f>IFERROR(INDEX(2a_PRE_TRABAJO!AB$5:AB$112,MATCH($A46,2a_PRE_TRABAJO!$A$5:$A$112,0)),"")</f>
        <v/>
      </c>
      <c r="AK46" s="5">
        <f>IFERROR(INDEX(2a_PRE_TRABAJO!AC$5:AC$112,MATCH($A46,2a_PRE_TRABAJO!$A$5:$A$112,0)),"")</f>
        <v/>
      </c>
    </row>
    <row r="47">
      <c r="A47" s="3" t="inlineStr">
        <is>
          <t>GU-TDH-051</t>
        </is>
      </c>
      <c r="B47" s="3" t="n">
        <v>1</v>
      </c>
      <c r="C47" s="5">
        <f>IFERROR(INDEX(2a_PRE_TRABAJO!B$5:B$112,MATCH($A47,2a_PRE_TRABAJO!$A$5:$A$112,0)),"")</f>
        <v/>
      </c>
      <c r="D47" s="5">
        <f>IFERROR(INDEX(2a_PRE_TRABAJO!C$5:C$112,MATCH($A47,2a_PRE_TRABAJO!$A$5:$A$112,0)),"")</f>
        <v/>
      </c>
      <c r="E47" s="5">
        <f>IFERROR(INDEX(2a_PRE_TRABAJO!D$5:D$112,MATCH($A47,2a_PRE_TRABAJO!$A$5:$A$112,0)),"")</f>
        <v/>
      </c>
      <c r="F47" s="5">
        <f>IFERROR(INDEX(2a_PRE_TRABAJO!E$5:E$112,MATCH($A47,2a_PRE_TRABAJO!$A$5:$A$112,0)),"")</f>
        <v/>
      </c>
      <c r="G47" s="5">
        <f>IFERROR(INDEX(2a_PRE_TRABAJO!F$5:F$112,MATCH($A47,2a_PRE_TRABAJO!$A$5:$A$112,0)),"")</f>
        <v/>
      </c>
      <c r="H47" s="5">
        <f>IFERROR(INDEX(2a_PRE_TRABAJO!G$5:G$112,MATCH($A47,2a_PRE_TRABAJO!$A$5:$A$112,0)),"")</f>
        <v/>
      </c>
      <c r="I47" s="5">
        <f>IFERROR(INDEX(2b_POST_TRABAJO!C$5:C$109,MATCH($A47,2b_POST_TRABAJO!$A$5:$A$109,0)),"")</f>
        <v/>
      </c>
      <c r="J47" s="5">
        <f>IFERROR(INDEX(2a_PRE_TRABAJO!AD$5:AD$112,MATCH($A47,2a_PRE_TRABAJO!$A$5:$A$112,0)),"")</f>
        <v/>
      </c>
      <c r="K47" s="5">
        <f>IFERROR(INDEX(2a_PRE_TRABAJO!AE$5:AE$112,MATCH($A47,2a_PRE_TRABAJO!$A$5:$A$112,0)),"")</f>
        <v/>
      </c>
      <c r="L47" s="5">
        <f>IFERROR(INDEX(2a_PRE_TRABAJO!AF$5:AF$112,MATCH($A47,2a_PRE_TRABAJO!$A$5:$A$112,0)),"")</f>
        <v/>
      </c>
      <c r="M47" s="5">
        <f>IFERROR(INDEX(2a_PRE_TRABAJO!AG$5:AG$112,MATCH($A47,2a_PRE_TRABAJO!$A$5:$A$112,0)),"")</f>
        <v/>
      </c>
      <c r="N47" s="5">
        <f>IFERROR(INDEX(2b_POST_TRABAJO!D$5:D$109,MATCH($A47,2b_POST_TRABAJO!$A$5:$A$109,0)),"")</f>
        <v/>
      </c>
      <c r="O47" s="5">
        <f>IF(OR(N47="",J47=""),"",N47-J47)</f>
        <v/>
      </c>
      <c r="P47" s="5">
        <f>IFERROR(INDEX(2a_PRE_TRABAJO!H$5:H$112,MATCH($A47,2a_PRE_TRABAJO!$A$5:$A$112,0)),"")</f>
        <v/>
      </c>
      <c r="Q47" s="5">
        <f>IFERROR(INDEX(2a_PRE_TRABAJO!I$5:I$112,MATCH($A47,2a_PRE_TRABAJO!$A$5:$A$112,0)),"")</f>
        <v/>
      </c>
      <c r="R47" s="5">
        <f>IFERROR(INDEX(2a_PRE_TRABAJO!J$5:J$112,MATCH($A47,2a_PRE_TRABAJO!$A$5:$A$112,0)),"")</f>
        <v/>
      </c>
      <c r="S47" s="5">
        <f>IFERROR(INDEX(2a_PRE_TRABAJO!K$5:K$112,MATCH($A47,2a_PRE_TRABAJO!$A$5:$A$112,0)),"")</f>
        <v/>
      </c>
      <c r="T47" s="5">
        <f>IFERROR(INDEX(2a_PRE_TRABAJO!L$5:L$112,MATCH($A47,2a_PRE_TRABAJO!$A$5:$A$112,0)),"")</f>
        <v/>
      </c>
      <c r="U47" s="5">
        <f>IFERROR(INDEX(2a_PRE_TRABAJO!M$5:M$112,MATCH($A47,2a_PRE_TRABAJO!$A$5:$A$112,0)),"")</f>
        <v/>
      </c>
      <c r="V47" s="5">
        <f>IFERROR(INDEX(2a_PRE_TRABAJO!N$5:N$112,MATCH($A47,2a_PRE_TRABAJO!$A$5:$A$112,0)),"")</f>
        <v/>
      </c>
      <c r="W47" s="5">
        <f>IFERROR(INDEX(2a_PRE_TRABAJO!O$5:O$112,MATCH($A47,2a_PRE_TRABAJO!$A$5:$A$112,0)),"")</f>
        <v/>
      </c>
      <c r="X47" s="5">
        <f>IFERROR(INDEX(2a_PRE_TRABAJO!P$5:P$112,MATCH($A47,2a_PRE_TRABAJO!$A$5:$A$112,0)),"")</f>
        <v/>
      </c>
      <c r="Y47" s="5">
        <f>IFERROR(INDEX(2a_PRE_TRABAJO!Q$5:Q$112,MATCH($A47,2a_PRE_TRABAJO!$A$5:$A$112,0)),"")</f>
        <v/>
      </c>
      <c r="Z47" s="5">
        <f>IFERROR(INDEX(2a_PRE_TRABAJO!R$5:R$112,MATCH($A47,2a_PRE_TRABAJO!$A$5:$A$112,0)),"")</f>
        <v/>
      </c>
      <c r="AA47" s="5">
        <f>IFERROR(INDEX(2a_PRE_TRABAJO!S$5:S$112,MATCH($A47,2a_PRE_TRABAJO!$A$5:$A$112,0)),"")</f>
        <v/>
      </c>
      <c r="AB47" s="5">
        <f>IFERROR(INDEX(2a_PRE_TRABAJO!T$5:T$112,MATCH($A47,2a_PRE_TRABAJO!$A$5:$A$112,0)),"")</f>
        <v/>
      </c>
      <c r="AC47" s="5">
        <f>IFERROR(INDEX(2a_PRE_TRABAJO!U$5:U$112,MATCH($A47,2a_PRE_TRABAJO!$A$5:$A$112,0)),"")</f>
        <v/>
      </c>
      <c r="AD47" s="5">
        <f>IFERROR(INDEX(2a_PRE_TRABAJO!V$5:V$112,MATCH($A47,2a_PRE_TRABAJO!$A$5:$A$112,0)),"")</f>
        <v/>
      </c>
      <c r="AE47" s="5">
        <f>IFERROR(INDEX(2a_PRE_TRABAJO!W$5:W$112,MATCH($A47,2a_PRE_TRABAJO!$A$5:$A$112,0)),"")</f>
        <v/>
      </c>
      <c r="AF47" s="5">
        <f>IFERROR(INDEX(2a_PRE_TRABAJO!X$5:X$112,MATCH($A47,2a_PRE_TRABAJO!$A$5:$A$112,0)),"")</f>
        <v/>
      </c>
      <c r="AG47" s="5">
        <f>IFERROR(INDEX(2a_PRE_TRABAJO!Y$5:Y$112,MATCH($A47,2a_PRE_TRABAJO!$A$5:$A$112,0)),"")</f>
        <v/>
      </c>
      <c r="AH47" s="5">
        <f>IFERROR(INDEX(2a_PRE_TRABAJO!Z$5:Z$112,MATCH($A47,2a_PRE_TRABAJO!$A$5:$A$112,0)),"")</f>
        <v/>
      </c>
      <c r="AI47" s="5">
        <f>IFERROR(INDEX(2a_PRE_TRABAJO!AA$5:AA$112,MATCH($A47,2a_PRE_TRABAJO!$A$5:$A$112,0)),"")</f>
        <v/>
      </c>
      <c r="AJ47" s="5">
        <f>IFERROR(INDEX(2a_PRE_TRABAJO!AB$5:AB$112,MATCH($A47,2a_PRE_TRABAJO!$A$5:$A$112,0)),"")</f>
        <v/>
      </c>
      <c r="AK47" s="5">
        <f>IFERROR(INDEX(2a_PRE_TRABAJO!AC$5:AC$112,MATCH($A47,2a_PRE_TRABAJO!$A$5:$A$112,0)),"")</f>
        <v/>
      </c>
    </row>
    <row r="48">
      <c r="A48" s="3" t="inlineStr">
        <is>
          <t>GU-TDH-052</t>
        </is>
      </c>
      <c r="B48" s="3" t="n">
        <v>1</v>
      </c>
      <c r="C48" s="5">
        <f>IFERROR(INDEX(2a_PRE_TRABAJO!B$5:B$112,MATCH($A48,2a_PRE_TRABAJO!$A$5:$A$112,0)),"")</f>
        <v/>
      </c>
      <c r="D48" s="5">
        <f>IFERROR(INDEX(2a_PRE_TRABAJO!C$5:C$112,MATCH($A48,2a_PRE_TRABAJO!$A$5:$A$112,0)),"")</f>
        <v/>
      </c>
      <c r="E48" s="5">
        <f>IFERROR(INDEX(2a_PRE_TRABAJO!D$5:D$112,MATCH($A48,2a_PRE_TRABAJO!$A$5:$A$112,0)),"")</f>
        <v/>
      </c>
      <c r="F48" s="5">
        <f>IFERROR(INDEX(2a_PRE_TRABAJO!E$5:E$112,MATCH($A48,2a_PRE_TRABAJO!$A$5:$A$112,0)),"")</f>
        <v/>
      </c>
      <c r="G48" s="5">
        <f>IFERROR(INDEX(2a_PRE_TRABAJO!F$5:F$112,MATCH($A48,2a_PRE_TRABAJO!$A$5:$A$112,0)),"")</f>
        <v/>
      </c>
      <c r="H48" s="5">
        <f>IFERROR(INDEX(2a_PRE_TRABAJO!G$5:G$112,MATCH($A48,2a_PRE_TRABAJO!$A$5:$A$112,0)),"")</f>
        <v/>
      </c>
      <c r="I48" s="5">
        <f>IFERROR(INDEX(2b_POST_TRABAJO!C$5:C$109,MATCH($A48,2b_POST_TRABAJO!$A$5:$A$109,0)),"")</f>
        <v/>
      </c>
      <c r="J48" s="5">
        <f>IFERROR(INDEX(2a_PRE_TRABAJO!AD$5:AD$112,MATCH($A48,2a_PRE_TRABAJO!$A$5:$A$112,0)),"")</f>
        <v/>
      </c>
      <c r="K48" s="5">
        <f>IFERROR(INDEX(2a_PRE_TRABAJO!AE$5:AE$112,MATCH($A48,2a_PRE_TRABAJO!$A$5:$A$112,0)),"")</f>
        <v/>
      </c>
      <c r="L48" s="5">
        <f>IFERROR(INDEX(2a_PRE_TRABAJO!AF$5:AF$112,MATCH($A48,2a_PRE_TRABAJO!$A$5:$A$112,0)),"")</f>
        <v/>
      </c>
      <c r="M48" s="5">
        <f>IFERROR(INDEX(2a_PRE_TRABAJO!AG$5:AG$112,MATCH($A48,2a_PRE_TRABAJO!$A$5:$A$112,0)),"")</f>
        <v/>
      </c>
      <c r="N48" s="5">
        <f>IFERROR(INDEX(2b_POST_TRABAJO!D$5:D$109,MATCH($A48,2b_POST_TRABAJO!$A$5:$A$109,0)),"")</f>
        <v/>
      </c>
      <c r="O48" s="5">
        <f>IF(OR(N48="",J48=""),"",N48-J48)</f>
        <v/>
      </c>
      <c r="P48" s="5">
        <f>IFERROR(INDEX(2a_PRE_TRABAJO!H$5:H$112,MATCH($A48,2a_PRE_TRABAJO!$A$5:$A$112,0)),"")</f>
        <v/>
      </c>
      <c r="Q48" s="5">
        <f>IFERROR(INDEX(2a_PRE_TRABAJO!I$5:I$112,MATCH($A48,2a_PRE_TRABAJO!$A$5:$A$112,0)),"")</f>
        <v/>
      </c>
      <c r="R48" s="5">
        <f>IFERROR(INDEX(2a_PRE_TRABAJO!J$5:J$112,MATCH($A48,2a_PRE_TRABAJO!$A$5:$A$112,0)),"")</f>
        <v/>
      </c>
      <c r="S48" s="5">
        <f>IFERROR(INDEX(2a_PRE_TRABAJO!K$5:K$112,MATCH($A48,2a_PRE_TRABAJO!$A$5:$A$112,0)),"")</f>
        <v/>
      </c>
      <c r="T48" s="5">
        <f>IFERROR(INDEX(2a_PRE_TRABAJO!L$5:L$112,MATCH($A48,2a_PRE_TRABAJO!$A$5:$A$112,0)),"")</f>
        <v/>
      </c>
      <c r="U48" s="5">
        <f>IFERROR(INDEX(2a_PRE_TRABAJO!M$5:M$112,MATCH($A48,2a_PRE_TRABAJO!$A$5:$A$112,0)),"")</f>
        <v/>
      </c>
      <c r="V48" s="5">
        <f>IFERROR(INDEX(2a_PRE_TRABAJO!N$5:N$112,MATCH($A48,2a_PRE_TRABAJO!$A$5:$A$112,0)),"")</f>
        <v/>
      </c>
      <c r="W48" s="5">
        <f>IFERROR(INDEX(2a_PRE_TRABAJO!O$5:O$112,MATCH($A48,2a_PRE_TRABAJO!$A$5:$A$112,0)),"")</f>
        <v/>
      </c>
      <c r="X48" s="5">
        <f>IFERROR(INDEX(2a_PRE_TRABAJO!P$5:P$112,MATCH($A48,2a_PRE_TRABAJO!$A$5:$A$112,0)),"")</f>
        <v/>
      </c>
      <c r="Y48" s="5">
        <f>IFERROR(INDEX(2a_PRE_TRABAJO!Q$5:Q$112,MATCH($A48,2a_PRE_TRABAJO!$A$5:$A$112,0)),"")</f>
        <v/>
      </c>
      <c r="Z48" s="5">
        <f>IFERROR(INDEX(2a_PRE_TRABAJO!R$5:R$112,MATCH($A48,2a_PRE_TRABAJO!$A$5:$A$112,0)),"")</f>
        <v/>
      </c>
      <c r="AA48" s="5">
        <f>IFERROR(INDEX(2a_PRE_TRABAJO!S$5:S$112,MATCH($A48,2a_PRE_TRABAJO!$A$5:$A$112,0)),"")</f>
        <v/>
      </c>
      <c r="AB48" s="5">
        <f>IFERROR(INDEX(2a_PRE_TRABAJO!T$5:T$112,MATCH($A48,2a_PRE_TRABAJO!$A$5:$A$112,0)),"")</f>
        <v/>
      </c>
      <c r="AC48" s="5">
        <f>IFERROR(INDEX(2a_PRE_TRABAJO!U$5:U$112,MATCH($A48,2a_PRE_TRABAJO!$A$5:$A$112,0)),"")</f>
        <v/>
      </c>
      <c r="AD48" s="5">
        <f>IFERROR(INDEX(2a_PRE_TRABAJO!V$5:V$112,MATCH($A48,2a_PRE_TRABAJO!$A$5:$A$112,0)),"")</f>
        <v/>
      </c>
      <c r="AE48" s="5">
        <f>IFERROR(INDEX(2a_PRE_TRABAJO!W$5:W$112,MATCH($A48,2a_PRE_TRABAJO!$A$5:$A$112,0)),"")</f>
        <v/>
      </c>
      <c r="AF48" s="5">
        <f>IFERROR(INDEX(2a_PRE_TRABAJO!X$5:X$112,MATCH($A48,2a_PRE_TRABAJO!$A$5:$A$112,0)),"")</f>
        <v/>
      </c>
      <c r="AG48" s="5">
        <f>IFERROR(INDEX(2a_PRE_TRABAJO!Y$5:Y$112,MATCH($A48,2a_PRE_TRABAJO!$A$5:$A$112,0)),"")</f>
        <v/>
      </c>
      <c r="AH48" s="5">
        <f>IFERROR(INDEX(2a_PRE_TRABAJO!Z$5:Z$112,MATCH($A48,2a_PRE_TRABAJO!$A$5:$A$112,0)),"")</f>
        <v/>
      </c>
      <c r="AI48" s="5">
        <f>IFERROR(INDEX(2a_PRE_TRABAJO!AA$5:AA$112,MATCH($A48,2a_PRE_TRABAJO!$A$5:$A$112,0)),"")</f>
        <v/>
      </c>
      <c r="AJ48" s="5">
        <f>IFERROR(INDEX(2a_PRE_TRABAJO!AB$5:AB$112,MATCH($A48,2a_PRE_TRABAJO!$A$5:$A$112,0)),"")</f>
        <v/>
      </c>
      <c r="AK48" s="5">
        <f>IFERROR(INDEX(2a_PRE_TRABAJO!AC$5:AC$112,MATCH($A48,2a_PRE_TRABAJO!$A$5:$A$112,0)),"")</f>
        <v/>
      </c>
    </row>
    <row r="49">
      <c r="A49" s="3" t="inlineStr">
        <is>
          <t>GU-TDH-053</t>
        </is>
      </c>
      <c r="B49" s="3" t="n">
        <v>0</v>
      </c>
      <c r="C49" s="5">
        <f>IFERROR(INDEX(2a_PRE_TRABAJO!B$5:B$112,MATCH($A49,2a_PRE_TRABAJO!$A$5:$A$112,0)),"")</f>
        <v/>
      </c>
      <c r="D49" s="5">
        <f>IFERROR(INDEX(2a_PRE_TRABAJO!C$5:C$112,MATCH($A49,2a_PRE_TRABAJO!$A$5:$A$112,0)),"")</f>
        <v/>
      </c>
      <c r="E49" s="5">
        <f>IFERROR(INDEX(2a_PRE_TRABAJO!D$5:D$112,MATCH($A49,2a_PRE_TRABAJO!$A$5:$A$112,0)),"")</f>
        <v/>
      </c>
      <c r="F49" s="5">
        <f>IFERROR(INDEX(2a_PRE_TRABAJO!E$5:E$112,MATCH($A49,2a_PRE_TRABAJO!$A$5:$A$112,0)),"")</f>
        <v/>
      </c>
      <c r="G49" s="5">
        <f>IFERROR(INDEX(2a_PRE_TRABAJO!F$5:F$112,MATCH($A49,2a_PRE_TRABAJO!$A$5:$A$112,0)),"")</f>
        <v/>
      </c>
      <c r="H49" s="5">
        <f>IFERROR(INDEX(2a_PRE_TRABAJO!G$5:G$112,MATCH($A49,2a_PRE_TRABAJO!$A$5:$A$112,0)),"")</f>
        <v/>
      </c>
      <c r="I49" s="5">
        <f>IFERROR(INDEX(2b_POST_TRABAJO!C$5:C$109,MATCH($A49,2b_POST_TRABAJO!$A$5:$A$109,0)),"")</f>
        <v/>
      </c>
      <c r="J49" s="5">
        <f>IFERROR(INDEX(2a_PRE_TRABAJO!AD$5:AD$112,MATCH($A49,2a_PRE_TRABAJO!$A$5:$A$112,0)),"")</f>
        <v/>
      </c>
      <c r="K49" s="5">
        <f>IFERROR(INDEX(2a_PRE_TRABAJO!AE$5:AE$112,MATCH($A49,2a_PRE_TRABAJO!$A$5:$A$112,0)),"")</f>
        <v/>
      </c>
      <c r="L49" s="5">
        <f>IFERROR(INDEX(2a_PRE_TRABAJO!AF$5:AF$112,MATCH($A49,2a_PRE_TRABAJO!$A$5:$A$112,0)),"")</f>
        <v/>
      </c>
      <c r="M49" s="5">
        <f>IFERROR(INDEX(2a_PRE_TRABAJO!AG$5:AG$112,MATCH($A49,2a_PRE_TRABAJO!$A$5:$A$112,0)),"")</f>
        <v/>
      </c>
      <c r="N49" s="5">
        <f>IFERROR(INDEX(2b_POST_TRABAJO!D$5:D$109,MATCH($A49,2b_POST_TRABAJO!$A$5:$A$109,0)),"")</f>
        <v/>
      </c>
      <c r="O49" s="5">
        <f>IF(OR(N49="",J49=""),"",N49-J49)</f>
        <v/>
      </c>
      <c r="P49" s="5">
        <f>IFERROR(INDEX(2a_PRE_TRABAJO!H$5:H$112,MATCH($A49,2a_PRE_TRABAJO!$A$5:$A$112,0)),"")</f>
        <v/>
      </c>
      <c r="Q49" s="5">
        <f>IFERROR(INDEX(2a_PRE_TRABAJO!I$5:I$112,MATCH($A49,2a_PRE_TRABAJO!$A$5:$A$112,0)),"")</f>
        <v/>
      </c>
      <c r="R49" s="5">
        <f>IFERROR(INDEX(2a_PRE_TRABAJO!J$5:J$112,MATCH($A49,2a_PRE_TRABAJO!$A$5:$A$112,0)),"")</f>
        <v/>
      </c>
      <c r="S49" s="5">
        <f>IFERROR(INDEX(2a_PRE_TRABAJO!K$5:K$112,MATCH($A49,2a_PRE_TRABAJO!$A$5:$A$112,0)),"")</f>
        <v/>
      </c>
      <c r="T49" s="5">
        <f>IFERROR(INDEX(2a_PRE_TRABAJO!L$5:L$112,MATCH($A49,2a_PRE_TRABAJO!$A$5:$A$112,0)),"")</f>
        <v/>
      </c>
      <c r="U49" s="5">
        <f>IFERROR(INDEX(2a_PRE_TRABAJO!M$5:M$112,MATCH($A49,2a_PRE_TRABAJO!$A$5:$A$112,0)),"")</f>
        <v/>
      </c>
      <c r="V49" s="5">
        <f>IFERROR(INDEX(2a_PRE_TRABAJO!N$5:N$112,MATCH($A49,2a_PRE_TRABAJO!$A$5:$A$112,0)),"")</f>
        <v/>
      </c>
      <c r="W49" s="5">
        <f>IFERROR(INDEX(2a_PRE_TRABAJO!O$5:O$112,MATCH($A49,2a_PRE_TRABAJO!$A$5:$A$112,0)),"")</f>
        <v/>
      </c>
      <c r="X49" s="5">
        <f>IFERROR(INDEX(2a_PRE_TRABAJO!P$5:P$112,MATCH($A49,2a_PRE_TRABAJO!$A$5:$A$112,0)),"")</f>
        <v/>
      </c>
      <c r="Y49" s="5">
        <f>IFERROR(INDEX(2a_PRE_TRABAJO!Q$5:Q$112,MATCH($A49,2a_PRE_TRABAJO!$A$5:$A$112,0)),"")</f>
        <v/>
      </c>
      <c r="Z49" s="5">
        <f>IFERROR(INDEX(2a_PRE_TRABAJO!R$5:R$112,MATCH($A49,2a_PRE_TRABAJO!$A$5:$A$112,0)),"")</f>
        <v/>
      </c>
      <c r="AA49" s="5">
        <f>IFERROR(INDEX(2a_PRE_TRABAJO!S$5:S$112,MATCH($A49,2a_PRE_TRABAJO!$A$5:$A$112,0)),"")</f>
        <v/>
      </c>
      <c r="AB49" s="5">
        <f>IFERROR(INDEX(2a_PRE_TRABAJO!T$5:T$112,MATCH($A49,2a_PRE_TRABAJO!$A$5:$A$112,0)),"")</f>
        <v/>
      </c>
      <c r="AC49" s="5">
        <f>IFERROR(INDEX(2a_PRE_TRABAJO!U$5:U$112,MATCH($A49,2a_PRE_TRABAJO!$A$5:$A$112,0)),"")</f>
        <v/>
      </c>
      <c r="AD49" s="5">
        <f>IFERROR(INDEX(2a_PRE_TRABAJO!V$5:V$112,MATCH($A49,2a_PRE_TRABAJO!$A$5:$A$112,0)),"")</f>
        <v/>
      </c>
      <c r="AE49" s="5">
        <f>IFERROR(INDEX(2a_PRE_TRABAJO!W$5:W$112,MATCH($A49,2a_PRE_TRABAJO!$A$5:$A$112,0)),"")</f>
        <v/>
      </c>
      <c r="AF49" s="5">
        <f>IFERROR(INDEX(2a_PRE_TRABAJO!X$5:X$112,MATCH($A49,2a_PRE_TRABAJO!$A$5:$A$112,0)),"")</f>
        <v/>
      </c>
      <c r="AG49" s="5">
        <f>IFERROR(INDEX(2a_PRE_TRABAJO!Y$5:Y$112,MATCH($A49,2a_PRE_TRABAJO!$A$5:$A$112,0)),"")</f>
        <v/>
      </c>
      <c r="AH49" s="5">
        <f>IFERROR(INDEX(2a_PRE_TRABAJO!Z$5:Z$112,MATCH($A49,2a_PRE_TRABAJO!$A$5:$A$112,0)),"")</f>
        <v/>
      </c>
      <c r="AI49" s="5">
        <f>IFERROR(INDEX(2a_PRE_TRABAJO!AA$5:AA$112,MATCH($A49,2a_PRE_TRABAJO!$A$5:$A$112,0)),"")</f>
        <v/>
      </c>
      <c r="AJ49" s="5">
        <f>IFERROR(INDEX(2a_PRE_TRABAJO!AB$5:AB$112,MATCH($A49,2a_PRE_TRABAJO!$A$5:$A$112,0)),"")</f>
        <v/>
      </c>
      <c r="AK49" s="5">
        <f>IFERROR(INDEX(2a_PRE_TRABAJO!AC$5:AC$112,MATCH($A49,2a_PRE_TRABAJO!$A$5:$A$112,0)),"")</f>
        <v/>
      </c>
    </row>
    <row r="50">
      <c r="A50" s="3" t="inlineStr">
        <is>
          <t>GU-TDH-054</t>
        </is>
      </c>
      <c r="B50" s="3" t="n">
        <v>1</v>
      </c>
      <c r="C50" s="5">
        <f>IFERROR(INDEX(2a_PRE_TRABAJO!B$5:B$112,MATCH($A50,2a_PRE_TRABAJO!$A$5:$A$112,0)),"")</f>
        <v/>
      </c>
      <c r="D50" s="5">
        <f>IFERROR(INDEX(2a_PRE_TRABAJO!C$5:C$112,MATCH($A50,2a_PRE_TRABAJO!$A$5:$A$112,0)),"")</f>
        <v/>
      </c>
      <c r="E50" s="5">
        <f>IFERROR(INDEX(2a_PRE_TRABAJO!D$5:D$112,MATCH($A50,2a_PRE_TRABAJO!$A$5:$A$112,0)),"")</f>
        <v/>
      </c>
      <c r="F50" s="5">
        <f>IFERROR(INDEX(2a_PRE_TRABAJO!E$5:E$112,MATCH($A50,2a_PRE_TRABAJO!$A$5:$A$112,0)),"")</f>
        <v/>
      </c>
      <c r="G50" s="5">
        <f>IFERROR(INDEX(2a_PRE_TRABAJO!F$5:F$112,MATCH($A50,2a_PRE_TRABAJO!$A$5:$A$112,0)),"")</f>
        <v/>
      </c>
      <c r="H50" s="5">
        <f>IFERROR(INDEX(2a_PRE_TRABAJO!G$5:G$112,MATCH($A50,2a_PRE_TRABAJO!$A$5:$A$112,0)),"")</f>
        <v/>
      </c>
      <c r="I50" s="5">
        <f>IFERROR(INDEX(2b_POST_TRABAJO!C$5:C$109,MATCH($A50,2b_POST_TRABAJO!$A$5:$A$109,0)),"")</f>
        <v/>
      </c>
      <c r="J50" s="5">
        <f>IFERROR(INDEX(2a_PRE_TRABAJO!AD$5:AD$112,MATCH($A50,2a_PRE_TRABAJO!$A$5:$A$112,0)),"")</f>
        <v/>
      </c>
      <c r="K50" s="5">
        <f>IFERROR(INDEX(2a_PRE_TRABAJO!AE$5:AE$112,MATCH($A50,2a_PRE_TRABAJO!$A$5:$A$112,0)),"")</f>
        <v/>
      </c>
      <c r="L50" s="5">
        <f>IFERROR(INDEX(2a_PRE_TRABAJO!AF$5:AF$112,MATCH($A50,2a_PRE_TRABAJO!$A$5:$A$112,0)),"")</f>
        <v/>
      </c>
      <c r="M50" s="5">
        <f>IFERROR(INDEX(2a_PRE_TRABAJO!AG$5:AG$112,MATCH($A50,2a_PRE_TRABAJO!$A$5:$A$112,0)),"")</f>
        <v/>
      </c>
      <c r="N50" s="5">
        <f>IFERROR(INDEX(2b_POST_TRABAJO!D$5:D$109,MATCH($A50,2b_POST_TRABAJO!$A$5:$A$109,0)),"")</f>
        <v/>
      </c>
      <c r="O50" s="5">
        <f>IF(OR(N50="",J50=""),"",N50-J50)</f>
        <v/>
      </c>
      <c r="P50" s="5">
        <f>IFERROR(INDEX(2a_PRE_TRABAJO!H$5:H$112,MATCH($A50,2a_PRE_TRABAJO!$A$5:$A$112,0)),"")</f>
        <v/>
      </c>
      <c r="Q50" s="5">
        <f>IFERROR(INDEX(2a_PRE_TRABAJO!I$5:I$112,MATCH($A50,2a_PRE_TRABAJO!$A$5:$A$112,0)),"")</f>
        <v/>
      </c>
      <c r="R50" s="5">
        <f>IFERROR(INDEX(2a_PRE_TRABAJO!J$5:J$112,MATCH($A50,2a_PRE_TRABAJO!$A$5:$A$112,0)),"")</f>
        <v/>
      </c>
      <c r="S50" s="5">
        <f>IFERROR(INDEX(2a_PRE_TRABAJO!K$5:K$112,MATCH($A50,2a_PRE_TRABAJO!$A$5:$A$112,0)),"")</f>
        <v/>
      </c>
      <c r="T50" s="5">
        <f>IFERROR(INDEX(2a_PRE_TRABAJO!L$5:L$112,MATCH($A50,2a_PRE_TRABAJO!$A$5:$A$112,0)),"")</f>
        <v/>
      </c>
      <c r="U50" s="5">
        <f>IFERROR(INDEX(2a_PRE_TRABAJO!M$5:M$112,MATCH($A50,2a_PRE_TRABAJO!$A$5:$A$112,0)),"")</f>
        <v/>
      </c>
      <c r="V50" s="5">
        <f>IFERROR(INDEX(2a_PRE_TRABAJO!N$5:N$112,MATCH($A50,2a_PRE_TRABAJO!$A$5:$A$112,0)),"")</f>
        <v/>
      </c>
      <c r="W50" s="5">
        <f>IFERROR(INDEX(2a_PRE_TRABAJO!O$5:O$112,MATCH($A50,2a_PRE_TRABAJO!$A$5:$A$112,0)),"")</f>
        <v/>
      </c>
      <c r="X50" s="5">
        <f>IFERROR(INDEX(2a_PRE_TRABAJO!P$5:P$112,MATCH($A50,2a_PRE_TRABAJO!$A$5:$A$112,0)),"")</f>
        <v/>
      </c>
      <c r="Y50" s="5">
        <f>IFERROR(INDEX(2a_PRE_TRABAJO!Q$5:Q$112,MATCH($A50,2a_PRE_TRABAJO!$A$5:$A$112,0)),"")</f>
        <v/>
      </c>
      <c r="Z50" s="5">
        <f>IFERROR(INDEX(2a_PRE_TRABAJO!R$5:R$112,MATCH($A50,2a_PRE_TRABAJO!$A$5:$A$112,0)),"")</f>
        <v/>
      </c>
      <c r="AA50" s="5">
        <f>IFERROR(INDEX(2a_PRE_TRABAJO!S$5:S$112,MATCH($A50,2a_PRE_TRABAJO!$A$5:$A$112,0)),"")</f>
        <v/>
      </c>
      <c r="AB50" s="5">
        <f>IFERROR(INDEX(2a_PRE_TRABAJO!T$5:T$112,MATCH($A50,2a_PRE_TRABAJO!$A$5:$A$112,0)),"")</f>
        <v/>
      </c>
      <c r="AC50" s="5">
        <f>IFERROR(INDEX(2a_PRE_TRABAJO!U$5:U$112,MATCH($A50,2a_PRE_TRABAJO!$A$5:$A$112,0)),"")</f>
        <v/>
      </c>
      <c r="AD50" s="5">
        <f>IFERROR(INDEX(2a_PRE_TRABAJO!V$5:V$112,MATCH($A50,2a_PRE_TRABAJO!$A$5:$A$112,0)),"")</f>
        <v/>
      </c>
      <c r="AE50" s="5">
        <f>IFERROR(INDEX(2a_PRE_TRABAJO!W$5:W$112,MATCH($A50,2a_PRE_TRABAJO!$A$5:$A$112,0)),"")</f>
        <v/>
      </c>
      <c r="AF50" s="5">
        <f>IFERROR(INDEX(2a_PRE_TRABAJO!X$5:X$112,MATCH($A50,2a_PRE_TRABAJO!$A$5:$A$112,0)),"")</f>
        <v/>
      </c>
      <c r="AG50" s="5">
        <f>IFERROR(INDEX(2a_PRE_TRABAJO!Y$5:Y$112,MATCH($A50,2a_PRE_TRABAJO!$A$5:$A$112,0)),"")</f>
        <v/>
      </c>
      <c r="AH50" s="5">
        <f>IFERROR(INDEX(2a_PRE_TRABAJO!Z$5:Z$112,MATCH($A50,2a_PRE_TRABAJO!$A$5:$A$112,0)),"")</f>
        <v/>
      </c>
      <c r="AI50" s="5">
        <f>IFERROR(INDEX(2a_PRE_TRABAJO!AA$5:AA$112,MATCH($A50,2a_PRE_TRABAJO!$A$5:$A$112,0)),"")</f>
        <v/>
      </c>
      <c r="AJ50" s="5">
        <f>IFERROR(INDEX(2a_PRE_TRABAJO!AB$5:AB$112,MATCH($A50,2a_PRE_TRABAJO!$A$5:$A$112,0)),"")</f>
        <v/>
      </c>
      <c r="AK50" s="5">
        <f>IFERROR(INDEX(2a_PRE_TRABAJO!AC$5:AC$112,MATCH($A50,2a_PRE_TRABAJO!$A$5:$A$112,0)),"")</f>
        <v/>
      </c>
    </row>
    <row r="51">
      <c r="A51" s="3" t="inlineStr">
        <is>
          <t>GU-TDH-056</t>
        </is>
      </c>
      <c r="B51" s="3" t="n">
        <v>1</v>
      </c>
      <c r="C51" s="5">
        <f>IFERROR(INDEX(2a_PRE_TRABAJO!B$5:B$112,MATCH($A51,2a_PRE_TRABAJO!$A$5:$A$112,0)),"")</f>
        <v/>
      </c>
      <c r="D51" s="5">
        <f>IFERROR(INDEX(2a_PRE_TRABAJO!C$5:C$112,MATCH($A51,2a_PRE_TRABAJO!$A$5:$A$112,0)),"")</f>
        <v/>
      </c>
      <c r="E51" s="5">
        <f>IFERROR(INDEX(2a_PRE_TRABAJO!D$5:D$112,MATCH($A51,2a_PRE_TRABAJO!$A$5:$A$112,0)),"")</f>
        <v/>
      </c>
      <c r="F51" s="5">
        <f>IFERROR(INDEX(2a_PRE_TRABAJO!E$5:E$112,MATCH($A51,2a_PRE_TRABAJO!$A$5:$A$112,0)),"")</f>
        <v/>
      </c>
      <c r="G51" s="5">
        <f>IFERROR(INDEX(2a_PRE_TRABAJO!F$5:F$112,MATCH($A51,2a_PRE_TRABAJO!$A$5:$A$112,0)),"")</f>
        <v/>
      </c>
      <c r="H51" s="5">
        <f>IFERROR(INDEX(2a_PRE_TRABAJO!G$5:G$112,MATCH($A51,2a_PRE_TRABAJO!$A$5:$A$112,0)),"")</f>
        <v/>
      </c>
      <c r="I51" s="5">
        <f>IFERROR(INDEX(2b_POST_TRABAJO!C$5:C$109,MATCH($A51,2b_POST_TRABAJO!$A$5:$A$109,0)),"")</f>
        <v/>
      </c>
      <c r="J51" s="5">
        <f>IFERROR(INDEX(2a_PRE_TRABAJO!AD$5:AD$112,MATCH($A51,2a_PRE_TRABAJO!$A$5:$A$112,0)),"")</f>
        <v/>
      </c>
      <c r="K51" s="5">
        <f>IFERROR(INDEX(2a_PRE_TRABAJO!AE$5:AE$112,MATCH($A51,2a_PRE_TRABAJO!$A$5:$A$112,0)),"")</f>
        <v/>
      </c>
      <c r="L51" s="5">
        <f>IFERROR(INDEX(2a_PRE_TRABAJO!AF$5:AF$112,MATCH($A51,2a_PRE_TRABAJO!$A$5:$A$112,0)),"")</f>
        <v/>
      </c>
      <c r="M51" s="5">
        <f>IFERROR(INDEX(2a_PRE_TRABAJO!AG$5:AG$112,MATCH($A51,2a_PRE_TRABAJO!$A$5:$A$112,0)),"")</f>
        <v/>
      </c>
      <c r="N51" s="5">
        <f>IFERROR(INDEX(2b_POST_TRABAJO!D$5:D$109,MATCH($A51,2b_POST_TRABAJO!$A$5:$A$109,0)),"")</f>
        <v/>
      </c>
      <c r="O51" s="5">
        <f>IF(OR(N51="",J51=""),"",N51-J51)</f>
        <v/>
      </c>
      <c r="P51" s="5">
        <f>IFERROR(INDEX(2a_PRE_TRABAJO!H$5:H$112,MATCH($A51,2a_PRE_TRABAJO!$A$5:$A$112,0)),"")</f>
        <v/>
      </c>
      <c r="Q51" s="5">
        <f>IFERROR(INDEX(2a_PRE_TRABAJO!I$5:I$112,MATCH($A51,2a_PRE_TRABAJO!$A$5:$A$112,0)),"")</f>
        <v/>
      </c>
      <c r="R51" s="5">
        <f>IFERROR(INDEX(2a_PRE_TRABAJO!J$5:J$112,MATCH($A51,2a_PRE_TRABAJO!$A$5:$A$112,0)),"")</f>
        <v/>
      </c>
      <c r="S51" s="5">
        <f>IFERROR(INDEX(2a_PRE_TRABAJO!K$5:K$112,MATCH($A51,2a_PRE_TRABAJO!$A$5:$A$112,0)),"")</f>
        <v/>
      </c>
      <c r="T51" s="5">
        <f>IFERROR(INDEX(2a_PRE_TRABAJO!L$5:L$112,MATCH($A51,2a_PRE_TRABAJO!$A$5:$A$112,0)),"")</f>
        <v/>
      </c>
      <c r="U51" s="5">
        <f>IFERROR(INDEX(2a_PRE_TRABAJO!M$5:M$112,MATCH($A51,2a_PRE_TRABAJO!$A$5:$A$112,0)),"")</f>
        <v/>
      </c>
      <c r="V51" s="5">
        <f>IFERROR(INDEX(2a_PRE_TRABAJO!N$5:N$112,MATCH($A51,2a_PRE_TRABAJO!$A$5:$A$112,0)),"")</f>
        <v/>
      </c>
      <c r="W51" s="5">
        <f>IFERROR(INDEX(2a_PRE_TRABAJO!O$5:O$112,MATCH($A51,2a_PRE_TRABAJO!$A$5:$A$112,0)),"")</f>
        <v/>
      </c>
      <c r="X51" s="5">
        <f>IFERROR(INDEX(2a_PRE_TRABAJO!P$5:P$112,MATCH($A51,2a_PRE_TRABAJO!$A$5:$A$112,0)),"")</f>
        <v/>
      </c>
      <c r="Y51" s="5">
        <f>IFERROR(INDEX(2a_PRE_TRABAJO!Q$5:Q$112,MATCH($A51,2a_PRE_TRABAJO!$A$5:$A$112,0)),"")</f>
        <v/>
      </c>
      <c r="Z51" s="5">
        <f>IFERROR(INDEX(2a_PRE_TRABAJO!R$5:R$112,MATCH($A51,2a_PRE_TRABAJO!$A$5:$A$112,0)),"")</f>
        <v/>
      </c>
      <c r="AA51" s="5">
        <f>IFERROR(INDEX(2a_PRE_TRABAJO!S$5:S$112,MATCH($A51,2a_PRE_TRABAJO!$A$5:$A$112,0)),"")</f>
        <v/>
      </c>
      <c r="AB51" s="5">
        <f>IFERROR(INDEX(2a_PRE_TRABAJO!T$5:T$112,MATCH($A51,2a_PRE_TRABAJO!$A$5:$A$112,0)),"")</f>
        <v/>
      </c>
      <c r="AC51" s="5">
        <f>IFERROR(INDEX(2a_PRE_TRABAJO!U$5:U$112,MATCH($A51,2a_PRE_TRABAJO!$A$5:$A$112,0)),"")</f>
        <v/>
      </c>
      <c r="AD51" s="5">
        <f>IFERROR(INDEX(2a_PRE_TRABAJO!V$5:V$112,MATCH($A51,2a_PRE_TRABAJO!$A$5:$A$112,0)),"")</f>
        <v/>
      </c>
      <c r="AE51" s="5">
        <f>IFERROR(INDEX(2a_PRE_TRABAJO!W$5:W$112,MATCH($A51,2a_PRE_TRABAJO!$A$5:$A$112,0)),"")</f>
        <v/>
      </c>
      <c r="AF51" s="5">
        <f>IFERROR(INDEX(2a_PRE_TRABAJO!X$5:X$112,MATCH($A51,2a_PRE_TRABAJO!$A$5:$A$112,0)),"")</f>
        <v/>
      </c>
      <c r="AG51" s="5">
        <f>IFERROR(INDEX(2a_PRE_TRABAJO!Y$5:Y$112,MATCH($A51,2a_PRE_TRABAJO!$A$5:$A$112,0)),"")</f>
        <v/>
      </c>
      <c r="AH51" s="5">
        <f>IFERROR(INDEX(2a_PRE_TRABAJO!Z$5:Z$112,MATCH($A51,2a_PRE_TRABAJO!$A$5:$A$112,0)),"")</f>
        <v/>
      </c>
      <c r="AI51" s="5">
        <f>IFERROR(INDEX(2a_PRE_TRABAJO!AA$5:AA$112,MATCH($A51,2a_PRE_TRABAJO!$A$5:$A$112,0)),"")</f>
        <v/>
      </c>
      <c r="AJ51" s="5">
        <f>IFERROR(INDEX(2a_PRE_TRABAJO!AB$5:AB$112,MATCH($A51,2a_PRE_TRABAJO!$A$5:$A$112,0)),"")</f>
        <v/>
      </c>
      <c r="AK51" s="5">
        <f>IFERROR(INDEX(2a_PRE_TRABAJO!AC$5:AC$112,MATCH($A51,2a_PRE_TRABAJO!$A$5:$A$112,0)),"")</f>
        <v/>
      </c>
    </row>
    <row r="52">
      <c r="A52" s="3" t="inlineStr">
        <is>
          <t>GU-TDH-057</t>
        </is>
      </c>
      <c r="B52" s="3" t="n">
        <v>1</v>
      </c>
      <c r="C52" s="5">
        <f>IFERROR(INDEX(2a_PRE_TRABAJO!B$5:B$112,MATCH($A52,2a_PRE_TRABAJO!$A$5:$A$112,0)),"")</f>
        <v/>
      </c>
      <c r="D52" s="5">
        <f>IFERROR(INDEX(2a_PRE_TRABAJO!C$5:C$112,MATCH($A52,2a_PRE_TRABAJO!$A$5:$A$112,0)),"")</f>
        <v/>
      </c>
      <c r="E52" s="5">
        <f>IFERROR(INDEX(2a_PRE_TRABAJO!D$5:D$112,MATCH($A52,2a_PRE_TRABAJO!$A$5:$A$112,0)),"")</f>
        <v/>
      </c>
      <c r="F52" s="5">
        <f>IFERROR(INDEX(2a_PRE_TRABAJO!E$5:E$112,MATCH($A52,2a_PRE_TRABAJO!$A$5:$A$112,0)),"")</f>
        <v/>
      </c>
      <c r="G52" s="5">
        <f>IFERROR(INDEX(2a_PRE_TRABAJO!F$5:F$112,MATCH($A52,2a_PRE_TRABAJO!$A$5:$A$112,0)),"")</f>
        <v/>
      </c>
      <c r="H52" s="5">
        <f>IFERROR(INDEX(2a_PRE_TRABAJO!G$5:G$112,MATCH($A52,2a_PRE_TRABAJO!$A$5:$A$112,0)),"")</f>
        <v/>
      </c>
      <c r="I52" s="5">
        <f>IFERROR(INDEX(2b_POST_TRABAJO!C$5:C$109,MATCH($A52,2b_POST_TRABAJO!$A$5:$A$109,0)),"")</f>
        <v/>
      </c>
      <c r="J52" s="5">
        <f>IFERROR(INDEX(2a_PRE_TRABAJO!AD$5:AD$112,MATCH($A52,2a_PRE_TRABAJO!$A$5:$A$112,0)),"")</f>
        <v/>
      </c>
      <c r="K52" s="5">
        <f>IFERROR(INDEX(2a_PRE_TRABAJO!AE$5:AE$112,MATCH($A52,2a_PRE_TRABAJO!$A$5:$A$112,0)),"")</f>
        <v/>
      </c>
      <c r="L52" s="5">
        <f>IFERROR(INDEX(2a_PRE_TRABAJO!AF$5:AF$112,MATCH($A52,2a_PRE_TRABAJO!$A$5:$A$112,0)),"")</f>
        <v/>
      </c>
      <c r="M52" s="5">
        <f>IFERROR(INDEX(2a_PRE_TRABAJO!AG$5:AG$112,MATCH($A52,2a_PRE_TRABAJO!$A$5:$A$112,0)),"")</f>
        <v/>
      </c>
      <c r="N52" s="5">
        <f>IFERROR(INDEX(2b_POST_TRABAJO!D$5:D$109,MATCH($A52,2b_POST_TRABAJO!$A$5:$A$109,0)),"")</f>
        <v/>
      </c>
      <c r="O52" s="5">
        <f>IF(OR(N52="",J52=""),"",N52-J52)</f>
        <v/>
      </c>
      <c r="P52" s="5">
        <f>IFERROR(INDEX(2a_PRE_TRABAJO!H$5:H$112,MATCH($A52,2a_PRE_TRABAJO!$A$5:$A$112,0)),"")</f>
        <v/>
      </c>
      <c r="Q52" s="5">
        <f>IFERROR(INDEX(2a_PRE_TRABAJO!I$5:I$112,MATCH($A52,2a_PRE_TRABAJO!$A$5:$A$112,0)),"")</f>
        <v/>
      </c>
      <c r="R52" s="5">
        <f>IFERROR(INDEX(2a_PRE_TRABAJO!J$5:J$112,MATCH($A52,2a_PRE_TRABAJO!$A$5:$A$112,0)),"")</f>
        <v/>
      </c>
      <c r="S52" s="5">
        <f>IFERROR(INDEX(2a_PRE_TRABAJO!K$5:K$112,MATCH($A52,2a_PRE_TRABAJO!$A$5:$A$112,0)),"")</f>
        <v/>
      </c>
      <c r="T52" s="5">
        <f>IFERROR(INDEX(2a_PRE_TRABAJO!L$5:L$112,MATCH($A52,2a_PRE_TRABAJO!$A$5:$A$112,0)),"")</f>
        <v/>
      </c>
      <c r="U52" s="5">
        <f>IFERROR(INDEX(2a_PRE_TRABAJO!M$5:M$112,MATCH($A52,2a_PRE_TRABAJO!$A$5:$A$112,0)),"")</f>
        <v/>
      </c>
      <c r="V52" s="5">
        <f>IFERROR(INDEX(2a_PRE_TRABAJO!N$5:N$112,MATCH($A52,2a_PRE_TRABAJO!$A$5:$A$112,0)),"")</f>
        <v/>
      </c>
      <c r="W52" s="5">
        <f>IFERROR(INDEX(2a_PRE_TRABAJO!O$5:O$112,MATCH($A52,2a_PRE_TRABAJO!$A$5:$A$112,0)),"")</f>
        <v/>
      </c>
      <c r="X52" s="5">
        <f>IFERROR(INDEX(2a_PRE_TRABAJO!P$5:P$112,MATCH($A52,2a_PRE_TRABAJO!$A$5:$A$112,0)),"")</f>
        <v/>
      </c>
      <c r="Y52" s="5">
        <f>IFERROR(INDEX(2a_PRE_TRABAJO!Q$5:Q$112,MATCH($A52,2a_PRE_TRABAJO!$A$5:$A$112,0)),"")</f>
        <v/>
      </c>
      <c r="Z52" s="5">
        <f>IFERROR(INDEX(2a_PRE_TRABAJO!R$5:R$112,MATCH($A52,2a_PRE_TRABAJO!$A$5:$A$112,0)),"")</f>
        <v/>
      </c>
      <c r="AA52" s="5">
        <f>IFERROR(INDEX(2a_PRE_TRABAJO!S$5:S$112,MATCH($A52,2a_PRE_TRABAJO!$A$5:$A$112,0)),"")</f>
        <v/>
      </c>
      <c r="AB52" s="5">
        <f>IFERROR(INDEX(2a_PRE_TRABAJO!T$5:T$112,MATCH($A52,2a_PRE_TRABAJO!$A$5:$A$112,0)),"")</f>
        <v/>
      </c>
      <c r="AC52" s="5">
        <f>IFERROR(INDEX(2a_PRE_TRABAJO!U$5:U$112,MATCH($A52,2a_PRE_TRABAJO!$A$5:$A$112,0)),"")</f>
        <v/>
      </c>
      <c r="AD52" s="5">
        <f>IFERROR(INDEX(2a_PRE_TRABAJO!V$5:V$112,MATCH($A52,2a_PRE_TRABAJO!$A$5:$A$112,0)),"")</f>
        <v/>
      </c>
      <c r="AE52" s="5">
        <f>IFERROR(INDEX(2a_PRE_TRABAJO!W$5:W$112,MATCH($A52,2a_PRE_TRABAJO!$A$5:$A$112,0)),"")</f>
        <v/>
      </c>
      <c r="AF52" s="5">
        <f>IFERROR(INDEX(2a_PRE_TRABAJO!X$5:X$112,MATCH($A52,2a_PRE_TRABAJO!$A$5:$A$112,0)),"")</f>
        <v/>
      </c>
      <c r="AG52" s="5">
        <f>IFERROR(INDEX(2a_PRE_TRABAJO!Y$5:Y$112,MATCH($A52,2a_PRE_TRABAJO!$A$5:$A$112,0)),"")</f>
        <v/>
      </c>
      <c r="AH52" s="5">
        <f>IFERROR(INDEX(2a_PRE_TRABAJO!Z$5:Z$112,MATCH($A52,2a_PRE_TRABAJO!$A$5:$A$112,0)),"")</f>
        <v/>
      </c>
      <c r="AI52" s="5">
        <f>IFERROR(INDEX(2a_PRE_TRABAJO!AA$5:AA$112,MATCH($A52,2a_PRE_TRABAJO!$A$5:$A$112,0)),"")</f>
        <v/>
      </c>
      <c r="AJ52" s="5">
        <f>IFERROR(INDEX(2a_PRE_TRABAJO!AB$5:AB$112,MATCH($A52,2a_PRE_TRABAJO!$A$5:$A$112,0)),"")</f>
        <v/>
      </c>
      <c r="AK52" s="5">
        <f>IFERROR(INDEX(2a_PRE_TRABAJO!AC$5:AC$112,MATCH($A52,2a_PRE_TRABAJO!$A$5:$A$112,0)),"")</f>
        <v/>
      </c>
    </row>
    <row r="53">
      <c r="A53" s="3" t="inlineStr">
        <is>
          <t>GU-TDH-058</t>
        </is>
      </c>
      <c r="B53" s="3" t="n">
        <v>1</v>
      </c>
      <c r="C53" s="5">
        <f>IFERROR(INDEX(2a_PRE_TRABAJO!B$5:B$112,MATCH($A53,2a_PRE_TRABAJO!$A$5:$A$112,0)),"")</f>
        <v/>
      </c>
      <c r="D53" s="5">
        <f>IFERROR(INDEX(2a_PRE_TRABAJO!C$5:C$112,MATCH($A53,2a_PRE_TRABAJO!$A$5:$A$112,0)),"")</f>
        <v/>
      </c>
      <c r="E53" s="5">
        <f>IFERROR(INDEX(2a_PRE_TRABAJO!D$5:D$112,MATCH($A53,2a_PRE_TRABAJO!$A$5:$A$112,0)),"")</f>
        <v/>
      </c>
      <c r="F53" s="5">
        <f>IFERROR(INDEX(2a_PRE_TRABAJO!E$5:E$112,MATCH($A53,2a_PRE_TRABAJO!$A$5:$A$112,0)),"")</f>
        <v/>
      </c>
      <c r="G53" s="5">
        <f>IFERROR(INDEX(2a_PRE_TRABAJO!F$5:F$112,MATCH($A53,2a_PRE_TRABAJO!$A$5:$A$112,0)),"")</f>
        <v/>
      </c>
      <c r="H53" s="5">
        <f>IFERROR(INDEX(2a_PRE_TRABAJO!G$5:G$112,MATCH($A53,2a_PRE_TRABAJO!$A$5:$A$112,0)),"")</f>
        <v/>
      </c>
      <c r="I53" s="5">
        <f>IFERROR(INDEX(2b_POST_TRABAJO!C$5:C$109,MATCH($A53,2b_POST_TRABAJO!$A$5:$A$109,0)),"")</f>
        <v/>
      </c>
      <c r="J53" s="5">
        <f>IFERROR(INDEX(2a_PRE_TRABAJO!AD$5:AD$112,MATCH($A53,2a_PRE_TRABAJO!$A$5:$A$112,0)),"")</f>
        <v/>
      </c>
      <c r="K53" s="5">
        <f>IFERROR(INDEX(2a_PRE_TRABAJO!AE$5:AE$112,MATCH($A53,2a_PRE_TRABAJO!$A$5:$A$112,0)),"")</f>
        <v/>
      </c>
      <c r="L53" s="5">
        <f>IFERROR(INDEX(2a_PRE_TRABAJO!AF$5:AF$112,MATCH($A53,2a_PRE_TRABAJO!$A$5:$A$112,0)),"")</f>
        <v/>
      </c>
      <c r="M53" s="5">
        <f>IFERROR(INDEX(2a_PRE_TRABAJO!AG$5:AG$112,MATCH($A53,2a_PRE_TRABAJO!$A$5:$A$112,0)),"")</f>
        <v/>
      </c>
      <c r="N53" s="5">
        <f>IFERROR(INDEX(2b_POST_TRABAJO!D$5:D$109,MATCH($A53,2b_POST_TRABAJO!$A$5:$A$109,0)),"")</f>
        <v/>
      </c>
      <c r="O53" s="5">
        <f>IF(OR(N53="",J53=""),"",N53-J53)</f>
        <v/>
      </c>
      <c r="P53" s="5">
        <f>IFERROR(INDEX(2a_PRE_TRABAJO!H$5:H$112,MATCH($A53,2a_PRE_TRABAJO!$A$5:$A$112,0)),"")</f>
        <v/>
      </c>
      <c r="Q53" s="5">
        <f>IFERROR(INDEX(2a_PRE_TRABAJO!I$5:I$112,MATCH($A53,2a_PRE_TRABAJO!$A$5:$A$112,0)),"")</f>
        <v/>
      </c>
      <c r="R53" s="5">
        <f>IFERROR(INDEX(2a_PRE_TRABAJO!J$5:J$112,MATCH($A53,2a_PRE_TRABAJO!$A$5:$A$112,0)),"")</f>
        <v/>
      </c>
      <c r="S53" s="5">
        <f>IFERROR(INDEX(2a_PRE_TRABAJO!K$5:K$112,MATCH($A53,2a_PRE_TRABAJO!$A$5:$A$112,0)),"")</f>
        <v/>
      </c>
      <c r="T53" s="5">
        <f>IFERROR(INDEX(2a_PRE_TRABAJO!L$5:L$112,MATCH($A53,2a_PRE_TRABAJO!$A$5:$A$112,0)),"")</f>
        <v/>
      </c>
      <c r="U53" s="5">
        <f>IFERROR(INDEX(2a_PRE_TRABAJO!M$5:M$112,MATCH($A53,2a_PRE_TRABAJO!$A$5:$A$112,0)),"")</f>
        <v/>
      </c>
      <c r="V53" s="5">
        <f>IFERROR(INDEX(2a_PRE_TRABAJO!N$5:N$112,MATCH($A53,2a_PRE_TRABAJO!$A$5:$A$112,0)),"")</f>
        <v/>
      </c>
      <c r="W53" s="5">
        <f>IFERROR(INDEX(2a_PRE_TRABAJO!O$5:O$112,MATCH($A53,2a_PRE_TRABAJO!$A$5:$A$112,0)),"")</f>
        <v/>
      </c>
      <c r="X53" s="5">
        <f>IFERROR(INDEX(2a_PRE_TRABAJO!P$5:P$112,MATCH($A53,2a_PRE_TRABAJO!$A$5:$A$112,0)),"")</f>
        <v/>
      </c>
      <c r="Y53" s="5">
        <f>IFERROR(INDEX(2a_PRE_TRABAJO!Q$5:Q$112,MATCH($A53,2a_PRE_TRABAJO!$A$5:$A$112,0)),"")</f>
        <v/>
      </c>
      <c r="Z53" s="5">
        <f>IFERROR(INDEX(2a_PRE_TRABAJO!R$5:R$112,MATCH($A53,2a_PRE_TRABAJO!$A$5:$A$112,0)),"")</f>
        <v/>
      </c>
      <c r="AA53" s="5">
        <f>IFERROR(INDEX(2a_PRE_TRABAJO!S$5:S$112,MATCH($A53,2a_PRE_TRABAJO!$A$5:$A$112,0)),"")</f>
        <v/>
      </c>
      <c r="AB53" s="5">
        <f>IFERROR(INDEX(2a_PRE_TRABAJO!T$5:T$112,MATCH($A53,2a_PRE_TRABAJO!$A$5:$A$112,0)),"")</f>
        <v/>
      </c>
      <c r="AC53" s="5">
        <f>IFERROR(INDEX(2a_PRE_TRABAJO!U$5:U$112,MATCH($A53,2a_PRE_TRABAJO!$A$5:$A$112,0)),"")</f>
        <v/>
      </c>
      <c r="AD53" s="5">
        <f>IFERROR(INDEX(2a_PRE_TRABAJO!V$5:V$112,MATCH($A53,2a_PRE_TRABAJO!$A$5:$A$112,0)),"")</f>
        <v/>
      </c>
      <c r="AE53" s="5">
        <f>IFERROR(INDEX(2a_PRE_TRABAJO!W$5:W$112,MATCH($A53,2a_PRE_TRABAJO!$A$5:$A$112,0)),"")</f>
        <v/>
      </c>
      <c r="AF53" s="5">
        <f>IFERROR(INDEX(2a_PRE_TRABAJO!X$5:X$112,MATCH($A53,2a_PRE_TRABAJO!$A$5:$A$112,0)),"")</f>
        <v/>
      </c>
      <c r="AG53" s="5">
        <f>IFERROR(INDEX(2a_PRE_TRABAJO!Y$5:Y$112,MATCH($A53,2a_PRE_TRABAJO!$A$5:$A$112,0)),"")</f>
        <v/>
      </c>
      <c r="AH53" s="5">
        <f>IFERROR(INDEX(2a_PRE_TRABAJO!Z$5:Z$112,MATCH($A53,2a_PRE_TRABAJO!$A$5:$A$112,0)),"")</f>
        <v/>
      </c>
      <c r="AI53" s="5">
        <f>IFERROR(INDEX(2a_PRE_TRABAJO!AA$5:AA$112,MATCH($A53,2a_PRE_TRABAJO!$A$5:$A$112,0)),"")</f>
        <v/>
      </c>
      <c r="AJ53" s="5">
        <f>IFERROR(INDEX(2a_PRE_TRABAJO!AB$5:AB$112,MATCH($A53,2a_PRE_TRABAJO!$A$5:$A$112,0)),"")</f>
        <v/>
      </c>
      <c r="AK53" s="5">
        <f>IFERROR(INDEX(2a_PRE_TRABAJO!AC$5:AC$112,MATCH($A53,2a_PRE_TRABAJO!$A$5:$A$112,0)),"")</f>
        <v/>
      </c>
    </row>
    <row r="54">
      <c r="A54" s="3" t="inlineStr">
        <is>
          <t>GU-TDH-060</t>
        </is>
      </c>
      <c r="B54" s="3" t="n">
        <v>1</v>
      </c>
      <c r="C54" s="5">
        <f>IFERROR(INDEX(2a_PRE_TRABAJO!B$5:B$112,MATCH($A54,2a_PRE_TRABAJO!$A$5:$A$112,0)),"")</f>
        <v/>
      </c>
      <c r="D54" s="5">
        <f>IFERROR(INDEX(2a_PRE_TRABAJO!C$5:C$112,MATCH($A54,2a_PRE_TRABAJO!$A$5:$A$112,0)),"")</f>
        <v/>
      </c>
      <c r="E54" s="5">
        <f>IFERROR(INDEX(2a_PRE_TRABAJO!D$5:D$112,MATCH($A54,2a_PRE_TRABAJO!$A$5:$A$112,0)),"")</f>
        <v/>
      </c>
      <c r="F54" s="5">
        <f>IFERROR(INDEX(2a_PRE_TRABAJO!E$5:E$112,MATCH($A54,2a_PRE_TRABAJO!$A$5:$A$112,0)),"")</f>
        <v/>
      </c>
      <c r="G54" s="5">
        <f>IFERROR(INDEX(2a_PRE_TRABAJO!F$5:F$112,MATCH($A54,2a_PRE_TRABAJO!$A$5:$A$112,0)),"")</f>
        <v/>
      </c>
      <c r="H54" s="5">
        <f>IFERROR(INDEX(2a_PRE_TRABAJO!G$5:G$112,MATCH($A54,2a_PRE_TRABAJO!$A$5:$A$112,0)),"")</f>
        <v/>
      </c>
      <c r="I54" s="5">
        <f>IFERROR(INDEX(2b_POST_TRABAJO!C$5:C$109,MATCH($A54,2b_POST_TRABAJO!$A$5:$A$109,0)),"")</f>
        <v/>
      </c>
      <c r="J54" s="5">
        <f>IFERROR(INDEX(2a_PRE_TRABAJO!AD$5:AD$112,MATCH($A54,2a_PRE_TRABAJO!$A$5:$A$112,0)),"")</f>
        <v/>
      </c>
      <c r="K54" s="5">
        <f>IFERROR(INDEX(2a_PRE_TRABAJO!AE$5:AE$112,MATCH($A54,2a_PRE_TRABAJO!$A$5:$A$112,0)),"")</f>
        <v/>
      </c>
      <c r="L54" s="5">
        <f>IFERROR(INDEX(2a_PRE_TRABAJO!AF$5:AF$112,MATCH($A54,2a_PRE_TRABAJO!$A$5:$A$112,0)),"")</f>
        <v/>
      </c>
      <c r="M54" s="5">
        <f>IFERROR(INDEX(2a_PRE_TRABAJO!AG$5:AG$112,MATCH($A54,2a_PRE_TRABAJO!$A$5:$A$112,0)),"")</f>
        <v/>
      </c>
      <c r="N54" s="5">
        <f>IFERROR(INDEX(2b_POST_TRABAJO!D$5:D$109,MATCH($A54,2b_POST_TRABAJO!$A$5:$A$109,0)),"")</f>
        <v/>
      </c>
      <c r="O54" s="5">
        <f>IF(OR(N54="",J54=""),"",N54-J54)</f>
        <v/>
      </c>
      <c r="P54" s="5">
        <f>IFERROR(INDEX(2a_PRE_TRABAJO!H$5:H$112,MATCH($A54,2a_PRE_TRABAJO!$A$5:$A$112,0)),"")</f>
        <v/>
      </c>
      <c r="Q54" s="5">
        <f>IFERROR(INDEX(2a_PRE_TRABAJO!I$5:I$112,MATCH($A54,2a_PRE_TRABAJO!$A$5:$A$112,0)),"")</f>
        <v/>
      </c>
      <c r="R54" s="5">
        <f>IFERROR(INDEX(2a_PRE_TRABAJO!J$5:J$112,MATCH($A54,2a_PRE_TRABAJO!$A$5:$A$112,0)),"")</f>
        <v/>
      </c>
      <c r="S54" s="5">
        <f>IFERROR(INDEX(2a_PRE_TRABAJO!K$5:K$112,MATCH($A54,2a_PRE_TRABAJO!$A$5:$A$112,0)),"")</f>
        <v/>
      </c>
      <c r="T54" s="5">
        <f>IFERROR(INDEX(2a_PRE_TRABAJO!L$5:L$112,MATCH($A54,2a_PRE_TRABAJO!$A$5:$A$112,0)),"")</f>
        <v/>
      </c>
      <c r="U54" s="5">
        <f>IFERROR(INDEX(2a_PRE_TRABAJO!M$5:M$112,MATCH($A54,2a_PRE_TRABAJO!$A$5:$A$112,0)),"")</f>
        <v/>
      </c>
      <c r="V54" s="5">
        <f>IFERROR(INDEX(2a_PRE_TRABAJO!N$5:N$112,MATCH($A54,2a_PRE_TRABAJO!$A$5:$A$112,0)),"")</f>
        <v/>
      </c>
      <c r="W54" s="5">
        <f>IFERROR(INDEX(2a_PRE_TRABAJO!O$5:O$112,MATCH($A54,2a_PRE_TRABAJO!$A$5:$A$112,0)),"")</f>
        <v/>
      </c>
      <c r="X54" s="5">
        <f>IFERROR(INDEX(2a_PRE_TRABAJO!P$5:P$112,MATCH($A54,2a_PRE_TRABAJO!$A$5:$A$112,0)),"")</f>
        <v/>
      </c>
      <c r="Y54" s="5">
        <f>IFERROR(INDEX(2a_PRE_TRABAJO!Q$5:Q$112,MATCH($A54,2a_PRE_TRABAJO!$A$5:$A$112,0)),"")</f>
        <v/>
      </c>
      <c r="Z54" s="5">
        <f>IFERROR(INDEX(2a_PRE_TRABAJO!R$5:R$112,MATCH($A54,2a_PRE_TRABAJO!$A$5:$A$112,0)),"")</f>
        <v/>
      </c>
      <c r="AA54" s="5">
        <f>IFERROR(INDEX(2a_PRE_TRABAJO!S$5:S$112,MATCH($A54,2a_PRE_TRABAJO!$A$5:$A$112,0)),"")</f>
        <v/>
      </c>
      <c r="AB54" s="5">
        <f>IFERROR(INDEX(2a_PRE_TRABAJO!T$5:T$112,MATCH($A54,2a_PRE_TRABAJO!$A$5:$A$112,0)),"")</f>
        <v/>
      </c>
      <c r="AC54" s="5">
        <f>IFERROR(INDEX(2a_PRE_TRABAJO!U$5:U$112,MATCH($A54,2a_PRE_TRABAJO!$A$5:$A$112,0)),"")</f>
        <v/>
      </c>
      <c r="AD54" s="5">
        <f>IFERROR(INDEX(2a_PRE_TRABAJO!V$5:V$112,MATCH($A54,2a_PRE_TRABAJO!$A$5:$A$112,0)),"")</f>
        <v/>
      </c>
      <c r="AE54" s="5">
        <f>IFERROR(INDEX(2a_PRE_TRABAJO!W$5:W$112,MATCH($A54,2a_PRE_TRABAJO!$A$5:$A$112,0)),"")</f>
        <v/>
      </c>
      <c r="AF54" s="5">
        <f>IFERROR(INDEX(2a_PRE_TRABAJO!X$5:X$112,MATCH($A54,2a_PRE_TRABAJO!$A$5:$A$112,0)),"")</f>
        <v/>
      </c>
      <c r="AG54" s="5">
        <f>IFERROR(INDEX(2a_PRE_TRABAJO!Y$5:Y$112,MATCH($A54,2a_PRE_TRABAJO!$A$5:$A$112,0)),"")</f>
        <v/>
      </c>
      <c r="AH54" s="5">
        <f>IFERROR(INDEX(2a_PRE_TRABAJO!Z$5:Z$112,MATCH($A54,2a_PRE_TRABAJO!$A$5:$A$112,0)),"")</f>
        <v/>
      </c>
      <c r="AI54" s="5">
        <f>IFERROR(INDEX(2a_PRE_TRABAJO!AA$5:AA$112,MATCH($A54,2a_PRE_TRABAJO!$A$5:$A$112,0)),"")</f>
        <v/>
      </c>
      <c r="AJ54" s="5">
        <f>IFERROR(INDEX(2a_PRE_TRABAJO!AB$5:AB$112,MATCH($A54,2a_PRE_TRABAJO!$A$5:$A$112,0)),"")</f>
        <v/>
      </c>
      <c r="AK54" s="5">
        <f>IFERROR(INDEX(2a_PRE_TRABAJO!AC$5:AC$112,MATCH($A54,2a_PRE_TRABAJO!$A$5:$A$112,0)),"")</f>
        <v/>
      </c>
    </row>
    <row r="55">
      <c r="A55" s="3" t="inlineStr">
        <is>
          <t>GU-TDH-061</t>
        </is>
      </c>
      <c r="B55" s="3" t="n">
        <v>1</v>
      </c>
      <c r="C55" s="5">
        <f>IFERROR(INDEX(2a_PRE_TRABAJO!B$5:B$112,MATCH($A55,2a_PRE_TRABAJO!$A$5:$A$112,0)),"")</f>
        <v/>
      </c>
      <c r="D55" s="5">
        <f>IFERROR(INDEX(2a_PRE_TRABAJO!C$5:C$112,MATCH($A55,2a_PRE_TRABAJO!$A$5:$A$112,0)),"")</f>
        <v/>
      </c>
      <c r="E55" s="5">
        <f>IFERROR(INDEX(2a_PRE_TRABAJO!D$5:D$112,MATCH($A55,2a_PRE_TRABAJO!$A$5:$A$112,0)),"")</f>
        <v/>
      </c>
      <c r="F55" s="5">
        <f>IFERROR(INDEX(2a_PRE_TRABAJO!E$5:E$112,MATCH($A55,2a_PRE_TRABAJO!$A$5:$A$112,0)),"")</f>
        <v/>
      </c>
      <c r="G55" s="5">
        <f>IFERROR(INDEX(2a_PRE_TRABAJO!F$5:F$112,MATCH($A55,2a_PRE_TRABAJO!$A$5:$A$112,0)),"")</f>
        <v/>
      </c>
      <c r="H55" s="5">
        <f>IFERROR(INDEX(2a_PRE_TRABAJO!G$5:G$112,MATCH($A55,2a_PRE_TRABAJO!$A$5:$A$112,0)),"")</f>
        <v/>
      </c>
      <c r="I55" s="5">
        <f>IFERROR(INDEX(2b_POST_TRABAJO!C$5:C$109,MATCH($A55,2b_POST_TRABAJO!$A$5:$A$109,0)),"")</f>
        <v/>
      </c>
      <c r="J55" s="5">
        <f>IFERROR(INDEX(2a_PRE_TRABAJO!AD$5:AD$112,MATCH($A55,2a_PRE_TRABAJO!$A$5:$A$112,0)),"")</f>
        <v/>
      </c>
      <c r="K55" s="5">
        <f>IFERROR(INDEX(2a_PRE_TRABAJO!AE$5:AE$112,MATCH($A55,2a_PRE_TRABAJO!$A$5:$A$112,0)),"")</f>
        <v/>
      </c>
      <c r="L55" s="5">
        <f>IFERROR(INDEX(2a_PRE_TRABAJO!AF$5:AF$112,MATCH($A55,2a_PRE_TRABAJO!$A$5:$A$112,0)),"")</f>
        <v/>
      </c>
      <c r="M55" s="5">
        <f>IFERROR(INDEX(2a_PRE_TRABAJO!AG$5:AG$112,MATCH($A55,2a_PRE_TRABAJO!$A$5:$A$112,0)),"")</f>
        <v/>
      </c>
      <c r="N55" s="5">
        <f>IFERROR(INDEX(2b_POST_TRABAJO!D$5:D$109,MATCH($A55,2b_POST_TRABAJO!$A$5:$A$109,0)),"")</f>
        <v/>
      </c>
      <c r="O55" s="5">
        <f>IF(OR(N55="",J55=""),"",N55-J55)</f>
        <v/>
      </c>
      <c r="P55" s="5">
        <f>IFERROR(INDEX(2a_PRE_TRABAJO!H$5:H$112,MATCH($A55,2a_PRE_TRABAJO!$A$5:$A$112,0)),"")</f>
        <v/>
      </c>
      <c r="Q55" s="5">
        <f>IFERROR(INDEX(2a_PRE_TRABAJO!I$5:I$112,MATCH($A55,2a_PRE_TRABAJO!$A$5:$A$112,0)),"")</f>
        <v/>
      </c>
      <c r="R55" s="5">
        <f>IFERROR(INDEX(2a_PRE_TRABAJO!J$5:J$112,MATCH($A55,2a_PRE_TRABAJO!$A$5:$A$112,0)),"")</f>
        <v/>
      </c>
      <c r="S55" s="5">
        <f>IFERROR(INDEX(2a_PRE_TRABAJO!K$5:K$112,MATCH($A55,2a_PRE_TRABAJO!$A$5:$A$112,0)),"")</f>
        <v/>
      </c>
      <c r="T55" s="5">
        <f>IFERROR(INDEX(2a_PRE_TRABAJO!L$5:L$112,MATCH($A55,2a_PRE_TRABAJO!$A$5:$A$112,0)),"")</f>
        <v/>
      </c>
      <c r="U55" s="5">
        <f>IFERROR(INDEX(2a_PRE_TRABAJO!M$5:M$112,MATCH($A55,2a_PRE_TRABAJO!$A$5:$A$112,0)),"")</f>
        <v/>
      </c>
      <c r="V55" s="5">
        <f>IFERROR(INDEX(2a_PRE_TRABAJO!N$5:N$112,MATCH($A55,2a_PRE_TRABAJO!$A$5:$A$112,0)),"")</f>
        <v/>
      </c>
      <c r="W55" s="5">
        <f>IFERROR(INDEX(2a_PRE_TRABAJO!O$5:O$112,MATCH($A55,2a_PRE_TRABAJO!$A$5:$A$112,0)),"")</f>
        <v/>
      </c>
      <c r="X55" s="5">
        <f>IFERROR(INDEX(2a_PRE_TRABAJO!P$5:P$112,MATCH($A55,2a_PRE_TRABAJO!$A$5:$A$112,0)),"")</f>
        <v/>
      </c>
      <c r="Y55" s="5">
        <f>IFERROR(INDEX(2a_PRE_TRABAJO!Q$5:Q$112,MATCH($A55,2a_PRE_TRABAJO!$A$5:$A$112,0)),"")</f>
        <v/>
      </c>
      <c r="Z55" s="5">
        <f>IFERROR(INDEX(2a_PRE_TRABAJO!R$5:R$112,MATCH($A55,2a_PRE_TRABAJO!$A$5:$A$112,0)),"")</f>
        <v/>
      </c>
      <c r="AA55" s="5">
        <f>IFERROR(INDEX(2a_PRE_TRABAJO!S$5:S$112,MATCH($A55,2a_PRE_TRABAJO!$A$5:$A$112,0)),"")</f>
        <v/>
      </c>
      <c r="AB55" s="5">
        <f>IFERROR(INDEX(2a_PRE_TRABAJO!T$5:T$112,MATCH($A55,2a_PRE_TRABAJO!$A$5:$A$112,0)),"")</f>
        <v/>
      </c>
      <c r="AC55" s="5">
        <f>IFERROR(INDEX(2a_PRE_TRABAJO!U$5:U$112,MATCH($A55,2a_PRE_TRABAJO!$A$5:$A$112,0)),"")</f>
        <v/>
      </c>
      <c r="AD55" s="5">
        <f>IFERROR(INDEX(2a_PRE_TRABAJO!V$5:V$112,MATCH($A55,2a_PRE_TRABAJO!$A$5:$A$112,0)),"")</f>
        <v/>
      </c>
      <c r="AE55" s="5">
        <f>IFERROR(INDEX(2a_PRE_TRABAJO!W$5:W$112,MATCH($A55,2a_PRE_TRABAJO!$A$5:$A$112,0)),"")</f>
        <v/>
      </c>
      <c r="AF55" s="5">
        <f>IFERROR(INDEX(2a_PRE_TRABAJO!X$5:X$112,MATCH($A55,2a_PRE_TRABAJO!$A$5:$A$112,0)),"")</f>
        <v/>
      </c>
      <c r="AG55" s="5">
        <f>IFERROR(INDEX(2a_PRE_TRABAJO!Y$5:Y$112,MATCH($A55,2a_PRE_TRABAJO!$A$5:$A$112,0)),"")</f>
        <v/>
      </c>
      <c r="AH55" s="5">
        <f>IFERROR(INDEX(2a_PRE_TRABAJO!Z$5:Z$112,MATCH($A55,2a_PRE_TRABAJO!$A$5:$A$112,0)),"")</f>
        <v/>
      </c>
      <c r="AI55" s="5">
        <f>IFERROR(INDEX(2a_PRE_TRABAJO!AA$5:AA$112,MATCH($A55,2a_PRE_TRABAJO!$A$5:$A$112,0)),"")</f>
        <v/>
      </c>
      <c r="AJ55" s="5">
        <f>IFERROR(INDEX(2a_PRE_TRABAJO!AB$5:AB$112,MATCH($A55,2a_PRE_TRABAJO!$A$5:$A$112,0)),"")</f>
        <v/>
      </c>
      <c r="AK55" s="5">
        <f>IFERROR(INDEX(2a_PRE_TRABAJO!AC$5:AC$112,MATCH($A55,2a_PRE_TRABAJO!$A$5:$A$112,0)),"")</f>
        <v/>
      </c>
    </row>
    <row r="56">
      <c r="A56" s="3" t="inlineStr">
        <is>
          <t>GU-TDH-062</t>
        </is>
      </c>
      <c r="B56" s="3" t="n">
        <v>1</v>
      </c>
      <c r="C56" s="5">
        <f>IFERROR(INDEX(2a_PRE_TRABAJO!B$5:B$112,MATCH($A56,2a_PRE_TRABAJO!$A$5:$A$112,0)),"")</f>
        <v/>
      </c>
      <c r="D56" s="5">
        <f>IFERROR(INDEX(2a_PRE_TRABAJO!C$5:C$112,MATCH($A56,2a_PRE_TRABAJO!$A$5:$A$112,0)),"")</f>
        <v/>
      </c>
      <c r="E56" s="5">
        <f>IFERROR(INDEX(2a_PRE_TRABAJO!D$5:D$112,MATCH($A56,2a_PRE_TRABAJO!$A$5:$A$112,0)),"")</f>
        <v/>
      </c>
      <c r="F56" s="5">
        <f>IFERROR(INDEX(2a_PRE_TRABAJO!E$5:E$112,MATCH($A56,2a_PRE_TRABAJO!$A$5:$A$112,0)),"")</f>
        <v/>
      </c>
      <c r="G56" s="5">
        <f>IFERROR(INDEX(2a_PRE_TRABAJO!F$5:F$112,MATCH($A56,2a_PRE_TRABAJO!$A$5:$A$112,0)),"")</f>
        <v/>
      </c>
      <c r="H56" s="5">
        <f>IFERROR(INDEX(2a_PRE_TRABAJO!G$5:G$112,MATCH($A56,2a_PRE_TRABAJO!$A$5:$A$112,0)),"")</f>
        <v/>
      </c>
      <c r="I56" s="5">
        <f>IFERROR(INDEX(2b_POST_TRABAJO!C$5:C$109,MATCH($A56,2b_POST_TRABAJO!$A$5:$A$109,0)),"")</f>
        <v/>
      </c>
      <c r="J56" s="5">
        <f>IFERROR(INDEX(2a_PRE_TRABAJO!AD$5:AD$112,MATCH($A56,2a_PRE_TRABAJO!$A$5:$A$112,0)),"")</f>
        <v/>
      </c>
      <c r="K56" s="5">
        <f>IFERROR(INDEX(2a_PRE_TRABAJO!AE$5:AE$112,MATCH($A56,2a_PRE_TRABAJO!$A$5:$A$112,0)),"")</f>
        <v/>
      </c>
      <c r="L56" s="5">
        <f>IFERROR(INDEX(2a_PRE_TRABAJO!AF$5:AF$112,MATCH($A56,2a_PRE_TRABAJO!$A$5:$A$112,0)),"")</f>
        <v/>
      </c>
      <c r="M56" s="5">
        <f>IFERROR(INDEX(2a_PRE_TRABAJO!AG$5:AG$112,MATCH($A56,2a_PRE_TRABAJO!$A$5:$A$112,0)),"")</f>
        <v/>
      </c>
      <c r="N56" s="5">
        <f>IFERROR(INDEX(2b_POST_TRABAJO!D$5:D$109,MATCH($A56,2b_POST_TRABAJO!$A$5:$A$109,0)),"")</f>
        <v/>
      </c>
      <c r="O56" s="5">
        <f>IF(OR(N56="",J56=""),"",N56-J56)</f>
        <v/>
      </c>
      <c r="P56" s="5">
        <f>IFERROR(INDEX(2a_PRE_TRABAJO!H$5:H$112,MATCH($A56,2a_PRE_TRABAJO!$A$5:$A$112,0)),"")</f>
        <v/>
      </c>
      <c r="Q56" s="5">
        <f>IFERROR(INDEX(2a_PRE_TRABAJO!I$5:I$112,MATCH($A56,2a_PRE_TRABAJO!$A$5:$A$112,0)),"")</f>
        <v/>
      </c>
      <c r="R56" s="5">
        <f>IFERROR(INDEX(2a_PRE_TRABAJO!J$5:J$112,MATCH($A56,2a_PRE_TRABAJO!$A$5:$A$112,0)),"")</f>
        <v/>
      </c>
      <c r="S56" s="5">
        <f>IFERROR(INDEX(2a_PRE_TRABAJO!K$5:K$112,MATCH($A56,2a_PRE_TRABAJO!$A$5:$A$112,0)),"")</f>
        <v/>
      </c>
      <c r="T56" s="5">
        <f>IFERROR(INDEX(2a_PRE_TRABAJO!L$5:L$112,MATCH($A56,2a_PRE_TRABAJO!$A$5:$A$112,0)),"")</f>
        <v/>
      </c>
      <c r="U56" s="5">
        <f>IFERROR(INDEX(2a_PRE_TRABAJO!M$5:M$112,MATCH($A56,2a_PRE_TRABAJO!$A$5:$A$112,0)),"")</f>
        <v/>
      </c>
      <c r="V56" s="5">
        <f>IFERROR(INDEX(2a_PRE_TRABAJO!N$5:N$112,MATCH($A56,2a_PRE_TRABAJO!$A$5:$A$112,0)),"")</f>
        <v/>
      </c>
      <c r="W56" s="5">
        <f>IFERROR(INDEX(2a_PRE_TRABAJO!O$5:O$112,MATCH($A56,2a_PRE_TRABAJO!$A$5:$A$112,0)),"")</f>
        <v/>
      </c>
      <c r="X56" s="5">
        <f>IFERROR(INDEX(2a_PRE_TRABAJO!P$5:P$112,MATCH($A56,2a_PRE_TRABAJO!$A$5:$A$112,0)),"")</f>
        <v/>
      </c>
      <c r="Y56" s="5">
        <f>IFERROR(INDEX(2a_PRE_TRABAJO!Q$5:Q$112,MATCH($A56,2a_PRE_TRABAJO!$A$5:$A$112,0)),"")</f>
        <v/>
      </c>
      <c r="Z56" s="5">
        <f>IFERROR(INDEX(2a_PRE_TRABAJO!R$5:R$112,MATCH($A56,2a_PRE_TRABAJO!$A$5:$A$112,0)),"")</f>
        <v/>
      </c>
      <c r="AA56" s="5">
        <f>IFERROR(INDEX(2a_PRE_TRABAJO!S$5:S$112,MATCH($A56,2a_PRE_TRABAJO!$A$5:$A$112,0)),"")</f>
        <v/>
      </c>
      <c r="AB56" s="5">
        <f>IFERROR(INDEX(2a_PRE_TRABAJO!T$5:T$112,MATCH($A56,2a_PRE_TRABAJO!$A$5:$A$112,0)),"")</f>
        <v/>
      </c>
      <c r="AC56" s="5">
        <f>IFERROR(INDEX(2a_PRE_TRABAJO!U$5:U$112,MATCH($A56,2a_PRE_TRABAJO!$A$5:$A$112,0)),"")</f>
        <v/>
      </c>
      <c r="AD56" s="5">
        <f>IFERROR(INDEX(2a_PRE_TRABAJO!V$5:V$112,MATCH($A56,2a_PRE_TRABAJO!$A$5:$A$112,0)),"")</f>
        <v/>
      </c>
      <c r="AE56" s="5">
        <f>IFERROR(INDEX(2a_PRE_TRABAJO!W$5:W$112,MATCH($A56,2a_PRE_TRABAJO!$A$5:$A$112,0)),"")</f>
        <v/>
      </c>
      <c r="AF56" s="5">
        <f>IFERROR(INDEX(2a_PRE_TRABAJO!X$5:X$112,MATCH($A56,2a_PRE_TRABAJO!$A$5:$A$112,0)),"")</f>
        <v/>
      </c>
      <c r="AG56" s="5">
        <f>IFERROR(INDEX(2a_PRE_TRABAJO!Y$5:Y$112,MATCH($A56,2a_PRE_TRABAJO!$A$5:$A$112,0)),"")</f>
        <v/>
      </c>
      <c r="AH56" s="5">
        <f>IFERROR(INDEX(2a_PRE_TRABAJO!Z$5:Z$112,MATCH($A56,2a_PRE_TRABAJO!$A$5:$A$112,0)),"")</f>
        <v/>
      </c>
      <c r="AI56" s="5">
        <f>IFERROR(INDEX(2a_PRE_TRABAJO!AA$5:AA$112,MATCH($A56,2a_PRE_TRABAJO!$A$5:$A$112,0)),"")</f>
        <v/>
      </c>
      <c r="AJ56" s="5">
        <f>IFERROR(INDEX(2a_PRE_TRABAJO!AB$5:AB$112,MATCH($A56,2a_PRE_TRABAJO!$A$5:$A$112,0)),"")</f>
        <v/>
      </c>
      <c r="AK56" s="5">
        <f>IFERROR(INDEX(2a_PRE_TRABAJO!AC$5:AC$112,MATCH($A56,2a_PRE_TRABAJO!$A$5:$A$112,0)),"")</f>
        <v/>
      </c>
    </row>
    <row r="57">
      <c r="A57" s="3" t="inlineStr">
        <is>
          <t>GU-TDH-063</t>
        </is>
      </c>
      <c r="B57" s="3" t="n">
        <v>1</v>
      </c>
      <c r="C57" s="5">
        <f>IFERROR(INDEX(2a_PRE_TRABAJO!B$5:B$112,MATCH($A57,2a_PRE_TRABAJO!$A$5:$A$112,0)),"")</f>
        <v/>
      </c>
      <c r="D57" s="5">
        <f>IFERROR(INDEX(2a_PRE_TRABAJO!C$5:C$112,MATCH($A57,2a_PRE_TRABAJO!$A$5:$A$112,0)),"")</f>
        <v/>
      </c>
      <c r="E57" s="5">
        <f>IFERROR(INDEX(2a_PRE_TRABAJO!D$5:D$112,MATCH($A57,2a_PRE_TRABAJO!$A$5:$A$112,0)),"")</f>
        <v/>
      </c>
      <c r="F57" s="5">
        <f>IFERROR(INDEX(2a_PRE_TRABAJO!E$5:E$112,MATCH($A57,2a_PRE_TRABAJO!$A$5:$A$112,0)),"")</f>
        <v/>
      </c>
      <c r="G57" s="5">
        <f>IFERROR(INDEX(2a_PRE_TRABAJO!F$5:F$112,MATCH($A57,2a_PRE_TRABAJO!$A$5:$A$112,0)),"")</f>
        <v/>
      </c>
      <c r="H57" s="5">
        <f>IFERROR(INDEX(2a_PRE_TRABAJO!G$5:G$112,MATCH($A57,2a_PRE_TRABAJO!$A$5:$A$112,0)),"")</f>
        <v/>
      </c>
      <c r="I57" s="5">
        <f>IFERROR(INDEX(2b_POST_TRABAJO!C$5:C$109,MATCH($A57,2b_POST_TRABAJO!$A$5:$A$109,0)),"")</f>
        <v/>
      </c>
      <c r="J57" s="5">
        <f>IFERROR(INDEX(2a_PRE_TRABAJO!AD$5:AD$112,MATCH($A57,2a_PRE_TRABAJO!$A$5:$A$112,0)),"")</f>
        <v/>
      </c>
      <c r="K57" s="5">
        <f>IFERROR(INDEX(2a_PRE_TRABAJO!AE$5:AE$112,MATCH($A57,2a_PRE_TRABAJO!$A$5:$A$112,0)),"")</f>
        <v/>
      </c>
      <c r="L57" s="5">
        <f>IFERROR(INDEX(2a_PRE_TRABAJO!AF$5:AF$112,MATCH($A57,2a_PRE_TRABAJO!$A$5:$A$112,0)),"")</f>
        <v/>
      </c>
      <c r="M57" s="5">
        <f>IFERROR(INDEX(2a_PRE_TRABAJO!AG$5:AG$112,MATCH($A57,2a_PRE_TRABAJO!$A$5:$A$112,0)),"")</f>
        <v/>
      </c>
      <c r="N57" s="5">
        <f>IFERROR(INDEX(2b_POST_TRABAJO!D$5:D$109,MATCH($A57,2b_POST_TRABAJO!$A$5:$A$109,0)),"")</f>
        <v/>
      </c>
      <c r="O57" s="5">
        <f>IF(OR(N57="",J57=""),"",N57-J57)</f>
        <v/>
      </c>
      <c r="P57" s="5">
        <f>IFERROR(INDEX(2a_PRE_TRABAJO!H$5:H$112,MATCH($A57,2a_PRE_TRABAJO!$A$5:$A$112,0)),"")</f>
        <v/>
      </c>
      <c r="Q57" s="5">
        <f>IFERROR(INDEX(2a_PRE_TRABAJO!I$5:I$112,MATCH($A57,2a_PRE_TRABAJO!$A$5:$A$112,0)),"")</f>
        <v/>
      </c>
      <c r="R57" s="5">
        <f>IFERROR(INDEX(2a_PRE_TRABAJO!J$5:J$112,MATCH($A57,2a_PRE_TRABAJO!$A$5:$A$112,0)),"")</f>
        <v/>
      </c>
      <c r="S57" s="5">
        <f>IFERROR(INDEX(2a_PRE_TRABAJO!K$5:K$112,MATCH($A57,2a_PRE_TRABAJO!$A$5:$A$112,0)),"")</f>
        <v/>
      </c>
      <c r="T57" s="5">
        <f>IFERROR(INDEX(2a_PRE_TRABAJO!L$5:L$112,MATCH($A57,2a_PRE_TRABAJO!$A$5:$A$112,0)),"")</f>
        <v/>
      </c>
      <c r="U57" s="5">
        <f>IFERROR(INDEX(2a_PRE_TRABAJO!M$5:M$112,MATCH($A57,2a_PRE_TRABAJO!$A$5:$A$112,0)),"")</f>
        <v/>
      </c>
      <c r="V57" s="5">
        <f>IFERROR(INDEX(2a_PRE_TRABAJO!N$5:N$112,MATCH($A57,2a_PRE_TRABAJO!$A$5:$A$112,0)),"")</f>
        <v/>
      </c>
      <c r="W57" s="5">
        <f>IFERROR(INDEX(2a_PRE_TRABAJO!O$5:O$112,MATCH($A57,2a_PRE_TRABAJO!$A$5:$A$112,0)),"")</f>
        <v/>
      </c>
      <c r="X57" s="5">
        <f>IFERROR(INDEX(2a_PRE_TRABAJO!P$5:P$112,MATCH($A57,2a_PRE_TRABAJO!$A$5:$A$112,0)),"")</f>
        <v/>
      </c>
      <c r="Y57" s="5">
        <f>IFERROR(INDEX(2a_PRE_TRABAJO!Q$5:Q$112,MATCH($A57,2a_PRE_TRABAJO!$A$5:$A$112,0)),"")</f>
        <v/>
      </c>
      <c r="Z57" s="5">
        <f>IFERROR(INDEX(2a_PRE_TRABAJO!R$5:R$112,MATCH($A57,2a_PRE_TRABAJO!$A$5:$A$112,0)),"")</f>
        <v/>
      </c>
      <c r="AA57" s="5">
        <f>IFERROR(INDEX(2a_PRE_TRABAJO!S$5:S$112,MATCH($A57,2a_PRE_TRABAJO!$A$5:$A$112,0)),"")</f>
        <v/>
      </c>
      <c r="AB57" s="5">
        <f>IFERROR(INDEX(2a_PRE_TRABAJO!T$5:T$112,MATCH($A57,2a_PRE_TRABAJO!$A$5:$A$112,0)),"")</f>
        <v/>
      </c>
      <c r="AC57" s="5">
        <f>IFERROR(INDEX(2a_PRE_TRABAJO!U$5:U$112,MATCH($A57,2a_PRE_TRABAJO!$A$5:$A$112,0)),"")</f>
        <v/>
      </c>
      <c r="AD57" s="5">
        <f>IFERROR(INDEX(2a_PRE_TRABAJO!V$5:V$112,MATCH($A57,2a_PRE_TRABAJO!$A$5:$A$112,0)),"")</f>
        <v/>
      </c>
      <c r="AE57" s="5">
        <f>IFERROR(INDEX(2a_PRE_TRABAJO!W$5:W$112,MATCH($A57,2a_PRE_TRABAJO!$A$5:$A$112,0)),"")</f>
        <v/>
      </c>
      <c r="AF57" s="5">
        <f>IFERROR(INDEX(2a_PRE_TRABAJO!X$5:X$112,MATCH($A57,2a_PRE_TRABAJO!$A$5:$A$112,0)),"")</f>
        <v/>
      </c>
      <c r="AG57" s="5">
        <f>IFERROR(INDEX(2a_PRE_TRABAJO!Y$5:Y$112,MATCH($A57,2a_PRE_TRABAJO!$A$5:$A$112,0)),"")</f>
        <v/>
      </c>
      <c r="AH57" s="5">
        <f>IFERROR(INDEX(2a_PRE_TRABAJO!Z$5:Z$112,MATCH($A57,2a_PRE_TRABAJO!$A$5:$A$112,0)),"")</f>
        <v/>
      </c>
      <c r="AI57" s="5">
        <f>IFERROR(INDEX(2a_PRE_TRABAJO!AA$5:AA$112,MATCH($A57,2a_PRE_TRABAJO!$A$5:$A$112,0)),"")</f>
        <v/>
      </c>
      <c r="AJ57" s="5">
        <f>IFERROR(INDEX(2a_PRE_TRABAJO!AB$5:AB$112,MATCH($A57,2a_PRE_TRABAJO!$A$5:$A$112,0)),"")</f>
        <v/>
      </c>
      <c r="AK57" s="5">
        <f>IFERROR(INDEX(2a_PRE_TRABAJO!AC$5:AC$112,MATCH($A57,2a_PRE_TRABAJO!$A$5:$A$112,0)),"")</f>
        <v/>
      </c>
    </row>
    <row r="58">
      <c r="A58" s="3" t="inlineStr">
        <is>
          <t>GU-TDH-064</t>
        </is>
      </c>
      <c r="B58" s="3" t="n">
        <v>1</v>
      </c>
      <c r="C58" s="5">
        <f>IFERROR(INDEX(2a_PRE_TRABAJO!B$5:B$112,MATCH($A58,2a_PRE_TRABAJO!$A$5:$A$112,0)),"")</f>
        <v/>
      </c>
      <c r="D58" s="5">
        <f>IFERROR(INDEX(2a_PRE_TRABAJO!C$5:C$112,MATCH($A58,2a_PRE_TRABAJO!$A$5:$A$112,0)),"")</f>
        <v/>
      </c>
      <c r="E58" s="5">
        <f>IFERROR(INDEX(2a_PRE_TRABAJO!D$5:D$112,MATCH($A58,2a_PRE_TRABAJO!$A$5:$A$112,0)),"")</f>
        <v/>
      </c>
      <c r="F58" s="5">
        <f>IFERROR(INDEX(2a_PRE_TRABAJO!E$5:E$112,MATCH($A58,2a_PRE_TRABAJO!$A$5:$A$112,0)),"")</f>
        <v/>
      </c>
      <c r="G58" s="5">
        <f>IFERROR(INDEX(2a_PRE_TRABAJO!F$5:F$112,MATCH($A58,2a_PRE_TRABAJO!$A$5:$A$112,0)),"")</f>
        <v/>
      </c>
      <c r="H58" s="5">
        <f>IFERROR(INDEX(2a_PRE_TRABAJO!G$5:G$112,MATCH($A58,2a_PRE_TRABAJO!$A$5:$A$112,0)),"")</f>
        <v/>
      </c>
      <c r="I58" s="5">
        <f>IFERROR(INDEX(2b_POST_TRABAJO!C$5:C$109,MATCH($A58,2b_POST_TRABAJO!$A$5:$A$109,0)),"")</f>
        <v/>
      </c>
      <c r="J58" s="5">
        <f>IFERROR(INDEX(2a_PRE_TRABAJO!AD$5:AD$112,MATCH($A58,2a_PRE_TRABAJO!$A$5:$A$112,0)),"")</f>
        <v/>
      </c>
      <c r="K58" s="5">
        <f>IFERROR(INDEX(2a_PRE_TRABAJO!AE$5:AE$112,MATCH($A58,2a_PRE_TRABAJO!$A$5:$A$112,0)),"")</f>
        <v/>
      </c>
      <c r="L58" s="5">
        <f>IFERROR(INDEX(2a_PRE_TRABAJO!AF$5:AF$112,MATCH($A58,2a_PRE_TRABAJO!$A$5:$A$112,0)),"")</f>
        <v/>
      </c>
      <c r="M58" s="5">
        <f>IFERROR(INDEX(2a_PRE_TRABAJO!AG$5:AG$112,MATCH($A58,2a_PRE_TRABAJO!$A$5:$A$112,0)),"")</f>
        <v/>
      </c>
      <c r="N58" s="5">
        <f>IFERROR(INDEX(2b_POST_TRABAJO!D$5:D$109,MATCH($A58,2b_POST_TRABAJO!$A$5:$A$109,0)),"")</f>
        <v/>
      </c>
      <c r="O58" s="5">
        <f>IF(OR(N58="",J58=""),"",N58-J58)</f>
        <v/>
      </c>
      <c r="P58" s="5">
        <f>IFERROR(INDEX(2a_PRE_TRABAJO!H$5:H$112,MATCH($A58,2a_PRE_TRABAJO!$A$5:$A$112,0)),"")</f>
        <v/>
      </c>
      <c r="Q58" s="5">
        <f>IFERROR(INDEX(2a_PRE_TRABAJO!I$5:I$112,MATCH($A58,2a_PRE_TRABAJO!$A$5:$A$112,0)),"")</f>
        <v/>
      </c>
      <c r="R58" s="5">
        <f>IFERROR(INDEX(2a_PRE_TRABAJO!J$5:J$112,MATCH($A58,2a_PRE_TRABAJO!$A$5:$A$112,0)),"")</f>
        <v/>
      </c>
      <c r="S58" s="5">
        <f>IFERROR(INDEX(2a_PRE_TRABAJO!K$5:K$112,MATCH($A58,2a_PRE_TRABAJO!$A$5:$A$112,0)),"")</f>
        <v/>
      </c>
      <c r="T58" s="5">
        <f>IFERROR(INDEX(2a_PRE_TRABAJO!L$5:L$112,MATCH($A58,2a_PRE_TRABAJO!$A$5:$A$112,0)),"")</f>
        <v/>
      </c>
      <c r="U58" s="5">
        <f>IFERROR(INDEX(2a_PRE_TRABAJO!M$5:M$112,MATCH($A58,2a_PRE_TRABAJO!$A$5:$A$112,0)),"")</f>
        <v/>
      </c>
      <c r="V58" s="5">
        <f>IFERROR(INDEX(2a_PRE_TRABAJO!N$5:N$112,MATCH($A58,2a_PRE_TRABAJO!$A$5:$A$112,0)),"")</f>
        <v/>
      </c>
      <c r="W58" s="5">
        <f>IFERROR(INDEX(2a_PRE_TRABAJO!O$5:O$112,MATCH($A58,2a_PRE_TRABAJO!$A$5:$A$112,0)),"")</f>
        <v/>
      </c>
      <c r="X58" s="5">
        <f>IFERROR(INDEX(2a_PRE_TRABAJO!P$5:P$112,MATCH($A58,2a_PRE_TRABAJO!$A$5:$A$112,0)),"")</f>
        <v/>
      </c>
      <c r="Y58" s="5">
        <f>IFERROR(INDEX(2a_PRE_TRABAJO!Q$5:Q$112,MATCH($A58,2a_PRE_TRABAJO!$A$5:$A$112,0)),"")</f>
        <v/>
      </c>
      <c r="Z58" s="5">
        <f>IFERROR(INDEX(2a_PRE_TRABAJO!R$5:R$112,MATCH($A58,2a_PRE_TRABAJO!$A$5:$A$112,0)),"")</f>
        <v/>
      </c>
      <c r="AA58" s="5">
        <f>IFERROR(INDEX(2a_PRE_TRABAJO!S$5:S$112,MATCH($A58,2a_PRE_TRABAJO!$A$5:$A$112,0)),"")</f>
        <v/>
      </c>
      <c r="AB58" s="5">
        <f>IFERROR(INDEX(2a_PRE_TRABAJO!T$5:T$112,MATCH($A58,2a_PRE_TRABAJO!$A$5:$A$112,0)),"")</f>
        <v/>
      </c>
      <c r="AC58" s="5">
        <f>IFERROR(INDEX(2a_PRE_TRABAJO!U$5:U$112,MATCH($A58,2a_PRE_TRABAJO!$A$5:$A$112,0)),"")</f>
        <v/>
      </c>
      <c r="AD58" s="5">
        <f>IFERROR(INDEX(2a_PRE_TRABAJO!V$5:V$112,MATCH($A58,2a_PRE_TRABAJO!$A$5:$A$112,0)),"")</f>
        <v/>
      </c>
      <c r="AE58" s="5">
        <f>IFERROR(INDEX(2a_PRE_TRABAJO!W$5:W$112,MATCH($A58,2a_PRE_TRABAJO!$A$5:$A$112,0)),"")</f>
        <v/>
      </c>
      <c r="AF58" s="5">
        <f>IFERROR(INDEX(2a_PRE_TRABAJO!X$5:X$112,MATCH($A58,2a_PRE_TRABAJO!$A$5:$A$112,0)),"")</f>
        <v/>
      </c>
      <c r="AG58" s="5">
        <f>IFERROR(INDEX(2a_PRE_TRABAJO!Y$5:Y$112,MATCH($A58,2a_PRE_TRABAJO!$A$5:$A$112,0)),"")</f>
        <v/>
      </c>
      <c r="AH58" s="5">
        <f>IFERROR(INDEX(2a_PRE_TRABAJO!Z$5:Z$112,MATCH($A58,2a_PRE_TRABAJO!$A$5:$A$112,0)),"")</f>
        <v/>
      </c>
      <c r="AI58" s="5">
        <f>IFERROR(INDEX(2a_PRE_TRABAJO!AA$5:AA$112,MATCH($A58,2a_PRE_TRABAJO!$A$5:$A$112,0)),"")</f>
        <v/>
      </c>
      <c r="AJ58" s="5">
        <f>IFERROR(INDEX(2a_PRE_TRABAJO!AB$5:AB$112,MATCH($A58,2a_PRE_TRABAJO!$A$5:$A$112,0)),"")</f>
        <v/>
      </c>
      <c r="AK58" s="5">
        <f>IFERROR(INDEX(2a_PRE_TRABAJO!AC$5:AC$112,MATCH($A58,2a_PRE_TRABAJO!$A$5:$A$112,0)),"")</f>
        <v/>
      </c>
    </row>
    <row r="59">
      <c r="A59" s="3" t="inlineStr">
        <is>
          <t>GU-TDH-065</t>
        </is>
      </c>
      <c r="B59" s="3" t="n">
        <v>1</v>
      </c>
      <c r="C59" s="5">
        <f>IFERROR(INDEX(2a_PRE_TRABAJO!B$5:B$112,MATCH($A59,2a_PRE_TRABAJO!$A$5:$A$112,0)),"")</f>
        <v/>
      </c>
      <c r="D59" s="5">
        <f>IFERROR(INDEX(2a_PRE_TRABAJO!C$5:C$112,MATCH($A59,2a_PRE_TRABAJO!$A$5:$A$112,0)),"")</f>
        <v/>
      </c>
      <c r="E59" s="5">
        <f>IFERROR(INDEX(2a_PRE_TRABAJO!D$5:D$112,MATCH($A59,2a_PRE_TRABAJO!$A$5:$A$112,0)),"")</f>
        <v/>
      </c>
      <c r="F59" s="5">
        <f>IFERROR(INDEX(2a_PRE_TRABAJO!E$5:E$112,MATCH($A59,2a_PRE_TRABAJO!$A$5:$A$112,0)),"")</f>
        <v/>
      </c>
      <c r="G59" s="5">
        <f>IFERROR(INDEX(2a_PRE_TRABAJO!F$5:F$112,MATCH($A59,2a_PRE_TRABAJO!$A$5:$A$112,0)),"")</f>
        <v/>
      </c>
      <c r="H59" s="5">
        <f>IFERROR(INDEX(2a_PRE_TRABAJO!G$5:G$112,MATCH($A59,2a_PRE_TRABAJO!$A$5:$A$112,0)),"")</f>
        <v/>
      </c>
      <c r="I59" s="5">
        <f>IFERROR(INDEX(2b_POST_TRABAJO!C$5:C$109,MATCH($A59,2b_POST_TRABAJO!$A$5:$A$109,0)),"")</f>
        <v/>
      </c>
      <c r="J59" s="5">
        <f>IFERROR(INDEX(2a_PRE_TRABAJO!AD$5:AD$112,MATCH($A59,2a_PRE_TRABAJO!$A$5:$A$112,0)),"")</f>
        <v/>
      </c>
      <c r="K59" s="5">
        <f>IFERROR(INDEX(2a_PRE_TRABAJO!AE$5:AE$112,MATCH($A59,2a_PRE_TRABAJO!$A$5:$A$112,0)),"")</f>
        <v/>
      </c>
      <c r="L59" s="5">
        <f>IFERROR(INDEX(2a_PRE_TRABAJO!AF$5:AF$112,MATCH($A59,2a_PRE_TRABAJO!$A$5:$A$112,0)),"")</f>
        <v/>
      </c>
      <c r="M59" s="5">
        <f>IFERROR(INDEX(2a_PRE_TRABAJO!AG$5:AG$112,MATCH($A59,2a_PRE_TRABAJO!$A$5:$A$112,0)),"")</f>
        <v/>
      </c>
      <c r="N59" s="5">
        <f>IFERROR(INDEX(2b_POST_TRABAJO!D$5:D$109,MATCH($A59,2b_POST_TRABAJO!$A$5:$A$109,0)),"")</f>
        <v/>
      </c>
      <c r="O59" s="5">
        <f>IF(OR(N59="",J59=""),"",N59-J59)</f>
        <v/>
      </c>
      <c r="P59" s="5">
        <f>IFERROR(INDEX(2a_PRE_TRABAJO!H$5:H$112,MATCH($A59,2a_PRE_TRABAJO!$A$5:$A$112,0)),"")</f>
        <v/>
      </c>
      <c r="Q59" s="5">
        <f>IFERROR(INDEX(2a_PRE_TRABAJO!I$5:I$112,MATCH($A59,2a_PRE_TRABAJO!$A$5:$A$112,0)),"")</f>
        <v/>
      </c>
      <c r="R59" s="5">
        <f>IFERROR(INDEX(2a_PRE_TRABAJO!J$5:J$112,MATCH($A59,2a_PRE_TRABAJO!$A$5:$A$112,0)),"")</f>
        <v/>
      </c>
      <c r="S59" s="5">
        <f>IFERROR(INDEX(2a_PRE_TRABAJO!K$5:K$112,MATCH($A59,2a_PRE_TRABAJO!$A$5:$A$112,0)),"")</f>
        <v/>
      </c>
      <c r="T59" s="5">
        <f>IFERROR(INDEX(2a_PRE_TRABAJO!L$5:L$112,MATCH($A59,2a_PRE_TRABAJO!$A$5:$A$112,0)),"")</f>
        <v/>
      </c>
      <c r="U59" s="5">
        <f>IFERROR(INDEX(2a_PRE_TRABAJO!M$5:M$112,MATCH($A59,2a_PRE_TRABAJO!$A$5:$A$112,0)),"")</f>
        <v/>
      </c>
      <c r="V59" s="5">
        <f>IFERROR(INDEX(2a_PRE_TRABAJO!N$5:N$112,MATCH($A59,2a_PRE_TRABAJO!$A$5:$A$112,0)),"")</f>
        <v/>
      </c>
      <c r="W59" s="5">
        <f>IFERROR(INDEX(2a_PRE_TRABAJO!O$5:O$112,MATCH($A59,2a_PRE_TRABAJO!$A$5:$A$112,0)),"")</f>
        <v/>
      </c>
      <c r="X59" s="5">
        <f>IFERROR(INDEX(2a_PRE_TRABAJO!P$5:P$112,MATCH($A59,2a_PRE_TRABAJO!$A$5:$A$112,0)),"")</f>
        <v/>
      </c>
      <c r="Y59" s="5">
        <f>IFERROR(INDEX(2a_PRE_TRABAJO!Q$5:Q$112,MATCH($A59,2a_PRE_TRABAJO!$A$5:$A$112,0)),"")</f>
        <v/>
      </c>
      <c r="Z59" s="5">
        <f>IFERROR(INDEX(2a_PRE_TRABAJO!R$5:R$112,MATCH($A59,2a_PRE_TRABAJO!$A$5:$A$112,0)),"")</f>
        <v/>
      </c>
      <c r="AA59" s="5">
        <f>IFERROR(INDEX(2a_PRE_TRABAJO!S$5:S$112,MATCH($A59,2a_PRE_TRABAJO!$A$5:$A$112,0)),"")</f>
        <v/>
      </c>
      <c r="AB59" s="5">
        <f>IFERROR(INDEX(2a_PRE_TRABAJO!T$5:T$112,MATCH($A59,2a_PRE_TRABAJO!$A$5:$A$112,0)),"")</f>
        <v/>
      </c>
      <c r="AC59" s="5">
        <f>IFERROR(INDEX(2a_PRE_TRABAJO!U$5:U$112,MATCH($A59,2a_PRE_TRABAJO!$A$5:$A$112,0)),"")</f>
        <v/>
      </c>
      <c r="AD59" s="5">
        <f>IFERROR(INDEX(2a_PRE_TRABAJO!V$5:V$112,MATCH($A59,2a_PRE_TRABAJO!$A$5:$A$112,0)),"")</f>
        <v/>
      </c>
      <c r="AE59" s="5">
        <f>IFERROR(INDEX(2a_PRE_TRABAJO!W$5:W$112,MATCH($A59,2a_PRE_TRABAJO!$A$5:$A$112,0)),"")</f>
        <v/>
      </c>
      <c r="AF59" s="5">
        <f>IFERROR(INDEX(2a_PRE_TRABAJO!X$5:X$112,MATCH($A59,2a_PRE_TRABAJO!$A$5:$A$112,0)),"")</f>
        <v/>
      </c>
      <c r="AG59" s="5">
        <f>IFERROR(INDEX(2a_PRE_TRABAJO!Y$5:Y$112,MATCH($A59,2a_PRE_TRABAJO!$A$5:$A$112,0)),"")</f>
        <v/>
      </c>
      <c r="AH59" s="5">
        <f>IFERROR(INDEX(2a_PRE_TRABAJO!Z$5:Z$112,MATCH($A59,2a_PRE_TRABAJO!$A$5:$A$112,0)),"")</f>
        <v/>
      </c>
      <c r="AI59" s="5">
        <f>IFERROR(INDEX(2a_PRE_TRABAJO!AA$5:AA$112,MATCH($A59,2a_PRE_TRABAJO!$A$5:$A$112,0)),"")</f>
        <v/>
      </c>
      <c r="AJ59" s="5">
        <f>IFERROR(INDEX(2a_PRE_TRABAJO!AB$5:AB$112,MATCH($A59,2a_PRE_TRABAJO!$A$5:$A$112,0)),"")</f>
        <v/>
      </c>
      <c r="AK59" s="5">
        <f>IFERROR(INDEX(2a_PRE_TRABAJO!AC$5:AC$112,MATCH($A59,2a_PRE_TRABAJO!$A$5:$A$112,0)),"")</f>
        <v/>
      </c>
    </row>
    <row r="60">
      <c r="A60" s="3" t="inlineStr">
        <is>
          <t>GU-TDH-066</t>
        </is>
      </c>
      <c r="B60" s="3" t="n">
        <v>1</v>
      </c>
      <c r="C60" s="5">
        <f>IFERROR(INDEX(2a_PRE_TRABAJO!B$5:B$112,MATCH($A60,2a_PRE_TRABAJO!$A$5:$A$112,0)),"")</f>
        <v/>
      </c>
      <c r="D60" s="5">
        <f>IFERROR(INDEX(2a_PRE_TRABAJO!C$5:C$112,MATCH($A60,2a_PRE_TRABAJO!$A$5:$A$112,0)),"")</f>
        <v/>
      </c>
      <c r="E60" s="5">
        <f>IFERROR(INDEX(2a_PRE_TRABAJO!D$5:D$112,MATCH($A60,2a_PRE_TRABAJO!$A$5:$A$112,0)),"")</f>
        <v/>
      </c>
      <c r="F60" s="5">
        <f>IFERROR(INDEX(2a_PRE_TRABAJO!E$5:E$112,MATCH($A60,2a_PRE_TRABAJO!$A$5:$A$112,0)),"")</f>
        <v/>
      </c>
      <c r="G60" s="5">
        <f>IFERROR(INDEX(2a_PRE_TRABAJO!F$5:F$112,MATCH($A60,2a_PRE_TRABAJO!$A$5:$A$112,0)),"")</f>
        <v/>
      </c>
      <c r="H60" s="5">
        <f>IFERROR(INDEX(2a_PRE_TRABAJO!G$5:G$112,MATCH($A60,2a_PRE_TRABAJO!$A$5:$A$112,0)),"")</f>
        <v/>
      </c>
      <c r="I60" s="5">
        <f>IFERROR(INDEX(2b_POST_TRABAJO!C$5:C$109,MATCH($A60,2b_POST_TRABAJO!$A$5:$A$109,0)),"")</f>
        <v/>
      </c>
      <c r="J60" s="5">
        <f>IFERROR(INDEX(2a_PRE_TRABAJO!AD$5:AD$112,MATCH($A60,2a_PRE_TRABAJO!$A$5:$A$112,0)),"")</f>
        <v/>
      </c>
      <c r="K60" s="5">
        <f>IFERROR(INDEX(2a_PRE_TRABAJO!AE$5:AE$112,MATCH($A60,2a_PRE_TRABAJO!$A$5:$A$112,0)),"")</f>
        <v/>
      </c>
      <c r="L60" s="5">
        <f>IFERROR(INDEX(2a_PRE_TRABAJO!AF$5:AF$112,MATCH($A60,2a_PRE_TRABAJO!$A$5:$A$112,0)),"")</f>
        <v/>
      </c>
      <c r="M60" s="5">
        <f>IFERROR(INDEX(2a_PRE_TRABAJO!AG$5:AG$112,MATCH($A60,2a_PRE_TRABAJO!$A$5:$A$112,0)),"")</f>
        <v/>
      </c>
      <c r="N60" s="5">
        <f>IFERROR(INDEX(2b_POST_TRABAJO!D$5:D$109,MATCH($A60,2b_POST_TRABAJO!$A$5:$A$109,0)),"")</f>
        <v/>
      </c>
      <c r="O60" s="5">
        <f>IF(OR(N60="",J60=""),"",N60-J60)</f>
        <v/>
      </c>
      <c r="P60" s="5">
        <f>IFERROR(INDEX(2a_PRE_TRABAJO!H$5:H$112,MATCH($A60,2a_PRE_TRABAJO!$A$5:$A$112,0)),"")</f>
        <v/>
      </c>
      <c r="Q60" s="5">
        <f>IFERROR(INDEX(2a_PRE_TRABAJO!I$5:I$112,MATCH($A60,2a_PRE_TRABAJO!$A$5:$A$112,0)),"")</f>
        <v/>
      </c>
      <c r="R60" s="5">
        <f>IFERROR(INDEX(2a_PRE_TRABAJO!J$5:J$112,MATCH($A60,2a_PRE_TRABAJO!$A$5:$A$112,0)),"")</f>
        <v/>
      </c>
      <c r="S60" s="5">
        <f>IFERROR(INDEX(2a_PRE_TRABAJO!K$5:K$112,MATCH($A60,2a_PRE_TRABAJO!$A$5:$A$112,0)),"")</f>
        <v/>
      </c>
      <c r="T60" s="5">
        <f>IFERROR(INDEX(2a_PRE_TRABAJO!L$5:L$112,MATCH($A60,2a_PRE_TRABAJO!$A$5:$A$112,0)),"")</f>
        <v/>
      </c>
      <c r="U60" s="5">
        <f>IFERROR(INDEX(2a_PRE_TRABAJO!M$5:M$112,MATCH($A60,2a_PRE_TRABAJO!$A$5:$A$112,0)),"")</f>
        <v/>
      </c>
      <c r="V60" s="5">
        <f>IFERROR(INDEX(2a_PRE_TRABAJO!N$5:N$112,MATCH($A60,2a_PRE_TRABAJO!$A$5:$A$112,0)),"")</f>
        <v/>
      </c>
      <c r="W60" s="5">
        <f>IFERROR(INDEX(2a_PRE_TRABAJO!O$5:O$112,MATCH($A60,2a_PRE_TRABAJO!$A$5:$A$112,0)),"")</f>
        <v/>
      </c>
      <c r="X60" s="5">
        <f>IFERROR(INDEX(2a_PRE_TRABAJO!P$5:P$112,MATCH($A60,2a_PRE_TRABAJO!$A$5:$A$112,0)),"")</f>
        <v/>
      </c>
      <c r="Y60" s="5">
        <f>IFERROR(INDEX(2a_PRE_TRABAJO!Q$5:Q$112,MATCH($A60,2a_PRE_TRABAJO!$A$5:$A$112,0)),"")</f>
        <v/>
      </c>
      <c r="Z60" s="5">
        <f>IFERROR(INDEX(2a_PRE_TRABAJO!R$5:R$112,MATCH($A60,2a_PRE_TRABAJO!$A$5:$A$112,0)),"")</f>
        <v/>
      </c>
      <c r="AA60" s="5">
        <f>IFERROR(INDEX(2a_PRE_TRABAJO!S$5:S$112,MATCH($A60,2a_PRE_TRABAJO!$A$5:$A$112,0)),"")</f>
        <v/>
      </c>
      <c r="AB60" s="5">
        <f>IFERROR(INDEX(2a_PRE_TRABAJO!T$5:T$112,MATCH($A60,2a_PRE_TRABAJO!$A$5:$A$112,0)),"")</f>
        <v/>
      </c>
      <c r="AC60" s="5">
        <f>IFERROR(INDEX(2a_PRE_TRABAJO!U$5:U$112,MATCH($A60,2a_PRE_TRABAJO!$A$5:$A$112,0)),"")</f>
        <v/>
      </c>
      <c r="AD60" s="5">
        <f>IFERROR(INDEX(2a_PRE_TRABAJO!V$5:V$112,MATCH($A60,2a_PRE_TRABAJO!$A$5:$A$112,0)),"")</f>
        <v/>
      </c>
      <c r="AE60" s="5">
        <f>IFERROR(INDEX(2a_PRE_TRABAJO!W$5:W$112,MATCH($A60,2a_PRE_TRABAJO!$A$5:$A$112,0)),"")</f>
        <v/>
      </c>
      <c r="AF60" s="5">
        <f>IFERROR(INDEX(2a_PRE_TRABAJO!X$5:X$112,MATCH($A60,2a_PRE_TRABAJO!$A$5:$A$112,0)),"")</f>
        <v/>
      </c>
      <c r="AG60" s="5">
        <f>IFERROR(INDEX(2a_PRE_TRABAJO!Y$5:Y$112,MATCH($A60,2a_PRE_TRABAJO!$A$5:$A$112,0)),"")</f>
        <v/>
      </c>
      <c r="AH60" s="5">
        <f>IFERROR(INDEX(2a_PRE_TRABAJO!Z$5:Z$112,MATCH($A60,2a_PRE_TRABAJO!$A$5:$A$112,0)),"")</f>
        <v/>
      </c>
      <c r="AI60" s="5">
        <f>IFERROR(INDEX(2a_PRE_TRABAJO!AA$5:AA$112,MATCH($A60,2a_PRE_TRABAJO!$A$5:$A$112,0)),"")</f>
        <v/>
      </c>
      <c r="AJ60" s="5">
        <f>IFERROR(INDEX(2a_PRE_TRABAJO!AB$5:AB$112,MATCH($A60,2a_PRE_TRABAJO!$A$5:$A$112,0)),"")</f>
        <v/>
      </c>
      <c r="AK60" s="5">
        <f>IFERROR(INDEX(2a_PRE_TRABAJO!AC$5:AC$112,MATCH($A60,2a_PRE_TRABAJO!$A$5:$A$112,0)),"")</f>
        <v/>
      </c>
    </row>
    <row r="61">
      <c r="A61" s="3" t="inlineStr">
        <is>
          <t>GU-TDH-067</t>
        </is>
      </c>
      <c r="B61" s="3" t="n">
        <v>1</v>
      </c>
      <c r="C61" s="5">
        <f>IFERROR(INDEX(2a_PRE_TRABAJO!B$5:B$112,MATCH($A61,2a_PRE_TRABAJO!$A$5:$A$112,0)),"")</f>
        <v/>
      </c>
      <c r="D61" s="5">
        <f>IFERROR(INDEX(2a_PRE_TRABAJO!C$5:C$112,MATCH($A61,2a_PRE_TRABAJO!$A$5:$A$112,0)),"")</f>
        <v/>
      </c>
      <c r="E61" s="5">
        <f>IFERROR(INDEX(2a_PRE_TRABAJO!D$5:D$112,MATCH($A61,2a_PRE_TRABAJO!$A$5:$A$112,0)),"")</f>
        <v/>
      </c>
      <c r="F61" s="5">
        <f>IFERROR(INDEX(2a_PRE_TRABAJO!E$5:E$112,MATCH($A61,2a_PRE_TRABAJO!$A$5:$A$112,0)),"")</f>
        <v/>
      </c>
      <c r="G61" s="5">
        <f>IFERROR(INDEX(2a_PRE_TRABAJO!F$5:F$112,MATCH($A61,2a_PRE_TRABAJO!$A$5:$A$112,0)),"")</f>
        <v/>
      </c>
      <c r="H61" s="5">
        <f>IFERROR(INDEX(2a_PRE_TRABAJO!G$5:G$112,MATCH($A61,2a_PRE_TRABAJO!$A$5:$A$112,0)),"")</f>
        <v/>
      </c>
      <c r="I61" s="5">
        <f>IFERROR(INDEX(2b_POST_TRABAJO!C$5:C$109,MATCH($A61,2b_POST_TRABAJO!$A$5:$A$109,0)),"")</f>
        <v/>
      </c>
      <c r="J61" s="5">
        <f>IFERROR(INDEX(2a_PRE_TRABAJO!AD$5:AD$112,MATCH($A61,2a_PRE_TRABAJO!$A$5:$A$112,0)),"")</f>
        <v/>
      </c>
      <c r="K61" s="5">
        <f>IFERROR(INDEX(2a_PRE_TRABAJO!AE$5:AE$112,MATCH($A61,2a_PRE_TRABAJO!$A$5:$A$112,0)),"")</f>
        <v/>
      </c>
      <c r="L61" s="5">
        <f>IFERROR(INDEX(2a_PRE_TRABAJO!AF$5:AF$112,MATCH($A61,2a_PRE_TRABAJO!$A$5:$A$112,0)),"")</f>
        <v/>
      </c>
      <c r="M61" s="5">
        <f>IFERROR(INDEX(2a_PRE_TRABAJO!AG$5:AG$112,MATCH($A61,2a_PRE_TRABAJO!$A$5:$A$112,0)),"")</f>
        <v/>
      </c>
      <c r="N61" s="5">
        <f>IFERROR(INDEX(2b_POST_TRABAJO!D$5:D$109,MATCH($A61,2b_POST_TRABAJO!$A$5:$A$109,0)),"")</f>
        <v/>
      </c>
      <c r="O61" s="5">
        <f>IF(OR(N61="",J61=""),"",N61-J61)</f>
        <v/>
      </c>
      <c r="P61" s="5">
        <f>IFERROR(INDEX(2a_PRE_TRABAJO!H$5:H$112,MATCH($A61,2a_PRE_TRABAJO!$A$5:$A$112,0)),"")</f>
        <v/>
      </c>
      <c r="Q61" s="5">
        <f>IFERROR(INDEX(2a_PRE_TRABAJO!I$5:I$112,MATCH($A61,2a_PRE_TRABAJO!$A$5:$A$112,0)),"")</f>
        <v/>
      </c>
      <c r="R61" s="5">
        <f>IFERROR(INDEX(2a_PRE_TRABAJO!J$5:J$112,MATCH($A61,2a_PRE_TRABAJO!$A$5:$A$112,0)),"")</f>
        <v/>
      </c>
      <c r="S61" s="5">
        <f>IFERROR(INDEX(2a_PRE_TRABAJO!K$5:K$112,MATCH($A61,2a_PRE_TRABAJO!$A$5:$A$112,0)),"")</f>
        <v/>
      </c>
      <c r="T61" s="5">
        <f>IFERROR(INDEX(2a_PRE_TRABAJO!L$5:L$112,MATCH($A61,2a_PRE_TRABAJO!$A$5:$A$112,0)),"")</f>
        <v/>
      </c>
      <c r="U61" s="5">
        <f>IFERROR(INDEX(2a_PRE_TRABAJO!M$5:M$112,MATCH($A61,2a_PRE_TRABAJO!$A$5:$A$112,0)),"")</f>
        <v/>
      </c>
      <c r="V61" s="5">
        <f>IFERROR(INDEX(2a_PRE_TRABAJO!N$5:N$112,MATCH($A61,2a_PRE_TRABAJO!$A$5:$A$112,0)),"")</f>
        <v/>
      </c>
      <c r="W61" s="5">
        <f>IFERROR(INDEX(2a_PRE_TRABAJO!O$5:O$112,MATCH($A61,2a_PRE_TRABAJO!$A$5:$A$112,0)),"")</f>
        <v/>
      </c>
      <c r="X61" s="5">
        <f>IFERROR(INDEX(2a_PRE_TRABAJO!P$5:P$112,MATCH($A61,2a_PRE_TRABAJO!$A$5:$A$112,0)),"")</f>
        <v/>
      </c>
      <c r="Y61" s="5">
        <f>IFERROR(INDEX(2a_PRE_TRABAJO!Q$5:Q$112,MATCH($A61,2a_PRE_TRABAJO!$A$5:$A$112,0)),"")</f>
        <v/>
      </c>
      <c r="Z61" s="5">
        <f>IFERROR(INDEX(2a_PRE_TRABAJO!R$5:R$112,MATCH($A61,2a_PRE_TRABAJO!$A$5:$A$112,0)),"")</f>
        <v/>
      </c>
      <c r="AA61" s="5">
        <f>IFERROR(INDEX(2a_PRE_TRABAJO!S$5:S$112,MATCH($A61,2a_PRE_TRABAJO!$A$5:$A$112,0)),"")</f>
        <v/>
      </c>
      <c r="AB61" s="5">
        <f>IFERROR(INDEX(2a_PRE_TRABAJO!T$5:T$112,MATCH($A61,2a_PRE_TRABAJO!$A$5:$A$112,0)),"")</f>
        <v/>
      </c>
      <c r="AC61" s="5">
        <f>IFERROR(INDEX(2a_PRE_TRABAJO!U$5:U$112,MATCH($A61,2a_PRE_TRABAJO!$A$5:$A$112,0)),"")</f>
        <v/>
      </c>
      <c r="AD61" s="5">
        <f>IFERROR(INDEX(2a_PRE_TRABAJO!V$5:V$112,MATCH($A61,2a_PRE_TRABAJO!$A$5:$A$112,0)),"")</f>
        <v/>
      </c>
      <c r="AE61" s="5">
        <f>IFERROR(INDEX(2a_PRE_TRABAJO!W$5:W$112,MATCH($A61,2a_PRE_TRABAJO!$A$5:$A$112,0)),"")</f>
        <v/>
      </c>
      <c r="AF61" s="5">
        <f>IFERROR(INDEX(2a_PRE_TRABAJO!X$5:X$112,MATCH($A61,2a_PRE_TRABAJO!$A$5:$A$112,0)),"")</f>
        <v/>
      </c>
      <c r="AG61" s="5">
        <f>IFERROR(INDEX(2a_PRE_TRABAJO!Y$5:Y$112,MATCH($A61,2a_PRE_TRABAJO!$A$5:$A$112,0)),"")</f>
        <v/>
      </c>
      <c r="AH61" s="5">
        <f>IFERROR(INDEX(2a_PRE_TRABAJO!Z$5:Z$112,MATCH($A61,2a_PRE_TRABAJO!$A$5:$A$112,0)),"")</f>
        <v/>
      </c>
      <c r="AI61" s="5">
        <f>IFERROR(INDEX(2a_PRE_TRABAJO!AA$5:AA$112,MATCH($A61,2a_PRE_TRABAJO!$A$5:$A$112,0)),"")</f>
        <v/>
      </c>
      <c r="AJ61" s="5">
        <f>IFERROR(INDEX(2a_PRE_TRABAJO!AB$5:AB$112,MATCH($A61,2a_PRE_TRABAJO!$A$5:$A$112,0)),"")</f>
        <v/>
      </c>
      <c r="AK61" s="5">
        <f>IFERROR(INDEX(2a_PRE_TRABAJO!AC$5:AC$112,MATCH($A61,2a_PRE_TRABAJO!$A$5:$A$112,0)),"")</f>
        <v/>
      </c>
    </row>
    <row r="62">
      <c r="A62" s="3" t="inlineStr">
        <is>
          <t>GU-TDH-069</t>
        </is>
      </c>
      <c r="B62" s="3" t="n">
        <v>1</v>
      </c>
      <c r="C62" s="5">
        <f>IFERROR(INDEX(2a_PRE_TRABAJO!B$5:B$112,MATCH($A62,2a_PRE_TRABAJO!$A$5:$A$112,0)),"")</f>
        <v/>
      </c>
      <c r="D62" s="5">
        <f>IFERROR(INDEX(2a_PRE_TRABAJO!C$5:C$112,MATCH($A62,2a_PRE_TRABAJO!$A$5:$A$112,0)),"")</f>
        <v/>
      </c>
      <c r="E62" s="5">
        <f>IFERROR(INDEX(2a_PRE_TRABAJO!D$5:D$112,MATCH($A62,2a_PRE_TRABAJO!$A$5:$A$112,0)),"")</f>
        <v/>
      </c>
      <c r="F62" s="5">
        <f>IFERROR(INDEX(2a_PRE_TRABAJO!E$5:E$112,MATCH($A62,2a_PRE_TRABAJO!$A$5:$A$112,0)),"")</f>
        <v/>
      </c>
      <c r="G62" s="5">
        <f>IFERROR(INDEX(2a_PRE_TRABAJO!F$5:F$112,MATCH($A62,2a_PRE_TRABAJO!$A$5:$A$112,0)),"")</f>
        <v/>
      </c>
      <c r="H62" s="5">
        <f>IFERROR(INDEX(2a_PRE_TRABAJO!G$5:G$112,MATCH($A62,2a_PRE_TRABAJO!$A$5:$A$112,0)),"")</f>
        <v/>
      </c>
      <c r="I62" s="5">
        <f>IFERROR(INDEX(2b_POST_TRABAJO!C$5:C$109,MATCH($A62,2b_POST_TRABAJO!$A$5:$A$109,0)),"")</f>
        <v/>
      </c>
      <c r="J62" s="5">
        <f>IFERROR(INDEX(2a_PRE_TRABAJO!AD$5:AD$112,MATCH($A62,2a_PRE_TRABAJO!$A$5:$A$112,0)),"")</f>
        <v/>
      </c>
      <c r="K62" s="5">
        <f>IFERROR(INDEX(2a_PRE_TRABAJO!AE$5:AE$112,MATCH($A62,2a_PRE_TRABAJO!$A$5:$A$112,0)),"")</f>
        <v/>
      </c>
      <c r="L62" s="5">
        <f>IFERROR(INDEX(2a_PRE_TRABAJO!AF$5:AF$112,MATCH($A62,2a_PRE_TRABAJO!$A$5:$A$112,0)),"")</f>
        <v/>
      </c>
      <c r="M62" s="5">
        <f>IFERROR(INDEX(2a_PRE_TRABAJO!AG$5:AG$112,MATCH($A62,2a_PRE_TRABAJO!$A$5:$A$112,0)),"")</f>
        <v/>
      </c>
      <c r="N62" s="5">
        <f>IFERROR(INDEX(2b_POST_TRABAJO!D$5:D$109,MATCH($A62,2b_POST_TRABAJO!$A$5:$A$109,0)),"")</f>
        <v/>
      </c>
      <c r="O62" s="5">
        <f>IF(OR(N62="",J62=""),"",N62-J62)</f>
        <v/>
      </c>
      <c r="P62" s="5">
        <f>IFERROR(INDEX(2a_PRE_TRABAJO!H$5:H$112,MATCH($A62,2a_PRE_TRABAJO!$A$5:$A$112,0)),"")</f>
        <v/>
      </c>
      <c r="Q62" s="5">
        <f>IFERROR(INDEX(2a_PRE_TRABAJO!I$5:I$112,MATCH($A62,2a_PRE_TRABAJO!$A$5:$A$112,0)),"")</f>
        <v/>
      </c>
      <c r="R62" s="5">
        <f>IFERROR(INDEX(2a_PRE_TRABAJO!J$5:J$112,MATCH($A62,2a_PRE_TRABAJO!$A$5:$A$112,0)),"")</f>
        <v/>
      </c>
      <c r="S62" s="5">
        <f>IFERROR(INDEX(2a_PRE_TRABAJO!K$5:K$112,MATCH($A62,2a_PRE_TRABAJO!$A$5:$A$112,0)),"")</f>
        <v/>
      </c>
      <c r="T62" s="5">
        <f>IFERROR(INDEX(2a_PRE_TRABAJO!L$5:L$112,MATCH($A62,2a_PRE_TRABAJO!$A$5:$A$112,0)),"")</f>
        <v/>
      </c>
      <c r="U62" s="5">
        <f>IFERROR(INDEX(2a_PRE_TRABAJO!M$5:M$112,MATCH($A62,2a_PRE_TRABAJO!$A$5:$A$112,0)),"")</f>
        <v/>
      </c>
      <c r="V62" s="5">
        <f>IFERROR(INDEX(2a_PRE_TRABAJO!N$5:N$112,MATCH($A62,2a_PRE_TRABAJO!$A$5:$A$112,0)),"")</f>
        <v/>
      </c>
      <c r="W62" s="5">
        <f>IFERROR(INDEX(2a_PRE_TRABAJO!O$5:O$112,MATCH($A62,2a_PRE_TRABAJO!$A$5:$A$112,0)),"")</f>
        <v/>
      </c>
      <c r="X62" s="5">
        <f>IFERROR(INDEX(2a_PRE_TRABAJO!P$5:P$112,MATCH($A62,2a_PRE_TRABAJO!$A$5:$A$112,0)),"")</f>
        <v/>
      </c>
      <c r="Y62" s="5">
        <f>IFERROR(INDEX(2a_PRE_TRABAJO!Q$5:Q$112,MATCH($A62,2a_PRE_TRABAJO!$A$5:$A$112,0)),"")</f>
        <v/>
      </c>
      <c r="Z62" s="5">
        <f>IFERROR(INDEX(2a_PRE_TRABAJO!R$5:R$112,MATCH($A62,2a_PRE_TRABAJO!$A$5:$A$112,0)),"")</f>
        <v/>
      </c>
      <c r="AA62" s="5">
        <f>IFERROR(INDEX(2a_PRE_TRABAJO!S$5:S$112,MATCH($A62,2a_PRE_TRABAJO!$A$5:$A$112,0)),"")</f>
        <v/>
      </c>
      <c r="AB62" s="5">
        <f>IFERROR(INDEX(2a_PRE_TRABAJO!T$5:T$112,MATCH($A62,2a_PRE_TRABAJO!$A$5:$A$112,0)),"")</f>
        <v/>
      </c>
      <c r="AC62" s="5">
        <f>IFERROR(INDEX(2a_PRE_TRABAJO!U$5:U$112,MATCH($A62,2a_PRE_TRABAJO!$A$5:$A$112,0)),"")</f>
        <v/>
      </c>
      <c r="AD62" s="5">
        <f>IFERROR(INDEX(2a_PRE_TRABAJO!V$5:V$112,MATCH($A62,2a_PRE_TRABAJO!$A$5:$A$112,0)),"")</f>
        <v/>
      </c>
      <c r="AE62" s="5">
        <f>IFERROR(INDEX(2a_PRE_TRABAJO!W$5:W$112,MATCH($A62,2a_PRE_TRABAJO!$A$5:$A$112,0)),"")</f>
        <v/>
      </c>
      <c r="AF62" s="5">
        <f>IFERROR(INDEX(2a_PRE_TRABAJO!X$5:X$112,MATCH($A62,2a_PRE_TRABAJO!$A$5:$A$112,0)),"")</f>
        <v/>
      </c>
      <c r="AG62" s="5">
        <f>IFERROR(INDEX(2a_PRE_TRABAJO!Y$5:Y$112,MATCH($A62,2a_PRE_TRABAJO!$A$5:$A$112,0)),"")</f>
        <v/>
      </c>
      <c r="AH62" s="5">
        <f>IFERROR(INDEX(2a_PRE_TRABAJO!Z$5:Z$112,MATCH($A62,2a_PRE_TRABAJO!$A$5:$A$112,0)),"")</f>
        <v/>
      </c>
      <c r="AI62" s="5">
        <f>IFERROR(INDEX(2a_PRE_TRABAJO!AA$5:AA$112,MATCH($A62,2a_PRE_TRABAJO!$A$5:$A$112,0)),"")</f>
        <v/>
      </c>
      <c r="AJ62" s="5">
        <f>IFERROR(INDEX(2a_PRE_TRABAJO!AB$5:AB$112,MATCH($A62,2a_PRE_TRABAJO!$A$5:$A$112,0)),"")</f>
        <v/>
      </c>
      <c r="AK62" s="5">
        <f>IFERROR(INDEX(2a_PRE_TRABAJO!AC$5:AC$112,MATCH($A62,2a_PRE_TRABAJO!$A$5:$A$112,0)),"")</f>
        <v/>
      </c>
    </row>
    <row r="63">
      <c r="A63" s="3" t="inlineStr">
        <is>
          <t>GU-TDH-070</t>
        </is>
      </c>
      <c r="B63" s="3" t="n">
        <v>1</v>
      </c>
      <c r="C63" s="5">
        <f>IFERROR(INDEX(2a_PRE_TRABAJO!B$5:B$112,MATCH($A63,2a_PRE_TRABAJO!$A$5:$A$112,0)),"")</f>
        <v/>
      </c>
      <c r="D63" s="5">
        <f>IFERROR(INDEX(2a_PRE_TRABAJO!C$5:C$112,MATCH($A63,2a_PRE_TRABAJO!$A$5:$A$112,0)),"")</f>
        <v/>
      </c>
      <c r="E63" s="5">
        <f>IFERROR(INDEX(2a_PRE_TRABAJO!D$5:D$112,MATCH($A63,2a_PRE_TRABAJO!$A$5:$A$112,0)),"")</f>
        <v/>
      </c>
      <c r="F63" s="5">
        <f>IFERROR(INDEX(2a_PRE_TRABAJO!E$5:E$112,MATCH($A63,2a_PRE_TRABAJO!$A$5:$A$112,0)),"")</f>
        <v/>
      </c>
      <c r="G63" s="5">
        <f>IFERROR(INDEX(2a_PRE_TRABAJO!F$5:F$112,MATCH($A63,2a_PRE_TRABAJO!$A$5:$A$112,0)),"")</f>
        <v/>
      </c>
      <c r="H63" s="5">
        <f>IFERROR(INDEX(2a_PRE_TRABAJO!G$5:G$112,MATCH($A63,2a_PRE_TRABAJO!$A$5:$A$112,0)),"")</f>
        <v/>
      </c>
      <c r="I63" s="5">
        <f>IFERROR(INDEX(2b_POST_TRABAJO!C$5:C$109,MATCH($A63,2b_POST_TRABAJO!$A$5:$A$109,0)),"")</f>
        <v/>
      </c>
      <c r="J63" s="5">
        <f>IFERROR(INDEX(2a_PRE_TRABAJO!AD$5:AD$112,MATCH($A63,2a_PRE_TRABAJO!$A$5:$A$112,0)),"")</f>
        <v/>
      </c>
      <c r="K63" s="5">
        <f>IFERROR(INDEX(2a_PRE_TRABAJO!AE$5:AE$112,MATCH($A63,2a_PRE_TRABAJO!$A$5:$A$112,0)),"")</f>
        <v/>
      </c>
      <c r="L63" s="5">
        <f>IFERROR(INDEX(2a_PRE_TRABAJO!AF$5:AF$112,MATCH($A63,2a_PRE_TRABAJO!$A$5:$A$112,0)),"")</f>
        <v/>
      </c>
      <c r="M63" s="5">
        <f>IFERROR(INDEX(2a_PRE_TRABAJO!AG$5:AG$112,MATCH($A63,2a_PRE_TRABAJO!$A$5:$A$112,0)),"")</f>
        <v/>
      </c>
      <c r="N63" s="5">
        <f>IFERROR(INDEX(2b_POST_TRABAJO!D$5:D$109,MATCH($A63,2b_POST_TRABAJO!$A$5:$A$109,0)),"")</f>
        <v/>
      </c>
      <c r="O63" s="5">
        <f>IF(OR(N63="",J63=""),"",N63-J63)</f>
        <v/>
      </c>
      <c r="P63" s="5">
        <f>IFERROR(INDEX(2a_PRE_TRABAJO!H$5:H$112,MATCH($A63,2a_PRE_TRABAJO!$A$5:$A$112,0)),"")</f>
        <v/>
      </c>
      <c r="Q63" s="5">
        <f>IFERROR(INDEX(2a_PRE_TRABAJO!I$5:I$112,MATCH($A63,2a_PRE_TRABAJO!$A$5:$A$112,0)),"")</f>
        <v/>
      </c>
      <c r="R63" s="5">
        <f>IFERROR(INDEX(2a_PRE_TRABAJO!J$5:J$112,MATCH($A63,2a_PRE_TRABAJO!$A$5:$A$112,0)),"")</f>
        <v/>
      </c>
      <c r="S63" s="5">
        <f>IFERROR(INDEX(2a_PRE_TRABAJO!K$5:K$112,MATCH($A63,2a_PRE_TRABAJO!$A$5:$A$112,0)),"")</f>
        <v/>
      </c>
      <c r="T63" s="5">
        <f>IFERROR(INDEX(2a_PRE_TRABAJO!L$5:L$112,MATCH($A63,2a_PRE_TRABAJO!$A$5:$A$112,0)),"")</f>
        <v/>
      </c>
      <c r="U63" s="5">
        <f>IFERROR(INDEX(2a_PRE_TRABAJO!M$5:M$112,MATCH($A63,2a_PRE_TRABAJO!$A$5:$A$112,0)),"")</f>
        <v/>
      </c>
      <c r="V63" s="5">
        <f>IFERROR(INDEX(2a_PRE_TRABAJO!N$5:N$112,MATCH($A63,2a_PRE_TRABAJO!$A$5:$A$112,0)),"")</f>
        <v/>
      </c>
      <c r="W63" s="5">
        <f>IFERROR(INDEX(2a_PRE_TRABAJO!O$5:O$112,MATCH($A63,2a_PRE_TRABAJO!$A$5:$A$112,0)),"")</f>
        <v/>
      </c>
      <c r="X63" s="5">
        <f>IFERROR(INDEX(2a_PRE_TRABAJO!P$5:P$112,MATCH($A63,2a_PRE_TRABAJO!$A$5:$A$112,0)),"")</f>
        <v/>
      </c>
      <c r="Y63" s="5">
        <f>IFERROR(INDEX(2a_PRE_TRABAJO!Q$5:Q$112,MATCH($A63,2a_PRE_TRABAJO!$A$5:$A$112,0)),"")</f>
        <v/>
      </c>
      <c r="Z63" s="5">
        <f>IFERROR(INDEX(2a_PRE_TRABAJO!R$5:R$112,MATCH($A63,2a_PRE_TRABAJO!$A$5:$A$112,0)),"")</f>
        <v/>
      </c>
      <c r="AA63" s="5">
        <f>IFERROR(INDEX(2a_PRE_TRABAJO!S$5:S$112,MATCH($A63,2a_PRE_TRABAJO!$A$5:$A$112,0)),"")</f>
        <v/>
      </c>
      <c r="AB63" s="5">
        <f>IFERROR(INDEX(2a_PRE_TRABAJO!T$5:T$112,MATCH($A63,2a_PRE_TRABAJO!$A$5:$A$112,0)),"")</f>
        <v/>
      </c>
      <c r="AC63" s="5">
        <f>IFERROR(INDEX(2a_PRE_TRABAJO!U$5:U$112,MATCH($A63,2a_PRE_TRABAJO!$A$5:$A$112,0)),"")</f>
        <v/>
      </c>
      <c r="AD63" s="5">
        <f>IFERROR(INDEX(2a_PRE_TRABAJO!V$5:V$112,MATCH($A63,2a_PRE_TRABAJO!$A$5:$A$112,0)),"")</f>
        <v/>
      </c>
      <c r="AE63" s="5">
        <f>IFERROR(INDEX(2a_PRE_TRABAJO!W$5:W$112,MATCH($A63,2a_PRE_TRABAJO!$A$5:$A$112,0)),"")</f>
        <v/>
      </c>
      <c r="AF63" s="5">
        <f>IFERROR(INDEX(2a_PRE_TRABAJO!X$5:X$112,MATCH($A63,2a_PRE_TRABAJO!$A$5:$A$112,0)),"")</f>
        <v/>
      </c>
      <c r="AG63" s="5">
        <f>IFERROR(INDEX(2a_PRE_TRABAJO!Y$5:Y$112,MATCH($A63,2a_PRE_TRABAJO!$A$5:$A$112,0)),"")</f>
        <v/>
      </c>
      <c r="AH63" s="5">
        <f>IFERROR(INDEX(2a_PRE_TRABAJO!Z$5:Z$112,MATCH($A63,2a_PRE_TRABAJO!$A$5:$A$112,0)),"")</f>
        <v/>
      </c>
      <c r="AI63" s="5">
        <f>IFERROR(INDEX(2a_PRE_TRABAJO!AA$5:AA$112,MATCH($A63,2a_PRE_TRABAJO!$A$5:$A$112,0)),"")</f>
        <v/>
      </c>
      <c r="AJ63" s="5">
        <f>IFERROR(INDEX(2a_PRE_TRABAJO!AB$5:AB$112,MATCH($A63,2a_PRE_TRABAJO!$A$5:$A$112,0)),"")</f>
        <v/>
      </c>
      <c r="AK63" s="5">
        <f>IFERROR(INDEX(2a_PRE_TRABAJO!AC$5:AC$112,MATCH($A63,2a_PRE_TRABAJO!$A$5:$A$112,0)),"")</f>
        <v/>
      </c>
    </row>
    <row r="64">
      <c r="A64" s="3" t="inlineStr">
        <is>
          <t>GU-TDH-071</t>
        </is>
      </c>
      <c r="B64" s="3" t="n">
        <v>1</v>
      </c>
      <c r="C64" s="5">
        <f>IFERROR(INDEX(2a_PRE_TRABAJO!B$5:B$112,MATCH($A64,2a_PRE_TRABAJO!$A$5:$A$112,0)),"")</f>
        <v/>
      </c>
      <c r="D64" s="5">
        <f>IFERROR(INDEX(2a_PRE_TRABAJO!C$5:C$112,MATCH($A64,2a_PRE_TRABAJO!$A$5:$A$112,0)),"")</f>
        <v/>
      </c>
      <c r="E64" s="5">
        <f>IFERROR(INDEX(2a_PRE_TRABAJO!D$5:D$112,MATCH($A64,2a_PRE_TRABAJO!$A$5:$A$112,0)),"")</f>
        <v/>
      </c>
      <c r="F64" s="5">
        <f>IFERROR(INDEX(2a_PRE_TRABAJO!E$5:E$112,MATCH($A64,2a_PRE_TRABAJO!$A$5:$A$112,0)),"")</f>
        <v/>
      </c>
      <c r="G64" s="5">
        <f>IFERROR(INDEX(2a_PRE_TRABAJO!F$5:F$112,MATCH($A64,2a_PRE_TRABAJO!$A$5:$A$112,0)),"")</f>
        <v/>
      </c>
      <c r="H64" s="5">
        <f>IFERROR(INDEX(2a_PRE_TRABAJO!G$5:G$112,MATCH($A64,2a_PRE_TRABAJO!$A$5:$A$112,0)),"")</f>
        <v/>
      </c>
      <c r="I64" s="5">
        <f>IFERROR(INDEX(2b_POST_TRABAJO!C$5:C$109,MATCH($A64,2b_POST_TRABAJO!$A$5:$A$109,0)),"")</f>
        <v/>
      </c>
      <c r="J64" s="5">
        <f>IFERROR(INDEX(2a_PRE_TRABAJO!AD$5:AD$112,MATCH($A64,2a_PRE_TRABAJO!$A$5:$A$112,0)),"")</f>
        <v/>
      </c>
      <c r="K64" s="5">
        <f>IFERROR(INDEX(2a_PRE_TRABAJO!AE$5:AE$112,MATCH($A64,2a_PRE_TRABAJO!$A$5:$A$112,0)),"")</f>
        <v/>
      </c>
      <c r="L64" s="5">
        <f>IFERROR(INDEX(2a_PRE_TRABAJO!AF$5:AF$112,MATCH($A64,2a_PRE_TRABAJO!$A$5:$A$112,0)),"")</f>
        <v/>
      </c>
      <c r="M64" s="5">
        <f>IFERROR(INDEX(2a_PRE_TRABAJO!AG$5:AG$112,MATCH($A64,2a_PRE_TRABAJO!$A$5:$A$112,0)),"")</f>
        <v/>
      </c>
      <c r="N64" s="5">
        <f>IFERROR(INDEX(2b_POST_TRABAJO!D$5:D$109,MATCH($A64,2b_POST_TRABAJO!$A$5:$A$109,0)),"")</f>
        <v/>
      </c>
      <c r="O64" s="5">
        <f>IF(OR(N64="",J64=""),"",N64-J64)</f>
        <v/>
      </c>
      <c r="P64" s="5">
        <f>IFERROR(INDEX(2a_PRE_TRABAJO!H$5:H$112,MATCH($A64,2a_PRE_TRABAJO!$A$5:$A$112,0)),"")</f>
        <v/>
      </c>
      <c r="Q64" s="5">
        <f>IFERROR(INDEX(2a_PRE_TRABAJO!I$5:I$112,MATCH($A64,2a_PRE_TRABAJO!$A$5:$A$112,0)),"")</f>
        <v/>
      </c>
      <c r="R64" s="5">
        <f>IFERROR(INDEX(2a_PRE_TRABAJO!J$5:J$112,MATCH($A64,2a_PRE_TRABAJO!$A$5:$A$112,0)),"")</f>
        <v/>
      </c>
      <c r="S64" s="5">
        <f>IFERROR(INDEX(2a_PRE_TRABAJO!K$5:K$112,MATCH($A64,2a_PRE_TRABAJO!$A$5:$A$112,0)),"")</f>
        <v/>
      </c>
      <c r="T64" s="5">
        <f>IFERROR(INDEX(2a_PRE_TRABAJO!L$5:L$112,MATCH($A64,2a_PRE_TRABAJO!$A$5:$A$112,0)),"")</f>
        <v/>
      </c>
      <c r="U64" s="5">
        <f>IFERROR(INDEX(2a_PRE_TRABAJO!M$5:M$112,MATCH($A64,2a_PRE_TRABAJO!$A$5:$A$112,0)),"")</f>
        <v/>
      </c>
      <c r="V64" s="5">
        <f>IFERROR(INDEX(2a_PRE_TRABAJO!N$5:N$112,MATCH($A64,2a_PRE_TRABAJO!$A$5:$A$112,0)),"")</f>
        <v/>
      </c>
      <c r="W64" s="5">
        <f>IFERROR(INDEX(2a_PRE_TRABAJO!O$5:O$112,MATCH($A64,2a_PRE_TRABAJO!$A$5:$A$112,0)),"")</f>
        <v/>
      </c>
      <c r="X64" s="5">
        <f>IFERROR(INDEX(2a_PRE_TRABAJO!P$5:P$112,MATCH($A64,2a_PRE_TRABAJO!$A$5:$A$112,0)),"")</f>
        <v/>
      </c>
      <c r="Y64" s="5">
        <f>IFERROR(INDEX(2a_PRE_TRABAJO!Q$5:Q$112,MATCH($A64,2a_PRE_TRABAJO!$A$5:$A$112,0)),"")</f>
        <v/>
      </c>
      <c r="Z64" s="5">
        <f>IFERROR(INDEX(2a_PRE_TRABAJO!R$5:R$112,MATCH($A64,2a_PRE_TRABAJO!$A$5:$A$112,0)),"")</f>
        <v/>
      </c>
      <c r="AA64" s="5">
        <f>IFERROR(INDEX(2a_PRE_TRABAJO!S$5:S$112,MATCH($A64,2a_PRE_TRABAJO!$A$5:$A$112,0)),"")</f>
        <v/>
      </c>
      <c r="AB64" s="5">
        <f>IFERROR(INDEX(2a_PRE_TRABAJO!T$5:T$112,MATCH($A64,2a_PRE_TRABAJO!$A$5:$A$112,0)),"")</f>
        <v/>
      </c>
      <c r="AC64" s="5">
        <f>IFERROR(INDEX(2a_PRE_TRABAJO!U$5:U$112,MATCH($A64,2a_PRE_TRABAJO!$A$5:$A$112,0)),"")</f>
        <v/>
      </c>
      <c r="AD64" s="5">
        <f>IFERROR(INDEX(2a_PRE_TRABAJO!V$5:V$112,MATCH($A64,2a_PRE_TRABAJO!$A$5:$A$112,0)),"")</f>
        <v/>
      </c>
      <c r="AE64" s="5">
        <f>IFERROR(INDEX(2a_PRE_TRABAJO!W$5:W$112,MATCH($A64,2a_PRE_TRABAJO!$A$5:$A$112,0)),"")</f>
        <v/>
      </c>
      <c r="AF64" s="5">
        <f>IFERROR(INDEX(2a_PRE_TRABAJO!X$5:X$112,MATCH($A64,2a_PRE_TRABAJO!$A$5:$A$112,0)),"")</f>
        <v/>
      </c>
      <c r="AG64" s="5">
        <f>IFERROR(INDEX(2a_PRE_TRABAJO!Y$5:Y$112,MATCH($A64,2a_PRE_TRABAJO!$A$5:$A$112,0)),"")</f>
        <v/>
      </c>
      <c r="AH64" s="5">
        <f>IFERROR(INDEX(2a_PRE_TRABAJO!Z$5:Z$112,MATCH($A64,2a_PRE_TRABAJO!$A$5:$A$112,0)),"")</f>
        <v/>
      </c>
      <c r="AI64" s="5">
        <f>IFERROR(INDEX(2a_PRE_TRABAJO!AA$5:AA$112,MATCH($A64,2a_PRE_TRABAJO!$A$5:$A$112,0)),"")</f>
        <v/>
      </c>
      <c r="AJ64" s="5">
        <f>IFERROR(INDEX(2a_PRE_TRABAJO!AB$5:AB$112,MATCH($A64,2a_PRE_TRABAJO!$A$5:$A$112,0)),"")</f>
        <v/>
      </c>
      <c r="AK64" s="5">
        <f>IFERROR(INDEX(2a_PRE_TRABAJO!AC$5:AC$112,MATCH($A64,2a_PRE_TRABAJO!$A$5:$A$112,0)),"")</f>
        <v/>
      </c>
    </row>
    <row r="65">
      <c r="A65" s="3" t="inlineStr">
        <is>
          <t>GU-TDH-072</t>
        </is>
      </c>
      <c r="B65" s="3" t="n">
        <v>1</v>
      </c>
      <c r="C65" s="5">
        <f>IFERROR(INDEX(2a_PRE_TRABAJO!B$5:B$112,MATCH($A65,2a_PRE_TRABAJO!$A$5:$A$112,0)),"")</f>
        <v/>
      </c>
      <c r="D65" s="5">
        <f>IFERROR(INDEX(2a_PRE_TRABAJO!C$5:C$112,MATCH($A65,2a_PRE_TRABAJO!$A$5:$A$112,0)),"")</f>
        <v/>
      </c>
      <c r="E65" s="5">
        <f>IFERROR(INDEX(2a_PRE_TRABAJO!D$5:D$112,MATCH($A65,2a_PRE_TRABAJO!$A$5:$A$112,0)),"")</f>
        <v/>
      </c>
      <c r="F65" s="5">
        <f>IFERROR(INDEX(2a_PRE_TRABAJO!E$5:E$112,MATCH($A65,2a_PRE_TRABAJO!$A$5:$A$112,0)),"")</f>
        <v/>
      </c>
      <c r="G65" s="5">
        <f>IFERROR(INDEX(2a_PRE_TRABAJO!F$5:F$112,MATCH($A65,2a_PRE_TRABAJO!$A$5:$A$112,0)),"")</f>
        <v/>
      </c>
      <c r="H65" s="5">
        <f>IFERROR(INDEX(2a_PRE_TRABAJO!G$5:G$112,MATCH($A65,2a_PRE_TRABAJO!$A$5:$A$112,0)),"")</f>
        <v/>
      </c>
      <c r="I65" s="5">
        <f>IFERROR(INDEX(2b_POST_TRABAJO!C$5:C$109,MATCH($A65,2b_POST_TRABAJO!$A$5:$A$109,0)),"")</f>
        <v/>
      </c>
      <c r="J65" s="5">
        <f>IFERROR(INDEX(2a_PRE_TRABAJO!AD$5:AD$112,MATCH($A65,2a_PRE_TRABAJO!$A$5:$A$112,0)),"")</f>
        <v/>
      </c>
      <c r="K65" s="5">
        <f>IFERROR(INDEX(2a_PRE_TRABAJO!AE$5:AE$112,MATCH($A65,2a_PRE_TRABAJO!$A$5:$A$112,0)),"")</f>
        <v/>
      </c>
      <c r="L65" s="5">
        <f>IFERROR(INDEX(2a_PRE_TRABAJO!AF$5:AF$112,MATCH($A65,2a_PRE_TRABAJO!$A$5:$A$112,0)),"")</f>
        <v/>
      </c>
      <c r="M65" s="5">
        <f>IFERROR(INDEX(2a_PRE_TRABAJO!AG$5:AG$112,MATCH($A65,2a_PRE_TRABAJO!$A$5:$A$112,0)),"")</f>
        <v/>
      </c>
      <c r="N65" s="5">
        <f>IFERROR(INDEX(2b_POST_TRABAJO!D$5:D$109,MATCH($A65,2b_POST_TRABAJO!$A$5:$A$109,0)),"")</f>
        <v/>
      </c>
      <c r="O65" s="5">
        <f>IF(OR(N65="",J65=""),"",N65-J65)</f>
        <v/>
      </c>
      <c r="P65" s="5">
        <f>IFERROR(INDEX(2a_PRE_TRABAJO!H$5:H$112,MATCH($A65,2a_PRE_TRABAJO!$A$5:$A$112,0)),"")</f>
        <v/>
      </c>
      <c r="Q65" s="5">
        <f>IFERROR(INDEX(2a_PRE_TRABAJO!I$5:I$112,MATCH($A65,2a_PRE_TRABAJO!$A$5:$A$112,0)),"")</f>
        <v/>
      </c>
      <c r="R65" s="5">
        <f>IFERROR(INDEX(2a_PRE_TRABAJO!J$5:J$112,MATCH($A65,2a_PRE_TRABAJO!$A$5:$A$112,0)),"")</f>
        <v/>
      </c>
      <c r="S65" s="5">
        <f>IFERROR(INDEX(2a_PRE_TRABAJO!K$5:K$112,MATCH($A65,2a_PRE_TRABAJO!$A$5:$A$112,0)),"")</f>
        <v/>
      </c>
      <c r="T65" s="5">
        <f>IFERROR(INDEX(2a_PRE_TRABAJO!L$5:L$112,MATCH($A65,2a_PRE_TRABAJO!$A$5:$A$112,0)),"")</f>
        <v/>
      </c>
      <c r="U65" s="5">
        <f>IFERROR(INDEX(2a_PRE_TRABAJO!M$5:M$112,MATCH($A65,2a_PRE_TRABAJO!$A$5:$A$112,0)),"")</f>
        <v/>
      </c>
      <c r="V65" s="5">
        <f>IFERROR(INDEX(2a_PRE_TRABAJO!N$5:N$112,MATCH($A65,2a_PRE_TRABAJO!$A$5:$A$112,0)),"")</f>
        <v/>
      </c>
      <c r="W65" s="5">
        <f>IFERROR(INDEX(2a_PRE_TRABAJO!O$5:O$112,MATCH($A65,2a_PRE_TRABAJO!$A$5:$A$112,0)),"")</f>
        <v/>
      </c>
      <c r="X65" s="5">
        <f>IFERROR(INDEX(2a_PRE_TRABAJO!P$5:P$112,MATCH($A65,2a_PRE_TRABAJO!$A$5:$A$112,0)),"")</f>
        <v/>
      </c>
      <c r="Y65" s="5">
        <f>IFERROR(INDEX(2a_PRE_TRABAJO!Q$5:Q$112,MATCH($A65,2a_PRE_TRABAJO!$A$5:$A$112,0)),"")</f>
        <v/>
      </c>
      <c r="Z65" s="5">
        <f>IFERROR(INDEX(2a_PRE_TRABAJO!R$5:R$112,MATCH($A65,2a_PRE_TRABAJO!$A$5:$A$112,0)),"")</f>
        <v/>
      </c>
      <c r="AA65" s="5">
        <f>IFERROR(INDEX(2a_PRE_TRABAJO!S$5:S$112,MATCH($A65,2a_PRE_TRABAJO!$A$5:$A$112,0)),"")</f>
        <v/>
      </c>
      <c r="AB65" s="5">
        <f>IFERROR(INDEX(2a_PRE_TRABAJO!T$5:T$112,MATCH($A65,2a_PRE_TRABAJO!$A$5:$A$112,0)),"")</f>
        <v/>
      </c>
      <c r="AC65" s="5">
        <f>IFERROR(INDEX(2a_PRE_TRABAJO!U$5:U$112,MATCH($A65,2a_PRE_TRABAJO!$A$5:$A$112,0)),"")</f>
        <v/>
      </c>
      <c r="AD65" s="5">
        <f>IFERROR(INDEX(2a_PRE_TRABAJO!V$5:V$112,MATCH($A65,2a_PRE_TRABAJO!$A$5:$A$112,0)),"")</f>
        <v/>
      </c>
      <c r="AE65" s="5">
        <f>IFERROR(INDEX(2a_PRE_TRABAJO!W$5:W$112,MATCH($A65,2a_PRE_TRABAJO!$A$5:$A$112,0)),"")</f>
        <v/>
      </c>
      <c r="AF65" s="5">
        <f>IFERROR(INDEX(2a_PRE_TRABAJO!X$5:X$112,MATCH($A65,2a_PRE_TRABAJO!$A$5:$A$112,0)),"")</f>
        <v/>
      </c>
      <c r="AG65" s="5">
        <f>IFERROR(INDEX(2a_PRE_TRABAJO!Y$5:Y$112,MATCH($A65,2a_PRE_TRABAJO!$A$5:$A$112,0)),"")</f>
        <v/>
      </c>
      <c r="AH65" s="5">
        <f>IFERROR(INDEX(2a_PRE_TRABAJO!Z$5:Z$112,MATCH($A65,2a_PRE_TRABAJO!$A$5:$A$112,0)),"")</f>
        <v/>
      </c>
      <c r="AI65" s="5">
        <f>IFERROR(INDEX(2a_PRE_TRABAJO!AA$5:AA$112,MATCH($A65,2a_PRE_TRABAJO!$A$5:$A$112,0)),"")</f>
        <v/>
      </c>
      <c r="AJ65" s="5">
        <f>IFERROR(INDEX(2a_PRE_TRABAJO!AB$5:AB$112,MATCH($A65,2a_PRE_TRABAJO!$A$5:$A$112,0)),"")</f>
        <v/>
      </c>
      <c r="AK65" s="5">
        <f>IFERROR(INDEX(2a_PRE_TRABAJO!AC$5:AC$112,MATCH($A65,2a_PRE_TRABAJO!$A$5:$A$112,0)),"")</f>
        <v/>
      </c>
    </row>
    <row r="66">
      <c r="A66" s="3" t="inlineStr">
        <is>
          <t>GU-TDH-073</t>
        </is>
      </c>
      <c r="B66" s="3" t="n">
        <v>1</v>
      </c>
      <c r="C66" s="5">
        <f>IFERROR(INDEX(2a_PRE_TRABAJO!B$5:B$112,MATCH($A66,2a_PRE_TRABAJO!$A$5:$A$112,0)),"")</f>
        <v/>
      </c>
      <c r="D66" s="5">
        <f>IFERROR(INDEX(2a_PRE_TRABAJO!C$5:C$112,MATCH($A66,2a_PRE_TRABAJO!$A$5:$A$112,0)),"")</f>
        <v/>
      </c>
      <c r="E66" s="5">
        <f>IFERROR(INDEX(2a_PRE_TRABAJO!D$5:D$112,MATCH($A66,2a_PRE_TRABAJO!$A$5:$A$112,0)),"")</f>
        <v/>
      </c>
      <c r="F66" s="5">
        <f>IFERROR(INDEX(2a_PRE_TRABAJO!E$5:E$112,MATCH($A66,2a_PRE_TRABAJO!$A$5:$A$112,0)),"")</f>
        <v/>
      </c>
      <c r="G66" s="5">
        <f>IFERROR(INDEX(2a_PRE_TRABAJO!F$5:F$112,MATCH($A66,2a_PRE_TRABAJO!$A$5:$A$112,0)),"")</f>
        <v/>
      </c>
      <c r="H66" s="5">
        <f>IFERROR(INDEX(2a_PRE_TRABAJO!G$5:G$112,MATCH($A66,2a_PRE_TRABAJO!$A$5:$A$112,0)),"")</f>
        <v/>
      </c>
      <c r="I66" s="5">
        <f>IFERROR(INDEX(2b_POST_TRABAJO!C$5:C$109,MATCH($A66,2b_POST_TRABAJO!$A$5:$A$109,0)),"")</f>
        <v/>
      </c>
      <c r="J66" s="5">
        <f>IFERROR(INDEX(2a_PRE_TRABAJO!AD$5:AD$112,MATCH($A66,2a_PRE_TRABAJO!$A$5:$A$112,0)),"")</f>
        <v/>
      </c>
      <c r="K66" s="5">
        <f>IFERROR(INDEX(2a_PRE_TRABAJO!AE$5:AE$112,MATCH($A66,2a_PRE_TRABAJO!$A$5:$A$112,0)),"")</f>
        <v/>
      </c>
      <c r="L66" s="5">
        <f>IFERROR(INDEX(2a_PRE_TRABAJO!AF$5:AF$112,MATCH($A66,2a_PRE_TRABAJO!$A$5:$A$112,0)),"")</f>
        <v/>
      </c>
      <c r="M66" s="5">
        <f>IFERROR(INDEX(2a_PRE_TRABAJO!AG$5:AG$112,MATCH($A66,2a_PRE_TRABAJO!$A$5:$A$112,0)),"")</f>
        <v/>
      </c>
      <c r="N66" s="5">
        <f>IFERROR(INDEX(2b_POST_TRABAJO!D$5:D$109,MATCH($A66,2b_POST_TRABAJO!$A$5:$A$109,0)),"")</f>
        <v/>
      </c>
      <c r="O66" s="5">
        <f>IF(OR(N66="",J66=""),"",N66-J66)</f>
        <v/>
      </c>
      <c r="P66" s="5">
        <f>IFERROR(INDEX(2a_PRE_TRABAJO!H$5:H$112,MATCH($A66,2a_PRE_TRABAJO!$A$5:$A$112,0)),"")</f>
        <v/>
      </c>
      <c r="Q66" s="5">
        <f>IFERROR(INDEX(2a_PRE_TRABAJO!I$5:I$112,MATCH($A66,2a_PRE_TRABAJO!$A$5:$A$112,0)),"")</f>
        <v/>
      </c>
      <c r="R66" s="5">
        <f>IFERROR(INDEX(2a_PRE_TRABAJO!J$5:J$112,MATCH($A66,2a_PRE_TRABAJO!$A$5:$A$112,0)),"")</f>
        <v/>
      </c>
      <c r="S66" s="5">
        <f>IFERROR(INDEX(2a_PRE_TRABAJO!K$5:K$112,MATCH($A66,2a_PRE_TRABAJO!$A$5:$A$112,0)),"")</f>
        <v/>
      </c>
      <c r="T66" s="5">
        <f>IFERROR(INDEX(2a_PRE_TRABAJO!L$5:L$112,MATCH($A66,2a_PRE_TRABAJO!$A$5:$A$112,0)),"")</f>
        <v/>
      </c>
      <c r="U66" s="5">
        <f>IFERROR(INDEX(2a_PRE_TRABAJO!M$5:M$112,MATCH($A66,2a_PRE_TRABAJO!$A$5:$A$112,0)),"")</f>
        <v/>
      </c>
      <c r="V66" s="5">
        <f>IFERROR(INDEX(2a_PRE_TRABAJO!N$5:N$112,MATCH($A66,2a_PRE_TRABAJO!$A$5:$A$112,0)),"")</f>
        <v/>
      </c>
      <c r="W66" s="5">
        <f>IFERROR(INDEX(2a_PRE_TRABAJO!O$5:O$112,MATCH($A66,2a_PRE_TRABAJO!$A$5:$A$112,0)),"")</f>
        <v/>
      </c>
      <c r="X66" s="5">
        <f>IFERROR(INDEX(2a_PRE_TRABAJO!P$5:P$112,MATCH($A66,2a_PRE_TRABAJO!$A$5:$A$112,0)),"")</f>
        <v/>
      </c>
      <c r="Y66" s="5">
        <f>IFERROR(INDEX(2a_PRE_TRABAJO!Q$5:Q$112,MATCH($A66,2a_PRE_TRABAJO!$A$5:$A$112,0)),"")</f>
        <v/>
      </c>
      <c r="Z66" s="5">
        <f>IFERROR(INDEX(2a_PRE_TRABAJO!R$5:R$112,MATCH($A66,2a_PRE_TRABAJO!$A$5:$A$112,0)),"")</f>
        <v/>
      </c>
      <c r="AA66" s="5">
        <f>IFERROR(INDEX(2a_PRE_TRABAJO!S$5:S$112,MATCH($A66,2a_PRE_TRABAJO!$A$5:$A$112,0)),"")</f>
        <v/>
      </c>
      <c r="AB66" s="5">
        <f>IFERROR(INDEX(2a_PRE_TRABAJO!T$5:T$112,MATCH($A66,2a_PRE_TRABAJO!$A$5:$A$112,0)),"")</f>
        <v/>
      </c>
      <c r="AC66" s="5">
        <f>IFERROR(INDEX(2a_PRE_TRABAJO!U$5:U$112,MATCH($A66,2a_PRE_TRABAJO!$A$5:$A$112,0)),"")</f>
        <v/>
      </c>
      <c r="AD66" s="5">
        <f>IFERROR(INDEX(2a_PRE_TRABAJO!V$5:V$112,MATCH($A66,2a_PRE_TRABAJO!$A$5:$A$112,0)),"")</f>
        <v/>
      </c>
      <c r="AE66" s="5">
        <f>IFERROR(INDEX(2a_PRE_TRABAJO!W$5:W$112,MATCH($A66,2a_PRE_TRABAJO!$A$5:$A$112,0)),"")</f>
        <v/>
      </c>
      <c r="AF66" s="5">
        <f>IFERROR(INDEX(2a_PRE_TRABAJO!X$5:X$112,MATCH($A66,2a_PRE_TRABAJO!$A$5:$A$112,0)),"")</f>
        <v/>
      </c>
      <c r="AG66" s="5">
        <f>IFERROR(INDEX(2a_PRE_TRABAJO!Y$5:Y$112,MATCH($A66,2a_PRE_TRABAJO!$A$5:$A$112,0)),"")</f>
        <v/>
      </c>
      <c r="AH66" s="5">
        <f>IFERROR(INDEX(2a_PRE_TRABAJO!Z$5:Z$112,MATCH($A66,2a_PRE_TRABAJO!$A$5:$A$112,0)),"")</f>
        <v/>
      </c>
      <c r="AI66" s="5">
        <f>IFERROR(INDEX(2a_PRE_TRABAJO!AA$5:AA$112,MATCH($A66,2a_PRE_TRABAJO!$A$5:$A$112,0)),"")</f>
        <v/>
      </c>
      <c r="AJ66" s="5">
        <f>IFERROR(INDEX(2a_PRE_TRABAJO!AB$5:AB$112,MATCH($A66,2a_PRE_TRABAJO!$A$5:$A$112,0)),"")</f>
        <v/>
      </c>
      <c r="AK66" s="5">
        <f>IFERROR(INDEX(2a_PRE_TRABAJO!AC$5:AC$112,MATCH($A66,2a_PRE_TRABAJO!$A$5:$A$112,0)),"")</f>
        <v/>
      </c>
    </row>
    <row r="67">
      <c r="A67" s="3" t="inlineStr">
        <is>
          <t>GU-TDH-074</t>
        </is>
      </c>
      <c r="B67" s="3" t="n">
        <v>1</v>
      </c>
      <c r="C67" s="5">
        <f>IFERROR(INDEX(2a_PRE_TRABAJO!B$5:B$112,MATCH($A67,2a_PRE_TRABAJO!$A$5:$A$112,0)),"")</f>
        <v/>
      </c>
      <c r="D67" s="5">
        <f>IFERROR(INDEX(2a_PRE_TRABAJO!C$5:C$112,MATCH($A67,2a_PRE_TRABAJO!$A$5:$A$112,0)),"")</f>
        <v/>
      </c>
      <c r="E67" s="5">
        <f>IFERROR(INDEX(2a_PRE_TRABAJO!D$5:D$112,MATCH($A67,2a_PRE_TRABAJO!$A$5:$A$112,0)),"")</f>
        <v/>
      </c>
      <c r="F67" s="5">
        <f>IFERROR(INDEX(2a_PRE_TRABAJO!E$5:E$112,MATCH($A67,2a_PRE_TRABAJO!$A$5:$A$112,0)),"")</f>
        <v/>
      </c>
      <c r="G67" s="5">
        <f>IFERROR(INDEX(2a_PRE_TRABAJO!F$5:F$112,MATCH($A67,2a_PRE_TRABAJO!$A$5:$A$112,0)),"")</f>
        <v/>
      </c>
      <c r="H67" s="5">
        <f>IFERROR(INDEX(2a_PRE_TRABAJO!G$5:G$112,MATCH($A67,2a_PRE_TRABAJO!$A$5:$A$112,0)),"")</f>
        <v/>
      </c>
      <c r="I67" s="5">
        <f>IFERROR(INDEX(2b_POST_TRABAJO!C$5:C$109,MATCH($A67,2b_POST_TRABAJO!$A$5:$A$109,0)),"")</f>
        <v/>
      </c>
      <c r="J67" s="5">
        <f>IFERROR(INDEX(2a_PRE_TRABAJO!AD$5:AD$112,MATCH($A67,2a_PRE_TRABAJO!$A$5:$A$112,0)),"")</f>
        <v/>
      </c>
      <c r="K67" s="5">
        <f>IFERROR(INDEX(2a_PRE_TRABAJO!AE$5:AE$112,MATCH($A67,2a_PRE_TRABAJO!$A$5:$A$112,0)),"")</f>
        <v/>
      </c>
      <c r="L67" s="5">
        <f>IFERROR(INDEX(2a_PRE_TRABAJO!AF$5:AF$112,MATCH($A67,2a_PRE_TRABAJO!$A$5:$A$112,0)),"")</f>
        <v/>
      </c>
      <c r="M67" s="5">
        <f>IFERROR(INDEX(2a_PRE_TRABAJO!AG$5:AG$112,MATCH($A67,2a_PRE_TRABAJO!$A$5:$A$112,0)),"")</f>
        <v/>
      </c>
      <c r="N67" s="5">
        <f>IFERROR(INDEX(2b_POST_TRABAJO!D$5:D$109,MATCH($A67,2b_POST_TRABAJO!$A$5:$A$109,0)),"")</f>
        <v/>
      </c>
      <c r="O67" s="5">
        <f>IF(OR(N67="",J67=""),"",N67-J67)</f>
        <v/>
      </c>
      <c r="P67" s="5">
        <f>IFERROR(INDEX(2a_PRE_TRABAJO!H$5:H$112,MATCH($A67,2a_PRE_TRABAJO!$A$5:$A$112,0)),"")</f>
        <v/>
      </c>
      <c r="Q67" s="5">
        <f>IFERROR(INDEX(2a_PRE_TRABAJO!I$5:I$112,MATCH($A67,2a_PRE_TRABAJO!$A$5:$A$112,0)),"")</f>
        <v/>
      </c>
      <c r="R67" s="5">
        <f>IFERROR(INDEX(2a_PRE_TRABAJO!J$5:J$112,MATCH($A67,2a_PRE_TRABAJO!$A$5:$A$112,0)),"")</f>
        <v/>
      </c>
      <c r="S67" s="5">
        <f>IFERROR(INDEX(2a_PRE_TRABAJO!K$5:K$112,MATCH($A67,2a_PRE_TRABAJO!$A$5:$A$112,0)),"")</f>
        <v/>
      </c>
      <c r="T67" s="5">
        <f>IFERROR(INDEX(2a_PRE_TRABAJO!L$5:L$112,MATCH($A67,2a_PRE_TRABAJO!$A$5:$A$112,0)),"")</f>
        <v/>
      </c>
      <c r="U67" s="5">
        <f>IFERROR(INDEX(2a_PRE_TRABAJO!M$5:M$112,MATCH($A67,2a_PRE_TRABAJO!$A$5:$A$112,0)),"")</f>
        <v/>
      </c>
      <c r="V67" s="5">
        <f>IFERROR(INDEX(2a_PRE_TRABAJO!N$5:N$112,MATCH($A67,2a_PRE_TRABAJO!$A$5:$A$112,0)),"")</f>
        <v/>
      </c>
      <c r="W67" s="5">
        <f>IFERROR(INDEX(2a_PRE_TRABAJO!O$5:O$112,MATCH($A67,2a_PRE_TRABAJO!$A$5:$A$112,0)),"")</f>
        <v/>
      </c>
      <c r="X67" s="5">
        <f>IFERROR(INDEX(2a_PRE_TRABAJO!P$5:P$112,MATCH($A67,2a_PRE_TRABAJO!$A$5:$A$112,0)),"")</f>
        <v/>
      </c>
      <c r="Y67" s="5">
        <f>IFERROR(INDEX(2a_PRE_TRABAJO!Q$5:Q$112,MATCH($A67,2a_PRE_TRABAJO!$A$5:$A$112,0)),"")</f>
        <v/>
      </c>
      <c r="Z67" s="5">
        <f>IFERROR(INDEX(2a_PRE_TRABAJO!R$5:R$112,MATCH($A67,2a_PRE_TRABAJO!$A$5:$A$112,0)),"")</f>
        <v/>
      </c>
      <c r="AA67" s="5">
        <f>IFERROR(INDEX(2a_PRE_TRABAJO!S$5:S$112,MATCH($A67,2a_PRE_TRABAJO!$A$5:$A$112,0)),"")</f>
        <v/>
      </c>
      <c r="AB67" s="5">
        <f>IFERROR(INDEX(2a_PRE_TRABAJO!T$5:T$112,MATCH($A67,2a_PRE_TRABAJO!$A$5:$A$112,0)),"")</f>
        <v/>
      </c>
      <c r="AC67" s="5">
        <f>IFERROR(INDEX(2a_PRE_TRABAJO!U$5:U$112,MATCH($A67,2a_PRE_TRABAJO!$A$5:$A$112,0)),"")</f>
        <v/>
      </c>
      <c r="AD67" s="5">
        <f>IFERROR(INDEX(2a_PRE_TRABAJO!V$5:V$112,MATCH($A67,2a_PRE_TRABAJO!$A$5:$A$112,0)),"")</f>
        <v/>
      </c>
      <c r="AE67" s="5">
        <f>IFERROR(INDEX(2a_PRE_TRABAJO!W$5:W$112,MATCH($A67,2a_PRE_TRABAJO!$A$5:$A$112,0)),"")</f>
        <v/>
      </c>
      <c r="AF67" s="5">
        <f>IFERROR(INDEX(2a_PRE_TRABAJO!X$5:X$112,MATCH($A67,2a_PRE_TRABAJO!$A$5:$A$112,0)),"")</f>
        <v/>
      </c>
      <c r="AG67" s="5">
        <f>IFERROR(INDEX(2a_PRE_TRABAJO!Y$5:Y$112,MATCH($A67,2a_PRE_TRABAJO!$A$5:$A$112,0)),"")</f>
        <v/>
      </c>
      <c r="AH67" s="5">
        <f>IFERROR(INDEX(2a_PRE_TRABAJO!Z$5:Z$112,MATCH($A67,2a_PRE_TRABAJO!$A$5:$A$112,0)),"")</f>
        <v/>
      </c>
      <c r="AI67" s="5">
        <f>IFERROR(INDEX(2a_PRE_TRABAJO!AA$5:AA$112,MATCH($A67,2a_PRE_TRABAJO!$A$5:$A$112,0)),"")</f>
        <v/>
      </c>
      <c r="AJ67" s="5">
        <f>IFERROR(INDEX(2a_PRE_TRABAJO!AB$5:AB$112,MATCH($A67,2a_PRE_TRABAJO!$A$5:$A$112,0)),"")</f>
        <v/>
      </c>
      <c r="AK67" s="5">
        <f>IFERROR(INDEX(2a_PRE_TRABAJO!AC$5:AC$112,MATCH($A67,2a_PRE_TRABAJO!$A$5:$A$112,0)),"")</f>
        <v/>
      </c>
    </row>
    <row r="68">
      <c r="A68" s="3" t="inlineStr">
        <is>
          <t>GU-TDH-075</t>
        </is>
      </c>
      <c r="B68" s="3" t="n">
        <v>1</v>
      </c>
      <c r="C68" s="5">
        <f>IFERROR(INDEX(2a_PRE_TRABAJO!B$5:B$112,MATCH($A68,2a_PRE_TRABAJO!$A$5:$A$112,0)),"")</f>
        <v/>
      </c>
      <c r="D68" s="5">
        <f>IFERROR(INDEX(2a_PRE_TRABAJO!C$5:C$112,MATCH($A68,2a_PRE_TRABAJO!$A$5:$A$112,0)),"")</f>
        <v/>
      </c>
      <c r="E68" s="5">
        <f>IFERROR(INDEX(2a_PRE_TRABAJO!D$5:D$112,MATCH($A68,2a_PRE_TRABAJO!$A$5:$A$112,0)),"")</f>
        <v/>
      </c>
      <c r="F68" s="5">
        <f>IFERROR(INDEX(2a_PRE_TRABAJO!E$5:E$112,MATCH($A68,2a_PRE_TRABAJO!$A$5:$A$112,0)),"")</f>
        <v/>
      </c>
      <c r="G68" s="5">
        <f>IFERROR(INDEX(2a_PRE_TRABAJO!F$5:F$112,MATCH($A68,2a_PRE_TRABAJO!$A$5:$A$112,0)),"")</f>
        <v/>
      </c>
      <c r="H68" s="5">
        <f>IFERROR(INDEX(2a_PRE_TRABAJO!G$5:G$112,MATCH($A68,2a_PRE_TRABAJO!$A$5:$A$112,0)),"")</f>
        <v/>
      </c>
      <c r="I68" s="5">
        <f>IFERROR(INDEX(2b_POST_TRABAJO!C$5:C$109,MATCH($A68,2b_POST_TRABAJO!$A$5:$A$109,0)),"")</f>
        <v/>
      </c>
      <c r="J68" s="5">
        <f>IFERROR(INDEX(2a_PRE_TRABAJO!AD$5:AD$112,MATCH($A68,2a_PRE_TRABAJO!$A$5:$A$112,0)),"")</f>
        <v/>
      </c>
      <c r="K68" s="5">
        <f>IFERROR(INDEX(2a_PRE_TRABAJO!AE$5:AE$112,MATCH($A68,2a_PRE_TRABAJO!$A$5:$A$112,0)),"")</f>
        <v/>
      </c>
      <c r="L68" s="5">
        <f>IFERROR(INDEX(2a_PRE_TRABAJO!AF$5:AF$112,MATCH($A68,2a_PRE_TRABAJO!$A$5:$A$112,0)),"")</f>
        <v/>
      </c>
      <c r="M68" s="5">
        <f>IFERROR(INDEX(2a_PRE_TRABAJO!AG$5:AG$112,MATCH($A68,2a_PRE_TRABAJO!$A$5:$A$112,0)),"")</f>
        <v/>
      </c>
      <c r="N68" s="5">
        <f>IFERROR(INDEX(2b_POST_TRABAJO!D$5:D$109,MATCH($A68,2b_POST_TRABAJO!$A$5:$A$109,0)),"")</f>
        <v/>
      </c>
      <c r="O68" s="5">
        <f>IF(OR(N68="",J68=""),"",N68-J68)</f>
        <v/>
      </c>
      <c r="P68" s="5">
        <f>IFERROR(INDEX(2a_PRE_TRABAJO!H$5:H$112,MATCH($A68,2a_PRE_TRABAJO!$A$5:$A$112,0)),"")</f>
        <v/>
      </c>
      <c r="Q68" s="5">
        <f>IFERROR(INDEX(2a_PRE_TRABAJO!I$5:I$112,MATCH($A68,2a_PRE_TRABAJO!$A$5:$A$112,0)),"")</f>
        <v/>
      </c>
      <c r="R68" s="5">
        <f>IFERROR(INDEX(2a_PRE_TRABAJO!J$5:J$112,MATCH($A68,2a_PRE_TRABAJO!$A$5:$A$112,0)),"")</f>
        <v/>
      </c>
      <c r="S68" s="5">
        <f>IFERROR(INDEX(2a_PRE_TRABAJO!K$5:K$112,MATCH($A68,2a_PRE_TRABAJO!$A$5:$A$112,0)),"")</f>
        <v/>
      </c>
      <c r="T68" s="5">
        <f>IFERROR(INDEX(2a_PRE_TRABAJO!L$5:L$112,MATCH($A68,2a_PRE_TRABAJO!$A$5:$A$112,0)),"")</f>
        <v/>
      </c>
      <c r="U68" s="5">
        <f>IFERROR(INDEX(2a_PRE_TRABAJO!M$5:M$112,MATCH($A68,2a_PRE_TRABAJO!$A$5:$A$112,0)),"")</f>
        <v/>
      </c>
      <c r="V68" s="5">
        <f>IFERROR(INDEX(2a_PRE_TRABAJO!N$5:N$112,MATCH($A68,2a_PRE_TRABAJO!$A$5:$A$112,0)),"")</f>
        <v/>
      </c>
      <c r="W68" s="5">
        <f>IFERROR(INDEX(2a_PRE_TRABAJO!O$5:O$112,MATCH($A68,2a_PRE_TRABAJO!$A$5:$A$112,0)),"")</f>
        <v/>
      </c>
      <c r="X68" s="5">
        <f>IFERROR(INDEX(2a_PRE_TRABAJO!P$5:P$112,MATCH($A68,2a_PRE_TRABAJO!$A$5:$A$112,0)),"")</f>
        <v/>
      </c>
      <c r="Y68" s="5">
        <f>IFERROR(INDEX(2a_PRE_TRABAJO!Q$5:Q$112,MATCH($A68,2a_PRE_TRABAJO!$A$5:$A$112,0)),"")</f>
        <v/>
      </c>
      <c r="Z68" s="5">
        <f>IFERROR(INDEX(2a_PRE_TRABAJO!R$5:R$112,MATCH($A68,2a_PRE_TRABAJO!$A$5:$A$112,0)),"")</f>
        <v/>
      </c>
      <c r="AA68" s="5">
        <f>IFERROR(INDEX(2a_PRE_TRABAJO!S$5:S$112,MATCH($A68,2a_PRE_TRABAJO!$A$5:$A$112,0)),"")</f>
        <v/>
      </c>
      <c r="AB68" s="5">
        <f>IFERROR(INDEX(2a_PRE_TRABAJO!T$5:T$112,MATCH($A68,2a_PRE_TRABAJO!$A$5:$A$112,0)),"")</f>
        <v/>
      </c>
      <c r="AC68" s="5">
        <f>IFERROR(INDEX(2a_PRE_TRABAJO!U$5:U$112,MATCH($A68,2a_PRE_TRABAJO!$A$5:$A$112,0)),"")</f>
        <v/>
      </c>
      <c r="AD68" s="5">
        <f>IFERROR(INDEX(2a_PRE_TRABAJO!V$5:V$112,MATCH($A68,2a_PRE_TRABAJO!$A$5:$A$112,0)),"")</f>
        <v/>
      </c>
      <c r="AE68" s="5">
        <f>IFERROR(INDEX(2a_PRE_TRABAJO!W$5:W$112,MATCH($A68,2a_PRE_TRABAJO!$A$5:$A$112,0)),"")</f>
        <v/>
      </c>
      <c r="AF68" s="5">
        <f>IFERROR(INDEX(2a_PRE_TRABAJO!X$5:X$112,MATCH($A68,2a_PRE_TRABAJO!$A$5:$A$112,0)),"")</f>
        <v/>
      </c>
      <c r="AG68" s="5">
        <f>IFERROR(INDEX(2a_PRE_TRABAJO!Y$5:Y$112,MATCH($A68,2a_PRE_TRABAJO!$A$5:$A$112,0)),"")</f>
        <v/>
      </c>
      <c r="AH68" s="5">
        <f>IFERROR(INDEX(2a_PRE_TRABAJO!Z$5:Z$112,MATCH($A68,2a_PRE_TRABAJO!$A$5:$A$112,0)),"")</f>
        <v/>
      </c>
      <c r="AI68" s="5">
        <f>IFERROR(INDEX(2a_PRE_TRABAJO!AA$5:AA$112,MATCH($A68,2a_PRE_TRABAJO!$A$5:$A$112,0)),"")</f>
        <v/>
      </c>
      <c r="AJ68" s="5">
        <f>IFERROR(INDEX(2a_PRE_TRABAJO!AB$5:AB$112,MATCH($A68,2a_PRE_TRABAJO!$A$5:$A$112,0)),"")</f>
        <v/>
      </c>
      <c r="AK68" s="5">
        <f>IFERROR(INDEX(2a_PRE_TRABAJO!AC$5:AC$112,MATCH($A68,2a_PRE_TRABAJO!$A$5:$A$112,0)),"")</f>
        <v/>
      </c>
    </row>
    <row r="69">
      <c r="A69" s="3" t="inlineStr">
        <is>
          <t>GU-TDH-076</t>
        </is>
      </c>
      <c r="B69" s="3" t="n">
        <v>1</v>
      </c>
      <c r="C69" s="5">
        <f>IFERROR(INDEX(2a_PRE_TRABAJO!B$5:B$112,MATCH($A69,2a_PRE_TRABAJO!$A$5:$A$112,0)),"")</f>
        <v/>
      </c>
      <c r="D69" s="5">
        <f>IFERROR(INDEX(2a_PRE_TRABAJO!C$5:C$112,MATCH($A69,2a_PRE_TRABAJO!$A$5:$A$112,0)),"")</f>
        <v/>
      </c>
      <c r="E69" s="5">
        <f>IFERROR(INDEX(2a_PRE_TRABAJO!D$5:D$112,MATCH($A69,2a_PRE_TRABAJO!$A$5:$A$112,0)),"")</f>
        <v/>
      </c>
      <c r="F69" s="5">
        <f>IFERROR(INDEX(2a_PRE_TRABAJO!E$5:E$112,MATCH($A69,2a_PRE_TRABAJO!$A$5:$A$112,0)),"")</f>
        <v/>
      </c>
      <c r="G69" s="5">
        <f>IFERROR(INDEX(2a_PRE_TRABAJO!F$5:F$112,MATCH($A69,2a_PRE_TRABAJO!$A$5:$A$112,0)),"")</f>
        <v/>
      </c>
      <c r="H69" s="5">
        <f>IFERROR(INDEX(2a_PRE_TRABAJO!G$5:G$112,MATCH($A69,2a_PRE_TRABAJO!$A$5:$A$112,0)),"")</f>
        <v/>
      </c>
      <c r="I69" s="5">
        <f>IFERROR(INDEX(2b_POST_TRABAJO!C$5:C$109,MATCH($A69,2b_POST_TRABAJO!$A$5:$A$109,0)),"")</f>
        <v/>
      </c>
      <c r="J69" s="5">
        <f>IFERROR(INDEX(2a_PRE_TRABAJO!AD$5:AD$112,MATCH($A69,2a_PRE_TRABAJO!$A$5:$A$112,0)),"")</f>
        <v/>
      </c>
      <c r="K69" s="5">
        <f>IFERROR(INDEX(2a_PRE_TRABAJO!AE$5:AE$112,MATCH($A69,2a_PRE_TRABAJO!$A$5:$A$112,0)),"")</f>
        <v/>
      </c>
      <c r="L69" s="5">
        <f>IFERROR(INDEX(2a_PRE_TRABAJO!AF$5:AF$112,MATCH($A69,2a_PRE_TRABAJO!$A$5:$A$112,0)),"")</f>
        <v/>
      </c>
      <c r="M69" s="5">
        <f>IFERROR(INDEX(2a_PRE_TRABAJO!AG$5:AG$112,MATCH($A69,2a_PRE_TRABAJO!$A$5:$A$112,0)),"")</f>
        <v/>
      </c>
      <c r="N69" s="5">
        <f>IFERROR(INDEX(2b_POST_TRABAJO!D$5:D$109,MATCH($A69,2b_POST_TRABAJO!$A$5:$A$109,0)),"")</f>
        <v/>
      </c>
      <c r="O69" s="5">
        <f>IF(OR(N69="",J69=""),"",N69-J69)</f>
        <v/>
      </c>
      <c r="P69" s="5">
        <f>IFERROR(INDEX(2a_PRE_TRABAJO!H$5:H$112,MATCH($A69,2a_PRE_TRABAJO!$A$5:$A$112,0)),"")</f>
        <v/>
      </c>
      <c r="Q69" s="5">
        <f>IFERROR(INDEX(2a_PRE_TRABAJO!I$5:I$112,MATCH($A69,2a_PRE_TRABAJO!$A$5:$A$112,0)),"")</f>
        <v/>
      </c>
      <c r="R69" s="5">
        <f>IFERROR(INDEX(2a_PRE_TRABAJO!J$5:J$112,MATCH($A69,2a_PRE_TRABAJO!$A$5:$A$112,0)),"")</f>
        <v/>
      </c>
      <c r="S69" s="5">
        <f>IFERROR(INDEX(2a_PRE_TRABAJO!K$5:K$112,MATCH($A69,2a_PRE_TRABAJO!$A$5:$A$112,0)),"")</f>
        <v/>
      </c>
      <c r="T69" s="5">
        <f>IFERROR(INDEX(2a_PRE_TRABAJO!L$5:L$112,MATCH($A69,2a_PRE_TRABAJO!$A$5:$A$112,0)),"")</f>
        <v/>
      </c>
      <c r="U69" s="5">
        <f>IFERROR(INDEX(2a_PRE_TRABAJO!M$5:M$112,MATCH($A69,2a_PRE_TRABAJO!$A$5:$A$112,0)),"")</f>
        <v/>
      </c>
      <c r="V69" s="5">
        <f>IFERROR(INDEX(2a_PRE_TRABAJO!N$5:N$112,MATCH($A69,2a_PRE_TRABAJO!$A$5:$A$112,0)),"")</f>
        <v/>
      </c>
      <c r="W69" s="5">
        <f>IFERROR(INDEX(2a_PRE_TRABAJO!O$5:O$112,MATCH($A69,2a_PRE_TRABAJO!$A$5:$A$112,0)),"")</f>
        <v/>
      </c>
      <c r="X69" s="5">
        <f>IFERROR(INDEX(2a_PRE_TRABAJO!P$5:P$112,MATCH($A69,2a_PRE_TRABAJO!$A$5:$A$112,0)),"")</f>
        <v/>
      </c>
      <c r="Y69" s="5">
        <f>IFERROR(INDEX(2a_PRE_TRABAJO!Q$5:Q$112,MATCH($A69,2a_PRE_TRABAJO!$A$5:$A$112,0)),"")</f>
        <v/>
      </c>
      <c r="Z69" s="5">
        <f>IFERROR(INDEX(2a_PRE_TRABAJO!R$5:R$112,MATCH($A69,2a_PRE_TRABAJO!$A$5:$A$112,0)),"")</f>
        <v/>
      </c>
      <c r="AA69" s="5">
        <f>IFERROR(INDEX(2a_PRE_TRABAJO!S$5:S$112,MATCH($A69,2a_PRE_TRABAJO!$A$5:$A$112,0)),"")</f>
        <v/>
      </c>
      <c r="AB69" s="5">
        <f>IFERROR(INDEX(2a_PRE_TRABAJO!T$5:T$112,MATCH($A69,2a_PRE_TRABAJO!$A$5:$A$112,0)),"")</f>
        <v/>
      </c>
      <c r="AC69" s="5">
        <f>IFERROR(INDEX(2a_PRE_TRABAJO!U$5:U$112,MATCH($A69,2a_PRE_TRABAJO!$A$5:$A$112,0)),"")</f>
        <v/>
      </c>
      <c r="AD69" s="5">
        <f>IFERROR(INDEX(2a_PRE_TRABAJO!V$5:V$112,MATCH($A69,2a_PRE_TRABAJO!$A$5:$A$112,0)),"")</f>
        <v/>
      </c>
      <c r="AE69" s="5">
        <f>IFERROR(INDEX(2a_PRE_TRABAJO!W$5:W$112,MATCH($A69,2a_PRE_TRABAJO!$A$5:$A$112,0)),"")</f>
        <v/>
      </c>
      <c r="AF69" s="5">
        <f>IFERROR(INDEX(2a_PRE_TRABAJO!X$5:X$112,MATCH($A69,2a_PRE_TRABAJO!$A$5:$A$112,0)),"")</f>
        <v/>
      </c>
      <c r="AG69" s="5">
        <f>IFERROR(INDEX(2a_PRE_TRABAJO!Y$5:Y$112,MATCH($A69,2a_PRE_TRABAJO!$A$5:$A$112,0)),"")</f>
        <v/>
      </c>
      <c r="AH69" s="5">
        <f>IFERROR(INDEX(2a_PRE_TRABAJO!Z$5:Z$112,MATCH($A69,2a_PRE_TRABAJO!$A$5:$A$112,0)),"")</f>
        <v/>
      </c>
      <c r="AI69" s="5">
        <f>IFERROR(INDEX(2a_PRE_TRABAJO!AA$5:AA$112,MATCH($A69,2a_PRE_TRABAJO!$A$5:$A$112,0)),"")</f>
        <v/>
      </c>
      <c r="AJ69" s="5">
        <f>IFERROR(INDEX(2a_PRE_TRABAJO!AB$5:AB$112,MATCH($A69,2a_PRE_TRABAJO!$A$5:$A$112,0)),"")</f>
        <v/>
      </c>
      <c r="AK69" s="5">
        <f>IFERROR(INDEX(2a_PRE_TRABAJO!AC$5:AC$112,MATCH($A69,2a_PRE_TRABAJO!$A$5:$A$112,0)),"")</f>
        <v/>
      </c>
    </row>
    <row r="70">
      <c r="A70" s="3" t="inlineStr">
        <is>
          <t>GU-TDH-077</t>
        </is>
      </c>
      <c r="B70" s="3" t="n">
        <v>1</v>
      </c>
      <c r="C70" s="5">
        <f>IFERROR(INDEX(2a_PRE_TRABAJO!B$5:B$112,MATCH($A70,2a_PRE_TRABAJO!$A$5:$A$112,0)),"")</f>
        <v/>
      </c>
      <c r="D70" s="5">
        <f>IFERROR(INDEX(2a_PRE_TRABAJO!C$5:C$112,MATCH($A70,2a_PRE_TRABAJO!$A$5:$A$112,0)),"")</f>
        <v/>
      </c>
      <c r="E70" s="5">
        <f>IFERROR(INDEX(2a_PRE_TRABAJO!D$5:D$112,MATCH($A70,2a_PRE_TRABAJO!$A$5:$A$112,0)),"")</f>
        <v/>
      </c>
      <c r="F70" s="5">
        <f>IFERROR(INDEX(2a_PRE_TRABAJO!E$5:E$112,MATCH($A70,2a_PRE_TRABAJO!$A$5:$A$112,0)),"")</f>
        <v/>
      </c>
      <c r="G70" s="5">
        <f>IFERROR(INDEX(2a_PRE_TRABAJO!F$5:F$112,MATCH($A70,2a_PRE_TRABAJO!$A$5:$A$112,0)),"")</f>
        <v/>
      </c>
      <c r="H70" s="5">
        <f>IFERROR(INDEX(2a_PRE_TRABAJO!G$5:G$112,MATCH($A70,2a_PRE_TRABAJO!$A$5:$A$112,0)),"")</f>
        <v/>
      </c>
      <c r="I70" s="5">
        <f>IFERROR(INDEX(2b_POST_TRABAJO!C$5:C$109,MATCH($A70,2b_POST_TRABAJO!$A$5:$A$109,0)),"")</f>
        <v/>
      </c>
      <c r="J70" s="5">
        <f>IFERROR(INDEX(2a_PRE_TRABAJO!AD$5:AD$112,MATCH($A70,2a_PRE_TRABAJO!$A$5:$A$112,0)),"")</f>
        <v/>
      </c>
      <c r="K70" s="5">
        <f>IFERROR(INDEX(2a_PRE_TRABAJO!AE$5:AE$112,MATCH($A70,2a_PRE_TRABAJO!$A$5:$A$112,0)),"")</f>
        <v/>
      </c>
      <c r="L70" s="5">
        <f>IFERROR(INDEX(2a_PRE_TRABAJO!AF$5:AF$112,MATCH($A70,2a_PRE_TRABAJO!$A$5:$A$112,0)),"")</f>
        <v/>
      </c>
      <c r="M70" s="5">
        <f>IFERROR(INDEX(2a_PRE_TRABAJO!AG$5:AG$112,MATCH($A70,2a_PRE_TRABAJO!$A$5:$A$112,0)),"")</f>
        <v/>
      </c>
      <c r="N70" s="5">
        <f>IFERROR(INDEX(2b_POST_TRABAJO!D$5:D$109,MATCH($A70,2b_POST_TRABAJO!$A$5:$A$109,0)),"")</f>
        <v/>
      </c>
      <c r="O70" s="5">
        <f>IF(OR(N70="",J70=""),"",N70-J70)</f>
        <v/>
      </c>
      <c r="P70" s="5">
        <f>IFERROR(INDEX(2a_PRE_TRABAJO!H$5:H$112,MATCH($A70,2a_PRE_TRABAJO!$A$5:$A$112,0)),"")</f>
        <v/>
      </c>
      <c r="Q70" s="5">
        <f>IFERROR(INDEX(2a_PRE_TRABAJO!I$5:I$112,MATCH($A70,2a_PRE_TRABAJO!$A$5:$A$112,0)),"")</f>
        <v/>
      </c>
      <c r="R70" s="5">
        <f>IFERROR(INDEX(2a_PRE_TRABAJO!J$5:J$112,MATCH($A70,2a_PRE_TRABAJO!$A$5:$A$112,0)),"")</f>
        <v/>
      </c>
      <c r="S70" s="5">
        <f>IFERROR(INDEX(2a_PRE_TRABAJO!K$5:K$112,MATCH($A70,2a_PRE_TRABAJO!$A$5:$A$112,0)),"")</f>
        <v/>
      </c>
      <c r="T70" s="5">
        <f>IFERROR(INDEX(2a_PRE_TRABAJO!L$5:L$112,MATCH($A70,2a_PRE_TRABAJO!$A$5:$A$112,0)),"")</f>
        <v/>
      </c>
      <c r="U70" s="5">
        <f>IFERROR(INDEX(2a_PRE_TRABAJO!M$5:M$112,MATCH($A70,2a_PRE_TRABAJO!$A$5:$A$112,0)),"")</f>
        <v/>
      </c>
      <c r="V70" s="5">
        <f>IFERROR(INDEX(2a_PRE_TRABAJO!N$5:N$112,MATCH($A70,2a_PRE_TRABAJO!$A$5:$A$112,0)),"")</f>
        <v/>
      </c>
      <c r="W70" s="5">
        <f>IFERROR(INDEX(2a_PRE_TRABAJO!O$5:O$112,MATCH($A70,2a_PRE_TRABAJO!$A$5:$A$112,0)),"")</f>
        <v/>
      </c>
      <c r="X70" s="5">
        <f>IFERROR(INDEX(2a_PRE_TRABAJO!P$5:P$112,MATCH($A70,2a_PRE_TRABAJO!$A$5:$A$112,0)),"")</f>
        <v/>
      </c>
      <c r="Y70" s="5">
        <f>IFERROR(INDEX(2a_PRE_TRABAJO!Q$5:Q$112,MATCH($A70,2a_PRE_TRABAJO!$A$5:$A$112,0)),"")</f>
        <v/>
      </c>
      <c r="Z70" s="5">
        <f>IFERROR(INDEX(2a_PRE_TRABAJO!R$5:R$112,MATCH($A70,2a_PRE_TRABAJO!$A$5:$A$112,0)),"")</f>
        <v/>
      </c>
      <c r="AA70" s="5">
        <f>IFERROR(INDEX(2a_PRE_TRABAJO!S$5:S$112,MATCH($A70,2a_PRE_TRABAJO!$A$5:$A$112,0)),"")</f>
        <v/>
      </c>
      <c r="AB70" s="5">
        <f>IFERROR(INDEX(2a_PRE_TRABAJO!T$5:T$112,MATCH($A70,2a_PRE_TRABAJO!$A$5:$A$112,0)),"")</f>
        <v/>
      </c>
      <c r="AC70" s="5">
        <f>IFERROR(INDEX(2a_PRE_TRABAJO!U$5:U$112,MATCH($A70,2a_PRE_TRABAJO!$A$5:$A$112,0)),"")</f>
        <v/>
      </c>
      <c r="AD70" s="5">
        <f>IFERROR(INDEX(2a_PRE_TRABAJO!V$5:V$112,MATCH($A70,2a_PRE_TRABAJO!$A$5:$A$112,0)),"")</f>
        <v/>
      </c>
      <c r="AE70" s="5">
        <f>IFERROR(INDEX(2a_PRE_TRABAJO!W$5:W$112,MATCH($A70,2a_PRE_TRABAJO!$A$5:$A$112,0)),"")</f>
        <v/>
      </c>
      <c r="AF70" s="5">
        <f>IFERROR(INDEX(2a_PRE_TRABAJO!X$5:X$112,MATCH($A70,2a_PRE_TRABAJO!$A$5:$A$112,0)),"")</f>
        <v/>
      </c>
      <c r="AG70" s="5">
        <f>IFERROR(INDEX(2a_PRE_TRABAJO!Y$5:Y$112,MATCH($A70,2a_PRE_TRABAJO!$A$5:$A$112,0)),"")</f>
        <v/>
      </c>
      <c r="AH70" s="5">
        <f>IFERROR(INDEX(2a_PRE_TRABAJO!Z$5:Z$112,MATCH($A70,2a_PRE_TRABAJO!$A$5:$A$112,0)),"")</f>
        <v/>
      </c>
      <c r="AI70" s="5">
        <f>IFERROR(INDEX(2a_PRE_TRABAJO!AA$5:AA$112,MATCH($A70,2a_PRE_TRABAJO!$A$5:$A$112,0)),"")</f>
        <v/>
      </c>
      <c r="AJ70" s="5">
        <f>IFERROR(INDEX(2a_PRE_TRABAJO!AB$5:AB$112,MATCH($A70,2a_PRE_TRABAJO!$A$5:$A$112,0)),"")</f>
        <v/>
      </c>
      <c r="AK70" s="5">
        <f>IFERROR(INDEX(2a_PRE_TRABAJO!AC$5:AC$112,MATCH($A70,2a_PRE_TRABAJO!$A$5:$A$112,0)),"")</f>
        <v/>
      </c>
    </row>
    <row r="71">
      <c r="A71" s="3" t="inlineStr">
        <is>
          <t>GU-TDH-078</t>
        </is>
      </c>
      <c r="B71" s="3" t="n">
        <v>1</v>
      </c>
      <c r="C71" s="5">
        <f>IFERROR(INDEX(2a_PRE_TRABAJO!B$5:B$112,MATCH($A71,2a_PRE_TRABAJO!$A$5:$A$112,0)),"")</f>
        <v/>
      </c>
      <c r="D71" s="5">
        <f>IFERROR(INDEX(2a_PRE_TRABAJO!C$5:C$112,MATCH($A71,2a_PRE_TRABAJO!$A$5:$A$112,0)),"")</f>
        <v/>
      </c>
      <c r="E71" s="5">
        <f>IFERROR(INDEX(2a_PRE_TRABAJO!D$5:D$112,MATCH($A71,2a_PRE_TRABAJO!$A$5:$A$112,0)),"")</f>
        <v/>
      </c>
      <c r="F71" s="5">
        <f>IFERROR(INDEX(2a_PRE_TRABAJO!E$5:E$112,MATCH($A71,2a_PRE_TRABAJO!$A$5:$A$112,0)),"")</f>
        <v/>
      </c>
      <c r="G71" s="5">
        <f>IFERROR(INDEX(2a_PRE_TRABAJO!F$5:F$112,MATCH($A71,2a_PRE_TRABAJO!$A$5:$A$112,0)),"")</f>
        <v/>
      </c>
      <c r="H71" s="5">
        <f>IFERROR(INDEX(2a_PRE_TRABAJO!G$5:G$112,MATCH($A71,2a_PRE_TRABAJO!$A$5:$A$112,0)),"")</f>
        <v/>
      </c>
      <c r="I71" s="5">
        <f>IFERROR(INDEX(2b_POST_TRABAJO!C$5:C$109,MATCH($A71,2b_POST_TRABAJO!$A$5:$A$109,0)),"")</f>
        <v/>
      </c>
      <c r="J71" s="5">
        <f>IFERROR(INDEX(2a_PRE_TRABAJO!AD$5:AD$112,MATCH($A71,2a_PRE_TRABAJO!$A$5:$A$112,0)),"")</f>
        <v/>
      </c>
      <c r="K71" s="5">
        <f>IFERROR(INDEX(2a_PRE_TRABAJO!AE$5:AE$112,MATCH($A71,2a_PRE_TRABAJO!$A$5:$A$112,0)),"")</f>
        <v/>
      </c>
      <c r="L71" s="5">
        <f>IFERROR(INDEX(2a_PRE_TRABAJO!AF$5:AF$112,MATCH($A71,2a_PRE_TRABAJO!$A$5:$A$112,0)),"")</f>
        <v/>
      </c>
      <c r="M71" s="5">
        <f>IFERROR(INDEX(2a_PRE_TRABAJO!AG$5:AG$112,MATCH($A71,2a_PRE_TRABAJO!$A$5:$A$112,0)),"")</f>
        <v/>
      </c>
      <c r="N71" s="5">
        <f>IFERROR(INDEX(2b_POST_TRABAJO!D$5:D$109,MATCH($A71,2b_POST_TRABAJO!$A$5:$A$109,0)),"")</f>
        <v/>
      </c>
      <c r="O71" s="5">
        <f>IF(OR(N71="",J71=""),"",N71-J71)</f>
        <v/>
      </c>
      <c r="P71" s="5">
        <f>IFERROR(INDEX(2a_PRE_TRABAJO!H$5:H$112,MATCH($A71,2a_PRE_TRABAJO!$A$5:$A$112,0)),"")</f>
        <v/>
      </c>
      <c r="Q71" s="5">
        <f>IFERROR(INDEX(2a_PRE_TRABAJO!I$5:I$112,MATCH($A71,2a_PRE_TRABAJO!$A$5:$A$112,0)),"")</f>
        <v/>
      </c>
      <c r="R71" s="5">
        <f>IFERROR(INDEX(2a_PRE_TRABAJO!J$5:J$112,MATCH($A71,2a_PRE_TRABAJO!$A$5:$A$112,0)),"")</f>
        <v/>
      </c>
      <c r="S71" s="5">
        <f>IFERROR(INDEX(2a_PRE_TRABAJO!K$5:K$112,MATCH($A71,2a_PRE_TRABAJO!$A$5:$A$112,0)),"")</f>
        <v/>
      </c>
      <c r="T71" s="5">
        <f>IFERROR(INDEX(2a_PRE_TRABAJO!L$5:L$112,MATCH($A71,2a_PRE_TRABAJO!$A$5:$A$112,0)),"")</f>
        <v/>
      </c>
      <c r="U71" s="5">
        <f>IFERROR(INDEX(2a_PRE_TRABAJO!M$5:M$112,MATCH($A71,2a_PRE_TRABAJO!$A$5:$A$112,0)),"")</f>
        <v/>
      </c>
      <c r="V71" s="5">
        <f>IFERROR(INDEX(2a_PRE_TRABAJO!N$5:N$112,MATCH($A71,2a_PRE_TRABAJO!$A$5:$A$112,0)),"")</f>
        <v/>
      </c>
      <c r="W71" s="5">
        <f>IFERROR(INDEX(2a_PRE_TRABAJO!O$5:O$112,MATCH($A71,2a_PRE_TRABAJO!$A$5:$A$112,0)),"")</f>
        <v/>
      </c>
      <c r="X71" s="5">
        <f>IFERROR(INDEX(2a_PRE_TRABAJO!P$5:P$112,MATCH($A71,2a_PRE_TRABAJO!$A$5:$A$112,0)),"")</f>
        <v/>
      </c>
      <c r="Y71" s="5">
        <f>IFERROR(INDEX(2a_PRE_TRABAJO!Q$5:Q$112,MATCH($A71,2a_PRE_TRABAJO!$A$5:$A$112,0)),"")</f>
        <v/>
      </c>
      <c r="Z71" s="5">
        <f>IFERROR(INDEX(2a_PRE_TRABAJO!R$5:R$112,MATCH($A71,2a_PRE_TRABAJO!$A$5:$A$112,0)),"")</f>
        <v/>
      </c>
      <c r="AA71" s="5">
        <f>IFERROR(INDEX(2a_PRE_TRABAJO!S$5:S$112,MATCH($A71,2a_PRE_TRABAJO!$A$5:$A$112,0)),"")</f>
        <v/>
      </c>
      <c r="AB71" s="5">
        <f>IFERROR(INDEX(2a_PRE_TRABAJO!T$5:T$112,MATCH($A71,2a_PRE_TRABAJO!$A$5:$A$112,0)),"")</f>
        <v/>
      </c>
      <c r="AC71" s="5">
        <f>IFERROR(INDEX(2a_PRE_TRABAJO!U$5:U$112,MATCH($A71,2a_PRE_TRABAJO!$A$5:$A$112,0)),"")</f>
        <v/>
      </c>
      <c r="AD71" s="5">
        <f>IFERROR(INDEX(2a_PRE_TRABAJO!V$5:V$112,MATCH($A71,2a_PRE_TRABAJO!$A$5:$A$112,0)),"")</f>
        <v/>
      </c>
      <c r="AE71" s="5">
        <f>IFERROR(INDEX(2a_PRE_TRABAJO!W$5:W$112,MATCH($A71,2a_PRE_TRABAJO!$A$5:$A$112,0)),"")</f>
        <v/>
      </c>
      <c r="AF71" s="5">
        <f>IFERROR(INDEX(2a_PRE_TRABAJO!X$5:X$112,MATCH($A71,2a_PRE_TRABAJO!$A$5:$A$112,0)),"")</f>
        <v/>
      </c>
      <c r="AG71" s="5">
        <f>IFERROR(INDEX(2a_PRE_TRABAJO!Y$5:Y$112,MATCH($A71,2a_PRE_TRABAJO!$A$5:$A$112,0)),"")</f>
        <v/>
      </c>
      <c r="AH71" s="5">
        <f>IFERROR(INDEX(2a_PRE_TRABAJO!Z$5:Z$112,MATCH($A71,2a_PRE_TRABAJO!$A$5:$A$112,0)),"")</f>
        <v/>
      </c>
      <c r="AI71" s="5">
        <f>IFERROR(INDEX(2a_PRE_TRABAJO!AA$5:AA$112,MATCH($A71,2a_PRE_TRABAJO!$A$5:$A$112,0)),"")</f>
        <v/>
      </c>
      <c r="AJ71" s="5">
        <f>IFERROR(INDEX(2a_PRE_TRABAJO!AB$5:AB$112,MATCH($A71,2a_PRE_TRABAJO!$A$5:$A$112,0)),"")</f>
        <v/>
      </c>
      <c r="AK71" s="5">
        <f>IFERROR(INDEX(2a_PRE_TRABAJO!AC$5:AC$112,MATCH($A71,2a_PRE_TRABAJO!$A$5:$A$112,0)),"")</f>
        <v/>
      </c>
    </row>
    <row r="72">
      <c r="A72" s="3" t="inlineStr">
        <is>
          <t>GU-TDH-079</t>
        </is>
      </c>
      <c r="B72" s="3" t="n">
        <v>1</v>
      </c>
      <c r="C72" s="5">
        <f>IFERROR(INDEX(2a_PRE_TRABAJO!B$5:B$112,MATCH($A72,2a_PRE_TRABAJO!$A$5:$A$112,0)),"")</f>
        <v/>
      </c>
      <c r="D72" s="5">
        <f>IFERROR(INDEX(2a_PRE_TRABAJO!C$5:C$112,MATCH($A72,2a_PRE_TRABAJO!$A$5:$A$112,0)),"")</f>
        <v/>
      </c>
      <c r="E72" s="5">
        <f>IFERROR(INDEX(2a_PRE_TRABAJO!D$5:D$112,MATCH($A72,2a_PRE_TRABAJO!$A$5:$A$112,0)),"")</f>
        <v/>
      </c>
      <c r="F72" s="5">
        <f>IFERROR(INDEX(2a_PRE_TRABAJO!E$5:E$112,MATCH($A72,2a_PRE_TRABAJO!$A$5:$A$112,0)),"")</f>
        <v/>
      </c>
      <c r="G72" s="5">
        <f>IFERROR(INDEX(2a_PRE_TRABAJO!F$5:F$112,MATCH($A72,2a_PRE_TRABAJO!$A$5:$A$112,0)),"")</f>
        <v/>
      </c>
      <c r="H72" s="5">
        <f>IFERROR(INDEX(2a_PRE_TRABAJO!G$5:G$112,MATCH($A72,2a_PRE_TRABAJO!$A$5:$A$112,0)),"")</f>
        <v/>
      </c>
      <c r="I72" s="5">
        <f>IFERROR(INDEX(2b_POST_TRABAJO!C$5:C$109,MATCH($A72,2b_POST_TRABAJO!$A$5:$A$109,0)),"")</f>
        <v/>
      </c>
      <c r="J72" s="5">
        <f>IFERROR(INDEX(2a_PRE_TRABAJO!AD$5:AD$112,MATCH($A72,2a_PRE_TRABAJO!$A$5:$A$112,0)),"")</f>
        <v/>
      </c>
      <c r="K72" s="5">
        <f>IFERROR(INDEX(2a_PRE_TRABAJO!AE$5:AE$112,MATCH($A72,2a_PRE_TRABAJO!$A$5:$A$112,0)),"")</f>
        <v/>
      </c>
      <c r="L72" s="5">
        <f>IFERROR(INDEX(2a_PRE_TRABAJO!AF$5:AF$112,MATCH($A72,2a_PRE_TRABAJO!$A$5:$A$112,0)),"")</f>
        <v/>
      </c>
      <c r="M72" s="5">
        <f>IFERROR(INDEX(2a_PRE_TRABAJO!AG$5:AG$112,MATCH($A72,2a_PRE_TRABAJO!$A$5:$A$112,0)),"")</f>
        <v/>
      </c>
      <c r="N72" s="5">
        <f>IFERROR(INDEX(2b_POST_TRABAJO!D$5:D$109,MATCH($A72,2b_POST_TRABAJO!$A$5:$A$109,0)),"")</f>
        <v/>
      </c>
      <c r="O72" s="5">
        <f>IF(OR(N72="",J72=""),"",N72-J72)</f>
        <v/>
      </c>
      <c r="P72" s="5">
        <f>IFERROR(INDEX(2a_PRE_TRABAJO!H$5:H$112,MATCH($A72,2a_PRE_TRABAJO!$A$5:$A$112,0)),"")</f>
        <v/>
      </c>
      <c r="Q72" s="5">
        <f>IFERROR(INDEX(2a_PRE_TRABAJO!I$5:I$112,MATCH($A72,2a_PRE_TRABAJO!$A$5:$A$112,0)),"")</f>
        <v/>
      </c>
      <c r="R72" s="5">
        <f>IFERROR(INDEX(2a_PRE_TRABAJO!J$5:J$112,MATCH($A72,2a_PRE_TRABAJO!$A$5:$A$112,0)),"")</f>
        <v/>
      </c>
      <c r="S72" s="5">
        <f>IFERROR(INDEX(2a_PRE_TRABAJO!K$5:K$112,MATCH($A72,2a_PRE_TRABAJO!$A$5:$A$112,0)),"")</f>
        <v/>
      </c>
      <c r="T72" s="5">
        <f>IFERROR(INDEX(2a_PRE_TRABAJO!L$5:L$112,MATCH($A72,2a_PRE_TRABAJO!$A$5:$A$112,0)),"")</f>
        <v/>
      </c>
      <c r="U72" s="5">
        <f>IFERROR(INDEX(2a_PRE_TRABAJO!M$5:M$112,MATCH($A72,2a_PRE_TRABAJO!$A$5:$A$112,0)),"")</f>
        <v/>
      </c>
      <c r="V72" s="5">
        <f>IFERROR(INDEX(2a_PRE_TRABAJO!N$5:N$112,MATCH($A72,2a_PRE_TRABAJO!$A$5:$A$112,0)),"")</f>
        <v/>
      </c>
      <c r="W72" s="5">
        <f>IFERROR(INDEX(2a_PRE_TRABAJO!O$5:O$112,MATCH($A72,2a_PRE_TRABAJO!$A$5:$A$112,0)),"")</f>
        <v/>
      </c>
      <c r="X72" s="5">
        <f>IFERROR(INDEX(2a_PRE_TRABAJO!P$5:P$112,MATCH($A72,2a_PRE_TRABAJO!$A$5:$A$112,0)),"")</f>
        <v/>
      </c>
      <c r="Y72" s="5">
        <f>IFERROR(INDEX(2a_PRE_TRABAJO!Q$5:Q$112,MATCH($A72,2a_PRE_TRABAJO!$A$5:$A$112,0)),"")</f>
        <v/>
      </c>
      <c r="Z72" s="5">
        <f>IFERROR(INDEX(2a_PRE_TRABAJO!R$5:R$112,MATCH($A72,2a_PRE_TRABAJO!$A$5:$A$112,0)),"")</f>
        <v/>
      </c>
      <c r="AA72" s="5">
        <f>IFERROR(INDEX(2a_PRE_TRABAJO!S$5:S$112,MATCH($A72,2a_PRE_TRABAJO!$A$5:$A$112,0)),"")</f>
        <v/>
      </c>
      <c r="AB72" s="5">
        <f>IFERROR(INDEX(2a_PRE_TRABAJO!T$5:T$112,MATCH($A72,2a_PRE_TRABAJO!$A$5:$A$112,0)),"")</f>
        <v/>
      </c>
      <c r="AC72" s="5">
        <f>IFERROR(INDEX(2a_PRE_TRABAJO!U$5:U$112,MATCH($A72,2a_PRE_TRABAJO!$A$5:$A$112,0)),"")</f>
        <v/>
      </c>
      <c r="AD72" s="5">
        <f>IFERROR(INDEX(2a_PRE_TRABAJO!V$5:V$112,MATCH($A72,2a_PRE_TRABAJO!$A$5:$A$112,0)),"")</f>
        <v/>
      </c>
      <c r="AE72" s="5">
        <f>IFERROR(INDEX(2a_PRE_TRABAJO!W$5:W$112,MATCH($A72,2a_PRE_TRABAJO!$A$5:$A$112,0)),"")</f>
        <v/>
      </c>
      <c r="AF72" s="5">
        <f>IFERROR(INDEX(2a_PRE_TRABAJO!X$5:X$112,MATCH($A72,2a_PRE_TRABAJO!$A$5:$A$112,0)),"")</f>
        <v/>
      </c>
      <c r="AG72" s="5">
        <f>IFERROR(INDEX(2a_PRE_TRABAJO!Y$5:Y$112,MATCH($A72,2a_PRE_TRABAJO!$A$5:$A$112,0)),"")</f>
        <v/>
      </c>
      <c r="AH72" s="5">
        <f>IFERROR(INDEX(2a_PRE_TRABAJO!Z$5:Z$112,MATCH($A72,2a_PRE_TRABAJO!$A$5:$A$112,0)),"")</f>
        <v/>
      </c>
      <c r="AI72" s="5">
        <f>IFERROR(INDEX(2a_PRE_TRABAJO!AA$5:AA$112,MATCH($A72,2a_PRE_TRABAJO!$A$5:$A$112,0)),"")</f>
        <v/>
      </c>
      <c r="AJ72" s="5">
        <f>IFERROR(INDEX(2a_PRE_TRABAJO!AB$5:AB$112,MATCH($A72,2a_PRE_TRABAJO!$A$5:$A$112,0)),"")</f>
        <v/>
      </c>
      <c r="AK72" s="5">
        <f>IFERROR(INDEX(2a_PRE_TRABAJO!AC$5:AC$112,MATCH($A72,2a_PRE_TRABAJO!$A$5:$A$112,0)),"")</f>
        <v/>
      </c>
    </row>
    <row r="73">
      <c r="A73" s="3" t="inlineStr">
        <is>
          <t>GU-TDH-080</t>
        </is>
      </c>
      <c r="B73" s="3" t="n">
        <v>1</v>
      </c>
      <c r="C73" s="5">
        <f>IFERROR(INDEX(2a_PRE_TRABAJO!B$5:B$112,MATCH($A73,2a_PRE_TRABAJO!$A$5:$A$112,0)),"")</f>
        <v/>
      </c>
      <c r="D73" s="5">
        <f>IFERROR(INDEX(2a_PRE_TRABAJO!C$5:C$112,MATCH($A73,2a_PRE_TRABAJO!$A$5:$A$112,0)),"")</f>
        <v/>
      </c>
      <c r="E73" s="5">
        <f>IFERROR(INDEX(2a_PRE_TRABAJO!D$5:D$112,MATCH($A73,2a_PRE_TRABAJO!$A$5:$A$112,0)),"")</f>
        <v/>
      </c>
      <c r="F73" s="5">
        <f>IFERROR(INDEX(2a_PRE_TRABAJO!E$5:E$112,MATCH($A73,2a_PRE_TRABAJO!$A$5:$A$112,0)),"")</f>
        <v/>
      </c>
      <c r="G73" s="5">
        <f>IFERROR(INDEX(2a_PRE_TRABAJO!F$5:F$112,MATCH($A73,2a_PRE_TRABAJO!$A$5:$A$112,0)),"")</f>
        <v/>
      </c>
      <c r="H73" s="5">
        <f>IFERROR(INDEX(2a_PRE_TRABAJO!G$5:G$112,MATCH($A73,2a_PRE_TRABAJO!$A$5:$A$112,0)),"")</f>
        <v/>
      </c>
      <c r="I73" s="5">
        <f>IFERROR(INDEX(2b_POST_TRABAJO!C$5:C$109,MATCH($A73,2b_POST_TRABAJO!$A$5:$A$109,0)),"")</f>
        <v/>
      </c>
      <c r="J73" s="5">
        <f>IFERROR(INDEX(2a_PRE_TRABAJO!AD$5:AD$112,MATCH($A73,2a_PRE_TRABAJO!$A$5:$A$112,0)),"")</f>
        <v/>
      </c>
      <c r="K73" s="5">
        <f>IFERROR(INDEX(2a_PRE_TRABAJO!AE$5:AE$112,MATCH($A73,2a_PRE_TRABAJO!$A$5:$A$112,0)),"")</f>
        <v/>
      </c>
      <c r="L73" s="5">
        <f>IFERROR(INDEX(2a_PRE_TRABAJO!AF$5:AF$112,MATCH($A73,2a_PRE_TRABAJO!$A$5:$A$112,0)),"")</f>
        <v/>
      </c>
      <c r="M73" s="5">
        <f>IFERROR(INDEX(2a_PRE_TRABAJO!AG$5:AG$112,MATCH($A73,2a_PRE_TRABAJO!$A$5:$A$112,0)),"")</f>
        <v/>
      </c>
      <c r="N73" s="5">
        <f>IFERROR(INDEX(2b_POST_TRABAJO!D$5:D$109,MATCH($A73,2b_POST_TRABAJO!$A$5:$A$109,0)),"")</f>
        <v/>
      </c>
      <c r="O73" s="5">
        <f>IF(OR(N73="",J73=""),"",N73-J73)</f>
        <v/>
      </c>
      <c r="P73" s="5">
        <f>IFERROR(INDEX(2a_PRE_TRABAJO!H$5:H$112,MATCH($A73,2a_PRE_TRABAJO!$A$5:$A$112,0)),"")</f>
        <v/>
      </c>
      <c r="Q73" s="5">
        <f>IFERROR(INDEX(2a_PRE_TRABAJO!I$5:I$112,MATCH($A73,2a_PRE_TRABAJO!$A$5:$A$112,0)),"")</f>
        <v/>
      </c>
      <c r="R73" s="5">
        <f>IFERROR(INDEX(2a_PRE_TRABAJO!J$5:J$112,MATCH($A73,2a_PRE_TRABAJO!$A$5:$A$112,0)),"")</f>
        <v/>
      </c>
      <c r="S73" s="5">
        <f>IFERROR(INDEX(2a_PRE_TRABAJO!K$5:K$112,MATCH($A73,2a_PRE_TRABAJO!$A$5:$A$112,0)),"")</f>
        <v/>
      </c>
      <c r="T73" s="5">
        <f>IFERROR(INDEX(2a_PRE_TRABAJO!L$5:L$112,MATCH($A73,2a_PRE_TRABAJO!$A$5:$A$112,0)),"")</f>
        <v/>
      </c>
      <c r="U73" s="5">
        <f>IFERROR(INDEX(2a_PRE_TRABAJO!M$5:M$112,MATCH($A73,2a_PRE_TRABAJO!$A$5:$A$112,0)),"")</f>
        <v/>
      </c>
      <c r="V73" s="5">
        <f>IFERROR(INDEX(2a_PRE_TRABAJO!N$5:N$112,MATCH($A73,2a_PRE_TRABAJO!$A$5:$A$112,0)),"")</f>
        <v/>
      </c>
      <c r="W73" s="5">
        <f>IFERROR(INDEX(2a_PRE_TRABAJO!O$5:O$112,MATCH($A73,2a_PRE_TRABAJO!$A$5:$A$112,0)),"")</f>
        <v/>
      </c>
      <c r="X73" s="5">
        <f>IFERROR(INDEX(2a_PRE_TRABAJO!P$5:P$112,MATCH($A73,2a_PRE_TRABAJO!$A$5:$A$112,0)),"")</f>
        <v/>
      </c>
      <c r="Y73" s="5">
        <f>IFERROR(INDEX(2a_PRE_TRABAJO!Q$5:Q$112,MATCH($A73,2a_PRE_TRABAJO!$A$5:$A$112,0)),"")</f>
        <v/>
      </c>
      <c r="Z73" s="5">
        <f>IFERROR(INDEX(2a_PRE_TRABAJO!R$5:R$112,MATCH($A73,2a_PRE_TRABAJO!$A$5:$A$112,0)),"")</f>
        <v/>
      </c>
      <c r="AA73" s="5">
        <f>IFERROR(INDEX(2a_PRE_TRABAJO!S$5:S$112,MATCH($A73,2a_PRE_TRABAJO!$A$5:$A$112,0)),"")</f>
        <v/>
      </c>
      <c r="AB73" s="5">
        <f>IFERROR(INDEX(2a_PRE_TRABAJO!T$5:T$112,MATCH($A73,2a_PRE_TRABAJO!$A$5:$A$112,0)),"")</f>
        <v/>
      </c>
      <c r="AC73" s="5">
        <f>IFERROR(INDEX(2a_PRE_TRABAJO!U$5:U$112,MATCH($A73,2a_PRE_TRABAJO!$A$5:$A$112,0)),"")</f>
        <v/>
      </c>
      <c r="AD73" s="5">
        <f>IFERROR(INDEX(2a_PRE_TRABAJO!V$5:V$112,MATCH($A73,2a_PRE_TRABAJO!$A$5:$A$112,0)),"")</f>
        <v/>
      </c>
      <c r="AE73" s="5">
        <f>IFERROR(INDEX(2a_PRE_TRABAJO!W$5:W$112,MATCH($A73,2a_PRE_TRABAJO!$A$5:$A$112,0)),"")</f>
        <v/>
      </c>
      <c r="AF73" s="5">
        <f>IFERROR(INDEX(2a_PRE_TRABAJO!X$5:X$112,MATCH($A73,2a_PRE_TRABAJO!$A$5:$A$112,0)),"")</f>
        <v/>
      </c>
      <c r="AG73" s="5">
        <f>IFERROR(INDEX(2a_PRE_TRABAJO!Y$5:Y$112,MATCH($A73,2a_PRE_TRABAJO!$A$5:$A$112,0)),"")</f>
        <v/>
      </c>
      <c r="AH73" s="5">
        <f>IFERROR(INDEX(2a_PRE_TRABAJO!Z$5:Z$112,MATCH($A73,2a_PRE_TRABAJO!$A$5:$A$112,0)),"")</f>
        <v/>
      </c>
      <c r="AI73" s="5">
        <f>IFERROR(INDEX(2a_PRE_TRABAJO!AA$5:AA$112,MATCH($A73,2a_PRE_TRABAJO!$A$5:$A$112,0)),"")</f>
        <v/>
      </c>
      <c r="AJ73" s="5">
        <f>IFERROR(INDEX(2a_PRE_TRABAJO!AB$5:AB$112,MATCH($A73,2a_PRE_TRABAJO!$A$5:$A$112,0)),"")</f>
        <v/>
      </c>
      <c r="AK73" s="5">
        <f>IFERROR(INDEX(2a_PRE_TRABAJO!AC$5:AC$112,MATCH($A73,2a_PRE_TRABAJO!$A$5:$A$112,0)),"")</f>
        <v/>
      </c>
    </row>
    <row r="74">
      <c r="A74" s="3" t="inlineStr">
        <is>
          <t>GU-TDH-081</t>
        </is>
      </c>
      <c r="B74" s="3" t="n">
        <v>1</v>
      </c>
      <c r="C74" s="5">
        <f>IFERROR(INDEX(2a_PRE_TRABAJO!B$5:B$112,MATCH($A74,2a_PRE_TRABAJO!$A$5:$A$112,0)),"")</f>
        <v/>
      </c>
      <c r="D74" s="5">
        <f>IFERROR(INDEX(2a_PRE_TRABAJO!C$5:C$112,MATCH($A74,2a_PRE_TRABAJO!$A$5:$A$112,0)),"")</f>
        <v/>
      </c>
      <c r="E74" s="5">
        <f>IFERROR(INDEX(2a_PRE_TRABAJO!D$5:D$112,MATCH($A74,2a_PRE_TRABAJO!$A$5:$A$112,0)),"")</f>
        <v/>
      </c>
      <c r="F74" s="5">
        <f>IFERROR(INDEX(2a_PRE_TRABAJO!E$5:E$112,MATCH($A74,2a_PRE_TRABAJO!$A$5:$A$112,0)),"")</f>
        <v/>
      </c>
      <c r="G74" s="5">
        <f>IFERROR(INDEX(2a_PRE_TRABAJO!F$5:F$112,MATCH($A74,2a_PRE_TRABAJO!$A$5:$A$112,0)),"")</f>
        <v/>
      </c>
      <c r="H74" s="5">
        <f>IFERROR(INDEX(2a_PRE_TRABAJO!G$5:G$112,MATCH($A74,2a_PRE_TRABAJO!$A$5:$A$112,0)),"")</f>
        <v/>
      </c>
      <c r="I74" s="5">
        <f>IFERROR(INDEX(2b_POST_TRABAJO!C$5:C$109,MATCH($A74,2b_POST_TRABAJO!$A$5:$A$109,0)),"")</f>
        <v/>
      </c>
      <c r="J74" s="5">
        <f>IFERROR(INDEX(2a_PRE_TRABAJO!AD$5:AD$112,MATCH($A74,2a_PRE_TRABAJO!$A$5:$A$112,0)),"")</f>
        <v/>
      </c>
      <c r="K74" s="5">
        <f>IFERROR(INDEX(2a_PRE_TRABAJO!AE$5:AE$112,MATCH($A74,2a_PRE_TRABAJO!$A$5:$A$112,0)),"")</f>
        <v/>
      </c>
      <c r="L74" s="5">
        <f>IFERROR(INDEX(2a_PRE_TRABAJO!AF$5:AF$112,MATCH($A74,2a_PRE_TRABAJO!$A$5:$A$112,0)),"")</f>
        <v/>
      </c>
      <c r="M74" s="5">
        <f>IFERROR(INDEX(2a_PRE_TRABAJO!AG$5:AG$112,MATCH($A74,2a_PRE_TRABAJO!$A$5:$A$112,0)),"")</f>
        <v/>
      </c>
      <c r="N74" s="5">
        <f>IFERROR(INDEX(2b_POST_TRABAJO!D$5:D$109,MATCH($A74,2b_POST_TRABAJO!$A$5:$A$109,0)),"")</f>
        <v/>
      </c>
      <c r="O74" s="5">
        <f>IF(OR(N74="",J74=""),"",N74-J74)</f>
        <v/>
      </c>
      <c r="P74" s="5">
        <f>IFERROR(INDEX(2a_PRE_TRABAJO!H$5:H$112,MATCH($A74,2a_PRE_TRABAJO!$A$5:$A$112,0)),"")</f>
        <v/>
      </c>
      <c r="Q74" s="5">
        <f>IFERROR(INDEX(2a_PRE_TRABAJO!I$5:I$112,MATCH($A74,2a_PRE_TRABAJO!$A$5:$A$112,0)),"")</f>
        <v/>
      </c>
      <c r="R74" s="5">
        <f>IFERROR(INDEX(2a_PRE_TRABAJO!J$5:J$112,MATCH($A74,2a_PRE_TRABAJO!$A$5:$A$112,0)),"")</f>
        <v/>
      </c>
      <c r="S74" s="5">
        <f>IFERROR(INDEX(2a_PRE_TRABAJO!K$5:K$112,MATCH($A74,2a_PRE_TRABAJO!$A$5:$A$112,0)),"")</f>
        <v/>
      </c>
      <c r="T74" s="5">
        <f>IFERROR(INDEX(2a_PRE_TRABAJO!L$5:L$112,MATCH($A74,2a_PRE_TRABAJO!$A$5:$A$112,0)),"")</f>
        <v/>
      </c>
      <c r="U74" s="5">
        <f>IFERROR(INDEX(2a_PRE_TRABAJO!M$5:M$112,MATCH($A74,2a_PRE_TRABAJO!$A$5:$A$112,0)),"")</f>
        <v/>
      </c>
      <c r="V74" s="5">
        <f>IFERROR(INDEX(2a_PRE_TRABAJO!N$5:N$112,MATCH($A74,2a_PRE_TRABAJO!$A$5:$A$112,0)),"")</f>
        <v/>
      </c>
      <c r="W74" s="5">
        <f>IFERROR(INDEX(2a_PRE_TRABAJO!O$5:O$112,MATCH($A74,2a_PRE_TRABAJO!$A$5:$A$112,0)),"")</f>
        <v/>
      </c>
      <c r="X74" s="5">
        <f>IFERROR(INDEX(2a_PRE_TRABAJO!P$5:P$112,MATCH($A74,2a_PRE_TRABAJO!$A$5:$A$112,0)),"")</f>
        <v/>
      </c>
      <c r="Y74" s="5">
        <f>IFERROR(INDEX(2a_PRE_TRABAJO!Q$5:Q$112,MATCH($A74,2a_PRE_TRABAJO!$A$5:$A$112,0)),"")</f>
        <v/>
      </c>
      <c r="Z74" s="5">
        <f>IFERROR(INDEX(2a_PRE_TRABAJO!R$5:R$112,MATCH($A74,2a_PRE_TRABAJO!$A$5:$A$112,0)),"")</f>
        <v/>
      </c>
      <c r="AA74" s="5">
        <f>IFERROR(INDEX(2a_PRE_TRABAJO!S$5:S$112,MATCH($A74,2a_PRE_TRABAJO!$A$5:$A$112,0)),"")</f>
        <v/>
      </c>
      <c r="AB74" s="5">
        <f>IFERROR(INDEX(2a_PRE_TRABAJO!T$5:T$112,MATCH($A74,2a_PRE_TRABAJO!$A$5:$A$112,0)),"")</f>
        <v/>
      </c>
      <c r="AC74" s="5">
        <f>IFERROR(INDEX(2a_PRE_TRABAJO!U$5:U$112,MATCH($A74,2a_PRE_TRABAJO!$A$5:$A$112,0)),"")</f>
        <v/>
      </c>
      <c r="AD74" s="5">
        <f>IFERROR(INDEX(2a_PRE_TRABAJO!V$5:V$112,MATCH($A74,2a_PRE_TRABAJO!$A$5:$A$112,0)),"")</f>
        <v/>
      </c>
      <c r="AE74" s="5">
        <f>IFERROR(INDEX(2a_PRE_TRABAJO!W$5:W$112,MATCH($A74,2a_PRE_TRABAJO!$A$5:$A$112,0)),"")</f>
        <v/>
      </c>
      <c r="AF74" s="5">
        <f>IFERROR(INDEX(2a_PRE_TRABAJO!X$5:X$112,MATCH($A74,2a_PRE_TRABAJO!$A$5:$A$112,0)),"")</f>
        <v/>
      </c>
      <c r="AG74" s="5">
        <f>IFERROR(INDEX(2a_PRE_TRABAJO!Y$5:Y$112,MATCH($A74,2a_PRE_TRABAJO!$A$5:$A$112,0)),"")</f>
        <v/>
      </c>
      <c r="AH74" s="5">
        <f>IFERROR(INDEX(2a_PRE_TRABAJO!Z$5:Z$112,MATCH($A74,2a_PRE_TRABAJO!$A$5:$A$112,0)),"")</f>
        <v/>
      </c>
      <c r="AI74" s="5">
        <f>IFERROR(INDEX(2a_PRE_TRABAJO!AA$5:AA$112,MATCH($A74,2a_PRE_TRABAJO!$A$5:$A$112,0)),"")</f>
        <v/>
      </c>
      <c r="AJ74" s="5">
        <f>IFERROR(INDEX(2a_PRE_TRABAJO!AB$5:AB$112,MATCH($A74,2a_PRE_TRABAJO!$A$5:$A$112,0)),"")</f>
        <v/>
      </c>
      <c r="AK74" s="5">
        <f>IFERROR(INDEX(2a_PRE_TRABAJO!AC$5:AC$112,MATCH($A74,2a_PRE_TRABAJO!$A$5:$A$112,0)),"")</f>
        <v/>
      </c>
    </row>
    <row r="75">
      <c r="A75" s="3" t="inlineStr">
        <is>
          <t>GU-TDH-082</t>
        </is>
      </c>
      <c r="B75" s="3" t="n">
        <v>1</v>
      </c>
      <c r="C75" s="5">
        <f>IFERROR(INDEX(2a_PRE_TRABAJO!B$5:B$112,MATCH($A75,2a_PRE_TRABAJO!$A$5:$A$112,0)),"")</f>
        <v/>
      </c>
      <c r="D75" s="5">
        <f>IFERROR(INDEX(2a_PRE_TRABAJO!C$5:C$112,MATCH($A75,2a_PRE_TRABAJO!$A$5:$A$112,0)),"")</f>
        <v/>
      </c>
      <c r="E75" s="5">
        <f>IFERROR(INDEX(2a_PRE_TRABAJO!D$5:D$112,MATCH($A75,2a_PRE_TRABAJO!$A$5:$A$112,0)),"")</f>
        <v/>
      </c>
      <c r="F75" s="5">
        <f>IFERROR(INDEX(2a_PRE_TRABAJO!E$5:E$112,MATCH($A75,2a_PRE_TRABAJO!$A$5:$A$112,0)),"")</f>
        <v/>
      </c>
      <c r="G75" s="5">
        <f>IFERROR(INDEX(2a_PRE_TRABAJO!F$5:F$112,MATCH($A75,2a_PRE_TRABAJO!$A$5:$A$112,0)),"")</f>
        <v/>
      </c>
      <c r="H75" s="5">
        <f>IFERROR(INDEX(2a_PRE_TRABAJO!G$5:G$112,MATCH($A75,2a_PRE_TRABAJO!$A$5:$A$112,0)),"")</f>
        <v/>
      </c>
      <c r="I75" s="5">
        <f>IFERROR(INDEX(2b_POST_TRABAJO!C$5:C$109,MATCH($A75,2b_POST_TRABAJO!$A$5:$A$109,0)),"")</f>
        <v/>
      </c>
      <c r="J75" s="5">
        <f>IFERROR(INDEX(2a_PRE_TRABAJO!AD$5:AD$112,MATCH($A75,2a_PRE_TRABAJO!$A$5:$A$112,0)),"")</f>
        <v/>
      </c>
      <c r="K75" s="5">
        <f>IFERROR(INDEX(2a_PRE_TRABAJO!AE$5:AE$112,MATCH($A75,2a_PRE_TRABAJO!$A$5:$A$112,0)),"")</f>
        <v/>
      </c>
      <c r="L75" s="5">
        <f>IFERROR(INDEX(2a_PRE_TRABAJO!AF$5:AF$112,MATCH($A75,2a_PRE_TRABAJO!$A$5:$A$112,0)),"")</f>
        <v/>
      </c>
      <c r="M75" s="5">
        <f>IFERROR(INDEX(2a_PRE_TRABAJO!AG$5:AG$112,MATCH($A75,2a_PRE_TRABAJO!$A$5:$A$112,0)),"")</f>
        <v/>
      </c>
      <c r="N75" s="5">
        <f>IFERROR(INDEX(2b_POST_TRABAJO!D$5:D$109,MATCH($A75,2b_POST_TRABAJO!$A$5:$A$109,0)),"")</f>
        <v/>
      </c>
      <c r="O75" s="5">
        <f>IF(OR(N75="",J75=""),"",N75-J75)</f>
        <v/>
      </c>
      <c r="P75" s="5">
        <f>IFERROR(INDEX(2a_PRE_TRABAJO!H$5:H$112,MATCH($A75,2a_PRE_TRABAJO!$A$5:$A$112,0)),"")</f>
        <v/>
      </c>
      <c r="Q75" s="5">
        <f>IFERROR(INDEX(2a_PRE_TRABAJO!I$5:I$112,MATCH($A75,2a_PRE_TRABAJO!$A$5:$A$112,0)),"")</f>
        <v/>
      </c>
      <c r="R75" s="5">
        <f>IFERROR(INDEX(2a_PRE_TRABAJO!J$5:J$112,MATCH($A75,2a_PRE_TRABAJO!$A$5:$A$112,0)),"")</f>
        <v/>
      </c>
      <c r="S75" s="5">
        <f>IFERROR(INDEX(2a_PRE_TRABAJO!K$5:K$112,MATCH($A75,2a_PRE_TRABAJO!$A$5:$A$112,0)),"")</f>
        <v/>
      </c>
      <c r="T75" s="5">
        <f>IFERROR(INDEX(2a_PRE_TRABAJO!L$5:L$112,MATCH($A75,2a_PRE_TRABAJO!$A$5:$A$112,0)),"")</f>
        <v/>
      </c>
      <c r="U75" s="5">
        <f>IFERROR(INDEX(2a_PRE_TRABAJO!M$5:M$112,MATCH($A75,2a_PRE_TRABAJO!$A$5:$A$112,0)),"")</f>
        <v/>
      </c>
      <c r="V75" s="5">
        <f>IFERROR(INDEX(2a_PRE_TRABAJO!N$5:N$112,MATCH($A75,2a_PRE_TRABAJO!$A$5:$A$112,0)),"")</f>
        <v/>
      </c>
      <c r="W75" s="5">
        <f>IFERROR(INDEX(2a_PRE_TRABAJO!O$5:O$112,MATCH($A75,2a_PRE_TRABAJO!$A$5:$A$112,0)),"")</f>
        <v/>
      </c>
      <c r="X75" s="5">
        <f>IFERROR(INDEX(2a_PRE_TRABAJO!P$5:P$112,MATCH($A75,2a_PRE_TRABAJO!$A$5:$A$112,0)),"")</f>
        <v/>
      </c>
      <c r="Y75" s="5">
        <f>IFERROR(INDEX(2a_PRE_TRABAJO!Q$5:Q$112,MATCH($A75,2a_PRE_TRABAJO!$A$5:$A$112,0)),"")</f>
        <v/>
      </c>
      <c r="Z75" s="5">
        <f>IFERROR(INDEX(2a_PRE_TRABAJO!R$5:R$112,MATCH($A75,2a_PRE_TRABAJO!$A$5:$A$112,0)),"")</f>
        <v/>
      </c>
      <c r="AA75" s="5">
        <f>IFERROR(INDEX(2a_PRE_TRABAJO!S$5:S$112,MATCH($A75,2a_PRE_TRABAJO!$A$5:$A$112,0)),"")</f>
        <v/>
      </c>
      <c r="AB75" s="5">
        <f>IFERROR(INDEX(2a_PRE_TRABAJO!T$5:T$112,MATCH($A75,2a_PRE_TRABAJO!$A$5:$A$112,0)),"")</f>
        <v/>
      </c>
      <c r="AC75" s="5">
        <f>IFERROR(INDEX(2a_PRE_TRABAJO!U$5:U$112,MATCH($A75,2a_PRE_TRABAJO!$A$5:$A$112,0)),"")</f>
        <v/>
      </c>
      <c r="AD75" s="5">
        <f>IFERROR(INDEX(2a_PRE_TRABAJO!V$5:V$112,MATCH($A75,2a_PRE_TRABAJO!$A$5:$A$112,0)),"")</f>
        <v/>
      </c>
      <c r="AE75" s="5">
        <f>IFERROR(INDEX(2a_PRE_TRABAJO!W$5:W$112,MATCH($A75,2a_PRE_TRABAJO!$A$5:$A$112,0)),"")</f>
        <v/>
      </c>
      <c r="AF75" s="5">
        <f>IFERROR(INDEX(2a_PRE_TRABAJO!X$5:X$112,MATCH($A75,2a_PRE_TRABAJO!$A$5:$A$112,0)),"")</f>
        <v/>
      </c>
      <c r="AG75" s="5">
        <f>IFERROR(INDEX(2a_PRE_TRABAJO!Y$5:Y$112,MATCH($A75,2a_PRE_TRABAJO!$A$5:$A$112,0)),"")</f>
        <v/>
      </c>
      <c r="AH75" s="5">
        <f>IFERROR(INDEX(2a_PRE_TRABAJO!Z$5:Z$112,MATCH($A75,2a_PRE_TRABAJO!$A$5:$A$112,0)),"")</f>
        <v/>
      </c>
      <c r="AI75" s="5">
        <f>IFERROR(INDEX(2a_PRE_TRABAJO!AA$5:AA$112,MATCH($A75,2a_PRE_TRABAJO!$A$5:$A$112,0)),"")</f>
        <v/>
      </c>
      <c r="AJ75" s="5">
        <f>IFERROR(INDEX(2a_PRE_TRABAJO!AB$5:AB$112,MATCH($A75,2a_PRE_TRABAJO!$A$5:$A$112,0)),"")</f>
        <v/>
      </c>
      <c r="AK75" s="5">
        <f>IFERROR(INDEX(2a_PRE_TRABAJO!AC$5:AC$112,MATCH($A75,2a_PRE_TRABAJO!$A$5:$A$112,0)),"")</f>
        <v/>
      </c>
    </row>
    <row r="76">
      <c r="A76" s="3" t="inlineStr">
        <is>
          <t>GU-TDH-083</t>
        </is>
      </c>
      <c r="B76" s="3" t="n">
        <v>1</v>
      </c>
      <c r="C76" s="5">
        <f>IFERROR(INDEX(2a_PRE_TRABAJO!B$5:B$112,MATCH($A76,2a_PRE_TRABAJO!$A$5:$A$112,0)),"")</f>
        <v/>
      </c>
      <c r="D76" s="5">
        <f>IFERROR(INDEX(2a_PRE_TRABAJO!C$5:C$112,MATCH($A76,2a_PRE_TRABAJO!$A$5:$A$112,0)),"")</f>
        <v/>
      </c>
      <c r="E76" s="5">
        <f>IFERROR(INDEX(2a_PRE_TRABAJO!D$5:D$112,MATCH($A76,2a_PRE_TRABAJO!$A$5:$A$112,0)),"")</f>
        <v/>
      </c>
      <c r="F76" s="5">
        <f>IFERROR(INDEX(2a_PRE_TRABAJO!E$5:E$112,MATCH($A76,2a_PRE_TRABAJO!$A$5:$A$112,0)),"")</f>
        <v/>
      </c>
      <c r="G76" s="5">
        <f>IFERROR(INDEX(2a_PRE_TRABAJO!F$5:F$112,MATCH($A76,2a_PRE_TRABAJO!$A$5:$A$112,0)),"")</f>
        <v/>
      </c>
      <c r="H76" s="5">
        <f>IFERROR(INDEX(2a_PRE_TRABAJO!G$5:G$112,MATCH($A76,2a_PRE_TRABAJO!$A$5:$A$112,0)),"")</f>
        <v/>
      </c>
      <c r="I76" s="5">
        <f>IFERROR(INDEX(2b_POST_TRABAJO!C$5:C$109,MATCH($A76,2b_POST_TRABAJO!$A$5:$A$109,0)),"")</f>
        <v/>
      </c>
      <c r="J76" s="5">
        <f>IFERROR(INDEX(2a_PRE_TRABAJO!AD$5:AD$112,MATCH($A76,2a_PRE_TRABAJO!$A$5:$A$112,0)),"")</f>
        <v/>
      </c>
      <c r="K76" s="5">
        <f>IFERROR(INDEX(2a_PRE_TRABAJO!AE$5:AE$112,MATCH($A76,2a_PRE_TRABAJO!$A$5:$A$112,0)),"")</f>
        <v/>
      </c>
      <c r="L76" s="5">
        <f>IFERROR(INDEX(2a_PRE_TRABAJO!AF$5:AF$112,MATCH($A76,2a_PRE_TRABAJO!$A$5:$A$112,0)),"")</f>
        <v/>
      </c>
      <c r="M76" s="5">
        <f>IFERROR(INDEX(2a_PRE_TRABAJO!AG$5:AG$112,MATCH($A76,2a_PRE_TRABAJO!$A$5:$A$112,0)),"")</f>
        <v/>
      </c>
      <c r="N76" s="5">
        <f>IFERROR(INDEX(2b_POST_TRABAJO!D$5:D$109,MATCH($A76,2b_POST_TRABAJO!$A$5:$A$109,0)),"")</f>
        <v/>
      </c>
      <c r="O76" s="5">
        <f>IF(OR(N76="",J76=""),"",N76-J76)</f>
        <v/>
      </c>
      <c r="P76" s="5">
        <f>IFERROR(INDEX(2a_PRE_TRABAJO!H$5:H$112,MATCH($A76,2a_PRE_TRABAJO!$A$5:$A$112,0)),"")</f>
        <v/>
      </c>
      <c r="Q76" s="5">
        <f>IFERROR(INDEX(2a_PRE_TRABAJO!I$5:I$112,MATCH($A76,2a_PRE_TRABAJO!$A$5:$A$112,0)),"")</f>
        <v/>
      </c>
      <c r="R76" s="5">
        <f>IFERROR(INDEX(2a_PRE_TRABAJO!J$5:J$112,MATCH($A76,2a_PRE_TRABAJO!$A$5:$A$112,0)),"")</f>
        <v/>
      </c>
      <c r="S76" s="5">
        <f>IFERROR(INDEX(2a_PRE_TRABAJO!K$5:K$112,MATCH($A76,2a_PRE_TRABAJO!$A$5:$A$112,0)),"")</f>
        <v/>
      </c>
      <c r="T76" s="5">
        <f>IFERROR(INDEX(2a_PRE_TRABAJO!L$5:L$112,MATCH($A76,2a_PRE_TRABAJO!$A$5:$A$112,0)),"")</f>
        <v/>
      </c>
      <c r="U76" s="5">
        <f>IFERROR(INDEX(2a_PRE_TRABAJO!M$5:M$112,MATCH($A76,2a_PRE_TRABAJO!$A$5:$A$112,0)),"")</f>
        <v/>
      </c>
      <c r="V76" s="5">
        <f>IFERROR(INDEX(2a_PRE_TRABAJO!N$5:N$112,MATCH($A76,2a_PRE_TRABAJO!$A$5:$A$112,0)),"")</f>
        <v/>
      </c>
      <c r="W76" s="5">
        <f>IFERROR(INDEX(2a_PRE_TRABAJO!O$5:O$112,MATCH($A76,2a_PRE_TRABAJO!$A$5:$A$112,0)),"")</f>
        <v/>
      </c>
      <c r="X76" s="5">
        <f>IFERROR(INDEX(2a_PRE_TRABAJO!P$5:P$112,MATCH($A76,2a_PRE_TRABAJO!$A$5:$A$112,0)),"")</f>
        <v/>
      </c>
      <c r="Y76" s="5">
        <f>IFERROR(INDEX(2a_PRE_TRABAJO!Q$5:Q$112,MATCH($A76,2a_PRE_TRABAJO!$A$5:$A$112,0)),"")</f>
        <v/>
      </c>
      <c r="Z76" s="5">
        <f>IFERROR(INDEX(2a_PRE_TRABAJO!R$5:R$112,MATCH($A76,2a_PRE_TRABAJO!$A$5:$A$112,0)),"")</f>
        <v/>
      </c>
      <c r="AA76" s="5">
        <f>IFERROR(INDEX(2a_PRE_TRABAJO!S$5:S$112,MATCH($A76,2a_PRE_TRABAJO!$A$5:$A$112,0)),"")</f>
        <v/>
      </c>
      <c r="AB76" s="5">
        <f>IFERROR(INDEX(2a_PRE_TRABAJO!T$5:T$112,MATCH($A76,2a_PRE_TRABAJO!$A$5:$A$112,0)),"")</f>
        <v/>
      </c>
      <c r="AC76" s="5">
        <f>IFERROR(INDEX(2a_PRE_TRABAJO!U$5:U$112,MATCH($A76,2a_PRE_TRABAJO!$A$5:$A$112,0)),"")</f>
        <v/>
      </c>
      <c r="AD76" s="5">
        <f>IFERROR(INDEX(2a_PRE_TRABAJO!V$5:V$112,MATCH($A76,2a_PRE_TRABAJO!$A$5:$A$112,0)),"")</f>
        <v/>
      </c>
      <c r="AE76" s="5">
        <f>IFERROR(INDEX(2a_PRE_TRABAJO!W$5:W$112,MATCH($A76,2a_PRE_TRABAJO!$A$5:$A$112,0)),"")</f>
        <v/>
      </c>
      <c r="AF76" s="5">
        <f>IFERROR(INDEX(2a_PRE_TRABAJO!X$5:X$112,MATCH($A76,2a_PRE_TRABAJO!$A$5:$A$112,0)),"")</f>
        <v/>
      </c>
      <c r="AG76" s="5">
        <f>IFERROR(INDEX(2a_PRE_TRABAJO!Y$5:Y$112,MATCH($A76,2a_PRE_TRABAJO!$A$5:$A$112,0)),"")</f>
        <v/>
      </c>
      <c r="AH76" s="5">
        <f>IFERROR(INDEX(2a_PRE_TRABAJO!Z$5:Z$112,MATCH($A76,2a_PRE_TRABAJO!$A$5:$A$112,0)),"")</f>
        <v/>
      </c>
      <c r="AI76" s="5">
        <f>IFERROR(INDEX(2a_PRE_TRABAJO!AA$5:AA$112,MATCH($A76,2a_PRE_TRABAJO!$A$5:$A$112,0)),"")</f>
        <v/>
      </c>
      <c r="AJ76" s="5">
        <f>IFERROR(INDEX(2a_PRE_TRABAJO!AB$5:AB$112,MATCH($A76,2a_PRE_TRABAJO!$A$5:$A$112,0)),"")</f>
        <v/>
      </c>
      <c r="AK76" s="5">
        <f>IFERROR(INDEX(2a_PRE_TRABAJO!AC$5:AC$112,MATCH($A76,2a_PRE_TRABAJO!$A$5:$A$112,0)),"")</f>
        <v/>
      </c>
    </row>
    <row r="77">
      <c r="A77" s="3" t="inlineStr">
        <is>
          <t>GU-TDH-084</t>
        </is>
      </c>
      <c r="B77" s="3" t="n">
        <v>1</v>
      </c>
      <c r="C77" s="5">
        <f>IFERROR(INDEX(2a_PRE_TRABAJO!B$5:B$112,MATCH($A77,2a_PRE_TRABAJO!$A$5:$A$112,0)),"")</f>
        <v/>
      </c>
      <c r="D77" s="5">
        <f>IFERROR(INDEX(2a_PRE_TRABAJO!C$5:C$112,MATCH($A77,2a_PRE_TRABAJO!$A$5:$A$112,0)),"")</f>
        <v/>
      </c>
      <c r="E77" s="5">
        <f>IFERROR(INDEX(2a_PRE_TRABAJO!D$5:D$112,MATCH($A77,2a_PRE_TRABAJO!$A$5:$A$112,0)),"")</f>
        <v/>
      </c>
      <c r="F77" s="5">
        <f>IFERROR(INDEX(2a_PRE_TRABAJO!E$5:E$112,MATCH($A77,2a_PRE_TRABAJO!$A$5:$A$112,0)),"")</f>
        <v/>
      </c>
      <c r="G77" s="5">
        <f>IFERROR(INDEX(2a_PRE_TRABAJO!F$5:F$112,MATCH($A77,2a_PRE_TRABAJO!$A$5:$A$112,0)),"")</f>
        <v/>
      </c>
      <c r="H77" s="5">
        <f>IFERROR(INDEX(2a_PRE_TRABAJO!G$5:G$112,MATCH($A77,2a_PRE_TRABAJO!$A$5:$A$112,0)),"")</f>
        <v/>
      </c>
      <c r="I77" s="5">
        <f>IFERROR(INDEX(2b_POST_TRABAJO!C$5:C$109,MATCH($A77,2b_POST_TRABAJO!$A$5:$A$109,0)),"")</f>
        <v/>
      </c>
      <c r="J77" s="5">
        <f>IFERROR(INDEX(2a_PRE_TRABAJO!AD$5:AD$112,MATCH($A77,2a_PRE_TRABAJO!$A$5:$A$112,0)),"")</f>
        <v/>
      </c>
      <c r="K77" s="5">
        <f>IFERROR(INDEX(2a_PRE_TRABAJO!AE$5:AE$112,MATCH($A77,2a_PRE_TRABAJO!$A$5:$A$112,0)),"")</f>
        <v/>
      </c>
      <c r="L77" s="5">
        <f>IFERROR(INDEX(2a_PRE_TRABAJO!AF$5:AF$112,MATCH($A77,2a_PRE_TRABAJO!$A$5:$A$112,0)),"")</f>
        <v/>
      </c>
      <c r="M77" s="5">
        <f>IFERROR(INDEX(2a_PRE_TRABAJO!AG$5:AG$112,MATCH($A77,2a_PRE_TRABAJO!$A$5:$A$112,0)),"")</f>
        <v/>
      </c>
      <c r="N77" s="5">
        <f>IFERROR(INDEX(2b_POST_TRABAJO!D$5:D$109,MATCH($A77,2b_POST_TRABAJO!$A$5:$A$109,0)),"")</f>
        <v/>
      </c>
      <c r="O77" s="5">
        <f>IF(OR(N77="",J77=""),"",N77-J77)</f>
        <v/>
      </c>
      <c r="P77" s="5">
        <f>IFERROR(INDEX(2a_PRE_TRABAJO!H$5:H$112,MATCH($A77,2a_PRE_TRABAJO!$A$5:$A$112,0)),"")</f>
        <v/>
      </c>
      <c r="Q77" s="5">
        <f>IFERROR(INDEX(2a_PRE_TRABAJO!I$5:I$112,MATCH($A77,2a_PRE_TRABAJO!$A$5:$A$112,0)),"")</f>
        <v/>
      </c>
      <c r="R77" s="5">
        <f>IFERROR(INDEX(2a_PRE_TRABAJO!J$5:J$112,MATCH($A77,2a_PRE_TRABAJO!$A$5:$A$112,0)),"")</f>
        <v/>
      </c>
      <c r="S77" s="5">
        <f>IFERROR(INDEX(2a_PRE_TRABAJO!K$5:K$112,MATCH($A77,2a_PRE_TRABAJO!$A$5:$A$112,0)),"")</f>
        <v/>
      </c>
      <c r="T77" s="5">
        <f>IFERROR(INDEX(2a_PRE_TRABAJO!L$5:L$112,MATCH($A77,2a_PRE_TRABAJO!$A$5:$A$112,0)),"")</f>
        <v/>
      </c>
      <c r="U77" s="5">
        <f>IFERROR(INDEX(2a_PRE_TRABAJO!M$5:M$112,MATCH($A77,2a_PRE_TRABAJO!$A$5:$A$112,0)),"")</f>
        <v/>
      </c>
      <c r="V77" s="5">
        <f>IFERROR(INDEX(2a_PRE_TRABAJO!N$5:N$112,MATCH($A77,2a_PRE_TRABAJO!$A$5:$A$112,0)),"")</f>
        <v/>
      </c>
      <c r="W77" s="5">
        <f>IFERROR(INDEX(2a_PRE_TRABAJO!O$5:O$112,MATCH($A77,2a_PRE_TRABAJO!$A$5:$A$112,0)),"")</f>
        <v/>
      </c>
      <c r="X77" s="5">
        <f>IFERROR(INDEX(2a_PRE_TRABAJO!P$5:P$112,MATCH($A77,2a_PRE_TRABAJO!$A$5:$A$112,0)),"")</f>
        <v/>
      </c>
      <c r="Y77" s="5">
        <f>IFERROR(INDEX(2a_PRE_TRABAJO!Q$5:Q$112,MATCH($A77,2a_PRE_TRABAJO!$A$5:$A$112,0)),"")</f>
        <v/>
      </c>
      <c r="Z77" s="5">
        <f>IFERROR(INDEX(2a_PRE_TRABAJO!R$5:R$112,MATCH($A77,2a_PRE_TRABAJO!$A$5:$A$112,0)),"")</f>
        <v/>
      </c>
      <c r="AA77" s="5">
        <f>IFERROR(INDEX(2a_PRE_TRABAJO!S$5:S$112,MATCH($A77,2a_PRE_TRABAJO!$A$5:$A$112,0)),"")</f>
        <v/>
      </c>
      <c r="AB77" s="5">
        <f>IFERROR(INDEX(2a_PRE_TRABAJO!T$5:T$112,MATCH($A77,2a_PRE_TRABAJO!$A$5:$A$112,0)),"")</f>
        <v/>
      </c>
      <c r="AC77" s="5">
        <f>IFERROR(INDEX(2a_PRE_TRABAJO!U$5:U$112,MATCH($A77,2a_PRE_TRABAJO!$A$5:$A$112,0)),"")</f>
        <v/>
      </c>
      <c r="AD77" s="5">
        <f>IFERROR(INDEX(2a_PRE_TRABAJO!V$5:V$112,MATCH($A77,2a_PRE_TRABAJO!$A$5:$A$112,0)),"")</f>
        <v/>
      </c>
      <c r="AE77" s="5">
        <f>IFERROR(INDEX(2a_PRE_TRABAJO!W$5:W$112,MATCH($A77,2a_PRE_TRABAJO!$A$5:$A$112,0)),"")</f>
        <v/>
      </c>
      <c r="AF77" s="5">
        <f>IFERROR(INDEX(2a_PRE_TRABAJO!X$5:X$112,MATCH($A77,2a_PRE_TRABAJO!$A$5:$A$112,0)),"")</f>
        <v/>
      </c>
      <c r="AG77" s="5">
        <f>IFERROR(INDEX(2a_PRE_TRABAJO!Y$5:Y$112,MATCH($A77,2a_PRE_TRABAJO!$A$5:$A$112,0)),"")</f>
        <v/>
      </c>
      <c r="AH77" s="5">
        <f>IFERROR(INDEX(2a_PRE_TRABAJO!Z$5:Z$112,MATCH($A77,2a_PRE_TRABAJO!$A$5:$A$112,0)),"")</f>
        <v/>
      </c>
      <c r="AI77" s="5">
        <f>IFERROR(INDEX(2a_PRE_TRABAJO!AA$5:AA$112,MATCH($A77,2a_PRE_TRABAJO!$A$5:$A$112,0)),"")</f>
        <v/>
      </c>
      <c r="AJ77" s="5">
        <f>IFERROR(INDEX(2a_PRE_TRABAJO!AB$5:AB$112,MATCH($A77,2a_PRE_TRABAJO!$A$5:$A$112,0)),"")</f>
        <v/>
      </c>
      <c r="AK77" s="5">
        <f>IFERROR(INDEX(2a_PRE_TRABAJO!AC$5:AC$112,MATCH($A77,2a_PRE_TRABAJO!$A$5:$A$112,0)),"")</f>
        <v/>
      </c>
    </row>
    <row r="78">
      <c r="A78" s="3" t="inlineStr">
        <is>
          <t>GU-TDH-085</t>
        </is>
      </c>
      <c r="B78" s="3" t="n">
        <v>1</v>
      </c>
      <c r="C78" s="5">
        <f>IFERROR(INDEX(2a_PRE_TRABAJO!B$5:B$112,MATCH($A78,2a_PRE_TRABAJO!$A$5:$A$112,0)),"")</f>
        <v/>
      </c>
      <c r="D78" s="5">
        <f>IFERROR(INDEX(2a_PRE_TRABAJO!C$5:C$112,MATCH($A78,2a_PRE_TRABAJO!$A$5:$A$112,0)),"")</f>
        <v/>
      </c>
      <c r="E78" s="5">
        <f>IFERROR(INDEX(2a_PRE_TRABAJO!D$5:D$112,MATCH($A78,2a_PRE_TRABAJO!$A$5:$A$112,0)),"")</f>
        <v/>
      </c>
      <c r="F78" s="5">
        <f>IFERROR(INDEX(2a_PRE_TRABAJO!E$5:E$112,MATCH($A78,2a_PRE_TRABAJO!$A$5:$A$112,0)),"")</f>
        <v/>
      </c>
      <c r="G78" s="5">
        <f>IFERROR(INDEX(2a_PRE_TRABAJO!F$5:F$112,MATCH($A78,2a_PRE_TRABAJO!$A$5:$A$112,0)),"")</f>
        <v/>
      </c>
      <c r="H78" s="5">
        <f>IFERROR(INDEX(2a_PRE_TRABAJO!G$5:G$112,MATCH($A78,2a_PRE_TRABAJO!$A$5:$A$112,0)),"")</f>
        <v/>
      </c>
      <c r="I78" s="5">
        <f>IFERROR(INDEX(2b_POST_TRABAJO!C$5:C$109,MATCH($A78,2b_POST_TRABAJO!$A$5:$A$109,0)),"")</f>
        <v/>
      </c>
      <c r="J78" s="5">
        <f>IFERROR(INDEX(2a_PRE_TRABAJO!AD$5:AD$112,MATCH($A78,2a_PRE_TRABAJO!$A$5:$A$112,0)),"")</f>
        <v/>
      </c>
      <c r="K78" s="5">
        <f>IFERROR(INDEX(2a_PRE_TRABAJO!AE$5:AE$112,MATCH($A78,2a_PRE_TRABAJO!$A$5:$A$112,0)),"")</f>
        <v/>
      </c>
      <c r="L78" s="5">
        <f>IFERROR(INDEX(2a_PRE_TRABAJO!AF$5:AF$112,MATCH($A78,2a_PRE_TRABAJO!$A$5:$A$112,0)),"")</f>
        <v/>
      </c>
      <c r="M78" s="5">
        <f>IFERROR(INDEX(2a_PRE_TRABAJO!AG$5:AG$112,MATCH($A78,2a_PRE_TRABAJO!$A$5:$A$112,0)),"")</f>
        <v/>
      </c>
      <c r="N78" s="5">
        <f>IFERROR(INDEX(2b_POST_TRABAJO!D$5:D$109,MATCH($A78,2b_POST_TRABAJO!$A$5:$A$109,0)),"")</f>
        <v/>
      </c>
      <c r="O78" s="5">
        <f>IF(OR(N78="",J78=""),"",N78-J78)</f>
        <v/>
      </c>
      <c r="P78" s="5">
        <f>IFERROR(INDEX(2a_PRE_TRABAJO!H$5:H$112,MATCH($A78,2a_PRE_TRABAJO!$A$5:$A$112,0)),"")</f>
        <v/>
      </c>
      <c r="Q78" s="5">
        <f>IFERROR(INDEX(2a_PRE_TRABAJO!I$5:I$112,MATCH($A78,2a_PRE_TRABAJO!$A$5:$A$112,0)),"")</f>
        <v/>
      </c>
      <c r="R78" s="5">
        <f>IFERROR(INDEX(2a_PRE_TRABAJO!J$5:J$112,MATCH($A78,2a_PRE_TRABAJO!$A$5:$A$112,0)),"")</f>
        <v/>
      </c>
      <c r="S78" s="5">
        <f>IFERROR(INDEX(2a_PRE_TRABAJO!K$5:K$112,MATCH($A78,2a_PRE_TRABAJO!$A$5:$A$112,0)),"")</f>
        <v/>
      </c>
      <c r="T78" s="5">
        <f>IFERROR(INDEX(2a_PRE_TRABAJO!L$5:L$112,MATCH($A78,2a_PRE_TRABAJO!$A$5:$A$112,0)),"")</f>
        <v/>
      </c>
      <c r="U78" s="5">
        <f>IFERROR(INDEX(2a_PRE_TRABAJO!M$5:M$112,MATCH($A78,2a_PRE_TRABAJO!$A$5:$A$112,0)),"")</f>
        <v/>
      </c>
      <c r="V78" s="5">
        <f>IFERROR(INDEX(2a_PRE_TRABAJO!N$5:N$112,MATCH($A78,2a_PRE_TRABAJO!$A$5:$A$112,0)),"")</f>
        <v/>
      </c>
      <c r="W78" s="5">
        <f>IFERROR(INDEX(2a_PRE_TRABAJO!O$5:O$112,MATCH($A78,2a_PRE_TRABAJO!$A$5:$A$112,0)),"")</f>
        <v/>
      </c>
      <c r="X78" s="5">
        <f>IFERROR(INDEX(2a_PRE_TRABAJO!P$5:P$112,MATCH($A78,2a_PRE_TRABAJO!$A$5:$A$112,0)),"")</f>
        <v/>
      </c>
      <c r="Y78" s="5">
        <f>IFERROR(INDEX(2a_PRE_TRABAJO!Q$5:Q$112,MATCH($A78,2a_PRE_TRABAJO!$A$5:$A$112,0)),"")</f>
        <v/>
      </c>
      <c r="Z78" s="5">
        <f>IFERROR(INDEX(2a_PRE_TRABAJO!R$5:R$112,MATCH($A78,2a_PRE_TRABAJO!$A$5:$A$112,0)),"")</f>
        <v/>
      </c>
      <c r="AA78" s="5">
        <f>IFERROR(INDEX(2a_PRE_TRABAJO!S$5:S$112,MATCH($A78,2a_PRE_TRABAJO!$A$5:$A$112,0)),"")</f>
        <v/>
      </c>
      <c r="AB78" s="5">
        <f>IFERROR(INDEX(2a_PRE_TRABAJO!T$5:T$112,MATCH($A78,2a_PRE_TRABAJO!$A$5:$A$112,0)),"")</f>
        <v/>
      </c>
      <c r="AC78" s="5">
        <f>IFERROR(INDEX(2a_PRE_TRABAJO!U$5:U$112,MATCH($A78,2a_PRE_TRABAJO!$A$5:$A$112,0)),"")</f>
        <v/>
      </c>
      <c r="AD78" s="5">
        <f>IFERROR(INDEX(2a_PRE_TRABAJO!V$5:V$112,MATCH($A78,2a_PRE_TRABAJO!$A$5:$A$112,0)),"")</f>
        <v/>
      </c>
      <c r="AE78" s="5">
        <f>IFERROR(INDEX(2a_PRE_TRABAJO!W$5:W$112,MATCH($A78,2a_PRE_TRABAJO!$A$5:$A$112,0)),"")</f>
        <v/>
      </c>
      <c r="AF78" s="5">
        <f>IFERROR(INDEX(2a_PRE_TRABAJO!X$5:X$112,MATCH($A78,2a_PRE_TRABAJO!$A$5:$A$112,0)),"")</f>
        <v/>
      </c>
      <c r="AG78" s="5">
        <f>IFERROR(INDEX(2a_PRE_TRABAJO!Y$5:Y$112,MATCH($A78,2a_PRE_TRABAJO!$A$5:$A$112,0)),"")</f>
        <v/>
      </c>
      <c r="AH78" s="5">
        <f>IFERROR(INDEX(2a_PRE_TRABAJO!Z$5:Z$112,MATCH($A78,2a_PRE_TRABAJO!$A$5:$A$112,0)),"")</f>
        <v/>
      </c>
      <c r="AI78" s="5">
        <f>IFERROR(INDEX(2a_PRE_TRABAJO!AA$5:AA$112,MATCH($A78,2a_PRE_TRABAJO!$A$5:$A$112,0)),"")</f>
        <v/>
      </c>
      <c r="AJ78" s="5">
        <f>IFERROR(INDEX(2a_PRE_TRABAJO!AB$5:AB$112,MATCH($A78,2a_PRE_TRABAJO!$A$5:$A$112,0)),"")</f>
        <v/>
      </c>
      <c r="AK78" s="5">
        <f>IFERROR(INDEX(2a_PRE_TRABAJO!AC$5:AC$112,MATCH($A78,2a_PRE_TRABAJO!$A$5:$A$112,0)),"")</f>
        <v/>
      </c>
    </row>
    <row r="79">
      <c r="A79" s="3" t="inlineStr">
        <is>
          <t>GU-TDH-086</t>
        </is>
      </c>
      <c r="B79" s="3" t="n">
        <v>1</v>
      </c>
      <c r="C79" s="5">
        <f>IFERROR(INDEX(2a_PRE_TRABAJO!B$5:B$112,MATCH($A79,2a_PRE_TRABAJO!$A$5:$A$112,0)),"")</f>
        <v/>
      </c>
      <c r="D79" s="5">
        <f>IFERROR(INDEX(2a_PRE_TRABAJO!C$5:C$112,MATCH($A79,2a_PRE_TRABAJO!$A$5:$A$112,0)),"")</f>
        <v/>
      </c>
      <c r="E79" s="5">
        <f>IFERROR(INDEX(2a_PRE_TRABAJO!D$5:D$112,MATCH($A79,2a_PRE_TRABAJO!$A$5:$A$112,0)),"")</f>
        <v/>
      </c>
      <c r="F79" s="5">
        <f>IFERROR(INDEX(2a_PRE_TRABAJO!E$5:E$112,MATCH($A79,2a_PRE_TRABAJO!$A$5:$A$112,0)),"")</f>
        <v/>
      </c>
      <c r="G79" s="5">
        <f>IFERROR(INDEX(2a_PRE_TRABAJO!F$5:F$112,MATCH($A79,2a_PRE_TRABAJO!$A$5:$A$112,0)),"")</f>
        <v/>
      </c>
      <c r="H79" s="5">
        <f>IFERROR(INDEX(2a_PRE_TRABAJO!G$5:G$112,MATCH($A79,2a_PRE_TRABAJO!$A$5:$A$112,0)),"")</f>
        <v/>
      </c>
      <c r="I79" s="5">
        <f>IFERROR(INDEX(2b_POST_TRABAJO!C$5:C$109,MATCH($A79,2b_POST_TRABAJO!$A$5:$A$109,0)),"")</f>
        <v/>
      </c>
      <c r="J79" s="5">
        <f>IFERROR(INDEX(2a_PRE_TRABAJO!AD$5:AD$112,MATCH($A79,2a_PRE_TRABAJO!$A$5:$A$112,0)),"")</f>
        <v/>
      </c>
      <c r="K79" s="5">
        <f>IFERROR(INDEX(2a_PRE_TRABAJO!AE$5:AE$112,MATCH($A79,2a_PRE_TRABAJO!$A$5:$A$112,0)),"")</f>
        <v/>
      </c>
      <c r="L79" s="5">
        <f>IFERROR(INDEX(2a_PRE_TRABAJO!AF$5:AF$112,MATCH($A79,2a_PRE_TRABAJO!$A$5:$A$112,0)),"")</f>
        <v/>
      </c>
      <c r="M79" s="5">
        <f>IFERROR(INDEX(2a_PRE_TRABAJO!AG$5:AG$112,MATCH($A79,2a_PRE_TRABAJO!$A$5:$A$112,0)),"")</f>
        <v/>
      </c>
      <c r="N79" s="5">
        <f>IFERROR(INDEX(2b_POST_TRABAJO!D$5:D$109,MATCH($A79,2b_POST_TRABAJO!$A$5:$A$109,0)),"")</f>
        <v/>
      </c>
      <c r="O79" s="5">
        <f>IF(OR(N79="",J79=""),"",N79-J79)</f>
        <v/>
      </c>
      <c r="P79" s="5">
        <f>IFERROR(INDEX(2a_PRE_TRABAJO!H$5:H$112,MATCH($A79,2a_PRE_TRABAJO!$A$5:$A$112,0)),"")</f>
        <v/>
      </c>
      <c r="Q79" s="5">
        <f>IFERROR(INDEX(2a_PRE_TRABAJO!I$5:I$112,MATCH($A79,2a_PRE_TRABAJO!$A$5:$A$112,0)),"")</f>
        <v/>
      </c>
      <c r="R79" s="5">
        <f>IFERROR(INDEX(2a_PRE_TRABAJO!J$5:J$112,MATCH($A79,2a_PRE_TRABAJO!$A$5:$A$112,0)),"")</f>
        <v/>
      </c>
      <c r="S79" s="5">
        <f>IFERROR(INDEX(2a_PRE_TRABAJO!K$5:K$112,MATCH($A79,2a_PRE_TRABAJO!$A$5:$A$112,0)),"")</f>
        <v/>
      </c>
      <c r="T79" s="5">
        <f>IFERROR(INDEX(2a_PRE_TRABAJO!L$5:L$112,MATCH($A79,2a_PRE_TRABAJO!$A$5:$A$112,0)),"")</f>
        <v/>
      </c>
      <c r="U79" s="5">
        <f>IFERROR(INDEX(2a_PRE_TRABAJO!M$5:M$112,MATCH($A79,2a_PRE_TRABAJO!$A$5:$A$112,0)),"")</f>
        <v/>
      </c>
      <c r="V79" s="5">
        <f>IFERROR(INDEX(2a_PRE_TRABAJO!N$5:N$112,MATCH($A79,2a_PRE_TRABAJO!$A$5:$A$112,0)),"")</f>
        <v/>
      </c>
      <c r="W79" s="5">
        <f>IFERROR(INDEX(2a_PRE_TRABAJO!O$5:O$112,MATCH($A79,2a_PRE_TRABAJO!$A$5:$A$112,0)),"")</f>
        <v/>
      </c>
      <c r="X79" s="5">
        <f>IFERROR(INDEX(2a_PRE_TRABAJO!P$5:P$112,MATCH($A79,2a_PRE_TRABAJO!$A$5:$A$112,0)),"")</f>
        <v/>
      </c>
      <c r="Y79" s="5">
        <f>IFERROR(INDEX(2a_PRE_TRABAJO!Q$5:Q$112,MATCH($A79,2a_PRE_TRABAJO!$A$5:$A$112,0)),"")</f>
        <v/>
      </c>
      <c r="Z79" s="5">
        <f>IFERROR(INDEX(2a_PRE_TRABAJO!R$5:R$112,MATCH($A79,2a_PRE_TRABAJO!$A$5:$A$112,0)),"")</f>
        <v/>
      </c>
      <c r="AA79" s="5">
        <f>IFERROR(INDEX(2a_PRE_TRABAJO!S$5:S$112,MATCH($A79,2a_PRE_TRABAJO!$A$5:$A$112,0)),"")</f>
        <v/>
      </c>
      <c r="AB79" s="5">
        <f>IFERROR(INDEX(2a_PRE_TRABAJO!T$5:T$112,MATCH($A79,2a_PRE_TRABAJO!$A$5:$A$112,0)),"")</f>
        <v/>
      </c>
      <c r="AC79" s="5">
        <f>IFERROR(INDEX(2a_PRE_TRABAJO!U$5:U$112,MATCH($A79,2a_PRE_TRABAJO!$A$5:$A$112,0)),"")</f>
        <v/>
      </c>
      <c r="AD79" s="5">
        <f>IFERROR(INDEX(2a_PRE_TRABAJO!V$5:V$112,MATCH($A79,2a_PRE_TRABAJO!$A$5:$A$112,0)),"")</f>
        <v/>
      </c>
      <c r="AE79" s="5">
        <f>IFERROR(INDEX(2a_PRE_TRABAJO!W$5:W$112,MATCH($A79,2a_PRE_TRABAJO!$A$5:$A$112,0)),"")</f>
        <v/>
      </c>
      <c r="AF79" s="5">
        <f>IFERROR(INDEX(2a_PRE_TRABAJO!X$5:X$112,MATCH($A79,2a_PRE_TRABAJO!$A$5:$A$112,0)),"")</f>
        <v/>
      </c>
      <c r="AG79" s="5">
        <f>IFERROR(INDEX(2a_PRE_TRABAJO!Y$5:Y$112,MATCH($A79,2a_PRE_TRABAJO!$A$5:$A$112,0)),"")</f>
        <v/>
      </c>
      <c r="AH79" s="5">
        <f>IFERROR(INDEX(2a_PRE_TRABAJO!Z$5:Z$112,MATCH($A79,2a_PRE_TRABAJO!$A$5:$A$112,0)),"")</f>
        <v/>
      </c>
      <c r="AI79" s="5">
        <f>IFERROR(INDEX(2a_PRE_TRABAJO!AA$5:AA$112,MATCH($A79,2a_PRE_TRABAJO!$A$5:$A$112,0)),"")</f>
        <v/>
      </c>
      <c r="AJ79" s="5">
        <f>IFERROR(INDEX(2a_PRE_TRABAJO!AB$5:AB$112,MATCH($A79,2a_PRE_TRABAJO!$A$5:$A$112,0)),"")</f>
        <v/>
      </c>
      <c r="AK79" s="5">
        <f>IFERROR(INDEX(2a_PRE_TRABAJO!AC$5:AC$112,MATCH($A79,2a_PRE_TRABAJO!$A$5:$A$112,0)),"")</f>
        <v/>
      </c>
    </row>
    <row r="80">
      <c r="A80" s="3" t="inlineStr">
        <is>
          <t>GU-TDH-087</t>
        </is>
      </c>
      <c r="B80" s="3" t="n">
        <v>1</v>
      </c>
      <c r="C80" s="5">
        <f>IFERROR(INDEX(2a_PRE_TRABAJO!B$5:B$112,MATCH($A80,2a_PRE_TRABAJO!$A$5:$A$112,0)),"")</f>
        <v/>
      </c>
      <c r="D80" s="5">
        <f>IFERROR(INDEX(2a_PRE_TRABAJO!C$5:C$112,MATCH($A80,2a_PRE_TRABAJO!$A$5:$A$112,0)),"")</f>
        <v/>
      </c>
      <c r="E80" s="5">
        <f>IFERROR(INDEX(2a_PRE_TRABAJO!D$5:D$112,MATCH($A80,2a_PRE_TRABAJO!$A$5:$A$112,0)),"")</f>
        <v/>
      </c>
      <c r="F80" s="5">
        <f>IFERROR(INDEX(2a_PRE_TRABAJO!E$5:E$112,MATCH($A80,2a_PRE_TRABAJO!$A$5:$A$112,0)),"")</f>
        <v/>
      </c>
      <c r="G80" s="5">
        <f>IFERROR(INDEX(2a_PRE_TRABAJO!F$5:F$112,MATCH($A80,2a_PRE_TRABAJO!$A$5:$A$112,0)),"")</f>
        <v/>
      </c>
      <c r="H80" s="5">
        <f>IFERROR(INDEX(2a_PRE_TRABAJO!G$5:G$112,MATCH($A80,2a_PRE_TRABAJO!$A$5:$A$112,0)),"")</f>
        <v/>
      </c>
      <c r="I80" s="5">
        <f>IFERROR(INDEX(2b_POST_TRABAJO!C$5:C$109,MATCH($A80,2b_POST_TRABAJO!$A$5:$A$109,0)),"")</f>
        <v/>
      </c>
      <c r="J80" s="5">
        <f>IFERROR(INDEX(2a_PRE_TRABAJO!AD$5:AD$112,MATCH($A80,2a_PRE_TRABAJO!$A$5:$A$112,0)),"")</f>
        <v/>
      </c>
      <c r="K80" s="5">
        <f>IFERROR(INDEX(2a_PRE_TRABAJO!AE$5:AE$112,MATCH($A80,2a_PRE_TRABAJO!$A$5:$A$112,0)),"")</f>
        <v/>
      </c>
      <c r="L80" s="5">
        <f>IFERROR(INDEX(2a_PRE_TRABAJO!AF$5:AF$112,MATCH($A80,2a_PRE_TRABAJO!$A$5:$A$112,0)),"")</f>
        <v/>
      </c>
      <c r="M80" s="5">
        <f>IFERROR(INDEX(2a_PRE_TRABAJO!AG$5:AG$112,MATCH($A80,2a_PRE_TRABAJO!$A$5:$A$112,0)),"")</f>
        <v/>
      </c>
      <c r="N80" s="5">
        <f>IFERROR(INDEX(2b_POST_TRABAJO!D$5:D$109,MATCH($A80,2b_POST_TRABAJO!$A$5:$A$109,0)),"")</f>
        <v/>
      </c>
      <c r="O80" s="5">
        <f>IF(OR(N80="",J80=""),"",N80-J80)</f>
        <v/>
      </c>
      <c r="P80" s="5">
        <f>IFERROR(INDEX(2a_PRE_TRABAJO!H$5:H$112,MATCH($A80,2a_PRE_TRABAJO!$A$5:$A$112,0)),"")</f>
        <v/>
      </c>
      <c r="Q80" s="5">
        <f>IFERROR(INDEX(2a_PRE_TRABAJO!I$5:I$112,MATCH($A80,2a_PRE_TRABAJO!$A$5:$A$112,0)),"")</f>
        <v/>
      </c>
      <c r="R80" s="5">
        <f>IFERROR(INDEX(2a_PRE_TRABAJO!J$5:J$112,MATCH($A80,2a_PRE_TRABAJO!$A$5:$A$112,0)),"")</f>
        <v/>
      </c>
      <c r="S80" s="5">
        <f>IFERROR(INDEX(2a_PRE_TRABAJO!K$5:K$112,MATCH($A80,2a_PRE_TRABAJO!$A$5:$A$112,0)),"")</f>
        <v/>
      </c>
      <c r="T80" s="5">
        <f>IFERROR(INDEX(2a_PRE_TRABAJO!L$5:L$112,MATCH($A80,2a_PRE_TRABAJO!$A$5:$A$112,0)),"")</f>
        <v/>
      </c>
      <c r="U80" s="5">
        <f>IFERROR(INDEX(2a_PRE_TRABAJO!M$5:M$112,MATCH($A80,2a_PRE_TRABAJO!$A$5:$A$112,0)),"")</f>
        <v/>
      </c>
      <c r="V80" s="5">
        <f>IFERROR(INDEX(2a_PRE_TRABAJO!N$5:N$112,MATCH($A80,2a_PRE_TRABAJO!$A$5:$A$112,0)),"")</f>
        <v/>
      </c>
      <c r="W80" s="5">
        <f>IFERROR(INDEX(2a_PRE_TRABAJO!O$5:O$112,MATCH($A80,2a_PRE_TRABAJO!$A$5:$A$112,0)),"")</f>
        <v/>
      </c>
      <c r="X80" s="5">
        <f>IFERROR(INDEX(2a_PRE_TRABAJO!P$5:P$112,MATCH($A80,2a_PRE_TRABAJO!$A$5:$A$112,0)),"")</f>
        <v/>
      </c>
      <c r="Y80" s="5">
        <f>IFERROR(INDEX(2a_PRE_TRABAJO!Q$5:Q$112,MATCH($A80,2a_PRE_TRABAJO!$A$5:$A$112,0)),"")</f>
        <v/>
      </c>
      <c r="Z80" s="5">
        <f>IFERROR(INDEX(2a_PRE_TRABAJO!R$5:R$112,MATCH($A80,2a_PRE_TRABAJO!$A$5:$A$112,0)),"")</f>
        <v/>
      </c>
      <c r="AA80" s="5">
        <f>IFERROR(INDEX(2a_PRE_TRABAJO!S$5:S$112,MATCH($A80,2a_PRE_TRABAJO!$A$5:$A$112,0)),"")</f>
        <v/>
      </c>
      <c r="AB80" s="5">
        <f>IFERROR(INDEX(2a_PRE_TRABAJO!T$5:T$112,MATCH($A80,2a_PRE_TRABAJO!$A$5:$A$112,0)),"")</f>
        <v/>
      </c>
      <c r="AC80" s="5">
        <f>IFERROR(INDEX(2a_PRE_TRABAJO!U$5:U$112,MATCH($A80,2a_PRE_TRABAJO!$A$5:$A$112,0)),"")</f>
        <v/>
      </c>
      <c r="AD80" s="5">
        <f>IFERROR(INDEX(2a_PRE_TRABAJO!V$5:V$112,MATCH($A80,2a_PRE_TRABAJO!$A$5:$A$112,0)),"")</f>
        <v/>
      </c>
      <c r="AE80" s="5">
        <f>IFERROR(INDEX(2a_PRE_TRABAJO!W$5:W$112,MATCH($A80,2a_PRE_TRABAJO!$A$5:$A$112,0)),"")</f>
        <v/>
      </c>
      <c r="AF80" s="5">
        <f>IFERROR(INDEX(2a_PRE_TRABAJO!X$5:X$112,MATCH($A80,2a_PRE_TRABAJO!$A$5:$A$112,0)),"")</f>
        <v/>
      </c>
      <c r="AG80" s="5">
        <f>IFERROR(INDEX(2a_PRE_TRABAJO!Y$5:Y$112,MATCH($A80,2a_PRE_TRABAJO!$A$5:$A$112,0)),"")</f>
        <v/>
      </c>
      <c r="AH80" s="5">
        <f>IFERROR(INDEX(2a_PRE_TRABAJO!Z$5:Z$112,MATCH($A80,2a_PRE_TRABAJO!$A$5:$A$112,0)),"")</f>
        <v/>
      </c>
      <c r="AI80" s="5">
        <f>IFERROR(INDEX(2a_PRE_TRABAJO!AA$5:AA$112,MATCH($A80,2a_PRE_TRABAJO!$A$5:$A$112,0)),"")</f>
        <v/>
      </c>
      <c r="AJ80" s="5">
        <f>IFERROR(INDEX(2a_PRE_TRABAJO!AB$5:AB$112,MATCH($A80,2a_PRE_TRABAJO!$A$5:$A$112,0)),"")</f>
        <v/>
      </c>
      <c r="AK80" s="5">
        <f>IFERROR(INDEX(2a_PRE_TRABAJO!AC$5:AC$112,MATCH($A80,2a_PRE_TRABAJO!$A$5:$A$112,0)),"")</f>
        <v/>
      </c>
    </row>
    <row r="81">
      <c r="A81" s="3" t="inlineStr">
        <is>
          <t>GU-TDH-088</t>
        </is>
      </c>
      <c r="B81" s="3" t="n">
        <v>1</v>
      </c>
      <c r="C81" s="5">
        <f>IFERROR(INDEX(2a_PRE_TRABAJO!B$5:B$112,MATCH($A81,2a_PRE_TRABAJO!$A$5:$A$112,0)),"")</f>
        <v/>
      </c>
      <c r="D81" s="5">
        <f>IFERROR(INDEX(2a_PRE_TRABAJO!C$5:C$112,MATCH($A81,2a_PRE_TRABAJO!$A$5:$A$112,0)),"")</f>
        <v/>
      </c>
      <c r="E81" s="5">
        <f>IFERROR(INDEX(2a_PRE_TRABAJO!D$5:D$112,MATCH($A81,2a_PRE_TRABAJO!$A$5:$A$112,0)),"")</f>
        <v/>
      </c>
      <c r="F81" s="5">
        <f>IFERROR(INDEX(2a_PRE_TRABAJO!E$5:E$112,MATCH($A81,2a_PRE_TRABAJO!$A$5:$A$112,0)),"")</f>
        <v/>
      </c>
      <c r="G81" s="5">
        <f>IFERROR(INDEX(2a_PRE_TRABAJO!F$5:F$112,MATCH($A81,2a_PRE_TRABAJO!$A$5:$A$112,0)),"")</f>
        <v/>
      </c>
      <c r="H81" s="5">
        <f>IFERROR(INDEX(2a_PRE_TRABAJO!G$5:G$112,MATCH($A81,2a_PRE_TRABAJO!$A$5:$A$112,0)),"")</f>
        <v/>
      </c>
      <c r="I81" s="5">
        <f>IFERROR(INDEX(2b_POST_TRABAJO!C$5:C$109,MATCH($A81,2b_POST_TRABAJO!$A$5:$A$109,0)),"")</f>
        <v/>
      </c>
      <c r="J81" s="5">
        <f>IFERROR(INDEX(2a_PRE_TRABAJO!AD$5:AD$112,MATCH($A81,2a_PRE_TRABAJO!$A$5:$A$112,0)),"")</f>
        <v/>
      </c>
      <c r="K81" s="5">
        <f>IFERROR(INDEX(2a_PRE_TRABAJO!AE$5:AE$112,MATCH($A81,2a_PRE_TRABAJO!$A$5:$A$112,0)),"")</f>
        <v/>
      </c>
      <c r="L81" s="5">
        <f>IFERROR(INDEX(2a_PRE_TRABAJO!AF$5:AF$112,MATCH($A81,2a_PRE_TRABAJO!$A$5:$A$112,0)),"")</f>
        <v/>
      </c>
      <c r="M81" s="5">
        <f>IFERROR(INDEX(2a_PRE_TRABAJO!AG$5:AG$112,MATCH($A81,2a_PRE_TRABAJO!$A$5:$A$112,0)),"")</f>
        <v/>
      </c>
      <c r="N81" s="5">
        <f>IFERROR(INDEX(2b_POST_TRABAJO!D$5:D$109,MATCH($A81,2b_POST_TRABAJO!$A$5:$A$109,0)),"")</f>
        <v/>
      </c>
      <c r="O81" s="5">
        <f>IF(OR(N81="",J81=""),"",N81-J81)</f>
        <v/>
      </c>
      <c r="P81" s="5">
        <f>IFERROR(INDEX(2a_PRE_TRABAJO!H$5:H$112,MATCH($A81,2a_PRE_TRABAJO!$A$5:$A$112,0)),"")</f>
        <v/>
      </c>
      <c r="Q81" s="5">
        <f>IFERROR(INDEX(2a_PRE_TRABAJO!I$5:I$112,MATCH($A81,2a_PRE_TRABAJO!$A$5:$A$112,0)),"")</f>
        <v/>
      </c>
      <c r="R81" s="5">
        <f>IFERROR(INDEX(2a_PRE_TRABAJO!J$5:J$112,MATCH($A81,2a_PRE_TRABAJO!$A$5:$A$112,0)),"")</f>
        <v/>
      </c>
      <c r="S81" s="5">
        <f>IFERROR(INDEX(2a_PRE_TRABAJO!K$5:K$112,MATCH($A81,2a_PRE_TRABAJO!$A$5:$A$112,0)),"")</f>
        <v/>
      </c>
      <c r="T81" s="5">
        <f>IFERROR(INDEX(2a_PRE_TRABAJO!L$5:L$112,MATCH($A81,2a_PRE_TRABAJO!$A$5:$A$112,0)),"")</f>
        <v/>
      </c>
      <c r="U81" s="5">
        <f>IFERROR(INDEX(2a_PRE_TRABAJO!M$5:M$112,MATCH($A81,2a_PRE_TRABAJO!$A$5:$A$112,0)),"")</f>
        <v/>
      </c>
      <c r="V81" s="5">
        <f>IFERROR(INDEX(2a_PRE_TRABAJO!N$5:N$112,MATCH($A81,2a_PRE_TRABAJO!$A$5:$A$112,0)),"")</f>
        <v/>
      </c>
      <c r="W81" s="5">
        <f>IFERROR(INDEX(2a_PRE_TRABAJO!O$5:O$112,MATCH($A81,2a_PRE_TRABAJO!$A$5:$A$112,0)),"")</f>
        <v/>
      </c>
      <c r="X81" s="5">
        <f>IFERROR(INDEX(2a_PRE_TRABAJO!P$5:P$112,MATCH($A81,2a_PRE_TRABAJO!$A$5:$A$112,0)),"")</f>
        <v/>
      </c>
      <c r="Y81" s="5">
        <f>IFERROR(INDEX(2a_PRE_TRABAJO!Q$5:Q$112,MATCH($A81,2a_PRE_TRABAJO!$A$5:$A$112,0)),"")</f>
        <v/>
      </c>
      <c r="Z81" s="5">
        <f>IFERROR(INDEX(2a_PRE_TRABAJO!R$5:R$112,MATCH($A81,2a_PRE_TRABAJO!$A$5:$A$112,0)),"")</f>
        <v/>
      </c>
      <c r="AA81" s="5">
        <f>IFERROR(INDEX(2a_PRE_TRABAJO!S$5:S$112,MATCH($A81,2a_PRE_TRABAJO!$A$5:$A$112,0)),"")</f>
        <v/>
      </c>
      <c r="AB81" s="5">
        <f>IFERROR(INDEX(2a_PRE_TRABAJO!T$5:T$112,MATCH($A81,2a_PRE_TRABAJO!$A$5:$A$112,0)),"")</f>
        <v/>
      </c>
      <c r="AC81" s="5">
        <f>IFERROR(INDEX(2a_PRE_TRABAJO!U$5:U$112,MATCH($A81,2a_PRE_TRABAJO!$A$5:$A$112,0)),"")</f>
        <v/>
      </c>
      <c r="AD81" s="5">
        <f>IFERROR(INDEX(2a_PRE_TRABAJO!V$5:V$112,MATCH($A81,2a_PRE_TRABAJO!$A$5:$A$112,0)),"")</f>
        <v/>
      </c>
      <c r="AE81" s="5">
        <f>IFERROR(INDEX(2a_PRE_TRABAJO!W$5:W$112,MATCH($A81,2a_PRE_TRABAJO!$A$5:$A$112,0)),"")</f>
        <v/>
      </c>
      <c r="AF81" s="5">
        <f>IFERROR(INDEX(2a_PRE_TRABAJO!X$5:X$112,MATCH($A81,2a_PRE_TRABAJO!$A$5:$A$112,0)),"")</f>
        <v/>
      </c>
      <c r="AG81" s="5">
        <f>IFERROR(INDEX(2a_PRE_TRABAJO!Y$5:Y$112,MATCH($A81,2a_PRE_TRABAJO!$A$5:$A$112,0)),"")</f>
        <v/>
      </c>
      <c r="AH81" s="5">
        <f>IFERROR(INDEX(2a_PRE_TRABAJO!Z$5:Z$112,MATCH($A81,2a_PRE_TRABAJO!$A$5:$A$112,0)),"")</f>
        <v/>
      </c>
      <c r="AI81" s="5">
        <f>IFERROR(INDEX(2a_PRE_TRABAJO!AA$5:AA$112,MATCH($A81,2a_PRE_TRABAJO!$A$5:$A$112,0)),"")</f>
        <v/>
      </c>
      <c r="AJ81" s="5">
        <f>IFERROR(INDEX(2a_PRE_TRABAJO!AB$5:AB$112,MATCH($A81,2a_PRE_TRABAJO!$A$5:$A$112,0)),"")</f>
        <v/>
      </c>
      <c r="AK81" s="5">
        <f>IFERROR(INDEX(2a_PRE_TRABAJO!AC$5:AC$112,MATCH($A81,2a_PRE_TRABAJO!$A$5:$A$112,0)),"")</f>
        <v/>
      </c>
    </row>
    <row r="82">
      <c r="A82" s="3" t="inlineStr">
        <is>
          <t>GU-TDH-089</t>
        </is>
      </c>
      <c r="B82" s="3" t="n">
        <v>1</v>
      </c>
      <c r="C82" s="5">
        <f>IFERROR(INDEX(2a_PRE_TRABAJO!B$5:B$112,MATCH($A82,2a_PRE_TRABAJO!$A$5:$A$112,0)),"")</f>
        <v/>
      </c>
      <c r="D82" s="5">
        <f>IFERROR(INDEX(2a_PRE_TRABAJO!C$5:C$112,MATCH($A82,2a_PRE_TRABAJO!$A$5:$A$112,0)),"")</f>
        <v/>
      </c>
      <c r="E82" s="5">
        <f>IFERROR(INDEX(2a_PRE_TRABAJO!D$5:D$112,MATCH($A82,2a_PRE_TRABAJO!$A$5:$A$112,0)),"")</f>
        <v/>
      </c>
      <c r="F82" s="5">
        <f>IFERROR(INDEX(2a_PRE_TRABAJO!E$5:E$112,MATCH($A82,2a_PRE_TRABAJO!$A$5:$A$112,0)),"")</f>
        <v/>
      </c>
      <c r="G82" s="5">
        <f>IFERROR(INDEX(2a_PRE_TRABAJO!F$5:F$112,MATCH($A82,2a_PRE_TRABAJO!$A$5:$A$112,0)),"")</f>
        <v/>
      </c>
      <c r="H82" s="5">
        <f>IFERROR(INDEX(2a_PRE_TRABAJO!G$5:G$112,MATCH($A82,2a_PRE_TRABAJO!$A$5:$A$112,0)),"")</f>
        <v/>
      </c>
      <c r="I82" s="5">
        <f>IFERROR(INDEX(2b_POST_TRABAJO!C$5:C$109,MATCH($A82,2b_POST_TRABAJO!$A$5:$A$109,0)),"")</f>
        <v/>
      </c>
      <c r="J82" s="5">
        <f>IFERROR(INDEX(2a_PRE_TRABAJO!AD$5:AD$112,MATCH($A82,2a_PRE_TRABAJO!$A$5:$A$112,0)),"")</f>
        <v/>
      </c>
      <c r="K82" s="5">
        <f>IFERROR(INDEX(2a_PRE_TRABAJO!AE$5:AE$112,MATCH($A82,2a_PRE_TRABAJO!$A$5:$A$112,0)),"")</f>
        <v/>
      </c>
      <c r="L82" s="5">
        <f>IFERROR(INDEX(2a_PRE_TRABAJO!AF$5:AF$112,MATCH($A82,2a_PRE_TRABAJO!$A$5:$A$112,0)),"")</f>
        <v/>
      </c>
      <c r="M82" s="5">
        <f>IFERROR(INDEX(2a_PRE_TRABAJO!AG$5:AG$112,MATCH($A82,2a_PRE_TRABAJO!$A$5:$A$112,0)),"")</f>
        <v/>
      </c>
      <c r="N82" s="5">
        <f>IFERROR(INDEX(2b_POST_TRABAJO!D$5:D$109,MATCH($A82,2b_POST_TRABAJO!$A$5:$A$109,0)),"")</f>
        <v/>
      </c>
      <c r="O82" s="5">
        <f>IF(OR(N82="",J82=""),"",N82-J82)</f>
        <v/>
      </c>
      <c r="P82" s="5">
        <f>IFERROR(INDEX(2a_PRE_TRABAJO!H$5:H$112,MATCH($A82,2a_PRE_TRABAJO!$A$5:$A$112,0)),"")</f>
        <v/>
      </c>
      <c r="Q82" s="5">
        <f>IFERROR(INDEX(2a_PRE_TRABAJO!I$5:I$112,MATCH($A82,2a_PRE_TRABAJO!$A$5:$A$112,0)),"")</f>
        <v/>
      </c>
      <c r="R82" s="5">
        <f>IFERROR(INDEX(2a_PRE_TRABAJO!J$5:J$112,MATCH($A82,2a_PRE_TRABAJO!$A$5:$A$112,0)),"")</f>
        <v/>
      </c>
      <c r="S82" s="5">
        <f>IFERROR(INDEX(2a_PRE_TRABAJO!K$5:K$112,MATCH($A82,2a_PRE_TRABAJO!$A$5:$A$112,0)),"")</f>
        <v/>
      </c>
      <c r="T82" s="5">
        <f>IFERROR(INDEX(2a_PRE_TRABAJO!L$5:L$112,MATCH($A82,2a_PRE_TRABAJO!$A$5:$A$112,0)),"")</f>
        <v/>
      </c>
      <c r="U82" s="5">
        <f>IFERROR(INDEX(2a_PRE_TRABAJO!M$5:M$112,MATCH($A82,2a_PRE_TRABAJO!$A$5:$A$112,0)),"")</f>
        <v/>
      </c>
      <c r="V82" s="5">
        <f>IFERROR(INDEX(2a_PRE_TRABAJO!N$5:N$112,MATCH($A82,2a_PRE_TRABAJO!$A$5:$A$112,0)),"")</f>
        <v/>
      </c>
      <c r="W82" s="5">
        <f>IFERROR(INDEX(2a_PRE_TRABAJO!O$5:O$112,MATCH($A82,2a_PRE_TRABAJO!$A$5:$A$112,0)),"")</f>
        <v/>
      </c>
      <c r="X82" s="5">
        <f>IFERROR(INDEX(2a_PRE_TRABAJO!P$5:P$112,MATCH($A82,2a_PRE_TRABAJO!$A$5:$A$112,0)),"")</f>
        <v/>
      </c>
      <c r="Y82" s="5">
        <f>IFERROR(INDEX(2a_PRE_TRABAJO!Q$5:Q$112,MATCH($A82,2a_PRE_TRABAJO!$A$5:$A$112,0)),"")</f>
        <v/>
      </c>
      <c r="Z82" s="5">
        <f>IFERROR(INDEX(2a_PRE_TRABAJO!R$5:R$112,MATCH($A82,2a_PRE_TRABAJO!$A$5:$A$112,0)),"")</f>
        <v/>
      </c>
      <c r="AA82" s="5">
        <f>IFERROR(INDEX(2a_PRE_TRABAJO!S$5:S$112,MATCH($A82,2a_PRE_TRABAJO!$A$5:$A$112,0)),"")</f>
        <v/>
      </c>
      <c r="AB82" s="5">
        <f>IFERROR(INDEX(2a_PRE_TRABAJO!T$5:T$112,MATCH($A82,2a_PRE_TRABAJO!$A$5:$A$112,0)),"")</f>
        <v/>
      </c>
      <c r="AC82" s="5">
        <f>IFERROR(INDEX(2a_PRE_TRABAJO!U$5:U$112,MATCH($A82,2a_PRE_TRABAJO!$A$5:$A$112,0)),"")</f>
        <v/>
      </c>
      <c r="AD82" s="5">
        <f>IFERROR(INDEX(2a_PRE_TRABAJO!V$5:V$112,MATCH($A82,2a_PRE_TRABAJO!$A$5:$A$112,0)),"")</f>
        <v/>
      </c>
      <c r="AE82" s="5">
        <f>IFERROR(INDEX(2a_PRE_TRABAJO!W$5:W$112,MATCH($A82,2a_PRE_TRABAJO!$A$5:$A$112,0)),"")</f>
        <v/>
      </c>
      <c r="AF82" s="5">
        <f>IFERROR(INDEX(2a_PRE_TRABAJO!X$5:X$112,MATCH($A82,2a_PRE_TRABAJO!$A$5:$A$112,0)),"")</f>
        <v/>
      </c>
      <c r="AG82" s="5">
        <f>IFERROR(INDEX(2a_PRE_TRABAJO!Y$5:Y$112,MATCH($A82,2a_PRE_TRABAJO!$A$5:$A$112,0)),"")</f>
        <v/>
      </c>
      <c r="AH82" s="5">
        <f>IFERROR(INDEX(2a_PRE_TRABAJO!Z$5:Z$112,MATCH($A82,2a_PRE_TRABAJO!$A$5:$A$112,0)),"")</f>
        <v/>
      </c>
      <c r="AI82" s="5">
        <f>IFERROR(INDEX(2a_PRE_TRABAJO!AA$5:AA$112,MATCH($A82,2a_PRE_TRABAJO!$A$5:$A$112,0)),"")</f>
        <v/>
      </c>
      <c r="AJ82" s="5">
        <f>IFERROR(INDEX(2a_PRE_TRABAJO!AB$5:AB$112,MATCH($A82,2a_PRE_TRABAJO!$A$5:$A$112,0)),"")</f>
        <v/>
      </c>
      <c r="AK82" s="5">
        <f>IFERROR(INDEX(2a_PRE_TRABAJO!AC$5:AC$112,MATCH($A82,2a_PRE_TRABAJO!$A$5:$A$112,0)),"")</f>
        <v/>
      </c>
    </row>
    <row r="83">
      <c r="A83" s="3" t="inlineStr">
        <is>
          <t>GU-TDH-090</t>
        </is>
      </c>
      <c r="B83" s="3" t="n">
        <v>1</v>
      </c>
      <c r="C83" s="5">
        <f>IFERROR(INDEX(2a_PRE_TRABAJO!B$5:B$112,MATCH($A83,2a_PRE_TRABAJO!$A$5:$A$112,0)),"")</f>
        <v/>
      </c>
      <c r="D83" s="5">
        <f>IFERROR(INDEX(2a_PRE_TRABAJO!C$5:C$112,MATCH($A83,2a_PRE_TRABAJO!$A$5:$A$112,0)),"")</f>
        <v/>
      </c>
      <c r="E83" s="5">
        <f>IFERROR(INDEX(2a_PRE_TRABAJO!D$5:D$112,MATCH($A83,2a_PRE_TRABAJO!$A$5:$A$112,0)),"")</f>
        <v/>
      </c>
      <c r="F83" s="5">
        <f>IFERROR(INDEX(2a_PRE_TRABAJO!E$5:E$112,MATCH($A83,2a_PRE_TRABAJO!$A$5:$A$112,0)),"")</f>
        <v/>
      </c>
      <c r="G83" s="5">
        <f>IFERROR(INDEX(2a_PRE_TRABAJO!F$5:F$112,MATCH($A83,2a_PRE_TRABAJO!$A$5:$A$112,0)),"")</f>
        <v/>
      </c>
      <c r="H83" s="5">
        <f>IFERROR(INDEX(2a_PRE_TRABAJO!G$5:G$112,MATCH($A83,2a_PRE_TRABAJO!$A$5:$A$112,0)),"")</f>
        <v/>
      </c>
      <c r="I83" s="5">
        <f>IFERROR(INDEX(2b_POST_TRABAJO!C$5:C$109,MATCH($A83,2b_POST_TRABAJO!$A$5:$A$109,0)),"")</f>
        <v/>
      </c>
      <c r="J83" s="5">
        <f>IFERROR(INDEX(2a_PRE_TRABAJO!AD$5:AD$112,MATCH($A83,2a_PRE_TRABAJO!$A$5:$A$112,0)),"")</f>
        <v/>
      </c>
      <c r="K83" s="5">
        <f>IFERROR(INDEX(2a_PRE_TRABAJO!AE$5:AE$112,MATCH($A83,2a_PRE_TRABAJO!$A$5:$A$112,0)),"")</f>
        <v/>
      </c>
      <c r="L83" s="5">
        <f>IFERROR(INDEX(2a_PRE_TRABAJO!AF$5:AF$112,MATCH($A83,2a_PRE_TRABAJO!$A$5:$A$112,0)),"")</f>
        <v/>
      </c>
      <c r="M83" s="5">
        <f>IFERROR(INDEX(2a_PRE_TRABAJO!AG$5:AG$112,MATCH($A83,2a_PRE_TRABAJO!$A$5:$A$112,0)),"")</f>
        <v/>
      </c>
      <c r="N83" s="5">
        <f>IFERROR(INDEX(2b_POST_TRABAJO!D$5:D$109,MATCH($A83,2b_POST_TRABAJO!$A$5:$A$109,0)),"")</f>
        <v/>
      </c>
      <c r="O83" s="5">
        <f>IF(OR(N83="",J83=""),"",N83-J83)</f>
        <v/>
      </c>
      <c r="P83" s="5">
        <f>IFERROR(INDEX(2a_PRE_TRABAJO!H$5:H$112,MATCH($A83,2a_PRE_TRABAJO!$A$5:$A$112,0)),"")</f>
        <v/>
      </c>
      <c r="Q83" s="5">
        <f>IFERROR(INDEX(2a_PRE_TRABAJO!I$5:I$112,MATCH($A83,2a_PRE_TRABAJO!$A$5:$A$112,0)),"")</f>
        <v/>
      </c>
      <c r="R83" s="5">
        <f>IFERROR(INDEX(2a_PRE_TRABAJO!J$5:J$112,MATCH($A83,2a_PRE_TRABAJO!$A$5:$A$112,0)),"")</f>
        <v/>
      </c>
      <c r="S83" s="5">
        <f>IFERROR(INDEX(2a_PRE_TRABAJO!K$5:K$112,MATCH($A83,2a_PRE_TRABAJO!$A$5:$A$112,0)),"")</f>
        <v/>
      </c>
      <c r="T83" s="5">
        <f>IFERROR(INDEX(2a_PRE_TRABAJO!L$5:L$112,MATCH($A83,2a_PRE_TRABAJO!$A$5:$A$112,0)),"")</f>
        <v/>
      </c>
      <c r="U83" s="5">
        <f>IFERROR(INDEX(2a_PRE_TRABAJO!M$5:M$112,MATCH($A83,2a_PRE_TRABAJO!$A$5:$A$112,0)),"")</f>
        <v/>
      </c>
      <c r="V83" s="5">
        <f>IFERROR(INDEX(2a_PRE_TRABAJO!N$5:N$112,MATCH($A83,2a_PRE_TRABAJO!$A$5:$A$112,0)),"")</f>
        <v/>
      </c>
      <c r="W83" s="5">
        <f>IFERROR(INDEX(2a_PRE_TRABAJO!O$5:O$112,MATCH($A83,2a_PRE_TRABAJO!$A$5:$A$112,0)),"")</f>
        <v/>
      </c>
      <c r="X83" s="5">
        <f>IFERROR(INDEX(2a_PRE_TRABAJO!P$5:P$112,MATCH($A83,2a_PRE_TRABAJO!$A$5:$A$112,0)),"")</f>
        <v/>
      </c>
      <c r="Y83" s="5">
        <f>IFERROR(INDEX(2a_PRE_TRABAJO!Q$5:Q$112,MATCH($A83,2a_PRE_TRABAJO!$A$5:$A$112,0)),"")</f>
        <v/>
      </c>
      <c r="Z83" s="5">
        <f>IFERROR(INDEX(2a_PRE_TRABAJO!R$5:R$112,MATCH($A83,2a_PRE_TRABAJO!$A$5:$A$112,0)),"")</f>
        <v/>
      </c>
      <c r="AA83" s="5">
        <f>IFERROR(INDEX(2a_PRE_TRABAJO!S$5:S$112,MATCH($A83,2a_PRE_TRABAJO!$A$5:$A$112,0)),"")</f>
        <v/>
      </c>
      <c r="AB83" s="5">
        <f>IFERROR(INDEX(2a_PRE_TRABAJO!T$5:T$112,MATCH($A83,2a_PRE_TRABAJO!$A$5:$A$112,0)),"")</f>
        <v/>
      </c>
      <c r="AC83" s="5">
        <f>IFERROR(INDEX(2a_PRE_TRABAJO!U$5:U$112,MATCH($A83,2a_PRE_TRABAJO!$A$5:$A$112,0)),"")</f>
        <v/>
      </c>
      <c r="AD83" s="5">
        <f>IFERROR(INDEX(2a_PRE_TRABAJO!V$5:V$112,MATCH($A83,2a_PRE_TRABAJO!$A$5:$A$112,0)),"")</f>
        <v/>
      </c>
      <c r="AE83" s="5">
        <f>IFERROR(INDEX(2a_PRE_TRABAJO!W$5:W$112,MATCH($A83,2a_PRE_TRABAJO!$A$5:$A$112,0)),"")</f>
        <v/>
      </c>
      <c r="AF83" s="5">
        <f>IFERROR(INDEX(2a_PRE_TRABAJO!X$5:X$112,MATCH($A83,2a_PRE_TRABAJO!$A$5:$A$112,0)),"")</f>
        <v/>
      </c>
      <c r="AG83" s="5">
        <f>IFERROR(INDEX(2a_PRE_TRABAJO!Y$5:Y$112,MATCH($A83,2a_PRE_TRABAJO!$A$5:$A$112,0)),"")</f>
        <v/>
      </c>
      <c r="AH83" s="5">
        <f>IFERROR(INDEX(2a_PRE_TRABAJO!Z$5:Z$112,MATCH($A83,2a_PRE_TRABAJO!$A$5:$A$112,0)),"")</f>
        <v/>
      </c>
      <c r="AI83" s="5">
        <f>IFERROR(INDEX(2a_PRE_TRABAJO!AA$5:AA$112,MATCH($A83,2a_PRE_TRABAJO!$A$5:$A$112,0)),"")</f>
        <v/>
      </c>
      <c r="AJ83" s="5">
        <f>IFERROR(INDEX(2a_PRE_TRABAJO!AB$5:AB$112,MATCH($A83,2a_PRE_TRABAJO!$A$5:$A$112,0)),"")</f>
        <v/>
      </c>
      <c r="AK83" s="5">
        <f>IFERROR(INDEX(2a_PRE_TRABAJO!AC$5:AC$112,MATCH($A83,2a_PRE_TRABAJO!$A$5:$A$112,0)),"")</f>
        <v/>
      </c>
    </row>
    <row r="84">
      <c r="A84" s="3" t="inlineStr">
        <is>
          <t>GU-TDH-091</t>
        </is>
      </c>
      <c r="B84" s="3" t="n">
        <v>1</v>
      </c>
      <c r="C84" s="5">
        <f>IFERROR(INDEX(2a_PRE_TRABAJO!B$5:B$112,MATCH($A84,2a_PRE_TRABAJO!$A$5:$A$112,0)),"")</f>
        <v/>
      </c>
      <c r="D84" s="5">
        <f>IFERROR(INDEX(2a_PRE_TRABAJO!C$5:C$112,MATCH($A84,2a_PRE_TRABAJO!$A$5:$A$112,0)),"")</f>
        <v/>
      </c>
      <c r="E84" s="5">
        <f>IFERROR(INDEX(2a_PRE_TRABAJO!D$5:D$112,MATCH($A84,2a_PRE_TRABAJO!$A$5:$A$112,0)),"")</f>
        <v/>
      </c>
      <c r="F84" s="5">
        <f>IFERROR(INDEX(2a_PRE_TRABAJO!E$5:E$112,MATCH($A84,2a_PRE_TRABAJO!$A$5:$A$112,0)),"")</f>
        <v/>
      </c>
      <c r="G84" s="5">
        <f>IFERROR(INDEX(2a_PRE_TRABAJO!F$5:F$112,MATCH($A84,2a_PRE_TRABAJO!$A$5:$A$112,0)),"")</f>
        <v/>
      </c>
      <c r="H84" s="5">
        <f>IFERROR(INDEX(2a_PRE_TRABAJO!G$5:G$112,MATCH($A84,2a_PRE_TRABAJO!$A$5:$A$112,0)),"")</f>
        <v/>
      </c>
      <c r="I84" s="5">
        <f>IFERROR(INDEX(2b_POST_TRABAJO!C$5:C$109,MATCH($A84,2b_POST_TRABAJO!$A$5:$A$109,0)),"")</f>
        <v/>
      </c>
      <c r="J84" s="5">
        <f>IFERROR(INDEX(2a_PRE_TRABAJO!AD$5:AD$112,MATCH($A84,2a_PRE_TRABAJO!$A$5:$A$112,0)),"")</f>
        <v/>
      </c>
      <c r="K84" s="5">
        <f>IFERROR(INDEX(2a_PRE_TRABAJO!AE$5:AE$112,MATCH($A84,2a_PRE_TRABAJO!$A$5:$A$112,0)),"")</f>
        <v/>
      </c>
      <c r="L84" s="5">
        <f>IFERROR(INDEX(2a_PRE_TRABAJO!AF$5:AF$112,MATCH($A84,2a_PRE_TRABAJO!$A$5:$A$112,0)),"")</f>
        <v/>
      </c>
      <c r="M84" s="5">
        <f>IFERROR(INDEX(2a_PRE_TRABAJO!AG$5:AG$112,MATCH($A84,2a_PRE_TRABAJO!$A$5:$A$112,0)),"")</f>
        <v/>
      </c>
      <c r="N84" s="5">
        <f>IFERROR(INDEX(2b_POST_TRABAJO!D$5:D$109,MATCH($A84,2b_POST_TRABAJO!$A$5:$A$109,0)),"")</f>
        <v/>
      </c>
      <c r="O84" s="5">
        <f>IF(OR(N84="",J84=""),"",N84-J84)</f>
        <v/>
      </c>
      <c r="P84" s="5">
        <f>IFERROR(INDEX(2a_PRE_TRABAJO!H$5:H$112,MATCH($A84,2a_PRE_TRABAJO!$A$5:$A$112,0)),"")</f>
        <v/>
      </c>
      <c r="Q84" s="5">
        <f>IFERROR(INDEX(2a_PRE_TRABAJO!I$5:I$112,MATCH($A84,2a_PRE_TRABAJO!$A$5:$A$112,0)),"")</f>
        <v/>
      </c>
      <c r="R84" s="5">
        <f>IFERROR(INDEX(2a_PRE_TRABAJO!J$5:J$112,MATCH($A84,2a_PRE_TRABAJO!$A$5:$A$112,0)),"")</f>
        <v/>
      </c>
      <c r="S84" s="5">
        <f>IFERROR(INDEX(2a_PRE_TRABAJO!K$5:K$112,MATCH($A84,2a_PRE_TRABAJO!$A$5:$A$112,0)),"")</f>
        <v/>
      </c>
      <c r="T84" s="5">
        <f>IFERROR(INDEX(2a_PRE_TRABAJO!L$5:L$112,MATCH($A84,2a_PRE_TRABAJO!$A$5:$A$112,0)),"")</f>
        <v/>
      </c>
      <c r="U84" s="5">
        <f>IFERROR(INDEX(2a_PRE_TRABAJO!M$5:M$112,MATCH($A84,2a_PRE_TRABAJO!$A$5:$A$112,0)),"")</f>
        <v/>
      </c>
      <c r="V84" s="5">
        <f>IFERROR(INDEX(2a_PRE_TRABAJO!N$5:N$112,MATCH($A84,2a_PRE_TRABAJO!$A$5:$A$112,0)),"")</f>
        <v/>
      </c>
      <c r="W84" s="5">
        <f>IFERROR(INDEX(2a_PRE_TRABAJO!O$5:O$112,MATCH($A84,2a_PRE_TRABAJO!$A$5:$A$112,0)),"")</f>
        <v/>
      </c>
      <c r="X84" s="5">
        <f>IFERROR(INDEX(2a_PRE_TRABAJO!P$5:P$112,MATCH($A84,2a_PRE_TRABAJO!$A$5:$A$112,0)),"")</f>
        <v/>
      </c>
      <c r="Y84" s="5">
        <f>IFERROR(INDEX(2a_PRE_TRABAJO!Q$5:Q$112,MATCH($A84,2a_PRE_TRABAJO!$A$5:$A$112,0)),"")</f>
        <v/>
      </c>
      <c r="Z84" s="5">
        <f>IFERROR(INDEX(2a_PRE_TRABAJO!R$5:R$112,MATCH($A84,2a_PRE_TRABAJO!$A$5:$A$112,0)),"")</f>
        <v/>
      </c>
      <c r="AA84" s="5">
        <f>IFERROR(INDEX(2a_PRE_TRABAJO!S$5:S$112,MATCH($A84,2a_PRE_TRABAJO!$A$5:$A$112,0)),"")</f>
        <v/>
      </c>
      <c r="AB84" s="5">
        <f>IFERROR(INDEX(2a_PRE_TRABAJO!T$5:T$112,MATCH($A84,2a_PRE_TRABAJO!$A$5:$A$112,0)),"")</f>
        <v/>
      </c>
      <c r="AC84" s="5">
        <f>IFERROR(INDEX(2a_PRE_TRABAJO!U$5:U$112,MATCH($A84,2a_PRE_TRABAJO!$A$5:$A$112,0)),"")</f>
        <v/>
      </c>
      <c r="AD84" s="5">
        <f>IFERROR(INDEX(2a_PRE_TRABAJO!V$5:V$112,MATCH($A84,2a_PRE_TRABAJO!$A$5:$A$112,0)),"")</f>
        <v/>
      </c>
      <c r="AE84" s="5">
        <f>IFERROR(INDEX(2a_PRE_TRABAJO!W$5:W$112,MATCH($A84,2a_PRE_TRABAJO!$A$5:$A$112,0)),"")</f>
        <v/>
      </c>
      <c r="AF84" s="5">
        <f>IFERROR(INDEX(2a_PRE_TRABAJO!X$5:X$112,MATCH($A84,2a_PRE_TRABAJO!$A$5:$A$112,0)),"")</f>
        <v/>
      </c>
      <c r="AG84" s="5">
        <f>IFERROR(INDEX(2a_PRE_TRABAJO!Y$5:Y$112,MATCH($A84,2a_PRE_TRABAJO!$A$5:$A$112,0)),"")</f>
        <v/>
      </c>
      <c r="AH84" s="5">
        <f>IFERROR(INDEX(2a_PRE_TRABAJO!Z$5:Z$112,MATCH($A84,2a_PRE_TRABAJO!$A$5:$A$112,0)),"")</f>
        <v/>
      </c>
      <c r="AI84" s="5">
        <f>IFERROR(INDEX(2a_PRE_TRABAJO!AA$5:AA$112,MATCH($A84,2a_PRE_TRABAJO!$A$5:$A$112,0)),"")</f>
        <v/>
      </c>
      <c r="AJ84" s="5">
        <f>IFERROR(INDEX(2a_PRE_TRABAJO!AB$5:AB$112,MATCH($A84,2a_PRE_TRABAJO!$A$5:$A$112,0)),"")</f>
        <v/>
      </c>
      <c r="AK84" s="5">
        <f>IFERROR(INDEX(2a_PRE_TRABAJO!AC$5:AC$112,MATCH($A84,2a_PRE_TRABAJO!$A$5:$A$112,0)),"")</f>
        <v/>
      </c>
    </row>
    <row r="85">
      <c r="A85" s="3" t="inlineStr">
        <is>
          <t>GU-TDH-092</t>
        </is>
      </c>
      <c r="B85" s="3" t="n">
        <v>1</v>
      </c>
      <c r="C85" s="5">
        <f>IFERROR(INDEX(2a_PRE_TRABAJO!B$5:B$112,MATCH($A85,2a_PRE_TRABAJO!$A$5:$A$112,0)),"")</f>
        <v/>
      </c>
      <c r="D85" s="5">
        <f>IFERROR(INDEX(2a_PRE_TRABAJO!C$5:C$112,MATCH($A85,2a_PRE_TRABAJO!$A$5:$A$112,0)),"")</f>
        <v/>
      </c>
      <c r="E85" s="5">
        <f>IFERROR(INDEX(2a_PRE_TRABAJO!D$5:D$112,MATCH($A85,2a_PRE_TRABAJO!$A$5:$A$112,0)),"")</f>
        <v/>
      </c>
      <c r="F85" s="5">
        <f>IFERROR(INDEX(2a_PRE_TRABAJO!E$5:E$112,MATCH($A85,2a_PRE_TRABAJO!$A$5:$A$112,0)),"")</f>
        <v/>
      </c>
      <c r="G85" s="5">
        <f>IFERROR(INDEX(2a_PRE_TRABAJO!F$5:F$112,MATCH($A85,2a_PRE_TRABAJO!$A$5:$A$112,0)),"")</f>
        <v/>
      </c>
      <c r="H85" s="5">
        <f>IFERROR(INDEX(2a_PRE_TRABAJO!G$5:G$112,MATCH($A85,2a_PRE_TRABAJO!$A$5:$A$112,0)),"")</f>
        <v/>
      </c>
      <c r="I85" s="5">
        <f>IFERROR(INDEX(2b_POST_TRABAJO!C$5:C$109,MATCH($A85,2b_POST_TRABAJO!$A$5:$A$109,0)),"")</f>
        <v/>
      </c>
      <c r="J85" s="5">
        <f>IFERROR(INDEX(2a_PRE_TRABAJO!AD$5:AD$112,MATCH($A85,2a_PRE_TRABAJO!$A$5:$A$112,0)),"")</f>
        <v/>
      </c>
      <c r="K85" s="5">
        <f>IFERROR(INDEX(2a_PRE_TRABAJO!AE$5:AE$112,MATCH($A85,2a_PRE_TRABAJO!$A$5:$A$112,0)),"")</f>
        <v/>
      </c>
      <c r="L85" s="5">
        <f>IFERROR(INDEX(2a_PRE_TRABAJO!AF$5:AF$112,MATCH($A85,2a_PRE_TRABAJO!$A$5:$A$112,0)),"")</f>
        <v/>
      </c>
      <c r="M85" s="5">
        <f>IFERROR(INDEX(2a_PRE_TRABAJO!AG$5:AG$112,MATCH($A85,2a_PRE_TRABAJO!$A$5:$A$112,0)),"")</f>
        <v/>
      </c>
      <c r="N85" s="5">
        <f>IFERROR(INDEX(2b_POST_TRABAJO!D$5:D$109,MATCH($A85,2b_POST_TRABAJO!$A$5:$A$109,0)),"")</f>
        <v/>
      </c>
      <c r="O85" s="5">
        <f>IF(OR(N85="",J85=""),"",N85-J85)</f>
        <v/>
      </c>
      <c r="P85" s="5">
        <f>IFERROR(INDEX(2a_PRE_TRABAJO!H$5:H$112,MATCH($A85,2a_PRE_TRABAJO!$A$5:$A$112,0)),"")</f>
        <v/>
      </c>
      <c r="Q85" s="5">
        <f>IFERROR(INDEX(2a_PRE_TRABAJO!I$5:I$112,MATCH($A85,2a_PRE_TRABAJO!$A$5:$A$112,0)),"")</f>
        <v/>
      </c>
      <c r="R85" s="5">
        <f>IFERROR(INDEX(2a_PRE_TRABAJO!J$5:J$112,MATCH($A85,2a_PRE_TRABAJO!$A$5:$A$112,0)),"")</f>
        <v/>
      </c>
      <c r="S85" s="5">
        <f>IFERROR(INDEX(2a_PRE_TRABAJO!K$5:K$112,MATCH($A85,2a_PRE_TRABAJO!$A$5:$A$112,0)),"")</f>
        <v/>
      </c>
      <c r="T85" s="5">
        <f>IFERROR(INDEX(2a_PRE_TRABAJO!L$5:L$112,MATCH($A85,2a_PRE_TRABAJO!$A$5:$A$112,0)),"")</f>
        <v/>
      </c>
      <c r="U85" s="5">
        <f>IFERROR(INDEX(2a_PRE_TRABAJO!M$5:M$112,MATCH($A85,2a_PRE_TRABAJO!$A$5:$A$112,0)),"")</f>
        <v/>
      </c>
      <c r="V85" s="5">
        <f>IFERROR(INDEX(2a_PRE_TRABAJO!N$5:N$112,MATCH($A85,2a_PRE_TRABAJO!$A$5:$A$112,0)),"")</f>
        <v/>
      </c>
      <c r="W85" s="5">
        <f>IFERROR(INDEX(2a_PRE_TRABAJO!O$5:O$112,MATCH($A85,2a_PRE_TRABAJO!$A$5:$A$112,0)),"")</f>
        <v/>
      </c>
      <c r="X85" s="5">
        <f>IFERROR(INDEX(2a_PRE_TRABAJO!P$5:P$112,MATCH($A85,2a_PRE_TRABAJO!$A$5:$A$112,0)),"")</f>
        <v/>
      </c>
      <c r="Y85" s="5">
        <f>IFERROR(INDEX(2a_PRE_TRABAJO!Q$5:Q$112,MATCH($A85,2a_PRE_TRABAJO!$A$5:$A$112,0)),"")</f>
        <v/>
      </c>
      <c r="Z85" s="5">
        <f>IFERROR(INDEX(2a_PRE_TRABAJO!R$5:R$112,MATCH($A85,2a_PRE_TRABAJO!$A$5:$A$112,0)),"")</f>
        <v/>
      </c>
      <c r="AA85" s="5">
        <f>IFERROR(INDEX(2a_PRE_TRABAJO!S$5:S$112,MATCH($A85,2a_PRE_TRABAJO!$A$5:$A$112,0)),"")</f>
        <v/>
      </c>
      <c r="AB85" s="5">
        <f>IFERROR(INDEX(2a_PRE_TRABAJO!T$5:T$112,MATCH($A85,2a_PRE_TRABAJO!$A$5:$A$112,0)),"")</f>
        <v/>
      </c>
      <c r="AC85" s="5">
        <f>IFERROR(INDEX(2a_PRE_TRABAJO!U$5:U$112,MATCH($A85,2a_PRE_TRABAJO!$A$5:$A$112,0)),"")</f>
        <v/>
      </c>
      <c r="AD85" s="5">
        <f>IFERROR(INDEX(2a_PRE_TRABAJO!V$5:V$112,MATCH($A85,2a_PRE_TRABAJO!$A$5:$A$112,0)),"")</f>
        <v/>
      </c>
      <c r="AE85" s="5">
        <f>IFERROR(INDEX(2a_PRE_TRABAJO!W$5:W$112,MATCH($A85,2a_PRE_TRABAJO!$A$5:$A$112,0)),"")</f>
        <v/>
      </c>
      <c r="AF85" s="5">
        <f>IFERROR(INDEX(2a_PRE_TRABAJO!X$5:X$112,MATCH($A85,2a_PRE_TRABAJO!$A$5:$A$112,0)),"")</f>
        <v/>
      </c>
      <c r="AG85" s="5">
        <f>IFERROR(INDEX(2a_PRE_TRABAJO!Y$5:Y$112,MATCH($A85,2a_PRE_TRABAJO!$A$5:$A$112,0)),"")</f>
        <v/>
      </c>
      <c r="AH85" s="5">
        <f>IFERROR(INDEX(2a_PRE_TRABAJO!Z$5:Z$112,MATCH($A85,2a_PRE_TRABAJO!$A$5:$A$112,0)),"")</f>
        <v/>
      </c>
      <c r="AI85" s="5">
        <f>IFERROR(INDEX(2a_PRE_TRABAJO!AA$5:AA$112,MATCH($A85,2a_PRE_TRABAJO!$A$5:$A$112,0)),"")</f>
        <v/>
      </c>
      <c r="AJ85" s="5">
        <f>IFERROR(INDEX(2a_PRE_TRABAJO!AB$5:AB$112,MATCH($A85,2a_PRE_TRABAJO!$A$5:$A$112,0)),"")</f>
        <v/>
      </c>
      <c r="AK85" s="5">
        <f>IFERROR(INDEX(2a_PRE_TRABAJO!AC$5:AC$112,MATCH($A85,2a_PRE_TRABAJO!$A$5:$A$112,0)),"")</f>
        <v/>
      </c>
    </row>
    <row r="86">
      <c r="A86" s="3" t="inlineStr">
        <is>
          <t>GU-TDH-093</t>
        </is>
      </c>
      <c r="B86" s="3" t="n">
        <v>1</v>
      </c>
      <c r="C86" s="5">
        <f>IFERROR(INDEX(2a_PRE_TRABAJO!B$5:B$112,MATCH($A86,2a_PRE_TRABAJO!$A$5:$A$112,0)),"")</f>
        <v/>
      </c>
      <c r="D86" s="5">
        <f>IFERROR(INDEX(2a_PRE_TRABAJO!C$5:C$112,MATCH($A86,2a_PRE_TRABAJO!$A$5:$A$112,0)),"")</f>
        <v/>
      </c>
      <c r="E86" s="5">
        <f>IFERROR(INDEX(2a_PRE_TRABAJO!D$5:D$112,MATCH($A86,2a_PRE_TRABAJO!$A$5:$A$112,0)),"")</f>
        <v/>
      </c>
      <c r="F86" s="5">
        <f>IFERROR(INDEX(2a_PRE_TRABAJO!E$5:E$112,MATCH($A86,2a_PRE_TRABAJO!$A$5:$A$112,0)),"")</f>
        <v/>
      </c>
      <c r="G86" s="5">
        <f>IFERROR(INDEX(2a_PRE_TRABAJO!F$5:F$112,MATCH($A86,2a_PRE_TRABAJO!$A$5:$A$112,0)),"")</f>
        <v/>
      </c>
      <c r="H86" s="5">
        <f>IFERROR(INDEX(2a_PRE_TRABAJO!G$5:G$112,MATCH($A86,2a_PRE_TRABAJO!$A$5:$A$112,0)),"")</f>
        <v/>
      </c>
      <c r="I86" s="5">
        <f>IFERROR(INDEX(2b_POST_TRABAJO!C$5:C$109,MATCH($A86,2b_POST_TRABAJO!$A$5:$A$109,0)),"")</f>
        <v/>
      </c>
      <c r="J86" s="5">
        <f>IFERROR(INDEX(2a_PRE_TRABAJO!AD$5:AD$112,MATCH($A86,2a_PRE_TRABAJO!$A$5:$A$112,0)),"")</f>
        <v/>
      </c>
      <c r="K86" s="5">
        <f>IFERROR(INDEX(2a_PRE_TRABAJO!AE$5:AE$112,MATCH($A86,2a_PRE_TRABAJO!$A$5:$A$112,0)),"")</f>
        <v/>
      </c>
      <c r="L86" s="5">
        <f>IFERROR(INDEX(2a_PRE_TRABAJO!AF$5:AF$112,MATCH($A86,2a_PRE_TRABAJO!$A$5:$A$112,0)),"")</f>
        <v/>
      </c>
      <c r="M86" s="5">
        <f>IFERROR(INDEX(2a_PRE_TRABAJO!AG$5:AG$112,MATCH($A86,2a_PRE_TRABAJO!$A$5:$A$112,0)),"")</f>
        <v/>
      </c>
      <c r="N86" s="5">
        <f>IFERROR(INDEX(2b_POST_TRABAJO!D$5:D$109,MATCH($A86,2b_POST_TRABAJO!$A$5:$A$109,0)),"")</f>
        <v/>
      </c>
      <c r="O86" s="5">
        <f>IF(OR(N86="",J86=""),"",N86-J86)</f>
        <v/>
      </c>
      <c r="P86" s="5">
        <f>IFERROR(INDEX(2a_PRE_TRABAJO!H$5:H$112,MATCH($A86,2a_PRE_TRABAJO!$A$5:$A$112,0)),"")</f>
        <v/>
      </c>
      <c r="Q86" s="5">
        <f>IFERROR(INDEX(2a_PRE_TRABAJO!I$5:I$112,MATCH($A86,2a_PRE_TRABAJO!$A$5:$A$112,0)),"")</f>
        <v/>
      </c>
      <c r="R86" s="5">
        <f>IFERROR(INDEX(2a_PRE_TRABAJO!J$5:J$112,MATCH($A86,2a_PRE_TRABAJO!$A$5:$A$112,0)),"")</f>
        <v/>
      </c>
      <c r="S86" s="5">
        <f>IFERROR(INDEX(2a_PRE_TRABAJO!K$5:K$112,MATCH($A86,2a_PRE_TRABAJO!$A$5:$A$112,0)),"")</f>
        <v/>
      </c>
      <c r="T86" s="5">
        <f>IFERROR(INDEX(2a_PRE_TRABAJO!L$5:L$112,MATCH($A86,2a_PRE_TRABAJO!$A$5:$A$112,0)),"")</f>
        <v/>
      </c>
      <c r="U86" s="5">
        <f>IFERROR(INDEX(2a_PRE_TRABAJO!M$5:M$112,MATCH($A86,2a_PRE_TRABAJO!$A$5:$A$112,0)),"")</f>
        <v/>
      </c>
      <c r="V86" s="5">
        <f>IFERROR(INDEX(2a_PRE_TRABAJO!N$5:N$112,MATCH($A86,2a_PRE_TRABAJO!$A$5:$A$112,0)),"")</f>
        <v/>
      </c>
      <c r="W86" s="5">
        <f>IFERROR(INDEX(2a_PRE_TRABAJO!O$5:O$112,MATCH($A86,2a_PRE_TRABAJO!$A$5:$A$112,0)),"")</f>
        <v/>
      </c>
      <c r="X86" s="5">
        <f>IFERROR(INDEX(2a_PRE_TRABAJO!P$5:P$112,MATCH($A86,2a_PRE_TRABAJO!$A$5:$A$112,0)),"")</f>
        <v/>
      </c>
      <c r="Y86" s="5">
        <f>IFERROR(INDEX(2a_PRE_TRABAJO!Q$5:Q$112,MATCH($A86,2a_PRE_TRABAJO!$A$5:$A$112,0)),"")</f>
        <v/>
      </c>
      <c r="Z86" s="5">
        <f>IFERROR(INDEX(2a_PRE_TRABAJO!R$5:R$112,MATCH($A86,2a_PRE_TRABAJO!$A$5:$A$112,0)),"")</f>
        <v/>
      </c>
      <c r="AA86" s="5">
        <f>IFERROR(INDEX(2a_PRE_TRABAJO!S$5:S$112,MATCH($A86,2a_PRE_TRABAJO!$A$5:$A$112,0)),"")</f>
        <v/>
      </c>
      <c r="AB86" s="5">
        <f>IFERROR(INDEX(2a_PRE_TRABAJO!T$5:T$112,MATCH($A86,2a_PRE_TRABAJO!$A$5:$A$112,0)),"")</f>
        <v/>
      </c>
      <c r="AC86" s="5">
        <f>IFERROR(INDEX(2a_PRE_TRABAJO!U$5:U$112,MATCH($A86,2a_PRE_TRABAJO!$A$5:$A$112,0)),"")</f>
        <v/>
      </c>
      <c r="AD86" s="5">
        <f>IFERROR(INDEX(2a_PRE_TRABAJO!V$5:V$112,MATCH($A86,2a_PRE_TRABAJO!$A$5:$A$112,0)),"")</f>
        <v/>
      </c>
      <c r="AE86" s="5">
        <f>IFERROR(INDEX(2a_PRE_TRABAJO!W$5:W$112,MATCH($A86,2a_PRE_TRABAJO!$A$5:$A$112,0)),"")</f>
        <v/>
      </c>
      <c r="AF86" s="5">
        <f>IFERROR(INDEX(2a_PRE_TRABAJO!X$5:X$112,MATCH($A86,2a_PRE_TRABAJO!$A$5:$A$112,0)),"")</f>
        <v/>
      </c>
      <c r="AG86" s="5">
        <f>IFERROR(INDEX(2a_PRE_TRABAJO!Y$5:Y$112,MATCH($A86,2a_PRE_TRABAJO!$A$5:$A$112,0)),"")</f>
        <v/>
      </c>
      <c r="AH86" s="5">
        <f>IFERROR(INDEX(2a_PRE_TRABAJO!Z$5:Z$112,MATCH($A86,2a_PRE_TRABAJO!$A$5:$A$112,0)),"")</f>
        <v/>
      </c>
      <c r="AI86" s="5">
        <f>IFERROR(INDEX(2a_PRE_TRABAJO!AA$5:AA$112,MATCH($A86,2a_PRE_TRABAJO!$A$5:$A$112,0)),"")</f>
        <v/>
      </c>
      <c r="AJ86" s="5">
        <f>IFERROR(INDEX(2a_PRE_TRABAJO!AB$5:AB$112,MATCH($A86,2a_PRE_TRABAJO!$A$5:$A$112,0)),"")</f>
        <v/>
      </c>
      <c r="AK86" s="5">
        <f>IFERROR(INDEX(2a_PRE_TRABAJO!AC$5:AC$112,MATCH($A86,2a_PRE_TRABAJO!$A$5:$A$112,0)),"")</f>
        <v/>
      </c>
    </row>
    <row r="87">
      <c r="A87" s="3" t="inlineStr">
        <is>
          <t>GU-TDH-095</t>
        </is>
      </c>
      <c r="B87" s="3" t="n">
        <v>1</v>
      </c>
      <c r="C87" s="5">
        <f>IFERROR(INDEX(2a_PRE_TRABAJO!B$5:B$112,MATCH($A87,2a_PRE_TRABAJO!$A$5:$A$112,0)),"")</f>
        <v/>
      </c>
      <c r="D87" s="5">
        <f>IFERROR(INDEX(2a_PRE_TRABAJO!C$5:C$112,MATCH($A87,2a_PRE_TRABAJO!$A$5:$A$112,0)),"")</f>
        <v/>
      </c>
      <c r="E87" s="5">
        <f>IFERROR(INDEX(2a_PRE_TRABAJO!D$5:D$112,MATCH($A87,2a_PRE_TRABAJO!$A$5:$A$112,0)),"")</f>
        <v/>
      </c>
      <c r="F87" s="5">
        <f>IFERROR(INDEX(2a_PRE_TRABAJO!E$5:E$112,MATCH($A87,2a_PRE_TRABAJO!$A$5:$A$112,0)),"")</f>
        <v/>
      </c>
      <c r="G87" s="5">
        <f>IFERROR(INDEX(2a_PRE_TRABAJO!F$5:F$112,MATCH($A87,2a_PRE_TRABAJO!$A$5:$A$112,0)),"")</f>
        <v/>
      </c>
      <c r="H87" s="5">
        <f>IFERROR(INDEX(2a_PRE_TRABAJO!G$5:G$112,MATCH($A87,2a_PRE_TRABAJO!$A$5:$A$112,0)),"")</f>
        <v/>
      </c>
      <c r="I87" s="5">
        <f>IFERROR(INDEX(2b_POST_TRABAJO!C$5:C$109,MATCH($A87,2b_POST_TRABAJO!$A$5:$A$109,0)),"")</f>
        <v/>
      </c>
      <c r="J87" s="5">
        <f>IFERROR(INDEX(2a_PRE_TRABAJO!AD$5:AD$112,MATCH($A87,2a_PRE_TRABAJO!$A$5:$A$112,0)),"")</f>
        <v/>
      </c>
      <c r="K87" s="5">
        <f>IFERROR(INDEX(2a_PRE_TRABAJO!AE$5:AE$112,MATCH($A87,2a_PRE_TRABAJO!$A$5:$A$112,0)),"")</f>
        <v/>
      </c>
      <c r="L87" s="5">
        <f>IFERROR(INDEX(2a_PRE_TRABAJO!AF$5:AF$112,MATCH($A87,2a_PRE_TRABAJO!$A$5:$A$112,0)),"")</f>
        <v/>
      </c>
      <c r="M87" s="5">
        <f>IFERROR(INDEX(2a_PRE_TRABAJO!AG$5:AG$112,MATCH($A87,2a_PRE_TRABAJO!$A$5:$A$112,0)),"")</f>
        <v/>
      </c>
      <c r="N87" s="5">
        <f>IFERROR(INDEX(2b_POST_TRABAJO!D$5:D$109,MATCH($A87,2b_POST_TRABAJO!$A$5:$A$109,0)),"")</f>
        <v/>
      </c>
      <c r="O87" s="5">
        <f>IF(OR(N87="",J87=""),"",N87-J87)</f>
        <v/>
      </c>
      <c r="P87" s="5">
        <f>IFERROR(INDEX(2a_PRE_TRABAJO!H$5:H$112,MATCH($A87,2a_PRE_TRABAJO!$A$5:$A$112,0)),"")</f>
        <v/>
      </c>
      <c r="Q87" s="5">
        <f>IFERROR(INDEX(2a_PRE_TRABAJO!I$5:I$112,MATCH($A87,2a_PRE_TRABAJO!$A$5:$A$112,0)),"")</f>
        <v/>
      </c>
      <c r="R87" s="5">
        <f>IFERROR(INDEX(2a_PRE_TRABAJO!J$5:J$112,MATCH($A87,2a_PRE_TRABAJO!$A$5:$A$112,0)),"")</f>
        <v/>
      </c>
      <c r="S87" s="5">
        <f>IFERROR(INDEX(2a_PRE_TRABAJO!K$5:K$112,MATCH($A87,2a_PRE_TRABAJO!$A$5:$A$112,0)),"")</f>
        <v/>
      </c>
      <c r="T87" s="5">
        <f>IFERROR(INDEX(2a_PRE_TRABAJO!L$5:L$112,MATCH($A87,2a_PRE_TRABAJO!$A$5:$A$112,0)),"")</f>
        <v/>
      </c>
      <c r="U87" s="5">
        <f>IFERROR(INDEX(2a_PRE_TRABAJO!M$5:M$112,MATCH($A87,2a_PRE_TRABAJO!$A$5:$A$112,0)),"")</f>
        <v/>
      </c>
      <c r="V87" s="5">
        <f>IFERROR(INDEX(2a_PRE_TRABAJO!N$5:N$112,MATCH($A87,2a_PRE_TRABAJO!$A$5:$A$112,0)),"")</f>
        <v/>
      </c>
      <c r="W87" s="5">
        <f>IFERROR(INDEX(2a_PRE_TRABAJO!O$5:O$112,MATCH($A87,2a_PRE_TRABAJO!$A$5:$A$112,0)),"")</f>
        <v/>
      </c>
      <c r="X87" s="5">
        <f>IFERROR(INDEX(2a_PRE_TRABAJO!P$5:P$112,MATCH($A87,2a_PRE_TRABAJO!$A$5:$A$112,0)),"")</f>
        <v/>
      </c>
      <c r="Y87" s="5">
        <f>IFERROR(INDEX(2a_PRE_TRABAJO!Q$5:Q$112,MATCH($A87,2a_PRE_TRABAJO!$A$5:$A$112,0)),"")</f>
        <v/>
      </c>
      <c r="Z87" s="5">
        <f>IFERROR(INDEX(2a_PRE_TRABAJO!R$5:R$112,MATCH($A87,2a_PRE_TRABAJO!$A$5:$A$112,0)),"")</f>
        <v/>
      </c>
      <c r="AA87" s="5">
        <f>IFERROR(INDEX(2a_PRE_TRABAJO!S$5:S$112,MATCH($A87,2a_PRE_TRABAJO!$A$5:$A$112,0)),"")</f>
        <v/>
      </c>
      <c r="AB87" s="5">
        <f>IFERROR(INDEX(2a_PRE_TRABAJO!T$5:T$112,MATCH($A87,2a_PRE_TRABAJO!$A$5:$A$112,0)),"")</f>
        <v/>
      </c>
      <c r="AC87" s="5">
        <f>IFERROR(INDEX(2a_PRE_TRABAJO!U$5:U$112,MATCH($A87,2a_PRE_TRABAJO!$A$5:$A$112,0)),"")</f>
        <v/>
      </c>
      <c r="AD87" s="5">
        <f>IFERROR(INDEX(2a_PRE_TRABAJO!V$5:V$112,MATCH($A87,2a_PRE_TRABAJO!$A$5:$A$112,0)),"")</f>
        <v/>
      </c>
      <c r="AE87" s="5">
        <f>IFERROR(INDEX(2a_PRE_TRABAJO!W$5:W$112,MATCH($A87,2a_PRE_TRABAJO!$A$5:$A$112,0)),"")</f>
        <v/>
      </c>
      <c r="AF87" s="5">
        <f>IFERROR(INDEX(2a_PRE_TRABAJO!X$5:X$112,MATCH($A87,2a_PRE_TRABAJO!$A$5:$A$112,0)),"")</f>
        <v/>
      </c>
      <c r="AG87" s="5">
        <f>IFERROR(INDEX(2a_PRE_TRABAJO!Y$5:Y$112,MATCH($A87,2a_PRE_TRABAJO!$A$5:$A$112,0)),"")</f>
        <v/>
      </c>
      <c r="AH87" s="5">
        <f>IFERROR(INDEX(2a_PRE_TRABAJO!Z$5:Z$112,MATCH($A87,2a_PRE_TRABAJO!$A$5:$A$112,0)),"")</f>
        <v/>
      </c>
      <c r="AI87" s="5">
        <f>IFERROR(INDEX(2a_PRE_TRABAJO!AA$5:AA$112,MATCH($A87,2a_PRE_TRABAJO!$A$5:$A$112,0)),"")</f>
        <v/>
      </c>
      <c r="AJ87" s="5">
        <f>IFERROR(INDEX(2a_PRE_TRABAJO!AB$5:AB$112,MATCH($A87,2a_PRE_TRABAJO!$A$5:$A$112,0)),"")</f>
        <v/>
      </c>
      <c r="AK87" s="5">
        <f>IFERROR(INDEX(2a_PRE_TRABAJO!AC$5:AC$112,MATCH($A87,2a_PRE_TRABAJO!$A$5:$A$112,0)),"")</f>
        <v/>
      </c>
    </row>
    <row r="88">
      <c r="A88" s="3" t="inlineStr">
        <is>
          <t>GU-TDH-097</t>
        </is>
      </c>
      <c r="B88" s="3" t="n">
        <v>1</v>
      </c>
      <c r="C88" s="5">
        <f>IFERROR(INDEX(2a_PRE_TRABAJO!B$5:B$112,MATCH($A88,2a_PRE_TRABAJO!$A$5:$A$112,0)),"")</f>
        <v/>
      </c>
      <c r="D88" s="5">
        <f>IFERROR(INDEX(2a_PRE_TRABAJO!C$5:C$112,MATCH($A88,2a_PRE_TRABAJO!$A$5:$A$112,0)),"")</f>
        <v/>
      </c>
      <c r="E88" s="5">
        <f>IFERROR(INDEX(2a_PRE_TRABAJO!D$5:D$112,MATCH($A88,2a_PRE_TRABAJO!$A$5:$A$112,0)),"")</f>
        <v/>
      </c>
      <c r="F88" s="5">
        <f>IFERROR(INDEX(2a_PRE_TRABAJO!E$5:E$112,MATCH($A88,2a_PRE_TRABAJO!$A$5:$A$112,0)),"")</f>
        <v/>
      </c>
      <c r="G88" s="5">
        <f>IFERROR(INDEX(2a_PRE_TRABAJO!F$5:F$112,MATCH($A88,2a_PRE_TRABAJO!$A$5:$A$112,0)),"")</f>
        <v/>
      </c>
      <c r="H88" s="5">
        <f>IFERROR(INDEX(2a_PRE_TRABAJO!G$5:G$112,MATCH($A88,2a_PRE_TRABAJO!$A$5:$A$112,0)),"")</f>
        <v/>
      </c>
      <c r="I88" s="5">
        <f>IFERROR(INDEX(2b_POST_TRABAJO!C$5:C$109,MATCH($A88,2b_POST_TRABAJO!$A$5:$A$109,0)),"")</f>
        <v/>
      </c>
      <c r="J88" s="5">
        <f>IFERROR(INDEX(2a_PRE_TRABAJO!AD$5:AD$112,MATCH($A88,2a_PRE_TRABAJO!$A$5:$A$112,0)),"")</f>
        <v/>
      </c>
      <c r="K88" s="5">
        <f>IFERROR(INDEX(2a_PRE_TRABAJO!AE$5:AE$112,MATCH($A88,2a_PRE_TRABAJO!$A$5:$A$112,0)),"")</f>
        <v/>
      </c>
      <c r="L88" s="5">
        <f>IFERROR(INDEX(2a_PRE_TRABAJO!AF$5:AF$112,MATCH($A88,2a_PRE_TRABAJO!$A$5:$A$112,0)),"")</f>
        <v/>
      </c>
      <c r="M88" s="5">
        <f>IFERROR(INDEX(2a_PRE_TRABAJO!AG$5:AG$112,MATCH($A88,2a_PRE_TRABAJO!$A$5:$A$112,0)),"")</f>
        <v/>
      </c>
      <c r="N88" s="5">
        <f>IFERROR(INDEX(2b_POST_TRABAJO!D$5:D$109,MATCH($A88,2b_POST_TRABAJO!$A$5:$A$109,0)),"")</f>
        <v/>
      </c>
      <c r="O88" s="5">
        <f>IF(OR(N88="",J88=""),"",N88-J88)</f>
        <v/>
      </c>
      <c r="P88" s="5">
        <f>IFERROR(INDEX(2a_PRE_TRABAJO!H$5:H$112,MATCH($A88,2a_PRE_TRABAJO!$A$5:$A$112,0)),"")</f>
        <v/>
      </c>
      <c r="Q88" s="5">
        <f>IFERROR(INDEX(2a_PRE_TRABAJO!I$5:I$112,MATCH($A88,2a_PRE_TRABAJO!$A$5:$A$112,0)),"")</f>
        <v/>
      </c>
      <c r="R88" s="5">
        <f>IFERROR(INDEX(2a_PRE_TRABAJO!J$5:J$112,MATCH($A88,2a_PRE_TRABAJO!$A$5:$A$112,0)),"")</f>
        <v/>
      </c>
      <c r="S88" s="5">
        <f>IFERROR(INDEX(2a_PRE_TRABAJO!K$5:K$112,MATCH($A88,2a_PRE_TRABAJO!$A$5:$A$112,0)),"")</f>
        <v/>
      </c>
      <c r="T88" s="5">
        <f>IFERROR(INDEX(2a_PRE_TRABAJO!L$5:L$112,MATCH($A88,2a_PRE_TRABAJO!$A$5:$A$112,0)),"")</f>
        <v/>
      </c>
      <c r="U88" s="5">
        <f>IFERROR(INDEX(2a_PRE_TRABAJO!M$5:M$112,MATCH($A88,2a_PRE_TRABAJO!$A$5:$A$112,0)),"")</f>
        <v/>
      </c>
      <c r="V88" s="5">
        <f>IFERROR(INDEX(2a_PRE_TRABAJO!N$5:N$112,MATCH($A88,2a_PRE_TRABAJO!$A$5:$A$112,0)),"")</f>
        <v/>
      </c>
      <c r="W88" s="5">
        <f>IFERROR(INDEX(2a_PRE_TRABAJO!O$5:O$112,MATCH($A88,2a_PRE_TRABAJO!$A$5:$A$112,0)),"")</f>
        <v/>
      </c>
      <c r="X88" s="5">
        <f>IFERROR(INDEX(2a_PRE_TRABAJO!P$5:P$112,MATCH($A88,2a_PRE_TRABAJO!$A$5:$A$112,0)),"")</f>
        <v/>
      </c>
      <c r="Y88" s="5">
        <f>IFERROR(INDEX(2a_PRE_TRABAJO!Q$5:Q$112,MATCH($A88,2a_PRE_TRABAJO!$A$5:$A$112,0)),"")</f>
        <v/>
      </c>
      <c r="Z88" s="5">
        <f>IFERROR(INDEX(2a_PRE_TRABAJO!R$5:R$112,MATCH($A88,2a_PRE_TRABAJO!$A$5:$A$112,0)),"")</f>
        <v/>
      </c>
      <c r="AA88" s="5">
        <f>IFERROR(INDEX(2a_PRE_TRABAJO!S$5:S$112,MATCH($A88,2a_PRE_TRABAJO!$A$5:$A$112,0)),"")</f>
        <v/>
      </c>
      <c r="AB88" s="5">
        <f>IFERROR(INDEX(2a_PRE_TRABAJO!T$5:T$112,MATCH($A88,2a_PRE_TRABAJO!$A$5:$A$112,0)),"")</f>
        <v/>
      </c>
      <c r="AC88" s="5">
        <f>IFERROR(INDEX(2a_PRE_TRABAJO!U$5:U$112,MATCH($A88,2a_PRE_TRABAJO!$A$5:$A$112,0)),"")</f>
        <v/>
      </c>
      <c r="AD88" s="5">
        <f>IFERROR(INDEX(2a_PRE_TRABAJO!V$5:V$112,MATCH($A88,2a_PRE_TRABAJO!$A$5:$A$112,0)),"")</f>
        <v/>
      </c>
      <c r="AE88" s="5">
        <f>IFERROR(INDEX(2a_PRE_TRABAJO!W$5:W$112,MATCH($A88,2a_PRE_TRABAJO!$A$5:$A$112,0)),"")</f>
        <v/>
      </c>
      <c r="AF88" s="5">
        <f>IFERROR(INDEX(2a_PRE_TRABAJO!X$5:X$112,MATCH($A88,2a_PRE_TRABAJO!$A$5:$A$112,0)),"")</f>
        <v/>
      </c>
      <c r="AG88" s="5">
        <f>IFERROR(INDEX(2a_PRE_TRABAJO!Y$5:Y$112,MATCH($A88,2a_PRE_TRABAJO!$A$5:$A$112,0)),"")</f>
        <v/>
      </c>
      <c r="AH88" s="5">
        <f>IFERROR(INDEX(2a_PRE_TRABAJO!Z$5:Z$112,MATCH($A88,2a_PRE_TRABAJO!$A$5:$A$112,0)),"")</f>
        <v/>
      </c>
      <c r="AI88" s="5">
        <f>IFERROR(INDEX(2a_PRE_TRABAJO!AA$5:AA$112,MATCH($A88,2a_PRE_TRABAJO!$A$5:$A$112,0)),"")</f>
        <v/>
      </c>
      <c r="AJ88" s="5">
        <f>IFERROR(INDEX(2a_PRE_TRABAJO!AB$5:AB$112,MATCH($A88,2a_PRE_TRABAJO!$A$5:$A$112,0)),"")</f>
        <v/>
      </c>
      <c r="AK88" s="5">
        <f>IFERROR(INDEX(2a_PRE_TRABAJO!AC$5:AC$112,MATCH($A88,2a_PRE_TRABAJO!$A$5:$A$112,0)),"")</f>
        <v/>
      </c>
    </row>
    <row r="89">
      <c r="A89" s="3" t="inlineStr">
        <is>
          <t>GU-TDH-098</t>
        </is>
      </c>
      <c r="B89" s="3" t="n">
        <v>1</v>
      </c>
      <c r="C89" s="5">
        <f>IFERROR(INDEX(2a_PRE_TRABAJO!B$5:B$112,MATCH($A89,2a_PRE_TRABAJO!$A$5:$A$112,0)),"")</f>
        <v/>
      </c>
      <c r="D89" s="5">
        <f>IFERROR(INDEX(2a_PRE_TRABAJO!C$5:C$112,MATCH($A89,2a_PRE_TRABAJO!$A$5:$A$112,0)),"")</f>
        <v/>
      </c>
      <c r="E89" s="5">
        <f>IFERROR(INDEX(2a_PRE_TRABAJO!D$5:D$112,MATCH($A89,2a_PRE_TRABAJO!$A$5:$A$112,0)),"")</f>
        <v/>
      </c>
      <c r="F89" s="5">
        <f>IFERROR(INDEX(2a_PRE_TRABAJO!E$5:E$112,MATCH($A89,2a_PRE_TRABAJO!$A$5:$A$112,0)),"")</f>
        <v/>
      </c>
      <c r="G89" s="5">
        <f>IFERROR(INDEX(2a_PRE_TRABAJO!F$5:F$112,MATCH($A89,2a_PRE_TRABAJO!$A$5:$A$112,0)),"")</f>
        <v/>
      </c>
      <c r="H89" s="5">
        <f>IFERROR(INDEX(2a_PRE_TRABAJO!G$5:G$112,MATCH($A89,2a_PRE_TRABAJO!$A$5:$A$112,0)),"")</f>
        <v/>
      </c>
      <c r="I89" s="5">
        <f>IFERROR(INDEX(2b_POST_TRABAJO!C$5:C$109,MATCH($A89,2b_POST_TRABAJO!$A$5:$A$109,0)),"")</f>
        <v/>
      </c>
      <c r="J89" s="5">
        <f>IFERROR(INDEX(2a_PRE_TRABAJO!AD$5:AD$112,MATCH($A89,2a_PRE_TRABAJO!$A$5:$A$112,0)),"")</f>
        <v/>
      </c>
      <c r="K89" s="5">
        <f>IFERROR(INDEX(2a_PRE_TRABAJO!AE$5:AE$112,MATCH($A89,2a_PRE_TRABAJO!$A$5:$A$112,0)),"")</f>
        <v/>
      </c>
      <c r="L89" s="5">
        <f>IFERROR(INDEX(2a_PRE_TRABAJO!AF$5:AF$112,MATCH($A89,2a_PRE_TRABAJO!$A$5:$A$112,0)),"")</f>
        <v/>
      </c>
      <c r="M89" s="5">
        <f>IFERROR(INDEX(2a_PRE_TRABAJO!AG$5:AG$112,MATCH($A89,2a_PRE_TRABAJO!$A$5:$A$112,0)),"")</f>
        <v/>
      </c>
      <c r="N89" s="5">
        <f>IFERROR(INDEX(2b_POST_TRABAJO!D$5:D$109,MATCH($A89,2b_POST_TRABAJO!$A$5:$A$109,0)),"")</f>
        <v/>
      </c>
      <c r="O89" s="5">
        <f>IF(OR(N89="",J89=""),"",N89-J89)</f>
        <v/>
      </c>
      <c r="P89" s="5">
        <f>IFERROR(INDEX(2a_PRE_TRABAJO!H$5:H$112,MATCH($A89,2a_PRE_TRABAJO!$A$5:$A$112,0)),"")</f>
        <v/>
      </c>
      <c r="Q89" s="5">
        <f>IFERROR(INDEX(2a_PRE_TRABAJO!I$5:I$112,MATCH($A89,2a_PRE_TRABAJO!$A$5:$A$112,0)),"")</f>
        <v/>
      </c>
      <c r="R89" s="5">
        <f>IFERROR(INDEX(2a_PRE_TRABAJO!J$5:J$112,MATCH($A89,2a_PRE_TRABAJO!$A$5:$A$112,0)),"")</f>
        <v/>
      </c>
      <c r="S89" s="5">
        <f>IFERROR(INDEX(2a_PRE_TRABAJO!K$5:K$112,MATCH($A89,2a_PRE_TRABAJO!$A$5:$A$112,0)),"")</f>
        <v/>
      </c>
      <c r="T89" s="5">
        <f>IFERROR(INDEX(2a_PRE_TRABAJO!L$5:L$112,MATCH($A89,2a_PRE_TRABAJO!$A$5:$A$112,0)),"")</f>
        <v/>
      </c>
      <c r="U89" s="5">
        <f>IFERROR(INDEX(2a_PRE_TRABAJO!M$5:M$112,MATCH($A89,2a_PRE_TRABAJO!$A$5:$A$112,0)),"")</f>
        <v/>
      </c>
      <c r="V89" s="5">
        <f>IFERROR(INDEX(2a_PRE_TRABAJO!N$5:N$112,MATCH($A89,2a_PRE_TRABAJO!$A$5:$A$112,0)),"")</f>
        <v/>
      </c>
      <c r="W89" s="5">
        <f>IFERROR(INDEX(2a_PRE_TRABAJO!O$5:O$112,MATCH($A89,2a_PRE_TRABAJO!$A$5:$A$112,0)),"")</f>
        <v/>
      </c>
      <c r="X89" s="5">
        <f>IFERROR(INDEX(2a_PRE_TRABAJO!P$5:P$112,MATCH($A89,2a_PRE_TRABAJO!$A$5:$A$112,0)),"")</f>
        <v/>
      </c>
      <c r="Y89" s="5">
        <f>IFERROR(INDEX(2a_PRE_TRABAJO!Q$5:Q$112,MATCH($A89,2a_PRE_TRABAJO!$A$5:$A$112,0)),"")</f>
        <v/>
      </c>
      <c r="Z89" s="5">
        <f>IFERROR(INDEX(2a_PRE_TRABAJO!R$5:R$112,MATCH($A89,2a_PRE_TRABAJO!$A$5:$A$112,0)),"")</f>
        <v/>
      </c>
      <c r="AA89" s="5">
        <f>IFERROR(INDEX(2a_PRE_TRABAJO!S$5:S$112,MATCH($A89,2a_PRE_TRABAJO!$A$5:$A$112,0)),"")</f>
        <v/>
      </c>
      <c r="AB89" s="5">
        <f>IFERROR(INDEX(2a_PRE_TRABAJO!T$5:T$112,MATCH($A89,2a_PRE_TRABAJO!$A$5:$A$112,0)),"")</f>
        <v/>
      </c>
      <c r="AC89" s="5">
        <f>IFERROR(INDEX(2a_PRE_TRABAJO!U$5:U$112,MATCH($A89,2a_PRE_TRABAJO!$A$5:$A$112,0)),"")</f>
        <v/>
      </c>
      <c r="AD89" s="5">
        <f>IFERROR(INDEX(2a_PRE_TRABAJO!V$5:V$112,MATCH($A89,2a_PRE_TRABAJO!$A$5:$A$112,0)),"")</f>
        <v/>
      </c>
      <c r="AE89" s="5">
        <f>IFERROR(INDEX(2a_PRE_TRABAJO!W$5:W$112,MATCH($A89,2a_PRE_TRABAJO!$A$5:$A$112,0)),"")</f>
        <v/>
      </c>
      <c r="AF89" s="5">
        <f>IFERROR(INDEX(2a_PRE_TRABAJO!X$5:X$112,MATCH($A89,2a_PRE_TRABAJO!$A$5:$A$112,0)),"")</f>
        <v/>
      </c>
      <c r="AG89" s="5">
        <f>IFERROR(INDEX(2a_PRE_TRABAJO!Y$5:Y$112,MATCH($A89,2a_PRE_TRABAJO!$A$5:$A$112,0)),"")</f>
        <v/>
      </c>
      <c r="AH89" s="5">
        <f>IFERROR(INDEX(2a_PRE_TRABAJO!Z$5:Z$112,MATCH($A89,2a_PRE_TRABAJO!$A$5:$A$112,0)),"")</f>
        <v/>
      </c>
      <c r="AI89" s="5">
        <f>IFERROR(INDEX(2a_PRE_TRABAJO!AA$5:AA$112,MATCH($A89,2a_PRE_TRABAJO!$A$5:$A$112,0)),"")</f>
        <v/>
      </c>
      <c r="AJ89" s="5">
        <f>IFERROR(INDEX(2a_PRE_TRABAJO!AB$5:AB$112,MATCH($A89,2a_PRE_TRABAJO!$A$5:$A$112,0)),"")</f>
        <v/>
      </c>
      <c r="AK89" s="5">
        <f>IFERROR(INDEX(2a_PRE_TRABAJO!AC$5:AC$112,MATCH($A89,2a_PRE_TRABAJO!$A$5:$A$112,0)),"")</f>
        <v/>
      </c>
    </row>
    <row r="90">
      <c r="A90" s="3" t="inlineStr">
        <is>
          <t>GU-TDH-099</t>
        </is>
      </c>
      <c r="B90" s="3" t="n">
        <v>1</v>
      </c>
      <c r="C90" s="5">
        <f>IFERROR(INDEX(2a_PRE_TRABAJO!B$5:B$112,MATCH($A90,2a_PRE_TRABAJO!$A$5:$A$112,0)),"")</f>
        <v/>
      </c>
      <c r="D90" s="5">
        <f>IFERROR(INDEX(2a_PRE_TRABAJO!C$5:C$112,MATCH($A90,2a_PRE_TRABAJO!$A$5:$A$112,0)),"")</f>
        <v/>
      </c>
      <c r="E90" s="5">
        <f>IFERROR(INDEX(2a_PRE_TRABAJO!D$5:D$112,MATCH($A90,2a_PRE_TRABAJO!$A$5:$A$112,0)),"")</f>
        <v/>
      </c>
      <c r="F90" s="5">
        <f>IFERROR(INDEX(2a_PRE_TRABAJO!E$5:E$112,MATCH($A90,2a_PRE_TRABAJO!$A$5:$A$112,0)),"")</f>
        <v/>
      </c>
      <c r="G90" s="5">
        <f>IFERROR(INDEX(2a_PRE_TRABAJO!F$5:F$112,MATCH($A90,2a_PRE_TRABAJO!$A$5:$A$112,0)),"")</f>
        <v/>
      </c>
      <c r="H90" s="5">
        <f>IFERROR(INDEX(2a_PRE_TRABAJO!G$5:G$112,MATCH($A90,2a_PRE_TRABAJO!$A$5:$A$112,0)),"")</f>
        <v/>
      </c>
      <c r="I90" s="5">
        <f>IFERROR(INDEX(2b_POST_TRABAJO!C$5:C$109,MATCH($A90,2b_POST_TRABAJO!$A$5:$A$109,0)),"")</f>
        <v/>
      </c>
      <c r="J90" s="5">
        <f>IFERROR(INDEX(2a_PRE_TRABAJO!AD$5:AD$112,MATCH($A90,2a_PRE_TRABAJO!$A$5:$A$112,0)),"")</f>
        <v/>
      </c>
      <c r="K90" s="5">
        <f>IFERROR(INDEX(2a_PRE_TRABAJO!AE$5:AE$112,MATCH($A90,2a_PRE_TRABAJO!$A$5:$A$112,0)),"")</f>
        <v/>
      </c>
      <c r="L90" s="5">
        <f>IFERROR(INDEX(2a_PRE_TRABAJO!AF$5:AF$112,MATCH($A90,2a_PRE_TRABAJO!$A$5:$A$112,0)),"")</f>
        <v/>
      </c>
      <c r="M90" s="5">
        <f>IFERROR(INDEX(2a_PRE_TRABAJO!AG$5:AG$112,MATCH($A90,2a_PRE_TRABAJO!$A$5:$A$112,0)),"")</f>
        <v/>
      </c>
      <c r="N90" s="5">
        <f>IFERROR(INDEX(2b_POST_TRABAJO!D$5:D$109,MATCH($A90,2b_POST_TRABAJO!$A$5:$A$109,0)),"")</f>
        <v/>
      </c>
      <c r="O90" s="5">
        <f>IF(OR(N90="",J90=""),"",N90-J90)</f>
        <v/>
      </c>
      <c r="P90" s="5">
        <f>IFERROR(INDEX(2a_PRE_TRABAJO!H$5:H$112,MATCH($A90,2a_PRE_TRABAJO!$A$5:$A$112,0)),"")</f>
        <v/>
      </c>
      <c r="Q90" s="5">
        <f>IFERROR(INDEX(2a_PRE_TRABAJO!I$5:I$112,MATCH($A90,2a_PRE_TRABAJO!$A$5:$A$112,0)),"")</f>
        <v/>
      </c>
      <c r="R90" s="5">
        <f>IFERROR(INDEX(2a_PRE_TRABAJO!J$5:J$112,MATCH($A90,2a_PRE_TRABAJO!$A$5:$A$112,0)),"")</f>
        <v/>
      </c>
      <c r="S90" s="5">
        <f>IFERROR(INDEX(2a_PRE_TRABAJO!K$5:K$112,MATCH($A90,2a_PRE_TRABAJO!$A$5:$A$112,0)),"")</f>
        <v/>
      </c>
      <c r="T90" s="5">
        <f>IFERROR(INDEX(2a_PRE_TRABAJO!L$5:L$112,MATCH($A90,2a_PRE_TRABAJO!$A$5:$A$112,0)),"")</f>
        <v/>
      </c>
      <c r="U90" s="5">
        <f>IFERROR(INDEX(2a_PRE_TRABAJO!M$5:M$112,MATCH($A90,2a_PRE_TRABAJO!$A$5:$A$112,0)),"")</f>
        <v/>
      </c>
      <c r="V90" s="5">
        <f>IFERROR(INDEX(2a_PRE_TRABAJO!N$5:N$112,MATCH($A90,2a_PRE_TRABAJO!$A$5:$A$112,0)),"")</f>
        <v/>
      </c>
      <c r="W90" s="5">
        <f>IFERROR(INDEX(2a_PRE_TRABAJO!O$5:O$112,MATCH($A90,2a_PRE_TRABAJO!$A$5:$A$112,0)),"")</f>
        <v/>
      </c>
      <c r="X90" s="5">
        <f>IFERROR(INDEX(2a_PRE_TRABAJO!P$5:P$112,MATCH($A90,2a_PRE_TRABAJO!$A$5:$A$112,0)),"")</f>
        <v/>
      </c>
      <c r="Y90" s="5">
        <f>IFERROR(INDEX(2a_PRE_TRABAJO!Q$5:Q$112,MATCH($A90,2a_PRE_TRABAJO!$A$5:$A$112,0)),"")</f>
        <v/>
      </c>
      <c r="Z90" s="5">
        <f>IFERROR(INDEX(2a_PRE_TRABAJO!R$5:R$112,MATCH($A90,2a_PRE_TRABAJO!$A$5:$A$112,0)),"")</f>
        <v/>
      </c>
      <c r="AA90" s="5">
        <f>IFERROR(INDEX(2a_PRE_TRABAJO!S$5:S$112,MATCH($A90,2a_PRE_TRABAJO!$A$5:$A$112,0)),"")</f>
        <v/>
      </c>
      <c r="AB90" s="5">
        <f>IFERROR(INDEX(2a_PRE_TRABAJO!T$5:T$112,MATCH($A90,2a_PRE_TRABAJO!$A$5:$A$112,0)),"")</f>
        <v/>
      </c>
      <c r="AC90" s="5">
        <f>IFERROR(INDEX(2a_PRE_TRABAJO!U$5:U$112,MATCH($A90,2a_PRE_TRABAJO!$A$5:$A$112,0)),"")</f>
        <v/>
      </c>
      <c r="AD90" s="5">
        <f>IFERROR(INDEX(2a_PRE_TRABAJO!V$5:V$112,MATCH($A90,2a_PRE_TRABAJO!$A$5:$A$112,0)),"")</f>
        <v/>
      </c>
      <c r="AE90" s="5">
        <f>IFERROR(INDEX(2a_PRE_TRABAJO!W$5:W$112,MATCH($A90,2a_PRE_TRABAJO!$A$5:$A$112,0)),"")</f>
        <v/>
      </c>
      <c r="AF90" s="5">
        <f>IFERROR(INDEX(2a_PRE_TRABAJO!X$5:X$112,MATCH($A90,2a_PRE_TRABAJO!$A$5:$A$112,0)),"")</f>
        <v/>
      </c>
      <c r="AG90" s="5">
        <f>IFERROR(INDEX(2a_PRE_TRABAJO!Y$5:Y$112,MATCH($A90,2a_PRE_TRABAJO!$A$5:$A$112,0)),"")</f>
        <v/>
      </c>
      <c r="AH90" s="5">
        <f>IFERROR(INDEX(2a_PRE_TRABAJO!Z$5:Z$112,MATCH($A90,2a_PRE_TRABAJO!$A$5:$A$112,0)),"")</f>
        <v/>
      </c>
      <c r="AI90" s="5">
        <f>IFERROR(INDEX(2a_PRE_TRABAJO!AA$5:AA$112,MATCH($A90,2a_PRE_TRABAJO!$A$5:$A$112,0)),"")</f>
        <v/>
      </c>
      <c r="AJ90" s="5">
        <f>IFERROR(INDEX(2a_PRE_TRABAJO!AB$5:AB$112,MATCH($A90,2a_PRE_TRABAJO!$A$5:$A$112,0)),"")</f>
        <v/>
      </c>
      <c r="AK90" s="5">
        <f>IFERROR(INDEX(2a_PRE_TRABAJO!AC$5:AC$112,MATCH($A90,2a_PRE_TRABAJO!$A$5:$A$112,0)),"")</f>
        <v/>
      </c>
    </row>
    <row r="91">
      <c r="A91" s="3" t="inlineStr">
        <is>
          <t>GU-TDH-100</t>
        </is>
      </c>
      <c r="B91" s="3" t="n">
        <v>1</v>
      </c>
      <c r="C91" s="5">
        <f>IFERROR(INDEX(2a_PRE_TRABAJO!B$5:B$112,MATCH($A91,2a_PRE_TRABAJO!$A$5:$A$112,0)),"")</f>
        <v/>
      </c>
      <c r="D91" s="5">
        <f>IFERROR(INDEX(2a_PRE_TRABAJO!C$5:C$112,MATCH($A91,2a_PRE_TRABAJO!$A$5:$A$112,0)),"")</f>
        <v/>
      </c>
      <c r="E91" s="5">
        <f>IFERROR(INDEX(2a_PRE_TRABAJO!D$5:D$112,MATCH($A91,2a_PRE_TRABAJO!$A$5:$A$112,0)),"")</f>
        <v/>
      </c>
      <c r="F91" s="5">
        <f>IFERROR(INDEX(2a_PRE_TRABAJO!E$5:E$112,MATCH($A91,2a_PRE_TRABAJO!$A$5:$A$112,0)),"")</f>
        <v/>
      </c>
      <c r="G91" s="5">
        <f>IFERROR(INDEX(2a_PRE_TRABAJO!F$5:F$112,MATCH($A91,2a_PRE_TRABAJO!$A$5:$A$112,0)),"")</f>
        <v/>
      </c>
      <c r="H91" s="5">
        <f>IFERROR(INDEX(2a_PRE_TRABAJO!G$5:G$112,MATCH($A91,2a_PRE_TRABAJO!$A$5:$A$112,0)),"")</f>
        <v/>
      </c>
      <c r="I91" s="5">
        <f>IFERROR(INDEX(2b_POST_TRABAJO!C$5:C$109,MATCH($A91,2b_POST_TRABAJO!$A$5:$A$109,0)),"")</f>
        <v/>
      </c>
      <c r="J91" s="5">
        <f>IFERROR(INDEX(2a_PRE_TRABAJO!AD$5:AD$112,MATCH($A91,2a_PRE_TRABAJO!$A$5:$A$112,0)),"")</f>
        <v/>
      </c>
      <c r="K91" s="5">
        <f>IFERROR(INDEX(2a_PRE_TRABAJO!AE$5:AE$112,MATCH($A91,2a_PRE_TRABAJO!$A$5:$A$112,0)),"")</f>
        <v/>
      </c>
      <c r="L91" s="5">
        <f>IFERROR(INDEX(2a_PRE_TRABAJO!AF$5:AF$112,MATCH($A91,2a_PRE_TRABAJO!$A$5:$A$112,0)),"")</f>
        <v/>
      </c>
      <c r="M91" s="5">
        <f>IFERROR(INDEX(2a_PRE_TRABAJO!AG$5:AG$112,MATCH($A91,2a_PRE_TRABAJO!$A$5:$A$112,0)),"")</f>
        <v/>
      </c>
      <c r="N91" s="5">
        <f>IFERROR(INDEX(2b_POST_TRABAJO!D$5:D$109,MATCH($A91,2b_POST_TRABAJO!$A$5:$A$109,0)),"")</f>
        <v/>
      </c>
      <c r="O91" s="5">
        <f>IF(OR(N91="",J91=""),"",N91-J91)</f>
        <v/>
      </c>
      <c r="P91" s="5">
        <f>IFERROR(INDEX(2a_PRE_TRABAJO!H$5:H$112,MATCH($A91,2a_PRE_TRABAJO!$A$5:$A$112,0)),"")</f>
        <v/>
      </c>
      <c r="Q91" s="5">
        <f>IFERROR(INDEX(2a_PRE_TRABAJO!I$5:I$112,MATCH($A91,2a_PRE_TRABAJO!$A$5:$A$112,0)),"")</f>
        <v/>
      </c>
      <c r="R91" s="5">
        <f>IFERROR(INDEX(2a_PRE_TRABAJO!J$5:J$112,MATCH($A91,2a_PRE_TRABAJO!$A$5:$A$112,0)),"")</f>
        <v/>
      </c>
      <c r="S91" s="5">
        <f>IFERROR(INDEX(2a_PRE_TRABAJO!K$5:K$112,MATCH($A91,2a_PRE_TRABAJO!$A$5:$A$112,0)),"")</f>
        <v/>
      </c>
      <c r="T91" s="5">
        <f>IFERROR(INDEX(2a_PRE_TRABAJO!L$5:L$112,MATCH($A91,2a_PRE_TRABAJO!$A$5:$A$112,0)),"")</f>
        <v/>
      </c>
      <c r="U91" s="5">
        <f>IFERROR(INDEX(2a_PRE_TRABAJO!M$5:M$112,MATCH($A91,2a_PRE_TRABAJO!$A$5:$A$112,0)),"")</f>
        <v/>
      </c>
      <c r="V91" s="5">
        <f>IFERROR(INDEX(2a_PRE_TRABAJO!N$5:N$112,MATCH($A91,2a_PRE_TRABAJO!$A$5:$A$112,0)),"")</f>
        <v/>
      </c>
      <c r="W91" s="5">
        <f>IFERROR(INDEX(2a_PRE_TRABAJO!O$5:O$112,MATCH($A91,2a_PRE_TRABAJO!$A$5:$A$112,0)),"")</f>
        <v/>
      </c>
      <c r="X91" s="5">
        <f>IFERROR(INDEX(2a_PRE_TRABAJO!P$5:P$112,MATCH($A91,2a_PRE_TRABAJO!$A$5:$A$112,0)),"")</f>
        <v/>
      </c>
      <c r="Y91" s="5">
        <f>IFERROR(INDEX(2a_PRE_TRABAJO!Q$5:Q$112,MATCH($A91,2a_PRE_TRABAJO!$A$5:$A$112,0)),"")</f>
        <v/>
      </c>
      <c r="Z91" s="5">
        <f>IFERROR(INDEX(2a_PRE_TRABAJO!R$5:R$112,MATCH($A91,2a_PRE_TRABAJO!$A$5:$A$112,0)),"")</f>
        <v/>
      </c>
      <c r="AA91" s="5">
        <f>IFERROR(INDEX(2a_PRE_TRABAJO!S$5:S$112,MATCH($A91,2a_PRE_TRABAJO!$A$5:$A$112,0)),"")</f>
        <v/>
      </c>
      <c r="AB91" s="5">
        <f>IFERROR(INDEX(2a_PRE_TRABAJO!T$5:T$112,MATCH($A91,2a_PRE_TRABAJO!$A$5:$A$112,0)),"")</f>
        <v/>
      </c>
      <c r="AC91" s="5">
        <f>IFERROR(INDEX(2a_PRE_TRABAJO!U$5:U$112,MATCH($A91,2a_PRE_TRABAJO!$A$5:$A$112,0)),"")</f>
        <v/>
      </c>
      <c r="AD91" s="5">
        <f>IFERROR(INDEX(2a_PRE_TRABAJO!V$5:V$112,MATCH($A91,2a_PRE_TRABAJO!$A$5:$A$112,0)),"")</f>
        <v/>
      </c>
      <c r="AE91" s="5">
        <f>IFERROR(INDEX(2a_PRE_TRABAJO!W$5:W$112,MATCH($A91,2a_PRE_TRABAJO!$A$5:$A$112,0)),"")</f>
        <v/>
      </c>
      <c r="AF91" s="5">
        <f>IFERROR(INDEX(2a_PRE_TRABAJO!X$5:X$112,MATCH($A91,2a_PRE_TRABAJO!$A$5:$A$112,0)),"")</f>
        <v/>
      </c>
      <c r="AG91" s="5">
        <f>IFERROR(INDEX(2a_PRE_TRABAJO!Y$5:Y$112,MATCH($A91,2a_PRE_TRABAJO!$A$5:$A$112,0)),"")</f>
        <v/>
      </c>
      <c r="AH91" s="5">
        <f>IFERROR(INDEX(2a_PRE_TRABAJO!Z$5:Z$112,MATCH($A91,2a_PRE_TRABAJO!$A$5:$A$112,0)),"")</f>
        <v/>
      </c>
      <c r="AI91" s="5">
        <f>IFERROR(INDEX(2a_PRE_TRABAJO!AA$5:AA$112,MATCH($A91,2a_PRE_TRABAJO!$A$5:$A$112,0)),"")</f>
        <v/>
      </c>
      <c r="AJ91" s="5">
        <f>IFERROR(INDEX(2a_PRE_TRABAJO!AB$5:AB$112,MATCH($A91,2a_PRE_TRABAJO!$A$5:$A$112,0)),"")</f>
        <v/>
      </c>
      <c r="AK91" s="5">
        <f>IFERROR(INDEX(2a_PRE_TRABAJO!AC$5:AC$112,MATCH($A91,2a_PRE_TRABAJO!$A$5:$A$112,0)),"")</f>
        <v/>
      </c>
    </row>
    <row r="92">
      <c r="A92" s="3" t="inlineStr">
        <is>
          <t>GU-TDH-101</t>
        </is>
      </c>
      <c r="B92" s="3" t="n">
        <v>1</v>
      </c>
      <c r="C92" s="5">
        <f>IFERROR(INDEX(2a_PRE_TRABAJO!B$5:B$112,MATCH($A92,2a_PRE_TRABAJO!$A$5:$A$112,0)),"")</f>
        <v/>
      </c>
      <c r="D92" s="5">
        <f>IFERROR(INDEX(2a_PRE_TRABAJO!C$5:C$112,MATCH($A92,2a_PRE_TRABAJO!$A$5:$A$112,0)),"")</f>
        <v/>
      </c>
      <c r="E92" s="5">
        <f>IFERROR(INDEX(2a_PRE_TRABAJO!D$5:D$112,MATCH($A92,2a_PRE_TRABAJO!$A$5:$A$112,0)),"")</f>
        <v/>
      </c>
      <c r="F92" s="5">
        <f>IFERROR(INDEX(2a_PRE_TRABAJO!E$5:E$112,MATCH($A92,2a_PRE_TRABAJO!$A$5:$A$112,0)),"")</f>
        <v/>
      </c>
      <c r="G92" s="5">
        <f>IFERROR(INDEX(2a_PRE_TRABAJO!F$5:F$112,MATCH($A92,2a_PRE_TRABAJO!$A$5:$A$112,0)),"")</f>
        <v/>
      </c>
      <c r="H92" s="5">
        <f>IFERROR(INDEX(2a_PRE_TRABAJO!G$5:G$112,MATCH($A92,2a_PRE_TRABAJO!$A$5:$A$112,0)),"")</f>
        <v/>
      </c>
      <c r="I92" s="5">
        <f>IFERROR(INDEX(2b_POST_TRABAJO!C$5:C$109,MATCH($A92,2b_POST_TRABAJO!$A$5:$A$109,0)),"")</f>
        <v/>
      </c>
      <c r="J92" s="5">
        <f>IFERROR(INDEX(2a_PRE_TRABAJO!AD$5:AD$112,MATCH($A92,2a_PRE_TRABAJO!$A$5:$A$112,0)),"")</f>
        <v/>
      </c>
      <c r="K92" s="5">
        <f>IFERROR(INDEX(2a_PRE_TRABAJO!AE$5:AE$112,MATCH($A92,2a_PRE_TRABAJO!$A$5:$A$112,0)),"")</f>
        <v/>
      </c>
      <c r="L92" s="5">
        <f>IFERROR(INDEX(2a_PRE_TRABAJO!AF$5:AF$112,MATCH($A92,2a_PRE_TRABAJO!$A$5:$A$112,0)),"")</f>
        <v/>
      </c>
      <c r="M92" s="5">
        <f>IFERROR(INDEX(2a_PRE_TRABAJO!AG$5:AG$112,MATCH($A92,2a_PRE_TRABAJO!$A$5:$A$112,0)),"")</f>
        <v/>
      </c>
      <c r="N92" s="5">
        <f>IFERROR(INDEX(2b_POST_TRABAJO!D$5:D$109,MATCH($A92,2b_POST_TRABAJO!$A$5:$A$109,0)),"")</f>
        <v/>
      </c>
      <c r="O92" s="5">
        <f>IF(OR(N92="",J92=""),"",N92-J92)</f>
        <v/>
      </c>
      <c r="P92" s="5">
        <f>IFERROR(INDEX(2a_PRE_TRABAJO!H$5:H$112,MATCH($A92,2a_PRE_TRABAJO!$A$5:$A$112,0)),"")</f>
        <v/>
      </c>
      <c r="Q92" s="5">
        <f>IFERROR(INDEX(2a_PRE_TRABAJO!I$5:I$112,MATCH($A92,2a_PRE_TRABAJO!$A$5:$A$112,0)),"")</f>
        <v/>
      </c>
      <c r="R92" s="5">
        <f>IFERROR(INDEX(2a_PRE_TRABAJO!J$5:J$112,MATCH($A92,2a_PRE_TRABAJO!$A$5:$A$112,0)),"")</f>
        <v/>
      </c>
      <c r="S92" s="5">
        <f>IFERROR(INDEX(2a_PRE_TRABAJO!K$5:K$112,MATCH($A92,2a_PRE_TRABAJO!$A$5:$A$112,0)),"")</f>
        <v/>
      </c>
      <c r="T92" s="5">
        <f>IFERROR(INDEX(2a_PRE_TRABAJO!L$5:L$112,MATCH($A92,2a_PRE_TRABAJO!$A$5:$A$112,0)),"")</f>
        <v/>
      </c>
      <c r="U92" s="5">
        <f>IFERROR(INDEX(2a_PRE_TRABAJO!M$5:M$112,MATCH($A92,2a_PRE_TRABAJO!$A$5:$A$112,0)),"")</f>
        <v/>
      </c>
      <c r="V92" s="5">
        <f>IFERROR(INDEX(2a_PRE_TRABAJO!N$5:N$112,MATCH($A92,2a_PRE_TRABAJO!$A$5:$A$112,0)),"")</f>
        <v/>
      </c>
      <c r="W92" s="5">
        <f>IFERROR(INDEX(2a_PRE_TRABAJO!O$5:O$112,MATCH($A92,2a_PRE_TRABAJO!$A$5:$A$112,0)),"")</f>
        <v/>
      </c>
      <c r="X92" s="5">
        <f>IFERROR(INDEX(2a_PRE_TRABAJO!P$5:P$112,MATCH($A92,2a_PRE_TRABAJO!$A$5:$A$112,0)),"")</f>
        <v/>
      </c>
      <c r="Y92" s="5">
        <f>IFERROR(INDEX(2a_PRE_TRABAJO!Q$5:Q$112,MATCH($A92,2a_PRE_TRABAJO!$A$5:$A$112,0)),"")</f>
        <v/>
      </c>
      <c r="Z92" s="5">
        <f>IFERROR(INDEX(2a_PRE_TRABAJO!R$5:R$112,MATCH($A92,2a_PRE_TRABAJO!$A$5:$A$112,0)),"")</f>
        <v/>
      </c>
      <c r="AA92" s="5">
        <f>IFERROR(INDEX(2a_PRE_TRABAJO!S$5:S$112,MATCH($A92,2a_PRE_TRABAJO!$A$5:$A$112,0)),"")</f>
        <v/>
      </c>
      <c r="AB92" s="5">
        <f>IFERROR(INDEX(2a_PRE_TRABAJO!T$5:T$112,MATCH($A92,2a_PRE_TRABAJO!$A$5:$A$112,0)),"")</f>
        <v/>
      </c>
      <c r="AC92" s="5">
        <f>IFERROR(INDEX(2a_PRE_TRABAJO!U$5:U$112,MATCH($A92,2a_PRE_TRABAJO!$A$5:$A$112,0)),"")</f>
        <v/>
      </c>
      <c r="AD92" s="5">
        <f>IFERROR(INDEX(2a_PRE_TRABAJO!V$5:V$112,MATCH($A92,2a_PRE_TRABAJO!$A$5:$A$112,0)),"")</f>
        <v/>
      </c>
      <c r="AE92" s="5">
        <f>IFERROR(INDEX(2a_PRE_TRABAJO!W$5:W$112,MATCH($A92,2a_PRE_TRABAJO!$A$5:$A$112,0)),"")</f>
        <v/>
      </c>
      <c r="AF92" s="5">
        <f>IFERROR(INDEX(2a_PRE_TRABAJO!X$5:X$112,MATCH($A92,2a_PRE_TRABAJO!$A$5:$A$112,0)),"")</f>
        <v/>
      </c>
      <c r="AG92" s="5">
        <f>IFERROR(INDEX(2a_PRE_TRABAJO!Y$5:Y$112,MATCH($A92,2a_PRE_TRABAJO!$A$5:$A$112,0)),"")</f>
        <v/>
      </c>
      <c r="AH92" s="5">
        <f>IFERROR(INDEX(2a_PRE_TRABAJO!Z$5:Z$112,MATCH($A92,2a_PRE_TRABAJO!$A$5:$A$112,0)),"")</f>
        <v/>
      </c>
      <c r="AI92" s="5">
        <f>IFERROR(INDEX(2a_PRE_TRABAJO!AA$5:AA$112,MATCH($A92,2a_PRE_TRABAJO!$A$5:$A$112,0)),"")</f>
        <v/>
      </c>
      <c r="AJ92" s="5">
        <f>IFERROR(INDEX(2a_PRE_TRABAJO!AB$5:AB$112,MATCH($A92,2a_PRE_TRABAJO!$A$5:$A$112,0)),"")</f>
        <v/>
      </c>
      <c r="AK92" s="5">
        <f>IFERROR(INDEX(2a_PRE_TRABAJO!AC$5:AC$112,MATCH($A92,2a_PRE_TRABAJO!$A$5:$A$112,0)),"")</f>
        <v/>
      </c>
    </row>
    <row r="93">
      <c r="A93" s="3" t="inlineStr">
        <is>
          <t>GU-TDH-102</t>
        </is>
      </c>
      <c r="B93" s="3" t="n">
        <v>1</v>
      </c>
      <c r="C93" s="5">
        <f>IFERROR(INDEX(2a_PRE_TRABAJO!B$5:B$112,MATCH($A93,2a_PRE_TRABAJO!$A$5:$A$112,0)),"")</f>
        <v/>
      </c>
      <c r="D93" s="5">
        <f>IFERROR(INDEX(2a_PRE_TRABAJO!C$5:C$112,MATCH($A93,2a_PRE_TRABAJO!$A$5:$A$112,0)),"")</f>
        <v/>
      </c>
      <c r="E93" s="5">
        <f>IFERROR(INDEX(2a_PRE_TRABAJO!D$5:D$112,MATCH($A93,2a_PRE_TRABAJO!$A$5:$A$112,0)),"")</f>
        <v/>
      </c>
      <c r="F93" s="5">
        <f>IFERROR(INDEX(2a_PRE_TRABAJO!E$5:E$112,MATCH($A93,2a_PRE_TRABAJO!$A$5:$A$112,0)),"")</f>
        <v/>
      </c>
      <c r="G93" s="5">
        <f>IFERROR(INDEX(2a_PRE_TRABAJO!F$5:F$112,MATCH($A93,2a_PRE_TRABAJO!$A$5:$A$112,0)),"")</f>
        <v/>
      </c>
      <c r="H93" s="5">
        <f>IFERROR(INDEX(2a_PRE_TRABAJO!G$5:G$112,MATCH($A93,2a_PRE_TRABAJO!$A$5:$A$112,0)),"")</f>
        <v/>
      </c>
      <c r="I93" s="5">
        <f>IFERROR(INDEX(2b_POST_TRABAJO!C$5:C$109,MATCH($A93,2b_POST_TRABAJO!$A$5:$A$109,0)),"")</f>
        <v/>
      </c>
      <c r="J93" s="5">
        <f>IFERROR(INDEX(2a_PRE_TRABAJO!AD$5:AD$112,MATCH($A93,2a_PRE_TRABAJO!$A$5:$A$112,0)),"")</f>
        <v/>
      </c>
      <c r="K93" s="5">
        <f>IFERROR(INDEX(2a_PRE_TRABAJO!AE$5:AE$112,MATCH($A93,2a_PRE_TRABAJO!$A$5:$A$112,0)),"")</f>
        <v/>
      </c>
      <c r="L93" s="5">
        <f>IFERROR(INDEX(2a_PRE_TRABAJO!AF$5:AF$112,MATCH($A93,2a_PRE_TRABAJO!$A$5:$A$112,0)),"")</f>
        <v/>
      </c>
      <c r="M93" s="5">
        <f>IFERROR(INDEX(2a_PRE_TRABAJO!AG$5:AG$112,MATCH($A93,2a_PRE_TRABAJO!$A$5:$A$112,0)),"")</f>
        <v/>
      </c>
      <c r="N93" s="5">
        <f>IFERROR(INDEX(2b_POST_TRABAJO!D$5:D$109,MATCH($A93,2b_POST_TRABAJO!$A$5:$A$109,0)),"")</f>
        <v/>
      </c>
      <c r="O93" s="5">
        <f>IF(OR(N93="",J93=""),"",N93-J93)</f>
        <v/>
      </c>
      <c r="P93" s="5">
        <f>IFERROR(INDEX(2a_PRE_TRABAJO!H$5:H$112,MATCH($A93,2a_PRE_TRABAJO!$A$5:$A$112,0)),"")</f>
        <v/>
      </c>
      <c r="Q93" s="5">
        <f>IFERROR(INDEX(2a_PRE_TRABAJO!I$5:I$112,MATCH($A93,2a_PRE_TRABAJO!$A$5:$A$112,0)),"")</f>
        <v/>
      </c>
      <c r="R93" s="5">
        <f>IFERROR(INDEX(2a_PRE_TRABAJO!J$5:J$112,MATCH($A93,2a_PRE_TRABAJO!$A$5:$A$112,0)),"")</f>
        <v/>
      </c>
      <c r="S93" s="5">
        <f>IFERROR(INDEX(2a_PRE_TRABAJO!K$5:K$112,MATCH($A93,2a_PRE_TRABAJO!$A$5:$A$112,0)),"")</f>
        <v/>
      </c>
      <c r="T93" s="5">
        <f>IFERROR(INDEX(2a_PRE_TRABAJO!L$5:L$112,MATCH($A93,2a_PRE_TRABAJO!$A$5:$A$112,0)),"")</f>
        <v/>
      </c>
      <c r="U93" s="5">
        <f>IFERROR(INDEX(2a_PRE_TRABAJO!M$5:M$112,MATCH($A93,2a_PRE_TRABAJO!$A$5:$A$112,0)),"")</f>
        <v/>
      </c>
      <c r="V93" s="5">
        <f>IFERROR(INDEX(2a_PRE_TRABAJO!N$5:N$112,MATCH($A93,2a_PRE_TRABAJO!$A$5:$A$112,0)),"")</f>
        <v/>
      </c>
      <c r="W93" s="5">
        <f>IFERROR(INDEX(2a_PRE_TRABAJO!O$5:O$112,MATCH($A93,2a_PRE_TRABAJO!$A$5:$A$112,0)),"")</f>
        <v/>
      </c>
      <c r="X93" s="5">
        <f>IFERROR(INDEX(2a_PRE_TRABAJO!P$5:P$112,MATCH($A93,2a_PRE_TRABAJO!$A$5:$A$112,0)),"")</f>
        <v/>
      </c>
      <c r="Y93" s="5">
        <f>IFERROR(INDEX(2a_PRE_TRABAJO!Q$5:Q$112,MATCH($A93,2a_PRE_TRABAJO!$A$5:$A$112,0)),"")</f>
        <v/>
      </c>
      <c r="Z93" s="5">
        <f>IFERROR(INDEX(2a_PRE_TRABAJO!R$5:R$112,MATCH($A93,2a_PRE_TRABAJO!$A$5:$A$112,0)),"")</f>
        <v/>
      </c>
      <c r="AA93" s="5">
        <f>IFERROR(INDEX(2a_PRE_TRABAJO!S$5:S$112,MATCH($A93,2a_PRE_TRABAJO!$A$5:$A$112,0)),"")</f>
        <v/>
      </c>
      <c r="AB93" s="5">
        <f>IFERROR(INDEX(2a_PRE_TRABAJO!T$5:T$112,MATCH($A93,2a_PRE_TRABAJO!$A$5:$A$112,0)),"")</f>
        <v/>
      </c>
      <c r="AC93" s="5">
        <f>IFERROR(INDEX(2a_PRE_TRABAJO!U$5:U$112,MATCH($A93,2a_PRE_TRABAJO!$A$5:$A$112,0)),"")</f>
        <v/>
      </c>
      <c r="AD93" s="5">
        <f>IFERROR(INDEX(2a_PRE_TRABAJO!V$5:V$112,MATCH($A93,2a_PRE_TRABAJO!$A$5:$A$112,0)),"")</f>
        <v/>
      </c>
      <c r="AE93" s="5">
        <f>IFERROR(INDEX(2a_PRE_TRABAJO!W$5:W$112,MATCH($A93,2a_PRE_TRABAJO!$A$5:$A$112,0)),"")</f>
        <v/>
      </c>
      <c r="AF93" s="5">
        <f>IFERROR(INDEX(2a_PRE_TRABAJO!X$5:X$112,MATCH($A93,2a_PRE_TRABAJO!$A$5:$A$112,0)),"")</f>
        <v/>
      </c>
      <c r="AG93" s="5">
        <f>IFERROR(INDEX(2a_PRE_TRABAJO!Y$5:Y$112,MATCH($A93,2a_PRE_TRABAJO!$A$5:$A$112,0)),"")</f>
        <v/>
      </c>
      <c r="AH93" s="5">
        <f>IFERROR(INDEX(2a_PRE_TRABAJO!Z$5:Z$112,MATCH($A93,2a_PRE_TRABAJO!$A$5:$A$112,0)),"")</f>
        <v/>
      </c>
      <c r="AI93" s="5">
        <f>IFERROR(INDEX(2a_PRE_TRABAJO!AA$5:AA$112,MATCH($A93,2a_PRE_TRABAJO!$A$5:$A$112,0)),"")</f>
        <v/>
      </c>
      <c r="AJ93" s="5">
        <f>IFERROR(INDEX(2a_PRE_TRABAJO!AB$5:AB$112,MATCH($A93,2a_PRE_TRABAJO!$A$5:$A$112,0)),"")</f>
        <v/>
      </c>
      <c r="AK93" s="5">
        <f>IFERROR(INDEX(2a_PRE_TRABAJO!AC$5:AC$112,MATCH($A93,2a_PRE_TRABAJO!$A$5:$A$112,0)),"")</f>
        <v/>
      </c>
    </row>
    <row r="94">
      <c r="A94" s="3" t="inlineStr">
        <is>
          <t>GU-TDH-103</t>
        </is>
      </c>
      <c r="B94" s="3" t="n">
        <v>1</v>
      </c>
      <c r="C94" s="5">
        <f>IFERROR(INDEX(2a_PRE_TRABAJO!B$5:B$112,MATCH($A94,2a_PRE_TRABAJO!$A$5:$A$112,0)),"")</f>
        <v/>
      </c>
      <c r="D94" s="5">
        <f>IFERROR(INDEX(2a_PRE_TRABAJO!C$5:C$112,MATCH($A94,2a_PRE_TRABAJO!$A$5:$A$112,0)),"")</f>
        <v/>
      </c>
      <c r="E94" s="5">
        <f>IFERROR(INDEX(2a_PRE_TRABAJO!D$5:D$112,MATCH($A94,2a_PRE_TRABAJO!$A$5:$A$112,0)),"")</f>
        <v/>
      </c>
      <c r="F94" s="5">
        <f>IFERROR(INDEX(2a_PRE_TRABAJO!E$5:E$112,MATCH($A94,2a_PRE_TRABAJO!$A$5:$A$112,0)),"")</f>
        <v/>
      </c>
      <c r="G94" s="5">
        <f>IFERROR(INDEX(2a_PRE_TRABAJO!F$5:F$112,MATCH($A94,2a_PRE_TRABAJO!$A$5:$A$112,0)),"")</f>
        <v/>
      </c>
      <c r="H94" s="5">
        <f>IFERROR(INDEX(2a_PRE_TRABAJO!G$5:G$112,MATCH($A94,2a_PRE_TRABAJO!$A$5:$A$112,0)),"")</f>
        <v/>
      </c>
      <c r="I94" s="5">
        <f>IFERROR(INDEX(2b_POST_TRABAJO!C$5:C$109,MATCH($A94,2b_POST_TRABAJO!$A$5:$A$109,0)),"")</f>
        <v/>
      </c>
      <c r="J94" s="5">
        <f>IFERROR(INDEX(2a_PRE_TRABAJO!AD$5:AD$112,MATCH($A94,2a_PRE_TRABAJO!$A$5:$A$112,0)),"")</f>
        <v/>
      </c>
      <c r="K94" s="5">
        <f>IFERROR(INDEX(2a_PRE_TRABAJO!AE$5:AE$112,MATCH($A94,2a_PRE_TRABAJO!$A$5:$A$112,0)),"")</f>
        <v/>
      </c>
      <c r="L94" s="5">
        <f>IFERROR(INDEX(2a_PRE_TRABAJO!AF$5:AF$112,MATCH($A94,2a_PRE_TRABAJO!$A$5:$A$112,0)),"")</f>
        <v/>
      </c>
      <c r="M94" s="5">
        <f>IFERROR(INDEX(2a_PRE_TRABAJO!AG$5:AG$112,MATCH($A94,2a_PRE_TRABAJO!$A$5:$A$112,0)),"")</f>
        <v/>
      </c>
      <c r="N94" s="5">
        <f>IFERROR(INDEX(2b_POST_TRABAJO!D$5:D$109,MATCH($A94,2b_POST_TRABAJO!$A$5:$A$109,0)),"")</f>
        <v/>
      </c>
      <c r="O94" s="5">
        <f>IF(OR(N94="",J94=""),"",N94-J94)</f>
        <v/>
      </c>
      <c r="P94" s="5">
        <f>IFERROR(INDEX(2a_PRE_TRABAJO!H$5:H$112,MATCH($A94,2a_PRE_TRABAJO!$A$5:$A$112,0)),"")</f>
        <v/>
      </c>
      <c r="Q94" s="5">
        <f>IFERROR(INDEX(2a_PRE_TRABAJO!I$5:I$112,MATCH($A94,2a_PRE_TRABAJO!$A$5:$A$112,0)),"")</f>
        <v/>
      </c>
      <c r="R94" s="5">
        <f>IFERROR(INDEX(2a_PRE_TRABAJO!J$5:J$112,MATCH($A94,2a_PRE_TRABAJO!$A$5:$A$112,0)),"")</f>
        <v/>
      </c>
      <c r="S94" s="5">
        <f>IFERROR(INDEX(2a_PRE_TRABAJO!K$5:K$112,MATCH($A94,2a_PRE_TRABAJO!$A$5:$A$112,0)),"")</f>
        <v/>
      </c>
      <c r="T94" s="5">
        <f>IFERROR(INDEX(2a_PRE_TRABAJO!L$5:L$112,MATCH($A94,2a_PRE_TRABAJO!$A$5:$A$112,0)),"")</f>
        <v/>
      </c>
      <c r="U94" s="5">
        <f>IFERROR(INDEX(2a_PRE_TRABAJO!M$5:M$112,MATCH($A94,2a_PRE_TRABAJO!$A$5:$A$112,0)),"")</f>
        <v/>
      </c>
      <c r="V94" s="5">
        <f>IFERROR(INDEX(2a_PRE_TRABAJO!N$5:N$112,MATCH($A94,2a_PRE_TRABAJO!$A$5:$A$112,0)),"")</f>
        <v/>
      </c>
      <c r="W94" s="5">
        <f>IFERROR(INDEX(2a_PRE_TRABAJO!O$5:O$112,MATCH($A94,2a_PRE_TRABAJO!$A$5:$A$112,0)),"")</f>
        <v/>
      </c>
      <c r="X94" s="5">
        <f>IFERROR(INDEX(2a_PRE_TRABAJO!P$5:P$112,MATCH($A94,2a_PRE_TRABAJO!$A$5:$A$112,0)),"")</f>
        <v/>
      </c>
      <c r="Y94" s="5">
        <f>IFERROR(INDEX(2a_PRE_TRABAJO!Q$5:Q$112,MATCH($A94,2a_PRE_TRABAJO!$A$5:$A$112,0)),"")</f>
        <v/>
      </c>
      <c r="Z94" s="5">
        <f>IFERROR(INDEX(2a_PRE_TRABAJO!R$5:R$112,MATCH($A94,2a_PRE_TRABAJO!$A$5:$A$112,0)),"")</f>
        <v/>
      </c>
      <c r="AA94" s="5">
        <f>IFERROR(INDEX(2a_PRE_TRABAJO!S$5:S$112,MATCH($A94,2a_PRE_TRABAJO!$A$5:$A$112,0)),"")</f>
        <v/>
      </c>
      <c r="AB94" s="5">
        <f>IFERROR(INDEX(2a_PRE_TRABAJO!T$5:T$112,MATCH($A94,2a_PRE_TRABAJO!$A$5:$A$112,0)),"")</f>
        <v/>
      </c>
      <c r="AC94" s="5">
        <f>IFERROR(INDEX(2a_PRE_TRABAJO!U$5:U$112,MATCH($A94,2a_PRE_TRABAJO!$A$5:$A$112,0)),"")</f>
        <v/>
      </c>
      <c r="AD94" s="5">
        <f>IFERROR(INDEX(2a_PRE_TRABAJO!V$5:V$112,MATCH($A94,2a_PRE_TRABAJO!$A$5:$A$112,0)),"")</f>
        <v/>
      </c>
      <c r="AE94" s="5">
        <f>IFERROR(INDEX(2a_PRE_TRABAJO!W$5:W$112,MATCH($A94,2a_PRE_TRABAJO!$A$5:$A$112,0)),"")</f>
        <v/>
      </c>
      <c r="AF94" s="5">
        <f>IFERROR(INDEX(2a_PRE_TRABAJO!X$5:X$112,MATCH($A94,2a_PRE_TRABAJO!$A$5:$A$112,0)),"")</f>
        <v/>
      </c>
      <c r="AG94" s="5">
        <f>IFERROR(INDEX(2a_PRE_TRABAJO!Y$5:Y$112,MATCH($A94,2a_PRE_TRABAJO!$A$5:$A$112,0)),"")</f>
        <v/>
      </c>
      <c r="AH94" s="5">
        <f>IFERROR(INDEX(2a_PRE_TRABAJO!Z$5:Z$112,MATCH($A94,2a_PRE_TRABAJO!$A$5:$A$112,0)),"")</f>
        <v/>
      </c>
      <c r="AI94" s="5">
        <f>IFERROR(INDEX(2a_PRE_TRABAJO!AA$5:AA$112,MATCH($A94,2a_PRE_TRABAJO!$A$5:$A$112,0)),"")</f>
        <v/>
      </c>
      <c r="AJ94" s="5">
        <f>IFERROR(INDEX(2a_PRE_TRABAJO!AB$5:AB$112,MATCH($A94,2a_PRE_TRABAJO!$A$5:$A$112,0)),"")</f>
        <v/>
      </c>
      <c r="AK94" s="5">
        <f>IFERROR(INDEX(2a_PRE_TRABAJO!AC$5:AC$112,MATCH($A94,2a_PRE_TRABAJO!$A$5:$A$112,0)),"")</f>
        <v/>
      </c>
    </row>
    <row r="95">
      <c r="A95" s="3" t="inlineStr">
        <is>
          <t>GU-TDH-104</t>
        </is>
      </c>
      <c r="B95" s="3" t="n">
        <v>1</v>
      </c>
      <c r="C95" s="5">
        <f>IFERROR(INDEX(2a_PRE_TRABAJO!B$5:B$112,MATCH($A95,2a_PRE_TRABAJO!$A$5:$A$112,0)),"")</f>
        <v/>
      </c>
      <c r="D95" s="5">
        <f>IFERROR(INDEX(2a_PRE_TRABAJO!C$5:C$112,MATCH($A95,2a_PRE_TRABAJO!$A$5:$A$112,0)),"")</f>
        <v/>
      </c>
      <c r="E95" s="5">
        <f>IFERROR(INDEX(2a_PRE_TRABAJO!D$5:D$112,MATCH($A95,2a_PRE_TRABAJO!$A$5:$A$112,0)),"")</f>
        <v/>
      </c>
      <c r="F95" s="5">
        <f>IFERROR(INDEX(2a_PRE_TRABAJO!E$5:E$112,MATCH($A95,2a_PRE_TRABAJO!$A$5:$A$112,0)),"")</f>
        <v/>
      </c>
      <c r="G95" s="5">
        <f>IFERROR(INDEX(2a_PRE_TRABAJO!F$5:F$112,MATCH($A95,2a_PRE_TRABAJO!$A$5:$A$112,0)),"")</f>
        <v/>
      </c>
      <c r="H95" s="5">
        <f>IFERROR(INDEX(2a_PRE_TRABAJO!G$5:G$112,MATCH($A95,2a_PRE_TRABAJO!$A$5:$A$112,0)),"")</f>
        <v/>
      </c>
      <c r="I95" s="5">
        <f>IFERROR(INDEX(2b_POST_TRABAJO!C$5:C$109,MATCH($A95,2b_POST_TRABAJO!$A$5:$A$109,0)),"")</f>
        <v/>
      </c>
      <c r="J95" s="5">
        <f>IFERROR(INDEX(2a_PRE_TRABAJO!AD$5:AD$112,MATCH($A95,2a_PRE_TRABAJO!$A$5:$A$112,0)),"")</f>
        <v/>
      </c>
      <c r="K95" s="5">
        <f>IFERROR(INDEX(2a_PRE_TRABAJO!AE$5:AE$112,MATCH($A95,2a_PRE_TRABAJO!$A$5:$A$112,0)),"")</f>
        <v/>
      </c>
      <c r="L95" s="5">
        <f>IFERROR(INDEX(2a_PRE_TRABAJO!AF$5:AF$112,MATCH($A95,2a_PRE_TRABAJO!$A$5:$A$112,0)),"")</f>
        <v/>
      </c>
      <c r="M95" s="5">
        <f>IFERROR(INDEX(2a_PRE_TRABAJO!AG$5:AG$112,MATCH($A95,2a_PRE_TRABAJO!$A$5:$A$112,0)),"")</f>
        <v/>
      </c>
      <c r="N95" s="5">
        <f>IFERROR(INDEX(2b_POST_TRABAJO!D$5:D$109,MATCH($A95,2b_POST_TRABAJO!$A$5:$A$109,0)),"")</f>
        <v/>
      </c>
      <c r="O95" s="5">
        <f>IF(OR(N95="",J95=""),"",N95-J95)</f>
        <v/>
      </c>
      <c r="P95" s="5">
        <f>IFERROR(INDEX(2a_PRE_TRABAJO!H$5:H$112,MATCH($A95,2a_PRE_TRABAJO!$A$5:$A$112,0)),"")</f>
        <v/>
      </c>
      <c r="Q95" s="5">
        <f>IFERROR(INDEX(2a_PRE_TRABAJO!I$5:I$112,MATCH($A95,2a_PRE_TRABAJO!$A$5:$A$112,0)),"")</f>
        <v/>
      </c>
      <c r="R95" s="5">
        <f>IFERROR(INDEX(2a_PRE_TRABAJO!J$5:J$112,MATCH($A95,2a_PRE_TRABAJO!$A$5:$A$112,0)),"")</f>
        <v/>
      </c>
      <c r="S95" s="5">
        <f>IFERROR(INDEX(2a_PRE_TRABAJO!K$5:K$112,MATCH($A95,2a_PRE_TRABAJO!$A$5:$A$112,0)),"")</f>
        <v/>
      </c>
      <c r="T95" s="5">
        <f>IFERROR(INDEX(2a_PRE_TRABAJO!L$5:L$112,MATCH($A95,2a_PRE_TRABAJO!$A$5:$A$112,0)),"")</f>
        <v/>
      </c>
      <c r="U95" s="5">
        <f>IFERROR(INDEX(2a_PRE_TRABAJO!M$5:M$112,MATCH($A95,2a_PRE_TRABAJO!$A$5:$A$112,0)),"")</f>
        <v/>
      </c>
      <c r="V95" s="5">
        <f>IFERROR(INDEX(2a_PRE_TRABAJO!N$5:N$112,MATCH($A95,2a_PRE_TRABAJO!$A$5:$A$112,0)),"")</f>
        <v/>
      </c>
      <c r="W95" s="5">
        <f>IFERROR(INDEX(2a_PRE_TRABAJO!O$5:O$112,MATCH($A95,2a_PRE_TRABAJO!$A$5:$A$112,0)),"")</f>
        <v/>
      </c>
      <c r="X95" s="5">
        <f>IFERROR(INDEX(2a_PRE_TRABAJO!P$5:P$112,MATCH($A95,2a_PRE_TRABAJO!$A$5:$A$112,0)),"")</f>
        <v/>
      </c>
      <c r="Y95" s="5">
        <f>IFERROR(INDEX(2a_PRE_TRABAJO!Q$5:Q$112,MATCH($A95,2a_PRE_TRABAJO!$A$5:$A$112,0)),"")</f>
        <v/>
      </c>
      <c r="Z95" s="5">
        <f>IFERROR(INDEX(2a_PRE_TRABAJO!R$5:R$112,MATCH($A95,2a_PRE_TRABAJO!$A$5:$A$112,0)),"")</f>
        <v/>
      </c>
      <c r="AA95" s="5">
        <f>IFERROR(INDEX(2a_PRE_TRABAJO!S$5:S$112,MATCH($A95,2a_PRE_TRABAJO!$A$5:$A$112,0)),"")</f>
        <v/>
      </c>
      <c r="AB95" s="5">
        <f>IFERROR(INDEX(2a_PRE_TRABAJO!T$5:T$112,MATCH($A95,2a_PRE_TRABAJO!$A$5:$A$112,0)),"")</f>
        <v/>
      </c>
      <c r="AC95" s="5">
        <f>IFERROR(INDEX(2a_PRE_TRABAJO!U$5:U$112,MATCH($A95,2a_PRE_TRABAJO!$A$5:$A$112,0)),"")</f>
        <v/>
      </c>
      <c r="AD95" s="5">
        <f>IFERROR(INDEX(2a_PRE_TRABAJO!V$5:V$112,MATCH($A95,2a_PRE_TRABAJO!$A$5:$A$112,0)),"")</f>
        <v/>
      </c>
      <c r="AE95" s="5">
        <f>IFERROR(INDEX(2a_PRE_TRABAJO!W$5:W$112,MATCH($A95,2a_PRE_TRABAJO!$A$5:$A$112,0)),"")</f>
        <v/>
      </c>
      <c r="AF95" s="5">
        <f>IFERROR(INDEX(2a_PRE_TRABAJO!X$5:X$112,MATCH($A95,2a_PRE_TRABAJO!$A$5:$A$112,0)),"")</f>
        <v/>
      </c>
      <c r="AG95" s="5">
        <f>IFERROR(INDEX(2a_PRE_TRABAJO!Y$5:Y$112,MATCH($A95,2a_PRE_TRABAJO!$A$5:$A$112,0)),"")</f>
        <v/>
      </c>
      <c r="AH95" s="5">
        <f>IFERROR(INDEX(2a_PRE_TRABAJO!Z$5:Z$112,MATCH($A95,2a_PRE_TRABAJO!$A$5:$A$112,0)),"")</f>
        <v/>
      </c>
      <c r="AI95" s="5">
        <f>IFERROR(INDEX(2a_PRE_TRABAJO!AA$5:AA$112,MATCH($A95,2a_PRE_TRABAJO!$A$5:$A$112,0)),"")</f>
        <v/>
      </c>
      <c r="AJ95" s="5">
        <f>IFERROR(INDEX(2a_PRE_TRABAJO!AB$5:AB$112,MATCH($A95,2a_PRE_TRABAJO!$A$5:$A$112,0)),"")</f>
        <v/>
      </c>
      <c r="AK95" s="5">
        <f>IFERROR(INDEX(2a_PRE_TRABAJO!AC$5:AC$112,MATCH($A95,2a_PRE_TRABAJO!$A$5:$A$112,0)),"")</f>
        <v/>
      </c>
    </row>
    <row r="96">
      <c r="A96" s="3" t="inlineStr">
        <is>
          <t>GU-TDH-106</t>
        </is>
      </c>
      <c r="B96" s="3" t="n">
        <v>1</v>
      </c>
      <c r="C96" s="5">
        <f>IFERROR(INDEX(2a_PRE_TRABAJO!B$5:B$112,MATCH($A96,2a_PRE_TRABAJO!$A$5:$A$112,0)),"")</f>
        <v/>
      </c>
      <c r="D96" s="5">
        <f>IFERROR(INDEX(2a_PRE_TRABAJO!C$5:C$112,MATCH($A96,2a_PRE_TRABAJO!$A$5:$A$112,0)),"")</f>
        <v/>
      </c>
      <c r="E96" s="5">
        <f>IFERROR(INDEX(2a_PRE_TRABAJO!D$5:D$112,MATCH($A96,2a_PRE_TRABAJO!$A$5:$A$112,0)),"")</f>
        <v/>
      </c>
      <c r="F96" s="5">
        <f>IFERROR(INDEX(2a_PRE_TRABAJO!E$5:E$112,MATCH($A96,2a_PRE_TRABAJO!$A$5:$A$112,0)),"")</f>
        <v/>
      </c>
      <c r="G96" s="5">
        <f>IFERROR(INDEX(2a_PRE_TRABAJO!F$5:F$112,MATCH($A96,2a_PRE_TRABAJO!$A$5:$A$112,0)),"")</f>
        <v/>
      </c>
      <c r="H96" s="5">
        <f>IFERROR(INDEX(2a_PRE_TRABAJO!G$5:G$112,MATCH($A96,2a_PRE_TRABAJO!$A$5:$A$112,0)),"")</f>
        <v/>
      </c>
      <c r="I96" s="5">
        <f>IFERROR(INDEX(2b_POST_TRABAJO!C$5:C$109,MATCH($A96,2b_POST_TRABAJO!$A$5:$A$109,0)),"")</f>
        <v/>
      </c>
      <c r="J96" s="5">
        <f>IFERROR(INDEX(2a_PRE_TRABAJO!AD$5:AD$112,MATCH($A96,2a_PRE_TRABAJO!$A$5:$A$112,0)),"")</f>
        <v/>
      </c>
      <c r="K96" s="5">
        <f>IFERROR(INDEX(2a_PRE_TRABAJO!AE$5:AE$112,MATCH($A96,2a_PRE_TRABAJO!$A$5:$A$112,0)),"")</f>
        <v/>
      </c>
      <c r="L96" s="5">
        <f>IFERROR(INDEX(2a_PRE_TRABAJO!AF$5:AF$112,MATCH($A96,2a_PRE_TRABAJO!$A$5:$A$112,0)),"")</f>
        <v/>
      </c>
      <c r="M96" s="5">
        <f>IFERROR(INDEX(2a_PRE_TRABAJO!AG$5:AG$112,MATCH($A96,2a_PRE_TRABAJO!$A$5:$A$112,0)),"")</f>
        <v/>
      </c>
      <c r="N96" s="5">
        <f>IFERROR(INDEX(2b_POST_TRABAJO!D$5:D$109,MATCH($A96,2b_POST_TRABAJO!$A$5:$A$109,0)),"")</f>
        <v/>
      </c>
      <c r="O96" s="5">
        <f>IF(OR(N96="",J96=""),"",N96-J96)</f>
        <v/>
      </c>
      <c r="P96" s="5">
        <f>IFERROR(INDEX(2a_PRE_TRABAJO!H$5:H$112,MATCH($A96,2a_PRE_TRABAJO!$A$5:$A$112,0)),"")</f>
        <v/>
      </c>
      <c r="Q96" s="5">
        <f>IFERROR(INDEX(2a_PRE_TRABAJO!I$5:I$112,MATCH($A96,2a_PRE_TRABAJO!$A$5:$A$112,0)),"")</f>
        <v/>
      </c>
      <c r="R96" s="5">
        <f>IFERROR(INDEX(2a_PRE_TRABAJO!J$5:J$112,MATCH($A96,2a_PRE_TRABAJO!$A$5:$A$112,0)),"")</f>
        <v/>
      </c>
      <c r="S96" s="5">
        <f>IFERROR(INDEX(2a_PRE_TRABAJO!K$5:K$112,MATCH($A96,2a_PRE_TRABAJO!$A$5:$A$112,0)),"")</f>
        <v/>
      </c>
      <c r="T96" s="5">
        <f>IFERROR(INDEX(2a_PRE_TRABAJO!L$5:L$112,MATCH($A96,2a_PRE_TRABAJO!$A$5:$A$112,0)),"")</f>
        <v/>
      </c>
      <c r="U96" s="5">
        <f>IFERROR(INDEX(2a_PRE_TRABAJO!M$5:M$112,MATCH($A96,2a_PRE_TRABAJO!$A$5:$A$112,0)),"")</f>
        <v/>
      </c>
      <c r="V96" s="5">
        <f>IFERROR(INDEX(2a_PRE_TRABAJO!N$5:N$112,MATCH($A96,2a_PRE_TRABAJO!$A$5:$A$112,0)),"")</f>
        <v/>
      </c>
      <c r="W96" s="5">
        <f>IFERROR(INDEX(2a_PRE_TRABAJO!O$5:O$112,MATCH($A96,2a_PRE_TRABAJO!$A$5:$A$112,0)),"")</f>
        <v/>
      </c>
      <c r="X96" s="5">
        <f>IFERROR(INDEX(2a_PRE_TRABAJO!P$5:P$112,MATCH($A96,2a_PRE_TRABAJO!$A$5:$A$112,0)),"")</f>
        <v/>
      </c>
      <c r="Y96" s="5">
        <f>IFERROR(INDEX(2a_PRE_TRABAJO!Q$5:Q$112,MATCH($A96,2a_PRE_TRABAJO!$A$5:$A$112,0)),"")</f>
        <v/>
      </c>
      <c r="Z96" s="5">
        <f>IFERROR(INDEX(2a_PRE_TRABAJO!R$5:R$112,MATCH($A96,2a_PRE_TRABAJO!$A$5:$A$112,0)),"")</f>
        <v/>
      </c>
      <c r="AA96" s="5">
        <f>IFERROR(INDEX(2a_PRE_TRABAJO!S$5:S$112,MATCH($A96,2a_PRE_TRABAJO!$A$5:$A$112,0)),"")</f>
        <v/>
      </c>
      <c r="AB96" s="5">
        <f>IFERROR(INDEX(2a_PRE_TRABAJO!T$5:T$112,MATCH($A96,2a_PRE_TRABAJO!$A$5:$A$112,0)),"")</f>
        <v/>
      </c>
      <c r="AC96" s="5">
        <f>IFERROR(INDEX(2a_PRE_TRABAJO!U$5:U$112,MATCH($A96,2a_PRE_TRABAJO!$A$5:$A$112,0)),"")</f>
        <v/>
      </c>
      <c r="AD96" s="5">
        <f>IFERROR(INDEX(2a_PRE_TRABAJO!V$5:V$112,MATCH($A96,2a_PRE_TRABAJO!$A$5:$A$112,0)),"")</f>
        <v/>
      </c>
      <c r="AE96" s="5">
        <f>IFERROR(INDEX(2a_PRE_TRABAJO!W$5:W$112,MATCH($A96,2a_PRE_TRABAJO!$A$5:$A$112,0)),"")</f>
        <v/>
      </c>
      <c r="AF96" s="5">
        <f>IFERROR(INDEX(2a_PRE_TRABAJO!X$5:X$112,MATCH($A96,2a_PRE_TRABAJO!$A$5:$A$112,0)),"")</f>
        <v/>
      </c>
      <c r="AG96" s="5">
        <f>IFERROR(INDEX(2a_PRE_TRABAJO!Y$5:Y$112,MATCH($A96,2a_PRE_TRABAJO!$A$5:$A$112,0)),"")</f>
        <v/>
      </c>
      <c r="AH96" s="5">
        <f>IFERROR(INDEX(2a_PRE_TRABAJO!Z$5:Z$112,MATCH($A96,2a_PRE_TRABAJO!$A$5:$A$112,0)),"")</f>
        <v/>
      </c>
      <c r="AI96" s="5">
        <f>IFERROR(INDEX(2a_PRE_TRABAJO!AA$5:AA$112,MATCH($A96,2a_PRE_TRABAJO!$A$5:$A$112,0)),"")</f>
        <v/>
      </c>
      <c r="AJ96" s="5">
        <f>IFERROR(INDEX(2a_PRE_TRABAJO!AB$5:AB$112,MATCH($A96,2a_PRE_TRABAJO!$A$5:$A$112,0)),"")</f>
        <v/>
      </c>
      <c r="AK96" s="5">
        <f>IFERROR(INDEX(2a_PRE_TRABAJO!AC$5:AC$112,MATCH($A96,2a_PRE_TRABAJO!$A$5:$A$112,0)),"")</f>
        <v/>
      </c>
    </row>
    <row r="97">
      <c r="A97" s="3" t="inlineStr">
        <is>
          <t>GU-TDH-108</t>
        </is>
      </c>
      <c r="B97" s="3" t="n">
        <v>1</v>
      </c>
      <c r="C97" s="5">
        <f>IFERROR(INDEX(2a_PRE_TRABAJO!B$5:B$112,MATCH($A97,2a_PRE_TRABAJO!$A$5:$A$112,0)),"")</f>
        <v/>
      </c>
      <c r="D97" s="5">
        <f>IFERROR(INDEX(2a_PRE_TRABAJO!C$5:C$112,MATCH($A97,2a_PRE_TRABAJO!$A$5:$A$112,0)),"")</f>
        <v/>
      </c>
      <c r="E97" s="5">
        <f>IFERROR(INDEX(2a_PRE_TRABAJO!D$5:D$112,MATCH($A97,2a_PRE_TRABAJO!$A$5:$A$112,0)),"")</f>
        <v/>
      </c>
      <c r="F97" s="5">
        <f>IFERROR(INDEX(2a_PRE_TRABAJO!E$5:E$112,MATCH($A97,2a_PRE_TRABAJO!$A$5:$A$112,0)),"")</f>
        <v/>
      </c>
      <c r="G97" s="5">
        <f>IFERROR(INDEX(2a_PRE_TRABAJO!F$5:F$112,MATCH($A97,2a_PRE_TRABAJO!$A$5:$A$112,0)),"")</f>
        <v/>
      </c>
      <c r="H97" s="5">
        <f>IFERROR(INDEX(2a_PRE_TRABAJO!G$5:G$112,MATCH($A97,2a_PRE_TRABAJO!$A$5:$A$112,0)),"")</f>
        <v/>
      </c>
      <c r="I97" s="5">
        <f>IFERROR(INDEX(2b_POST_TRABAJO!C$5:C$109,MATCH($A97,2b_POST_TRABAJO!$A$5:$A$109,0)),"")</f>
        <v/>
      </c>
      <c r="J97" s="5">
        <f>IFERROR(INDEX(2a_PRE_TRABAJO!AD$5:AD$112,MATCH($A97,2a_PRE_TRABAJO!$A$5:$A$112,0)),"")</f>
        <v/>
      </c>
      <c r="K97" s="5">
        <f>IFERROR(INDEX(2a_PRE_TRABAJO!AE$5:AE$112,MATCH($A97,2a_PRE_TRABAJO!$A$5:$A$112,0)),"")</f>
        <v/>
      </c>
      <c r="L97" s="5">
        <f>IFERROR(INDEX(2a_PRE_TRABAJO!AF$5:AF$112,MATCH($A97,2a_PRE_TRABAJO!$A$5:$A$112,0)),"")</f>
        <v/>
      </c>
      <c r="M97" s="5">
        <f>IFERROR(INDEX(2a_PRE_TRABAJO!AG$5:AG$112,MATCH($A97,2a_PRE_TRABAJO!$A$5:$A$112,0)),"")</f>
        <v/>
      </c>
      <c r="N97" s="5">
        <f>IFERROR(INDEX(2b_POST_TRABAJO!D$5:D$109,MATCH($A97,2b_POST_TRABAJO!$A$5:$A$109,0)),"")</f>
        <v/>
      </c>
      <c r="O97" s="5">
        <f>IF(OR(N97="",J97=""),"",N97-J97)</f>
        <v/>
      </c>
      <c r="P97" s="5">
        <f>IFERROR(INDEX(2a_PRE_TRABAJO!H$5:H$112,MATCH($A97,2a_PRE_TRABAJO!$A$5:$A$112,0)),"")</f>
        <v/>
      </c>
      <c r="Q97" s="5">
        <f>IFERROR(INDEX(2a_PRE_TRABAJO!I$5:I$112,MATCH($A97,2a_PRE_TRABAJO!$A$5:$A$112,0)),"")</f>
        <v/>
      </c>
      <c r="R97" s="5">
        <f>IFERROR(INDEX(2a_PRE_TRABAJO!J$5:J$112,MATCH($A97,2a_PRE_TRABAJO!$A$5:$A$112,0)),"")</f>
        <v/>
      </c>
      <c r="S97" s="5">
        <f>IFERROR(INDEX(2a_PRE_TRABAJO!K$5:K$112,MATCH($A97,2a_PRE_TRABAJO!$A$5:$A$112,0)),"")</f>
        <v/>
      </c>
      <c r="T97" s="5">
        <f>IFERROR(INDEX(2a_PRE_TRABAJO!L$5:L$112,MATCH($A97,2a_PRE_TRABAJO!$A$5:$A$112,0)),"")</f>
        <v/>
      </c>
      <c r="U97" s="5">
        <f>IFERROR(INDEX(2a_PRE_TRABAJO!M$5:M$112,MATCH($A97,2a_PRE_TRABAJO!$A$5:$A$112,0)),"")</f>
        <v/>
      </c>
      <c r="V97" s="5">
        <f>IFERROR(INDEX(2a_PRE_TRABAJO!N$5:N$112,MATCH($A97,2a_PRE_TRABAJO!$A$5:$A$112,0)),"")</f>
        <v/>
      </c>
      <c r="W97" s="5">
        <f>IFERROR(INDEX(2a_PRE_TRABAJO!O$5:O$112,MATCH($A97,2a_PRE_TRABAJO!$A$5:$A$112,0)),"")</f>
        <v/>
      </c>
      <c r="X97" s="5">
        <f>IFERROR(INDEX(2a_PRE_TRABAJO!P$5:P$112,MATCH($A97,2a_PRE_TRABAJO!$A$5:$A$112,0)),"")</f>
        <v/>
      </c>
      <c r="Y97" s="5">
        <f>IFERROR(INDEX(2a_PRE_TRABAJO!Q$5:Q$112,MATCH($A97,2a_PRE_TRABAJO!$A$5:$A$112,0)),"")</f>
        <v/>
      </c>
      <c r="Z97" s="5">
        <f>IFERROR(INDEX(2a_PRE_TRABAJO!R$5:R$112,MATCH($A97,2a_PRE_TRABAJO!$A$5:$A$112,0)),"")</f>
        <v/>
      </c>
      <c r="AA97" s="5">
        <f>IFERROR(INDEX(2a_PRE_TRABAJO!S$5:S$112,MATCH($A97,2a_PRE_TRABAJO!$A$5:$A$112,0)),"")</f>
        <v/>
      </c>
      <c r="AB97" s="5">
        <f>IFERROR(INDEX(2a_PRE_TRABAJO!T$5:T$112,MATCH($A97,2a_PRE_TRABAJO!$A$5:$A$112,0)),"")</f>
        <v/>
      </c>
      <c r="AC97" s="5">
        <f>IFERROR(INDEX(2a_PRE_TRABAJO!U$5:U$112,MATCH($A97,2a_PRE_TRABAJO!$A$5:$A$112,0)),"")</f>
        <v/>
      </c>
      <c r="AD97" s="5">
        <f>IFERROR(INDEX(2a_PRE_TRABAJO!V$5:V$112,MATCH($A97,2a_PRE_TRABAJO!$A$5:$A$112,0)),"")</f>
        <v/>
      </c>
      <c r="AE97" s="5">
        <f>IFERROR(INDEX(2a_PRE_TRABAJO!W$5:W$112,MATCH($A97,2a_PRE_TRABAJO!$A$5:$A$112,0)),"")</f>
        <v/>
      </c>
      <c r="AF97" s="5">
        <f>IFERROR(INDEX(2a_PRE_TRABAJO!X$5:X$112,MATCH($A97,2a_PRE_TRABAJO!$A$5:$A$112,0)),"")</f>
        <v/>
      </c>
      <c r="AG97" s="5">
        <f>IFERROR(INDEX(2a_PRE_TRABAJO!Y$5:Y$112,MATCH($A97,2a_PRE_TRABAJO!$A$5:$A$112,0)),"")</f>
        <v/>
      </c>
      <c r="AH97" s="5">
        <f>IFERROR(INDEX(2a_PRE_TRABAJO!Z$5:Z$112,MATCH($A97,2a_PRE_TRABAJO!$A$5:$A$112,0)),"")</f>
        <v/>
      </c>
      <c r="AI97" s="5">
        <f>IFERROR(INDEX(2a_PRE_TRABAJO!AA$5:AA$112,MATCH($A97,2a_PRE_TRABAJO!$A$5:$A$112,0)),"")</f>
        <v/>
      </c>
      <c r="AJ97" s="5">
        <f>IFERROR(INDEX(2a_PRE_TRABAJO!AB$5:AB$112,MATCH($A97,2a_PRE_TRABAJO!$A$5:$A$112,0)),"")</f>
        <v/>
      </c>
      <c r="AK97" s="5">
        <f>IFERROR(INDEX(2a_PRE_TRABAJO!AC$5:AC$112,MATCH($A97,2a_PRE_TRABAJO!$A$5:$A$112,0)),"")</f>
        <v/>
      </c>
    </row>
    <row r="98">
      <c r="A98" s="3" t="inlineStr">
        <is>
          <t>GU-TDH-109</t>
        </is>
      </c>
      <c r="B98" s="3" t="n">
        <v>1</v>
      </c>
      <c r="C98" s="5">
        <f>IFERROR(INDEX(2a_PRE_TRABAJO!B$5:B$112,MATCH($A98,2a_PRE_TRABAJO!$A$5:$A$112,0)),"")</f>
        <v/>
      </c>
      <c r="D98" s="5">
        <f>IFERROR(INDEX(2a_PRE_TRABAJO!C$5:C$112,MATCH($A98,2a_PRE_TRABAJO!$A$5:$A$112,0)),"")</f>
        <v/>
      </c>
      <c r="E98" s="5">
        <f>IFERROR(INDEX(2a_PRE_TRABAJO!D$5:D$112,MATCH($A98,2a_PRE_TRABAJO!$A$5:$A$112,0)),"")</f>
        <v/>
      </c>
      <c r="F98" s="5">
        <f>IFERROR(INDEX(2a_PRE_TRABAJO!E$5:E$112,MATCH($A98,2a_PRE_TRABAJO!$A$5:$A$112,0)),"")</f>
        <v/>
      </c>
      <c r="G98" s="5">
        <f>IFERROR(INDEX(2a_PRE_TRABAJO!F$5:F$112,MATCH($A98,2a_PRE_TRABAJO!$A$5:$A$112,0)),"")</f>
        <v/>
      </c>
      <c r="H98" s="5">
        <f>IFERROR(INDEX(2a_PRE_TRABAJO!G$5:G$112,MATCH($A98,2a_PRE_TRABAJO!$A$5:$A$112,0)),"")</f>
        <v/>
      </c>
      <c r="I98" s="5">
        <f>IFERROR(INDEX(2b_POST_TRABAJO!C$5:C$109,MATCH($A98,2b_POST_TRABAJO!$A$5:$A$109,0)),"")</f>
        <v/>
      </c>
      <c r="J98" s="5">
        <f>IFERROR(INDEX(2a_PRE_TRABAJO!AD$5:AD$112,MATCH($A98,2a_PRE_TRABAJO!$A$5:$A$112,0)),"")</f>
        <v/>
      </c>
      <c r="K98" s="5">
        <f>IFERROR(INDEX(2a_PRE_TRABAJO!AE$5:AE$112,MATCH($A98,2a_PRE_TRABAJO!$A$5:$A$112,0)),"")</f>
        <v/>
      </c>
      <c r="L98" s="5">
        <f>IFERROR(INDEX(2a_PRE_TRABAJO!AF$5:AF$112,MATCH($A98,2a_PRE_TRABAJO!$A$5:$A$112,0)),"")</f>
        <v/>
      </c>
      <c r="M98" s="5">
        <f>IFERROR(INDEX(2a_PRE_TRABAJO!AG$5:AG$112,MATCH($A98,2a_PRE_TRABAJO!$A$5:$A$112,0)),"")</f>
        <v/>
      </c>
      <c r="N98" s="5">
        <f>IFERROR(INDEX(2b_POST_TRABAJO!D$5:D$109,MATCH($A98,2b_POST_TRABAJO!$A$5:$A$109,0)),"")</f>
        <v/>
      </c>
      <c r="O98" s="5">
        <f>IF(OR(N98="",J98=""),"",N98-J98)</f>
        <v/>
      </c>
      <c r="P98" s="5">
        <f>IFERROR(INDEX(2a_PRE_TRABAJO!H$5:H$112,MATCH($A98,2a_PRE_TRABAJO!$A$5:$A$112,0)),"")</f>
        <v/>
      </c>
      <c r="Q98" s="5">
        <f>IFERROR(INDEX(2a_PRE_TRABAJO!I$5:I$112,MATCH($A98,2a_PRE_TRABAJO!$A$5:$A$112,0)),"")</f>
        <v/>
      </c>
      <c r="R98" s="5">
        <f>IFERROR(INDEX(2a_PRE_TRABAJO!J$5:J$112,MATCH($A98,2a_PRE_TRABAJO!$A$5:$A$112,0)),"")</f>
        <v/>
      </c>
      <c r="S98" s="5">
        <f>IFERROR(INDEX(2a_PRE_TRABAJO!K$5:K$112,MATCH($A98,2a_PRE_TRABAJO!$A$5:$A$112,0)),"")</f>
        <v/>
      </c>
      <c r="T98" s="5">
        <f>IFERROR(INDEX(2a_PRE_TRABAJO!L$5:L$112,MATCH($A98,2a_PRE_TRABAJO!$A$5:$A$112,0)),"")</f>
        <v/>
      </c>
      <c r="U98" s="5">
        <f>IFERROR(INDEX(2a_PRE_TRABAJO!M$5:M$112,MATCH($A98,2a_PRE_TRABAJO!$A$5:$A$112,0)),"")</f>
        <v/>
      </c>
      <c r="V98" s="5">
        <f>IFERROR(INDEX(2a_PRE_TRABAJO!N$5:N$112,MATCH($A98,2a_PRE_TRABAJO!$A$5:$A$112,0)),"")</f>
        <v/>
      </c>
      <c r="W98" s="5">
        <f>IFERROR(INDEX(2a_PRE_TRABAJO!O$5:O$112,MATCH($A98,2a_PRE_TRABAJO!$A$5:$A$112,0)),"")</f>
        <v/>
      </c>
      <c r="X98" s="5">
        <f>IFERROR(INDEX(2a_PRE_TRABAJO!P$5:P$112,MATCH($A98,2a_PRE_TRABAJO!$A$5:$A$112,0)),"")</f>
        <v/>
      </c>
      <c r="Y98" s="5">
        <f>IFERROR(INDEX(2a_PRE_TRABAJO!Q$5:Q$112,MATCH($A98,2a_PRE_TRABAJO!$A$5:$A$112,0)),"")</f>
        <v/>
      </c>
      <c r="Z98" s="5">
        <f>IFERROR(INDEX(2a_PRE_TRABAJO!R$5:R$112,MATCH($A98,2a_PRE_TRABAJO!$A$5:$A$112,0)),"")</f>
        <v/>
      </c>
      <c r="AA98" s="5">
        <f>IFERROR(INDEX(2a_PRE_TRABAJO!S$5:S$112,MATCH($A98,2a_PRE_TRABAJO!$A$5:$A$112,0)),"")</f>
        <v/>
      </c>
      <c r="AB98" s="5">
        <f>IFERROR(INDEX(2a_PRE_TRABAJO!T$5:T$112,MATCH($A98,2a_PRE_TRABAJO!$A$5:$A$112,0)),"")</f>
        <v/>
      </c>
      <c r="AC98" s="5">
        <f>IFERROR(INDEX(2a_PRE_TRABAJO!U$5:U$112,MATCH($A98,2a_PRE_TRABAJO!$A$5:$A$112,0)),"")</f>
        <v/>
      </c>
      <c r="AD98" s="5">
        <f>IFERROR(INDEX(2a_PRE_TRABAJO!V$5:V$112,MATCH($A98,2a_PRE_TRABAJO!$A$5:$A$112,0)),"")</f>
        <v/>
      </c>
      <c r="AE98" s="5">
        <f>IFERROR(INDEX(2a_PRE_TRABAJO!W$5:W$112,MATCH($A98,2a_PRE_TRABAJO!$A$5:$A$112,0)),"")</f>
        <v/>
      </c>
      <c r="AF98" s="5">
        <f>IFERROR(INDEX(2a_PRE_TRABAJO!X$5:X$112,MATCH($A98,2a_PRE_TRABAJO!$A$5:$A$112,0)),"")</f>
        <v/>
      </c>
      <c r="AG98" s="5">
        <f>IFERROR(INDEX(2a_PRE_TRABAJO!Y$5:Y$112,MATCH($A98,2a_PRE_TRABAJO!$A$5:$A$112,0)),"")</f>
        <v/>
      </c>
      <c r="AH98" s="5">
        <f>IFERROR(INDEX(2a_PRE_TRABAJO!Z$5:Z$112,MATCH($A98,2a_PRE_TRABAJO!$A$5:$A$112,0)),"")</f>
        <v/>
      </c>
      <c r="AI98" s="5">
        <f>IFERROR(INDEX(2a_PRE_TRABAJO!AA$5:AA$112,MATCH($A98,2a_PRE_TRABAJO!$A$5:$A$112,0)),"")</f>
        <v/>
      </c>
      <c r="AJ98" s="5">
        <f>IFERROR(INDEX(2a_PRE_TRABAJO!AB$5:AB$112,MATCH($A98,2a_PRE_TRABAJO!$A$5:$A$112,0)),"")</f>
        <v/>
      </c>
      <c r="AK98" s="5">
        <f>IFERROR(INDEX(2a_PRE_TRABAJO!AC$5:AC$112,MATCH($A98,2a_PRE_TRABAJO!$A$5:$A$112,0)),"")</f>
        <v/>
      </c>
    </row>
    <row r="99">
      <c r="A99" s="3" t="inlineStr">
        <is>
          <t>GU-TDH-110</t>
        </is>
      </c>
      <c r="B99" s="3" t="n">
        <v>1</v>
      </c>
      <c r="C99" s="5">
        <f>IFERROR(INDEX(2a_PRE_TRABAJO!B$5:B$112,MATCH($A99,2a_PRE_TRABAJO!$A$5:$A$112,0)),"")</f>
        <v/>
      </c>
      <c r="D99" s="5">
        <f>IFERROR(INDEX(2a_PRE_TRABAJO!C$5:C$112,MATCH($A99,2a_PRE_TRABAJO!$A$5:$A$112,0)),"")</f>
        <v/>
      </c>
      <c r="E99" s="5">
        <f>IFERROR(INDEX(2a_PRE_TRABAJO!D$5:D$112,MATCH($A99,2a_PRE_TRABAJO!$A$5:$A$112,0)),"")</f>
        <v/>
      </c>
      <c r="F99" s="5">
        <f>IFERROR(INDEX(2a_PRE_TRABAJO!E$5:E$112,MATCH($A99,2a_PRE_TRABAJO!$A$5:$A$112,0)),"")</f>
        <v/>
      </c>
      <c r="G99" s="5">
        <f>IFERROR(INDEX(2a_PRE_TRABAJO!F$5:F$112,MATCH($A99,2a_PRE_TRABAJO!$A$5:$A$112,0)),"")</f>
        <v/>
      </c>
      <c r="H99" s="5">
        <f>IFERROR(INDEX(2a_PRE_TRABAJO!G$5:G$112,MATCH($A99,2a_PRE_TRABAJO!$A$5:$A$112,0)),"")</f>
        <v/>
      </c>
      <c r="I99" s="5">
        <f>IFERROR(INDEX(2b_POST_TRABAJO!C$5:C$109,MATCH($A99,2b_POST_TRABAJO!$A$5:$A$109,0)),"")</f>
        <v/>
      </c>
      <c r="J99" s="5">
        <f>IFERROR(INDEX(2a_PRE_TRABAJO!AD$5:AD$112,MATCH($A99,2a_PRE_TRABAJO!$A$5:$A$112,0)),"")</f>
        <v/>
      </c>
      <c r="K99" s="5">
        <f>IFERROR(INDEX(2a_PRE_TRABAJO!AE$5:AE$112,MATCH($A99,2a_PRE_TRABAJO!$A$5:$A$112,0)),"")</f>
        <v/>
      </c>
      <c r="L99" s="5">
        <f>IFERROR(INDEX(2a_PRE_TRABAJO!AF$5:AF$112,MATCH($A99,2a_PRE_TRABAJO!$A$5:$A$112,0)),"")</f>
        <v/>
      </c>
      <c r="M99" s="5">
        <f>IFERROR(INDEX(2a_PRE_TRABAJO!AG$5:AG$112,MATCH($A99,2a_PRE_TRABAJO!$A$5:$A$112,0)),"")</f>
        <v/>
      </c>
      <c r="N99" s="5">
        <f>IFERROR(INDEX(2b_POST_TRABAJO!D$5:D$109,MATCH($A99,2b_POST_TRABAJO!$A$5:$A$109,0)),"")</f>
        <v/>
      </c>
      <c r="O99" s="5">
        <f>IF(OR(N99="",J99=""),"",N99-J99)</f>
        <v/>
      </c>
      <c r="P99" s="5">
        <f>IFERROR(INDEX(2a_PRE_TRABAJO!H$5:H$112,MATCH($A99,2a_PRE_TRABAJO!$A$5:$A$112,0)),"")</f>
        <v/>
      </c>
      <c r="Q99" s="5">
        <f>IFERROR(INDEX(2a_PRE_TRABAJO!I$5:I$112,MATCH($A99,2a_PRE_TRABAJO!$A$5:$A$112,0)),"")</f>
        <v/>
      </c>
      <c r="R99" s="5">
        <f>IFERROR(INDEX(2a_PRE_TRABAJO!J$5:J$112,MATCH($A99,2a_PRE_TRABAJO!$A$5:$A$112,0)),"")</f>
        <v/>
      </c>
      <c r="S99" s="5">
        <f>IFERROR(INDEX(2a_PRE_TRABAJO!K$5:K$112,MATCH($A99,2a_PRE_TRABAJO!$A$5:$A$112,0)),"")</f>
        <v/>
      </c>
      <c r="T99" s="5">
        <f>IFERROR(INDEX(2a_PRE_TRABAJO!L$5:L$112,MATCH($A99,2a_PRE_TRABAJO!$A$5:$A$112,0)),"")</f>
        <v/>
      </c>
      <c r="U99" s="5">
        <f>IFERROR(INDEX(2a_PRE_TRABAJO!M$5:M$112,MATCH($A99,2a_PRE_TRABAJO!$A$5:$A$112,0)),"")</f>
        <v/>
      </c>
      <c r="V99" s="5">
        <f>IFERROR(INDEX(2a_PRE_TRABAJO!N$5:N$112,MATCH($A99,2a_PRE_TRABAJO!$A$5:$A$112,0)),"")</f>
        <v/>
      </c>
      <c r="W99" s="5">
        <f>IFERROR(INDEX(2a_PRE_TRABAJO!O$5:O$112,MATCH($A99,2a_PRE_TRABAJO!$A$5:$A$112,0)),"")</f>
        <v/>
      </c>
      <c r="X99" s="5">
        <f>IFERROR(INDEX(2a_PRE_TRABAJO!P$5:P$112,MATCH($A99,2a_PRE_TRABAJO!$A$5:$A$112,0)),"")</f>
        <v/>
      </c>
      <c r="Y99" s="5">
        <f>IFERROR(INDEX(2a_PRE_TRABAJO!Q$5:Q$112,MATCH($A99,2a_PRE_TRABAJO!$A$5:$A$112,0)),"")</f>
        <v/>
      </c>
      <c r="Z99" s="5">
        <f>IFERROR(INDEX(2a_PRE_TRABAJO!R$5:R$112,MATCH($A99,2a_PRE_TRABAJO!$A$5:$A$112,0)),"")</f>
        <v/>
      </c>
      <c r="AA99" s="5">
        <f>IFERROR(INDEX(2a_PRE_TRABAJO!S$5:S$112,MATCH($A99,2a_PRE_TRABAJO!$A$5:$A$112,0)),"")</f>
        <v/>
      </c>
      <c r="AB99" s="5">
        <f>IFERROR(INDEX(2a_PRE_TRABAJO!T$5:T$112,MATCH($A99,2a_PRE_TRABAJO!$A$5:$A$112,0)),"")</f>
        <v/>
      </c>
      <c r="AC99" s="5">
        <f>IFERROR(INDEX(2a_PRE_TRABAJO!U$5:U$112,MATCH($A99,2a_PRE_TRABAJO!$A$5:$A$112,0)),"")</f>
        <v/>
      </c>
      <c r="AD99" s="5">
        <f>IFERROR(INDEX(2a_PRE_TRABAJO!V$5:V$112,MATCH($A99,2a_PRE_TRABAJO!$A$5:$A$112,0)),"")</f>
        <v/>
      </c>
      <c r="AE99" s="5">
        <f>IFERROR(INDEX(2a_PRE_TRABAJO!W$5:W$112,MATCH($A99,2a_PRE_TRABAJO!$A$5:$A$112,0)),"")</f>
        <v/>
      </c>
      <c r="AF99" s="5">
        <f>IFERROR(INDEX(2a_PRE_TRABAJO!X$5:X$112,MATCH($A99,2a_PRE_TRABAJO!$A$5:$A$112,0)),"")</f>
        <v/>
      </c>
      <c r="AG99" s="5">
        <f>IFERROR(INDEX(2a_PRE_TRABAJO!Y$5:Y$112,MATCH($A99,2a_PRE_TRABAJO!$A$5:$A$112,0)),"")</f>
        <v/>
      </c>
      <c r="AH99" s="5">
        <f>IFERROR(INDEX(2a_PRE_TRABAJO!Z$5:Z$112,MATCH($A99,2a_PRE_TRABAJO!$A$5:$A$112,0)),"")</f>
        <v/>
      </c>
      <c r="AI99" s="5">
        <f>IFERROR(INDEX(2a_PRE_TRABAJO!AA$5:AA$112,MATCH($A99,2a_PRE_TRABAJO!$A$5:$A$112,0)),"")</f>
        <v/>
      </c>
      <c r="AJ99" s="5">
        <f>IFERROR(INDEX(2a_PRE_TRABAJO!AB$5:AB$112,MATCH($A99,2a_PRE_TRABAJO!$A$5:$A$112,0)),"")</f>
        <v/>
      </c>
      <c r="AK99" s="5">
        <f>IFERROR(INDEX(2a_PRE_TRABAJO!AC$5:AC$112,MATCH($A99,2a_PRE_TRABAJO!$A$5:$A$112,0)),"")</f>
        <v/>
      </c>
    </row>
    <row r="100">
      <c r="A100" s="3" t="inlineStr">
        <is>
          <t>GU-TDH-111</t>
        </is>
      </c>
      <c r="B100" s="3" t="n">
        <v>1</v>
      </c>
      <c r="C100" s="5">
        <f>IFERROR(INDEX(2a_PRE_TRABAJO!B$5:B$112,MATCH($A100,2a_PRE_TRABAJO!$A$5:$A$112,0)),"")</f>
        <v/>
      </c>
      <c r="D100" s="5">
        <f>IFERROR(INDEX(2a_PRE_TRABAJO!C$5:C$112,MATCH($A100,2a_PRE_TRABAJO!$A$5:$A$112,0)),"")</f>
        <v/>
      </c>
      <c r="E100" s="5">
        <f>IFERROR(INDEX(2a_PRE_TRABAJO!D$5:D$112,MATCH($A100,2a_PRE_TRABAJO!$A$5:$A$112,0)),"")</f>
        <v/>
      </c>
      <c r="F100" s="5">
        <f>IFERROR(INDEX(2a_PRE_TRABAJO!E$5:E$112,MATCH($A100,2a_PRE_TRABAJO!$A$5:$A$112,0)),"")</f>
        <v/>
      </c>
      <c r="G100" s="5">
        <f>IFERROR(INDEX(2a_PRE_TRABAJO!F$5:F$112,MATCH($A100,2a_PRE_TRABAJO!$A$5:$A$112,0)),"")</f>
        <v/>
      </c>
      <c r="H100" s="5">
        <f>IFERROR(INDEX(2a_PRE_TRABAJO!G$5:G$112,MATCH($A100,2a_PRE_TRABAJO!$A$5:$A$112,0)),"")</f>
        <v/>
      </c>
      <c r="I100" s="5">
        <f>IFERROR(INDEX(2b_POST_TRABAJO!C$5:C$109,MATCH($A100,2b_POST_TRABAJO!$A$5:$A$109,0)),"")</f>
        <v/>
      </c>
      <c r="J100" s="5">
        <f>IFERROR(INDEX(2a_PRE_TRABAJO!AD$5:AD$112,MATCH($A100,2a_PRE_TRABAJO!$A$5:$A$112,0)),"")</f>
        <v/>
      </c>
      <c r="K100" s="5">
        <f>IFERROR(INDEX(2a_PRE_TRABAJO!AE$5:AE$112,MATCH($A100,2a_PRE_TRABAJO!$A$5:$A$112,0)),"")</f>
        <v/>
      </c>
      <c r="L100" s="5">
        <f>IFERROR(INDEX(2a_PRE_TRABAJO!AF$5:AF$112,MATCH($A100,2a_PRE_TRABAJO!$A$5:$A$112,0)),"")</f>
        <v/>
      </c>
      <c r="M100" s="5">
        <f>IFERROR(INDEX(2a_PRE_TRABAJO!AG$5:AG$112,MATCH($A100,2a_PRE_TRABAJO!$A$5:$A$112,0)),"")</f>
        <v/>
      </c>
      <c r="N100" s="5">
        <f>IFERROR(INDEX(2b_POST_TRABAJO!D$5:D$109,MATCH($A100,2b_POST_TRABAJO!$A$5:$A$109,0)),"")</f>
        <v/>
      </c>
      <c r="O100" s="5">
        <f>IF(OR(N100="",J100=""),"",N100-J100)</f>
        <v/>
      </c>
      <c r="P100" s="5">
        <f>IFERROR(INDEX(2a_PRE_TRABAJO!H$5:H$112,MATCH($A100,2a_PRE_TRABAJO!$A$5:$A$112,0)),"")</f>
        <v/>
      </c>
      <c r="Q100" s="5">
        <f>IFERROR(INDEX(2a_PRE_TRABAJO!I$5:I$112,MATCH($A100,2a_PRE_TRABAJO!$A$5:$A$112,0)),"")</f>
        <v/>
      </c>
      <c r="R100" s="5">
        <f>IFERROR(INDEX(2a_PRE_TRABAJO!J$5:J$112,MATCH($A100,2a_PRE_TRABAJO!$A$5:$A$112,0)),"")</f>
        <v/>
      </c>
      <c r="S100" s="5">
        <f>IFERROR(INDEX(2a_PRE_TRABAJO!K$5:K$112,MATCH($A100,2a_PRE_TRABAJO!$A$5:$A$112,0)),"")</f>
        <v/>
      </c>
      <c r="T100" s="5">
        <f>IFERROR(INDEX(2a_PRE_TRABAJO!L$5:L$112,MATCH($A100,2a_PRE_TRABAJO!$A$5:$A$112,0)),"")</f>
        <v/>
      </c>
      <c r="U100" s="5">
        <f>IFERROR(INDEX(2a_PRE_TRABAJO!M$5:M$112,MATCH($A100,2a_PRE_TRABAJO!$A$5:$A$112,0)),"")</f>
        <v/>
      </c>
      <c r="V100" s="5">
        <f>IFERROR(INDEX(2a_PRE_TRABAJO!N$5:N$112,MATCH($A100,2a_PRE_TRABAJO!$A$5:$A$112,0)),"")</f>
        <v/>
      </c>
      <c r="W100" s="5">
        <f>IFERROR(INDEX(2a_PRE_TRABAJO!O$5:O$112,MATCH($A100,2a_PRE_TRABAJO!$A$5:$A$112,0)),"")</f>
        <v/>
      </c>
      <c r="X100" s="5">
        <f>IFERROR(INDEX(2a_PRE_TRABAJO!P$5:P$112,MATCH($A100,2a_PRE_TRABAJO!$A$5:$A$112,0)),"")</f>
        <v/>
      </c>
      <c r="Y100" s="5">
        <f>IFERROR(INDEX(2a_PRE_TRABAJO!Q$5:Q$112,MATCH($A100,2a_PRE_TRABAJO!$A$5:$A$112,0)),"")</f>
        <v/>
      </c>
      <c r="Z100" s="5">
        <f>IFERROR(INDEX(2a_PRE_TRABAJO!R$5:R$112,MATCH($A100,2a_PRE_TRABAJO!$A$5:$A$112,0)),"")</f>
        <v/>
      </c>
      <c r="AA100" s="5">
        <f>IFERROR(INDEX(2a_PRE_TRABAJO!S$5:S$112,MATCH($A100,2a_PRE_TRABAJO!$A$5:$A$112,0)),"")</f>
        <v/>
      </c>
      <c r="AB100" s="5">
        <f>IFERROR(INDEX(2a_PRE_TRABAJO!T$5:T$112,MATCH($A100,2a_PRE_TRABAJO!$A$5:$A$112,0)),"")</f>
        <v/>
      </c>
      <c r="AC100" s="5">
        <f>IFERROR(INDEX(2a_PRE_TRABAJO!U$5:U$112,MATCH($A100,2a_PRE_TRABAJO!$A$5:$A$112,0)),"")</f>
        <v/>
      </c>
      <c r="AD100" s="5">
        <f>IFERROR(INDEX(2a_PRE_TRABAJO!V$5:V$112,MATCH($A100,2a_PRE_TRABAJO!$A$5:$A$112,0)),"")</f>
        <v/>
      </c>
      <c r="AE100" s="5">
        <f>IFERROR(INDEX(2a_PRE_TRABAJO!W$5:W$112,MATCH($A100,2a_PRE_TRABAJO!$A$5:$A$112,0)),"")</f>
        <v/>
      </c>
      <c r="AF100" s="5">
        <f>IFERROR(INDEX(2a_PRE_TRABAJO!X$5:X$112,MATCH($A100,2a_PRE_TRABAJO!$A$5:$A$112,0)),"")</f>
        <v/>
      </c>
      <c r="AG100" s="5">
        <f>IFERROR(INDEX(2a_PRE_TRABAJO!Y$5:Y$112,MATCH($A100,2a_PRE_TRABAJO!$A$5:$A$112,0)),"")</f>
        <v/>
      </c>
      <c r="AH100" s="5">
        <f>IFERROR(INDEX(2a_PRE_TRABAJO!Z$5:Z$112,MATCH($A100,2a_PRE_TRABAJO!$A$5:$A$112,0)),"")</f>
        <v/>
      </c>
      <c r="AI100" s="5">
        <f>IFERROR(INDEX(2a_PRE_TRABAJO!AA$5:AA$112,MATCH($A100,2a_PRE_TRABAJO!$A$5:$A$112,0)),"")</f>
        <v/>
      </c>
      <c r="AJ100" s="5">
        <f>IFERROR(INDEX(2a_PRE_TRABAJO!AB$5:AB$112,MATCH($A100,2a_PRE_TRABAJO!$A$5:$A$112,0)),"")</f>
        <v/>
      </c>
      <c r="AK100" s="5">
        <f>IFERROR(INDEX(2a_PRE_TRABAJO!AC$5:AC$112,MATCH($A100,2a_PRE_TRABAJO!$A$5:$A$112,0)),"")</f>
        <v/>
      </c>
    </row>
    <row r="101">
      <c r="A101" s="3" t="inlineStr">
        <is>
          <t>GU-TDH-113</t>
        </is>
      </c>
      <c r="B101" s="3" t="n">
        <v>1</v>
      </c>
      <c r="C101" s="5">
        <f>IFERROR(INDEX(2a_PRE_TRABAJO!B$5:B$112,MATCH($A101,2a_PRE_TRABAJO!$A$5:$A$112,0)),"")</f>
        <v/>
      </c>
      <c r="D101" s="5">
        <f>IFERROR(INDEX(2a_PRE_TRABAJO!C$5:C$112,MATCH($A101,2a_PRE_TRABAJO!$A$5:$A$112,0)),"")</f>
        <v/>
      </c>
      <c r="E101" s="5">
        <f>IFERROR(INDEX(2a_PRE_TRABAJO!D$5:D$112,MATCH($A101,2a_PRE_TRABAJO!$A$5:$A$112,0)),"")</f>
        <v/>
      </c>
      <c r="F101" s="5">
        <f>IFERROR(INDEX(2a_PRE_TRABAJO!E$5:E$112,MATCH($A101,2a_PRE_TRABAJO!$A$5:$A$112,0)),"")</f>
        <v/>
      </c>
      <c r="G101" s="5">
        <f>IFERROR(INDEX(2a_PRE_TRABAJO!F$5:F$112,MATCH($A101,2a_PRE_TRABAJO!$A$5:$A$112,0)),"")</f>
        <v/>
      </c>
      <c r="H101" s="5">
        <f>IFERROR(INDEX(2a_PRE_TRABAJO!G$5:G$112,MATCH($A101,2a_PRE_TRABAJO!$A$5:$A$112,0)),"")</f>
        <v/>
      </c>
      <c r="I101" s="5">
        <f>IFERROR(INDEX(2b_POST_TRABAJO!C$5:C$109,MATCH($A101,2b_POST_TRABAJO!$A$5:$A$109,0)),"")</f>
        <v/>
      </c>
      <c r="J101" s="5">
        <f>IFERROR(INDEX(2a_PRE_TRABAJO!AD$5:AD$112,MATCH($A101,2a_PRE_TRABAJO!$A$5:$A$112,0)),"")</f>
        <v/>
      </c>
      <c r="K101" s="5">
        <f>IFERROR(INDEX(2a_PRE_TRABAJO!AE$5:AE$112,MATCH($A101,2a_PRE_TRABAJO!$A$5:$A$112,0)),"")</f>
        <v/>
      </c>
      <c r="L101" s="5">
        <f>IFERROR(INDEX(2a_PRE_TRABAJO!AF$5:AF$112,MATCH($A101,2a_PRE_TRABAJO!$A$5:$A$112,0)),"")</f>
        <v/>
      </c>
      <c r="M101" s="5">
        <f>IFERROR(INDEX(2a_PRE_TRABAJO!AG$5:AG$112,MATCH($A101,2a_PRE_TRABAJO!$A$5:$A$112,0)),"")</f>
        <v/>
      </c>
      <c r="N101" s="5">
        <f>IFERROR(INDEX(2b_POST_TRABAJO!D$5:D$109,MATCH($A101,2b_POST_TRABAJO!$A$5:$A$109,0)),"")</f>
        <v/>
      </c>
      <c r="O101" s="5">
        <f>IF(OR(N101="",J101=""),"",N101-J101)</f>
        <v/>
      </c>
      <c r="P101" s="5">
        <f>IFERROR(INDEX(2a_PRE_TRABAJO!H$5:H$112,MATCH($A101,2a_PRE_TRABAJO!$A$5:$A$112,0)),"")</f>
        <v/>
      </c>
      <c r="Q101" s="5">
        <f>IFERROR(INDEX(2a_PRE_TRABAJO!I$5:I$112,MATCH($A101,2a_PRE_TRABAJO!$A$5:$A$112,0)),"")</f>
        <v/>
      </c>
      <c r="R101" s="5">
        <f>IFERROR(INDEX(2a_PRE_TRABAJO!J$5:J$112,MATCH($A101,2a_PRE_TRABAJO!$A$5:$A$112,0)),"")</f>
        <v/>
      </c>
      <c r="S101" s="5">
        <f>IFERROR(INDEX(2a_PRE_TRABAJO!K$5:K$112,MATCH($A101,2a_PRE_TRABAJO!$A$5:$A$112,0)),"")</f>
        <v/>
      </c>
      <c r="T101" s="5">
        <f>IFERROR(INDEX(2a_PRE_TRABAJO!L$5:L$112,MATCH($A101,2a_PRE_TRABAJO!$A$5:$A$112,0)),"")</f>
        <v/>
      </c>
      <c r="U101" s="5">
        <f>IFERROR(INDEX(2a_PRE_TRABAJO!M$5:M$112,MATCH($A101,2a_PRE_TRABAJO!$A$5:$A$112,0)),"")</f>
        <v/>
      </c>
      <c r="V101" s="5">
        <f>IFERROR(INDEX(2a_PRE_TRABAJO!N$5:N$112,MATCH($A101,2a_PRE_TRABAJO!$A$5:$A$112,0)),"")</f>
        <v/>
      </c>
      <c r="W101" s="5">
        <f>IFERROR(INDEX(2a_PRE_TRABAJO!O$5:O$112,MATCH($A101,2a_PRE_TRABAJO!$A$5:$A$112,0)),"")</f>
        <v/>
      </c>
      <c r="X101" s="5">
        <f>IFERROR(INDEX(2a_PRE_TRABAJO!P$5:P$112,MATCH($A101,2a_PRE_TRABAJO!$A$5:$A$112,0)),"")</f>
        <v/>
      </c>
      <c r="Y101" s="5">
        <f>IFERROR(INDEX(2a_PRE_TRABAJO!Q$5:Q$112,MATCH($A101,2a_PRE_TRABAJO!$A$5:$A$112,0)),"")</f>
        <v/>
      </c>
      <c r="Z101" s="5">
        <f>IFERROR(INDEX(2a_PRE_TRABAJO!R$5:R$112,MATCH($A101,2a_PRE_TRABAJO!$A$5:$A$112,0)),"")</f>
        <v/>
      </c>
      <c r="AA101" s="5">
        <f>IFERROR(INDEX(2a_PRE_TRABAJO!S$5:S$112,MATCH($A101,2a_PRE_TRABAJO!$A$5:$A$112,0)),"")</f>
        <v/>
      </c>
      <c r="AB101" s="5">
        <f>IFERROR(INDEX(2a_PRE_TRABAJO!T$5:T$112,MATCH($A101,2a_PRE_TRABAJO!$A$5:$A$112,0)),"")</f>
        <v/>
      </c>
      <c r="AC101" s="5">
        <f>IFERROR(INDEX(2a_PRE_TRABAJO!U$5:U$112,MATCH($A101,2a_PRE_TRABAJO!$A$5:$A$112,0)),"")</f>
        <v/>
      </c>
      <c r="AD101" s="5">
        <f>IFERROR(INDEX(2a_PRE_TRABAJO!V$5:V$112,MATCH($A101,2a_PRE_TRABAJO!$A$5:$A$112,0)),"")</f>
        <v/>
      </c>
      <c r="AE101" s="5">
        <f>IFERROR(INDEX(2a_PRE_TRABAJO!W$5:W$112,MATCH($A101,2a_PRE_TRABAJO!$A$5:$A$112,0)),"")</f>
        <v/>
      </c>
      <c r="AF101" s="5">
        <f>IFERROR(INDEX(2a_PRE_TRABAJO!X$5:X$112,MATCH($A101,2a_PRE_TRABAJO!$A$5:$A$112,0)),"")</f>
        <v/>
      </c>
      <c r="AG101" s="5">
        <f>IFERROR(INDEX(2a_PRE_TRABAJO!Y$5:Y$112,MATCH($A101,2a_PRE_TRABAJO!$A$5:$A$112,0)),"")</f>
        <v/>
      </c>
      <c r="AH101" s="5">
        <f>IFERROR(INDEX(2a_PRE_TRABAJO!Z$5:Z$112,MATCH($A101,2a_PRE_TRABAJO!$A$5:$A$112,0)),"")</f>
        <v/>
      </c>
      <c r="AI101" s="5">
        <f>IFERROR(INDEX(2a_PRE_TRABAJO!AA$5:AA$112,MATCH($A101,2a_PRE_TRABAJO!$A$5:$A$112,0)),"")</f>
        <v/>
      </c>
      <c r="AJ101" s="5">
        <f>IFERROR(INDEX(2a_PRE_TRABAJO!AB$5:AB$112,MATCH($A101,2a_PRE_TRABAJO!$A$5:$A$112,0)),"")</f>
        <v/>
      </c>
      <c r="AK101" s="5">
        <f>IFERROR(INDEX(2a_PRE_TRABAJO!AC$5:AC$112,MATCH($A101,2a_PRE_TRABAJO!$A$5:$A$112,0)),"")</f>
        <v/>
      </c>
    </row>
    <row r="102">
      <c r="A102" s="3" t="inlineStr">
        <is>
          <t>GU-TDH-114</t>
        </is>
      </c>
      <c r="B102" s="3" t="n">
        <v>1</v>
      </c>
      <c r="C102" s="5">
        <f>IFERROR(INDEX(2a_PRE_TRABAJO!B$5:B$112,MATCH($A102,2a_PRE_TRABAJO!$A$5:$A$112,0)),"")</f>
        <v/>
      </c>
      <c r="D102" s="5">
        <f>IFERROR(INDEX(2a_PRE_TRABAJO!C$5:C$112,MATCH($A102,2a_PRE_TRABAJO!$A$5:$A$112,0)),"")</f>
        <v/>
      </c>
      <c r="E102" s="5">
        <f>IFERROR(INDEX(2a_PRE_TRABAJO!D$5:D$112,MATCH($A102,2a_PRE_TRABAJO!$A$5:$A$112,0)),"")</f>
        <v/>
      </c>
      <c r="F102" s="5">
        <f>IFERROR(INDEX(2a_PRE_TRABAJO!E$5:E$112,MATCH($A102,2a_PRE_TRABAJO!$A$5:$A$112,0)),"")</f>
        <v/>
      </c>
      <c r="G102" s="5">
        <f>IFERROR(INDEX(2a_PRE_TRABAJO!F$5:F$112,MATCH($A102,2a_PRE_TRABAJO!$A$5:$A$112,0)),"")</f>
        <v/>
      </c>
      <c r="H102" s="5">
        <f>IFERROR(INDEX(2a_PRE_TRABAJO!G$5:G$112,MATCH($A102,2a_PRE_TRABAJO!$A$5:$A$112,0)),"")</f>
        <v/>
      </c>
      <c r="I102" s="5">
        <f>IFERROR(INDEX(2b_POST_TRABAJO!C$5:C$109,MATCH($A102,2b_POST_TRABAJO!$A$5:$A$109,0)),"")</f>
        <v/>
      </c>
      <c r="J102" s="5">
        <f>IFERROR(INDEX(2a_PRE_TRABAJO!AD$5:AD$112,MATCH($A102,2a_PRE_TRABAJO!$A$5:$A$112,0)),"")</f>
        <v/>
      </c>
      <c r="K102" s="5">
        <f>IFERROR(INDEX(2a_PRE_TRABAJO!AE$5:AE$112,MATCH($A102,2a_PRE_TRABAJO!$A$5:$A$112,0)),"")</f>
        <v/>
      </c>
      <c r="L102" s="5">
        <f>IFERROR(INDEX(2a_PRE_TRABAJO!AF$5:AF$112,MATCH($A102,2a_PRE_TRABAJO!$A$5:$A$112,0)),"")</f>
        <v/>
      </c>
      <c r="M102" s="5">
        <f>IFERROR(INDEX(2a_PRE_TRABAJO!AG$5:AG$112,MATCH($A102,2a_PRE_TRABAJO!$A$5:$A$112,0)),"")</f>
        <v/>
      </c>
      <c r="N102" s="5">
        <f>IFERROR(INDEX(2b_POST_TRABAJO!D$5:D$109,MATCH($A102,2b_POST_TRABAJO!$A$5:$A$109,0)),"")</f>
        <v/>
      </c>
      <c r="O102" s="5">
        <f>IF(OR(N102="",J102=""),"",N102-J102)</f>
        <v/>
      </c>
      <c r="P102" s="5">
        <f>IFERROR(INDEX(2a_PRE_TRABAJO!H$5:H$112,MATCH($A102,2a_PRE_TRABAJO!$A$5:$A$112,0)),"")</f>
        <v/>
      </c>
      <c r="Q102" s="5">
        <f>IFERROR(INDEX(2a_PRE_TRABAJO!I$5:I$112,MATCH($A102,2a_PRE_TRABAJO!$A$5:$A$112,0)),"")</f>
        <v/>
      </c>
      <c r="R102" s="5">
        <f>IFERROR(INDEX(2a_PRE_TRABAJO!J$5:J$112,MATCH($A102,2a_PRE_TRABAJO!$A$5:$A$112,0)),"")</f>
        <v/>
      </c>
      <c r="S102" s="5">
        <f>IFERROR(INDEX(2a_PRE_TRABAJO!K$5:K$112,MATCH($A102,2a_PRE_TRABAJO!$A$5:$A$112,0)),"")</f>
        <v/>
      </c>
      <c r="T102" s="5">
        <f>IFERROR(INDEX(2a_PRE_TRABAJO!L$5:L$112,MATCH($A102,2a_PRE_TRABAJO!$A$5:$A$112,0)),"")</f>
        <v/>
      </c>
      <c r="U102" s="5">
        <f>IFERROR(INDEX(2a_PRE_TRABAJO!M$5:M$112,MATCH($A102,2a_PRE_TRABAJO!$A$5:$A$112,0)),"")</f>
        <v/>
      </c>
      <c r="V102" s="5">
        <f>IFERROR(INDEX(2a_PRE_TRABAJO!N$5:N$112,MATCH($A102,2a_PRE_TRABAJO!$A$5:$A$112,0)),"")</f>
        <v/>
      </c>
      <c r="W102" s="5">
        <f>IFERROR(INDEX(2a_PRE_TRABAJO!O$5:O$112,MATCH($A102,2a_PRE_TRABAJO!$A$5:$A$112,0)),"")</f>
        <v/>
      </c>
      <c r="X102" s="5">
        <f>IFERROR(INDEX(2a_PRE_TRABAJO!P$5:P$112,MATCH($A102,2a_PRE_TRABAJO!$A$5:$A$112,0)),"")</f>
        <v/>
      </c>
      <c r="Y102" s="5">
        <f>IFERROR(INDEX(2a_PRE_TRABAJO!Q$5:Q$112,MATCH($A102,2a_PRE_TRABAJO!$A$5:$A$112,0)),"")</f>
        <v/>
      </c>
      <c r="Z102" s="5">
        <f>IFERROR(INDEX(2a_PRE_TRABAJO!R$5:R$112,MATCH($A102,2a_PRE_TRABAJO!$A$5:$A$112,0)),"")</f>
        <v/>
      </c>
      <c r="AA102" s="5">
        <f>IFERROR(INDEX(2a_PRE_TRABAJO!S$5:S$112,MATCH($A102,2a_PRE_TRABAJO!$A$5:$A$112,0)),"")</f>
        <v/>
      </c>
      <c r="AB102" s="5">
        <f>IFERROR(INDEX(2a_PRE_TRABAJO!T$5:T$112,MATCH($A102,2a_PRE_TRABAJO!$A$5:$A$112,0)),"")</f>
        <v/>
      </c>
      <c r="AC102" s="5">
        <f>IFERROR(INDEX(2a_PRE_TRABAJO!U$5:U$112,MATCH($A102,2a_PRE_TRABAJO!$A$5:$A$112,0)),"")</f>
        <v/>
      </c>
      <c r="AD102" s="5">
        <f>IFERROR(INDEX(2a_PRE_TRABAJO!V$5:V$112,MATCH($A102,2a_PRE_TRABAJO!$A$5:$A$112,0)),"")</f>
        <v/>
      </c>
      <c r="AE102" s="5">
        <f>IFERROR(INDEX(2a_PRE_TRABAJO!W$5:W$112,MATCH($A102,2a_PRE_TRABAJO!$A$5:$A$112,0)),"")</f>
        <v/>
      </c>
      <c r="AF102" s="5">
        <f>IFERROR(INDEX(2a_PRE_TRABAJO!X$5:X$112,MATCH($A102,2a_PRE_TRABAJO!$A$5:$A$112,0)),"")</f>
        <v/>
      </c>
      <c r="AG102" s="5">
        <f>IFERROR(INDEX(2a_PRE_TRABAJO!Y$5:Y$112,MATCH($A102,2a_PRE_TRABAJO!$A$5:$A$112,0)),"")</f>
        <v/>
      </c>
      <c r="AH102" s="5">
        <f>IFERROR(INDEX(2a_PRE_TRABAJO!Z$5:Z$112,MATCH($A102,2a_PRE_TRABAJO!$A$5:$A$112,0)),"")</f>
        <v/>
      </c>
      <c r="AI102" s="5">
        <f>IFERROR(INDEX(2a_PRE_TRABAJO!AA$5:AA$112,MATCH($A102,2a_PRE_TRABAJO!$A$5:$A$112,0)),"")</f>
        <v/>
      </c>
      <c r="AJ102" s="5">
        <f>IFERROR(INDEX(2a_PRE_TRABAJO!AB$5:AB$112,MATCH($A102,2a_PRE_TRABAJO!$A$5:$A$112,0)),"")</f>
        <v/>
      </c>
      <c r="AK102" s="5">
        <f>IFERROR(INDEX(2a_PRE_TRABAJO!AC$5:AC$112,MATCH($A102,2a_PRE_TRABAJO!$A$5:$A$112,0)),"")</f>
        <v/>
      </c>
    </row>
    <row r="103">
      <c r="A103" s="3" t="inlineStr">
        <is>
          <t>GU-TDH-115</t>
        </is>
      </c>
      <c r="B103" s="3" t="n">
        <v>1</v>
      </c>
      <c r="C103" s="5">
        <f>IFERROR(INDEX(2a_PRE_TRABAJO!B$5:B$112,MATCH($A103,2a_PRE_TRABAJO!$A$5:$A$112,0)),"")</f>
        <v/>
      </c>
      <c r="D103" s="5">
        <f>IFERROR(INDEX(2a_PRE_TRABAJO!C$5:C$112,MATCH($A103,2a_PRE_TRABAJO!$A$5:$A$112,0)),"")</f>
        <v/>
      </c>
      <c r="E103" s="5">
        <f>IFERROR(INDEX(2a_PRE_TRABAJO!D$5:D$112,MATCH($A103,2a_PRE_TRABAJO!$A$5:$A$112,0)),"")</f>
        <v/>
      </c>
      <c r="F103" s="5">
        <f>IFERROR(INDEX(2a_PRE_TRABAJO!E$5:E$112,MATCH($A103,2a_PRE_TRABAJO!$A$5:$A$112,0)),"")</f>
        <v/>
      </c>
      <c r="G103" s="5">
        <f>IFERROR(INDEX(2a_PRE_TRABAJO!F$5:F$112,MATCH($A103,2a_PRE_TRABAJO!$A$5:$A$112,0)),"")</f>
        <v/>
      </c>
      <c r="H103" s="5">
        <f>IFERROR(INDEX(2a_PRE_TRABAJO!G$5:G$112,MATCH($A103,2a_PRE_TRABAJO!$A$5:$A$112,0)),"")</f>
        <v/>
      </c>
      <c r="I103" s="5">
        <f>IFERROR(INDEX(2b_POST_TRABAJO!C$5:C$109,MATCH($A103,2b_POST_TRABAJO!$A$5:$A$109,0)),"")</f>
        <v/>
      </c>
      <c r="J103" s="5">
        <f>IFERROR(INDEX(2a_PRE_TRABAJO!AD$5:AD$112,MATCH($A103,2a_PRE_TRABAJO!$A$5:$A$112,0)),"")</f>
        <v/>
      </c>
      <c r="K103" s="5">
        <f>IFERROR(INDEX(2a_PRE_TRABAJO!AE$5:AE$112,MATCH($A103,2a_PRE_TRABAJO!$A$5:$A$112,0)),"")</f>
        <v/>
      </c>
      <c r="L103" s="5">
        <f>IFERROR(INDEX(2a_PRE_TRABAJO!AF$5:AF$112,MATCH($A103,2a_PRE_TRABAJO!$A$5:$A$112,0)),"")</f>
        <v/>
      </c>
      <c r="M103" s="5">
        <f>IFERROR(INDEX(2a_PRE_TRABAJO!AG$5:AG$112,MATCH($A103,2a_PRE_TRABAJO!$A$5:$A$112,0)),"")</f>
        <v/>
      </c>
      <c r="N103" s="5">
        <f>IFERROR(INDEX(2b_POST_TRABAJO!D$5:D$109,MATCH($A103,2b_POST_TRABAJO!$A$5:$A$109,0)),"")</f>
        <v/>
      </c>
      <c r="O103" s="5">
        <f>IF(OR(N103="",J103=""),"",N103-J103)</f>
        <v/>
      </c>
      <c r="P103" s="5">
        <f>IFERROR(INDEX(2a_PRE_TRABAJO!H$5:H$112,MATCH($A103,2a_PRE_TRABAJO!$A$5:$A$112,0)),"")</f>
        <v/>
      </c>
      <c r="Q103" s="5">
        <f>IFERROR(INDEX(2a_PRE_TRABAJO!I$5:I$112,MATCH($A103,2a_PRE_TRABAJO!$A$5:$A$112,0)),"")</f>
        <v/>
      </c>
      <c r="R103" s="5">
        <f>IFERROR(INDEX(2a_PRE_TRABAJO!J$5:J$112,MATCH($A103,2a_PRE_TRABAJO!$A$5:$A$112,0)),"")</f>
        <v/>
      </c>
      <c r="S103" s="5">
        <f>IFERROR(INDEX(2a_PRE_TRABAJO!K$5:K$112,MATCH($A103,2a_PRE_TRABAJO!$A$5:$A$112,0)),"")</f>
        <v/>
      </c>
      <c r="T103" s="5">
        <f>IFERROR(INDEX(2a_PRE_TRABAJO!L$5:L$112,MATCH($A103,2a_PRE_TRABAJO!$A$5:$A$112,0)),"")</f>
        <v/>
      </c>
      <c r="U103" s="5">
        <f>IFERROR(INDEX(2a_PRE_TRABAJO!M$5:M$112,MATCH($A103,2a_PRE_TRABAJO!$A$5:$A$112,0)),"")</f>
        <v/>
      </c>
      <c r="V103" s="5">
        <f>IFERROR(INDEX(2a_PRE_TRABAJO!N$5:N$112,MATCH($A103,2a_PRE_TRABAJO!$A$5:$A$112,0)),"")</f>
        <v/>
      </c>
      <c r="W103" s="5">
        <f>IFERROR(INDEX(2a_PRE_TRABAJO!O$5:O$112,MATCH($A103,2a_PRE_TRABAJO!$A$5:$A$112,0)),"")</f>
        <v/>
      </c>
      <c r="X103" s="5">
        <f>IFERROR(INDEX(2a_PRE_TRABAJO!P$5:P$112,MATCH($A103,2a_PRE_TRABAJO!$A$5:$A$112,0)),"")</f>
        <v/>
      </c>
      <c r="Y103" s="5">
        <f>IFERROR(INDEX(2a_PRE_TRABAJO!Q$5:Q$112,MATCH($A103,2a_PRE_TRABAJO!$A$5:$A$112,0)),"")</f>
        <v/>
      </c>
      <c r="Z103" s="5">
        <f>IFERROR(INDEX(2a_PRE_TRABAJO!R$5:R$112,MATCH($A103,2a_PRE_TRABAJO!$A$5:$A$112,0)),"")</f>
        <v/>
      </c>
      <c r="AA103" s="5">
        <f>IFERROR(INDEX(2a_PRE_TRABAJO!S$5:S$112,MATCH($A103,2a_PRE_TRABAJO!$A$5:$A$112,0)),"")</f>
        <v/>
      </c>
      <c r="AB103" s="5">
        <f>IFERROR(INDEX(2a_PRE_TRABAJO!T$5:T$112,MATCH($A103,2a_PRE_TRABAJO!$A$5:$A$112,0)),"")</f>
        <v/>
      </c>
      <c r="AC103" s="5">
        <f>IFERROR(INDEX(2a_PRE_TRABAJO!U$5:U$112,MATCH($A103,2a_PRE_TRABAJO!$A$5:$A$112,0)),"")</f>
        <v/>
      </c>
      <c r="AD103" s="5">
        <f>IFERROR(INDEX(2a_PRE_TRABAJO!V$5:V$112,MATCH($A103,2a_PRE_TRABAJO!$A$5:$A$112,0)),"")</f>
        <v/>
      </c>
      <c r="AE103" s="5">
        <f>IFERROR(INDEX(2a_PRE_TRABAJO!W$5:W$112,MATCH($A103,2a_PRE_TRABAJO!$A$5:$A$112,0)),"")</f>
        <v/>
      </c>
      <c r="AF103" s="5">
        <f>IFERROR(INDEX(2a_PRE_TRABAJO!X$5:X$112,MATCH($A103,2a_PRE_TRABAJO!$A$5:$A$112,0)),"")</f>
        <v/>
      </c>
      <c r="AG103" s="5">
        <f>IFERROR(INDEX(2a_PRE_TRABAJO!Y$5:Y$112,MATCH($A103,2a_PRE_TRABAJO!$A$5:$A$112,0)),"")</f>
        <v/>
      </c>
      <c r="AH103" s="5">
        <f>IFERROR(INDEX(2a_PRE_TRABAJO!Z$5:Z$112,MATCH($A103,2a_PRE_TRABAJO!$A$5:$A$112,0)),"")</f>
        <v/>
      </c>
      <c r="AI103" s="5">
        <f>IFERROR(INDEX(2a_PRE_TRABAJO!AA$5:AA$112,MATCH($A103,2a_PRE_TRABAJO!$A$5:$A$112,0)),"")</f>
        <v/>
      </c>
      <c r="AJ103" s="5">
        <f>IFERROR(INDEX(2a_PRE_TRABAJO!AB$5:AB$112,MATCH($A103,2a_PRE_TRABAJO!$A$5:$A$112,0)),"")</f>
        <v/>
      </c>
      <c r="AK103" s="5">
        <f>IFERROR(INDEX(2a_PRE_TRABAJO!AC$5:AC$112,MATCH($A103,2a_PRE_TRABAJO!$A$5:$A$112,0)),"")</f>
        <v/>
      </c>
    </row>
    <row r="104">
      <c r="A104" s="3" t="inlineStr">
        <is>
          <t>GU-TDH-116</t>
        </is>
      </c>
      <c r="B104" s="3" t="n">
        <v>1</v>
      </c>
      <c r="C104" s="5">
        <f>IFERROR(INDEX(2a_PRE_TRABAJO!B$5:B$112,MATCH($A104,2a_PRE_TRABAJO!$A$5:$A$112,0)),"")</f>
        <v/>
      </c>
      <c r="D104" s="5">
        <f>IFERROR(INDEX(2a_PRE_TRABAJO!C$5:C$112,MATCH($A104,2a_PRE_TRABAJO!$A$5:$A$112,0)),"")</f>
        <v/>
      </c>
      <c r="E104" s="5">
        <f>IFERROR(INDEX(2a_PRE_TRABAJO!D$5:D$112,MATCH($A104,2a_PRE_TRABAJO!$A$5:$A$112,0)),"")</f>
        <v/>
      </c>
      <c r="F104" s="5">
        <f>IFERROR(INDEX(2a_PRE_TRABAJO!E$5:E$112,MATCH($A104,2a_PRE_TRABAJO!$A$5:$A$112,0)),"")</f>
        <v/>
      </c>
      <c r="G104" s="5">
        <f>IFERROR(INDEX(2a_PRE_TRABAJO!F$5:F$112,MATCH($A104,2a_PRE_TRABAJO!$A$5:$A$112,0)),"")</f>
        <v/>
      </c>
      <c r="H104" s="5">
        <f>IFERROR(INDEX(2a_PRE_TRABAJO!G$5:G$112,MATCH($A104,2a_PRE_TRABAJO!$A$5:$A$112,0)),"")</f>
        <v/>
      </c>
      <c r="I104" s="5">
        <f>IFERROR(INDEX(2b_POST_TRABAJO!C$5:C$109,MATCH($A104,2b_POST_TRABAJO!$A$5:$A$109,0)),"")</f>
        <v/>
      </c>
      <c r="J104" s="5">
        <f>IFERROR(INDEX(2a_PRE_TRABAJO!AD$5:AD$112,MATCH($A104,2a_PRE_TRABAJO!$A$5:$A$112,0)),"")</f>
        <v/>
      </c>
      <c r="K104" s="5">
        <f>IFERROR(INDEX(2a_PRE_TRABAJO!AE$5:AE$112,MATCH($A104,2a_PRE_TRABAJO!$A$5:$A$112,0)),"")</f>
        <v/>
      </c>
      <c r="L104" s="5">
        <f>IFERROR(INDEX(2a_PRE_TRABAJO!AF$5:AF$112,MATCH($A104,2a_PRE_TRABAJO!$A$5:$A$112,0)),"")</f>
        <v/>
      </c>
      <c r="M104" s="5">
        <f>IFERROR(INDEX(2a_PRE_TRABAJO!AG$5:AG$112,MATCH($A104,2a_PRE_TRABAJO!$A$5:$A$112,0)),"")</f>
        <v/>
      </c>
      <c r="N104" s="5">
        <f>IFERROR(INDEX(2b_POST_TRABAJO!D$5:D$109,MATCH($A104,2b_POST_TRABAJO!$A$5:$A$109,0)),"")</f>
        <v/>
      </c>
      <c r="O104" s="5">
        <f>IF(OR(N104="",J104=""),"",N104-J104)</f>
        <v/>
      </c>
      <c r="P104" s="5">
        <f>IFERROR(INDEX(2a_PRE_TRABAJO!H$5:H$112,MATCH($A104,2a_PRE_TRABAJO!$A$5:$A$112,0)),"")</f>
        <v/>
      </c>
      <c r="Q104" s="5">
        <f>IFERROR(INDEX(2a_PRE_TRABAJO!I$5:I$112,MATCH($A104,2a_PRE_TRABAJO!$A$5:$A$112,0)),"")</f>
        <v/>
      </c>
      <c r="R104" s="5">
        <f>IFERROR(INDEX(2a_PRE_TRABAJO!J$5:J$112,MATCH($A104,2a_PRE_TRABAJO!$A$5:$A$112,0)),"")</f>
        <v/>
      </c>
      <c r="S104" s="5">
        <f>IFERROR(INDEX(2a_PRE_TRABAJO!K$5:K$112,MATCH($A104,2a_PRE_TRABAJO!$A$5:$A$112,0)),"")</f>
        <v/>
      </c>
      <c r="T104" s="5">
        <f>IFERROR(INDEX(2a_PRE_TRABAJO!L$5:L$112,MATCH($A104,2a_PRE_TRABAJO!$A$5:$A$112,0)),"")</f>
        <v/>
      </c>
      <c r="U104" s="5">
        <f>IFERROR(INDEX(2a_PRE_TRABAJO!M$5:M$112,MATCH($A104,2a_PRE_TRABAJO!$A$5:$A$112,0)),"")</f>
        <v/>
      </c>
      <c r="V104" s="5">
        <f>IFERROR(INDEX(2a_PRE_TRABAJO!N$5:N$112,MATCH($A104,2a_PRE_TRABAJO!$A$5:$A$112,0)),"")</f>
        <v/>
      </c>
      <c r="W104" s="5">
        <f>IFERROR(INDEX(2a_PRE_TRABAJO!O$5:O$112,MATCH($A104,2a_PRE_TRABAJO!$A$5:$A$112,0)),"")</f>
        <v/>
      </c>
      <c r="X104" s="5">
        <f>IFERROR(INDEX(2a_PRE_TRABAJO!P$5:P$112,MATCH($A104,2a_PRE_TRABAJO!$A$5:$A$112,0)),"")</f>
        <v/>
      </c>
      <c r="Y104" s="5">
        <f>IFERROR(INDEX(2a_PRE_TRABAJO!Q$5:Q$112,MATCH($A104,2a_PRE_TRABAJO!$A$5:$A$112,0)),"")</f>
        <v/>
      </c>
      <c r="Z104" s="5">
        <f>IFERROR(INDEX(2a_PRE_TRABAJO!R$5:R$112,MATCH($A104,2a_PRE_TRABAJO!$A$5:$A$112,0)),"")</f>
        <v/>
      </c>
      <c r="AA104" s="5">
        <f>IFERROR(INDEX(2a_PRE_TRABAJO!S$5:S$112,MATCH($A104,2a_PRE_TRABAJO!$A$5:$A$112,0)),"")</f>
        <v/>
      </c>
      <c r="AB104" s="5">
        <f>IFERROR(INDEX(2a_PRE_TRABAJO!T$5:T$112,MATCH($A104,2a_PRE_TRABAJO!$A$5:$A$112,0)),"")</f>
        <v/>
      </c>
      <c r="AC104" s="5">
        <f>IFERROR(INDEX(2a_PRE_TRABAJO!U$5:U$112,MATCH($A104,2a_PRE_TRABAJO!$A$5:$A$112,0)),"")</f>
        <v/>
      </c>
      <c r="AD104" s="5">
        <f>IFERROR(INDEX(2a_PRE_TRABAJO!V$5:V$112,MATCH($A104,2a_PRE_TRABAJO!$A$5:$A$112,0)),"")</f>
        <v/>
      </c>
      <c r="AE104" s="5">
        <f>IFERROR(INDEX(2a_PRE_TRABAJO!W$5:W$112,MATCH($A104,2a_PRE_TRABAJO!$A$5:$A$112,0)),"")</f>
        <v/>
      </c>
      <c r="AF104" s="5">
        <f>IFERROR(INDEX(2a_PRE_TRABAJO!X$5:X$112,MATCH($A104,2a_PRE_TRABAJO!$A$5:$A$112,0)),"")</f>
        <v/>
      </c>
      <c r="AG104" s="5">
        <f>IFERROR(INDEX(2a_PRE_TRABAJO!Y$5:Y$112,MATCH($A104,2a_PRE_TRABAJO!$A$5:$A$112,0)),"")</f>
        <v/>
      </c>
      <c r="AH104" s="5">
        <f>IFERROR(INDEX(2a_PRE_TRABAJO!Z$5:Z$112,MATCH($A104,2a_PRE_TRABAJO!$A$5:$A$112,0)),"")</f>
        <v/>
      </c>
      <c r="AI104" s="5">
        <f>IFERROR(INDEX(2a_PRE_TRABAJO!AA$5:AA$112,MATCH($A104,2a_PRE_TRABAJO!$A$5:$A$112,0)),"")</f>
        <v/>
      </c>
      <c r="AJ104" s="5">
        <f>IFERROR(INDEX(2a_PRE_TRABAJO!AB$5:AB$112,MATCH($A104,2a_PRE_TRABAJO!$A$5:$A$112,0)),"")</f>
        <v/>
      </c>
      <c r="AK104" s="5">
        <f>IFERROR(INDEX(2a_PRE_TRABAJO!AC$5:AC$112,MATCH($A104,2a_PRE_TRABAJO!$A$5:$A$112,0)),"")</f>
        <v/>
      </c>
    </row>
    <row r="105">
      <c r="A105" s="3" t="inlineStr">
        <is>
          <t>GU-TDH-117</t>
        </is>
      </c>
      <c r="B105" s="3" t="n">
        <v>1</v>
      </c>
      <c r="C105" s="5">
        <f>IFERROR(INDEX(2a_PRE_TRABAJO!B$5:B$112,MATCH($A105,2a_PRE_TRABAJO!$A$5:$A$112,0)),"")</f>
        <v/>
      </c>
      <c r="D105" s="5">
        <f>IFERROR(INDEX(2a_PRE_TRABAJO!C$5:C$112,MATCH($A105,2a_PRE_TRABAJO!$A$5:$A$112,0)),"")</f>
        <v/>
      </c>
      <c r="E105" s="5">
        <f>IFERROR(INDEX(2a_PRE_TRABAJO!D$5:D$112,MATCH($A105,2a_PRE_TRABAJO!$A$5:$A$112,0)),"")</f>
        <v/>
      </c>
      <c r="F105" s="5">
        <f>IFERROR(INDEX(2a_PRE_TRABAJO!E$5:E$112,MATCH($A105,2a_PRE_TRABAJO!$A$5:$A$112,0)),"")</f>
        <v/>
      </c>
      <c r="G105" s="5">
        <f>IFERROR(INDEX(2a_PRE_TRABAJO!F$5:F$112,MATCH($A105,2a_PRE_TRABAJO!$A$5:$A$112,0)),"")</f>
        <v/>
      </c>
      <c r="H105" s="5">
        <f>IFERROR(INDEX(2a_PRE_TRABAJO!G$5:G$112,MATCH($A105,2a_PRE_TRABAJO!$A$5:$A$112,0)),"")</f>
        <v/>
      </c>
      <c r="I105" s="5">
        <f>IFERROR(INDEX(2b_POST_TRABAJO!C$5:C$109,MATCH($A105,2b_POST_TRABAJO!$A$5:$A$109,0)),"")</f>
        <v/>
      </c>
      <c r="J105" s="5">
        <f>IFERROR(INDEX(2a_PRE_TRABAJO!AD$5:AD$112,MATCH($A105,2a_PRE_TRABAJO!$A$5:$A$112,0)),"")</f>
        <v/>
      </c>
      <c r="K105" s="5">
        <f>IFERROR(INDEX(2a_PRE_TRABAJO!AE$5:AE$112,MATCH($A105,2a_PRE_TRABAJO!$A$5:$A$112,0)),"")</f>
        <v/>
      </c>
      <c r="L105" s="5">
        <f>IFERROR(INDEX(2a_PRE_TRABAJO!AF$5:AF$112,MATCH($A105,2a_PRE_TRABAJO!$A$5:$A$112,0)),"")</f>
        <v/>
      </c>
      <c r="M105" s="5">
        <f>IFERROR(INDEX(2a_PRE_TRABAJO!AG$5:AG$112,MATCH($A105,2a_PRE_TRABAJO!$A$5:$A$112,0)),"")</f>
        <v/>
      </c>
      <c r="N105" s="5">
        <f>IFERROR(INDEX(2b_POST_TRABAJO!D$5:D$109,MATCH($A105,2b_POST_TRABAJO!$A$5:$A$109,0)),"")</f>
        <v/>
      </c>
      <c r="O105" s="5">
        <f>IF(OR(N105="",J105=""),"",N105-J105)</f>
        <v/>
      </c>
      <c r="P105" s="5">
        <f>IFERROR(INDEX(2a_PRE_TRABAJO!H$5:H$112,MATCH($A105,2a_PRE_TRABAJO!$A$5:$A$112,0)),"")</f>
        <v/>
      </c>
      <c r="Q105" s="5">
        <f>IFERROR(INDEX(2a_PRE_TRABAJO!I$5:I$112,MATCH($A105,2a_PRE_TRABAJO!$A$5:$A$112,0)),"")</f>
        <v/>
      </c>
      <c r="R105" s="5">
        <f>IFERROR(INDEX(2a_PRE_TRABAJO!J$5:J$112,MATCH($A105,2a_PRE_TRABAJO!$A$5:$A$112,0)),"")</f>
        <v/>
      </c>
      <c r="S105" s="5">
        <f>IFERROR(INDEX(2a_PRE_TRABAJO!K$5:K$112,MATCH($A105,2a_PRE_TRABAJO!$A$5:$A$112,0)),"")</f>
        <v/>
      </c>
      <c r="T105" s="5">
        <f>IFERROR(INDEX(2a_PRE_TRABAJO!L$5:L$112,MATCH($A105,2a_PRE_TRABAJO!$A$5:$A$112,0)),"")</f>
        <v/>
      </c>
      <c r="U105" s="5">
        <f>IFERROR(INDEX(2a_PRE_TRABAJO!M$5:M$112,MATCH($A105,2a_PRE_TRABAJO!$A$5:$A$112,0)),"")</f>
        <v/>
      </c>
      <c r="V105" s="5">
        <f>IFERROR(INDEX(2a_PRE_TRABAJO!N$5:N$112,MATCH($A105,2a_PRE_TRABAJO!$A$5:$A$112,0)),"")</f>
        <v/>
      </c>
      <c r="W105" s="5">
        <f>IFERROR(INDEX(2a_PRE_TRABAJO!O$5:O$112,MATCH($A105,2a_PRE_TRABAJO!$A$5:$A$112,0)),"")</f>
        <v/>
      </c>
      <c r="X105" s="5">
        <f>IFERROR(INDEX(2a_PRE_TRABAJO!P$5:P$112,MATCH($A105,2a_PRE_TRABAJO!$A$5:$A$112,0)),"")</f>
        <v/>
      </c>
      <c r="Y105" s="5">
        <f>IFERROR(INDEX(2a_PRE_TRABAJO!Q$5:Q$112,MATCH($A105,2a_PRE_TRABAJO!$A$5:$A$112,0)),"")</f>
        <v/>
      </c>
      <c r="Z105" s="5">
        <f>IFERROR(INDEX(2a_PRE_TRABAJO!R$5:R$112,MATCH($A105,2a_PRE_TRABAJO!$A$5:$A$112,0)),"")</f>
        <v/>
      </c>
      <c r="AA105" s="5">
        <f>IFERROR(INDEX(2a_PRE_TRABAJO!S$5:S$112,MATCH($A105,2a_PRE_TRABAJO!$A$5:$A$112,0)),"")</f>
        <v/>
      </c>
      <c r="AB105" s="5">
        <f>IFERROR(INDEX(2a_PRE_TRABAJO!T$5:T$112,MATCH($A105,2a_PRE_TRABAJO!$A$5:$A$112,0)),"")</f>
        <v/>
      </c>
      <c r="AC105" s="5">
        <f>IFERROR(INDEX(2a_PRE_TRABAJO!U$5:U$112,MATCH($A105,2a_PRE_TRABAJO!$A$5:$A$112,0)),"")</f>
        <v/>
      </c>
      <c r="AD105" s="5">
        <f>IFERROR(INDEX(2a_PRE_TRABAJO!V$5:V$112,MATCH($A105,2a_PRE_TRABAJO!$A$5:$A$112,0)),"")</f>
        <v/>
      </c>
      <c r="AE105" s="5">
        <f>IFERROR(INDEX(2a_PRE_TRABAJO!W$5:W$112,MATCH($A105,2a_PRE_TRABAJO!$A$5:$A$112,0)),"")</f>
        <v/>
      </c>
      <c r="AF105" s="5">
        <f>IFERROR(INDEX(2a_PRE_TRABAJO!X$5:X$112,MATCH($A105,2a_PRE_TRABAJO!$A$5:$A$112,0)),"")</f>
        <v/>
      </c>
      <c r="AG105" s="5">
        <f>IFERROR(INDEX(2a_PRE_TRABAJO!Y$5:Y$112,MATCH($A105,2a_PRE_TRABAJO!$A$5:$A$112,0)),"")</f>
        <v/>
      </c>
      <c r="AH105" s="5">
        <f>IFERROR(INDEX(2a_PRE_TRABAJO!Z$5:Z$112,MATCH($A105,2a_PRE_TRABAJO!$A$5:$A$112,0)),"")</f>
        <v/>
      </c>
      <c r="AI105" s="5">
        <f>IFERROR(INDEX(2a_PRE_TRABAJO!AA$5:AA$112,MATCH($A105,2a_PRE_TRABAJO!$A$5:$A$112,0)),"")</f>
        <v/>
      </c>
      <c r="AJ105" s="5">
        <f>IFERROR(INDEX(2a_PRE_TRABAJO!AB$5:AB$112,MATCH($A105,2a_PRE_TRABAJO!$A$5:$A$112,0)),"")</f>
        <v/>
      </c>
      <c r="AK105" s="5">
        <f>IFERROR(INDEX(2a_PRE_TRABAJO!AC$5:AC$112,MATCH($A105,2a_PRE_TRABAJO!$A$5:$A$112,0)),"")</f>
        <v/>
      </c>
    </row>
    <row r="106">
      <c r="A106" s="3" t="inlineStr">
        <is>
          <t>GU-TDH-118</t>
        </is>
      </c>
      <c r="B106" s="3" t="n">
        <v>1</v>
      </c>
      <c r="C106" s="5">
        <f>IFERROR(INDEX(2a_PRE_TRABAJO!B$5:B$112,MATCH($A106,2a_PRE_TRABAJO!$A$5:$A$112,0)),"")</f>
        <v/>
      </c>
      <c r="D106" s="5">
        <f>IFERROR(INDEX(2a_PRE_TRABAJO!C$5:C$112,MATCH($A106,2a_PRE_TRABAJO!$A$5:$A$112,0)),"")</f>
        <v/>
      </c>
      <c r="E106" s="5">
        <f>IFERROR(INDEX(2a_PRE_TRABAJO!D$5:D$112,MATCH($A106,2a_PRE_TRABAJO!$A$5:$A$112,0)),"")</f>
        <v/>
      </c>
      <c r="F106" s="5">
        <f>IFERROR(INDEX(2a_PRE_TRABAJO!E$5:E$112,MATCH($A106,2a_PRE_TRABAJO!$A$5:$A$112,0)),"")</f>
        <v/>
      </c>
      <c r="G106" s="5">
        <f>IFERROR(INDEX(2a_PRE_TRABAJO!F$5:F$112,MATCH($A106,2a_PRE_TRABAJO!$A$5:$A$112,0)),"")</f>
        <v/>
      </c>
      <c r="H106" s="5">
        <f>IFERROR(INDEX(2a_PRE_TRABAJO!G$5:G$112,MATCH($A106,2a_PRE_TRABAJO!$A$5:$A$112,0)),"")</f>
        <v/>
      </c>
      <c r="I106" s="5">
        <f>IFERROR(INDEX(2b_POST_TRABAJO!C$5:C$109,MATCH($A106,2b_POST_TRABAJO!$A$5:$A$109,0)),"")</f>
        <v/>
      </c>
      <c r="J106" s="5">
        <f>IFERROR(INDEX(2a_PRE_TRABAJO!AD$5:AD$112,MATCH($A106,2a_PRE_TRABAJO!$A$5:$A$112,0)),"")</f>
        <v/>
      </c>
      <c r="K106" s="5">
        <f>IFERROR(INDEX(2a_PRE_TRABAJO!AE$5:AE$112,MATCH($A106,2a_PRE_TRABAJO!$A$5:$A$112,0)),"")</f>
        <v/>
      </c>
      <c r="L106" s="5">
        <f>IFERROR(INDEX(2a_PRE_TRABAJO!AF$5:AF$112,MATCH($A106,2a_PRE_TRABAJO!$A$5:$A$112,0)),"")</f>
        <v/>
      </c>
      <c r="M106" s="5">
        <f>IFERROR(INDEX(2a_PRE_TRABAJO!AG$5:AG$112,MATCH($A106,2a_PRE_TRABAJO!$A$5:$A$112,0)),"")</f>
        <v/>
      </c>
      <c r="N106" s="5">
        <f>IFERROR(INDEX(2b_POST_TRABAJO!D$5:D$109,MATCH($A106,2b_POST_TRABAJO!$A$5:$A$109,0)),"")</f>
        <v/>
      </c>
      <c r="O106" s="5">
        <f>IF(OR(N106="",J106=""),"",N106-J106)</f>
        <v/>
      </c>
      <c r="P106" s="5">
        <f>IFERROR(INDEX(2a_PRE_TRABAJO!H$5:H$112,MATCH($A106,2a_PRE_TRABAJO!$A$5:$A$112,0)),"")</f>
        <v/>
      </c>
      <c r="Q106" s="5">
        <f>IFERROR(INDEX(2a_PRE_TRABAJO!I$5:I$112,MATCH($A106,2a_PRE_TRABAJO!$A$5:$A$112,0)),"")</f>
        <v/>
      </c>
      <c r="R106" s="5">
        <f>IFERROR(INDEX(2a_PRE_TRABAJO!J$5:J$112,MATCH($A106,2a_PRE_TRABAJO!$A$5:$A$112,0)),"")</f>
        <v/>
      </c>
      <c r="S106" s="5">
        <f>IFERROR(INDEX(2a_PRE_TRABAJO!K$5:K$112,MATCH($A106,2a_PRE_TRABAJO!$A$5:$A$112,0)),"")</f>
        <v/>
      </c>
      <c r="T106" s="5">
        <f>IFERROR(INDEX(2a_PRE_TRABAJO!L$5:L$112,MATCH($A106,2a_PRE_TRABAJO!$A$5:$A$112,0)),"")</f>
        <v/>
      </c>
      <c r="U106" s="5">
        <f>IFERROR(INDEX(2a_PRE_TRABAJO!M$5:M$112,MATCH($A106,2a_PRE_TRABAJO!$A$5:$A$112,0)),"")</f>
        <v/>
      </c>
      <c r="V106" s="5">
        <f>IFERROR(INDEX(2a_PRE_TRABAJO!N$5:N$112,MATCH($A106,2a_PRE_TRABAJO!$A$5:$A$112,0)),"")</f>
        <v/>
      </c>
      <c r="W106" s="5">
        <f>IFERROR(INDEX(2a_PRE_TRABAJO!O$5:O$112,MATCH($A106,2a_PRE_TRABAJO!$A$5:$A$112,0)),"")</f>
        <v/>
      </c>
      <c r="X106" s="5">
        <f>IFERROR(INDEX(2a_PRE_TRABAJO!P$5:P$112,MATCH($A106,2a_PRE_TRABAJO!$A$5:$A$112,0)),"")</f>
        <v/>
      </c>
      <c r="Y106" s="5">
        <f>IFERROR(INDEX(2a_PRE_TRABAJO!Q$5:Q$112,MATCH($A106,2a_PRE_TRABAJO!$A$5:$A$112,0)),"")</f>
        <v/>
      </c>
      <c r="Z106" s="5">
        <f>IFERROR(INDEX(2a_PRE_TRABAJO!R$5:R$112,MATCH($A106,2a_PRE_TRABAJO!$A$5:$A$112,0)),"")</f>
        <v/>
      </c>
      <c r="AA106" s="5">
        <f>IFERROR(INDEX(2a_PRE_TRABAJO!S$5:S$112,MATCH($A106,2a_PRE_TRABAJO!$A$5:$A$112,0)),"")</f>
        <v/>
      </c>
      <c r="AB106" s="5">
        <f>IFERROR(INDEX(2a_PRE_TRABAJO!T$5:T$112,MATCH($A106,2a_PRE_TRABAJO!$A$5:$A$112,0)),"")</f>
        <v/>
      </c>
      <c r="AC106" s="5">
        <f>IFERROR(INDEX(2a_PRE_TRABAJO!U$5:U$112,MATCH($A106,2a_PRE_TRABAJO!$A$5:$A$112,0)),"")</f>
        <v/>
      </c>
      <c r="AD106" s="5">
        <f>IFERROR(INDEX(2a_PRE_TRABAJO!V$5:V$112,MATCH($A106,2a_PRE_TRABAJO!$A$5:$A$112,0)),"")</f>
        <v/>
      </c>
      <c r="AE106" s="5">
        <f>IFERROR(INDEX(2a_PRE_TRABAJO!W$5:W$112,MATCH($A106,2a_PRE_TRABAJO!$A$5:$A$112,0)),"")</f>
        <v/>
      </c>
      <c r="AF106" s="5">
        <f>IFERROR(INDEX(2a_PRE_TRABAJO!X$5:X$112,MATCH($A106,2a_PRE_TRABAJO!$A$5:$A$112,0)),"")</f>
        <v/>
      </c>
      <c r="AG106" s="5">
        <f>IFERROR(INDEX(2a_PRE_TRABAJO!Y$5:Y$112,MATCH($A106,2a_PRE_TRABAJO!$A$5:$A$112,0)),"")</f>
        <v/>
      </c>
      <c r="AH106" s="5">
        <f>IFERROR(INDEX(2a_PRE_TRABAJO!Z$5:Z$112,MATCH($A106,2a_PRE_TRABAJO!$A$5:$A$112,0)),"")</f>
        <v/>
      </c>
      <c r="AI106" s="5">
        <f>IFERROR(INDEX(2a_PRE_TRABAJO!AA$5:AA$112,MATCH($A106,2a_PRE_TRABAJO!$A$5:$A$112,0)),"")</f>
        <v/>
      </c>
      <c r="AJ106" s="5">
        <f>IFERROR(INDEX(2a_PRE_TRABAJO!AB$5:AB$112,MATCH($A106,2a_PRE_TRABAJO!$A$5:$A$112,0)),"")</f>
        <v/>
      </c>
      <c r="AK106" s="5">
        <f>IFERROR(INDEX(2a_PRE_TRABAJO!AC$5:AC$112,MATCH($A106,2a_PRE_TRABAJO!$A$5:$A$112,0)),"")</f>
        <v/>
      </c>
    </row>
    <row r="107">
      <c r="A107" s="3" t="inlineStr">
        <is>
          <t>GU-TDH-119</t>
        </is>
      </c>
      <c r="B107" s="3" t="n">
        <v>1</v>
      </c>
      <c r="C107" s="5">
        <f>IFERROR(INDEX(2a_PRE_TRABAJO!B$5:B$112,MATCH($A107,2a_PRE_TRABAJO!$A$5:$A$112,0)),"")</f>
        <v/>
      </c>
      <c r="D107" s="5">
        <f>IFERROR(INDEX(2a_PRE_TRABAJO!C$5:C$112,MATCH($A107,2a_PRE_TRABAJO!$A$5:$A$112,0)),"")</f>
        <v/>
      </c>
      <c r="E107" s="5">
        <f>IFERROR(INDEX(2a_PRE_TRABAJO!D$5:D$112,MATCH($A107,2a_PRE_TRABAJO!$A$5:$A$112,0)),"")</f>
        <v/>
      </c>
      <c r="F107" s="5">
        <f>IFERROR(INDEX(2a_PRE_TRABAJO!E$5:E$112,MATCH($A107,2a_PRE_TRABAJO!$A$5:$A$112,0)),"")</f>
        <v/>
      </c>
      <c r="G107" s="5">
        <f>IFERROR(INDEX(2a_PRE_TRABAJO!F$5:F$112,MATCH($A107,2a_PRE_TRABAJO!$A$5:$A$112,0)),"")</f>
        <v/>
      </c>
      <c r="H107" s="5">
        <f>IFERROR(INDEX(2a_PRE_TRABAJO!G$5:G$112,MATCH($A107,2a_PRE_TRABAJO!$A$5:$A$112,0)),"")</f>
        <v/>
      </c>
      <c r="I107" s="5">
        <f>IFERROR(INDEX(2b_POST_TRABAJO!C$5:C$109,MATCH($A107,2b_POST_TRABAJO!$A$5:$A$109,0)),"")</f>
        <v/>
      </c>
      <c r="J107" s="5">
        <f>IFERROR(INDEX(2a_PRE_TRABAJO!AD$5:AD$112,MATCH($A107,2a_PRE_TRABAJO!$A$5:$A$112,0)),"")</f>
        <v/>
      </c>
      <c r="K107" s="5">
        <f>IFERROR(INDEX(2a_PRE_TRABAJO!AE$5:AE$112,MATCH($A107,2a_PRE_TRABAJO!$A$5:$A$112,0)),"")</f>
        <v/>
      </c>
      <c r="L107" s="5">
        <f>IFERROR(INDEX(2a_PRE_TRABAJO!AF$5:AF$112,MATCH($A107,2a_PRE_TRABAJO!$A$5:$A$112,0)),"")</f>
        <v/>
      </c>
      <c r="M107" s="5">
        <f>IFERROR(INDEX(2a_PRE_TRABAJO!AG$5:AG$112,MATCH($A107,2a_PRE_TRABAJO!$A$5:$A$112,0)),"")</f>
        <v/>
      </c>
      <c r="N107" s="5">
        <f>IFERROR(INDEX(2b_POST_TRABAJO!D$5:D$109,MATCH($A107,2b_POST_TRABAJO!$A$5:$A$109,0)),"")</f>
        <v/>
      </c>
      <c r="O107" s="5">
        <f>IF(OR(N107="",J107=""),"",N107-J107)</f>
        <v/>
      </c>
      <c r="P107" s="5">
        <f>IFERROR(INDEX(2a_PRE_TRABAJO!H$5:H$112,MATCH($A107,2a_PRE_TRABAJO!$A$5:$A$112,0)),"")</f>
        <v/>
      </c>
      <c r="Q107" s="5">
        <f>IFERROR(INDEX(2a_PRE_TRABAJO!I$5:I$112,MATCH($A107,2a_PRE_TRABAJO!$A$5:$A$112,0)),"")</f>
        <v/>
      </c>
      <c r="R107" s="5">
        <f>IFERROR(INDEX(2a_PRE_TRABAJO!J$5:J$112,MATCH($A107,2a_PRE_TRABAJO!$A$5:$A$112,0)),"")</f>
        <v/>
      </c>
      <c r="S107" s="5">
        <f>IFERROR(INDEX(2a_PRE_TRABAJO!K$5:K$112,MATCH($A107,2a_PRE_TRABAJO!$A$5:$A$112,0)),"")</f>
        <v/>
      </c>
      <c r="T107" s="5">
        <f>IFERROR(INDEX(2a_PRE_TRABAJO!L$5:L$112,MATCH($A107,2a_PRE_TRABAJO!$A$5:$A$112,0)),"")</f>
        <v/>
      </c>
      <c r="U107" s="5">
        <f>IFERROR(INDEX(2a_PRE_TRABAJO!M$5:M$112,MATCH($A107,2a_PRE_TRABAJO!$A$5:$A$112,0)),"")</f>
        <v/>
      </c>
      <c r="V107" s="5">
        <f>IFERROR(INDEX(2a_PRE_TRABAJO!N$5:N$112,MATCH($A107,2a_PRE_TRABAJO!$A$5:$A$112,0)),"")</f>
        <v/>
      </c>
      <c r="W107" s="5">
        <f>IFERROR(INDEX(2a_PRE_TRABAJO!O$5:O$112,MATCH($A107,2a_PRE_TRABAJO!$A$5:$A$112,0)),"")</f>
        <v/>
      </c>
      <c r="X107" s="5">
        <f>IFERROR(INDEX(2a_PRE_TRABAJO!P$5:P$112,MATCH($A107,2a_PRE_TRABAJO!$A$5:$A$112,0)),"")</f>
        <v/>
      </c>
      <c r="Y107" s="5">
        <f>IFERROR(INDEX(2a_PRE_TRABAJO!Q$5:Q$112,MATCH($A107,2a_PRE_TRABAJO!$A$5:$A$112,0)),"")</f>
        <v/>
      </c>
      <c r="Z107" s="5">
        <f>IFERROR(INDEX(2a_PRE_TRABAJO!R$5:R$112,MATCH($A107,2a_PRE_TRABAJO!$A$5:$A$112,0)),"")</f>
        <v/>
      </c>
      <c r="AA107" s="5">
        <f>IFERROR(INDEX(2a_PRE_TRABAJO!S$5:S$112,MATCH($A107,2a_PRE_TRABAJO!$A$5:$A$112,0)),"")</f>
        <v/>
      </c>
      <c r="AB107" s="5">
        <f>IFERROR(INDEX(2a_PRE_TRABAJO!T$5:T$112,MATCH($A107,2a_PRE_TRABAJO!$A$5:$A$112,0)),"")</f>
        <v/>
      </c>
      <c r="AC107" s="5">
        <f>IFERROR(INDEX(2a_PRE_TRABAJO!U$5:U$112,MATCH($A107,2a_PRE_TRABAJO!$A$5:$A$112,0)),"")</f>
        <v/>
      </c>
      <c r="AD107" s="5">
        <f>IFERROR(INDEX(2a_PRE_TRABAJO!V$5:V$112,MATCH($A107,2a_PRE_TRABAJO!$A$5:$A$112,0)),"")</f>
        <v/>
      </c>
      <c r="AE107" s="5">
        <f>IFERROR(INDEX(2a_PRE_TRABAJO!W$5:W$112,MATCH($A107,2a_PRE_TRABAJO!$A$5:$A$112,0)),"")</f>
        <v/>
      </c>
      <c r="AF107" s="5">
        <f>IFERROR(INDEX(2a_PRE_TRABAJO!X$5:X$112,MATCH($A107,2a_PRE_TRABAJO!$A$5:$A$112,0)),"")</f>
        <v/>
      </c>
      <c r="AG107" s="5">
        <f>IFERROR(INDEX(2a_PRE_TRABAJO!Y$5:Y$112,MATCH($A107,2a_PRE_TRABAJO!$A$5:$A$112,0)),"")</f>
        <v/>
      </c>
      <c r="AH107" s="5">
        <f>IFERROR(INDEX(2a_PRE_TRABAJO!Z$5:Z$112,MATCH($A107,2a_PRE_TRABAJO!$A$5:$A$112,0)),"")</f>
        <v/>
      </c>
      <c r="AI107" s="5">
        <f>IFERROR(INDEX(2a_PRE_TRABAJO!AA$5:AA$112,MATCH($A107,2a_PRE_TRABAJO!$A$5:$A$112,0)),"")</f>
        <v/>
      </c>
      <c r="AJ107" s="5">
        <f>IFERROR(INDEX(2a_PRE_TRABAJO!AB$5:AB$112,MATCH($A107,2a_PRE_TRABAJO!$A$5:$A$112,0)),"")</f>
        <v/>
      </c>
      <c r="AK107" s="5">
        <f>IFERROR(INDEX(2a_PRE_TRABAJO!AC$5:AC$112,MATCH($A107,2a_PRE_TRABAJO!$A$5:$A$112,0)),"")</f>
        <v/>
      </c>
    </row>
    <row r="108">
      <c r="A108" s="3" t="inlineStr">
        <is>
          <t>GU-TDH-120</t>
        </is>
      </c>
      <c r="B108" s="3" t="n">
        <v>1</v>
      </c>
      <c r="C108" s="5">
        <f>IFERROR(INDEX(2a_PRE_TRABAJO!B$5:B$112,MATCH($A108,2a_PRE_TRABAJO!$A$5:$A$112,0)),"")</f>
        <v/>
      </c>
      <c r="D108" s="5">
        <f>IFERROR(INDEX(2a_PRE_TRABAJO!C$5:C$112,MATCH($A108,2a_PRE_TRABAJO!$A$5:$A$112,0)),"")</f>
        <v/>
      </c>
      <c r="E108" s="5">
        <f>IFERROR(INDEX(2a_PRE_TRABAJO!D$5:D$112,MATCH($A108,2a_PRE_TRABAJO!$A$5:$A$112,0)),"")</f>
        <v/>
      </c>
      <c r="F108" s="5">
        <f>IFERROR(INDEX(2a_PRE_TRABAJO!E$5:E$112,MATCH($A108,2a_PRE_TRABAJO!$A$5:$A$112,0)),"")</f>
        <v/>
      </c>
      <c r="G108" s="5">
        <f>IFERROR(INDEX(2a_PRE_TRABAJO!F$5:F$112,MATCH($A108,2a_PRE_TRABAJO!$A$5:$A$112,0)),"")</f>
        <v/>
      </c>
      <c r="H108" s="5">
        <f>IFERROR(INDEX(2a_PRE_TRABAJO!G$5:G$112,MATCH($A108,2a_PRE_TRABAJO!$A$5:$A$112,0)),"")</f>
        <v/>
      </c>
      <c r="I108" s="5">
        <f>IFERROR(INDEX(2b_POST_TRABAJO!C$5:C$109,MATCH($A108,2b_POST_TRABAJO!$A$5:$A$109,0)),"")</f>
        <v/>
      </c>
      <c r="J108" s="5">
        <f>IFERROR(INDEX(2a_PRE_TRABAJO!AD$5:AD$112,MATCH($A108,2a_PRE_TRABAJO!$A$5:$A$112,0)),"")</f>
        <v/>
      </c>
      <c r="K108" s="5">
        <f>IFERROR(INDEX(2a_PRE_TRABAJO!AE$5:AE$112,MATCH($A108,2a_PRE_TRABAJO!$A$5:$A$112,0)),"")</f>
        <v/>
      </c>
      <c r="L108" s="5">
        <f>IFERROR(INDEX(2a_PRE_TRABAJO!AF$5:AF$112,MATCH($A108,2a_PRE_TRABAJO!$A$5:$A$112,0)),"")</f>
        <v/>
      </c>
      <c r="M108" s="5">
        <f>IFERROR(INDEX(2a_PRE_TRABAJO!AG$5:AG$112,MATCH($A108,2a_PRE_TRABAJO!$A$5:$A$112,0)),"")</f>
        <v/>
      </c>
      <c r="N108" s="5">
        <f>IFERROR(INDEX(2b_POST_TRABAJO!D$5:D$109,MATCH($A108,2b_POST_TRABAJO!$A$5:$A$109,0)),"")</f>
        <v/>
      </c>
      <c r="O108" s="5">
        <f>IF(OR(N108="",J108=""),"",N108-J108)</f>
        <v/>
      </c>
      <c r="P108" s="5">
        <f>IFERROR(INDEX(2a_PRE_TRABAJO!H$5:H$112,MATCH($A108,2a_PRE_TRABAJO!$A$5:$A$112,0)),"")</f>
        <v/>
      </c>
      <c r="Q108" s="5">
        <f>IFERROR(INDEX(2a_PRE_TRABAJO!I$5:I$112,MATCH($A108,2a_PRE_TRABAJO!$A$5:$A$112,0)),"")</f>
        <v/>
      </c>
      <c r="R108" s="5">
        <f>IFERROR(INDEX(2a_PRE_TRABAJO!J$5:J$112,MATCH($A108,2a_PRE_TRABAJO!$A$5:$A$112,0)),"")</f>
        <v/>
      </c>
      <c r="S108" s="5">
        <f>IFERROR(INDEX(2a_PRE_TRABAJO!K$5:K$112,MATCH($A108,2a_PRE_TRABAJO!$A$5:$A$112,0)),"")</f>
        <v/>
      </c>
      <c r="T108" s="5">
        <f>IFERROR(INDEX(2a_PRE_TRABAJO!L$5:L$112,MATCH($A108,2a_PRE_TRABAJO!$A$5:$A$112,0)),"")</f>
        <v/>
      </c>
      <c r="U108" s="5">
        <f>IFERROR(INDEX(2a_PRE_TRABAJO!M$5:M$112,MATCH($A108,2a_PRE_TRABAJO!$A$5:$A$112,0)),"")</f>
        <v/>
      </c>
      <c r="V108" s="5">
        <f>IFERROR(INDEX(2a_PRE_TRABAJO!N$5:N$112,MATCH($A108,2a_PRE_TRABAJO!$A$5:$A$112,0)),"")</f>
        <v/>
      </c>
      <c r="W108" s="5">
        <f>IFERROR(INDEX(2a_PRE_TRABAJO!O$5:O$112,MATCH($A108,2a_PRE_TRABAJO!$A$5:$A$112,0)),"")</f>
        <v/>
      </c>
      <c r="X108" s="5">
        <f>IFERROR(INDEX(2a_PRE_TRABAJO!P$5:P$112,MATCH($A108,2a_PRE_TRABAJO!$A$5:$A$112,0)),"")</f>
        <v/>
      </c>
      <c r="Y108" s="5">
        <f>IFERROR(INDEX(2a_PRE_TRABAJO!Q$5:Q$112,MATCH($A108,2a_PRE_TRABAJO!$A$5:$A$112,0)),"")</f>
        <v/>
      </c>
      <c r="Z108" s="5">
        <f>IFERROR(INDEX(2a_PRE_TRABAJO!R$5:R$112,MATCH($A108,2a_PRE_TRABAJO!$A$5:$A$112,0)),"")</f>
        <v/>
      </c>
      <c r="AA108" s="5">
        <f>IFERROR(INDEX(2a_PRE_TRABAJO!S$5:S$112,MATCH($A108,2a_PRE_TRABAJO!$A$5:$A$112,0)),"")</f>
        <v/>
      </c>
      <c r="AB108" s="5">
        <f>IFERROR(INDEX(2a_PRE_TRABAJO!T$5:T$112,MATCH($A108,2a_PRE_TRABAJO!$A$5:$A$112,0)),"")</f>
        <v/>
      </c>
      <c r="AC108" s="5">
        <f>IFERROR(INDEX(2a_PRE_TRABAJO!U$5:U$112,MATCH($A108,2a_PRE_TRABAJO!$A$5:$A$112,0)),"")</f>
        <v/>
      </c>
      <c r="AD108" s="5">
        <f>IFERROR(INDEX(2a_PRE_TRABAJO!V$5:V$112,MATCH($A108,2a_PRE_TRABAJO!$A$5:$A$112,0)),"")</f>
        <v/>
      </c>
      <c r="AE108" s="5">
        <f>IFERROR(INDEX(2a_PRE_TRABAJO!W$5:W$112,MATCH($A108,2a_PRE_TRABAJO!$A$5:$A$112,0)),"")</f>
        <v/>
      </c>
      <c r="AF108" s="5">
        <f>IFERROR(INDEX(2a_PRE_TRABAJO!X$5:X$112,MATCH($A108,2a_PRE_TRABAJO!$A$5:$A$112,0)),"")</f>
        <v/>
      </c>
      <c r="AG108" s="5">
        <f>IFERROR(INDEX(2a_PRE_TRABAJO!Y$5:Y$112,MATCH($A108,2a_PRE_TRABAJO!$A$5:$A$112,0)),"")</f>
        <v/>
      </c>
      <c r="AH108" s="5">
        <f>IFERROR(INDEX(2a_PRE_TRABAJO!Z$5:Z$112,MATCH($A108,2a_PRE_TRABAJO!$A$5:$A$112,0)),"")</f>
        <v/>
      </c>
      <c r="AI108" s="5">
        <f>IFERROR(INDEX(2a_PRE_TRABAJO!AA$5:AA$112,MATCH($A108,2a_PRE_TRABAJO!$A$5:$A$112,0)),"")</f>
        <v/>
      </c>
      <c r="AJ108" s="5">
        <f>IFERROR(INDEX(2a_PRE_TRABAJO!AB$5:AB$112,MATCH($A108,2a_PRE_TRABAJO!$A$5:$A$112,0)),"")</f>
        <v/>
      </c>
      <c r="AK108" s="5">
        <f>IFERROR(INDEX(2a_PRE_TRABAJO!AC$5:AC$112,MATCH($A108,2a_PRE_TRABAJO!$A$5:$A$112,0)),"")</f>
        <v/>
      </c>
    </row>
    <row r="109">
      <c r="A109" s="3" t="inlineStr">
        <is>
          <t>GU-TDH-121</t>
        </is>
      </c>
      <c r="B109" s="3" t="n">
        <v>1</v>
      </c>
      <c r="C109" s="5">
        <f>IFERROR(INDEX(2a_PRE_TRABAJO!B$5:B$112,MATCH($A109,2a_PRE_TRABAJO!$A$5:$A$112,0)),"")</f>
        <v/>
      </c>
      <c r="D109" s="5">
        <f>IFERROR(INDEX(2a_PRE_TRABAJO!C$5:C$112,MATCH($A109,2a_PRE_TRABAJO!$A$5:$A$112,0)),"")</f>
        <v/>
      </c>
      <c r="E109" s="5">
        <f>IFERROR(INDEX(2a_PRE_TRABAJO!D$5:D$112,MATCH($A109,2a_PRE_TRABAJO!$A$5:$A$112,0)),"")</f>
        <v/>
      </c>
      <c r="F109" s="5">
        <f>IFERROR(INDEX(2a_PRE_TRABAJO!E$5:E$112,MATCH($A109,2a_PRE_TRABAJO!$A$5:$A$112,0)),"")</f>
        <v/>
      </c>
      <c r="G109" s="5">
        <f>IFERROR(INDEX(2a_PRE_TRABAJO!F$5:F$112,MATCH($A109,2a_PRE_TRABAJO!$A$5:$A$112,0)),"")</f>
        <v/>
      </c>
      <c r="H109" s="5">
        <f>IFERROR(INDEX(2a_PRE_TRABAJO!G$5:G$112,MATCH($A109,2a_PRE_TRABAJO!$A$5:$A$112,0)),"")</f>
        <v/>
      </c>
      <c r="I109" s="5">
        <f>IFERROR(INDEX(2b_POST_TRABAJO!C$5:C$109,MATCH($A109,2b_POST_TRABAJO!$A$5:$A$109,0)),"")</f>
        <v/>
      </c>
      <c r="J109" s="5">
        <f>IFERROR(INDEX(2a_PRE_TRABAJO!AD$5:AD$112,MATCH($A109,2a_PRE_TRABAJO!$A$5:$A$112,0)),"")</f>
        <v/>
      </c>
      <c r="K109" s="5">
        <f>IFERROR(INDEX(2a_PRE_TRABAJO!AE$5:AE$112,MATCH($A109,2a_PRE_TRABAJO!$A$5:$A$112,0)),"")</f>
        <v/>
      </c>
      <c r="L109" s="5">
        <f>IFERROR(INDEX(2a_PRE_TRABAJO!AF$5:AF$112,MATCH($A109,2a_PRE_TRABAJO!$A$5:$A$112,0)),"")</f>
        <v/>
      </c>
      <c r="M109" s="5">
        <f>IFERROR(INDEX(2a_PRE_TRABAJO!AG$5:AG$112,MATCH($A109,2a_PRE_TRABAJO!$A$5:$A$112,0)),"")</f>
        <v/>
      </c>
      <c r="N109" s="5">
        <f>IFERROR(INDEX(2b_POST_TRABAJO!D$5:D$109,MATCH($A109,2b_POST_TRABAJO!$A$5:$A$109,0)),"")</f>
        <v/>
      </c>
      <c r="O109" s="5">
        <f>IF(OR(N109="",J109=""),"",N109-J109)</f>
        <v/>
      </c>
      <c r="P109" s="5">
        <f>IFERROR(INDEX(2a_PRE_TRABAJO!H$5:H$112,MATCH($A109,2a_PRE_TRABAJO!$A$5:$A$112,0)),"")</f>
        <v/>
      </c>
      <c r="Q109" s="5">
        <f>IFERROR(INDEX(2a_PRE_TRABAJO!I$5:I$112,MATCH($A109,2a_PRE_TRABAJO!$A$5:$A$112,0)),"")</f>
        <v/>
      </c>
      <c r="R109" s="5">
        <f>IFERROR(INDEX(2a_PRE_TRABAJO!J$5:J$112,MATCH($A109,2a_PRE_TRABAJO!$A$5:$A$112,0)),"")</f>
        <v/>
      </c>
      <c r="S109" s="5">
        <f>IFERROR(INDEX(2a_PRE_TRABAJO!K$5:K$112,MATCH($A109,2a_PRE_TRABAJO!$A$5:$A$112,0)),"")</f>
        <v/>
      </c>
      <c r="T109" s="5">
        <f>IFERROR(INDEX(2a_PRE_TRABAJO!L$5:L$112,MATCH($A109,2a_PRE_TRABAJO!$A$5:$A$112,0)),"")</f>
        <v/>
      </c>
      <c r="U109" s="5">
        <f>IFERROR(INDEX(2a_PRE_TRABAJO!M$5:M$112,MATCH($A109,2a_PRE_TRABAJO!$A$5:$A$112,0)),"")</f>
        <v/>
      </c>
      <c r="V109" s="5">
        <f>IFERROR(INDEX(2a_PRE_TRABAJO!N$5:N$112,MATCH($A109,2a_PRE_TRABAJO!$A$5:$A$112,0)),"")</f>
        <v/>
      </c>
      <c r="W109" s="5">
        <f>IFERROR(INDEX(2a_PRE_TRABAJO!O$5:O$112,MATCH($A109,2a_PRE_TRABAJO!$A$5:$A$112,0)),"")</f>
        <v/>
      </c>
      <c r="X109" s="5">
        <f>IFERROR(INDEX(2a_PRE_TRABAJO!P$5:P$112,MATCH($A109,2a_PRE_TRABAJO!$A$5:$A$112,0)),"")</f>
        <v/>
      </c>
      <c r="Y109" s="5">
        <f>IFERROR(INDEX(2a_PRE_TRABAJO!Q$5:Q$112,MATCH($A109,2a_PRE_TRABAJO!$A$5:$A$112,0)),"")</f>
        <v/>
      </c>
      <c r="Z109" s="5">
        <f>IFERROR(INDEX(2a_PRE_TRABAJO!R$5:R$112,MATCH($A109,2a_PRE_TRABAJO!$A$5:$A$112,0)),"")</f>
        <v/>
      </c>
      <c r="AA109" s="5">
        <f>IFERROR(INDEX(2a_PRE_TRABAJO!S$5:S$112,MATCH($A109,2a_PRE_TRABAJO!$A$5:$A$112,0)),"")</f>
        <v/>
      </c>
      <c r="AB109" s="5">
        <f>IFERROR(INDEX(2a_PRE_TRABAJO!T$5:T$112,MATCH($A109,2a_PRE_TRABAJO!$A$5:$A$112,0)),"")</f>
        <v/>
      </c>
      <c r="AC109" s="5">
        <f>IFERROR(INDEX(2a_PRE_TRABAJO!U$5:U$112,MATCH($A109,2a_PRE_TRABAJO!$A$5:$A$112,0)),"")</f>
        <v/>
      </c>
      <c r="AD109" s="5">
        <f>IFERROR(INDEX(2a_PRE_TRABAJO!V$5:V$112,MATCH($A109,2a_PRE_TRABAJO!$A$5:$A$112,0)),"")</f>
        <v/>
      </c>
      <c r="AE109" s="5">
        <f>IFERROR(INDEX(2a_PRE_TRABAJO!W$5:W$112,MATCH($A109,2a_PRE_TRABAJO!$A$5:$A$112,0)),"")</f>
        <v/>
      </c>
      <c r="AF109" s="5">
        <f>IFERROR(INDEX(2a_PRE_TRABAJO!X$5:X$112,MATCH($A109,2a_PRE_TRABAJO!$A$5:$A$112,0)),"")</f>
        <v/>
      </c>
      <c r="AG109" s="5">
        <f>IFERROR(INDEX(2a_PRE_TRABAJO!Y$5:Y$112,MATCH($A109,2a_PRE_TRABAJO!$A$5:$A$112,0)),"")</f>
        <v/>
      </c>
      <c r="AH109" s="5">
        <f>IFERROR(INDEX(2a_PRE_TRABAJO!Z$5:Z$112,MATCH($A109,2a_PRE_TRABAJO!$A$5:$A$112,0)),"")</f>
        <v/>
      </c>
      <c r="AI109" s="5">
        <f>IFERROR(INDEX(2a_PRE_TRABAJO!AA$5:AA$112,MATCH($A109,2a_PRE_TRABAJO!$A$5:$A$112,0)),"")</f>
        <v/>
      </c>
      <c r="AJ109" s="5">
        <f>IFERROR(INDEX(2a_PRE_TRABAJO!AB$5:AB$112,MATCH($A109,2a_PRE_TRABAJO!$A$5:$A$112,0)),"")</f>
        <v/>
      </c>
      <c r="AK109" s="5">
        <f>IFERROR(INDEX(2a_PRE_TRABAJO!AC$5:AC$112,MATCH($A109,2a_PRE_TRABAJO!$A$5:$A$112,0)),"")</f>
        <v/>
      </c>
    </row>
    <row r="110">
      <c r="A110" s="3" t="inlineStr">
        <is>
          <t>GU-TDH-122</t>
        </is>
      </c>
      <c r="B110" s="3" t="n">
        <v>1</v>
      </c>
      <c r="C110" s="5">
        <f>IFERROR(INDEX(2a_PRE_TRABAJO!B$5:B$112,MATCH($A110,2a_PRE_TRABAJO!$A$5:$A$112,0)),"")</f>
        <v/>
      </c>
      <c r="D110" s="5">
        <f>IFERROR(INDEX(2a_PRE_TRABAJO!C$5:C$112,MATCH($A110,2a_PRE_TRABAJO!$A$5:$A$112,0)),"")</f>
        <v/>
      </c>
      <c r="E110" s="5">
        <f>IFERROR(INDEX(2a_PRE_TRABAJO!D$5:D$112,MATCH($A110,2a_PRE_TRABAJO!$A$5:$A$112,0)),"")</f>
        <v/>
      </c>
      <c r="F110" s="5">
        <f>IFERROR(INDEX(2a_PRE_TRABAJO!E$5:E$112,MATCH($A110,2a_PRE_TRABAJO!$A$5:$A$112,0)),"")</f>
        <v/>
      </c>
      <c r="G110" s="5">
        <f>IFERROR(INDEX(2a_PRE_TRABAJO!F$5:F$112,MATCH($A110,2a_PRE_TRABAJO!$A$5:$A$112,0)),"")</f>
        <v/>
      </c>
      <c r="H110" s="5">
        <f>IFERROR(INDEX(2a_PRE_TRABAJO!G$5:G$112,MATCH($A110,2a_PRE_TRABAJO!$A$5:$A$112,0)),"")</f>
        <v/>
      </c>
      <c r="I110" s="5">
        <f>IFERROR(INDEX(2b_POST_TRABAJO!C$5:C$109,MATCH($A110,2b_POST_TRABAJO!$A$5:$A$109,0)),"")</f>
        <v/>
      </c>
      <c r="J110" s="5">
        <f>IFERROR(INDEX(2a_PRE_TRABAJO!AD$5:AD$112,MATCH($A110,2a_PRE_TRABAJO!$A$5:$A$112,0)),"")</f>
        <v/>
      </c>
      <c r="K110" s="5">
        <f>IFERROR(INDEX(2a_PRE_TRABAJO!AE$5:AE$112,MATCH($A110,2a_PRE_TRABAJO!$A$5:$A$112,0)),"")</f>
        <v/>
      </c>
      <c r="L110" s="5">
        <f>IFERROR(INDEX(2a_PRE_TRABAJO!AF$5:AF$112,MATCH($A110,2a_PRE_TRABAJO!$A$5:$A$112,0)),"")</f>
        <v/>
      </c>
      <c r="M110" s="5">
        <f>IFERROR(INDEX(2a_PRE_TRABAJO!AG$5:AG$112,MATCH($A110,2a_PRE_TRABAJO!$A$5:$A$112,0)),"")</f>
        <v/>
      </c>
      <c r="N110" s="5">
        <f>IFERROR(INDEX(2b_POST_TRABAJO!D$5:D$109,MATCH($A110,2b_POST_TRABAJO!$A$5:$A$109,0)),"")</f>
        <v/>
      </c>
      <c r="O110" s="5">
        <f>IF(OR(N110="",J110=""),"",N110-J110)</f>
        <v/>
      </c>
      <c r="P110" s="5">
        <f>IFERROR(INDEX(2a_PRE_TRABAJO!H$5:H$112,MATCH($A110,2a_PRE_TRABAJO!$A$5:$A$112,0)),"")</f>
        <v/>
      </c>
      <c r="Q110" s="5">
        <f>IFERROR(INDEX(2a_PRE_TRABAJO!I$5:I$112,MATCH($A110,2a_PRE_TRABAJO!$A$5:$A$112,0)),"")</f>
        <v/>
      </c>
      <c r="R110" s="5">
        <f>IFERROR(INDEX(2a_PRE_TRABAJO!J$5:J$112,MATCH($A110,2a_PRE_TRABAJO!$A$5:$A$112,0)),"")</f>
        <v/>
      </c>
      <c r="S110" s="5">
        <f>IFERROR(INDEX(2a_PRE_TRABAJO!K$5:K$112,MATCH($A110,2a_PRE_TRABAJO!$A$5:$A$112,0)),"")</f>
        <v/>
      </c>
      <c r="T110" s="5">
        <f>IFERROR(INDEX(2a_PRE_TRABAJO!L$5:L$112,MATCH($A110,2a_PRE_TRABAJO!$A$5:$A$112,0)),"")</f>
        <v/>
      </c>
      <c r="U110" s="5">
        <f>IFERROR(INDEX(2a_PRE_TRABAJO!M$5:M$112,MATCH($A110,2a_PRE_TRABAJO!$A$5:$A$112,0)),"")</f>
        <v/>
      </c>
      <c r="V110" s="5">
        <f>IFERROR(INDEX(2a_PRE_TRABAJO!N$5:N$112,MATCH($A110,2a_PRE_TRABAJO!$A$5:$A$112,0)),"")</f>
        <v/>
      </c>
      <c r="W110" s="5">
        <f>IFERROR(INDEX(2a_PRE_TRABAJO!O$5:O$112,MATCH($A110,2a_PRE_TRABAJO!$A$5:$A$112,0)),"")</f>
        <v/>
      </c>
      <c r="X110" s="5">
        <f>IFERROR(INDEX(2a_PRE_TRABAJO!P$5:P$112,MATCH($A110,2a_PRE_TRABAJO!$A$5:$A$112,0)),"")</f>
        <v/>
      </c>
      <c r="Y110" s="5">
        <f>IFERROR(INDEX(2a_PRE_TRABAJO!Q$5:Q$112,MATCH($A110,2a_PRE_TRABAJO!$A$5:$A$112,0)),"")</f>
        <v/>
      </c>
      <c r="Z110" s="5">
        <f>IFERROR(INDEX(2a_PRE_TRABAJO!R$5:R$112,MATCH($A110,2a_PRE_TRABAJO!$A$5:$A$112,0)),"")</f>
        <v/>
      </c>
      <c r="AA110" s="5">
        <f>IFERROR(INDEX(2a_PRE_TRABAJO!S$5:S$112,MATCH($A110,2a_PRE_TRABAJO!$A$5:$A$112,0)),"")</f>
        <v/>
      </c>
      <c r="AB110" s="5">
        <f>IFERROR(INDEX(2a_PRE_TRABAJO!T$5:T$112,MATCH($A110,2a_PRE_TRABAJO!$A$5:$A$112,0)),"")</f>
        <v/>
      </c>
      <c r="AC110" s="5">
        <f>IFERROR(INDEX(2a_PRE_TRABAJO!U$5:U$112,MATCH($A110,2a_PRE_TRABAJO!$A$5:$A$112,0)),"")</f>
        <v/>
      </c>
      <c r="AD110" s="5">
        <f>IFERROR(INDEX(2a_PRE_TRABAJO!V$5:V$112,MATCH($A110,2a_PRE_TRABAJO!$A$5:$A$112,0)),"")</f>
        <v/>
      </c>
      <c r="AE110" s="5">
        <f>IFERROR(INDEX(2a_PRE_TRABAJO!W$5:W$112,MATCH($A110,2a_PRE_TRABAJO!$A$5:$A$112,0)),"")</f>
        <v/>
      </c>
      <c r="AF110" s="5">
        <f>IFERROR(INDEX(2a_PRE_TRABAJO!X$5:X$112,MATCH($A110,2a_PRE_TRABAJO!$A$5:$A$112,0)),"")</f>
        <v/>
      </c>
      <c r="AG110" s="5">
        <f>IFERROR(INDEX(2a_PRE_TRABAJO!Y$5:Y$112,MATCH($A110,2a_PRE_TRABAJO!$A$5:$A$112,0)),"")</f>
        <v/>
      </c>
      <c r="AH110" s="5">
        <f>IFERROR(INDEX(2a_PRE_TRABAJO!Z$5:Z$112,MATCH($A110,2a_PRE_TRABAJO!$A$5:$A$112,0)),"")</f>
        <v/>
      </c>
      <c r="AI110" s="5">
        <f>IFERROR(INDEX(2a_PRE_TRABAJO!AA$5:AA$112,MATCH($A110,2a_PRE_TRABAJO!$A$5:$A$112,0)),"")</f>
        <v/>
      </c>
      <c r="AJ110" s="5">
        <f>IFERROR(INDEX(2a_PRE_TRABAJO!AB$5:AB$112,MATCH($A110,2a_PRE_TRABAJO!$A$5:$A$112,0)),"")</f>
        <v/>
      </c>
      <c r="AK110" s="5">
        <f>IFERROR(INDEX(2a_PRE_TRABAJO!AC$5:AC$112,MATCH($A110,2a_PRE_TRABAJO!$A$5:$A$112,0)),"")</f>
        <v/>
      </c>
    </row>
    <row r="111">
      <c r="A111" s="3" t="inlineStr">
        <is>
          <t>GU-TDH-124</t>
        </is>
      </c>
      <c r="B111" s="3" t="n">
        <v>1</v>
      </c>
      <c r="C111" s="5">
        <f>IFERROR(INDEX(2a_PRE_TRABAJO!B$5:B$112,MATCH($A111,2a_PRE_TRABAJO!$A$5:$A$112,0)),"")</f>
        <v/>
      </c>
      <c r="D111" s="5">
        <f>IFERROR(INDEX(2a_PRE_TRABAJO!C$5:C$112,MATCH($A111,2a_PRE_TRABAJO!$A$5:$A$112,0)),"")</f>
        <v/>
      </c>
      <c r="E111" s="5">
        <f>IFERROR(INDEX(2a_PRE_TRABAJO!D$5:D$112,MATCH($A111,2a_PRE_TRABAJO!$A$5:$A$112,0)),"")</f>
        <v/>
      </c>
      <c r="F111" s="5">
        <f>IFERROR(INDEX(2a_PRE_TRABAJO!E$5:E$112,MATCH($A111,2a_PRE_TRABAJO!$A$5:$A$112,0)),"")</f>
        <v/>
      </c>
      <c r="G111" s="5">
        <f>IFERROR(INDEX(2a_PRE_TRABAJO!F$5:F$112,MATCH($A111,2a_PRE_TRABAJO!$A$5:$A$112,0)),"")</f>
        <v/>
      </c>
      <c r="H111" s="5">
        <f>IFERROR(INDEX(2a_PRE_TRABAJO!G$5:G$112,MATCH($A111,2a_PRE_TRABAJO!$A$5:$A$112,0)),"")</f>
        <v/>
      </c>
      <c r="I111" s="5">
        <f>IFERROR(INDEX(2b_POST_TRABAJO!C$5:C$109,MATCH($A111,2b_POST_TRABAJO!$A$5:$A$109,0)),"")</f>
        <v/>
      </c>
      <c r="J111" s="5">
        <f>IFERROR(INDEX(2a_PRE_TRABAJO!AD$5:AD$112,MATCH($A111,2a_PRE_TRABAJO!$A$5:$A$112,0)),"")</f>
        <v/>
      </c>
      <c r="K111" s="5">
        <f>IFERROR(INDEX(2a_PRE_TRABAJO!AE$5:AE$112,MATCH($A111,2a_PRE_TRABAJO!$A$5:$A$112,0)),"")</f>
        <v/>
      </c>
      <c r="L111" s="5">
        <f>IFERROR(INDEX(2a_PRE_TRABAJO!AF$5:AF$112,MATCH($A111,2a_PRE_TRABAJO!$A$5:$A$112,0)),"")</f>
        <v/>
      </c>
      <c r="M111" s="5">
        <f>IFERROR(INDEX(2a_PRE_TRABAJO!AG$5:AG$112,MATCH($A111,2a_PRE_TRABAJO!$A$5:$A$112,0)),"")</f>
        <v/>
      </c>
      <c r="N111" s="5">
        <f>IFERROR(INDEX(2b_POST_TRABAJO!D$5:D$109,MATCH($A111,2b_POST_TRABAJO!$A$5:$A$109,0)),"")</f>
        <v/>
      </c>
      <c r="O111" s="5">
        <f>IF(OR(N111="",J111=""),"",N111-J111)</f>
        <v/>
      </c>
      <c r="P111" s="5">
        <f>IFERROR(INDEX(2a_PRE_TRABAJO!H$5:H$112,MATCH($A111,2a_PRE_TRABAJO!$A$5:$A$112,0)),"")</f>
        <v/>
      </c>
      <c r="Q111" s="5">
        <f>IFERROR(INDEX(2a_PRE_TRABAJO!I$5:I$112,MATCH($A111,2a_PRE_TRABAJO!$A$5:$A$112,0)),"")</f>
        <v/>
      </c>
      <c r="R111" s="5">
        <f>IFERROR(INDEX(2a_PRE_TRABAJO!J$5:J$112,MATCH($A111,2a_PRE_TRABAJO!$A$5:$A$112,0)),"")</f>
        <v/>
      </c>
      <c r="S111" s="5">
        <f>IFERROR(INDEX(2a_PRE_TRABAJO!K$5:K$112,MATCH($A111,2a_PRE_TRABAJO!$A$5:$A$112,0)),"")</f>
        <v/>
      </c>
      <c r="T111" s="5">
        <f>IFERROR(INDEX(2a_PRE_TRABAJO!L$5:L$112,MATCH($A111,2a_PRE_TRABAJO!$A$5:$A$112,0)),"")</f>
        <v/>
      </c>
      <c r="U111" s="5">
        <f>IFERROR(INDEX(2a_PRE_TRABAJO!M$5:M$112,MATCH($A111,2a_PRE_TRABAJO!$A$5:$A$112,0)),"")</f>
        <v/>
      </c>
      <c r="V111" s="5">
        <f>IFERROR(INDEX(2a_PRE_TRABAJO!N$5:N$112,MATCH($A111,2a_PRE_TRABAJO!$A$5:$A$112,0)),"")</f>
        <v/>
      </c>
      <c r="W111" s="5">
        <f>IFERROR(INDEX(2a_PRE_TRABAJO!O$5:O$112,MATCH($A111,2a_PRE_TRABAJO!$A$5:$A$112,0)),"")</f>
        <v/>
      </c>
      <c r="X111" s="5">
        <f>IFERROR(INDEX(2a_PRE_TRABAJO!P$5:P$112,MATCH($A111,2a_PRE_TRABAJO!$A$5:$A$112,0)),"")</f>
        <v/>
      </c>
      <c r="Y111" s="5">
        <f>IFERROR(INDEX(2a_PRE_TRABAJO!Q$5:Q$112,MATCH($A111,2a_PRE_TRABAJO!$A$5:$A$112,0)),"")</f>
        <v/>
      </c>
      <c r="Z111" s="5">
        <f>IFERROR(INDEX(2a_PRE_TRABAJO!R$5:R$112,MATCH($A111,2a_PRE_TRABAJO!$A$5:$A$112,0)),"")</f>
        <v/>
      </c>
      <c r="AA111" s="5">
        <f>IFERROR(INDEX(2a_PRE_TRABAJO!S$5:S$112,MATCH($A111,2a_PRE_TRABAJO!$A$5:$A$112,0)),"")</f>
        <v/>
      </c>
      <c r="AB111" s="5">
        <f>IFERROR(INDEX(2a_PRE_TRABAJO!T$5:T$112,MATCH($A111,2a_PRE_TRABAJO!$A$5:$A$112,0)),"")</f>
        <v/>
      </c>
      <c r="AC111" s="5">
        <f>IFERROR(INDEX(2a_PRE_TRABAJO!U$5:U$112,MATCH($A111,2a_PRE_TRABAJO!$A$5:$A$112,0)),"")</f>
        <v/>
      </c>
      <c r="AD111" s="5">
        <f>IFERROR(INDEX(2a_PRE_TRABAJO!V$5:V$112,MATCH($A111,2a_PRE_TRABAJO!$A$5:$A$112,0)),"")</f>
        <v/>
      </c>
      <c r="AE111" s="5">
        <f>IFERROR(INDEX(2a_PRE_TRABAJO!W$5:W$112,MATCH($A111,2a_PRE_TRABAJO!$A$5:$A$112,0)),"")</f>
        <v/>
      </c>
      <c r="AF111" s="5">
        <f>IFERROR(INDEX(2a_PRE_TRABAJO!X$5:X$112,MATCH($A111,2a_PRE_TRABAJO!$A$5:$A$112,0)),"")</f>
        <v/>
      </c>
      <c r="AG111" s="5">
        <f>IFERROR(INDEX(2a_PRE_TRABAJO!Y$5:Y$112,MATCH($A111,2a_PRE_TRABAJO!$A$5:$A$112,0)),"")</f>
        <v/>
      </c>
      <c r="AH111" s="5">
        <f>IFERROR(INDEX(2a_PRE_TRABAJO!Z$5:Z$112,MATCH($A111,2a_PRE_TRABAJO!$A$5:$A$112,0)),"")</f>
        <v/>
      </c>
      <c r="AI111" s="5">
        <f>IFERROR(INDEX(2a_PRE_TRABAJO!AA$5:AA$112,MATCH($A111,2a_PRE_TRABAJO!$A$5:$A$112,0)),"")</f>
        <v/>
      </c>
      <c r="AJ111" s="5">
        <f>IFERROR(INDEX(2a_PRE_TRABAJO!AB$5:AB$112,MATCH($A111,2a_PRE_TRABAJO!$A$5:$A$112,0)),"")</f>
        <v/>
      </c>
      <c r="AK111" s="5">
        <f>IFERROR(INDEX(2a_PRE_TRABAJO!AC$5:AC$112,MATCH($A111,2a_PRE_TRABAJO!$A$5:$A$112,0)),"")</f>
        <v/>
      </c>
    </row>
    <row r="112">
      <c r="A112" s="3" t="inlineStr">
        <is>
          <t>GU-TDH-125</t>
        </is>
      </c>
      <c r="B112" s="3" t="n">
        <v>1</v>
      </c>
      <c r="C112" s="5">
        <f>IFERROR(INDEX(2a_PRE_TRABAJO!B$5:B$112,MATCH($A112,2a_PRE_TRABAJO!$A$5:$A$112,0)),"")</f>
        <v/>
      </c>
      <c r="D112" s="5">
        <f>IFERROR(INDEX(2a_PRE_TRABAJO!C$5:C$112,MATCH($A112,2a_PRE_TRABAJO!$A$5:$A$112,0)),"")</f>
        <v/>
      </c>
      <c r="E112" s="5">
        <f>IFERROR(INDEX(2a_PRE_TRABAJO!D$5:D$112,MATCH($A112,2a_PRE_TRABAJO!$A$5:$A$112,0)),"")</f>
        <v/>
      </c>
      <c r="F112" s="5">
        <f>IFERROR(INDEX(2a_PRE_TRABAJO!E$5:E$112,MATCH($A112,2a_PRE_TRABAJO!$A$5:$A$112,0)),"")</f>
        <v/>
      </c>
      <c r="G112" s="5">
        <f>IFERROR(INDEX(2a_PRE_TRABAJO!F$5:F$112,MATCH($A112,2a_PRE_TRABAJO!$A$5:$A$112,0)),"")</f>
        <v/>
      </c>
      <c r="H112" s="5">
        <f>IFERROR(INDEX(2a_PRE_TRABAJO!G$5:G$112,MATCH($A112,2a_PRE_TRABAJO!$A$5:$A$112,0)),"")</f>
        <v/>
      </c>
      <c r="I112" s="5">
        <f>IFERROR(INDEX(2b_POST_TRABAJO!C$5:C$109,MATCH($A112,2b_POST_TRABAJO!$A$5:$A$109,0)),"")</f>
        <v/>
      </c>
      <c r="J112" s="5">
        <f>IFERROR(INDEX(2a_PRE_TRABAJO!AD$5:AD$112,MATCH($A112,2a_PRE_TRABAJO!$A$5:$A$112,0)),"")</f>
        <v/>
      </c>
      <c r="K112" s="5">
        <f>IFERROR(INDEX(2a_PRE_TRABAJO!AE$5:AE$112,MATCH($A112,2a_PRE_TRABAJO!$A$5:$A$112,0)),"")</f>
        <v/>
      </c>
      <c r="L112" s="5">
        <f>IFERROR(INDEX(2a_PRE_TRABAJO!AF$5:AF$112,MATCH($A112,2a_PRE_TRABAJO!$A$5:$A$112,0)),"")</f>
        <v/>
      </c>
      <c r="M112" s="5">
        <f>IFERROR(INDEX(2a_PRE_TRABAJO!AG$5:AG$112,MATCH($A112,2a_PRE_TRABAJO!$A$5:$A$112,0)),"")</f>
        <v/>
      </c>
      <c r="N112" s="5">
        <f>IFERROR(INDEX(2b_POST_TRABAJO!D$5:D$109,MATCH($A112,2b_POST_TRABAJO!$A$5:$A$109,0)),"")</f>
        <v/>
      </c>
      <c r="O112" s="5">
        <f>IF(OR(N112="",J112=""),"",N112-J112)</f>
        <v/>
      </c>
      <c r="P112" s="5">
        <f>IFERROR(INDEX(2a_PRE_TRABAJO!H$5:H$112,MATCH($A112,2a_PRE_TRABAJO!$A$5:$A$112,0)),"")</f>
        <v/>
      </c>
      <c r="Q112" s="5">
        <f>IFERROR(INDEX(2a_PRE_TRABAJO!I$5:I$112,MATCH($A112,2a_PRE_TRABAJO!$A$5:$A$112,0)),"")</f>
        <v/>
      </c>
      <c r="R112" s="5">
        <f>IFERROR(INDEX(2a_PRE_TRABAJO!J$5:J$112,MATCH($A112,2a_PRE_TRABAJO!$A$5:$A$112,0)),"")</f>
        <v/>
      </c>
      <c r="S112" s="5">
        <f>IFERROR(INDEX(2a_PRE_TRABAJO!K$5:K$112,MATCH($A112,2a_PRE_TRABAJO!$A$5:$A$112,0)),"")</f>
        <v/>
      </c>
      <c r="T112" s="5">
        <f>IFERROR(INDEX(2a_PRE_TRABAJO!L$5:L$112,MATCH($A112,2a_PRE_TRABAJO!$A$5:$A$112,0)),"")</f>
        <v/>
      </c>
      <c r="U112" s="5">
        <f>IFERROR(INDEX(2a_PRE_TRABAJO!M$5:M$112,MATCH($A112,2a_PRE_TRABAJO!$A$5:$A$112,0)),"")</f>
        <v/>
      </c>
      <c r="V112" s="5">
        <f>IFERROR(INDEX(2a_PRE_TRABAJO!N$5:N$112,MATCH($A112,2a_PRE_TRABAJO!$A$5:$A$112,0)),"")</f>
        <v/>
      </c>
      <c r="W112" s="5">
        <f>IFERROR(INDEX(2a_PRE_TRABAJO!O$5:O$112,MATCH($A112,2a_PRE_TRABAJO!$A$5:$A$112,0)),"")</f>
        <v/>
      </c>
      <c r="X112" s="5">
        <f>IFERROR(INDEX(2a_PRE_TRABAJO!P$5:P$112,MATCH($A112,2a_PRE_TRABAJO!$A$5:$A$112,0)),"")</f>
        <v/>
      </c>
      <c r="Y112" s="5">
        <f>IFERROR(INDEX(2a_PRE_TRABAJO!Q$5:Q$112,MATCH($A112,2a_PRE_TRABAJO!$A$5:$A$112,0)),"")</f>
        <v/>
      </c>
      <c r="Z112" s="5">
        <f>IFERROR(INDEX(2a_PRE_TRABAJO!R$5:R$112,MATCH($A112,2a_PRE_TRABAJO!$A$5:$A$112,0)),"")</f>
        <v/>
      </c>
      <c r="AA112" s="5">
        <f>IFERROR(INDEX(2a_PRE_TRABAJO!S$5:S$112,MATCH($A112,2a_PRE_TRABAJO!$A$5:$A$112,0)),"")</f>
        <v/>
      </c>
      <c r="AB112" s="5">
        <f>IFERROR(INDEX(2a_PRE_TRABAJO!T$5:T$112,MATCH($A112,2a_PRE_TRABAJO!$A$5:$A$112,0)),"")</f>
        <v/>
      </c>
      <c r="AC112" s="5">
        <f>IFERROR(INDEX(2a_PRE_TRABAJO!U$5:U$112,MATCH($A112,2a_PRE_TRABAJO!$A$5:$A$112,0)),"")</f>
        <v/>
      </c>
      <c r="AD112" s="5">
        <f>IFERROR(INDEX(2a_PRE_TRABAJO!V$5:V$112,MATCH($A112,2a_PRE_TRABAJO!$A$5:$A$112,0)),"")</f>
        <v/>
      </c>
      <c r="AE112" s="5">
        <f>IFERROR(INDEX(2a_PRE_TRABAJO!W$5:W$112,MATCH($A112,2a_PRE_TRABAJO!$A$5:$A$112,0)),"")</f>
        <v/>
      </c>
      <c r="AF112" s="5">
        <f>IFERROR(INDEX(2a_PRE_TRABAJO!X$5:X$112,MATCH($A112,2a_PRE_TRABAJO!$A$5:$A$112,0)),"")</f>
        <v/>
      </c>
      <c r="AG112" s="5">
        <f>IFERROR(INDEX(2a_PRE_TRABAJO!Y$5:Y$112,MATCH($A112,2a_PRE_TRABAJO!$A$5:$A$112,0)),"")</f>
        <v/>
      </c>
      <c r="AH112" s="5">
        <f>IFERROR(INDEX(2a_PRE_TRABAJO!Z$5:Z$112,MATCH($A112,2a_PRE_TRABAJO!$A$5:$A$112,0)),"")</f>
        <v/>
      </c>
      <c r="AI112" s="5">
        <f>IFERROR(INDEX(2a_PRE_TRABAJO!AA$5:AA$112,MATCH($A112,2a_PRE_TRABAJO!$A$5:$A$112,0)),"")</f>
        <v/>
      </c>
      <c r="AJ112" s="5">
        <f>IFERROR(INDEX(2a_PRE_TRABAJO!AB$5:AB$112,MATCH($A112,2a_PRE_TRABAJO!$A$5:$A$112,0)),"")</f>
        <v/>
      </c>
      <c r="AK112" s="5">
        <f>IFERROR(INDEX(2a_PRE_TRABAJO!AC$5:AC$112,MATCH($A112,2a_PRE_TRABAJO!$A$5:$A$112,0)),"")</f>
        <v/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FICHA DE CONTROL DE CALIDAD — v1.0-simulada</t>
        </is>
      </c>
    </row>
    <row r="2">
      <c r="A2" t="inlineStr">
        <is>
          <t>No liberada para campo. La firma del asesor sigue pendiente. SUS_POST no es O2 real.</t>
        </is>
      </c>
    </row>
    <row r="4">
      <c r="A4" s="2" t="inlineStr">
        <is>
          <t>N°</t>
        </is>
      </c>
      <c r="B4" s="2" t="inlineStr">
        <is>
          <t>Indicador</t>
        </is>
      </c>
      <c r="C4" s="2" t="inlineStr">
        <is>
          <t>Valor</t>
        </is>
      </c>
      <c r="D4" s="2" t="inlineStr">
        <is>
          <t>Meta</t>
        </is>
      </c>
      <c r="E4" s="2" t="inlineStr">
        <is>
          <t>Estado</t>
        </is>
      </c>
      <c r="F4" s="2" t="inlineStr">
        <is>
          <t>Observación</t>
        </is>
      </c>
    </row>
    <row r="5">
      <c r="A5" s="3" t="n">
        <v>1</v>
      </c>
      <c r="B5" s="3" t="inlineStr">
        <is>
          <t>Casos en el pretest</t>
        </is>
      </c>
      <c r="C5" s="5">
        <f>COUNTA(1_PRE_RAW!A5:A112)</f>
        <v/>
      </c>
      <c r="D5" s="3" t="inlineStr">
        <is>
          <t>108</t>
        </is>
      </c>
      <c r="E5" s="5">
        <f>IF(C5=D5,"VERDE","REVISAR")</f>
        <v/>
      </c>
      <c r="F5" s="3" t="inlineStr">
        <is>
          <t>Debe ser la muestra, no la población de 150.</t>
        </is>
      </c>
    </row>
    <row r="6">
      <c r="A6" s="3" t="n">
        <v>2</v>
      </c>
      <c r="B6" s="3" t="inlineStr">
        <is>
          <t>Casos con postest</t>
        </is>
      </c>
      <c r="C6" s="5">
        <f>COUNTA(2_POST_RAW!A5:A109)</f>
        <v/>
      </c>
      <c r="D6" s="3" t="inlineStr">
        <is>
          <t>105</t>
        </is>
      </c>
      <c r="E6" s="5">
        <f>IF(C6=D6,"VERDE","REVISAR")</f>
        <v/>
      </c>
      <c r="F6" s="3" t="inlineStr">
        <is>
          <t>Solo quien tiene postest en la sesión 7.</t>
        </is>
      </c>
    </row>
    <row r="7">
      <c r="A7" s="3" t="n">
        <v>3</v>
      </c>
      <c r="B7" s="3" t="inlineStr">
        <is>
          <t>Suma de INCLUIR</t>
        </is>
      </c>
      <c r="C7" s="5">
        <f>SUM(5_Consolidada!B5:B112)</f>
        <v/>
      </c>
      <c r="D7" s="3" t="inlineStr">
        <is>
          <t>105</t>
        </is>
      </c>
      <c r="E7" s="5">
        <f>IF(C7=D7,"VERDE","REVISAR")</f>
        <v/>
      </c>
      <c r="F7" s="3" t="inlineStr">
        <is>
          <t>0 en los tres retiros.</t>
        </is>
      </c>
    </row>
    <row r="8">
      <c r="A8" s="3" t="n">
        <v>4</v>
      </c>
      <c r="B8" s="3" t="inlineStr">
        <is>
          <t>Retiros sin par</t>
        </is>
      </c>
      <c r="C8" s="5">
        <f>COUNTIF(4_Conciliacion!E5:E112,"RETIRO SIN POSTEST")</f>
        <v/>
      </c>
      <c r="D8" s="3" t="inlineStr">
        <is>
          <t>3</t>
        </is>
      </c>
      <c r="E8" s="5">
        <f>IF(C8=D8,"VERDE","REVISAR")</f>
        <v/>
      </c>
      <c r="F8" s="3" t="inlineStr">
        <is>
          <t>GU-TDH-015, GU-TDH-033 y GU-TDH-053.</t>
        </is>
      </c>
    </row>
    <row r="9">
      <c r="A9" s="3" t="n">
        <v>5</v>
      </c>
      <c r="B9" s="3" t="inlineStr">
        <is>
          <t>Filas a revisar</t>
        </is>
      </c>
      <c r="C9" s="5">
        <f>COUNTIF(4_Conciliacion!E5:E112,"REVISAR")</f>
        <v/>
      </c>
      <c r="D9" s="3" t="inlineStr">
        <is>
          <t>0</t>
        </is>
      </c>
      <c r="E9" s="5">
        <f>IF(C9=D9,"VERDE","REVISAR")</f>
        <v/>
      </c>
      <c r="F9" s="3" t="inlineStr">
        <is>
          <t>Cualquier otro desajuste de ID.</t>
        </is>
      </c>
    </row>
    <row r="10">
      <c r="A10" s="3" t="n">
        <v>6</v>
      </c>
      <c r="B10" s="3" t="inlineStr">
        <is>
          <t>SUS del postest</t>
        </is>
      </c>
      <c r="C10" s="3" t="inlineStr">
        <is>
          <t>Simulado</t>
        </is>
      </c>
      <c r="D10" s="3" t="inlineStr">
        <is>
          <t>Declarado, no liberado como O2</t>
        </is>
      </c>
      <c r="E10" s="3" t="inlineStr">
        <is>
          <t>DECLARADO</t>
        </is>
      </c>
      <c r="F10" s="3" t="inlineStr">
        <is>
          <t>No se borró. No es medición de campo.</t>
        </is>
      </c>
    </row>
    <row r="11">
      <c r="A11" s="3" t="n">
        <v>7</v>
      </c>
      <c r="B11" s="3" t="inlineStr">
        <is>
          <t>Versión de la base</t>
        </is>
      </c>
      <c r="C11" s="3" t="inlineStr">
        <is>
          <t>v1.0-simulada</t>
        </is>
      </c>
      <c r="D11" s="3" t="inlineStr">
        <is>
          <t>No liberada para campo</t>
        </is>
      </c>
      <c r="E11" s="3" t="inlineStr">
        <is>
          <t>DECLARADO</t>
        </is>
      </c>
      <c r="F11" s="3" t="inlineStr">
        <is>
          <t>Firma del asesor pendiente.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DICCIONARIO — v1.0-simulada</t>
        </is>
      </c>
    </row>
    <row r="2">
      <c r="A2" t="inlineStr">
        <is>
          <t>No incluye nombres, DNI ni celular. El libro de códigos con identidad está en Drive.</t>
        </is>
      </c>
    </row>
    <row r="4">
      <c r="A4" s="2" t="inlineStr">
        <is>
          <t>Variable</t>
        </is>
      </c>
      <c r="B4" s="2" t="inlineStr">
        <is>
          <t>Descripción</t>
        </is>
      </c>
      <c r="C4" s="2" t="inlineStr">
        <is>
          <t>Valores</t>
        </is>
      </c>
      <c r="D4" s="2" t="inlineStr">
        <is>
          <t>Fuente</t>
        </is>
      </c>
    </row>
    <row r="5">
      <c r="A5" s="3" t="inlineStr">
        <is>
          <t>ID</t>
        </is>
      </c>
      <c r="B5" s="3" t="inlineStr">
        <is>
          <t>Código del participante. Nunca nombre ni DNI.</t>
        </is>
      </c>
      <c r="C5" s="3" t="inlineStr">
        <is>
          <t>GU-TDH-002 a GU-TDH-125, sin GU-TDH-001</t>
        </is>
      </c>
      <c r="D5" s="3" t="inlineStr">
        <is>
          <t>Sesión 3</t>
        </is>
      </c>
    </row>
    <row r="6">
      <c r="A6" s="3" t="inlineStr">
        <is>
          <t>INCLUIR</t>
        </is>
      </c>
      <c r="B6" s="3" t="inlineStr">
        <is>
          <t>1 = entra al contraste apareado; 0 = retiro sin postest.</t>
        </is>
      </c>
      <c r="C6" s="3" t="inlineStr">
        <is>
          <t>1 en 105 casos; 0 en tres retiros</t>
        </is>
      </c>
      <c r="D6" s="3" t="inlineStr">
        <is>
          <t>Decisión de esta consolidación</t>
        </is>
      </c>
    </row>
    <row r="7">
      <c r="A7" s="3" t="inlineStr">
        <is>
          <t>GRUPO</t>
        </is>
      </c>
      <c r="B7" s="3" t="inlineStr">
        <is>
          <t>Grupo único. La plantilla lo guarda como GE. No hay GC.</t>
        </is>
      </c>
      <c r="C7" s="3" t="inlineStr">
        <is>
          <t>GE</t>
        </is>
      </c>
      <c r="D7" s="3" t="inlineStr">
        <is>
          <t>PDT. En la sesión 7 el mismo grupo es G.</t>
        </is>
      </c>
    </row>
    <row r="8">
      <c r="A8" s="3" t="inlineStr">
        <is>
          <t>SUS_PRE</t>
        </is>
      </c>
      <c r="B8" s="3" t="inlineStr">
        <is>
          <t>SUS de Brooke: ítems pares invertidos, por 2.5.</t>
        </is>
      </c>
      <c r="C8" s="3" t="inlineStr">
        <is>
          <t>0 a 100</t>
        </is>
      </c>
      <c r="D8" s="3" t="inlineStr">
        <is>
          <t>Ítems SUS01–SUS10 del pretest</t>
        </is>
      </c>
    </row>
    <row r="9">
      <c r="A9" s="3" t="inlineStr">
        <is>
          <t>TAM_PRE</t>
        </is>
      </c>
      <c r="B9" s="3" t="inlineStr">
        <is>
          <t>Suma de los 8 ítems de satisfacción.</t>
        </is>
      </c>
      <c r="C9" s="3" t="inlineStr">
        <is>
          <t>8 a 40</t>
        </is>
      </c>
      <c r="D9" s="3" t="inlineStr">
        <is>
          <t>TAM01–TAM08</t>
        </is>
      </c>
    </row>
    <row r="10">
      <c r="A10" s="3" t="inlineStr">
        <is>
          <t>TIEMPO_PRE</t>
        </is>
      </c>
      <c r="B10" s="3" t="inlineStr">
        <is>
          <t>Promedio de los segundos de las dos tareas del pretest.</t>
        </is>
      </c>
      <c r="C10" s="3" t="inlineStr">
        <is>
          <t>Segundos</t>
        </is>
      </c>
      <c r="D10" s="3" t="inlineStr">
        <is>
          <t>T1_SEG y T2_SEG</t>
        </is>
      </c>
    </row>
    <row r="11">
      <c r="A11" s="3" t="inlineStr">
        <is>
          <t>CLICS_PRE</t>
        </is>
      </c>
      <c r="B11" s="3" t="inlineStr">
        <is>
          <t>Suma de clics de las dos tareas del pretest.</t>
        </is>
      </c>
      <c r="C11" s="3" t="inlineStr">
        <is>
          <t>Entero</t>
        </is>
      </c>
      <c r="D11" s="3" t="inlineStr">
        <is>
          <t>T1_CLICS y T2_CLICS</t>
        </is>
      </c>
    </row>
    <row r="12">
      <c r="A12" s="3" t="inlineStr">
        <is>
          <t>SUS_POST</t>
        </is>
      </c>
      <c r="B12" s="3" t="inlineStr">
        <is>
          <t>SUS simulado del postest. No es O2 de campo.</t>
        </is>
      </c>
      <c r="C12" s="3" t="inlineStr">
        <is>
          <t>0 a 100 o vacío en los retiros</t>
        </is>
      </c>
      <c r="D12" s="3" t="inlineStr">
        <is>
          <t>Sesión 7, hoja 6_Base_Postest</t>
        </is>
      </c>
    </row>
    <row r="13">
      <c r="A13" s="3" t="inlineStr">
        <is>
          <t>DIF_SUS</t>
        </is>
      </c>
      <c r="B13" s="3" t="inlineStr">
        <is>
          <t>SUS_POST − SUS_PRE. Vacío si no hay postest.</t>
        </is>
      </c>
      <c r="C13" s="3" t="inlineStr">
        <is>
          <t>Calculada</t>
        </is>
      </c>
      <c r="D13" s="3" t="inlineStr">
        <is>
          <t>Fórmula</t>
        </is>
      </c>
    </row>
    <row r="14">
      <c r="A14" s="3" t="inlineStr">
        <is>
          <t>FECHA_PRE</t>
        </is>
      </c>
      <c r="B14" s="3" t="inlineStr">
        <is>
          <t>Fecha de la base del pretest, ya corrida 8 días atrás.</t>
        </is>
      </c>
      <c r="C14" s="3" t="inlineStr">
        <is>
          <t>12–19/10/2026</t>
        </is>
      </c>
      <c r="D14" s="3" t="inlineStr">
        <is>
          <t>Sesión 3, fecha_digit</t>
        </is>
      </c>
    </row>
    <row r="15">
      <c r="A15" s="3" t="inlineStr">
        <is>
          <t>FECHA_POST</t>
        </is>
      </c>
      <c r="B15" s="3" t="inlineStr">
        <is>
          <t>Fecha prevista del postest simulado.</t>
        </is>
      </c>
      <c r="C15" s="3" t="inlineStr">
        <is>
          <t>26–31/10/2026</t>
        </is>
      </c>
      <c r="D15" s="3" t="inlineStr">
        <is>
          <t>Sesión 7</t>
        </is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L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BITÁCORA DE DEPURACIÓN — v1.0-simulada</t>
        </is>
      </c>
    </row>
    <row r="2">
      <c r="A2" t="inlineStr">
        <is>
          <t>Ningún cambio de esta hoja libera la base para campo. Firma del asesor: pendiente.</t>
        </is>
      </c>
    </row>
    <row r="4">
      <c r="A4" s="2" t="inlineStr">
        <is>
          <t>N°</t>
        </is>
      </c>
      <c r="B4" s="2" t="inlineStr">
        <is>
          <t>Fecha</t>
        </is>
      </c>
      <c r="C4" s="2" t="inlineStr">
        <is>
          <t>Hoja</t>
        </is>
      </c>
      <c r="D4" s="2" t="inlineStr">
        <is>
          <t>ID</t>
        </is>
      </c>
      <c r="E4" s="2" t="inlineStr">
        <is>
          <t>Variable</t>
        </is>
      </c>
      <c r="F4" s="2" t="inlineStr">
        <is>
          <t>Valor original</t>
        </is>
      </c>
      <c r="G4" s="2" t="inlineStr">
        <is>
          <t>Valor nuevo</t>
        </is>
      </c>
      <c r="H4" s="2" t="inlineStr">
        <is>
          <t>Tipo</t>
        </is>
      </c>
      <c r="I4" s="2" t="inlineStr">
        <is>
          <t>Criterio</t>
        </is>
      </c>
      <c r="J4" s="2" t="inlineStr">
        <is>
          <t>Evidencia</t>
        </is>
      </c>
      <c r="K4" s="2" t="inlineStr">
        <is>
          <t>Responsable</t>
        </is>
      </c>
      <c r="L4" s="2" t="inlineStr">
        <is>
          <t>Revisado por</t>
        </is>
      </c>
    </row>
    <row r="5">
      <c r="A5" s="3" t="n">
        <v>1</v>
      </c>
      <c r="B5" s="6" t="n">
        <v>46321</v>
      </c>
      <c r="C5" s="3" t="inlineStr">
        <is>
          <t>Cronograma y fechas de campo</t>
        </is>
      </c>
      <c r="D5" s="3" t="inlineStr">
        <is>
          <t>Cohorte</t>
        </is>
      </c>
      <c r="E5" s="3" t="inlineStr">
        <is>
          <t>Fechas</t>
        </is>
      </c>
      <c r="F5" s="3" t="inlineStr">
        <is>
          <t>Pretest 20–25/10/2026; intervención 27/10–02/11/2026; postest 03–08/11/2026</t>
        </is>
      </c>
      <c r="G5" s="3" t="inlineStr">
        <is>
          <t>Pretest 12–17/10/2026; cierre y tag el 18/10/2026; intervención 19–25/10/2026; postest 26–31/10/2026</t>
        </is>
      </c>
      <c r="H5" s="3" t="inlineStr">
        <is>
          <t>Corrección de calendario</t>
        </is>
      </c>
      <c r="I5" s="3" t="inlineStr">
        <is>
          <t>El rango 20–25/10 lo escribió mal el cronograma de la sesión 1. Se corrió todo 8 días atrás y se conservaron las duraciones. Las autorizaciones del 10/07/2026 no se movieron.</t>
        </is>
      </c>
      <c r="J5" s="3" t="inlineStr">
        <is>
          <t>Hecho declarado por el equipo el 26/10/2026</t>
        </is>
      </c>
      <c r="K5" s="3" t="inlineStr">
        <is>
          <t>Tesistas</t>
        </is>
      </c>
      <c r="L5" s="3" t="inlineStr">
        <is>
          <t>[PENDIENTE] Firma del asesor</t>
        </is>
      </c>
    </row>
    <row r="6">
      <c r="A6" s="3" t="n">
        <v>2</v>
      </c>
      <c r="B6" s="6" t="n">
        <v>46321</v>
      </c>
      <c r="C6" s="3" t="inlineStr">
        <is>
          <t>6_Base_Postest y 2_POST_RAW</t>
        </is>
      </c>
      <c r="D6" s="3" t="inlineStr">
        <is>
          <t>105 códigos con postest</t>
        </is>
      </c>
      <c r="E6" s="3" t="inlineStr">
        <is>
          <t>SUS_POST</t>
        </is>
      </c>
      <c r="F6" s="3" t="inlineStr">
        <is>
          <t>Puntajes simulados ya escritos en el Excel 7</t>
        </is>
      </c>
      <c r="G6" s="3" t="inlineStr">
        <is>
          <t>Los mismos puntajes, más el SUS simulado de GU-TDH-006, GU-TDH-069, GU-TDH-084 y GU-TDH-109, que estaban marcados como retiro por error</t>
        </is>
      </c>
      <c r="H6" s="3" t="inlineStr">
        <is>
          <t>Simulación</t>
        </is>
      </c>
      <c r="I6" s="3" t="inlineStr">
        <is>
          <t>No es medición de campo y no se presenta como O2 real. No se borró el SUS que ya estaba.</t>
        </is>
      </c>
      <c r="J6" s="3" t="inlineStr">
        <is>
          <t>Excel 7 y fórmula de Brooke sobre los ítems del pretest</t>
        </is>
      </c>
      <c r="K6" s="3" t="inlineStr">
        <is>
          <t>Tesistas</t>
        </is>
      </c>
      <c r="L6" s="3" t="inlineStr">
        <is>
          <t>[PENDIENTE] Firma del asesor</t>
        </is>
      </c>
    </row>
    <row r="7">
      <c r="A7" s="3" t="n">
        <v>3</v>
      </c>
      <c r="B7" s="6" t="n">
        <v>46321</v>
      </c>
      <c r="C7" s="3" t="inlineStr">
        <is>
          <t>2_Participantes y 5_Consolidada</t>
        </is>
      </c>
      <c r="D7" s="3" t="inlineStr">
        <is>
          <t>GU-TDH-015, GU-TDH-033, GU-TDH-053</t>
        </is>
      </c>
      <c r="E7" s="3" t="inlineStr">
        <is>
          <t>INCLUIR</t>
        </is>
      </c>
      <c r="F7" s="3" t="inlineStr">
        <is>
          <t>Esos tres no eran el conjunto de retiros que figuraba en una copia intermedia</t>
        </is>
      </c>
      <c r="G7" s="3" t="inlineStr">
        <is>
          <t>INCLUIR = 0 y sin postest. Los otros 105 quedan en 1 GU-TDH-015 y GU-TDH-033 tenían un SUS simulado de 82.5; salió de la columna de postest porque no rinden O2. Ese valor queda en esta bitácora.</t>
        </is>
      </c>
      <c r="H7" s="3" t="inlineStr">
        <is>
          <t>Mortalidad</t>
        </is>
      </c>
      <c r="I7" s="3" t="inlineStr">
        <is>
          <t>Retiros oficiales sin postest. 105 × 3 sesiones = 315 días-usuario, no las filas del log.</t>
        </is>
      </c>
      <c r="J7" s="3" t="inlineStr">
        <is>
          <t>Instrucción del equipo</t>
        </is>
      </c>
      <c r="K7" s="3" t="inlineStr">
        <is>
          <t>Tesistas</t>
        </is>
      </c>
      <c r="L7" s="3" t="inlineStr">
        <is>
          <t>[PENDIENTE] Firma del asesor</t>
        </is>
      </c>
    </row>
  </sheetData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LISTA DE COTEJO — v1.0-simulada</t>
        </is>
      </c>
    </row>
    <row r="2">
      <c r="A2" t="inlineStr">
        <is>
          <t>No marcar esta base como liberada para campo.</t>
        </is>
      </c>
    </row>
    <row r="4">
      <c r="A4" s="2" t="inlineStr">
        <is>
          <t>N°</t>
        </is>
      </c>
      <c r="B4" s="2" t="inlineStr">
        <is>
          <t>Criterio</t>
        </is>
      </c>
      <c r="C4" s="2" t="inlineStr">
        <is>
          <t>Cumple</t>
        </is>
      </c>
      <c r="D4" s="2" t="inlineStr">
        <is>
          <t>Observación</t>
        </is>
      </c>
    </row>
    <row r="5">
      <c r="A5" s="3" t="n">
        <v>1</v>
      </c>
      <c r="B5" s="3" t="inlineStr">
        <is>
          <t>Hay copia RAW del pretest y del postest</t>
        </is>
      </c>
      <c r="C5" s="3" t="inlineStr">
        <is>
          <t>Sí</t>
        </is>
      </c>
      <c r="D5" s="3" t="inlineStr">
        <is>
          <t>Hojas 1 y 2.</t>
        </is>
      </c>
    </row>
    <row r="6">
      <c r="A6" s="3" t="n">
        <v>2</v>
      </c>
      <c r="B6" s="3" t="inlineStr">
        <is>
          <t>La consolidada es ancha y tiene 108 filas</t>
        </is>
      </c>
      <c r="C6" s="3" t="inlineStr">
        <is>
          <t>Sí</t>
        </is>
      </c>
      <c r="D6" s="3" t="inlineStr">
        <is>
          <t>Hoja 5.</t>
        </is>
      </c>
    </row>
    <row r="7">
      <c r="A7" s="3" t="n">
        <v>3</v>
      </c>
      <c r="B7" s="3" t="inlineStr">
        <is>
          <t>INCLUIR suma 105 y los tres retiros están en 0</t>
        </is>
      </c>
      <c r="C7" s="3" t="inlineStr">
        <is>
          <t>Sí</t>
        </is>
      </c>
      <c r="D7" s="3" t="inlineStr">
        <is>
          <t>GU-TDH-015, 033 y 053.</t>
        </is>
      </c>
    </row>
    <row r="8">
      <c r="A8" s="3" t="n">
        <v>4</v>
      </c>
      <c r="B8" s="3" t="inlineStr">
        <is>
          <t>SUS, TAM, tiempo y clics del pretest salen de la sesión 3</t>
        </is>
      </c>
      <c r="C8" s="3" t="inlineStr">
        <is>
          <t>Sí</t>
        </is>
      </c>
      <c r="D8" s="3" t="inlineStr">
        <is>
          <t>Brooke × 2.5, suma TAM, promedio de tareas, suma de clics.</t>
        </is>
      </c>
    </row>
    <row r="9">
      <c r="A9" s="3" t="n">
        <v>5</v>
      </c>
      <c r="B9" s="3" t="inlineStr">
        <is>
          <t>El SUS del postest está declarado como simulado</t>
        </is>
      </c>
      <c r="C9" s="3" t="inlineStr">
        <is>
          <t>Sí</t>
        </is>
      </c>
      <c r="D9" s="3" t="inlineStr">
        <is>
          <t>No es O2 de campo.</t>
        </is>
      </c>
    </row>
    <row r="10">
      <c r="A10" s="3" t="n">
        <v>6</v>
      </c>
      <c r="B10" s="3" t="inlineStr">
        <is>
          <t>La base está liberada para campo</t>
        </is>
      </c>
      <c r="C10" s="3" t="inlineStr">
        <is>
          <t>No</t>
        </is>
      </c>
      <c r="D10" s="3" t="inlineStr">
        <is>
          <t>Versión v1.0-simulada.</t>
        </is>
      </c>
    </row>
    <row r="11">
      <c r="A11" s="3" t="n">
        <v>7</v>
      </c>
      <c r="B11" s="3" t="inlineStr">
        <is>
          <t>La firma del asesor está registrada</t>
        </is>
      </c>
      <c r="C11" s="3" t="inlineStr">
        <is>
          <t>No</t>
        </is>
      </c>
      <c r="D11" s="3" t="inlineStr">
        <is>
          <t>Sigue pendiente.</t>
        </is>
      </c>
    </row>
    <row r="12">
      <c r="A12" s="3" t="n">
        <v>8</v>
      </c>
      <c r="B12" s="3" t="inlineStr">
        <is>
          <t>No hay nombres, DNI, celular ni claves de participantes</t>
        </is>
      </c>
      <c r="C12" s="3" t="inlineStr">
        <is>
          <t>Sí</t>
        </is>
      </c>
      <c r="D12" s="3" t="inlineStr">
        <is>
          <t>El libro de códigos con identidad queda en Drive.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2026-10-27T01:01:14Z</dcterms:created>
  <dcterms:modified xmlns:dcterms="http://purl.org/dc/terms/" xmlns:xsi="http://www.w3.org/2001/XMLSchema-instance" xsi:type="dcterms:W3CDTF">2026-10-27T01:03:16Z</dcterms:modified>
</cp:coreProperties>
</file>