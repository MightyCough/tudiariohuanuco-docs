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Instrucciones" sheetId="1" state="visible" r:id="rId3"/>
    <sheet name="1_PRE_RAW" sheetId="2" state="visible" r:id="rId4"/>
    <sheet name="2_POST_RAW" sheetId="3" state="visible" r:id="rId5"/>
    <sheet name="2a_PRE_TRABAJO" sheetId="4" state="visible" r:id="rId6"/>
    <sheet name="2b_POST_TRABAJO" sheetId="5" state="visible" r:id="rId7"/>
    <sheet name="3_Mortalidad" sheetId="6" state="visible" r:id="rId8"/>
    <sheet name="4_Conciliacion" sheetId="7" state="visible" r:id="rId9"/>
    <sheet name="5_Consolidada" sheetId="8" state="visible" r:id="rId10"/>
    <sheet name="6_Control_Calidad" sheetId="9" state="visible" r:id="rId11"/>
    <sheet name="7_Diccionario" sheetId="10" state="visible" r:id="rId12"/>
    <sheet name="8_Bitacora" sheetId="11" state="visible" r:id="rId13"/>
    <sheet name="9_Lista_Cotejo" sheetId="12" state="visible" r:id="rId14"/>
  </sheets>
  <calcPr iterateCount="100" refMode="A1" iterate="false" iterateDelta="0.0001"/>
  <extLst>
    <ext xmlns:loext="http://schemas.libreoffice.org/" uri="{7626C862-2A13-11E5-B345-FEFF819CDC9F}">
      <loext:extCalcPr stringRefSyntax="ExcelA1"/>
    </ext>
  </extLst>
</workbook>
</file>

<file path=xl/comments11.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Fila de ejemplo con el formato esperado. Reemplácela con sus propios registros.</t>
        </r>
      </text>
    </comment>
  </commentList>
</comments>
</file>

<file path=xl/sharedStrings.xml><?xml version="1.0" encoding="utf-8"?>
<sst xmlns="http://schemas.openxmlformats.org/spreadsheetml/2006/main" count="1010" uniqueCount="393">
  <si>
    <t xml:space="preserve">SEMINARIO DE TESIS III · Sesión 9 · Laboratorio de datos: consolidación y control de calidad</t>
  </si>
  <si>
    <t xml:space="preserve">Universidad de Huánuco · Programa Académico de Ingeniería de Sistemas e Informática · 2026-II · MBA Jenny Reynoso Palpa</t>
  </si>
  <si>
    <t xml:space="preserve">Versión: ESTUDIANTE — cuaderno de trabajo</t>
  </si>
  <si>
    <t xml:space="preserve">Caso</t>
  </si>
  <si>
    <t xml:space="preserve">«Sistema web de gestión documental y su influencia en el tiempo de atención de expedientes en una municipalidad de Huánuco, 2026». Diseño cuasiexperimental con grupo experimental (GE, sede central, n = 24) y grupo de comparación (GC, sede descentralizada, n = 22). Pretest 24–28/08/2026; intervención 31/08–09/10/2026; postest 12–16/10/2026.</t>
  </si>
  <si>
    <t xml:space="preserve">Variables</t>
  </si>
  <si>
    <t xml:space="preserve">TIEMPO (tiempo promedio de atención de expedientes, días, registro documental); CUMPLE (% de expedientes atendidos dentro del plazo); S01–S15 (cuestionario de satisfacción, Likert 1–5, 3 dimensiones de 5 ítems; S04 y S12 son ítems inversos); covariables SEXO, EDAD, EXPERIENCIA, CARGO.</t>
  </si>
  <si>
    <t xml:space="preserve">Reto del laboratorio</t>
  </si>
  <si>
    <t xml:space="preserve">Las hojas 1_PRE_RAW y 2_POST_RAW reproducen las bases «tal como se recibieron» tras el pretest y el postest. Contienen 16 hallazgos sembrados (duplicados, códigos mal escritos, huérfanos, valores fuera de rango, formato, perdidos, atípicos, inconsistencias lógicas y problemas de codificación). El equipo debe: (1) integrar las bases por código, (2) verificar la correspondencia pretest–postest, (3) codificar y derivar variables, (4) identificar y resolver cada hallazgo aplicando los criterios de depuración de la sesión y (5) documentar cada decisión en la bitácora.</t>
  </si>
  <si>
    <t xml:space="preserve">Regla de oro</t>
  </si>
  <si>
    <t xml:space="preserve">Las hojas RAW NUNCA se editan (están protegidas). Todo cambio se hace en las copias de trabajo (2a_PRE_TRABAJO y 2b_POST_TRABAJO) y se registra en 8_Bitacora. Lo que no está en la bitácora no existió.</t>
  </si>
  <si>
    <t xml:space="preserve">Flujo de trabajo</t>
  </si>
  <si>
    <t xml:space="preserve">1_PRE_RAW / 2_POST_RAW → copiar a 2a_PRE_TRABAJO / 2b_POST_TRABAJO → 4_Conciliacion (correspondencia por ID) → 5_Consolidada (fórmulas INDICE/COINCIDIR, recodificación, puntajes, DIF) → 6_Control_Calidad (indicadores y semáforo) → 7_Diccionario (v1.0) → 8_Bitacora → 9_Lista_Cotejo → liberar la base consolidada v1.0 (proteger y versionar).</t>
  </si>
  <si>
    <t xml:space="preserve">Leyenda</t>
  </si>
  <si>
    <t xml:space="preserve">Celdas AMARILLAS = ingreso del estudiante (decisiones, códigos corregidos, INCLUIR, diccionario). Letra VERDE = enlaces a otras hojas. Letra NEGRA = fórmulas (no modificar). Fondo GRIS = datos RAW congelados.</t>
  </si>
  <si>
    <t xml:space="preserve">Entregable</t>
  </si>
  <si>
    <t xml:space="preserve">Archivo renombrado como TESIS_BD_CONSOLIDADA_v1.0_AAAA-MM-DD.xlsx con: base consolidada, diccionario v1.0, bitácora completa, ficha de control de calidad y lista de cotejo. Se adjunta a la Tarea Académica 3 (Anexos 8 y 9 del informe final).</t>
  </si>
  <si>
    <t xml:space="preserve">Hallazgos esperados</t>
  </si>
  <si>
    <t xml:space="preserve">16 hallazgos sembrados; los tipos son: duplicado exacto, duplicado con valores distintos, códigos mal escritos (2), huérfano de postest, huérfanos de pretest (mortalidad, 4), retiro de consentimiento, fuera de rango (2), formato numérico, perdido aislado, perdidos múltiples, perdido recuperable, atípico genuino, atípico por unidad, inconsistencias lógicas (2) y codificación (CARGO en texto; ítems inversos). El docente conserva la clave.</t>
  </si>
  <si>
    <t xml:space="preserve">BASE DEL PRETEST — RAW (tal como se recibió; hoja congelada, SOLO LECTURA)</t>
  </si>
  <si>
    <t xml:space="preserve">Fuente: instrumentos del pretest (24–28/08/2026). 47 registros × 24 columnas. Hash de control: BD_PRETEST_RAW_2026-08-31. No editar: trabaje en 2a_PRE_TRABAJO.</t>
  </si>
  <si>
    <t xml:space="preserve">ID</t>
  </si>
  <si>
    <t xml:space="preserve">GRUPO</t>
  </si>
  <si>
    <t xml:space="preserve">SEXO</t>
  </si>
  <si>
    <t xml:space="preserve">EDAD</t>
  </si>
  <si>
    <t xml:space="preserve">EXPERIENCIA</t>
  </si>
  <si>
    <t xml:space="preserve">CARGO</t>
  </si>
  <si>
    <t xml:space="preserve">FECHA_PRE</t>
  </si>
  <si>
    <t xml:space="preserve">TIEMPO_PRE</t>
  </si>
  <si>
    <t xml:space="preserve">CUMPLE_PRE</t>
  </si>
  <si>
    <t xml:space="preserve">S01_PRE</t>
  </si>
  <si>
    <t xml:space="preserve">S02_PRE</t>
  </si>
  <si>
    <t xml:space="preserve">S03_PRE</t>
  </si>
  <si>
    <t xml:space="preserve">S04_PRE</t>
  </si>
  <si>
    <t xml:space="preserve">S05_PRE</t>
  </si>
  <si>
    <t xml:space="preserve">S06_PRE</t>
  </si>
  <si>
    <t xml:space="preserve">S07_PRE</t>
  </si>
  <si>
    <t xml:space="preserve">S08_PRE</t>
  </si>
  <si>
    <t xml:space="preserve">S09_PRE</t>
  </si>
  <si>
    <t xml:space="preserve">S10_PRE</t>
  </si>
  <si>
    <t xml:space="preserve">S11_PRE</t>
  </si>
  <si>
    <t xml:space="preserve">S12_PRE</t>
  </si>
  <si>
    <t xml:space="preserve">S13_PRE</t>
  </si>
  <si>
    <t xml:space="preserve">S14_PRE</t>
  </si>
  <si>
    <t xml:space="preserve">S15_PRE</t>
  </si>
  <si>
    <t xml:space="preserve">GE-001</t>
  </si>
  <si>
    <t xml:space="preserve">AUXILIAR</t>
  </si>
  <si>
    <t xml:space="preserve">GE-002</t>
  </si>
  <si>
    <t xml:space="preserve">Técnico</t>
  </si>
  <si>
    <t xml:space="preserve">GE-003</t>
  </si>
  <si>
    <t xml:space="preserve">Auxiliar</t>
  </si>
  <si>
    <t xml:space="preserve">GE-004</t>
  </si>
  <si>
    <t xml:space="preserve">Auxiliar </t>
  </si>
  <si>
    <t xml:space="preserve">GE-005</t>
  </si>
  <si>
    <t xml:space="preserve">GE-006</t>
  </si>
  <si>
    <t xml:space="preserve">TÉCNICO</t>
  </si>
  <si>
    <t xml:space="preserve">GE-007</t>
  </si>
  <si>
    <t xml:space="preserve">Profesional </t>
  </si>
  <si>
    <t xml:space="preserve">GE-008</t>
  </si>
  <si>
    <t xml:space="preserve">GE-009</t>
  </si>
  <si>
    <t xml:space="preserve">GE-010</t>
  </si>
  <si>
    <t xml:space="preserve">tecnico </t>
  </si>
  <si>
    <t xml:space="preserve">GE-011</t>
  </si>
  <si>
    <t xml:space="preserve">Tecnico</t>
  </si>
  <si>
    <t xml:space="preserve">GE-012</t>
  </si>
  <si>
    <t xml:space="preserve">GE-013</t>
  </si>
  <si>
    <t xml:space="preserve">PROFESIONAL</t>
  </si>
  <si>
    <t xml:space="preserve">GE-014</t>
  </si>
  <si>
    <t xml:space="preserve">GE-015</t>
  </si>
  <si>
    <t xml:space="preserve">GE-016</t>
  </si>
  <si>
    <t xml:space="preserve">GE-017</t>
  </si>
  <si>
    <t xml:space="preserve">GE-018</t>
  </si>
  <si>
    <t xml:space="preserve">GE-019</t>
  </si>
  <si>
    <t xml:space="preserve">auxiliar</t>
  </si>
  <si>
    <t xml:space="preserve">GE-020</t>
  </si>
  <si>
    <t xml:space="preserve">GE-021</t>
  </si>
  <si>
    <t xml:space="preserve">GE-022</t>
  </si>
  <si>
    <t xml:space="preserve">GE-023</t>
  </si>
  <si>
    <t xml:space="preserve">GE-024</t>
  </si>
  <si>
    <t xml:space="preserve">GC-001</t>
  </si>
  <si>
    <t xml:space="preserve">GC-002</t>
  </si>
  <si>
    <t xml:space="preserve">GC-003</t>
  </si>
  <si>
    <t xml:space="preserve">8,5</t>
  </si>
  <si>
    <t xml:space="preserve">GC-004</t>
  </si>
  <si>
    <t xml:space="preserve">GC-005</t>
  </si>
  <si>
    <t xml:space="preserve">GC-006</t>
  </si>
  <si>
    <t xml:space="preserve">GC-007</t>
  </si>
  <si>
    <t xml:space="preserve">GC-008</t>
  </si>
  <si>
    <t xml:space="preserve">GC-009</t>
  </si>
  <si>
    <t xml:space="preserve">GC-010</t>
  </si>
  <si>
    <t xml:space="preserve">GC-011</t>
  </si>
  <si>
    <t xml:space="preserve">GC-012</t>
  </si>
  <si>
    <t xml:space="preserve">GC-013</t>
  </si>
  <si>
    <t xml:space="preserve">GC-014</t>
  </si>
  <si>
    <t xml:space="preserve">profesional</t>
  </si>
  <si>
    <t xml:space="preserve">GC-015</t>
  </si>
  <si>
    <t xml:space="preserve">GC-016</t>
  </si>
  <si>
    <t xml:space="preserve">Profesional</t>
  </si>
  <si>
    <t xml:space="preserve">GC-017</t>
  </si>
  <si>
    <t xml:space="preserve">GC-018</t>
  </si>
  <si>
    <t xml:space="preserve">GC-019</t>
  </si>
  <si>
    <t xml:space="preserve">GC-020</t>
  </si>
  <si>
    <t xml:space="preserve">GC-021</t>
  </si>
  <si>
    <t xml:space="preserve">GC-022</t>
  </si>
  <si>
    <t xml:space="preserve">BASE DEL POSTEST — RAW (tal como se recibió; hoja congelada, SOLO LECTURA)</t>
  </si>
  <si>
    <t xml:space="preserve">Fuente: instrumentos del postest (12–16/10/2026). 44 registros × 20 columnas. Hash de control: BD_POSTEST_RAW_2026-10-19. No editar: trabaje en 2b_POST_TRABAJO.</t>
  </si>
  <si>
    <t xml:space="preserve">FECHA_POST</t>
  </si>
  <si>
    <t xml:space="preserve">TIEMPO_POST</t>
  </si>
  <si>
    <t xml:space="preserve">CUMPLE_POST</t>
  </si>
  <si>
    <t xml:space="preserve">S01_POST</t>
  </si>
  <si>
    <t xml:space="preserve">S02_POST</t>
  </si>
  <si>
    <t xml:space="preserve">S03_POST</t>
  </si>
  <si>
    <t xml:space="preserve">S04_POST</t>
  </si>
  <si>
    <t xml:space="preserve">S05_POST</t>
  </si>
  <si>
    <t xml:space="preserve">S06_POST</t>
  </si>
  <si>
    <t xml:space="preserve">S07_POST</t>
  </si>
  <si>
    <t xml:space="preserve">S08_POST</t>
  </si>
  <si>
    <t xml:space="preserve">S09_POST</t>
  </si>
  <si>
    <t xml:space="preserve">S10_POST</t>
  </si>
  <si>
    <t xml:space="preserve">S11_POST</t>
  </si>
  <si>
    <t xml:space="preserve">S12_POST</t>
  </si>
  <si>
    <t xml:space="preserve">S13_POST</t>
  </si>
  <si>
    <t xml:space="preserve">S14_POST</t>
  </si>
  <si>
    <t xml:space="preserve">S15_POST</t>
  </si>
  <si>
    <t xml:space="preserve">ge-012</t>
  </si>
  <si>
    <t xml:space="preserve">GC-17</t>
  </si>
  <si>
    <t xml:space="preserve">GC-023</t>
  </si>
  <si>
    <t xml:space="preserve">COPIA DE TRABAJO DEL PRETEST — aquí se corrige, normaliza y codifica (cada cambio va a 8_Bitacora)</t>
  </si>
  <si>
    <t xml:space="preserve">Copia íntegra de 1_PRE_RAW. CARGO debe codificarse como 1 = Auxiliar, 2 = Técnico, 3 = Profesional. Celdas amarillas = decisiones del estudiante.</t>
  </si>
  <si>
    <t xml:space="preserve">COPIA DE TRABAJO DEL POSTEST — aquí se corrige, normaliza y codifica (cada cambio va a 8_Bitacora)</t>
  </si>
  <si>
    <t xml:space="preserve">Copia íntegra de 2_POST_RAW. Normalice los códigos al patrón GE-### / GC-###. Celdas amarillas = decisiones del estudiante.</t>
  </si>
  <si>
    <t xml:space="preserve">REGISTRO DE PARTICIPACIÓN FINAL Y MORTALIDAD EXPERIMENTAL (insumo de la Sesión 7)</t>
  </si>
  <si>
    <t xml:space="preserve">ESTADO: 1 = completó pretest y postest; 2 = pérdida muestral (sin postest); 3 = retiro de consentimiento informado (datos excluidos del análisis).</t>
  </si>
  <si>
    <t xml:space="preserve">ESTADO</t>
  </si>
  <si>
    <t xml:space="preserve">MOTIVO / EVENTO</t>
  </si>
  <si>
    <t xml:space="preserve">FECHA DEL EVENTO</t>
  </si>
  <si>
    <t xml:space="preserve">FUENTE DOCUMENTAL</t>
  </si>
  <si>
    <t xml:space="preserve">Participación completa</t>
  </si>
  <si>
    <t xml:space="preserve">Acta de cierre y acta de aplicación del postest</t>
  </si>
  <si>
    <t xml:space="preserve">Traslado a otra sede</t>
  </si>
  <si>
    <t xml:space="preserve">Registro de incidencias / acta de cierre</t>
  </si>
  <si>
    <t xml:space="preserve">Licencia por enfermedad</t>
  </si>
  <si>
    <t xml:space="preserve">Retiro de consentimiento informado, después del postest</t>
  </si>
  <si>
    <t xml:space="preserve">Registro ético; comunicación escrita del participante</t>
  </si>
  <si>
    <t xml:space="preserve">Renuncia a la entidad</t>
  </si>
  <si>
    <t xml:space="preserve">Vacaciones prolongadas</t>
  </si>
  <si>
    <t xml:space="preserve">TABLA DE CONCILIACIÓN DE LA CORRESPONDENCIA PRETEST–POSTEST (se recalcula sola a partir de las copias de trabajo)</t>
  </si>
  <si>
    <t xml:space="preserve">Regla: todo ID sin pareja debe tener un motivo en 3_Mortalidad o en la bitácora. Duplicados y códigos mal escritos se resuelven en las copias de trabajo hasta que la tabla quede «limpia».</t>
  </si>
  <si>
    <t xml:space="preserve">ID esperado</t>
  </si>
  <si>
    <t xml:space="preserve">Registros en PRE_TRABAJO</t>
  </si>
  <si>
    <t xml:space="preserve">Registros en POST_TRABAJO</t>
  </si>
  <si>
    <t xml:space="preserve">Estado de correspondencia</t>
  </si>
  <si>
    <t xml:space="preserve">Estado según registro (3_Mortalidad)</t>
  </si>
  <si>
    <t xml:space="preserve">Motivo registrado</t>
  </si>
  <si>
    <t xml:space="preserve">Decisión del equipo (incluir / excluir y por qué)</t>
  </si>
  <si>
    <t xml:space="preserve">RESUMEN</t>
  </si>
  <si>
    <t xml:space="preserve">IDs esperados</t>
  </si>
  <si>
    <t xml:space="preserve">Emparejados</t>
  </si>
  <si>
    <t xml:space="preserve">Huérfanos de pretest (sin postest)</t>
  </si>
  <si>
    <t xml:space="preserve">Huérfanos de postest (sin pretest)</t>
  </si>
  <si>
    <t xml:space="preserve">Duplicados en PRE</t>
  </si>
  <si>
    <t xml:space="preserve">Duplicados en POST</t>
  </si>
  <si>
    <t xml:space="preserve">Registros en POST_TRABAJO no reconocidos (código mal escrito)</t>
  </si>
  <si>
    <t xml:space="preserve">Huérfanos sin motivo ni decisión documentada</t>
  </si>
  <si>
    <t xml:space="preserve">BASE CONSOLIDADA (formato ancho: 1 fila = 1 participante; pretest y postest lado a lado) — v1.0 al liberar</t>
  </si>
  <si>
    <t xml:space="preserve">Columnas negras = fórmulas INDICE/COINCIDIR desde las copias de trabajo (se recalculan al corregir). INCLUIR (amarillo) = 1 incluido / 0 excluido del análisis apareado, con el motivo en OBS y en la bitácora. Ítems inversos S04 y S12 ya recodificados (6 − x). «REVISAR» = la fórmula no pudo calcular (p. ej., texto donde debe ir un número).</t>
  </si>
  <si>
    <t xml:space="preserve">INCLUIR</t>
  </si>
  <si>
    <t xml:space="preserve">D1_PRE</t>
  </si>
  <si>
    <t xml:space="preserve">D2_PRE</t>
  </si>
  <si>
    <t xml:space="preserve">D3_PRE</t>
  </si>
  <si>
    <t xml:space="preserve">SAT_TOTAL_PRE</t>
  </si>
  <si>
    <t xml:space="preserve">NIVEL_SAT_PRE</t>
  </si>
  <si>
    <t xml:space="preserve">D1_POST</t>
  </si>
  <si>
    <t xml:space="preserve">D2_POST</t>
  </si>
  <si>
    <t xml:space="preserve">D3_POST</t>
  </si>
  <si>
    <t xml:space="preserve">SAT_TOTAL_POST</t>
  </si>
  <si>
    <t xml:space="preserve">NIVEL_SAT_POST</t>
  </si>
  <si>
    <t xml:space="preserve">DIF_TIEMPO</t>
  </si>
  <si>
    <t xml:space="preserve">DIF_CUMPLE</t>
  </si>
  <si>
    <t xml:space="preserve">DIF_SAT</t>
  </si>
  <si>
    <t xml:space="preserve">FLAG_IMP</t>
  </si>
  <si>
    <t xml:space="preserve">OBS</t>
  </si>
  <si>
    <t xml:space="preserve">Nota: la base consolidada v1.0 que se libera para el análisis (Sesiones 10–12) está formada por las filas con INCLUIR = 1 (41 casos × 57 variables). Antes de liberar: proteger la hoja, versionar el archivo y registrar el hash en la bitácora.</t>
  </si>
  <si>
    <t xml:space="preserve">FICHA DE CONTROL DE CALIDAD DE LA BASE CONSOLIDADA (indicadores calculados sobre los casos con INCLUIR = 1)</t>
  </si>
  <si>
    <t xml:space="preserve">Semáforo: VERDE = cumple la meta; ÁMBAR = hallazgo documentado/aceptable con justificación; ROJO = no cumple, corregir antes de liberar. Las metas provienen de los criterios de depuración de la Sesión 9.</t>
  </si>
  <si>
    <t xml:space="preserve">N°</t>
  </si>
  <si>
    <t xml:space="preserve">Indicador de calidad</t>
  </si>
  <si>
    <t xml:space="preserve">Valor</t>
  </si>
  <si>
    <t xml:space="preserve">Meta</t>
  </si>
  <si>
    <t xml:space="preserve">Estado</t>
  </si>
  <si>
    <t xml:space="preserve">Cómo se calcula / observación</t>
  </si>
  <si>
    <t xml:space="preserve">Auxiliares para cuartiles por grupo (no editar)</t>
  </si>
  <si>
    <t xml:space="preserve">A. Estructura y correspondencia</t>
  </si>
  <si>
    <t xml:space="preserve">TIEMPO_PRE_GE</t>
  </si>
  <si>
    <t xml:space="preserve">TIEMPO_PRE_GC</t>
  </si>
  <si>
    <t xml:space="preserve">TIEMPO_POST_GE</t>
  </si>
  <si>
    <t xml:space="preserve">TIEMPO_POST_GC</t>
  </si>
  <si>
    <t xml:space="preserve">DIF_TIEMPO_GE</t>
  </si>
  <si>
    <t xml:space="preserve">DIF_TIEMPO_GC</t>
  </si>
  <si>
    <t xml:space="preserve">Registros en PRE_TRABAJO / IDs únicos</t>
  </si>
  <si>
    <t xml:space="preserve">46 / 46</t>
  </si>
  <si>
    <t xml:space="preserve">Si hay más registros que IDs, existen duplicados en el pretest (RAW: 47 / 46)</t>
  </si>
  <si>
    <t xml:space="preserve">Registros en POST_TRABAJO / IDs únicos</t>
  </si>
  <si>
    <t xml:space="preserve">43 / 43</t>
  </si>
  <si>
    <t xml:space="preserve">42 participantes con postest + GC-023 (huérfano documentado). COUNTIF no distingue mayúsculas: «ge-012» cuenta como GE-012, pero «GC-17» no cuenta como GC-017 (RAW: 44 / 43)</t>
  </si>
  <si>
    <t xml:space="preserve">Duplicados pendientes en las copias de trabajo</t>
  </si>
  <si>
    <t xml:space="preserve">Se resuelven eliminando la 2.ª ocurrencia (exacto) o verificando el folio físico (valores distintos)</t>
  </si>
  <si>
    <t xml:space="preserve">Códigos no reconocidos en POST_TRABAJO</t>
  </si>
  <si>
    <t xml:space="preserve">Normalizar al patrón GE-### / GC-### (mayúsculas, guion, tres dígitos)</t>
  </si>
  <si>
    <t xml:space="preserve">Deben coincidir con las pérdidas muestrales registradas en la Sesión 7 (4 casos)</t>
  </si>
  <si>
    <t xml:space="preserve">GC-023: ingreso tardío; se excluye y se documenta</t>
  </si>
  <si>
    <t xml:space="preserve">Todo huérfano necesita un motivo en 3_Mortalidad o una decisión justificada en 4_Conciliacion y en la bitácora</t>
  </si>
  <si>
    <t xml:space="preserve">Casos incluidos en el análisis apareado (GE / GC / total)</t>
  </si>
  <si>
    <t xml:space="preserve">21 / 20 / 41</t>
  </si>
  <si>
    <t xml:space="preserve">Casos completos apareados: ni pérdidas, ni retiros, ni huérfanos</t>
  </si>
  <si>
    <t xml:space="preserve">B. Completitud (valores perdidos)</t>
  </si>
  <si>
    <t xml:space="preserve">Celdas perdidas en variables de análisis (34 variables × casos incluidos)</t>
  </si>
  <si>
    <t xml:space="preserve">≤ 2 %</t>
  </si>
  <si>
    <t xml:space="preserve">Variables: TIEMPO, CUMPLE y los 30 ítems. Antes de aceptar un perdido, intentar recuperarlo de la fuente</t>
  </si>
  <si>
    <t xml:space="preserve">Tasa de perdidos (%)</t>
  </si>
  <si>
    <t xml:space="preserve">Meta del curso: &lt; 2 % global; &lt; 5 % por variable (Jakobsen et al., 2017)</t>
  </si>
  <si>
    <t xml:space="preserve">Casos con dimensión o total perdido en SAT (POST)</t>
  </si>
  <si>
    <t xml:space="preserve">≤ 1</t>
  </si>
  <si>
    <t xml:space="preserve">Regla: &gt; 20 % de ítems perdidos en una dimensión → dimensión y total perdidos (no se imputa)</t>
  </si>
  <si>
    <t xml:space="preserve">Casos con ítem imputado (FLAG_IMP = 1)</t>
  </si>
  <si>
    <t xml:space="preserve">≤ 5 %</t>
  </si>
  <si>
    <t xml:space="preserve">Imputación por media de la persona solo si falta ≤ 20 % de los ítems de la dimensión (Downey &amp; King, 1998)</t>
  </si>
  <si>
    <t xml:space="preserve">C. Validez de valores (rango, tipo y consistencia)</t>
  </si>
  <si>
    <t xml:space="preserve">Ítems Likert fuera de rango (1–5)</t>
  </si>
  <si>
    <t xml:space="preserve">Verificar el folio físico; si no hay fuente, marcar como perdido</t>
  </si>
  <si>
    <t xml:space="preserve">EDAD fuera de rango (18–70)</t>
  </si>
  <si>
    <t xml:space="preserve">Verificar la ficha de datos generales</t>
  </si>
  <si>
    <t xml:space="preserve">TIEMPO fuera de rango (0,5–60 días)</t>
  </si>
  <si>
    <t xml:space="preserve">Un valor &gt; 60 suele ser error de unidad (horas en lugar de días)</t>
  </si>
  <si>
    <t xml:space="preserve">CUMPLE fuera de rango (0–100)</t>
  </si>
  <si>
    <t xml:space="preserve">Porcentaje: no puede exceder 100</t>
  </si>
  <si>
    <t xml:space="preserve">Valores no numéricos en variables numéricas (texto, «REVISAR», coma decimal)</t>
  </si>
  <si>
    <t xml:space="preserve">Convertir «8,5» → 8.5; codificar CARGO como 1/2/3</t>
  </si>
  <si>
    <t xml:space="preserve">Inconsistencias lógicas: EXPERIENCIA &gt; EDAD − 18</t>
  </si>
  <si>
    <t xml:space="preserve">Regla blanda: verificar con la ficha de datos</t>
  </si>
  <si>
    <t xml:space="preserve">Inconsistencias de fecha: FECHA_POST anterior al 12/10/2026 o posterior al 16/10/2026</t>
  </si>
  <si>
    <t xml:space="preserve">Ventana del postest según el acta de cierre (Sesión 7)</t>
  </si>
  <si>
    <t xml:space="preserve">D. Datos atípicos (regla de Tukey: fuera de [Q1 − 1,5·RIC; Q3 + 1,5·RIC], por grupo)</t>
  </si>
  <si>
    <t xml:space="preserve">Atípicos en TIEMPO_PRE — GE</t>
  </si>
  <si>
    <t xml:space="preserve">documentados</t>
  </si>
  <si>
    <t xml:space="preserve">Cada atípico se verifica en la fuente: error → corregir; genuino → conservar y análisis de sensibilidad</t>
  </si>
  <si>
    <t xml:space="preserve">Atípicos en TIEMPO_PRE — GC</t>
  </si>
  <si>
    <t xml:space="preserve">Atípicos en TIEMPO_POST — GE</t>
  </si>
  <si>
    <t xml:space="preserve">Atípicos en TIEMPO_POST — GC</t>
  </si>
  <si>
    <t xml:space="preserve">Atípicos en DIF_TIEMPO — GE</t>
  </si>
  <si>
    <t xml:space="preserve">Atípicos en DIF_TIEMPO — GC</t>
  </si>
  <si>
    <t xml:space="preserve">E. Resultado global</t>
  </si>
  <si>
    <t xml:space="preserve">Indicadores en ROJO / REVISAR (deben ser 0 para liberar la base)</t>
  </si>
  <si>
    <t xml:space="preserve">Los ÁMBAR son aceptables si están justificados en la bitácora.</t>
  </si>
  <si>
    <t xml:space="preserve">Firma del responsable de la depuración: ______________________   Fecha: ____/____/2026   Revisado por (par): ______________________</t>
  </si>
  <si>
    <t xml:space="preserve">Q1</t>
  </si>
  <si>
    <t xml:space="preserve">Q3</t>
  </si>
  <si>
    <t xml:space="preserve">RIC</t>
  </si>
  <si>
    <t xml:space="preserve">Límite inferior</t>
  </si>
  <si>
    <t xml:space="preserve">Límite superior</t>
  </si>
  <si>
    <t xml:space="preserve">N° atípicos</t>
  </si>
  <si>
    <t xml:space="preserve">DICCIONARIO DE VARIABLES (codebook) — v0 → el equipo debe completarlo hasta v1.0 (celdas amarillas)</t>
  </si>
  <si>
    <t xml:space="preserve">Un diccionario completo permite que cualquier persona (asesor, jurado, otro investigador) reproduzca el análisis sin preguntar. Se adjunta como Anexo 9 del informe final.</t>
  </si>
  <si>
    <t xml:space="preserve">Variable</t>
  </si>
  <si>
    <t xml:space="preserve">Etiqueta</t>
  </si>
  <si>
    <t xml:space="preserve">Tipo de dato</t>
  </si>
  <si>
    <t xml:space="preserve">Nivel de medición</t>
  </si>
  <si>
    <t xml:space="preserve">Valores / códigos</t>
  </si>
  <si>
    <t xml:space="preserve">Rango válido</t>
  </si>
  <si>
    <t xml:space="preserve">Unidad</t>
  </si>
  <si>
    <t xml:space="preserve">Instrumento / ítem fuente</t>
  </si>
  <si>
    <t xml:space="preserve">Momento</t>
  </si>
  <si>
    <t xml:space="preserve">Fórmula de derivación</t>
  </si>
  <si>
    <t xml:space="preserve">Código de perdido</t>
  </si>
  <si>
    <t xml:space="preserve">Versión / observación</t>
  </si>
  <si>
    <t xml:space="preserve">Código del participante</t>
  </si>
  <si>
    <t xml:space="preserve">Texto</t>
  </si>
  <si>
    <t xml:space="preserve">Nominal</t>
  </si>
  <si>
    <t xml:space="preserve">GE-001…GE-024 (grupo experimental); GC-001…GC-022 (grupo de comparación)</t>
  </si>
  <si>
    <t xml:space="preserve">Patrón ^G[EC]-\d{3}$</t>
  </si>
  <si>
    <t xml:space="preserve">—</t>
  </si>
  <si>
    <t xml:space="preserve">Relación codificada de participantes (TA1)</t>
  </si>
  <si>
    <t xml:space="preserve">Ambos</t>
  </si>
  <si>
    <t xml:space="preserve">No admite vacío</t>
  </si>
  <si>
    <t xml:space="preserve">v1.0</t>
  </si>
  <si>
    <t xml:space="preserve">Inclusión en el análisis apareado</t>
  </si>
  <si>
    <t xml:space="preserve">Entero</t>
  </si>
  <si>
    <t xml:space="preserve">1 = incluido; 0 = excluido (motivo en OBS y bitácora)</t>
  </si>
  <si>
    <t xml:space="preserve">0–1</t>
  </si>
  <si>
    <t xml:space="preserve">Decisión de depuración</t>
  </si>
  <si>
    <t xml:space="preserve">Columna de control; no se analiza</t>
  </si>
  <si>
    <t xml:space="preserve">Grupo de estudio</t>
  </si>
  <si>
    <t xml:space="preserve">1 = Grupo experimental (sede central); 2 = Grupo de comparación (sede descentralizada)</t>
  </si>
  <si>
    <t xml:space="preserve">1–2</t>
  </si>
  <si>
    <t xml:space="preserve">Protocolo de ejecución</t>
  </si>
  <si>
    <t xml:space="preserve">Sexo</t>
  </si>
  <si>
    <t xml:space="preserve">Edad</t>
  </si>
  <si>
    <t xml:space="preserve">Años de experiencia en trámite documentario</t>
  </si>
  <si>
    <t xml:space="preserve">Cargo del servidor</t>
  </si>
  <si>
    <t xml:space="preserve">Fecha de aplicación del pretest</t>
  </si>
  <si>
    <t xml:space="preserve">Fecha de aplicación del postest</t>
  </si>
  <si>
    <t xml:space="preserve">Tiempo promedio de atención de expedientes (pretest)</t>
  </si>
  <si>
    <t xml:space="preserve">Tiempo promedio de atención de expedientes (postest)</t>
  </si>
  <si>
    <t xml:space="preserve">Porcentaje de expedientes atendidos dentro del plazo (pretest)</t>
  </si>
  <si>
    <t xml:space="preserve">Porcentaje de expedientes atendidos dentro del plazo (postest)</t>
  </si>
  <si>
    <t xml:space="preserve">Ítem 1 del cuestionario de satisfacción — pretest</t>
  </si>
  <si>
    <t xml:space="preserve">Ítem 2 del cuestionario de satisfacción — pretest</t>
  </si>
  <si>
    <t xml:space="preserve">Ítem 3 del cuestionario de satisfacción — pretest</t>
  </si>
  <si>
    <t xml:space="preserve">Ítem 4 del cuestionario de satisfacción — pretest [ítem inverso]</t>
  </si>
  <si>
    <t xml:space="preserve">Ítem 5 del cuestionario de satisfacción — pretest</t>
  </si>
  <si>
    <t xml:space="preserve">Ítem 6 del cuestionario de satisfacción — pretest</t>
  </si>
  <si>
    <t xml:space="preserve">Ítem 7 del cuestionario de satisfacción — pretest</t>
  </si>
  <si>
    <t xml:space="preserve">Ítem 8 del cuestionario de satisfacción — pretest</t>
  </si>
  <si>
    <t xml:space="preserve">Ítem 9 del cuestionario de satisfacción — pretest</t>
  </si>
  <si>
    <t xml:space="preserve">Ítem 10 del cuestionario de satisfacción — pretest</t>
  </si>
  <si>
    <t xml:space="preserve">Ítem 11 del cuestionario de satisfacción — pretest</t>
  </si>
  <si>
    <t xml:space="preserve">Ítem 12 del cuestionario de satisfacción — pretest [ítem inverso]</t>
  </si>
  <si>
    <t xml:space="preserve">Ítem 13 del cuestionario de satisfacción — pretest</t>
  </si>
  <si>
    <t xml:space="preserve">Ítem 14 del cuestionario de satisfacción — pretest</t>
  </si>
  <si>
    <t xml:space="preserve">Ítem 15 del cuestionario de satisfacción — pretest</t>
  </si>
  <si>
    <t xml:space="preserve">Ítem 1 del cuestionario de satisfacción — postest</t>
  </si>
  <si>
    <t xml:space="preserve">Ítem 2 del cuestionario de satisfacción — postest</t>
  </si>
  <si>
    <t xml:space="preserve">Ítem 3 del cuestionario de satisfacción — postest</t>
  </si>
  <si>
    <t xml:space="preserve">Ítem 4 del cuestionario de satisfacción — postest [ítem inverso]</t>
  </si>
  <si>
    <t xml:space="preserve">Ítem 5 del cuestionario de satisfacción — postest</t>
  </si>
  <si>
    <t xml:space="preserve">Ítem 6 del cuestionario de satisfacción — postest</t>
  </si>
  <si>
    <t xml:space="preserve">Ítem 7 del cuestionario de satisfacción — postest</t>
  </si>
  <si>
    <t xml:space="preserve">Ítem 8 del cuestionario de satisfacción — postest</t>
  </si>
  <si>
    <t xml:space="preserve">Ítem 9 del cuestionario de satisfacción — postest</t>
  </si>
  <si>
    <t xml:space="preserve">Ítem 10 del cuestionario de satisfacción — postest</t>
  </si>
  <si>
    <t xml:space="preserve">Ítem 11 del cuestionario de satisfacción — postest</t>
  </si>
  <si>
    <t xml:space="preserve">Ítem 12 del cuestionario de satisfacción — postest [ítem inverso]</t>
  </si>
  <si>
    <t xml:space="preserve">Ítem 13 del cuestionario de satisfacción — postest</t>
  </si>
  <si>
    <t xml:space="preserve">Ítem 14 del cuestionario de satisfacción — postest</t>
  </si>
  <si>
    <t xml:space="preserve">Ítem 15 del cuestionario de satisfacción — postest</t>
  </si>
  <si>
    <t xml:space="preserve">Dimensión 1: Facilidad de uso del proceso (pretest)</t>
  </si>
  <si>
    <t xml:space="preserve">Dimensión 2: Eficiencia del proceso (pretest)</t>
  </si>
  <si>
    <t xml:space="preserve">Dimensión 3: Confiabilidad de la información (pretest)</t>
  </si>
  <si>
    <t xml:space="preserve">Satisfacción total con el proceso (pretest)</t>
  </si>
  <si>
    <t xml:space="preserve">Nivel de satisfacción (pretest)</t>
  </si>
  <si>
    <t xml:space="preserve">Dimensión 1: Facilidad de uso del proceso (postest)</t>
  </si>
  <si>
    <t xml:space="preserve">Dimensión 2: Eficiencia del proceso (postest)</t>
  </si>
  <si>
    <t xml:space="preserve">Dimensión 3: Confiabilidad de la información (postest)</t>
  </si>
  <si>
    <t xml:space="preserve">Satisfacción total con el proceso (postest)</t>
  </si>
  <si>
    <t xml:space="preserve">Nivel de satisfacción (postest)</t>
  </si>
  <si>
    <t xml:space="preserve">Cambio en el tiempo de atención</t>
  </si>
  <si>
    <t xml:space="preserve">Cambio en el cumplimiento del plazo</t>
  </si>
  <si>
    <t xml:space="preserve">Cambio en la satisfacción total</t>
  </si>
  <si>
    <t xml:space="preserve">Indicador de imputación</t>
  </si>
  <si>
    <t xml:space="preserve">Observaciones de depuración</t>
  </si>
  <si>
    <t xml:space="preserve">BITÁCORA DE DEPURACIÓN (registro de decisiones) — el equipo registra cada hallazgo y decisión</t>
  </si>
  <si>
    <t xml:space="preserve">Principio: ningún valor cambia sin una fila en esta bitácora. Se adjunta a la base consolidada (Anexo 8). Campos obligatorios: hallazgo, valor original, valor nuevo, criterio aplicado, evidencia y responsable.</t>
  </si>
  <si>
    <t xml:space="preserve">Fecha</t>
  </si>
  <si>
    <t xml:space="preserve">Hoja / archivo</t>
  </si>
  <si>
    <t xml:space="preserve">Código (ID)</t>
  </si>
  <si>
    <t xml:space="preserve">Valor original</t>
  </si>
  <si>
    <t xml:space="preserve">Valor nuevo</t>
  </si>
  <si>
    <t xml:space="preserve">Tipo de hallazgo</t>
  </si>
  <si>
    <t xml:space="preserve">Criterio de depuración aplicado</t>
  </si>
  <si>
    <t xml:space="preserve">Evidencia / fuente verificada</t>
  </si>
  <si>
    <t xml:space="preserve">Responsable</t>
  </si>
  <si>
    <t xml:space="preserve">Revisado por (par)</t>
  </si>
  <si>
    <t xml:space="preserve">2_POST_RAW</t>
  </si>
  <si>
    <t xml:space="preserve">(fila completa)</t>
  </si>
  <si>
    <t xml:space="preserve">2 registros idénticos</t>
  </si>
  <si>
    <t xml:space="preserve">1 registro</t>
  </si>
  <si>
    <t xml:space="preserve">Duplicado exacto</t>
  </si>
  <si>
    <t xml:space="preserve">Conservar la 1.ª ocurrencia y eliminar la 2.ª</t>
  </si>
  <si>
    <t xml:space="preserve">Comparación fila a fila (COUNTIF &gt; 1); folio único</t>
  </si>
  <si>
    <t xml:space="preserve">Nombre del tesista</t>
  </si>
  <si>
    <t xml:space="preserve">Nombre del par</t>
  </si>
  <si>
    <t xml:space="preserve">LISTA DE COTEJO DE LA BASE DE DATOS CONSOLIDADA (instrumento de evaluación de la Sesión 9)</t>
  </si>
  <si>
    <t xml:space="preserve">Marque Sí / No / N.A. en la columna amarilla. Resultado: 14/14 = base lista para liberar; 12–13 = liberar con observaciones; &lt; 12 = revisar con el asesor.</t>
  </si>
  <si>
    <t xml:space="preserve">Criterio verificable</t>
  </si>
  <si>
    <t xml:space="preserve">Cumple (Sí / No / N.A.)</t>
  </si>
  <si>
    <t xml:space="preserve">Evidencia / observación</t>
  </si>
  <si>
    <t xml:space="preserve">Existe una copia RAW de las bases de pretest y postest, intacta, protegida y con fecha/hash registrados.</t>
  </si>
  <si>
    <t xml:space="preserve">La base consolidada tiene formato ancho: una fila por participante y una columna por variable, sin celdas combinadas ni colores como datos.</t>
  </si>
  <si>
    <t xml:space="preserve">Todos los códigos de participante cumplen el patrón definido (GE-### / GC-###) y son únicos (0 duplicados).</t>
  </si>
  <si>
    <t xml:space="preserve">Cada participante del pretest tiene su registro de postest o un motivo documentado (mortalidad, retiro) en el registro correspondiente.</t>
  </si>
  <si>
    <t xml:space="preserve">Los registros sin pretest (ingresos tardíos) fueron excluidos y documentados.</t>
  </si>
  <si>
    <t xml:space="preserve">Los retiros de consentimiento fueron excluidos del análisis y registrados en la bitácora y en el registro ético.</t>
  </si>
  <si>
    <t xml:space="preserve">Los nombres de variables siguen la convención (sin espacios ni tildes, sufijos _PRE/_POST, prefijos por dimensión).</t>
  </si>
  <si>
    <t xml:space="preserve">Las variables categóricas están codificadas numéricamente con etiquetas en el diccionario; los ítems inversos están recodificados.</t>
  </si>
  <si>
    <t xml:space="preserve">Todos los valores están dentro del rango válido declarado en el diccionario (Likert 1–5, porcentajes 0–100, edades plausibles).</t>
  </si>
  <si>
    <t xml:space="preserve">Las variables numéricas contienen solo números (sin texto, comas decimales ni unidades mezcladas) y las fechas tienen formato AAAA-MM-DD.</t>
  </si>
  <si>
    <t xml:space="preserve">Los valores perdidos fueron cuantificados por variable y por caso, tratados según los criterios de la sesión y marcados (FLAG_IMP) cuando se imputó.</t>
  </si>
  <si>
    <t xml:space="preserve">Los datos atípicos fueron detectados (regla de Tukey o z), verificados en la fuente y tratados con la decisión documentada (corregir / conservar + sensibilidad).</t>
  </si>
  <si>
    <t xml:space="preserve">Las inconsistencias lógicas (fechas, edad–experiencia, totales) fueron revisadas y resueltas contra la fuente primaria.</t>
  </si>
  <si>
    <t xml:space="preserve">La bitácora de depuración, el diccionario v1.0 y la ficha de control de calidad están completos, y la base fue versionada (v1.0) y respaldada.</t>
  </si>
  <si>
    <t xml:space="preserve">Criterios cumplidos (Sí)</t>
  </si>
  <si>
    <t xml:space="preserve">Criterios aplicables (Sí + No)</t>
  </si>
  <si>
    <t xml:space="preserve">Resultado</t>
  </si>
</sst>
</file>

<file path=xl/styles.xml><?xml version="1.0" encoding="utf-8"?>
<styleSheet xmlns="http://schemas.openxmlformats.org/spreadsheetml/2006/main">
  <numFmts count="5">
    <numFmt numFmtId="164" formatCode="General"/>
    <numFmt numFmtId="165" formatCode="yyyy\-mm\-dd"/>
    <numFmt numFmtId="166" formatCode="General"/>
    <numFmt numFmtId="167" formatCode="0.0"/>
    <numFmt numFmtId="168" formatCode="0.00"/>
  </numFmts>
  <fonts count="15">
    <font>
      <sz val="11"/>
      <color theme="1"/>
      <name val="Calibri"/>
      <family val="2"/>
      <charset val="1"/>
    </font>
    <font>
      <sz val="10"/>
      <name val="Arial"/>
      <family val="0"/>
    </font>
    <font>
      <sz val="10"/>
      <name val="Arial"/>
      <family val="0"/>
    </font>
    <font>
      <sz val="10"/>
      <name val="Arial"/>
      <family val="0"/>
    </font>
    <font>
      <b val="true"/>
      <sz val="14"/>
      <color rgb="FF002060"/>
      <name val="Arial"/>
      <family val="0"/>
      <charset val="1"/>
    </font>
    <font>
      <i val="true"/>
      <sz val="10"/>
      <color rgb="FF595959"/>
      <name val="Arial"/>
      <family val="0"/>
      <charset val="1"/>
    </font>
    <font>
      <b val="true"/>
      <sz val="11"/>
      <color rgb="FF0E8F86"/>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8000"/>
      <name val="Arial"/>
      <family val="0"/>
      <charset val="1"/>
    </font>
    <font>
      <sz val="10"/>
      <color rgb="FF0000FF"/>
      <name val="Arial"/>
      <family val="0"/>
      <charset val="1"/>
    </font>
    <font>
      <i val="true"/>
      <sz val="10"/>
      <name val="Arial"/>
      <family val="0"/>
      <charset val="1"/>
    </font>
    <font>
      <i val="true"/>
      <sz val="9"/>
      <name val="Arial"/>
      <family val="0"/>
      <charset val="1"/>
    </font>
    <font>
      <sz val="10"/>
      <name val="Arial"/>
      <family val="2"/>
    </font>
  </fonts>
  <fills count="9">
    <fill>
      <patternFill patternType="none"/>
    </fill>
    <fill>
      <patternFill patternType="gray125"/>
    </fill>
    <fill>
      <patternFill patternType="solid">
        <fgColor rgb="FFE2EFDA"/>
        <bgColor rgb="FFF2F2F2"/>
      </patternFill>
    </fill>
    <fill>
      <patternFill patternType="solid">
        <fgColor rgb="FF002060"/>
        <bgColor rgb="FF000080"/>
      </patternFill>
    </fill>
    <fill>
      <patternFill patternType="solid">
        <fgColor rgb="FFF2F2F2"/>
        <bgColor rgb="FFE2EFDA"/>
      </patternFill>
    </fill>
    <fill>
      <patternFill patternType="solid">
        <fgColor rgb="FFFFFF00"/>
        <bgColor rgb="FFFFFF00"/>
      </patternFill>
    </fill>
    <fill>
      <patternFill patternType="solid">
        <fgColor rgb="FFFFE699"/>
        <bgColor rgb="FFF8CBAD"/>
      </patternFill>
    </fill>
    <fill>
      <patternFill patternType="solid">
        <fgColor rgb="FFF8CBAD"/>
        <bgColor rgb="FFFFE699"/>
      </patternFill>
    </fill>
    <fill>
      <patternFill patternType="solid">
        <fgColor rgb="FF0E8F86"/>
        <bgColor rgb="FF00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5" fontId="8" fillId="6"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5" fontId="8" fillId="7"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AD"/>
        </patternFill>
      </fill>
    </dxf>
    <dxf>
      <fill>
        <patternFill>
          <bgColor rgb="FFFFE699"/>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8F86"/>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000"/>
      <rgbColor rgb="FFFF9900"/>
      <rgbColor rgb="FFFF6600"/>
      <rgbColor rgb="FF595959"/>
      <rgbColor rgb="FF969696"/>
      <rgbColor rgb="FF002060"/>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60" hidden="false" customHeight="true" outlineLevel="0" collapsed="false">
      <c r="A5" s="4" t="s">
        <v>3</v>
      </c>
      <c r="B5" s="5" t="s">
        <v>4</v>
      </c>
    </row>
    <row r="6" customFormat="false" ht="60" hidden="false" customHeight="true" outlineLevel="0" collapsed="false">
      <c r="A6" s="4" t="s">
        <v>5</v>
      </c>
      <c r="B6" s="5" t="s">
        <v>6</v>
      </c>
    </row>
    <row r="7" customFormat="false" ht="90" hidden="false" customHeight="true" outlineLevel="0" collapsed="false">
      <c r="A7" s="4" t="s">
        <v>7</v>
      </c>
      <c r="B7" s="5" t="s">
        <v>8</v>
      </c>
    </row>
    <row r="8" customFormat="false" ht="45" hidden="false" customHeight="true" outlineLevel="0" collapsed="false">
      <c r="A8" s="4" t="s">
        <v>9</v>
      </c>
      <c r="B8" s="5" t="s">
        <v>10</v>
      </c>
    </row>
    <row r="9" customFormat="false" ht="60" hidden="false" customHeight="true" outlineLevel="0" collapsed="false">
      <c r="A9" s="4" t="s">
        <v>11</v>
      </c>
      <c r="B9" s="5" t="s">
        <v>12</v>
      </c>
    </row>
    <row r="10" customFormat="false" ht="45" hidden="false" customHeight="true" outlineLevel="0" collapsed="false">
      <c r="A10" s="4" t="s">
        <v>13</v>
      </c>
      <c r="B10" s="5" t="s">
        <v>14</v>
      </c>
    </row>
    <row r="11" customFormat="false" ht="45" hidden="false" customHeight="true" outlineLevel="0" collapsed="false">
      <c r="A11" s="4" t="s">
        <v>15</v>
      </c>
      <c r="B11" s="5" t="s">
        <v>16</v>
      </c>
    </row>
    <row r="13" customFormat="false" ht="60" hidden="false" customHeight="true" outlineLevel="0" collapsed="false">
      <c r="A13" s="4" t="s">
        <v>17</v>
      </c>
      <c r="B13" s="5"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5" min="2" style="0" width="8"/>
    <col collapsed="false" customWidth="true" hidden="false" outlineLevel="0" max="6" min="6" style="0" width="13"/>
    <col collapsed="false" customWidth="true" hidden="false" outlineLevel="0" max="7" min="7" style="0" width="12"/>
    <col collapsed="false" customWidth="true" hidden="false" outlineLevel="0" max="24" min="8" style="0" width="8"/>
  </cols>
  <sheetData>
    <row r="1" customFormat="false" ht="17.35" hidden="false" customHeight="false" outlineLevel="0" collapsed="false">
      <c r="A1" s="1" t="s">
        <v>19</v>
      </c>
    </row>
    <row r="2" customFormat="false" ht="15" hidden="false" customHeight="false" outlineLevel="0" collapsed="false">
      <c r="A2" s="2" t="s">
        <v>20</v>
      </c>
    </row>
    <row r="4" customFormat="false" ht="24" hidden="false" customHeight="true" outlineLevel="0" collapsed="false">
      <c r="A4" s="6" t="s">
        <v>21</v>
      </c>
      <c r="B4" s="6" t="s">
        <v>22</v>
      </c>
      <c r="C4" s="6" t="s">
        <v>23</v>
      </c>
      <c r="D4" s="6" t="s">
        <v>24</v>
      </c>
      <c r="E4" s="6" t="s">
        <v>25</v>
      </c>
      <c r="F4" s="6" t="s">
        <v>26</v>
      </c>
      <c r="G4" s="6" t="s">
        <v>27</v>
      </c>
      <c r="H4" s="6" t="s">
        <v>28</v>
      </c>
      <c r="I4" s="6" t="s">
        <v>29</v>
      </c>
      <c r="J4" s="6" t="s">
        <v>30</v>
      </c>
      <c r="K4" s="6" t="s">
        <v>31</v>
      </c>
      <c r="L4" s="6" t="s">
        <v>32</v>
      </c>
      <c r="M4" s="6" t="s">
        <v>33</v>
      </c>
      <c r="N4" s="6" t="s">
        <v>34</v>
      </c>
      <c r="O4" s="6" t="s">
        <v>35</v>
      </c>
      <c r="P4" s="6" t="s">
        <v>36</v>
      </c>
      <c r="Q4" s="6" t="s">
        <v>37</v>
      </c>
      <c r="R4" s="6" t="s">
        <v>38</v>
      </c>
      <c r="S4" s="6" t="s">
        <v>39</v>
      </c>
      <c r="T4" s="6" t="s">
        <v>40</v>
      </c>
      <c r="U4" s="6" t="s">
        <v>41</v>
      </c>
      <c r="V4" s="6" t="s">
        <v>42</v>
      </c>
      <c r="W4" s="6" t="s">
        <v>43</v>
      </c>
      <c r="X4" s="6" t="s">
        <v>44</v>
      </c>
    </row>
    <row r="5" customFormat="false" ht="15" hidden="false" customHeight="false" outlineLevel="0" collapsed="false">
      <c r="A5" s="7" t="s">
        <v>45</v>
      </c>
      <c r="B5" s="7" t="n">
        <v>1</v>
      </c>
      <c r="C5" s="7" t="n">
        <v>2</v>
      </c>
      <c r="D5" s="7" t="n">
        <v>47</v>
      </c>
      <c r="E5" s="7" t="n">
        <v>12</v>
      </c>
      <c r="F5" s="7" t="s">
        <v>46</v>
      </c>
      <c r="G5" s="8" t="n">
        <v>46258</v>
      </c>
      <c r="H5" s="7" t="n">
        <v>10.3</v>
      </c>
      <c r="I5" s="7" t="n">
        <v>71</v>
      </c>
      <c r="J5" s="7" t="n">
        <v>2</v>
      </c>
      <c r="K5" s="7" t="n">
        <v>4</v>
      </c>
      <c r="L5" s="7" t="n">
        <v>1</v>
      </c>
      <c r="M5" s="7" t="n">
        <v>3</v>
      </c>
      <c r="N5" s="7" t="n">
        <v>4</v>
      </c>
      <c r="O5" s="7" t="n">
        <v>2</v>
      </c>
      <c r="P5" s="7" t="n">
        <v>3</v>
      </c>
      <c r="Q5" s="7" t="n">
        <v>3</v>
      </c>
      <c r="R5" s="7" t="n">
        <v>2</v>
      </c>
      <c r="S5" s="7" t="n">
        <v>3</v>
      </c>
      <c r="T5" s="7" t="n">
        <v>2</v>
      </c>
      <c r="U5" s="7" t="n">
        <v>5</v>
      </c>
      <c r="V5" s="7" t="n">
        <v>1</v>
      </c>
      <c r="W5" s="7" t="n">
        <v>2</v>
      </c>
      <c r="X5" s="7" t="n">
        <v>2</v>
      </c>
    </row>
    <row r="6" customFormat="false" ht="15" hidden="false" customHeight="false" outlineLevel="0" collapsed="false">
      <c r="A6" s="7" t="s">
        <v>47</v>
      </c>
      <c r="B6" s="7" t="n">
        <v>1</v>
      </c>
      <c r="C6" s="7" t="n">
        <v>1</v>
      </c>
      <c r="D6" s="7" t="n">
        <v>37</v>
      </c>
      <c r="E6" s="7" t="n">
        <v>4</v>
      </c>
      <c r="F6" s="7" t="s">
        <v>48</v>
      </c>
      <c r="G6" s="8" t="n">
        <v>46259</v>
      </c>
      <c r="H6" s="7" t="n">
        <v>6.5</v>
      </c>
      <c r="I6" s="7" t="n">
        <v>59</v>
      </c>
      <c r="J6" s="7" t="n">
        <v>2</v>
      </c>
      <c r="K6" s="7" t="n">
        <v>2</v>
      </c>
      <c r="L6" s="7" t="n">
        <v>2</v>
      </c>
      <c r="M6" s="7" t="n">
        <v>3</v>
      </c>
      <c r="N6" s="7" t="n">
        <v>4</v>
      </c>
      <c r="O6" s="7" t="n">
        <v>3</v>
      </c>
      <c r="P6" s="7" t="n">
        <v>4</v>
      </c>
      <c r="Q6" s="7" t="n">
        <v>3</v>
      </c>
      <c r="R6" s="7" t="n">
        <v>3</v>
      </c>
      <c r="S6" s="7" t="n">
        <v>3</v>
      </c>
      <c r="T6" s="7" t="n">
        <v>3</v>
      </c>
      <c r="U6" s="7" t="n">
        <v>3</v>
      </c>
      <c r="V6" s="7" t="n">
        <v>3</v>
      </c>
      <c r="W6" s="7" t="n">
        <v>4</v>
      </c>
      <c r="X6" s="7" t="n">
        <v>3</v>
      </c>
    </row>
    <row r="7" customFormat="false" ht="15" hidden="false" customHeight="false" outlineLevel="0" collapsed="false">
      <c r="A7" s="7" t="s">
        <v>49</v>
      </c>
      <c r="B7" s="7" t="n">
        <v>1</v>
      </c>
      <c r="C7" s="7" t="n">
        <v>2</v>
      </c>
      <c r="D7" s="7" t="n">
        <v>35</v>
      </c>
      <c r="E7" s="7" t="n">
        <v>9</v>
      </c>
      <c r="F7" s="7" t="s">
        <v>50</v>
      </c>
      <c r="G7" s="8" t="n">
        <v>46260</v>
      </c>
      <c r="H7" s="7" t="n">
        <v>12.8</v>
      </c>
      <c r="I7" s="7" t="n">
        <v>57</v>
      </c>
      <c r="J7" s="7" t="n">
        <v>1</v>
      </c>
      <c r="K7" s="7" t="n">
        <v>2</v>
      </c>
      <c r="L7" s="7" t="n">
        <v>4</v>
      </c>
      <c r="M7" s="7" t="n">
        <v>3</v>
      </c>
      <c r="N7" s="7" t="n">
        <v>3</v>
      </c>
      <c r="O7" s="7" t="n">
        <v>2</v>
      </c>
      <c r="P7" s="7" t="n">
        <v>4</v>
      </c>
      <c r="Q7" s="7" t="n">
        <v>3</v>
      </c>
      <c r="R7" s="7" t="n">
        <v>4</v>
      </c>
      <c r="S7" s="7" t="n">
        <v>3</v>
      </c>
      <c r="T7" s="7" t="n">
        <v>3</v>
      </c>
      <c r="U7" s="7" t="n">
        <v>3</v>
      </c>
      <c r="V7" s="7" t="n">
        <v>2</v>
      </c>
      <c r="W7" s="7" t="n">
        <v>2</v>
      </c>
      <c r="X7" s="7" t="n">
        <v>2</v>
      </c>
    </row>
    <row r="8" customFormat="false" ht="15" hidden="false" customHeight="false" outlineLevel="0" collapsed="false">
      <c r="A8" s="7" t="s">
        <v>49</v>
      </c>
      <c r="B8" s="7" t="n">
        <v>1</v>
      </c>
      <c r="C8" s="7" t="n">
        <v>2</v>
      </c>
      <c r="D8" s="7" t="n">
        <v>35</v>
      </c>
      <c r="E8" s="7" t="n">
        <v>9</v>
      </c>
      <c r="F8" s="7" t="s">
        <v>50</v>
      </c>
      <c r="G8" s="8" t="n">
        <v>46260</v>
      </c>
      <c r="H8" s="7" t="n">
        <v>12.8</v>
      </c>
      <c r="I8" s="7" t="n">
        <v>57</v>
      </c>
      <c r="J8" s="7" t="n">
        <v>1</v>
      </c>
      <c r="K8" s="7" t="n">
        <v>2</v>
      </c>
      <c r="L8" s="7" t="n">
        <v>4</v>
      </c>
      <c r="M8" s="7" t="n">
        <v>3</v>
      </c>
      <c r="N8" s="7" t="n">
        <v>3</v>
      </c>
      <c r="O8" s="7" t="n">
        <v>2</v>
      </c>
      <c r="P8" s="7" t="n">
        <v>2</v>
      </c>
      <c r="Q8" s="7" t="n">
        <v>3</v>
      </c>
      <c r="R8" s="7" t="n">
        <v>4</v>
      </c>
      <c r="S8" s="7" t="n">
        <v>3</v>
      </c>
      <c r="T8" s="7" t="n">
        <v>3</v>
      </c>
      <c r="U8" s="7" t="n">
        <v>3</v>
      </c>
      <c r="V8" s="7" t="n">
        <v>2</v>
      </c>
      <c r="W8" s="7" t="n">
        <v>2</v>
      </c>
      <c r="X8" s="7" t="n">
        <v>2</v>
      </c>
    </row>
    <row r="9" customFormat="false" ht="15" hidden="false" customHeight="false" outlineLevel="0" collapsed="false">
      <c r="A9" s="7" t="s">
        <v>51</v>
      </c>
      <c r="B9" s="7" t="n">
        <v>1</v>
      </c>
      <c r="C9" s="7" t="n">
        <v>2</v>
      </c>
      <c r="D9" s="7" t="n">
        <v>42</v>
      </c>
      <c r="E9" s="7" t="n">
        <v>9</v>
      </c>
      <c r="F9" s="7" t="s">
        <v>52</v>
      </c>
      <c r="G9" s="8" t="n">
        <v>46261</v>
      </c>
      <c r="H9" s="7" t="n">
        <v>11.8</v>
      </c>
      <c r="I9" s="7" t="n">
        <v>54</v>
      </c>
      <c r="J9" s="7" t="n">
        <v>2</v>
      </c>
      <c r="K9" s="7" t="n">
        <v>5</v>
      </c>
      <c r="L9" s="7" t="n">
        <v>3</v>
      </c>
      <c r="M9" s="7" t="n">
        <v>2</v>
      </c>
      <c r="N9" s="7" t="n">
        <v>5</v>
      </c>
      <c r="O9" s="7" t="n">
        <v>3</v>
      </c>
      <c r="P9" s="7" t="n">
        <v>4</v>
      </c>
      <c r="Q9" s="7" t="n">
        <v>5</v>
      </c>
      <c r="R9" s="7" t="n">
        <v>3</v>
      </c>
      <c r="S9" s="7" t="n">
        <v>2</v>
      </c>
      <c r="T9" s="7" t="n">
        <v>3</v>
      </c>
      <c r="U9" s="7" t="n">
        <v>3</v>
      </c>
      <c r="V9" s="7" t="n">
        <v>4</v>
      </c>
      <c r="W9" s="7" t="n">
        <v>4</v>
      </c>
      <c r="X9" s="7" t="n">
        <v>4</v>
      </c>
    </row>
    <row r="10" customFormat="false" ht="15" hidden="false" customHeight="false" outlineLevel="0" collapsed="false">
      <c r="A10" s="7" t="s">
        <v>53</v>
      </c>
      <c r="B10" s="7" t="n">
        <v>1</v>
      </c>
      <c r="C10" s="7" t="n">
        <v>1</v>
      </c>
      <c r="D10" s="7" t="n">
        <v>28</v>
      </c>
      <c r="E10" s="7" t="n">
        <v>7</v>
      </c>
      <c r="F10" s="7" t="s">
        <v>48</v>
      </c>
      <c r="G10" s="8" t="n">
        <v>46262</v>
      </c>
      <c r="H10" s="7" t="n">
        <v>13.5</v>
      </c>
      <c r="I10" s="7" t="n">
        <v>56</v>
      </c>
      <c r="J10" s="7" t="n">
        <v>2</v>
      </c>
      <c r="K10" s="7" t="n">
        <v>3</v>
      </c>
      <c r="L10" s="7" t="n">
        <v>3</v>
      </c>
      <c r="M10" s="7" t="n">
        <v>2</v>
      </c>
      <c r="N10" s="7" t="n">
        <v>3</v>
      </c>
      <c r="O10" s="7" t="n">
        <v>4</v>
      </c>
      <c r="P10" s="7" t="n">
        <v>4</v>
      </c>
      <c r="Q10" s="7" t="n">
        <v>4</v>
      </c>
      <c r="R10" s="7" t="n">
        <v>4</v>
      </c>
      <c r="S10" s="7" t="n">
        <v>2</v>
      </c>
      <c r="T10" s="7" t="n">
        <v>3</v>
      </c>
      <c r="U10" s="7" t="n">
        <v>3</v>
      </c>
      <c r="V10" s="7" t="n">
        <v>3</v>
      </c>
      <c r="W10" s="7" t="n">
        <v>3</v>
      </c>
      <c r="X10" s="7" t="n">
        <v>3</v>
      </c>
    </row>
    <row r="11" customFormat="false" ht="15" hidden="false" customHeight="false" outlineLevel="0" collapsed="false">
      <c r="A11" s="7" t="s">
        <v>54</v>
      </c>
      <c r="B11" s="7" t="n">
        <v>1</v>
      </c>
      <c r="C11" s="7" t="n">
        <v>2</v>
      </c>
      <c r="D11" s="7" t="n">
        <v>31</v>
      </c>
      <c r="E11" s="7" t="n">
        <v>8</v>
      </c>
      <c r="F11" s="7" t="s">
        <v>55</v>
      </c>
      <c r="G11" s="8" t="n">
        <v>46258</v>
      </c>
      <c r="H11" s="7" t="n">
        <v>10.1</v>
      </c>
      <c r="I11" s="7" t="n">
        <v>70</v>
      </c>
      <c r="J11" s="7" t="n">
        <v>2</v>
      </c>
      <c r="K11" s="7" t="n">
        <v>3</v>
      </c>
      <c r="L11" s="7" t="n">
        <v>3</v>
      </c>
      <c r="M11" s="7" t="n">
        <v>4</v>
      </c>
      <c r="N11" s="7" t="n">
        <v>3</v>
      </c>
      <c r="O11" s="7" t="n">
        <v>3</v>
      </c>
      <c r="P11" s="7" t="n">
        <v>4</v>
      </c>
      <c r="Q11" s="7" t="n">
        <v>2</v>
      </c>
      <c r="R11" s="7" t="n">
        <v>3</v>
      </c>
      <c r="S11" s="7" t="n">
        <v>3</v>
      </c>
      <c r="T11" s="7" t="n">
        <v>2</v>
      </c>
      <c r="U11" s="7" t="n">
        <v>4</v>
      </c>
      <c r="V11" s="7" t="n">
        <v>3</v>
      </c>
      <c r="W11" s="7" t="n">
        <v>3</v>
      </c>
      <c r="X11" s="7" t="n">
        <v>4</v>
      </c>
    </row>
    <row r="12" customFormat="false" ht="15" hidden="false" customHeight="false" outlineLevel="0" collapsed="false">
      <c r="A12" s="7" t="s">
        <v>56</v>
      </c>
      <c r="B12" s="7" t="n">
        <v>1</v>
      </c>
      <c r="C12" s="7" t="n">
        <v>1</v>
      </c>
      <c r="D12" s="7" t="n">
        <v>26</v>
      </c>
      <c r="E12" s="7" t="n">
        <v>5</v>
      </c>
      <c r="F12" s="7" t="s">
        <v>57</v>
      </c>
      <c r="G12" s="8" t="n">
        <v>46259</v>
      </c>
      <c r="H12" s="7" t="n">
        <v>12.9</v>
      </c>
      <c r="I12" s="7" t="n">
        <v>60</v>
      </c>
      <c r="J12" s="7" t="n">
        <v>3</v>
      </c>
      <c r="K12" s="7" t="n">
        <v>4</v>
      </c>
      <c r="L12" s="7" t="n">
        <v>3</v>
      </c>
      <c r="M12" s="7" t="n">
        <v>5</v>
      </c>
      <c r="N12" s="7" t="n">
        <v>1</v>
      </c>
      <c r="O12" s="7" t="n">
        <v>4</v>
      </c>
      <c r="P12" s="7" t="n">
        <v>2</v>
      </c>
      <c r="Q12" s="7" t="n">
        <v>4</v>
      </c>
      <c r="R12" s="7" t="n">
        <v>3</v>
      </c>
      <c r="S12" s="7" t="n">
        <v>3</v>
      </c>
      <c r="T12" s="7" t="n">
        <v>4</v>
      </c>
      <c r="U12" s="7" t="n">
        <v>4</v>
      </c>
      <c r="V12" s="7" t="n">
        <v>1</v>
      </c>
      <c r="W12" s="7" t="n">
        <v>2</v>
      </c>
      <c r="X12" s="7" t="n">
        <v>4</v>
      </c>
    </row>
    <row r="13" customFormat="false" ht="15" hidden="false" customHeight="false" outlineLevel="0" collapsed="false">
      <c r="A13" s="7" t="s">
        <v>58</v>
      </c>
      <c r="B13" s="7" t="n">
        <v>1</v>
      </c>
      <c r="C13" s="7" t="n">
        <v>1</v>
      </c>
      <c r="D13" s="7" t="n">
        <v>43</v>
      </c>
      <c r="E13" s="7" t="n">
        <v>8</v>
      </c>
      <c r="F13" s="7" t="s">
        <v>55</v>
      </c>
      <c r="G13" s="8" t="n">
        <v>46260</v>
      </c>
      <c r="H13" s="7" t="n">
        <v>10.6</v>
      </c>
      <c r="I13" s="7" t="n">
        <v>59</v>
      </c>
      <c r="J13" s="7" t="n">
        <v>3</v>
      </c>
      <c r="K13" s="7" t="n">
        <v>2</v>
      </c>
      <c r="L13" s="7" t="n">
        <v>2</v>
      </c>
      <c r="M13" s="7" t="n">
        <v>3</v>
      </c>
      <c r="N13" s="7" t="n">
        <v>3</v>
      </c>
      <c r="O13" s="7" t="n">
        <v>5</v>
      </c>
      <c r="P13" s="7" t="n">
        <v>3</v>
      </c>
      <c r="Q13" s="7" t="n">
        <v>2</v>
      </c>
      <c r="R13" s="7" t="n">
        <v>3</v>
      </c>
      <c r="S13" s="7" t="n">
        <v>2</v>
      </c>
      <c r="T13" s="7" t="n">
        <v>1</v>
      </c>
      <c r="U13" s="7" t="n">
        <v>4</v>
      </c>
      <c r="V13" s="7" t="n">
        <v>3</v>
      </c>
      <c r="W13" s="7" t="n">
        <v>3</v>
      </c>
      <c r="X13" s="7" t="n">
        <v>2</v>
      </c>
    </row>
    <row r="14" customFormat="false" ht="15" hidden="false" customHeight="false" outlineLevel="0" collapsed="false">
      <c r="A14" s="7" t="s">
        <v>59</v>
      </c>
      <c r="B14" s="7" t="n">
        <v>1</v>
      </c>
      <c r="C14" s="7" t="n">
        <v>2</v>
      </c>
      <c r="D14" s="7" t="n">
        <v>35</v>
      </c>
      <c r="E14" s="7" t="n">
        <v>5</v>
      </c>
      <c r="F14" s="7" t="s">
        <v>48</v>
      </c>
      <c r="G14" s="8" t="n">
        <v>46261</v>
      </c>
      <c r="H14" s="7" t="n">
        <v>7.7</v>
      </c>
      <c r="I14" s="7" t="n">
        <v>56</v>
      </c>
      <c r="J14" s="7" t="n">
        <v>3</v>
      </c>
      <c r="K14" s="7" t="n">
        <v>3</v>
      </c>
      <c r="L14" s="7" t="n">
        <v>4</v>
      </c>
      <c r="M14" s="7" t="n">
        <v>3</v>
      </c>
      <c r="N14" s="7" t="n">
        <v>3</v>
      </c>
      <c r="O14" s="7" t="n">
        <v>4</v>
      </c>
      <c r="P14" s="7" t="n">
        <v>5</v>
      </c>
      <c r="Q14" s="7" t="n">
        <v>1</v>
      </c>
      <c r="R14" s="7" t="n">
        <v>2</v>
      </c>
      <c r="S14" s="7" t="n">
        <v>3</v>
      </c>
      <c r="T14" s="7" t="n">
        <v>4</v>
      </c>
      <c r="U14" s="7" t="n">
        <v>3</v>
      </c>
      <c r="V14" s="7" t="n">
        <v>2</v>
      </c>
      <c r="W14" s="7" t="n">
        <v>4</v>
      </c>
      <c r="X14" s="7" t="n">
        <v>3</v>
      </c>
    </row>
    <row r="15" customFormat="false" ht="15" hidden="false" customHeight="false" outlineLevel="0" collapsed="false">
      <c r="A15" s="7" t="s">
        <v>60</v>
      </c>
      <c r="B15" s="7" t="n">
        <v>1</v>
      </c>
      <c r="C15" s="7" t="n">
        <v>1</v>
      </c>
      <c r="D15" s="7" t="n">
        <v>35</v>
      </c>
      <c r="E15" s="7" t="n">
        <v>14</v>
      </c>
      <c r="F15" s="7" t="s">
        <v>61</v>
      </c>
      <c r="G15" s="8" t="n">
        <v>46262</v>
      </c>
      <c r="H15" s="7" t="n">
        <v>13.6</v>
      </c>
      <c r="I15" s="7" t="n">
        <v>76</v>
      </c>
      <c r="J15" s="7" t="n">
        <v>3</v>
      </c>
      <c r="K15" s="7" t="n">
        <v>4</v>
      </c>
      <c r="L15" s="7" t="n">
        <v>4</v>
      </c>
      <c r="M15" s="7" t="n">
        <v>1</v>
      </c>
      <c r="N15" s="7" t="n">
        <v>2</v>
      </c>
      <c r="O15" s="7" t="n">
        <v>2</v>
      </c>
      <c r="P15" s="7" t="n">
        <v>3</v>
      </c>
      <c r="Q15" s="7" t="n">
        <v>4</v>
      </c>
      <c r="R15" s="7" t="n">
        <v>1</v>
      </c>
      <c r="S15" s="7" t="n">
        <v>2</v>
      </c>
      <c r="T15" s="7" t="n">
        <v>2</v>
      </c>
      <c r="U15" s="7" t="n">
        <v>2</v>
      </c>
      <c r="V15" s="7" t="n">
        <v>2</v>
      </c>
      <c r="W15" s="7" t="n">
        <v>4</v>
      </c>
      <c r="X15" s="7" t="n">
        <v>3</v>
      </c>
    </row>
    <row r="16" customFormat="false" ht="15" hidden="false" customHeight="false" outlineLevel="0" collapsed="false">
      <c r="A16" s="7" t="s">
        <v>62</v>
      </c>
      <c r="B16" s="7" t="n">
        <v>1</v>
      </c>
      <c r="C16" s="7" t="n">
        <v>1</v>
      </c>
      <c r="D16" s="7" t="n">
        <v>27</v>
      </c>
      <c r="E16" s="7" t="n">
        <v>6</v>
      </c>
      <c r="F16" s="7" t="s">
        <v>63</v>
      </c>
      <c r="G16" s="8" t="n">
        <v>46258</v>
      </c>
      <c r="H16" s="7" t="n">
        <v>48</v>
      </c>
      <c r="I16" s="7" t="n">
        <v>53</v>
      </c>
      <c r="J16" s="7" t="n">
        <v>3</v>
      </c>
      <c r="K16" s="7" t="n">
        <v>4</v>
      </c>
      <c r="L16" s="7" t="n">
        <v>3</v>
      </c>
      <c r="M16" s="7" t="n">
        <v>3</v>
      </c>
      <c r="N16" s="7" t="n">
        <v>3</v>
      </c>
      <c r="O16" s="7" t="n">
        <v>2</v>
      </c>
      <c r="P16" s="7" t="n">
        <v>4</v>
      </c>
      <c r="Q16" s="7" t="n">
        <v>2</v>
      </c>
      <c r="R16" s="7" t="n">
        <v>4</v>
      </c>
      <c r="S16" s="7" t="n">
        <v>3</v>
      </c>
      <c r="T16" s="7" t="n">
        <v>2</v>
      </c>
      <c r="U16" s="7" t="n">
        <v>3</v>
      </c>
      <c r="V16" s="7" t="n">
        <v>3</v>
      </c>
      <c r="W16" s="7" t="n">
        <v>2</v>
      </c>
      <c r="X16" s="7" t="n">
        <v>3</v>
      </c>
    </row>
    <row r="17" customFormat="false" ht="15" hidden="false" customHeight="false" outlineLevel="0" collapsed="false">
      <c r="A17" s="7" t="s">
        <v>64</v>
      </c>
      <c r="B17" s="7" t="n">
        <v>1</v>
      </c>
      <c r="C17" s="7" t="n">
        <v>1</v>
      </c>
      <c r="D17" s="7" t="n">
        <v>24</v>
      </c>
      <c r="E17" s="7" t="n">
        <v>2</v>
      </c>
      <c r="F17" s="7" t="s">
        <v>55</v>
      </c>
      <c r="G17" s="8" t="n">
        <v>46259</v>
      </c>
      <c r="H17" s="7" t="n">
        <v>9.2</v>
      </c>
      <c r="I17" s="7" t="n">
        <v>58</v>
      </c>
      <c r="J17" s="7" t="n">
        <v>3</v>
      </c>
      <c r="K17" s="7" t="n">
        <v>3</v>
      </c>
      <c r="L17" s="7" t="n">
        <v>2</v>
      </c>
      <c r="M17" s="7" t="n">
        <v>1</v>
      </c>
      <c r="N17" s="7" t="n">
        <v>2</v>
      </c>
      <c r="O17" s="7" t="n">
        <v>3</v>
      </c>
      <c r="P17" s="7" t="n">
        <v>4</v>
      </c>
      <c r="Q17" s="7" t="n">
        <v>3</v>
      </c>
      <c r="R17" s="7" t="n">
        <v>2</v>
      </c>
      <c r="S17" s="7" t="n">
        <v>5</v>
      </c>
      <c r="T17" s="7" t="n">
        <v>2</v>
      </c>
      <c r="U17" s="7" t="n">
        <v>4</v>
      </c>
      <c r="V17" s="7" t="n">
        <v>2</v>
      </c>
      <c r="W17" s="7" t="n">
        <v>2</v>
      </c>
      <c r="X17" s="7" t="n">
        <v>4</v>
      </c>
    </row>
    <row r="18" customFormat="false" ht="15" hidden="false" customHeight="false" outlineLevel="0" collapsed="false">
      <c r="A18" s="7" t="s">
        <v>65</v>
      </c>
      <c r="B18" s="7" t="n">
        <v>1</v>
      </c>
      <c r="C18" s="7" t="n">
        <v>2</v>
      </c>
      <c r="D18" s="7" t="n">
        <v>43</v>
      </c>
      <c r="E18" s="7" t="n">
        <v>6</v>
      </c>
      <c r="F18" s="7" t="s">
        <v>66</v>
      </c>
      <c r="G18" s="8" t="n">
        <v>46260</v>
      </c>
      <c r="H18" s="7" t="n">
        <v>15.1</v>
      </c>
      <c r="I18" s="7" t="n">
        <v>65</v>
      </c>
      <c r="J18" s="7" t="n">
        <v>4</v>
      </c>
      <c r="K18" s="7" t="n">
        <v>4</v>
      </c>
      <c r="L18" s="7" t="n">
        <v>4</v>
      </c>
      <c r="M18" s="7" t="n">
        <v>3</v>
      </c>
      <c r="N18" s="7" t="n">
        <v>2</v>
      </c>
      <c r="O18" s="7" t="n">
        <v>1</v>
      </c>
      <c r="P18" s="7" t="n">
        <v>3</v>
      </c>
      <c r="Q18" s="7" t="n">
        <v>3</v>
      </c>
      <c r="R18" s="7" t="n">
        <v>3</v>
      </c>
      <c r="S18" s="7" t="n">
        <v>2</v>
      </c>
      <c r="T18" s="7" t="n">
        <v>2</v>
      </c>
      <c r="U18" s="7" t="n">
        <v>4</v>
      </c>
      <c r="V18" s="7" t="n">
        <v>3</v>
      </c>
      <c r="W18" s="7" t="n">
        <v>4</v>
      </c>
      <c r="X18" s="7" t="n">
        <v>3</v>
      </c>
    </row>
    <row r="19" customFormat="false" ht="15" hidden="false" customHeight="false" outlineLevel="0" collapsed="false">
      <c r="A19" s="7" t="s">
        <v>67</v>
      </c>
      <c r="B19" s="7" t="n">
        <v>1</v>
      </c>
      <c r="C19" s="7" t="n">
        <v>2</v>
      </c>
      <c r="D19" s="7" t="n">
        <v>45</v>
      </c>
      <c r="E19" s="7" t="n">
        <v>12</v>
      </c>
      <c r="F19" s="7" t="s">
        <v>50</v>
      </c>
      <c r="G19" s="8" t="n">
        <v>46261</v>
      </c>
      <c r="H19" s="7" t="n">
        <v>9.3</v>
      </c>
      <c r="I19" s="7" t="n">
        <v>58</v>
      </c>
      <c r="J19" s="7" t="n">
        <v>3</v>
      </c>
      <c r="K19" s="7" t="n">
        <v>3</v>
      </c>
      <c r="L19" s="7" t="n">
        <v>4</v>
      </c>
      <c r="M19" s="7" t="n">
        <v>3</v>
      </c>
      <c r="N19" s="7" t="n">
        <v>2</v>
      </c>
      <c r="O19" s="7" t="n">
        <v>5</v>
      </c>
      <c r="P19" s="7" t="n">
        <v>4</v>
      </c>
      <c r="Q19" s="7" t="n">
        <v>4</v>
      </c>
      <c r="R19" s="7" t="n">
        <v>5</v>
      </c>
      <c r="S19" s="7" t="n">
        <v>5</v>
      </c>
      <c r="T19" s="7" t="n">
        <v>4</v>
      </c>
      <c r="U19" s="7" t="n">
        <v>2</v>
      </c>
      <c r="V19" s="7" t="n">
        <v>4</v>
      </c>
      <c r="W19" s="7" t="n">
        <v>4</v>
      </c>
      <c r="X19" s="7" t="n">
        <v>3</v>
      </c>
    </row>
    <row r="20" customFormat="false" ht="15" hidden="false" customHeight="false" outlineLevel="0" collapsed="false">
      <c r="A20" s="7" t="s">
        <v>68</v>
      </c>
      <c r="B20" s="7" t="n">
        <v>1</v>
      </c>
      <c r="C20" s="7" t="n">
        <v>2</v>
      </c>
      <c r="D20" s="7" t="n">
        <v>30</v>
      </c>
      <c r="E20" s="7" t="n">
        <v>6</v>
      </c>
      <c r="F20" s="7" t="s">
        <v>55</v>
      </c>
      <c r="G20" s="8" t="n">
        <v>46262</v>
      </c>
      <c r="H20" s="7" t="n">
        <v>10.6</v>
      </c>
      <c r="I20" s="7" t="n">
        <v>62</v>
      </c>
      <c r="J20" s="7" t="n">
        <v>2</v>
      </c>
      <c r="K20" s="7" t="n">
        <v>2</v>
      </c>
      <c r="L20" s="7" t="n">
        <v>2</v>
      </c>
      <c r="M20" s="7" t="n">
        <v>3</v>
      </c>
      <c r="N20" s="7" t="n">
        <v>3</v>
      </c>
      <c r="O20" s="7" t="n">
        <v>2</v>
      </c>
      <c r="P20" s="7" t="n">
        <v>3</v>
      </c>
      <c r="Q20" s="7" t="n">
        <v>2</v>
      </c>
      <c r="R20" s="7" t="n">
        <v>4</v>
      </c>
      <c r="S20" s="7" t="n">
        <v>2</v>
      </c>
      <c r="T20" s="7" t="n">
        <v>3</v>
      </c>
      <c r="U20" s="7" t="n">
        <v>5</v>
      </c>
      <c r="V20" s="7"/>
      <c r="W20" s="7" t="n">
        <v>4</v>
      </c>
      <c r="X20" s="7" t="n">
        <v>3</v>
      </c>
    </row>
    <row r="21" customFormat="false" ht="15" hidden="false" customHeight="false" outlineLevel="0" collapsed="false">
      <c r="A21" s="7" t="s">
        <v>69</v>
      </c>
      <c r="B21" s="7" t="n">
        <v>1</v>
      </c>
      <c r="C21" s="7" t="n">
        <v>2</v>
      </c>
      <c r="D21" s="7" t="n">
        <v>44</v>
      </c>
      <c r="E21" s="7" t="n">
        <v>12</v>
      </c>
      <c r="F21" s="7" t="s">
        <v>48</v>
      </c>
      <c r="G21" s="8" t="n">
        <v>46258</v>
      </c>
      <c r="H21" s="7" t="n">
        <v>9</v>
      </c>
      <c r="I21" s="7" t="n">
        <v>50</v>
      </c>
      <c r="J21" s="7" t="n">
        <v>3</v>
      </c>
      <c r="K21" s="7" t="n">
        <v>3</v>
      </c>
      <c r="L21" s="7" t="n">
        <v>5</v>
      </c>
      <c r="M21" s="7" t="n">
        <v>2</v>
      </c>
      <c r="N21" s="7" t="n">
        <v>2</v>
      </c>
      <c r="O21" s="7" t="n">
        <v>4</v>
      </c>
      <c r="P21" s="7" t="n">
        <v>3</v>
      </c>
      <c r="Q21" s="7" t="n">
        <v>3</v>
      </c>
      <c r="R21" s="7" t="n">
        <v>2</v>
      </c>
      <c r="S21" s="7" t="n">
        <v>3</v>
      </c>
      <c r="T21" s="7" t="n">
        <v>4</v>
      </c>
      <c r="U21" s="7" t="n">
        <v>4</v>
      </c>
      <c r="V21" s="7" t="n">
        <v>4</v>
      </c>
      <c r="W21" s="7" t="n">
        <v>4</v>
      </c>
      <c r="X21" s="7" t="n">
        <v>3</v>
      </c>
    </row>
    <row r="22" customFormat="false" ht="15" hidden="false" customHeight="false" outlineLevel="0" collapsed="false">
      <c r="A22" s="7" t="s">
        <v>70</v>
      </c>
      <c r="B22" s="7" t="n">
        <v>1</v>
      </c>
      <c r="C22" s="7" t="n">
        <v>1</v>
      </c>
      <c r="D22" s="7" t="n">
        <v>30</v>
      </c>
      <c r="E22" s="7" t="n">
        <v>4</v>
      </c>
      <c r="F22" s="7" t="s">
        <v>63</v>
      </c>
      <c r="G22" s="8" t="n">
        <v>46259</v>
      </c>
      <c r="H22" s="7" t="n">
        <v>11.1</v>
      </c>
      <c r="I22" s="7" t="n">
        <v>54</v>
      </c>
      <c r="J22" s="7" t="n">
        <v>3</v>
      </c>
      <c r="K22" s="7" t="n">
        <v>3</v>
      </c>
      <c r="L22" s="7" t="n">
        <v>4</v>
      </c>
      <c r="M22" s="7" t="n">
        <v>3</v>
      </c>
      <c r="N22" s="7" t="n">
        <v>4</v>
      </c>
      <c r="O22" s="7" t="n">
        <v>5</v>
      </c>
      <c r="P22" s="7" t="n">
        <v>4</v>
      </c>
      <c r="Q22" s="7" t="n">
        <v>4</v>
      </c>
      <c r="R22" s="7" t="n">
        <v>4</v>
      </c>
      <c r="S22" s="7" t="n">
        <v>4</v>
      </c>
      <c r="T22" s="7" t="n">
        <v>2</v>
      </c>
      <c r="U22" s="7" t="n">
        <v>2</v>
      </c>
      <c r="V22" s="7" t="n">
        <v>5</v>
      </c>
      <c r="W22" s="7" t="n">
        <v>2</v>
      </c>
      <c r="X22" s="7" t="n">
        <v>3</v>
      </c>
    </row>
    <row r="23" customFormat="false" ht="15" hidden="false" customHeight="false" outlineLevel="0" collapsed="false">
      <c r="A23" s="7" t="s">
        <v>71</v>
      </c>
      <c r="B23" s="7" t="n">
        <v>1</v>
      </c>
      <c r="C23" s="7" t="n">
        <v>1</v>
      </c>
      <c r="D23" s="7" t="n">
        <v>33</v>
      </c>
      <c r="E23" s="7" t="n">
        <v>10</v>
      </c>
      <c r="F23" s="7" t="s">
        <v>55</v>
      </c>
      <c r="G23" s="8" t="n">
        <v>46260</v>
      </c>
      <c r="H23" s="7" t="n">
        <v>15.8</v>
      </c>
      <c r="I23" s="7" t="n">
        <v>60</v>
      </c>
      <c r="J23" s="7" t="n">
        <v>4</v>
      </c>
      <c r="K23" s="7" t="n">
        <v>4</v>
      </c>
      <c r="L23" s="7" t="n">
        <v>4</v>
      </c>
      <c r="M23" s="7" t="n">
        <v>4</v>
      </c>
      <c r="N23" s="7" t="n">
        <v>3</v>
      </c>
      <c r="O23" s="7" t="n">
        <v>3</v>
      </c>
      <c r="P23" s="7" t="n">
        <v>5</v>
      </c>
      <c r="Q23" s="7" t="n">
        <v>2</v>
      </c>
      <c r="R23" s="7" t="n">
        <v>4</v>
      </c>
      <c r="S23" s="7" t="n">
        <v>1</v>
      </c>
      <c r="T23" s="7" t="n">
        <v>4</v>
      </c>
      <c r="U23" s="7" t="n">
        <v>2</v>
      </c>
      <c r="V23" s="7" t="n">
        <v>4</v>
      </c>
      <c r="W23" s="7" t="n">
        <v>2</v>
      </c>
      <c r="X23" s="7" t="n">
        <v>2</v>
      </c>
    </row>
    <row r="24" customFormat="false" ht="15" hidden="false" customHeight="false" outlineLevel="0" collapsed="false">
      <c r="A24" s="7" t="s">
        <v>72</v>
      </c>
      <c r="B24" s="7" t="n">
        <v>1</v>
      </c>
      <c r="C24" s="7" t="n">
        <v>2</v>
      </c>
      <c r="D24" s="7" t="n">
        <v>34</v>
      </c>
      <c r="E24" s="7" t="n">
        <v>13</v>
      </c>
      <c r="F24" s="7" t="s">
        <v>73</v>
      </c>
      <c r="G24" s="8" t="n">
        <v>46261</v>
      </c>
      <c r="H24" s="7" t="n">
        <v>9.2</v>
      </c>
      <c r="I24" s="7" t="n">
        <v>70</v>
      </c>
      <c r="J24" s="7" t="n">
        <v>4</v>
      </c>
      <c r="K24" s="7" t="n">
        <v>5</v>
      </c>
      <c r="L24" s="7" t="n">
        <v>3</v>
      </c>
      <c r="M24" s="7" t="n">
        <v>2</v>
      </c>
      <c r="N24" s="7" t="n">
        <v>3</v>
      </c>
      <c r="O24" s="7" t="n">
        <v>3</v>
      </c>
      <c r="P24" s="7" t="n">
        <v>4</v>
      </c>
      <c r="Q24" s="7" t="n">
        <v>3</v>
      </c>
      <c r="R24" s="7" t="n">
        <v>3</v>
      </c>
      <c r="S24" s="7" t="n">
        <v>4</v>
      </c>
      <c r="T24" s="7" t="n">
        <v>3</v>
      </c>
      <c r="U24" s="7" t="n">
        <v>3</v>
      </c>
      <c r="V24" s="7" t="n">
        <v>3</v>
      </c>
      <c r="W24" s="7" t="n">
        <v>4</v>
      </c>
      <c r="X24" s="7" t="n">
        <v>3</v>
      </c>
    </row>
    <row r="25" customFormat="false" ht="15" hidden="false" customHeight="false" outlineLevel="0" collapsed="false">
      <c r="A25" s="7" t="s">
        <v>74</v>
      </c>
      <c r="B25" s="7" t="n">
        <v>1</v>
      </c>
      <c r="C25" s="7" t="n">
        <v>1</v>
      </c>
      <c r="D25" s="7" t="n">
        <v>45</v>
      </c>
      <c r="E25" s="7" t="n">
        <v>13</v>
      </c>
      <c r="F25" s="7" t="s">
        <v>61</v>
      </c>
      <c r="G25" s="8" t="n">
        <v>46262</v>
      </c>
      <c r="H25" s="7" t="n">
        <v>13</v>
      </c>
      <c r="I25" s="7" t="n">
        <v>52</v>
      </c>
      <c r="J25" s="7" t="n">
        <v>4</v>
      </c>
      <c r="K25" s="7" t="n">
        <v>4</v>
      </c>
      <c r="L25" s="7" t="n">
        <v>2</v>
      </c>
      <c r="M25" s="7" t="n">
        <v>2</v>
      </c>
      <c r="N25" s="7" t="n">
        <v>2</v>
      </c>
      <c r="O25" s="7" t="n">
        <v>3</v>
      </c>
      <c r="P25" s="7" t="n">
        <v>3</v>
      </c>
      <c r="Q25" s="7" t="n">
        <v>3</v>
      </c>
      <c r="R25" s="7" t="n">
        <v>3</v>
      </c>
      <c r="S25" s="7" t="n">
        <v>5</v>
      </c>
      <c r="T25" s="7" t="n">
        <v>2</v>
      </c>
      <c r="U25" s="7" t="n">
        <v>3</v>
      </c>
      <c r="V25" s="7" t="n">
        <v>3</v>
      </c>
      <c r="W25" s="7" t="n">
        <v>2</v>
      </c>
      <c r="X25" s="7" t="n">
        <v>4</v>
      </c>
    </row>
    <row r="26" customFormat="false" ht="15" hidden="false" customHeight="false" outlineLevel="0" collapsed="false">
      <c r="A26" s="7" t="s">
        <v>75</v>
      </c>
      <c r="B26" s="7" t="n">
        <v>1</v>
      </c>
      <c r="C26" s="7" t="n">
        <v>1</v>
      </c>
      <c r="D26" s="7" t="n">
        <v>33</v>
      </c>
      <c r="E26" s="7" t="n">
        <v>6</v>
      </c>
      <c r="F26" s="7" t="s">
        <v>50</v>
      </c>
      <c r="G26" s="8" t="n">
        <v>46258</v>
      </c>
      <c r="H26" s="7" t="n">
        <v>11.6</v>
      </c>
      <c r="I26" s="7" t="n">
        <v>56</v>
      </c>
      <c r="J26" s="7" t="n">
        <v>3</v>
      </c>
      <c r="K26" s="7" t="n">
        <v>5</v>
      </c>
      <c r="L26" s="7" t="n">
        <v>3</v>
      </c>
      <c r="M26" s="7" t="n">
        <v>3</v>
      </c>
      <c r="N26" s="7" t="n">
        <v>3</v>
      </c>
      <c r="O26" s="7" t="n">
        <v>4</v>
      </c>
      <c r="P26" s="7" t="n">
        <v>2</v>
      </c>
      <c r="Q26" s="7" t="n">
        <v>2</v>
      </c>
      <c r="R26" s="7" t="n">
        <v>3</v>
      </c>
      <c r="S26" s="7" t="n">
        <v>3</v>
      </c>
      <c r="T26" s="7" t="n">
        <v>4</v>
      </c>
      <c r="U26" s="7" t="n">
        <v>2</v>
      </c>
      <c r="V26" s="7" t="n">
        <v>1</v>
      </c>
      <c r="W26" s="7" t="n">
        <v>4</v>
      </c>
      <c r="X26" s="7" t="n">
        <v>4</v>
      </c>
    </row>
    <row r="27" customFormat="false" ht="15" hidden="false" customHeight="false" outlineLevel="0" collapsed="false">
      <c r="A27" s="7" t="s">
        <v>76</v>
      </c>
      <c r="B27" s="7" t="n">
        <v>1</v>
      </c>
      <c r="C27" s="7" t="n">
        <v>1</v>
      </c>
      <c r="D27" s="7" t="n">
        <v>36</v>
      </c>
      <c r="E27" s="7" t="n">
        <v>15</v>
      </c>
      <c r="F27" s="7" t="s">
        <v>73</v>
      </c>
      <c r="G27" s="8" t="n">
        <v>46259</v>
      </c>
      <c r="H27" s="7" t="n">
        <v>8.7</v>
      </c>
      <c r="I27" s="7" t="n">
        <v>66</v>
      </c>
      <c r="J27" s="7" t="n">
        <v>1</v>
      </c>
      <c r="K27" s="7" t="n">
        <v>2</v>
      </c>
      <c r="L27" s="7" t="n">
        <v>3</v>
      </c>
      <c r="M27" s="7" t="n">
        <v>4</v>
      </c>
      <c r="N27" s="7" t="n">
        <v>2</v>
      </c>
      <c r="O27" s="7" t="n">
        <v>5</v>
      </c>
      <c r="P27" s="7" t="n">
        <v>1</v>
      </c>
      <c r="Q27" s="7" t="n">
        <v>1</v>
      </c>
      <c r="R27" s="7" t="n">
        <v>1</v>
      </c>
      <c r="S27" s="7" t="n">
        <v>1</v>
      </c>
      <c r="T27" s="7" t="n">
        <v>1</v>
      </c>
      <c r="U27" s="7" t="n">
        <v>4</v>
      </c>
      <c r="V27" s="7" t="n">
        <v>3</v>
      </c>
      <c r="W27" s="7" t="n">
        <v>2</v>
      </c>
      <c r="X27" s="7" t="n">
        <v>1</v>
      </c>
    </row>
    <row r="28" customFormat="false" ht="15" hidden="false" customHeight="false" outlineLevel="0" collapsed="false">
      <c r="A28" s="7" t="s">
        <v>77</v>
      </c>
      <c r="B28" s="7" t="n">
        <v>1</v>
      </c>
      <c r="C28" s="7" t="n">
        <v>1</v>
      </c>
      <c r="D28" s="7" t="n">
        <v>41</v>
      </c>
      <c r="E28" s="7" t="n">
        <v>6</v>
      </c>
      <c r="F28" s="7" t="s">
        <v>73</v>
      </c>
      <c r="G28" s="8" t="n">
        <v>46260</v>
      </c>
      <c r="H28" s="7" t="n">
        <v>11.8</v>
      </c>
      <c r="I28" s="7" t="n">
        <v>67</v>
      </c>
      <c r="J28" s="7" t="n">
        <v>3</v>
      </c>
      <c r="K28" s="7" t="n">
        <v>2</v>
      </c>
      <c r="L28" s="7" t="n">
        <v>2</v>
      </c>
      <c r="M28" s="7" t="n">
        <v>4</v>
      </c>
      <c r="N28" s="7" t="n">
        <v>2</v>
      </c>
      <c r="O28" s="7" t="n">
        <v>2</v>
      </c>
      <c r="P28" s="7" t="n">
        <v>2</v>
      </c>
      <c r="Q28" s="7" t="n">
        <v>1</v>
      </c>
      <c r="R28" s="7" t="n">
        <v>2</v>
      </c>
      <c r="S28" s="7" t="n">
        <v>3</v>
      </c>
      <c r="T28" s="7" t="n">
        <v>2</v>
      </c>
      <c r="U28" s="7" t="n">
        <v>3</v>
      </c>
      <c r="V28" s="7" t="n">
        <v>2</v>
      </c>
      <c r="W28" s="7" t="n">
        <v>2</v>
      </c>
      <c r="X28" s="7" t="n">
        <v>2</v>
      </c>
    </row>
    <row r="29" customFormat="false" ht="15" hidden="false" customHeight="false" outlineLevel="0" collapsed="false">
      <c r="A29" s="7" t="s">
        <v>78</v>
      </c>
      <c r="B29" s="7" t="n">
        <v>1</v>
      </c>
      <c r="C29" s="7" t="n">
        <v>1</v>
      </c>
      <c r="D29" s="7" t="n">
        <v>32</v>
      </c>
      <c r="E29" s="7" t="n">
        <v>10</v>
      </c>
      <c r="F29" s="7" t="s">
        <v>73</v>
      </c>
      <c r="G29" s="8" t="n">
        <v>46261</v>
      </c>
      <c r="H29" s="7" t="n">
        <v>17.4</v>
      </c>
      <c r="I29" s="7" t="n">
        <v>61</v>
      </c>
      <c r="J29" s="7" t="n">
        <v>4</v>
      </c>
      <c r="K29" s="7" t="n">
        <v>4</v>
      </c>
      <c r="L29" s="7" t="n">
        <v>1</v>
      </c>
      <c r="M29" s="7" t="n">
        <v>2</v>
      </c>
      <c r="N29" s="7" t="n">
        <v>2</v>
      </c>
      <c r="O29" s="7" t="n">
        <v>3</v>
      </c>
      <c r="P29" s="7" t="n">
        <v>3</v>
      </c>
      <c r="Q29" s="7" t="n">
        <v>3</v>
      </c>
      <c r="R29" s="7" t="n">
        <v>5</v>
      </c>
      <c r="S29" s="7" t="n">
        <v>2</v>
      </c>
      <c r="T29" s="7" t="n">
        <v>4</v>
      </c>
      <c r="U29" s="7" t="n">
        <v>4</v>
      </c>
      <c r="V29" s="7" t="n">
        <v>2</v>
      </c>
      <c r="W29" s="7" t="n">
        <v>2</v>
      </c>
      <c r="X29" s="7" t="n">
        <v>2</v>
      </c>
    </row>
    <row r="30" customFormat="false" ht="15" hidden="false" customHeight="false" outlineLevel="0" collapsed="false">
      <c r="A30" s="7" t="s">
        <v>79</v>
      </c>
      <c r="B30" s="7" t="n">
        <v>2</v>
      </c>
      <c r="C30" s="7" t="n">
        <v>2</v>
      </c>
      <c r="D30" s="7" t="n">
        <v>27</v>
      </c>
      <c r="E30" s="7" t="n">
        <v>6</v>
      </c>
      <c r="F30" s="7" t="s">
        <v>55</v>
      </c>
      <c r="G30" s="8" t="n">
        <v>46262</v>
      </c>
      <c r="H30" s="7" t="n">
        <v>8.4</v>
      </c>
      <c r="I30" s="7" t="n">
        <v>67</v>
      </c>
      <c r="J30" s="7" t="n">
        <v>3</v>
      </c>
      <c r="K30" s="7" t="n">
        <v>3</v>
      </c>
      <c r="L30" s="7" t="n">
        <v>2</v>
      </c>
      <c r="M30" s="7" t="n">
        <v>2</v>
      </c>
      <c r="N30" s="7" t="n">
        <v>4</v>
      </c>
      <c r="O30" s="7" t="n">
        <v>2</v>
      </c>
      <c r="P30" s="7" t="n">
        <v>3</v>
      </c>
      <c r="Q30" s="7" t="n">
        <v>3</v>
      </c>
      <c r="R30" s="7" t="n">
        <v>4</v>
      </c>
      <c r="S30" s="7" t="n">
        <v>1</v>
      </c>
      <c r="T30" s="7" t="n">
        <v>3</v>
      </c>
      <c r="U30" s="7" t="n">
        <v>1</v>
      </c>
      <c r="V30" s="7" t="n">
        <v>4</v>
      </c>
      <c r="W30" s="7" t="n">
        <v>4</v>
      </c>
      <c r="X30" s="7" t="n">
        <v>3</v>
      </c>
    </row>
    <row r="31" customFormat="false" ht="15" hidden="false" customHeight="false" outlineLevel="0" collapsed="false">
      <c r="A31" s="7" t="s">
        <v>80</v>
      </c>
      <c r="B31" s="7" t="n">
        <v>2</v>
      </c>
      <c r="C31" s="7" t="n">
        <v>1</v>
      </c>
      <c r="D31" s="7" t="n">
        <v>23</v>
      </c>
      <c r="E31" s="7" t="n">
        <v>25</v>
      </c>
      <c r="F31" s="7" t="s">
        <v>63</v>
      </c>
      <c r="G31" s="8" t="n">
        <v>46258</v>
      </c>
      <c r="H31" s="7" t="n">
        <v>13.5</v>
      </c>
      <c r="I31" s="7" t="n">
        <v>60</v>
      </c>
      <c r="J31" s="7" t="n">
        <v>2</v>
      </c>
      <c r="K31" s="7" t="n">
        <v>2</v>
      </c>
      <c r="L31" s="7" t="n">
        <v>3</v>
      </c>
      <c r="M31" s="7" t="n">
        <v>5</v>
      </c>
      <c r="N31" s="7" t="n">
        <v>2</v>
      </c>
      <c r="O31" s="7" t="n">
        <v>3</v>
      </c>
      <c r="P31" s="7" t="n">
        <v>2</v>
      </c>
      <c r="Q31" s="7" t="n">
        <v>3</v>
      </c>
      <c r="R31" s="7" t="n">
        <v>1</v>
      </c>
      <c r="S31" s="7" t="n">
        <v>1</v>
      </c>
      <c r="T31" s="7" t="n">
        <v>1</v>
      </c>
      <c r="U31" s="7" t="n">
        <v>1</v>
      </c>
      <c r="V31" s="7" t="n">
        <v>4</v>
      </c>
      <c r="W31" s="7" t="n">
        <v>3</v>
      </c>
      <c r="X31" s="7" t="n">
        <v>3</v>
      </c>
    </row>
    <row r="32" customFormat="false" ht="15" hidden="false" customHeight="false" outlineLevel="0" collapsed="false">
      <c r="A32" s="7" t="s">
        <v>81</v>
      </c>
      <c r="B32" s="7" t="n">
        <v>2</v>
      </c>
      <c r="C32" s="7" t="n">
        <v>2</v>
      </c>
      <c r="D32" s="7" t="n">
        <v>41</v>
      </c>
      <c r="E32" s="7" t="n">
        <v>5</v>
      </c>
      <c r="F32" s="7" t="s">
        <v>46</v>
      </c>
      <c r="G32" s="8" t="n">
        <v>46259</v>
      </c>
      <c r="H32" s="7" t="s">
        <v>82</v>
      </c>
      <c r="I32" s="7" t="n">
        <v>69</v>
      </c>
      <c r="J32" s="7" t="n">
        <v>3</v>
      </c>
      <c r="K32" s="7" t="n">
        <v>4</v>
      </c>
      <c r="L32" s="7" t="n">
        <v>4</v>
      </c>
      <c r="M32" s="7" t="n">
        <v>1</v>
      </c>
      <c r="N32" s="7" t="n">
        <v>3</v>
      </c>
      <c r="O32" s="7" t="n">
        <v>3</v>
      </c>
      <c r="P32" s="7" t="n">
        <v>3</v>
      </c>
      <c r="Q32" s="7" t="n">
        <v>3</v>
      </c>
      <c r="R32" s="7" t="n">
        <v>3</v>
      </c>
      <c r="S32" s="7" t="n">
        <v>3</v>
      </c>
      <c r="T32" s="7" t="n">
        <v>5</v>
      </c>
      <c r="U32" s="7" t="n">
        <v>2</v>
      </c>
      <c r="V32" s="7" t="n">
        <v>3</v>
      </c>
      <c r="W32" s="7" t="n">
        <v>4</v>
      </c>
      <c r="X32" s="7" t="n">
        <v>3</v>
      </c>
    </row>
    <row r="33" customFormat="false" ht="15" hidden="false" customHeight="false" outlineLevel="0" collapsed="false">
      <c r="A33" s="7" t="s">
        <v>83</v>
      </c>
      <c r="B33" s="7" t="n">
        <v>2</v>
      </c>
      <c r="C33" s="7" t="n">
        <v>1</v>
      </c>
      <c r="D33" s="7" t="n">
        <v>32</v>
      </c>
      <c r="E33" s="7" t="n">
        <v>2</v>
      </c>
      <c r="F33" s="7" t="s">
        <v>55</v>
      </c>
      <c r="G33" s="8" t="n">
        <v>46260</v>
      </c>
      <c r="H33" s="7" t="n">
        <v>12.8</v>
      </c>
      <c r="I33" s="7" t="n">
        <v>61</v>
      </c>
      <c r="J33" s="7" t="n">
        <v>4</v>
      </c>
      <c r="K33" s="7" t="n">
        <v>3</v>
      </c>
      <c r="L33" s="7" t="n">
        <v>2</v>
      </c>
      <c r="M33" s="7" t="n">
        <v>1</v>
      </c>
      <c r="N33" s="7" t="n">
        <v>4</v>
      </c>
      <c r="O33" s="7" t="n">
        <v>2</v>
      </c>
      <c r="P33" s="7" t="n">
        <v>3</v>
      </c>
      <c r="Q33" s="7" t="n">
        <v>4</v>
      </c>
      <c r="R33" s="7" t="n">
        <v>5</v>
      </c>
      <c r="S33" s="7" t="n">
        <v>4</v>
      </c>
      <c r="T33" s="7" t="n">
        <v>4</v>
      </c>
      <c r="U33" s="7" t="n">
        <v>3</v>
      </c>
      <c r="V33" s="7" t="n">
        <v>4</v>
      </c>
      <c r="W33" s="7" t="n">
        <v>3</v>
      </c>
      <c r="X33" s="7" t="n">
        <v>3</v>
      </c>
    </row>
    <row r="34" customFormat="false" ht="15" hidden="false" customHeight="false" outlineLevel="0" collapsed="false">
      <c r="A34" s="7" t="s">
        <v>84</v>
      </c>
      <c r="B34" s="7" t="n">
        <v>2</v>
      </c>
      <c r="C34" s="7" t="n">
        <v>2</v>
      </c>
      <c r="D34" s="7" t="n">
        <v>43</v>
      </c>
      <c r="E34" s="7" t="n">
        <v>8</v>
      </c>
      <c r="F34" s="7" t="s">
        <v>50</v>
      </c>
      <c r="G34" s="8" t="n">
        <v>46261</v>
      </c>
      <c r="H34" s="7" t="n">
        <v>11.3</v>
      </c>
      <c r="I34" s="7" t="n">
        <v>59</v>
      </c>
      <c r="J34" s="7" t="n">
        <v>1</v>
      </c>
      <c r="K34" s="7" t="n">
        <v>3</v>
      </c>
      <c r="L34" s="7" t="n">
        <v>3</v>
      </c>
      <c r="M34" s="7" t="n">
        <v>4</v>
      </c>
      <c r="N34" s="7" t="n">
        <v>3</v>
      </c>
      <c r="O34" s="7" t="n">
        <v>3</v>
      </c>
      <c r="P34" s="7" t="n">
        <v>2</v>
      </c>
      <c r="Q34" s="7" t="n">
        <v>2</v>
      </c>
      <c r="R34" s="7" t="n">
        <v>2</v>
      </c>
      <c r="S34" s="7" t="n">
        <v>4</v>
      </c>
      <c r="T34" s="7" t="n">
        <v>2</v>
      </c>
      <c r="U34" s="7" t="n">
        <v>3</v>
      </c>
      <c r="V34" s="7" t="n">
        <v>3</v>
      </c>
      <c r="W34" s="7" t="n">
        <v>2</v>
      </c>
      <c r="X34" s="7" t="n">
        <v>2</v>
      </c>
    </row>
    <row r="35" customFormat="false" ht="15" hidden="false" customHeight="false" outlineLevel="0" collapsed="false">
      <c r="A35" s="7" t="s">
        <v>85</v>
      </c>
      <c r="B35" s="7" t="n">
        <v>2</v>
      </c>
      <c r="C35" s="7" t="n">
        <v>2</v>
      </c>
      <c r="D35" s="7" t="n">
        <v>35</v>
      </c>
      <c r="E35" s="7" t="n">
        <v>3</v>
      </c>
      <c r="F35" s="7" t="s">
        <v>55</v>
      </c>
      <c r="G35" s="8" t="n">
        <v>46262</v>
      </c>
      <c r="H35" s="7" t="n">
        <v>12.2</v>
      </c>
      <c r="I35" s="7" t="n">
        <v>61</v>
      </c>
      <c r="J35" s="7" t="n">
        <v>1</v>
      </c>
      <c r="K35" s="7" t="n">
        <v>5</v>
      </c>
      <c r="L35" s="7" t="n">
        <v>4</v>
      </c>
      <c r="M35" s="7" t="n">
        <v>2</v>
      </c>
      <c r="N35" s="7" t="n">
        <v>2</v>
      </c>
      <c r="O35" s="7" t="n">
        <v>3</v>
      </c>
      <c r="P35" s="7" t="n">
        <v>3</v>
      </c>
      <c r="Q35" s="7" t="n">
        <v>3</v>
      </c>
      <c r="R35" s="7" t="n">
        <v>2</v>
      </c>
      <c r="S35" s="7" t="n">
        <v>2</v>
      </c>
      <c r="T35" s="7" t="n">
        <v>2</v>
      </c>
      <c r="U35" s="7" t="n">
        <v>2</v>
      </c>
      <c r="V35" s="7" t="n">
        <v>2</v>
      </c>
      <c r="W35" s="7" t="n">
        <v>4</v>
      </c>
      <c r="X35" s="7" t="n">
        <v>5</v>
      </c>
    </row>
    <row r="36" customFormat="false" ht="15" hidden="false" customHeight="false" outlineLevel="0" collapsed="false">
      <c r="A36" s="7" t="s">
        <v>86</v>
      </c>
      <c r="B36" s="7" t="n">
        <v>2</v>
      </c>
      <c r="C36" s="7" t="n">
        <v>1</v>
      </c>
      <c r="D36" s="7" t="n">
        <v>35</v>
      </c>
      <c r="E36" s="7" t="n">
        <v>13</v>
      </c>
      <c r="F36" s="7" t="s">
        <v>57</v>
      </c>
      <c r="G36" s="8" t="n">
        <v>46258</v>
      </c>
      <c r="H36" s="7" t="n">
        <v>12.8</v>
      </c>
      <c r="I36" s="7" t="n">
        <v>61</v>
      </c>
      <c r="J36" s="7" t="n">
        <v>2</v>
      </c>
      <c r="K36" s="7" t="n">
        <v>2</v>
      </c>
      <c r="L36" s="7" t="n">
        <v>3</v>
      </c>
      <c r="M36" s="7" t="n">
        <v>5</v>
      </c>
      <c r="N36" s="7" t="n">
        <v>4</v>
      </c>
      <c r="O36" s="7" t="n">
        <v>1</v>
      </c>
      <c r="P36" s="7" t="n">
        <v>4</v>
      </c>
      <c r="Q36" s="7" t="n">
        <v>3</v>
      </c>
      <c r="R36" s="7" t="n">
        <v>3</v>
      </c>
      <c r="S36" s="7" t="n">
        <v>3</v>
      </c>
      <c r="T36" s="7" t="n">
        <v>2</v>
      </c>
      <c r="U36" s="7" t="n">
        <v>3</v>
      </c>
      <c r="V36" s="7" t="n">
        <v>3</v>
      </c>
      <c r="W36" s="7" t="n">
        <v>2</v>
      </c>
      <c r="X36" s="7" t="n">
        <v>1</v>
      </c>
    </row>
    <row r="37" customFormat="false" ht="15" hidden="false" customHeight="false" outlineLevel="0" collapsed="false">
      <c r="A37" s="7" t="s">
        <v>87</v>
      </c>
      <c r="B37" s="7" t="n">
        <v>2</v>
      </c>
      <c r="C37" s="7" t="n">
        <v>1</v>
      </c>
      <c r="D37" s="7" t="n">
        <v>35</v>
      </c>
      <c r="E37" s="7" t="n">
        <v>4</v>
      </c>
      <c r="F37" s="7" t="s">
        <v>61</v>
      </c>
      <c r="G37" s="8" t="n">
        <v>46259</v>
      </c>
      <c r="H37" s="7" t="n">
        <v>9.6</v>
      </c>
      <c r="I37" s="7" t="n">
        <v>50</v>
      </c>
      <c r="J37" s="7" t="n">
        <v>4</v>
      </c>
      <c r="K37" s="7" t="n">
        <v>1</v>
      </c>
      <c r="L37" s="7" t="n">
        <v>1</v>
      </c>
      <c r="M37" s="7" t="n">
        <v>4</v>
      </c>
      <c r="N37" s="7" t="n">
        <v>3</v>
      </c>
      <c r="O37" s="7" t="n">
        <v>4</v>
      </c>
      <c r="P37" s="7" t="n">
        <v>3</v>
      </c>
      <c r="Q37" s="7" t="n">
        <v>4</v>
      </c>
      <c r="R37" s="7" t="n">
        <v>3</v>
      </c>
      <c r="S37" s="7" t="n">
        <v>4</v>
      </c>
      <c r="T37" s="7" t="n">
        <v>2</v>
      </c>
      <c r="U37" s="7" t="n">
        <v>3</v>
      </c>
      <c r="V37" s="7" t="n">
        <v>2</v>
      </c>
      <c r="W37" s="7" t="n">
        <v>1</v>
      </c>
      <c r="X37" s="7" t="n">
        <v>3</v>
      </c>
    </row>
    <row r="38" customFormat="false" ht="15" hidden="false" customHeight="false" outlineLevel="0" collapsed="false">
      <c r="A38" s="7" t="s">
        <v>88</v>
      </c>
      <c r="B38" s="7" t="n">
        <v>2</v>
      </c>
      <c r="C38" s="7" t="n">
        <v>1</v>
      </c>
      <c r="D38" s="7" t="n">
        <v>31</v>
      </c>
      <c r="E38" s="7" t="n">
        <v>4</v>
      </c>
      <c r="F38" s="7" t="s">
        <v>66</v>
      </c>
      <c r="G38" s="8" t="n">
        <v>46260</v>
      </c>
      <c r="H38" s="7" t="n">
        <v>8.2</v>
      </c>
      <c r="I38" s="7" t="n">
        <v>63</v>
      </c>
      <c r="J38" s="7" t="n">
        <v>3</v>
      </c>
      <c r="K38" s="7" t="n">
        <v>3</v>
      </c>
      <c r="L38" s="7" t="n">
        <v>3</v>
      </c>
      <c r="M38" s="7" t="n">
        <v>4</v>
      </c>
      <c r="N38" s="7" t="n">
        <v>3</v>
      </c>
      <c r="O38" s="7" t="n">
        <v>3</v>
      </c>
      <c r="P38" s="7" t="n">
        <v>2</v>
      </c>
      <c r="Q38" s="7" t="n">
        <v>4</v>
      </c>
      <c r="R38" s="7" t="n">
        <v>2</v>
      </c>
      <c r="S38" s="7" t="n">
        <v>3</v>
      </c>
      <c r="T38" s="7" t="n">
        <v>4</v>
      </c>
      <c r="U38" s="7" t="n">
        <v>4</v>
      </c>
      <c r="V38" s="7" t="n">
        <v>2</v>
      </c>
      <c r="W38" s="7" t="n">
        <v>2</v>
      </c>
      <c r="X38" s="7" t="n">
        <v>4</v>
      </c>
    </row>
    <row r="39" customFormat="false" ht="15" hidden="false" customHeight="false" outlineLevel="0" collapsed="false">
      <c r="A39" s="7" t="s">
        <v>89</v>
      </c>
      <c r="B39" s="7" t="n">
        <v>2</v>
      </c>
      <c r="C39" s="7" t="n">
        <v>2</v>
      </c>
      <c r="D39" s="7" t="n">
        <v>44</v>
      </c>
      <c r="E39" s="7" t="n">
        <v>10</v>
      </c>
      <c r="F39" s="7" t="s">
        <v>46</v>
      </c>
      <c r="G39" s="8" t="n">
        <v>46261</v>
      </c>
      <c r="H39" s="7" t="n">
        <v>14.5</v>
      </c>
      <c r="I39" s="7" t="n">
        <v>68</v>
      </c>
      <c r="J39" s="7" t="n">
        <v>3</v>
      </c>
      <c r="K39" s="7" t="n">
        <v>2</v>
      </c>
      <c r="L39" s="7" t="n">
        <v>1</v>
      </c>
      <c r="M39" s="7" t="n">
        <v>5</v>
      </c>
      <c r="N39" s="7" t="n">
        <v>2</v>
      </c>
      <c r="O39" s="7" t="n">
        <v>1</v>
      </c>
      <c r="P39" s="7" t="n">
        <v>4</v>
      </c>
      <c r="Q39" s="7" t="n">
        <v>4</v>
      </c>
      <c r="R39" s="7" t="n">
        <v>2</v>
      </c>
      <c r="S39" s="7" t="n">
        <v>2</v>
      </c>
      <c r="T39" s="7" t="n">
        <v>1</v>
      </c>
      <c r="U39" s="7" t="n">
        <v>2</v>
      </c>
      <c r="V39" s="7" t="n">
        <v>2</v>
      </c>
      <c r="W39" s="7" t="n">
        <v>3</v>
      </c>
      <c r="X39" s="7" t="n">
        <v>3</v>
      </c>
    </row>
    <row r="40" customFormat="false" ht="15" hidden="false" customHeight="false" outlineLevel="0" collapsed="false">
      <c r="A40" s="7" t="s">
        <v>90</v>
      </c>
      <c r="B40" s="7" t="n">
        <v>2</v>
      </c>
      <c r="C40" s="7" t="n">
        <v>2</v>
      </c>
      <c r="D40" s="7" t="n">
        <v>7</v>
      </c>
      <c r="E40" s="7" t="n">
        <v>4</v>
      </c>
      <c r="F40" s="7" t="s">
        <v>57</v>
      </c>
      <c r="G40" s="8" t="n">
        <v>46262</v>
      </c>
      <c r="H40" s="7" t="n">
        <v>16.4</v>
      </c>
      <c r="I40" s="7" t="n">
        <v>55</v>
      </c>
      <c r="J40" s="7" t="n">
        <v>1</v>
      </c>
      <c r="K40" s="7" t="n">
        <v>2</v>
      </c>
      <c r="L40" s="7" t="n">
        <v>2</v>
      </c>
      <c r="M40" s="7" t="n">
        <v>4</v>
      </c>
      <c r="N40" s="7" t="n">
        <v>2</v>
      </c>
      <c r="O40" s="7" t="n">
        <v>5</v>
      </c>
      <c r="P40" s="7" t="n">
        <v>3</v>
      </c>
      <c r="Q40" s="7" t="n">
        <v>1</v>
      </c>
      <c r="R40" s="7" t="n">
        <v>3</v>
      </c>
      <c r="S40" s="7" t="n">
        <v>3</v>
      </c>
      <c r="T40" s="7" t="n">
        <v>3</v>
      </c>
      <c r="U40" s="7" t="n">
        <v>4</v>
      </c>
      <c r="V40" s="7" t="n">
        <v>3</v>
      </c>
      <c r="W40" s="7" t="n">
        <v>3</v>
      </c>
      <c r="X40" s="7" t="n">
        <v>2</v>
      </c>
    </row>
    <row r="41" customFormat="false" ht="15" hidden="false" customHeight="false" outlineLevel="0" collapsed="false">
      <c r="A41" s="7" t="s">
        <v>91</v>
      </c>
      <c r="B41" s="7" t="n">
        <v>2</v>
      </c>
      <c r="C41" s="7" t="n">
        <v>2</v>
      </c>
      <c r="D41" s="7" t="n">
        <v>35</v>
      </c>
      <c r="E41" s="7" t="n">
        <v>7</v>
      </c>
      <c r="F41" s="7" t="s">
        <v>66</v>
      </c>
      <c r="G41" s="8" t="n">
        <v>46258</v>
      </c>
      <c r="H41" s="7" t="n">
        <v>15.1</v>
      </c>
      <c r="I41" s="7" t="n">
        <v>72</v>
      </c>
      <c r="J41" s="7" t="n">
        <v>2</v>
      </c>
      <c r="K41" s="7" t="n">
        <v>3</v>
      </c>
      <c r="L41" s="7" t="n">
        <v>4</v>
      </c>
      <c r="M41" s="7" t="n">
        <v>3</v>
      </c>
      <c r="N41" s="7" t="n">
        <v>4</v>
      </c>
      <c r="O41" s="7" t="n">
        <v>3</v>
      </c>
      <c r="P41" s="7" t="n">
        <v>4</v>
      </c>
      <c r="Q41" s="7" t="n">
        <v>3</v>
      </c>
      <c r="R41" s="7" t="n">
        <v>4</v>
      </c>
      <c r="S41" s="7" t="n">
        <v>2</v>
      </c>
      <c r="T41" s="7" t="n">
        <v>2</v>
      </c>
      <c r="U41" s="7" t="n">
        <v>3</v>
      </c>
      <c r="V41" s="7" t="n">
        <v>3</v>
      </c>
      <c r="W41" s="7" t="n">
        <v>4</v>
      </c>
      <c r="X41" s="7" t="n">
        <v>4</v>
      </c>
    </row>
    <row r="42" customFormat="false" ht="15" hidden="false" customHeight="false" outlineLevel="0" collapsed="false">
      <c r="A42" s="7" t="s">
        <v>92</v>
      </c>
      <c r="B42" s="7" t="n">
        <v>2</v>
      </c>
      <c r="C42" s="7" t="n">
        <v>1</v>
      </c>
      <c r="D42" s="7" t="n">
        <v>52</v>
      </c>
      <c r="E42" s="7" t="n">
        <v>13</v>
      </c>
      <c r="F42" s="7" t="s">
        <v>57</v>
      </c>
      <c r="G42" s="8" t="n">
        <v>46259</v>
      </c>
      <c r="H42" s="7" t="n">
        <v>8.5</v>
      </c>
      <c r="I42" s="7" t="n">
        <v>60</v>
      </c>
      <c r="J42" s="7" t="n">
        <v>3</v>
      </c>
      <c r="K42" s="7" t="n">
        <v>3</v>
      </c>
      <c r="L42" s="7" t="n">
        <v>3</v>
      </c>
      <c r="M42" s="7" t="n">
        <v>4</v>
      </c>
      <c r="N42" s="7" t="n">
        <v>2</v>
      </c>
      <c r="O42" s="7" t="n">
        <v>3</v>
      </c>
      <c r="P42" s="7" t="n">
        <v>4</v>
      </c>
      <c r="Q42" s="7" t="n">
        <v>4</v>
      </c>
      <c r="R42" s="7" t="n">
        <v>2</v>
      </c>
      <c r="S42" s="7" t="n">
        <v>4</v>
      </c>
      <c r="T42" s="7" t="n">
        <v>3</v>
      </c>
      <c r="U42" s="7" t="n">
        <v>2</v>
      </c>
      <c r="V42" s="7" t="n">
        <v>3</v>
      </c>
      <c r="W42" s="7" t="n">
        <v>2</v>
      </c>
      <c r="X42" s="7" t="n">
        <v>2</v>
      </c>
    </row>
    <row r="43" customFormat="false" ht="15" hidden="false" customHeight="false" outlineLevel="0" collapsed="false">
      <c r="A43" s="7" t="s">
        <v>93</v>
      </c>
      <c r="B43" s="7" t="n">
        <v>2</v>
      </c>
      <c r="C43" s="7" t="n">
        <v>1</v>
      </c>
      <c r="D43" s="7" t="n">
        <v>24</v>
      </c>
      <c r="E43" s="7" t="n">
        <v>3</v>
      </c>
      <c r="F43" s="7" t="s">
        <v>94</v>
      </c>
      <c r="G43" s="8" t="n">
        <v>46260</v>
      </c>
      <c r="H43" s="7" t="n">
        <v>11.8</v>
      </c>
      <c r="I43" s="7" t="n">
        <v>59</v>
      </c>
      <c r="J43" s="7" t="n">
        <v>3</v>
      </c>
      <c r="K43" s="7" t="n">
        <v>4</v>
      </c>
      <c r="L43" s="7" t="n">
        <v>4</v>
      </c>
      <c r="M43" s="7" t="n">
        <v>4</v>
      </c>
      <c r="N43" s="7" t="n">
        <v>2</v>
      </c>
      <c r="O43" s="7" t="n">
        <v>2</v>
      </c>
      <c r="P43" s="7" t="n">
        <v>3</v>
      </c>
      <c r="Q43" s="7" t="n">
        <v>4</v>
      </c>
      <c r="R43" s="7" t="n">
        <v>3</v>
      </c>
      <c r="S43" s="7" t="n">
        <v>3</v>
      </c>
      <c r="T43" s="7" t="n">
        <v>3</v>
      </c>
      <c r="U43" s="7" t="n">
        <v>4</v>
      </c>
      <c r="V43" s="7" t="n">
        <v>3</v>
      </c>
      <c r="W43" s="7" t="n">
        <v>2</v>
      </c>
      <c r="X43" s="7" t="n">
        <v>3</v>
      </c>
    </row>
    <row r="44" customFormat="false" ht="15" hidden="false" customHeight="false" outlineLevel="0" collapsed="false">
      <c r="A44" s="7" t="s">
        <v>95</v>
      </c>
      <c r="B44" s="7" t="n">
        <v>2</v>
      </c>
      <c r="C44" s="7" t="n">
        <v>1</v>
      </c>
      <c r="D44" s="7" t="n">
        <v>44</v>
      </c>
      <c r="E44" s="7" t="n">
        <v>7</v>
      </c>
      <c r="F44" s="7" t="s">
        <v>63</v>
      </c>
      <c r="G44" s="8" t="n">
        <v>46261</v>
      </c>
      <c r="H44" s="7" t="n">
        <v>14.3</v>
      </c>
      <c r="I44" s="7" t="n">
        <v>60</v>
      </c>
      <c r="J44" s="7" t="n">
        <v>2</v>
      </c>
      <c r="K44" s="7" t="n">
        <v>3</v>
      </c>
      <c r="L44" s="7" t="n">
        <v>1</v>
      </c>
      <c r="M44" s="7" t="n">
        <v>5</v>
      </c>
      <c r="N44" s="7" t="n">
        <v>3</v>
      </c>
      <c r="O44" s="7" t="n">
        <v>5</v>
      </c>
      <c r="P44" s="7" t="n">
        <v>4</v>
      </c>
      <c r="Q44" s="7" t="n">
        <v>4</v>
      </c>
      <c r="R44" s="7" t="n">
        <v>2</v>
      </c>
      <c r="S44" s="7" t="n">
        <v>3</v>
      </c>
      <c r="T44" s="7" t="n">
        <v>3</v>
      </c>
      <c r="U44" s="7" t="n">
        <v>2</v>
      </c>
      <c r="V44" s="7" t="n">
        <v>2</v>
      </c>
      <c r="W44" s="7" t="n">
        <v>3</v>
      </c>
      <c r="X44" s="7" t="n">
        <v>3</v>
      </c>
    </row>
    <row r="45" customFormat="false" ht="15" hidden="false" customHeight="false" outlineLevel="0" collapsed="false">
      <c r="A45" s="7" t="s">
        <v>96</v>
      </c>
      <c r="B45" s="7" t="n">
        <v>2</v>
      </c>
      <c r="C45" s="7" t="n">
        <v>1</v>
      </c>
      <c r="D45" s="7" t="n">
        <v>43</v>
      </c>
      <c r="E45" s="7" t="n">
        <v>12</v>
      </c>
      <c r="F45" s="7" t="s">
        <v>97</v>
      </c>
      <c r="G45" s="8" t="n">
        <v>46262</v>
      </c>
      <c r="H45" s="7" t="n">
        <v>10.1</v>
      </c>
      <c r="I45" s="7" t="n">
        <v>60</v>
      </c>
      <c r="J45" s="7" t="n">
        <v>3</v>
      </c>
      <c r="K45" s="7" t="n">
        <v>2</v>
      </c>
      <c r="L45" s="7" t="n">
        <v>4</v>
      </c>
      <c r="M45" s="7" t="n">
        <v>3</v>
      </c>
      <c r="N45" s="7" t="n">
        <v>4</v>
      </c>
      <c r="O45" s="7" t="n">
        <v>3</v>
      </c>
      <c r="P45" s="7" t="n">
        <v>5</v>
      </c>
      <c r="Q45" s="7" t="n">
        <v>4</v>
      </c>
      <c r="R45" s="7" t="n">
        <v>3</v>
      </c>
      <c r="S45" s="7" t="n">
        <v>5</v>
      </c>
      <c r="T45" s="7" t="n">
        <v>3</v>
      </c>
      <c r="U45" s="7" t="n">
        <v>2</v>
      </c>
      <c r="V45" s="7" t="n">
        <v>4</v>
      </c>
      <c r="W45" s="7" t="n">
        <v>4</v>
      </c>
      <c r="X45" s="7" t="n">
        <v>4</v>
      </c>
    </row>
    <row r="46" customFormat="false" ht="15" hidden="false" customHeight="false" outlineLevel="0" collapsed="false">
      <c r="A46" s="7" t="s">
        <v>98</v>
      </c>
      <c r="B46" s="7" t="n">
        <v>2</v>
      </c>
      <c r="C46" s="7" t="n">
        <v>2</v>
      </c>
      <c r="D46" s="7" t="n">
        <v>34</v>
      </c>
      <c r="E46" s="7" t="n">
        <v>3</v>
      </c>
      <c r="F46" s="7" t="s">
        <v>61</v>
      </c>
      <c r="G46" s="8" t="n">
        <v>46258</v>
      </c>
      <c r="H46" s="7" t="n">
        <v>6.5</v>
      </c>
      <c r="I46" s="7" t="n">
        <v>69</v>
      </c>
      <c r="J46" s="7" t="n">
        <v>3</v>
      </c>
      <c r="K46" s="7" t="n">
        <v>3</v>
      </c>
      <c r="L46" s="7" t="n">
        <v>2</v>
      </c>
      <c r="M46" s="7" t="n">
        <v>4</v>
      </c>
      <c r="N46" s="7" t="n">
        <v>2</v>
      </c>
      <c r="O46" s="7" t="n">
        <v>2</v>
      </c>
      <c r="P46" s="7" t="n">
        <v>3</v>
      </c>
      <c r="Q46" s="7" t="n">
        <v>2</v>
      </c>
      <c r="R46" s="7" t="n">
        <v>2</v>
      </c>
      <c r="S46" s="7" t="n">
        <v>2</v>
      </c>
      <c r="T46" s="7" t="n">
        <v>2</v>
      </c>
      <c r="U46" s="7" t="n">
        <v>3</v>
      </c>
      <c r="V46" s="7" t="n">
        <v>2</v>
      </c>
      <c r="W46" s="7" t="n">
        <v>2</v>
      </c>
      <c r="X46" s="7" t="n">
        <v>2</v>
      </c>
    </row>
    <row r="47" customFormat="false" ht="15" hidden="false" customHeight="false" outlineLevel="0" collapsed="false">
      <c r="A47" s="7" t="s">
        <v>99</v>
      </c>
      <c r="B47" s="7" t="n">
        <v>2</v>
      </c>
      <c r="C47" s="7" t="n">
        <v>2</v>
      </c>
      <c r="D47" s="7" t="n">
        <v>58</v>
      </c>
      <c r="E47" s="7" t="n">
        <v>11</v>
      </c>
      <c r="F47" s="7" t="s">
        <v>48</v>
      </c>
      <c r="G47" s="8" t="n">
        <v>46259</v>
      </c>
      <c r="H47" s="7" t="n">
        <v>6.5</v>
      </c>
      <c r="I47" s="7" t="n">
        <v>73</v>
      </c>
      <c r="J47" s="7" t="n">
        <v>4</v>
      </c>
      <c r="K47" s="7" t="n">
        <v>2</v>
      </c>
      <c r="L47" s="7" t="n">
        <v>4</v>
      </c>
      <c r="M47" s="7" t="n">
        <v>5</v>
      </c>
      <c r="N47" s="7" t="n">
        <v>5</v>
      </c>
      <c r="O47" s="7" t="n">
        <v>3</v>
      </c>
      <c r="P47" s="7" t="n">
        <v>4</v>
      </c>
      <c r="Q47" s="7" t="n">
        <v>3</v>
      </c>
      <c r="R47" s="7" t="n">
        <v>2</v>
      </c>
      <c r="S47" s="7" t="n">
        <v>5</v>
      </c>
      <c r="T47" s="7" t="n">
        <v>3</v>
      </c>
      <c r="U47" s="7" t="n">
        <v>1</v>
      </c>
      <c r="V47" s="7" t="n">
        <v>4</v>
      </c>
      <c r="W47" s="7" t="n">
        <v>3</v>
      </c>
      <c r="X47" s="7" t="n">
        <v>4</v>
      </c>
    </row>
    <row r="48" customFormat="false" ht="15" hidden="false" customHeight="false" outlineLevel="0" collapsed="false">
      <c r="A48" s="7" t="s">
        <v>100</v>
      </c>
      <c r="B48" s="7" t="n">
        <v>2</v>
      </c>
      <c r="C48" s="7" t="n">
        <v>2</v>
      </c>
      <c r="D48" s="7" t="n">
        <v>35</v>
      </c>
      <c r="E48" s="7" t="n">
        <v>11</v>
      </c>
      <c r="F48" s="7" t="s">
        <v>94</v>
      </c>
      <c r="G48" s="8" t="n">
        <v>46260</v>
      </c>
      <c r="H48" s="7" t="n">
        <v>10.4</v>
      </c>
      <c r="I48" s="7" t="n">
        <v>68</v>
      </c>
      <c r="J48" s="7" t="n">
        <v>5</v>
      </c>
      <c r="K48" s="7" t="n">
        <v>3</v>
      </c>
      <c r="L48" s="7" t="n">
        <v>4</v>
      </c>
      <c r="M48" s="7" t="n">
        <v>3</v>
      </c>
      <c r="N48" s="7" t="n">
        <v>2</v>
      </c>
      <c r="O48" s="7" t="n">
        <v>4</v>
      </c>
      <c r="P48" s="7" t="n">
        <v>3</v>
      </c>
      <c r="Q48" s="7" t="n">
        <v>3</v>
      </c>
      <c r="R48" s="7" t="n">
        <v>4</v>
      </c>
      <c r="S48" s="7" t="n">
        <v>3</v>
      </c>
      <c r="T48" s="7" t="n">
        <v>3</v>
      </c>
      <c r="U48" s="7" t="n">
        <v>4</v>
      </c>
      <c r="V48" s="7" t="n">
        <v>2</v>
      </c>
      <c r="W48" s="7" t="n">
        <v>4</v>
      </c>
      <c r="X48" s="7" t="n">
        <v>3</v>
      </c>
    </row>
    <row r="49" customFormat="false" ht="15" hidden="false" customHeight="false" outlineLevel="0" collapsed="false">
      <c r="A49" s="7" t="s">
        <v>101</v>
      </c>
      <c r="B49" s="7" t="n">
        <v>2</v>
      </c>
      <c r="C49" s="7" t="n">
        <v>1</v>
      </c>
      <c r="D49" s="7" t="n">
        <v>42</v>
      </c>
      <c r="E49" s="7" t="n">
        <v>4</v>
      </c>
      <c r="F49" s="7" t="s">
        <v>50</v>
      </c>
      <c r="G49" s="8" t="n">
        <v>46261</v>
      </c>
      <c r="H49" s="7" t="n">
        <v>10.5</v>
      </c>
      <c r="I49" s="7" t="n">
        <v>70</v>
      </c>
      <c r="J49" s="7" t="n">
        <v>3</v>
      </c>
      <c r="K49" s="7" t="n">
        <v>3</v>
      </c>
      <c r="L49" s="7" t="n">
        <v>4</v>
      </c>
      <c r="M49" s="7" t="n">
        <v>5</v>
      </c>
      <c r="N49" s="7" t="n">
        <v>2</v>
      </c>
      <c r="O49" s="7" t="n">
        <v>3</v>
      </c>
      <c r="P49" s="7" t="n">
        <v>2</v>
      </c>
      <c r="Q49" s="7" t="n">
        <v>3</v>
      </c>
      <c r="R49" s="7" t="n">
        <v>4</v>
      </c>
      <c r="S49" s="7" t="n">
        <v>4</v>
      </c>
      <c r="T49" s="7" t="n">
        <v>4</v>
      </c>
      <c r="U49" s="7" t="n">
        <v>3</v>
      </c>
      <c r="V49" s="7" t="n">
        <v>4</v>
      </c>
      <c r="W49" s="7" t="n">
        <v>5</v>
      </c>
      <c r="X49" s="7" t="n">
        <v>4</v>
      </c>
    </row>
    <row r="50" customFormat="false" ht="15" hidden="false" customHeight="false" outlineLevel="0" collapsed="false">
      <c r="A50" s="7" t="s">
        <v>102</v>
      </c>
      <c r="B50" s="7" t="n">
        <v>2</v>
      </c>
      <c r="C50" s="7" t="n">
        <v>1</v>
      </c>
      <c r="D50" s="7" t="n">
        <v>39</v>
      </c>
      <c r="E50" s="7" t="n">
        <v>6</v>
      </c>
      <c r="F50" s="7" t="s">
        <v>55</v>
      </c>
      <c r="G50" s="8" t="n">
        <v>46262</v>
      </c>
      <c r="H50" s="7" t="n">
        <v>8.8</v>
      </c>
      <c r="I50" s="7" t="n">
        <v>65</v>
      </c>
      <c r="J50" s="7" t="n">
        <v>4</v>
      </c>
      <c r="K50" s="7" t="n">
        <v>4</v>
      </c>
      <c r="L50" s="7" t="n">
        <v>3</v>
      </c>
      <c r="M50" s="7" t="n">
        <v>2</v>
      </c>
      <c r="N50" s="7" t="n">
        <v>3</v>
      </c>
      <c r="O50" s="7" t="n">
        <v>4</v>
      </c>
      <c r="P50" s="7" t="n">
        <v>3</v>
      </c>
      <c r="Q50" s="7" t="n">
        <v>4</v>
      </c>
      <c r="R50" s="7" t="n">
        <v>3</v>
      </c>
      <c r="S50" s="7" t="n">
        <v>4</v>
      </c>
      <c r="T50" s="7" t="n">
        <v>3</v>
      </c>
      <c r="U50" s="7" t="n">
        <v>3</v>
      </c>
      <c r="V50" s="7" t="n">
        <v>3</v>
      </c>
      <c r="W50" s="7" t="n">
        <v>4</v>
      </c>
      <c r="X50" s="7" t="n">
        <v>3</v>
      </c>
    </row>
    <row r="51" customFormat="false" ht="15" hidden="false" customHeight="false" outlineLevel="0" collapsed="false">
      <c r="A51" s="7" t="s">
        <v>103</v>
      </c>
      <c r="B51" s="7" t="n">
        <v>2</v>
      </c>
      <c r="C51" s="7" t="n">
        <v>2</v>
      </c>
      <c r="D51" s="7" t="n">
        <v>24</v>
      </c>
      <c r="E51" s="7" t="n">
        <v>3</v>
      </c>
      <c r="F51" s="7" t="s">
        <v>63</v>
      </c>
      <c r="G51" s="8" t="n">
        <v>46258</v>
      </c>
      <c r="H51" s="7" t="n">
        <v>14.9</v>
      </c>
      <c r="I51" s="7" t="n">
        <v>57</v>
      </c>
      <c r="J51" s="7" t="n">
        <v>1</v>
      </c>
      <c r="K51" s="7" t="n">
        <v>3</v>
      </c>
      <c r="L51" s="7" t="n">
        <v>4</v>
      </c>
      <c r="M51" s="7" t="n">
        <v>4</v>
      </c>
      <c r="N51" s="7" t="n">
        <v>2</v>
      </c>
      <c r="O51" s="7" t="n">
        <v>4</v>
      </c>
      <c r="P51" s="7" t="n">
        <v>3</v>
      </c>
      <c r="Q51" s="7" t="n">
        <v>5</v>
      </c>
      <c r="R51" s="7" t="n">
        <v>4</v>
      </c>
      <c r="S51" s="7" t="n">
        <v>4</v>
      </c>
      <c r="T51" s="7" t="n">
        <v>3</v>
      </c>
      <c r="U51" s="7" t="n">
        <v>4</v>
      </c>
      <c r="V51" s="7" t="n">
        <v>3</v>
      </c>
      <c r="W51" s="7" t="n">
        <v>3</v>
      </c>
      <c r="X51" s="7" t="n">
        <v>2</v>
      </c>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2"/>
    <col collapsed="false" customWidth="true" hidden="false" outlineLevel="0" max="20" min="4" style="0" width="8"/>
  </cols>
  <sheetData>
    <row r="1" customFormat="false" ht="17.35" hidden="false" customHeight="false" outlineLevel="0" collapsed="false">
      <c r="A1" s="1" t="s">
        <v>104</v>
      </c>
    </row>
    <row r="2" customFormat="false" ht="15" hidden="false" customHeight="false" outlineLevel="0" collapsed="false">
      <c r="A2" s="2" t="s">
        <v>105</v>
      </c>
    </row>
    <row r="4" customFormat="false" ht="24" hidden="false" customHeight="true" outlineLevel="0" collapsed="false">
      <c r="A4" s="6" t="s">
        <v>21</v>
      </c>
      <c r="B4" s="6" t="s">
        <v>22</v>
      </c>
      <c r="C4" s="6" t="s">
        <v>106</v>
      </c>
      <c r="D4" s="6" t="s">
        <v>107</v>
      </c>
      <c r="E4" s="6" t="s">
        <v>108</v>
      </c>
      <c r="F4" s="6" t="s">
        <v>109</v>
      </c>
      <c r="G4" s="6" t="s">
        <v>110</v>
      </c>
      <c r="H4" s="6" t="s">
        <v>111</v>
      </c>
      <c r="I4" s="6" t="s">
        <v>112</v>
      </c>
      <c r="J4" s="6" t="s">
        <v>113</v>
      </c>
      <c r="K4" s="6" t="s">
        <v>114</v>
      </c>
      <c r="L4" s="6" t="s">
        <v>115</v>
      </c>
      <c r="M4" s="6" t="s">
        <v>116</v>
      </c>
      <c r="N4" s="6" t="s">
        <v>117</v>
      </c>
      <c r="O4" s="6" t="s">
        <v>118</v>
      </c>
      <c r="P4" s="6" t="s">
        <v>119</v>
      </c>
      <c r="Q4" s="6" t="s">
        <v>120</v>
      </c>
      <c r="R4" s="6" t="s">
        <v>121</v>
      </c>
      <c r="S4" s="6" t="s">
        <v>122</v>
      </c>
      <c r="T4" s="6" t="s">
        <v>123</v>
      </c>
    </row>
    <row r="5" customFormat="false" ht="15" hidden="false" customHeight="false" outlineLevel="0" collapsed="false">
      <c r="A5" s="7" t="s">
        <v>45</v>
      </c>
      <c r="B5" s="7" t="n">
        <v>1</v>
      </c>
      <c r="C5" s="8" t="n">
        <v>46307</v>
      </c>
      <c r="D5" s="7" t="n">
        <v>5.5</v>
      </c>
      <c r="E5" s="7" t="n">
        <v>100</v>
      </c>
      <c r="F5" s="7" t="n">
        <v>4</v>
      </c>
      <c r="G5" s="7" t="n">
        <v>3</v>
      </c>
      <c r="H5" s="7" t="n">
        <v>4</v>
      </c>
      <c r="I5" s="7" t="n">
        <v>2</v>
      </c>
      <c r="J5" s="7" t="n">
        <v>4</v>
      </c>
      <c r="K5" s="7" t="n">
        <v>3</v>
      </c>
      <c r="L5" s="7" t="n">
        <v>2</v>
      </c>
      <c r="M5" s="7" t="n">
        <v>5</v>
      </c>
      <c r="N5" s="7" t="n">
        <v>4</v>
      </c>
      <c r="O5" s="7" t="n">
        <v>5</v>
      </c>
      <c r="P5" s="7" t="n">
        <v>4</v>
      </c>
      <c r="Q5" s="7" t="n">
        <v>1</v>
      </c>
      <c r="R5" s="7" t="n">
        <v>5</v>
      </c>
      <c r="S5" s="7" t="n">
        <v>4</v>
      </c>
      <c r="T5" s="7" t="n">
        <v>2</v>
      </c>
    </row>
    <row r="6" customFormat="false" ht="15" hidden="false" customHeight="false" outlineLevel="0" collapsed="false">
      <c r="A6" s="7" t="s">
        <v>47</v>
      </c>
      <c r="B6" s="7" t="n">
        <v>1</v>
      </c>
      <c r="C6" s="8" t="n">
        <v>46308</v>
      </c>
      <c r="D6" s="7" t="n">
        <v>3.8</v>
      </c>
      <c r="E6" s="7" t="n">
        <v>92</v>
      </c>
      <c r="F6" s="7" t="n">
        <v>5</v>
      </c>
      <c r="G6" s="7" t="n">
        <v>3</v>
      </c>
      <c r="H6" s="7" t="n">
        <v>4</v>
      </c>
      <c r="I6" s="7" t="n">
        <v>3</v>
      </c>
      <c r="J6" s="7" t="n">
        <v>4</v>
      </c>
      <c r="K6" s="7" t="n">
        <v>4</v>
      </c>
      <c r="L6" s="7" t="n">
        <v>5</v>
      </c>
      <c r="M6" s="7" t="n">
        <v>3</v>
      </c>
      <c r="N6" s="7" t="n">
        <v>4</v>
      </c>
      <c r="O6" s="7" t="n">
        <v>4</v>
      </c>
      <c r="P6" s="7" t="n">
        <v>4</v>
      </c>
      <c r="Q6" s="7" t="n">
        <v>2</v>
      </c>
      <c r="R6" s="7" t="n">
        <v>5</v>
      </c>
      <c r="S6" s="7" t="n">
        <v>5</v>
      </c>
      <c r="T6" s="7" t="n">
        <v>4</v>
      </c>
    </row>
    <row r="7" customFormat="false" ht="15" hidden="false" customHeight="false" outlineLevel="0" collapsed="false">
      <c r="A7" s="7" t="s">
        <v>49</v>
      </c>
      <c r="B7" s="7" t="n">
        <v>1</v>
      </c>
      <c r="C7" s="8" t="n">
        <v>46309</v>
      </c>
      <c r="D7" s="7" t="n">
        <v>8.1</v>
      </c>
      <c r="E7" s="7" t="n">
        <v>69</v>
      </c>
      <c r="F7" s="7" t="n">
        <v>5</v>
      </c>
      <c r="G7" s="7" t="n">
        <v>2</v>
      </c>
      <c r="H7" s="7" t="n">
        <v>2</v>
      </c>
      <c r="I7" s="7" t="n">
        <v>1</v>
      </c>
      <c r="J7" s="7" t="n">
        <v>2</v>
      </c>
      <c r="K7" s="7" t="n">
        <v>5</v>
      </c>
      <c r="L7" s="7" t="n">
        <v>3</v>
      </c>
      <c r="M7" s="7" t="n">
        <v>3</v>
      </c>
      <c r="N7" s="7" t="n">
        <v>4</v>
      </c>
      <c r="O7" s="7" t="n">
        <v>3</v>
      </c>
      <c r="P7" s="7" t="n">
        <v>4</v>
      </c>
      <c r="Q7" s="7" t="n">
        <v>1</v>
      </c>
      <c r="R7" s="7" t="n">
        <v>4</v>
      </c>
      <c r="S7" s="7" t="n">
        <v>3</v>
      </c>
      <c r="T7" s="7" t="n">
        <v>4</v>
      </c>
    </row>
    <row r="8" customFormat="false" ht="15" hidden="false" customHeight="false" outlineLevel="0" collapsed="false">
      <c r="A8" s="7" t="s">
        <v>51</v>
      </c>
      <c r="B8" s="7" t="n">
        <v>1</v>
      </c>
      <c r="C8" s="8" t="n">
        <v>46279</v>
      </c>
      <c r="D8" s="7" t="n">
        <v>6</v>
      </c>
      <c r="E8" s="7" t="n">
        <v>75</v>
      </c>
      <c r="F8" s="7" t="n">
        <v>4</v>
      </c>
      <c r="G8" s="7" t="n">
        <v>5</v>
      </c>
      <c r="H8" s="7" t="n">
        <v>4</v>
      </c>
      <c r="I8" s="7" t="n">
        <v>3</v>
      </c>
      <c r="J8" s="7" t="n">
        <v>4</v>
      </c>
      <c r="K8" s="7" t="n">
        <v>5</v>
      </c>
      <c r="L8" s="7" t="n">
        <v>5</v>
      </c>
      <c r="M8" s="7" t="n">
        <v>3</v>
      </c>
      <c r="N8" s="7" t="n">
        <v>5</v>
      </c>
      <c r="O8" s="7" t="n">
        <v>3</v>
      </c>
      <c r="P8" s="7" t="n">
        <v>4</v>
      </c>
      <c r="Q8" s="7" t="n">
        <v>2</v>
      </c>
      <c r="R8" s="7" t="n">
        <v>4</v>
      </c>
      <c r="S8" s="7" t="n">
        <v>5</v>
      </c>
      <c r="T8" s="7" t="n">
        <v>5</v>
      </c>
    </row>
    <row r="9" customFormat="false" ht="15" hidden="false" customHeight="false" outlineLevel="0" collapsed="false">
      <c r="A9" s="7" t="s">
        <v>53</v>
      </c>
      <c r="B9" s="7" t="n">
        <v>1</v>
      </c>
      <c r="C9" s="8" t="n">
        <v>46311</v>
      </c>
      <c r="D9" s="7" t="n">
        <v>7.6</v>
      </c>
      <c r="E9" s="7" t="n">
        <v>81</v>
      </c>
      <c r="F9" s="7" t="n">
        <v>5</v>
      </c>
      <c r="G9" s="7" t="n">
        <v>5</v>
      </c>
      <c r="H9" s="7" t="n">
        <v>5</v>
      </c>
      <c r="I9" s="7" t="n">
        <v>2</v>
      </c>
      <c r="J9" s="7" t="n">
        <v>5</v>
      </c>
      <c r="K9" s="7" t="n">
        <v>4</v>
      </c>
      <c r="L9" s="7" t="n">
        <v>5</v>
      </c>
      <c r="M9" s="7" t="n">
        <v>5</v>
      </c>
      <c r="N9" s="7" t="n">
        <v>4</v>
      </c>
      <c r="O9" s="7" t="n">
        <v>5</v>
      </c>
      <c r="P9" s="7" t="n">
        <v>4</v>
      </c>
      <c r="Q9" s="7" t="n">
        <v>2</v>
      </c>
      <c r="R9" s="7" t="n">
        <v>4</v>
      </c>
      <c r="S9" s="7" t="n">
        <v>5</v>
      </c>
      <c r="T9" s="7" t="n">
        <v>5</v>
      </c>
    </row>
    <row r="10" customFormat="false" ht="15" hidden="false" customHeight="false" outlineLevel="0" collapsed="false">
      <c r="A10" s="7" t="s">
        <v>54</v>
      </c>
      <c r="B10" s="7" t="n">
        <v>1</v>
      </c>
      <c r="C10" s="8" t="n">
        <v>46307</v>
      </c>
      <c r="D10" s="7" t="n">
        <v>5.2</v>
      </c>
      <c r="E10" s="7" t="n">
        <v>97</v>
      </c>
      <c r="F10" s="7" t="n">
        <v>2</v>
      </c>
      <c r="G10" s="7" t="n">
        <v>5</v>
      </c>
      <c r="H10" s="7" t="n">
        <v>3</v>
      </c>
      <c r="I10" s="7" t="n">
        <v>1</v>
      </c>
      <c r="J10" s="7" t="n">
        <v>4</v>
      </c>
      <c r="K10" s="7" t="n">
        <v>4</v>
      </c>
      <c r="L10" s="7" t="n">
        <v>4</v>
      </c>
      <c r="M10" s="7" t="n">
        <v>2</v>
      </c>
      <c r="N10" s="7" t="n">
        <v>4</v>
      </c>
      <c r="O10" s="7" t="n">
        <v>4</v>
      </c>
      <c r="P10" s="7" t="n">
        <v>5</v>
      </c>
      <c r="Q10" s="7" t="n">
        <v>3</v>
      </c>
      <c r="R10" s="7" t="n">
        <v>3</v>
      </c>
      <c r="S10" s="7" t="n">
        <v>5</v>
      </c>
      <c r="T10" s="7" t="n">
        <v>5</v>
      </c>
    </row>
    <row r="11" customFormat="false" ht="15" hidden="false" customHeight="false" outlineLevel="0" collapsed="false">
      <c r="A11" s="7" t="s">
        <v>58</v>
      </c>
      <c r="B11" s="7" t="n">
        <v>1</v>
      </c>
      <c r="C11" s="8" t="n">
        <v>46309</v>
      </c>
      <c r="D11" s="7" t="n">
        <v>5.2</v>
      </c>
      <c r="E11" s="7" t="n">
        <v>81</v>
      </c>
      <c r="F11" s="7" t="n">
        <v>5</v>
      </c>
      <c r="G11" s="7" t="n">
        <v>5</v>
      </c>
      <c r="H11" s="7" t="n">
        <v>4</v>
      </c>
      <c r="I11" s="7" t="n">
        <v>1</v>
      </c>
      <c r="J11" s="7" t="n">
        <v>4</v>
      </c>
      <c r="K11" s="7" t="n">
        <v>4</v>
      </c>
      <c r="L11" s="7" t="n">
        <v>4</v>
      </c>
      <c r="M11" s="7" t="n">
        <v>4</v>
      </c>
      <c r="N11" s="7" t="n">
        <v>4</v>
      </c>
      <c r="O11" s="7" t="n">
        <v>4</v>
      </c>
      <c r="P11" s="7" t="n">
        <v>3</v>
      </c>
      <c r="Q11" s="7" t="n">
        <v>1</v>
      </c>
      <c r="R11" s="7" t="n">
        <v>3</v>
      </c>
      <c r="S11" s="7" t="n">
        <v>4</v>
      </c>
      <c r="T11" s="7" t="n">
        <v>5</v>
      </c>
    </row>
    <row r="12" customFormat="false" ht="15" hidden="false" customHeight="false" outlineLevel="0" collapsed="false">
      <c r="A12" s="7" t="s">
        <v>59</v>
      </c>
      <c r="B12" s="7" t="n">
        <v>1</v>
      </c>
      <c r="C12" s="8" t="n">
        <v>46310</v>
      </c>
      <c r="D12" s="7" t="n">
        <v>5.1</v>
      </c>
      <c r="E12" s="7" t="n">
        <v>81</v>
      </c>
      <c r="F12" s="7" t="n">
        <v>5</v>
      </c>
      <c r="G12" s="7" t="n">
        <v>5</v>
      </c>
      <c r="H12" s="7" t="n">
        <v>4</v>
      </c>
      <c r="I12" s="7" t="n">
        <v>1</v>
      </c>
      <c r="J12" s="7" t="n">
        <v>5</v>
      </c>
      <c r="K12" s="7" t="n">
        <v>4</v>
      </c>
      <c r="L12" s="7" t="n">
        <v>4</v>
      </c>
      <c r="M12" s="7" t="n">
        <v>5</v>
      </c>
      <c r="N12" s="7" t="n">
        <v>5</v>
      </c>
      <c r="O12" s="7" t="n">
        <v>4</v>
      </c>
      <c r="P12" s="7" t="n">
        <v>4</v>
      </c>
      <c r="Q12" s="7" t="n">
        <v>2</v>
      </c>
      <c r="R12" s="7" t="n">
        <v>5</v>
      </c>
      <c r="S12" s="7" t="n">
        <v>5</v>
      </c>
      <c r="T12" s="7" t="n">
        <v>4</v>
      </c>
    </row>
    <row r="13" customFormat="false" ht="15" hidden="false" customHeight="false" outlineLevel="0" collapsed="false">
      <c r="A13" s="7" t="s">
        <v>60</v>
      </c>
      <c r="B13" s="7" t="n">
        <v>1</v>
      </c>
      <c r="C13" s="8" t="n">
        <v>46311</v>
      </c>
      <c r="D13" s="7" t="n">
        <v>6.9</v>
      </c>
      <c r="E13" s="7" t="n">
        <v>100</v>
      </c>
      <c r="F13" s="7" t="n">
        <v>5</v>
      </c>
      <c r="G13" s="7" t="n">
        <v>2</v>
      </c>
      <c r="H13" s="7" t="n">
        <v>3</v>
      </c>
      <c r="I13" s="7" t="n">
        <v>1</v>
      </c>
      <c r="J13" s="7" t="n">
        <v>6</v>
      </c>
      <c r="K13" s="7" t="n">
        <v>3</v>
      </c>
      <c r="L13" s="7" t="n">
        <v>5</v>
      </c>
      <c r="M13" s="7" t="n">
        <v>5</v>
      </c>
      <c r="N13" s="7" t="n">
        <v>5</v>
      </c>
      <c r="O13" s="7" t="n">
        <v>4</v>
      </c>
      <c r="P13" s="7" t="n">
        <v>5</v>
      </c>
      <c r="Q13" s="7" t="n">
        <v>2</v>
      </c>
      <c r="R13" s="7" t="n">
        <v>5</v>
      </c>
      <c r="S13" s="7" t="n">
        <v>5</v>
      </c>
      <c r="T13" s="7" t="n">
        <v>5</v>
      </c>
    </row>
    <row r="14" customFormat="false" ht="15" hidden="false" customHeight="false" outlineLevel="0" collapsed="false">
      <c r="A14" s="7" t="s">
        <v>62</v>
      </c>
      <c r="B14" s="7" t="n">
        <v>1</v>
      </c>
      <c r="C14" s="8" t="n">
        <v>46307</v>
      </c>
      <c r="D14" s="7" t="n">
        <v>8.8</v>
      </c>
      <c r="E14" s="7" t="n">
        <v>71</v>
      </c>
      <c r="F14" s="7" t="n">
        <v>5</v>
      </c>
      <c r="G14" s="7" t="n">
        <v>4</v>
      </c>
      <c r="H14" s="7" t="n">
        <v>5</v>
      </c>
      <c r="I14" s="7" t="n">
        <v>1</v>
      </c>
      <c r="J14" s="7" t="n">
        <v>3</v>
      </c>
      <c r="K14" s="7" t="n">
        <v>5</v>
      </c>
      <c r="L14" s="7" t="n">
        <v>5</v>
      </c>
      <c r="M14" s="7" t="n">
        <v>5</v>
      </c>
      <c r="N14" s="7" t="n">
        <v>5</v>
      </c>
      <c r="O14" s="7" t="n">
        <v>5</v>
      </c>
      <c r="P14" s="7" t="n">
        <v>5</v>
      </c>
      <c r="Q14" s="7" t="n">
        <v>1</v>
      </c>
      <c r="R14" s="7" t="n">
        <v>5</v>
      </c>
      <c r="S14" s="7" t="n">
        <v>5</v>
      </c>
      <c r="T14" s="7" t="n">
        <v>4</v>
      </c>
    </row>
    <row r="15" customFormat="false" ht="15" hidden="false" customHeight="false" outlineLevel="0" collapsed="false">
      <c r="A15" s="7" t="s">
        <v>124</v>
      </c>
      <c r="B15" s="7" t="n">
        <v>1</v>
      </c>
      <c r="C15" s="8" t="n">
        <v>46308</v>
      </c>
      <c r="D15" s="7" t="n">
        <v>5</v>
      </c>
      <c r="E15" s="7" t="n">
        <v>77</v>
      </c>
      <c r="F15" s="7" t="n">
        <v>5</v>
      </c>
      <c r="G15" s="7" t="n">
        <v>5</v>
      </c>
      <c r="H15" s="7" t="n">
        <v>3</v>
      </c>
      <c r="I15" s="7" t="n">
        <v>2</v>
      </c>
      <c r="J15" s="7" t="n">
        <v>5</v>
      </c>
      <c r="K15" s="7" t="n">
        <v>5</v>
      </c>
      <c r="L15" s="7" t="n">
        <v>3</v>
      </c>
      <c r="M15" s="7" t="n">
        <v>5</v>
      </c>
      <c r="N15" s="7" t="n">
        <v>5</v>
      </c>
      <c r="O15" s="7" t="n">
        <v>5</v>
      </c>
      <c r="P15" s="7" t="n">
        <v>4</v>
      </c>
      <c r="Q15" s="7" t="n">
        <v>2</v>
      </c>
      <c r="R15" s="7" t="n">
        <v>4</v>
      </c>
      <c r="S15" s="7" t="n">
        <v>4</v>
      </c>
      <c r="T15" s="7" t="n">
        <v>5</v>
      </c>
    </row>
    <row r="16" customFormat="false" ht="15" hidden="false" customHeight="false" outlineLevel="0" collapsed="false">
      <c r="A16" s="7" t="s">
        <v>67</v>
      </c>
      <c r="B16" s="7" t="n">
        <v>1</v>
      </c>
      <c r="C16" s="8" t="n">
        <v>46310</v>
      </c>
      <c r="D16" s="7" t="n">
        <v>6.2</v>
      </c>
      <c r="E16" s="7" t="n">
        <v>90</v>
      </c>
      <c r="F16" s="7" t="n">
        <v>5</v>
      </c>
      <c r="G16" s="7" t="n">
        <v>5</v>
      </c>
      <c r="H16" s="7" t="n">
        <v>5</v>
      </c>
      <c r="I16" s="7" t="n">
        <v>1</v>
      </c>
      <c r="J16" s="7" t="n">
        <v>5</v>
      </c>
      <c r="K16" s="7" t="n">
        <v>5</v>
      </c>
      <c r="L16" s="7" t="n">
        <v>5</v>
      </c>
      <c r="M16" s="7" t="n">
        <v>5</v>
      </c>
      <c r="N16" s="7" t="n">
        <v>5</v>
      </c>
      <c r="O16" s="7" t="n">
        <v>5</v>
      </c>
      <c r="P16" s="7" t="n">
        <v>5</v>
      </c>
      <c r="Q16" s="7" t="n">
        <v>1</v>
      </c>
      <c r="R16" s="7" t="n">
        <v>5</v>
      </c>
      <c r="S16" s="7" t="n">
        <v>5</v>
      </c>
      <c r="T16" s="7" t="n">
        <v>5</v>
      </c>
    </row>
    <row r="17" customFormat="false" ht="15" hidden="false" customHeight="false" outlineLevel="0" collapsed="false">
      <c r="A17" s="7" t="s">
        <v>68</v>
      </c>
      <c r="B17" s="7" t="n">
        <v>1</v>
      </c>
      <c r="C17" s="8" t="n">
        <v>46311</v>
      </c>
      <c r="D17" s="7" t="n">
        <v>7.5</v>
      </c>
      <c r="E17" s="7" t="n">
        <v>80</v>
      </c>
      <c r="F17" s="7" t="n">
        <v>3</v>
      </c>
      <c r="G17" s="7" t="n">
        <v>3</v>
      </c>
      <c r="H17" s="7" t="n">
        <v>4</v>
      </c>
      <c r="I17" s="7" t="n">
        <v>4</v>
      </c>
      <c r="J17" s="7" t="n">
        <v>3</v>
      </c>
      <c r="K17" s="7" t="n">
        <v>3</v>
      </c>
      <c r="L17" s="7" t="n">
        <v>5</v>
      </c>
      <c r="M17" s="7" t="n">
        <v>4</v>
      </c>
      <c r="N17" s="7" t="n">
        <v>4</v>
      </c>
      <c r="O17" s="7" t="n">
        <v>5</v>
      </c>
      <c r="P17" s="7" t="n">
        <v>4</v>
      </c>
      <c r="Q17" s="7" t="n">
        <v>2</v>
      </c>
      <c r="R17" s="7" t="n">
        <v>4</v>
      </c>
      <c r="S17" s="7" t="n">
        <v>4</v>
      </c>
      <c r="T17" s="7" t="n">
        <v>4</v>
      </c>
    </row>
    <row r="18" customFormat="false" ht="15" hidden="false" customHeight="false" outlineLevel="0" collapsed="false">
      <c r="A18" s="7" t="s">
        <v>69</v>
      </c>
      <c r="B18" s="7" t="n">
        <v>1</v>
      </c>
      <c r="C18" s="8" t="n">
        <v>46307</v>
      </c>
      <c r="D18" s="7" t="n">
        <v>6</v>
      </c>
      <c r="E18" s="7" t="n">
        <v>70</v>
      </c>
      <c r="F18" s="7" t="n">
        <v>5</v>
      </c>
      <c r="G18" s="7" t="n">
        <v>3</v>
      </c>
      <c r="H18" s="7" t="n">
        <v>4</v>
      </c>
      <c r="I18" s="7" t="n">
        <v>2</v>
      </c>
      <c r="J18" s="7" t="n">
        <v>5</v>
      </c>
      <c r="K18" s="7" t="n">
        <v>4</v>
      </c>
      <c r="L18" s="7" t="n">
        <v>5</v>
      </c>
      <c r="M18" s="7" t="n">
        <v>4</v>
      </c>
      <c r="N18" s="7" t="n">
        <v>4</v>
      </c>
      <c r="O18" s="7" t="n">
        <v>3</v>
      </c>
      <c r="P18" s="7" t="n">
        <v>3</v>
      </c>
      <c r="Q18" s="7" t="n">
        <v>1</v>
      </c>
      <c r="R18" s="7" t="n">
        <v>5</v>
      </c>
      <c r="S18" s="7" t="n">
        <v>5</v>
      </c>
      <c r="T18" s="7" t="n">
        <v>5</v>
      </c>
    </row>
    <row r="19" customFormat="false" ht="15" hidden="false" customHeight="false" outlineLevel="0" collapsed="false">
      <c r="A19" s="7" t="s">
        <v>70</v>
      </c>
      <c r="B19" s="7" t="n">
        <v>1</v>
      </c>
      <c r="C19" s="8" t="n">
        <v>46308</v>
      </c>
      <c r="D19" s="7" t="n">
        <v>7.3</v>
      </c>
      <c r="E19" s="7" t="n">
        <v>76</v>
      </c>
      <c r="F19" s="7" t="n">
        <v>5</v>
      </c>
      <c r="G19" s="7" t="n">
        <v>5</v>
      </c>
      <c r="H19" s="7" t="n">
        <v>5</v>
      </c>
      <c r="I19" s="7" t="n">
        <v>2</v>
      </c>
      <c r="J19" s="7" t="n">
        <v>5</v>
      </c>
      <c r="K19" s="7" t="n">
        <v>5</v>
      </c>
      <c r="L19" s="7" t="n">
        <v>5</v>
      </c>
      <c r="M19" s="7" t="n">
        <v>3</v>
      </c>
      <c r="N19" s="7" t="n">
        <v>4</v>
      </c>
      <c r="O19" s="7" t="n">
        <v>5</v>
      </c>
      <c r="P19" s="7" t="n">
        <v>5</v>
      </c>
      <c r="Q19" s="7" t="n">
        <v>1</v>
      </c>
      <c r="R19" s="7" t="n">
        <v>5</v>
      </c>
      <c r="S19" s="7" t="n">
        <v>5</v>
      </c>
      <c r="T19" s="7" t="n">
        <v>5</v>
      </c>
    </row>
    <row r="20" customFormat="false" ht="15" hidden="false" customHeight="false" outlineLevel="0" collapsed="false">
      <c r="A20" s="7" t="s">
        <v>71</v>
      </c>
      <c r="B20" s="7" t="n">
        <v>1</v>
      </c>
      <c r="C20" s="8" t="n">
        <v>46309</v>
      </c>
      <c r="D20" s="7" t="n">
        <v>7</v>
      </c>
      <c r="E20" s="7" t="n">
        <v>81</v>
      </c>
      <c r="F20" s="7" t="n">
        <v>2</v>
      </c>
      <c r="G20" s="7" t="n">
        <v>5</v>
      </c>
      <c r="H20" s="7" t="n">
        <v>5</v>
      </c>
      <c r="I20" s="7" t="n">
        <v>2</v>
      </c>
      <c r="J20" s="7" t="n">
        <v>3</v>
      </c>
      <c r="K20" s="7" t="n">
        <v>5</v>
      </c>
      <c r="L20" s="7" t="n">
        <v>3</v>
      </c>
      <c r="M20" s="7" t="n">
        <v>3</v>
      </c>
      <c r="N20" s="7" t="n">
        <v>5</v>
      </c>
      <c r="O20" s="7" t="n">
        <v>5</v>
      </c>
      <c r="P20" s="7" t="n">
        <v>2</v>
      </c>
      <c r="Q20" s="7" t="n">
        <v>2</v>
      </c>
      <c r="R20" s="7" t="n">
        <v>4</v>
      </c>
      <c r="S20" s="7" t="n">
        <v>5</v>
      </c>
      <c r="T20" s="7" t="n">
        <v>4</v>
      </c>
    </row>
    <row r="21" customFormat="false" ht="15" hidden="false" customHeight="false" outlineLevel="0" collapsed="false">
      <c r="A21" s="7" t="s">
        <v>72</v>
      </c>
      <c r="B21" s="7" t="n">
        <v>1</v>
      </c>
      <c r="C21" s="8" t="n">
        <v>46310</v>
      </c>
      <c r="D21" s="7" t="n">
        <v>4.6</v>
      </c>
      <c r="E21" s="7" t="n">
        <v>88</v>
      </c>
      <c r="F21" s="7" t="n">
        <v>4</v>
      </c>
      <c r="G21" s="7" t="n">
        <v>3</v>
      </c>
      <c r="H21" s="7" t="n">
        <v>5</v>
      </c>
      <c r="I21" s="7" t="n">
        <v>1</v>
      </c>
      <c r="J21" s="7" t="n">
        <v>4</v>
      </c>
      <c r="K21" s="7" t="n">
        <v>4</v>
      </c>
      <c r="L21" s="7" t="n">
        <v>4</v>
      </c>
      <c r="M21" s="7" t="n">
        <v>3</v>
      </c>
      <c r="N21" s="7" t="n">
        <v>4</v>
      </c>
      <c r="O21" s="7" t="n">
        <v>5</v>
      </c>
      <c r="P21" s="7" t="n">
        <v>4</v>
      </c>
      <c r="Q21" s="7" t="n">
        <v>2</v>
      </c>
      <c r="R21" s="7" t="n">
        <v>5</v>
      </c>
      <c r="S21" s="7" t="n">
        <v>4</v>
      </c>
      <c r="T21" s="7" t="n">
        <v>5</v>
      </c>
    </row>
    <row r="22" customFormat="false" ht="15" hidden="false" customHeight="false" outlineLevel="0" collapsed="false">
      <c r="A22" s="7" t="s">
        <v>74</v>
      </c>
      <c r="B22" s="7" t="n">
        <v>1</v>
      </c>
      <c r="C22" s="8" t="n">
        <v>46311</v>
      </c>
      <c r="D22" s="7" t="n">
        <v>5.6</v>
      </c>
      <c r="E22" s="7" t="n">
        <v>81</v>
      </c>
      <c r="F22" s="7" t="n">
        <v>5</v>
      </c>
      <c r="G22" s="7" t="n">
        <v>5</v>
      </c>
      <c r="H22" s="7" t="n">
        <v>4</v>
      </c>
      <c r="I22" s="7" t="n">
        <v>1</v>
      </c>
      <c r="J22" s="7" t="n">
        <v>4</v>
      </c>
      <c r="K22" s="7" t="n">
        <v>5</v>
      </c>
      <c r="L22" s="7" t="n">
        <v>5</v>
      </c>
      <c r="M22" s="7" t="n">
        <v>4</v>
      </c>
      <c r="N22" s="7" t="n">
        <v>5</v>
      </c>
      <c r="O22" s="7" t="n">
        <v>5</v>
      </c>
      <c r="P22" s="7" t="n">
        <v>5</v>
      </c>
      <c r="Q22" s="7" t="n">
        <v>2</v>
      </c>
      <c r="R22" s="7" t="n">
        <v>5</v>
      </c>
      <c r="S22" s="7" t="n">
        <v>4</v>
      </c>
      <c r="T22" s="7" t="n">
        <v>4</v>
      </c>
    </row>
    <row r="23" customFormat="false" ht="15" hidden="false" customHeight="false" outlineLevel="0" collapsed="false">
      <c r="A23" s="7" t="s">
        <v>75</v>
      </c>
      <c r="B23" s="7" t="n">
        <v>1</v>
      </c>
      <c r="C23" s="8" t="n">
        <v>46307</v>
      </c>
      <c r="D23" s="7" t="n">
        <v>7.7</v>
      </c>
      <c r="E23" s="7" t="n">
        <v>73</v>
      </c>
      <c r="F23" s="7" t="n">
        <v>2</v>
      </c>
      <c r="G23" s="7" t="n">
        <v>4</v>
      </c>
      <c r="H23" s="7" t="n">
        <v>3</v>
      </c>
      <c r="I23" s="7" t="n">
        <v>3</v>
      </c>
      <c r="J23" s="7" t="n">
        <v>4</v>
      </c>
      <c r="K23" s="7" t="n">
        <v>4</v>
      </c>
      <c r="L23" s="7" t="n">
        <v>5</v>
      </c>
      <c r="M23" s="7" t="n">
        <v>3</v>
      </c>
      <c r="N23" s="7" t="n">
        <v>4</v>
      </c>
      <c r="O23" s="7" t="n">
        <v>3</v>
      </c>
      <c r="P23" s="7" t="n">
        <v>4</v>
      </c>
      <c r="Q23" s="7" t="n">
        <v>1</v>
      </c>
      <c r="R23" s="7" t="n">
        <v>4</v>
      </c>
      <c r="S23" s="7" t="n">
        <v>5</v>
      </c>
      <c r="T23" s="7" t="n">
        <v>5</v>
      </c>
    </row>
    <row r="24" customFormat="false" ht="15" hidden="false" customHeight="false" outlineLevel="0" collapsed="false">
      <c r="A24" s="7" t="s">
        <v>76</v>
      </c>
      <c r="B24" s="7" t="n">
        <v>1</v>
      </c>
      <c r="C24" s="8" t="n">
        <v>46308</v>
      </c>
      <c r="D24" s="7"/>
      <c r="E24" s="7" t="n">
        <v>69</v>
      </c>
      <c r="F24" s="7" t="n">
        <v>2</v>
      </c>
      <c r="G24" s="7" t="n">
        <v>3</v>
      </c>
      <c r="H24" s="7" t="n">
        <v>3</v>
      </c>
      <c r="I24" s="7" t="n">
        <v>2</v>
      </c>
      <c r="J24" s="7" t="n">
        <v>2</v>
      </c>
      <c r="K24" s="7" t="n">
        <v>5</v>
      </c>
      <c r="L24" s="7" t="n">
        <v>4</v>
      </c>
      <c r="M24" s="7" t="n">
        <v>2</v>
      </c>
      <c r="N24" s="7" t="n">
        <v>4</v>
      </c>
      <c r="O24" s="7" t="n">
        <v>3</v>
      </c>
      <c r="P24" s="7" t="n">
        <v>4</v>
      </c>
      <c r="Q24" s="7" t="n">
        <v>2</v>
      </c>
      <c r="R24" s="7" t="n">
        <v>2</v>
      </c>
      <c r="S24" s="7" t="n">
        <v>3</v>
      </c>
      <c r="T24" s="7" t="n">
        <v>1</v>
      </c>
    </row>
    <row r="25" customFormat="false" ht="15" hidden="false" customHeight="false" outlineLevel="0" collapsed="false">
      <c r="A25" s="7" t="s">
        <v>77</v>
      </c>
      <c r="B25" s="7" t="n">
        <v>1</v>
      </c>
      <c r="C25" s="8" t="n">
        <v>46309</v>
      </c>
      <c r="D25" s="7" t="n">
        <v>4.5</v>
      </c>
      <c r="E25" s="7" t="n">
        <v>88</v>
      </c>
      <c r="F25" s="7" t="n">
        <v>3</v>
      </c>
      <c r="G25" s="7" t="n">
        <v>4</v>
      </c>
      <c r="H25" s="7" t="n">
        <v>3</v>
      </c>
      <c r="I25" s="7" t="n">
        <v>2</v>
      </c>
      <c r="J25" s="7" t="n">
        <v>4</v>
      </c>
      <c r="K25" s="7" t="n">
        <v>4</v>
      </c>
      <c r="L25" s="7" t="n">
        <v>2</v>
      </c>
      <c r="M25" s="7" t="n">
        <v>4</v>
      </c>
      <c r="N25" s="7" t="n">
        <v>4</v>
      </c>
      <c r="O25" s="7" t="n">
        <v>5</v>
      </c>
      <c r="P25" s="7" t="n">
        <v>4</v>
      </c>
      <c r="Q25" s="7" t="n">
        <v>3</v>
      </c>
      <c r="R25" s="7" t="n">
        <v>3</v>
      </c>
      <c r="S25" s="7" t="n">
        <v>4</v>
      </c>
      <c r="T25" s="7" t="n">
        <v>4</v>
      </c>
    </row>
    <row r="26" customFormat="false" ht="15" hidden="false" customHeight="false" outlineLevel="0" collapsed="false">
      <c r="A26" s="7" t="s">
        <v>78</v>
      </c>
      <c r="B26" s="7" t="n">
        <v>1</v>
      </c>
      <c r="C26" s="8" t="n">
        <v>46310</v>
      </c>
      <c r="D26" s="7" t="n">
        <v>9.5</v>
      </c>
      <c r="E26" s="7" t="n">
        <v>73</v>
      </c>
      <c r="F26" s="7" t="n">
        <v>5</v>
      </c>
      <c r="G26" s="7" t="n">
        <v>4</v>
      </c>
      <c r="H26" s="7" t="n">
        <v>4</v>
      </c>
      <c r="I26" s="7" t="n">
        <v>2</v>
      </c>
      <c r="J26" s="7" t="n">
        <v>4</v>
      </c>
      <c r="K26" s="7" t="n">
        <v>5</v>
      </c>
      <c r="L26" s="7" t="n">
        <v>5</v>
      </c>
      <c r="M26" s="7" t="n">
        <v>4</v>
      </c>
      <c r="N26" s="7" t="n">
        <v>5</v>
      </c>
      <c r="O26" s="7" t="n">
        <v>3</v>
      </c>
      <c r="P26" s="7" t="n">
        <v>4</v>
      </c>
      <c r="Q26" s="7" t="n">
        <v>2</v>
      </c>
      <c r="R26" s="7" t="n">
        <v>4</v>
      </c>
      <c r="S26" s="7" t="n">
        <v>3</v>
      </c>
      <c r="T26" s="7" t="n">
        <v>5</v>
      </c>
    </row>
    <row r="27" customFormat="false" ht="15" hidden="false" customHeight="false" outlineLevel="0" collapsed="false">
      <c r="A27" s="7" t="s">
        <v>79</v>
      </c>
      <c r="B27" s="7" t="n">
        <v>2</v>
      </c>
      <c r="C27" s="8" t="n">
        <v>46311</v>
      </c>
      <c r="D27" s="7" t="n">
        <v>6.9</v>
      </c>
      <c r="E27" s="7" t="n">
        <v>73</v>
      </c>
      <c r="F27" s="7" t="n">
        <v>3</v>
      </c>
      <c r="G27" s="7" t="n">
        <v>4</v>
      </c>
      <c r="H27" s="7" t="n">
        <v>4</v>
      </c>
      <c r="I27" s="7" t="n">
        <v>2</v>
      </c>
      <c r="J27" s="7" t="n">
        <v>2</v>
      </c>
      <c r="K27" s="7" t="n">
        <v>3</v>
      </c>
      <c r="L27" s="7" t="n">
        <v>4</v>
      </c>
      <c r="M27" s="7" t="n">
        <v>3</v>
      </c>
      <c r="N27" s="7" t="n">
        <v>3</v>
      </c>
      <c r="O27" s="7" t="n">
        <v>4</v>
      </c>
      <c r="P27" s="7" t="n">
        <v>3</v>
      </c>
      <c r="Q27" s="7" t="n">
        <v>3</v>
      </c>
      <c r="R27" s="7" t="n">
        <v>3</v>
      </c>
      <c r="S27" s="7" t="n">
        <v>3</v>
      </c>
      <c r="T27" s="7" t="n">
        <v>3</v>
      </c>
    </row>
    <row r="28" customFormat="false" ht="15" hidden="false" customHeight="false" outlineLevel="0" collapsed="false">
      <c r="A28" s="7" t="s">
        <v>80</v>
      </c>
      <c r="B28" s="7" t="n">
        <v>2</v>
      </c>
      <c r="C28" s="8" t="n">
        <v>46307</v>
      </c>
      <c r="D28" s="7" t="n">
        <v>14.4</v>
      </c>
      <c r="E28" s="7" t="n">
        <v>55</v>
      </c>
      <c r="F28" s="7" t="n">
        <v>2</v>
      </c>
      <c r="G28" s="7" t="n">
        <v>4</v>
      </c>
      <c r="H28" s="7" t="n">
        <v>3</v>
      </c>
      <c r="I28" s="7" t="n">
        <v>3</v>
      </c>
      <c r="J28" s="7" t="n">
        <v>4</v>
      </c>
      <c r="K28" s="7" t="n">
        <v>2</v>
      </c>
      <c r="L28" s="7" t="n">
        <v>4</v>
      </c>
      <c r="M28" s="7" t="n">
        <v>3</v>
      </c>
      <c r="N28" s="7" t="n">
        <v>2</v>
      </c>
      <c r="O28" s="7" t="n">
        <v>3</v>
      </c>
      <c r="P28" s="7" t="n">
        <v>2</v>
      </c>
      <c r="Q28" s="7" t="n">
        <v>2</v>
      </c>
      <c r="R28" s="7" t="n">
        <v>1</v>
      </c>
      <c r="S28" s="7" t="n">
        <v>4</v>
      </c>
      <c r="T28" s="7" t="n">
        <v>4</v>
      </c>
    </row>
    <row r="29" customFormat="false" ht="15" hidden="false" customHeight="false" outlineLevel="0" collapsed="false">
      <c r="A29" s="7" t="s">
        <v>81</v>
      </c>
      <c r="B29" s="7" t="n">
        <v>2</v>
      </c>
      <c r="C29" s="8" t="n">
        <v>46308</v>
      </c>
      <c r="D29" s="7" t="n">
        <v>10.4</v>
      </c>
      <c r="E29" s="7" t="n">
        <v>67</v>
      </c>
      <c r="F29" s="7" t="n">
        <v>2</v>
      </c>
      <c r="G29" s="7" t="n">
        <v>3</v>
      </c>
      <c r="H29" s="7" t="n">
        <v>3</v>
      </c>
      <c r="I29" s="7" t="n">
        <v>5</v>
      </c>
      <c r="J29" s="7" t="n">
        <v>4</v>
      </c>
      <c r="K29" s="7" t="n">
        <v>2</v>
      </c>
      <c r="L29" s="7" t="n">
        <v>3</v>
      </c>
      <c r="M29" s="7" t="n">
        <v>1</v>
      </c>
      <c r="N29" s="7" t="n">
        <v>2</v>
      </c>
      <c r="O29" s="7" t="n">
        <v>1</v>
      </c>
      <c r="P29" s="7" t="n">
        <v>3</v>
      </c>
      <c r="Q29" s="7" t="n">
        <v>4</v>
      </c>
      <c r="R29" s="7" t="n">
        <v>1</v>
      </c>
      <c r="S29" s="7" t="n">
        <v>3</v>
      </c>
      <c r="T29" s="7" t="n">
        <v>2</v>
      </c>
    </row>
    <row r="30" customFormat="false" ht="15" hidden="false" customHeight="false" outlineLevel="0" collapsed="false">
      <c r="A30" s="7" t="s">
        <v>83</v>
      </c>
      <c r="B30" s="7" t="n">
        <v>2</v>
      </c>
      <c r="C30" s="8" t="n">
        <v>46309</v>
      </c>
      <c r="D30" s="7" t="n">
        <v>13.3</v>
      </c>
      <c r="E30" s="7" t="n">
        <v>63</v>
      </c>
      <c r="F30" s="7" t="n">
        <v>4</v>
      </c>
      <c r="G30" s="7" t="n">
        <v>2</v>
      </c>
      <c r="H30" s="7" t="n">
        <v>5</v>
      </c>
      <c r="I30" s="7" t="n">
        <v>3</v>
      </c>
      <c r="J30" s="7" t="n">
        <v>4</v>
      </c>
      <c r="K30" s="7" t="n">
        <v>3</v>
      </c>
      <c r="L30" s="7" t="n">
        <v>3</v>
      </c>
      <c r="M30" s="7" t="n">
        <v>2</v>
      </c>
      <c r="N30" s="7" t="n">
        <v>4</v>
      </c>
      <c r="O30" s="7" t="n">
        <v>3</v>
      </c>
      <c r="P30" s="7" t="n">
        <v>4</v>
      </c>
      <c r="Q30" s="7" t="n">
        <v>3</v>
      </c>
      <c r="R30" s="7" t="n">
        <v>3</v>
      </c>
      <c r="S30" s="7" t="n">
        <v>4</v>
      </c>
      <c r="T30" s="7" t="n">
        <v>4</v>
      </c>
    </row>
    <row r="31" customFormat="false" ht="15" hidden="false" customHeight="false" outlineLevel="0" collapsed="false">
      <c r="A31" s="7" t="s">
        <v>84</v>
      </c>
      <c r="B31" s="7" t="n">
        <v>2</v>
      </c>
      <c r="C31" s="8" t="n">
        <v>46310</v>
      </c>
      <c r="D31" s="7" t="n">
        <v>10.7</v>
      </c>
      <c r="E31" s="7" t="n">
        <v>53</v>
      </c>
      <c r="F31" s="7" t="n">
        <v>3</v>
      </c>
      <c r="G31" s="7" t="n">
        <v>1</v>
      </c>
      <c r="H31" s="7" t="n">
        <v>3</v>
      </c>
      <c r="I31" s="7" t="n">
        <v>3</v>
      </c>
      <c r="J31" s="7" t="n">
        <v>3</v>
      </c>
      <c r="K31" s="7" t="n">
        <v>3</v>
      </c>
      <c r="L31" s="7" t="n">
        <v>3</v>
      </c>
      <c r="M31" s="7" t="n">
        <v>3</v>
      </c>
      <c r="N31" s="7" t="n">
        <v>3</v>
      </c>
      <c r="O31" s="7" t="n">
        <v>3</v>
      </c>
      <c r="P31" s="7" t="n">
        <v>1</v>
      </c>
      <c r="Q31" s="7" t="n">
        <v>3</v>
      </c>
      <c r="R31" s="7" t="n">
        <v>3</v>
      </c>
      <c r="S31" s="7" t="n">
        <v>4</v>
      </c>
      <c r="T31" s="7" t="n">
        <v>3</v>
      </c>
    </row>
    <row r="32" customFormat="false" ht="15" hidden="false" customHeight="false" outlineLevel="0" collapsed="false">
      <c r="A32" s="7" t="s">
        <v>84</v>
      </c>
      <c r="B32" s="7" t="n">
        <v>2</v>
      </c>
      <c r="C32" s="8" t="n">
        <v>46310</v>
      </c>
      <c r="D32" s="7" t="n">
        <v>10.7</v>
      </c>
      <c r="E32" s="7" t="n">
        <v>53</v>
      </c>
      <c r="F32" s="7" t="n">
        <v>3</v>
      </c>
      <c r="G32" s="7" t="n">
        <v>1</v>
      </c>
      <c r="H32" s="7" t="n">
        <v>3</v>
      </c>
      <c r="I32" s="7" t="n">
        <v>3</v>
      </c>
      <c r="J32" s="7" t="n">
        <v>3</v>
      </c>
      <c r="K32" s="7" t="n">
        <v>3</v>
      </c>
      <c r="L32" s="7" t="n">
        <v>3</v>
      </c>
      <c r="M32" s="7" t="n">
        <v>3</v>
      </c>
      <c r="N32" s="7" t="n">
        <v>3</v>
      </c>
      <c r="O32" s="7" t="n">
        <v>3</v>
      </c>
      <c r="P32" s="7" t="n">
        <v>1</v>
      </c>
      <c r="Q32" s="7" t="n">
        <v>3</v>
      </c>
      <c r="R32" s="7" t="n">
        <v>3</v>
      </c>
      <c r="S32" s="7" t="n">
        <v>4</v>
      </c>
      <c r="T32" s="7" t="n">
        <v>3</v>
      </c>
    </row>
    <row r="33" customFormat="false" ht="15" hidden="false" customHeight="false" outlineLevel="0" collapsed="false">
      <c r="A33" s="7" t="s">
        <v>85</v>
      </c>
      <c r="B33" s="7" t="n">
        <v>2</v>
      </c>
      <c r="C33" s="8" t="n">
        <v>46311</v>
      </c>
      <c r="D33" s="7" t="n">
        <v>12</v>
      </c>
      <c r="E33" s="7" t="n">
        <v>69</v>
      </c>
      <c r="F33" s="7" t="n">
        <v>5</v>
      </c>
      <c r="G33" s="7" t="n">
        <v>3</v>
      </c>
      <c r="H33" s="7" t="n">
        <v>3</v>
      </c>
      <c r="I33" s="7" t="n">
        <v>2</v>
      </c>
      <c r="J33" s="7" t="n">
        <v>3</v>
      </c>
      <c r="K33" s="7" t="n">
        <v>3</v>
      </c>
      <c r="L33" s="7" t="n">
        <v>4</v>
      </c>
      <c r="M33" s="7" t="n">
        <v>3</v>
      </c>
      <c r="N33" s="7" t="n">
        <v>3</v>
      </c>
      <c r="O33" s="7" t="n">
        <v>3</v>
      </c>
      <c r="P33" s="7" t="n">
        <v>3</v>
      </c>
      <c r="Q33" s="7" t="n">
        <v>4</v>
      </c>
      <c r="R33" s="7" t="n">
        <v>4</v>
      </c>
      <c r="S33" s="7" t="n">
        <v>2</v>
      </c>
      <c r="T33" s="7" t="n">
        <v>3</v>
      </c>
    </row>
    <row r="34" customFormat="false" ht="15" hidden="false" customHeight="false" outlineLevel="0" collapsed="false">
      <c r="A34" s="7" t="s">
        <v>86</v>
      </c>
      <c r="B34" s="7" t="n">
        <v>2</v>
      </c>
      <c r="C34" s="8" t="n">
        <v>46307</v>
      </c>
      <c r="D34" s="7" t="n">
        <v>12.2</v>
      </c>
      <c r="E34" s="7" t="n">
        <v>58</v>
      </c>
      <c r="F34" s="7" t="n">
        <v>2</v>
      </c>
      <c r="G34" s="7" t="n">
        <v>4</v>
      </c>
      <c r="H34" s="7" t="n">
        <v>3</v>
      </c>
      <c r="I34" s="7" t="n">
        <v>3</v>
      </c>
      <c r="J34" s="7" t="n">
        <v>2</v>
      </c>
      <c r="K34" s="7" t="n">
        <v>3</v>
      </c>
      <c r="L34" s="7" t="n">
        <v>2</v>
      </c>
      <c r="M34" s="7" t="n">
        <v>4</v>
      </c>
      <c r="N34" s="7" t="n">
        <v>3</v>
      </c>
      <c r="O34" s="7" t="n">
        <v>3</v>
      </c>
      <c r="P34" s="7" t="n">
        <v>3</v>
      </c>
      <c r="Q34" s="7" t="n">
        <v>4</v>
      </c>
      <c r="R34" s="7" t="n">
        <v>2</v>
      </c>
      <c r="S34" s="7" t="n">
        <v>2</v>
      </c>
      <c r="T34" s="7" t="n">
        <v>3</v>
      </c>
    </row>
    <row r="35" customFormat="false" ht="15" hidden="false" customHeight="false" outlineLevel="0" collapsed="false">
      <c r="A35" s="7" t="s">
        <v>88</v>
      </c>
      <c r="B35" s="7" t="n">
        <v>2</v>
      </c>
      <c r="C35" s="8" t="n">
        <v>46309</v>
      </c>
      <c r="D35" s="7" t="n">
        <v>8</v>
      </c>
      <c r="E35" s="7" t="n">
        <v>70</v>
      </c>
      <c r="F35" s="7" t="n">
        <v>4</v>
      </c>
      <c r="G35" s="7"/>
      <c r="H35" s="7"/>
      <c r="I35" s="7" t="n">
        <v>2</v>
      </c>
      <c r="J35" s="7" t="n">
        <v>4</v>
      </c>
      <c r="K35" s="7" t="n">
        <v>3</v>
      </c>
      <c r="L35" s="7" t="n">
        <v>1</v>
      </c>
      <c r="M35" s="7" t="n">
        <v>2</v>
      </c>
      <c r="N35" s="7" t="n">
        <v>1</v>
      </c>
      <c r="O35" s="7" t="n">
        <v>1</v>
      </c>
      <c r="P35" s="7" t="n">
        <v>2</v>
      </c>
      <c r="Q35" s="7" t="n">
        <v>3</v>
      </c>
      <c r="R35" s="7" t="n">
        <v>4</v>
      </c>
      <c r="S35" s="7" t="n">
        <v>3</v>
      </c>
      <c r="T35" s="7" t="n">
        <v>4</v>
      </c>
    </row>
    <row r="36" customFormat="false" ht="15" hidden="false" customHeight="false" outlineLevel="0" collapsed="false">
      <c r="A36" s="7" t="s">
        <v>89</v>
      </c>
      <c r="B36" s="7" t="n">
        <v>2</v>
      </c>
      <c r="C36" s="8" t="n">
        <v>46310</v>
      </c>
      <c r="D36" s="7" t="n">
        <v>13.5</v>
      </c>
      <c r="E36" s="7" t="n">
        <v>70</v>
      </c>
      <c r="F36" s="7" t="n">
        <v>2</v>
      </c>
      <c r="G36" s="7" t="n">
        <v>2</v>
      </c>
      <c r="H36" s="7" t="n">
        <v>4</v>
      </c>
      <c r="I36" s="7" t="n">
        <v>1</v>
      </c>
      <c r="J36" s="7" t="n">
        <v>3</v>
      </c>
      <c r="K36" s="7" t="n">
        <v>2</v>
      </c>
      <c r="L36" s="7" t="n">
        <v>3</v>
      </c>
      <c r="M36" s="7" t="n">
        <v>2</v>
      </c>
      <c r="N36" s="7" t="n">
        <v>2</v>
      </c>
      <c r="O36" s="7" t="n">
        <v>2</v>
      </c>
      <c r="P36" s="7" t="n">
        <v>3</v>
      </c>
      <c r="Q36" s="7" t="n">
        <v>4</v>
      </c>
      <c r="R36" s="7" t="n">
        <v>1</v>
      </c>
      <c r="S36" s="7" t="n">
        <v>3</v>
      </c>
      <c r="T36" s="7" t="n">
        <v>3</v>
      </c>
    </row>
    <row r="37" customFormat="false" ht="15" hidden="false" customHeight="false" outlineLevel="0" collapsed="false">
      <c r="A37" s="7" t="s">
        <v>90</v>
      </c>
      <c r="B37" s="7" t="n">
        <v>2</v>
      </c>
      <c r="C37" s="8" t="n">
        <v>46311</v>
      </c>
      <c r="D37" s="7" t="n">
        <v>17.3</v>
      </c>
      <c r="E37" s="7" t="n">
        <v>61</v>
      </c>
      <c r="F37" s="7" t="n">
        <v>2</v>
      </c>
      <c r="G37" s="7" t="n">
        <v>2</v>
      </c>
      <c r="H37" s="7" t="n">
        <v>3</v>
      </c>
      <c r="I37" s="7" t="n">
        <v>3</v>
      </c>
      <c r="J37" s="7" t="n">
        <v>2</v>
      </c>
      <c r="K37" s="7" t="n">
        <v>2</v>
      </c>
      <c r="L37" s="7" t="n">
        <v>3</v>
      </c>
      <c r="M37" s="7" t="n">
        <v>2</v>
      </c>
      <c r="N37" s="7" t="n">
        <v>2</v>
      </c>
      <c r="O37" s="7" t="n">
        <v>2</v>
      </c>
      <c r="P37" s="7" t="n">
        <v>3</v>
      </c>
      <c r="Q37" s="7" t="n">
        <v>5</v>
      </c>
      <c r="R37" s="7" t="n">
        <v>3</v>
      </c>
      <c r="S37" s="7" t="n">
        <v>3</v>
      </c>
      <c r="T37" s="7" t="n">
        <v>1</v>
      </c>
    </row>
    <row r="38" customFormat="false" ht="15" hidden="false" customHeight="false" outlineLevel="0" collapsed="false">
      <c r="A38" s="7" t="s">
        <v>91</v>
      </c>
      <c r="B38" s="7" t="n">
        <v>2</v>
      </c>
      <c r="C38" s="8" t="n">
        <v>46307</v>
      </c>
      <c r="D38" s="7" t="n">
        <v>15.9</v>
      </c>
      <c r="E38" s="7" t="n">
        <v>75</v>
      </c>
      <c r="F38" s="7" t="n">
        <v>3</v>
      </c>
      <c r="G38" s="7" t="n">
        <v>4</v>
      </c>
      <c r="H38" s="7" t="n">
        <v>4</v>
      </c>
      <c r="I38" s="7" t="n">
        <v>1</v>
      </c>
      <c r="J38" s="7" t="n">
        <v>3</v>
      </c>
      <c r="K38" s="7" t="n">
        <v>5</v>
      </c>
      <c r="L38" s="7" t="n">
        <v>3</v>
      </c>
      <c r="M38" s="7" t="n">
        <v>4</v>
      </c>
      <c r="N38" s="7" t="n">
        <v>4</v>
      </c>
      <c r="O38" s="7" t="n">
        <v>4</v>
      </c>
      <c r="P38" s="7" t="n">
        <v>5</v>
      </c>
      <c r="Q38" s="7" t="n">
        <v>3</v>
      </c>
      <c r="R38" s="7" t="n">
        <v>5</v>
      </c>
      <c r="S38" s="7" t="n">
        <v>3</v>
      </c>
      <c r="T38" s="7" t="n">
        <v>4</v>
      </c>
    </row>
    <row r="39" customFormat="false" ht="15" hidden="false" customHeight="false" outlineLevel="0" collapsed="false">
      <c r="A39" s="7" t="s">
        <v>92</v>
      </c>
      <c r="B39" s="7" t="n">
        <v>2</v>
      </c>
      <c r="C39" s="8" t="n">
        <v>46308</v>
      </c>
      <c r="D39" s="7" t="n">
        <v>8.8</v>
      </c>
      <c r="E39" s="7" t="n">
        <v>58</v>
      </c>
      <c r="F39" s="7" t="n">
        <v>3</v>
      </c>
      <c r="G39" s="7" t="n">
        <v>4</v>
      </c>
      <c r="H39" s="7" t="n">
        <v>2</v>
      </c>
      <c r="I39" s="7" t="n">
        <v>2</v>
      </c>
      <c r="J39" s="7" t="n">
        <v>3</v>
      </c>
      <c r="K39" s="7" t="n">
        <v>4</v>
      </c>
      <c r="L39" s="7" t="n">
        <v>5</v>
      </c>
      <c r="M39" s="7" t="n">
        <v>3</v>
      </c>
      <c r="N39" s="7" t="n">
        <v>3</v>
      </c>
      <c r="O39" s="7" t="n">
        <v>3</v>
      </c>
      <c r="P39" s="7" t="n">
        <v>3</v>
      </c>
      <c r="Q39" s="7" t="n">
        <v>3</v>
      </c>
      <c r="R39" s="7" t="n">
        <v>3</v>
      </c>
      <c r="S39" s="7" t="n">
        <v>2</v>
      </c>
      <c r="T39" s="7" t="n">
        <v>2</v>
      </c>
    </row>
    <row r="40" customFormat="false" ht="15" hidden="false" customHeight="false" outlineLevel="0" collapsed="false">
      <c r="A40" s="7" t="s">
        <v>95</v>
      </c>
      <c r="B40" s="7" t="n">
        <v>2</v>
      </c>
      <c r="C40" s="8" t="n">
        <v>46310</v>
      </c>
      <c r="D40" s="7" t="n">
        <v>15.6</v>
      </c>
      <c r="E40" s="7" t="n">
        <v>64</v>
      </c>
      <c r="F40" s="7" t="n">
        <v>4</v>
      </c>
      <c r="G40" s="7" t="n">
        <v>2</v>
      </c>
      <c r="H40" s="7" t="n">
        <v>3</v>
      </c>
      <c r="I40" s="7" t="n">
        <v>4</v>
      </c>
      <c r="J40" s="7" t="n">
        <v>3</v>
      </c>
      <c r="K40" s="7" t="n">
        <v>3</v>
      </c>
      <c r="L40" s="7" t="n">
        <v>4</v>
      </c>
      <c r="M40" s="7" t="n">
        <v>3</v>
      </c>
      <c r="N40" s="7" t="n">
        <v>2</v>
      </c>
      <c r="O40" s="7" t="n">
        <v>2</v>
      </c>
      <c r="P40" s="7" t="n">
        <v>5</v>
      </c>
      <c r="Q40" s="7" t="n">
        <v>2</v>
      </c>
      <c r="R40" s="7" t="n">
        <v>4</v>
      </c>
      <c r="S40" s="7" t="n">
        <v>3</v>
      </c>
      <c r="T40" s="7" t="n">
        <v>3</v>
      </c>
    </row>
    <row r="41" customFormat="false" ht="15" hidden="false" customHeight="false" outlineLevel="0" collapsed="false">
      <c r="A41" s="7" t="s">
        <v>96</v>
      </c>
      <c r="B41" s="7" t="n">
        <v>2</v>
      </c>
      <c r="C41" s="8" t="n">
        <v>46311</v>
      </c>
      <c r="D41" s="7" t="n">
        <v>264</v>
      </c>
      <c r="E41" s="7" t="n">
        <v>59</v>
      </c>
      <c r="F41" s="7" t="n">
        <v>5</v>
      </c>
      <c r="G41" s="7" t="n">
        <v>5</v>
      </c>
      <c r="H41" s="7" t="n">
        <v>4</v>
      </c>
      <c r="I41" s="7" t="n">
        <v>2</v>
      </c>
      <c r="J41" s="7" t="n">
        <v>4</v>
      </c>
      <c r="K41" s="7" t="n">
        <v>4</v>
      </c>
      <c r="L41" s="7" t="n">
        <v>3</v>
      </c>
      <c r="M41" s="7" t="n">
        <v>4</v>
      </c>
      <c r="N41" s="7" t="n">
        <v>4</v>
      </c>
      <c r="O41" s="7" t="n">
        <v>5</v>
      </c>
      <c r="P41" s="7" t="n">
        <v>4</v>
      </c>
      <c r="Q41" s="7" t="n">
        <v>2</v>
      </c>
      <c r="R41" s="7" t="n">
        <v>4</v>
      </c>
      <c r="S41" s="7" t="n">
        <v>5</v>
      </c>
      <c r="T41" s="7" t="n">
        <v>4</v>
      </c>
    </row>
    <row r="42" customFormat="false" ht="15" hidden="false" customHeight="false" outlineLevel="0" collapsed="false">
      <c r="A42" s="7" t="s">
        <v>125</v>
      </c>
      <c r="B42" s="7" t="n">
        <v>2</v>
      </c>
      <c r="C42" s="8" t="n">
        <v>46307</v>
      </c>
      <c r="D42" s="7" t="n">
        <v>6.9</v>
      </c>
      <c r="E42" s="7" t="n">
        <v>66</v>
      </c>
      <c r="F42" s="7" t="n">
        <v>3</v>
      </c>
      <c r="G42" s="7" t="n">
        <v>3</v>
      </c>
      <c r="H42" s="7" t="n">
        <v>2</v>
      </c>
      <c r="I42" s="7" t="n">
        <v>4</v>
      </c>
      <c r="J42" s="7" t="n">
        <v>2</v>
      </c>
      <c r="K42" s="7" t="n">
        <v>2</v>
      </c>
      <c r="L42" s="7" t="n">
        <v>3</v>
      </c>
      <c r="M42" s="7" t="n">
        <v>3</v>
      </c>
      <c r="N42" s="7" t="n">
        <v>2</v>
      </c>
      <c r="O42" s="7" t="n">
        <v>2</v>
      </c>
      <c r="P42" s="7" t="n">
        <v>2</v>
      </c>
      <c r="Q42" s="7" t="n">
        <v>4</v>
      </c>
      <c r="R42" s="7" t="n">
        <v>2</v>
      </c>
      <c r="S42" s="7" t="n">
        <v>3</v>
      </c>
      <c r="T42" s="7" t="n">
        <v>3</v>
      </c>
    </row>
    <row r="43" customFormat="false" ht="15" hidden="false" customHeight="false" outlineLevel="0" collapsed="false">
      <c r="A43" s="7" t="s">
        <v>99</v>
      </c>
      <c r="B43" s="7" t="n">
        <v>2</v>
      </c>
      <c r="C43" s="8" t="n">
        <v>46308</v>
      </c>
      <c r="D43" s="7" t="n">
        <v>6.3</v>
      </c>
      <c r="E43" s="7" t="n">
        <v>79</v>
      </c>
      <c r="F43" s="7" t="n">
        <v>2</v>
      </c>
      <c r="G43" s="7" t="n">
        <v>2</v>
      </c>
      <c r="H43" s="7" t="n">
        <v>3</v>
      </c>
      <c r="I43" s="7" t="n">
        <v>3</v>
      </c>
      <c r="J43" s="7" t="n">
        <v>3</v>
      </c>
      <c r="K43" s="7" t="n">
        <v>4</v>
      </c>
      <c r="L43" s="7" t="n">
        <v>2</v>
      </c>
      <c r="M43" s="7" t="n">
        <v>2</v>
      </c>
      <c r="N43" s="7" t="n">
        <v>3</v>
      </c>
      <c r="O43" s="7" t="n">
        <v>3</v>
      </c>
      <c r="P43" s="7" t="n">
        <v>4</v>
      </c>
      <c r="Q43" s="7" t="n">
        <v>3</v>
      </c>
      <c r="R43" s="7" t="n">
        <v>3</v>
      </c>
      <c r="S43" s="7" t="n">
        <v>3</v>
      </c>
      <c r="T43" s="7" t="n">
        <v>3</v>
      </c>
    </row>
    <row r="44" customFormat="false" ht="15" hidden="false" customHeight="false" outlineLevel="0" collapsed="false">
      <c r="A44" s="7" t="s">
        <v>100</v>
      </c>
      <c r="B44" s="7" t="n">
        <v>2</v>
      </c>
      <c r="C44" s="8" t="n">
        <v>46309</v>
      </c>
      <c r="D44" s="7" t="n">
        <v>10</v>
      </c>
      <c r="E44" s="7" t="n">
        <v>72</v>
      </c>
      <c r="F44" s="7" t="n">
        <v>2</v>
      </c>
      <c r="G44" s="7" t="n">
        <v>1</v>
      </c>
      <c r="H44" s="7" t="n">
        <v>2</v>
      </c>
      <c r="I44" s="7" t="n">
        <v>4</v>
      </c>
      <c r="J44" s="7" t="n">
        <v>3</v>
      </c>
      <c r="K44" s="7" t="n">
        <v>2</v>
      </c>
      <c r="L44" s="7" t="n">
        <v>5</v>
      </c>
      <c r="M44" s="7" t="n">
        <v>4</v>
      </c>
      <c r="N44" s="7" t="n">
        <v>2</v>
      </c>
      <c r="O44" s="7" t="n">
        <v>3</v>
      </c>
      <c r="P44" s="7" t="n">
        <v>2</v>
      </c>
      <c r="Q44" s="7" t="n">
        <v>2</v>
      </c>
      <c r="R44" s="7" t="n">
        <v>3</v>
      </c>
      <c r="S44" s="7" t="n">
        <v>3</v>
      </c>
      <c r="T44" s="7" t="n">
        <v>2</v>
      </c>
    </row>
    <row r="45" customFormat="false" ht="15" hidden="false" customHeight="false" outlineLevel="0" collapsed="false">
      <c r="A45" s="7" t="s">
        <v>101</v>
      </c>
      <c r="B45" s="7" t="n">
        <v>2</v>
      </c>
      <c r="C45" s="8" t="n">
        <v>46310</v>
      </c>
      <c r="D45" s="7" t="n">
        <v>11.6</v>
      </c>
      <c r="E45" s="7" t="n">
        <v>78</v>
      </c>
      <c r="F45" s="7" t="n">
        <v>3</v>
      </c>
      <c r="G45" s="7" t="n">
        <v>3</v>
      </c>
      <c r="H45" s="7" t="n">
        <v>4</v>
      </c>
      <c r="I45" s="7" t="n">
        <v>4</v>
      </c>
      <c r="J45" s="7" t="n">
        <v>3</v>
      </c>
      <c r="K45" s="7" t="n">
        <v>3</v>
      </c>
      <c r="L45" s="7" t="n">
        <v>2</v>
      </c>
      <c r="M45" s="7" t="n">
        <v>3</v>
      </c>
      <c r="N45" s="7" t="n">
        <v>4</v>
      </c>
      <c r="O45" s="7" t="n">
        <v>4</v>
      </c>
      <c r="P45" s="7" t="n">
        <v>3</v>
      </c>
      <c r="Q45" s="7" t="n">
        <v>3</v>
      </c>
      <c r="R45" s="7" t="n">
        <v>3</v>
      </c>
      <c r="S45" s="7" t="n">
        <v>2</v>
      </c>
      <c r="T45" s="7" t="n">
        <v>4</v>
      </c>
    </row>
    <row r="46" customFormat="false" ht="15" hidden="false" customHeight="false" outlineLevel="0" collapsed="false">
      <c r="A46" s="7" t="s">
        <v>102</v>
      </c>
      <c r="B46" s="7" t="n">
        <v>2</v>
      </c>
      <c r="C46" s="8" t="n">
        <v>46311</v>
      </c>
      <c r="D46" s="7" t="n">
        <v>8.2</v>
      </c>
      <c r="E46" s="7" t="n">
        <v>69</v>
      </c>
      <c r="F46" s="7" t="n">
        <v>2</v>
      </c>
      <c r="G46" s="7" t="n">
        <v>5</v>
      </c>
      <c r="H46" s="7" t="n">
        <v>2</v>
      </c>
      <c r="I46" s="7" t="n">
        <v>2</v>
      </c>
      <c r="J46" s="7" t="n">
        <v>5</v>
      </c>
      <c r="K46" s="7" t="n">
        <v>4</v>
      </c>
      <c r="L46" s="7" t="n">
        <v>4</v>
      </c>
      <c r="M46" s="7" t="n">
        <v>4</v>
      </c>
      <c r="N46" s="7" t="n">
        <v>4</v>
      </c>
      <c r="O46" s="7" t="n">
        <v>5</v>
      </c>
      <c r="P46" s="7" t="n">
        <v>5</v>
      </c>
      <c r="Q46" s="7" t="n">
        <v>2</v>
      </c>
      <c r="R46" s="7" t="n">
        <v>4</v>
      </c>
      <c r="S46" s="7" t="n">
        <v>3</v>
      </c>
      <c r="T46" s="7" t="n">
        <v>5</v>
      </c>
    </row>
    <row r="47" customFormat="false" ht="15" hidden="false" customHeight="false" outlineLevel="0" collapsed="false">
      <c r="A47" s="7" t="s">
        <v>103</v>
      </c>
      <c r="B47" s="7" t="n">
        <v>2</v>
      </c>
      <c r="C47" s="8" t="n">
        <v>46307</v>
      </c>
      <c r="D47" s="7" t="n">
        <v>14.1</v>
      </c>
      <c r="E47" s="7" t="n">
        <v>60</v>
      </c>
      <c r="F47" s="7" t="n">
        <v>4</v>
      </c>
      <c r="G47" s="7" t="n">
        <v>4</v>
      </c>
      <c r="H47" s="7" t="n">
        <v>4</v>
      </c>
      <c r="I47" s="7" t="n">
        <v>2</v>
      </c>
      <c r="J47" s="7" t="n">
        <v>5</v>
      </c>
      <c r="K47" s="7" t="n">
        <v>3</v>
      </c>
      <c r="L47" s="7" t="n">
        <v>3</v>
      </c>
      <c r="M47" s="7" t="n">
        <v>2</v>
      </c>
      <c r="N47" s="7" t="n">
        <v>5</v>
      </c>
      <c r="O47" s="7" t="n">
        <v>5</v>
      </c>
      <c r="P47" s="7" t="n">
        <v>5</v>
      </c>
      <c r="Q47" s="7" t="n">
        <v>2</v>
      </c>
      <c r="R47" s="7" t="n">
        <v>3</v>
      </c>
      <c r="S47" s="7" t="n">
        <v>3</v>
      </c>
      <c r="T47" s="7" t="n">
        <v>5</v>
      </c>
    </row>
    <row r="48" customFormat="false" ht="15" hidden="false" customHeight="false" outlineLevel="0" collapsed="false">
      <c r="A48" s="7" t="s">
        <v>126</v>
      </c>
      <c r="B48" s="7" t="n">
        <v>2</v>
      </c>
      <c r="C48" s="8" t="n">
        <v>46309</v>
      </c>
      <c r="D48" s="7" t="n">
        <v>10.4</v>
      </c>
      <c r="E48" s="7" t="n">
        <v>61</v>
      </c>
      <c r="F48" s="7" t="n">
        <v>3</v>
      </c>
      <c r="G48" s="7" t="n">
        <v>3</v>
      </c>
      <c r="H48" s="7" t="n">
        <v>2</v>
      </c>
      <c r="I48" s="7" t="n">
        <v>4</v>
      </c>
      <c r="J48" s="7" t="n">
        <v>3</v>
      </c>
      <c r="K48" s="7" t="n">
        <v>3</v>
      </c>
      <c r="L48" s="7" t="n">
        <v>3</v>
      </c>
      <c r="M48" s="7" t="n">
        <v>1</v>
      </c>
      <c r="N48" s="7" t="n">
        <v>3</v>
      </c>
      <c r="O48" s="7" t="n">
        <v>4</v>
      </c>
      <c r="P48" s="7" t="n">
        <v>3</v>
      </c>
      <c r="Q48" s="7" t="n">
        <v>2</v>
      </c>
      <c r="R48" s="7" t="n">
        <v>2</v>
      </c>
      <c r="S48" s="7" t="n">
        <v>3</v>
      </c>
      <c r="T48" s="7" t="n">
        <v>2</v>
      </c>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X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5" min="2" style="0" width="8"/>
    <col collapsed="false" customWidth="true" hidden="false" outlineLevel="0" max="6" min="6" style="0" width="13"/>
    <col collapsed="false" customWidth="true" hidden="false" outlineLevel="0" max="7" min="7" style="0" width="12"/>
    <col collapsed="false" customWidth="true" hidden="false" outlineLevel="0" max="24" min="8" style="0" width="8"/>
  </cols>
  <sheetData>
    <row r="1" customFormat="false" ht="17.35" hidden="false" customHeight="false" outlineLevel="0" collapsed="false">
      <c r="A1" s="1" t="s">
        <v>127</v>
      </c>
    </row>
    <row r="2" customFormat="false" ht="15" hidden="false" customHeight="false" outlineLevel="0" collapsed="false">
      <c r="A2" s="2" t="s">
        <v>128</v>
      </c>
    </row>
    <row r="4" customFormat="false" ht="24" hidden="false" customHeight="true" outlineLevel="0" collapsed="false">
      <c r="A4" s="6" t="s">
        <v>21</v>
      </c>
      <c r="B4" s="6" t="s">
        <v>22</v>
      </c>
      <c r="C4" s="6" t="s">
        <v>23</v>
      </c>
      <c r="D4" s="6" t="s">
        <v>24</v>
      </c>
      <c r="E4" s="6" t="s">
        <v>25</v>
      </c>
      <c r="F4" s="6" t="s">
        <v>26</v>
      </c>
      <c r="G4" s="6" t="s">
        <v>27</v>
      </c>
      <c r="H4" s="6" t="s">
        <v>28</v>
      </c>
      <c r="I4" s="6" t="s">
        <v>29</v>
      </c>
      <c r="J4" s="6" t="s">
        <v>30</v>
      </c>
      <c r="K4" s="6" t="s">
        <v>31</v>
      </c>
      <c r="L4" s="6" t="s">
        <v>32</v>
      </c>
      <c r="M4" s="6" t="s">
        <v>33</v>
      </c>
      <c r="N4" s="6" t="s">
        <v>34</v>
      </c>
      <c r="O4" s="6" t="s">
        <v>35</v>
      </c>
      <c r="P4" s="6" t="s">
        <v>36</v>
      </c>
      <c r="Q4" s="6" t="s">
        <v>37</v>
      </c>
      <c r="R4" s="6" t="s">
        <v>38</v>
      </c>
      <c r="S4" s="6" t="s">
        <v>39</v>
      </c>
      <c r="T4" s="6" t="s">
        <v>40</v>
      </c>
      <c r="U4" s="6" t="s">
        <v>41</v>
      </c>
      <c r="V4" s="6" t="s">
        <v>42</v>
      </c>
      <c r="W4" s="6" t="s">
        <v>43</v>
      </c>
      <c r="X4" s="6" t="s">
        <v>44</v>
      </c>
    </row>
    <row r="5" customFormat="false" ht="15" hidden="false" customHeight="false" outlineLevel="0" collapsed="false">
      <c r="A5" s="9" t="s">
        <v>45</v>
      </c>
      <c r="B5" s="9" t="n">
        <v>1</v>
      </c>
      <c r="C5" s="9" t="n">
        <v>2</v>
      </c>
      <c r="D5" s="9" t="n">
        <v>47</v>
      </c>
      <c r="E5" s="9" t="n">
        <v>12</v>
      </c>
      <c r="F5" s="9" t="s">
        <v>46</v>
      </c>
      <c r="G5" s="10" t="n">
        <v>46258</v>
      </c>
      <c r="H5" s="9" t="n">
        <v>10.3</v>
      </c>
      <c r="I5" s="9" t="n">
        <v>71</v>
      </c>
      <c r="J5" s="9" t="n">
        <v>2</v>
      </c>
      <c r="K5" s="9" t="n">
        <v>4</v>
      </c>
      <c r="L5" s="9" t="n">
        <v>1</v>
      </c>
      <c r="M5" s="9" t="n">
        <v>3</v>
      </c>
      <c r="N5" s="9" t="n">
        <v>4</v>
      </c>
      <c r="O5" s="9" t="n">
        <v>2</v>
      </c>
      <c r="P5" s="9" t="n">
        <v>3</v>
      </c>
      <c r="Q5" s="9" t="n">
        <v>3</v>
      </c>
      <c r="R5" s="9" t="n">
        <v>2</v>
      </c>
      <c r="S5" s="9" t="n">
        <v>3</v>
      </c>
      <c r="T5" s="9" t="n">
        <v>2</v>
      </c>
      <c r="U5" s="9" t="n">
        <v>5</v>
      </c>
      <c r="V5" s="9" t="n">
        <v>1</v>
      </c>
      <c r="W5" s="9" t="n">
        <v>2</v>
      </c>
      <c r="X5" s="9" t="n">
        <v>2</v>
      </c>
    </row>
    <row r="6" customFormat="false" ht="15" hidden="false" customHeight="false" outlineLevel="0" collapsed="false">
      <c r="A6" s="9" t="s">
        <v>47</v>
      </c>
      <c r="B6" s="9" t="n">
        <v>1</v>
      </c>
      <c r="C6" s="9" t="n">
        <v>1</v>
      </c>
      <c r="D6" s="9" t="n">
        <v>37</v>
      </c>
      <c r="E6" s="9" t="n">
        <v>4</v>
      </c>
      <c r="F6" s="9" t="s">
        <v>48</v>
      </c>
      <c r="G6" s="10" t="n">
        <v>46259</v>
      </c>
      <c r="H6" s="9" t="n">
        <v>6.5</v>
      </c>
      <c r="I6" s="9" t="n">
        <v>59</v>
      </c>
      <c r="J6" s="9" t="n">
        <v>2</v>
      </c>
      <c r="K6" s="9" t="n">
        <v>2</v>
      </c>
      <c r="L6" s="9" t="n">
        <v>2</v>
      </c>
      <c r="M6" s="9" t="n">
        <v>3</v>
      </c>
      <c r="N6" s="9" t="n">
        <v>4</v>
      </c>
      <c r="O6" s="9" t="n">
        <v>3</v>
      </c>
      <c r="P6" s="9" t="n">
        <v>4</v>
      </c>
      <c r="Q6" s="9" t="n">
        <v>3</v>
      </c>
      <c r="R6" s="9" t="n">
        <v>3</v>
      </c>
      <c r="S6" s="9" t="n">
        <v>3</v>
      </c>
      <c r="T6" s="9" t="n">
        <v>3</v>
      </c>
      <c r="U6" s="9" t="n">
        <v>3</v>
      </c>
      <c r="V6" s="9" t="n">
        <v>3</v>
      </c>
      <c r="W6" s="9" t="n">
        <v>4</v>
      </c>
      <c r="X6" s="9" t="n">
        <v>3</v>
      </c>
    </row>
    <row r="7" customFormat="false" ht="15" hidden="false" customHeight="false" outlineLevel="0" collapsed="false">
      <c r="A7" s="9" t="s">
        <v>49</v>
      </c>
      <c r="B7" s="9" t="n">
        <v>1</v>
      </c>
      <c r="C7" s="9" t="n">
        <v>2</v>
      </c>
      <c r="D7" s="9" t="n">
        <v>35</v>
      </c>
      <c r="E7" s="9" t="n">
        <v>9</v>
      </c>
      <c r="F7" s="9" t="s">
        <v>50</v>
      </c>
      <c r="G7" s="10" t="n">
        <v>46260</v>
      </c>
      <c r="H7" s="9" t="n">
        <v>12.8</v>
      </c>
      <c r="I7" s="9" t="n">
        <v>57</v>
      </c>
      <c r="J7" s="9" t="n">
        <v>1</v>
      </c>
      <c r="K7" s="9" t="n">
        <v>2</v>
      </c>
      <c r="L7" s="9" t="n">
        <v>4</v>
      </c>
      <c r="M7" s="9" t="n">
        <v>3</v>
      </c>
      <c r="N7" s="9" t="n">
        <v>3</v>
      </c>
      <c r="O7" s="9" t="n">
        <v>2</v>
      </c>
      <c r="P7" s="9" t="n">
        <v>4</v>
      </c>
      <c r="Q7" s="9" t="n">
        <v>3</v>
      </c>
      <c r="R7" s="9" t="n">
        <v>4</v>
      </c>
      <c r="S7" s="9" t="n">
        <v>3</v>
      </c>
      <c r="T7" s="9" t="n">
        <v>3</v>
      </c>
      <c r="U7" s="9" t="n">
        <v>3</v>
      </c>
      <c r="V7" s="9" t="n">
        <v>2</v>
      </c>
      <c r="W7" s="9" t="n">
        <v>2</v>
      </c>
      <c r="X7" s="9" t="n">
        <v>2</v>
      </c>
    </row>
    <row r="8" customFormat="false" ht="15" hidden="false" customHeight="false" outlineLevel="0" collapsed="false">
      <c r="A8" s="9" t="s">
        <v>49</v>
      </c>
      <c r="B8" s="9" t="n">
        <v>1</v>
      </c>
      <c r="C8" s="9" t="n">
        <v>2</v>
      </c>
      <c r="D8" s="9" t="n">
        <v>35</v>
      </c>
      <c r="E8" s="9" t="n">
        <v>9</v>
      </c>
      <c r="F8" s="9" t="s">
        <v>50</v>
      </c>
      <c r="G8" s="10" t="n">
        <v>46260</v>
      </c>
      <c r="H8" s="9" t="n">
        <v>12.8</v>
      </c>
      <c r="I8" s="9" t="n">
        <v>57</v>
      </c>
      <c r="J8" s="9" t="n">
        <v>1</v>
      </c>
      <c r="K8" s="9" t="n">
        <v>2</v>
      </c>
      <c r="L8" s="9" t="n">
        <v>4</v>
      </c>
      <c r="M8" s="9" t="n">
        <v>3</v>
      </c>
      <c r="N8" s="9" t="n">
        <v>3</v>
      </c>
      <c r="O8" s="9" t="n">
        <v>2</v>
      </c>
      <c r="P8" s="9" t="n">
        <v>2</v>
      </c>
      <c r="Q8" s="9" t="n">
        <v>3</v>
      </c>
      <c r="R8" s="9" t="n">
        <v>4</v>
      </c>
      <c r="S8" s="9" t="n">
        <v>3</v>
      </c>
      <c r="T8" s="9" t="n">
        <v>3</v>
      </c>
      <c r="U8" s="9" t="n">
        <v>3</v>
      </c>
      <c r="V8" s="9" t="n">
        <v>2</v>
      </c>
      <c r="W8" s="9" t="n">
        <v>2</v>
      </c>
      <c r="X8" s="9" t="n">
        <v>2</v>
      </c>
    </row>
    <row r="9" customFormat="false" ht="15" hidden="false" customHeight="false" outlineLevel="0" collapsed="false">
      <c r="A9" s="9" t="s">
        <v>51</v>
      </c>
      <c r="B9" s="9" t="n">
        <v>1</v>
      </c>
      <c r="C9" s="9" t="n">
        <v>2</v>
      </c>
      <c r="D9" s="9" t="n">
        <v>42</v>
      </c>
      <c r="E9" s="9" t="n">
        <v>9</v>
      </c>
      <c r="F9" s="9" t="s">
        <v>52</v>
      </c>
      <c r="G9" s="10" t="n">
        <v>46261</v>
      </c>
      <c r="H9" s="9" t="n">
        <v>11.8</v>
      </c>
      <c r="I9" s="9" t="n">
        <v>54</v>
      </c>
      <c r="J9" s="9" t="n">
        <v>2</v>
      </c>
      <c r="K9" s="9" t="n">
        <v>5</v>
      </c>
      <c r="L9" s="9" t="n">
        <v>3</v>
      </c>
      <c r="M9" s="9" t="n">
        <v>2</v>
      </c>
      <c r="N9" s="9" t="n">
        <v>5</v>
      </c>
      <c r="O9" s="9" t="n">
        <v>3</v>
      </c>
      <c r="P9" s="9" t="n">
        <v>4</v>
      </c>
      <c r="Q9" s="9" t="n">
        <v>5</v>
      </c>
      <c r="R9" s="9" t="n">
        <v>3</v>
      </c>
      <c r="S9" s="9" t="n">
        <v>2</v>
      </c>
      <c r="T9" s="9" t="n">
        <v>3</v>
      </c>
      <c r="U9" s="9" t="n">
        <v>3</v>
      </c>
      <c r="V9" s="9" t="n">
        <v>4</v>
      </c>
      <c r="W9" s="9" t="n">
        <v>4</v>
      </c>
      <c r="X9" s="9" t="n">
        <v>4</v>
      </c>
    </row>
    <row r="10" customFormat="false" ht="15" hidden="false" customHeight="false" outlineLevel="0" collapsed="false">
      <c r="A10" s="9" t="s">
        <v>53</v>
      </c>
      <c r="B10" s="9" t="n">
        <v>1</v>
      </c>
      <c r="C10" s="9" t="n">
        <v>1</v>
      </c>
      <c r="D10" s="9" t="n">
        <v>28</v>
      </c>
      <c r="E10" s="9" t="n">
        <v>7</v>
      </c>
      <c r="F10" s="9" t="s">
        <v>48</v>
      </c>
      <c r="G10" s="10" t="n">
        <v>46262</v>
      </c>
      <c r="H10" s="9" t="n">
        <v>13.5</v>
      </c>
      <c r="I10" s="9" t="n">
        <v>56</v>
      </c>
      <c r="J10" s="9" t="n">
        <v>2</v>
      </c>
      <c r="K10" s="9" t="n">
        <v>3</v>
      </c>
      <c r="L10" s="9" t="n">
        <v>3</v>
      </c>
      <c r="M10" s="9" t="n">
        <v>2</v>
      </c>
      <c r="N10" s="9" t="n">
        <v>3</v>
      </c>
      <c r="O10" s="9" t="n">
        <v>4</v>
      </c>
      <c r="P10" s="9" t="n">
        <v>4</v>
      </c>
      <c r="Q10" s="9" t="n">
        <v>4</v>
      </c>
      <c r="R10" s="9" t="n">
        <v>4</v>
      </c>
      <c r="S10" s="9" t="n">
        <v>2</v>
      </c>
      <c r="T10" s="9" t="n">
        <v>3</v>
      </c>
      <c r="U10" s="9" t="n">
        <v>3</v>
      </c>
      <c r="V10" s="9" t="n">
        <v>3</v>
      </c>
      <c r="W10" s="9" t="n">
        <v>3</v>
      </c>
      <c r="X10" s="9" t="n">
        <v>3</v>
      </c>
    </row>
    <row r="11" customFormat="false" ht="15" hidden="false" customHeight="false" outlineLevel="0" collapsed="false">
      <c r="A11" s="9" t="s">
        <v>54</v>
      </c>
      <c r="B11" s="9" t="n">
        <v>1</v>
      </c>
      <c r="C11" s="9" t="n">
        <v>2</v>
      </c>
      <c r="D11" s="9" t="n">
        <v>31</v>
      </c>
      <c r="E11" s="9" t="n">
        <v>8</v>
      </c>
      <c r="F11" s="9" t="s">
        <v>55</v>
      </c>
      <c r="G11" s="10" t="n">
        <v>46258</v>
      </c>
      <c r="H11" s="9" t="n">
        <v>10.1</v>
      </c>
      <c r="I11" s="9" t="n">
        <v>70</v>
      </c>
      <c r="J11" s="9" t="n">
        <v>2</v>
      </c>
      <c r="K11" s="9" t="n">
        <v>3</v>
      </c>
      <c r="L11" s="9" t="n">
        <v>3</v>
      </c>
      <c r="M11" s="9" t="n">
        <v>4</v>
      </c>
      <c r="N11" s="9" t="n">
        <v>3</v>
      </c>
      <c r="O11" s="9" t="n">
        <v>3</v>
      </c>
      <c r="P11" s="9" t="n">
        <v>4</v>
      </c>
      <c r="Q11" s="9" t="n">
        <v>2</v>
      </c>
      <c r="R11" s="9" t="n">
        <v>3</v>
      </c>
      <c r="S11" s="9" t="n">
        <v>3</v>
      </c>
      <c r="T11" s="9" t="n">
        <v>2</v>
      </c>
      <c r="U11" s="9" t="n">
        <v>4</v>
      </c>
      <c r="V11" s="9" t="n">
        <v>3</v>
      </c>
      <c r="W11" s="9" t="n">
        <v>3</v>
      </c>
      <c r="X11" s="9" t="n">
        <v>4</v>
      </c>
    </row>
    <row r="12" customFormat="false" ht="15" hidden="false" customHeight="false" outlineLevel="0" collapsed="false">
      <c r="A12" s="9" t="s">
        <v>56</v>
      </c>
      <c r="B12" s="9" t="n">
        <v>1</v>
      </c>
      <c r="C12" s="9" t="n">
        <v>1</v>
      </c>
      <c r="D12" s="9" t="n">
        <v>26</v>
      </c>
      <c r="E12" s="9" t="n">
        <v>5</v>
      </c>
      <c r="F12" s="9" t="s">
        <v>57</v>
      </c>
      <c r="G12" s="10" t="n">
        <v>46259</v>
      </c>
      <c r="H12" s="9" t="n">
        <v>12.9</v>
      </c>
      <c r="I12" s="9" t="n">
        <v>60</v>
      </c>
      <c r="J12" s="9" t="n">
        <v>3</v>
      </c>
      <c r="K12" s="9" t="n">
        <v>4</v>
      </c>
      <c r="L12" s="9" t="n">
        <v>3</v>
      </c>
      <c r="M12" s="9" t="n">
        <v>5</v>
      </c>
      <c r="N12" s="9" t="n">
        <v>1</v>
      </c>
      <c r="O12" s="9" t="n">
        <v>4</v>
      </c>
      <c r="P12" s="9" t="n">
        <v>2</v>
      </c>
      <c r="Q12" s="9" t="n">
        <v>4</v>
      </c>
      <c r="R12" s="9" t="n">
        <v>3</v>
      </c>
      <c r="S12" s="9" t="n">
        <v>3</v>
      </c>
      <c r="T12" s="9" t="n">
        <v>4</v>
      </c>
      <c r="U12" s="9" t="n">
        <v>4</v>
      </c>
      <c r="V12" s="9" t="n">
        <v>1</v>
      </c>
      <c r="W12" s="9" t="n">
        <v>2</v>
      </c>
      <c r="X12" s="9" t="n">
        <v>4</v>
      </c>
    </row>
    <row r="13" customFormat="false" ht="15" hidden="false" customHeight="false" outlineLevel="0" collapsed="false">
      <c r="A13" s="9" t="s">
        <v>58</v>
      </c>
      <c r="B13" s="9" t="n">
        <v>1</v>
      </c>
      <c r="C13" s="9" t="n">
        <v>1</v>
      </c>
      <c r="D13" s="9" t="n">
        <v>43</v>
      </c>
      <c r="E13" s="9" t="n">
        <v>8</v>
      </c>
      <c r="F13" s="9" t="s">
        <v>55</v>
      </c>
      <c r="G13" s="10" t="n">
        <v>46260</v>
      </c>
      <c r="H13" s="9" t="n">
        <v>10.6</v>
      </c>
      <c r="I13" s="9" t="n">
        <v>59</v>
      </c>
      <c r="J13" s="9" t="n">
        <v>3</v>
      </c>
      <c r="K13" s="9" t="n">
        <v>2</v>
      </c>
      <c r="L13" s="9" t="n">
        <v>2</v>
      </c>
      <c r="M13" s="9" t="n">
        <v>3</v>
      </c>
      <c r="N13" s="9" t="n">
        <v>3</v>
      </c>
      <c r="O13" s="9" t="n">
        <v>5</v>
      </c>
      <c r="P13" s="9" t="n">
        <v>3</v>
      </c>
      <c r="Q13" s="9" t="n">
        <v>2</v>
      </c>
      <c r="R13" s="9" t="n">
        <v>3</v>
      </c>
      <c r="S13" s="9" t="n">
        <v>2</v>
      </c>
      <c r="T13" s="9" t="n">
        <v>1</v>
      </c>
      <c r="U13" s="9" t="n">
        <v>4</v>
      </c>
      <c r="V13" s="9" t="n">
        <v>3</v>
      </c>
      <c r="W13" s="9" t="n">
        <v>3</v>
      </c>
      <c r="X13" s="9" t="n">
        <v>2</v>
      </c>
    </row>
    <row r="14" customFormat="false" ht="15" hidden="false" customHeight="false" outlineLevel="0" collapsed="false">
      <c r="A14" s="9" t="s">
        <v>59</v>
      </c>
      <c r="B14" s="9" t="n">
        <v>1</v>
      </c>
      <c r="C14" s="9" t="n">
        <v>2</v>
      </c>
      <c r="D14" s="9" t="n">
        <v>35</v>
      </c>
      <c r="E14" s="9" t="n">
        <v>5</v>
      </c>
      <c r="F14" s="9" t="s">
        <v>48</v>
      </c>
      <c r="G14" s="10" t="n">
        <v>46261</v>
      </c>
      <c r="H14" s="9" t="n">
        <v>7.7</v>
      </c>
      <c r="I14" s="9" t="n">
        <v>56</v>
      </c>
      <c r="J14" s="9" t="n">
        <v>3</v>
      </c>
      <c r="K14" s="9" t="n">
        <v>3</v>
      </c>
      <c r="L14" s="9" t="n">
        <v>4</v>
      </c>
      <c r="M14" s="9" t="n">
        <v>3</v>
      </c>
      <c r="N14" s="9" t="n">
        <v>3</v>
      </c>
      <c r="O14" s="9" t="n">
        <v>4</v>
      </c>
      <c r="P14" s="9" t="n">
        <v>5</v>
      </c>
      <c r="Q14" s="9" t="n">
        <v>1</v>
      </c>
      <c r="R14" s="9" t="n">
        <v>2</v>
      </c>
      <c r="S14" s="9" t="n">
        <v>3</v>
      </c>
      <c r="T14" s="9" t="n">
        <v>4</v>
      </c>
      <c r="U14" s="9" t="n">
        <v>3</v>
      </c>
      <c r="V14" s="9" t="n">
        <v>2</v>
      </c>
      <c r="W14" s="9" t="n">
        <v>4</v>
      </c>
      <c r="X14" s="9" t="n">
        <v>3</v>
      </c>
    </row>
    <row r="15" customFormat="false" ht="15" hidden="false" customHeight="false" outlineLevel="0" collapsed="false">
      <c r="A15" s="9" t="s">
        <v>60</v>
      </c>
      <c r="B15" s="9" t="n">
        <v>1</v>
      </c>
      <c r="C15" s="9" t="n">
        <v>1</v>
      </c>
      <c r="D15" s="9" t="n">
        <v>35</v>
      </c>
      <c r="E15" s="9" t="n">
        <v>14</v>
      </c>
      <c r="F15" s="9" t="s">
        <v>61</v>
      </c>
      <c r="G15" s="10" t="n">
        <v>46262</v>
      </c>
      <c r="H15" s="9" t="n">
        <v>13.6</v>
      </c>
      <c r="I15" s="9" t="n">
        <v>76</v>
      </c>
      <c r="J15" s="9" t="n">
        <v>3</v>
      </c>
      <c r="K15" s="9" t="n">
        <v>4</v>
      </c>
      <c r="L15" s="9" t="n">
        <v>4</v>
      </c>
      <c r="M15" s="9" t="n">
        <v>1</v>
      </c>
      <c r="N15" s="9" t="n">
        <v>2</v>
      </c>
      <c r="O15" s="9" t="n">
        <v>2</v>
      </c>
      <c r="P15" s="9" t="n">
        <v>3</v>
      </c>
      <c r="Q15" s="9" t="n">
        <v>4</v>
      </c>
      <c r="R15" s="9" t="n">
        <v>1</v>
      </c>
      <c r="S15" s="9" t="n">
        <v>2</v>
      </c>
      <c r="T15" s="9" t="n">
        <v>2</v>
      </c>
      <c r="U15" s="9" t="n">
        <v>2</v>
      </c>
      <c r="V15" s="9" t="n">
        <v>2</v>
      </c>
      <c r="W15" s="9" t="n">
        <v>4</v>
      </c>
      <c r="X15" s="9" t="n">
        <v>3</v>
      </c>
    </row>
    <row r="16" customFormat="false" ht="15" hidden="false" customHeight="false" outlineLevel="0" collapsed="false">
      <c r="A16" s="9" t="s">
        <v>62</v>
      </c>
      <c r="B16" s="9" t="n">
        <v>1</v>
      </c>
      <c r="C16" s="9" t="n">
        <v>1</v>
      </c>
      <c r="D16" s="9" t="n">
        <v>27</v>
      </c>
      <c r="E16" s="9" t="n">
        <v>6</v>
      </c>
      <c r="F16" s="9" t="s">
        <v>63</v>
      </c>
      <c r="G16" s="10" t="n">
        <v>46258</v>
      </c>
      <c r="H16" s="9" t="n">
        <v>48</v>
      </c>
      <c r="I16" s="9" t="n">
        <v>53</v>
      </c>
      <c r="J16" s="9" t="n">
        <v>3</v>
      </c>
      <c r="K16" s="9" t="n">
        <v>4</v>
      </c>
      <c r="L16" s="9" t="n">
        <v>3</v>
      </c>
      <c r="M16" s="9" t="n">
        <v>3</v>
      </c>
      <c r="N16" s="9" t="n">
        <v>3</v>
      </c>
      <c r="O16" s="9" t="n">
        <v>2</v>
      </c>
      <c r="P16" s="9" t="n">
        <v>4</v>
      </c>
      <c r="Q16" s="9" t="n">
        <v>2</v>
      </c>
      <c r="R16" s="9" t="n">
        <v>4</v>
      </c>
      <c r="S16" s="9" t="n">
        <v>3</v>
      </c>
      <c r="T16" s="9" t="n">
        <v>2</v>
      </c>
      <c r="U16" s="9" t="n">
        <v>3</v>
      </c>
      <c r="V16" s="9" t="n">
        <v>3</v>
      </c>
      <c r="W16" s="9" t="n">
        <v>2</v>
      </c>
      <c r="X16" s="9" t="n">
        <v>3</v>
      </c>
    </row>
    <row r="17" customFormat="false" ht="15" hidden="false" customHeight="false" outlineLevel="0" collapsed="false">
      <c r="A17" s="9" t="s">
        <v>64</v>
      </c>
      <c r="B17" s="9" t="n">
        <v>1</v>
      </c>
      <c r="C17" s="9" t="n">
        <v>1</v>
      </c>
      <c r="D17" s="9" t="n">
        <v>24</v>
      </c>
      <c r="E17" s="9" t="n">
        <v>2</v>
      </c>
      <c r="F17" s="9" t="s">
        <v>55</v>
      </c>
      <c r="G17" s="10" t="n">
        <v>46259</v>
      </c>
      <c r="H17" s="9" t="n">
        <v>9.2</v>
      </c>
      <c r="I17" s="9" t="n">
        <v>58</v>
      </c>
      <c r="J17" s="9" t="n">
        <v>3</v>
      </c>
      <c r="K17" s="9" t="n">
        <v>3</v>
      </c>
      <c r="L17" s="9" t="n">
        <v>2</v>
      </c>
      <c r="M17" s="9" t="n">
        <v>1</v>
      </c>
      <c r="N17" s="9" t="n">
        <v>2</v>
      </c>
      <c r="O17" s="9" t="n">
        <v>3</v>
      </c>
      <c r="P17" s="9" t="n">
        <v>4</v>
      </c>
      <c r="Q17" s="9" t="n">
        <v>3</v>
      </c>
      <c r="R17" s="9" t="n">
        <v>2</v>
      </c>
      <c r="S17" s="9" t="n">
        <v>5</v>
      </c>
      <c r="T17" s="9" t="n">
        <v>2</v>
      </c>
      <c r="U17" s="9" t="n">
        <v>4</v>
      </c>
      <c r="V17" s="9" t="n">
        <v>2</v>
      </c>
      <c r="W17" s="9" t="n">
        <v>2</v>
      </c>
      <c r="X17" s="9" t="n">
        <v>4</v>
      </c>
    </row>
    <row r="18" customFormat="false" ht="15" hidden="false" customHeight="false" outlineLevel="0" collapsed="false">
      <c r="A18" s="9" t="s">
        <v>65</v>
      </c>
      <c r="B18" s="9" t="n">
        <v>1</v>
      </c>
      <c r="C18" s="9" t="n">
        <v>2</v>
      </c>
      <c r="D18" s="9" t="n">
        <v>43</v>
      </c>
      <c r="E18" s="9" t="n">
        <v>6</v>
      </c>
      <c r="F18" s="9" t="s">
        <v>66</v>
      </c>
      <c r="G18" s="10" t="n">
        <v>46260</v>
      </c>
      <c r="H18" s="9" t="n">
        <v>15.1</v>
      </c>
      <c r="I18" s="9" t="n">
        <v>65</v>
      </c>
      <c r="J18" s="9" t="n">
        <v>4</v>
      </c>
      <c r="K18" s="9" t="n">
        <v>4</v>
      </c>
      <c r="L18" s="9" t="n">
        <v>4</v>
      </c>
      <c r="M18" s="9" t="n">
        <v>3</v>
      </c>
      <c r="N18" s="9" t="n">
        <v>2</v>
      </c>
      <c r="O18" s="9" t="n">
        <v>1</v>
      </c>
      <c r="P18" s="9" t="n">
        <v>3</v>
      </c>
      <c r="Q18" s="9" t="n">
        <v>3</v>
      </c>
      <c r="R18" s="9" t="n">
        <v>3</v>
      </c>
      <c r="S18" s="9" t="n">
        <v>2</v>
      </c>
      <c r="T18" s="9" t="n">
        <v>2</v>
      </c>
      <c r="U18" s="9" t="n">
        <v>4</v>
      </c>
      <c r="V18" s="9" t="n">
        <v>3</v>
      </c>
      <c r="W18" s="9" t="n">
        <v>4</v>
      </c>
      <c r="X18" s="9" t="n">
        <v>3</v>
      </c>
    </row>
    <row r="19" customFormat="false" ht="15" hidden="false" customHeight="false" outlineLevel="0" collapsed="false">
      <c r="A19" s="9" t="s">
        <v>67</v>
      </c>
      <c r="B19" s="9" t="n">
        <v>1</v>
      </c>
      <c r="C19" s="9" t="n">
        <v>2</v>
      </c>
      <c r="D19" s="9" t="n">
        <v>45</v>
      </c>
      <c r="E19" s="9" t="n">
        <v>12</v>
      </c>
      <c r="F19" s="9" t="s">
        <v>50</v>
      </c>
      <c r="G19" s="10" t="n">
        <v>46261</v>
      </c>
      <c r="H19" s="9" t="n">
        <v>9.3</v>
      </c>
      <c r="I19" s="9" t="n">
        <v>58</v>
      </c>
      <c r="J19" s="9" t="n">
        <v>3</v>
      </c>
      <c r="K19" s="9" t="n">
        <v>3</v>
      </c>
      <c r="L19" s="9" t="n">
        <v>4</v>
      </c>
      <c r="M19" s="9" t="n">
        <v>3</v>
      </c>
      <c r="N19" s="9" t="n">
        <v>2</v>
      </c>
      <c r="O19" s="9" t="n">
        <v>5</v>
      </c>
      <c r="P19" s="9" t="n">
        <v>4</v>
      </c>
      <c r="Q19" s="9" t="n">
        <v>4</v>
      </c>
      <c r="R19" s="9" t="n">
        <v>5</v>
      </c>
      <c r="S19" s="9" t="n">
        <v>5</v>
      </c>
      <c r="T19" s="9" t="n">
        <v>4</v>
      </c>
      <c r="U19" s="9" t="n">
        <v>2</v>
      </c>
      <c r="V19" s="9" t="n">
        <v>4</v>
      </c>
      <c r="W19" s="9" t="n">
        <v>4</v>
      </c>
      <c r="X19" s="9" t="n">
        <v>3</v>
      </c>
    </row>
    <row r="20" customFormat="false" ht="15" hidden="false" customHeight="false" outlineLevel="0" collapsed="false">
      <c r="A20" s="9" t="s">
        <v>68</v>
      </c>
      <c r="B20" s="9" t="n">
        <v>1</v>
      </c>
      <c r="C20" s="9" t="n">
        <v>2</v>
      </c>
      <c r="D20" s="9" t="n">
        <v>30</v>
      </c>
      <c r="E20" s="9" t="n">
        <v>6</v>
      </c>
      <c r="F20" s="9" t="s">
        <v>55</v>
      </c>
      <c r="G20" s="10" t="n">
        <v>46262</v>
      </c>
      <c r="H20" s="9" t="n">
        <v>10.6</v>
      </c>
      <c r="I20" s="9" t="n">
        <v>62</v>
      </c>
      <c r="J20" s="9" t="n">
        <v>2</v>
      </c>
      <c r="K20" s="9" t="n">
        <v>2</v>
      </c>
      <c r="L20" s="9" t="n">
        <v>2</v>
      </c>
      <c r="M20" s="9" t="n">
        <v>3</v>
      </c>
      <c r="N20" s="9" t="n">
        <v>3</v>
      </c>
      <c r="O20" s="9" t="n">
        <v>2</v>
      </c>
      <c r="P20" s="9" t="n">
        <v>3</v>
      </c>
      <c r="Q20" s="9" t="n">
        <v>2</v>
      </c>
      <c r="R20" s="9" t="n">
        <v>4</v>
      </c>
      <c r="S20" s="9" t="n">
        <v>2</v>
      </c>
      <c r="T20" s="9" t="n">
        <v>3</v>
      </c>
      <c r="U20" s="9" t="n">
        <v>5</v>
      </c>
      <c r="V20" s="9"/>
      <c r="W20" s="9" t="n">
        <v>4</v>
      </c>
      <c r="X20" s="9" t="n">
        <v>3</v>
      </c>
    </row>
    <row r="21" customFormat="false" ht="15" hidden="false" customHeight="false" outlineLevel="0" collapsed="false">
      <c r="A21" s="9" t="s">
        <v>69</v>
      </c>
      <c r="B21" s="9" t="n">
        <v>1</v>
      </c>
      <c r="C21" s="9" t="n">
        <v>2</v>
      </c>
      <c r="D21" s="9" t="n">
        <v>44</v>
      </c>
      <c r="E21" s="9" t="n">
        <v>12</v>
      </c>
      <c r="F21" s="9" t="s">
        <v>48</v>
      </c>
      <c r="G21" s="10" t="n">
        <v>46258</v>
      </c>
      <c r="H21" s="9" t="n">
        <v>9</v>
      </c>
      <c r="I21" s="9" t="n">
        <v>50</v>
      </c>
      <c r="J21" s="9" t="n">
        <v>3</v>
      </c>
      <c r="K21" s="9" t="n">
        <v>3</v>
      </c>
      <c r="L21" s="9" t="n">
        <v>5</v>
      </c>
      <c r="M21" s="9" t="n">
        <v>2</v>
      </c>
      <c r="N21" s="9" t="n">
        <v>2</v>
      </c>
      <c r="O21" s="9" t="n">
        <v>4</v>
      </c>
      <c r="P21" s="9" t="n">
        <v>3</v>
      </c>
      <c r="Q21" s="9" t="n">
        <v>3</v>
      </c>
      <c r="R21" s="9" t="n">
        <v>2</v>
      </c>
      <c r="S21" s="9" t="n">
        <v>3</v>
      </c>
      <c r="T21" s="9" t="n">
        <v>4</v>
      </c>
      <c r="U21" s="9" t="n">
        <v>4</v>
      </c>
      <c r="V21" s="9" t="n">
        <v>4</v>
      </c>
      <c r="W21" s="9" t="n">
        <v>4</v>
      </c>
      <c r="X21" s="9" t="n">
        <v>3</v>
      </c>
    </row>
    <row r="22" customFormat="false" ht="15" hidden="false" customHeight="false" outlineLevel="0" collapsed="false">
      <c r="A22" s="9" t="s">
        <v>70</v>
      </c>
      <c r="B22" s="9" t="n">
        <v>1</v>
      </c>
      <c r="C22" s="9" t="n">
        <v>1</v>
      </c>
      <c r="D22" s="9" t="n">
        <v>30</v>
      </c>
      <c r="E22" s="9" t="n">
        <v>4</v>
      </c>
      <c r="F22" s="9" t="s">
        <v>63</v>
      </c>
      <c r="G22" s="10" t="n">
        <v>46259</v>
      </c>
      <c r="H22" s="9" t="n">
        <v>11.1</v>
      </c>
      <c r="I22" s="9" t="n">
        <v>54</v>
      </c>
      <c r="J22" s="9" t="n">
        <v>3</v>
      </c>
      <c r="K22" s="9" t="n">
        <v>3</v>
      </c>
      <c r="L22" s="9" t="n">
        <v>4</v>
      </c>
      <c r="M22" s="9" t="n">
        <v>3</v>
      </c>
      <c r="N22" s="9" t="n">
        <v>4</v>
      </c>
      <c r="O22" s="9" t="n">
        <v>5</v>
      </c>
      <c r="P22" s="9" t="n">
        <v>4</v>
      </c>
      <c r="Q22" s="9" t="n">
        <v>4</v>
      </c>
      <c r="R22" s="9" t="n">
        <v>4</v>
      </c>
      <c r="S22" s="9" t="n">
        <v>4</v>
      </c>
      <c r="T22" s="9" t="n">
        <v>2</v>
      </c>
      <c r="U22" s="9" t="n">
        <v>2</v>
      </c>
      <c r="V22" s="9" t="n">
        <v>5</v>
      </c>
      <c r="W22" s="9" t="n">
        <v>2</v>
      </c>
      <c r="X22" s="9" t="n">
        <v>3</v>
      </c>
    </row>
    <row r="23" customFormat="false" ht="15" hidden="false" customHeight="false" outlineLevel="0" collapsed="false">
      <c r="A23" s="9" t="s">
        <v>71</v>
      </c>
      <c r="B23" s="9" t="n">
        <v>1</v>
      </c>
      <c r="C23" s="9" t="n">
        <v>1</v>
      </c>
      <c r="D23" s="9" t="n">
        <v>33</v>
      </c>
      <c r="E23" s="9" t="n">
        <v>10</v>
      </c>
      <c r="F23" s="9" t="s">
        <v>55</v>
      </c>
      <c r="G23" s="10" t="n">
        <v>46260</v>
      </c>
      <c r="H23" s="9" t="n">
        <v>15.8</v>
      </c>
      <c r="I23" s="9" t="n">
        <v>60</v>
      </c>
      <c r="J23" s="9" t="n">
        <v>4</v>
      </c>
      <c r="K23" s="9" t="n">
        <v>4</v>
      </c>
      <c r="L23" s="9" t="n">
        <v>4</v>
      </c>
      <c r="M23" s="9" t="n">
        <v>4</v>
      </c>
      <c r="N23" s="9" t="n">
        <v>3</v>
      </c>
      <c r="O23" s="9" t="n">
        <v>3</v>
      </c>
      <c r="P23" s="9" t="n">
        <v>5</v>
      </c>
      <c r="Q23" s="9" t="n">
        <v>2</v>
      </c>
      <c r="R23" s="9" t="n">
        <v>4</v>
      </c>
      <c r="S23" s="9" t="n">
        <v>1</v>
      </c>
      <c r="T23" s="9" t="n">
        <v>4</v>
      </c>
      <c r="U23" s="9" t="n">
        <v>2</v>
      </c>
      <c r="V23" s="9" t="n">
        <v>4</v>
      </c>
      <c r="W23" s="9" t="n">
        <v>2</v>
      </c>
      <c r="X23" s="9" t="n">
        <v>2</v>
      </c>
    </row>
    <row r="24" customFormat="false" ht="15" hidden="false" customHeight="false" outlineLevel="0" collapsed="false">
      <c r="A24" s="9" t="s">
        <v>72</v>
      </c>
      <c r="B24" s="9" t="n">
        <v>1</v>
      </c>
      <c r="C24" s="9" t="n">
        <v>2</v>
      </c>
      <c r="D24" s="9" t="n">
        <v>34</v>
      </c>
      <c r="E24" s="9" t="n">
        <v>13</v>
      </c>
      <c r="F24" s="9" t="s">
        <v>73</v>
      </c>
      <c r="G24" s="10" t="n">
        <v>46261</v>
      </c>
      <c r="H24" s="9" t="n">
        <v>9.2</v>
      </c>
      <c r="I24" s="9" t="n">
        <v>70</v>
      </c>
      <c r="J24" s="9" t="n">
        <v>4</v>
      </c>
      <c r="K24" s="9" t="n">
        <v>5</v>
      </c>
      <c r="L24" s="9" t="n">
        <v>3</v>
      </c>
      <c r="M24" s="9" t="n">
        <v>2</v>
      </c>
      <c r="N24" s="9" t="n">
        <v>3</v>
      </c>
      <c r="O24" s="9" t="n">
        <v>3</v>
      </c>
      <c r="P24" s="9" t="n">
        <v>4</v>
      </c>
      <c r="Q24" s="9" t="n">
        <v>3</v>
      </c>
      <c r="R24" s="9" t="n">
        <v>3</v>
      </c>
      <c r="S24" s="9" t="n">
        <v>4</v>
      </c>
      <c r="T24" s="9" t="n">
        <v>3</v>
      </c>
      <c r="U24" s="9" t="n">
        <v>3</v>
      </c>
      <c r="V24" s="9" t="n">
        <v>3</v>
      </c>
      <c r="W24" s="9" t="n">
        <v>4</v>
      </c>
      <c r="X24" s="9" t="n">
        <v>3</v>
      </c>
    </row>
    <row r="25" customFormat="false" ht="15" hidden="false" customHeight="false" outlineLevel="0" collapsed="false">
      <c r="A25" s="9" t="s">
        <v>74</v>
      </c>
      <c r="B25" s="9" t="n">
        <v>1</v>
      </c>
      <c r="C25" s="9" t="n">
        <v>1</v>
      </c>
      <c r="D25" s="9" t="n">
        <v>45</v>
      </c>
      <c r="E25" s="9" t="n">
        <v>13</v>
      </c>
      <c r="F25" s="9" t="s">
        <v>61</v>
      </c>
      <c r="G25" s="10" t="n">
        <v>46262</v>
      </c>
      <c r="H25" s="9" t="n">
        <v>13</v>
      </c>
      <c r="I25" s="9" t="n">
        <v>52</v>
      </c>
      <c r="J25" s="9" t="n">
        <v>4</v>
      </c>
      <c r="K25" s="9" t="n">
        <v>4</v>
      </c>
      <c r="L25" s="9" t="n">
        <v>2</v>
      </c>
      <c r="M25" s="9" t="n">
        <v>2</v>
      </c>
      <c r="N25" s="9" t="n">
        <v>2</v>
      </c>
      <c r="O25" s="9" t="n">
        <v>3</v>
      </c>
      <c r="P25" s="9" t="n">
        <v>3</v>
      </c>
      <c r="Q25" s="9" t="n">
        <v>3</v>
      </c>
      <c r="R25" s="9" t="n">
        <v>3</v>
      </c>
      <c r="S25" s="9" t="n">
        <v>5</v>
      </c>
      <c r="T25" s="9" t="n">
        <v>2</v>
      </c>
      <c r="U25" s="9" t="n">
        <v>3</v>
      </c>
      <c r="V25" s="9" t="n">
        <v>3</v>
      </c>
      <c r="W25" s="9" t="n">
        <v>2</v>
      </c>
      <c r="X25" s="9" t="n">
        <v>4</v>
      </c>
    </row>
    <row r="26" customFormat="false" ht="15" hidden="false" customHeight="false" outlineLevel="0" collapsed="false">
      <c r="A26" s="9" t="s">
        <v>75</v>
      </c>
      <c r="B26" s="9" t="n">
        <v>1</v>
      </c>
      <c r="C26" s="9" t="n">
        <v>1</v>
      </c>
      <c r="D26" s="9" t="n">
        <v>33</v>
      </c>
      <c r="E26" s="9" t="n">
        <v>6</v>
      </c>
      <c r="F26" s="9" t="s">
        <v>50</v>
      </c>
      <c r="G26" s="10" t="n">
        <v>46258</v>
      </c>
      <c r="H26" s="9" t="n">
        <v>11.6</v>
      </c>
      <c r="I26" s="9" t="n">
        <v>56</v>
      </c>
      <c r="J26" s="9" t="n">
        <v>3</v>
      </c>
      <c r="K26" s="9" t="n">
        <v>5</v>
      </c>
      <c r="L26" s="9" t="n">
        <v>3</v>
      </c>
      <c r="M26" s="9" t="n">
        <v>3</v>
      </c>
      <c r="N26" s="9" t="n">
        <v>3</v>
      </c>
      <c r="O26" s="9" t="n">
        <v>4</v>
      </c>
      <c r="P26" s="9" t="n">
        <v>2</v>
      </c>
      <c r="Q26" s="9" t="n">
        <v>2</v>
      </c>
      <c r="R26" s="9" t="n">
        <v>3</v>
      </c>
      <c r="S26" s="9" t="n">
        <v>3</v>
      </c>
      <c r="T26" s="9" t="n">
        <v>4</v>
      </c>
      <c r="U26" s="9" t="n">
        <v>2</v>
      </c>
      <c r="V26" s="9" t="n">
        <v>1</v>
      </c>
      <c r="W26" s="9" t="n">
        <v>4</v>
      </c>
      <c r="X26" s="9" t="n">
        <v>4</v>
      </c>
    </row>
    <row r="27" customFormat="false" ht="15" hidden="false" customHeight="false" outlineLevel="0" collapsed="false">
      <c r="A27" s="9" t="s">
        <v>76</v>
      </c>
      <c r="B27" s="9" t="n">
        <v>1</v>
      </c>
      <c r="C27" s="9" t="n">
        <v>1</v>
      </c>
      <c r="D27" s="9" t="n">
        <v>36</v>
      </c>
      <c r="E27" s="9" t="n">
        <v>15</v>
      </c>
      <c r="F27" s="9" t="s">
        <v>73</v>
      </c>
      <c r="G27" s="10" t="n">
        <v>46259</v>
      </c>
      <c r="H27" s="9" t="n">
        <v>8.7</v>
      </c>
      <c r="I27" s="9" t="n">
        <v>66</v>
      </c>
      <c r="J27" s="9" t="n">
        <v>1</v>
      </c>
      <c r="K27" s="9" t="n">
        <v>2</v>
      </c>
      <c r="L27" s="9" t="n">
        <v>3</v>
      </c>
      <c r="M27" s="9" t="n">
        <v>4</v>
      </c>
      <c r="N27" s="9" t="n">
        <v>2</v>
      </c>
      <c r="O27" s="9" t="n">
        <v>5</v>
      </c>
      <c r="P27" s="9" t="n">
        <v>1</v>
      </c>
      <c r="Q27" s="9" t="n">
        <v>1</v>
      </c>
      <c r="R27" s="9" t="n">
        <v>1</v>
      </c>
      <c r="S27" s="9" t="n">
        <v>1</v>
      </c>
      <c r="T27" s="9" t="n">
        <v>1</v>
      </c>
      <c r="U27" s="9" t="n">
        <v>4</v>
      </c>
      <c r="V27" s="9" t="n">
        <v>3</v>
      </c>
      <c r="W27" s="9" t="n">
        <v>2</v>
      </c>
      <c r="X27" s="9" t="n">
        <v>1</v>
      </c>
    </row>
    <row r="28" customFormat="false" ht="15" hidden="false" customHeight="false" outlineLevel="0" collapsed="false">
      <c r="A28" s="9" t="s">
        <v>77</v>
      </c>
      <c r="B28" s="9" t="n">
        <v>1</v>
      </c>
      <c r="C28" s="9" t="n">
        <v>1</v>
      </c>
      <c r="D28" s="9" t="n">
        <v>41</v>
      </c>
      <c r="E28" s="9" t="n">
        <v>6</v>
      </c>
      <c r="F28" s="9" t="s">
        <v>73</v>
      </c>
      <c r="G28" s="10" t="n">
        <v>46260</v>
      </c>
      <c r="H28" s="9" t="n">
        <v>11.8</v>
      </c>
      <c r="I28" s="9" t="n">
        <v>67</v>
      </c>
      <c r="J28" s="9" t="n">
        <v>3</v>
      </c>
      <c r="K28" s="9" t="n">
        <v>2</v>
      </c>
      <c r="L28" s="9" t="n">
        <v>2</v>
      </c>
      <c r="M28" s="9" t="n">
        <v>4</v>
      </c>
      <c r="N28" s="9" t="n">
        <v>2</v>
      </c>
      <c r="O28" s="9" t="n">
        <v>2</v>
      </c>
      <c r="P28" s="9" t="n">
        <v>2</v>
      </c>
      <c r="Q28" s="9" t="n">
        <v>1</v>
      </c>
      <c r="R28" s="9" t="n">
        <v>2</v>
      </c>
      <c r="S28" s="9" t="n">
        <v>3</v>
      </c>
      <c r="T28" s="9" t="n">
        <v>2</v>
      </c>
      <c r="U28" s="9" t="n">
        <v>3</v>
      </c>
      <c r="V28" s="9" t="n">
        <v>2</v>
      </c>
      <c r="W28" s="9" t="n">
        <v>2</v>
      </c>
      <c r="X28" s="9" t="n">
        <v>2</v>
      </c>
    </row>
    <row r="29" customFormat="false" ht="15" hidden="false" customHeight="false" outlineLevel="0" collapsed="false">
      <c r="A29" s="9" t="s">
        <v>78</v>
      </c>
      <c r="B29" s="9" t="n">
        <v>1</v>
      </c>
      <c r="C29" s="9" t="n">
        <v>1</v>
      </c>
      <c r="D29" s="9" t="n">
        <v>32</v>
      </c>
      <c r="E29" s="9" t="n">
        <v>10</v>
      </c>
      <c r="F29" s="9" t="s">
        <v>73</v>
      </c>
      <c r="G29" s="10" t="n">
        <v>46261</v>
      </c>
      <c r="H29" s="9" t="n">
        <v>17.4</v>
      </c>
      <c r="I29" s="9" t="n">
        <v>61</v>
      </c>
      <c r="J29" s="9" t="n">
        <v>4</v>
      </c>
      <c r="K29" s="9" t="n">
        <v>4</v>
      </c>
      <c r="L29" s="9" t="n">
        <v>1</v>
      </c>
      <c r="M29" s="9" t="n">
        <v>2</v>
      </c>
      <c r="N29" s="9" t="n">
        <v>2</v>
      </c>
      <c r="O29" s="9" t="n">
        <v>3</v>
      </c>
      <c r="P29" s="9" t="n">
        <v>3</v>
      </c>
      <c r="Q29" s="9" t="n">
        <v>3</v>
      </c>
      <c r="R29" s="9" t="n">
        <v>5</v>
      </c>
      <c r="S29" s="9" t="n">
        <v>2</v>
      </c>
      <c r="T29" s="9" t="n">
        <v>4</v>
      </c>
      <c r="U29" s="9" t="n">
        <v>4</v>
      </c>
      <c r="V29" s="9" t="n">
        <v>2</v>
      </c>
      <c r="W29" s="9" t="n">
        <v>2</v>
      </c>
      <c r="X29" s="9" t="n">
        <v>2</v>
      </c>
    </row>
    <row r="30" customFormat="false" ht="15" hidden="false" customHeight="false" outlineLevel="0" collapsed="false">
      <c r="A30" s="9" t="s">
        <v>79</v>
      </c>
      <c r="B30" s="9" t="n">
        <v>2</v>
      </c>
      <c r="C30" s="9" t="n">
        <v>2</v>
      </c>
      <c r="D30" s="9" t="n">
        <v>27</v>
      </c>
      <c r="E30" s="9" t="n">
        <v>6</v>
      </c>
      <c r="F30" s="9" t="s">
        <v>55</v>
      </c>
      <c r="G30" s="10" t="n">
        <v>46262</v>
      </c>
      <c r="H30" s="9" t="n">
        <v>8.4</v>
      </c>
      <c r="I30" s="9" t="n">
        <v>67</v>
      </c>
      <c r="J30" s="9" t="n">
        <v>3</v>
      </c>
      <c r="K30" s="9" t="n">
        <v>3</v>
      </c>
      <c r="L30" s="9" t="n">
        <v>2</v>
      </c>
      <c r="M30" s="9" t="n">
        <v>2</v>
      </c>
      <c r="N30" s="9" t="n">
        <v>4</v>
      </c>
      <c r="O30" s="9" t="n">
        <v>2</v>
      </c>
      <c r="P30" s="9" t="n">
        <v>3</v>
      </c>
      <c r="Q30" s="9" t="n">
        <v>3</v>
      </c>
      <c r="R30" s="9" t="n">
        <v>4</v>
      </c>
      <c r="S30" s="9" t="n">
        <v>1</v>
      </c>
      <c r="T30" s="9" t="n">
        <v>3</v>
      </c>
      <c r="U30" s="9" t="n">
        <v>1</v>
      </c>
      <c r="V30" s="9" t="n">
        <v>4</v>
      </c>
      <c r="W30" s="9" t="n">
        <v>4</v>
      </c>
      <c r="X30" s="9" t="n">
        <v>3</v>
      </c>
    </row>
    <row r="31" customFormat="false" ht="15" hidden="false" customHeight="false" outlineLevel="0" collapsed="false">
      <c r="A31" s="9" t="s">
        <v>80</v>
      </c>
      <c r="B31" s="9" t="n">
        <v>2</v>
      </c>
      <c r="C31" s="9" t="n">
        <v>1</v>
      </c>
      <c r="D31" s="9" t="n">
        <v>23</v>
      </c>
      <c r="E31" s="9" t="n">
        <v>25</v>
      </c>
      <c r="F31" s="9" t="s">
        <v>63</v>
      </c>
      <c r="G31" s="10" t="n">
        <v>46258</v>
      </c>
      <c r="H31" s="9" t="n">
        <v>13.5</v>
      </c>
      <c r="I31" s="9" t="n">
        <v>60</v>
      </c>
      <c r="J31" s="9" t="n">
        <v>2</v>
      </c>
      <c r="K31" s="9" t="n">
        <v>2</v>
      </c>
      <c r="L31" s="9" t="n">
        <v>3</v>
      </c>
      <c r="M31" s="9" t="n">
        <v>5</v>
      </c>
      <c r="N31" s="9" t="n">
        <v>2</v>
      </c>
      <c r="O31" s="9" t="n">
        <v>3</v>
      </c>
      <c r="P31" s="9" t="n">
        <v>2</v>
      </c>
      <c r="Q31" s="9" t="n">
        <v>3</v>
      </c>
      <c r="R31" s="9" t="n">
        <v>1</v>
      </c>
      <c r="S31" s="9" t="n">
        <v>1</v>
      </c>
      <c r="T31" s="9" t="n">
        <v>1</v>
      </c>
      <c r="U31" s="9" t="n">
        <v>1</v>
      </c>
      <c r="V31" s="9" t="n">
        <v>4</v>
      </c>
      <c r="W31" s="9" t="n">
        <v>3</v>
      </c>
      <c r="X31" s="9" t="n">
        <v>3</v>
      </c>
    </row>
    <row r="32" customFormat="false" ht="15" hidden="false" customHeight="false" outlineLevel="0" collapsed="false">
      <c r="A32" s="9" t="s">
        <v>81</v>
      </c>
      <c r="B32" s="9" t="n">
        <v>2</v>
      </c>
      <c r="C32" s="9" t="n">
        <v>2</v>
      </c>
      <c r="D32" s="9" t="n">
        <v>41</v>
      </c>
      <c r="E32" s="9" t="n">
        <v>5</v>
      </c>
      <c r="F32" s="9" t="s">
        <v>46</v>
      </c>
      <c r="G32" s="10" t="n">
        <v>46259</v>
      </c>
      <c r="H32" s="9" t="s">
        <v>82</v>
      </c>
      <c r="I32" s="9" t="n">
        <v>69</v>
      </c>
      <c r="J32" s="9" t="n">
        <v>3</v>
      </c>
      <c r="K32" s="9" t="n">
        <v>4</v>
      </c>
      <c r="L32" s="9" t="n">
        <v>4</v>
      </c>
      <c r="M32" s="9" t="n">
        <v>1</v>
      </c>
      <c r="N32" s="9" t="n">
        <v>3</v>
      </c>
      <c r="O32" s="9" t="n">
        <v>3</v>
      </c>
      <c r="P32" s="9" t="n">
        <v>3</v>
      </c>
      <c r="Q32" s="9" t="n">
        <v>3</v>
      </c>
      <c r="R32" s="9" t="n">
        <v>3</v>
      </c>
      <c r="S32" s="9" t="n">
        <v>3</v>
      </c>
      <c r="T32" s="9" t="n">
        <v>5</v>
      </c>
      <c r="U32" s="9" t="n">
        <v>2</v>
      </c>
      <c r="V32" s="9" t="n">
        <v>3</v>
      </c>
      <c r="W32" s="9" t="n">
        <v>4</v>
      </c>
      <c r="X32" s="9" t="n">
        <v>3</v>
      </c>
    </row>
    <row r="33" customFormat="false" ht="15" hidden="false" customHeight="false" outlineLevel="0" collapsed="false">
      <c r="A33" s="9" t="s">
        <v>83</v>
      </c>
      <c r="B33" s="9" t="n">
        <v>2</v>
      </c>
      <c r="C33" s="9" t="n">
        <v>1</v>
      </c>
      <c r="D33" s="9" t="n">
        <v>32</v>
      </c>
      <c r="E33" s="9" t="n">
        <v>2</v>
      </c>
      <c r="F33" s="9" t="s">
        <v>55</v>
      </c>
      <c r="G33" s="10" t="n">
        <v>46260</v>
      </c>
      <c r="H33" s="9" t="n">
        <v>12.8</v>
      </c>
      <c r="I33" s="9" t="n">
        <v>61</v>
      </c>
      <c r="J33" s="9" t="n">
        <v>4</v>
      </c>
      <c r="K33" s="9" t="n">
        <v>3</v>
      </c>
      <c r="L33" s="9" t="n">
        <v>2</v>
      </c>
      <c r="M33" s="9" t="n">
        <v>1</v>
      </c>
      <c r="N33" s="9" t="n">
        <v>4</v>
      </c>
      <c r="O33" s="9" t="n">
        <v>2</v>
      </c>
      <c r="P33" s="9" t="n">
        <v>3</v>
      </c>
      <c r="Q33" s="9" t="n">
        <v>4</v>
      </c>
      <c r="R33" s="9" t="n">
        <v>5</v>
      </c>
      <c r="S33" s="9" t="n">
        <v>4</v>
      </c>
      <c r="T33" s="9" t="n">
        <v>4</v>
      </c>
      <c r="U33" s="9" t="n">
        <v>3</v>
      </c>
      <c r="V33" s="9" t="n">
        <v>4</v>
      </c>
      <c r="W33" s="9" t="n">
        <v>3</v>
      </c>
      <c r="X33" s="9" t="n">
        <v>3</v>
      </c>
    </row>
    <row r="34" customFormat="false" ht="15" hidden="false" customHeight="false" outlineLevel="0" collapsed="false">
      <c r="A34" s="9" t="s">
        <v>84</v>
      </c>
      <c r="B34" s="9" t="n">
        <v>2</v>
      </c>
      <c r="C34" s="9" t="n">
        <v>2</v>
      </c>
      <c r="D34" s="9" t="n">
        <v>43</v>
      </c>
      <c r="E34" s="9" t="n">
        <v>8</v>
      </c>
      <c r="F34" s="9" t="s">
        <v>50</v>
      </c>
      <c r="G34" s="10" t="n">
        <v>46261</v>
      </c>
      <c r="H34" s="9" t="n">
        <v>11.3</v>
      </c>
      <c r="I34" s="9" t="n">
        <v>59</v>
      </c>
      <c r="J34" s="9" t="n">
        <v>1</v>
      </c>
      <c r="K34" s="9" t="n">
        <v>3</v>
      </c>
      <c r="L34" s="9" t="n">
        <v>3</v>
      </c>
      <c r="M34" s="9" t="n">
        <v>4</v>
      </c>
      <c r="N34" s="9" t="n">
        <v>3</v>
      </c>
      <c r="O34" s="9" t="n">
        <v>3</v>
      </c>
      <c r="P34" s="9" t="n">
        <v>2</v>
      </c>
      <c r="Q34" s="9" t="n">
        <v>2</v>
      </c>
      <c r="R34" s="9" t="n">
        <v>2</v>
      </c>
      <c r="S34" s="9" t="n">
        <v>4</v>
      </c>
      <c r="T34" s="9" t="n">
        <v>2</v>
      </c>
      <c r="U34" s="9" t="n">
        <v>3</v>
      </c>
      <c r="V34" s="9" t="n">
        <v>3</v>
      </c>
      <c r="W34" s="9" t="n">
        <v>2</v>
      </c>
      <c r="X34" s="9" t="n">
        <v>2</v>
      </c>
    </row>
    <row r="35" customFormat="false" ht="15" hidden="false" customHeight="false" outlineLevel="0" collapsed="false">
      <c r="A35" s="9" t="s">
        <v>85</v>
      </c>
      <c r="B35" s="9" t="n">
        <v>2</v>
      </c>
      <c r="C35" s="9" t="n">
        <v>2</v>
      </c>
      <c r="D35" s="9" t="n">
        <v>35</v>
      </c>
      <c r="E35" s="9" t="n">
        <v>3</v>
      </c>
      <c r="F35" s="9" t="s">
        <v>55</v>
      </c>
      <c r="G35" s="10" t="n">
        <v>46262</v>
      </c>
      <c r="H35" s="9" t="n">
        <v>12.2</v>
      </c>
      <c r="I35" s="9" t="n">
        <v>61</v>
      </c>
      <c r="J35" s="9" t="n">
        <v>1</v>
      </c>
      <c r="K35" s="9" t="n">
        <v>5</v>
      </c>
      <c r="L35" s="9" t="n">
        <v>4</v>
      </c>
      <c r="M35" s="9" t="n">
        <v>2</v>
      </c>
      <c r="N35" s="9" t="n">
        <v>2</v>
      </c>
      <c r="O35" s="9" t="n">
        <v>3</v>
      </c>
      <c r="P35" s="9" t="n">
        <v>3</v>
      </c>
      <c r="Q35" s="9" t="n">
        <v>3</v>
      </c>
      <c r="R35" s="9" t="n">
        <v>2</v>
      </c>
      <c r="S35" s="9" t="n">
        <v>2</v>
      </c>
      <c r="T35" s="9" t="n">
        <v>2</v>
      </c>
      <c r="U35" s="9" t="n">
        <v>2</v>
      </c>
      <c r="V35" s="9" t="n">
        <v>2</v>
      </c>
      <c r="W35" s="9" t="n">
        <v>4</v>
      </c>
      <c r="X35" s="9" t="n">
        <v>5</v>
      </c>
    </row>
    <row r="36" customFormat="false" ht="15" hidden="false" customHeight="false" outlineLevel="0" collapsed="false">
      <c r="A36" s="9" t="s">
        <v>86</v>
      </c>
      <c r="B36" s="9" t="n">
        <v>2</v>
      </c>
      <c r="C36" s="9" t="n">
        <v>1</v>
      </c>
      <c r="D36" s="9" t="n">
        <v>35</v>
      </c>
      <c r="E36" s="9" t="n">
        <v>13</v>
      </c>
      <c r="F36" s="9" t="s">
        <v>57</v>
      </c>
      <c r="G36" s="10" t="n">
        <v>46258</v>
      </c>
      <c r="H36" s="9" t="n">
        <v>12.8</v>
      </c>
      <c r="I36" s="9" t="n">
        <v>61</v>
      </c>
      <c r="J36" s="9" t="n">
        <v>2</v>
      </c>
      <c r="K36" s="9" t="n">
        <v>2</v>
      </c>
      <c r="L36" s="9" t="n">
        <v>3</v>
      </c>
      <c r="M36" s="9" t="n">
        <v>5</v>
      </c>
      <c r="N36" s="9" t="n">
        <v>4</v>
      </c>
      <c r="O36" s="9" t="n">
        <v>1</v>
      </c>
      <c r="P36" s="9" t="n">
        <v>4</v>
      </c>
      <c r="Q36" s="9" t="n">
        <v>3</v>
      </c>
      <c r="R36" s="9" t="n">
        <v>3</v>
      </c>
      <c r="S36" s="9" t="n">
        <v>3</v>
      </c>
      <c r="T36" s="9" t="n">
        <v>2</v>
      </c>
      <c r="U36" s="9" t="n">
        <v>3</v>
      </c>
      <c r="V36" s="9" t="n">
        <v>3</v>
      </c>
      <c r="W36" s="9" t="n">
        <v>2</v>
      </c>
      <c r="X36" s="9" t="n">
        <v>1</v>
      </c>
    </row>
    <row r="37" customFormat="false" ht="15" hidden="false" customHeight="false" outlineLevel="0" collapsed="false">
      <c r="A37" s="9" t="s">
        <v>87</v>
      </c>
      <c r="B37" s="9" t="n">
        <v>2</v>
      </c>
      <c r="C37" s="9" t="n">
        <v>1</v>
      </c>
      <c r="D37" s="9" t="n">
        <v>35</v>
      </c>
      <c r="E37" s="9" t="n">
        <v>4</v>
      </c>
      <c r="F37" s="9" t="s">
        <v>61</v>
      </c>
      <c r="G37" s="10" t="n">
        <v>46259</v>
      </c>
      <c r="H37" s="9" t="n">
        <v>9.6</v>
      </c>
      <c r="I37" s="9" t="n">
        <v>50</v>
      </c>
      <c r="J37" s="9" t="n">
        <v>4</v>
      </c>
      <c r="K37" s="9" t="n">
        <v>1</v>
      </c>
      <c r="L37" s="9" t="n">
        <v>1</v>
      </c>
      <c r="M37" s="9" t="n">
        <v>4</v>
      </c>
      <c r="N37" s="9" t="n">
        <v>3</v>
      </c>
      <c r="O37" s="9" t="n">
        <v>4</v>
      </c>
      <c r="P37" s="9" t="n">
        <v>3</v>
      </c>
      <c r="Q37" s="9" t="n">
        <v>4</v>
      </c>
      <c r="R37" s="9" t="n">
        <v>3</v>
      </c>
      <c r="S37" s="9" t="n">
        <v>4</v>
      </c>
      <c r="T37" s="9" t="n">
        <v>2</v>
      </c>
      <c r="U37" s="9" t="n">
        <v>3</v>
      </c>
      <c r="V37" s="9" t="n">
        <v>2</v>
      </c>
      <c r="W37" s="9" t="n">
        <v>1</v>
      </c>
      <c r="X37" s="9" t="n">
        <v>3</v>
      </c>
    </row>
    <row r="38" customFormat="false" ht="15" hidden="false" customHeight="false" outlineLevel="0" collapsed="false">
      <c r="A38" s="9" t="s">
        <v>88</v>
      </c>
      <c r="B38" s="9" t="n">
        <v>2</v>
      </c>
      <c r="C38" s="9" t="n">
        <v>1</v>
      </c>
      <c r="D38" s="9" t="n">
        <v>31</v>
      </c>
      <c r="E38" s="9" t="n">
        <v>4</v>
      </c>
      <c r="F38" s="9" t="s">
        <v>66</v>
      </c>
      <c r="G38" s="10" t="n">
        <v>46260</v>
      </c>
      <c r="H38" s="9" t="n">
        <v>8.2</v>
      </c>
      <c r="I38" s="9" t="n">
        <v>63</v>
      </c>
      <c r="J38" s="9" t="n">
        <v>3</v>
      </c>
      <c r="K38" s="9" t="n">
        <v>3</v>
      </c>
      <c r="L38" s="9" t="n">
        <v>3</v>
      </c>
      <c r="M38" s="9" t="n">
        <v>4</v>
      </c>
      <c r="N38" s="9" t="n">
        <v>3</v>
      </c>
      <c r="O38" s="9" t="n">
        <v>3</v>
      </c>
      <c r="P38" s="9" t="n">
        <v>2</v>
      </c>
      <c r="Q38" s="9" t="n">
        <v>4</v>
      </c>
      <c r="R38" s="9" t="n">
        <v>2</v>
      </c>
      <c r="S38" s="9" t="n">
        <v>3</v>
      </c>
      <c r="T38" s="9" t="n">
        <v>4</v>
      </c>
      <c r="U38" s="9" t="n">
        <v>4</v>
      </c>
      <c r="V38" s="9" t="n">
        <v>2</v>
      </c>
      <c r="W38" s="9" t="n">
        <v>2</v>
      </c>
      <c r="X38" s="9" t="n">
        <v>4</v>
      </c>
    </row>
    <row r="39" customFormat="false" ht="15" hidden="false" customHeight="false" outlineLevel="0" collapsed="false">
      <c r="A39" s="9" t="s">
        <v>89</v>
      </c>
      <c r="B39" s="9" t="n">
        <v>2</v>
      </c>
      <c r="C39" s="9" t="n">
        <v>2</v>
      </c>
      <c r="D39" s="9" t="n">
        <v>44</v>
      </c>
      <c r="E39" s="9" t="n">
        <v>10</v>
      </c>
      <c r="F39" s="9" t="s">
        <v>46</v>
      </c>
      <c r="G39" s="10" t="n">
        <v>46261</v>
      </c>
      <c r="H39" s="9" t="n">
        <v>14.5</v>
      </c>
      <c r="I39" s="9" t="n">
        <v>68</v>
      </c>
      <c r="J39" s="9" t="n">
        <v>3</v>
      </c>
      <c r="K39" s="9" t="n">
        <v>2</v>
      </c>
      <c r="L39" s="9" t="n">
        <v>1</v>
      </c>
      <c r="M39" s="9" t="n">
        <v>5</v>
      </c>
      <c r="N39" s="9" t="n">
        <v>2</v>
      </c>
      <c r="O39" s="9" t="n">
        <v>1</v>
      </c>
      <c r="P39" s="9" t="n">
        <v>4</v>
      </c>
      <c r="Q39" s="9" t="n">
        <v>4</v>
      </c>
      <c r="R39" s="9" t="n">
        <v>2</v>
      </c>
      <c r="S39" s="9" t="n">
        <v>2</v>
      </c>
      <c r="T39" s="9" t="n">
        <v>1</v>
      </c>
      <c r="U39" s="9" t="n">
        <v>2</v>
      </c>
      <c r="V39" s="9" t="n">
        <v>2</v>
      </c>
      <c r="W39" s="9" t="n">
        <v>3</v>
      </c>
      <c r="X39" s="9" t="n">
        <v>3</v>
      </c>
    </row>
    <row r="40" customFormat="false" ht="15" hidden="false" customHeight="false" outlineLevel="0" collapsed="false">
      <c r="A40" s="9" t="s">
        <v>90</v>
      </c>
      <c r="B40" s="9" t="n">
        <v>2</v>
      </c>
      <c r="C40" s="9" t="n">
        <v>2</v>
      </c>
      <c r="D40" s="9" t="n">
        <v>7</v>
      </c>
      <c r="E40" s="9" t="n">
        <v>4</v>
      </c>
      <c r="F40" s="9" t="s">
        <v>57</v>
      </c>
      <c r="G40" s="10" t="n">
        <v>46262</v>
      </c>
      <c r="H40" s="9" t="n">
        <v>16.4</v>
      </c>
      <c r="I40" s="9" t="n">
        <v>55</v>
      </c>
      <c r="J40" s="9" t="n">
        <v>1</v>
      </c>
      <c r="K40" s="9" t="n">
        <v>2</v>
      </c>
      <c r="L40" s="9" t="n">
        <v>2</v>
      </c>
      <c r="M40" s="9" t="n">
        <v>4</v>
      </c>
      <c r="N40" s="9" t="n">
        <v>2</v>
      </c>
      <c r="O40" s="9" t="n">
        <v>5</v>
      </c>
      <c r="P40" s="9" t="n">
        <v>3</v>
      </c>
      <c r="Q40" s="9" t="n">
        <v>1</v>
      </c>
      <c r="R40" s="9" t="n">
        <v>3</v>
      </c>
      <c r="S40" s="9" t="n">
        <v>3</v>
      </c>
      <c r="T40" s="9" t="n">
        <v>3</v>
      </c>
      <c r="U40" s="9" t="n">
        <v>4</v>
      </c>
      <c r="V40" s="9" t="n">
        <v>3</v>
      </c>
      <c r="W40" s="9" t="n">
        <v>3</v>
      </c>
      <c r="X40" s="9" t="n">
        <v>2</v>
      </c>
    </row>
    <row r="41" customFormat="false" ht="15" hidden="false" customHeight="false" outlineLevel="0" collapsed="false">
      <c r="A41" s="9" t="s">
        <v>91</v>
      </c>
      <c r="B41" s="9" t="n">
        <v>2</v>
      </c>
      <c r="C41" s="9" t="n">
        <v>2</v>
      </c>
      <c r="D41" s="9" t="n">
        <v>35</v>
      </c>
      <c r="E41" s="9" t="n">
        <v>7</v>
      </c>
      <c r="F41" s="9" t="s">
        <v>66</v>
      </c>
      <c r="G41" s="10" t="n">
        <v>46258</v>
      </c>
      <c r="H41" s="9" t="n">
        <v>15.1</v>
      </c>
      <c r="I41" s="9" t="n">
        <v>72</v>
      </c>
      <c r="J41" s="9" t="n">
        <v>2</v>
      </c>
      <c r="K41" s="9" t="n">
        <v>3</v>
      </c>
      <c r="L41" s="9" t="n">
        <v>4</v>
      </c>
      <c r="M41" s="9" t="n">
        <v>3</v>
      </c>
      <c r="N41" s="9" t="n">
        <v>4</v>
      </c>
      <c r="O41" s="9" t="n">
        <v>3</v>
      </c>
      <c r="P41" s="9" t="n">
        <v>4</v>
      </c>
      <c r="Q41" s="9" t="n">
        <v>3</v>
      </c>
      <c r="R41" s="9" t="n">
        <v>4</v>
      </c>
      <c r="S41" s="9" t="n">
        <v>2</v>
      </c>
      <c r="T41" s="9" t="n">
        <v>2</v>
      </c>
      <c r="U41" s="9" t="n">
        <v>3</v>
      </c>
      <c r="V41" s="9" t="n">
        <v>3</v>
      </c>
      <c r="W41" s="9" t="n">
        <v>4</v>
      </c>
      <c r="X41" s="9" t="n">
        <v>4</v>
      </c>
    </row>
    <row r="42" customFormat="false" ht="15" hidden="false" customHeight="false" outlineLevel="0" collapsed="false">
      <c r="A42" s="9" t="s">
        <v>92</v>
      </c>
      <c r="B42" s="9" t="n">
        <v>2</v>
      </c>
      <c r="C42" s="9" t="n">
        <v>1</v>
      </c>
      <c r="D42" s="9" t="n">
        <v>52</v>
      </c>
      <c r="E42" s="9" t="n">
        <v>13</v>
      </c>
      <c r="F42" s="9" t="s">
        <v>57</v>
      </c>
      <c r="G42" s="10" t="n">
        <v>46259</v>
      </c>
      <c r="H42" s="9" t="n">
        <v>8.5</v>
      </c>
      <c r="I42" s="9" t="n">
        <v>60</v>
      </c>
      <c r="J42" s="9" t="n">
        <v>3</v>
      </c>
      <c r="K42" s="9" t="n">
        <v>3</v>
      </c>
      <c r="L42" s="9" t="n">
        <v>3</v>
      </c>
      <c r="M42" s="9" t="n">
        <v>4</v>
      </c>
      <c r="N42" s="9" t="n">
        <v>2</v>
      </c>
      <c r="O42" s="9" t="n">
        <v>3</v>
      </c>
      <c r="P42" s="9" t="n">
        <v>4</v>
      </c>
      <c r="Q42" s="9" t="n">
        <v>4</v>
      </c>
      <c r="R42" s="9" t="n">
        <v>2</v>
      </c>
      <c r="S42" s="9" t="n">
        <v>4</v>
      </c>
      <c r="T42" s="9" t="n">
        <v>3</v>
      </c>
      <c r="U42" s="9" t="n">
        <v>2</v>
      </c>
      <c r="V42" s="9" t="n">
        <v>3</v>
      </c>
      <c r="W42" s="9" t="n">
        <v>2</v>
      </c>
      <c r="X42" s="9" t="n">
        <v>2</v>
      </c>
    </row>
    <row r="43" customFormat="false" ht="15" hidden="false" customHeight="false" outlineLevel="0" collapsed="false">
      <c r="A43" s="9" t="s">
        <v>93</v>
      </c>
      <c r="B43" s="9" t="n">
        <v>2</v>
      </c>
      <c r="C43" s="9" t="n">
        <v>1</v>
      </c>
      <c r="D43" s="9" t="n">
        <v>24</v>
      </c>
      <c r="E43" s="9" t="n">
        <v>3</v>
      </c>
      <c r="F43" s="9" t="s">
        <v>94</v>
      </c>
      <c r="G43" s="10" t="n">
        <v>46260</v>
      </c>
      <c r="H43" s="9" t="n">
        <v>11.8</v>
      </c>
      <c r="I43" s="9" t="n">
        <v>59</v>
      </c>
      <c r="J43" s="9" t="n">
        <v>3</v>
      </c>
      <c r="K43" s="9" t="n">
        <v>4</v>
      </c>
      <c r="L43" s="9" t="n">
        <v>4</v>
      </c>
      <c r="M43" s="9" t="n">
        <v>4</v>
      </c>
      <c r="N43" s="9" t="n">
        <v>2</v>
      </c>
      <c r="O43" s="9" t="n">
        <v>2</v>
      </c>
      <c r="P43" s="9" t="n">
        <v>3</v>
      </c>
      <c r="Q43" s="9" t="n">
        <v>4</v>
      </c>
      <c r="R43" s="9" t="n">
        <v>3</v>
      </c>
      <c r="S43" s="9" t="n">
        <v>3</v>
      </c>
      <c r="T43" s="9" t="n">
        <v>3</v>
      </c>
      <c r="U43" s="9" t="n">
        <v>4</v>
      </c>
      <c r="V43" s="9" t="n">
        <v>3</v>
      </c>
      <c r="W43" s="9" t="n">
        <v>2</v>
      </c>
      <c r="X43" s="9" t="n">
        <v>3</v>
      </c>
    </row>
    <row r="44" customFormat="false" ht="15" hidden="false" customHeight="false" outlineLevel="0" collapsed="false">
      <c r="A44" s="9" t="s">
        <v>95</v>
      </c>
      <c r="B44" s="9" t="n">
        <v>2</v>
      </c>
      <c r="C44" s="9" t="n">
        <v>1</v>
      </c>
      <c r="D44" s="9" t="n">
        <v>44</v>
      </c>
      <c r="E44" s="9" t="n">
        <v>7</v>
      </c>
      <c r="F44" s="9" t="s">
        <v>63</v>
      </c>
      <c r="G44" s="10" t="n">
        <v>46261</v>
      </c>
      <c r="H44" s="9" t="n">
        <v>14.3</v>
      </c>
      <c r="I44" s="9" t="n">
        <v>60</v>
      </c>
      <c r="J44" s="9" t="n">
        <v>2</v>
      </c>
      <c r="K44" s="9" t="n">
        <v>3</v>
      </c>
      <c r="L44" s="9" t="n">
        <v>1</v>
      </c>
      <c r="M44" s="9" t="n">
        <v>5</v>
      </c>
      <c r="N44" s="9" t="n">
        <v>3</v>
      </c>
      <c r="O44" s="9" t="n">
        <v>5</v>
      </c>
      <c r="P44" s="9" t="n">
        <v>4</v>
      </c>
      <c r="Q44" s="9" t="n">
        <v>4</v>
      </c>
      <c r="R44" s="9" t="n">
        <v>2</v>
      </c>
      <c r="S44" s="9" t="n">
        <v>3</v>
      </c>
      <c r="T44" s="9" t="n">
        <v>3</v>
      </c>
      <c r="U44" s="9" t="n">
        <v>2</v>
      </c>
      <c r="V44" s="9" t="n">
        <v>2</v>
      </c>
      <c r="W44" s="9" t="n">
        <v>3</v>
      </c>
      <c r="X44" s="9" t="n">
        <v>3</v>
      </c>
    </row>
    <row r="45" customFormat="false" ht="15" hidden="false" customHeight="false" outlineLevel="0" collapsed="false">
      <c r="A45" s="9" t="s">
        <v>96</v>
      </c>
      <c r="B45" s="9" t="n">
        <v>2</v>
      </c>
      <c r="C45" s="9" t="n">
        <v>1</v>
      </c>
      <c r="D45" s="9" t="n">
        <v>43</v>
      </c>
      <c r="E45" s="9" t="n">
        <v>12</v>
      </c>
      <c r="F45" s="9" t="s">
        <v>97</v>
      </c>
      <c r="G45" s="10" t="n">
        <v>46262</v>
      </c>
      <c r="H45" s="9" t="n">
        <v>10.1</v>
      </c>
      <c r="I45" s="9" t="n">
        <v>60</v>
      </c>
      <c r="J45" s="9" t="n">
        <v>3</v>
      </c>
      <c r="K45" s="9" t="n">
        <v>2</v>
      </c>
      <c r="L45" s="9" t="n">
        <v>4</v>
      </c>
      <c r="M45" s="9" t="n">
        <v>3</v>
      </c>
      <c r="N45" s="9" t="n">
        <v>4</v>
      </c>
      <c r="O45" s="9" t="n">
        <v>3</v>
      </c>
      <c r="P45" s="9" t="n">
        <v>5</v>
      </c>
      <c r="Q45" s="9" t="n">
        <v>4</v>
      </c>
      <c r="R45" s="9" t="n">
        <v>3</v>
      </c>
      <c r="S45" s="9" t="n">
        <v>5</v>
      </c>
      <c r="T45" s="9" t="n">
        <v>3</v>
      </c>
      <c r="U45" s="9" t="n">
        <v>2</v>
      </c>
      <c r="V45" s="9" t="n">
        <v>4</v>
      </c>
      <c r="W45" s="9" t="n">
        <v>4</v>
      </c>
      <c r="X45" s="9" t="n">
        <v>4</v>
      </c>
    </row>
    <row r="46" customFormat="false" ht="15" hidden="false" customHeight="false" outlineLevel="0" collapsed="false">
      <c r="A46" s="9" t="s">
        <v>98</v>
      </c>
      <c r="B46" s="9" t="n">
        <v>2</v>
      </c>
      <c r="C46" s="9" t="n">
        <v>2</v>
      </c>
      <c r="D46" s="9" t="n">
        <v>34</v>
      </c>
      <c r="E46" s="9" t="n">
        <v>3</v>
      </c>
      <c r="F46" s="9" t="s">
        <v>61</v>
      </c>
      <c r="G46" s="10" t="n">
        <v>46258</v>
      </c>
      <c r="H46" s="9" t="n">
        <v>6.5</v>
      </c>
      <c r="I46" s="9" t="n">
        <v>69</v>
      </c>
      <c r="J46" s="9" t="n">
        <v>3</v>
      </c>
      <c r="K46" s="9" t="n">
        <v>3</v>
      </c>
      <c r="L46" s="9" t="n">
        <v>2</v>
      </c>
      <c r="M46" s="9" t="n">
        <v>4</v>
      </c>
      <c r="N46" s="9" t="n">
        <v>2</v>
      </c>
      <c r="O46" s="9" t="n">
        <v>2</v>
      </c>
      <c r="P46" s="9" t="n">
        <v>3</v>
      </c>
      <c r="Q46" s="9" t="n">
        <v>2</v>
      </c>
      <c r="R46" s="9" t="n">
        <v>2</v>
      </c>
      <c r="S46" s="9" t="n">
        <v>2</v>
      </c>
      <c r="T46" s="9" t="n">
        <v>2</v>
      </c>
      <c r="U46" s="9" t="n">
        <v>3</v>
      </c>
      <c r="V46" s="9" t="n">
        <v>2</v>
      </c>
      <c r="W46" s="9" t="n">
        <v>2</v>
      </c>
      <c r="X46" s="9" t="n">
        <v>2</v>
      </c>
    </row>
    <row r="47" customFormat="false" ht="15" hidden="false" customHeight="false" outlineLevel="0" collapsed="false">
      <c r="A47" s="9" t="s">
        <v>99</v>
      </c>
      <c r="B47" s="9" t="n">
        <v>2</v>
      </c>
      <c r="C47" s="9" t="n">
        <v>2</v>
      </c>
      <c r="D47" s="9" t="n">
        <v>58</v>
      </c>
      <c r="E47" s="9" t="n">
        <v>11</v>
      </c>
      <c r="F47" s="9" t="s">
        <v>48</v>
      </c>
      <c r="G47" s="10" t="n">
        <v>46259</v>
      </c>
      <c r="H47" s="9" t="n">
        <v>6.5</v>
      </c>
      <c r="I47" s="9" t="n">
        <v>73</v>
      </c>
      <c r="J47" s="9" t="n">
        <v>4</v>
      </c>
      <c r="K47" s="9" t="n">
        <v>2</v>
      </c>
      <c r="L47" s="9" t="n">
        <v>4</v>
      </c>
      <c r="M47" s="9" t="n">
        <v>5</v>
      </c>
      <c r="N47" s="9" t="n">
        <v>5</v>
      </c>
      <c r="O47" s="9" t="n">
        <v>3</v>
      </c>
      <c r="P47" s="9" t="n">
        <v>4</v>
      </c>
      <c r="Q47" s="9" t="n">
        <v>3</v>
      </c>
      <c r="R47" s="9" t="n">
        <v>2</v>
      </c>
      <c r="S47" s="9" t="n">
        <v>5</v>
      </c>
      <c r="T47" s="9" t="n">
        <v>3</v>
      </c>
      <c r="U47" s="9" t="n">
        <v>1</v>
      </c>
      <c r="V47" s="9" t="n">
        <v>4</v>
      </c>
      <c r="W47" s="9" t="n">
        <v>3</v>
      </c>
      <c r="X47" s="9" t="n">
        <v>4</v>
      </c>
    </row>
    <row r="48" customFormat="false" ht="15" hidden="false" customHeight="false" outlineLevel="0" collapsed="false">
      <c r="A48" s="9" t="s">
        <v>100</v>
      </c>
      <c r="B48" s="9" t="n">
        <v>2</v>
      </c>
      <c r="C48" s="9" t="n">
        <v>2</v>
      </c>
      <c r="D48" s="9" t="n">
        <v>35</v>
      </c>
      <c r="E48" s="9" t="n">
        <v>11</v>
      </c>
      <c r="F48" s="9" t="s">
        <v>94</v>
      </c>
      <c r="G48" s="10" t="n">
        <v>46260</v>
      </c>
      <c r="H48" s="9" t="n">
        <v>10.4</v>
      </c>
      <c r="I48" s="9" t="n">
        <v>68</v>
      </c>
      <c r="J48" s="9" t="n">
        <v>5</v>
      </c>
      <c r="K48" s="9" t="n">
        <v>3</v>
      </c>
      <c r="L48" s="9" t="n">
        <v>4</v>
      </c>
      <c r="M48" s="9" t="n">
        <v>3</v>
      </c>
      <c r="N48" s="9" t="n">
        <v>2</v>
      </c>
      <c r="O48" s="9" t="n">
        <v>4</v>
      </c>
      <c r="P48" s="9" t="n">
        <v>3</v>
      </c>
      <c r="Q48" s="9" t="n">
        <v>3</v>
      </c>
      <c r="R48" s="9" t="n">
        <v>4</v>
      </c>
      <c r="S48" s="9" t="n">
        <v>3</v>
      </c>
      <c r="T48" s="9" t="n">
        <v>3</v>
      </c>
      <c r="U48" s="9" t="n">
        <v>4</v>
      </c>
      <c r="V48" s="9" t="n">
        <v>2</v>
      </c>
      <c r="W48" s="9" t="n">
        <v>4</v>
      </c>
      <c r="X48" s="9" t="n">
        <v>3</v>
      </c>
    </row>
    <row r="49" customFormat="false" ht="15" hidden="false" customHeight="false" outlineLevel="0" collapsed="false">
      <c r="A49" s="9" t="s">
        <v>101</v>
      </c>
      <c r="B49" s="9" t="n">
        <v>2</v>
      </c>
      <c r="C49" s="9" t="n">
        <v>1</v>
      </c>
      <c r="D49" s="9" t="n">
        <v>42</v>
      </c>
      <c r="E49" s="9" t="n">
        <v>4</v>
      </c>
      <c r="F49" s="9" t="s">
        <v>50</v>
      </c>
      <c r="G49" s="10" t="n">
        <v>46261</v>
      </c>
      <c r="H49" s="9" t="n">
        <v>10.5</v>
      </c>
      <c r="I49" s="9" t="n">
        <v>70</v>
      </c>
      <c r="J49" s="9" t="n">
        <v>3</v>
      </c>
      <c r="K49" s="9" t="n">
        <v>3</v>
      </c>
      <c r="L49" s="9" t="n">
        <v>4</v>
      </c>
      <c r="M49" s="9" t="n">
        <v>5</v>
      </c>
      <c r="N49" s="9" t="n">
        <v>2</v>
      </c>
      <c r="O49" s="9" t="n">
        <v>3</v>
      </c>
      <c r="P49" s="9" t="n">
        <v>2</v>
      </c>
      <c r="Q49" s="9" t="n">
        <v>3</v>
      </c>
      <c r="R49" s="9" t="n">
        <v>4</v>
      </c>
      <c r="S49" s="9" t="n">
        <v>4</v>
      </c>
      <c r="T49" s="9" t="n">
        <v>4</v>
      </c>
      <c r="U49" s="9" t="n">
        <v>3</v>
      </c>
      <c r="V49" s="9" t="n">
        <v>4</v>
      </c>
      <c r="W49" s="9" t="n">
        <v>5</v>
      </c>
      <c r="X49" s="9" t="n">
        <v>4</v>
      </c>
    </row>
    <row r="50" customFormat="false" ht="15" hidden="false" customHeight="false" outlineLevel="0" collapsed="false">
      <c r="A50" s="9" t="s">
        <v>102</v>
      </c>
      <c r="B50" s="9" t="n">
        <v>2</v>
      </c>
      <c r="C50" s="9" t="n">
        <v>1</v>
      </c>
      <c r="D50" s="9" t="n">
        <v>39</v>
      </c>
      <c r="E50" s="9" t="n">
        <v>6</v>
      </c>
      <c r="F50" s="9" t="s">
        <v>55</v>
      </c>
      <c r="G50" s="10" t="n">
        <v>46262</v>
      </c>
      <c r="H50" s="9" t="n">
        <v>8.8</v>
      </c>
      <c r="I50" s="9" t="n">
        <v>65</v>
      </c>
      <c r="J50" s="9" t="n">
        <v>4</v>
      </c>
      <c r="K50" s="9" t="n">
        <v>4</v>
      </c>
      <c r="L50" s="9" t="n">
        <v>3</v>
      </c>
      <c r="M50" s="9" t="n">
        <v>2</v>
      </c>
      <c r="N50" s="9" t="n">
        <v>3</v>
      </c>
      <c r="O50" s="9" t="n">
        <v>4</v>
      </c>
      <c r="P50" s="9" t="n">
        <v>3</v>
      </c>
      <c r="Q50" s="9" t="n">
        <v>4</v>
      </c>
      <c r="R50" s="9" t="n">
        <v>3</v>
      </c>
      <c r="S50" s="9" t="n">
        <v>4</v>
      </c>
      <c r="T50" s="9" t="n">
        <v>3</v>
      </c>
      <c r="U50" s="9" t="n">
        <v>3</v>
      </c>
      <c r="V50" s="9" t="n">
        <v>3</v>
      </c>
      <c r="W50" s="9" t="n">
        <v>4</v>
      </c>
      <c r="X50" s="9" t="n">
        <v>3</v>
      </c>
    </row>
    <row r="51" customFormat="false" ht="15" hidden="false" customHeight="false" outlineLevel="0" collapsed="false">
      <c r="A51" s="9" t="s">
        <v>103</v>
      </c>
      <c r="B51" s="9" t="n">
        <v>2</v>
      </c>
      <c r="C51" s="9" t="n">
        <v>2</v>
      </c>
      <c r="D51" s="9" t="n">
        <v>24</v>
      </c>
      <c r="E51" s="9" t="n">
        <v>3</v>
      </c>
      <c r="F51" s="9" t="s">
        <v>63</v>
      </c>
      <c r="G51" s="10" t="n">
        <v>46258</v>
      </c>
      <c r="H51" s="9" t="n">
        <v>14.9</v>
      </c>
      <c r="I51" s="9" t="n">
        <v>57</v>
      </c>
      <c r="J51" s="9" t="n">
        <v>1</v>
      </c>
      <c r="K51" s="9" t="n">
        <v>3</v>
      </c>
      <c r="L51" s="9" t="n">
        <v>4</v>
      </c>
      <c r="M51" s="9" t="n">
        <v>4</v>
      </c>
      <c r="N51" s="9" t="n">
        <v>2</v>
      </c>
      <c r="O51" s="9" t="n">
        <v>4</v>
      </c>
      <c r="P51" s="9" t="n">
        <v>3</v>
      </c>
      <c r="Q51" s="9" t="n">
        <v>5</v>
      </c>
      <c r="R51" s="9" t="n">
        <v>4</v>
      </c>
      <c r="S51" s="9" t="n">
        <v>4</v>
      </c>
      <c r="T51" s="9" t="n">
        <v>3</v>
      </c>
      <c r="U51" s="9" t="n">
        <v>4</v>
      </c>
      <c r="V51" s="9" t="n">
        <v>3</v>
      </c>
      <c r="W51" s="9" t="n">
        <v>3</v>
      </c>
      <c r="X51" s="9"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T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2"/>
    <col collapsed="false" customWidth="true" hidden="false" outlineLevel="0" max="20" min="4" style="0" width="8"/>
  </cols>
  <sheetData>
    <row r="1" customFormat="false" ht="17.35" hidden="false" customHeight="false" outlineLevel="0" collapsed="false">
      <c r="A1" s="1" t="s">
        <v>129</v>
      </c>
    </row>
    <row r="2" customFormat="false" ht="15" hidden="false" customHeight="false" outlineLevel="0" collapsed="false">
      <c r="A2" s="2" t="s">
        <v>130</v>
      </c>
    </row>
    <row r="4" customFormat="false" ht="24" hidden="false" customHeight="true" outlineLevel="0" collapsed="false">
      <c r="A4" s="6" t="s">
        <v>21</v>
      </c>
      <c r="B4" s="6" t="s">
        <v>22</v>
      </c>
      <c r="C4" s="6" t="s">
        <v>106</v>
      </c>
      <c r="D4" s="6" t="s">
        <v>107</v>
      </c>
      <c r="E4" s="6" t="s">
        <v>108</v>
      </c>
      <c r="F4" s="6" t="s">
        <v>109</v>
      </c>
      <c r="G4" s="6" t="s">
        <v>110</v>
      </c>
      <c r="H4" s="6" t="s">
        <v>111</v>
      </c>
      <c r="I4" s="6" t="s">
        <v>112</v>
      </c>
      <c r="J4" s="6" t="s">
        <v>113</v>
      </c>
      <c r="K4" s="6" t="s">
        <v>114</v>
      </c>
      <c r="L4" s="6" t="s">
        <v>115</v>
      </c>
      <c r="M4" s="6" t="s">
        <v>116</v>
      </c>
      <c r="N4" s="6" t="s">
        <v>117</v>
      </c>
      <c r="O4" s="6" t="s">
        <v>118</v>
      </c>
      <c r="P4" s="6" t="s">
        <v>119</v>
      </c>
      <c r="Q4" s="6" t="s">
        <v>120</v>
      </c>
      <c r="R4" s="6" t="s">
        <v>121</v>
      </c>
      <c r="S4" s="6" t="s">
        <v>122</v>
      </c>
      <c r="T4" s="6" t="s">
        <v>123</v>
      </c>
    </row>
    <row r="5" customFormat="false" ht="15" hidden="false" customHeight="false" outlineLevel="0" collapsed="false">
      <c r="A5" s="9" t="s">
        <v>45</v>
      </c>
      <c r="B5" s="9" t="n">
        <v>1</v>
      </c>
      <c r="C5" s="10" t="n">
        <v>46307</v>
      </c>
      <c r="D5" s="9" t="n">
        <v>5.5</v>
      </c>
      <c r="E5" s="9" t="n">
        <v>100</v>
      </c>
      <c r="F5" s="9" t="n">
        <v>4</v>
      </c>
      <c r="G5" s="9" t="n">
        <v>3</v>
      </c>
      <c r="H5" s="9" t="n">
        <v>4</v>
      </c>
      <c r="I5" s="9" t="n">
        <v>2</v>
      </c>
      <c r="J5" s="9" t="n">
        <v>4</v>
      </c>
      <c r="K5" s="9" t="n">
        <v>3</v>
      </c>
      <c r="L5" s="9" t="n">
        <v>2</v>
      </c>
      <c r="M5" s="9" t="n">
        <v>5</v>
      </c>
      <c r="N5" s="9" t="n">
        <v>4</v>
      </c>
      <c r="O5" s="9" t="n">
        <v>5</v>
      </c>
      <c r="P5" s="9" t="n">
        <v>4</v>
      </c>
      <c r="Q5" s="9" t="n">
        <v>1</v>
      </c>
      <c r="R5" s="9" t="n">
        <v>5</v>
      </c>
      <c r="S5" s="9" t="n">
        <v>4</v>
      </c>
      <c r="T5" s="9" t="n">
        <v>2</v>
      </c>
    </row>
    <row r="6" customFormat="false" ht="15" hidden="false" customHeight="false" outlineLevel="0" collapsed="false">
      <c r="A6" s="9" t="s">
        <v>47</v>
      </c>
      <c r="B6" s="9" t="n">
        <v>1</v>
      </c>
      <c r="C6" s="10" t="n">
        <v>46308</v>
      </c>
      <c r="D6" s="9" t="n">
        <v>3.8</v>
      </c>
      <c r="E6" s="9" t="n">
        <v>92</v>
      </c>
      <c r="F6" s="9" t="n">
        <v>5</v>
      </c>
      <c r="G6" s="9" t="n">
        <v>3</v>
      </c>
      <c r="H6" s="9" t="n">
        <v>4</v>
      </c>
      <c r="I6" s="9" t="n">
        <v>3</v>
      </c>
      <c r="J6" s="9" t="n">
        <v>4</v>
      </c>
      <c r="K6" s="9" t="n">
        <v>4</v>
      </c>
      <c r="L6" s="9" t="n">
        <v>5</v>
      </c>
      <c r="M6" s="9" t="n">
        <v>3</v>
      </c>
      <c r="N6" s="9" t="n">
        <v>4</v>
      </c>
      <c r="O6" s="9" t="n">
        <v>4</v>
      </c>
      <c r="P6" s="9" t="n">
        <v>4</v>
      </c>
      <c r="Q6" s="9" t="n">
        <v>2</v>
      </c>
      <c r="R6" s="9" t="n">
        <v>5</v>
      </c>
      <c r="S6" s="9" t="n">
        <v>5</v>
      </c>
      <c r="T6" s="9" t="n">
        <v>4</v>
      </c>
    </row>
    <row r="7" customFormat="false" ht="15" hidden="false" customHeight="false" outlineLevel="0" collapsed="false">
      <c r="A7" s="9" t="s">
        <v>49</v>
      </c>
      <c r="B7" s="9" t="n">
        <v>1</v>
      </c>
      <c r="C7" s="10" t="n">
        <v>46309</v>
      </c>
      <c r="D7" s="9" t="n">
        <v>8.1</v>
      </c>
      <c r="E7" s="9" t="n">
        <v>69</v>
      </c>
      <c r="F7" s="9" t="n">
        <v>5</v>
      </c>
      <c r="G7" s="9" t="n">
        <v>2</v>
      </c>
      <c r="H7" s="9" t="n">
        <v>2</v>
      </c>
      <c r="I7" s="9" t="n">
        <v>1</v>
      </c>
      <c r="J7" s="9" t="n">
        <v>2</v>
      </c>
      <c r="K7" s="9" t="n">
        <v>5</v>
      </c>
      <c r="L7" s="9" t="n">
        <v>3</v>
      </c>
      <c r="M7" s="9" t="n">
        <v>3</v>
      </c>
      <c r="N7" s="9" t="n">
        <v>4</v>
      </c>
      <c r="O7" s="9" t="n">
        <v>3</v>
      </c>
      <c r="P7" s="9" t="n">
        <v>4</v>
      </c>
      <c r="Q7" s="9" t="n">
        <v>1</v>
      </c>
      <c r="R7" s="9" t="n">
        <v>4</v>
      </c>
      <c r="S7" s="9" t="n">
        <v>3</v>
      </c>
      <c r="T7" s="9" t="n">
        <v>4</v>
      </c>
    </row>
    <row r="8" customFormat="false" ht="15" hidden="false" customHeight="false" outlineLevel="0" collapsed="false">
      <c r="A8" s="9" t="s">
        <v>51</v>
      </c>
      <c r="B8" s="9" t="n">
        <v>1</v>
      </c>
      <c r="C8" s="10" t="n">
        <v>46279</v>
      </c>
      <c r="D8" s="9" t="n">
        <v>6</v>
      </c>
      <c r="E8" s="9" t="n">
        <v>75</v>
      </c>
      <c r="F8" s="9" t="n">
        <v>4</v>
      </c>
      <c r="G8" s="9" t="n">
        <v>5</v>
      </c>
      <c r="H8" s="9" t="n">
        <v>4</v>
      </c>
      <c r="I8" s="9" t="n">
        <v>3</v>
      </c>
      <c r="J8" s="9" t="n">
        <v>4</v>
      </c>
      <c r="K8" s="9" t="n">
        <v>5</v>
      </c>
      <c r="L8" s="9" t="n">
        <v>5</v>
      </c>
      <c r="M8" s="9" t="n">
        <v>3</v>
      </c>
      <c r="N8" s="9" t="n">
        <v>5</v>
      </c>
      <c r="O8" s="9" t="n">
        <v>3</v>
      </c>
      <c r="P8" s="9" t="n">
        <v>4</v>
      </c>
      <c r="Q8" s="9" t="n">
        <v>2</v>
      </c>
      <c r="R8" s="9" t="n">
        <v>4</v>
      </c>
      <c r="S8" s="9" t="n">
        <v>5</v>
      </c>
      <c r="T8" s="9" t="n">
        <v>5</v>
      </c>
    </row>
    <row r="9" customFormat="false" ht="15" hidden="false" customHeight="false" outlineLevel="0" collapsed="false">
      <c r="A9" s="9" t="s">
        <v>53</v>
      </c>
      <c r="B9" s="9" t="n">
        <v>1</v>
      </c>
      <c r="C9" s="10" t="n">
        <v>46311</v>
      </c>
      <c r="D9" s="9" t="n">
        <v>7.6</v>
      </c>
      <c r="E9" s="9" t="n">
        <v>81</v>
      </c>
      <c r="F9" s="9" t="n">
        <v>5</v>
      </c>
      <c r="G9" s="9" t="n">
        <v>5</v>
      </c>
      <c r="H9" s="9" t="n">
        <v>5</v>
      </c>
      <c r="I9" s="9" t="n">
        <v>2</v>
      </c>
      <c r="J9" s="9" t="n">
        <v>5</v>
      </c>
      <c r="K9" s="9" t="n">
        <v>4</v>
      </c>
      <c r="L9" s="9" t="n">
        <v>5</v>
      </c>
      <c r="M9" s="9" t="n">
        <v>5</v>
      </c>
      <c r="N9" s="9" t="n">
        <v>4</v>
      </c>
      <c r="O9" s="9" t="n">
        <v>5</v>
      </c>
      <c r="P9" s="9" t="n">
        <v>4</v>
      </c>
      <c r="Q9" s="9" t="n">
        <v>2</v>
      </c>
      <c r="R9" s="9" t="n">
        <v>4</v>
      </c>
      <c r="S9" s="9" t="n">
        <v>5</v>
      </c>
      <c r="T9" s="9" t="n">
        <v>5</v>
      </c>
    </row>
    <row r="10" customFormat="false" ht="15" hidden="false" customHeight="false" outlineLevel="0" collapsed="false">
      <c r="A10" s="9" t="s">
        <v>54</v>
      </c>
      <c r="B10" s="9" t="n">
        <v>1</v>
      </c>
      <c r="C10" s="10" t="n">
        <v>46307</v>
      </c>
      <c r="D10" s="9" t="n">
        <v>5.2</v>
      </c>
      <c r="E10" s="9" t="n">
        <v>97</v>
      </c>
      <c r="F10" s="9" t="n">
        <v>2</v>
      </c>
      <c r="G10" s="9" t="n">
        <v>5</v>
      </c>
      <c r="H10" s="9" t="n">
        <v>3</v>
      </c>
      <c r="I10" s="9" t="n">
        <v>1</v>
      </c>
      <c r="J10" s="9" t="n">
        <v>4</v>
      </c>
      <c r="K10" s="9" t="n">
        <v>4</v>
      </c>
      <c r="L10" s="9" t="n">
        <v>4</v>
      </c>
      <c r="M10" s="9" t="n">
        <v>2</v>
      </c>
      <c r="N10" s="9" t="n">
        <v>4</v>
      </c>
      <c r="O10" s="9" t="n">
        <v>4</v>
      </c>
      <c r="P10" s="9" t="n">
        <v>5</v>
      </c>
      <c r="Q10" s="9" t="n">
        <v>3</v>
      </c>
      <c r="R10" s="9" t="n">
        <v>3</v>
      </c>
      <c r="S10" s="9" t="n">
        <v>5</v>
      </c>
      <c r="T10" s="9" t="n">
        <v>5</v>
      </c>
    </row>
    <row r="11" customFormat="false" ht="15" hidden="false" customHeight="false" outlineLevel="0" collapsed="false">
      <c r="A11" s="9" t="s">
        <v>58</v>
      </c>
      <c r="B11" s="9" t="n">
        <v>1</v>
      </c>
      <c r="C11" s="10" t="n">
        <v>46309</v>
      </c>
      <c r="D11" s="9" t="n">
        <v>5.2</v>
      </c>
      <c r="E11" s="9" t="n">
        <v>81</v>
      </c>
      <c r="F11" s="9" t="n">
        <v>5</v>
      </c>
      <c r="G11" s="9" t="n">
        <v>5</v>
      </c>
      <c r="H11" s="9" t="n">
        <v>4</v>
      </c>
      <c r="I11" s="9" t="n">
        <v>1</v>
      </c>
      <c r="J11" s="9" t="n">
        <v>4</v>
      </c>
      <c r="K11" s="9" t="n">
        <v>4</v>
      </c>
      <c r="L11" s="9" t="n">
        <v>4</v>
      </c>
      <c r="M11" s="9" t="n">
        <v>4</v>
      </c>
      <c r="N11" s="9" t="n">
        <v>4</v>
      </c>
      <c r="O11" s="9" t="n">
        <v>4</v>
      </c>
      <c r="P11" s="9" t="n">
        <v>3</v>
      </c>
      <c r="Q11" s="9" t="n">
        <v>1</v>
      </c>
      <c r="R11" s="9" t="n">
        <v>3</v>
      </c>
      <c r="S11" s="9" t="n">
        <v>4</v>
      </c>
      <c r="T11" s="9" t="n">
        <v>5</v>
      </c>
    </row>
    <row r="12" customFormat="false" ht="15" hidden="false" customHeight="false" outlineLevel="0" collapsed="false">
      <c r="A12" s="9" t="s">
        <v>59</v>
      </c>
      <c r="B12" s="9" t="n">
        <v>1</v>
      </c>
      <c r="C12" s="10" t="n">
        <v>46310</v>
      </c>
      <c r="D12" s="9" t="n">
        <v>5.1</v>
      </c>
      <c r="E12" s="9" t="n">
        <v>81</v>
      </c>
      <c r="F12" s="9" t="n">
        <v>5</v>
      </c>
      <c r="G12" s="9" t="n">
        <v>5</v>
      </c>
      <c r="H12" s="9" t="n">
        <v>4</v>
      </c>
      <c r="I12" s="9" t="n">
        <v>1</v>
      </c>
      <c r="J12" s="9" t="n">
        <v>5</v>
      </c>
      <c r="K12" s="9" t="n">
        <v>4</v>
      </c>
      <c r="L12" s="9" t="n">
        <v>4</v>
      </c>
      <c r="M12" s="9" t="n">
        <v>5</v>
      </c>
      <c r="N12" s="9" t="n">
        <v>5</v>
      </c>
      <c r="O12" s="9" t="n">
        <v>4</v>
      </c>
      <c r="P12" s="9" t="n">
        <v>4</v>
      </c>
      <c r="Q12" s="9" t="n">
        <v>2</v>
      </c>
      <c r="R12" s="9" t="n">
        <v>5</v>
      </c>
      <c r="S12" s="9" t="n">
        <v>5</v>
      </c>
      <c r="T12" s="9" t="n">
        <v>4</v>
      </c>
    </row>
    <row r="13" customFormat="false" ht="15" hidden="false" customHeight="false" outlineLevel="0" collapsed="false">
      <c r="A13" s="9" t="s">
        <v>60</v>
      </c>
      <c r="B13" s="9" t="n">
        <v>1</v>
      </c>
      <c r="C13" s="10" t="n">
        <v>46311</v>
      </c>
      <c r="D13" s="9" t="n">
        <v>6.9</v>
      </c>
      <c r="E13" s="9" t="n">
        <v>100</v>
      </c>
      <c r="F13" s="9" t="n">
        <v>5</v>
      </c>
      <c r="G13" s="9" t="n">
        <v>2</v>
      </c>
      <c r="H13" s="9" t="n">
        <v>3</v>
      </c>
      <c r="I13" s="9" t="n">
        <v>1</v>
      </c>
      <c r="J13" s="9" t="n">
        <v>6</v>
      </c>
      <c r="K13" s="9" t="n">
        <v>3</v>
      </c>
      <c r="L13" s="9" t="n">
        <v>5</v>
      </c>
      <c r="M13" s="9" t="n">
        <v>5</v>
      </c>
      <c r="N13" s="9" t="n">
        <v>5</v>
      </c>
      <c r="O13" s="9" t="n">
        <v>4</v>
      </c>
      <c r="P13" s="9" t="n">
        <v>5</v>
      </c>
      <c r="Q13" s="9" t="n">
        <v>2</v>
      </c>
      <c r="R13" s="9" t="n">
        <v>5</v>
      </c>
      <c r="S13" s="9" t="n">
        <v>5</v>
      </c>
      <c r="T13" s="9" t="n">
        <v>5</v>
      </c>
    </row>
    <row r="14" customFormat="false" ht="15" hidden="false" customHeight="false" outlineLevel="0" collapsed="false">
      <c r="A14" s="9" t="s">
        <v>62</v>
      </c>
      <c r="B14" s="9" t="n">
        <v>1</v>
      </c>
      <c r="C14" s="10" t="n">
        <v>46307</v>
      </c>
      <c r="D14" s="9" t="n">
        <v>8.8</v>
      </c>
      <c r="E14" s="9" t="n">
        <v>71</v>
      </c>
      <c r="F14" s="9" t="n">
        <v>5</v>
      </c>
      <c r="G14" s="9" t="n">
        <v>4</v>
      </c>
      <c r="H14" s="9" t="n">
        <v>5</v>
      </c>
      <c r="I14" s="9" t="n">
        <v>1</v>
      </c>
      <c r="J14" s="9" t="n">
        <v>3</v>
      </c>
      <c r="K14" s="9" t="n">
        <v>5</v>
      </c>
      <c r="L14" s="9" t="n">
        <v>5</v>
      </c>
      <c r="M14" s="9" t="n">
        <v>5</v>
      </c>
      <c r="N14" s="9" t="n">
        <v>5</v>
      </c>
      <c r="O14" s="9" t="n">
        <v>5</v>
      </c>
      <c r="P14" s="9" t="n">
        <v>5</v>
      </c>
      <c r="Q14" s="9" t="n">
        <v>1</v>
      </c>
      <c r="R14" s="9" t="n">
        <v>5</v>
      </c>
      <c r="S14" s="9" t="n">
        <v>5</v>
      </c>
      <c r="T14" s="9" t="n">
        <v>4</v>
      </c>
    </row>
    <row r="15" customFormat="false" ht="15" hidden="false" customHeight="false" outlineLevel="0" collapsed="false">
      <c r="A15" s="9" t="s">
        <v>124</v>
      </c>
      <c r="B15" s="9" t="n">
        <v>1</v>
      </c>
      <c r="C15" s="10" t="n">
        <v>46308</v>
      </c>
      <c r="D15" s="9" t="n">
        <v>5</v>
      </c>
      <c r="E15" s="9" t="n">
        <v>77</v>
      </c>
      <c r="F15" s="9" t="n">
        <v>5</v>
      </c>
      <c r="G15" s="9" t="n">
        <v>5</v>
      </c>
      <c r="H15" s="9" t="n">
        <v>3</v>
      </c>
      <c r="I15" s="9" t="n">
        <v>2</v>
      </c>
      <c r="J15" s="9" t="n">
        <v>5</v>
      </c>
      <c r="K15" s="9" t="n">
        <v>5</v>
      </c>
      <c r="L15" s="9" t="n">
        <v>3</v>
      </c>
      <c r="M15" s="9" t="n">
        <v>5</v>
      </c>
      <c r="N15" s="9" t="n">
        <v>5</v>
      </c>
      <c r="O15" s="9" t="n">
        <v>5</v>
      </c>
      <c r="P15" s="9" t="n">
        <v>4</v>
      </c>
      <c r="Q15" s="9" t="n">
        <v>2</v>
      </c>
      <c r="R15" s="9" t="n">
        <v>4</v>
      </c>
      <c r="S15" s="9" t="n">
        <v>4</v>
      </c>
      <c r="T15" s="9" t="n">
        <v>5</v>
      </c>
    </row>
    <row r="16" customFormat="false" ht="15" hidden="false" customHeight="false" outlineLevel="0" collapsed="false">
      <c r="A16" s="9" t="s">
        <v>67</v>
      </c>
      <c r="B16" s="9" t="n">
        <v>1</v>
      </c>
      <c r="C16" s="10" t="n">
        <v>46310</v>
      </c>
      <c r="D16" s="9" t="n">
        <v>6.2</v>
      </c>
      <c r="E16" s="9" t="n">
        <v>90</v>
      </c>
      <c r="F16" s="9" t="n">
        <v>5</v>
      </c>
      <c r="G16" s="9" t="n">
        <v>5</v>
      </c>
      <c r="H16" s="9" t="n">
        <v>5</v>
      </c>
      <c r="I16" s="9" t="n">
        <v>1</v>
      </c>
      <c r="J16" s="9" t="n">
        <v>5</v>
      </c>
      <c r="K16" s="9" t="n">
        <v>5</v>
      </c>
      <c r="L16" s="9" t="n">
        <v>5</v>
      </c>
      <c r="M16" s="9" t="n">
        <v>5</v>
      </c>
      <c r="N16" s="9" t="n">
        <v>5</v>
      </c>
      <c r="O16" s="9" t="n">
        <v>5</v>
      </c>
      <c r="P16" s="9" t="n">
        <v>5</v>
      </c>
      <c r="Q16" s="9" t="n">
        <v>1</v>
      </c>
      <c r="R16" s="9" t="n">
        <v>5</v>
      </c>
      <c r="S16" s="9" t="n">
        <v>5</v>
      </c>
      <c r="T16" s="9" t="n">
        <v>5</v>
      </c>
    </row>
    <row r="17" customFormat="false" ht="15" hidden="false" customHeight="false" outlineLevel="0" collapsed="false">
      <c r="A17" s="9" t="s">
        <v>68</v>
      </c>
      <c r="B17" s="9" t="n">
        <v>1</v>
      </c>
      <c r="C17" s="10" t="n">
        <v>46311</v>
      </c>
      <c r="D17" s="9" t="n">
        <v>7.5</v>
      </c>
      <c r="E17" s="9" t="n">
        <v>80</v>
      </c>
      <c r="F17" s="9" t="n">
        <v>3</v>
      </c>
      <c r="G17" s="9" t="n">
        <v>3</v>
      </c>
      <c r="H17" s="9" t="n">
        <v>4</v>
      </c>
      <c r="I17" s="9" t="n">
        <v>4</v>
      </c>
      <c r="J17" s="9" t="n">
        <v>3</v>
      </c>
      <c r="K17" s="9" t="n">
        <v>3</v>
      </c>
      <c r="L17" s="9" t="n">
        <v>5</v>
      </c>
      <c r="M17" s="9" t="n">
        <v>4</v>
      </c>
      <c r="N17" s="9" t="n">
        <v>4</v>
      </c>
      <c r="O17" s="9" t="n">
        <v>5</v>
      </c>
      <c r="P17" s="9" t="n">
        <v>4</v>
      </c>
      <c r="Q17" s="9" t="n">
        <v>2</v>
      </c>
      <c r="R17" s="9" t="n">
        <v>4</v>
      </c>
      <c r="S17" s="9" t="n">
        <v>4</v>
      </c>
      <c r="T17" s="9" t="n">
        <v>4</v>
      </c>
    </row>
    <row r="18" customFormat="false" ht="15" hidden="false" customHeight="false" outlineLevel="0" collapsed="false">
      <c r="A18" s="9" t="s">
        <v>69</v>
      </c>
      <c r="B18" s="9" t="n">
        <v>1</v>
      </c>
      <c r="C18" s="10" t="n">
        <v>46307</v>
      </c>
      <c r="D18" s="9" t="n">
        <v>6</v>
      </c>
      <c r="E18" s="9" t="n">
        <v>70</v>
      </c>
      <c r="F18" s="9" t="n">
        <v>5</v>
      </c>
      <c r="G18" s="9" t="n">
        <v>3</v>
      </c>
      <c r="H18" s="9" t="n">
        <v>4</v>
      </c>
      <c r="I18" s="9" t="n">
        <v>2</v>
      </c>
      <c r="J18" s="9" t="n">
        <v>5</v>
      </c>
      <c r="K18" s="9" t="n">
        <v>4</v>
      </c>
      <c r="L18" s="9" t="n">
        <v>5</v>
      </c>
      <c r="M18" s="9" t="n">
        <v>4</v>
      </c>
      <c r="N18" s="9" t="n">
        <v>4</v>
      </c>
      <c r="O18" s="9" t="n">
        <v>3</v>
      </c>
      <c r="P18" s="9" t="n">
        <v>3</v>
      </c>
      <c r="Q18" s="9" t="n">
        <v>1</v>
      </c>
      <c r="R18" s="9" t="n">
        <v>5</v>
      </c>
      <c r="S18" s="9" t="n">
        <v>5</v>
      </c>
      <c r="T18" s="9" t="n">
        <v>5</v>
      </c>
    </row>
    <row r="19" customFormat="false" ht="15" hidden="false" customHeight="false" outlineLevel="0" collapsed="false">
      <c r="A19" s="9" t="s">
        <v>70</v>
      </c>
      <c r="B19" s="9" t="n">
        <v>1</v>
      </c>
      <c r="C19" s="10" t="n">
        <v>46308</v>
      </c>
      <c r="D19" s="9" t="n">
        <v>7.3</v>
      </c>
      <c r="E19" s="9" t="n">
        <v>76</v>
      </c>
      <c r="F19" s="9" t="n">
        <v>5</v>
      </c>
      <c r="G19" s="9" t="n">
        <v>5</v>
      </c>
      <c r="H19" s="9" t="n">
        <v>5</v>
      </c>
      <c r="I19" s="9" t="n">
        <v>2</v>
      </c>
      <c r="J19" s="9" t="n">
        <v>5</v>
      </c>
      <c r="K19" s="9" t="n">
        <v>5</v>
      </c>
      <c r="L19" s="9" t="n">
        <v>5</v>
      </c>
      <c r="M19" s="9" t="n">
        <v>3</v>
      </c>
      <c r="N19" s="9" t="n">
        <v>4</v>
      </c>
      <c r="O19" s="9" t="n">
        <v>5</v>
      </c>
      <c r="P19" s="9" t="n">
        <v>5</v>
      </c>
      <c r="Q19" s="9" t="n">
        <v>1</v>
      </c>
      <c r="R19" s="9" t="n">
        <v>5</v>
      </c>
      <c r="S19" s="9" t="n">
        <v>5</v>
      </c>
      <c r="T19" s="9" t="n">
        <v>5</v>
      </c>
    </row>
    <row r="20" customFormat="false" ht="15" hidden="false" customHeight="false" outlineLevel="0" collapsed="false">
      <c r="A20" s="9" t="s">
        <v>71</v>
      </c>
      <c r="B20" s="9" t="n">
        <v>1</v>
      </c>
      <c r="C20" s="10" t="n">
        <v>46309</v>
      </c>
      <c r="D20" s="9" t="n">
        <v>7</v>
      </c>
      <c r="E20" s="9" t="n">
        <v>81</v>
      </c>
      <c r="F20" s="9" t="n">
        <v>2</v>
      </c>
      <c r="G20" s="9" t="n">
        <v>5</v>
      </c>
      <c r="H20" s="9" t="n">
        <v>5</v>
      </c>
      <c r="I20" s="9" t="n">
        <v>2</v>
      </c>
      <c r="J20" s="9" t="n">
        <v>3</v>
      </c>
      <c r="K20" s="9" t="n">
        <v>5</v>
      </c>
      <c r="L20" s="9" t="n">
        <v>3</v>
      </c>
      <c r="M20" s="9" t="n">
        <v>3</v>
      </c>
      <c r="N20" s="9" t="n">
        <v>5</v>
      </c>
      <c r="O20" s="9" t="n">
        <v>5</v>
      </c>
      <c r="P20" s="9" t="n">
        <v>2</v>
      </c>
      <c r="Q20" s="9" t="n">
        <v>2</v>
      </c>
      <c r="R20" s="9" t="n">
        <v>4</v>
      </c>
      <c r="S20" s="9" t="n">
        <v>5</v>
      </c>
      <c r="T20" s="9" t="n">
        <v>4</v>
      </c>
    </row>
    <row r="21" customFormat="false" ht="15" hidden="false" customHeight="false" outlineLevel="0" collapsed="false">
      <c r="A21" s="9" t="s">
        <v>72</v>
      </c>
      <c r="B21" s="9" t="n">
        <v>1</v>
      </c>
      <c r="C21" s="10" t="n">
        <v>46310</v>
      </c>
      <c r="D21" s="9" t="n">
        <v>4.6</v>
      </c>
      <c r="E21" s="9" t="n">
        <v>88</v>
      </c>
      <c r="F21" s="9" t="n">
        <v>4</v>
      </c>
      <c r="G21" s="9" t="n">
        <v>3</v>
      </c>
      <c r="H21" s="9" t="n">
        <v>5</v>
      </c>
      <c r="I21" s="9" t="n">
        <v>1</v>
      </c>
      <c r="J21" s="9" t="n">
        <v>4</v>
      </c>
      <c r="K21" s="9" t="n">
        <v>4</v>
      </c>
      <c r="L21" s="9" t="n">
        <v>4</v>
      </c>
      <c r="M21" s="9" t="n">
        <v>3</v>
      </c>
      <c r="N21" s="9" t="n">
        <v>4</v>
      </c>
      <c r="O21" s="9" t="n">
        <v>5</v>
      </c>
      <c r="P21" s="9" t="n">
        <v>4</v>
      </c>
      <c r="Q21" s="9" t="n">
        <v>2</v>
      </c>
      <c r="R21" s="9" t="n">
        <v>5</v>
      </c>
      <c r="S21" s="9" t="n">
        <v>4</v>
      </c>
      <c r="T21" s="9" t="n">
        <v>5</v>
      </c>
    </row>
    <row r="22" customFormat="false" ht="15" hidden="false" customHeight="false" outlineLevel="0" collapsed="false">
      <c r="A22" s="9" t="s">
        <v>74</v>
      </c>
      <c r="B22" s="9" t="n">
        <v>1</v>
      </c>
      <c r="C22" s="10" t="n">
        <v>46311</v>
      </c>
      <c r="D22" s="9" t="n">
        <v>5.6</v>
      </c>
      <c r="E22" s="9" t="n">
        <v>81</v>
      </c>
      <c r="F22" s="9" t="n">
        <v>5</v>
      </c>
      <c r="G22" s="9" t="n">
        <v>5</v>
      </c>
      <c r="H22" s="9" t="n">
        <v>4</v>
      </c>
      <c r="I22" s="9" t="n">
        <v>1</v>
      </c>
      <c r="J22" s="9" t="n">
        <v>4</v>
      </c>
      <c r="K22" s="9" t="n">
        <v>5</v>
      </c>
      <c r="L22" s="9" t="n">
        <v>5</v>
      </c>
      <c r="M22" s="9" t="n">
        <v>4</v>
      </c>
      <c r="N22" s="9" t="n">
        <v>5</v>
      </c>
      <c r="O22" s="9" t="n">
        <v>5</v>
      </c>
      <c r="P22" s="9" t="n">
        <v>5</v>
      </c>
      <c r="Q22" s="9" t="n">
        <v>2</v>
      </c>
      <c r="R22" s="9" t="n">
        <v>5</v>
      </c>
      <c r="S22" s="9" t="n">
        <v>4</v>
      </c>
      <c r="T22" s="9" t="n">
        <v>4</v>
      </c>
    </row>
    <row r="23" customFormat="false" ht="15" hidden="false" customHeight="false" outlineLevel="0" collapsed="false">
      <c r="A23" s="9" t="s">
        <v>75</v>
      </c>
      <c r="B23" s="9" t="n">
        <v>1</v>
      </c>
      <c r="C23" s="10" t="n">
        <v>46307</v>
      </c>
      <c r="D23" s="9" t="n">
        <v>7.7</v>
      </c>
      <c r="E23" s="9" t="n">
        <v>73</v>
      </c>
      <c r="F23" s="9" t="n">
        <v>2</v>
      </c>
      <c r="G23" s="9" t="n">
        <v>4</v>
      </c>
      <c r="H23" s="9" t="n">
        <v>3</v>
      </c>
      <c r="I23" s="9" t="n">
        <v>3</v>
      </c>
      <c r="J23" s="9" t="n">
        <v>4</v>
      </c>
      <c r="K23" s="9" t="n">
        <v>4</v>
      </c>
      <c r="L23" s="9" t="n">
        <v>5</v>
      </c>
      <c r="M23" s="9" t="n">
        <v>3</v>
      </c>
      <c r="N23" s="9" t="n">
        <v>4</v>
      </c>
      <c r="O23" s="9" t="n">
        <v>3</v>
      </c>
      <c r="P23" s="9" t="n">
        <v>4</v>
      </c>
      <c r="Q23" s="9" t="n">
        <v>1</v>
      </c>
      <c r="R23" s="9" t="n">
        <v>4</v>
      </c>
      <c r="S23" s="9" t="n">
        <v>5</v>
      </c>
      <c r="T23" s="9" t="n">
        <v>5</v>
      </c>
    </row>
    <row r="24" customFormat="false" ht="15" hidden="false" customHeight="false" outlineLevel="0" collapsed="false">
      <c r="A24" s="9" t="s">
        <v>76</v>
      </c>
      <c r="B24" s="9" t="n">
        <v>1</v>
      </c>
      <c r="C24" s="10" t="n">
        <v>46308</v>
      </c>
      <c r="D24" s="9"/>
      <c r="E24" s="9" t="n">
        <v>69</v>
      </c>
      <c r="F24" s="9" t="n">
        <v>2</v>
      </c>
      <c r="G24" s="9" t="n">
        <v>3</v>
      </c>
      <c r="H24" s="9" t="n">
        <v>3</v>
      </c>
      <c r="I24" s="9" t="n">
        <v>2</v>
      </c>
      <c r="J24" s="9" t="n">
        <v>2</v>
      </c>
      <c r="K24" s="9" t="n">
        <v>5</v>
      </c>
      <c r="L24" s="9" t="n">
        <v>4</v>
      </c>
      <c r="M24" s="9" t="n">
        <v>2</v>
      </c>
      <c r="N24" s="9" t="n">
        <v>4</v>
      </c>
      <c r="O24" s="9" t="n">
        <v>3</v>
      </c>
      <c r="P24" s="9" t="n">
        <v>4</v>
      </c>
      <c r="Q24" s="9" t="n">
        <v>2</v>
      </c>
      <c r="R24" s="9" t="n">
        <v>2</v>
      </c>
      <c r="S24" s="9" t="n">
        <v>3</v>
      </c>
      <c r="T24" s="9" t="n">
        <v>1</v>
      </c>
    </row>
    <row r="25" customFormat="false" ht="15" hidden="false" customHeight="false" outlineLevel="0" collapsed="false">
      <c r="A25" s="9" t="s">
        <v>77</v>
      </c>
      <c r="B25" s="9" t="n">
        <v>1</v>
      </c>
      <c r="C25" s="10" t="n">
        <v>46309</v>
      </c>
      <c r="D25" s="9" t="n">
        <v>4.5</v>
      </c>
      <c r="E25" s="9" t="n">
        <v>88</v>
      </c>
      <c r="F25" s="9" t="n">
        <v>3</v>
      </c>
      <c r="G25" s="9" t="n">
        <v>4</v>
      </c>
      <c r="H25" s="9" t="n">
        <v>3</v>
      </c>
      <c r="I25" s="9" t="n">
        <v>2</v>
      </c>
      <c r="J25" s="9" t="n">
        <v>4</v>
      </c>
      <c r="K25" s="9" t="n">
        <v>4</v>
      </c>
      <c r="L25" s="9" t="n">
        <v>2</v>
      </c>
      <c r="M25" s="9" t="n">
        <v>4</v>
      </c>
      <c r="N25" s="9" t="n">
        <v>4</v>
      </c>
      <c r="O25" s="9" t="n">
        <v>5</v>
      </c>
      <c r="P25" s="9" t="n">
        <v>4</v>
      </c>
      <c r="Q25" s="9" t="n">
        <v>3</v>
      </c>
      <c r="R25" s="9" t="n">
        <v>3</v>
      </c>
      <c r="S25" s="9" t="n">
        <v>4</v>
      </c>
      <c r="T25" s="9" t="n">
        <v>4</v>
      </c>
    </row>
    <row r="26" customFormat="false" ht="15" hidden="false" customHeight="false" outlineLevel="0" collapsed="false">
      <c r="A26" s="9" t="s">
        <v>78</v>
      </c>
      <c r="B26" s="9" t="n">
        <v>1</v>
      </c>
      <c r="C26" s="10" t="n">
        <v>46310</v>
      </c>
      <c r="D26" s="9" t="n">
        <v>9.5</v>
      </c>
      <c r="E26" s="9" t="n">
        <v>73</v>
      </c>
      <c r="F26" s="9" t="n">
        <v>5</v>
      </c>
      <c r="G26" s="9" t="n">
        <v>4</v>
      </c>
      <c r="H26" s="9" t="n">
        <v>4</v>
      </c>
      <c r="I26" s="9" t="n">
        <v>2</v>
      </c>
      <c r="J26" s="9" t="n">
        <v>4</v>
      </c>
      <c r="K26" s="9" t="n">
        <v>5</v>
      </c>
      <c r="L26" s="9" t="n">
        <v>5</v>
      </c>
      <c r="M26" s="9" t="n">
        <v>4</v>
      </c>
      <c r="N26" s="9" t="n">
        <v>5</v>
      </c>
      <c r="O26" s="9" t="n">
        <v>3</v>
      </c>
      <c r="P26" s="9" t="n">
        <v>4</v>
      </c>
      <c r="Q26" s="9" t="n">
        <v>2</v>
      </c>
      <c r="R26" s="9" t="n">
        <v>4</v>
      </c>
      <c r="S26" s="9" t="n">
        <v>3</v>
      </c>
      <c r="T26" s="9" t="n">
        <v>5</v>
      </c>
    </row>
    <row r="27" customFormat="false" ht="15" hidden="false" customHeight="false" outlineLevel="0" collapsed="false">
      <c r="A27" s="9" t="s">
        <v>79</v>
      </c>
      <c r="B27" s="9" t="n">
        <v>2</v>
      </c>
      <c r="C27" s="10" t="n">
        <v>46311</v>
      </c>
      <c r="D27" s="9" t="n">
        <v>6.9</v>
      </c>
      <c r="E27" s="9" t="n">
        <v>73</v>
      </c>
      <c r="F27" s="9" t="n">
        <v>3</v>
      </c>
      <c r="G27" s="9" t="n">
        <v>4</v>
      </c>
      <c r="H27" s="9" t="n">
        <v>4</v>
      </c>
      <c r="I27" s="9" t="n">
        <v>2</v>
      </c>
      <c r="J27" s="9" t="n">
        <v>2</v>
      </c>
      <c r="K27" s="9" t="n">
        <v>3</v>
      </c>
      <c r="L27" s="9" t="n">
        <v>4</v>
      </c>
      <c r="M27" s="9" t="n">
        <v>3</v>
      </c>
      <c r="N27" s="9" t="n">
        <v>3</v>
      </c>
      <c r="O27" s="9" t="n">
        <v>4</v>
      </c>
      <c r="P27" s="9" t="n">
        <v>3</v>
      </c>
      <c r="Q27" s="9" t="n">
        <v>3</v>
      </c>
      <c r="R27" s="9" t="n">
        <v>3</v>
      </c>
      <c r="S27" s="9" t="n">
        <v>3</v>
      </c>
      <c r="T27" s="9" t="n">
        <v>3</v>
      </c>
    </row>
    <row r="28" customFormat="false" ht="15" hidden="false" customHeight="false" outlineLevel="0" collapsed="false">
      <c r="A28" s="9" t="s">
        <v>80</v>
      </c>
      <c r="B28" s="9" t="n">
        <v>2</v>
      </c>
      <c r="C28" s="10" t="n">
        <v>46307</v>
      </c>
      <c r="D28" s="9" t="n">
        <v>14.4</v>
      </c>
      <c r="E28" s="9" t="n">
        <v>55</v>
      </c>
      <c r="F28" s="9" t="n">
        <v>2</v>
      </c>
      <c r="G28" s="9" t="n">
        <v>4</v>
      </c>
      <c r="H28" s="9" t="n">
        <v>3</v>
      </c>
      <c r="I28" s="9" t="n">
        <v>3</v>
      </c>
      <c r="J28" s="9" t="n">
        <v>4</v>
      </c>
      <c r="K28" s="9" t="n">
        <v>2</v>
      </c>
      <c r="L28" s="9" t="n">
        <v>4</v>
      </c>
      <c r="M28" s="9" t="n">
        <v>3</v>
      </c>
      <c r="N28" s="9" t="n">
        <v>2</v>
      </c>
      <c r="O28" s="9" t="n">
        <v>3</v>
      </c>
      <c r="P28" s="9" t="n">
        <v>2</v>
      </c>
      <c r="Q28" s="9" t="n">
        <v>2</v>
      </c>
      <c r="R28" s="9" t="n">
        <v>1</v>
      </c>
      <c r="S28" s="9" t="n">
        <v>4</v>
      </c>
      <c r="T28" s="9" t="n">
        <v>4</v>
      </c>
    </row>
    <row r="29" customFormat="false" ht="15" hidden="false" customHeight="false" outlineLevel="0" collapsed="false">
      <c r="A29" s="9" t="s">
        <v>81</v>
      </c>
      <c r="B29" s="9" t="n">
        <v>2</v>
      </c>
      <c r="C29" s="10" t="n">
        <v>46308</v>
      </c>
      <c r="D29" s="9" t="n">
        <v>10.4</v>
      </c>
      <c r="E29" s="9" t="n">
        <v>67</v>
      </c>
      <c r="F29" s="9" t="n">
        <v>2</v>
      </c>
      <c r="G29" s="9" t="n">
        <v>3</v>
      </c>
      <c r="H29" s="9" t="n">
        <v>3</v>
      </c>
      <c r="I29" s="9" t="n">
        <v>5</v>
      </c>
      <c r="J29" s="9" t="n">
        <v>4</v>
      </c>
      <c r="K29" s="9" t="n">
        <v>2</v>
      </c>
      <c r="L29" s="9" t="n">
        <v>3</v>
      </c>
      <c r="M29" s="9" t="n">
        <v>1</v>
      </c>
      <c r="N29" s="9" t="n">
        <v>2</v>
      </c>
      <c r="O29" s="9" t="n">
        <v>1</v>
      </c>
      <c r="P29" s="9" t="n">
        <v>3</v>
      </c>
      <c r="Q29" s="9" t="n">
        <v>4</v>
      </c>
      <c r="R29" s="9" t="n">
        <v>1</v>
      </c>
      <c r="S29" s="9" t="n">
        <v>3</v>
      </c>
      <c r="T29" s="9" t="n">
        <v>2</v>
      </c>
    </row>
    <row r="30" customFormat="false" ht="15" hidden="false" customHeight="false" outlineLevel="0" collapsed="false">
      <c r="A30" s="9" t="s">
        <v>83</v>
      </c>
      <c r="B30" s="9" t="n">
        <v>2</v>
      </c>
      <c r="C30" s="10" t="n">
        <v>46309</v>
      </c>
      <c r="D30" s="9" t="n">
        <v>13.3</v>
      </c>
      <c r="E30" s="9" t="n">
        <v>63</v>
      </c>
      <c r="F30" s="9" t="n">
        <v>4</v>
      </c>
      <c r="G30" s="9" t="n">
        <v>2</v>
      </c>
      <c r="H30" s="9" t="n">
        <v>5</v>
      </c>
      <c r="I30" s="9" t="n">
        <v>3</v>
      </c>
      <c r="J30" s="9" t="n">
        <v>4</v>
      </c>
      <c r="K30" s="9" t="n">
        <v>3</v>
      </c>
      <c r="L30" s="9" t="n">
        <v>3</v>
      </c>
      <c r="M30" s="9" t="n">
        <v>2</v>
      </c>
      <c r="N30" s="9" t="n">
        <v>4</v>
      </c>
      <c r="O30" s="9" t="n">
        <v>3</v>
      </c>
      <c r="P30" s="9" t="n">
        <v>4</v>
      </c>
      <c r="Q30" s="9" t="n">
        <v>3</v>
      </c>
      <c r="R30" s="9" t="n">
        <v>3</v>
      </c>
      <c r="S30" s="9" t="n">
        <v>4</v>
      </c>
      <c r="T30" s="9" t="n">
        <v>4</v>
      </c>
    </row>
    <row r="31" customFormat="false" ht="15" hidden="false" customHeight="false" outlineLevel="0" collapsed="false">
      <c r="A31" s="9" t="s">
        <v>84</v>
      </c>
      <c r="B31" s="9" t="n">
        <v>2</v>
      </c>
      <c r="C31" s="10" t="n">
        <v>46310</v>
      </c>
      <c r="D31" s="9" t="n">
        <v>10.7</v>
      </c>
      <c r="E31" s="9" t="n">
        <v>53</v>
      </c>
      <c r="F31" s="9" t="n">
        <v>3</v>
      </c>
      <c r="G31" s="9" t="n">
        <v>1</v>
      </c>
      <c r="H31" s="9" t="n">
        <v>3</v>
      </c>
      <c r="I31" s="9" t="n">
        <v>3</v>
      </c>
      <c r="J31" s="9" t="n">
        <v>3</v>
      </c>
      <c r="K31" s="9" t="n">
        <v>3</v>
      </c>
      <c r="L31" s="9" t="n">
        <v>3</v>
      </c>
      <c r="M31" s="9" t="n">
        <v>3</v>
      </c>
      <c r="N31" s="9" t="n">
        <v>3</v>
      </c>
      <c r="O31" s="9" t="n">
        <v>3</v>
      </c>
      <c r="P31" s="9" t="n">
        <v>1</v>
      </c>
      <c r="Q31" s="9" t="n">
        <v>3</v>
      </c>
      <c r="R31" s="9" t="n">
        <v>3</v>
      </c>
      <c r="S31" s="9" t="n">
        <v>4</v>
      </c>
      <c r="T31" s="9" t="n">
        <v>3</v>
      </c>
    </row>
    <row r="32" customFormat="false" ht="15" hidden="false" customHeight="false" outlineLevel="0" collapsed="false">
      <c r="A32" s="9" t="s">
        <v>84</v>
      </c>
      <c r="B32" s="9" t="n">
        <v>2</v>
      </c>
      <c r="C32" s="10" t="n">
        <v>46310</v>
      </c>
      <c r="D32" s="9" t="n">
        <v>10.7</v>
      </c>
      <c r="E32" s="9" t="n">
        <v>53</v>
      </c>
      <c r="F32" s="9" t="n">
        <v>3</v>
      </c>
      <c r="G32" s="9" t="n">
        <v>1</v>
      </c>
      <c r="H32" s="9" t="n">
        <v>3</v>
      </c>
      <c r="I32" s="9" t="n">
        <v>3</v>
      </c>
      <c r="J32" s="9" t="n">
        <v>3</v>
      </c>
      <c r="K32" s="9" t="n">
        <v>3</v>
      </c>
      <c r="L32" s="9" t="n">
        <v>3</v>
      </c>
      <c r="M32" s="9" t="n">
        <v>3</v>
      </c>
      <c r="N32" s="9" t="n">
        <v>3</v>
      </c>
      <c r="O32" s="9" t="n">
        <v>3</v>
      </c>
      <c r="P32" s="9" t="n">
        <v>1</v>
      </c>
      <c r="Q32" s="9" t="n">
        <v>3</v>
      </c>
      <c r="R32" s="9" t="n">
        <v>3</v>
      </c>
      <c r="S32" s="9" t="n">
        <v>4</v>
      </c>
      <c r="T32" s="9" t="n">
        <v>3</v>
      </c>
    </row>
    <row r="33" customFormat="false" ht="15" hidden="false" customHeight="false" outlineLevel="0" collapsed="false">
      <c r="A33" s="9" t="s">
        <v>85</v>
      </c>
      <c r="B33" s="9" t="n">
        <v>2</v>
      </c>
      <c r="C33" s="10" t="n">
        <v>46311</v>
      </c>
      <c r="D33" s="9" t="n">
        <v>12</v>
      </c>
      <c r="E33" s="9" t="n">
        <v>69</v>
      </c>
      <c r="F33" s="9" t="n">
        <v>5</v>
      </c>
      <c r="G33" s="9" t="n">
        <v>3</v>
      </c>
      <c r="H33" s="9" t="n">
        <v>3</v>
      </c>
      <c r="I33" s="9" t="n">
        <v>2</v>
      </c>
      <c r="J33" s="9" t="n">
        <v>3</v>
      </c>
      <c r="K33" s="9" t="n">
        <v>3</v>
      </c>
      <c r="L33" s="9" t="n">
        <v>4</v>
      </c>
      <c r="M33" s="9" t="n">
        <v>3</v>
      </c>
      <c r="N33" s="9" t="n">
        <v>3</v>
      </c>
      <c r="O33" s="9" t="n">
        <v>3</v>
      </c>
      <c r="P33" s="9" t="n">
        <v>3</v>
      </c>
      <c r="Q33" s="9" t="n">
        <v>4</v>
      </c>
      <c r="R33" s="9" t="n">
        <v>4</v>
      </c>
      <c r="S33" s="9" t="n">
        <v>2</v>
      </c>
      <c r="T33" s="9" t="n">
        <v>3</v>
      </c>
    </row>
    <row r="34" customFormat="false" ht="15" hidden="false" customHeight="false" outlineLevel="0" collapsed="false">
      <c r="A34" s="9" t="s">
        <v>86</v>
      </c>
      <c r="B34" s="9" t="n">
        <v>2</v>
      </c>
      <c r="C34" s="10" t="n">
        <v>46307</v>
      </c>
      <c r="D34" s="9" t="n">
        <v>12.2</v>
      </c>
      <c r="E34" s="9" t="n">
        <v>58</v>
      </c>
      <c r="F34" s="9" t="n">
        <v>2</v>
      </c>
      <c r="G34" s="9" t="n">
        <v>4</v>
      </c>
      <c r="H34" s="9" t="n">
        <v>3</v>
      </c>
      <c r="I34" s="9" t="n">
        <v>3</v>
      </c>
      <c r="J34" s="9" t="n">
        <v>2</v>
      </c>
      <c r="K34" s="9" t="n">
        <v>3</v>
      </c>
      <c r="L34" s="9" t="n">
        <v>2</v>
      </c>
      <c r="M34" s="9" t="n">
        <v>4</v>
      </c>
      <c r="N34" s="9" t="n">
        <v>3</v>
      </c>
      <c r="O34" s="9" t="n">
        <v>3</v>
      </c>
      <c r="P34" s="9" t="n">
        <v>3</v>
      </c>
      <c r="Q34" s="9" t="n">
        <v>4</v>
      </c>
      <c r="R34" s="9" t="n">
        <v>2</v>
      </c>
      <c r="S34" s="9" t="n">
        <v>2</v>
      </c>
      <c r="T34" s="9" t="n">
        <v>3</v>
      </c>
    </row>
    <row r="35" customFormat="false" ht="15" hidden="false" customHeight="false" outlineLevel="0" collapsed="false">
      <c r="A35" s="9" t="s">
        <v>88</v>
      </c>
      <c r="B35" s="9" t="n">
        <v>2</v>
      </c>
      <c r="C35" s="10" t="n">
        <v>46309</v>
      </c>
      <c r="D35" s="9" t="n">
        <v>8</v>
      </c>
      <c r="E35" s="9" t="n">
        <v>70</v>
      </c>
      <c r="F35" s="9" t="n">
        <v>4</v>
      </c>
      <c r="G35" s="9"/>
      <c r="H35" s="9"/>
      <c r="I35" s="9" t="n">
        <v>2</v>
      </c>
      <c r="J35" s="9" t="n">
        <v>4</v>
      </c>
      <c r="K35" s="9" t="n">
        <v>3</v>
      </c>
      <c r="L35" s="9" t="n">
        <v>1</v>
      </c>
      <c r="M35" s="9" t="n">
        <v>2</v>
      </c>
      <c r="N35" s="9" t="n">
        <v>1</v>
      </c>
      <c r="O35" s="9" t="n">
        <v>1</v>
      </c>
      <c r="P35" s="9" t="n">
        <v>2</v>
      </c>
      <c r="Q35" s="9" t="n">
        <v>3</v>
      </c>
      <c r="R35" s="9" t="n">
        <v>4</v>
      </c>
      <c r="S35" s="9" t="n">
        <v>3</v>
      </c>
      <c r="T35" s="9" t="n">
        <v>4</v>
      </c>
    </row>
    <row r="36" customFormat="false" ht="15" hidden="false" customHeight="false" outlineLevel="0" collapsed="false">
      <c r="A36" s="9" t="s">
        <v>89</v>
      </c>
      <c r="B36" s="9" t="n">
        <v>2</v>
      </c>
      <c r="C36" s="10" t="n">
        <v>46310</v>
      </c>
      <c r="D36" s="9" t="n">
        <v>13.5</v>
      </c>
      <c r="E36" s="9" t="n">
        <v>70</v>
      </c>
      <c r="F36" s="9" t="n">
        <v>2</v>
      </c>
      <c r="G36" s="9" t="n">
        <v>2</v>
      </c>
      <c r="H36" s="9" t="n">
        <v>4</v>
      </c>
      <c r="I36" s="9" t="n">
        <v>1</v>
      </c>
      <c r="J36" s="9" t="n">
        <v>3</v>
      </c>
      <c r="K36" s="9" t="n">
        <v>2</v>
      </c>
      <c r="L36" s="9" t="n">
        <v>3</v>
      </c>
      <c r="M36" s="9" t="n">
        <v>2</v>
      </c>
      <c r="N36" s="9" t="n">
        <v>2</v>
      </c>
      <c r="O36" s="9" t="n">
        <v>2</v>
      </c>
      <c r="P36" s="9" t="n">
        <v>3</v>
      </c>
      <c r="Q36" s="9" t="n">
        <v>4</v>
      </c>
      <c r="R36" s="9" t="n">
        <v>1</v>
      </c>
      <c r="S36" s="9" t="n">
        <v>3</v>
      </c>
      <c r="T36" s="9" t="n">
        <v>3</v>
      </c>
    </row>
    <row r="37" customFormat="false" ht="15" hidden="false" customHeight="false" outlineLevel="0" collapsed="false">
      <c r="A37" s="9" t="s">
        <v>90</v>
      </c>
      <c r="B37" s="9" t="n">
        <v>2</v>
      </c>
      <c r="C37" s="10" t="n">
        <v>46311</v>
      </c>
      <c r="D37" s="9" t="n">
        <v>17.3</v>
      </c>
      <c r="E37" s="9" t="n">
        <v>61</v>
      </c>
      <c r="F37" s="9" t="n">
        <v>2</v>
      </c>
      <c r="G37" s="9" t="n">
        <v>2</v>
      </c>
      <c r="H37" s="9" t="n">
        <v>3</v>
      </c>
      <c r="I37" s="9" t="n">
        <v>3</v>
      </c>
      <c r="J37" s="9" t="n">
        <v>2</v>
      </c>
      <c r="K37" s="9" t="n">
        <v>2</v>
      </c>
      <c r="L37" s="9" t="n">
        <v>3</v>
      </c>
      <c r="M37" s="9" t="n">
        <v>2</v>
      </c>
      <c r="N37" s="9" t="n">
        <v>2</v>
      </c>
      <c r="O37" s="9" t="n">
        <v>2</v>
      </c>
      <c r="P37" s="9" t="n">
        <v>3</v>
      </c>
      <c r="Q37" s="9" t="n">
        <v>5</v>
      </c>
      <c r="R37" s="9" t="n">
        <v>3</v>
      </c>
      <c r="S37" s="9" t="n">
        <v>3</v>
      </c>
      <c r="T37" s="9" t="n">
        <v>1</v>
      </c>
    </row>
    <row r="38" customFormat="false" ht="15" hidden="false" customHeight="false" outlineLevel="0" collapsed="false">
      <c r="A38" s="9" t="s">
        <v>91</v>
      </c>
      <c r="B38" s="9" t="n">
        <v>2</v>
      </c>
      <c r="C38" s="10" t="n">
        <v>46307</v>
      </c>
      <c r="D38" s="9" t="n">
        <v>15.9</v>
      </c>
      <c r="E38" s="9" t="n">
        <v>75</v>
      </c>
      <c r="F38" s="9" t="n">
        <v>3</v>
      </c>
      <c r="G38" s="9" t="n">
        <v>4</v>
      </c>
      <c r="H38" s="9" t="n">
        <v>4</v>
      </c>
      <c r="I38" s="9" t="n">
        <v>1</v>
      </c>
      <c r="J38" s="9" t="n">
        <v>3</v>
      </c>
      <c r="K38" s="9" t="n">
        <v>5</v>
      </c>
      <c r="L38" s="9" t="n">
        <v>3</v>
      </c>
      <c r="M38" s="9" t="n">
        <v>4</v>
      </c>
      <c r="N38" s="9" t="n">
        <v>4</v>
      </c>
      <c r="O38" s="9" t="n">
        <v>4</v>
      </c>
      <c r="P38" s="9" t="n">
        <v>5</v>
      </c>
      <c r="Q38" s="9" t="n">
        <v>3</v>
      </c>
      <c r="R38" s="9" t="n">
        <v>5</v>
      </c>
      <c r="S38" s="9" t="n">
        <v>3</v>
      </c>
      <c r="T38" s="9" t="n">
        <v>4</v>
      </c>
    </row>
    <row r="39" customFormat="false" ht="15" hidden="false" customHeight="false" outlineLevel="0" collapsed="false">
      <c r="A39" s="9" t="s">
        <v>92</v>
      </c>
      <c r="B39" s="9" t="n">
        <v>2</v>
      </c>
      <c r="C39" s="10" t="n">
        <v>46308</v>
      </c>
      <c r="D39" s="9" t="n">
        <v>8.8</v>
      </c>
      <c r="E39" s="9" t="n">
        <v>58</v>
      </c>
      <c r="F39" s="9" t="n">
        <v>3</v>
      </c>
      <c r="G39" s="9" t="n">
        <v>4</v>
      </c>
      <c r="H39" s="9" t="n">
        <v>2</v>
      </c>
      <c r="I39" s="9" t="n">
        <v>2</v>
      </c>
      <c r="J39" s="9" t="n">
        <v>3</v>
      </c>
      <c r="K39" s="9" t="n">
        <v>4</v>
      </c>
      <c r="L39" s="9" t="n">
        <v>5</v>
      </c>
      <c r="M39" s="9" t="n">
        <v>3</v>
      </c>
      <c r="N39" s="9" t="n">
        <v>3</v>
      </c>
      <c r="O39" s="9" t="n">
        <v>3</v>
      </c>
      <c r="P39" s="9" t="n">
        <v>3</v>
      </c>
      <c r="Q39" s="9" t="n">
        <v>3</v>
      </c>
      <c r="R39" s="9" t="n">
        <v>3</v>
      </c>
      <c r="S39" s="9" t="n">
        <v>2</v>
      </c>
      <c r="T39" s="9" t="n">
        <v>2</v>
      </c>
    </row>
    <row r="40" customFormat="false" ht="15" hidden="false" customHeight="false" outlineLevel="0" collapsed="false">
      <c r="A40" s="9" t="s">
        <v>95</v>
      </c>
      <c r="B40" s="9" t="n">
        <v>2</v>
      </c>
      <c r="C40" s="10" t="n">
        <v>46310</v>
      </c>
      <c r="D40" s="9" t="n">
        <v>15.6</v>
      </c>
      <c r="E40" s="9" t="n">
        <v>64</v>
      </c>
      <c r="F40" s="9" t="n">
        <v>4</v>
      </c>
      <c r="G40" s="9" t="n">
        <v>2</v>
      </c>
      <c r="H40" s="9" t="n">
        <v>3</v>
      </c>
      <c r="I40" s="9" t="n">
        <v>4</v>
      </c>
      <c r="J40" s="9" t="n">
        <v>3</v>
      </c>
      <c r="K40" s="9" t="n">
        <v>3</v>
      </c>
      <c r="L40" s="9" t="n">
        <v>4</v>
      </c>
      <c r="M40" s="9" t="n">
        <v>3</v>
      </c>
      <c r="N40" s="9" t="n">
        <v>2</v>
      </c>
      <c r="O40" s="9" t="n">
        <v>2</v>
      </c>
      <c r="P40" s="9" t="n">
        <v>5</v>
      </c>
      <c r="Q40" s="9" t="n">
        <v>2</v>
      </c>
      <c r="R40" s="9" t="n">
        <v>4</v>
      </c>
      <c r="S40" s="9" t="n">
        <v>3</v>
      </c>
      <c r="T40" s="9" t="n">
        <v>3</v>
      </c>
    </row>
    <row r="41" customFormat="false" ht="15" hidden="false" customHeight="false" outlineLevel="0" collapsed="false">
      <c r="A41" s="9" t="s">
        <v>96</v>
      </c>
      <c r="B41" s="9" t="n">
        <v>2</v>
      </c>
      <c r="C41" s="10" t="n">
        <v>46311</v>
      </c>
      <c r="D41" s="9" t="n">
        <v>264</v>
      </c>
      <c r="E41" s="9" t="n">
        <v>59</v>
      </c>
      <c r="F41" s="9" t="n">
        <v>5</v>
      </c>
      <c r="G41" s="9" t="n">
        <v>5</v>
      </c>
      <c r="H41" s="9" t="n">
        <v>4</v>
      </c>
      <c r="I41" s="9" t="n">
        <v>2</v>
      </c>
      <c r="J41" s="9" t="n">
        <v>4</v>
      </c>
      <c r="K41" s="9" t="n">
        <v>4</v>
      </c>
      <c r="L41" s="9" t="n">
        <v>3</v>
      </c>
      <c r="M41" s="9" t="n">
        <v>4</v>
      </c>
      <c r="N41" s="9" t="n">
        <v>4</v>
      </c>
      <c r="O41" s="9" t="n">
        <v>5</v>
      </c>
      <c r="P41" s="9" t="n">
        <v>4</v>
      </c>
      <c r="Q41" s="9" t="n">
        <v>2</v>
      </c>
      <c r="R41" s="9" t="n">
        <v>4</v>
      </c>
      <c r="S41" s="9" t="n">
        <v>5</v>
      </c>
      <c r="T41" s="9" t="n">
        <v>4</v>
      </c>
    </row>
    <row r="42" customFormat="false" ht="15" hidden="false" customHeight="false" outlineLevel="0" collapsed="false">
      <c r="A42" s="9" t="s">
        <v>125</v>
      </c>
      <c r="B42" s="9" t="n">
        <v>2</v>
      </c>
      <c r="C42" s="10" t="n">
        <v>46307</v>
      </c>
      <c r="D42" s="9" t="n">
        <v>6.9</v>
      </c>
      <c r="E42" s="9" t="n">
        <v>66</v>
      </c>
      <c r="F42" s="9" t="n">
        <v>3</v>
      </c>
      <c r="G42" s="9" t="n">
        <v>3</v>
      </c>
      <c r="H42" s="9" t="n">
        <v>2</v>
      </c>
      <c r="I42" s="9" t="n">
        <v>4</v>
      </c>
      <c r="J42" s="9" t="n">
        <v>2</v>
      </c>
      <c r="K42" s="9" t="n">
        <v>2</v>
      </c>
      <c r="L42" s="9" t="n">
        <v>3</v>
      </c>
      <c r="M42" s="9" t="n">
        <v>3</v>
      </c>
      <c r="N42" s="9" t="n">
        <v>2</v>
      </c>
      <c r="O42" s="9" t="n">
        <v>2</v>
      </c>
      <c r="P42" s="9" t="n">
        <v>2</v>
      </c>
      <c r="Q42" s="9" t="n">
        <v>4</v>
      </c>
      <c r="R42" s="9" t="n">
        <v>2</v>
      </c>
      <c r="S42" s="9" t="n">
        <v>3</v>
      </c>
      <c r="T42" s="9" t="n">
        <v>3</v>
      </c>
    </row>
    <row r="43" customFormat="false" ht="15" hidden="false" customHeight="false" outlineLevel="0" collapsed="false">
      <c r="A43" s="9" t="s">
        <v>99</v>
      </c>
      <c r="B43" s="9" t="n">
        <v>2</v>
      </c>
      <c r="C43" s="10" t="n">
        <v>46308</v>
      </c>
      <c r="D43" s="9" t="n">
        <v>6.3</v>
      </c>
      <c r="E43" s="9" t="n">
        <v>79</v>
      </c>
      <c r="F43" s="9" t="n">
        <v>2</v>
      </c>
      <c r="G43" s="9" t="n">
        <v>2</v>
      </c>
      <c r="H43" s="9" t="n">
        <v>3</v>
      </c>
      <c r="I43" s="9" t="n">
        <v>3</v>
      </c>
      <c r="J43" s="9" t="n">
        <v>3</v>
      </c>
      <c r="K43" s="9" t="n">
        <v>4</v>
      </c>
      <c r="L43" s="9" t="n">
        <v>2</v>
      </c>
      <c r="M43" s="9" t="n">
        <v>2</v>
      </c>
      <c r="N43" s="9" t="n">
        <v>3</v>
      </c>
      <c r="O43" s="9" t="n">
        <v>3</v>
      </c>
      <c r="P43" s="9" t="n">
        <v>4</v>
      </c>
      <c r="Q43" s="9" t="n">
        <v>3</v>
      </c>
      <c r="R43" s="9" t="n">
        <v>3</v>
      </c>
      <c r="S43" s="9" t="n">
        <v>3</v>
      </c>
      <c r="T43" s="9" t="n">
        <v>3</v>
      </c>
    </row>
    <row r="44" customFormat="false" ht="15" hidden="false" customHeight="false" outlineLevel="0" collapsed="false">
      <c r="A44" s="9" t="s">
        <v>100</v>
      </c>
      <c r="B44" s="9" t="n">
        <v>2</v>
      </c>
      <c r="C44" s="10" t="n">
        <v>46309</v>
      </c>
      <c r="D44" s="9" t="n">
        <v>10</v>
      </c>
      <c r="E44" s="9" t="n">
        <v>72</v>
      </c>
      <c r="F44" s="9" t="n">
        <v>2</v>
      </c>
      <c r="G44" s="9" t="n">
        <v>1</v>
      </c>
      <c r="H44" s="9" t="n">
        <v>2</v>
      </c>
      <c r="I44" s="9" t="n">
        <v>4</v>
      </c>
      <c r="J44" s="9" t="n">
        <v>3</v>
      </c>
      <c r="K44" s="9" t="n">
        <v>2</v>
      </c>
      <c r="L44" s="9" t="n">
        <v>5</v>
      </c>
      <c r="M44" s="9" t="n">
        <v>4</v>
      </c>
      <c r="N44" s="9" t="n">
        <v>2</v>
      </c>
      <c r="O44" s="9" t="n">
        <v>3</v>
      </c>
      <c r="P44" s="9" t="n">
        <v>2</v>
      </c>
      <c r="Q44" s="9" t="n">
        <v>2</v>
      </c>
      <c r="R44" s="9" t="n">
        <v>3</v>
      </c>
      <c r="S44" s="9" t="n">
        <v>3</v>
      </c>
      <c r="T44" s="9" t="n">
        <v>2</v>
      </c>
    </row>
    <row r="45" customFormat="false" ht="15" hidden="false" customHeight="false" outlineLevel="0" collapsed="false">
      <c r="A45" s="9" t="s">
        <v>101</v>
      </c>
      <c r="B45" s="9" t="n">
        <v>2</v>
      </c>
      <c r="C45" s="10" t="n">
        <v>46310</v>
      </c>
      <c r="D45" s="9" t="n">
        <v>11.6</v>
      </c>
      <c r="E45" s="9" t="n">
        <v>78</v>
      </c>
      <c r="F45" s="9" t="n">
        <v>3</v>
      </c>
      <c r="G45" s="9" t="n">
        <v>3</v>
      </c>
      <c r="H45" s="9" t="n">
        <v>4</v>
      </c>
      <c r="I45" s="9" t="n">
        <v>4</v>
      </c>
      <c r="J45" s="9" t="n">
        <v>3</v>
      </c>
      <c r="K45" s="9" t="n">
        <v>3</v>
      </c>
      <c r="L45" s="9" t="n">
        <v>2</v>
      </c>
      <c r="M45" s="9" t="n">
        <v>3</v>
      </c>
      <c r="N45" s="9" t="n">
        <v>4</v>
      </c>
      <c r="O45" s="9" t="n">
        <v>4</v>
      </c>
      <c r="P45" s="9" t="n">
        <v>3</v>
      </c>
      <c r="Q45" s="9" t="n">
        <v>3</v>
      </c>
      <c r="R45" s="9" t="n">
        <v>3</v>
      </c>
      <c r="S45" s="9" t="n">
        <v>2</v>
      </c>
      <c r="T45" s="9" t="n">
        <v>4</v>
      </c>
    </row>
    <row r="46" customFormat="false" ht="15" hidden="false" customHeight="false" outlineLevel="0" collapsed="false">
      <c r="A46" s="9" t="s">
        <v>102</v>
      </c>
      <c r="B46" s="9" t="n">
        <v>2</v>
      </c>
      <c r="C46" s="10" t="n">
        <v>46311</v>
      </c>
      <c r="D46" s="9" t="n">
        <v>8.2</v>
      </c>
      <c r="E46" s="9" t="n">
        <v>69</v>
      </c>
      <c r="F46" s="9" t="n">
        <v>2</v>
      </c>
      <c r="G46" s="9" t="n">
        <v>5</v>
      </c>
      <c r="H46" s="9" t="n">
        <v>2</v>
      </c>
      <c r="I46" s="9" t="n">
        <v>2</v>
      </c>
      <c r="J46" s="9" t="n">
        <v>5</v>
      </c>
      <c r="K46" s="9" t="n">
        <v>4</v>
      </c>
      <c r="L46" s="9" t="n">
        <v>4</v>
      </c>
      <c r="M46" s="9" t="n">
        <v>4</v>
      </c>
      <c r="N46" s="9" t="n">
        <v>4</v>
      </c>
      <c r="O46" s="9" t="n">
        <v>5</v>
      </c>
      <c r="P46" s="9" t="n">
        <v>5</v>
      </c>
      <c r="Q46" s="9" t="n">
        <v>2</v>
      </c>
      <c r="R46" s="9" t="n">
        <v>4</v>
      </c>
      <c r="S46" s="9" t="n">
        <v>3</v>
      </c>
      <c r="T46" s="9" t="n">
        <v>5</v>
      </c>
    </row>
    <row r="47" customFormat="false" ht="15" hidden="false" customHeight="false" outlineLevel="0" collapsed="false">
      <c r="A47" s="9" t="s">
        <v>103</v>
      </c>
      <c r="B47" s="9" t="n">
        <v>2</v>
      </c>
      <c r="C47" s="10" t="n">
        <v>46307</v>
      </c>
      <c r="D47" s="9" t="n">
        <v>14.1</v>
      </c>
      <c r="E47" s="9" t="n">
        <v>60</v>
      </c>
      <c r="F47" s="9" t="n">
        <v>4</v>
      </c>
      <c r="G47" s="9" t="n">
        <v>4</v>
      </c>
      <c r="H47" s="9" t="n">
        <v>4</v>
      </c>
      <c r="I47" s="9" t="n">
        <v>2</v>
      </c>
      <c r="J47" s="9" t="n">
        <v>5</v>
      </c>
      <c r="K47" s="9" t="n">
        <v>3</v>
      </c>
      <c r="L47" s="9" t="n">
        <v>3</v>
      </c>
      <c r="M47" s="9" t="n">
        <v>2</v>
      </c>
      <c r="N47" s="9" t="n">
        <v>5</v>
      </c>
      <c r="O47" s="9" t="n">
        <v>5</v>
      </c>
      <c r="P47" s="9" t="n">
        <v>5</v>
      </c>
      <c r="Q47" s="9" t="n">
        <v>2</v>
      </c>
      <c r="R47" s="9" t="n">
        <v>3</v>
      </c>
      <c r="S47" s="9" t="n">
        <v>3</v>
      </c>
      <c r="T47" s="9" t="n">
        <v>5</v>
      </c>
    </row>
    <row r="48" customFormat="false" ht="15" hidden="false" customHeight="false" outlineLevel="0" collapsed="false">
      <c r="A48" s="9" t="s">
        <v>126</v>
      </c>
      <c r="B48" s="9" t="n">
        <v>2</v>
      </c>
      <c r="C48" s="10" t="n">
        <v>46309</v>
      </c>
      <c r="D48" s="9" t="n">
        <v>10.4</v>
      </c>
      <c r="E48" s="9" t="n">
        <v>61</v>
      </c>
      <c r="F48" s="9" t="n">
        <v>3</v>
      </c>
      <c r="G48" s="9" t="n">
        <v>3</v>
      </c>
      <c r="H48" s="9" t="n">
        <v>2</v>
      </c>
      <c r="I48" s="9" t="n">
        <v>4</v>
      </c>
      <c r="J48" s="9" t="n">
        <v>3</v>
      </c>
      <c r="K48" s="9" t="n">
        <v>3</v>
      </c>
      <c r="L48" s="9" t="n">
        <v>3</v>
      </c>
      <c r="M48" s="9" t="n">
        <v>1</v>
      </c>
      <c r="N48" s="9" t="n">
        <v>3</v>
      </c>
      <c r="O48" s="9" t="n">
        <v>4</v>
      </c>
      <c r="P48" s="9" t="n">
        <v>3</v>
      </c>
      <c r="Q48" s="9" t="n">
        <v>2</v>
      </c>
      <c r="R48" s="9" t="n">
        <v>2</v>
      </c>
      <c r="S48" s="9" t="n">
        <v>3</v>
      </c>
      <c r="T48" s="9"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8F86"/>
    <pageSetUpPr fitToPage="false"/>
  </sheetPr>
  <dimension ref="A1:F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9"/>
    <col collapsed="false" customWidth="true" hidden="false" outlineLevel="0" max="4" min="4" style="0" width="42"/>
    <col collapsed="false" customWidth="true" hidden="false" outlineLevel="0" max="5" min="5" style="0" width="16"/>
    <col collapsed="false" customWidth="true" hidden="false" outlineLevel="0" max="6" min="6" style="0" width="48"/>
  </cols>
  <sheetData>
    <row r="1" customFormat="false" ht="17.35" hidden="false" customHeight="false" outlineLevel="0" collapsed="false">
      <c r="A1" s="1" t="s">
        <v>131</v>
      </c>
    </row>
    <row r="2" customFormat="false" ht="15" hidden="false" customHeight="false" outlineLevel="0" collapsed="false">
      <c r="A2" s="2" t="s">
        <v>132</v>
      </c>
    </row>
    <row r="4" customFormat="false" ht="30" hidden="false" customHeight="true" outlineLevel="0" collapsed="false">
      <c r="A4" s="6" t="s">
        <v>21</v>
      </c>
      <c r="B4" s="6" t="s">
        <v>22</v>
      </c>
      <c r="C4" s="6" t="s">
        <v>133</v>
      </c>
      <c r="D4" s="6" t="s">
        <v>134</v>
      </c>
      <c r="E4" s="6" t="s">
        <v>135</v>
      </c>
      <c r="F4" s="6" t="s">
        <v>136</v>
      </c>
    </row>
    <row r="5" customFormat="false" ht="15" hidden="false" customHeight="false" outlineLevel="0" collapsed="false">
      <c r="A5" s="11" t="s">
        <v>45</v>
      </c>
      <c r="B5" s="11" t="n">
        <v>1</v>
      </c>
      <c r="C5" s="11" t="n">
        <v>1</v>
      </c>
      <c r="D5" s="11" t="s">
        <v>137</v>
      </c>
      <c r="E5" s="12"/>
      <c r="F5" s="11" t="s">
        <v>138</v>
      </c>
    </row>
    <row r="6" customFormat="false" ht="15" hidden="false" customHeight="false" outlineLevel="0" collapsed="false">
      <c r="A6" s="11" t="s">
        <v>47</v>
      </c>
      <c r="B6" s="11" t="n">
        <v>1</v>
      </c>
      <c r="C6" s="11" t="n">
        <v>1</v>
      </c>
      <c r="D6" s="11" t="s">
        <v>137</v>
      </c>
      <c r="E6" s="12"/>
      <c r="F6" s="11" t="s">
        <v>138</v>
      </c>
    </row>
    <row r="7" customFormat="false" ht="15" hidden="false" customHeight="false" outlineLevel="0" collapsed="false">
      <c r="A7" s="11" t="s">
        <v>49</v>
      </c>
      <c r="B7" s="11" t="n">
        <v>1</v>
      </c>
      <c r="C7" s="11" t="n">
        <v>1</v>
      </c>
      <c r="D7" s="11" t="s">
        <v>137</v>
      </c>
      <c r="E7" s="12"/>
      <c r="F7" s="11" t="s">
        <v>138</v>
      </c>
    </row>
    <row r="8" customFormat="false" ht="15" hidden="false" customHeight="false" outlineLevel="0" collapsed="false">
      <c r="A8" s="11" t="s">
        <v>51</v>
      </c>
      <c r="B8" s="11" t="n">
        <v>1</v>
      </c>
      <c r="C8" s="11" t="n">
        <v>1</v>
      </c>
      <c r="D8" s="11" t="s">
        <v>137</v>
      </c>
      <c r="E8" s="12"/>
      <c r="F8" s="11" t="s">
        <v>138</v>
      </c>
    </row>
    <row r="9" customFormat="false" ht="15" hidden="false" customHeight="false" outlineLevel="0" collapsed="false">
      <c r="A9" s="11" t="s">
        <v>53</v>
      </c>
      <c r="B9" s="11" t="n">
        <v>1</v>
      </c>
      <c r="C9" s="11" t="n">
        <v>1</v>
      </c>
      <c r="D9" s="11" t="s">
        <v>137</v>
      </c>
      <c r="E9" s="12"/>
      <c r="F9" s="11" t="s">
        <v>138</v>
      </c>
    </row>
    <row r="10" customFormat="false" ht="15" hidden="false" customHeight="false" outlineLevel="0" collapsed="false">
      <c r="A10" s="11" t="s">
        <v>54</v>
      </c>
      <c r="B10" s="11" t="n">
        <v>1</v>
      </c>
      <c r="C10" s="11" t="n">
        <v>1</v>
      </c>
      <c r="D10" s="11" t="s">
        <v>137</v>
      </c>
      <c r="E10" s="12"/>
      <c r="F10" s="11" t="s">
        <v>138</v>
      </c>
    </row>
    <row r="11" customFormat="false" ht="15" hidden="false" customHeight="false" outlineLevel="0" collapsed="false">
      <c r="A11" s="13" t="s">
        <v>56</v>
      </c>
      <c r="B11" s="13" t="n">
        <v>1</v>
      </c>
      <c r="C11" s="13" t="n">
        <v>2</v>
      </c>
      <c r="D11" s="13" t="s">
        <v>139</v>
      </c>
      <c r="E11" s="14" t="n">
        <v>46271</v>
      </c>
      <c r="F11" s="13" t="s">
        <v>140</v>
      </c>
    </row>
    <row r="12" customFormat="false" ht="15" hidden="false" customHeight="false" outlineLevel="0" collapsed="false">
      <c r="A12" s="11" t="s">
        <v>58</v>
      </c>
      <c r="B12" s="11" t="n">
        <v>1</v>
      </c>
      <c r="C12" s="11" t="n">
        <v>1</v>
      </c>
      <c r="D12" s="11" t="s">
        <v>137</v>
      </c>
      <c r="E12" s="12"/>
      <c r="F12" s="11" t="s">
        <v>138</v>
      </c>
    </row>
    <row r="13" customFormat="false" ht="15" hidden="false" customHeight="false" outlineLevel="0" collapsed="false">
      <c r="A13" s="11" t="s">
        <v>59</v>
      </c>
      <c r="B13" s="11" t="n">
        <v>1</v>
      </c>
      <c r="C13" s="11" t="n">
        <v>1</v>
      </c>
      <c r="D13" s="11" t="s">
        <v>137</v>
      </c>
      <c r="E13" s="12"/>
      <c r="F13" s="11" t="s">
        <v>138</v>
      </c>
    </row>
    <row r="14" customFormat="false" ht="15" hidden="false" customHeight="false" outlineLevel="0" collapsed="false">
      <c r="A14" s="11" t="s">
        <v>60</v>
      </c>
      <c r="B14" s="11" t="n">
        <v>1</v>
      </c>
      <c r="C14" s="11" t="n">
        <v>1</v>
      </c>
      <c r="D14" s="11" t="s">
        <v>137</v>
      </c>
      <c r="E14" s="12"/>
      <c r="F14" s="11" t="s">
        <v>138</v>
      </c>
    </row>
    <row r="15" customFormat="false" ht="15" hidden="false" customHeight="false" outlineLevel="0" collapsed="false">
      <c r="A15" s="11" t="s">
        <v>62</v>
      </c>
      <c r="B15" s="11" t="n">
        <v>1</v>
      </c>
      <c r="C15" s="11" t="n">
        <v>1</v>
      </c>
      <c r="D15" s="11" t="s">
        <v>137</v>
      </c>
      <c r="E15" s="12"/>
      <c r="F15" s="11" t="s">
        <v>138</v>
      </c>
    </row>
    <row r="16" customFormat="false" ht="15" hidden="false" customHeight="false" outlineLevel="0" collapsed="false">
      <c r="A16" s="11" t="s">
        <v>64</v>
      </c>
      <c r="B16" s="11" t="n">
        <v>1</v>
      </c>
      <c r="C16" s="11" t="n">
        <v>1</v>
      </c>
      <c r="D16" s="11" t="s">
        <v>137</v>
      </c>
      <c r="E16" s="12"/>
      <c r="F16" s="11" t="s">
        <v>138</v>
      </c>
    </row>
    <row r="17" customFormat="false" ht="15" hidden="false" customHeight="false" outlineLevel="0" collapsed="false">
      <c r="A17" s="13" t="s">
        <v>65</v>
      </c>
      <c r="B17" s="13" t="n">
        <v>1</v>
      </c>
      <c r="C17" s="13" t="n">
        <v>2</v>
      </c>
      <c r="D17" s="13" t="s">
        <v>141</v>
      </c>
      <c r="E17" s="14" t="n">
        <v>46287</v>
      </c>
      <c r="F17" s="13" t="s">
        <v>140</v>
      </c>
    </row>
    <row r="18" customFormat="false" ht="15" hidden="false" customHeight="false" outlineLevel="0" collapsed="false">
      <c r="A18" s="11" t="s">
        <v>67</v>
      </c>
      <c r="B18" s="11" t="n">
        <v>1</v>
      </c>
      <c r="C18" s="11" t="n">
        <v>1</v>
      </c>
      <c r="D18" s="11" t="s">
        <v>137</v>
      </c>
      <c r="E18" s="12"/>
      <c r="F18" s="11" t="s">
        <v>138</v>
      </c>
    </row>
    <row r="19" customFormat="false" ht="15" hidden="false" customHeight="false" outlineLevel="0" collapsed="false">
      <c r="A19" s="11" t="s">
        <v>68</v>
      </c>
      <c r="B19" s="11" t="n">
        <v>1</v>
      </c>
      <c r="C19" s="11" t="n">
        <v>1</v>
      </c>
      <c r="D19" s="11" t="s">
        <v>137</v>
      </c>
      <c r="E19" s="12"/>
      <c r="F19" s="11" t="s">
        <v>138</v>
      </c>
    </row>
    <row r="20" customFormat="false" ht="15" hidden="false" customHeight="false" outlineLevel="0" collapsed="false">
      <c r="A20" s="11" t="s">
        <v>69</v>
      </c>
      <c r="B20" s="11" t="n">
        <v>1</v>
      </c>
      <c r="C20" s="11" t="n">
        <v>1</v>
      </c>
      <c r="D20" s="11" t="s">
        <v>137</v>
      </c>
      <c r="E20" s="12"/>
      <c r="F20" s="11" t="s">
        <v>138</v>
      </c>
    </row>
    <row r="21" customFormat="false" ht="15" hidden="false" customHeight="false" outlineLevel="0" collapsed="false">
      <c r="A21" s="11" t="s">
        <v>70</v>
      </c>
      <c r="B21" s="11" t="n">
        <v>1</v>
      </c>
      <c r="C21" s="11" t="n">
        <v>1</v>
      </c>
      <c r="D21" s="11" t="s">
        <v>137</v>
      </c>
      <c r="E21" s="12"/>
      <c r="F21" s="11" t="s">
        <v>138</v>
      </c>
    </row>
    <row r="22" customFormat="false" ht="15" hidden="false" customHeight="false" outlineLevel="0" collapsed="false">
      <c r="A22" s="11" t="s">
        <v>71</v>
      </c>
      <c r="B22" s="11" t="n">
        <v>1</v>
      </c>
      <c r="C22" s="11" t="n">
        <v>1</v>
      </c>
      <c r="D22" s="11" t="s">
        <v>137</v>
      </c>
      <c r="E22" s="12"/>
      <c r="F22" s="11" t="s">
        <v>138</v>
      </c>
    </row>
    <row r="23" customFormat="false" ht="15" hidden="false" customHeight="false" outlineLevel="0" collapsed="false">
      <c r="A23" s="15" t="s">
        <v>72</v>
      </c>
      <c r="B23" s="15" t="n">
        <v>1</v>
      </c>
      <c r="C23" s="15" t="n">
        <v>3</v>
      </c>
      <c r="D23" s="15" t="s">
        <v>142</v>
      </c>
      <c r="E23" s="16" t="n">
        <v>46310</v>
      </c>
      <c r="F23" s="15" t="s">
        <v>143</v>
      </c>
    </row>
    <row r="24" customFormat="false" ht="15" hidden="false" customHeight="false" outlineLevel="0" collapsed="false">
      <c r="A24" s="11" t="s">
        <v>74</v>
      </c>
      <c r="B24" s="11" t="n">
        <v>1</v>
      </c>
      <c r="C24" s="11" t="n">
        <v>1</v>
      </c>
      <c r="D24" s="11" t="s">
        <v>137</v>
      </c>
      <c r="E24" s="12"/>
      <c r="F24" s="11" t="s">
        <v>138</v>
      </c>
    </row>
    <row r="25" customFormat="false" ht="15" hidden="false" customHeight="false" outlineLevel="0" collapsed="false">
      <c r="A25" s="11" t="s">
        <v>75</v>
      </c>
      <c r="B25" s="11" t="n">
        <v>1</v>
      </c>
      <c r="C25" s="11" t="n">
        <v>1</v>
      </c>
      <c r="D25" s="11" t="s">
        <v>137</v>
      </c>
      <c r="E25" s="12"/>
      <c r="F25" s="11" t="s">
        <v>138</v>
      </c>
    </row>
    <row r="26" customFormat="false" ht="15" hidden="false" customHeight="false" outlineLevel="0" collapsed="false">
      <c r="A26" s="11" t="s">
        <v>76</v>
      </c>
      <c r="B26" s="11" t="n">
        <v>1</v>
      </c>
      <c r="C26" s="11" t="n">
        <v>1</v>
      </c>
      <c r="D26" s="11" t="s">
        <v>137</v>
      </c>
      <c r="E26" s="12"/>
      <c r="F26" s="11" t="s">
        <v>138</v>
      </c>
    </row>
    <row r="27" customFormat="false" ht="15" hidden="false" customHeight="false" outlineLevel="0" collapsed="false">
      <c r="A27" s="11" t="s">
        <v>77</v>
      </c>
      <c r="B27" s="11" t="n">
        <v>1</v>
      </c>
      <c r="C27" s="11" t="n">
        <v>1</v>
      </c>
      <c r="D27" s="11" t="s">
        <v>137</v>
      </c>
      <c r="E27" s="12"/>
      <c r="F27" s="11" t="s">
        <v>138</v>
      </c>
    </row>
    <row r="28" customFormat="false" ht="15" hidden="false" customHeight="false" outlineLevel="0" collapsed="false">
      <c r="A28" s="11" t="s">
        <v>78</v>
      </c>
      <c r="B28" s="11" t="n">
        <v>1</v>
      </c>
      <c r="C28" s="11" t="n">
        <v>1</v>
      </c>
      <c r="D28" s="11" t="s">
        <v>137</v>
      </c>
      <c r="E28" s="12"/>
      <c r="F28" s="11" t="s">
        <v>138</v>
      </c>
    </row>
    <row r="29" customFormat="false" ht="15" hidden="false" customHeight="false" outlineLevel="0" collapsed="false">
      <c r="A29" s="11" t="s">
        <v>79</v>
      </c>
      <c r="B29" s="11" t="n">
        <v>2</v>
      </c>
      <c r="C29" s="11" t="n">
        <v>1</v>
      </c>
      <c r="D29" s="11" t="s">
        <v>137</v>
      </c>
      <c r="E29" s="12"/>
      <c r="F29" s="11" t="s">
        <v>138</v>
      </c>
    </row>
    <row r="30" customFormat="false" ht="15" hidden="false" customHeight="false" outlineLevel="0" collapsed="false">
      <c r="A30" s="11" t="s">
        <v>80</v>
      </c>
      <c r="B30" s="11" t="n">
        <v>2</v>
      </c>
      <c r="C30" s="11" t="n">
        <v>1</v>
      </c>
      <c r="D30" s="11" t="s">
        <v>137</v>
      </c>
      <c r="E30" s="12"/>
      <c r="F30" s="11" t="s">
        <v>138</v>
      </c>
    </row>
    <row r="31" customFormat="false" ht="15" hidden="false" customHeight="false" outlineLevel="0" collapsed="false">
      <c r="A31" s="11" t="s">
        <v>81</v>
      </c>
      <c r="B31" s="11" t="n">
        <v>2</v>
      </c>
      <c r="C31" s="11" t="n">
        <v>1</v>
      </c>
      <c r="D31" s="11" t="s">
        <v>137</v>
      </c>
      <c r="E31" s="12"/>
      <c r="F31" s="11" t="s">
        <v>138</v>
      </c>
    </row>
    <row r="32" customFormat="false" ht="15" hidden="false" customHeight="false" outlineLevel="0" collapsed="false">
      <c r="A32" s="11" t="s">
        <v>83</v>
      </c>
      <c r="B32" s="11" t="n">
        <v>2</v>
      </c>
      <c r="C32" s="11" t="n">
        <v>1</v>
      </c>
      <c r="D32" s="11" t="s">
        <v>137</v>
      </c>
      <c r="E32" s="12"/>
      <c r="F32" s="11" t="s">
        <v>138</v>
      </c>
    </row>
    <row r="33" customFormat="false" ht="15" hidden="false" customHeight="false" outlineLevel="0" collapsed="false">
      <c r="A33" s="11" t="s">
        <v>84</v>
      </c>
      <c r="B33" s="11" t="n">
        <v>2</v>
      </c>
      <c r="C33" s="11" t="n">
        <v>1</v>
      </c>
      <c r="D33" s="11" t="s">
        <v>137</v>
      </c>
      <c r="E33" s="12"/>
      <c r="F33" s="11" t="s">
        <v>138</v>
      </c>
    </row>
    <row r="34" customFormat="false" ht="15" hidden="false" customHeight="false" outlineLevel="0" collapsed="false">
      <c r="A34" s="11" t="s">
        <v>85</v>
      </c>
      <c r="B34" s="11" t="n">
        <v>2</v>
      </c>
      <c r="C34" s="11" t="n">
        <v>1</v>
      </c>
      <c r="D34" s="11" t="s">
        <v>137</v>
      </c>
      <c r="E34" s="12"/>
      <c r="F34" s="11" t="s">
        <v>138</v>
      </c>
    </row>
    <row r="35" customFormat="false" ht="15" hidden="false" customHeight="false" outlineLevel="0" collapsed="false">
      <c r="A35" s="11" t="s">
        <v>86</v>
      </c>
      <c r="B35" s="11" t="n">
        <v>2</v>
      </c>
      <c r="C35" s="11" t="n">
        <v>1</v>
      </c>
      <c r="D35" s="11" t="s">
        <v>137</v>
      </c>
      <c r="E35" s="12"/>
      <c r="F35" s="11" t="s">
        <v>138</v>
      </c>
    </row>
    <row r="36" customFormat="false" ht="15" hidden="false" customHeight="false" outlineLevel="0" collapsed="false">
      <c r="A36" s="13" t="s">
        <v>87</v>
      </c>
      <c r="B36" s="13" t="n">
        <v>2</v>
      </c>
      <c r="C36" s="13" t="n">
        <v>2</v>
      </c>
      <c r="D36" s="13" t="s">
        <v>144</v>
      </c>
      <c r="E36" s="14" t="n">
        <v>46280</v>
      </c>
      <c r="F36" s="13" t="s">
        <v>140</v>
      </c>
    </row>
    <row r="37" customFormat="false" ht="15" hidden="false" customHeight="false" outlineLevel="0" collapsed="false">
      <c r="A37" s="11" t="s">
        <v>88</v>
      </c>
      <c r="B37" s="11" t="n">
        <v>2</v>
      </c>
      <c r="C37" s="11" t="n">
        <v>1</v>
      </c>
      <c r="D37" s="11" t="s">
        <v>137</v>
      </c>
      <c r="E37" s="12"/>
      <c r="F37" s="11" t="s">
        <v>138</v>
      </c>
    </row>
    <row r="38" customFormat="false" ht="15" hidden="false" customHeight="false" outlineLevel="0" collapsed="false">
      <c r="A38" s="11" t="s">
        <v>89</v>
      </c>
      <c r="B38" s="11" t="n">
        <v>2</v>
      </c>
      <c r="C38" s="11" t="n">
        <v>1</v>
      </c>
      <c r="D38" s="11" t="s">
        <v>137</v>
      </c>
      <c r="E38" s="12"/>
      <c r="F38" s="11" t="s">
        <v>138</v>
      </c>
    </row>
    <row r="39" customFormat="false" ht="15" hidden="false" customHeight="false" outlineLevel="0" collapsed="false">
      <c r="A39" s="11" t="s">
        <v>90</v>
      </c>
      <c r="B39" s="11" t="n">
        <v>2</v>
      </c>
      <c r="C39" s="11" t="n">
        <v>1</v>
      </c>
      <c r="D39" s="11" t="s">
        <v>137</v>
      </c>
      <c r="E39" s="12"/>
      <c r="F39" s="11" t="s">
        <v>138</v>
      </c>
    </row>
    <row r="40" customFormat="false" ht="15" hidden="false" customHeight="false" outlineLevel="0" collapsed="false">
      <c r="A40" s="11" t="s">
        <v>91</v>
      </c>
      <c r="B40" s="11" t="n">
        <v>2</v>
      </c>
      <c r="C40" s="11" t="n">
        <v>1</v>
      </c>
      <c r="D40" s="11" t="s">
        <v>137</v>
      </c>
      <c r="E40" s="12"/>
      <c r="F40" s="11" t="s">
        <v>138</v>
      </c>
    </row>
    <row r="41" customFormat="false" ht="15" hidden="false" customHeight="false" outlineLevel="0" collapsed="false">
      <c r="A41" s="11" t="s">
        <v>92</v>
      </c>
      <c r="B41" s="11" t="n">
        <v>2</v>
      </c>
      <c r="C41" s="11" t="n">
        <v>1</v>
      </c>
      <c r="D41" s="11" t="s">
        <v>137</v>
      </c>
      <c r="E41" s="12"/>
      <c r="F41" s="11" t="s">
        <v>138</v>
      </c>
    </row>
    <row r="42" customFormat="false" ht="15" hidden="false" customHeight="false" outlineLevel="0" collapsed="false">
      <c r="A42" s="13" t="s">
        <v>93</v>
      </c>
      <c r="B42" s="13" t="n">
        <v>2</v>
      </c>
      <c r="C42" s="13" t="n">
        <v>2</v>
      </c>
      <c r="D42" s="13" t="s">
        <v>145</v>
      </c>
      <c r="E42" s="14" t="n">
        <v>46296</v>
      </c>
      <c r="F42" s="13" t="s">
        <v>140</v>
      </c>
    </row>
    <row r="43" customFormat="false" ht="15" hidden="false" customHeight="false" outlineLevel="0" collapsed="false">
      <c r="A43" s="11" t="s">
        <v>95</v>
      </c>
      <c r="B43" s="11" t="n">
        <v>2</v>
      </c>
      <c r="C43" s="11" t="n">
        <v>1</v>
      </c>
      <c r="D43" s="11" t="s">
        <v>137</v>
      </c>
      <c r="E43" s="12"/>
      <c r="F43" s="11" t="s">
        <v>138</v>
      </c>
    </row>
    <row r="44" customFormat="false" ht="15" hidden="false" customHeight="false" outlineLevel="0" collapsed="false">
      <c r="A44" s="11" t="s">
        <v>96</v>
      </c>
      <c r="B44" s="11" t="n">
        <v>2</v>
      </c>
      <c r="C44" s="11" t="n">
        <v>1</v>
      </c>
      <c r="D44" s="11" t="s">
        <v>137</v>
      </c>
      <c r="E44" s="12"/>
      <c r="F44" s="11" t="s">
        <v>138</v>
      </c>
    </row>
    <row r="45" customFormat="false" ht="15" hidden="false" customHeight="false" outlineLevel="0" collapsed="false">
      <c r="A45" s="11" t="s">
        <v>98</v>
      </c>
      <c r="B45" s="11" t="n">
        <v>2</v>
      </c>
      <c r="C45" s="11" t="n">
        <v>1</v>
      </c>
      <c r="D45" s="11" t="s">
        <v>137</v>
      </c>
      <c r="E45" s="12"/>
      <c r="F45" s="11" t="s">
        <v>138</v>
      </c>
    </row>
    <row r="46" customFormat="false" ht="15" hidden="false" customHeight="false" outlineLevel="0" collapsed="false">
      <c r="A46" s="11" t="s">
        <v>99</v>
      </c>
      <c r="B46" s="11" t="n">
        <v>2</v>
      </c>
      <c r="C46" s="11" t="n">
        <v>1</v>
      </c>
      <c r="D46" s="11" t="s">
        <v>137</v>
      </c>
      <c r="E46" s="12"/>
      <c r="F46" s="11" t="s">
        <v>138</v>
      </c>
    </row>
    <row r="47" customFormat="false" ht="15" hidden="false" customHeight="false" outlineLevel="0" collapsed="false">
      <c r="A47" s="11" t="s">
        <v>100</v>
      </c>
      <c r="B47" s="11" t="n">
        <v>2</v>
      </c>
      <c r="C47" s="11" t="n">
        <v>1</v>
      </c>
      <c r="D47" s="11" t="s">
        <v>137</v>
      </c>
      <c r="E47" s="12"/>
      <c r="F47" s="11" t="s">
        <v>138</v>
      </c>
    </row>
    <row r="48" customFormat="false" ht="15" hidden="false" customHeight="false" outlineLevel="0" collapsed="false">
      <c r="A48" s="11" t="s">
        <v>101</v>
      </c>
      <c r="B48" s="11" t="n">
        <v>2</v>
      </c>
      <c r="C48" s="11" t="n">
        <v>1</v>
      </c>
      <c r="D48" s="11" t="s">
        <v>137</v>
      </c>
      <c r="E48" s="12"/>
      <c r="F48" s="11" t="s">
        <v>138</v>
      </c>
    </row>
    <row r="49" customFormat="false" ht="15" hidden="false" customHeight="false" outlineLevel="0" collapsed="false">
      <c r="A49" s="11" t="s">
        <v>102</v>
      </c>
      <c r="B49" s="11" t="n">
        <v>2</v>
      </c>
      <c r="C49" s="11" t="n">
        <v>1</v>
      </c>
      <c r="D49" s="11" t="s">
        <v>137</v>
      </c>
      <c r="E49" s="12"/>
      <c r="F49" s="11" t="s">
        <v>138</v>
      </c>
    </row>
    <row r="50" customFormat="false" ht="15" hidden="false" customHeight="false" outlineLevel="0" collapsed="false">
      <c r="A50" s="11" t="s">
        <v>103</v>
      </c>
      <c r="B50" s="11" t="n">
        <v>2</v>
      </c>
      <c r="C50" s="11" t="n">
        <v>1</v>
      </c>
      <c r="D50" s="11" t="s">
        <v>137</v>
      </c>
      <c r="E50" s="12"/>
      <c r="F50" s="11"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8F86"/>
    <pageSetUpPr fitToPage="false"/>
  </sheetPr>
  <dimension ref="A1:G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 min="1" style="0" width="14"/>
    <col collapsed="false" customWidth="true" hidden="false" outlineLevel="0" max="4" min="4" style="0" width="34"/>
    <col collapsed="false" customWidth="true" hidden="false" outlineLevel="0" max="5" min="5" style="0" width="16"/>
    <col collapsed="false" customWidth="true" hidden="false" outlineLevel="0" max="6" min="6" style="0" width="42"/>
    <col collapsed="false" customWidth="true" hidden="false" outlineLevel="0" max="7" min="7" style="0" width="60"/>
  </cols>
  <sheetData>
    <row r="1" customFormat="false" ht="17.35" hidden="false" customHeight="false" outlineLevel="0" collapsed="false">
      <c r="A1" s="1" t="s">
        <v>146</v>
      </c>
    </row>
    <row r="2" customFormat="false" ht="15" hidden="false" customHeight="false" outlineLevel="0" collapsed="false">
      <c r="A2" s="2" t="s">
        <v>147</v>
      </c>
    </row>
    <row r="4" customFormat="false" ht="30" hidden="false" customHeight="true" outlineLevel="0" collapsed="false">
      <c r="A4" s="6" t="s">
        <v>148</v>
      </c>
      <c r="B4" s="6" t="s">
        <v>149</v>
      </c>
      <c r="C4" s="6" t="s">
        <v>150</v>
      </c>
      <c r="D4" s="6" t="s">
        <v>151</v>
      </c>
      <c r="E4" s="6" t="s">
        <v>152</v>
      </c>
      <c r="F4" s="6" t="s">
        <v>153</v>
      </c>
      <c r="G4" s="6" t="s">
        <v>154</v>
      </c>
    </row>
    <row r="5" customFormat="false" ht="15" hidden="false" customHeight="false" outlineLevel="0" collapsed="false">
      <c r="A5" s="17" t="s">
        <v>45</v>
      </c>
      <c r="B5" s="18" t="n">
        <f aca="false">COUNTIF(2a_PRE_TRABAJO!$A$5:$A$51,A5)</f>
        <v>1</v>
      </c>
      <c r="C5" s="18" t="n">
        <f aca="false">COUNTIF(2b_POST_TRABAJO!$A$5:$A$48,A5)</f>
        <v>1</v>
      </c>
      <c r="D5" s="11" t="str">
        <f aca="false">IF(B5&gt;1,"DUPLICADO EN PRE",IF(C5&gt;1,"DUPLICADO EN POST",IF(AND(B5=1,C5=1),"Emparejado",IF(AND(B5=1,C5=0),"Huérfano de pretest (sin postest)",IF(AND(B5=0,C5&gt;=1),"Huérfano de postest (sin pretest)","Revisar")))))</f>
        <v>Emparejado</v>
      </c>
      <c r="E5" s="19" t="n">
        <f aca="false">IFERROR(INDEX(3_Mortalidad!$C$5:$C$50,MATCH(A5,3_Mortalidad!$A$5:$A$50,0)),"No registrado")</f>
        <v>1</v>
      </c>
      <c r="F5" s="20" t="str">
        <f aca="false">IFERROR(INDEX(3_Mortalidad!$D$5:$D$50,MATCH(A5,3_Mortalidad!$A$5:$A$50,0)),"—")</f>
        <v>Participación completa</v>
      </c>
      <c r="G5" s="21"/>
    </row>
    <row r="6" customFormat="false" ht="15" hidden="false" customHeight="false" outlineLevel="0" collapsed="false">
      <c r="A6" s="17" t="s">
        <v>47</v>
      </c>
      <c r="B6" s="18" t="n">
        <f aca="false">COUNTIF(2a_PRE_TRABAJO!$A$5:$A$51,A6)</f>
        <v>1</v>
      </c>
      <c r="C6" s="18" t="n">
        <f aca="false">COUNTIF(2b_POST_TRABAJO!$A$5:$A$48,A6)</f>
        <v>1</v>
      </c>
      <c r="D6" s="11" t="str">
        <f aca="false">IF(B6&gt;1,"DUPLICADO EN PRE",IF(C6&gt;1,"DUPLICADO EN POST",IF(AND(B6=1,C6=1),"Emparejado",IF(AND(B6=1,C6=0),"Huérfano de pretest (sin postest)",IF(AND(B6=0,C6&gt;=1),"Huérfano de postest (sin pretest)","Revisar")))))</f>
        <v>Emparejado</v>
      </c>
      <c r="E6" s="19" t="n">
        <f aca="false">IFERROR(INDEX(3_Mortalidad!$C$5:$C$50,MATCH(A6,3_Mortalidad!$A$5:$A$50,0)),"No registrado")</f>
        <v>1</v>
      </c>
      <c r="F6" s="20" t="str">
        <f aca="false">IFERROR(INDEX(3_Mortalidad!$D$5:$D$50,MATCH(A6,3_Mortalidad!$A$5:$A$50,0)),"—")</f>
        <v>Participación completa</v>
      </c>
      <c r="G6" s="21"/>
    </row>
    <row r="7" customFormat="false" ht="15" hidden="false" customHeight="false" outlineLevel="0" collapsed="false">
      <c r="A7" s="17" t="s">
        <v>49</v>
      </c>
      <c r="B7" s="18" t="n">
        <f aca="false">COUNTIF(2a_PRE_TRABAJO!$A$5:$A$51,A7)</f>
        <v>2</v>
      </c>
      <c r="C7" s="18" t="n">
        <f aca="false">COUNTIF(2b_POST_TRABAJO!$A$5:$A$48,A7)</f>
        <v>1</v>
      </c>
      <c r="D7" s="11" t="str">
        <f aca="false">IF(B7&gt;1,"DUPLICADO EN PRE",IF(C7&gt;1,"DUPLICADO EN POST",IF(AND(B7=1,C7=1),"Emparejado",IF(AND(B7=1,C7=0),"Huérfano de pretest (sin postest)",IF(AND(B7=0,C7&gt;=1),"Huérfano de postest (sin pretest)","Revisar")))))</f>
        <v>DUPLICADO EN PRE</v>
      </c>
      <c r="E7" s="19" t="n">
        <f aca="false">IFERROR(INDEX(3_Mortalidad!$C$5:$C$50,MATCH(A7,3_Mortalidad!$A$5:$A$50,0)),"No registrado")</f>
        <v>1</v>
      </c>
      <c r="F7" s="20" t="str">
        <f aca="false">IFERROR(INDEX(3_Mortalidad!$D$5:$D$50,MATCH(A7,3_Mortalidad!$A$5:$A$50,0)),"—")</f>
        <v>Participación completa</v>
      </c>
      <c r="G7" s="21"/>
    </row>
    <row r="8" customFormat="false" ht="15" hidden="false" customHeight="false" outlineLevel="0" collapsed="false">
      <c r="A8" s="17" t="s">
        <v>51</v>
      </c>
      <c r="B8" s="18" t="n">
        <f aca="false">COUNTIF(2a_PRE_TRABAJO!$A$5:$A$51,A8)</f>
        <v>1</v>
      </c>
      <c r="C8" s="18" t="n">
        <f aca="false">COUNTIF(2b_POST_TRABAJO!$A$5:$A$48,A8)</f>
        <v>1</v>
      </c>
      <c r="D8" s="11" t="str">
        <f aca="false">IF(B8&gt;1,"DUPLICADO EN PRE",IF(C8&gt;1,"DUPLICADO EN POST",IF(AND(B8=1,C8=1),"Emparejado",IF(AND(B8=1,C8=0),"Huérfano de pretest (sin postest)",IF(AND(B8=0,C8&gt;=1),"Huérfano de postest (sin pretest)","Revisar")))))</f>
        <v>Emparejado</v>
      </c>
      <c r="E8" s="19" t="n">
        <f aca="false">IFERROR(INDEX(3_Mortalidad!$C$5:$C$50,MATCH(A8,3_Mortalidad!$A$5:$A$50,0)),"No registrado")</f>
        <v>1</v>
      </c>
      <c r="F8" s="20" t="str">
        <f aca="false">IFERROR(INDEX(3_Mortalidad!$D$5:$D$50,MATCH(A8,3_Mortalidad!$A$5:$A$50,0)),"—")</f>
        <v>Participación completa</v>
      </c>
      <c r="G8" s="21"/>
    </row>
    <row r="9" customFormat="false" ht="15" hidden="false" customHeight="false" outlineLevel="0" collapsed="false">
      <c r="A9" s="17" t="s">
        <v>53</v>
      </c>
      <c r="B9" s="18" t="n">
        <f aca="false">COUNTIF(2a_PRE_TRABAJO!$A$5:$A$51,A9)</f>
        <v>1</v>
      </c>
      <c r="C9" s="18" t="n">
        <f aca="false">COUNTIF(2b_POST_TRABAJO!$A$5:$A$48,A9)</f>
        <v>1</v>
      </c>
      <c r="D9" s="11" t="str">
        <f aca="false">IF(B9&gt;1,"DUPLICADO EN PRE",IF(C9&gt;1,"DUPLICADO EN POST",IF(AND(B9=1,C9=1),"Emparejado",IF(AND(B9=1,C9=0),"Huérfano de pretest (sin postest)",IF(AND(B9=0,C9&gt;=1),"Huérfano de postest (sin pretest)","Revisar")))))</f>
        <v>Emparejado</v>
      </c>
      <c r="E9" s="19" t="n">
        <f aca="false">IFERROR(INDEX(3_Mortalidad!$C$5:$C$50,MATCH(A9,3_Mortalidad!$A$5:$A$50,0)),"No registrado")</f>
        <v>1</v>
      </c>
      <c r="F9" s="20" t="str">
        <f aca="false">IFERROR(INDEX(3_Mortalidad!$D$5:$D$50,MATCH(A9,3_Mortalidad!$A$5:$A$50,0)),"—")</f>
        <v>Participación completa</v>
      </c>
      <c r="G9" s="21"/>
    </row>
    <row r="10" customFormat="false" ht="15" hidden="false" customHeight="false" outlineLevel="0" collapsed="false">
      <c r="A10" s="17" t="s">
        <v>54</v>
      </c>
      <c r="B10" s="18" t="n">
        <f aca="false">COUNTIF(2a_PRE_TRABAJO!$A$5:$A$51,A10)</f>
        <v>1</v>
      </c>
      <c r="C10" s="18" t="n">
        <f aca="false">COUNTIF(2b_POST_TRABAJO!$A$5:$A$48,A10)</f>
        <v>1</v>
      </c>
      <c r="D10" s="11" t="str">
        <f aca="false">IF(B10&gt;1,"DUPLICADO EN PRE",IF(C10&gt;1,"DUPLICADO EN POST",IF(AND(B10=1,C10=1),"Emparejado",IF(AND(B10=1,C10=0),"Huérfano de pretest (sin postest)",IF(AND(B10=0,C10&gt;=1),"Huérfano de postest (sin pretest)","Revisar")))))</f>
        <v>Emparejado</v>
      </c>
      <c r="E10" s="19" t="n">
        <f aca="false">IFERROR(INDEX(3_Mortalidad!$C$5:$C$50,MATCH(A10,3_Mortalidad!$A$5:$A$50,0)),"No registrado")</f>
        <v>1</v>
      </c>
      <c r="F10" s="20" t="str">
        <f aca="false">IFERROR(INDEX(3_Mortalidad!$D$5:$D$50,MATCH(A10,3_Mortalidad!$A$5:$A$50,0)),"—")</f>
        <v>Participación completa</v>
      </c>
      <c r="G10" s="21"/>
    </row>
    <row r="11" customFormat="false" ht="15" hidden="false" customHeight="false" outlineLevel="0" collapsed="false">
      <c r="A11" s="17" t="s">
        <v>56</v>
      </c>
      <c r="B11" s="18" t="n">
        <f aca="false">COUNTIF(2a_PRE_TRABAJO!$A$5:$A$51,A11)</f>
        <v>1</v>
      </c>
      <c r="C11" s="18" t="n">
        <f aca="false">COUNTIF(2b_POST_TRABAJO!$A$5:$A$48,A11)</f>
        <v>0</v>
      </c>
      <c r="D11" s="11" t="str">
        <f aca="false">IF(B11&gt;1,"DUPLICADO EN PRE",IF(C11&gt;1,"DUPLICADO EN POST",IF(AND(B11=1,C11=1),"Emparejado",IF(AND(B11=1,C11=0),"Huérfano de pretest (sin postest)",IF(AND(B11=0,C11&gt;=1),"Huérfano de postest (sin pretest)","Revisar")))))</f>
        <v>Huérfano de pretest (sin postest)</v>
      </c>
      <c r="E11" s="19" t="n">
        <f aca="false">IFERROR(INDEX(3_Mortalidad!$C$5:$C$50,MATCH(A11,3_Mortalidad!$A$5:$A$50,0)),"No registrado")</f>
        <v>2</v>
      </c>
      <c r="F11" s="20" t="str">
        <f aca="false">IFERROR(INDEX(3_Mortalidad!$D$5:$D$50,MATCH(A11,3_Mortalidad!$A$5:$A$50,0)),"—")</f>
        <v>Traslado a otra sede</v>
      </c>
      <c r="G11" s="21"/>
    </row>
    <row r="12" customFormat="false" ht="15" hidden="false" customHeight="false" outlineLevel="0" collapsed="false">
      <c r="A12" s="17" t="s">
        <v>58</v>
      </c>
      <c r="B12" s="18" t="n">
        <f aca="false">COUNTIF(2a_PRE_TRABAJO!$A$5:$A$51,A12)</f>
        <v>1</v>
      </c>
      <c r="C12" s="18" t="n">
        <f aca="false">COUNTIF(2b_POST_TRABAJO!$A$5:$A$48,A12)</f>
        <v>1</v>
      </c>
      <c r="D12" s="11" t="str">
        <f aca="false">IF(B12&gt;1,"DUPLICADO EN PRE",IF(C12&gt;1,"DUPLICADO EN POST",IF(AND(B12=1,C12=1),"Emparejado",IF(AND(B12=1,C12=0),"Huérfano de pretest (sin postest)",IF(AND(B12=0,C12&gt;=1),"Huérfano de postest (sin pretest)","Revisar")))))</f>
        <v>Emparejado</v>
      </c>
      <c r="E12" s="19" t="n">
        <f aca="false">IFERROR(INDEX(3_Mortalidad!$C$5:$C$50,MATCH(A12,3_Mortalidad!$A$5:$A$50,0)),"No registrado")</f>
        <v>1</v>
      </c>
      <c r="F12" s="20" t="str">
        <f aca="false">IFERROR(INDEX(3_Mortalidad!$D$5:$D$50,MATCH(A12,3_Mortalidad!$A$5:$A$50,0)),"—")</f>
        <v>Participación completa</v>
      </c>
      <c r="G12" s="21"/>
    </row>
    <row r="13" customFormat="false" ht="15" hidden="false" customHeight="false" outlineLevel="0" collapsed="false">
      <c r="A13" s="17" t="s">
        <v>59</v>
      </c>
      <c r="B13" s="18" t="n">
        <f aca="false">COUNTIF(2a_PRE_TRABAJO!$A$5:$A$51,A13)</f>
        <v>1</v>
      </c>
      <c r="C13" s="18" t="n">
        <f aca="false">COUNTIF(2b_POST_TRABAJO!$A$5:$A$48,A13)</f>
        <v>1</v>
      </c>
      <c r="D13" s="11" t="str">
        <f aca="false">IF(B13&gt;1,"DUPLICADO EN PRE",IF(C13&gt;1,"DUPLICADO EN POST",IF(AND(B13=1,C13=1),"Emparejado",IF(AND(B13=1,C13=0),"Huérfano de pretest (sin postest)",IF(AND(B13=0,C13&gt;=1),"Huérfano de postest (sin pretest)","Revisar")))))</f>
        <v>Emparejado</v>
      </c>
      <c r="E13" s="19" t="n">
        <f aca="false">IFERROR(INDEX(3_Mortalidad!$C$5:$C$50,MATCH(A13,3_Mortalidad!$A$5:$A$50,0)),"No registrado")</f>
        <v>1</v>
      </c>
      <c r="F13" s="20" t="str">
        <f aca="false">IFERROR(INDEX(3_Mortalidad!$D$5:$D$50,MATCH(A13,3_Mortalidad!$A$5:$A$50,0)),"—")</f>
        <v>Participación completa</v>
      </c>
      <c r="G13" s="21"/>
    </row>
    <row r="14" customFormat="false" ht="15" hidden="false" customHeight="false" outlineLevel="0" collapsed="false">
      <c r="A14" s="17" t="s">
        <v>60</v>
      </c>
      <c r="B14" s="18" t="n">
        <f aca="false">COUNTIF(2a_PRE_TRABAJO!$A$5:$A$51,A14)</f>
        <v>1</v>
      </c>
      <c r="C14" s="18" t="n">
        <f aca="false">COUNTIF(2b_POST_TRABAJO!$A$5:$A$48,A14)</f>
        <v>1</v>
      </c>
      <c r="D14" s="11" t="str">
        <f aca="false">IF(B14&gt;1,"DUPLICADO EN PRE",IF(C14&gt;1,"DUPLICADO EN POST",IF(AND(B14=1,C14=1),"Emparejado",IF(AND(B14=1,C14=0),"Huérfano de pretest (sin postest)",IF(AND(B14=0,C14&gt;=1),"Huérfano de postest (sin pretest)","Revisar")))))</f>
        <v>Emparejado</v>
      </c>
      <c r="E14" s="19" t="n">
        <f aca="false">IFERROR(INDEX(3_Mortalidad!$C$5:$C$50,MATCH(A14,3_Mortalidad!$A$5:$A$50,0)),"No registrado")</f>
        <v>1</v>
      </c>
      <c r="F14" s="20" t="str">
        <f aca="false">IFERROR(INDEX(3_Mortalidad!$D$5:$D$50,MATCH(A14,3_Mortalidad!$A$5:$A$50,0)),"—")</f>
        <v>Participación completa</v>
      </c>
      <c r="G14" s="21"/>
    </row>
    <row r="15" customFormat="false" ht="15" hidden="false" customHeight="false" outlineLevel="0" collapsed="false">
      <c r="A15" s="17" t="s">
        <v>62</v>
      </c>
      <c r="B15" s="18" t="n">
        <f aca="false">COUNTIF(2a_PRE_TRABAJO!$A$5:$A$51,A15)</f>
        <v>1</v>
      </c>
      <c r="C15" s="18" t="n">
        <f aca="false">COUNTIF(2b_POST_TRABAJO!$A$5:$A$48,A15)</f>
        <v>1</v>
      </c>
      <c r="D15" s="11" t="str">
        <f aca="false">IF(B15&gt;1,"DUPLICADO EN PRE",IF(C15&gt;1,"DUPLICADO EN POST",IF(AND(B15=1,C15=1),"Emparejado",IF(AND(B15=1,C15=0),"Huérfano de pretest (sin postest)",IF(AND(B15=0,C15&gt;=1),"Huérfano de postest (sin pretest)","Revisar")))))</f>
        <v>Emparejado</v>
      </c>
      <c r="E15" s="19" t="n">
        <f aca="false">IFERROR(INDEX(3_Mortalidad!$C$5:$C$50,MATCH(A15,3_Mortalidad!$A$5:$A$50,0)),"No registrado")</f>
        <v>1</v>
      </c>
      <c r="F15" s="20" t="str">
        <f aca="false">IFERROR(INDEX(3_Mortalidad!$D$5:$D$50,MATCH(A15,3_Mortalidad!$A$5:$A$50,0)),"—")</f>
        <v>Participación completa</v>
      </c>
      <c r="G15" s="21"/>
    </row>
    <row r="16" customFormat="false" ht="15" hidden="false" customHeight="false" outlineLevel="0" collapsed="false">
      <c r="A16" s="17" t="s">
        <v>64</v>
      </c>
      <c r="B16" s="18" t="n">
        <f aca="false">COUNTIF(2a_PRE_TRABAJO!$A$5:$A$51,A16)</f>
        <v>1</v>
      </c>
      <c r="C16" s="18" t="n">
        <f aca="false">COUNTIF(2b_POST_TRABAJO!$A$5:$A$48,A16)</f>
        <v>1</v>
      </c>
      <c r="D16" s="11" t="str">
        <f aca="false">IF(B16&gt;1,"DUPLICADO EN PRE",IF(C16&gt;1,"DUPLICADO EN POST",IF(AND(B16=1,C16=1),"Emparejado",IF(AND(B16=1,C16=0),"Huérfano de pretest (sin postest)",IF(AND(B16=0,C16&gt;=1),"Huérfano de postest (sin pretest)","Revisar")))))</f>
        <v>Emparejado</v>
      </c>
      <c r="E16" s="19" t="n">
        <f aca="false">IFERROR(INDEX(3_Mortalidad!$C$5:$C$50,MATCH(A16,3_Mortalidad!$A$5:$A$50,0)),"No registrado")</f>
        <v>1</v>
      </c>
      <c r="F16" s="20" t="str">
        <f aca="false">IFERROR(INDEX(3_Mortalidad!$D$5:$D$50,MATCH(A16,3_Mortalidad!$A$5:$A$50,0)),"—")</f>
        <v>Participación completa</v>
      </c>
      <c r="G16" s="21"/>
    </row>
    <row r="17" customFormat="false" ht="15" hidden="false" customHeight="false" outlineLevel="0" collapsed="false">
      <c r="A17" s="17" t="s">
        <v>65</v>
      </c>
      <c r="B17" s="18" t="n">
        <f aca="false">COUNTIF(2a_PRE_TRABAJO!$A$5:$A$51,A17)</f>
        <v>1</v>
      </c>
      <c r="C17" s="18" t="n">
        <f aca="false">COUNTIF(2b_POST_TRABAJO!$A$5:$A$48,A17)</f>
        <v>0</v>
      </c>
      <c r="D17" s="11" t="str">
        <f aca="false">IF(B17&gt;1,"DUPLICADO EN PRE",IF(C17&gt;1,"DUPLICADO EN POST",IF(AND(B17=1,C17=1),"Emparejado",IF(AND(B17=1,C17=0),"Huérfano de pretest (sin postest)",IF(AND(B17=0,C17&gt;=1),"Huérfano de postest (sin pretest)","Revisar")))))</f>
        <v>Huérfano de pretest (sin postest)</v>
      </c>
      <c r="E17" s="19" t="n">
        <f aca="false">IFERROR(INDEX(3_Mortalidad!$C$5:$C$50,MATCH(A17,3_Mortalidad!$A$5:$A$50,0)),"No registrado")</f>
        <v>2</v>
      </c>
      <c r="F17" s="20" t="str">
        <f aca="false">IFERROR(INDEX(3_Mortalidad!$D$5:$D$50,MATCH(A17,3_Mortalidad!$A$5:$A$50,0)),"—")</f>
        <v>Licencia por enfermedad</v>
      </c>
      <c r="G17" s="21"/>
    </row>
    <row r="18" customFormat="false" ht="15" hidden="false" customHeight="false" outlineLevel="0" collapsed="false">
      <c r="A18" s="17" t="s">
        <v>67</v>
      </c>
      <c r="B18" s="18" t="n">
        <f aca="false">COUNTIF(2a_PRE_TRABAJO!$A$5:$A$51,A18)</f>
        <v>1</v>
      </c>
      <c r="C18" s="18" t="n">
        <f aca="false">COUNTIF(2b_POST_TRABAJO!$A$5:$A$48,A18)</f>
        <v>1</v>
      </c>
      <c r="D18" s="11" t="str">
        <f aca="false">IF(B18&gt;1,"DUPLICADO EN PRE",IF(C18&gt;1,"DUPLICADO EN POST",IF(AND(B18=1,C18=1),"Emparejado",IF(AND(B18=1,C18=0),"Huérfano de pretest (sin postest)",IF(AND(B18=0,C18&gt;=1),"Huérfano de postest (sin pretest)","Revisar")))))</f>
        <v>Emparejado</v>
      </c>
      <c r="E18" s="19" t="n">
        <f aca="false">IFERROR(INDEX(3_Mortalidad!$C$5:$C$50,MATCH(A18,3_Mortalidad!$A$5:$A$50,0)),"No registrado")</f>
        <v>1</v>
      </c>
      <c r="F18" s="20" t="str">
        <f aca="false">IFERROR(INDEX(3_Mortalidad!$D$5:$D$50,MATCH(A18,3_Mortalidad!$A$5:$A$50,0)),"—")</f>
        <v>Participación completa</v>
      </c>
      <c r="G18" s="21"/>
    </row>
    <row r="19" customFormat="false" ht="15" hidden="false" customHeight="false" outlineLevel="0" collapsed="false">
      <c r="A19" s="17" t="s">
        <v>68</v>
      </c>
      <c r="B19" s="18" t="n">
        <f aca="false">COUNTIF(2a_PRE_TRABAJO!$A$5:$A$51,A19)</f>
        <v>1</v>
      </c>
      <c r="C19" s="18" t="n">
        <f aca="false">COUNTIF(2b_POST_TRABAJO!$A$5:$A$48,A19)</f>
        <v>1</v>
      </c>
      <c r="D19" s="11" t="str">
        <f aca="false">IF(B19&gt;1,"DUPLICADO EN PRE",IF(C19&gt;1,"DUPLICADO EN POST",IF(AND(B19=1,C19=1),"Emparejado",IF(AND(B19=1,C19=0),"Huérfano de pretest (sin postest)",IF(AND(B19=0,C19&gt;=1),"Huérfano de postest (sin pretest)","Revisar")))))</f>
        <v>Emparejado</v>
      </c>
      <c r="E19" s="19" t="n">
        <f aca="false">IFERROR(INDEX(3_Mortalidad!$C$5:$C$50,MATCH(A19,3_Mortalidad!$A$5:$A$50,0)),"No registrado")</f>
        <v>1</v>
      </c>
      <c r="F19" s="20" t="str">
        <f aca="false">IFERROR(INDEX(3_Mortalidad!$D$5:$D$50,MATCH(A19,3_Mortalidad!$A$5:$A$50,0)),"—")</f>
        <v>Participación completa</v>
      </c>
      <c r="G19" s="21"/>
    </row>
    <row r="20" customFormat="false" ht="15" hidden="false" customHeight="false" outlineLevel="0" collapsed="false">
      <c r="A20" s="17" t="s">
        <v>69</v>
      </c>
      <c r="B20" s="18" t="n">
        <f aca="false">COUNTIF(2a_PRE_TRABAJO!$A$5:$A$51,A20)</f>
        <v>1</v>
      </c>
      <c r="C20" s="18" t="n">
        <f aca="false">COUNTIF(2b_POST_TRABAJO!$A$5:$A$48,A20)</f>
        <v>1</v>
      </c>
      <c r="D20" s="11" t="str">
        <f aca="false">IF(B20&gt;1,"DUPLICADO EN PRE",IF(C20&gt;1,"DUPLICADO EN POST",IF(AND(B20=1,C20=1),"Emparejado",IF(AND(B20=1,C20=0),"Huérfano de pretest (sin postest)",IF(AND(B20=0,C20&gt;=1),"Huérfano de postest (sin pretest)","Revisar")))))</f>
        <v>Emparejado</v>
      </c>
      <c r="E20" s="19" t="n">
        <f aca="false">IFERROR(INDEX(3_Mortalidad!$C$5:$C$50,MATCH(A20,3_Mortalidad!$A$5:$A$50,0)),"No registrado")</f>
        <v>1</v>
      </c>
      <c r="F20" s="20" t="str">
        <f aca="false">IFERROR(INDEX(3_Mortalidad!$D$5:$D$50,MATCH(A20,3_Mortalidad!$A$5:$A$50,0)),"—")</f>
        <v>Participación completa</v>
      </c>
      <c r="G20" s="21"/>
    </row>
    <row r="21" customFormat="false" ht="15" hidden="false" customHeight="false" outlineLevel="0" collapsed="false">
      <c r="A21" s="17" t="s">
        <v>70</v>
      </c>
      <c r="B21" s="18" t="n">
        <f aca="false">COUNTIF(2a_PRE_TRABAJO!$A$5:$A$51,A21)</f>
        <v>1</v>
      </c>
      <c r="C21" s="18" t="n">
        <f aca="false">COUNTIF(2b_POST_TRABAJO!$A$5:$A$48,A21)</f>
        <v>1</v>
      </c>
      <c r="D21" s="11" t="str">
        <f aca="false">IF(B21&gt;1,"DUPLICADO EN PRE",IF(C21&gt;1,"DUPLICADO EN POST",IF(AND(B21=1,C21=1),"Emparejado",IF(AND(B21=1,C21=0),"Huérfano de pretest (sin postest)",IF(AND(B21=0,C21&gt;=1),"Huérfano de postest (sin pretest)","Revisar")))))</f>
        <v>Emparejado</v>
      </c>
      <c r="E21" s="19" t="n">
        <f aca="false">IFERROR(INDEX(3_Mortalidad!$C$5:$C$50,MATCH(A21,3_Mortalidad!$A$5:$A$50,0)),"No registrado")</f>
        <v>1</v>
      </c>
      <c r="F21" s="20" t="str">
        <f aca="false">IFERROR(INDEX(3_Mortalidad!$D$5:$D$50,MATCH(A21,3_Mortalidad!$A$5:$A$50,0)),"—")</f>
        <v>Participación completa</v>
      </c>
      <c r="G21" s="21"/>
    </row>
    <row r="22" customFormat="false" ht="15" hidden="false" customHeight="false" outlineLevel="0" collapsed="false">
      <c r="A22" s="17" t="s">
        <v>71</v>
      </c>
      <c r="B22" s="18" t="n">
        <f aca="false">COUNTIF(2a_PRE_TRABAJO!$A$5:$A$51,A22)</f>
        <v>1</v>
      </c>
      <c r="C22" s="18" t="n">
        <f aca="false">COUNTIF(2b_POST_TRABAJO!$A$5:$A$48,A22)</f>
        <v>1</v>
      </c>
      <c r="D22" s="11" t="str">
        <f aca="false">IF(B22&gt;1,"DUPLICADO EN PRE",IF(C22&gt;1,"DUPLICADO EN POST",IF(AND(B22=1,C22=1),"Emparejado",IF(AND(B22=1,C22=0),"Huérfano de pretest (sin postest)",IF(AND(B22=0,C22&gt;=1),"Huérfano de postest (sin pretest)","Revisar")))))</f>
        <v>Emparejado</v>
      </c>
      <c r="E22" s="19" t="n">
        <f aca="false">IFERROR(INDEX(3_Mortalidad!$C$5:$C$50,MATCH(A22,3_Mortalidad!$A$5:$A$50,0)),"No registrado")</f>
        <v>1</v>
      </c>
      <c r="F22" s="20" t="str">
        <f aca="false">IFERROR(INDEX(3_Mortalidad!$D$5:$D$50,MATCH(A22,3_Mortalidad!$A$5:$A$50,0)),"—")</f>
        <v>Participación completa</v>
      </c>
      <c r="G22" s="21"/>
    </row>
    <row r="23" customFormat="false" ht="15" hidden="false" customHeight="false" outlineLevel="0" collapsed="false">
      <c r="A23" s="17" t="s">
        <v>72</v>
      </c>
      <c r="B23" s="18" t="n">
        <f aca="false">COUNTIF(2a_PRE_TRABAJO!$A$5:$A$51,A23)</f>
        <v>1</v>
      </c>
      <c r="C23" s="18" t="n">
        <f aca="false">COUNTIF(2b_POST_TRABAJO!$A$5:$A$48,A23)</f>
        <v>1</v>
      </c>
      <c r="D23" s="11" t="str">
        <f aca="false">IF(B23&gt;1,"DUPLICADO EN PRE",IF(C23&gt;1,"DUPLICADO EN POST",IF(AND(B23=1,C23=1),"Emparejado",IF(AND(B23=1,C23=0),"Huérfano de pretest (sin postest)",IF(AND(B23=0,C23&gt;=1),"Huérfano de postest (sin pretest)","Revisar")))))</f>
        <v>Emparejado</v>
      </c>
      <c r="E23" s="19" t="n">
        <f aca="false">IFERROR(INDEX(3_Mortalidad!$C$5:$C$50,MATCH(A23,3_Mortalidad!$A$5:$A$50,0)),"No registrado")</f>
        <v>3</v>
      </c>
      <c r="F23" s="20" t="str">
        <f aca="false">IFERROR(INDEX(3_Mortalidad!$D$5:$D$50,MATCH(A23,3_Mortalidad!$A$5:$A$50,0)),"—")</f>
        <v>Retiro de consentimiento informado, después del postest</v>
      </c>
      <c r="G23" s="21"/>
    </row>
    <row r="24" customFormat="false" ht="15" hidden="false" customHeight="false" outlineLevel="0" collapsed="false">
      <c r="A24" s="17" t="s">
        <v>74</v>
      </c>
      <c r="B24" s="18" t="n">
        <f aca="false">COUNTIF(2a_PRE_TRABAJO!$A$5:$A$51,A24)</f>
        <v>1</v>
      </c>
      <c r="C24" s="18" t="n">
        <f aca="false">COUNTIF(2b_POST_TRABAJO!$A$5:$A$48,A24)</f>
        <v>1</v>
      </c>
      <c r="D24" s="11" t="str">
        <f aca="false">IF(B24&gt;1,"DUPLICADO EN PRE",IF(C24&gt;1,"DUPLICADO EN POST",IF(AND(B24=1,C24=1),"Emparejado",IF(AND(B24=1,C24=0),"Huérfano de pretest (sin postest)",IF(AND(B24=0,C24&gt;=1),"Huérfano de postest (sin pretest)","Revisar")))))</f>
        <v>Emparejado</v>
      </c>
      <c r="E24" s="19" t="n">
        <f aca="false">IFERROR(INDEX(3_Mortalidad!$C$5:$C$50,MATCH(A24,3_Mortalidad!$A$5:$A$50,0)),"No registrado")</f>
        <v>1</v>
      </c>
      <c r="F24" s="20" t="str">
        <f aca="false">IFERROR(INDEX(3_Mortalidad!$D$5:$D$50,MATCH(A24,3_Mortalidad!$A$5:$A$50,0)),"—")</f>
        <v>Participación completa</v>
      </c>
      <c r="G24" s="21"/>
    </row>
    <row r="25" customFormat="false" ht="15" hidden="false" customHeight="false" outlineLevel="0" collapsed="false">
      <c r="A25" s="17" t="s">
        <v>75</v>
      </c>
      <c r="B25" s="18" t="n">
        <f aca="false">COUNTIF(2a_PRE_TRABAJO!$A$5:$A$51,A25)</f>
        <v>1</v>
      </c>
      <c r="C25" s="18" t="n">
        <f aca="false">COUNTIF(2b_POST_TRABAJO!$A$5:$A$48,A25)</f>
        <v>1</v>
      </c>
      <c r="D25" s="11" t="str">
        <f aca="false">IF(B25&gt;1,"DUPLICADO EN PRE",IF(C25&gt;1,"DUPLICADO EN POST",IF(AND(B25=1,C25=1),"Emparejado",IF(AND(B25=1,C25=0),"Huérfano de pretest (sin postest)",IF(AND(B25=0,C25&gt;=1),"Huérfano de postest (sin pretest)","Revisar")))))</f>
        <v>Emparejado</v>
      </c>
      <c r="E25" s="19" t="n">
        <f aca="false">IFERROR(INDEX(3_Mortalidad!$C$5:$C$50,MATCH(A25,3_Mortalidad!$A$5:$A$50,0)),"No registrado")</f>
        <v>1</v>
      </c>
      <c r="F25" s="20" t="str">
        <f aca="false">IFERROR(INDEX(3_Mortalidad!$D$5:$D$50,MATCH(A25,3_Mortalidad!$A$5:$A$50,0)),"—")</f>
        <v>Participación completa</v>
      </c>
      <c r="G25" s="21"/>
    </row>
    <row r="26" customFormat="false" ht="15" hidden="false" customHeight="false" outlineLevel="0" collapsed="false">
      <c r="A26" s="17" t="s">
        <v>76</v>
      </c>
      <c r="B26" s="18" t="n">
        <f aca="false">COUNTIF(2a_PRE_TRABAJO!$A$5:$A$51,A26)</f>
        <v>1</v>
      </c>
      <c r="C26" s="18" t="n">
        <f aca="false">COUNTIF(2b_POST_TRABAJO!$A$5:$A$48,A26)</f>
        <v>1</v>
      </c>
      <c r="D26" s="11" t="str">
        <f aca="false">IF(B26&gt;1,"DUPLICADO EN PRE",IF(C26&gt;1,"DUPLICADO EN POST",IF(AND(B26=1,C26=1),"Emparejado",IF(AND(B26=1,C26=0),"Huérfano de pretest (sin postest)",IF(AND(B26=0,C26&gt;=1),"Huérfano de postest (sin pretest)","Revisar")))))</f>
        <v>Emparejado</v>
      </c>
      <c r="E26" s="19" t="n">
        <f aca="false">IFERROR(INDEX(3_Mortalidad!$C$5:$C$50,MATCH(A26,3_Mortalidad!$A$5:$A$50,0)),"No registrado")</f>
        <v>1</v>
      </c>
      <c r="F26" s="20" t="str">
        <f aca="false">IFERROR(INDEX(3_Mortalidad!$D$5:$D$50,MATCH(A26,3_Mortalidad!$A$5:$A$50,0)),"—")</f>
        <v>Participación completa</v>
      </c>
      <c r="G26" s="21"/>
    </row>
    <row r="27" customFormat="false" ht="15" hidden="false" customHeight="false" outlineLevel="0" collapsed="false">
      <c r="A27" s="17" t="s">
        <v>77</v>
      </c>
      <c r="B27" s="18" t="n">
        <f aca="false">COUNTIF(2a_PRE_TRABAJO!$A$5:$A$51,A27)</f>
        <v>1</v>
      </c>
      <c r="C27" s="18" t="n">
        <f aca="false">COUNTIF(2b_POST_TRABAJO!$A$5:$A$48,A27)</f>
        <v>1</v>
      </c>
      <c r="D27" s="11" t="str">
        <f aca="false">IF(B27&gt;1,"DUPLICADO EN PRE",IF(C27&gt;1,"DUPLICADO EN POST",IF(AND(B27=1,C27=1),"Emparejado",IF(AND(B27=1,C27=0),"Huérfano de pretest (sin postest)",IF(AND(B27=0,C27&gt;=1),"Huérfano de postest (sin pretest)","Revisar")))))</f>
        <v>Emparejado</v>
      </c>
      <c r="E27" s="19" t="n">
        <f aca="false">IFERROR(INDEX(3_Mortalidad!$C$5:$C$50,MATCH(A27,3_Mortalidad!$A$5:$A$50,0)),"No registrado")</f>
        <v>1</v>
      </c>
      <c r="F27" s="20" t="str">
        <f aca="false">IFERROR(INDEX(3_Mortalidad!$D$5:$D$50,MATCH(A27,3_Mortalidad!$A$5:$A$50,0)),"—")</f>
        <v>Participación completa</v>
      </c>
      <c r="G27" s="21"/>
    </row>
    <row r="28" customFormat="false" ht="15" hidden="false" customHeight="false" outlineLevel="0" collapsed="false">
      <c r="A28" s="17" t="s">
        <v>78</v>
      </c>
      <c r="B28" s="18" t="n">
        <f aca="false">COUNTIF(2a_PRE_TRABAJO!$A$5:$A$51,A28)</f>
        <v>1</v>
      </c>
      <c r="C28" s="18" t="n">
        <f aca="false">COUNTIF(2b_POST_TRABAJO!$A$5:$A$48,A28)</f>
        <v>1</v>
      </c>
      <c r="D28" s="11" t="str">
        <f aca="false">IF(B28&gt;1,"DUPLICADO EN PRE",IF(C28&gt;1,"DUPLICADO EN POST",IF(AND(B28=1,C28=1),"Emparejado",IF(AND(B28=1,C28=0),"Huérfano de pretest (sin postest)",IF(AND(B28=0,C28&gt;=1),"Huérfano de postest (sin pretest)","Revisar")))))</f>
        <v>Emparejado</v>
      </c>
      <c r="E28" s="19" t="n">
        <f aca="false">IFERROR(INDEX(3_Mortalidad!$C$5:$C$50,MATCH(A28,3_Mortalidad!$A$5:$A$50,0)),"No registrado")</f>
        <v>1</v>
      </c>
      <c r="F28" s="20" t="str">
        <f aca="false">IFERROR(INDEX(3_Mortalidad!$D$5:$D$50,MATCH(A28,3_Mortalidad!$A$5:$A$50,0)),"—")</f>
        <v>Participación completa</v>
      </c>
      <c r="G28" s="21"/>
    </row>
    <row r="29" customFormat="false" ht="15" hidden="false" customHeight="false" outlineLevel="0" collapsed="false">
      <c r="A29" s="17" t="s">
        <v>79</v>
      </c>
      <c r="B29" s="18" t="n">
        <f aca="false">COUNTIF(2a_PRE_TRABAJO!$A$5:$A$51,A29)</f>
        <v>1</v>
      </c>
      <c r="C29" s="18" t="n">
        <f aca="false">COUNTIF(2b_POST_TRABAJO!$A$5:$A$48,A29)</f>
        <v>1</v>
      </c>
      <c r="D29" s="11" t="str">
        <f aca="false">IF(B29&gt;1,"DUPLICADO EN PRE",IF(C29&gt;1,"DUPLICADO EN POST",IF(AND(B29=1,C29=1),"Emparejado",IF(AND(B29=1,C29=0),"Huérfano de pretest (sin postest)",IF(AND(B29=0,C29&gt;=1),"Huérfano de postest (sin pretest)","Revisar")))))</f>
        <v>Emparejado</v>
      </c>
      <c r="E29" s="19" t="n">
        <f aca="false">IFERROR(INDEX(3_Mortalidad!$C$5:$C$50,MATCH(A29,3_Mortalidad!$A$5:$A$50,0)),"No registrado")</f>
        <v>1</v>
      </c>
      <c r="F29" s="20" t="str">
        <f aca="false">IFERROR(INDEX(3_Mortalidad!$D$5:$D$50,MATCH(A29,3_Mortalidad!$A$5:$A$50,0)),"—")</f>
        <v>Participación completa</v>
      </c>
      <c r="G29" s="21"/>
    </row>
    <row r="30" customFormat="false" ht="15" hidden="false" customHeight="false" outlineLevel="0" collapsed="false">
      <c r="A30" s="17" t="s">
        <v>80</v>
      </c>
      <c r="B30" s="18" t="n">
        <f aca="false">COUNTIF(2a_PRE_TRABAJO!$A$5:$A$51,A30)</f>
        <v>1</v>
      </c>
      <c r="C30" s="18" t="n">
        <f aca="false">COUNTIF(2b_POST_TRABAJO!$A$5:$A$48,A30)</f>
        <v>1</v>
      </c>
      <c r="D30" s="11" t="str">
        <f aca="false">IF(B30&gt;1,"DUPLICADO EN PRE",IF(C30&gt;1,"DUPLICADO EN POST",IF(AND(B30=1,C30=1),"Emparejado",IF(AND(B30=1,C30=0),"Huérfano de pretest (sin postest)",IF(AND(B30=0,C30&gt;=1),"Huérfano de postest (sin pretest)","Revisar")))))</f>
        <v>Emparejado</v>
      </c>
      <c r="E30" s="19" t="n">
        <f aca="false">IFERROR(INDEX(3_Mortalidad!$C$5:$C$50,MATCH(A30,3_Mortalidad!$A$5:$A$50,0)),"No registrado")</f>
        <v>1</v>
      </c>
      <c r="F30" s="20" t="str">
        <f aca="false">IFERROR(INDEX(3_Mortalidad!$D$5:$D$50,MATCH(A30,3_Mortalidad!$A$5:$A$50,0)),"—")</f>
        <v>Participación completa</v>
      </c>
      <c r="G30" s="21"/>
    </row>
    <row r="31" customFormat="false" ht="15" hidden="false" customHeight="false" outlineLevel="0" collapsed="false">
      <c r="A31" s="17" t="s">
        <v>81</v>
      </c>
      <c r="B31" s="18" t="n">
        <f aca="false">COUNTIF(2a_PRE_TRABAJO!$A$5:$A$51,A31)</f>
        <v>1</v>
      </c>
      <c r="C31" s="18" t="n">
        <f aca="false">COUNTIF(2b_POST_TRABAJO!$A$5:$A$48,A31)</f>
        <v>1</v>
      </c>
      <c r="D31" s="11" t="str">
        <f aca="false">IF(B31&gt;1,"DUPLICADO EN PRE",IF(C31&gt;1,"DUPLICADO EN POST",IF(AND(B31=1,C31=1),"Emparejado",IF(AND(B31=1,C31=0),"Huérfano de pretest (sin postest)",IF(AND(B31=0,C31&gt;=1),"Huérfano de postest (sin pretest)","Revisar")))))</f>
        <v>Emparejado</v>
      </c>
      <c r="E31" s="19" t="n">
        <f aca="false">IFERROR(INDEX(3_Mortalidad!$C$5:$C$50,MATCH(A31,3_Mortalidad!$A$5:$A$50,0)),"No registrado")</f>
        <v>1</v>
      </c>
      <c r="F31" s="20" t="str">
        <f aca="false">IFERROR(INDEX(3_Mortalidad!$D$5:$D$50,MATCH(A31,3_Mortalidad!$A$5:$A$50,0)),"—")</f>
        <v>Participación completa</v>
      </c>
      <c r="G31" s="21"/>
    </row>
    <row r="32" customFormat="false" ht="15" hidden="false" customHeight="false" outlineLevel="0" collapsed="false">
      <c r="A32" s="17" t="s">
        <v>83</v>
      </c>
      <c r="B32" s="18" t="n">
        <f aca="false">COUNTIF(2a_PRE_TRABAJO!$A$5:$A$51,A32)</f>
        <v>1</v>
      </c>
      <c r="C32" s="18" t="n">
        <f aca="false">COUNTIF(2b_POST_TRABAJO!$A$5:$A$48,A32)</f>
        <v>1</v>
      </c>
      <c r="D32" s="11" t="str">
        <f aca="false">IF(B32&gt;1,"DUPLICADO EN PRE",IF(C32&gt;1,"DUPLICADO EN POST",IF(AND(B32=1,C32=1),"Emparejado",IF(AND(B32=1,C32=0),"Huérfano de pretest (sin postest)",IF(AND(B32=0,C32&gt;=1),"Huérfano de postest (sin pretest)","Revisar")))))</f>
        <v>Emparejado</v>
      </c>
      <c r="E32" s="19" t="n">
        <f aca="false">IFERROR(INDEX(3_Mortalidad!$C$5:$C$50,MATCH(A32,3_Mortalidad!$A$5:$A$50,0)),"No registrado")</f>
        <v>1</v>
      </c>
      <c r="F32" s="20" t="str">
        <f aca="false">IFERROR(INDEX(3_Mortalidad!$D$5:$D$50,MATCH(A32,3_Mortalidad!$A$5:$A$50,0)),"—")</f>
        <v>Participación completa</v>
      </c>
      <c r="G32" s="21"/>
    </row>
    <row r="33" customFormat="false" ht="15" hidden="false" customHeight="false" outlineLevel="0" collapsed="false">
      <c r="A33" s="17" t="s">
        <v>84</v>
      </c>
      <c r="B33" s="18" t="n">
        <f aca="false">COUNTIF(2a_PRE_TRABAJO!$A$5:$A$51,A33)</f>
        <v>1</v>
      </c>
      <c r="C33" s="18" t="n">
        <f aca="false">COUNTIF(2b_POST_TRABAJO!$A$5:$A$48,A33)</f>
        <v>2</v>
      </c>
      <c r="D33" s="11" t="str">
        <f aca="false">IF(B33&gt;1,"DUPLICADO EN PRE",IF(C33&gt;1,"DUPLICADO EN POST",IF(AND(B33=1,C33=1),"Emparejado",IF(AND(B33=1,C33=0),"Huérfano de pretest (sin postest)",IF(AND(B33=0,C33&gt;=1),"Huérfano de postest (sin pretest)","Revisar")))))</f>
        <v>DUPLICADO EN POST</v>
      </c>
      <c r="E33" s="19" t="n">
        <f aca="false">IFERROR(INDEX(3_Mortalidad!$C$5:$C$50,MATCH(A33,3_Mortalidad!$A$5:$A$50,0)),"No registrado")</f>
        <v>1</v>
      </c>
      <c r="F33" s="20" t="str">
        <f aca="false">IFERROR(INDEX(3_Mortalidad!$D$5:$D$50,MATCH(A33,3_Mortalidad!$A$5:$A$50,0)),"—")</f>
        <v>Participación completa</v>
      </c>
      <c r="G33" s="21"/>
    </row>
    <row r="34" customFormat="false" ht="15" hidden="false" customHeight="false" outlineLevel="0" collapsed="false">
      <c r="A34" s="17" t="s">
        <v>85</v>
      </c>
      <c r="B34" s="18" t="n">
        <f aca="false">COUNTIF(2a_PRE_TRABAJO!$A$5:$A$51,A34)</f>
        <v>1</v>
      </c>
      <c r="C34" s="18" t="n">
        <f aca="false">COUNTIF(2b_POST_TRABAJO!$A$5:$A$48,A34)</f>
        <v>1</v>
      </c>
      <c r="D34" s="11" t="str">
        <f aca="false">IF(B34&gt;1,"DUPLICADO EN PRE",IF(C34&gt;1,"DUPLICADO EN POST",IF(AND(B34=1,C34=1),"Emparejado",IF(AND(B34=1,C34=0),"Huérfano de pretest (sin postest)",IF(AND(B34=0,C34&gt;=1),"Huérfano de postest (sin pretest)","Revisar")))))</f>
        <v>Emparejado</v>
      </c>
      <c r="E34" s="19" t="n">
        <f aca="false">IFERROR(INDEX(3_Mortalidad!$C$5:$C$50,MATCH(A34,3_Mortalidad!$A$5:$A$50,0)),"No registrado")</f>
        <v>1</v>
      </c>
      <c r="F34" s="20" t="str">
        <f aca="false">IFERROR(INDEX(3_Mortalidad!$D$5:$D$50,MATCH(A34,3_Mortalidad!$A$5:$A$50,0)),"—")</f>
        <v>Participación completa</v>
      </c>
      <c r="G34" s="21"/>
    </row>
    <row r="35" customFormat="false" ht="15" hidden="false" customHeight="false" outlineLevel="0" collapsed="false">
      <c r="A35" s="17" t="s">
        <v>86</v>
      </c>
      <c r="B35" s="18" t="n">
        <f aca="false">COUNTIF(2a_PRE_TRABAJO!$A$5:$A$51,A35)</f>
        <v>1</v>
      </c>
      <c r="C35" s="18" t="n">
        <f aca="false">COUNTIF(2b_POST_TRABAJO!$A$5:$A$48,A35)</f>
        <v>1</v>
      </c>
      <c r="D35" s="11" t="str">
        <f aca="false">IF(B35&gt;1,"DUPLICADO EN PRE",IF(C35&gt;1,"DUPLICADO EN POST",IF(AND(B35=1,C35=1),"Emparejado",IF(AND(B35=1,C35=0),"Huérfano de pretest (sin postest)",IF(AND(B35=0,C35&gt;=1),"Huérfano de postest (sin pretest)","Revisar")))))</f>
        <v>Emparejado</v>
      </c>
      <c r="E35" s="19" t="n">
        <f aca="false">IFERROR(INDEX(3_Mortalidad!$C$5:$C$50,MATCH(A35,3_Mortalidad!$A$5:$A$50,0)),"No registrado")</f>
        <v>1</v>
      </c>
      <c r="F35" s="20" t="str">
        <f aca="false">IFERROR(INDEX(3_Mortalidad!$D$5:$D$50,MATCH(A35,3_Mortalidad!$A$5:$A$50,0)),"—")</f>
        <v>Participación completa</v>
      </c>
      <c r="G35" s="21"/>
    </row>
    <row r="36" customFormat="false" ht="15" hidden="false" customHeight="false" outlineLevel="0" collapsed="false">
      <c r="A36" s="17" t="s">
        <v>87</v>
      </c>
      <c r="B36" s="18" t="n">
        <f aca="false">COUNTIF(2a_PRE_TRABAJO!$A$5:$A$51,A36)</f>
        <v>1</v>
      </c>
      <c r="C36" s="18" t="n">
        <f aca="false">COUNTIF(2b_POST_TRABAJO!$A$5:$A$48,A36)</f>
        <v>0</v>
      </c>
      <c r="D36" s="11" t="str">
        <f aca="false">IF(B36&gt;1,"DUPLICADO EN PRE",IF(C36&gt;1,"DUPLICADO EN POST",IF(AND(B36=1,C36=1),"Emparejado",IF(AND(B36=1,C36=0),"Huérfano de pretest (sin postest)",IF(AND(B36=0,C36&gt;=1),"Huérfano de postest (sin pretest)","Revisar")))))</f>
        <v>Huérfano de pretest (sin postest)</v>
      </c>
      <c r="E36" s="19" t="n">
        <f aca="false">IFERROR(INDEX(3_Mortalidad!$C$5:$C$50,MATCH(A36,3_Mortalidad!$A$5:$A$50,0)),"No registrado")</f>
        <v>2</v>
      </c>
      <c r="F36" s="20" t="str">
        <f aca="false">IFERROR(INDEX(3_Mortalidad!$D$5:$D$50,MATCH(A36,3_Mortalidad!$A$5:$A$50,0)),"—")</f>
        <v>Renuncia a la entidad</v>
      </c>
      <c r="G36" s="21"/>
    </row>
    <row r="37" customFormat="false" ht="15" hidden="false" customHeight="false" outlineLevel="0" collapsed="false">
      <c r="A37" s="17" t="s">
        <v>88</v>
      </c>
      <c r="B37" s="18" t="n">
        <f aca="false">COUNTIF(2a_PRE_TRABAJO!$A$5:$A$51,A37)</f>
        <v>1</v>
      </c>
      <c r="C37" s="18" t="n">
        <f aca="false">COUNTIF(2b_POST_TRABAJO!$A$5:$A$48,A37)</f>
        <v>1</v>
      </c>
      <c r="D37" s="11" t="str">
        <f aca="false">IF(B37&gt;1,"DUPLICADO EN PRE",IF(C37&gt;1,"DUPLICADO EN POST",IF(AND(B37=1,C37=1),"Emparejado",IF(AND(B37=1,C37=0),"Huérfano de pretest (sin postest)",IF(AND(B37=0,C37&gt;=1),"Huérfano de postest (sin pretest)","Revisar")))))</f>
        <v>Emparejado</v>
      </c>
      <c r="E37" s="19" t="n">
        <f aca="false">IFERROR(INDEX(3_Mortalidad!$C$5:$C$50,MATCH(A37,3_Mortalidad!$A$5:$A$50,0)),"No registrado")</f>
        <v>1</v>
      </c>
      <c r="F37" s="20" t="str">
        <f aca="false">IFERROR(INDEX(3_Mortalidad!$D$5:$D$50,MATCH(A37,3_Mortalidad!$A$5:$A$50,0)),"—")</f>
        <v>Participación completa</v>
      </c>
      <c r="G37" s="21"/>
    </row>
    <row r="38" customFormat="false" ht="15" hidden="false" customHeight="false" outlineLevel="0" collapsed="false">
      <c r="A38" s="17" t="s">
        <v>89</v>
      </c>
      <c r="B38" s="18" t="n">
        <f aca="false">COUNTIF(2a_PRE_TRABAJO!$A$5:$A$51,A38)</f>
        <v>1</v>
      </c>
      <c r="C38" s="18" t="n">
        <f aca="false">COUNTIF(2b_POST_TRABAJO!$A$5:$A$48,A38)</f>
        <v>1</v>
      </c>
      <c r="D38" s="11" t="str">
        <f aca="false">IF(B38&gt;1,"DUPLICADO EN PRE",IF(C38&gt;1,"DUPLICADO EN POST",IF(AND(B38=1,C38=1),"Emparejado",IF(AND(B38=1,C38=0),"Huérfano de pretest (sin postest)",IF(AND(B38=0,C38&gt;=1),"Huérfano de postest (sin pretest)","Revisar")))))</f>
        <v>Emparejado</v>
      </c>
      <c r="E38" s="19" t="n">
        <f aca="false">IFERROR(INDEX(3_Mortalidad!$C$5:$C$50,MATCH(A38,3_Mortalidad!$A$5:$A$50,0)),"No registrado")</f>
        <v>1</v>
      </c>
      <c r="F38" s="20" t="str">
        <f aca="false">IFERROR(INDEX(3_Mortalidad!$D$5:$D$50,MATCH(A38,3_Mortalidad!$A$5:$A$50,0)),"—")</f>
        <v>Participación completa</v>
      </c>
      <c r="G38" s="21"/>
    </row>
    <row r="39" customFormat="false" ht="15" hidden="false" customHeight="false" outlineLevel="0" collapsed="false">
      <c r="A39" s="17" t="s">
        <v>90</v>
      </c>
      <c r="B39" s="18" t="n">
        <f aca="false">COUNTIF(2a_PRE_TRABAJO!$A$5:$A$51,A39)</f>
        <v>1</v>
      </c>
      <c r="C39" s="18" t="n">
        <f aca="false">COUNTIF(2b_POST_TRABAJO!$A$5:$A$48,A39)</f>
        <v>1</v>
      </c>
      <c r="D39" s="11" t="str">
        <f aca="false">IF(B39&gt;1,"DUPLICADO EN PRE",IF(C39&gt;1,"DUPLICADO EN POST",IF(AND(B39=1,C39=1),"Emparejado",IF(AND(B39=1,C39=0),"Huérfano de pretest (sin postest)",IF(AND(B39=0,C39&gt;=1),"Huérfano de postest (sin pretest)","Revisar")))))</f>
        <v>Emparejado</v>
      </c>
      <c r="E39" s="19" t="n">
        <f aca="false">IFERROR(INDEX(3_Mortalidad!$C$5:$C$50,MATCH(A39,3_Mortalidad!$A$5:$A$50,0)),"No registrado")</f>
        <v>1</v>
      </c>
      <c r="F39" s="20" t="str">
        <f aca="false">IFERROR(INDEX(3_Mortalidad!$D$5:$D$50,MATCH(A39,3_Mortalidad!$A$5:$A$50,0)),"—")</f>
        <v>Participación completa</v>
      </c>
      <c r="G39" s="21"/>
    </row>
    <row r="40" customFormat="false" ht="15" hidden="false" customHeight="false" outlineLevel="0" collapsed="false">
      <c r="A40" s="17" t="s">
        <v>91</v>
      </c>
      <c r="B40" s="18" t="n">
        <f aca="false">COUNTIF(2a_PRE_TRABAJO!$A$5:$A$51,A40)</f>
        <v>1</v>
      </c>
      <c r="C40" s="18" t="n">
        <f aca="false">COUNTIF(2b_POST_TRABAJO!$A$5:$A$48,A40)</f>
        <v>1</v>
      </c>
      <c r="D40" s="11" t="str">
        <f aca="false">IF(B40&gt;1,"DUPLICADO EN PRE",IF(C40&gt;1,"DUPLICADO EN POST",IF(AND(B40=1,C40=1),"Emparejado",IF(AND(B40=1,C40=0),"Huérfano de pretest (sin postest)",IF(AND(B40=0,C40&gt;=1),"Huérfano de postest (sin pretest)","Revisar")))))</f>
        <v>Emparejado</v>
      </c>
      <c r="E40" s="19" t="n">
        <f aca="false">IFERROR(INDEX(3_Mortalidad!$C$5:$C$50,MATCH(A40,3_Mortalidad!$A$5:$A$50,0)),"No registrado")</f>
        <v>1</v>
      </c>
      <c r="F40" s="20" t="str">
        <f aca="false">IFERROR(INDEX(3_Mortalidad!$D$5:$D$50,MATCH(A40,3_Mortalidad!$A$5:$A$50,0)),"—")</f>
        <v>Participación completa</v>
      </c>
      <c r="G40" s="21"/>
    </row>
    <row r="41" customFormat="false" ht="15" hidden="false" customHeight="false" outlineLevel="0" collapsed="false">
      <c r="A41" s="17" t="s">
        <v>92</v>
      </c>
      <c r="B41" s="18" t="n">
        <f aca="false">COUNTIF(2a_PRE_TRABAJO!$A$5:$A$51,A41)</f>
        <v>1</v>
      </c>
      <c r="C41" s="18" t="n">
        <f aca="false">COUNTIF(2b_POST_TRABAJO!$A$5:$A$48,A41)</f>
        <v>1</v>
      </c>
      <c r="D41" s="11" t="str">
        <f aca="false">IF(B41&gt;1,"DUPLICADO EN PRE",IF(C41&gt;1,"DUPLICADO EN POST",IF(AND(B41=1,C41=1),"Emparejado",IF(AND(B41=1,C41=0),"Huérfano de pretest (sin postest)",IF(AND(B41=0,C41&gt;=1),"Huérfano de postest (sin pretest)","Revisar")))))</f>
        <v>Emparejado</v>
      </c>
      <c r="E41" s="19" t="n">
        <f aca="false">IFERROR(INDEX(3_Mortalidad!$C$5:$C$50,MATCH(A41,3_Mortalidad!$A$5:$A$50,0)),"No registrado")</f>
        <v>1</v>
      </c>
      <c r="F41" s="20" t="str">
        <f aca="false">IFERROR(INDEX(3_Mortalidad!$D$5:$D$50,MATCH(A41,3_Mortalidad!$A$5:$A$50,0)),"—")</f>
        <v>Participación completa</v>
      </c>
      <c r="G41" s="21"/>
    </row>
    <row r="42" customFormat="false" ht="15" hidden="false" customHeight="false" outlineLevel="0" collapsed="false">
      <c r="A42" s="17" t="s">
        <v>93</v>
      </c>
      <c r="B42" s="18" t="n">
        <f aca="false">COUNTIF(2a_PRE_TRABAJO!$A$5:$A$51,A42)</f>
        <v>1</v>
      </c>
      <c r="C42" s="18" t="n">
        <f aca="false">COUNTIF(2b_POST_TRABAJO!$A$5:$A$48,A42)</f>
        <v>0</v>
      </c>
      <c r="D42" s="11" t="str">
        <f aca="false">IF(B42&gt;1,"DUPLICADO EN PRE",IF(C42&gt;1,"DUPLICADO EN POST",IF(AND(B42=1,C42=1),"Emparejado",IF(AND(B42=1,C42=0),"Huérfano de pretest (sin postest)",IF(AND(B42=0,C42&gt;=1),"Huérfano de postest (sin pretest)","Revisar")))))</f>
        <v>Huérfano de pretest (sin postest)</v>
      </c>
      <c r="E42" s="19" t="n">
        <f aca="false">IFERROR(INDEX(3_Mortalidad!$C$5:$C$50,MATCH(A42,3_Mortalidad!$A$5:$A$50,0)),"No registrado")</f>
        <v>2</v>
      </c>
      <c r="F42" s="20" t="str">
        <f aca="false">IFERROR(INDEX(3_Mortalidad!$D$5:$D$50,MATCH(A42,3_Mortalidad!$A$5:$A$50,0)),"—")</f>
        <v>Vacaciones prolongadas</v>
      </c>
      <c r="G42" s="21"/>
    </row>
    <row r="43" customFormat="false" ht="15" hidden="false" customHeight="false" outlineLevel="0" collapsed="false">
      <c r="A43" s="17" t="s">
        <v>95</v>
      </c>
      <c r="B43" s="18" t="n">
        <f aca="false">COUNTIF(2a_PRE_TRABAJO!$A$5:$A$51,A43)</f>
        <v>1</v>
      </c>
      <c r="C43" s="18" t="n">
        <f aca="false">COUNTIF(2b_POST_TRABAJO!$A$5:$A$48,A43)</f>
        <v>1</v>
      </c>
      <c r="D43" s="11" t="str">
        <f aca="false">IF(B43&gt;1,"DUPLICADO EN PRE",IF(C43&gt;1,"DUPLICADO EN POST",IF(AND(B43=1,C43=1),"Emparejado",IF(AND(B43=1,C43=0),"Huérfano de pretest (sin postest)",IF(AND(B43=0,C43&gt;=1),"Huérfano de postest (sin pretest)","Revisar")))))</f>
        <v>Emparejado</v>
      </c>
      <c r="E43" s="19" t="n">
        <f aca="false">IFERROR(INDEX(3_Mortalidad!$C$5:$C$50,MATCH(A43,3_Mortalidad!$A$5:$A$50,0)),"No registrado")</f>
        <v>1</v>
      </c>
      <c r="F43" s="20" t="str">
        <f aca="false">IFERROR(INDEX(3_Mortalidad!$D$5:$D$50,MATCH(A43,3_Mortalidad!$A$5:$A$50,0)),"—")</f>
        <v>Participación completa</v>
      </c>
      <c r="G43" s="21"/>
    </row>
    <row r="44" customFormat="false" ht="15" hidden="false" customHeight="false" outlineLevel="0" collapsed="false">
      <c r="A44" s="17" t="s">
        <v>96</v>
      </c>
      <c r="B44" s="18" t="n">
        <f aca="false">COUNTIF(2a_PRE_TRABAJO!$A$5:$A$51,A44)</f>
        <v>1</v>
      </c>
      <c r="C44" s="18" t="n">
        <f aca="false">COUNTIF(2b_POST_TRABAJO!$A$5:$A$48,A44)</f>
        <v>1</v>
      </c>
      <c r="D44" s="11" t="str">
        <f aca="false">IF(B44&gt;1,"DUPLICADO EN PRE",IF(C44&gt;1,"DUPLICADO EN POST",IF(AND(B44=1,C44=1),"Emparejado",IF(AND(B44=1,C44=0),"Huérfano de pretest (sin postest)",IF(AND(B44=0,C44&gt;=1),"Huérfano de postest (sin pretest)","Revisar")))))</f>
        <v>Emparejado</v>
      </c>
      <c r="E44" s="19" t="n">
        <f aca="false">IFERROR(INDEX(3_Mortalidad!$C$5:$C$50,MATCH(A44,3_Mortalidad!$A$5:$A$50,0)),"No registrado")</f>
        <v>1</v>
      </c>
      <c r="F44" s="20" t="str">
        <f aca="false">IFERROR(INDEX(3_Mortalidad!$D$5:$D$50,MATCH(A44,3_Mortalidad!$A$5:$A$50,0)),"—")</f>
        <v>Participación completa</v>
      </c>
      <c r="G44" s="21"/>
    </row>
    <row r="45" customFormat="false" ht="15" hidden="false" customHeight="false" outlineLevel="0" collapsed="false">
      <c r="A45" s="17" t="s">
        <v>98</v>
      </c>
      <c r="B45" s="18" t="n">
        <f aca="false">COUNTIF(2a_PRE_TRABAJO!$A$5:$A$51,A45)</f>
        <v>1</v>
      </c>
      <c r="C45" s="18" t="n">
        <f aca="false">COUNTIF(2b_POST_TRABAJO!$A$5:$A$48,A45)</f>
        <v>0</v>
      </c>
      <c r="D45" s="11" t="str">
        <f aca="false">IF(B45&gt;1,"DUPLICADO EN PRE",IF(C45&gt;1,"DUPLICADO EN POST",IF(AND(B45=1,C45=1),"Emparejado",IF(AND(B45=1,C45=0),"Huérfano de pretest (sin postest)",IF(AND(B45=0,C45&gt;=1),"Huérfano de postest (sin pretest)","Revisar")))))</f>
        <v>Huérfano de pretest (sin postest)</v>
      </c>
      <c r="E45" s="19" t="n">
        <f aca="false">IFERROR(INDEX(3_Mortalidad!$C$5:$C$50,MATCH(A45,3_Mortalidad!$A$5:$A$50,0)),"No registrado")</f>
        <v>1</v>
      </c>
      <c r="F45" s="20" t="str">
        <f aca="false">IFERROR(INDEX(3_Mortalidad!$D$5:$D$50,MATCH(A45,3_Mortalidad!$A$5:$A$50,0)),"—")</f>
        <v>Participación completa</v>
      </c>
      <c r="G45" s="21"/>
    </row>
    <row r="46" customFormat="false" ht="15" hidden="false" customHeight="false" outlineLevel="0" collapsed="false">
      <c r="A46" s="17" t="s">
        <v>99</v>
      </c>
      <c r="B46" s="18" t="n">
        <f aca="false">COUNTIF(2a_PRE_TRABAJO!$A$5:$A$51,A46)</f>
        <v>1</v>
      </c>
      <c r="C46" s="18" t="n">
        <f aca="false">COUNTIF(2b_POST_TRABAJO!$A$5:$A$48,A46)</f>
        <v>1</v>
      </c>
      <c r="D46" s="11" t="str">
        <f aca="false">IF(B46&gt;1,"DUPLICADO EN PRE",IF(C46&gt;1,"DUPLICADO EN POST",IF(AND(B46=1,C46=1),"Emparejado",IF(AND(B46=1,C46=0),"Huérfano de pretest (sin postest)",IF(AND(B46=0,C46&gt;=1),"Huérfano de postest (sin pretest)","Revisar")))))</f>
        <v>Emparejado</v>
      </c>
      <c r="E46" s="19" t="n">
        <f aca="false">IFERROR(INDEX(3_Mortalidad!$C$5:$C$50,MATCH(A46,3_Mortalidad!$A$5:$A$50,0)),"No registrado")</f>
        <v>1</v>
      </c>
      <c r="F46" s="20" t="str">
        <f aca="false">IFERROR(INDEX(3_Mortalidad!$D$5:$D$50,MATCH(A46,3_Mortalidad!$A$5:$A$50,0)),"—")</f>
        <v>Participación completa</v>
      </c>
      <c r="G46" s="21"/>
    </row>
    <row r="47" customFormat="false" ht="15" hidden="false" customHeight="false" outlineLevel="0" collapsed="false">
      <c r="A47" s="17" t="s">
        <v>100</v>
      </c>
      <c r="B47" s="18" t="n">
        <f aca="false">COUNTIF(2a_PRE_TRABAJO!$A$5:$A$51,A47)</f>
        <v>1</v>
      </c>
      <c r="C47" s="18" t="n">
        <f aca="false">COUNTIF(2b_POST_TRABAJO!$A$5:$A$48,A47)</f>
        <v>1</v>
      </c>
      <c r="D47" s="11" t="str">
        <f aca="false">IF(B47&gt;1,"DUPLICADO EN PRE",IF(C47&gt;1,"DUPLICADO EN POST",IF(AND(B47=1,C47=1),"Emparejado",IF(AND(B47=1,C47=0),"Huérfano de pretest (sin postest)",IF(AND(B47=0,C47&gt;=1),"Huérfano de postest (sin pretest)","Revisar")))))</f>
        <v>Emparejado</v>
      </c>
      <c r="E47" s="19" t="n">
        <f aca="false">IFERROR(INDEX(3_Mortalidad!$C$5:$C$50,MATCH(A47,3_Mortalidad!$A$5:$A$50,0)),"No registrado")</f>
        <v>1</v>
      </c>
      <c r="F47" s="20" t="str">
        <f aca="false">IFERROR(INDEX(3_Mortalidad!$D$5:$D$50,MATCH(A47,3_Mortalidad!$A$5:$A$50,0)),"—")</f>
        <v>Participación completa</v>
      </c>
      <c r="G47" s="21"/>
    </row>
    <row r="48" customFormat="false" ht="15" hidden="false" customHeight="false" outlineLevel="0" collapsed="false">
      <c r="A48" s="17" t="s">
        <v>101</v>
      </c>
      <c r="B48" s="18" t="n">
        <f aca="false">COUNTIF(2a_PRE_TRABAJO!$A$5:$A$51,A48)</f>
        <v>1</v>
      </c>
      <c r="C48" s="18" t="n">
        <f aca="false">COUNTIF(2b_POST_TRABAJO!$A$5:$A$48,A48)</f>
        <v>1</v>
      </c>
      <c r="D48" s="11" t="str">
        <f aca="false">IF(B48&gt;1,"DUPLICADO EN PRE",IF(C48&gt;1,"DUPLICADO EN POST",IF(AND(B48=1,C48=1),"Emparejado",IF(AND(B48=1,C48=0),"Huérfano de pretest (sin postest)",IF(AND(B48=0,C48&gt;=1),"Huérfano de postest (sin pretest)","Revisar")))))</f>
        <v>Emparejado</v>
      </c>
      <c r="E48" s="19" t="n">
        <f aca="false">IFERROR(INDEX(3_Mortalidad!$C$5:$C$50,MATCH(A48,3_Mortalidad!$A$5:$A$50,0)),"No registrado")</f>
        <v>1</v>
      </c>
      <c r="F48" s="20" t="str">
        <f aca="false">IFERROR(INDEX(3_Mortalidad!$D$5:$D$50,MATCH(A48,3_Mortalidad!$A$5:$A$50,0)),"—")</f>
        <v>Participación completa</v>
      </c>
      <c r="G48" s="21"/>
    </row>
    <row r="49" customFormat="false" ht="15" hidden="false" customHeight="false" outlineLevel="0" collapsed="false">
      <c r="A49" s="17" t="s">
        <v>102</v>
      </c>
      <c r="B49" s="18" t="n">
        <f aca="false">COUNTIF(2a_PRE_TRABAJO!$A$5:$A$51,A49)</f>
        <v>1</v>
      </c>
      <c r="C49" s="18" t="n">
        <f aca="false">COUNTIF(2b_POST_TRABAJO!$A$5:$A$48,A49)</f>
        <v>1</v>
      </c>
      <c r="D49" s="11" t="str">
        <f aca="false">IF(B49&gt;1,"DUPLICADO EN PRE",IF(C49&gt;1,"DUPLICADO EN POST",IF(AND(B49=1,C49=1),"Emparejado",IF(AND(B49=1,C49=0),"Huérfano de pretest (sin postest)",IF(AND(B49=0,C49&gt;=1),"Huérfano de postest (sin pretest)","Revisar")))))</f>
        <v>Emparejado</v>
      </c>
      <c r="E49" s="19" t="n">
        <f aca="false">IFERROR(INDEX(3_Mortalidad!$C$5:$C$50,MATCH(A49,3_Mortalidad!$A$5:$A$50,0)),"No registrado")</f>
        <v>1</v>
      </c>
      <c r="F49" s="20" t="str">
        <f aca="false">IFERROR(INDEX(3_Mortalidad!$D$5:$D$50,MATCH(A49,3_Mortalidad!$A$5:$A$50,0)),"—")</f>
        <v>Participación completa</v>
      </c>
      <c r="G49" s="21"/>
    </row>
    <row r="50" customFormat="false" ht="15" hidden="false" customHeight="false" outlineLevel="0" collapsed="false">
      <c r="A50" s="17" t="s">
        <v>103</v>
      </c>
      <c r="B50" s="18" t="n">
        <f aca="false">COUNTIF(2a_PRE_TRABAJO!$A$5:$A$51,A50)</f>
        <v>1</v>
      </c>
      <c r="C50" s="18" t="n">
        <f aca="false">COUNTIF(2b_POST_TRABAJO!$A$5:$A$48,A50)</f>
        <v>1</v>
      </c>
      <c r="D50" s="11" t="str">
        <f aca="false">IF(B50&gt;1,"DUPLICADO EN PRE",IF(C50&gt;1,"DUPLICADO EN POST",IF(AND(B50=1,C50=1),"Emparejado",IF(AND(B50=1,C50=0),"Huérfano de pretest (sin postest)",IF(AND(B50=0,C50&gt;=1),"Huérfano de postest (sin pretest)","Revisar")))))</f>
        <v>Emparejado</v>
      </c>
      <c r="E50" s="19" t="n">
        <f aca="false">IFERROR(INDEX(3_Mortalidad!$C$5:$C$50,MATCH(A50,3_Mortalidad!$A$5:$A$50,0)),"No registrado")</f>
        <v>1</v>
      </c>
      <c r="F50" s="20" t="str">
        <f aca="false">IFERROR(INDEX(3_Mortalidad!$D$5:$D$50,MATCH(A50,3_Mortalidad!$A$5:$A$50,0)),"—")</f>
        <v>Participación completa</v>
      </c>
      <c r="G50" s="21"/>
    </row>
    <row r="51" customFormat="false" ht="15" hidden="false" customHeight="false" outlineLevel="0" collapsed="false">
      <c r="A51" s="17" t="s">
        <v>126</v>
      </c>
      <c r="B51" s="18" t="n">
        <f aca="false">COUNTIF(2a_PRE_TRABAJO!$A$5:$A$51,A51)</f>
        <v>0</v>
      </c>
      <c r="C51" s="18" t="n">
        <f aca="false">COUNTIF(2b_POST_TRABAJO!$A$5:$A$48,A51)</f>
        <v>1</v>
      </c>
      <c r="D51" s="11" t="str">
        <f aca="false">IF(B51&gt;1,"DUPLICADO EN PRE",IF(C51&gt;1,"DUPLICADO EN POST",IF(AND(B51=1,C51=1),"Emparejado",IF(AND(B51=1,C51=0),"Huérfano de pretest (sin postest)",IF(AND(B51=0,C51&gt;=1),"Huérfano de postest (sin pretest)","Revisar")))))</f>
        <v>Huérfano de postest (sin pretest)</v>
      </c>
      <c r="E51" s="19" t="str">
        <f aca="false">IFERROR(INDEX(3_Mortalidad!$C$5:$C$50,MATCH(A51,3_Mortalidad!$A$5:$A$50,0)),"No registrado")</f>
        <v>No registrado</v>
      </c>
      <c r="F51" s="20" t="str">
        <f aca="false">IFERROR(INDEX(3_Mortalidad!$D$5:$D$50,MATCH(A51,3_Mortalidad!$A$5:$A$50,0)),"—")</f>
        <v>—</v>
      </c>
      <c r="G51" s="21"/>
    </row>
    <row r="53" customFormat="false" ht="15" hidden="false" customHeight="false" outlineLevel="0" collapsed="false">
      <c r="A53" s="22" t="s">
        <v>155</v>
      </c>
    </row>
    <row r="54" customFormat="false" ht="15" hidden="false" customHeight="false" outlineLevel="0" collapsed="false">
      <c r="A54" s="17" t="s">
        <v>156</v>
      </c>
      <c r="B54" s="18" t="n">
        <f aca="false">COUNTA(A5:A51)</f>
        <v>47</v>
      </c>
    </row>
    <row r="55" customFormat="false" ht="15" hidden="false" customHeight="false" outlineLevel="0" collapsed="false">
      <c r="A55" s="17" t="s">
        <v>157</v>
      </c>
      <c r="B55" s="18" t="n">
        <f aca="false">COUNTIF(D5:D51,"Emparejado")</f>
        <v>39</v>
      </c>
    </row>
    <row r="56" customFormat="false" ht="15" hidden="false" customHeight="false" outlineLevel="0" collapsed="false">
      <c r="A56" s="17" t="s">
        <v>158</v>
      </c>
      <c r="B56" s="18" t="n">
        <f aca="false">COUNTIF(D5:D51,"Huérfano de pretest*")</f>
        <v>5</v>
      </c>
    </row>
    <row r="57" customFormat="false" ht="15" hidden="false" customHeight="false" outlineLevel="0" collapsed="false">
      <c r="A57" s="17" t="s">
        <v>159</v>
      </c>
      <c r="B57" s="18" t="n">
        <f aca="false">COUNTIF(D5:D51,"Huérfano de postest*")</f>
        <v>1</v>
      </c>
    </row>
    <row r="58" customFormat="false" ht="15" hidden="false" customHeight="false" outlineLevel="0" collapsed="false">
      <c r="A58" s="17" t="s">
        <v>160</v>
      </c>
      <c r="B58" s="18" t="n">
        <f aca="false">COUNTIF(D5:D51,"DUPLICADO EN PRE")</f>
        <v>1</v>
      </c>
    </row>
    <row r="59" customFormat="false" ht="15" hidden="false" customHeight="false" outlineLevel="0" collapsed="false">
      <c r="A59" s="17" t="s">
        <v>161</v>
      </c>
      <c r="B59" s="18" t="n">
        <f aca="false">COUNTIF(D5:D51,"DUPLICADO EN POST")</f>
        <v>1</v>
      </c>
    </row>
    <row r="60" customFormat="false" ht="15" hidden="false" customHeight="false" outlineLevel="0" collapsed="false">
      <c r="A60" s="17" t="s">
        <v>162</v>
      </c>
      <c r="B60" s="18" t="n">
        <f aca="false">COUNTA(2b_POST_TRABAJO!A5:A48)-SUM(C5:C51)</f>
        <v>1</v>
      </c>
    </row>
    <row r="61" customFormat="false" ht="15" hidden="false" customHeight="false" outlineLevel="0" collapsed="false">
      <c r="A61" s="17" t="s">
        <v>163</v>
      </c>
      <c r="B61" s="18" t="n">
        <f aca="false">SUMPRODUCT((LEFT(D5:D51,8)="Huérfano")*(F5:F51="—")*(G5:G51=""))</f>
        <v>1</v>
      </c>
    </row>
  </sheetData>
  <conditionalFormatting sqref="D5:D51">
    <cfRule type="expression" priority="2" aboveAverage="0" equalAverage="0" bottom="0" percent="0" rank="0" text="" dxfId="0">
      <formula>LEFT(D5,9)="DUPLICADO"</formula>
    </cfRule>
    <cfRule type="expression" priority="3" aboveAverage="0" equalAverage="0" bottom="0" percent="0" rank="0" text="" dxfId="1">
      <formula>LEFT(D5,8)="Huérfano"</formula>
    </cfRule>
    <cfRule type="expression" priority="4" aboveAverage="0" equalAverage="0" bottom="0" percent="0" rank="0" text="" dxfId="2">
      <formula>D5="Emparejado"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BF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8"/>
    <col collapsed="false" customWidth="true" hidden="false" outlineLevel="0" max="5" min="4" style="0" width="7"/>
    <col collapsed="false" customWidth="true" hidden="false" outlineLevel="0" max="6" min="6" style="0" width="11"/>
    <col collapsed="false" customWidth="true" hidden="false" outlineLevel="0" max="7" min="7" style="0" width="8"/>
    <col collapsed="false" customWidth="true" hidden="false" outlineLevel="0" max="9" min="8" style="0" width="12"/>
    <col collapsed="false" customWidth="true" hidden="false" outlineLevel="0" max="13" min="10" style="0" width="11"/>
    <col collapsed="false" customWidth="true" hidden="false" outlineLevel="0" max="43" min="14" style="0" width="8"/>
    <col collapsed="false" customWidth="true" hidden="false" outlineLevel="0" max="46" min="44" style="0" width="9"/>
    <col collapsed="false" customWidth="true" hidden="false" outlineLevel="0" max="48" min="47" style="0" width="13"/>
    <col collapsed="false" customWidth="true" hidden="false" outlineLevel="0" max="51" min="49" style="0" width="9"/>
    <col collapsed="false" customWidth="true" hidden="false" outlineLevel="0" max="53" min="52" style="0" width="13"/>
    <col collapsed="false" customWidth="true" hidden="false" outlineLevel="0" max="55" min="54" style="0" width="11"/>
    <col collapsed="false" customWidth="true" hidden="false" outlineLevel="0" max="57" min="56" style="0" width="9"/>
    <col collapsed="false" customWidth="true" hidden="false" outlineLevel="0" max="58" min="58" style="0" width="60"/>
  </cols>
  <sheetData>
    <row r="1" customFormat="false" ht="17.35" hidden="false" customHeight="false" outlineLevel="0" collapsed="false">
      <c r="A1" s="1" t="s">
        <v>164</v>
      </c>
    </row>
    <row r="2" customFormat="false" ht="15" hidden="false" customHeight="false" outlineLevel="0" collapsed="false">
      <c r="A2" s="2" t="s">
        <v>165</v>
      </c>
    </row>
    <row r="4" customFormat="false" ht="36" hidden="false" customHeight="true" outlineLevel="0" collapsed="false">
      <c r="A4" s="6" t="s">
        <v>21</v>
      </c>
      <c r="B4" s="6" t="s">
        <v>166</v>
      </c>
      <c r="C4" s="6" t="s">
        <v>22</v>
      </c>
      <c r="D4" s="6" t="s">
        <v>23</v>
      </c>
      <c r="E4" s="6" t="s">
        <v>24</v>
      </c>
      <c r="F4" s="6" t="s">
        <v>25</v>
      </c>
      <c r="G4" s="6" t="s">
        <v>26</v>
      </c>
      <c r="H4" s="6" t="s">
        <v>27</v>
      </c>
      <c r="I4" s="6" t="s">
        <v>106</v>
      </c>
      <c r="J4" s="6" t="s">
        <v>28</v>
      </c>
      <c r="K4" s="6" t="s">
        <v>107</v>
      </c>
      <c r="L4" s="6" t="s">
        <v>29</v>
      </c>
      <c r="M4" s="6" t="s">
        <v>108</v>
      </c>
      <c r="N4" s="6" t="s">
        <v>30</v>
      </c>
      <c r="O4" s="6" t="s">
        <v>31</v>
      </c>
      <c r="P4" s="6" t="s">
        <v>32</v>
      </c>
      <c r="Q4" s="6" t="s">
        <v>33</v>
      </c>
      <c r="R4" s="6" t="s">
        <v>34</v>
      </c>
      <c r="S4" s="6" t="s">
        <v>35</v>
      </c>
      <c r="T4" s="6" t="s">
        <v>36</v>
      </c>
      <c r="U4" s="6" t="s">
        <v>37</v>
      </c>
      <c r="V4" s="6" t="s">
        <v>38</v>
      </c>
      <c r="W4" s="6" t="s">
        <v>39</v>
      </c>
      <c r="X4" s="6" t="s">
        <v>40</v>
      </c>
      <c r="Y4" s="6" t="s">
        <v>41</v>
      </c>
      <c r="Z4" s="6" t="s">
        <v>42</v>
      </c>
      <c r="AA4" s="6" t="s">
        <v>43</v>
      </c>
      <c r="AB4" s="6" t="s">
        <v>44</v>
      </c>
      <c r="AC4" s="6" t="s">
        <v>109</v>
      </c>
      <c r="AD4" s="6" t="s">
        <v>110</v>
      </c>
      <c r="AE4" s="6" t="s">
        <v>111</v>
      </c>
      <c r="AF4" s="6" t="s">
        <v>112</v>
      </c>
      <c r="AG4" s="6" t="s">
        <v>113</v>
      </c>
      <c r="AH4" s="6" t="s">
        <v>114</v>
      </c>
      <c r="AI4" s="6" t="s">
        <v>115</v>
      </c>
      <c r="AJ4" s="6" t="s">
        <v>116</v>
      </c>
      <c r="AK4" s="6" t="s">
        <v>117</v>
      </c>
      <c r="AL4" s="6" t="s">
        <v>118</v>
      </c>
      <c r="AM4" s="6" t="s">
        <v>119</v>
      </c>
      <c r="AN4" s="6" t="s">
        <v>120</v>
      </c>
      <c r="AO4" s="6" t="s">
        <v>121</v>
      </c>
      <c r="AP4" s="6" t="s">
        <v>122</v>
      </c>
      <c r="AQ4" s="6" t="s">
        <v>123</v>
      </c>
      <c r="AR4" s="6" t="s">
        <v>167</v>
      </c>
      <c r="AS4" s="6" t="s">
        <v>168</v>
      </c>
      <c r="AT4" s="6" t="s">
        <v>169</v>
      </c>
      <c r="AU4" s="6" t="s">
        <v>170</v>
      </c>
      <c r="AV4" s="6" t="s">
        <v>171</v>
      </c>
      <c r="AW4" s="6" t="s">
        <v>172</v>
      </c>
      <c r="AX4" s="6" t="s">
        <v>173</v>
      </c>
      <c r="AY4" s="6" t="s">
        <v>174</v>
      </c>
      <c r="AZ4" s="6" t="s">
        <v>175</v>
      </c>
      <c r="BA4" s="6" t="s">
        <v>176</v>
      </c>
      <c r="BB4" s="6" t="s">
        <v>177</v>
      </c>
      <c r="BC4" s="6" t="s">
        <v>178</v>
      </c>
      <c r="BD4" s="6" t="s">
        <v>179</v>
      </c>
      <c r="BE4" s="6" t="s">
        <v>180</v>
      </c>
      <c r="BF4" s="6" t="s">
        <v>181</v>
      </c>
    </row>
    <row r="5" customFormat="false" ht="15" hidden="false" customHeight="false" outlineLevel="0" collapsed="false">
      <c r="A5" s="17" t="s">
        <v>45</v>
      </c>
      <c r="B5" s="23" t="n">
        <v>1</v>
      </c>
      <c r="C5" s="19" t="n">
        <f aca="false">IFERROR(IF(INDEX(2a_PRE_TRABAJO!$B$5:$B$51,MATCH($A5,2a_PRE_TRABAJO!$A$5:$A$51,0))="","",INDEX(2a_PRE_TRABAJO!$B$5:$B$51,MATCH($A5,2a_PRE_TRABAJO!$A$5:$A$51,0))),"")</f>
        <v>1</v>
      </c>
      <c r="D5" s="19" t="n">
        <f aca="false">IFERROR(IF(INDEX(2a_PRE_TRABAJO!$C$5:$C$51,MATCH($A5,2a_PRE_TRABAJO!$A$5:$A$51,0))="","",INDEX(2a_PRE_TRABAJO!$C$5:$C$51,MATCH($A5,2a_PRE_TRABAJO!$A$5:$A$51,0))),"")</f>
        <v>2</v>
      </c>
      <c r="E5" s="19" t="n">
        <f aca="false">IFERROR(IF(INDEX(2a_PRE_TRABAJO!$D$5:$D$51,MATCH($A5,2a_PRE_TRABAJO!$A$5:$A$51,0))="","",INDEX(2a_PRE_TRABAJO!$D$5:$D$51,MATCH($A5,2a_PRE_TRABAJO!$A$5:$A$51,0))),"")</f>
        <v>47</v>
      </c>
      <c r="F5" s="19" t="n">
        <f aca="false">IFERROR(IF(INDEX(2a_PRE_TRABAJO!$E$5:$E$51,MATCH($A5,2a_PRE_TRABAJO!$A$5:$A$51,0))="","",INDEX(2a_PRE_TRABAJO!$E$5:$E$51,MATCH($A5,2a_PRE_TRABAJO!$A$5:$A$51,0))),"")</f>
        <v>12</v>
      </c>
      <c r="G5" s="19" t="str">
        <f aca="false">IFERROR(IF(INDEX(2a_PRE_TRABAJO!$F$5:$F$51,MATCH($A5,2a_PRE_TRABAJO!$A$5:$A$51,0))="","",INDEX(2a_PRE_TRABAJO!$F$5:$F$51,MATCH($A5,2a_PRE_TRABAJO!$A$5:$A$51,0))),"")</f>
        <v>AUXILIAR</v>
      </c>
      <c r="H5" s="24" t="n">
        <f aca="false">IFERROR(IF(INDEX(2a_PRE_TRABAJO!$G$5:$G$51,MATCH($A5,2a_PRE_TRABAJO!$A$5:$A$51,0))="","",INDEX(2a_PRE_TRABAJO!$G$5:$G$51,MATCH($A5,2a_PRE_TRABAJO!$A$5:$A$51,0))),"")</f>
        <v>46258</v>
      </c>
      <c r="I5" s="24" t="n">
        <f aca="false">IFERROR(IF(INDEX(2b_POST_TRABAJO!$C$5:$C$48,MATCH($A5,2b_POST_TRABAJO!$A$5:$A$48,0))="","",INDEX(2b_POST_TRABAJO!$C$5:$C$48,MATCH($A5,2b_POST_TRABAJO!$A$5:$A$48,0))),"")</f>
        <v>46307</v>
      </c>
      <c r="J5" s="25" t="n">
        <f aca="false">IFERROR(IF(INDEX(2a_PRE_TRABAJO!$H$5:$H$51,MATCH($A5,2a_PRE_TRABAJO!$A$5:$A$51,0))="","",INDEX(2a_PRE_TRABAJO!$H$5:$H$51,MATCH($A5,2a_PRE_TRABAJO!$A$5:$A$51,0))),"")</f>
        <v>10.3</v>
      </c>
      <c r="K5" s="25" t="n">
        <f aca="false">IFERROR(IF(INDEX(2b_POST_TRABAJO!$D$5:$D$48,MATCH($A5,2b_POST_TRABAJO!$A$5:$A$48,0))="","",INDEX(2b_POST_TRABAJO!$D$5:$D$48,MATCH($A5,2b_POST_TRABAJO!$A$5:$A$48,0))),"")</f>
        <v>5.5</v>
      </c>
      <c r="L5" s="26" t="n">
        <f aca="false">IFERROR(IF(INDEX(2a_PRE_TRABAJO!$I$5:$I$51,MATCH($A5,2a_PRE_TRABAJO!$A$5:$A$51,0))="","",INDEX(2a_PRE_TRABAJO!$I$5:$I$51,MATCH($A5,2a_PRE_TRABAJO!$A$5:$A$51,0))),"")</f>
        <v>71</v>
      </c>
      <c r="M5" s="26" t="n">
        <f aca="false">IFERROR(IF(INDEX(2b_POST_TRABAJO!$E$5:$E$48,MATCH($A5,2b_POST_TRABAJO!$A$5:$A$48,0))="","",INDEX(2b_POST_TRABAJO!$E$5:$E$48,MATCH($A5,2b_POST_TRABAJO!$A$5:$A$48,0))),"")</f>
        <v>100</v>
      </c>
      <c r="N5" s="19" t="n">
        <f aca="false">IFERROR(IF(INDEX(2a_PRE_TRABAJO!$J$5:$J$51,MATCH($A5,2a_PRE_TRABAJO!$A$5:$A$51,0))="","",INDEX(2a_PRE_TRABAJO!$J$5:$J$51,MATCH($A5,2a_PRE_TRABAJO!$A$5:$A$51,0))),"")</f>
        <v>2</v>
      </c>
      <c r="O5" s="19" t="n">
        <f aca="false">IFERROR(IF(INDEX(2a_PRE_TRABAJO!$K$5:$K$51,MATCH($A5,2a_PRE_TRABAJO!$A$5:$A$51,0))="","",INDEX(2a_PRE_TRABAJO!$K$5:$K$51,MATCH($A5,2a_PRE_TRABAJO!$A$5:$A$51,0))),"")</f>
        <v>4</v>
      </c>
      <c r="P5" s="19" t="n">
        <f aca="false">IFERROR(IF(INDEX(2a_PRE_TRABAJO!$L$5:$L$51,MATCH($A5,2a_PRE_TRABAJO!$A$5:$A$51,0))="","",INDEX(2a_PRE_TRABAJO!$L$5:$L$51,MATCH($A5,2a_PRE_TRABAJO!$A$5:$A$51,0))),"")</f>
        <v>1</v>
      </c>
      <c r="Q5" s="19" t="n">
        <f aca="false">IF(IFERROR(IF(INDEX(2a_PRE_TRABAJO!$M$5:$M$51,MATCH($A5,2a_PRE_TRABAJO!$A$5:$A$51,0))="","",INDEX(2a_PRE_TRABAJO!$M$5:$M$51,MATCH($A5,2a_PRE_TRABAJO!$A$5:$A$51,0))),"")="","",IFERROR(6-IFERROR(IF(INDEX(2a_PRE_TRABAJO!$M$5:$M$51,MATCH($A5,2a_PRE_TRABAJO!$A$5:$A$51,0))="","",INDEX(2a_PRE_TRABAJO!$M$5:$M$51,MATCH($A5,2a_PRE_TRABAJO!$A$5:$A$51,0))),""),"REVISAR"))</f>
        <v>3</v>
      </c>
      <c r="R5" s="19" t="n">
        <f aca="false">IFERROR(IF(INDEX(2a_PRE_TRABAJO!$N$5:$N$51,MATCH($A5,2a_PRE_TRABAJO!$A$5:$A$51,0))="","",INDEX(2a_PRE_TRABAJO!$N$5:$N$51,MATCH($A5,2a_PRE_TRABAJO!$A$5:$A$51,0))),"")</f>
        <v>4</v>
      </c>
      <c r="S5" s="19" t="n">
        <f aca="false">IFERROR(IF(INDEX(2a_PRE_TRABAJO!$O$5:$O$51,MATCH($A5,2a_PRE_TRABAJO!$A$5:$A$51,0))="","",INDEX(2a_PRE_TRABAJO!$O$5:$O$51,MATCH($A5,2a_PRE_TRABAJO!$A$5:$A$51,0))),"")</f>
        <v>2</v>
      </c>
      <c r="T5" s="19" t="n">
        <f aca="false">IFERROR(IF(INDEX(2a_PRE_TRABAJO!$P$5:$P$51,MATCH($A5,2a_PRE_TRABAJO!$A$5:$A$51,0))="","",INDEX(2a_PRE_TRABAJO!$P$5:$P$51,MATCH($A5,2a_PRE_TRABAJO!$A$5:$A$51,0))),"")</f>
        <v>3</v>
      </c>
      <c r="U5" s="19" t="n">
        <f aca="false">IFERROR(IF(INDEX(2a_PRE_TRABAJO!$Q$5:$Q$51,MATCH($A5,2a_PRE_TRABAJO!$A$5:$A$51,0))="","",INDEX(2a_PRE_TRABAJO!$Q$5:$Q$51,MATCH($A5,2a_PRE_TRABAJO!$A$5:$A$51,0))),"")</f>
        <v>3</v>
      </c>
      <c r="V5" s="19" t="n">
        <f aca="false">IFERROR(IF(INDEX(2a_PRE_TRABAJO!$R$5:$R$51,MATCH($A5,2a_PRE_TRABAJO!$A$5:$A$51,0))="","",INDEX(2a_PRE_TRABAJO!$R$5:$R$51,MATCH($A5,2a_PRE_TRABAJO!$A$5:$A$51,0))),"")</f>
        <v>2</v>
      </c>
      <c r="W5" s="19" t="n">
        <f aca="false">IFERROR(IF(INDEX(2a_PRE_TRABAJO!$S$5:$S$51,MATCH($A5,2a_PRE_TRABAJO!$A$5:$A$51,0))="","",INDEX(2a_PRE_TRABAJO!$S$5:$S$51,MATCH($A5,2a_PRE_TRABAJO!$A$5:$A$51,0))),"")</f>
        <v>3</v>
      </c>
      <c r="X5" s="19" t="n">
        <f aca="false">IFERROR(IF(INDEX(2a_PRE_TRABAJO!$T$5:$T$51,MATCH($A5,2a_PRE_TRABAJO!$A$5:$A$51,0))="","",INDEX(2a_PRE_TRABAJO!$T$5:$T$51,MATCH($A5,2a_PRE_TRABAJO!$A$5:$A$51,0))),"")</f>
        <v>2</v>
      </c>
      <c r="Y5" s="19" t="n">
        <f aca="false">IF(IFERROR(IF(INDEX(2a_PRE_TRABAJO!$U$5:$U$51,MATCH($A5,2a_PRE_TRABAJO!$A$5:$A$51,0))="","",INDEX(2a_PRE_TRABAJO!$U$5:$U$51,MATCH($A5,2a_PRE_TRABAJO!$A$5:$A$51,0))),"")="","",IFERROR(6-IFERROR(IF(INDEX(2a_PRE_TRABAJO!$U$5:$U$51,MATCH($A5,2a_PRE_TRABAJO!$A$5:$A$51,0))="","",INDEX(2a_PRE_TRABAJO!$U$5:$U$51,MATCH($A5,2a_PRE_TRABAJO!$A$5:$A$51,0))),""),"REVISAR"))</f>
        <v>1</v>
      </c>
      <c r="Z5" s="19" t="n">
        <f aca="false">IFERROR(IF(INDEX(2a_PRE_TRABAJO!$V$5:$V$51,MATCH($A5,2a_PRE_TRABAJO!$A$5:$A$51,0))="","",INDEX(2a_PRE_TRABAJO!$V$5:$V$51,MATCH($A5,2a_PRE_TRABAJO!$A$5:$A$51,0))),"")</f>
        <v>1</v>
      </c>
      <c r="AA5" s="19" t="n">
        <f aca="false">IFERROR(IF(INDEX(2a_PRE_TRABAJO!$W$5:$W$51,MATCH($A5,2a_PRE_TRABAJO!$A$5:$A$51,0))="","",INDEX(2a_PRE_TRABAJO!$W$5:$W$51,MATCH($A5,2a_PRE_TRABAJO!$A$5:$A$51,0))),"")</f>
        <v>2</v>
      </c>
      <c r="AB5" s="19" t="n">
        <f aca="false">IFERROR(IF(INDEX(2a_PRE_TRABAJO!$X$5:$X$51,MATCH($A5,2a_PRE_TRABAJO!$A$5:$A$51,0))="","",INDEX(2a_PRE_TRABAJO!$X$5:$X$51,MATCH($A5,2a_PRE_TRABAJO!$A$5:$A$51,0))),"")</f>
        <v>2</v>
      </c>
      <c r="AC5" s="19" t="n">
        <f aca="false">IFERROR(IF(INDEX(2b_POST_TRABAJO!$F$5:$F$48,MATCH($A5,2b_POST_TRABAJO!$A$5:$A$48,0))="","",INDEX(2b_POST_TRABAJO!$F$5:$F$48,MATCH($A5,2b_POST_TRABAJO!$A$5:$A$48,0))),"")</f>
        <v>4</v>
      </c>
      <c r="AD5" s="19" t="n">
        <f aca="false">IFERROR(IF(INDEX(2b_POST_TRABAJO!$G$5:$G$48,MATCH($A5,2b_POST_TRABAJO!$A$5:$A$48,0))="","",INDEX(2b_POST_TRABAJO!$G$5:$G$48,MATCH($A5,2b_POST_TRABAJO!$A$5:$A$48,0))),"")</f>
        <v>3</v>
      </c>
      <c r="AE5" s="19" t="n">
        <f aca="false">IFERROR(IF(INDEX(2b_POST_TRABAJO!$H$5:$H$48,MATCH($A5,2b_POST_TRABAJO!$A$5:$A$48,0))="","",INDEX(2b_POST_TRABAJO!$H$5:$H$48,MATCH($A5,2b_POST_TRABAJO!$A$5:$A$48,0))),"")</f>
        <v>4</v>
      </c>
      <c r="AF5" s="19" t="n">
        <f aca="false">IF(IFERROR(IF(INDEX(2b_POST_TRABAJO!$I$5:$I$48,MATCH($A5,2b_POST_TRABAJO!$A$5:$A$48,0))="","",INDEX(2b_POST_TRABAJO!$I$5:$I$48,MATCH($A5,2b_POST_TRABAJO!$A$5:$A$48,0))),"")="","",IFERROR(6-IFERROR(IF(INDEX(2b_POST_TRABAJO!$I$5:$I$48,MATCH($A5,2b_POST_TRABAJO!$A$5:$A$48,0))="","",INDEX(2b_POST_TRABAJO!$I$5:$I$48,MATCH($A5,2b_POST_TRABAJO!$A$5:$A$48,0))),""),"REVISAR"))</f>
        <v>4</v>
      </c>
      <c r="AG5" s="19" t="n">
        <f aca="false">IFERROR(IF(INDEX(2b_POST_TRABAJO!$J$5:$J$48,MATCH($A5,2b_POST_TRABAJO!$A$5:$A$48,0))="","",INDEX(2b_POST_TRABAJO!$J$5:$J$48,MATCH($A5,2b_POST_TRABAJO!$A$5:$A$48,0))),"")</f>
        <v>4</v>
      </c>
      <c r="AH5" s="19" t="n">
        <f aca="false">IFERROR(IF(INDEX(2b_POST_TRABAJO!$K$5:$K$48,MATCH($A5,2b_POST_TRABAJO!$A$5:$A$48,0))="","",INDEX(2b_POST_TRABAJO!$K$5:$K$48,MATCH($A5,2b_POST_TRABAJO!$A$5:$A$48,0))),"")</f>
        <v>3</v>
      </c>
      <c r="AI5" s="19" t="n">
        <f aca="false">IFERROR(IF(INDEX(2b_POST_TRABAJO!$L$5:$L$48,MATCH($A5,2b_POST_TRABAJO!$A$5:$A$48,0))="","",INDEX(2b_POST_TRABAJO!$L$5:$L$48,MATCH($A5,2b_POST_TRABAJO!$A$5:$A$48,0))),"")</f>
        <v>2</v>
      </c>
      <c r="AJ5" s="19" t="n">
        <f aca="false">IFERROR(IF(INDEX(2b_POST_TRABAJO!$M$5:$M$48,MATCH($A5,2b_POST_TRABAJO!$A$5:$A$48,0))="","",INDEX(2b_POST_TRABAJO!$M$5:$M$48,MATCH($A5,2b_POST_TRABAJO!$A$5:$A$48,0))),"")</f>
        <v>5</v>
      </c>
      <c r="AK5" s="19" t="n">
        <f aca="false">IFERROR(IF(INDEX(2b_POST_TRABAJO!$N$5:$N$48,MATCH($A5,2b_POST_TRABAJO!$A$5:$A$48,0))="","",INDEX(2b_POST_TRABAJO!$N$5:$N$48,MATCH($A5,2b_POST_TRABAJO!$A$5:$A$48,0))),"")</f>
        <v>4</v>
      </c>
      <c r="AL5" s="19" t="n">
        <f aca="false">IFERROR(IF(INDEX(2b_POST_TRABAJO!$O$5:$O$48,MATCH($A5,2b_POST_TRABAJO!$A$5:$A$48,0))="","",INDEX(2b_POST_TRABAJO!$O$5:$O$48,MATCH($A5,2b_POST_TRABAJO!$A$5:$A$48,0))),"")</f>
        <v>5</v>
      </c>
      <c r="AM5" s="19" t="n">
        <f aca="false">IFERROR(IF(INDEX(2b_POST_TRABAJO!$P$5:$P$48,MATCH($A5,2b_POST_TRABAJO!$A$5:$A$48,0))="","",INDEX(2b_POST_TRABAJO!$P$5:$P$48,MATCH($A5,2b_POST_TRABAJO!$A$5:$A$48,0))),"")</f>
        <v>4</v>
      </c>
      <c r="AN5" s="19" t="n">
        <f aca="false">IF(IFERROR(IF(INDEX(2b_POST_TRABAJO!$Q$5:$Q$48,MATCH($A5,2b_POST_TRABAJO!$A$5:$A$48,0))="","",INDEX(2b_POST_TRABAJO!$Q$5:$Q$48,MATCH($A5,2b_POST_TRABAJO!$A$5:$A$48,0))),"")="","",IFERROR(6-IFERROR(IF(INDEX(2b_POST_TRABAJO!$Q$5:$Q$48,MATCH($A5,2b_POST_TRABAJO!$A$5:$A$48,0))="","",INDEX(2b_POST_TRABAJO!$Q$5:$Q$48,MATCH($A5,2b_POST_TRABAJO!$A$5:$A$48,0))),""),"REVISAR"))</f>
        <v>5</v>
      </c>
      <c r="AO5" s="19" t="n">
        <f aca="false">IFERROR(IF(INDEX(2b_POST_TRABAJO!$R$5:$R$48,MATCH($A5,2b_POST_TRABAJO!$A$5:$A$48,0))="","",INDEX(2b_POST_TRABAJO!$R$5:$R$48,MATCH($A5,2b_POST_TRABAJO!$A$5:$A$48,0))),"")</f>
        <v>5</v>
      </c>
      <c r="AP5" s="19" t="n">
        <f aca="false">IFERROR(IF(INDEX(2b_POST_TRABAJO!$S$5:$S$48,MATCH($A5,2b_POST_TRABAJO!$A$5:$A$48,0))="","",INDEX(2b_POST_TRABAJO!$S$5:$S$48,MATCH($A5,2b_POST_TRABAJO!$A$5:$A$48,0))),"")</f>
        <v>4</v>
      </c>
      <c r="AQ5" s="19" t="n">
        <f aca="false">IFERROR(IF(INDEX(2b_POST_TRABAJO!$T$5:$T$48,MATCH($A5,2b_POST_TRABAJO!$A$5:$A$48,0))="","",INDEX(2b_POST_TRABAJO!$T$5:$T$48,MATCH($A5,2b_POST_TRABAJO!$A$5:$A$48,0))),"")</f>
        <v>2</v>
      </c>
      <c r="AR5" s="27" t="n">
        <f aca="false">IF(COUNT(N5:R5)&lt;5,"",IFERROR(ROUND(AVERAGE(N5:R5),2),"REVISAR"))</f>
        <v>2.8</v>
      </c>
      <c r="AS5" s="27" t="n">
        <f aca="false">IF(COUNT(S5:W5)&lt;5,"",IFERROR(ROUND(AVERAGE(S5:W5),2),"REVISAR"))</f>
        <v>2.6</v>
      </c>
      <c r="AT5" s="27" t="n">
        <f aca="false">IF(COUNT(X5:AB5)&lt;5,"",IFERROR(ROUND(AVERAGE(X5:AB5),2),"REVISAR"))</f>
        <v>1.6</v>
      </c>
      <c r="AU5" s="11" t="n">
        <f aca="false">IF(COUNT(N5:AB5)&lt;15,"",IFERROR(SUM(N5:AB5),"REVISAR"))</f>
        <v>35</v>
      </c>
      <c r="AV5" s="18" t="n">
        <f aca="false">IF(AU5="","",IF(ISNUMBER(AU5),IF(AU5&lt;=35,1,IF(AU5&lt;=55,2,3)),"REVISAR"))</f>
        <v>1</v>
      </c>
      <c r="AW5" s="27" t="n">
        <f aca="false">IF(COUNT(AC5:AG5)&lt;5,"",IFERROR(ROUND(AVERAGE(AC5:AG5),2),"REVISAR"))</f>
        <v>3.8</v>
      </c>
      <c r="AX5" s="27" t="n">
        <f aca="false">IF(COUNT(AH5:AL5)&lt;5,"",IFERROR(ROUND(AVERAGE(AH5:AL5),2),"REVISAR"))</f>
        <v>3.8</v>
      </c>
      <c r="AY5" s="27" t="n">
        <f aca="false">IF(COUNT(AM5:AQ5)&lt;5,"",IFERROR(ROUND(AVERAGE(AM5:AQ5),2),"REVISAR"))</f>
        <v>4</v>
      </c>
      <c r="AZ5" s="11" t="n">
        <f aca="false">IF(COUNT(AC5:AQ5)&lt;15,"",IFERROR(SUM(AC5:AQ5),"REVISAR"))</f>
        <v>58</v>
      </c>
      <c r="BA5" s="18" t="n">
        <f aca="false">IF(AZ5="","",IF(ISNUMBER(AZ5),IF(AZ5&lt;=35,1,IF(AZ5&lt;=55,2,3)),"REVISAR"))</f>
        <v>3</v>
      </c>
      <c r="BB5" s="28" t="n">
        <f aca="false">IF(OR(J5="",K5=""),"",IFERROR(ROUND(K5-J5,1),"REVISAR"))</f>
        <v>-4.8</v>
      </c>
      <c r="BC5" s="11" t="n">
        <f aca="false">IF(OR(L5="",M5=""),"",IFERROR(M5-L5,"REVISAR"))</f>
        <v>29</v>
      </c>
      <c r="BD5" s="11" t="n">
        <f aca="false">IF(OR(AU5="",AZ5=""),"",IFERROR(AZ5-AU5,"REVISAR"))</f>
        <v>23</v>
      </c>
      <c r="BE5" s="23"/>
      <c r="BF5" s="21"/>
    </row>
    <row r="6" customFormat="false" ht="15" hidden="false" customHeight="false" outlineLevel="0" collapsed="false">
      <c r="A6" s="17" t="s">
        <v>47</v>
      </c>
      <c r="B6" s="23" t="n">
        <v>1</v>
      </c>
      <c r="C6" s="19" t="n">
        <f aca="false">IFERROR(IF(INDEX(2a_PRE_TRABAJO!$B$5:$B$51,MATCH($A6,2a_PRE_TRABAJO!$A$5:$A$51,0))="","",INDEX(2a_PRE_TRABAJO!$B$5:$B$51,MATCH($A6,2a_PRE_TRABAJO!$A$5:$A$51,0))),"")</f>
        <v>1</v>
      </c>
      <c r="D6" s="19" t="n">
        <f aca="false">IFERROR(IF(INDEX(2a_PRE_TRABAJO!$C$5:$C$51,MATCH($A6,2a_PRE_TRABAJO!$A$5:$A$51,0))="","",INDEX(2a_PRE_TRABAJO!$C$5:$C$51,MATCH($A6,2a_PRE_TRABAJO!$A$5:$A$51,0))),"")</f>
        <v>1</v>
      </c>
      <c r="E6" s="19" t="n">
        <f aca="false">IFERROR(IF(INDEX(2a_PRE_TRABAJO!$D$5:$D$51,MATCH($A6,2a_PRE_TRABAJO!$A$5:$A$51,0))="","",INDEX(2a_PRE_TRABAJO!$D$5:$D$51,MATCH($A6,2a_PRE_TRABAJO!$A$5:$A$51,0))),"")</f>
        <v>37</v>
      </c>
      <c r="F6" s="19" t="n">
        <f aca="false">IFERROR(IF(INDEX(2a_PRE_TRABAJO!$E$5:$E$51,MATCH($A6,2a_PRE_TRABAJO!$A$5:$A$51,0))="","",INDEX(2a_PRE_TRABAJO!$E$5:$E$51,MATCH($A6,2a_PRE_TRABAJO!$A$5:$A$51,0))),"")</f>
        <v>4</v>
      </c>
      <c r="G6" s="19" t="str">
        <f aca="false">IFERROR(IF(INDEX(2a_PRE_TRABAJO!$F$5:$F$51,MATCH($A6,2a_PRE_TRABAJO!$A$5:$A$51,0))="","",INDEX(2a_PRE_TRABAJO!$F$5:$F$51,MATCH($A6,2a_PRE_TRABAJO!$A$5:$A$51,0))),"")</f>
        <v>Técnico</v>
      </c>
      <c r="H6" s="24" t="n">
        <f aca="false">IFERROR(IF(INDEX(2a_PRE_TRABAJO!$G$5:$G$51,MATCH($A6,2a_PRE_TRABAJO!$A$5:$A$51,0))="","",INDEX(2a_PRE_TRABAJO!$G$5:$G$51,MATCH($A6,2a_PRE_TRABAJO!$A$5:$A$51,0))),"")</f>
        <v>46259</v>
      </c>
      <c r="I6" s="24" t="n">
        <f aca="false">IFERROR(IF(INDEX(2b_POST_TRABAJO!$C$5:$C$48,MATCH($A6,2b_POST_TRABAJO!$A$5:$A$48,0))="","",INDEX(2b_POST_TRABAJO!$C$5:$C$48,MATCH($A6,2b_POST_TRABAJO!$A$5:$A$48,0))),"")</f>
        <v>46308</v>
      </c>
      <c r="J6" s="25" t="n">
        <f aca="false">IFERROR(IF(INDEX(2a_PRE_TRABAJO!$H$5:$H$51,MATCH($A6,2a_PRE_TRABAJO!$A$5:$A$51,0))="","",INDEX(2a_PRE_TRABAJO!$H$5:$H$51,MATCH($A6,2a_PRE_TRABAJO!$A$5:$A$51,0))),"")</f>
        <v>6.5</v>
      </c>
      <c r="K6" s="25" t="n">
        <f aca="false">IFERROR(IF(INDEX(2b_POST_TRABAJO!$D$5:$D$48,MATCH($A6,2b_POST_TRABAJO!$A$5:$A$48,0))="","",INDEX(2b_POST_TRABAJO!$D$5:$D$48,MATCH($A6,2b_POST_TRABAJO!$A$5:$A$48,0))),"")</f>
        <v>3.8</v>
      </c>
      <c r="L6" s="26" t="n">
        <f aca="false">IFERROR(IF(INDEX(2a_PRE_TRABAJO!$I$5:$I$51,MATCH($A6,2a_PRE_TRABAJO!$A$5:$A$51,0))="","",INDEX(2a_PRE_TRABAJO!$I$5:$I$51,MATCH($A6,2a_PRE_TRABAJO!$A$5:$A$51,0))),"")</f>
        <v>59</v>
      </c>
      <c r="M6" s="26" t="n">
        <f aca="false">IFERROR(IF(INDEX(2b_POST_TRABAJO!$E$5:$E$48,MATCH($A6,2b_POST_TRABAJO!$A$5:$A$48,0))="","",INDEX(2b_POST_TRABAJO!$E$5:$E$48,MATCH($A6,2b_POST_TRABAJO!$A$5:$A$48,0))),"")</f>
        <v>92</v>
      </c>
      <c r="N6" s="19" t="n">
        <f aca="false">IFERROR(IF(INDEX(2a_PRE_TRABAJO!$J$5:$J$51,MATCH($A6,2a_PRE_TRABAJO!$A$5:$A$51,0))="","",INDEX(2a_PRE_TRABAJO!$J$5:$J$51,MATCH($A6,2a_PRE_TRABAJO!$A$5:$A$51,0))),"")</f>
        <v>2</v>
      </c>
      <c r="O6" s="19" t="n">
        <f aca="false">IFERROR(IF(INDEX(2a_PRE_TRABAJO!$K$5:$K$51,MATCH($A6,2a_PRE_TRABAJO!$A$5:$A$51,0))="","",INDEX(2a_PRE_TRABAJO!$K$5:$K$51,MATCH($A6,2a_PRE_TRABAJO!$A$5:$A$51,0))),"")</f>
        <v>2</v>
      </c>
      <c r="P6" s="19" t="n">
        <f aca="false">IFERROR(IF(INDEX(2a_PRE_TRABAJO!$L$5:$L$51,MATCH($A6,2a_PRE_TRABAJO!$A$5:$A$51,0))="","",INDEX(2a_PRE_TRABAJO!$L$5:$L$51,MATCH($A6,2a_PRE_TRABAJO!$A$5:$A$51,0))),"")</f>
        <v>2</v>
      </c>
      <c r="Q6" s="19" t="n">
        <f aca="false">IF(IFERROR(IF(INDEX(2a_PRE_TRABAJO!$M$5:$M$51,MATCH($A6,2a_PRE_TRABAJO!$A$5:$A$51,0))="","",INDEX(2a_PRE_TRABAJO!$M$5:$M$51,MATCH($A6,2a_PRE_TRABAJO!$A$5:$A$51,0))),"")="","",IFERROR(6-IFERROR(IF(INDEX(2a_PRE_TRABAJO!$M$5:$M$51,MATCH($A6,2a_PRE_TRABAJO!$A$5:$A$51,0))="","",INDEX(2a_PRE_TRABAJO!$M$5:$M$51,MATCH($A6,2a_PRE_TRABAJO!$A$5:$A$51,0))),""),"REVISAR"))</f>
        <v>3</v>
      </c>
      <c r="R6" s="19" t="n">
        <f aca="false">IFERROR(IF(INDEX(2a_PRE_TRABAJO!$N$5:$N$51,MATCH($A6,2a_PRE_TRABAJO!$A$5:$A$51,0))="","",INDEX(2a_PRE_TRABAJO!$N$5:$N$51,MATCH($A6,2a_PRE_TRABAJO!$A$5:$A$51,0))),"")</f>
        <v>4</v>
      </c>
      <c r="S6" s="19" t="n">
        <f aca="false">IFERROR(IF(INDEX(2a_PRE_TRABAJO!$O$5:$O$51,MATCH($A6,2a_PRE_TRABAJO!$A$5:$A$51,0))="","",INDEX(2a_PRE_TRABAJO!$O$5:$O$51,MATCH($A6,2a_PRE_TRABAJO!$A$5:$A$51,0))),"")</f>
        <v>3</v>
      </c>
      <c r="T6" s="19" t="n">
        <f aca="false">IFERROR(IF(INDEX(2a_PRE_TRABAJO!$P$5:$P$51,MATCH($A6,2a_PRE_TRABAJO!$A$5:$A$51,0))="","",INDEX(2a_PRE_TRABAJO!$P$5:$P$51,MATCH($A6,2a_PRE_TRABAJO!$A$5:$A$51,0))),"")</f>
        <v>4</v>
      </c>
      <c r="U6" s="19" t="n">
        <f aca="false">IFERROR(IF(INDEX(2a_PRE_TRABAJO!$Q$5:$Q$51,MATCH($A6,2a_PRE_TRABAJO!$A$5:$A$51,0))="","",INDEX(2a_PRE_TRABAJO!$Q$5:$Q$51,MATCH($A6,2a_PRE_TRABAJO!$A$5:$A$51,0))),"")</f>
        <v>3</v>
      </c>
      <c r="V6" s="19" t="n">
        <f aca="false">IFERROR(IF(INDEX(2a_PRE_TRABAJO!$R$5:$R$51,MATCH($A6,2a_PRE_TRABAJO!$A$5:$A$51,0))="","",INDEX(2a_PRE_TRABAJO!$R$5:$R$51,MATCH($A6,2a_PRE_TRABAJO!$A$5:$A$51,0))),"")</f>
        <v>3</v>
      </c>
      <c r="W6" s="19" t="n">
        <f aca="false">IFERROR(IF(INDEX(2a_PRE_TRABAJO!$S$5:$S$51,MATCH($A6,2a_PRE_TRABAJO!$A$5:$A$51,0))="","",INDEX(2a_PRE_TRABAJO!$S$5:$S$51,MATCH($A6,2a_PRE_TRABAJO!$A$5:$A$51,0))),"")</f>
        <v>3</v>
      </c>
      <c r="X6" s="19" t="n">
        <f aca="false">IFERROR(IF(INDEX(2a_PRE_TRABAJO!$T$5:$T$51,MATCH($A6,2a_PRE_TRABAJO!$A$5:$A$51,0))="","",INDEX(2a_PRE_TRABAJO!$T$5:$T$51,MATCH($A6,2a_PRE_TRABAJO!$A$5:$A$51,0))),"")</f>
        <v>3</v>
      </c>
      <c r="Y6" s="19" t="n">
        <f aca="false">IF(IFERROR(IF(INDEX(2a_PRE_TRABAJO!$U$5:$U$51,MATCH($A6,2a_PRE_TRABAJO!$A$5:$A$51,0))="","",INDEX(2a_PRE_TRABAJO!$U$5:$U$51,MATCH($A6,2a_PRE_TRABAJO!$A$5:$A$51,0))),"")="","",IFERROR(6-IFERROR(IF(INDEX(2a_PRE_TRABAJO!$U$5:$U$51,MATCH($A6,2a_PRE_TRABAJO!$A$5:$A$51,0))="","",INDEX(2a_PRE_TRABAJO!$U$5:$U$51,MATCH($A6,2a_PRE_TRABAJO!$A$5:$A$51,0))),""),"REVISAR"))</f>
        <v>3</v>
      </c>
      <c r="Z6" s="19" t="n">
        <f aca="false">IFERROR(IF(INDEX(2a_PRE_TRABAJO!$V$5:$V$51,MATCH($A6,2a_PRE_TRABAJO!$A$5:$A$51,0))="","",INDEX(2a_PRE_TRABAJO!$V$5:$V$51,MATCH($A6,2a_PRE_TRABAJO!$A$5:$A$51,0))),"")</f>
        <v>3</v>
      </c>
      <c r="AA6" s="19" t="n">
        <f aca="false">IFERROR(IF(INDEX(2a_PRE_TRABAJO!$W$5:$W$51,MATCH($A6,2a_PRE_TRABAJO!$A$5:$A$51,0))="","",INDEX(2a_PRE_TRABAJO!$W$5:$W$51,MATCH($A6,2a_PRE_TRABAJO!$A$5:$A$51,0))),"")</f>
        <v>4</v>
      </c>
      <c r="AB6" s="19" t="n">
        <f aca="false">IFERROR(IF(INDEX(2a_PRE_TRABAJO!$X$5:$X$51,MATCH($A6,2a_PRE_TRABAJO!$A$5:$A$51,0))="","",INDEX(2a_PRE_TRABAJO!$X$5:$X$51,MATCH($A6,2a_PRE_TRABAJO!$A$5:$A$51,0))),"")</f>
        <v>3</v>
      </c>
      <c r="AC6" s="19" t="n">
        <f aca="false">IFERROR(IF(INDEX(2b_POST_TRABAJO!$F$5:$F$48,MATCH($A6,2b_POST_TRABAJO!$A$5:$A$48,0))="","",INDEX(2b_POST_TRABAJO!$F$5:$F$48,MATCH($A6,2b_POST_TRABAJO!$A$5:$A$48,0))),"")</f>
        <v>5</v>
      </c>
      <c r="AD6" s="19" t="n">
        <f aca="false">IFERROR(IF(INDEX(2b_POST_TRABAJO!$G$5:$G$48,MATCH($A6,2b_POST_TRABAJO!$A$5:$A$48,0))="","",INDEX(2b_POST_TRABAJO!$G$5:$G$48,MATCH($A6,2b_POST_TRABAJO!$A$5:$A$48,0))),"")</f>
        <v>3</v>
      </c>
      <c r="AE6" s="19" t="n">
        <f aca="false">IFERROR(IF(INDEX(2b_POST_TRABAJO!$H$5:$H$48,MATCH($A6,2b_POST_TRABAJO!$A$5:$A$48,0))="","",INDEX(2b_POST_TRABAJO!$H$5:$H$48,MATCH($A6,2b_POST_TRABAJO!$A$5:$A$48,0))),"")</f>
        <v>4</v>
      </c>
      <c r="AF6" s="19" t="n">
        <f aca="false">IF(IFERROR(IF(INDEX(2b_POST_TRABAJO!$I$5:$I$48,MATCH($A6,2b_POST_TRABAJO!$A$5:$A$48,0))="","",INDEX(2b_POST_TRABAJO!$I$5:$I$48,MATCH($A6,2b_POST_TRABAJO!$A$5:$A$48,0))),"")="","",IFERROR(6-IFERROR(IF(INDEX(2b_POST_TRABAJO!$I$5:$I$48,MATCH($A6,2b_POST_TRABAJO!$A$5:$A$48,0))="","",INDEX(2b_POST_TRABAJO!$I$5:$I$48,MATCH($A6,2b_POST_TRABAJO!$A$5:$A$48,0))),""),"REVISAR"))</f>
        <v>3</v>
      </c>
      <c r="AG6" s="19" t="n">
        <f aca="false">IFERROR(IF(INDEX(2b_POST_TRABAJO!$J$5:$J$48,MATCH($A6,2b_POST_TRABAJO!$A$5:$A$48,0))="","",INDEX(2b_POST_TRABAJO!$J$5:$J$48,MATCH($A6,2b_POST_TRABAJO!$A$5:$A$48,0))),"")</f>
        <v>4</v>
      </c>
      <c r="AH6" s="19" t="n">
        <f aca="false">IFERROR(IF(INDEX(2b_POST_TRABAJO!$K$5:$K$48,MATCH($A6,2b_POST_TRABAJO!$A$5:$A$48,0))="","",INDEX(2b_POST_TRABAJO!$K$5:$K$48,MATCH($A6,2b_POST_TRABAJO!$A$5:$A$48,0))),"")</f>
        <v>4</v>
      </c>
      <c r="AI6" s="19" t="n">
        <f aca="false">IFERROR(IF(INDEX(2b_POST_TRABAJO!$L$5:$L$48,MATCH($A6,2b_POST_TRABAJO!$A$5:$A$48,0))="","",INDEX(2b_POST_TRABAJO!$L$5:$L$48,MATCH($A6,2b_POST_TRABAJO!$A$5:$A$48,0))),"")</f>
        <v>5</v>
      </c>
      <c r="AJ6" s="19" t="n">
        <f aca="false">IFERROR(IF(INDEX(2b_POST_TRABAJO!$M$5:$M$48,MATCH($A6,2b_POST_TRABAJO!$A$5:$A$48,0))="","",INDEX(2b_POST_TRABAJO!$M$5:$M$48,MATCH($A6,2b_POST_TRABAJO!$A$5:$A$48,0))),"")</f>
        <v>3</v>
      </c>
      <c r="AK6" s="19" t="n">
        <f aca="false">IFERROR(IF(INDEX(2b_POST_TRABAJO!$N$5:$N$48,MATCH($A6,2b_POST_TRABAJO!$A$5:$A$48,0))="","",INDEX(2b_POST_TRABAJO!$N$5:$N$48,MATCH($A6,2b_POST_TRABAJO!$A$5:$A$48,0))),"")</f>
        <v>4</v>
      </c>
      <c r="AL6" s="19" t="n">
        <f aca="false">IFERROR(IF(INDEX(2b_POST_TRABAJO!$O$5:$O$48,MATCH($A6,2b_POST_TRABAJO!$A$5:$A$48,0))="","",INDEX(2b_POST_TRABAJO!$O$5:$O$48,MATCH($A6,2b_POST_TRABAJO!$A$5:$A$48,0))),"")</f>
        <v>4</v>
      </c>
      <c r="AM6" s="19" t="n">
        <f aca="false">IFERROR(IF(INDEX(2b_POST_TRABAJO!$P$5:$P$48,MATCH($A6,2b_POST_TRABAJO!$A$5:$A$48,0))="","",INDEX(2b_POST_TRABAJO!$P$5:$P$48,MATCH($A6,2b_POST_TRABAJO!$A$5:$A$48,0))),"")</f>
        <v>4</v>
      </c>
      <c r="AN6" s="19" t="n">
        <f aca="false">IF(IFERROR(IF(INDEX(2b_POST_TRABAJO!$Q$5:$Q$48,MATCH($A6,2b_POST_TRABAJO!$A$5:$A$48,0))="","",INDEX(2b_POST_TRABAJO!$Q$5:$Q$48,MATCH($A6,2b_POST_TRABAJO!$A$5:$A$48,0))),"")="","",IFERROR(6-IFERROR(IF(INDEX(2b_POST_TRABAJO!$Q$5:$Q$48,MATCH($A6,2b_POST_TRABAJO!$A$5:$A$48,0))="","",INDEX(2b_POST_TRABAJO!$Q$5:$Q$48,MATCH($A6,2b_POST_TRABAJO!$A$5:$A$48,0))),""),"REVISAR"))</f>
        <v>4</v>
      </c>
      <c r="AO6" s="19" t="n">
        <f aca="false">IFERROR(IF(INDEX(2b_POST_TRABAJO!$R$5:$R$48,MATCH($A6,2b_POST_TRABAJO!$A$5:$A$48,0))="","",INDEX(2b_POST_TRABAJO!$R$5:$R$48,MATCH($A6,2b_POST_TRABAJO!$A$5:$A$48,0))),"")</f>
        <v>5</v>
      </c>
      <c r="AP6" s="19" t="n">
        <f aca="false">IFERROR(IF(INDEX(2b_POST_TRABAJO!$S$5:$S$48,MATCH($A6,2b_POST_TRABAJO!$A$5:$A$48,0))="","",INDEX(2b_POST_TRABAJO!$S$5:$S$48,MATCH($A6,2b_POST_TRABAJO!$A$5:$A$48,0))),"")</f>
        <v>5</v>
      </c>
      <c r="AQ6" s="19" t="n">
        <f aca="false">IFERROR(IF(INDEX(2b_POST_TRABAJO!$T$5:$T$48,MATCH($A6,2b_POST_TRABAJO!$A$5:$A$48,0))="","",INDEX(2b_POST_TRABAJO!$T$5:$T$48,MATCH($A6,2b_POST_TRABAJO!$A$5:$A$48,0))),"")</f>
        <v>4</v>
      </c>
      <c r="AR6" s="27" t="n">
        <f aca="false">IF(COUNT(N6:R6)&lt;5,"",IFERROR(ROUND(AVERAGE(N6:R6),2),"REVISAR"))</f>
        <v>2.6</v>
      </c>
      <c r="AS6" s="27" t="n">
        <f aca="false">IF(COUNT(S6:W6)&lt;5,"",IFERROR(ROUND(AVERAGE(S6:W6),2),"REVISAR"))</f>
        <v>3.2</v>
      </c>
      <c r="AT6" s="27" t="n">
        <f aca="false">IF(COUNT(X6:AB6)&lt;5,"",IFERROR(ROUND(AVERAGE(X6:AB6),2),"REVISAR"))</f>
        <v>3.2</v>
      </c>
      <c r="AU6" s="11" t="n">
        <f aca="false">IF(COUNT(N6:AB6)&lt;15,"",IFERROR(SUM(N6:AB6),"REVISAR"))</f>
        <v>45</v>
      </c>
      <c r="AV6" s="18" t="n">
        <f aca="false">IF(AU6="","",IF(ISNUMBER(AU6),IF(AU6&lt;=35,1,IF(AU6&lt;=55,2,3)),"REVISAR"))</f>
        <v>2</v>
      </c>
      <c r="AW6" s="27" t="n">
        <f aca="false">IF(COUNT(AC6:AG6)&lt;5,"",IFERROR(ROUND(AVERAGE(AC6:AG6),2),"REVISAR"))</f>
        <v>3.8</v>
      </c>
      <c r="AX6" s="27" t="n">
        <f aca="false">IF(COUNT(AH6:AL6)&lt;5,"",IFERROR(ROUND(AVERAGE(AH6:AL6),2),"REVISAR"))</f>
        <v>4</v>
      </c>
      <c r="AY6" s="27" t="n">
        <f aca="false">IF(COUNT(AM6:AQ6)&lt;5,"",IFERROR(ROUND(AVERAGE(AM6:AQ6),2),"REVISAR"))</f>
        <v>4.4</v>
      </c>
      <c r="AZ6" s="11" t="n">
        <f aca="false">IF(COUNT(AC6:AQ6)&lt;15,"",IFERROR(SUM(AC6:AQ6),"REVISAR"))</f>
        <v>61</v>
      </c>
      <c r="BA6" s="18" t="n">
        <f aca="false">IF(AZ6="","",IF(ISNUMBER(AZ6),IF(AZ6&lt;=35,1,IF(AZ6&lt;=55,2,3)),"REVISAR"))</f>
        <v>3</v>
      </c>
      <c r="BB6" s="28" t="n">
        <f aca="false">IF(OR(J6="",K6=""),"",IFERROR(ROUND(K6-J6,1),"REVISAR"))</f>
        <v>-2.7</v>
      </c>
      <c r="BC6" s="11" t="n">
        <f aca="false">IF(OR(L6="",M6=""),"",IFERROR(M6-L6,"REVISAR"))</f>
        <v>33</v>
      </c>
      <c r="BD6" s="11" t="n">
        <f aca="false">IF(OR(AU6="",AZ6=""),"",IFERROR(AZ6-AU6,"REVISAR"))</f>
        <v>16</v>
      </c>
      <c r="BE6" s="23"/>
      <c r="BF6" s="21"/>
    </row>
    <row r="7" customFormat="false" ht="15" hidden="false" customHeight="false" outlineLevel="0" collapsed="false">
      <c r="A7" s="17" t="s">
        <v>49</v>
      </c>
      <c r="B7" s="23" t="n">
        <v>1</v>
      </c>
      <c r="C7" s="19" t="n">
        <f aca="false">IFERROR(IF(INDEX(2a_PRE_TRABAJO!$B$5:$B$51,MATCH($A7,2a_PRE_TRABAJO!$A$5:$A$51,0))="","",INDEX(2a_PRE_TRABAJO!$B$5:$B$51,MATCH($A7,2a_PRE_TRABAJO!$A$5:$A$51,0))),"")</f>
        <v>1</v>
      </c>
      <c r="D7" s="19" t="n">
        <f aca="false">IFERROR(IF(INDEX(2a_PRE_TRABAJO!$C$5:$C$51,MATCH($A7,2a_PRE_TRABAJO!$A$5:$A$51,0))="","",INDEX(2a_PRE_TRABAJO!$C$5:$C$51,MATCH($A7,2a_PRE_TRABAJO!$A$5:$A$51,0))),"")</f>
        <v>2</v>
      </c>
      <c r="E7" s="19" t="n">
        <f aca="false">IFERROR(IF(INDEX(2a_PRE_TRABAJO!$D$5:$D$51,MATCH($A7,2a_PRE_TRABAJO!$A$5:$A$51,0))="","",INDEX(2a_PRE_TRABAJO!$D$5:$D$51,MATCH($A7,2a_PRE_TRABAJO!$A$5:$A$51,0))),"")</f>
        <v>35</v>
      </c>
      <c r="F7" s="19" t="n">
        <f aca="false">IFERROR(IF(INDEX(2a_PRE_TRABAJO!$E$5:$E$51,MATCH($A7,2a_PRE_TRABAJO!$A$5:$A$51,0))="","",INDEX(2a_PRE_TRABAJO!$E$5:$E$51,MATCH($A7,2a_PRE_TRABAJO!$A$5:$A$51,0))),"")</f>
        <v>9</v>
      </c>
      <c r="G7" s="19" t="str">
        <f aca="false">IFERROR(IF(INDEX(2a_PRE_TRABAJO!$F$5:$F$51,MATCH($A7,2a_PRE_TRABAJO!$A$5:$A$51,0))="","",INDEX(2a_PRE_TRABAJO!$F$5:$F$51,MATCH($A7,2a_PRE_TRABAJO!$A$5:$A$51,0))),"")</f>
        <v>Auxiliar</v>
      </c>
      <c r="H7" s="24" t="n">
        <f aca="false">IFERROR(IF(INDEX(2a_PRE_TRABAJO!$G$5:$G$51,MATCH($A7,2a_PRE_TRABAJO!$A$5:$A$51,0))="","",INDEX(2a_PRE_TRABAJO!$G$5:$G$51,MATCH($A7,2a_PRE_TRABAJO!$A$5:$A$51,0))),"")</f>
        <v>46260</v>
      </c>
      <c r="I7" s="24" t="n">
        <f aca="false">IFERROR(IF(INDEX(2b_POST_TRABAJO!$C$5:$C$48,MATCH($A7,2b_POST_TRABAJO!$A$5:$A$48,0))="","",INDEX(2b_POST_TRABAJO!$C$5:$C$48,MATCH($A7,2b_POST_TRABAJO!$A$5:$A$48,0))),"")</f>
        <v>46309</v>
      </c>
      <c r="J7" s="25" t="n">
        <f aca="false">IFERROR(IF(INDEX(2a_PRE_TRABAJO!$H$5:$H$51,MATCH($A7,2a_PRE_TRABAJO!$A$5:$A$51,0))="","",INDEX(2a_PRE_TRABAJO!$H$5:$H$51,MATCH($A7,2a_PRE_TRABAJO!$A$5:$A$51,0))),"")</f>
        <v>12.8</v>
      </c>
      <c r="K7" s="25" t="n">
        <f aca="false">IFERROR(IF(INDEX(2b_POST_TRABAJO!$D$5:$D$48,MATCH($A7,2b_POST_TRABAJO!$A$5:$A$48,0))="","",INDEX(2b_POST_TRABAJO!$D$5:$D$48,MATCH($A7,2b_POST_TRABAJO!$A$5:$A$48,0))),"")</f>
        <v>8.1</v>
      </c>
      <c r="L7" s="26" t="n">
        <f aca="false">IFERROR(IF(INDEX(2a_PRE_TRABAJO!$I$5:$I$51,MATCH($A7,2a_PRE_TRABAJO!$A$5:$A$51,0))="","",INDEX(2a_PRE_TRABAJO!$I$5:$I$51,MATCH($A7,2a_PRE_TRABAJO!$A$5:$A$51,0))),"")</f>
        <v>57</v>
      </c>
      <c r="M7" s="26" t="n">
        <f aca="false">IFERROR(IF(INDEX(2b_POST_TRABAJO!$E$5:$E$48,MATCH($A7,2b_POST_TRABAJO!$A$5:$A$48,0))="","",INDEX(2b_POST_TRABAJO!$E$5:$E$48,MATCH($A7,2b_POST_TRABAJO!$A$5:$A$48,0))),"")</f>
        <v>69</v>
      </c>
      <c r="N7" s="19" t="n">
        <f aca="false">IFERROR(IF(INDEX(2a_PRE_TRABAJO!$J$5:$J$51,MATCH($A7,2a_PRE_TRABAJO!$A$5:$A$51,0))="","",INDEX(2a_PRE_TRABAJO!$J$5:$J$51,MATCH($A7,2a_PRE_TRABAJO!$A$5:$A$51,0))),"")</f>
        <v>1</v>
      </c>
      <c r="O7" s="19" t="n">
        <f aca="false">IFERROR(IF(INDEX(2a_PRE_TRABAJO!$K$5:$K$51,MATCH($A7,2a_PRE_TRABAJO!$A$5:$A$51,0))="","",INDEX(2a_PRE_TRABAJO!$K$5:$K$51,MATCH($A7,2a_PRE_TRABAJO!$A$5:$A$51,0))),"")</f>
        <v>2</v>
      </c>
      <c r="P7" s="19" t="n">
        <f aca="false">IFERROR(IF(INDEX(2a_PRE_TRABAJO!$L$5:$L$51,MATCH($A7,2a_PRE_TRABAJO!$A$5:$A$51,0))="","",INDEX(2a_PRE_TRABAJO!$L$5:$L$51,MATCH($A7,2a_PRE_TRABAJO!$A$5:$A$51,0))),"")</f>
        <v>4</v>
      </c>
      <c r="Q7" s="19" t="n">
        <f aca="false">IF(IFERROR(IF(INDEX(2a_PRE_TRABAJO!$M$5:$M$51,MATCH($A7,2a_PRE_TRABAJO!$A$5:$A$51,0))="","",INDEX(2a_PRE_TRABAJO!$M$5:$M$51,MATCH($A7,2a_PRE_TRABAJO!$A$5:$A$51,0))),"")="","",IFERROR(6-IFERROR(IF(INDEX(2a_PRE_TRABAJO!$M$5:$M$51,MATCH($A7,2a_PRE_TRABAJO!$A$5:$A$51,0))="","",INDEX(2a_PRE_TRABAJO!$M$5:$M$51,MATCH($A7,2a_PRE_TRABAJO!$A$5:$A$51,0))),""),"REVISAR"))</f>
        <v>3</v>
      </c>
      <c r="R7" s="19" t="n">
        <f aca="false">IFERROR(IF(INDEX(2a_PRE_TRABAJO!$N$5:$N$51,MATCH($A7,2a_PRE_TRABAJO!$A$5:$A$51,0))="","",INDEX(2a_PRE_TRABAJO!$N$5:$N$51,MATCH($A7,2a_PRE_TRABAJO!$A$5:$A$51,0))),"")</f>
        <v>3</v>
      </c>
      <c r="S7" s="19" t="n">
        <f aca="false">IFERROR(IF(INDEX(2a_PRE_TRABAJO!$O$5:$O$51,MATCH($A7,2a_PRE_TRABAJO!$A$5:$A$51,0))="","",INDEX(2a_PRE_TRABAJO!$O$5:$O$51,MATCH($A7,2a_PRE_TRABAJO!$A$5:$A$51,0))),"")</f>
        <v>2</v>
      </c>
      <c r="T7" s="19" t="n">
        <f aca="false">IFERROR(IF(INDEX(2a_PRE_TRABAJO!$P$5:$P$51,MATCH($A7,2a_PRE_TRABAJO!$A$5:$A$51,0))="","",INDEX(2a_PRE_TRABAJO!$P$5:$P$51,MATCH($A7,2a_PRE_TRABAJO!$A$5:$A$51,0))),"")</f>
        <v>4</v>
      </c>
      <c r="U7" s="19" t="n">
        <f aca="false">IFERROR(IF(INDEX(2a_PRE_TRABAJO!$Q$5:$Q$51,MATCH($A7,2a_PRE_TRABAJO!$A$5:$A$51,0))="","",INDEX(2a_PRE_TRABAJO!$Q$5:$Q$51,MATCH($A7,2a_PRE_TRABAJO!$A$5:$A$51,0))),"")</f>
        <v>3</v>
      </c>
      <c r="V7" s="19" t="n">
        <f aca="false">IFERROR(IF(INDEX(2a_PRE_TRABAJO!$R$5:$R$51,MATCH($A7,2a_PRE_TRABAJO!$A$5:$A$51,0))="","",INDEX(2a_PRE_TRABAJO!$R$5:$R$51,MATCH($A7,2a_PRE_TRABAJO!$A$5:$A$51,0))),"")</f>
        <v>4</v>
      </c>
      <c r="W7" s="19" t="n">
        <f aca="false">IFERROR(IF(INDEX(2a_PRE_TRABAJO!$S$5:$S$51,MATCH($A7,2a_PRE_TRABAJO!$A$5:$A$51,0))="","",INDEX(2a_PRE_TRABAJO!$S$5:$S$51,MATCH($A7,2a_PRE_TRABAJO!$A$5:$A$51,0))),"")</f>
        <v>3</v>
      </c>
      <c r="X7" s="19" t="n">
        <f aca="false">IFERROR(IF(INDEX(2a_PRE_TRABAJO!$T$5:$T$51,MATCH($A7,2a_PRE_TRABAJO!$A$5:$A$51,0))="","",INDEX(2a_PRE_TRABAJO!$T$5:$T$51,MATCH($A7,2a_PRE_TRABAJO!$A$5:$A$51,0))),"")</f>
        <v>3</v>
      </c>
      <c r="Y7" s="19" t="n">
        <f aca="false">IF(IFERROR(IF(INDEX(2a_PRE_TRABAJO!$U$5:$U$51,MATCH($A7,2a_PRE_TRABAJO!$A$5:$A$51,0))="","",INDEX(2a_PRE_TRABAJO!$U$5:$U$51,MATCH($A7,2a_PRE_TRABAJO!$A$5:$A$51,0))),"")="","",IFERROR(6-IFERROR(IF(INDEX(2a_PRE_TRABAJO!$U$5:$U$51,MATCH($A7,2a_PRE_TRABAJO!$A$5:$A$51,0))="","",INDEX(2a_PRE_TRABAJO!$U$5:$U$51,MATCH($A7,2a_PRE_TRABAJO!$A$5:$A$51,0))),""),"REVISAR"))</f>
        <v>3</v>
      </c>
      <c r="Z7" s="19" t="n">
        <f aca="false">IFERROR(IF(INDEX(2a_PRE_TRABAJO!$V$5:$V$51,MATCH($A7,2a_PRE_TRABAJO!$A$5:$A$51,0))="","",INDEX(2a_PRE_TRABAJO!$V$5:$V$51,MATCH($A7,2a_PRE_TRABAJO!$A$5:$A$51,0))),"")</f>
        <v>2</v>
      </c>
      <c r="AA7" s="19" t="n">
        <f aca="false">IFERROR(IF(INDEX(2a_PRE_TRABAJO!$W$5:$W$51,MATCH($A7,2a_PRE_TRABAJO!$A$5:$A$51,0))="","",INDEX(2a_PRE_TRABAJO!$W$5:$W$51,MATCH($A7,2a_PRE_TRABAJO!$A$5:$A$51,0))),"")</f>
        <v>2</v>
      </c>
      <c r="AB7" s="19" t="n">
        <f aca="false">IFERROR(IF(INDEX(2a_PRE_TRABAJO!$X$5:$X$51,MATCH($A7,2a_PRE_TRABAJO!$A$5:$A$51,0))="","",INDEX(2a_PRE_TRABAJO!$X$5:$X$51,MATCH($A7,2a_PRE_TRABAJO!$A$5:$A$51,0))),"")</f>
        <v>2</v>
      </c>
      <c r="AC7" s="19" t="n">
        <f aca="false">IFERROR(IF(INDEX(2b_POST_TRABAJO!$F$5:$F$48,MATCH($A7,2b_POST_TRABAJO!$A$5:$A$48,0))="","",INDEX(2b_POST_TRABAJO!$F$5:$F$48,MATCH($A7,2b_POST_TRABAJO!$A$5:$A$48,0))),"")</f>
        <v>5</v>
      </c>
      <c r="AD7" s="19" t="n">
        <f aca="false">IFERROR(IF(INDEX(2b_POST_TRABAJO!$G$5:$G$48,MATCH($A7,2b_POST_TRABAJO!$A$5:$A$48,0))="","",INDEX(2b_POST_TRABAJO!$G$5:$G$48,MATCH($A7,2b_POST_TRABAJO!$A$5:$A$48,0))),"")</f>
        <v>2</v>
      </c>
      <c r="AE7" s="19" t="n">
        <f aca="false">IFERROR(IF(INDEX(2b_POST_TRABAJO!$H$5:$H$48,MATCH($A7,2b_POST_TRABAJO!$A$5:$A$48,0))="","",INDEX(2b_POST_TRABAJO!$H$5:$H$48,MATCH($A7,2b_POST_TRABAJO!$A$5:$A$48,0))),"")</f>
        <v>2</v>
      </c>
      <c r="AF7" s="19" t="n">
        <f aca="false">IF(IFERROR(IF(INDEX(2b_POST_TRABAJO!$I$5:$I$48,MATCH($A7,2b_POST_TRABAJO!$A$5:$A$48,0))="","",INDEX(2b_POST_TRABAJO!$I$5:$I$48,MATCH($A7,2b_POST_TRABAJO!$A$5:$A$48,0))),"")="","",IFERROR(6-IFERROR(IF(INDEX(2b_POST_TRABAJO!$I$5:$I$48,MATCH($A7,2b_POST_TRABAJO!$A$5:$A$48,0))="","",INDEX(2b_POST_TRABAJO!$I$5:$I$48,MATCH($A7,2b_POST_TRABAJO!$A$5:$A$48,0))),""),"REVISAR"))</f>
        <v>5</v>
      </c>
      <c r="AG7" s="19" t="n">
        <f aca="false">IFERROR(IF(INDEX(2b_POST_TRABAJO!$J$5:$J$48,MATCH($A7,2b_POST_TRABAJO!$A$5:$A$48,0))="","",INDEX(2b_POST_TRABAJO!$J$5:$J$48,MATCH($A7,2b_POST_TRABAJO!$A$5:$A$48,0))),"")</f>
        <v>2</v>
      </c>
      <c r="AH7" s="19" t="n">
        <f aca="false">IFERROR(IF(INDEX(2b_POST_TRABAJO!$K$5:$K$48,MATCH($A7,2b_POST_TRABAJO!$A$5:$A$48,0))="","",INDEX(2b_POST_TRABAJO!$K$5:$K$48,MATCH($A7,2b_POST_TRABAJO!$A$5:$A$48,0))),"")</f>
        <v>5</v>
      </c>
      <c r="AI7" s="19" t="n">
        <f aca="false">IFERROR(IF(INDEX(2b_POST_TRABAJO!$L$5:$L$48,MATCH($A7,2b_POST_TRABAJO!$A$5:$A$48,0))="","",INDEX(2b_POST_TRABAJO!$L$5:$L$48,MATCH($A7,2b_POST_TRABAJO!$A$5:$A$48,0))),"")</f>
        <v>3</v>
      </c>
      <c r="AJ7" s="19" t="n">
        <f aca="false">IFERROR(IF(INDEX(2b_POST_TRABAJO!$M$5:$M$48,MATCH($A7,2b_POST_TRABAJO!$A$5:$A$48,0))="","",INDEX(2b_POST_TRABAJO!$M$5:$M$48,MATCH($A7,2b_POST_TRABAJO!$A$5:$A$48,0))),"")</f>
        <v>3</v>
      </c>
      <c r="AK7" s="19" t="n">
        <f aca="false">IFERROR(IF(INDEX(2b_POST_TRABAJO!$N$5:$N$48,MATCH($A7,2b_POST_TRABAJO!$A$5:$A$48,0))="","",INDEX(2b_POST_TRABAJO!$N$5:$N$48,MATCH($A7,2b_POST_TRABAJO!$A$5:$A$48,0))),"")</f>
        <v>4</v>
      </c>
      <c r="AL7" s="19" t="n">
        <f aca="false">IFERROR(IF(INDEX(2b_POST_TRABAJO!$O$5:$O$48,MATCH($A7,2b_POST_TRABAJO!$A$5:$A$48,0))="","",INDEX(2b_POST_TRABAJO!$O$5:$O$48,MATCH($A7,2b_POST_TRABAJO!$A$5:$A$48,0))),"")</f>
        <v>3</v>
      </c>
      <c r="AM7" s="19" t="n">
        <f aca="false">IFERROR(IF(INDEX(2b_POST_TRABAJO!$P$5:$P$48,MATCH($A7,2b_POST_TRABAJO!$A$5:$A$48,0))="","",INDEX(2b_POST_TRABAJO!$P$5:$P$48,MATCH($A7,2b_POST_TRABAJO!$A$5:$A$48,0))),"")</f>
        <v>4</v>
      </c>
      <c r="AN7" s="19" t="n">
        <f aca="false">IF(IFERROR(IF(INDEX(2b_POST_TRABAJO!$Q$5:$Q$48,MATCH($A7,2b_POST_TRABAJO!$A$5:$A$48,0))="","",INDEX(2b_POST_TRABAJO!$Q$5:$Q$48,MATCH($A7,2b_POST_TRABAJO!$A$5:$A$48,0))),"")="","",IFERROR(6-IFERROR(IF(INDEX(2b_POST_TRABAJO!$Q$5:$Q$48,MATCH($A7,2b_POST_TRABAJO!$A$5:$A$48,0))="","",INDEX(2b_POST_TRABAJO!$Q$5:$Q$48,MATCH($A7,2b_POST_TRABAJO!$A$5:$A$48,0))),""),"REVISAR"))</f>
        <v>5</v>
      </c>
      <c r="AO7" s="19" t="n">
        <f aca="false">IFERROR(IF(INDEX(2b_POST_TRABAJO!$R$5:$R$48,MATCH($A7,2b_POST_TRABAJO!$A$5:$A$48,0))="","",INDEX(2b_POST_TRABAJO!$R$5:$R$48,MATCH($A7,2b_POST_TRABAJO!$A$5:$A$48,0))),"")</f>
        <v>4</v>
      </c>
      <c r="AP7" s="19" t="n">
        <f aca="false">IFERROR(IF(INDEX(2b_POST_TRABAJO!$S$5:$S$48,MATCH($A7,2b_POST_TRABAJO!$A$5:$A$48,0))="","",INDEX(2b_POST_TRABAJO!$S$5:$S$48,MATCH($A7,2b_POST_TRABAJO!$A$5:$A$48,0))),"")</f>
        <v>3</v>
      </c>
      <c r="AQ7" s="19" t="n">
        <f aca="false">IFERROR(IF(INDEX(2b_POST_TRABAJO!$T$5:$T$48,MATCH($A7,2b_POST_TRABAJO!$A$5:$A$48,0))="","",INDEX(2b_POST_TRABAJO!$T$5:$T$48,MATCH($A7,2b_POST_TRABAJO!$A$5:$A$48,0))),"")</f>
        <v>4</v>
      </c>
      <c r="AR7" s="27" t="n">
        <f aca="false">IF(COUNT(N7:R7)&lt;5,"",IFERROR(ROUND(AVERAGE(N7:R7),2),"REVISAR"))</f>
        <v>2.6</v>
      </c>
      <c r="AS7" s="27" t="n">
        <f aca="false">IF(COUNT(S7:W7)&lt;5,"",IFERROR(ROUND(AVERAGE(S7:W7),2),"REVISAR"))</f>
        <v>3.2</v>
      </c>
      <c r="AT7" s="27" t="n">
        <f aca="false">IF(COUNT(X7:AB7)&lt;5,"",IFERROR(ROUND(AVERAGE(X7:AB7),2),"REVISAR"))</f>
        <v>2.4</v>
      </c>
      <c r="AU7" s="11" t="n">
        <f aca="false">IF(COUNT(N7:AB7)&lt;15,"",IFERROR(SUM(N7:AB7),"REVISAR"))</f>
        <v>41</v>
      </c>
      <c r="AV7" s="18" t="n">
        <f aca="false">IF(AU7="","",IF(ISNUMBER(AU7),IF(AU7&lt;=35,1,IF(AU7&lt;=55,2,3)),"REVISAR"))</f>
        <v>2</v>
      </c>
      <c r="AW7" s="27" t="n">
        <f aca="false">IF(COUNT(AC7:AG7)&lt;5,"",IFERROR(ROUND(AVERAGE(AC7:AG7),2),"REVISAR"))</f>
        <v>3.2</v>
      </c>
      <c r="AX7" s="27" t="n">
        <f aca="false">IF(COUNT(AH7:AL7)&lt;5,"",IFERROR(ROUND(AVERAGE(AH7:AL7),2),"REVISAR"))</f>
        <v>3.6</v>
      </c>
      <c r="AY7" s="27" t="n">
        <f aca="false">IF(COUNT(AM7:AQ7)&lt;5,"",IFERROR(ROUND(AVERAGE(AM7:AQ7),2),"REVISAR"))</f>
        <v>4</v>
      </c>
      <c r="AZ7" s="11" t="n">
        <f aca="false">IF(COUNT(AC7:AQ7)&lt;15,"",IFERROR(SUM(AC7:AQ7),"REVISAR"))</f>
        <v>54</v>
      </c>
      <c r="BA7" s="18" t="n">
        <f aca="false">IF(AZ7="","",IF(ISNUMBER(AZ7),IF(AZ7&lt;=35,1,IF(AZ7&lt;=55,2,3)),"REVISAR"))</f>
        <v>2</v>
      </c>
      <c r="BB7" s="28" t="n">
        <f aca="false">IF(OR(J7="",K7=""),"",IFERROR(ROUND(K7-J7,1),"REVISAR"))</f>
        <v>-4.7</v>
      </c>
      <c r="BC7" s="11" t="n">
        <f aca="false">IF(OR(L7="",M7=""),"",IFERROR(M7-L7,"REVISAR"))</f>
        <v>12</v>
      </c>
      <c r="BD7" s="11" t="n">
        <f aca="false">IF(OR(AU7="",AZ7=""),"",IFERROR(AZ7-AU7,"REVISAR"))</f>
        <v>13</v>
      </c>
      <c r="BE7" s="23"/>
      <c r="BF7" s="21"/>
    </row>
    <row r="8" customFormat="false" ht="15" hidden="false" customHeight="false" outlineLevel="0" collapsed="false">
      <c r="A8" s="17" t="s">
        <v>51</v>
      </c>
      <c r="B8" s="23" t="n">
        <v>1</v>
      </c>
      <c r="C8" s="19" t="n">
        <f aca="false">IFERROR(IF(INDEX(2a_PRE_TRABAJO!$B$5:$B$51,MATCH($A8,2a_PRE_TRABAJO!$A$5:$A$51,0))="","",INDEX(2a_PRE_TRABAJO!$B$5:$B$51,MATCH($A8,2a_PRE_TRABAJO!$A$5:$A$51,0))),"")</f>
        <v>1</v>
      </c>
      <c r="D8" s="19" t="n">
        <f aca="false">IFERROR(IF(INDEX(2a_PRE_TRABAJO!$C$5:$C$51,MATCH($A8,2a_PRE_TRABAJO!$A$5:$A$51,0))="","",INDEX(2a_PRE_TRABAJO!$C$5:$C$51,MATCH($A8,2a_PRE_TRABAJO!$A$5:$A$51,0))),"")</f>
        <v>2</v>
      </c>
      <c r="E8" s="19" t="n">
        <f aca="false">IFERROR(IF(INDEX(2a_PRE_TRABAJO!$D$5:$D$51,MATCH($A8,2a_PRE_TRABAJO!$A$5:$A$51,0))="","",INDEX(2a_PRE_TRABAJO!$D$5:$D$51,MATCH($A8,2a_PRE_TRABAJO!$A$5:$A$51,0))),"")</f>
        <v>42</v>
      </c>
      <c r="F8" s="19" t="n">
        <f aca="false">IFERROR(IF(INDEX(2a_PRE_TRABAJO!$E$5:$E$51,MATCH($A8,2a_PRE_TRABAJO!$A$5:$A$51,0))="","",INDEX(2a_PRE_TRABAJO!$E$5:$E$51,MATCH($A8,2a_PRE_TRABAJO!$A$5:$A$51,0))),"")</f>
        <v>9</v>
      </c>
      <c r="G8" s="19" t="str">
        <f aca="false">IFERROR(IF(INDEX(2a_PRE_TRABAJO!$F$5:$F$51,MATCH($A8,2a_PRE_TRABAJO!$A$5:$A$51,0))="","",INDEX(2a_PRE_TRABAJO!$F$5:$F$51,MATCH($A8,2a_PRE_TRABAJO!$A$5:$A$51,0))),"")</f>
        <v>Auxiliar </v>
      </c>
      <c r="H8" s="24" t="n">
        <f aca="false">IFERROR(IF(INDEX(2a_PRE_TRABAJO!$G$5:$G$51,MATCH($A8,2a_PRE_TRABAJO!$A$5:$A$51,0))="","",INDEX(2a_PRE_TRABAJO!$G$5:$G$51,MATCH($A8,2a_PRE_TRABAJO!$A$5:$A$51,0))),"")</f>
        <v>46261</v>
      </c>
      <c r="I8" s="24" t="n">
        <f aca="false">IFERROR(IF(INDEX(2b_POST_TRABAJO!$C$5:$C$48,MATCH($A8,2b_POST_TRABAJO!$A$5:$A$48,0))="","",INDEX(2b_POST_TRABAJO!$C$5:$C$48,MATCH($A8,2b_POST_TRABAJO!$A$5:$A$48,0))),"")</f>
        <v>46279</v>
      </c>
      <c r="J8" s="25" t="n">
        <f aca="false">IFERROR(IF(INDEX(2a_PRE_TRABAJO!$H$5:$H$51,MATCH($A8,2a_PRE_TRABAJO!$A$5:$A$51,0))="","",INDEX(2a_PRE_TRABAJO!$H$5:$H$51,MATCH($A8,2a_PRE_TRABAJO!$A$5:$A$51,0))),"")</f>
        <v>11.8</v>
      </c>
      <c r="K8" s="25" t="n">
        <f aca="false">IFERROR(IF(INDEX(2b_POST_TRABAJO!$D$5:$D$48,MATCH($A8,2b_POST_TRABAJO!$A$5:$A$48,0))="","",INDEX(2b_POST_TRABAJO!$D$5:$D$48,MATCH($A8,2b_POST_TRABAJO!$A$5:$A$48,0))),"")</f>
        <v>6</v>
      </c>
      <c r="L8" s="26" t="n">
        <f aca="false">IFERROR(IF(INDEX(2a_PRE_TRABAJO!$I$5:$I$51,MATCH($A8,2a_PRE_TRABAJO!$A$5:$A$51,0))="","",INDEX(2a_PRE_TRABAJO!$I$5:$I$51,MATCH($A8,2a_PRE_TRABAJO!$A$5:$A$51,0))),"")</f>
        <v>54</v>
      </c>
      <c r="M8" s="26" t="n">
        <f aca="false">IFERROR(IF(INDEX(2b_POST_TRABAJO!$E$5:$E$48,MATCH($A8,2b_POST_TRABAJO!$A$5:$A$48,0))="","",INDEX(2b_POST_TRABAJO!$E$5:$E$48,MATCH($A8,2b_POST_TRABAJO!$A$5:$A$48,0))),"")</f>
        <v>75</v>
      </c>
      <c r="N8" s="19" t="n">
        <f aca="false">IFERROR(IF(INDEX(2a_PRE_TRABAJO!$J$5:$J$51,MATCH($A8,2a_PRE_TRABAJO!$A$5:$A$51,0))="","",INDEX(2a_PRE_TRABAJO!$J$5:$J$51,MATCH($A8,2a_PRE_TRABAJO!$A$5:$A$51,0))),"")</f>
        <v>2</v>
      </c>
      <c r="O8" s="19" t="n">
        <f aca="false">IFERROR(IF(INDEX(2a_PRE_TRABAJO!$K$5:$K$51,MATCH($A8,2a_PRE_TRABAJO!$A$5:$A$51,0))="","",INDEX(2a_PRE_TRABAJO!$K$5:$K$51,MATCH($A8,2a_PRE_TRABAJO!$A$5:$A$51,0))),"")</f>
        <v>5</v>
      </c>
      <c r="P8" s="19" t="n">
        <f aca="false">IFERROR(IF(INDEX(2a_PRE_TRABAJO!$L$5:$L$51,MATCH($A8,2a_PRE_TRABAJO!$A$5:$A$51,0))="","",INDEX(2a_PRE_TRABAJO!$L$5:$L$51,MATCH($A8,2a_PRE_TRABAJO!$A$5:$A$51,0))),"")</f>
        <v>3</v>
      </c>
      <c r="Q8" s="19" t="n">
        <f aca="false">IF(IFERROR(IF(INDEX(2a_PRE_TRABAJO!$M$5:$M$51,MATCH($A8,2a_PRE_TRABAJO!$A$5:$A$51,0))="","",INDEX(2a_PRE_TRABAJO!$M$5:$M$51,MATCH($A8,2a_PRE_TRABAJO!$A$5:$A$51,0))),"")="","",IFERROR(6-IFERROR(IF(INDEX(2a_PRE_TRABAJO!$M$5:$M$51,MATCH($A8,2a_PRE_TRABAJO!$A$5:$A$51,0))="","",INDEX(2a_PRE_TRABAJO!$M$5:$M$51,MATCH($A8,2a_PRE_TRABAJO!$A$5:$A$51,0))),""),"REVISAR"))</f>
        <v>4</v>
      </c>
      <c r="R8" s="19" t="n">
        <f aca="false">IFERROR(IF(INDEX(2a_PRE_TRABAJO!$N$5:$N$51,MATCH($A8,2a_PRE_TRABAJO!$A$5:$A$51,0))="","",INDEX(2a_PRE_TRABAJO!$N$5:$N$51,MATCH($A8,2a_PRE_TRABAJO!$A$5:$A$51,0))),"")</f>
        <v>5</v>
      </c>
      <c r="S8" s="19" t="n">
        <f aca="false">IFERROR(IF(INDEX(2a_PRE_TRABAJO!$O$5:$O$51,MATCH($A8,2a_PRE_TRABAJO!$A$5:$A$51,0))="","",INDEX(2a_PRE_TRABAJO!$O$5:$O$51,MATCH($A8,2a_PRE_TRABAJO!$A$5:$A$51,0))),"")</f>
        <v>3</v>
      </c>
      <c r="T8" s="19" t="n">
        <f aca="false">IFERROR(IF(INDEX(2a_PRE_TRABAJO!$P$5:$P$51,MATCH($A8,2a_PRE_TRABAJO!$A$5:$A$51,0))="","",INDEX(2a_PRE_TRABAJO!$P$5:$P$51,MATCH($A8,2a_PRE_TRABAJO!$A$5:$A$51,0))),"")</f>
        <v>4</v>
      </c>
      <c r="U8" s="19" t="n">
        <f aca="false">IFERROR(IF(INDEX(2a_PRE_TRABAJO!$Q$5:$Q$51,MATCH($A8,2a_PRE_TRABAJO!$A$5:$A$51,0))="","",INDEX(2a_PRE_TRABAJO!$Q$5:$Q$51,MATCH($A8,2a_PRE_TRABAJO!$A$5:$A$51,0))),"")</f>
        <v>5</v>
      </c>
      <c r="V8" s="19" t="n">
        <f aca="false">IFERROR(IF(INDEX(2a_PRE_TRABAJO!$R$5:$R$51,MATCH($A8,2a_PRE_TRABAJO!$A$5:$A$51,0))="","",INDEX(2a_PRE_TRABAJO!$R$5:$R$51,MATCH($A8,2a_PRE_TRABAJO!$A$5:$A$51,0))),"")</f>
        <v>3</v>
      </c>
      <c r="W8" s="19" t="n">
        <f aca="false">IFERROR(IF(INDEX(2a_PRE_TRABAJO!$S$5:$S$51,MATCH($A8,2a_PRE_TRABAJO!$A$5:$A$51,0))="","",INDEX(2a_PRE_TRABAJO!$S$5:$S$51,MATCH($A8,2a_PRE_TRABAJO!$A$5:$A$51,0))),"")</f>
        <v>2</v>
      </c>
      <c r="X8" s="19" t="n">
        <f aca="false">IFERROR(IF(INDEX(2a_PRE_TRABAJO!$T$5:$T$51,MATCH($A8,2a_PRE_TRABAJO!$A$5:$A$51,0))="","",INDEX(2a_PRE_TRABAJO!$T$5:$T$51,MATCH($A8,2a_PRE_TRABAJO!$A$5:$A$51,0))),"")</f>
        <v>3</v>
      </c>
      <c r="Y8" s="19" t="n">
        <f aca="false">IF(IFERROR(IF(INDEX(2a_PRE_TRABAJO!$U$5:$U$51,MATCH($A8,2a_PRE_TRABAJO!$A$5:$A$51,0))="","",INDEX(2a_PRE_TRABAJO!$U$5:$U$51,MATCH($A8,2a_PRE_TRABAJO!$A$5:$A$51,0))),"")="","",IFERROR(6-IFERROR(IF(INDEX(2a_PRE_TRABAJO!$U$5:$U$51,MATCH($A8,2a_PRE_TRABAJO!$A$5:$A$51,0))="","",INDEX(2a_PRE_TRABAJO!$U$5:$U$51,MATCH($A8,2a_PRE_TRABAJO!$A$5:$A$51,0))),""),"REVISAR"))</f>
        <v>3</v>
      </c>
      <c r="Z8" s="19" t="n">
        <f aca="false">IFERROR(IF(INDEX(2a_PRE_TRABAJO!$V$5:$V$51,MATCH($A8,2a_PRE_TRABAJO!$A$5:$A$51,0))="","",INDEX(2a_PRE_TRABAJO!$V$5:$V$51,MATCH($A8,2a_PRE_TRABAJO!$A$5:$A$51,0))),"")</f>
        <v>4</v>
      </c>
      <c r="AA8" s="19" t="n">
        <f aca="false">IFERROR(IF(INDEX(2a_PRE_TRABAJO!$W$5:$W$51,MATCH($A8,2a_PRE_TRABAJO!$A$5:$A$51,0))="","",INDEX(2a_PRE_TRABAJO!$W$5:$W$51,MATCH($A8,2a_PRE_TRABAJO!$A$5:$A$51,0))),"")</f>
        <v>4</v>
      </c>
      <c r="AB8" s="19" t="n">
        <f aca="false">IFERROR(IF(INDEX(2a_PRE_TRABAJO!$X$5:$X$51,MATCH($A8,2a_PRE_TRABAJO!$A$5:$A$51,0))="","",INDEX(2a_PRE_TRABAJO!$X$5:$X$51,MATCH($A8,2a_PRE_TRABAJO!$A$5:$A$51,0))),"")</f>
        <v>4</v>
      </c>
      <c r="AC8" s="19" t="n">
        <f aca="false">IFERROR(IF(INDEX(2b_POST_TRABAJO!$F$5:$F$48,MATCH($A8,2b_POST_TRABAJO!$A$5:$A$48,0))="","",INDEX(2b_POST_TRABAJO!$F$5:$F$48,MATCH($A8,2b_POST_TRABAJO!$A$5:$A$48,0))),"")</f>
        <v>4</v>
      </c>
      <c r="AD8" s="19" t="n">
        <f aca="false">IFERROR(IF(INDEX(2b_POST_TRABAJO!$G$5:$G$48,MATCH($A8,2b_POST_TRABAJO!$A$5:$A$48,0))="","",INDEX(2b_POST_TRABAJO!$G$5:$G$48,MATCH($A8,2b_POST_TRABAJO!$A$5:$A$48,0))),"")</f>
        <v>5</v>
      </c>
      <c r="AE8" s="19" t="n">
        <f aca="false">IFERROR(IF(INDEX(2b_POST_TRABAJO!$H$5:$H$48,MATCH($A8,2b_POST_TRABAJO!$A$5:$A$48,0))="","",INDEX(2b_POST_TRABAJO!$H$5:$H$48,MATCH($A8,2b_POST_TRABAJO!$A$5:$A$48,0))),"")</f>
        <v>4</v>
      </c>
      <c r="AF8" s="19" t="n">
        <f aca="false">IF(IFERROR(IF(INDEX(2b_POST_TRABAJO!$I$5:$I$48,MATCH($A8,2b_POST_TRABAJO!$A$5:$A$48,0))="","",INDEX(2b_POST_TRABAJO!$I$5:$I$48,MATCH($A8,2b_POST_TRABAJO!$A$5:$A$48,0))),"")="","",IFERROR(6-IFERROR(IF(INDEX(2b_POST_TRABAJO!$I$5:$I$48,MATCH($A8,2b_POST_TRABAJO!$A$5:$A$48,0))="","",INDEX(2b_POST_TRABAJO!$I$5:$I$48,MATCH($A8,2b_POST_TRABAJO!$A$5:$A$48,0))),""),"REVISAR"))</f>
        <v>3</v>
      </c>
      <c r="AG8" s="19" t="n">
        <f aca="false">IFERROR(IF(INDEX(2b_POST_TRABAJO!$J$5:$J$48,MATCH($A8,2b_POST_TRABAJO!$A$5:$A$48,0))="","",INDEX(2b_POST_TRABAJO!$J$5:$J$48,MATCH($A8,2b_POST_TRABAJO!$A$5:$A$48,0))),"")</f>
        <v>4</v>
      </c>
      <c r="AH8" s="19" t="n">
        <f aca="false">IFERROR(IF(INDEX(2b_POST_TRABAJO!$K$5:$K$48,MATCH($A8,2b_POST_TRABAJO!$A$5:$A$48,0))="","",INDEX(2b_POST_TRABAJO!$K$5:$K$48,MATCH($A8,2b_POST_TRABAJO!$A$5:$A$48,0))),"")</f>
        <v>5</v>
      </c>
      <c r="AI8" s="19" t="n">
        <f aca="false">IFERROR(IF(INDEX(2b_POST_TRABAJO!$L$5:$L$48,MATCH($A8,2b_POST_TRABAJO!$A$5:$A$48,0))="","",INDEX(2b_POST_TRABAJO!$L$5:$L$48,MATCH($A8,2b_POST_TRABAJO!$A$5:$A$48,0))),"")</f>
        <v>5</v>
      </c>
      <c r="AJ8" s="19" t="n">
        <f aca="false">IFERROR(IF(INDEX(2b_POST_TRABAJO!$M$5:$M$48,MATCH($A8,2b_POST_TRABAJO!$A$5:$A$48,0))="","",INDEX(2b_POST_TRABAJO!$M$5:$M$48,MATCH($A8,2b_POST_TRABAJO!$A$5:$A$48,0))),"")</f>
        <v>3</v>
      </c>
      <c r="AK8" s="19" t="n">
        <f aca="false">IFERROR(IF(INDEX(2b_POST_TRABAJO!$N$5:$N$48,MATCH($A8,2b_POST_TRABAJO!$A$5:$A$48,0))="","",INDEX(2b_POST_TRABAJO!$N$5:$N$48,MATCH($A8,2b_POST_TRABAJO!$A$5:$A$48,0))),"")</f>
        <v>5</v>
      </c>
      <c r="AL8" s="19" t="n">
        <f aca="false">IFERROR(IF(INDEX(2b_POST_TRABAJO!$O$5:$O$48,MATCH($A8,2b_POST_TRABAJO!$A$5:$A$48,0))="","",INDEX(2b_POST_TRABAJO!$O$5:$O$48,MATCH($A8,2b_POST_TRABAJO!$A$5:$A$48,0))),"")</f>
        <v>3</v>
      </c>
      <c r="AM8" s="19" t="n">
        <f aca="false">IFERROR(IF(INDEX(2b_POST_TRABAJO!$P$5:$P$48,MATCH($A8,2b_POST_TRABAJO!$A$5:$A$48,0))="","",INDEX(2b_POST_TRABAJO!$P$5:$P$48,MATCH($A8,2b_POST_TRABAJO!$A$5:$A$48,0))),"")</f>
        <v>4</v>
      </c>
      <c r="AN8" s="19" t="n">
        <f aca="false">IF(IFERROR(IF(INDEX(2b_POST_TRABAJO!$Q$5:$Q$48,MATCH($A8,2b_POST_TRABAJO!$A$5:$A$48,0))="","",INDEX(2b_POST_TRABAJO!$Q$5:$Q$48,MATCH($A8,2b_POST_TRABAJO!$A$5:$A$48,0))),"")="","",IFERROR(6-IFERROR(IF(INDEX(2b_POST_TRABAJO!$Q$5:$Q$48,MATCH($A8,2b_POST_TRABAJO!$A$5:$A$48,0))="","",INDEX(2b_POST_TRABAJO!$Q$5:$Q$48,MATCH($A8,2b_POST_TRABAJO!$A$5:$A$48,0))),""),"REVISAR"))</f>
        <v>4</v>
      </c>
      <c r="AO8" s="19" t="n">
        <f aca="false">IFERROR(IF(INDEX(2b_POST_TRABAJO!$R$5:$R$48,MATCH($A8,2b_POST_TRABAJO!$A$5:$A$48,0))="","",INDEX(2b_POST_TRABAJO!$R$5:$R$48,MATCH($A8,2b_POST_TRABAJO!$A$5:$A$48,0))),"")</f>
        <v>4</v>
      </c>
      <c r="AP8" s="19" t="n">
        <f aca="false">IFERROR(IF(INDEX(2b_POST_TRABAJO!$S$5:$S$48,MATCH($A8,2b_POST_TRABAJO!$A$5:$A$48,0))="","",INDEX(2b_POST_TRABAJO!$S$5:$S$48,MATCH($A8,2b_POST_TRABAJO!$A$5:$A$48,0))),"")</f>
        <v>5</v>
      </c>
      <c r="AQ8" s="19" t="n">
        <f aca="false">IFERROR(IF(INDEX(2b_POST_TRABAJO!$T$5:$T$48,MATCH($A8,2b_POST_TRABAJO!$A$5:$A$48,0))="","",INDEX(2b_POST_TRABAJO!$T$5:$T$48,MATCH($A8,2b_POST_TRABAJO!$A$5:$A$48,0))),"")</f>
        <v>5</v>
      </c>
      <c r="AR8" s="27" t="n">
        <f aca="false">IF(COUNT(N8:R8)&lt;5,"",IFERROR(ROUND(AVERAGE(N8:R8),2),"REVISAR"))</f>
        <v>3.8</v>
      </c>
      <c r="AS8" s="27" t="n">
        <f aca="false">IF(COUNT(S8:W8)&lt;5,"",IFERROR(ROUND(AVERAGE(S8:W8),2),"REVISAR"))</f>
        <v>3.4</v>
      </c>
      <c r="AT8" s="27" t="n">
        <f aca="false">IF(COUNT(X8:AB8)&lt;5,"",IFERROR(ROUND(AVERAGE(X8:AB8),2),"REVISAR"))</f>
        <v>3.6</v>
      </c>
      <c r="AU8" s="11" t="n">
        <f aca="false">IF(COUNT(N8:AB8)&lt;15,"",IFERROR(SUM(N8:AB8),"REVISAR"))</f>
        <v>54</v>
      </c>
      <c r="AV8" s="18" t="n">
        <f aca="false">IF(AU8="","",IF(ISNUMBER(AU8),IF(AU8&lt;=35,1,IF(AU8&lt;=55,2,3)),"REVISAR"))</f>
        <v>2</v>
      </c>
      <c r="AW8" s="27" t="n">
        <f aca="false">IF(COUNT(AC8:AG8)&lt;5,"",IFERROR(ROUND(AVERAGE(AC8:AG8),2),"REVISAR"))</f>
        <v>4</v>
      </c>
      <c r="AX8" s="27" t="n">
        <f aca="false">IF(COUNT(AH8:AL8)&lt;5,"",IFERROR(ROUND(AVERAGE(AH8:AL8),2),"REVISAR"))</f>
        <v>4.2</v>
      </c>
      <c r="AY8" s="27" t="n">
        <f aca="false">IF(COUNT(AM8:AQ8)&lt;5,"",IFERROR(ROUND(AVERAGE(AM8:AQ8),2),"REVISAR"))</f>
        <v>4.4</v>
      </c>
      <c r="AZ8" s="11" t="n">
        <f aca="false">IF(COUNT(AC8:AQ8)&lt;15,"",IFERROR(SUM(AC8:AQ8),"REVISAR"))</f>
        <v>63</v>
      </c>
      <c r="BA8" s="18" t="n">
        <f aca="false">IF(AZ8="","",IF(ISNUMBER(AZ8),IF(AZ8&lt;=35,1,IF(AZ8&lt;=55,2,3)),"REVISAR"))</f>
        <v>3</v>
      </c>
      <c r="BB8" s="28" t="n">
        <f aca="false">IF(OR(J8="",K8=""),"",IFERROR(ROUND(K8-J8,1),"REVISAR"))</f>
        <v>-5.8</v>
      </c>
      <c r="BC8" s="11" t="n">
        <f aca="false">IF(OR(L8="",M8=""),"",IFERROR(M8-L8,"REVISAR"))</f>
        <v>21</v>
      </c>
      <c r="BD8" s="11" t="n">
        <f aca="false">IF(OR(AU8="",AZ8=""),"",IFERROR(AZ8-AU8,"REVISAR"))</f>
        <v>9</v>
      </c>
      <c r="BE8" s="23"/>
      <c r="BF8" s="21"/>
    </row>
    <row r="9" customFormat="false" ht="15" hidden="false" customHeight="false" outlineLevel="0" collapsed="false">
      <c r="A9" s="17" t="s">
        <v>53</v>
      </c>
      <c r="B9" s="23" t="n">
        <v>1</v>
      </c>
      <c r="C9" s="19" t="n">
        <f aca="false">IFERROR(IF(INDEX(2a_PRE_TRABAJO!$B$5:$B$51,MATCH($A9,2a_PRE_TRABAJO!$A$5:$A$51,0))="","",INDEX(2a_PRE_TRABAJO!$B$5:$B$51,MATCH($A9,2a_PRE_TRABAJO!$A$5:$A$51,0))),"")</f>
        <v>1</v>
      </c>
      <c r="D9" s="19" t="n">
        <f aca="false">IFERROR(IF(INDEX(2a_PRE_TRABAJO!$C$5:$C$51,MATCH($A9,2a_PRE_TRABAJO!$A$5:$A$51,0))="","",INDEX(2a_PRE_TRABAJO!$C$5:$C$51,MATCH($A9,2a_PRE_TRABAJO!$A$5:$A$51,0))),"")</f>
        <v>1</v>
      </c>
      <c r="E9" s="19" t="n">
        <f aca="false">IFERROR(IF(INDEX(2a_PRE_TRABAJO!$D$5:$D$51,MATCH($A9,2a_PRE_TRABAJO!$A$5:$A$51,0))="","",INDEX(2a_PRE_TRABAJO!$D$5:$D$51,MATCH($A9,2a_PRE_TRABAJO!$A$5:$A$51,0))),"")</f>
        <v>28</v>
      </c>
      <c r="F9" s="19" t="n">
        <f aca="false">IFERROR(IF(INDEX(2a_PRE_TRABAJO!$E$5:$E$51,MATCH($A9,2a_PRE_TRABAJO!$A$5:$A$51,0))="","",INDEX(2a_PRE_TRABAJO!$E$5:$E$51,MATCH($A9,2a_PRE_TRABAJO!$A$5:$A$51,0))),"")</f>
        <v>7</v>
      </c>
      <c r="G9" s="19" t="str">
        <f aca="false">IFERROR(IF(INDEX(2a_PRE_TRABAJO!$F$5:$F$51,MATCH($A9,2a_PRE_TRABAJO!$A$5:$A$51,0))="","",INDEX(2a_PRE_TRABAJO!$F$5:$F$51,MATCH($A9,2a_PRE_TRABAJO!$A$5:$A$51,0))),"")</f>
        <v>Técnico</v>
      </c>
      <c r="H9" s="24" t="n">
        <f aca="false">IFERROR(IF(INDEX(2a_PRE_TRABAJO!$G$5:$G$51,MATCH($A9,2a_PRE_TRABAJO!$A$5:$A$51,0))="","",INDEX(2a_PRE_TRABAJO!$G$5:$G$51,MATCH($A9,2a_PRE_TRABAJO!$A$5:$A$51,0))),"")</f>
        <v>46262</v>
      </c>
      <c r="I9" s="24" t="n">
        <f aca="false">IFERROR(IF(INDEX(2b_POST_TRABAJO!$C$5:$C$48,MATCH($A9,2b_POST_TRABAJO!$A$5:$A$48,0))="","",INDEX(2b_POST_TRABAJO!$C$5:$C$48,MATCH($A9,2b_POST_TRABAJO!$A$5:$A$48,0))),"")</f>
        <v>46311</v>
      </c>
      <c r="J9" s="25" t="n">
        <f aca="false">IFERROR(IF(INDEX(2a_PRE_TRABAJO!$H$5:$H$51,MATCH($A9,2a_PRE_TRABAJO!$A$5:$A$51,0))="","",INDEX(2a_PRE_TRABAJO!$H$5:$H$51,MATCH($A9,2a_PRE_TRABAJO!$A$5:$A$51,0))),"")</f>
        <v>13.5</v>
      </c>
      <c r="K9" s="25" t="n">
        <f aca="false">IFERROR(IF(INDEX(2b_POST_TRABAJO!$D$5:$D$48,MATCH($A9,2b_POST_TRABAJO!$A$5:$A$48,0))="","",INDEX(2b_POST_TRABAJO!$D$5:$D$48,MATCH($A9,2b_POST_TRABAJO!$A$5:$A$48,0))),"")</f>
        <v>7.6</v>
      </c>
      <c r="L9" s="26" t="n">
        <f aca="false">IFERROR(IF(INDEX(2a_PRE_TRABAJO!$I$5:$I$51,MATCH($A9,2a_PRE_TRABAJO!$A$5:$A$51,0))="","",INDEX(2a_PRE_TRABAJO!$I$5:$I$51,MATCH($A9,2a_PRE_TRABAJO!$A$5:$A$51,0))),"")</f>
        <v>56</v>
      </c>
      <c r="M9" s="26" t="n">
        <f aca="false">IFERROR(IF(INDEX(2b_POST_TRABAJO!$E$5:$E$48,MATCH($A9,2b_POST_TRABAJO!$A$5:$A$48,0))="","",INDEX(2b_POST_TRABAJO!$E$5:$E$48,MATCH($A9,2b_POST_TRABAJO!$A$5:$A$48,0))),"")</f>
        <v>81</v>
      </c>
      <c r="N9" s="19" t="n">
        <f aca="false">IFERROR(IF(INDEX(2a_PRE_TRABAJO!$J$5:$J$51,MATCH($A9,2a_PRE_TRABAJO!$A$5:$A$51,0))="","",INDEX(2a_PRE_TRABAJO!$J$5:$J$51,MATCH($A9,2a_PRE_TRABAJO!$A$5:$A$51,0))),"")</f>
        <v>2</v>
      </c>
      <c r="O9" s="19" t="n">
        <f aca="false">IFERROR(IF(INDEX(2a_PRE_TRABAJO!$K$5:$K$51,MATCH($A9,2a_PRE_TRABAJO!$A$5:$A$51,0))="","",INDEX(2a_PRE_TRABAJO!$K$5:$K$51,MATCH($A9,2a_PRE_TRABAJO!$A$5:$A$51,0))),"")</f>
        <v>3</v>
      </c>
      <c r="P9" s="19" t="n">
        <f aca="false">IFERROR(IF(INDEX(2a_PRE_TRABAJO!$L$5:$L$51,MATCH($A9,2a_PRE_TRABAJO!$A$5:$A$51,0))="","",INDEX(2a_PRE_TRABAJO!$L$5:$L$51,MATCH($A9,2a_PRE_TRABAJO!$A$5:$A$51,0))),"")</f>
        <v>3</v>
      </c>
      <c r="Q9" s="19" t="n">
        <f aca="false">IF(IFERROR(IF(INDEX(2a_PRE_TRABAJO!$M$5:$M$51,MATCH($A9,2a_PRE_TRABAJO!$A$5:$A$51,0))="","",INDEX(2a_PRE_TRABAJO!$M$5:$M$51,MATCH($A9,2a_PRE_TRABAJO!$A$5:$A$51,0))),"")="","",IFERROR(6-IFERROR(IF(INDEX(2a_PRE_TRABAJO!$M$5:$M$51,MATCH($A9,2a_PRE_TRABAJO!$A$5:$A$51,0))="","",INDEX(2a_PRE_TRABAJO!$M$5:$M$51,MATCH($A9,2a_PRE_TRABAJO!$A$5:$A$51,0))),""),"REVISAR"))</f>
        <v>4</v>
      </c>
      <c r="R9" s="19" t="n">
        <f aca="false">IFERROR(IF(INDEX(2a_PRE_TRABAJO!$N$5:$N$51,MATCH($A9,2a_PRE_TRABAJO!$A$5:$A$51,0))="","",INDEX(2a_PRE_TRABAJO!$N$5:$N$51,MATCH($A9,2a_PRE_TRABAJO!$A$5:$A$51,0))),"")</f>
        <v>3</v>
      </c>
      <c r="S9" s="19" t="n">
        <f aca="false">IFERROR(IF(INDEX(2a_PRE_TRABAJO!$O$5:$O$51,MATCH($A9,2a_PRE_TRABAJO!$A$5:$A$51,0))="","",INDEX(2a_PRE_TRABAJO!$O$5:$O$51,MATCH($A9,2a_PRE_TRABAJO!$A$5:$A$51,0))),"")</f>
        <v>4</v>
      </c>
      <c r="T9" s="19" t="n">
        <f aca="false">IFERROR(IF(INDEX(2a_PRE_TRABAJO!$P$5:$P$51,MATCH($A9,2a_PRE_TRABAJO!$A$5:$A$51,0))="","",INDEX(2a_PRE_TRABAJO!$P$5:$P$51,MATCH($A9,2a_PRE_TRABAJO!$A$5:$A$51,0))),"")</f>
        <v>4</v>
      </c>
      <c r="U9" s="19" t="n">
        <f aca="false">IFERROR(IF(INDEX(2a_PRE_TRABAJO!$Q$5:$Q$51,MATCH($A9,2a_PRE_TRABAJO!$A$5:$A$51,0))="","",INDEX(2a_PRE_TRABAJO!$Q$5:$Q$51,MATCH($A9,2a_PRE_TRABAJO!$A$5:$A$51,0))),"")</f>
        <v>4</v>
      </c>
      <c r="V9" s="19" t="n">
        <f aca="false">IFERROR(IF(INDEX(2a_PRE_TRABAJO!$R$5:$R$51,MATCH($A9,2a_PRE_TRABAJO!$A$5:$A$51,0))="","",INDEX(2a_PRE_TRABAJO!$R$5:$R$51,MATCH($A9,2a_PRE_TRABAJO!$A$5:$A$51,0))),"")</f>
        <v>4</v>
      </c>
      <c r="W9" s="19" t="n">
        <f aca="false">IFERROR(IF(INDEX(2a_PRE_TRABAJO!$S$5:$S$51,MATCH($A9,2a_PRE_TRABAJO!$A$5:$A$51,0))="","",INDEX(2a_PRE_TRABAJO!$S$5:$S$51,MATCH($A9,2a_PRE_TRABAJO!$A$5:$A$51,0))),"")</f>
        <v>2</v>
      </c>
      <c r="X9" s="19" t="n">
        <f aca="false">IFERROR(IF(INDEX(2a_PRE_TRABAJO!$T$5:$T$51,MATCH($A9,2a_PRE_TRABAJO!$A$5:$A$51,0))="","",INDEX(2a_PRE_TRABAJO!$T$5:$T$51,MATCH($A9,2a_PRE_TRABAJO!$A$5:$A$51,0))),"")</f>
        <v>3</v>
      </c>
      <c r="Y9" s="19" t="n">
        <f aca="false">IF(IFERROR(IF(INDEX(2a_PRE_TRABAJO!$U$5:$U$51,MATCH($A9,2a_PRE_TRABAJO!$A$5:$A$51,0))="","",INDEX(2a_PRE_TRABAJO!$U$5:$U$51,MATCH($A9,2a_PRE_TRABAJO!$A$5:$A$51,0))),"")="","",IFERROR(6-IFERROR(IF(INDEX(2a_PRE_TRABAJO!$U$5:$U$51,MATCH($A9,2a_PRE_TRABAJO!$A$5:$A$51,0))="","",INDEX(2a_PRE_TRABAJO!$U$5:$U$51,MATCH($A9,2a_PRE_TRABAJO!$A$5:$A$51,0))),""),"REVISAR"))</f>
        <v>3</v>
      </c>
      <c r="Z9" s="19" t="n">
        <f aca="false">IFERROR(IF(INDEX(2a_PRE_TRABAJO!$V$5:$V$51,MATCH($A9,2a_PRE_TRABAJO!$A$5:$A$51,0))="","",INDEX(2a_PRE_TRABAJO!$V$5:$V$51,MATCH($A9,2a_PRE_TRABAJO!$A$5:$A$51,0))),"")</f>
        <v>3</v>
      </c>
      <c r="AA9" s="19" t="n">
        <f aca="false">IFERROR(IF(INDEX(2a_PRE_TRABAJO!$W$5:$W$51,MATCH($A9,2a_PRE_TRABAJO!$A$5:$A$51,0))="","",INDEX(2a_PRE_TRABAJO!$W$5:$W$51,MATCH($A9,2a_PRE_TRABAJO!$A$5:$A$51,0))),"")</f>
        <v>3</v>
      </c>
      <c r="AB9" s="19" t="n">
        <f aca="false">IFERROR(IF(INDEX(2a_PRE_TRABAJO!$X$5:$X$51,MATCH($A9,2a_PRE_TRABAJO!$A$5:$A$51,0))="","",INDEX(2a_PRE_TRABAJO!$X$5:$X$51,MATCH($A9,2a_PRE_TRABAJO!$A$5:$A$51,0))),"")</f>
        <v>3</v>
      </c>
      <c r="AC9" s="19" t="n">
        <f aca="false">IFERROR(IF(INDEX(2b_POST_TRABAJO!$F$5:$F$48,MATCH($A9,2b_POST_TRABAJO!$A$5:$A$48,0))="","",INDEX(2b_POST_TRABAJO!$F$5:$F$48,MATCH($A9,2b_POST_TRABAJO!$A$5:$A$48,0))),"")</f>
        <v>5</v>
      </c>
      <c r="AD9" s="19" t="n">
        <f aca="false">IFERROR(IF(INDEX(2b_POST_TRABAJO!$G$5:$G$48,MATCH($A9,2b_POST_TRABAJO!$A$5:$A$48,0))="","",INDEX(2b_POST_TRABAJO!$G$5:$G$48,MATCH($A9,2b_POST_TRABAJO!$A$5:$A$48,0))),"")</f>
        <v>5</v>
      </c>
      <c r="AE9" s="19" t="n">
        <f aca="false">IFERROR(IF(INDEX(2b_POST_TRABAJO!$H$5:$H$48,MATCH($A9,2b_POST_TRABAJO!$A$5:$A$48,0))="","",INDEX(2b_POST_TRABAJO!$H$5:$H$48,MATCH($A9,2b_POST_TRABAJO!$A$5:$A$48,0))),"")</f>
        <v>5</v>
      </c>
      <c r="AF9" s="19" t="n">
        <f aca="false">IF(IFERROR(IF(INDEX(2b_POST_TRABAJO!$I$5:$I$48,MATCH($A9,2b_POST_TRABAJO!$A$5:$A$48,0))="","",INDEX(2b_POST_TRABAJO!$I$5:$I$48,MATCH($A9,2b_POST_TRABAJO!$A$5:$A$48,0))),"")="","",IFERROR(6-IFERROR(IF(INDEX(2b_POST_TRABAJO!$I$5:$I$48,MATCH($A9,2b_POST_TRABAJO!$A$5:$A$48,0))="","",INDEX(2b_POST_TRABAJO!$I$5:$I$48,MATCH($A9,2b_POST_TRABAJO!$A$5:$A$48,0))),""),"REVISAR"))</f>
        <v>4</v>
      </c>
      <c r="AG9" s="19" t="n">
        <f aca="false">IFERROR(IF(INDEX(2b_POST_TRABAJO!$J$5:$J$48,MATCH($A9,2b_POST_TRABAJO!$A$5:$A$48,0))="","",INDEX(2b_POST_TRABAJO!$J$5:$J$48,MATCH($A9,2b_POST_TRABAJO!$A$5:$A$48,0))),"")</f>
        <v>5</v>
      </c>
      <c r="AH9" s="19" t="n">
        <f aca="false">IFERROR(IF(INDEX(2b_POST_TRABAJO!$K$5:$K$48,MATCH($A9,2b_POST_TRABAJO!$A$5:$A$48,0))="","",INDEX(2b_POST_TRABAJO!$K$5:$K$48,MATCH($A9,2b_POST_TRABAJO!$A$5:$A$48,0))),"")</f>
        <v>4</v>
      </c>
      <c r="AI9" s="19" t="n">
        <f aca="false">IFERROR(IF(INDEX(2b_POST_TRABAJO!$L$5:$L$48,MATCH($A9,2b_POST_TRABAJO!$A$5:$A$48,0))="","",INDEX(2b_POST_TRABAJO!$L$5:$L$48,MATCH($A9,2b_POST_TRABAJO!$A$5:$A$48,0))),"")</f>
        <v>5</v>
      </c>
      <c r="AJ9" s="19" t="n">
        <f aca="false">IFERROR(IF(INDEX(2b_POST_TRABAJO!$M$5:$M$48,MATCH($A9,2b_POST_TRABAJO!$A$5:$A$48,0))="","",INDEX(2b_POST_TRABAJO!$M$5:$M$48,MATCH($A9,2b_POST_TRABAJO!$A$5:$A$48,0))),"")</f>
        <v>5</v>
      </c>
      <c r="AK9" s="19" t="n">
        <f aca="false">IFERROR(IF(INDEX(2b_POST_TRABAJO!$N$5:$N$48,MATCH($A9,2b_POST_TRABAJO!$A$5:$A$48,0))="","",INDEX(2b_POST_TRABAJO!$N$5:$N$48,MATCH($A9,2b_POST_TRABAJO!$A$5:$A$48,0))),"")</f>
        <v>4</v>
      </c>
      <c r="AL9" s="19" t="n">
        <f aca="false">IFERROR(IF(INDEX(2b_POST_TRABAJO!$O$5:$O$48,MATCH($A9,2b_POST_TRABAJO!$A$5:$A$48,0))="","",INDEX(2b_POST_TRABAJO!$O$5:$O$48,MATCH($A9,2b_POST_TRABAJO!$A$5:$A$48,0))),"")</f>
        <v>5</v>
      </c>
      <c r="AM9" s="19" t="n">
        <f aca="false">IFERROR(IF(INDEX(2b_POST_TRABAJO!$P$5:$P$48,MATCH($A9,2b_POST_TRABAJO!$A$5:$A$48,0))="","",INDEX(2b_POST_TRABAJO!$P$5:$P$48,MATCH($A9,2b_POST_TRABAJO!$A$5:$A$48,0))),"")</f>
        <v>4</v>
      </c>
      <c r="AN9" s="19" t="n">
        <f aca="false">IF(IFERROR(IF(INDEX(2b_POST_TRABAJO!$Q$5:$Q$48,MATCH($A9,2b_POST_TRABAJO!$A$5:$A$48,0))="","",INDEX(2b_POST_TRABAJO!$Q$5:$Q$48,MATCH($A9,2b_POST_TRABAJO!$A$5:$A$48,0))),"")="","",IFERROR(6-IFERROR(IF(INDEX(2b_POST_TRABAJO!$Q$5:$Q$48,MATCH($A9,2b_POST_TRABAJO!$A$5:$A$48,0))="","",INDEX(2b_POST_TRABAJO!$Q$5:$Q$48,MATCH($A9,2b_POST_TRABAJO!$A$5:$A$48,0))),""),"REVISAR"))</f>
        <v>4</v>
      </c>
      <c r="AO9" s="19" t="n">
        <f aca="false">IFERROR(IF(INDEX(2b_POST_TRABAJO!$R$5:$R$48,MATCH($A9,2b_POST_TRABAJO!$A$5:$A$48,0))="","",INDEX(2b_POST_TRABAJO!$R$5:$R$48,MATCH($A9,2b_POST_TRABAJO!$A$5:$A$48,0))),"")</f>
        <v>4</v>
      </c>
      <c r="AP9" s="19" t="n">
        <f aca="false">IFERROR(IF(INDEX(2b_POST_TRABAJO!$S$5:$S$48,MATCH($A9,2b_POST_TRABAJO!$A$5:$A$48,0))="","",INDEX(2b_POST_TRABAJO!$S$5:$S$48,MATCH($A9,2b_POST_TRABAJO!$A$5:$A$48,0))),"")</f>
        <v>5</v>
      </c>
      <c r="AQ9" s="19" t="n">
        <f aca="false">IFERROR(IF(INDEX(2b_POST_TRABAJO!$T$5:$T$48,MATCH($A9,2b_POST_TRABAJO!$A$5:$A$48,0))="","",INDEX(2b_POST_TRABAJO!$T$5:$T$48,MATCH($A9,2b_POST_TRABAJO!$A$5:$A$48,0))),"")</f>
        <v>5</v>
      </c>
      <c r="AR9" s="27" t="n">
        <f aca="false">IF(COUNT(N9:R9)&lt;5,"",IFERROR(ROUND(AVERAGE(N9:R9),2),"REVISAR"))</f>
        <v>3</v>
      </c>
      <c r="AS9" s="27" t="n">
        <f aca="false">IF(COUNT(S9:W9)&lt;5,"",IFERROR(ROUND(AVERAGE(S9:W9),2),"REVISAR"))</f>
        <v>3.6</v>
      </c>
      <c r="AT9" s="27" t="n">
        <f aca="false">IF(COUNT(X9:AB9)&lt;5,"",IFERROR(ROUND(AVERAGE(X9:AB9),2),"REVISAR"))</f>
        <v>3</v>
      </c>
      <c r="AU9" s="11" t="n">
        <f aca="false">IF(COUNT(N9:AB9)&lt;15,"",IFERROR(SUM(N9:AB9),"REVISAR"))</f>
        <v>48</v>
      </c>
      <c r="AV9" s="18" t="n">
        <f aca="false">IF(AU9="","",IF(ISNUMBER(AU9),IF(AU9&lt;=35,1,IF(AU9&lt;=55,2,3)),"REVISAR"))</f>
        <v>2</v>
      </c>
      <c r="AW9" s="27" t="n">
        <f aca="false">IF(COUNT(AC9:AG9)&lt;5,"",IFERROR(ROUND(AVERAGE(AC9:AG9),2),"REVISAR"))</f>
        <v>4.8</v>
      </c>
      <c r="AX9" s="27" t="n">
        <f aca="false">IF(COUNT(AH9:AL9)&lt;5,"",IFERROR(ROUND(AVERAGE(AH9:AL9),2),"REVISAR"))</f>
        <v>4.6</v>
      </c>
      <c r="AY9" s="27" t="n">
        <f aca="false">IF(COUNT(AM9:AQ9)&lt;5,"",IFERROR(ROUND(AVERAGE(AM9:AQ9),2),"REVISAR"))</f>
        <v>4.4</v>
      </c>
      <c r="AZ9" s="11" t="n">
        <f aca="false">IF(COUNT(AC9:AQ9)&lt;15,"",IFERROR(SUM(AC9:AQ9),"REVISAR"))</f>
        <v>69</v>
      </c>
      <c r="BA9" s="18" t="n">
        <f aca="false">IF(AZ9="","",IF(ISNUMBER(AZ9),IF(AZ9&lt;=35,1,IF(AZ9&lt;=55,2,3)),"REVISAR"))</f>
        <v>3</v>
      </c>
      <c r="BB9" s="28" t="n">
        <f aca="false">IF(OR(J9="",K9=""),"",IFERROR(ROUND(K9-J9,1),"REVISAR"))</f>
        <v>-5.9</v>
      </c>
      <c r="BC9" s="11" t="n">
        <f aca="false">IF(OR(L9="",M9=""),"",IFERROR(M9-L9,"REVISAR"))</f>
        <v>25</v>
      </c>
      <c r="BD9" s="11" t="n">
        <f aca="false">IF(OR(AU9="",AZ9=""),"",IFERROR(AZ9-AU9,"REVISAR"))</f>
        <v>21</v>
      </c>
      <c r="BE9" s="23"/>
      <c r="BF9" s="21"/>
    </row>
    <row r="10" customFormat="false" ht="15" hidden="false" customHeight="false" outlineLevel="0" collapsed="false">
      <c r="A10" s="17" t="s">
        <v>54</v>
      </c>
      <c r="B10" s="23" t="n">
        <v>1</v>
      </c>
      <c r="C10" s="19" t="n">
        <f aca="false">IFERROR(IF(INDEX(2a_PRE_TRABAJO!$B$5:$B$51,MATCH($A10,2a_PRE_TRABAJO!$A$5:$A$51,0))="","",INDEX(2a_PRE_TRABAJO!$B$5:$B$51,MATCH($A10,2a_PRE_TRABAJO!$A$5:$A$51,0))),"")</f>
        <v>1</v>
      </c>
      <c r="D10" s="19" t="n">
        <f aca="false">IFERROR(IF(INDEX(2a_PRE_TRABAJO!$C$5:$C$51,MATCH($A10,2a_PRE_TRABAJO!$A$5:$A$51,0))="","",INDEX(2a_PRE_TRABAJO!$C$5:$C$51,MATCH($A10,2a_PRE_TRABAJO!$A$5:$A$51,0))),"")</f>
        <v>2</v>
      </c>
      <c r="E10" s="19" t="n">
        <f aca="false">IFERROR(IF(INDEX(2a_PRE_TRABAJO!$D$5:$D$51,MATCH($A10,2a_PRE_TRABAJO!$A$5:$A$51,0))="","",INDEX(2a_PRE_TRABAJO!$D$5:$D$51,MATCH($A10,2a_PRE_TRABAJO!$A$5:$A$51,0))),"")</f>
        <v>31</v>
      </c>
      <c r="F10" s="19" t="n">
        <f aca="false">IFERROR(IF(INDEX(2a_PRE_TRABAJO!$E$5:$E$51,MATCH($A10,2a_PRE_TRABAJO!$A$5:$A$51,0))="","",INDEX(2a_PRE_TRABAJO!$E$5:$E$51,MATCH($A10,2a_PRE_TRABAJO!$A$5:$A$51,0))),"")</f>
        <v>8</v>
      </c>
      <c r="G10" s="19" t="str">
        <f aca="false">IFERROR(IF(INDEX(2a_PRE_TRABAJO!$F$5:$F$51,MATCH($A10,2a_PRE_TRABAJO!$A$5:$A$51,0))="","",INDEX(2a_PRE_TRABAJO!$F$5:$F$51,MATCH($A10,2a_PRE_TRABAJO!$A$5:$A$51,0))),"")</f>
        <v>TÉCNICO</v>
      </c>
      <c r="H10" s="24" t="n">
        <f aca="false">IFERROR(IF(INDEX(2a_PRE_TRABAJO!$G$5:$G$51,MATCH($A10,2a_PRE_TRABAJO!$A$5:$A$51,0))="","",INDEX(2a_PRE_TRABAJO!$G$5:$G$51,MATCH($A10,2a_PRE_TRABAJO!$A$5:$A$51,0))),"")</f>
        <v>46258</v>
      </c>
      <c r="I10" s="24" t="n">
        <f aca="false">IFERROR(IF(INDEX(2b_POST_TRABAJO!$C$5:$C$48,MATCH($A10,2b_POST_TRABAJO!$A$5:$A$48,0))="","",INDEX(2b_POST_TRABAJO!$C$5:$C$48,MATCH($A10,2b_POST_TRABAJO!$A$5:$A$48,0))),"")</f>
        <v>46307</v>
      </c>
      <c r="J10" s="25" t="n">
        <f aca="false">IFERROR(IF(INDEX(2a_PRE_TRABAJO!$H$5:$H$51,MATCH($A10,2a_PRE_TRABAJO!$A$5:$A$51,0))="","",INDEX(2a_PRE_TRABAJO!$H$5:$H$51,MATCH($A10,2a_PRE_TRABAJO!$A$5:$A$51,0))),"")</f>
        <v>10.1</v>
      </c>
      <c r="K10" s="25" t="n">
        <f aca="false">IFERROR(IF(INDEX(2b_POST_TRABAJO!$D$5:$D$48,MATCH($A10,2b_POST_TRABAJO!$A$5:$A$48,0))="","",INDEX(2b_POST_TRABAJO!$D$5:$D$48,MATCH($A10,2b_POST_TRABAJO!$A$5:$A$48,0))),"")</f>
        <v>5.2</v>
      </c>
      <c r="L10" s="26" t="n">
        <f aca="false">IFERROR(IF(INDEX(2a_PRE_TRABAJO!$I$5:$I$51,MATCH($A10,2a_PRE_TRABAJO!$A$5:$A$51,0))="","",INDEX(2a_PRE_TRABAJO!$I$5:$I$51,MATCH($A10,2a_PRE_TRABAJO!$A$5:$A$51,0))),"")</f>
        <v>70</v>
      </c>
      <c r="M10" s="26" t="n">
        <f aca="false">IFERROR(IF(INDEX(2b_POST_TRABAJO!$E$5:$E$48,MATCH($A10,2b_POST_TRABAJO!$A$5:$A$48,0))="","",INDEX(2b_POST_TRABAJO!$E$5:$E$48,MATCH($A10,2b_POST_TRABAJO!$A$5:$A$48,0))),"")</f>
        <v>97</v>
      </c>
      <c r="N10" s="19" t="n">
        <f aca="false">IFERROR(IF(INDEX(2a_PRE_TRABAJO!$J$5:$J$51,MATCH($A10,2a_PRE_TRABAJO!$A$5:$A$51,0))="","",INDEX(2a_PRE_TRABAJO!$J$5:$J$51,MATCH($A10,2a_PRE_TRABAJO!$A$5:$A$51,0))),"")</f>
        <v>2</v>
      </c>
      <c r="O10" s="19" t="n">
        <f aca="false">IFERROR(IF(INDEX(2a_PRE_TRABAJO!$K$5:$K$51,MATCH($A10,2a_PRE_TRABAJO!$A$5:$A$51,0))="","",INDEX(2a_PRE_TRABAJO!$K$5:$K$51,MATCH($A10,2a_PRE_TRABAJO!$A$5:$A$51,0))),"")</f>
        <v>3</v>
      </c>
      <c r="P10" s="19" t="n">
        <f aca="false">IFERROR(IF(INDEX(2a_PRE_TRABAJO!$L$5:$L$51,MATCH($A10,2a_PRE_TRABAJO!$A$5:$A$51,0))="","",INDEX(2a_PRE_TRABAJO!$L$5:$L$51,MATCH($A10,2a_PRE_TRABAJO!$A$5:$A$51,0))),"")</f>
        <v>3</v>
      </c>
      <c r="Q10" s="19" t="n">
        <f aca="false">IF(IFERROR(IF(INDEX(2a_PRE_TRABAJO!$M$5:$M$51,MATCH($A10,2a_PRE_TRABAJO!$A$5:$A$51,0))="","",INDEX(2a_PRE_TRABAJO!$M$5:$M$51,MATCH($A10,2a_PRE_TRABAJO!$A$5:$A$51,0))),"")="","",IFERROR(6-IFERROR(IF(INDEX(2a_PRE_TRABAJO!$M$5:$M$51,MATCH($A10,2a_PRE_TRABAJO!$A$5:$A$51,0))="","",INDEX(2a_PRE_TRABAJO!$M$5:$M$51,MATCH($A10,2a_PRE_TRABAJO!$A$5:$A$51,0))),""),"REVISAR"))</f>
        <v>2</v>
      </c>
      <c r="R10" s="19" t="n">
        <f aca="false">IFERROR(IF(INDEX(2a_PRE_TRABAJO!$N$5:$N$51,MATCH($A10,2a_PRE_TRABAJO!$A$5:$A$51,0))="","",INDEX(2a_PRE_TRABAJO!$N$5:$N$51,MATCH($A10,2a_PRE_TRABAJO!$A$5:$A$51,0))),"")</f>
        <v>3</v>
      </c>
      <c r="S10" s="19" t="n">
        <f aca="false">IFERROR(IF(INDEX(2a_PRE_TRABAJO!$O$5:$O$51,MATCH($A10,2a_PRE_TRABAJO!$A$5:$A$51,0))="","",INDEX(2a_PRE_TRABAJO!$O$5:$O$51,MATCH($A10,2a_PRE_TRABAJO!$A$5:$A$51,0))),"")</f>
        <v>3</v>
      </c>
      <c r="T10" s="19" t="n">
        <f aca="false">IFERROR(IF(INDEX(2a_PRE_TRABAJO!$P$5:$P$51,MATCH($A10,2a_PRE_TRABAJO!$A$5:$A$51,0))="","",INDEX(2a_PRE_TRABAJO!$P$5:$P$51,MATCH($A10,2a_PRE_TRABAJO!$A$5:$A$51,0))),"")</f>
        <v>4</v>
      </c>
      <c r="U10" s="19" t="n">
        <f aca="false">IFERROR(IF(INDEX(2a_PRE_TRABAJO!$Q$5:$Q$51,MATCH($A10,2a_PRE_TRABAJO!$A$5:$A$51,0))="","",INDEX(2a_PRE_TRABAJO!$Q$5:$Q$51,MATCH($A10,2a_PRE_TRABAJO!$A$5:$A$51,0))),"")</f>
        <v>2</v>
      </c>
      <c r="V10" s="19" t="n">
        <f aca="false">IFERROR(IF(INDEX(2a_PRE_TRABAJO!$R$5:$R$51,MATCH($A10,2a_PRE_TRABAJO!$A$5:$A$51,0))="","",INDEX(2a_PRE_TRABAJO!$R$5:$R$51,MATCH($A10,2a_PRE_TRABAJO!$A$5:$A$51,0))),"")</f>
        <v>3</v>
      </c>
      <c r="W10" s="19" t="n">
        <f aca="false">IFERROR(IF(INDEX(2a_PRE_TRABAJO!$S$5:$S$51,MATCH($A10,2a_PRE_TRABAJO!$A$5:$A$51,0))="","",INDEX(2a_PRE_TRABAJO!$S$5:$S$51,MATCH($A10,2a_PRE_TRABAJO!$A$5:$A$51,0))),"")</f>
        <v>3</v>
      </c>
      <c r="X10" s="19" t="n">
        <f aca="false">IFERROR(IF(INDEX(2a_PRE_TRABAJO!$T$5:$T$51,MATCH($A10,2a_PRE_TRABAJO!$A$5:$A$51,0))="","",INDEX(2a_PRE_TRABAJO!$T$5:$T$51,MATCH($A10,2a_PRE_TRABAJO!$A$5:$A$51,0))),"")</f>
        <v>2</v>
      </c>
      <c r="Y10" s="19" t="n">
        <f aca="false">IF(IFERROR(IF(INDEX(2a_PRE_TRABAJO!$U$5:$U$51,MATCH($A10,2a_PRE_TRABAJO!$A$5:$A$51,0))="","",INDEX(2a_PRE_TRABAJO!$U$5:$U$51,MATCH($A10,2a_PRE_TRABAJO!$A$5:$A$51,0))),"")="","",IFERROR(6-IFERROR(IF(INDEX(2a_PRE_TRABAJO!$U$5:$U$51,MATCH($A10,2a_PRE_TRABAJO!$A$5:$A$51,0))="","",INDEX(2a_PRE_TRABAJO!$U$5:$U$51,MATCH($A10,2a_PRE_TRABAJO!$A$5:$A$51,0))),""),"REVISAR"))</f>
        <v>2</v>
      </c>
      <c r="Z10" s="19" t="n">
        <f aca="false">IFERROR(IF(INDEX(2a_PRE_TRABAJO!$V$5:$V$51,MATCH($A10,2a_PRE_TRABAJO!$A$5:$A$51,0))="","",INDEX(2a_PRE_TRABAJO!$V$5:$V$51,MATCH($A10,2a_PRE_TRABAJO!$A$5:$A$51,0))),"")</f>
        <v>3</v>
      </c>
      <c r="AA10" s="19" t="n">
        <f aca="false">IFERROR(IF(INDEX(2a_PRE_TRABAJO!$W$5:$W$51,MATCH($A10,2a_PRE_TRABAJO!$A$5:$A$51,0))="","",INDEX(2a_PRE_TRABAJO!$W$5:$W$51,MATCH($A10,2a_PRE_TRABAJO!$A$5:$A$51,0))),"")</f>
        <v>3</v>
      </c>
      <c r="AB10" s="19" t="n">
        <f aca="false">IFERROR(IF(INDEX(2a_PRE_TRABAJO!$X$5:$X$51,MATCH($A10,2a_PRE_TRABAJO!$A$5:$A$51,0))="","",INDEX(2a_PRE_TRABAJO!$X$5:$X$51,MATCH($A10,2a_PRE_TRABAJO!$A$5:$A$51,0))),"")</f>
        <v>4</v>
      </c>
      <c r="AC10" s="19" t="n">
        <f aca="false">IFERROR(IF(INDEX(2b_POST_TRABAJO!$F$5:$F$48,MATCH($A10,2b_POST_TRABAJO!$A$5:$A$48,0))="","",INDEX(2b_POST_TRABAJO!$F$5:$F$48,MATCH($A10,2b_POST_TRABAJO!$A$5:$A$48,0))),"")</f>
        <v>2</v>
      </c>
      <c r="AD10" s="19" t="n">
        <f aca="false">IFERROR(IF(INDEX(2b_POST_TRABAJO!$G$5:$G$48,MATCH($A10,2b_POST_TRABAJO!$A$5:$A$48,0))="","",INDEX(2b_POST_TRABAJO!$G$5:$G$48,MATCH($A10,2b_POST_TRABAJO!$A$5:$A$48,0))),"")</f>
        <v>5</v>
      </c>
      <c r="AE10" s="19" t="n">
        <f aca="false">IFERROR(IF(INDEX(2b_POST_TRABAJO!$H$5:$H$48,MATCH($A10,2b_POST_TRABAJO!$A$5:$A$48,0))="","",INDEX(2b_POST_TRABAJO!$H$5:$H$48,MATCH($A10,2b_POST_TRABAJO!$A$5:$A$48,0))),"")</f>
        <v>3</v>
      </c>
      <c r="AF10" s="19" t="n">
        <f aca="false">IF(IFERROR(IF(INDEX(2b_POST_TRABAJO!$I$5:$I$48,MATCH($A10,2b_POST_TRABAJO!$A$5:$A$48,0))="","",INDEX(2b_POST_TRABAJO!$I$5:$I$48,MATCH($A10,2b_POST_TRABAJO!$A$5:$A$48,0))),"")="","",IFERROR(6-IFERROR(IF(INDEX(2b_POST_TRABAJO!$I$5:$I$48,MATCH($A10,2b_POST_TRABAJO!$A$5:$A$48,0))="","",INDEX(2b_POST_TRABAJO!$I$5:$I$48,MATCH($A10,2b_POST_TRABAJO!$A$5:$A$48,0))),""),"REVISAR"))</f>
        <v>5</v>
      </c>
      <c r="AG10" s="19" t="n">
        <f aca="false">IFERROR(IF(INDEX(2b_POST_TRABAJO!$J$5:$J$48,MATCH($A10,2b_POST_TRABAJO!$A$5:$A$48,0))="","",INDEX(2b_POST_TRABAJO!$J$5:$J$48,MATCH($A10,2b_POST_TRABAJO!$A$5:$A$48,0))),"")</f>
        <v>4</v>
      </c>
      <c r="AH10" s="19" t="n">
        <f aca="false">IFERROR(IF(INDEX(2b_POST_TRABAJO!$K$5:$K$48,MATCH($A10,2b_POST_TRABAJO!$A$5:$A$48,0))="","",INDEX(2b_POST_TRABAJO!$K$5:$K$48,MATCH($A10,2b_POST_TRABAJO!$A$5:$A$48,0))),"")</f>
        <v>4</v>
      </c>
      <c r="AI10" s="19" t="n">
        <f aca="false">IFERROR(IF(INDEX(2b_POST_TRABAJO!$L$5:$L$48,MATCH($A10,2b_POST_TRABAJO!$A$5:$A$48,0))="","",INDEX(2b_POST_TRABAJO!$L$5:$L$48,MATCH($A10,2b_POST_TRABAJO!$A$5:$A$48,0))),"")</f>
        <v>4</v>
      </c>
      <c r="AJ10" s="19" t="n">
        <f aca="false">IFERROR(IF(INDEX(2b_POST_TRABAJO!$M$5:$M$48,MATCH($A10,2b_POST_TRABAJO!$A$5:$A$48,0))="","",INDEX(2b_POST_TRABAJO!$M$5:$M$48,MATCH($A10,2b_POST_TRABAJO!$A$5:$A$48,0))),"")</f>
        <v>2</v>
      </c>
      <c r="AK10" s="19" t="n">
        <f aca="false">IFERROR(IF(INDEX(2b_POST_TRABAJO!$N$5:$N$48,MATCH($A10,2b_POST_TRABAJO!$A$5:$A$48,0))="","",INDEX(2b_POST_TRABAJO!$N$5:$N$48,MATCH($A10,2b_POST_TRABAJO!$A$5:$A$48,0))),"")</f>
        <v>4</v>
      </c>
      <c r="AL10" s="19" t="n">
        <f aca="false">IFERROR(IF(INDEX(2b_POST_TRABAJO!$O$5:$O$48,MATCH($A10,2b_POST_TRABAJO!$A$5:$A$48,0))="","",INDEX(2b_POST_TRABAJO!$O$5:$O$48,MATCH($A10,2b_POST_TRABAJO!$A$5:$A$48,0))),"")</f>
        <v>4</v>
      </c>
      <c r="AM10" s="19" t="n">
        <f aca="false">IFERROR(IF(INDEX(2b_POST_TRABAJO!$P$5:$P$48,MATCH($A10,2b_POST_TRABAJO!$A$5:$A$48,0))="","",INDEX(2b_POST_TRABAJO!$P$5:$P$48,MATCH($A10,2b_POST_TRABAJO!$A$5:$A$48,0))),"")</f>
        <v>5</v>
      </c>
      <c r="AN10" s="19" t="n">
        <f aca="false">IF(IFERROR(IF(INDEX(2b_POST_TRABAJO!$Q$5:$Q$48,MATCH($A10,2b_POST_TRABAJO!$A$5:$A$48,0))="","",INDEX(2b_POST_TRABAJO!$Q$5:$Q$48,MATCH($A10,2b_POST_TRABAJO!$A$5:$A$48,0))),"")="","",IFERROR(6-IFERROR(IF(INDEX(2b_POST_TRABAJO!$Q$5:$Q$48,MATCH($A10,2b_POST_TRABAJO!$A$5:$A$48,0))="","",INDEX(2b_POST_TRABAJO!$Q$5:$Q$48,MATCH($A10,2b_POST_TRABAJO!$A$5:$A$48,0))),""),"REVISAR"))</f>
        <v>3</v>
      </c>
      <c r="AO10" s="19" t="n">
        <f aca="false">IFERROR(IF(INDEX(2b_POST_TRABAJO!$R$5:$R$48,MATCH($A10,2b_POST_TRABAJO!$A$5:$A$48,0))="","",INDEX(2b_POST_TRABAJO!$R$5:$R$48,MATCH($A10,2b_POST_TRABAJO!$A$5:$A$48,0))),"")</f>
        <v>3</v>
      </c>
      <c r="AP10" s="19" t="n">
        <f aca="false">IFERROR(IF(INDEX(2b_POST_TRABAJO!$S$5:$S$48,MATCH($A10,2b_POST_TRABAJO!$A$5:$A$48,0))="","",INDEX(2b_POST_TRABAJO!$S$5:$S$48,MATCH($A10,2b_POST_TRABAJO!$A$5:$A$48,0))),"")</f>
        <v>5</v>
      </c>
      <c r="AQ10" s="19" t="n">
        <f aca="false">IFERROR(IF(INDEX(2b_POST_TRABAJO!$T$5:$T$48,MATCH($A10,2b_POST_TRABAJO!$A$5:$A$48,0))="","",INDEX(2b_POST_TRABAJO!$T$5:$T$48,MATCH($A10,2b_POST_TRABAJO!$A$5:$A$48,0))),"")</f>
        <v>5</v>
      </c>
      <c r="AR10" s="27" t="n">
        <f aca="false">IF(COUNT(N10:R10)&lt;5,"",IFERROR(ROUND(AVERAGE(N10:R10),2),"REVISAR"))</f>
        <v>2.6</v>
      </c>
      <c r="AS10" s="27" t="n">
        <f aca="false">IF(COUNT(S10:W10)&lt;5,"",IFERROR(ROUND(AVERAGE(S10:W10),2),"REVISAR"))</f>
        <v>3</v>
      </c>
      <c r="AT10" s="27" t="n">
        <f aca="false">IF(COUNT(X10:AB10)&lt;5,"",IFERROR(ROUND(AVERAGE(X10:AB10),2),"REVISAR"))</f>
        <v>2.8</v>
      </c>
      <c r="AU10" s="11" t="n">
        <f aca="false">IF(COUNT(N10:AB10)&lt;15,"",IFERROR(SUM(N10:AB10),"REVISAR"))</f>
        <v>42</v>
      </c>
      <c r="AV10" s="18" t="n">
        <f aca="false">IF(AU10="","",IF(ISNUMBER(AU10),IF(AU10&lt;=35,1,IF(AU10&lt;=55,2,3)),"REVISAR"))</f>
        <v>2</v>
      </c>
      <c r="AW10" s="27" t="n">
        <f aca="false">IF(COUNT(AC10:AG10)&lt;5,"",IFERROR(ROUND(AVERAGE(AC10:AG10),2),"REVISAR"))</f>
        <v>3.8</v>
      </c>
      <c r="AX10" s="27" t="n">
        <f aca="false">IF(COUNT(AH10:AL10)&lt;5,"",IFERROR(ROUND(AVERAGE(AH10:AL10),2),"REVISAR"))</f>
        <v>3.6</v>
      </c>
      <c r="AY10" s="27" t="n">
        <f aca="false">IF(COUNT(AM10:AQ10)&lt;5,"",IFERROR(ROUND(AVERAGE(AM10:AQ10),2),"REVISAR"))</f>
        <v>4.2</v>
      </c>
      <c r="AZ10" s="11" t="n">
        <f aca="false">IF(COUNT(AC10:AQ10)&lt;15,"",IFERROR(SUM(AC10:AQ10),"REVISAR"))</f>
        <v>58</v>
      </c>
      <c r="BA10" s="18" t="n">
        <f aca="false">IF(AZ10="","",IF(ISNUMBER(AZ10),IF(AZ10&lt;=35,1,IF(AZ10&lt;=55,2,3)),"REVISAR"))</f>
        <v>3</v>
      </c>
      <c r="BB10" s="28" t="n">
        <f aca="false">IF(OR(J10="",K10=""),"",IFERROR(ROUND(K10-J10,1),"REVISAR"))</f>
        <v>-4.9</v>
      </c>
      <c r="BC10" s="11" t="n">
        <f aca="false">IF(OR(L10="",M10=""),"",IFERROR(M10-L10,"REVISAR"))</f>
        <v>27</v>
      </c>
      <c r="BD10" s="11" t="n">
        <f aca="false">IF(OR(AU10="",AZ10=""),"",IFERROR(AZ10-AU10,"REVISAR"))</f>
        <v>16</v>
      </c>
      <c r="BE10" s="23"/>
      <c r="BF10" s="21"/>
    </row>
    <row r="11" customFormat="false" ht="15" hidden="false" customHeight="false" outlineLevel="0" collapsed="false">
      <c r="A11" s="17" t="s">
        <v>56</v>
      </c>
      <c r="B11" s="23" t="n">
        <v>1</v>
      </c>
      <c r="C11" s="19" t="n">
        <f aca="false">IFERROR(IF(INDEX(2a_PRE_TRABAJO!$B$5:$B$51,MATCH($A11,2a_PRE_TRABAJO!$A$5:$A$51,0))="","",INDEX(2a_PRE_TRABAJO!$B$5:$B$51,MATCH($A11,2a_PRE_TRABAJO!$A$5:$A$51,0))),"")</f>
        <v>1</v>
      </c>
      <c r="D11" s="19" t="n">
        <f aca="false">IFERROR(IF(INDEX(2a_PRE_TRABAJO!$C$5:$C$51,MATCH($A11,2a_PRE_TRABAJO!$A$5:$A$51,0))="","",INDEX(2a_PRE_TRABAJO!$C$5:$C$51,MATCH($A11,2a_PRE_TRABAJO!$A$5:$A$51,0))),"")</f>
        <v>1</v>
      </c>
      <c r="E11" s="19" t="n">
        <f aca="false">IFERROR(IF(INDEX(2a_PRE_TRABAJO!$D$5:$D$51,MATCH($A11,2a_PRE_TRABAJO!$A$5:$A$51,0))="","",INDEX(2a_PRE_TRABAJO!$D$5:$D$51,MATCH($A11,2a_PRE_TRABAJO!$A$5:$A$51,0))),"")</f>
        <v>26</v>
      </c>
      <c r="F11" s="19" t="n">
        <f aca="false">IFERROR(IF(INDEX(2a_PRE_TRABAJO!$E$5:$E$51,MATCH($A11,2a_PRE_TRABAJO!$A$5:$A$51,0))="","",INDEX(2a_PRE_TRABAJO!$E$5:$E$51,MATCH($A11,2a_PRE_TRABAJO!$A$5:$A$51,0))),"")</f>
        <v>5</v>
      </c>
      <c r="G11" s="19" t="str">
        <f aca="false">IFERROR(IF(INDEX(2a_PRE_TRABAJO!$F$5:$F$51,MATCH($A11,2a_PRE_TRABAJO!$A$5:$A$51,0))="","",INDEX(2a_PRE_TRABAJO!$F$5:$F$51,MATCH($A11,2a_PRE_TRABAJO!$A$5:$A$51,0))),"")</f>
        <v>Profesional </v>
      </c>
      <c r="H11" s="24" t="n">
        <f aca="false">IFERROR(IF(INDEX(2a_PRE_TRABAJO!$G$5:$G$51,MATCH($A11,2a_PRE_TRABAJO!$A$5:$A$51,0))="","",INDEX(2a_PRE_TRABAJO!$G$5:$G$51,MATCH($A11,2a_PRE_TRABAJO!$A$5:$A$51,0))),"")</f>
        <v>46259</v>
      </c>
      <c r="I11" s="24" t="str">
        <f aca="false">IFERROR(IF(INDEX(2b_POST_TRABAJO!$C$5:$C$48,MATCH($A11,2b_POST_TRABAJO!$A$5:$A$48,0))="","",INDEX(2b_POST_TRABAJO!$C$5:$C$48,MATCH($A11,2b_POST_TRABAJO!$A$5:$A$48,0))),"")</f>
        <v/>
      </c>
      <c r="J11" s="25" t="n">
        <f aca="false">IFERROR(IF(INDEX(2a_PRE_TRABAJO!$H$5:$H$51,MATCH($A11,2a_PRE_TRABAJO!$A$5:$A$51,0))="","",INDEX(2a_PRE_TRABAJO!$H$5:$H$51,MATCH($A11,2a_PRE_TRABAJO!$A$5:$A$51,0))),"")</f>
        <v>12.9</v>
      </c>
      <c r="K11" s="25" t="str">
        <f aca="false">IFERROR(IF(INDEX(2b_POST_TRABAJO!$D$5:$D$48,MATCH($A11,2b_POST_TRABAJO!$A$5:$A$48,0))="","",INDEX(2b_POST_TRABAJO!$D$5:$D$48,MATCH($A11,2b_POST_TRABAJO!$A$5:$A$48,0))),"")</f>
        <v/>
      </c>
      <c r="L11" s="26" t="n">
        <f aca="false">IFERROR(IF(INDEX(2a_PRE_TRABAJO!$I$5:$I$51,MATCH($A11,2a_PRE_TRABAJO!$A$5:$A$51,0))="","",INDEX(2a_PRE_TRABAJO!$I$5:$I$51,MATCH($A11,2a_PRE_TRABAJO!$A$5:$A$51,0))),"")</f>
        <v>60</v>
      </c>
      <c r="M11" s="26" t="str">
        <f aca="false">IFERROR(IF(INDEX(2b_POST_TRABAJO!$E$5:$E$48,MATCH($A11,2b_POST_TRABAJO!$A$5:$A$48,0))="","",INDEX(2b_POST_TRABAJO!$E$5:$E$48,MATCH($A11,2b_POST_TRABAJO!$A$5:$A$48,0))),"")</f>
        <v/>
      </c>
      <c r="N11" s="19" t="n">
        <f aca="false">IFERROR(IF(INDEX(2a_PRE_TRABAJO!$J$5:$J$51,MATCH($A11,2a_PRE_TRABAJO!$A$5:$A$51,0))="","",INDEX(2a_PRE_TRABAJO!$J$5:$J$51,MATCH($A11,2a_PRE_TRABAJO!$A$5:$A$51,0))),"")</f>
        <v>3</v>
      </c>
      <c r="O11" s="19" t="n">
        <f aca="false">IFERROR(IF(INDEX(2a_PRE_TRABAJO!$K$5:$K$51,MATCH($A11,2a_PRE_TRABAJO!$A$5:$A$51,0))="","",INDEX(2a_PRE_TRABAJO!$K$5:$K$51,MATCH($A11,2a_PRE_TRABAJO!$A$5:$A$51,0))),"")</f>
        <v>4</v>
      </c>
      <c r="P11" s="19" t="n">
        <f aca="false">IFERROR(IF(INDEX(2a_PRE_TRABAJO!$L$5:$L$51,MATCH($A11,2a_PRE_TRABAJO!$A$5:$A$51,0))="","",INDEX(2a_PRE_TRABAJO!$L$5:$L$51,MATCH($A11,2a_PRE_TRABAJO!$A$5:$A$51,0))),"")</f>
        <v>3</v>
      </c>
      <c r="Q11" s="19" t="n">
        <f aca="false">IF(IFERROR(IF(INDEX(2a_PRE_TRABAJO!$M$5:$M$51,MATCH($A11,2a_PRE_TRABAJO!$A$5:$A$51,0))="","",INDEX(2a_PRE_TRABAJO!$M$5:$M$51,MATCH($A11,2a_PRE_TRABAJO!$A$5:$A$51,0))),"")="","",IFERROR(6-IFERROR(IF(INDEX(2a_PRE_TRABAJO!$M$5:$M$51,MATCH($A11,2a_PRE_TRABAJO!$A$5:$A$51,0))="","",INDEX(2a_PRE_TRABAJO!$M$5:$M$51,MATCH($A11,2a_PRE_TRABAJO!$A$5:$A$51,0))),""),"REVISAR"))</f>
        <v>1</v>
      </c>
      <c r="R11" s="19" t="n">
        <f aca="false">IFERROR(IF(INDEX(2a_PRE_TRABAJO!$N$5:$N$51,MATCH($A11,2a_PRE_TRABAJO!$A$5:$A$51,0))="","",INDEX(2a_PRE_TRABAJO!$N$5:$N$51,MATCH($A11,2a_PRE_TRABAJO!$A$5:$A$51,0))),"")</f>
        <v>1</v>
      </c>
      <c r="S11" s="19" t="n">
        <f aca="false">IFERROR(IF(INDEX(2a_PRE_TRABAJO!$O$5:$O$51,MATCH($A11,2a_PRE_TRABAJO!$A$5:$A$51,0))="","",INDEX(2a_PRE_TRABAJO!$O$5:$O$51,MATCH($A11,2a_PRE_TRABAJO!$A$5:$A$51,0))),"")</f>
        <v>4</v>
      </c>
      <c r="T11" s="19" t="n">
        <f aca="false">IFERROR(IF(INDEX(2a_PRE_TRABAJO!$P$5:$P$51,MATCH($A11,2a_PRE_TRABAJO!$A$5:$A$51,0))="","",INDEX(2a_PRE_TRABAJO!$P$5:$P$51,MATCH($A11,2a_PRE_TRABAJO!$A$5:$A$51,0))),"")</f>
        <v>2</v>
      </c>
      <c r="U11" s="19" t="n">
        <f aca="false">IFERROR(IF(INDEX(2a_PRE_TRABAJO!$Q$5:$Q$51,MATCH($A11,2a_PRE_TRABAJO!$A$5:$A$51,0))="","",INDEX(2a_PRE_TRABAJO!$Q$5:$Q$51,MATCH($A11,2a_PRE_TRABAJO!$A$5:$A$51,0))),"")</f>
        <v>4</v>
      </c>
      <c r="V11" s="19" t="n">
        <f aca="false">IFERROR(IF(INDEX(2a_PRE_TRABAJO!$R$5:$R$51,MATCH($A11,2a_PRE_TRABAJO!$A$5:$A$51,0))="","",INDEX(2a_PRE_TRABAJO!$R$5:$R$51,MATCH($A11,2a_PRE_TRABAJO!$A$5:$A$51,0))),"")</f>
        <v>3</v>
      </c>
      <c r="W11" s="19" t="n">
        <f aca="false">IFERROR(IF(INDEX(2a_PRE_TRABAJO!$S$5:$S$51,MATCH($A11,2a_PRE_TRABAJO!$A$5:$A$51,0))="","",INDEX(2a_PRE_TRABAJO!$S$5:$S$51,MATCH($A11,2a_PRE_TRABAJO!$A$5:$A$51,0))),"")</f>
        <v>3</v>
      </c>
      <c r="X11" s="19" t="n">
        <f aca="false">IFERROR(IF(INDEX(2a_PRE_TRABAJO!$T$5:$T$51,MATCH($A11,2a_PRE_TRABAJO!$A$5:$A$51,0))="","",INDEX(2a_PRE_TRABAJO!$T$5:$T$51,MATCH($A11,2a_PRE_TRABAJO!$A$5:$A$51,0))),"")</f>
        <v>4</v>
      </c>
      <c r="Y11" s="19" t="n">
        <f aca="false">IF(IFERROR(IF(INDEX(2a_PRE_TRABAJO!$U$5:$U$51,MATCH($A11,2a_PRE_TRABAJO!$A$5:$A$51,0))="","",INDEX(2a_PRE_TRABAJO!$U$5:$U$51,MATCH($A11,2a_PRE_TRABAJO!$A$5:$A$51,0))),"")="","",IFERROR(6-IFERROR(IF(INDEX(2a_PRE_TRABAJO!$U$5:$U$51,MATCH($A11,2a_PRE_TRABAJO!$A$5:$A$51,0))="","",INDEX(2a_PRE_TRABAJO!$U$5:$U$51,MATCH($A11,2a_PRE_TRABAJO!$A$5:$A$51,0))),""),"REVISAR"))</f>
        <v>2</v>
      </c>
      <c r="Z11" s="19" t="n">
        <f aca="false">IFERROR(IF(INDEX(2a_PRE_TRABAJO!$V$5:$V$51,MATCH($A11,2a_PRE_TRABAJO!$A$5:$A$51,0))="","",INDEX(2a_PRE_TRABAJO!$V$5:$V$51,MATCH($A11,2a_PRE_TRABAJO!$A$5:$A$51,0))),"")</f>
        <v>1</v>
      </c>
      <c r="AA11" s="19" t="n">
        <f aca="false">IFERROR(IF(INDEX(2a_PRE_TRABAJO!$W$5:$W$51,MATCH($A11,2a_PRE_TRABAJO!$A$5:$A$51,0))="","",INDEX(2a_PRE_TRABAJO!$W$5:$W$51,MATCH($A11,2a_PRE_TRABAJO!$A$5:$A$51,0))),"")</f>
        <v>2</v>
      </c>
      <c r="AB11" s="19" t="n">
        <f aca="false">IFERROR(IF(INDEX(2a_PRE_TRABAJO!$X$5:$X$51,MATCH($A11,2a_PRE_TRABAJO!$A$5:$A$51,0))="","",INDEX(2a_PRE_TRABAJO!$X$5:$X$51,MATCH($A11,2a_PRE_TRABAJO!$A$5:$A$51,0))),"")</f>
        <v>4</v>
      </c>
      <c r="AC11" s="19" t="str">
        <f aca="false">IFERROR(IF(INDEX(2b_POST_TRABAJO!$F$5:$F$48,MATCH($A11,2b_POST_TRABAJO!$A$5:$A$48,0))="","",INDEX(2b_POST_TRABAJO!$F$5:$F$48,MATCH($A11,2b_POST_TRABAJO!$A$5:$A$48,0))),"")</f>
        <v/>
      </c>
      <c r="AD11" s="19" t="str">
        <f aca="false">IFERROR(IF(INDEX(2b_POST_TRABAJO!$G$5:$G$48,MATCH($A11,2b_POST_TRABAJO!$A$5:$A$48,0))="","",INDEX(2b_POST_TRABAJO!$G$5:$G$48,MATCH($A11,2b_POST_TRABAJO!$A$5:$A$48,0))),"")</f>
        <v/>
      </c>
      <c r="AE11" s="19" t="str">
        <f aca="false">IFERROR(IF(INDEX(2b_POST_TRABAJO!$H$5:$H$48,MATCH($A11,2b_POST_TRABAJO!$A$5:$A$48,0))="","",INDEX(2b_POST_TRABAJO!$H$5:$H$48,MATCH($A11,2b_POST_TRABAJO!$A$5:$A$48,0))),"")</f>
        <v/>
      </c>
      <c r="AF11" s="19" t="str">
        <f aca="false">IF(IFERROR(IF(INDEX(2b_POST_TRABAJO!$I$5:$I$48,MATCH($A11,2b_POST_TRABAJO!$A$5:$A$48,0))="","",INDEX(2b_POST_TRABAJO!$I$5:$I$48,MATCH($A11,2b_POST_TRABAJO!$A$5:$A$48,0))),"")="","",IFERROR(6-IFERROR(IF(INDEX(2b_POST_TRABAJO!$I$5:$I$48,MATCH($A11,2b_POST_TRABAJO!$A$5:$A$48,0))="","",INDEX(2b_POST_TRABAJO!$I$5:$I$48,MATCH($A11,2b_POST_TRABAJO!$A$5:$A$48,0))),""),"REVISAR"))</f>
        <v/>
      </c>
      <c r="AG11" s="19" t="str">
        <f aca="false">IFERROR(IF(INDEX(2b_POST_TRABAJO!$J$5:$J$48,MATCH($A11,2b_POST_TRABAJO!$A$5:$A$48,0))="","",INDEX(2b_POST_TRABAJO!$J$5:$J$48,MATCH($A11,2b_POST_TRABAJO!$A$5:$A$48,0))),"")</f>
        <v/>
      </c>
      <c r="AH11" s="19" t="str">
        <f aca="false">IFERROR(IF(INDEX(2b_POST_TRABAJO!$K$5:$K$48,MATCH($A11,2b_POST_TRABAJO!$A$5:$A$48,0))="","",INDEX(2b_POST_TRABAJO!$K$5:$K$48,MATCH($A11,2b_POST_TRABAJO!$A$5:$A$48,0))),"")</f>
        <v/>
      </c>
      <c r="AI11" s="19" t="str">
        <f aca="false">IFERROR(IF(INDEX(2b_POST_TRABAJO!$L$5:$L$48,MATCH($A11,2b_POST_TRABAJO!$A$5:$A$48,0))="","",INDEX(2b_POST_TRABAJO!$L$5:$L$48,MATCH($A11,2b_POST_TRABAJO!$A$5:$A$48,0))),"")</f>
        <v/>
      </c>
      <c r="AJ11" s="19" t="str">
        <f aca="false">IFERROR(IF(INDEX(2b_POST_TRABAJO!$M$5:$M$48,MATCH($A11,2b_POST_TRABAJO!$A$5:$A$48,0))="","",INDEX(2b_POST_TRABAJO!$M$5:$M$48,MATCH($A11,2b_POST_TRABAJO!$A$5:$A$48,0))),"")</f>
        <v/>
      </c>
      <c r="AK11" s="19" t="str">
        <f aca="false">IFERROR(IF(INDEX(2b_POST_TRABAJO!$N$5:$N$48,MATCH($A11,2b_POST_TRABAJO!$A$5:$A$48,0))="","",INDEX(2b_POST_TRABAJO!$N$5:$N$48,MATCH($A11,2b_POST_TRABAJO!$A$5:$A$48,0))),"")</f>
        <v/>
      </c>
      <c r="AL11" s="19" t="str">
        <f aca="false">IFERROR(IF(INDEX(2b_POST_TRABAJO!$O$5:$O$48,MATCH($A11,2b_POST_TRABAJO!$A$5:$A$48,0))="","",INDEX(2b_POST_TRABAJO!$O$5:$O$48,MATCH($A11,2b_POST_TRABAJO!$A$5:$A$48,0))),"")</f>
        <v/>
      </c>
      <c r="AM11" s="19" t="str">
        <f aca="false">IFERROR(IF(INDEX(2b_POST_TRABAJO!$P$5:$P$48,MATCH($A11,2b_POST_TRABAJO!$A$5:$A$48,0))="","",INDEX(2b_POST_TRABAJO!$P$5:$P$48,MATCH($A11,2b_POST_TRABAJO!$A$5:$A$48,0))),"")</f>
        <v/>
      </c>
      <c r="AN11" s="19" t="str">
        <f aca="false">IF(IFERROR(IF(INDEX(2b_POST_TRABAJO!$Q$5:$Q$48,MATCH($A11,2b_POST_TRABAJO!$A$5:$A$48,0))="","",INDEX(2b_POST_TRABAJO!$Q$5:$Q$48,MATCH($A11,2b_POST_TRABAJO!$A$5:$A$48,0))),"")="","",IFERROR(6-IFERROR(IF(INDEX(2b_POST_TRABAJO!$Q$5:$Q$48,MATCH($A11,2b_POST_TRABAJO!$A$5:$A$48,0))="","",INDEX(2b_POST_TRABAJO!$Q$5:$Q$48,MATCH($A11,2b_POST_TRABAJO!$A$5:$A$48,0))),""),"REVISAR"))</f>
        <v/>
      </c>
      <c r="AO11" s="19" t="str">
        <f aca="false">IFERROR(IF(INDEX(2b_POST_TRABAJO!$R$5:$R$48,MATCH($A11,2b_POST_TRABAJO!$A$5:$A$48,0))="","",INDEX(2b_POST_TRABAJO!$R$5:$R$48,MATCH($A11,2b_POST_TRABAJO!$A$5:$A$48,0))),"")</f>
        <v/>
      </c>
      <c r="AP11" s="19" t="str">
        <f aca="false">IFERROR(IF(INDEX(2b_POST_TRABAJO!$S$5:$S$48,MATCH($A11,2b_POST_TRABAJO!$A$5:$A$48,0))="","",INDEX(2b_POST_TRABAJO!$S$5:$S$48,MATCH($A11,2b_POST_TRABAJO!$A$5:$A$48,0))),"")</f>
        <v/>
      </c>
      <c r="AQ11" s="19" t="str">
        <f aca="false">IFERROR(IF(INDEX(2b_POST_TRABAJO!$T$5:$T$48,MATCH($A11,2b_POST_TRABAJO!$A$5:$A$48,0))="","",INDEX(2b_POST_TRABAJO!$T$5:$T$48,MATCH($A11,2b_POST_TRABAJO!$A$5:$A$48,0))),"")</f>
        <v/>
      </c>
      <c r="AR11" s="27" t="n">
        <f aca="false">IF(COUNT(N11:R11)&lt;5,"",IFERROR(ROUND(AVERAGE(N11:R11),2),"REVISAR"))</f>
        <v>2.4</v>
      </c>
      <c r="AS11" s="27" t="n">
        <f aca="false">IF(COUNT(S11:W11)&lt;5,"",IFERROR(ROUND(AVERAGE(S11:W11),2),"REVISAR"))</f>
        <v>3.2</v>
      </c>
      <c r="AT11" s="27" t="n">
        <f aca="false">IF(COUNT(X11:AB11)&lt;5,"",IFERROR(ROUND(AVERAGE(X11:AB11),2),"REVISAR"))</f>
        <v>2.6</v>
      </c>
      <c r="AU11" s="11" t="n">
        <f aca="false">IF(COUNT(N11:AB11)&lt;15,"",IFERROR(SUM(N11:AB11),"REVISAR"))</f>
        <v>41</v>
      </c>
      <c r="AV11" s="18" t="n">
        <f aca="false">IF(AU11="","",IF(ISNUMBER(AU11),IF(AU11&lt;=35,1,IF(AU11&lt;=55,2,3)),"REVISAR"))</f>
        <v>2</v>
      </c>
      <c r="AW11" s="27" t="str">
        <f aca="false">IF(COUNT(AC11:AG11)&lt;5,"",IFERROR(ROUND(AVERAGE(AC11:AG11),2),"REVISAR"))</f>
        <v/>
      </c>
      <c r="AX11" s="27" t="str">
        <f aca="false">IF(COUNT(AH11:AL11)&lt;5,"",IFERROR(ROUND(AVERAGE(AH11:AL11),2),"REVISAR"))</f>
        <v/>
      </c>
      <c r="AY11" s="27" t="str">
        <f aca="false">IF(COUNT(AM11:AQ11)&lt;5,"",IFERROR(ROUND(AVERAGE(AM11:AQ11),2),"REVISAR"))</f>
        <v/>
      </c>
      <c r="AZ11" s="11" t="str">
        <f aca="false">IF(COUNT(AC11:AQ11)&lt;15,"",IFERROR(SUM(AC11:AQ11),"REVISAR"))</f>
        <v/>
      </c>
      <c r="BA11" s="18" t="str">
        <f aca="false">IF(AZ11="","",IF(ISNUMBER(AZ11),IF(AZ11&lt;=35,1,IF(AZ11&lt;=55,2,3)),"REVISAR"))</f>
        <v/>
      </c>
      <c r="BB11" s="28" t="str">
        <f aca="false">IF(OR(J11="",K11=""),"",IFERROR(ROUND(K11-J11,1),"REVISAR"))</f>
        <v/>
      </c>
      <c r="BC11" s="11" t="str">
        <f aca="false">IF(OR(L11="",M11=""),"",IFERROR(M11-L11,"REVISAR"))</f>
        <v/>
      </c>
      <c r="BD11" s="11" t="str">
        <f aca="false">IF(OR(AU11="",AZ11=""),"",IFERROR(AZ11-AU11,"REVISAR"))</f>
        <v/>
      </c>
      <c r="BE11" s="23"/>
      <c r="BF11" s="21"/>
    </row>
    <row r="12" customFormat="false" ht="15" hidden="false" customHeight="false" outlineLevel="0" collapsed="false">
      <c r="A12" s="17" t="s">
        <v>58</v>
      </c>
      <c r="B12" s="23" t="n">
        <v>1</v>
      </c>
      <c r="C12" s="19" t="n">
        <f aca="false">IFERROR(IF(INDEX(2a_PRE_TRABAJO!$B$5:$B$51,MATCH($A12,2a_PRE_TRABAJO!$A$5:$A$51,0))="","",INDEX(2a_PRE_TRABAJO!$B$5:$B$51,MATCH($A12,2a_PRE_TRABAJO!$A$5:$A$51,0))),"")</f>
        <v>1</v>
      </c>
      <c r="D12" s="19" t="n">
        <f aca="false">IFERROR(IF(INDEX(2a_PRE_TRABAJO!$C$5:$C$51,MATCH($A12,2a_PRE_TRABAJO!$A$5:$A$51,0))="","",INDEX(2a_PRE_TRABAJO!$C$5:$C$51,MATCH($A12,2a_PRE_TRABAJO!$A$5:$A$51,0))),"")</f>
        <v>1</v>
      </c>
      <c r="E12" s="19" t="n">
        <f aca="false">IFERROR(IF(INDEX(2a_PRE_TRABAJO!$D$5:$D$51,MATCH($A12,2a_PRE_TRABAJO!$A$5:$A$51,0))="","",INDEX(2a_PRE_TRABAJO!$D$5:$D$51,MATCH($A12,2a_PRE_TRABAJO!$A$5:$A$51,0))),"")</f>
        <v>43</v>
      </c>
      <c r="F12" s="19" t="n">
        <f aca="false">IFERROR(IF(INDEX(2a_PRE_TRABAJO!$E$5:$E$51,MATCH($A12,2a_PRE_TRABAJO!$A$5:$A$51,0))="","",INDEX(2a_PRE_TRABAJO!$E$5:$E$51,MATCH($A12,2a_PRE_TRABAJO!$A$5:$A$51,0))),"")</f>
        <v>8</v>
      </c>
      <c r="G12" s="19" t="str">
        <f aca="false">IFERROR(IF(INDEX(2a_PRE_TRABAJO!$F$5:$F$51,MATCH($A12,2a_PRE_TRABAJO!$A$5:$A$51,0))="","",INDEX(2a_PRE_TRABAJO!$F$5:$F$51,MATCH($A12,2a_PRE_TRABAJO!$A$5:$A$51,0))),"")</f>
        <v>TÉCNICO</v>
      </c>
      <c r="H12" s="24" t="n">
        <f aca="false">IFERROR(IF(INDEX(2a_PRE_TRABAJO!$G$5:$G$51,MATCH($A12,2a_PRE_TRABAJO!$A$5:$A$51,0))="","",INDEX(2a_PRE_TRABAJO!$G$5:$G$51,MATCH($A12,2a_PRE_TRABAJO!$A$5:$A$51,0))),"")</f>
        <v>46260</v>
      </c>
      <c r="I12" s="24" t="n">
        <f aca="false">IFERROR(IF(INDEX(2b_POST_TRABAJO!$C$5:$C$48,MATCH($A12,2b_POST_TRABAJO!$A$5:$A$48,0))="","",INDEX(2b_POST_TRABAJO!$C$5:$C$48,MATCH($A12,2b_POST_TRABAJO!$A$5:$A$48,0))),"")</f>
        <v>46309</v>
      </c>
      <c r="J12" s="25" t="n">
        <f aca="false">IFERROR(IF(INDEX(2a_PRE_TRABAJO!$H$5:$H$51,MATCH($A12,2a_PRE_TRABAJO!$A$5:$A$51,0))="","",INDEX(2a_PRE_TRABAJO!$H$5:$H$51,MATCH($A12,2a_PRE_TRABAJO!$A$5:$A$51,0))),"")</f>
        <v>10.6</v>
      </c>
      <c r="K12" s="25" t="n">
        <f aca="false">IFERROR(IF(INDEX(2b_POST_TRABAJO!$D$5:$D$48,MATCH($A12,2b_POST_TRABAJO!$A$5:$A$48,0))="","",INDEX(2b_POST_TRABAJO!$D$5:$D$48,MATCH($A12,2b_POST_TRABAJO!$A$5:$A$48,0))),"")</f>
        <v>5.2</v>
      </c>
      <c r="L12" s="26" t="n">
        <f aca="false">IFERROR(IF(INDEX(2a_PRE_TRABAJO!$I$5:$I$51,MATCH($A12,2a_PRE_TRABAJO!$A$5:$A$51,0))="","",INDEX(2a_PRE_TRABAJO!$I$5:$I$51,MATCH($A12,2a_PRE_TRABAJO!$A$5:$A$51,0))),"")</f>
        <v>59</v>
      </c>
      <c r="M12" s="26" t="n">
        <f aca="false">IFERROR(IF(INDEX(2b_POST_TRABAJO!$E$5:$E$48,MATCH($A12,2b_POST_TRABAJO!$A$5:$A$48,0))="","",INDEX(2b_POST_TRABAJO!$E$5:$E$48,MATCH($A12,2b_POST_TRABAJO!$A$5:$A$48,0))),"")</f>
        <v>81</v>
      </c>
      <c r="N12" s="19" t="n">
        <f aca="false">IFERROR(IF(INDEX(2a_PRE_TRABAJO!$J$5:$J$51,MATCH($A12,2a_PRE_TRABAJO!$A$5:$A$51,0))="","",INDEX(2a_PRE_TRABAJO!$J$5:$J$51,MATCH($A12,2a_PRE_TRABAJO!$A$5:$A$51,0))),"")</f>
        <v>3</v>
      </c>
      <c r="O12" s="19" t="n">
        <f aca="false">IFERROR(IF(INDEX(2a_PRE_TRABAJO!$K$5:$K$51,MATCH($A12,2a_PRE_TRABAJO!$A$5:$A$51,0))="","",INDEX(2a_PRE_TRABAJO!$K$5:$K$51,MATCH($A12,2a_PRE_TRABAJO!$A$5:$A$51,0))),"")</f>
        <v>2</v>
      </c>
      <c r="P12" s="19" t="n">
        <f aca="false">IFERROR(IF(INDEX(2a_PRE_TRABAJO!$L$5:$L$51,MATCH($A12,2a_PRE_TRABAJO!$A$5:$A$51,0))="","",INDEX(2a_PRE_TRABAJO!$L$5:$L$51,MATCH($A12,2a_PRE_TRABAJO!$A$5:$A$51,0))),"")</f>
        <v>2</v>
      </c>
      <c r="Q12" s="19" t="n">
        <f aca="false">IF(IFERROR(IF(INDEX(2a_PRE_TRABAJO!$M$5:$M$51,MATCH($A12,2a_PRE_TRABAJO!$A$5:$A$51,0))="","",INDEX(2a_PRE_TRABAJO!$M$5:$M$51,MATCH($A12,2a_PRE_TRABAJO!$A$5:$A$51,0))),"")="","",IFERROR(6-IFERROR(IF(INDEX(2a_PRE_TRABAJO!$M$5:$M$51,MATCH($A12,2a_PRE_TRABAJO!$A$5:$A$51,0))="","",INDEX(2a_PRE_TRABAJO!$M$5:$M$51,MATCH($A12,2a_PRE_TRABAJO!$A$5:$A$51,0))),""),"REVISAR"))</f>
        <v>3</v>
      </c>
      <c r="R12" s="19" t="n">
        <f aca="false">IFERROR(IF(INDEX(2a_PRE_TRABAJO!$N$5:$N$51,MATCH($A12,2a_PRE_TRABAJO!$A$5:$A$51,0))="","",INDEX(2a_PRE_TRABAJO!$N$5:$N$51,MATCH($A12,2a_PRE_TRABAJO!$A$5:$A$51,0))),"")</f>
        <v>3</v>
      </c>
      <c r="S12" s="19" t="n">
        <f aca="false">IFERROR(IF(INDEX(2a_PRE_TRABAJO!$O$5:$O$51,MATCH($A12,2a_PRE_TRABAJO!$A$5:$A$51,0))="","",INDEX(2a_PRE_TRABAJO!$O$5:$O$51,MATCH($A12,2a_PRE_TRABAJO!$A$5:$A$51,0))),"")</f>
        <v>5</v>
      </c>
      <c r="T12" s="19" t="n">
        <f aca="false">IFERROR(IF(INDEX(2a_PRE_TRABAJO!$P$5:$P$51,MATCH($A12,2a_PRE_TRABAJO!$A$5:$A$51,0))="","",INDEX(2a_PRE_TRABAJO!$P$5:$P$51,MATCH($A12,2a_PRE_TRABAJO!$A$5:$A$51,0))),"")</f>
        <v>3</v>
      </c>
      <c r="U12" s="19" t="n">
        <f aca="false">IFERROR(IF(INDEX(2a_PRE_TRABAJO!$Q$5:$Q$51,MATCH($A12,2a_PRE_TRABAJO!$A$5:$A$51,0))="","",INDEX(2a_PRE_TRABAJO!$Q$5:$Q$51,MATCH($A12,2a_PRE_TRABAJO!$A$5:$A$51,0))),"")</f>
        <v>2</v>
      </c>
      <c r="V12" s="19" t="n">
        <f aca="false">IFERROR(IF(INDEX(2a_PRE_TRABAJO!$R$5:$R$51,MATCH($A12,2a_PRE_TRABAJO!$A$5:$A$51,0))="","",INDEX(2a_PRE_TRABAJO!$R$5:$R$51,MATCH($A12,2a_PRE_TRABAJO!$A$5:$A$51,0))),"")</f>
        <v>3</v>
      </c>
      <c r="W12" s="19" t="n">
        <f aca="false">IFERROR(IF(INDEX(2a_PRE_TRABAJO!$S$5:$S$51,MATCH($A12,2a_PRE_TRABAJO!$A$5:$A$51,0))="","",INDEX(2a_PRE_TRABAJO!$S$5:$S$51,MATCH($A12,2a_PRE_TRABAJO!$A$5:$A$51,0))),"")</f>
        <v>2</v>
      </c>
      <c r="X12" s="19" t="n">
        <f aca="false">IFERROR(IF(INDEX(2a_PRE_TRABAJO!$T$5:$T$51,MATCH($A12,2a_PRE_TRABAJO!$A$5:$A$51,0))="","",INDEX(2a_PRE_TRABAJO!$T$5:$T$51,MATCH($A12,2a_PRE_TRABAJO!$A$5:$A$51,0))),"")</f>
        <v>1</v>
      </c>
      <c r="Y12" s="19" t="n">
        <f aca="false">IF(IFERROR(IF(INDEX(2a_PRE_TRABAJO!$U$5:$U$51,MATCH($A12,2a_PRE_TRABAJO!$A$5:$A$51,0))="","",INDEX(2a_PRE_TRABAJO!$U$5:$U$51,MATCH($A12,2a_PRE_TRABAJO!$A$5:$A$51,0))),"")="","",IFERROR(6-IFERROR(IF(INDEX(2a_PRE_TRABAJO!$U$5:$U$51,MATCH($A12,2a_PRE_TRABAJO!$A$5:$A$51,0))="","",INDEX(2a_PRE_TRABAJO!$U$5:$U$51,MATCH($A12,2a_PRE_TRABAJO!$A$5:$A$51,0))),""),"REVISAR"))</f>
        <v>2</v>
      </c>
      <c r="Z12" s="19" t="n">
        <f aca="false">IFERROR(IF(INDEX(2a_PRE_TRABAJO!$V$5:$V$51,MATCH($A12,2a_PRE_TRABAJO!$A$5:$A$51,0))="","",INDEX(2a_PRE_TRABAJO!$V$5:$V$51,MATCH($A12,2a_PRE_TRABAJO!$A$5:$A$51,0))),"")</f>
        <v>3</v>
      </c>
      <c r="AA12" s="19" t="n">
        <f aca="false">IFERROR(IF(INDEX(2a_PRE_TRABAJO!$W$5:$W$51,MATCH($A12,2a_PRE_TRABAJO!$A$5:$A$51,0))="","",INDEX(2a_PRE_TRABAJO!$W$5:$W$51,MATCH($A12,2a_PRE_TRABAJO!$A$5:$A$51,0))),"")</f>
        <v>3</v>
      </c>
      <c r="AB12" s="19" t="n">
        <f aca="false">IFERROR(IF(INDEX(2a_PRE_TRABAJO!$X$5:$X$51,MATCH($A12,2a_PRE_TRABAJO!$A$5:$A$51,0))="","",INDEX(2a_PRE_TRABAJO!$X$5:$X$51,MATCH($A12,2a_PRE_TRABAJO!$A$5:$A$51,0))),"")</f>
        <v>2</v>
      </c>
      <c r="AC12" s="19" t="n">
        <f aca="false">IFERROR(IF(INDEX(2b_POST_TRABAJO!$F$5:$F$48,MATCH($A12,2b_POST_TRABAJO!$A$5:$A$48,0))="","",INDEX(2b_POST_TRABAJO!$F$5:$F$48,MATCH($A12,2b_POST_TRABAJO!$A$5:$A$48,0))),"")</f>
        <v>5</v>
      </c>
      <c r="AD12" s="19" t="n">
        <f aca="false">IFERROR(IF(INDEX(2b_POST_TRABAJO!$G$5:$G$48,MATCH($A12,2b_POST_TRABAJO!$A$5:$A$48,0))="","",INDEX(2b_POST_TRABAJO!$G$5:$G$48,MATCH($A12,2b_POST_TRABAJO!$A$5:$A$48,0))),"")</f>
        <v>5</v>
      </c>
      <c r="AE12" s="19" t="n">
        <f aca="false">IFERROR(IF(INDEX(2b_POST_TRABAJO!$H$5:$H$48,MATCH($A12,2b_POST_TRABAJO!$A$5:$A$48,0))="","",INDEX(2b_POST_TRABAJO!$H$5:$H$48,MATCH($A12,2b_POST_TRABAJO!$A$5:$A$48,0))),"")</f>
        <v>4</v>
      </c>
      <c r="AF12" s="19" t="n">
        <f aca="false">IF(IFERROR(IF(INDEX(2b_POST_TRABAJO!$I$5:$I$48,MATCH($A12,2b_POST_TRABAJO!$A$5:$A$48,0))="","",INDEX(2b_POST_TRABAJO!$I$5:$I$48,MATCH($A12,2b_POST_TRABAJO!$A$5:$A$48,0))),"")="","",IFERROR(6-IFERROR(IF(INDEX(2b_POST_TRABAJO!$I$5:$I$48,MATCH($A12,2b_POST_TRABAJO!$A$5:$A$48,0))="","",INDEX(2b_POST_TRABAJO!$I$5:$I$48,MATCH($A12,2b_POST_TRABAJO!$A$5:$A$48,0))),""),"REVISAR"))</f>
        <v>5</v>
      </c>
      <c r="AG12" s="19" t="n">
        <f aca="false">IFERROR(IF(INDEX(2b_POST_TRABAJO!$J$5:$J$48,MATCH($A12,2b_POST_TRABAJO!$A$5:$A$48,0))="","",INDEX(2b_POST_TRABAJO!$J$5:$J$48,MATCH($A12,2b_POST_TRABAJO!$A$5:$A$48,0))),"")</f>
        <v>4</v>
      </c>
      <c r="AH12" s="19" t="n">
        <f aca="false">IFERROR(IF(INDEX(2b_POST_TRABAJO!$K$5:$K$48,MATCH($A12,2b_POST_TRABAJO!$A$5:$A$48,0))="","",INDEX(2b_POST_TRABAJO!$K$5:$K$48,MATCH($A12,2b_POST_TRABAJO!$A$5:$A$48,0))),"")</f>
        <v>4</v>
      </c>
      <c r="AI12" s="19" t="n">
        <f aca="false">IFERROR(IF(INDEX(2b_POST_TRABAJO!$L$5:$L$48,MATCH($A12,2b_POST_TRABAJO!$A$5:$A$48,0))="","",INDEX(2b_POST_TRABAJO!$L$5:$L$48,MATCH($A12,2b_POST_TRABAJO!$A$5:$A$48,0))),"")</f>
        <v>4</v>
      </c>
      <c r="AJ12" s="19" t="n">
        <f aca="false">IFERROR(IF(INDEX(2b_POST_TRABAJO!$M$5:$M$48,MATCH($A12,2b_POST_TRABAJO!$A$5:$A$48,0))="","",INDEX(2b_POST_TRABAJO!$M$5:$M$48,MATCH($A12,2b_POST_TRABAJO!$A$5:$A$48,0))),"")</f>
        <v>4</v>
      </c>
      <c r="AK12" s="19" t="n">
        <f aca="false">IFERROR(IF(INDEX(2b_POST_TRABAJO!$N$5:$N$48,MATCH($A12,2b_POST_TRABAJO!$A$5:$A$48,0))="","",INDEX(2b_POST_TRABAJO!$N$5:$N$48,MATCH($A12,2b_POST_TRABAJO!$A$5:$A$48,0))),"")</f>
        <v>4</v>
      </c>
      <c r="AL12" s="19" t="n">
        <f aca="false">IFERROR(IF(INDEX(2b_POST_TRABAJO!$O$5:$O$48,MATCH($A12,2b_POST_TRABAJO!$A$5:$A$48,0))="","",INDEX(2b_POST_TRABAJO!$O$5:$O$48,MATCH($A12,2b_POST_TRABAJO!$A$5:$A$48,0))),"")</f>
        <v>4</v>
      </c>
      <c r="AM12" s="19" t="n">
        <f aca="false">IFERROR(IF(INDEX(2b_POST_TRABAJO!$P$5:$P$48,MATCH($A12,2b_POST_TRABAJO!$A$5:$A$48,0))="","",INDEX(2b_POST_TRABAJO!$P$5:$P$48,MATCH($A12,2b_POST_TRABAJO!$A$5:$A$48,0))),"")</f>
        <v>3</v>
      </c>
      <c r="AN12" s="19" t="n">
        <f aca="false">IF(IFERROR(IF(INDEX(2b_POST_TRABAJO!$Q$5:$Q$48,MATCH($A12,2b_POST_TRABAJO!$A$5:$A$48,0))="","",INDEX(2b_POST_TRABAJO!$Q$5:$Q$48,MATCH($A12,2b_POST_TRABAJO!$A$5:$A$48,0))),"")="","",IFERROR(6-IFERROR(IF(INDEX(2b_POST_TRABAJO!$Q$5:$Q$48,MATCH($A12,2b_POST_TRABAJO!$A$5:$A$48,0))="","",INDEX(2b_POST_TRABAJO!$Q$5:$Q$48,MATCH($A12,2b_POST_TRABAJO!$A$5:$A$48,0))),""),"REVISAR"))</f>
        <v>5</v>
      </c>
      <c r="AO12" s="19" t="n">
        <f aca="false">IFERROR(IF(INDEX(2b_POST_TRABAJO!$R$5:$R$48,MATCH($A12,2b_POST_TRABAJO!$A$5:$A$48,0))="","",INDEX(2b_POST_TRABAJO!$R$5:$R$48,MATCH($A12,2b_POST_TRABAJO!$A$5:$A$48,0))),"")</f>
        <v>3</v>
      </c>
      <c r="AP12" s="19" t="n">
        <f aca="false">IFERROR(IF(INDEX(2b_POST_TRABAJO!$S$5:$S$48,MATCH($A12,2b_POST_TRABAJO!$A$5:$A$48,0))="","",INDEX(2b_POST_TRABAJO!$S$5:$S$48,MATCH($A12,2b_POST_TRABAJO!$A$5:$A$48,0))),"")</f>
        <v>4</v>
      </c>
      <c r="AQ12" s="19" t="n">
        <f aca="false">IFERROR(IF(INDEX(2b_POST_TRABAJO!$T$5:$T$48,MATCH($A12,2b_POST_TRABAJO!$A$5:$A$48,0))="","",INDEX(2b_POST_TRABAJO!$T$5:$T$48,MATCH($A12,2b_POST_TRABAJO!$A$5:$A$48,0))),"")</f>
        <v>5</v>
      </c>
      <c r="AR12" s="27" t="n">
        <f aca="false">IF(COUNT(N12:R12)&lt;5,"",IFERROR(ROUND(AVERAGE(N12:R12),2),"REVISAR"))</f>
        <v>2.6</v>
      </c>
      <c r="AS12" s="27" t="n">
        <f aca="false">IF(COUNT(S12:W12)&lt;5,"",IFERROR(ROUND(AVERAGE(S12:W12),2),"REVISAR"))</f>
        <v>3</v>
      </c>
      <c r="AT12" s="27" t="n">
        <f aca="false">IF(COUNT(X12:AB12)&lt;5,"",IFERROR(ROUND(AVERAGE(X12:AB12),2),"REVISAR"))</f>
        <v>2.2</v>
      </c>
      <c r="AU12" s="11" t="n">
        <f aca="false">IF(COUNT(N12:AB12)&lt;15,"",IFERROR(SUM(N12:AB12),"REVISAR"))</f>
        <v>39</v>
      </c>
      <c r="AV12" s="18" t="n">
        <f aca="false">IF(AU12="","",IF(ISNUMBER(AU12),IF(AU12&lt;=35,1,IF(AU12&lt;=55,2,3)),"REVISAR"))</f>
        <v>2</v>
      </c>
      <c r="AW12" s="27" t="n">
        <f aca="false">IF(COUNT(AC12:AG12)&lt;5,"",IFERROR(ROUND(AVERAGE(AC12:AG12),2),"REVISAR"))</f>
        <v>4.6</v>
      </c>
      <c r="AX12" s="27" t="n">
        <f aca="false">IF(COUNT(AH12:AL12)&lt;5,"",IFERROR(ROUND(AVERAGE(AH12:AL12),2),"REVISAR"))</f>
        <v>4</v>
      </c>
      <c r="AY12" s="27" t="n">
        <f aca="false">IF(COUNT(AM12:AQ12)&lt;5,"",IFERROR(ROUND(AVERAGE(AM12:AQ12),2),"REVISAR"))</f>
        <v>4</v>
      </c>
      <c r="AZ12" s="11" t="n">
        <f aca="false">IF(COUNT(AC12:AQ12)&lt;15,"",IFERROR(SUM(AC12:AQ12),"REVISAR"))</f>
        <v>63</v>
      </c>
      <c r="BA12" s="18" t="n">
        <f aca="false">IF(AZ12="","",IF(ISNUMBER(AZ12),IF(AZ12&lt;=35,1,IF(AZ12&lt;=55,2,3)),"REVISAR"))</f>
        <v>3</v>
      </c>
      <c r="BB12" s="28" t="n">
        <f aca="false">IF(OR(J12="",K12=""),"",IFERROR(ROUND(K12-J12,1),"REVISAR"))</f>
        <v>-5.4</v>
      </c>
      <c r="BC12" s="11" t="n">
        <f aca="false">IF(OR(L12="",M12=""),"",IFERROR(M12-L12,"REVISAR"))</f>
        <v>22</v>
      </c>
      <c r="BD12" s="11" t="n">
        <f aca="false">IF(OR(AU12="",AZ12=""),"",IFERROR(AZ12-AU12,"REVISAR"))</f>
        <v>24</v>
      </c>
      <c r="BE12" s="23"/>
      <c r="BF12" s="21"/>
    </row>
    <row r="13" customFormat="false" ht="15" hidden="false" customHeight="false" outlineLevel="0" collapsed="false">
      <c r="A13" s="17" t="s">
        <v>59</v>
      </c>
      <c r="B13" s="23" t="n">
        <v>1</v>
      </c>
      <c r="C13" s="19" t="n">
        <f aca="false">IFERROR(IF(INDEX(2a_PRE_TRABAJO!$B$5:$B$51,MATCH($A13,2a_PRE_TRABAJO!$A$5:$A$51,0))="","",INDEX(2a_PRE_TRABAJO!$B$5:$B$51,MATCH($A13,2a_PRE_TRABAJO!$A$5:$A$51,0))),"")</f>
        <v>1</v>
      </c>
      <c r="D13" s="19" t="n">
        <f aca="false">IFERROR(IF(INDEX(2a_PRE_TRABAJO!$C$5:$C$51,MATCH($A13,2a_PRE_TRABAJO!$A$5:$A$51,0))="","",INDEX(2a_PRE_TRABAJO!$C$5:$C$51,MATCH($A13,2a_PRE_TRABAJO!$A$5:$A$51,0))),"")</f>
        <v>2</v>
      </c>
      <c r="E13" s="19" t="n">
        <f aca="false">IFERROR(IF(INDEX(2a_PRE_TRABAJO!$D$5:$D$51,MATCH($A13,2a_PRE_TRABAJO!$A$5:$A$51,0))="","",INDEX(2a_PRE_TRABAJO!$D$5:$D$51,MATCH($A13,2a_PRE_TRABAJO!$A$5:$A$51,0))),"")</f>
        <v>35</v>
      </c>
      <c r="F13" s="19" t="n">
        <f aca="false">IFERROR(IF(INDEX(2a_PRE_TRABAJO!$E$5:$E$51,MATCH($A13,2a_PRE_TRABAJO!$A$5:$A$51,0))="","",INDEX(2a_PRE_TRABAJO!$E$5:$E$51,MATCH($A13,2a_PRE_TRABAJO!$A$5:$A$51,0))),"")</f>
        <v>5</v>
      </c>
      <c r="G13" s="19" t="str">
        <f aca="false">IFERROR(IF(INDEX(2a_PRE_TRABAJO!$F$5:$F$51,MATCH($A13,2a_PRE_TRABAJO!$A$5:$A$51,0))="","",INDEX(2a_PRE_TRABAJO!$F$5:$F$51,MATCH($A13,2a_PRE_TRABAJO!$A$5:$A$51,0))),"")</f>
        <v>Técnico</v>
      </c>
      <c r="H13" s="24" t="n">
        <f aca="false">IFERROR(IF(INDEX(2a_PRE_TRABAJO!$G$5:$G$51,MATCH($A13,2a_PRE_TRABAJO!$A$5:$A$51,0))="","",INDEX(2a_PRE_TRABAJO!$G$5:$G$51,MATCH($A13,2a_PRE_TRABAJO!$A$5:$A$51,0))),"")</f>
        <v>46261</v>
      </c>
      <c r="I13" s="24" t="n">
        <f aca="false">IFERROR(IF(INDEX(2b_POST_TRABAJO!$C$5:$C$48,MATCH($A13,2b_POST_TRABAJO!$A$5:$A$48,0))="","",INDEX(2b_POST_TRABAJO!$C$5:$C$48,MATCH($A13,2b_POST_TRABAJO!$A$5:$A$48,0))),"")</f>
        <v>46310</v>
      </c>
      <c r="J13" s="25" t="n">
        <f aca="false">IFERROR(IF(INDEX(2a_PRE_TRABAJO!$H$5:$H$51,MATCH($A13,2a_PRE_TRABAJO!$A$5:$A$51,0))="","",INDEX(2a_PRE_TRABAJO!$H$5:$H$51,MATCH($A13,2a_PRE_TRABAJO!$A$5:$A$51,0))),"")</f>
        <v>7.7</v>
      </c>
      <c r="K13" s="25" t="n">
        <f aca="false">IFERROR(IF(INDEX(2b_POST_TRABAJO!$D$5:$D$48,MATCH($A13,2b_POST_TRABAJO!$A$5:$A$48,0))="","",INDEX(2b_POST_TRABAJO!$D$5:$D$48,MATCH($A13,2b_POST_TRABAJO!$A$5:$A$48,0))),"")</f>
        <v>5.1</v>
      </c>
      <c r="L13" s="26" t="n">
        <f aca="false">IFERROR(IF(INDEX(2a_PRE_TRABAJO!$I$5:$I$51,MATCH($A13,2a_PRE_TRABAJO!$A$5:$A$51,0))="","",INDEX(2a_PRE_TRABAJO!$I$5:$I$51,MATCH($A13,2a_PRE_TRABAJO!$A$5:$A$51,0))),"")</f>
        <v>56</v>
      </c>
      <c r="M13" s="26" t="n">
        <f aca="false">IFERROR(IF(INDEX(2b_POST_TRABAJO!$E$5:$E$48,MATCH($A13,2b_POST_TRABAJO!$A$5:$A$48,0))="","",INDEX(2b_POST_TRABAJO!$E$5:$E$48,MATCH($A13,2b_POST_TRABAJO!$A$5:$A$48,0))),"")</f>
        <v>81</v>
      </c>
      <c r="N13" s="19" t="n">
        <f aca="false">IFERROR(IF(INDEX(2a_PRE_TRABAJO!$J$5:$J$51,MATCH($A13,2a_PRE_TRABAJO!$A$5:$A$51,0))="","",INDEX(2a_PRE_TRABAJO!$J$5:$J$51,MATCH($A13,2a_PRE_TRABAJO!$A$5:$A$51,0))),"")</f>
        <v>3</v>
      </c>
      <c r="O13" s="19" t="n">
        <f aca="false">IFERROR(IF(INDEX(2a_PRE_TRABAJO!$K$5:$K$51,MATCH($A13,2a_PRE_TRABAJO!$A$5:$A$51,0))="","",INDEX(2a_PRE_TRABAJO!$K$5:$K$51,MATCH($A13,2a_PRE_TRABAJO!$A$5:$A$51,0))),"")</f>
        <v>3</v>
      </c>
      <c r="P13" s="19" t="n">
        <f aca="false">IFERROR(IF(INDEX(2a_PRE_TRABAJO!$L$5:$L$51,MATCH($A13,2a_PRE_TRABAJO!$A$5:$A$51,0))="","",INDEX(2a_PRE_TRABAJO!$L$5:$L$51,MATCH($A13,2a_PRE_TRABAJO!$A$5:$A$51,0))),"")</f>
        <v>4</v>
      </c>
      <c r="Q13" s="19" t="n">
        <f aca="false">IF(IFERROR(IF(INDEX(2a_PRE_TRABAJO!$M$5:$M$51,MATCH($A13,2a_PRE_TRABAJO!$A$5:$A$51,0))="","",INDEX(2a_PRE_TRABAJO!$M$5:$M$51,MATCH($A13,2a_PRE_TRABAJO!$A$5:$A$51,0))),"")="","",IFERROR(6-IFERROR(IF(INDEX(2a_PRE_TRABAJO!$M$5:$M$51,MATCH($A13,2a_PRE_TRABAJO!$A$5:$A$51,0))="","",INDEX(2a_PRE_TRABAJO!$M$5:$M$51,MATCH($A13,2a_PRE_TRABAJO!$A$5:$A$51,0))),""),"REVISAR"))</f>
        <v>3</v>
      </c>
      <c r="R13" s="19" t="n">
        <f aca="false">IFERROR(IF(INDEX(2a_PRE_TRABAJO!$N$5:$N$51,MATCH($A13,2a_PRE_TRABAJO!$A$5:$A$51,0))="","",INDEX(2a_PRE_TRABAJO!$N$5:$N$51,MATCH($A13,2a_PRE_TRABAJO!$A$5:$A$51,0))),"")</f>
        <v>3</v>
      </c>
      <c r="S13" s="19" t="n">
        <f aca="false">IFERROR(IF(INDEX(2a_PRE_TRABAJO!$O$5:$O$51,MATCH($A13,2a_PRE_TRABAJO!$A$5:$A$51,0))="","",INDEX(2a_PRE_TRABAJO!$O$5:$O$51,MATCH($A13,2a_PRE_TRABAJO!$A$5:$A$51,0))),"")</f>
        <v>4</v>
      </c>
      <c r="T13" s="19" t="n">
        <f aca="false">IFERROR(IF(INDEX(2a_PRE_TRABAJO!$P$5:$P$51,MATCH($A13,2a_PRE_TRABAJO!$A$5:$A$51,0))="","",INDEX(2a_PRE_TRABAJO!$P$5:$P$51,MATCH($A13,2a_PRE_TRABAJO!$A$5:$A$51,0))),"")</f>
        <v>5</v>
      </c>
      <c r="U13" s="19" t="n">
        <f aca="false">IFERROR(IF(INDEX(2a_PRE_TRABAJO!$Q$5:$Q$51,MATCH($A13,2a_PRE_TRABAJO!$A$5:$A$51,0))="","",INDEX(2a_PRE_TRABAJO!$Q$5:$Q$51,MATCH($A13,2a_PRE_TRABAJO!$A$5:$A$51,0))),"")</f>
        <v>1</v>
      </c>
      <c r="V13" s="19" t="n">
        <f aca="false">IFERROR(IF(INDEX(2a_PRE_TRABAJO!$R$5:$R$51,MATCH($A13,2a_PRE_TRABAJO!$A$5:$A$51,0))="","",INDEX(2a_PRE_TRABAJO!$R$5:$R$51,MATCH($A13,2a_PRE_TRABAJO!$A$5:$A$51,0))),"")</f>
        <v>2</v>
      </c>
      <c r="W13" s="19" t="n">
        <f aca="false">IFERROR(IF(INDEX(2a_PRE_TRABAJO!$S$5:$S$51,MATCH($A13,2a_PRE_TRABAJO!$A$5:$A$51,0))="","",INDEX(2a_PRE_TRABAJO!$S$5:$S$51,MATCH($A13,2a_PRE_TRABAJO!$A$5:$A$51,0))),"")</f>
        <v>3</v>
      </c>
      <c r="X13" s="19" t="n">
        <f aca="false">IFERROR(IF(INDEX(2a_PRE_TRABAJO!$T$5:$T$51,MATCH($A13,2a_PRE_TRABAJO!$A$5:$A$51,0))="","",INDEX(2a_PRE_TRABAJO!$T$5:$T$51,MATCH($A13,2a_PRE_TRABAJO!$A$5:$A$51,0))),"")</f>
        <v>4</v>
      </c>
      <c r="Y13" s="19" t="n">
        <f aca="false">IF(IFERROR(IF(INDEX(2a_PRE_TRABAJO!$U$5:$U$51,MATCH($A13,2a_PRE_TRABAJO!$A$5:$A$51,0))="","",INDEX(2a_PRE_TRABAJO!$U$5:$U$51,MATCH($A13,2a_PRE_TRABAJO!$A$5:$A$51,0))),"")="","",IFERROR(6-IFERROR(IF(INDEX(2a_PRE_TRABAJO!$U$5:$U$51,MATCH($A13,2a_PRE_TRABAJO!$A$5:$A$51,0))="","",INDEX(2a_PRE_TRABAJO!$U$5:$U$51,MATCH($A13,2a_PRE_TRABAJO!$A$5:$A$51,0))),""),"REVISAR"))</f>
        <v>3</v>
      </c>
      <c r="Z13" s="19" t="n">
        <f aca="false">IFERROR(IF(INDEX(2a_PRE_TRABAJO!$V$5:$V$51,MATCH($A13,2a_PRE_TRABAJO!$A$5:$A$51,0))="","",INDEX(2a_PRE_TRABAJO!$V$5:$V$51,MATCH($A13,2a_PRE_TRABAJO!$A$5:$A$51,0))),"")</f>
        <v>2</v>
      </c>
      <c r="AA13" s="19" t="n">
        <f aca="false">IFERROR(IF(INDEX(2a_PRE_TRABAJO!$W$5:$W$51,MATCH($A13,2a_PRE_TRABAJO!$A$5:$A$51,0))="","",INDEX(2a_PRE_TRABAJO!$W$5:$W$51,MATCH($A13,2a_PRE_TRABAJO!$A$5:$A$51,0))),"")</f>
        <v>4</v>
      </c>
      <c r="AB13" s="19" t="n">
        <f aca="false">IFERROR(IF(INDEX(2a_PRE_TRABAJO!$X$5:$X$51,MATCH($A13,2a_PRE_TRABAJO!$A$5:$A$51,0))="","",INDEX(2a_PRE_TRABAJO!$X$5:$X$51,MATCH($A13,2a_PRE_TRABAJO!$A$5:$A$51,0))),"")</f>
        <v>3</v>
      </c>
      <c r="AC13" s="19" t="n">
        <f aca="false">IFERROR(IF(INDEX(2b_POST_TRABAJO!$F$5:$F$48,MATCH($A13,2b_POST_TRABAJO!$A$5:$A$48,0))="","",INDEX(2b_POST_TRABAJO!$F$5:$F$48,MATCH($A13,2b_POST_TRABAJO!$A$5:$A$48,0))),"")</f>
        <v>5</v>
      </c>
      <c r="AD13" s="19" t="n">
        <f aca="false">IFERROR(IF(INDEX(2b_POST_TRABAJO!$G$5:$G$48,MATCH($A13,2b_POST_TRABAJO!$A$5:$A$48,0))="","",INDEX(2b_POST_TRABAJO!$G$5:$G$48,MATCH($A13,2b_POST_TRABAJO!$A$5:$A$48,0))),"")</f>
        <v>5</v>
      </c>
      <c r="AE13" s="19" t="n">
        <f aca="false">IFERROR(IF(INDEX(2b_POST_TRABAJO!$H$5:$H$48,MATCH($A13,2b_POST_TRABAJO!$A$5:$A$48,0))="","",INDEX(2b_POST_TRABAJO!$H$5:$H$48,MATCH($A13,2b_POST_TRABAJO!$A$5:$A$48,0))),"")</f>
        <v>4</v>
      </c>
      <c r="AF13" s="19" t="n">
        <f aca="false">IF(IFERROR(IF(INDEX(2b_POST_TRABAJO!$I$5:$I$48,MATCH($A13,2b_POST_TRABAJO!$A$5:$A$48,0))="","",INDEX(2b_POST_TRABAJO!$I$5:$I$48,MATCH($A13,2b_POST_TRABAJO!$A$5:$A$48,0))),"")="","",IFERROR(6-IFERROR(IF(INDEX(2b_POST_TRABAJO!$I$5:$I$48,MATCH($A13,2b_POST_TRABAJO!$A$5:$A$48,0))="","",INDEX(2b_POST_TRABAJO!$I$5:$I$48,MATCH($A13,2b_POST_TRABAJO!$A$5:$A$48,0))),""),"REVISAR"))</f>
        <v>5</v>
      </c>
      <c r="AG13" s="19" t="n">
        <f aca="false">IFERROR(IF(INDEX(2b_POST_TRABAJO!$J$5:$J$48,MATCH($A13,2b_POST_TRABAJO!$A$5:$A$48,0))="","",INDEX(2b_POST_TRABAJO!$J$5:$J$48,MATCH($A13,2b_POST_TRABAJO!$A$5:$A$48,0))),"")</f>
        <v>5</v>
      </c>
      <c r="AH13" s="19" t="n">
        <f aca="false">IFERROR(IF(INDEX(2b_POST_TRABAJO!$K$5:$K$48,MATCH($A13,2b_POST_TRABAJO!$A$5:$A$48,0))="","",INDEX(2b_POST_TRABAJO!$K$5:$K$48,MATCH($A13,2b_POST_TRABAJO!$A$5:$A$48,0))),"")</f>
        <v>4</v>
      </c>
      <c r="AI13" s="19" t="n">
        <f aca="false">IFERROR(IF(INDEX(2b_POST_TRABAJO!$L$5:$L$48,MATCH($A13,2b_POST_TRABAJO!$A$5:$A$48,0))="","",INDEX(2b_POST_TRABAJO!$L$5:$L$48,MATCH($A13,2b_POST_TRABAJO!$A$5:$A$48,0))),"")</f>
        <v>4</v>
      </c>
      <c r="AJ13" s="19" t="n">
        <f aca="false">IFERROR(IF(INDEX(2b_POST_TRABAJO!$M$5:$M$48,MATCH($A13,2b_POST_TRABAJO!$A$5:$A$48,0))="","",INDEX(2b_POST_TRABAJO!$M$5:$M$48,MATCH($A13,2b_POST_TRABAJO!$A$5:$A$48,0))),"")</f>
        <v>5</v>
      </c>
      <c r="AK13" s="19" t="n">
        <f aca="false">IFERROR(IF(INDEX(2b_POST_TRABAJO!$N$5:$N$48,MATCH($A13,2b_POST_TRABAJO!$A$5:$A$48,0))="","",INDEX(2b_POST_TRABAJO!$N$5:$N$48,MATCH($A13,2b_POST_TRABAJO!$A$5:$A$48,0))),"")</f>
        <v>5</v>
      </c>
      <c r="AL13" s="19" t="n">
        <f aca="false">IFERROR(IF(INDEX(2b_POST_TRABAJO!$O$5:$O$48,MATCH($A13,2b_POST_TRABAJO!$A$5:$A$48,0))="","",INDEX(2b_POST_TRABAJO!$O$5:$O$48,MATCH($A13,2b_POST_TRABAJO!$A$5:$A$48,0))),"")</f>
        <v>4</v>
      </c>
      <c r="AM13" s="19" t="n">
        <f aca="false">IFERROR(IF(INDEX(2b_POST_TRABAJO!$P$5:$P$48,MATCH($A13,2b_POST_TRABAJO!$A$5:$A$48,0))="","",INDEX(2b_POST_TRABAJO!$P$5:$P$48,MATCH($A13,2b_POST_TRABAJO!$A$5:$A$48,0))),"")</f>
        <v>4</v>
      </c>
      <c r="AN13" s="19" t="n">
        <f aca="false">IF(IFERROR(IF(INDEX(2b_POST_TRABAJO!$Q$5:$Q$48,MATCH($A13,2b_POST_TRABAJO!$A$5:$A$48,0))="","",INDEX(2b_POST_TRABAJO!$Q$5:$Q$48,MATCH($A13,2b_POST_TRABAJO!$A$5:$A$48,0))),"")="","",IFERROR(6-IFERROR(IF(INDEX(2b_POST_TRABAJO!$Q$5:$Q$48,MATCH($A13,2b_POST_TRABAJO!$A$5:$A$48,0))="","",INDEX(2b_POST_TRABAJO!$Q$5:$Q$48,MATCH($A13,2b_POST_TRABAJO!$A$5:$A$48,0))),""),"REVISAR"))</f>
        <v>4</v>
      </c>
      <c r="AO13" s="19" t="n">
        <f aca="false">IFERROR(IF(INDEX(2b_POST_TRABAJO!$R$5:$R$48,MATCH($A13,2b_POST_TRABAJO!$A$5:$A$48,0))="","",INDEX(2b_POST_TRABAJO!$R$5:$R$48,MATCH($A13,2b_POST_TRABAJO!$A$5:$A$48,0))),"")</f>
        <v>5</v>
      </c>
      <c r="AP13" s="19" t="n">
        <f aca="false">IFERROR(IF(INDEX(2b_POST_TRABAJO!$S$5:$S$48,MATCH($A13,2b_POST_TRABAJO!$A$5:$A$48,0))="","",INDEX(2b_POST_TRABAJO!$S$5:$S$48,MATCH($A13,2b_POST_TRABAJO!$A$5:$A$48,0))),"")</f>
        <v>5</v>
      </c>
      <c r="AQ13" s="19" t="n">
        <f aca="false">IFERROR(IF(INDEX(2b_POST_TRABAJO!$T$5:$T$48,MATCH($A13,2b_POST_TRABAJO!$A$5:$A$48,0))="","",INDEX(2b_POST_TRABAJO!$T$5:$T$48,MATCH($A13,2b_POST_TRABAJO!$A$5:$A$48,0))),"")</f>
        <v>4</v>
      </c>
      <c r="AR13" s="27" t="n">
        <f aca="false">IF(COUNT(N13:R13)&lt;5,"",IFERROR(ROUND(AVERAGE(N13:R13),2),"REVISAR"))</f>
        <v>3.2</v>
      </c>
      <c r="AS13" s="27" t="n">
        <f aca="false">IF(COUNT(S13:W13)&lt;5,"",IFERROR(ROUND(AVERAGE(S13:W13),2),"REVISAR"))</f>
        <v>3</v>
      </c>
      <c r="AT13" s="27" t="n">
        <f aca="false">IF(COUNT(X13:AB13)&lt;5,"",IFERROR(ROUND(AVERAGE(X13:AB13),2),"REVISAR"))</f>
        <v>3.2</v>
      </c>
      <c r="AU13" s="11" t="n">
        <f aca="false">IF(COUNT(N13:AB13)&lt;15,"",IFERROR(SUM(N13:AB13),"REVISAR"))</f>
        <v>47</v>
      </c>
      <c r="AV13" s="18" t="n">
        <f aca="false">IF(AU13="","",IF(ISNUMBER(AU13),IF(AU13&lt;=35,1,IF(AU13&lt;=55,2,3)),"REVISAR"))</f>
        <v>2</v>
      </c>
      <c r="AW13" s="27" t="n">
        <f aca="false">IF(COUNT(AC13:AG13)&lt;5,"",IFERROR(ROUND(AVERAGE(AC13:AG13),2),"REVISAR"))</f>
        <v>4.8</v>
      </c>
      <c r="AX13" s="27" t="n">
        <f aca="false">IF(COUNT(AH13:AL13)&lt;5,"",IFERROR(ROUND(AVERAGE(AH13:AL13),2),"REVISAR"))</f>
        <v>4.4</v>
      </c>
      <c r="AY13" s="27" t="n">
        <f aca="false">IF(COUNT(AM13:AQ13)&lt;5,"",IFERROR(ROUND(AVERAGE(AM13:AQ13),2),"REVISAR"))</f>
        <v>4.4</v>
      </c>
      <c r="AZ13" s="11" t="n">
        <f aca="false">IF(COUNT(AC13:AQ13)&lt;15,"",IFERROR(SUM(AC13:AQ13),"REVISAR"))</f>
        <v>68</v>
      </c>
      <c r="BA13" s="18" t="n">
        <f aca="false">IF(AZ13="","",IF(ISNUMBER(AZ13),IF(AZ13&lt;=35,1,IF(AZ13&lt;=55,2,3)),"REVISAR"))</f>
        <v>3</v>
      </c>
      <c r="BB13" s="28" t="n">
        <f aca="false">IF(OR(J13="",K13=""),"",IFERROR(ROUND(K13-J13,1),"REVISAR"))</f>
        <v>-2.6</v>
      </c>
      <c r="BC13" s="11" t="n">
        <f aca="false">IF(OR(L13="",M13=""),"",IFERROR(M13-L13,"REVISAR"))</f>
        <v>25</v>
      </c>
      <c r="BD13" s="11" t="n">
        <f aca="false">IF(OR(AU13="",AZ13=""),"",IFERROR(AZ13-AU13,"REVISAR"))</f>
        <v>21</v>
      </c>
      <c r="BE13" s="23"/>
      <c r="BF13" s="21"/>
    </row>
    <row r="14" customFormat="false" ht="15" hidden="false" customHeight="false" outlineLevel="0" collapsed="false">
      <c r="A14" s="17" t="s">
        <v>60</v>
      </c>
      <c r="B14" s="23" t="n">
        <v>1</v>
      </c>
      <c r="C14" s="19" t="n">
        <f aca="false">IFERROR(IF(INDEX(2a_PRE_TRABAJO!$B$5:$B$51,MATCH($A14,2a_PRE_TRABAJO!$A$5:$A$51,0))="","",INDEX(2a_PRE_TRABAJO!$B$5:$B$51,MATCH($A14,2a_PRE_TRABAJO!$A$5:$A$51,0))),"")</f>
        <v>1</v>
      </c>
      <c r="D14" s="19" t="n">
        <f aca="false">IFERROR(IF(INDEX(2a_PRE_TRABAJO!$C$5:$C$51,MATCH($A14,2a_PRE_TRABAJO!$A$5:$A$51,0))="","",INDEX(2a_PRE_TRABAJO!$C$5:$C$51,MATCH($A14,2a_PRE_TRABAJO!$A$5:$A$51,0))),"")</f>
        <v>1</v>
      </c>
      <c r="E14" s="19" t="n">
        <f aca="false">IFERROR(IF(INDEX(2a_PRE_TRABAJO!$D$5:$D$51,MATCH($A14,2a_PRE_TRABAJO!$A$5:$A$51,0))="","",INDEX(2a_PRE_TRABAJO!$D$5:$D$51,MATCH($A14,2a_PRE_TRABAJO!$A$5:$A$51,0))),"")</f>
        <v>35</v>
      </c>
      <c r="F14" s="19" t="n">
        <f aca="false">IFERROR(IF(INDEX(2a_PRE_TRABAJO!$E$5:$E$51,MATCH($A14,2a_PRE_TRABAJO!$A$5:$A$51,0))="","",INDEX(2a_PRE_TRABAJO!$E$5:$E$51,MATCH($A14,2a_PRE_TRABAJO!$A$5:$A$51,0))),"")</f>
        <v>14</v>
      </c>
      <c r="G14" s="19" t="str">
        <f aca="false">IFERROR(IF(INDEX(2a_PRE_TRABAJO!$F$5:$F$51,MATCH($A14,2a_PRE_TRABAJO!$A$5:$A$51,0))="","",INDEX(2a_PRE_TRABAJO!$F$5:$F$51,MATCH($A14,2a_PRE_TRABAJO!$A$5:$A$51,0))),"")</f>
        <v>tecnico </v>
      </c>
      <c r="H14" s="24" t="n">
        <f aca="false">IFERROR(IF(INDEX(2a_PRE_TRABAJO!$G$5:$G$51,MATCH($A14,2a_PRE_TRABAJO!$A$5:$A$51,0))="","",INDEX(2a_PRE_TRABAJO!$G$5:$G$51,MATCH($A14,2a_PRE_TRABAJO!$A$5:$A$51,0))),"")</f>
        <v>46262</v>
      </c>
      <c r="I14" s="24" t="n">
        <f aca="false">IFERROR(IF(INDEX(2b_POST_TRABAJO!$C$5:$C$48,MATCH($A14,2b_POST_TRABAJO!$A$5:$A$48,0))="","",INDEX(2b_POST_TRABAJO!$C$5:$C$48,MATCH($A14,2b_POST_TRABAJO!$A$5:$A$48,0))),"")</f>
        <v>46311</v>
      </c>
      <c r="J14" s="25" t="n">
        <f aca="false">IFERROR(IF(INDEX(2a_PRE_TRABAJO!$H$5:$H$51,MATCH($A14,2a_PRE_TRABAJO!$A$5:$A$51,0))="","",INDEX(2a_PRE_TRABAJO!$H$5:$H$51,MATCH($A14,2a_PRE_TRABAJO!$A$5:$A$51,0))),"")</f>
        <v>13.6</v>
      </c>
      <c r="K14" s="25" t="n">
        <f aca="false">IFERROR(IF(INDEX(2b_POST_TRABAJO!$D$5:$D$48,MATCH($A14,2b_POST_TRABAJO!$A$5:$A$48,0))="","",INDEX(2b_POST_TRABAJO!$D$5:$D$48,MATCH($A14,2b_POST_TRABAJO!$A$5:$A$48,0))),"")</f>
        <v>6.9</v>
      </c>
      <c r="L14" s="26" t="n">
        <f aca="false">IFERROR(IF(INDEX(2a_PRE_TRABAJO!$I$5:$I$51,MATCH($A14,2a_PRE_TRABAJO!$A$5:$A$51,0))="","",INDEX(2a_PRE_TRABAJO!$I$5:$I$51,MATCH($A14,2a_PRE_TRABAJO!$A$5:$A$51,0))),"")</f>
        <v>76</v>
      </c>
      <c r="M14" s="26" t="n">
        <f aca="false">IFERROR(IF(INDEX(2b_POST_TRABAJO!$E$5:$E$48,MATCH($A14,2b_POST_TRABAJO!$A$5:$A$48,0))="","",INDEX(2b_POST_TRABAJO!$E$5:$E$48,MATCH($A14,2b_POST_TRABAJO!$A$5:$A$48,0))),"")</f>
        <v>100</v>
      </c>
      <c r="N14" s="19" t="n">
        <f aca="false">IFERROR(IF(INDEX(2a_PRE_TRABAJO!$J$5:$J$51,MATCH($A14,2a_PRE_TRABAJO!$A$5:$A$51,0))="","",INDEX(2a_PRE_TRABAJO!$J$5:$J$51,MATCH($A14,2a_PRE_TRABAJO!$A$5:$A$51,0))),"")</f>
        <v>3</v>
      </c>
      <c r="O14" s="19" t="n">
        <f aca="false">IFERROR(IF(INDEX(2a_PRE_TRABAJO!$K$5:$K$51,MATCH($A14,2a_PRE_TRABAJO!$A$5:$A$51,0))="","",INDEX(2a_PRE_TRABAJO!$K$5:$K$51,MATCH($A14,2a_PRE_TRABAJO!$A$5:$A$51,0))),"")</f>
        <v>4</v>
      </c>
      <c r="P14" s="19" t="n">
        <f aca="false">IFERROR(IF(INDEX(2a_PRE_TRABAJO!$L$5:$L$51,MATCH($A14,2a_PRE_TRABAJO!$A$5:$A$51,0))="","",INDEX(2a_PRE_TRABAJO!$L$5:$L$51,MATCH($A14,2a_PRE_TRABAJO!$A$5:$A$51,0))),"")</f>
        <v>4</v>
      </c>
      <c r="Q14" s="19" t="n">
        <f aca="false">IF(IFERROR(IF(INDEX(2a_PRE_TRABAJO!$M$5:$M$51,MATCH($A14,2a_PRE_TRABAJO!$A$5:$A$51,0))="","",INDEX(2a_PRE_TRABAJO!$M$5:$M$51,MATCH($A14,2a_PRE_TRABAJO!$A$5:$A$51,0))),"")="","",IFERROR(6-IFERROR(IF(INDEX(2a_PRE_TRABAJO!$M$5:$M$51,MATCH($A14,2a_PRE_TRABAJO!$A$5:$A$51,0))="","",INDEX(2a_PRE_TRABAJO!$M$5:$M$51,MATCH($A14,2a_PRE_TRABAJO!$A$5:$A$51,0))),""),"REVISAR"))</f>
        <v>5</v>
      </c>
      <c r="R14" s="19" t="n">
        <f aca="false">IFERROR(IF(INDEX(2a_PRE_TRABAJO!$N$5:$N$51,MATCH($A14,2a_PRE_TRABAJO!$A$5:$A$51,0))="","",INDEX(2a_PRE_TRABAJO!$N$5:$N$51,MATCH($A14,2a_PRE_TRABAJO!$A$5:$A$51,0))),"")</f>
        <v>2</v>
      </c>
      <c r="S14" s="19" t="n">
        <f aca="false">IFERROR(IF(INDEX(2a_PRE_TRABAJO!$O$5:$O$51,MATCH($A14,2a_PRE_TRABAJO!$A$5:$A$51,0))="","",INDEX(2a_PRE_TRABAJO!$O$5:$O$51,MATCH($A14,2a_PRE_TRABAJO!$A$5:$A$51,0))),"")</f>
        <v>2</v>
      </c>
      <c r="T14" s="19" t="n">
        <f aca="false">IFERROR(IF(INDEX(2a_PRE_TRABAJO!$P$5:$P$51,MATCH($A14,2a_PRE_TRABAJO!$A$5:$A$51,0))="","",INDEX(2a_PRE_TRABAJO!$P$5:$P$51,MATCH($A14,2a_PRE_TRABAJO!$A$5:$A$51,0))),"")</f>
        <v>3</v>
      </c>
      <c r="U14" s="19" t="n">
        <f aca="false">IFERROR(IF(INDEX(2a_PRE_TRABAJO!$Q$5:$Q$51,MATCH($A14,2a_PRE_TRABAJO!$A$5:$A$51,0))="","",INDEX(2a_PRE_TRABAJO!$Q$5:$Q$51,MATCH($A14,2a_PRE_TRABAJO!$A$5:$A$51,0))),"")</f>
        <v>4</v>
      </c>
      <c r="V14" s="19" t="n">
        <f aca="false">IFERROR(IF(INDEX(2a_PRE_TRABAJO!$R$5:$R$51,MATCH($A14,2a_PRE_TRABAJO!$A$5:$A$51,0))="","",INDEX(2a_PRE_TRABAJO!$R$5:$R$51,MATCH($A14,2a_PRE_TRABAJO!$A$5:$A$51,0))),"")</f>
        <v>1</v>
      </c>
      <c r="W14" s="19" t="n">
        <f aca="false">IFERROR(IF(INDEX(2a_PRE_TRABAJO!$S$5:$S$51,MATCH($A14,2a_PRE_TRABAJO!$A$5:$A$51,0))="","",INDEX(2a_PRE_TRABAJO!$S$5:$S$51,MATCH($A14,2a_PRE_TRABAJO!$A$5:$A$51,0))),"")</f>
        <v>2</v>
      </c>
      <c r="X14" s="19" t="n">
        <f aca="false">IFERROR(IF(INDEX(2a_PRE_TRABAJO!$T$5:$T$51,MATCH($A14,2a_PRE_TRABAJO!$A$5:$A$51,0))="","",INDEX(2a_PRE_TRABAJO!$T$5:$T$51,MATCH($A14,2a_PRE_TRABAJO!$A$5:$A$51,0))),"")</f>
        <v>2</v>
      </c>
      <c r="Y14" s="19" t="n">
        <f aca="false">IF(IFERROR(IF(INDEX(2a_PRE_TRABAJO!$U$5:$U$51,MATCH($A14,2a_PRE_TRABAJO!$A$5:$A$51,0))="","",INDEX(2a_PRE_TRABAJO!$U$5:$U$51,MATCH($A14,2a_PRE_TRABAJO!$A$5:$A$51,0))),"")="","",IFERROR(6-IFERROR(IF(INDEX(2a_PRE_TRABAJO!$U$5:$U$51,MATCH($A14,2a_PRE_TRABAJO!$A$5:$A$51,0))="","",INDEX(2a_PRE_TRABAJO!$U$5:$U$51,MATCH($A14,2a_PRE_TRABAJO!$A$5:$A$51,0))),""),"REVISAR"))</f>
        <v>4</v>
      </c>
      <c r="Z14" s="19" t="n">
        <f aca="false">IFERROR(IF(INDEX(2a_PRE_TRABAJO!$V$5:$V$51,MATCH($A14,2a_PRE_TRABAJO!$A$5:$A$51,0))="","",INDEX(2a_PRE_TRABAJO!$V$5:$V$51,MATCH($A14,2a_PRE_TRABAJO!$A$5:$A$51,0))),"")</f>
        <v>2</v>
      </c>
      <c r="AA14" s="19" t="n">
        <f aca="false">IFERROR(IF(INDEX(2a_PRE_TRABAJO!$W$5:$W$51,MATCH($A14,2a_PRE_TRABAJO!$A$5:$A$51,0))="","",INDEX(2a_PRE_TRABAJO!$W$5:$W$51,MATCH($A14,2a_PRE_TRABAJO!$A$5:$A$51,0))),"")</f>
        <v>4</v>
      </c>
      <c r="AB14" s="19" t="n">
        <f aca="false">IFERROR(IF(INDEX(2a_PRE_TRABAJO!$X$5:$X$51,MATCH($A14,2a_PRE_TRABAJO!$A$5:$A$51,0))="","",INDEX(2a_PRE_TRABAJO!$X$5:$X$51,MATCH($A14,2a_PRE_TRABAJO!$A$5:$A$51,0))),"")</f>
        <v>3</v>
      </c>
      <c r="AC14" s="19" t="n">
        <f aca="false">IFERROR(IF(INDEX(2b_POST_TRABAJO!$F$5:$F$48,MATCH($A14,2b_POST_TRABAJO!$A$5:$A$48,0))="","",INDEX(2b_POST_TRABAJO!$F$5:$F$48,MATCH($A14,2b_POST_TRABAJO!$A$5:$A$48,0))),"")</f>
        <v>5</v>
      </c>
      <c r="AD14" s="19" t="n">
        <f aca="false">IFERROR(IF(INDEX(2b_POST_TRABAJO!$G$5:$G$48,MATCH($A14,2b_POST_TRABAJO!$A$5:$A$48,0))="","",INDEX(2b_POST_TRABAJO!$G$5:$G$48,MATCH($A14,2b_POST_TRABAJO!$A$5:$A$48,0))),"")</f>
        <v>2</v>
      </c>
      <c r="AE14" s="19" t="n">
        <f aca="false">IFERROR(IF(INDEX(2b_POST_TRABAJO!$H$5:$H$48,MATCH($A14,2b_POST_TRABAJO!$A$5:$A$48,0))="","",INDEX(2b_POST_TRABAJO!$H$5:$H$48,MATCH($A14,2b_POST_TRABAJO!$A$5:$A$48,0))),"")</f>
        <v>3</v>
      </c>
      <c r="AF14" s="19" t="n">
        <f aca="false">IF(IFERROR(IF(INDEX(2b_POST_TRABAJO!$I$5:$I$48,MATCH($A14,2b_POST_TRABAJO!$A$5:$A$48,0))="","",INDEX(2b_POST_TRABAJO!$I$5:$I$48,MATCH($A14,2b_POST_TRABAJO!$A$5:$A$48,0))),"")="","",IFERROR(6-IFERROR(IF(INDEX(2b_POST_TRABAJO!$I$5:$I$48,MATCH($A14,2b_POST_TRABAJO!$A$5:$A$48,0))="","",INDEX(2b_POST_TRABAJO!$I$5:$I$48,MATCH($A14,2b_POST_TRABAJO!$A$5:$A$48,0))),""),"REVISAR"))</f>
        <v>5</v>
      </c>
      <c r="AG14" s="19" t="n">
        <f aca="false">IFERROR(IF(INDEX(2b_POST_TRABAJO!$J$5:$J$48,MATCH($A14,2b_POST_TRABAJO!$A$5:$A$48,0))="","",INDEX(2b_POST_TRABAJO!$J$5:$J$48,MATCH($A14,2b_POST_TRABAJO!$A$5:$A$48,0))),"")</f>
        <v>6</v>
      </c>
      <c r="AH14" s="19" t="n">
        <f aca="false">IFERROR(IF(INDEX(2b_POST_TRABAJO!$K$5:$K$48,MATCH($A14,2b_POST_TRABAJO!$A$5:$A$48,0))="","",INDEX(2b_POST_TRABAJO!$K$5:$K$48,MATCH($A14,2b_POST_TRABAJO!$A$5:$A$48,0))),"")</f>
        <v>3</v>
      </c>
      <c r="AI14" s="19" t="n">
        <f aca="false">IFERROR(IF(INDEX(2b_POST_TRABAJO!$L$5:$L$48,MATCH($A14,2b_POST_TRABAJO!$A$5:$A$48,0))="","",INDEX(2b_POST_TRABAJO!$L$5:$L$48,MATCH($A14,2b_POST_TRABAJO!$A$5:$A$48,0))),"")</f>
        <v>5</v>
      </c>
      <c r="AJ14" s="19" t="n">
        <f aca="false">IFERROR(IF(INDEX(2b_POST_TRABAJO!$M$5:$M$48,MATCH($A14,2b_POST_TRABAJO!$A$5:$A$48,0))="","",INDEX(2b_POST_TRABAJO!$M$5:$M$48,MATCH($A14,2b_POST_TRABAJO!$A$5:$A$48,0))),"")</f>
        <v>5</v>
      </c>
      <c r="AK14" s="19" t="n">
        <f aca="false">IFERROR(IF(INDEX(2b_POST_TRABAJO!$N$5:$N$48,MATCH($A14,2b_POST_TRABAJO!$A$5:$A$48,0))="","",INDEX(2b_POST_TRABAJO!$N$5:$N$48,MATCH($A14,2b_POST_TRABAJO!$A$5:$A$48,0))),"")</f>
        <v>5</v>
      </c>
      <c r="AL14" s="19" t="n">
        <f aca="false">IFERROR(IF(INDEX(2b_POST_TRABAJO!$O$5:$O$48,MATCH($A14,2b_POST_TRABAJO!$A$5:$A$48,0))="","",INDEX(2b_POST_TRABAJO!$O$5:$O$48,MATCH($A14,2b_POST_TRABAJO!$A$5:$A$48,0))),"")</f>
        <v>4</v>
      </c>
      <c r="AM14" s="19" t="n">
        <f aca="false">IFERROR(IF(INDEX(2b_POST_TRABAJO!$P$5:$P$48,MATCH($A14,2b_POST_TRABAJO!$A$5:$A$48,0))="","",INDEX(2b_POST_TRABAJO!$P$5:$P$48,MATCH($A14,2b_POST_TRABAJO!$A$5:$A$48,0))),"")</f>
        <v>5</v>
      </c>
      <c r="AN14" s="19" t="n">
        <f aca="false">IF(IFERROR(IF(INDEX(2b_POST_TRABAJO!$Q$5:$Q$48,MATCH($A14,2b_POST_TRABAJO!$A$5:$A$48,0))="","",INDEX(2b_POST_TRABAJO!$Q$5:$Q$48,MATCH($A14,2b_POST_TRABAJO!$A$5:$A$48,0))),"")="","",IFERROR(6-IFERROR(IF(INDEX(2b_POST_TRABAJO!$Q$5:$Q$48,MATCH($A14,2b_POST_TRABAJO!$A$5:$A$48,0))="","",INDEX(2b_POST_TRABAJO!$Q$5:$Q$48,MATCH($A14,2b_POST_TRABAJO!$A$5:$A$48,0))),""),"REVISAR"))</f>
        <v>4</v>
      </c>
      <c r="AO14" s="19" t="n">
        <f aca="false">IFERROR(IF(INDEX(2b_POST_TRABAJO!$R$5:$R$48,MATCH($A14,2b_POST_TRABAJO!$A$5:$A$48,0))="","",INDEX(2b_POST_TRABAJO!$R$5:$R$48,MATCH($A14,2b_POST_TRABAJO!$A$5:$A$48,0))),"")</f>
        <v>5</v>
      </c>
      <c r="AP14" s="19" t="n">
        <f aca="false">IFERROR(IF(INDEX(2b_POST_TRABAJO!$S$5:$S$48,MATCH($A14,2b_POST_TRABAJO!$A$5:$A$48,0))="","",INDEX(2b_POST_TRABAJO!$S$5:$S$48,MATCH($A14,2b_POST_TRABAJO!$A$5:$A$48,0))),"")</f>
        <v>5</v>
      </c>
      <c r="AQ14" s="19" t="n">
        <f aca="false">IFERROR(IF(INDEX(2b_POST_TRABAJO!$T$5:$T$48,MATCH($A14,2b_POST_TRABAJO!$A$5:$A$48,0))="","",INDEX(2b_POST_TRABAJO!$T$5:$T$48,MATCH($A14,2b_POST_TRABAJO!$A$5:$A$48,0))),"")</f>
        <v>5</v>
      </c>
      <c r="AR14" s="27" t="n">
        <f aca="false">IF(COUNT(N14:R14)&lt;5,"",IFERROR(ROUND(AVERAGE(N14:R14),2),"REVISAR"))</f>
        <v>3.6</v>
      </c>
      <c r="AS14" s="27" t="n">
        <f aca="false">IF(COUNT(S14:W14)&lt;5,"",IFERROR(ROUND(AVERAGE(S14:W14),2),"REVISAR"))</f>
        <v>2.4</v>
      </c>
      <c r="AT14" s="27" t="n">
        <f aca="false">IF(COUNT(X14:AB14)&lt;5,"",IFERROR(ROUND(AVERAGE(X14:AB14),2),"REVISAR"))</f>
        <v>3</v>
      </c>
      <c r="AU14" s="11" t="n">
        <f aca="false">IF(COUNT(N14:AB14)&lt;15,"",IFERROR(SUM(N14:AB14),"REVISAR"))</f>
        <v>45</v>
      </c>
      <c r="AV14" s="18" t="n">
        <f aca="false">IF(AU14="","",IF(ISNUMBER(AU14),IF(AU14&lt;=35,1,IF(AU14&lt;=55,2,3)),"REVISAR"))</f>
        <v>2</v>
      </c>
      <c r="AW14" s="27" t="n">
        <f aca="false">IF(COUNT(AC14:AG14)&lt;5,"",IFERROR(ROUND(AVERAGE(AC14:AG14),2),"REVISAR"))</f>
        <v>4.2</v>
      </c>
      <c r="AX14" s="27" t="n">
        <f aca="false">IF(COUNT(AH14:AL14)&lt;5,"",IFERROR(ROUND(AVERAGE(AH14:AL14),2),"REVISAR"))</f>
        <v>4.4</v>
      </c>
      <c r="AY14" s="27" t="n">
        <f aca="false">IF(COUNT(AM14:AQ14)&lt;5,"",IFERROR(ROUND(AVERAGE(AM14:AQ14),2),"REVISAR"))</f>
        <v>4.8</v>
      </c>
      <c r="AZ14" s="11" t="n">
        <f aca="false">IF(COUNT(AC14:AQ14)&lt;15,"",IFERROR(SUM(AC14:AQ14),"REVISAR"))</f>
        <v>67</v>
      </c>
      <c r="BA14" s="18" t="n">
        <f aca="false">IF(AZ14="","",IF(ISNUMBER(AZ14),IF(AZ14&lt;=35,1,IF(AZ14&lt;=55,2,3)),"REVISAR"))</f>
        <v>3</v>
      </c>
      <c r="BB14" s="28" t="n">
        <f aca="false">IF(OR(J14="",K14=""),"",IFERROR(ROUND(K14-J14,1),"REVISAR"))</f>
        <v>-6.7</v>
      </c>
      <c r="BC14" s="11" t="n">
        <f aca="false">IF(OR(L14="",M14=""),"",IFERROR(M14-L14,"REVISAR"))</f>
        <v>24</v>
      </c>
      <c r="BD14" s="11" t="n">
        <f aca="false">IF(OR(AU14="",AZ14=""),"",IFERROR(AZ14-AU14,"REVISAR"))</f>
        <v>22</v>
      </c>
      <c r="BE14" s="23"/>
      <c r="BF14" s="21"/>
    </row>
    <row r="15" customFormat="false" ht="15" hidden="false" customHeight="false" outlineLevel="0" collapsed="false">
      <c r="A15" s="17" t="s">
        <v>62</v>
      </c>
      <c r="B15" s="23" t="n">
        <v>1</v>
      </c>
      <c r="C15" s="19" t="n">
        <f aca="false">IFERROR(IF(INDEX(2a_PRE_TRABAJO!$B$5:$B$51,MATCH($A15,2a_PRE_TRABAJO!$A$5:$A$51,0))="","",INDEX(2a_PRE_TRABAJO!$B$5:$B$51,MATCH($A15,2a_PRE_TRABAJO!$A$5:$A$51,0))),"")</f>
        <v>1</v>
      </c>
      <c r="D15" s="19" t="n">
        <f aca="false">IFERROR(IF(INDEX(2a_PRE_TRABAJO!$C$5:$C$51,MATCH($A15,2a_PRE_TRABAJO!$A$5:$A$51,0))="","",INDEX(2a_PRE_TRABAJO!$C$5:$C$51,MATCH($A15,2a_PRE_TRABAJO!$A$5:$A$51,0))),"")</f>
        <v>1</v>
      </c>
      <c r="E15" s="19" t="n">
        <f aca="false">IFERROR(IF(INDEX(2a_PRE_TRABAJO!$D$5:$D$51,MATCH($A15,2a_PRE_TRABAJO!$A$5:$A$51,0))="","",INDEX(2a_PRE_TRABAJO!$D$5:$D$51,MATCH($A15,2a_PRE_TRABAJO!$A$5:$A$51,0))),"")</f>
        <v>27</v>
      </c>
      <c r="F15" s="19" t="n">
        <f aca="false">IFERROR(IF(INDEX(2a_PRE_TRABAJO!$E$5:$E$51,MATCH($A15,2a_PRE_TRABAJO!$A$5:$A$51,0))="","",INDEX(2a_PRE_TRABAJO!$E$5:$E$51,MATCH($A15,2a_PRE_TRABAJO!$A$5:$A$51,0))),"")</f>
        <v>6</v>
      </c>
      <c r="G15" s="19" t="str">
        <f aca="false">IFERROR(IF(INDEX(2a_PRE_TRABAJO!$F$5:$F$51,MATCH($A15,2a_PRE_TRABAJO!$A$5:$A$51,0))="","",INDEX(2a_PRE_TRABAJO!$F$5:$F$51,MATCH($A15,2a_PRE_TRABAJO!$A$5:$A$51,0))),"")</f>
        <v>Tecnico</v>
      </c>
      <c r="H15" s="24" t="n">
        <f aca="false">IFERROR(IF(INDEX(2a_PRE_TRABAJO!$G$5:$G$51,MATCH($A15,2a_PRE_TRABAJO!$A$5:$A$51,0))="","",INDEX(2a_PRE_TRABAJO!$G$5:$G$51,MATCH($A15,2a_PRE_TRABAJO!$A$5:$A$51,0))),"")</f>
        <v>46258</v>
      </c>
      <c r="I15" s="24" t="n">
        <f aca="false">IFERROR(IF(INDEX(2b_POST_TRABAJO!$C$5:$C$48,MATCH($A15,2b_POST_TRABAJO!$A$5:$A$48,0))="","",INDEX(2b_POST_TRABAJO!$C$5:$C$48,MATCH($A15,2b_POST_TRABAJO!$A$5:$A$48,0))),"")</f>
        <v>46307</v>
      </c>
      <c r="J15" s="25" t="n">
        <f aca="false">IFERROR(IF(INDEX(2a_PRE_TRABAJO!$H$5:$H$51,MATCH($A15,2a_PRE_TRABAJO!$A$5:$A$51,0))="","",INDEX(2a_PRE_TRABAJO!$H$5:$H$51,MATCH($A15,2a_PRE_TRABAJO!$A$5:$A$51,0))),"")</f>
        <v>48</v>
      </c>
      <c r="K15" s="25" t="n">
        <f aca="false">IFERROR(IF(INDEX(2b_POST_TRABAJO!$D$5:$D$48,MATCH($A15,2b_POST_TRABAJO!$A$5:$A$48,0))="","",INDEX(2b_POST_TRABAJO!$D$5:$D$48,MATCH($A15,2b_POST_TRABAJO!$A$5:$A$48,0))),"")</f>
        <v>8.8</v>
      </c>
      <c r="L15" s="26" t="n">
        <f aca="false">IFERROR(IF(INDEX(2a_PRE_TRABAJO!$I$5:$I$51,MATCH($A15,2a_PRE_TRABAJO!$A$5:$A$51,0))="","",INDEX(2a_PRE_TRABAJO!$I$5:$I$51,MATCH($A15,2a_PRE_TRABAJO!$A$5:$A$51,0))),"")</f>
        <v>53</v>
      </c>
      <c r="M15" s="26" t="n">
        <f aca="false">IFERROR(IF(INDEX(2b_POST_TRABAJO!$E$5:$E$48,MATCH($A15,2b_POST_TRABAJO!$A$5:$A$48,0))="","",INDEX(2b_POST_TRABAJO!$E$5:$E$48,MATCH($A15,2b_POST_TRABAJO!$A$5:$A$48,0))),"")</f>
        <v>71</v>
      </c>
      <c r="N15" s="19" t="n">
        <f aca="false">IFERROR(IF(INDEX(2a_PRE_TRABAJO!$J$5:$J$51,MATCH($A15,2a_PRE_TRABAJO!$A$5:$A$51,0))="","",INDEX(2a_PRE_TRABAJO!$J$5:$J$51,MATCH($A15,2a_PRE_TRABAJO!$A$5:$A$51,0))),"")</f>
        <v>3</v>
      </c>
      <c r="O15" s="19" t="n">
        <f aca="false">IFERROR(IF(INDEX(2a_PRE_TRABAJO!$K$5:$K$51,MATCH($A15,2a_PRE_TRABAJO!$A$5:$A$51,0))="","",INDEX(2a_PRE_TRABAJO!$K$5:$K$51,MATCH($A15,2a_PRE_TRABAJO!$A$5:$A$51,0))),"")</f>
        <v>4</v>
      </c>
      <c r="P15" s="19" t="n">
        <f aca="false">IFERROR(IF(INDEX(2a_PRE_TRABAJO!$L$5:$L$51,MATCH($A15,2a_PRE_TRABAJO!$A$5:$A$51,0))="","",INDEX(2a_PRE_TRABAJO!$L$5:$L$51,MATCH($A15,2a_PRE_TRABAJO!$A$5:$A$51,0))),"")</f>
        <v>3</v>
      </c>
      <c r="Q15" s="19" t="n">
        <f aca="false">IF(IFERROR(IF(INDEX(2a_PRE_TRABAJO!$M$5:$M$51,MATCH($A15,2a_PRE_TRABAJO!$A$5:$A$51,0))="","",INDEX(2a_PRE_TRABAJO!$M$5:$M$51,MATCH($A15,2a_PRE_TRABAJO!$A$5:$A$51,0))),"")="","",IFERROR(6-IFERROR(IF(INDEX(2a_PRE_TRABAJO!$M$5:$M$51,MATCH($A15,2a_PRE_TRABAJO!$A$5:$A$51,0))="","",INDEX(2a_PRE_TRABAJO!$M$5:$M$51,MATCH($A15,2a_PRE_TRABAJO!$A$5:$A$51,0))),""),"REVISAR"))</f>
        <v>3</v>
      </c>
      <c r="R15" s="19" t="n">
        <f aca="false">IFERROR(IF(INDEX(2a_PRE_TRABAJO!$N$5:$N$51,MATCH($A15,2a_PRE_TRABAJO!$A$5:$A$51,0))="","",INDEX(2a_PRE_TRABAJO!$N$5:$N$51,MATCH($A15,2a_PRE_TRABAJO!$A$5:$A$51,0))),"")</f>
        <v>3</v>
      </c>
      <c r="S15" s="19" t="n">
        <f aca="false">IFERROR(IF(INDEX(2a_PRE_TRABAJO!$O$5:$O$51,MATCH($A15,2a_PRE_TRABAJO!$A$5:$A$51,0))="","",INDEX(2a_PRE_TRABAJO!$O$5:$O$51,MATCH($A15,2a_PRE_TRABAJO!$A$5:$A$51,0))),"")</f>
        <v>2</v>
      </c>
      <c r="T15" s="19" t="n">
        <f aca="false">IFERROR(IF(INDEX(2a_PRE_TRABAJO!$P$5:$P$51,MATCH($A15,2a_PRE_TRABAJO!$A$5:$A$51,0))="","",INDEX(2a_PRE_TRABAJO!$P$5:$P$51,MATCH($A15,2a_PRE_TRABAJO!$A$5:$A$51,0))),"")</f>
        <v>4</v>
      </c>
      <c r="U15" s="19" t="n">
        <f aca="false">IFERROR(IF(INDEX(2a_PRE_TRABAJO!$Q$5:$Q$51,MATCH($A15,2a_PRE_TRABAJO!$A$5:$A$51,0))="","",INDEX(2a_PRE_TRABAJO!$Q$5:$Q$51,MATCH($A15,2a_PRE_TRABAJO!$A$5:$A$51,0))),"")</f>
        <v>2</v>
      </c>
      <c r="V15" s="19" t="n">
        <f aca="false">IFERROR(IF(INDEX(2a_PRE_TRABAJO!$R$5:$R$51,MATCH($A15,2a_PRE_TRABAJO!$A$5:$A$51,0))="","",INDEX(2a_PRE_TRABAJO!$R$5:$R$51,MATCH($A15,2a_PRE_TRABAJO!$A$5:$A$51,0))),"")</f>
        <v>4</v>
      </c>
      <c r="W15" s="19" t="n">
        <f aca="false">IFERROR(IF(INDEX(2a_PRE_TRABAJO!$S$5:$S$51,MATCH($A15,2a_PRE_TRABAJO!$A$5:$A$51,0))="","",INDEX(2a_PRE_TRABAJO!$S$5:$S$51,MATCH($A15,2a_PRE_TRABAJO!$A$5:$A$51,0))),"")</f>
        <v>3</v>
      </c>
      <c r="X15" s="19" t="n">
        <f aca="false">IFERROR(IF(INDEX(2a_PRE_TRABAJO!$T$5:$T$51,MATCH($A15,2a_PRE_TRABAJO!$A$5:$A$51,0))="","",INDEX(2a_PRE_TRABAJO!$T$5:$T$51,MATCH($A15,2a_PRE_TRABAJO!$A$5:$A$51,0))),"")</f>
        <v>2</v>
      </c>
      <c r="Y15" s="19" t="n">
        <f aca="false">IF(IFERROR(IF(INDEX(2a_PRE_TRABAJO!$U$5:$U$51,MATCH($A15,2a_PRE_TRABAJO!$A$5:$A$51,0))="","",INDEX(2a_PRE_TRABAJO!$U$5:$U$51,MATCH($A15,2a_PRE_TRABAJO!$A$5:$A$51,0))),"")="","",IFERROR(6-IFERROR(IF(INDEX(2a_PRE_TRABAJO!$U$5:$U$51,MATCH($A15,2a_PRE_TRABAJO!$A$5:$A$51,0))="","",INDEX(2a_PRE_TRABAJO!$U$5:$U$51,MATCH($A15,2a_PRE_TRABAJO!$A$5:$A$51,0))),""),"REVISAR"))</f>
        <v>3</v>
      </c>
      <c r="Z15" s="19" t="n">
        <f aca="false">IFERROR(IF(INDEX(2a_PRE_TRABAJO!$V$5:$V$51,MATCH($A15,2a_PRE_TRABAJO!$A$5:$A$51,0))="","",INDEX(2a_PRE_TRABAJO!$V$5:$V$51,MATCH($A15,2a_PRE_TRABAJO!$A$5:$A$51,0))),"")</f>
        <v>3</v>
      </c>
      <c r="AA15" s="19" t="n">
        <f aca="false">IFERROR(IF(INDEX(2a_PRE_TRABAJO!$W$5:$W$51,MATCH($A15,2a_PRE_TRABAJO!$A$5:$A$51,0))="","",INDEX(2a_PRE_TRABAJO!$W$5:$W$51,MATCH($A15,2a_PRE_TRABAJO!$A$5:$A$51,0))),"")</f>
        <v>2</v>
      </c>
      <c r="AB15" s="19" t="n">
        <f aca="false">IFERROR(IF(INDEX(2a_PRE_TRABAJO!$X$5:$X$51,MATCH($A15,2a_PRE_TRABAJO!$A$5:$A$51,0))="","",INDEX(2a_PRE_TRABAJO!$X$5:$X$51,MATCH($A15,2a_PRE_TRABAJO!$A$5:$A$51,0))),"")</f>
        <v>3</v>
      </c>
      <c r="AC15" s="19" t="n">
        <f aca="false">IFERROR(IF(INDEX(2b_POST_TRABAJO!$F$5:$F$48,MATCH($A15,2b_POST_TRABAJO!$A$5:$A$48,0))="","",INDEX(2b_POST_TRABAJO!$F$5:$F$48,MATCH($A15,2b_POST_TRABAJO!$A$5:$A$48,0))),"")</f>
        <v>5</v>
      </c>
      <c r="AD15" s="19" t="n">
        <f aca="false">IFERROR(IF(INDEX(2b_POST_TRABAJO!$G$5:$G$48,MATCH($A15,2b_POST_TRABAJO!$A$5:$A$48,0))="","",INDEX(2b_POST_TRABAJO!$G$5:$G$48,MATCH($A15,2b_POST_TRABAJO!$A$5:$A$48,0))),"")</f>
        <v>4</v>
      </c>
      <c r="AE15" s="19" t="n">
        <f aca="false">IFERROR(IF(INDEX(2b_POST_TRABAJO!$H$5:$H$48,MATCH($A15,2b_POST_TRABAJO!$A$5:$A$48,0))="","",INDEX(2b_POST_TRABAJO!$H$5:$H$48,MATCH($A15,2b_POST_TRABAJO!$A$5:$A$48,0))),"")</f>
        <v>5</v>
      </c>
      <c r="AF15" s="19" t="n">
        <f aca="false">IF(IFERROR(IF(INDEX(2b_POST_TRABAJO!$I$5:$I$48,MATCH($A15,2b_POST_TRABAJO!$A$5:$A$48,0))="","",INDEX(2b_POST_TRABAJO!$I$5:$I$48,MATCH($A15,2b_POST_TRABAJO!$A$5:$A$48,0))),"")="","",IFERROR(6-IFERROR(IF(INDEX(2b_POST_TRABAJO!$I$5:$I$48,MATCH($A15,2b_POST_TRABAJO!$A$5:$A$48,0))="","",INDEX(2b_POST_TRABAJO!$I$5:$I$48,MATCH($A15,2b_POST_TRABAJO!$A$5:$A$48,0))),""),"REVISAR"))</f>
        <v>5</v>
      </c>
      <c r="AG15" s="19" t="n">
        <f aca="false">IFERROR(IF(INDEX(2b_POST_TRABAJO!$J$5:$J$48,MATCH($A15,2b_POST_TRABAJO!$A$5:$A$48,0))="","",INDEX(2b_POST_TRABAJO!$J$5:$J$48,MATCH($A15,2b_POST_TRABAJO!$A$5:$A$48,0))),"")</f>
        <v>3</v>
      </c>
      <c r="AH15" s="19" t="n">
        <f aca="false">IFERROR(IF(INDEX(2b_POST_TRABAJO!$K$5:$K$48,MATCH($A15,2b_POST_TRABAJO!$A$5:$A$48,0))="","",INDEX(2b_POST_TRABAJO!$K$5:$K$48,MATCH($A15,2b_POST_TRABAJO!$A$5:$A$48,0))),"")</f>
        <v>5</v>
      </c>
      <c r="AI15" s="19" t="n">
        <f aca="false">IFERROR(IF(INDEX(2b_POST_TRABAJO!$L$5:$L$48,MATCH($A15,2b_POST_TRABAJO!$A$5:$A$48,0))="","",INDEX(2b_POST_TRABAJO!$L$5:$L$48,MATCH($A15,2b_POST_TRABAJO!$A$5:$A$48,0))),"")</f>
        <v>5</v>
      </c>
      <c r="AJ15" s="19" t="n">
        <f aca="false">IFERROR(IF(INDEX(2b_POST_TRABAJO!$M$5:$M$48,MATCH($A15,2b_POST_TRABAJO!$A$5:$A$48,0))="","",INDEX(2b_POST_TRABAJO!$M$5:$M$48,MATCH($A15,2b_POST_TRABAJO!$A$5:$A$48,0))),"")</f>
        <v>5</v>
      </c>
      <c r="AK15" s="19" t="n">
        <f aca="false">IFERROR(IF(INDEX(2b_POST_TRABAJO!$N$5:$N$48,MATCH($A15,2b_POST_TRABAJO!$A$5:$A$48,0))="","",INDEX(2b_POST_TRABAJO!$N$5:$N$48,MATCH($A15,2b_POST_TRABAJO!$A$5:$A$48,0))),"")</f>
        <v>5</v>
      </c>
      <c r="AL15" s="19" t="n">
        <f aca="false">IFERROR(IF(INDEX(2b_POST_TRABAJO!$O$5:$O$48,MATCH($A15,2b_POST_TRABAJO!$A$5:$A$48,0))="","",INDEX(2b_POST_TRABAJO!$O$5:$O$48,MATCH($A15,2b_POST_TRABAJO!$A$5:$A$48,0))),"")</f>
        <v>5</v>
      </c>
      <c r="AM15" s="19" t="n">
        <f aca="false">IFERROR(IF(INDEX(2b_POST_TRABAJO!$P$5:$P$48,MATCH($A15,2b_POST_TRABAJO!$A$5:$A$48,0))="","",INDEX(2b_POST_TRABAJO!$P$5:$P$48,MATCH($A15,2b_POST_TRABAJO!$A$5:$A$48,0))),"")</f>
        <v>5</v>
      </c>
      <c r="AN15" s="19" t="n">
        <f aca="false">IF(IFERROR(IF(INDEX(2b_POST_TRABAJO!$Q$5:$Q$48,MATCH($A15,2b_POST_TRABAJO!$A$5:$A$48,0))="","",INDEX(2b_POST_TRABAJO!$Q$5:$Q$48,MATCH($A15,2b_POST_TRABAJO!$A$5:$A$48,0))),"")="","",IFERROR(6-IFERROR(IF(INDEX(2b_POST_TRABAJO!$Q$5:$Q$48,MATCH($A15,2b_POST_TRABAJO!$A$5:$A$48,0))="","",INDEX(2b_POST_TRABAJO!$Q$5:$Q$48,MATCH($A15,2b_POST_TRABAJO!$A$5:$A$48,0))),""),"REVISAR"))</f>
        <v>5</v>
      </c>
      <c r="AO15" s="19" t="n">
        <f aca="false">IFERROR(IF(INDEX(2b_POST_TRABAJO!$R$5:$R$48,MATCH($A15,2b_POST_TRABAJO!$A$5:$A$48,0))="","",INDEX(2b_POST_TRABAJO!$R$5:$R$48,MATCH($A15,2b_POST_TRABAJO!$A$5:$A$48,0))),"")</f>
        <v>5</v>
      </c>
      <c r="AP15" s="19" t="n">
        <f aca="false">IFERROR(IF(INDEX(2b_POST_TRABAJO!$S$5:$S$48,MATCH($A15,2b_POST_TRABAJO!$A$5:$A$48,0))="","",INDEX(2b_POST_TRABAJO!$S$5:$S$48,MATCH($A15,2b_POST_TRABAJO!$A$5:$A$48,0))),"")</f>
        <v>5</v>
      </c>
      <c r="AQ15" s="19" t="n">
        <f aca="false">IFERROR(IF(INDEX(2b_POST_TRABAJO!$T$5:$T$48,MATCH($A15,2b_POST_TRABAJO!$A$5:$A$48,0))="","",INDEX(2b_POST_TRABAJO!$T$5:$T$48,MATCH($A15,2b_POST_TRABAJO!$A$5:$A$48,0))),"")</f>
        <v>4</v>
      </c>
      <c r="AR15" s="27" t="n">
        <f aca="false">IF(COUNT(N15:R15)&lt;5,"",IFERROR(ROUND(AVERAGE(N15:R15),2),"REVISAR"))</f>
        <v>3.2</v>
      </c>
      <c r="AS15" s="27" t="n">
        <f aca="false">IF(COUNT(S15:W15)&lt;5,"",IFERROR(ROUND(AVERAGE(S15:W15),2),"REVISAR"))</f>
        <v>3</v>
      </c>
      <c r="AT15" s="27" t="n">
        <f aca="false">IF(COUNT(X15:AB15)&lt;5,"",IFERROR(ROUND(AVERAGE(X15:AB15),2),"REVISAR"))</f>
        <v>2.6</v>
      </c>
      <c r="AU15" s="11" t="n">
        <f aca="false">IF(COUNT(N15:AB15)&lt;15,"",IFERROR(SUM(N15:AB15),"REVISAR"))</f>
        <v>44</v>
      </c>
      <c r="AV15" s="18" t="n">
        <f aca="false">IF(AU15="","",IF(ISNUMBER(AU15),IF(AU15&lt;=35,1,IF(AU15&lt;=55,2,3)),"REVISAR"))</f>
        <v>2</v>
      </c>
      <c r="AW15" s="27" t="n">
        <f aca="false">IF(COUNT(AC15:AG15)&lt;5,"",IFERROR(ROUND(AVERAGE(AC15:AG15),2),"REVISAR"))</f>
        <v>4.4</v>
      </c>
      <c r="AX15" s="27" t="n">
        <f aca="false">IF(COUNT(AH15:AL15)&lt;5,"",IFERROR(ROUND(AVERAGE(AH15:AL15),2),"REVISAR"))</f>
        <v>5</v>
      </c>
      <c r="AY15" s="27" t="n">
        <f aca="false">IF(COUNT(AM15:AQ15)&lt;5,"",IFERROR(ROUND(AVERAGE(AM15:AQ15),2),"REVISAR"))</f>
        <v>4.8</v>
      </c>
      <c r="AZ15" s="11" t="n">
        <f aca="false">IF(COUNT(AC15:AQ15)&lt;15,"",IFERROR(SUM(AC15:AQ15),"REVISAR"))</f>
        <v>71</v>
      </c>
      <c r="BA15" s="18" t="n">
        <f aca="false">IF(AZ15="","",IF(ISNUMBER(AZ15),IF(AZ15&lt;=35,1,IF(AZ15&lt;=55,2,3)),"REVISAR"))</f>
        <v>3</v>
      </c>
      <c r="BB15" s="28" t="n">
        <f aca="false">IF(OR(J15="",K15=""),"",IFERROR(ROUND(K15-J15,1),"REVISAR"))</f>
        <v>-39.2</v>
      </c>
      <c r="BC15" s="11" t="n">
        <f aca="false">IF(OR(L15="",M15=""),"",IFERROR(M15-L15,"REVISAR"))</f>
        <v>18</v>
      </c>
      <c r="BD15" s="11" t="n">
        <f aca="false">IF(OR(AU15="",AZ15=""),"",IFERROR(AZ15-AU15,"REVISAR"))</f>
        <v>27</v>
      </c>
      <c r="BE15" s="23"/>
      <c r="BF15" s="21"/>
    </row>
    <row r="16" customFormat="false" ht="15" hidden="false" customHeight="false" outlineLevel="0" collapsed="false">
      <c r="A16" s="17" t="s">
        <v>64</v>
      </c>
      <c r="B16" s="23" t="n">
        <v>1</v>
      </c>
      <c r="C16" s="19" t="n">
        <f aca="false">IFERROR(IF(INDEX(2a_PRE_TRABAJO!$B$5:$B$51,MATCH($A16,2a_PRE_TRABAJO!$A$5:$A$51,0))="","",INDEX(2a_PRE_TRABAJO!$B$5:$B$51,MATCH($A16,2a_PRE_TRABAJO!$A$5:$A$51,0))),"")</f>
        <v>1</v>
      </c>
      <c r="D16" s="19" t="n">
        <f aca="false">IFERROR(IF(INDEX(2a_PRE_TRABAJO!$C$5:$C$51,MATCH($A16,2a_PRE_TRABAJO!$A$5:$A$51,0))="","",INDEX(2a_PRE_TRABAJO!$C$5:$C$51,MATCH($A16,2a_PRE_TRABAJO!$A$5:$A$51,0))),"")</f>
        <v>1</v>
      </c>
      <c r="E16" s="19" t="n">
        <f aca="false">IFERROR(IF(INDEX(2a_PRE_TRABAJO!$D$5:$D$51,MATCH($A16,2a_PRE_TRABAJO!$A$5:$A$51,0))="","",INDEX(2a_PRE_TRABAJO!$D$5:$D$51,MATCH($A16,2a_PRE_TRABAJO!$A$5:$A$51,0))),"")</f>
        <v>24</v>
      </c>
      <c r="F16" s="19" t="n">
        <f aca="false">IFERROR(IF(INDEX(2a_PRE_TRABAJO!$E$5:$E$51,MATCH($A16,2a_PRE_TRABAJO!$A$5:$A$51,0))="","",INDEX(2a_PRE_TRABAJO!$E$5:$E$51,MATCH($A16,2a_PRE_TRABAJO!$A$5:$A$51,0))),"")</f>
        <v>2</v>
      </c>
      <c r="G16" s="19" t="str">
        <f aca="false">IFERROR(IF(INDEX(2a_PRE_TRABAJO!$F$5:$F$51,MATCH($A16,2a_PRE_TRABAJO!$A$5:$A$51,0))="","",INDEX(2a_PRE_TRABAJO!$F$5:$F$51,MATCH($A16,2a_PRE_TRABAJO!$A$5:$A$51,0))),"")</f>
        <v>TÉCNICO</v>
      </c>
      <c r="H16" s="24" t="n">
        <f aca="false">IFERROR(IF(INDEX(2a_PRE_TRABAJO!$G$5:$G$51,MATCH($A16,2a_PRE_TRABAJO!$A$5:$A$51,0))="","",INDEX(2a_PRE_TRABAJO!$G$5:$G$51,MATCH($A16,2a_PRE_TRABAJO!$A$5:$A$51,0))),"")</f>
        <v>46259</v>
      </c>
      <c r="I16" s="24" t="n">
        <f aca="false">IFERROR(IF(INDEX(2b_POST_TRABAJO!$C$5:$C$48,MATCH($A16,2b_POST_TRABAJO!$A$5:$A$48,0))="","",INDEX(2b_POST_TRABAJO!$C$5:$C$48,MATCH($A16,2b_POST_TRABAJO!$A$5:$A$48,0))),"")</f>
        <v>46308</v>
      </c>
      <c r="J16" s="25" t="n">
        <f aca="false">IFERROR(IF(INDEX(2a_PRE_TRABAJO!$H$5:$H$51,MATCH($A16,2a_PRE_TRABAJO!$A$5:$A$51,0))="","",INDEX(2a_PRE_TRABAJO!$H$5:$H$51,MATCH($A16,2a_PRE_TRABAJO!$A$5:$A$51,0))),"")</f>
        <v>9.2</v>
      </c>
      <c r="K16" s="25" t="n">
        <f aca="false">IFERROR(IF(INDEX(2b_POST_TRABAJO!$D$5:$D$48,MATCH($A16,2b_POST_TRABAJO!$A$5:$A$48,0))="","",INDEX(2b_POST_TRABAJO!$D$5:$D$48,MATCH($A16,2b_POST_TRABAJO!$A$5:$A$48,0))),"")</f>
        <v>5</v>
      </c>
      <c r="L16" s="26" t="n">
        <f aca="false">IFERROR(IF(INDEX(2a_PRE_TRABAJO!$I$5:$I$51,MATCH($A16,2a_PRE_TRABAJO!$A$5:$A$51,0))="","",INDEX(2a_PRE_TRABAJO!$I$5:$I$51,MATCH($A16,2a_PRE_TRABAJO!$A$5:$A$51,0))),"")</f>
        <v>58</v>
      </c>
      <c r="M16" s="26" t="n">
        <f aca="false">IFERROR(IF(INDEX(2b_POST_TRABAJO!$E$5:$E$48,MATCH($A16,2b_POST_TRABAJO!$A$5:$A$48,0))="","",INDEX(2b_POST_TRABAJO!$E$5:$E$48,MATCH($A16,2b_POST_TRABAJO!$A$5:$A$48,0))),"")</f>
        <v>77</v>
      </c>
      <c r="N16" s="19" t="n">
        <f aca="false">IFERROR(IF(INDEX(2a_PRE_TRABAJO!$J$5:$J$51,MATCH($A16,2a_PRE_TRABAJO!$A$5:$A$51,0))="","",INDEX(2a_PRE_TRABAJO!$J$5:$J$51,MATCH($A16,2a_PRE_TRABAJO!$A$5:$A$51,0))),"")</f>
        <v>3</v>
      </c>
      <c r="O16" s="19" t="n">
        <f aca="false">IFERROR(IF(INDEX(2a_PRE_TRABAJO!$K$5:$K$51,MATCH($A16,2a_PRE_TRABAJO!$A$5:$A$51,0))="","",INDEX(2a_PRE_TRABAJO!$K$5:$K$51,MATCH($A16,2a_PRE_TRABAJO!$A$5:$A$51,0))),"")</f>
        <v>3</v>
      </c>
      <c r="P16" s="19" t="n">
        <f aca="false">IFERROR(IF(INDEX(2a_PRE_TRABAJO!$L$5:$L$51,MATCH($A16,2a_PRE_TRABAJO!$A$5:$A$51,0))="","",INDEX(2a_PRE_TRABAJO!$L$5:$L$51,MATCH($A16,2a_PRE_TRABAJO!$A$5:$A$51,0))),"")</f>
        <v>2</v>
      </c>
      <c r="Q16" s="19" t="n">
        <f aca="false">IF(IFERROR(IF(INDEX(2a_PRE_TRABAJO!$M$5:$M$51,MATCH($A16,2a_PRE_TRABAJO!$A$5:$A$51,0))="","",INDEX(2a_PRE_TRABAJO!$M$5:$M$51,MATCH($A16,2a_PRE_TRABAJO!$A$5:$A$51,0))),"")="","",IFERROR(6-IFERROR(IF(INDEX(2a_PRE_TRABAJO!$M$5:$M$51,MATCH($A16,2a_PRE_TRABAJO!$A$5:$A$51,0))="","",INDEX(2a_PRE_TRABAJO!$M$5:$M$51,MATCH($A16,2a_PRE_TRABAJO!$A$5:$A$51,0))),""),"REVISAR"))</f>
        <v>5</v>
      </c>
      <c r="R16" s="19" t="n">
        <f aca="false">IFERROR(IF(INDEX(2a_PRE_TRABAJO!$N$5:$N$51,MATCH($A16,2a_PRE_TRABAJO!$A$5:$A$51,0))="","",INDEX(2a_PRE_TRABAJO!$N$5:$N$51,MATCH($A16,2a_PRE_TRABAJO!$A$5:$A$51,0))),"")</f>
        <v>2</v>
      </c>
      <c r="S16" s="19" t="n">
        <f aca="false">IFERROR(IF(INDEX(2a_PRE_TRABAJO!$O$5:$O$51,MATCH($A16,2a_PRE_TRABAJO!$A$5:$A$51,0))="","",INDEX(2a_PRE_TRABAJO!$O$5:$O$51,MATCH($A16,2a_PRE_TRABAJO!$A$5:$A$51,0))),"")</f>
        <v>3</v>
      </c>
      <c r="T16" s="19" t="n">
        <f aca="false">IFERROR(IF(INDEX(2a_PRE_TRABAJO!$P$5:$P$51,MATCH($A16,2a_PRE_TRABAJO!$A$5:$A$51,0))="","",INDEX(2a_PRE_TRABAJO!$P$5:$P$51,MATCH($A16,2a_PRE_TRABAJO!$A$5:$A$51,0))),"")</f>
        <v>4</v>
      </c>
      <c r="U16" s="19" t="n">
        <f aca="false">IFERROR(IF(INDEX(2a_PRE_TRABAJO!$Q$5:$Q$51,MATCH($A16,2a_PRE_TRABAJO!$A$5:$A$51,0))="","",INDEX(2a_PRE_TRABAJO!$Q$5:$Q$51,MATCH($A16,2a_PRE_TRABAJO!$A$5:$A$51,0))),"")</f>
        <v>3</v>
      </c>
      <c r="V16" s="19" t="n">
        <f aca="false">IFERROR(IF(INDEX(2a_PRE_TRABAJO!$R$5:$R$51,MATCH($A16,2a_PRE_TRABAJO!$A$5:$A$51,0))="","",INDEX(2a_PRE_TRABAJO!$R$5:$R$51,MATCH($A16,2a_PRE_TRABAJO!$A$5:$A$51,0))),"")</f>
        <v>2</v>
      </c>
      <c r="W16" s="19" t="n">
        <f aca="false">IFERROR(IF(INDEX(2a_PRE_TRABAJO!$S$5:$S$51,MATCH($A16,2a_PRE_TRABAJO!$A$5:$A$51,0))="","",INDEX(2a_PRE_TRABAJO!$S$5:$S$51,MATCH($A16,2a_PRE_TRABAJO!$A$5:$A$51,0))),"")</f>
        <v>5</v>
      </c>
      <c r="X16" s="19" t="n">
        <f aca="false">IFERROR(IF(INDEX(2a_PRE_TRABAJO!$T$5:$T$51,MATCH($A16,2a_PRE_TRABAJO!$A$5:$A$51,0))="","",INDEX(2a_PRE_TRABAJO!$T$5:$T$51,MATCH($A16,2a_PRE_TRABAJO!$A$5:$A$51,0))),"")</f>
        <v>2</v>
      </c>
      <c r="Y16" s="19" t="n">
        <f aca="false">IF(IFERROR(IF(INDEX(2a_PRE_TRABAJO!$U$5:$U$51,MATCH($A16,2a_PRE_TRABAJO!$A$5:$A$51,0))="","",INDEX(2a_PRE_TRABAJO!$U$5:$U$51,MATCH($A16,2a_PRE_TRABAJO!$A$5:$A$51,0))),"")="","",IFERROR(6-IFERROR(IF(INDEX(2a_PRE_TRABAJO!$U$5:$U$51,MATCH($A16,2a_PRE_TRABAJO!$A$5:$A$51,0))="","",INDEX(2a_PRE_TRABAJO!$U$5:$U$51,MATCH($A16,2a_PRE_TRABAJO!$A$5:$A$51,0))),""),"REVISAR"))</f>
        <v>2</v>
      </c>
      <c r="Z16" s="19" t="n">
        <f aca="false">IFERROR(IF(INDEX(2a_PRE_TRABAJO!$V$5:$V$51,MATCH($A16,2a_PRE_TRABAJO!$A$5:$A$51,0))="","",INDEX(2a_PRE_TRABAJO!$V$5:$V$51,MATCH($A16,2a_PRE_TRABAJO!$A$5:$A$51,0))),"")</f>
        <v>2</v>
      </c>
      <c r="AA16" s="19" t="n">
        <f aca="false">IFERROR(IF(INDEX(2a_PRE_TRABAJO!$W$5:$W$51,MATCH($A16,2a_PRE_TRABAJO!$A$5:$A$51,0))="","",INDEX(2a_PRE_TRABAJO!$W$5:$W$51,MATCH($A16,2a_PRE_TRABAJO!$A$5:$A$51,0))),"")</f>
        <v>2</v>
      </c>
      <c r="AB16" s="19" t="n">
        <f aca="false">IFERROR(IF(INDEX(2a_PRE_TRABAJO!$X$5:$X$51,MATCH($A16,2a_PRE_TRABAJO!$A$5:$A$51,0))="","",INDEX(2a_PRE_TRABAJO!$X$5:$X$51,MATCH($A16,2a_PRE_TRABAJO!$A$5:$A$51,0))),"")</f>
        <v>4</v>
      </c>
      <c r="AC16" s="19" t="n">
        <f aca="false">IFERROR(IF(INDEX(2b_POST_TRABAJO!$F$5:$F$48,MATCH($A16,2b_POST_TRABAJO!$A$5:$A$48,0))="","",INDEX(2b_POST_TRABAJO!$F$5:$F$48,MATCH($A16,2b_POST_TRABAJO!$A$5:$A$48,0))),"")</f>
        <v>5</v>
      </c>
      <c r="AD16" s="19" t="n">
        <f aca="false">IFERROR(IF(INDEX(2b_POST_TRABAJO!$G$5:$G$48,MATCH($A16,2b_POST_TRABAJO!$A$5:$A$48,0))="","",INDEX(2b_POST_TRABAJO!$G$5:$G$48,MATCH($A16,2b_POST_TRABAJO!$A$5:$A$48,0))),"")</f>
        <v>5</v>
      </c>
      <c r="AE16" s="19" t="n">
        <f aca="false">IFERROR(IF(INDEX(2b_POST_TRABAJO!$H$5:$H$48,MATCH($A16,2b_POST_TRABAJO!$A$5:$A$48,0))="","",INDEX(2b_POST_TRABAJO!$H$5:$H$48,MATCH($A16,2b_POST_TRABAJO!$A$5:$A$48,0))),"")</f>
        <v>3</v>
      </c>
      <c r="AF16" s="19" t="n">
        <f aca="false">IF(IFERROR(IF(INDEX(2b_POST_TRABAJO!$I$5:$I$48,MATCH($A16,2b_POST_TRABAJO!$A$5:$A$48,0))="","",INDEX(2b_POST_TRABAJO!$I$5:$I$48,MATCH($A16,2b_POST_TRABAJO!$A$5:$A$48,0))),"")="","",IFERROR(6-IFERROR(IF(INDEX(2b_POST_TRABAJO!$I$5:$I$48,MATCH($A16,2b_POST_TRABAJO!$A$5:$A$48,0))="","",INDEX(2b_POST_TRABAJO!$I$5:$I$48,MATCH($A16,2b_POST_TRABAJO!$A$5:$A$48,0))),""),"REVISAR"))</f>
        <v>4</v>
      </c>
      <c r="AG16" s="19" t="n">
        <f aca="false">IFERROR(IF(INDEX(2b_POST_TRABAJO!$J$5:$J$48,MATCH($A16,2b_POST_TRABAJO!$A$5:$A$48,0))="","",INDEX(2b_POST_TRABAJO!$J$5:$J$48,MATCH($A16,2b_POST_TRABAJO!$A$5:$A$48,0))),"")</f>
        <v>5</v>
      </c>
      <c r="AH16" s="19" t="n">
        <f aca="false">IFERROR(IF(INDEX(2b_POST_TRABAJO!$K$5:$K$48,MATCH($A16,2b_POST_TRABAJO!$A$5:$A$48,0))="","",INDEX(2b_POST_TRABAJO!$K$5:$K$48,MATCH($A16,2b_POST_TRABAJO!$A$5:$A$48,0))),"")</f>
        <v>5</v>
      </c>
      <c r="AI16" s="19" t="n">
        <f aca="false">IFERROR(IF(INDEX(2b_POST_TRABAJO!$L$5:$L$48,MATCH($A16,2b_POST_TRABAJO!$A$5:$A$48,0))="","",INDEX(2b_POST_TRABAJO!$L$5:$L$48,MATCH($A16,2b_POST_TRABAJO!$A$5:$A$48,0))),"")</f>
        <v>3</v>
      </c>
      <c r="AJ16" s="19" t="n">
        <f aca="false">IFERROR(IF(INDEX(2b_POST_TRABAJO!$M$5:$M$48,MATCH($A16,2b_POST_TRABAJO!$A$5:$A$48,0))="","",INDEX(2b_POST_TRABAJO!$M$5:$M$48,MATCH($A16,2b_POST_TRABAJO!$A$5:$A$48,0))),"")</f>
        <v>5</v>
      </c>
      <c r="AK16" s="19" t="n">
        <f aca="false">IFERROR(IF(INDEX(2b_POST_TRABAJO!$N$5:$N$48,MATCH($A16,2b_POST_TRABAJO!$A$5:$A$48,0))="","",INDEX(2b_POST_TRABAJO!$N$5:$N$48,MATCH($A16,2b_POST_TRABAJO!$A$5:$A$48,0))),"")</f>
        <v>5</v>
      </c>
      <c r="AL16" s="19" t="n">
        <f aca="false">IFERROR(IF(INDEX(2b_POST_TRABAJO!$O$5:$O$48,MATCH($A16,2b_POST_TRABAJO!$A$5:$A$48,0))="","",INDEX(2b_POST_TRABAJO!$O$5:$O$48,MATCH($A16,2b_POST_TRABAJO!$A$5:$A$48,0))),"")</f>
        <v>5</v>
      </c>
      <c r="AM16" s="19" t="n">
        <f aca="false">IFERROR(IF(INDEX(2b_POST_TRABAJO!$P$5:$P$48,MATCH($A16,2b_POST_TRABAJO!$A$5:$A$48,0))="","",INDEX(2b_POST_TRABAJO!$P$5:$P$48,MATCH($A16,2b_POST_TRABAJO!$A$5:$A$48,0))),"")</f>
        <v>4</v>
      </c>
      <c r="AN16" s="19" t="n">
        <f aca="false">IF(IFERROR(IF(INDEX(2b_POST_TRABAJO!$Q$5:$Q$48,MATCH($A16,2b_POST_TRABAJO!$A$5:$A$48,0))="","",INDEX(2b_POST_TRABAJO!$Q$5:$Q$48,MATCH($A16,2b_POST_TRABAJO!$A$5:$A$48,0))),"")="","",IFERROR(6-IFERROR(IF(INDEX(2b_POST_TRABAJO!$Q$5:$Q$48,MATCH($A16,2b_POST_TRABAJO!$A$5:$A$48,0))="","",INDEX(2b_POST_TRABAJO!$Q$5:$Q$48,MATCH($A16,2b_POST_TRABAJO!$A$5:$A$48,0))),""),"REVISAR"))</f>
        <v>4</v>
      </c>
      <c r="AO16" s="19" t="n">
        <f aca="false">IFERROR(IF(INDEX(2b_POST_TRABAJO!$R$5:$R$48,MATCH($A16,2b_POST_TRABAJO!$A$5:$A$48,0))="","",INDEX(2b_POST_TRABAJO!$R$5:$R$48,MATCH($A16,2b_POST_TRABAJO!$A$5:$A$48,0))),"")</f>
        <v>4</v>
      </c>
      <c r="AP16" s="19" t="n">
        <f aca="false">IFERROR(IF(INDEX(2b_POST_TRABAJO!$S$5:$S$48,MATCH($A16,2b_POST_TRABAJO!$A$5:$A$48,0))="","",INDEX(2b_POST_TRABAJO!$S$5:$S$48,MATCH($A16,2b_POST_TRABAJO!$A$5:$A$48,0))),"")</f>
        <v>4</v>
      </c>
      <c r="AQ16" s="19" t="n">
        <f aca="false">IFERROR(IF(INDEX(2b_POST_TRABAJO!$T$5:$T$48,MATCH($A16,2b_POST_TRABAJO!$A$5:$A$48,0))="","",INDEX(2b_POST_TRABAJO!$T$5:$T$48,MATCH($A16,2b_POST_TRABAJO!$A$5:$A$48,0))),"")</f>
        <v>5</v>
      </c>
      <c r="AR16" s="27" t="n">
        <f aca="false">IF(COUNT(N16:R16)&lt;5,"",IFERROR(ROUND(AVERAGE(N16:R16),2),"REVISAR"))</f>
        <v>3</v>
      </c>
      <c r="AS16" s="27" t="n">
        <f aca="false">IF(COUNT(S16:W16)&lt;5,"",IFERROR(ROUND(AVERAGE(S16:W16),2),"REVISAR"))</f>
        <v>3.4</v>
      </c>
      <c r="AT16" s="27" t="n">
        <f aca="false">IF(COUNT(X16:AB16)&lt;5,"",IFERROR(ROUND(AVERAGE(X16:AB16),2),"REVISAR"))</f>
        <v>2.4</v>
      </c>
      <c r="AU16" s="11" t="n">
        <f aca="false">IF(COUNT(N16:AB16)&lt;15,"",IFERROR(SUM(N16:AB16),"REVISAR"))</f>
        <v>44</v>
      </c>
      <c r="AV16" s="18" t="n">
        <f aca="false">IF(AU16="","",IF(ISNUMBER(AU16),IF(AU16&lt;=35,1,IF(AU16&lt;=55,2,3)),"REVISAR"))</f>
        <v>2</v>
      </c>
      <c r="AW16" s="27" t="n">
        <f aca="false">IF(COUNT(AC16:AG16)&lt;5,"",IFERROR(ROUND(AVERAGE(AC16:AG16),2),"REVISAR"))</f>
        <v>4.4</v>
      </c>
      <c r="AX16" s="27" t="n">
        <f aca="false">IF(COUNT(AH16:AL16)&lt;5,"",IFERROR(ROUND(AVERAGE(AH16:AL16),2),"REVISAR"))</f>
        <v>4.6</v>
      </c>
      <c r="AY16" s="27" t="n">
        <f aca="false">IF(COUNT(AM16:AQ16)&lt;5,"",IFERROR(ROUND(AVERAGE(AM16:AQ16),2),"REVISAR"))</f>
        <v>4.2</v>
      </c>
      <c r="AZ16" s="11" t="n">
        <f aca="false">IF(COUNT(AC16:AQ16)&lt;15,"",IFERROR(SUM(AC16:AQ16),"REVISAR"))</f>
        <v>66</v>
      </c>
      <c r="BA16" s="18" t="n">
        <f aca="false">IF(AZ16="","",IF(ISNUMBER(AZ16),IF(AZ16&lt;=35,1,IF(AZ16&lt;=55,2,3)),"REVISAR"))</f>
        <v>3</v>
      </c>
      <c r="BB16" s="28" t="n">
        <f aca="false">IF(OR(J16="",K16=""),"",IFERROR(ROUND(K16-J16,1),"REVISAR"))</f>
        <v>-4.2</v>
      </c>
      <c r="BC16" s="11" t="n">
        <f aca="false">IF(OR(L16="",M16=""),"",IFERROR(M16-L16,"REVISAR"))</f>
        <v>19</v>
      </c>
      <c r="BD16" s="11" t="n">
        <f aca="false">IF(OR(AU16="",AZ16=""),"",IFERROR(AZ16-AU16,"REVISAR"))</f>
        <v>22</v>
      </c>
      <c r="BE16" s="23"/>
      <c r="BF16" s="21"/>
    </row>
    <row r="17" customFormat="false" ht="15" hidden="false" customHeight="false" outlineLevel="0" collapsed="false">
      <c r="A17" s="17" t="s">
        <v>65</v>
      </c>
      <c r="B17" s="23" t="n">
        <v>1</v>
      </c>
      <c r="C17" s="19" t="n">
        <f aca="false">IFERROR(IF(INDEX(2a_PRE_TRABAJO!$B$5:$B$51,MATCH($A17,2a_PRE_TRABAJO!$A$5:$A$51,0))="","",INDEX(2a_PRE_TRABAJO!$B$5:$B$51,MATCH($A17,2a_PRE_TRABAJO!$A$5:$A$51,0))),"")</f>
        <v>1</v>
      </c>
      <c r="D17" s="19" t="n">
        <f aca="false">IFERROR(IF(INDEX(2a_PRE_TRABAJO!$C$5:$C$51,MATCH($A17,2a_PRE_TRABAJO!$A$5:$A$51,0))="","",INDEX(2a_PRE_TRABAJO!$C$5:$C$51,MATCH($A17,2a_PRE_TRABAJO!$A$5:$A$51,0))),"")</f>
        <v>2</v>
      </c>
      <c r="E17" s="19" t="n">
        <f aca="false">IFERROR(IF(INDEX(2a_PRE_TRABAJO!$D$5:$D$51,MATCH($A17,2a_PRE_TRABAJO!$A$5:$A$51,0))="","",INDEX(2a_PRE_TRABAJO!$D$5:$D$51,MATCH($A17,2a_PRE_TRABAJO!$A$5:$A$51,0))),"")</f>
        <v>43</v>
      </c>
      <c r="F17" s="19" t="n">
        <f aca="false">IFERROR(IF(INDEX(2a_PRE_TRABAJO!$E$5:$E$51,MATCH($A17,2a_PRE_TRABAJO!$A$5:$A$51,0))="","",INDEX(2a_PRE_TRABAJO!$E$5:$E$51,MATCH($A17,2a_PRE_TRABAJO!$A$5:$A$51,0))),"")</f>
        <v>6</v>
      </c>
      <c r="G17" s="19" t="str">
        <f aca="false">IFERROR(IF(INDEX(2a_PRE_TRABAJO!$F$5:$F$51,MATCH($A17,2a_PRE_TRABAJO!$A$5:$A$51,0))="","",INDEX(2a_PRE_TRABAJO!$F$5:$F$51,MATCH($A17,2a_PRE_TRABAJO!$A$5:$A$51,0))),"")</f>
        <v>PROFESIONAL</v>
      </c>
      <c r="H17" s="24" t="n">
        <f aca="false">IFERROR(IF(INDEX(2a_PRE_TRABAJO!$G$5:$G$51,MATCH($A17,2a_PRE_TRABAJO!$A$5:$A$51,0))="","",INDEX(2a_PRE_TRABAJO!$G$5:$G$51,MATCH($A17,2a_PRE_TRABAJO!$A$5:$A$51,0))),"")</f>
        <v>46260</v>
      </c>
      <c r="I17" s="24" t="str">
        <f aca="false">IFERROR(IF(INDEX(2b_POST_TRABAJO!$C$5:$C$48,MATCH($A17,2b_POST_TRABAJO!$A$5:$A$48,0))="","",INDEX(2b_POST_TRABAJO!$C$5:$C$48,MATCH($A17,2b_POST_TRABAJO!$A$5:$A$48,0))),"")</f>
        <v/>
      </c>
      <c r="J17" s="25" t="n">
        <f aca="false">IFERROR(IF(INDEX(2a_PRE_TRABAJO!$H$5:$H$51,MATCH($A17,2a_PRE_TRABAJO!$A$5:$A$51,0))="","",INDEX(2a_PRE_TRABAJO!$H$5:$H$51,MATCH($A17,2a_PRE_TRABAJO!$A$5:$A$51,0))),"")</f>
        <v>15.1</v>
      </c>
      <c r="K17" s="25" t="str">
        <f aca="false">IFERROR(IF(INDEX(2b_POST_TRABAJO!$D$5:$D$48,MATCH($A17,2b_POST_TRABAJO!$A$5:$A$48,0))="","",INDEX(2b_POST_TRABAJO!$D$5:$D$48,MATCH($A17,2b_POST_TRABAJO!$A$5:$A$48,0))),"")</f>
        <v/>
      </c>
      <c r="L17" s="26" t="n">
        <f aca="false">IFERROR(IF(INDEX(2a_PRE_TRABAJO!$I$5:$I$51,MATCH($A17,2a_PRE_TRABAJO!$A$5:$A$51,0))="","",INDEX(2a_PRE_TRABAJO!$I$5:$I$51,MATCH($A17,2a_PRE_TRABAJO!$A$5:$A$51,0))),"")</f>
        <v>65</v>
      </c>
      <c r="M17" s="26" t="str">
        <f aca="false">IFERROR(IF(INDEX(2b_POST_TRABAJO!$E$5:$E$48,MATCH($A17,2b_POST_TRABAJO!$A$5:$A$48,0))="","",INDEX(2b_POST_TRABAJO!$E$5:$E$48,MATCH($A17,2b_POST_TRABAJO!$A$5:$A$48,0))),"")</f>
        <v/>
      </c>
      <c r="N17" s="19" t="n">
        <f aca="false">IFERROR(IF(INDEX(2a_PRE_TRABAJO!$J$5:$J$51,MATCH($A17,2a_PRE_TRABAJO!$A$5:$A$51,0))="","",INDEX(2a_PRE_TRABAJO!$J$5:$J$51,MATCH($A17,2a_PRE_TRABAJO!$A$5:$A$51,0))),"")</f>
        <v>4</v>
      </c>
      <c r="O17" s="19" t="n">
        <f aca="false">IFERROR(IF(INDEX(2a_PRE_TRABAJO!$K$5:$K$51,MATCH($A17,2a_PRE_TRABAJO!$A$5:$A$51,0))="","",INDEX(2a_PRE_TRABAJO!$K$5:$K$51,MATCH($A17,2a_PRE_TRABAJO!$A$5:$A$51,0))),"")</f>
        <v>4</v>
      </c>
      <c r="P17" s="19" t="n">
        <f aca="false">IFERROR(IF(INDEX(2a_PRE_TRABAJO!$L$5:$L$51,MATCH($A17,2a_PRE_TRABAJO!$A$5:$A$51,0))="","",INDEX(2a_PRE_TRABAJO!$L$5:$L$51,MATCH($A17,2a_PRE_TRABAJO!$A$5:$A$51,0))),"")</f>
        <v>4</v>
      </c>
      <c r="Q17" s="19" t="n">
        <f aca="false">IF(IFERROR(IF(INDEX(2a_PRE_TRABAJO!$M$5:$M$51,MATCH($A17,2a_PRE_TRABAJO!$A$5:$A$51,0))="","",INDEX(2a_PRE_TRABAJO!$M$5:$M$51,MATCH($A17,2a_PRE_TRABAJO!$A$5:$A$51,0))),"")="","",IFERROR(6-IFERROR(IF(INDEX(2a_PRE_TRABAJO!$M$5:$M$51,MATCH($A17,2a_PRE_TRABAJO!$A$5:$A$51,0))="","",INDEX(2a_PRE_TRABAJO!$M$5:$M$51,MATCH($A17,2a_PRE_TRABAJO!$A$5:$A$51,0))),""),"REVISAR"))</f>
        <v>3</v>
      </c>
      <c r="R17" s="19" t="n">
        <f aca="false">IFERROR(IF(INDEX(2a_PRE_TRABAJO!$N$5:$N$51,MATCH($A17,2a_PRE_TRABAJO!$A$5:$A$51,0))="","",INDEX(2a_PRE_TRABAJO!$N$5:$N$51,MATCH($A17,2a_PRE_TRABAJO!$A$5:$A$51,0))),"")</f>
        <v>2</v>
      </c>
      <c r="S17" s="19" t="n">
        <f aca="false">IFERROR(IF(INDEX(2a_PRE_TRABAJO!$O$5:$O$51,MATCH($A17,2a_PRE_TRABAJO!$A$5:$A$51,0))="","",INDEX(2a_PRE_TRABAJO!$O$5:$O$51,MATCH($A17,2a_PRE_TRABAJO!$A$5:$A$51,0))),"")</f>
        <v>1</v>
      </c>
      <c r="T17" s="19" t="n">
        <f aca="false">IFERROR(IF(INDEX(2a_PRE_TRABAJO!$P$5:$P$51,MATCH($A17,2a_PRE_TRABAJO!$A$5:$A$51,0))="","",INDEX(2a_PRE_TRABAJO!$P$5:$P$51,MATCH($A17,2a_PRE_TRABAJO!$A$5:$A$51,0))),"")</f>
        <v>3</v>
      </c>
      <c r="U17" s="19" t="n">
        <f aca="false">IFERROR(IF(INDEX(2a_PRE_TRABAJO!$Q$5:$Q$51,MATCH($A17,2a_PRE_TRABAJO!$A$5:$A$51,0))="","",INDEX(2a_PRE_TRABAJO!$Q$5:$Q$51,MATCH($A17,2a_PRE_TRABAJO!$A$5:$A$51,0))),"")</f>
        <v>3</v>
      </c>
      <c r="V17" s="19" t="n">
        <f aca="false">IFERROR(IF(INDEX(2a_PRE_TRABAJO!$R$5:$R$51,MATCH($A17,2a_PRE_TRABAJO!$A$5:$A$51,0))="","",INDEX(2a_PRE_TRABAJO!$R$5:$R$51,MATCH($A17,2a_PRE_TRABAJO!$A$5:$A$51,0))),"")</f>
        <v>3</v>
      </c>
      <c r="W17" s="19" t="n">
        <f aca="false">IFERROR(IF(INDEX(2a_PRE_TRABAJO!$S$5:$S$51,MATCH($A17,2a_PRE_TRABAJO!$A$5:$A$51,0))="","",INDEX(2a_PRE_TRABAJO!$S$5:$S$51,MATCH($A17,2a_PRE_TRABAJO!$A$5:$A$51,0))),"")</f>
        <v>2</v>
      </c>
      <c r="X17" s="19" t="n">
        <f aca="false">IFERROR(IF(INDEX(2a_PRE_TRABAJO!$T$5:$T$51,MATCH($A17,2a_PRE_TRABAJO!$A$5:$A$51,0))="","",INDEX(2a_PRE_TRABAJO!$T$5:$T$51,MATCH($A17,2a_PRE_TRABAJO!$A$5:$A$51,0))),"")</f>
        <v>2</v>
      </c>
      <c r="Y17" s="19" t="n">
        <f aca="false">IF(IFERROR(IF(INDEX(2a_PRE_TRABAJO!$U$5:$U$51,MATCH($A17,2a_PRE_TRABAJO!$A$5:$A$51,0))="","",INDEX(2a_PRE_TRABAJO!$U$5:$U$51,MATCH($A17,2a_PRE_TRABAJO!$A$5:$A$51,0))),"")="","",IFERROR(6-IFERROR(IF(INDEX(2a_PRE_TRABAJO!$U$5:$U$51,MATCH($A17,2a_PRE_TRABAJO!$A$5:$A$51,0))="","",INDEX(2a_PRE_TRABAJO!$U$5:$U$51,MATCH($A17,2a_PRE_TRABAJO!$A$5:$A$51,0))),""),"REVISAR"))</f>
        <v>2</v>
      </c>
      <c r="Z17" s="19" t="n">
        <f aca="false">IFERROR(IF(INDEX(2a_PRE_TRABAJO!$V$5:$V$51,MATCH($A17,2a_PRE_TRABAJO!$A$5:$A$51,0))="","",INDEX(2a_PRE_TRABAJO!$V$5:$V$51,MATCH($A17,2a_PRE_TRABAJO!$A$5:$A$51,0))),"")</f>
        <v>3</v>
      </c>
      <c r="AA17" s="19" t="n">
        <f aca="false">IFERROR(IF(INDEX(2a_PRE_TRABAJO!$W$5:$W$51,MATCH($A17,2a_PRE_TRABAJO!$A$5:$A$51,0))="","",INDEX(2a_PRE_TRABAJO!$W$5:$W$51,MATCH($A17,2a_PRE_TRABAJO!$A$5:$A$51,0))),"")</f>
        <v>4</v>
      </c>
      <c r="AB17" s="19" t="n">
        <f aca="false">IFERROR(IF(INDEX(2a_PRE_TRABAJO!$X$5:$X$51,MATCH($A17,2a_PRE_TRABAJO!$A$5:$A$51,0))="","",INDEX(2a_PRE_TRABAJO!$X$5:$X$51,MATCH($A17,2a_PRE_TRABAJO!$A$5:$A$51,0))),"")</f>
        <v>3</v>
      </c>
      <c r="AC17" s="19" t="str">
        <f aca="false">IFERROR(IF(INDEX(2b_POST_TRABAJO!$F$5:$F$48,MATCH($A17,2b_POST_TRABAJO!$A$5:$A$48,0))="","",INDEX(2b_POST_TRABAJO!$F$5:$F$48,MATCH($A17,2b_POST_TRABAJO!$A$5:$A$48,0))),"")</f>
        <v/>
      </c>
      <c r="AD17" s="19" t="str">
        <f aca="false">IFERROR(IF(INDEX(2b_POST_TRABAJO!$G$5:$G$48,MATCH($A17,2b_POST_TRABAJO!$A$5:$A$48,0))="","",INDEX(2b_POST_TRABAJO!$G$5:$G$48,MATCH($A17,2b_POST_TRABAJO!$A$5:$A$48,0))),"")</f>
        <v/>
      </c>
      <c r="AE17" s="19" t="str">
        <f aca="false">IFERROR(IF(INDEX(2b_POST_TRABAJO!$H$5:$H$48,MATCH($A17,2b_POST_TRABAJO!$A$5:$A$48,0))="","",INDEX(2b_POST_TRABAJO!$H$5:$H$48,MATCH($A17,2b_POST_TRABAJO!$A$5:$A$48,0))),"")</f>
        <v/>
      </c>
      <c r="AF17" s="19" t="str">
        <f aca="false">IF(IFERROR(IF(INDEX(2b_POST_TRABAJO!$I$5:$I$48,MATCH($A17,2b_POST_TRABAJO!$A$5:$A$48,0))="","",INDEX(2b_POST_TRABAJO!$I$5:$I$48,MATCH($A17,2b_POST_TRABAJO!$A$5:$A$48,0))),"")="","",IFERROR(6-IFERROR(IF(INDEX(2b_POST_TRABAJO!$I$5:$I$48,MATCH($A17,2b_POST_TRABAJO!$A$5:$A$48,0))="","",INDEX(2b_POST_TRABAJO!$I$5:$I$48,MATCH($A17,2b_POST_TRABAJO!$A$5:$A$48,0))),""),"REVISAR"))</f>
        <v/>
      </c>
      <c r="AG17" s="19" t="str">
        <f aca="false">IFERROR(IF(INDEX(2b_POST_TRABAJO!$J$5:$J$48,MATCH($A17,2b_POST_TRABAJO!$A$5:$A$48,0))="","",INDEX(2b_POST_TRABAJO!$J$5:$J$48,MATCH($A17,2b_POST_TRABAJO!$A$5:$A$48,0))),"")</f>
        <v/>
      </c>
      <c r="AH17" s="19" t="str">
        <f aca="false">IFERROR(IF(INDEX(2b_POST_TRABAJO!$K$5:$K$48,MATCH($A17,2b_POST_TRABAJO!$A$5:$A$48,0))="","",INDEX(2b_POST_TRABAJO!$K$5:$K$48,MATCH($A17,2b_POST_TRABAJO!$A$5:$A$48,0))),"")</f>
        <v/>
      </c>
      <c r="AI17" s="19" t="str">
        <f aca="false">IFERROR(IF(INDEX(2b_POST_TRABAJO!$L$5:$L$48,MATCH($A17,2b_POST_TRABAJO!$A$5:$A$48,0))="","",INDEX(2b_POST_TRABAJO!$L$5:$L$48,MATCH($A17,2b_POST_TRABAJO!$A$5:$A$48,0))),"")</f>
        <v/>
      </c>
      <c r="AJ17" s="19" t="str">
        <f aca="false">IFERROR(IF(INDEX(2b_POST_TRABAJO!$M$5:$M$48,MATCH($A17,2b_POST_TRABAJO!$A$5:$A$48,0))="","",INDEX(2b_POST_TRABAJO!$M$5:$M$48,MATCH($A17,2b_POST_TRABAJO!$A$5:$A$48,0))),"")</f>
        <v/>
      </c>
      <c r="AK17" s="19" t="str">
        <f aca="false">IFERROR(IF(INDEX(2b_POST_TRABAJO!$N$5:$N$48,MATCH($A17,2b_POST_TRABAJO!$A$5:$A$48,0))="","",INDEX(2b_POST_TRABAJO!$N$5:$N$48,MATCH($A17,2b_POST_TRABAJO!$A$5:$A$48,0))),"")</f>
        <v/>
      </c>
      <c r="AL17" s="19" t="str">
        <f aca="false">IFERROR(IF(INDEX(2b_POST_TRABAJO!$O$5:$O$48,MATCH($A17,2b_POST_TRABAJO!$A$5:$A$48,0))="","",INDEX(2b_POST_TRABAJO!$O$5:$O$48,MATCH($A17,2b_POST_TRABAJO!$A$5:$A$48,0))),"")</f>
        <v/>
      </c>
      <c r="AM17" s="19" t="str">
        <f aca="false">IFERROR(IF(INDEX(2b_POST_TRABAJO!$P$5:$P$48,MATCH($A17,2b_POST_TRABAJO!$A$5:$A$48,0))="","",INDEX(2b_POST_TRABAJO!$P$5:$P$48,MATCH($A17,2b_POST_TRABAJO!$A$5:$A$48,0))),"")</f>
        <v/>
      </c>
      <c r="AN17" s="19" t="str">
        <f aca="false">IF(IFERROR(IF(INDEX(2b_POST_TRABAJO!$Q$5:$Q$48,MATCH($A17,2b_POST_TRABAJO!$A$5:$A$48,0))="","",INDEX(2b_POST_TRABAJO!$Q$5:$Q$48,MATCH($A17,2b_POST_TRABAJO!$A$5:$A$48,0))),"")="","",IFERROR(6-IFERROR(IF(INDEX(2b_POST_TRABAJO!$Q$5:$Q$48,MATCH($A17,2b_POST_TRABAJO!$A$5:$A$48,0))="","",INDEX(2b_POST_TRABAJO!$Q$5:$Q$48,MATCH($A17,2b_POST_TRABAJO!$A$5:$A$48,0))),""),"REVISAR"))</f>
        <v/>
      </c>
      <c r="AO17" s="19" t="str">
        <f aca="false">IFERROR(IF(INDEX(2b_POST_TRABAJO!$R$5:$R$48,MATCH($A17,2b_POST_TRABAJO!$A$5:$A$48,0))="","",INDEX(2b_POST_TRABAJO!$R$5:$R$48,MATCH($A17,2b_POST_TRABAJO!$A$5:$A$48,0))),"")</f>
        <v/>
      </c>
      <c r="AP17" s="19" t="str">
        <f aca="false">IFERROR(IF(INDEX(2b_POST_TRABAJO!$S$5:$S$48,MATCH($A17,2b_POST_TRABAJO!$A$5:$A$48,0))="","",INDEX(2b_POST_TRABAJO!$S$5:$S$48,MATCH($A17,2b_POST_TRABAJO!$A$5:$A$48,0))),"")</f>
        <v/>
      </c>
      <c r="AQ17" s="19" t="str">
        <f aca="false">IFERROR(IF(INDEX(2b_POST_TRABAJO!$T$5:$T$48,MATCH($A17,2b_POST_TRABAJO!$A$5:$A$48,0))="","",INDEX(2b_POST_TRABAJO!$T$5:$T$48,MATCH($A17,2b_POST_TRABAJO!$A$5:$A$48,0))),"")</f>
        <v/>
      </c>
      <c r="AR17" s="27" t="n">
        <f aca="false">IF(COUNT(N17:R17)&lt;5,"",IFERROR(ROUND(AVERAGE(N17:R17),2),"REVISAR"))</f>
        <v>3.4</v>
      </c>
      <c r="AS17" s="27" t="n">
        <f aca="false">IF(COUNT(S17:W17)&lt;5,"",IFERROR(ROUND(AVERAGE(S17:W17),2),"REVISAR"))</f>
        <v>2.4</v>
      </c>
      <c r="AT17" s="27" t="n">
        <f aca="false">IF(COUNT(X17:AB17)&lt;5,"",IFERROR(ROUND(AVERAGE(X17:AB17),2),"REVISAR"))</f>
        <v>2.8</v>
      </c>
      <c r="AU17" s="11" t="n">
        <f aca="false">IF(COUNT(N17:AB17)&lt;15,"",IFERROR(SUM(N17:AB17),"REVISAR"))</f>
        <v>43</v>
      </c>
      <c r="AV17" s="18" t="n">
        <f aca="false">IF(AU17="","",IF(ISNUMBER(AU17),IF(AU17&lt;=35,1,IF(AU17&lt;=55,2,3)),"REVISAR"))</f>
        <v>2</v>
      </c>
      <c r="AW17" s="27" t="str">
        <f aca="false">IF(COUNT(AC17:AG17)&lt;5,"",IFERROR(ROUND(AVERAGE(AC17:AG17),2),"REVISAR"))</f>
        <v/>
      </c>
      <c r="AX17" s="27" t="str">
        <f aca="false">IF(COUNT(AH17:AL17)&lt;5,"",IFERROR(ROUND(AVERAGE(AH17:AL17),2),"REVISAR"))</f>
        <v/>
      </c>
      <c r="AY17" s="27" t="str">
        <f aca="false">IF(COUNT(AM17:AQ17)&lt;5,"",IFERROR(ROUND(AVERAGE(AM17:AQ17),2),"REVISAR"))</f>
        <v/>
      </c>
      <c r="AZ17" s="11" t="str">
        <f aca="false">IF(COUNT(AC17:AQ17)&lt;15,"",IFERROR(SUM(AC17:AQ17),"REVISAR"))</f>
        <v/>
      </c>
      <c r="BA17" s="18" t="str">
        <f aca="false">IF(AZ17="","",IF(ISNUMBER(AZ17),IF(AZ17&lt;=35,1,IF(AZ17&lt;=55,2,3)),"REVISAR"))</f>
        <v/>
      </c>
      <c r="BB17" s="28" t="str">
        <f aca="false">IF(OR(J17="",K17=""),"",IFERROR(ROUND(K17-J17,1),"REVISAR"))</f>
        <v/>
      </c>
      <c r="BC17" s="11" t="str">
        <f aca="false">IF(OR(L17="",M17=""),"",IFERROR(M17-L17,"REVISAR"))</f>
        <v/>
      </c>
      <c r="BD17" s="11" t="str">
        <f aca="false">IF(OR(AU17="",AZ17=""),"",IFERROR(AZ17-AU17,"REVISAR"))</f>
        <v/>
      </c>
      <c r="BE17" s="23"/>
      <c r="BF17" s="21"/>
    </row>
    <row r="18" customFormat="false" ht="15" hidden="false" customHeight="false" outlineLevel="0" collapsed="false">
      <c r="A18" s="17" t="s">
        <v>67</v>
      </c>
      <c r="B18" s="23" t="n">
        <v>1</v>
      </c>
      <c r="C18" s="19" t="n">
        <f aca="false">IFERROR(IF(INDEX(2a_PRE_TRABAJO!$B$5:$B$51,MATCH($A18,2a_PRE_TRABAJO!$A$5:$A$51,0))="","",INDEX(2a_PRE_TRABAJO!$B$5:$B$51,MATCH($A18,2a_PRE_TRABAJO!$A$5:$A$51,0))),"")</f>
        <v>1</v>
      </c>
      <c r="D18" s="19" t="n">
        <f aca="false">IFERROR(IF(INDEX(2a_PRE_TRABAJO!$C$5:$C$51,MATCH($A18,2a_PRE_TRABAJO!$A$5:$A$51,0))="","",INDEX(2a_PRE_TRABAJO!$C$5:$C$51,MATCH($A18,2a_PRE_TRABAJO!$A$5:$A$51,0))),"")</f>
        <v>2</v>
      </c>
      <c r="E18" s="19" t="n">
        <f aca="false">IFERROR(IF(INDEX(2a_PRE_TRABAJO!$D$5:$D$51,MATCH($A18,2a_PRE_TRABAJO!$A$5:$A$51,0))="","",INDEX(2a_PRE_TRABAJO!$D$5:$D$51,MATCH($A18,2a_PRE_TRABAJO!$A$5:$A$51,0))),"")</f>
        <v>45</v>
      </c>
      <c r="F18" s="19" t="n">
        <f aca="false">IFERROR(IF(INDEX(2a_PRE_TRABAJO!$E$5:$E$51,MATCH($A18,2a_PRE_TRABAJO!$A$5:$A$51,0))="","",INDEX(2a_PRE_TRABAJO!$E$5:$E$51,MATCH($A18,2a_PRE_TRABAJO!$A$5:$A$51,0))),"")</f>
        <v>12</v>
      </c>
      <c r="G18" s="19" t="str">
        <f aca="false">IFERROR(IF(INDEX(2a_PRE_TRABAJO!$F$5:$F$51,MATCH($A18,2a_PRE_TRABAJO!$A$5:$A$51,0))="","",INDEX(2a_PRE_TRABAJO!$F$5:$F$51,MATCH($A18,2a_PRE_TRABAJO!$A$5:$A$51,0))),"")</f>
        <v>Auxiliar</v>
      </c>
      <c r="H18" s="24" t="n">
        <f aca="false">IFERROR(IF(INDEX(2a_PRE_TRABAJO!$G$5:$G$51,MATCH($A18,2a_PRE_TRABAJO!$A$5:$A$51,0))="","",INDEX(2a_PRE_TRABAJO!$G$5:$G$51,MATCH($A18,2a_PRE_TRABAJO!$A$5:$A$51,0))),"")</f>
        <v>46261</v>
      </c>
      <c r="I18" s="24" t="n">
        <f aca="false">IFERROR(IF(INDEX(2b_POST_TRABAJO!$C$5:$C$48,MATCH($A18,2b_POST_TRABAJO!$A$5:$A$48,0))="","",INDEX(2b_POST_TRABAJO!$C$5:$C$48,MATCH($A18,2b_POST_TRABAJO!$A$5:$A$48,0))),"")</f>
        <v>46310</v>
      </c>
      <c r="J18" s="25" t="n">
        <f aca="false">IFERROR(IF(INDEX(2a_PRE_TRABAJO!$H$5:$H$51,MATCH($A18,2a_PRE_TRABAJO!$A$5:$A$51,0))="","",INDEX(2a_PRE_TRABAJO!$H$5:$H$51,MATCH($A18,2a_PRE_TRABAJO!$A$5:$A$51,0))),"")</f>
        <v>9.3</v>
      </c>
      <c r="K18" s="25" t="n">
        <f aca="false">IFERROR(IF(INDEX(2b_POST_TRABAJO!$D$5:$D$48,MATCH($A18,2b_POST_TRABAJO!$A$5:$A$48,0))="","",INDEX(2b_POST_TRABAJO!$D$5:$D$48,MATCH($A18,2b_POST_TRABAJO!$A$5:$A$48,0))),"")</f>
        <v>6.2</v>
      </c>
      <c r="L18" s="26" t="n">
        <f aca="false">IFERROR(IF(INDEX(2a_PRE_TRABAJO!$I$5:$I$51,MATCH($A18,2a_PRE_TRABAJO!$A$5:$A$51,0))="","",INDEX(2a_PRE_TRABAJO!$I$5:$I$51,MATCH($A18,2a_PRE_TRABAJO!$A$5:$A$51,0))),"")</f>
        <v>58</v>
      </c>
      <c r="M18" s="26" t="n">
        <f aca="false">IFERROR(IF(INDEX(2b_POST_TRABAJO!$E$5:$E$48,MATCH($A18,2b_POST_TRABAJO!$A$5:$A$48,0))="","",INDEX(2b_POST_TRABAJO!$E$5:$E$48,MATCH($A18,2b_POST_TRABAJO!$A$5:$A$48,0))),"")</f>
        <v>90</v>
      </c>
      <c r="N18" s="19" t="n">
        <f aca="false">IFERROR(IF(INDEX(2a_PRE_TRABAJO!$J$5:$J$51,MATCH($A18,2a_PRE_TRABAJO!$A$5:$A$51,0))="","",INDEX(2a_PRE_TRABAJO!$J$5:$J$51,MATCH($A18,2a_PRE_TRABAJO!$A$5:$A$51,0))),"")</f>
        <v>3</v>
      </c>
      <c r="O18" s="19" t="n">
        <f aca="false">IFERROR(IF(INDEX(2a_PRE_TRABAJO!$K$5:$K$51,MATCH($A18,2a_PRE_TRABAJO!$A$5:$A$51,0))="","",INDEX(2a_PRE_TRABAJO!$K$5:$K$51,MATCH($A18,2a_PRE_TRABAJO!$A$5:$A$51,0))),"")</f>
        <v>3</v>
      </c>
      <c r="P18" s="19" t="n">
        <f aca="false">IFERROR(IF(INDEX(2a_PRE_TRABAJO!$L$5:$L$51,MATCH($A18,2a_PRE_TRABAJO!$A$5:$A$51,0))="","",INDEX(2a_PRE_TRABAJO!$L$5:$L$51,MATCH($A18,2a_PRE_TRABAJO!$A$5:$A$51,0))),"")</f>
        <v>4</v>
      </c>
      <c r="Q18" s="19" t="n">
        <f aca="false">IF(IFERROR(IF(INDEX(2a_PRE_TRABAJO!$M$5:$M$51,MATCH($A18,2a_PRE_TRABAJO!$A$5:$A$51,0))="","",INDEX(2a_PRE_TRABAJO!$M$5:$M$51,MATCH($A18,2a_PRE_TRABAJO!$A$5:$A$51,0))),"")="","",IFERROR(6-IFERROR(IF(INDEX(2a_PRE_TRABAJO!$M$5:$M$51,MATCH($A18,2a_PRE_TRABAJO!$A$5:$A$51,0))="","",INDEX(2a_PRE_TRABAJO!$M$5:$M$51,MATCH($A18,2a_PRE_TRABAJO!$A$5:$A$51,0))),""),"REVISAR"))</f>
        <v>3</v>
      </c>
      <c r="R18" s="19" t="n">
        <f aca="false">IFERROR(IF(INDEX(2a_PRE_TRABAJO!$N$5:$N$51,MATCH($A18,2a_PRE_TRABAJO!$A$5:$A$51,0))="","",INDEX(2a_PRE_TRABAJO!$N$5:$N$51,MATCH($A18,2a_PRE_TRABAJO!$A$5:$A$51,0))),"")</f>
        <v>2</v>
      </c>
      <c r="S18" s="19" t="n">
        <f aca="false">IFERROR(IF(INDEX(2a_PRE_TRABAJO!$O$5:$O$51,MATCH($A18,2a_PRE_TRABAJO!$A$5:$A$51,0))="","",INDEX(2a_PRE_TRABAJO!$O$5:$O$51,MATCH($A18,2a_PRE_TRABAJO!$A$5:$A$51,0))),"")</f>
        <v>5</v>
      </c>
      <c r="T18" s="19" t="n">
        <f aca="false">IFERROR(IF(INDEX(2a_PRE_TRABAJO!$P$5:$P$51,MATCH($A18,2a_PRE_TRABAJO!$A$5:$A$51,0))="","",INDEX(2a_PRE_TRABAJO!$P$5:$P$51,MATCH($A18,2a_PRE_TRABAJO!$A$5:$A$51,0))),"")</f>
        <v>4</v>
      </c>
      <c r="U18" s="19" t="n">
        <f aca="false">IFERROR(IF(INDEX(2a_PRE_TRABAJO!$Q$5:$Q$51,MATCH($A18,2a_PRE_TRABAJO!$A$5:$A$51,0))="","",INDEX(2a_PRE_TRABAJO!$Q$5:$Q$51,MATCH($A18,2a_PRE_TRABAJO!$A$5:$A$51,0))),"")</f>
        <v>4</v>
      </c>
      <c r="V18" s="19" t="n">
        <f aca="false">IFERROR(IF(INDEX(2a_PRE_TRABAJO!$R$5:$R$51,MATCH($A18,2a_PRE_TRABAJO!$A$5:$A$51,0))="","",INDEX(2a_PRE_TRABAJO!$R$5:$R$51,MATCH($A18,2a_PRE_TRABAJO!$A$5:$A$51,0))),"")</f>
        <v>5</v>
      </c>
      <c r="W18" s="19" t="n">
        <f aca="false">IFERROR(IF(INDEX(2a_PRE_TRABAJO!$S$5:$S$51,MATCH($A18,2a_PRE_TRABAJO!$A$5:$A$51,0))="","",INDEX(2a_PRE_TRABAJO!$S$5:$S$51,MATCH($A18,2a_PRE_TRABAJO!$A$5:$A$51,0))),"")</f>
        <v>5</v>
      </c>
      <c r="X18" s="19" t="n">
        <f aca="false">IFERROR(IF(INDEX(2a_PRE_TRABAJO!$T$5:$T$51,MATCH($A18,2a_PRE_TRABAJO!$A$5:$A$51,0))="","",INDEX(2a_PRE_TRABAJO!$T$5:$T$51,MATCH($A18,2a_PRE_TRABAJO!$A$5:$A$51,0))),"")</f>
        <v>4</v>
      </c>
      <c r="Y18" s="19" t="n">
        <f aca="false">IF(IFERROR(IF(INDEX(2a_PRE_TRABAJO!$U$5:$U$51,MATCH($A18,2a_PRE_TRABAJO!$A$5:$A$51,0))="","",INDEX(2a_PRE_TRABAJO!$U$5:$U$51,MATCH($A18,2a_PRE_TRABAJO!$A$5:$A$51,0))),"")="","",IFERROR(6-IFERROR(IF(INDEX(2a_PRE_TRABAJO!$U$5:$U$51,MATCH($A18,2a_PRE_TRABAJO!$A$5:$A$51,0))="","",INDEX(2a_PRE_TRABAJO!$U$5:$U$51,MATCH($A18,2a_PRE_TRABAJO!$A$5:$A$51,0))),""),"REVISAR"))</f>
        <v>4</v>
      </c>
      <c r="Z18" s="19" t="n">
        <f aca="false">IFERROR(IF(INDEX(2a_PRE_TRABAJO!$V$5:$V$51,MATCH($A18,2a_PRE_TRABAJO!$A$5:$A$51,0))="","",INDEX(2a_PRE_TRABAJO!$V$5:$V$51,MATCH($A18,2a_PRE_TRABAJO!$A$5:$A$51,0))),"")</f>
        <v>4</v>
      </c>
      <c r="AA18" s="19" t="n">
        <f aca="false">IFERROR(IF(INDEX(2a_PRE_TRABAJO!$W$5:$W$51,MATCH($A18,2a_PRE_TRABAJO!$A$5:$A$51,0))="","",INDEX(2a_PRE_TRABAJO!$W$5:$W$51,MATCH($A18,2a_PRE_TRABAJO!$A$5:$A$51,0))),"")</f>
        <v>4</v>
      </c>
      <c r="AB18" s="19" t="n">
        <f aca="false">IFERROR(IF(INDEX(2a_PRE_TRABAJO!$X$5:$X$51,MATCH($A18,2a_PRE_TRABAJO!$A$5:$A$51,0))="","",INDEX(2a_PRE_TRABAJO!$X$5:$X$51,MATCH($A18,2a_PRE_TRABAJO!$A$5:$A$51,0))),"")</f>
        <v>3</v>
      </c>
      <c r="AC18" s="19" t="n">
        <f aca="false">IFERROR(IF(INDEX(2b_POST_TRABAJO!$F$5:$F$48,MATCH($A18,2b_POST_TRABAJO!$A$5:$A$48,0))="","",INDEX(2b_POST_TRABAJO!$F$5:$F$48,MATCH($A18,2b_POST_TRABAJO!$A$5:$A$48,0))),"")</f>
        <v>5</v>
      </c>
      <c r="AD18" s="19" t="n">
        <f aca="false">IFERROR(IF(INDEX(2b_POST_TRABAJO!$G$5:$G$48,MATCH($A18,2b_POST_TRABAJO!$A$5:$A$48,0))="","",INDEX(2b_POST_TRABAJO!$G$5:$G$48,MATCH($A18,2b_POST_TRABAJO!$A$5:$A$48,0))),"")</f>
        <v>5</v>
      </c>
      <c r="AE18" s="19" t="n">
        <f aca="false">IFERROR(IF(INDEX(2b_POST_TRABAJO!$H$5:$H$48,MATCH($A18,2b_POST_TRABAJO!$A$5:$A$48,0))="","",INDEX(2b_POST_TRABAJO!$H$5:$H$48,MATCH($A18,2b_POST_TRABAJO!$A$5:$A$48,0))),"")</f>
        <v>5</v>
      </c>
      <c r="AF18" s="19" t="n">
        <f aca="false">IF(IFERROR(IF(INDEX(2b_POST_TRABAJO!$I$5:$I$48,MATCH($A18,2b_POST_TRABAJO!$A$5:$A$48,0))="","",INDEX(2b_POST_TRABAJO!$I$5:$I$48,MATCH($A18,2b_POST_TRABAJO!$A$5:$A$48,0))),"")="","",IFERROR(6-IFERROR(IF(INDEX(2b_POST_TRABAJO!$I$5:$I$48,MATCH($A18,2b_POST_TRABAJO!$A$5:$A$48,0))="","",INDEX(2b_POST_TRABAJO!$I$5:$I$48,MATCH($A18,2b_POST_TRABAJO!$A$5:$A$48,0))),""),"REVISAR"))</f>
        <v>5</v>
      </c>
      <c r="AG18" s="19" t="n">
        <f aca="false">IFERROR(IF(INDEX(2b_POST_TRABAJO!$J$5:$J$48,MATCH($A18,2b_POST_TRABAJO!$A$5:$A$48,0))="","",INDEX(2b_POST_TRABAJO!$J$5:$J$48,MATCH($A18,2b_POST_TRABAJO!$A$5:$A$48,0))),"")</f>
        <v>5</v>
      </c>
      <c r="AH18" s="19" t="n">
        <f aca="false">IFERROR(IF(INDEX(2b_POST_TRABAJO!$K$5:$K$48,MATCH($A18,2b_POST_TRABAJO!$A$5:$A$48,0))="","",INDEX(2b_POST_TRABAJO!$K$5:$K$48,MATCH($A18,2b_POST_TRABAJO!$A$5:$A$48,0))),"")</f>
        <v>5</v>
      </c>
      <c r="AI18" s="19" t="n">
        <f aca="false">IFERROR(IF(INDEX(2b_POST_TRABAJO!$L$5:$L$48,MATCH($A18,2b_POST_TRABAJO!$A$5:$A$48,0))="","",INDEX(2b_POST_TRABAJO!$L$5:$L$48,MATCH($A18,2b_POST_TRABAJO!$A$5:$A$48,0))),"")</f>
        <v>5</v>
      </c>
      <c r="AJ18" s="19" t="n">
        <f aca="false">IFERROR(IF(INDEX(2b_POST_TRABAJO!$M$5:$M$48,MATCH($A18,2b_POST_TRABAJO!$A$5:$A$48,0))="","",INDEX(2b_POST_TRABAJO!$M$5:$M$48,MATCH($A18,2b_POST_TRABAJO!$A$5:$A$48,0))),"")</f>
        <v>5</v>
      </c>
      <c r="AK18" s="19" t="n">
        <f aca="false">IFERROR(IF(INDEX(2b_POST_TRABAJO!$N$5:$N$48,MATCH($A18,2b_POST_TRABAJO!$A$5:$A$48,0))="","",INDEX(2b_POST_TRABAJO!$N$5:$N$48,MATCH($A18,2b_POST_TRABAJO!$A$5:$A$48,0))),"")</f>
        <v>5</v>
      </c>
      <c r="AL18" s="19" t="n">
        <f aca="false">IFERROR(IF(INDEX(2b_POST_TRABAJO!$O$5:$O$48,MATCH($A18,2b_POST_TRABAJO!$A$5:$A$48,0))="","",INDEX(2b_POST_TRABAJO!$O$5:$O$48,MATCH($A18,2b_POST_TRABAJO!$A$5:$A$48,0))),"")</f>
        <v>5</v>
      </c>
      <c r="AM18" s="19" t="n">
        <f aca="false">IFERROR(IF(INDEX(2b_POST_TRABAJO!$P$5:$P$48,MATCH($A18,2b_POST_TRABAJO!$A$5:$A$48,0))="","",INDEX(2b_POST_TRABAJO!$P$5:$P$48,MATCH($A18,2b_POST_TRABAJO!$A$5:$A$48,0))),"")</f>
        <v>5</v>
      </c>
      <c r="AN18" s="19" t="n">
        <f aca="false">IF(IFERROR(IF(INDEX(2b_POST_TRABAJO!$Q$5:$Q$48,MATCH($A18,2b_POST_TRABAJO!$A$5:$A$48,0))="","",INDEX(2b_POST_TRABAJO!$Q$5:$Q$48,MATCH($A18,2b_POST_TRABAJO!$A$5:$A$48,0))),"")="","",IFERROR(6-IFERROR(IF(INDEX(2b_POST_TRABAJO!$Q$5:$Q$48,MATCH($A18,2b_POST_TRABAJO!$A$5:$A$48,0))="","",INDEX(2b_POST_TRABAJO!$Q$5:$Q$48,MATCH($A18,2b_POST_TRABAJO!$A$5:$A$48,0))),""),"REVISAR"))</f>
        <v>5</v>
      </c>
      <c r="AO18" s="19" t="n">
        <f aca="false">IFERROR(IF(INDEX(2b_POST_TRABAJO!$R$5:$R$48,MATCH($A18,2b_POST_TRABAJO!$A$5:$A$48,0))="","",INDEX(2b_POST_TRABAJO!$R$5:$R$48,MATCH($A18,2b_POST_TRABAJO!$A$5:$A$48,0))),"")</f>
        <v>5</v>
      </c>
      <c r="AP18" s="19" t="n">
        <f aca="false">IFERROR(IF(INDEX(2b_POST_TRABAJO!$S$5:$S$48,MATCH($A18,2b_POST_TRABAJO!$A$5:$A$48,0))="","",INDEX(2b_POST_TRABAJO!$S$5:$S$48,MATCH($A18,2b_POST_TRABAJO!$A$5:$A$48,0))),"")</f>
        <v>5</v>
      </c>
      <c r="AQ18" s="19" t="n">
        <f aca="false">IFERROR(IF(INDEX(2b_POST_TRABAJO!$T$5:$T$48,MATCH($A18,2b_POST_TRABAJO!$A$5:$A$48,0))="","",INDEX(2b_POST_TRABAJO!$T$5:$T$48,MATCH($A18,2b_POST_TRABAJO!$A$5:$A$48,0))),"")</f>
        <v>5</v>
      </c>
      <c r="AR18" s="27" t="n">
        <f aca="false">IF(COUNT(N18:R18)&lt;5,"",IFERROR(ROUND(AVERAGE(N18:R18),2),"REVISAR"))</f>
        <v>3</v>
      </c>
      <c r="AS18" s="27" t="n">
        <f aca="false">IF(COUNT(S18:W18)&lt;5,"",IFERROR(ROUND(AVERAGE(S18:W18),2),"REVISAR"))</f>
        <v>4.6</v>
      </c>
      <c r="AT18" s="27" t="n">
        <f aca="false">IF(COUNT(X18:AB18)&lt;5,"",IFERROR(ROUND(AVERAGE(X18:AB18),2),"REVISAR"))</f>
        <v>3.8</v>
      </c>
      <c r="AU18" s="11" t="n">
        <f aca="false">IF(COUNT(N18:AB18)&lt;15,"",IFERROR(SUM(N18:AB18),"REVISAR"))</f>
        <v>57</v>
      </c>
      <c r="AV18" s="18" t="n">
        <f aca="false">IF(AU18="","",IF(ISNUMBER(AU18),IF(AU18&lt;=35,1,IF(AU18&lt;=55,2,3)),"REVISAR"))</f>
        <v>3</v>
      </c>
      <c r="AW18" s="27" t="n">
        <f aca="false">IF(COUNT(AC18:AG18)&lt;5,"",IFERROR(ROUND(AVERAGE(AC18:AG18),2),"REVISAR"))</f>
        <v>5</v>
      </c>
      <c r="AX18" s="27" t="n">
        <f aca="false">IF(COUNT(AH18:AL18)&lt;5,"",IFERROR(ROUND(AVERAGE(AH18:AL18),2),"REVISAR"))</f>
        <v>5</v>
      </c>
      <c r="AY18" s="27" t="n">
        <f aca="false">IF(COUNT(AM18:AQ18)&lt;5,"",IFERROR(ROUND(AVERAGE(AM18:AQ18),2),"REVISAR"))</f>
        <v>5</v>
      </c>
      <c r="AZ18" s="11" t="n">
        <f aca="false">IF(COUNT(AC18:AQ18)&lt;15,"",IFERROR(SUM(AC18:AQ18),"REVISAR"))</f>
        <v>75</v>
      </c>
      <c r="BA18" s="18" t="n">
        <f aca="false">IF(AZ18="","",IF(ISNUMBER(AZ18),IF(AZ18&lt;=35,1,IF(AZ18&lt;=55,2,3)),"REVISAR"))</f>
        <v>3</v>
      </c>
      <c r="BB18" s="28" t="n">
        <f aca="false">IF(OR(J18="",K18=""),"",IFERROR(ROUND(K18-J18,1),"REVISAR"))</f>
        <v>-3.1</v>
      </c>
      <c r="BC18" s="11" t="n">
        <f aca="false">IF(OR(L18="",M18=""),"",IFERROR(M18-L18,"REVISAR"))</f>
        <v>32</v>
      </c>
      <c r="BD18" s="11" t="n">
        <f aca="false">IF(OR(AU18="",AZ18=""),"",IFERROR(AZ18-AU18,"REVISAR"))</f>
        <v>18</v>
      </c>
      <c r="BE18" s="23"/>
      <c r="BF18" s="21"/>
    </row>
    <row r="19" customFormat="false" ht="15" hidden="false" customHeight="false" outlineLevel="0" collapsed="false">
      <c r="A19" s="17" t="s">
        <v>68</v>
      </c>
      <c r="B19" s="23" t="n">
        <v>1</v>
      </c>
      <c r="C19" s="19" t="n">
        <f aca="false">IFERROR(IF(INDEX(2a_PRE_TRABAJO!$B$5:$B$51,MATCH($A19,2a_PRE_TRABAJO!$A$5:$A$51,0))="","",INDEX(2a_PRE_TRABAJO!$B$5:$B$51,MATCH($A19,2a_PRE_TRABAJO!$A$5:$A$51,0))),"")</f>
        <v>1</v>
      </c>
      <c r="D19" s="19" t="n">
        <f aca="false">IFERROR(IF(INDEX(2a_PRE_TRABAJO!$C$5:$C$51,MATCH($A19,2a_PRE_TRABAJO!$A$5:$A$51,0))="","",INDEX(2a_PRE_TRABAJO!$C$5:$C$51,MATCH($A19,2a_PRE_TRABAJO!$A$5:$A$51,0))),"")</f>
        <v>2</v>
      </c>
      <c r="E19" s="19" t="n">
        <f aca="false">IFERROR(IF(INDEX(2a_PRE_TRABAJO!$D$5:$D$51,MATCH($A19,2a_PRE_TRABAJO!$A$5:$A$51,0))="","",INDEX(2a_PRE_TRABAJO!$D$5:$D$51,MATCH($A19,2a_PRE_TRABAJO!$A$5:$A$51,0))),"")</f>
        <v>30</v>
      </c>
      <c r="F19" s="19" t="n">
        <f aca="false">IFERROR(IF(INDEX(2a_PRE_TRABAJO!$E$5:$E$51,MATCH($A19,2a_PRE_TRABAJO!$A$5:$A$51,0))="","",INDEX(2a_PRE_TRABAJO!$E$5:$E$51,MATCH($A19,2a_PRE_TRABAJO!$A$5:$A$51,0))),"")</f>
        <v>6</v>
      </c>
      <c r="G19" s="19" t="str">
        <f aca="false">IFERROR(IF(INDEX(2a_PRE_TRABAJO!$F$5:$F$51,MATCH($A19,2a_PRE_TRABAJO!$A$5:$A$51,0))="","",INDEX(2a_PRE_TRABAJO!$F$5:$F$51,MATCH($A19,2a_PRE_TRABAJO!$A$5:$A$51,0))),"")</f>
        <v>TÉCNICO</v>
      </c>
      <c r="H19" s="24" t="n">
        <f aca="false">IFERROR(IF(INDEX(2a_PRE_TRABAJO!$G$5:$G$51,MATCH($A19,2a_PRE_TRABAJO!$A$5:$A$51,0))="","",INDEX(2a_PRE_TRABAJO!$G$5:$G$51,MATCH($A19,2a_PRE_TRABAJO!$A$5:$A$51,0))),"")</f>
        <v>46262</v>
      </c>
      <c r="I19" s="24" t="n">
        <f aca="false">IFERROR(IF(INDEX(2b_POST_TRABAJO!$C$5:$C$48,MATCH($A19,2b_POST_TRABAJO!$A$5:$A$48,0))="","",INDEX(2b_POST_TRABAJO!$C$5:$C$48,MATCH($A19,2b_POST_TRABAJO!$A$5:$A$48,0))),"")</f>
        <v>46311</v>
      </c>
      <c r="J19" s="25" t="n">
        <f aca="false">IFERROR(IF(INDEX(2a_PRE_TRABAJO!$H$5:$H$51,MATCH($A19,2a_PRE_TRABAJO!$A$5:$A$51,0))="","",INDEX(2a_PRE_TRABAJO!$H$5:$H$51,MATCH($A19,2a_PRE_TRABAJO!$A$5:$A$51,0))),"")</f>
        <v>10.6</v>
      </c>
      <c r="K19" s="25" t="n">
        <f aca="false">IFERROR(IF(INDEX(2b_POST_TRABAJO!$D$5:$D$48,MATCH($A19,2b_POST_TRABAJO!$A$5:$A$48,0))="","",INDEX(2b_POST_TRABAJO!$D$5:$D$48,MATCH($A19,2b_POST_TRABAJO!$A$5:$A$48,0))),"")</f>
        <v>7.5</v>
      </c>
      <c r="L19" s="26" t="n">
        <f aca="false">IFERROR(IF(INDEX(2a_PRE_TRABAJO!$I$5:$I$51,MATCH($A19,2a_PRE_TRABAJO!$A$5:$A$51,0))="","",INDEX(2a_PRE_TRABAJO!$I$5:$I$51,MATCH($A19,2a_PRE_TRABAJO!$A$5:$A$51,0))),"")</f>
        <v>62</v>
      </c>
      <c r="M19" s="26" t="n">
        <f aca="false">IFERROR(IF(INDEX(2b_POST_TRABAJO!$E$5:$E$48,MATCH($A19,2b_POST_TRABAJO!$A$5:$A$48,0))="","",INDEX(2b_POST_TRABAJO!$E$5:$E$48,MATCH($A19,2b_POST_TRABAJO!$A$5:$A$48,0))),"")</f>
        <v>80</v>
      </c>
      <c r="N19" s="19" t="n">
        <f aca="false">IFERROR(IF(INDEX(2a_PRE_TRABAJO!$J$5:$J$51,MATCH($A19,2a_PRE_TRABAJO!$A$5:$A$51,0))="","",INDEX(2a_PRE_TRABAJO!$J$5:$J$51,MATCH($A19,2a_PRE_TRABAJO!$A$5:$A$51,0))),"")</f>
        <v>2</v>
      </c>
      <c r="O19" s="19" t="n">
        <f aca="false">IFERROR(IF(INDEX(2a_PRE_TRABAJO!$K$5:$K$51,MATCH($A19,2a_PRE_TRABAJO!$A$5:$A$51,0))="","",INDEX(2a_PRE_TRABAJO!$K$5:$K$51,MATCH($A19,2a_PRE_TRABAJO!$A$5:$A$51,0))),"")</f>
        <v>2</v>
      </c>
      <c r="P19" s="19" t="n">
        <f aca="false">IFERROR(IF(INDEX(2a_PRE_TRABAJO!$L$5:$L$51,MATCH($A19,2a_PRE_TRABAJO!$A$5:$A$51,0))="","",INDEX(2a_PRE_TRABAJO!$L$5:$L$51,MATCH($A19,2a_PRE_TRABAJO!$A$5:$A$51,0))),"")</f>
        <v>2</v>
      </c>
      <c r="Q19" s="19" t="n">
        <f aca="false">IF(IFERROR(IF(INDEX(2a_PRE_TRABAJO!$M$5:$M$51,MATCH($A19,2a_PRE_TRABAJO!$A$5:$A$51,0))="","",INDEX(2a_PRE_TRABAJO!$M$5:$M$51,MATCH($A19,2a_PRE_TRABAJO!$A$5:$A$51,0))),"")="","",IFERROR(6-IFERROR(IF(INDEX(2a_PRE_TRABAJO!$M$5:$M$51,MATCH($A19,2a_PRE_TRABAJO!$A$5:$A$51,0))="","",INDEX(2a_PRE_TRABAJO!$M$5:$M$51,MATCH($A19,2a_PRE_TRABAJO!$A$5:$A$51,0))),""),"REVISAR"))</f>
        <v>3</v>
      </c>
      <c r="R19" s="19" t="n">
        <f aca="false">IFERROR(IF(INDEX(2a_PRE_TRABAJO!$N$5:$N$51,MATCH($A19,2a_PRE_TRABAJO!$A$5:$A$51,0))="","",INDEX(2a_PRE_TRABAJO!$N$5:$N$51,MATCH($A19,2a_PRE_TRABAJO!$A$5:$A$51,0))),"")</f>
        <v>3</v>
      </c>
      <c r="S19" s="19" t="n">
        <f aca="false">IFERROR(IF(INDEX(2a_PRE_TRABAJO!$O$5:$O$51,MATCH($A19,2a_PRE_TRABAJO!$A$5:$A$51,0))="","",INDEX(2a_PRE_TRABAJO!$O$5:$O$51,MATCH($A19,2a_PRE_TRABAJO!$A$5:$A$51,0))),"")</f>
        <v>2</v>
      </c>
      <c r="T19" s="19" t="n">
        <f aca="false">IFERROR(IF(INDEX(2a_PRE_TRABAJO!$P$5:$P$51,MATCH($A19,2a_PRE_TRABAJO!$A$5:$A$51,0))="","",INDEX(2a_PRE_TRABAJO!$P$5:$P$51,MATCH($A19,2a_PRE_TRABAJO!$A$5:$A$51,0))),"")</f>
        <v>3</v>
      </c>
      <c r="U19" s="19" t="n">
        <f aca="false">IFERROR(IF(INDEX(2a_PRE_TRABAJO!$Q$5:$Q$51,MATCH($A19,2a_PRE_TRABAJO!$A$5:$A$51,0))="","",INDEX(2a_PRE_TRABAJO!$Q$5:$Q$51,MATCH($A19,2a_PRE_TRABAJO!$A$5:$A$51,0))),"")</f>
        <v>2</v>
      </c>
      <c r="V19" s="19" t="n">
        <f aca="false">IFERROR(IF(INDEX(2a_PRE_TRABAJO!$R$5:$R$51,MATCH($A19,2a_PRE_TRABAJO!$A$5:$A$51,0))="","",INDEX(2a_PRE_TRABAJO!$R$5:$R$51,MATCH($A19,2a_PRE_TRABAJO!$A$5:$A$51,0))),"")</f>
        <v>4</v>
      </c>
      <c r="W19" s="19" t="n">
        <f aca="false">IFERROR(IF(INDEX(2a_PRE_TRABAJO!$S$5:$S$51,MATCH($A19,2a_PRE_TRABAJO!$A$5:$A$51,0))="","",INDEX(2a_PRE_TRABAJO!$S$5:$S$51,MATCH($A19,2a_PRE_TRABAJO!$A$5:$A$51,0))),"")</f>
        <v>2</v>
      </c>
      <c r="X19" s="19" t="n">
        <f aca="false">IFERROR(IF(INDEX(2a_PRE_TRABAJO!$T$5:$T$51,MATCH($A19,2a_PRE_TRABAJO!$A$5:$A$51,0))="","",INDEX(2a_PRE_TRABAJO!$T$5:$T$51,MATCH($A19,2a_PRE_TRABAJO!$A$5:$A$51,0))),"")</f>
        <v>3</v>
      </c>
      <c r="Y19" s="19" t="n">
        <f aca="false">IF(IFERROR(IF(INDEX(2a_PRE_TRABAJO!$U$5:$U$51,MATCH($A19,2a_PRE_TRABAJO!$A$5:$A$51,0))="","",INDEX(2a_PRE_TRABAJO!$U$5:$U$51,MATCH($A19,2a_PRE_TRABAJO!$A$5:$A$51,0))),"")="","",IFERROR(6-IFERROR(IF(INDEX(2a_PRE_TRABAJO!$U$5:$U$51,MATCH($A19,2a_PRE_TRABAJO!$A$5:$A$51,0))="","",INDEX(2a_PRE_TRABAJO!$U$5:$U$51,MATCH($A19,2a_PRE_TRABAJO!$A$5:$A$51,0))),""),"REVISAR"))</f>
        <v>1</v>
      </c>
      <c r="Z19" s="19" t="str">
        <f aca="false">IFERROR(IF(INDEX(2a_PRE_TRABAJO!$V$5:$V$51,MATCH($A19,2a_PRE_TRABAJO!$A$5:$A$51,0))="","",INDEX(2a_PRE_TRABAJO!$V$5:$V$51,MATCH($A19,2a_PRE_TRABAJO!$A$5:$A$51,0))),"")</f>
        <v/>
      </c>
      <c r="AA19" s="19" t="n">
        <f aca="false">IFERROR(IF(INDEX(2a_PRE_TRABAJO!$W$5:$W$51,MATCH($A19,2a_PRE_TRABAJO!$A$5:$A$51,0))="","",INDEX(2a_PRE_TRABAJO!$W$5:$W$51,MATCH($A19,2a_PRE_TRABAJO!$A$5:$A$51,0))),"")</f>
        <v>4</v>
      </c>
      <c r="AB19" s="19" t="n">
        <f aca="false">IFERROR(IF(INDEX(2a_PRE_TRABAJO!$X$5:$X$51,MATCH($A19,2a_PRE_TRABAJO!$A$5:$A$51,0))="","",INDEX(2a_PRE_TRABAJO!$X$5:$X$51,MATCH($A19,2a_PRE_TRABAJO!$A$5:$A$51,0))),"")</f>
        <v>3</v>
      </c>
      <c r="AC19" s="19" t="n">
        <f aca="false">IFERROR(IF(INDEX(2b_POST_TRABAJO!$F$5:$F$48,MATCH($A19,2b_POST_TRABAJO!$A$5:$A$48,0))="","",INDEX(2b_POST_TRABAJO!$F$5:$F$48,MATCH($A19,2b_POST_TRABAJO!$A$5:$A$48,0))),"")</f>
        <v>3</v>
      </c>
      <c r="AD19" s="19" t="n">
        <f aca="false">IFERROR(IF(INDEX(2b_POST_TRABAJO!$G$5:$G$48,MATCH($A19,2b_POST_TRABAJO!$A$5:$A$48,0))="","",INDEX(2b_POST_TRABAJO!$G$5:$G$48,MATCH($A19,2b_POST_TRABAJO!$A$5:$A$48,0))),"")</f>
        <v>3</v>
      </c>
      <c r="AE19" s="19" t="n">
        <f aca="false">IFERROR(IF(INDEX(2b_POST_TRABAJO!$H$5:$H$48,MATCH($A19,2b_POST_TRABAJO!$A$5:$A$48,0))="","",INDEX(2b_POST_TRABAJO!$H$5:$H$48,MATCH($A19,2b_POST_TRABAJO!$A$5:$A$48,0))),"")</f>
        <v>4</v>
      </c>
      <c r="AF19" s="19" t="n">
        <f aca="false">IF(IFERROR(IF(INDEX(2b_POST_TRABAJO!$I$5:$I$48,MATCH($A19,2b_POST_TRABAJO!$A$5:$A$48,0))="","",INDEX(2b_POST_TRABAJO!$I$5:$I$48,MATCH($A19,2b_POST_TRABAJO!$A$5:$A$48,0))),"")="","",IFERROR(6-IFERROR(IF(INDEX(2b_POST_TRABAJO!$I$5:$I$48,MATCH($A19,2b_POST_TRABAJO!$A$5:$A$48,0))="","",INDEX(2b_POST_TRABAJO!$I$5:$I$48,MATCH($A19,2b_POST_TRABAJO!$A$5:$A$48,0))),""),"REVISAR"))</f>
        <v>2</v>
      </c>
      <c r="AG19" s="19" t="n">
        <f aca="false">IFERROR(IF(INDEX(2b_POST_TRABAJO!$J$5:$J$48,MATCH($A19,2b_POST_TRABAJO!$A$5:$A$48,0))="","",INDEX(2b_POST_TRABAJO!$J$5:$J$48,MATCH($A19,2b_POST_TRABAJO!$A$5:$A$48,0))),"")</f>
        <v>3</v>
      </c>
      <c r="AH19" s="19" t="n">
        <f aca="false">IFERROR(IF(INDEX(2b_POST_TRABAJO!$K$5:$K$48,MATCH($A19,2b_POST_TRABAJO!$A$5:$A$48,0))="","",INDEX(2b_POST_TRABAJO!$K$5:$K$48,MATCH($A19,2b_POST_TRABAJO!$A$5:$A$48,0))),"")</f>
        <v>3</v>
      </c>
      <c r="AI19" s="19" t="n">
        <f aca="false">IFERROR(IF(INDEX(2b_POST_TRABAJO!$L$5:$L$48,MATCH($A19,2b_POST_TRABAJO!$A$5:$A$48,0))="","",INDEX(2b_POST_TRABAJO!$L$5:$L$48,MATCH($A19,2b_POST_TRABAJO!$A$5:$A$48,0))),"")</f>
        <v>5</v>
      </c>
      <c r="AJ19" s="19" t="n">
        <f aca="false">IFERROR(IF(INDEX(2b_POST_TRABAJO!$M$5:$M$48,MATCH($A19,2b_POST_TRABAJO!$A$5:$A$48,0))="","",INDEX(2b_POST_TRABAJO!$M$5:$M$48,MATCH($A19,2b_POST_TRABAJO!$A$5:$A$48,0))),"")</f>
        <v>4</v>
      </c>
      <c r="AK19" s="19" t="n">
        <f aca="false">IFERROR(IF(INDEX(2b_POST_TRABAJO!$N$5:$N$48,MATCH($A19,2b_POST_TRABAJO!$A$5:$A$48,0))="","",INDEX(2b_POST_TRABAJO!$N$5:$N$48,MATCH($A19,2b_POST_TRABAJO!$A$5:$A$48,0))),"")</f>
        <v>4</v>
      </c>
      <c r="AL19" s="19" t="n">
        <f aca="false">IFERROR(IF(INDEX(2b_POST_TRABAJO!$O$5:$O$48,MATCH($A19,2b_POST_TRABAJO!$A$5:$A$48,0))="","",INDEX(2b_POST_TRABAJO!$O$5:$O$48,MATCH($A19,2b_POST_TRABAJO!$A$5:$A$48,0))),"")</f>
        <v>5</v>
      </c>
      <c r="AM19" s="19" t="n">
        <f aca="false">IFERROR(IF(INDEX(2b_POST_TRABAJO!$P$5:$P$48,MATCH($A19,2b_POST_TRABAJO!$A$5:$A$48,0))="","",INDEX(2b_POST_TRABAJO!$P$5:$P$48,MATCH($A19,2b_POST_TRABAJO!$A$5:$A$48,0))),"")</f>
        <v>4</v>
      </c>
      <c r="AN19" s="19" t="n">
        <f aca="false">IF(IFERROR(IF(INDEX(2b_POST_TRABAJO!$Q$5:$Q$48,MATCH($A19,2b_POST_TRABAJO!$A$5:$A$48,0))="","",INDEX(2b_POST_TRABAJO!$Q$5:$Q$48,MATCH($A19,2b_POST_TRABAJO!$A$5:$A$48,0))),"")="","",IFERROR(6-IFERROR(IF(INDEX(2b_POST_TRABAJO!$Q$5:$Q$48,MATCH($A19,2b_POST_TRABAJO!$A$5:$A$48,0))="","",INDEX(2b_POST_TRABAJO!$Q$5:$Q$48,MATCH($A19,2b_POST_TRABAJO!$A$5:$A$48,0))),""),"REVISAR"))</f>
        <v>4</v>
      </c>
      <c r="AO19" s="19" t="n">
        <f aca="false">IFERROR(IF(INDEX(2b_POST_TRABAJO!$R$5:$R$48,MATCH($A19,2b_POST_TRABAJO!$A$5:$A$48,0))="","",INDEX(2b_POST_TRABAJO!$R$5:$R$48,MATCH($A19,2b_POST_TRABAJO!$A$5:$A$48,0))),"")</f>
        <v>4</v>
      </c>
      <c r="AP19" s="19" t="n">
        <f aca="false">IFERROR(IF(INDEX(2b_POST_TRABAJO!$S$5:$S$48,MATCH($A19,2b_POST_TRABAJO!$A$5:$A$48,0))="","",INDEX(2b_POST_TRABAJO!$S$5:$S$48,MATCH($A19,2b_POST_TRABAJO!$A$5:$A$48,0))),"")</f>
        <v>4</v>
      </c>
      <c r="AQ19" s="19" t="n">
        <f aca="false">IFERROR(IF(INDEX(2b_POST_TRABAJO!$T$5:$T$48,MATCH($A19,2b_POST_TRABAJO!$A$5:$A$48,0))="","",INDEX(2b_POST_TRABAJO!$T$5:$T$48,MATCH($A19,2b_POST_TRABAJO!$A$5:$A$48,0))),"")</f>
        <v>4</v>
      </c>
      <c r="AR19" s="27" t="n">
        <f aca="false">IF(COUNT(N19:R19)&lt;5,"",IFERROR(ROUND(AVERAGE(N19:R19),2),"REVISAR"))</f>
        <v>2.4</v>
      </c>
      <c r="AS19" s="27" t="n">
        <f aca="false">IF(COUNT(S19:W19)&lt;5,"",IFERROR(ROUND(AVERAGE(S19:W19),2),"REVISAR"))</f>
        <v>2.6</v>
      </c>
      <c r="AT19" s="27" t="str">
        <f aca="false">IF(COUNT(X19:AB19)&lt;5,"",IFERROR(ROUND(AVERAGE(X19:AB19),2),"REVISAR"))</f>
        <v/>
      </c>
      <c r="AU19" s="11" t="str">
        <f aca="false">IF(COUNT(N19:AB19)&lt;15,"",IFERROR(SUM(N19:AB19),"REVISAR"))</f>
        <v/>
      </c>
      <c r="AV19" s="18" t="str">
        <f aca="false">IF(AU19="","",IF(ISNUMBER(AU19),IF(AU19&lt;=35,1,IF(AU19&lt;=55,2,3)),"REVISAR"))</f>
        <v/>
      </c>
      <c r="AW19" s="27" t="n">
        <f aca="false">IF(COUNT(AC19:AG19)&lt;5,"",IFERROR(ROUND(AVERAGE(AC19:AG19),2),"REVISAR"))</f>
        <v>3</v>
      </c>
      <c r="AX19" s="27" t="n">
        <f aca="false">IF(COUNT(AH19:AL19)&lt;5,"",IFERROR(ROUND(AVERAGE(AH19:AL19),2),"REVISAR"))</f>
        <v>4.2</v>
      </c>
      <c r="AY19" s="27" t="n">
        <f aca="false">IF(COUNT(AM19:AQ19)&lt;5,"",IFERROR(ROUND(AVERAGE(AM19:AQ19),2),"REVISAR"))</f>
        <v>4</v>
      </c>
      <c r="AZ19" s="11" t="n">
        <f aca="false">IF(COUNT(AC19:AQ19)&lt;15,"",IFERROR(SUM(AC19:AQ19),"REVISAR"))</f>
        <v>56</v>
      </c>
      <c r="BA19" s="18" t="n">
        <f aca="false">IF(AZ19="","",IF(ISNUMBER(AZ19),IF(AZ19&lt;=35,1,IF(AZ19&lt;=55,2,3)),"REVISAR"))</f>
        <v>3</v>
      </c>
      <c r="BB19" s="28" t="n">
        <f aca="false">IF(OR(J19="",K19=""),"",IFERROR(ROUND(K19-J19,1),"REVISAR"))</f>
        <v>-3.1</v>
      </c>
      <c r="BC19" s="11" t="n">
        <f aca="false">IF(OR(L19="",M19=""),"",IFERROR(M19-L19,"REVISAR"))</f>
        <v>18</v>
      </c>
      <c r="BD19" s="11" t="str">
        <f aca="false">IF(OR(AU19="",AZ19=""),"",IFERROR(AZ19-AU19,"REVISAR"))</f>
        <v/>
      </c>
      <c r="BE19" s="23"/>
      <c r="BF19" s="21"/>
    </row>
    <row r="20" customFormat="false" ht="15" hidden="false" customHeight="false" outlineLevel="0" collapsed="false">
      <c r="A20" s="17" t="s">
        <v>69</v>
      </c>
      <c r="B20" s="23" t="n">
        <v>1</v>
      </c>
      <c r="C20" s="19" t="n">
        <f aca="false">IFERROR(IF(INDEX(2a_PRE_TRABAJO!$B$5:$B$51,MATCH($A20,2a_PRE_TRABAJO!$A$5:$A$51,0))="","",INDEX(2a_PRE_TRABAJO!$B$5:$B$51,MATCH($A20,2a_PRE_TRABAJO!$A$5:$A$51,0))),"")</f>
        <v>1</v>
      </c>
      <c r="D20" s="19" t="n">
        <f aca="false">IFERROR(IF(INDEX(2a_PRE_TRABAJO!$C$5:$C$51,MATCH($A20,2a_PRE_TRABAJO!$A$5:$A$51,0))="","",INDEX(2a_PRE_TRABAJO!$C$5:$C$51,MATCH($A20,2a_PRE_TRABAJO!$A$5:$A$51,0))),"")</f>
        <v>2</v>
      </c>
      <c r="E20" s="19" t="n">
        <f aca="false">IFERROR(IF(INDEX(2a_PRE_TRABAJO!$D$5:$D$51,MATCH($A20,2a_PRE_TRABAJO!$A$5:$A$51,0))="","",INDEX(2a_PRE_TRABAJO!$D$5:$D$51,MATCH($A20,2a_PRE_TRABAJO!$A$5:$A$51,0))),"")</f>
        <v>44</v>
      </c>
      <c r="F20" s="19" t="n">
        <f aca="false">IFERROR(IF(INDEX(2a_PRE_TRABAJO!$E$5:$E$51,MATCH($A20,2a_PRE_TRABAJO!$A$5:$A$51,0))="","",INDEX(2a_PRE_TRABAJO!$E$5:$E$51,MATCH($A20,2a_PRE_TRABAJO!$A$5:$A$51,0))),"")</f>
        <v>12</v>
      </c>
      <c r="G20" s="19" t="str">
        <f aca="false">IFERROR(IF(INDEX(2a_PRE_TRABAJO!$F$5:$F$51,MATCH($A20,2a_PRE_TRABAJO!$A$5:$A$51,0))="","",INDEX(2a_PRE_TRABAJO!$F$5:$F$51,MATCH($A20,2a_PRE_TRABAJO!$A$5:$A$51,0))),"")</f>
        <v>Técnico</v>
      </c>
      <c r="H20" s="24" t="n">
        <f aca="false">IFERROR(IF(INDEX(2a_PRE_TRABAJO!$G$5:$G$51,MATCH($A20,2a_PRE_TRABAJO!$A$5:$A$51,0))="","",INDEX(2a_PRE_TRABAJO!$G$5:$G$51,MATCH($A20,2a_PRE_TRABAJO!$A$5:$A$51,0))),"")</f>
        <v>46258</v>
      </c>
      <c r="I20" s="24" t="n">
        <f aca="false">IFERROR(IF(INDEX(2b_POST_TRABAJO!$C$5:$C$48,MATCH($A20,2b_POST_TRABAJO!$A$5:$A$48,0))="","",INDEX(2b_POST_TRABAJO!$C$5:$C$48,MATCH($A20,2b_POST_TRABAJO!$A$5:$A$48,0))),"")</f>
        <v>46307</v>
      </c>
      <c r="J20" s="25" t="n">
        <f aca="false">IFERROR(IF(INDEX(2a_PRE_TRABAJO!$H$5:$H$51,MATCH($A20,2a_PRE_TRABAJO!$A$5:$A$51,0))="","",INDEX(2a_PRE_TRABAJO!$H$5:$H$51,MATCH($A20,2a_PRE_TRABAJO!$A$5:$A$51,0))),"")</f>
        <v>9</v>
      </c>
      <c r="K20" s="25" t="n">
        <f aca="false">IFERROR(IF(INDEX(2b_POST_TRABAJO!$D$5:$D$48,MATCH($A20,2b_POST_TRABAJO!$A$5:$A$48,0))="","",INDEX(2b_POST_TRABAJO!$D$5:$D$48,MATCH($A20,2b_POST_TRABAJO!$A$5:$A$48,0))),"")</f>
        <v>6</v>
      </c>
      <c r="L20" s="26" t="n">
        <f aca="false">IFERROR(IF(INDEX(2a_PRE_TRABAJO!$I$5:$I$51,MATCH($A20,2a_PRE_TRABAJO!$A$5:$A$51,0))="","",INDEX(2a_PRE_TRABAJO!$I$5:$I$51,MATCH($A20,2a_PRE_TRABAJO!$A$5:$A$51,0))),"")</f>
        <v>50</v>
      </c>
      <c r="M20" s="26" t="n">
        <f aca="false">IFERROR(IF(INDEX(2b_POST_TRABAJO!$E$5:$E$48,MATCH($A20,2b_POST_TRABAJO!$A$5:$A$48,0))="","",INDEX(2b_POST_TRABAJO!$E$5:$E$48,MATCH($A20,2b_POST_TRABAJO!$A$5:$A$48,0))),"")</f>
        <v>70</v>
      </c>
      <c r="N20" s="19" t="n">
        <f aca="false">IFERROR(IF(INDEX(2a_PRE_TRABAJO!$J$5:$J$51,MATCH($A20,2a_PRE_TRABAJO!$A$5:$A$51,0))="","",INDEX(2a_PRE_TRABAJO!$J$5:$J$51,MATCH($A20,2a_PRE_TRABAJO!$A$5:$A$51,0))),"")</f>
        <v>3</v>
      </c>
      <c r="O20" s="19" t="n">
        <f aca="false">IFERROR(IF(INDEX(2a_PRE_TRABAJO!$K$5:$K$51,MATCH($A20,2a_PRE_TRABAJO!$A$5:$A$51,0))="","",INDEX(2a_PRE_TRABAJO!$K$5:$K$51,MATCH($A20,2a_PRE_TRABAJO!$A$5:$A$51,0))),"")</f>
        <v>3</v>
      </c>
      <c r="P20" s="19" t="n">
        <f aca="false">IFERROR(IF(INDEX(2a_PRE_TRABAJO!$L$5:$L$51,MATCH($A20,2a_PRE_TRABAJO!$A$5:$A$51,0))="","",INDEX(2a_PRE_TRABAJO!$L$5:$L$51,MATCH($A20,2a_PRE_TRABAJO!$A$5:$A$51,0))),"")</f>
        <v>5</v>
      </c>
      <c r="Q20" s="19" t="n">
        <f aca="false">IF(IFERROR(IF(INDEX(2a_PRE_TRABAJO!$M$5:$M$51,MATCH($A20,2a_PRE_TRABAJO!$A$5:$A$51,0))="","",INDEX(2a_PRE_TRABAJO!$M$5:$M$51,MATCH($A20,2a_PRE_TRABAJO!$A$5:$A$51,0))),"")="","",IFERROR(6-IFERROR(IF(INDEX(2a_PRE_TRABAJO!$M$5:$M$51,MATCH($A20,2a_PRE_TRABAJO!$A$5:$A$51,0))="","",INDEX(2a_PRE_TRABAJO!$M$5:$M$51,MATCH($A20,2a_PRE_TRABAJO!$A$5:$A$51,0))),""),"REVISAR"))</f>
        <v>4</v>
      </c>
      <c r="R20" s="19" t="n">
        <f aca="false">IFERROR(IF(INDEX(2a_PRE_TRABAJO!$N$5:$N$51,MATCH($A20,2a_PRE_TRABAJO!$A$5:$A$51,0))="","",INDEX(2a_PRE_TRABAJO!$N$5:$N$51,MATCH($A20,2a_PRE_TRABAJO!$A$5:$A$51,0))),"")</f>
        <v>2</v>
      </c>
      <c r="S20" s="19" t="n">
        <f aca="false">IFERROR(IF(INDEX(2a_PRE_TRABAJO!$O$5:$O$51,MATCH($A20,2a_PRE_TRABAJO!$A$5:$A$51,0))="","",INDEX(2a_PRE_TRABAJO!$O$5:$O$51,MATCH($A20,2a_PRE_TRABAJO!$A$5:$A$51,0))),"")</f>
        <v>4</v>
      </c>
      <c r="T20" s="19" t="n">
        <f aca="false">IFERROR(IF(INDEX(2a_PRE_TRABAJO!$P$5:$P$51,MATCH($A20,2a_PRE_TRABAJO!$A$5:$A$51,0))="","",INDEX(2a_PRE_TRABAJO!$P$5:$P$51,MATCH($A20,2a_PRE_TRABAJO!$A$5:$A$51,0))),"")</f>
        <v>3</v>
      </c>
      <c r="U20" s="19" t="n">
        <f aca="false">IFERROR(IF(INDEX(2a_PRE_TRABAJO!$Q$5:$Q$51,MATCH($A20,2a_PRE_TRABAJO!$A$5:$A$51,0))="","",INDEX(2a_PRE_TRABAJO!$Q$5:$Q$51,MATCH($A20,2a_PRE_TRABAJO!$A$5:$A$51,0))),"")</f>
        <v>3</v>
      </c>
      <c r="V20" s="19" t="n">
        <f aca="false">IFERROR(IF(INDEX(2a_PRE_TRABAJO!$R$5:$R$51,MATCH($A20,2a_PRE_TRABAJO!$A$5:$A$51,0))="","",INDEX(2a_PRE_TRABAJO!$R$5:$R$51,MATCH($A20,2a_PRE_TRABAJO!$A$5:$A$51,0))),"")</f>
        <v>2</v>
      </c>
      <c r="W20" s="19" t="n">
        <f aca="false">IFERROR(IF(INDEX(2a_PRE_TRABAJO!$S$5:$S$51,MATCH($A20,2a_PRE_TRABAJO!$A$5:$A$51,0))="","",INDEX(2a_PRE_TRABAJO!$S$5:$S$51,MATCH($A20,2a_PRE_TRABAJO!$A$5:$A$51,0))),"")</f>
        <v>3</v>
      </c>
      <c r="X20" s="19" t="n">
        <f aca="false">IFERROR(IF(INDEX(2a_PRE_TRABAJO!$T$5:$T$51,MATCH($A20,2a_PRE_TRABAJO!$A$5:$A$51,0))="","",INDEX(2a_PRE_TRABAJO!$T$5:$T$51,MATCH($A20,2a_PRE_TRABAJO!$A$5:$A$51,0))),"")</f>
        <v>4</v>
      </c>
      <c r="Y20" s="19" t="n">
        <f aca="false">IF(IFERROR(IF(INDEX(2a_PRE_TRABAJO!$U$5:$U$51,MATCH($A20,2a_PRE_TRABAJO!$A$5:$A$51,0))="","",INDEX(2a_PRE_TRABAJO!$U$5:$U$51,MATCH($A20,2a_PRE_TRABAJO!$A$5:$A$51,0))),"")="","",IFERROR(6-IFERROR(IF(INDEX(2a_PRE_TRABAJO!$U$5:$U$51,MATCH($A20,2a_PRE_TRABAJO!$A$5:$A$51,0))="","",INDEX(2a_PRE_TRABAJO!$U$5:$U$51,MATCH($A20,2a_PRE_TRABAJO!$A$5:$A$51,0))),""),"REVISAR"))</f>
        <v>2</v>
      </c>
      <c r="Z20" s="19" t="n">
        <f aca="false">IFERROR(IF(INDEX(2a_PRE_TRABAJO!$V$5:$V$51,MATCH($A20,2a_PRE_TRABAJO!$A$5:$A$51,0))="","",INDEX(2a_PRE_TRABAJO!$V$5:$V$51,MATCH($A20,2a_PRE_TRABAJO!$A$5:$A$51,0))),"")</f>
        <v>4</v>
      </c>
      <c r="AA20" s="19" t="n">
        <f aca="false">IFERROR(IF(INDEX(2a_PRE_TRABAJO!$W$5:$W$51,MATCH($A20,2a_PRE_TRABAJO!$A$5:$A$51,0))="","",INDEX(2a_PRE_TRABAJO!$W$5:$W$51,MATCH($A20,2a_PRE_TRABAJO!$A$5:$A$51,0))),"")</f>
        <v>4</v>
      </c>
      <c r="AB20" s="19" t="n">
        <f aca="false">IFERROR(IF(INDEX(2a_PRE_TRABAJO!$X$5:$X$51,MATCH($A20,2a_PRE_TRABAJO!$A$5:$A$51,0))="","",INDEX(2a_PRE_TRABAJO!$X$5:$X$51,MATCH($A20,2a_PRE_TRABAJO!$A$5:$A$51,0))),"")</f>
        <v>3</v>
      </c>
      <c r="AC20" s="19" t="n">
        <f aca="false">IFERROR(IF(INDEX(2b_POST_TRABAJO!$F$5:$F$48,MATCH($A20,2b_POST_TRABAJO!$A$5:$A$48,0))="","",INDEX(2b_POST_TRABAJO!$F$5:$F$48,MATCH($A20,2b_POST_TRABAJO!$A$5:$A$48,0))),"")</f>
        <v>5</v>
      </c>
      <c r="AD20" s="19" t="n">
        <f aca="false">IFERROR(IF(INDEX(2b_POST_TRABAJO!$G$5:$G$48,MATCH($A20,2b_POST_TRABAJO!$A$5:$A$48,0))="","",INDEX(2b_POST_TRABAJO!$G$5:$G$48,MATCH($A20,2b_POST_TRABAJO!$A$5:$A$48,0))),"")</f>
        <v>3</v>
      </c>
      <c r="AE20" s="19" t="n">
        <f aca="false">IFERROR(IF(INDEX(2b_POST_TRABAJO!$H$5:$H$48,MATCH($A20,2b_POST_TRABAJO!$A$5:$A$48,0))="","",INDEX(2b_POST_TRABAJO!$H$5:$H$48,MATCH($A20,2b_POST_TRABAJO!$A$5:$A$48,0))),"")</f>
        <v>4</v>
      </c>
      <c r="AF20" s="19" t="n">
        <f aca="false">IF(IFERROR(IF(INDEX(2b_POST_TRABAJO!$I$5:$I$48,MATCH($A20,2b_POST_TRABAJO!$A$5:$A$48,0))="","",INDEX(2b_POST_TRABAJO!$I$5:$I$48,MATCH($A20,2b_POST_TRABAJO!$A$5:$A$48,0))),"")="","",IFERROR(6-IFERROR(IF(INDEX(2b_POST_TRABAJO!$I$5:$I$48,MATCH($A20,2b_POST_TRABAJO!$A$5:$A$48,0))="","",INDEX(2b_POST_TRABAJO!$I$5:$I$48,MATCH($A20,2b_POST_TRABAJO!$A$5:$A$48,0))),""),"REVISAR"))</f>
        <v>4</v>
      </c>
      <c r="AG20" s="19" t="n">
        <f aca="false">IFERROR(IF(INDEX(2b_POST_TRABAJO!$J$5:$J$48,MATCH($A20,2b_POST_TRABAJO!$A$5:$A$48,0))="","",INDEX(2b_POST_TRABAJO!$J$5:$J$48,MATCH($A20,2b_POST_TRABAJO!$A$5:$A$48,0))),"")</f>
        <v>5</v>
      </c>
      <c r="AH20" s="19" t="n">
        <f aca="false">IFERROR(IF(INDEX(2b_POST_TRABAJO!$K$5:$K$48,MATCH($A20,2b_POST_TRABAJO!$A$5:$A$48,0))="","",INDEX(2b_POST_TRABAJO!$K$5:$K$48,MATCH($A20,2b_POST_TRABAJO!$A$5:$A$48,0))),"")</f>
        <v>4</v>
      </c>
      <c r="AI20" s="19" t="n">
        <f aca="false">IFERROR(IF(INDEX(2b_POST_TRABAJO!$L$5:$L$48,MATCH($A20,2b_POST_TRABAJO!$A$5:$A$48,0))="","",INDEX(2b_POST_TRABAJO!$L$5:$L$48,MATCH($A20,2b_POST_TRABAJO!$A$5:$A$48,0))),"")</f>
        <v>5</v>
      </c>
      <c r="AJ20" s="19" t="n">
        <f aca="false">IFERROR(IF(INDEX(2b_POST_TRABAJO!$M$5:$M$48,MATCH($A20,2b_POST_TRABAJO!$A$5:$A$48,0))="","",INDEX(2b_POST_TRABAJO!$M$5:$M$48,MATCH($A20,2b_POST_TRABAJO!$A$5:$A$48,0))),"")</f>
        <v>4</v>
      </c>
      <c r="AK20" s="19" t="n">
        <f aca="false">IFERROR(IF(INDEX(2b_POST_TRABAJO!$N$5:$N$48,MATCH($A20,2b_POST_TRABAJO!$A$5:$A$48,0))="","",INDEX(2b_POST_TRABAJO!$N$5:$N$48,MATCH($A20,2b_POST_TRABAJO!$A$5:$A$48,0))),"")</f>
        <v>4</v>
      </c>
      <c r="AL20" s="19" t="n">
        <f aca="false">IFERROR(IF(INDEX(2b_POST_TRABAJO!$O$5:$O$48,MATCH($A20,2b_POST_TRABAJO!$A$5:$A$48,0))="","",INDEX(2b_POST_TRABAJO!$O$5:$O$48,MATCH($A20,2b_POST_TRABAJO!$A$5:$A$48,0))),"")</f>
        <v>3</v>
      </c>
      <c r="AM20" s="19" t="n">
        <f aca="false">IFERROR(IF(INDEX(2b_POST_TRABAJO!$P$5:$P$48,MATCH($A20,2b_POST_TRABAJO!$A$5:$A$48,0))="","",INDEX(2b_POST_TRABAJO!$P$5:$P$48,MATCH($A20,2b_POST_TRABAJO!$A$5:$A$48,0))),"")</f>
        <v>3</v>
      </c>
      <c r="AN20" s="19" t="n">
        <f aca="false">IF(IFERROR(IF(INDEX(2b_POST_TRABAJO!$Q$5:$Q$48,MATCH($A20,2b_POST_TRABAJO!$A$5:$A$48,0))="","",INDEX(2b_POST_TRABAJO!$Q$5:$Q$48,MATCH($A20,2b_POST_TRABAJO!$A$5:$A$48,0))),"")="","",IFERROR(6-IFERROR(IF(INDEX(2b_POST_TRABAJO!$Q$5:$Q$48,MATCH($A20,2b_POST_TRABAJO!$A$5:$A$48,0))="","",INDEX(2b_POST_TRABAJO!$Q$5:$Q$48,MATCH($A20,2b_POST_TRABAJO!$A$5:$A$48,0))),""),"REVISAR"))</f>
        <v>5</v>
      </c>
      <c r="AO20" s="19" t="n">
        <f aca="false">IFERROR(IF(INDEX(2b_POST_TRABAJO!$R$5:$R$48,MATCH($A20,2b_POST_TRABAJO!$A$5:$A$48,0))="","",INDEX(2b_POST_TRABAJO!$R$5:$R$48,MATCH($A20,2b_POST_TRABAJO!$A$5:$A$48,0))),"")</f>
        <v>5</v>
      </c>
      <c r="AP20" s="19" t="n">
        <f aca="false">IFERROR(IF(INDEX(2b_POST_TRABAJO!$S$5:$S$48,MATCH($A20,2b_POST_TRABAJO!$A$5:$A$48,0))="","",INDEX(2b_POST_TRABAJO!$S$5:$S$48,MATCH($A20,2b_POST_TRABAJO!$A$5:$A$48,0))),"")</f>
        <v>5</v>
      </c>
      <c r="AQ20" s="19" t="n">
        <f aca="false">IFERROR(IF(INDEX(2b_POST_TRABAJO!$T$5:$T$48,MATCH($A20,2b_POST_TRABAJO!$A$5:$A$48,0))="","",INDEX(2b_POST_TRABAJO!$T$5:$T$48,MATCH($A20,2b_POST_TRABAJO!$A$5:$A$48,0))),"")</f>
        <v>5</v>
      </c>
      <c r="AR20" s="27" t="n">
        <f aca="false">IF(COUNT(N20:R20)&lt;5,"",IFERROR(ROUND(AVERAGE(N20:R20),2),"REVISAR"))</f>
        <v>3.4</v>
      </c>
      <c r="AS20" s="27" t="n">
        <f aca="false">IF(COUNT(S20:W20)&lt;5,"",IFERROR(ROUND(AVERAGE(S20:W20),2),"REVISAR"))</f>
        <v>3</v>
      </c>
      <c r="AT20" s="27" t="n">
        <f aca="false">IF(COUNT(X20:AB20)&lt;5,"",IFERROR(ROUND(AVERAGE(X20:AB20),2),"REVISAR"))</f>
        <v>3.4</v>
      </c>
      <c r="AU20" s="11" t="n">
        <f aca="false">IF(COUNT(N20:AB20)&lt;15,"",IFERROR(SUM(N20:AB20),"REVISAR"))</f>
        <v>49</v>
      </c>
      <c r="AV20" s="18" t="n">
        <f aca="false">IF(AU20="","",IF(ISNUMBER(AU20),IF(AU20&lt;=35,1,IF(AU20&lt;=55,2,3)),"REVISAR"))</f>
        <v>2</v>
      </c>
      <c r="AW20" s="27" t="n">
        <f aca="false">IF(COUNT(AC20:AG20)&lt;5,"",IFERROR(ROUND(AVERAGE(AC20:AG20),2),"REVISAR"))</f>
        <v>4.2</v>
      </c>
      <c r="AX20" s="27" t="n">
        <f aca="false">IF(COUNT(AH20:AL20)&lt;5,"",IFERROR(ROUND(AVERAGE(AH20:AL20),2),"REVISAR"))</f>
        <v>4</v>
      </c>
      <c r="AY20" s="27" t="n">
        <f aca="false">IF(COUNT(AM20:AQ20)&lt;5,"",IFERROR(ROUND(AVERAGE(AM20:AQ20),2),"REVISAR"))</f>
        <v>4.6</v>
      </c>
      <c r="AZ20" s="11" t="n">
        <f aca="false">IF(COUNT(AC20:AQ20)&lt;15,"",IFERROR(SUM(AC20:AQ20),"REVISAR"))</f>
        <v>64</v>
      </c>
      <c r="BA20" s="18" t="n">
        <f aca="false">IF(AZ20="","",IF(ISNUMBER(AZ20),IF(AZ20&lt;=35,1,IF(AZ20&lt;=55,2,3)),"REVISAR"))</f>
        <v>3</v>
      </c>
      <c r="BB20" s="28" t="n">
        <f aca="false">IF(OR(J20="",K20=""),"",IFERROR(ROUND(K20-J20,1),"REVISAR"))</f>
        <v>-3</v>
      </c>
      <c r="BC20" s="11" t="n">
        <f aca="false">IF(OR(L20="",M20=""),"",IFERROR(M20-L20,"REVISAR"))</f>
        <v>20</v>
      </c>
      <c r="BD20" s="11" t="n">
        <f aca="false">IF(OR(AU20="",AZ20=""),"",IFERROR(AZ20-AU20,"REVISAR"))</f>
        <v>15</v>
      </c>
      <c r="BE20" s="23"/>
      <c r="BF20" s="21"/>
    </row>
    <row r="21" customFormat="false" ht="15" hidden="false" customHeight="false" outlineLevel="0" collapsed="false">
      <c r="A21" s="17" t="s">
        <v>70</v>
      </c>
      <c r="B21" s="23" t="n">
        <v>1</v>
      </c>
      <c r="C21" s="19" t="n">
        <f aca="false">IFERROR(IF(INDEX(2a_PRE_TRABAJO!$B$5:$B$51,MATCH($A21,2a_PRE_TRABAJO!$A$5:$A$51,0))="","",INDEX(2a_PRE_TRABAJO!$B$5:$B$51,MATCH($A21,2a_PRE_TRABAJO!$A$5:$A$51,0))),"")</f>
        <v>1</v>
      </c>
      <c r="D21" s="19" t="n">
        <f aca="false">IFERROR(IF(INDEX(2a_PRE_TRABAJO!$C$5:$C$51,MATCH($A21,2a_PRE_TRABAJO!$A$5:$A$51,0))="","",INDEX(2a_PRE_TRABAJO!$C$5:$C$51,MATCH($A21,2a_PRE_TRABAJO!$A$5:$A$51,0))),"")</f>
        <v>1</v>
      </c>
      <c r="E21" s="19" t="n">
        <f aca="false">IFERROR(IF(INDEX(2a_PRE_TRABAJO!$D$5:$D$51,MATCH($A21,2a_PRE_TRABAJO!$A$5:$A$51,0))="","",INDEX(2a_PRE_TRABAJO!$D$5:$D$51,MATCH($A21,2a_PRE_TRABAJO!$A$5:$A$51,0))),"")</f>
        <v>30</v>
      </c>
      <c r="F21" s="19" t="n">
        <f aca="false">IFERROR(IF(INDEX(2a_PRE_TRABAJO!$E$5:$E$51,MATCH($A21,2a_PRE_TRABAJO!$A$5:$A$51,0))="","",INDEX(2a_PRE_TRABAJO!$E$5:$E$51,MATCH($A21,2a_PRE_TRABAJO!$A$5:$A$51,0))),"")</f>
        <v>4</v>
      </c>
      <c r="G21" s="19" t="str">
        <f aca="false">IFERROR(IF(INDEX(2a_PRE_TRABAJO!$F$5:$F$51,MATCH($A21,2a_PRE_TRABAJO!$A$5:$A$51,0))="","",INDEX(2a_PRE_TRABAJO!$F$5:$F$51,MATCH($A21,2a_PRE_TRABAJO!$A$5:$A$51,0))),"")</f>
        <v>Tecnico</v>
      </c>
      <c r="H21" s="24" t="n">
        <f aca="false">IFERROR(IF(INDEX(2a_PRE_TRABAJO!$G$5:$G$51,MATCH($A21,2a_PRE_TRABAJO!$A$5:$A$51,0))="","",INDEX(2a_PRE_TRABAJO!$G$5:$G$51,MATCH($A21,2a_PRE_TRABAJO!$A$5:$A$51,0))),"")</f>
        <v>46259</v>
      </c>
      <c r="I21" s="24" t="n">
        <f aca="false">IFERROR(IF(INDEX(2b_POST_TRABAJO!$C$5:$C$48,MATCH($A21,2b_POST_TRABAJO!$A$5:$A$48,0))="","",INDEX(2b_POST_TRABAJO!$C$5:$C$48,MATCH($A21,2b_POST_TRABAJO!$A$5:$A$48,0))),"")</f>
        <v>46308</v>
      </c>
      <c r="J21" s="25" t="n">
        <f aca="false">IFERROR(IF(INDEX(2a_PRE_TRABAJO!$H$5:$H$51,MATCH($A21,2a_PRE_TRABAJO!$A$5:$A$51,0))="","",INDEX(2a_PRE_TRABAJO!$H$5:$H$51,MATCH($A21,2a_PRE_TRABAJO!$A$5:$A$51,0))),"")</f>
        <v>11.1</v>
      </c>
      <c r="K21" s="25" t="n">
        <f aca="false">IFERROR(IF(INDEX(2b_POST_TRABAJO!$D$5:$D$48,MATCH($A21,2b_POST_TRABAJO!$A$5:$A$48,0))="","",INDEX(2b_POST_TRABAJO!$D$5:$D$48,MATCH($A21,2b_POST_TRABAJO!$A$5:$A$48,0))),"")</f>
        <v>7.3</v>
      </c>
      <c r="L21" s="26" t="n">
        <f aca="false">IFERROR(IF(INDEX(2a_PRE_TRABAJO!$I$5:$I$51,MATCH($A21,2a_PRE_TRABAJO!$A$5:$A$51,0))="","",INDEX(2a_PRE_TRABAJO!$I$5:$I$51,MATCH($A21,2a_PRE_TRABAJO!$A$5:$A$51,0))),"")</f>
        <v>54</v>
      </c>
      <c r="M21" s="26" t="n">
        <f aca="false">IFERROR(IF(INDEX(2b_POST_TRABAJO!$E$5:$E$48,MATCH($A21,2b_POST_TRABAJO!$A$5:$A$48,0))="","",INDEX(2b_POST_TRABAJO!$E$5:$E$48,MATCH($A21,2b_POST_TRABAJO!$A$5:$A$48,0))),"")</f>
        <v>76</v>
      </c>
      <c r="N21" s="19" t="n">
        <f aca="false">IFERROR(IF(INDEX(2a_PRE_TRABAJO!$J$5:$J$51,MATCH($A21,2a_PRE_TRABAJO!$A$5:$A$51,0))="","",INDEX(2a_PRE_TRABAJO!$J$5:$J$51,MATCH($A21,2a_PRE_TRABAJO!$A$5:$A$51,0))),"")</f>
        <v>3</v>
      </c>
      <c r="O21" s="19" t="n">
        <f aca="false">IFERROR(IF(INDEX(2a_PRE_TRABAJO!$K$5:$K$51,MATCH($A21,2a_PRE_TRABAJO!$A$5:$A$51,0))="","",INDEX(2a_PRE_TRABAJO!$K$5:$K$51,MATCH($A21,2a_PRE_TRABAJO!$A$5:$A$51,0))),"")</f>
        <v>3</v>
      </c>
      <c r="P21" s="19" t="n">
        <f aca="false">IFERROR(IF(INDEX(2a_PRE_TRABAJO!$L$5:$L$51,MATCH($A21,2a_PRE_TRABAJO!$A$5:$A$51,0))="","",INDEX(2a_PRE_TRABAJO!$L$5:$L$51,MATCH($A21,2a_PRE_TRABAJO!$A$5:$A$51,0))),"")</f>
        <v>4</v>
      </c>
      <c r="Q21" s="19" t="n">
        <f aca="false">IF(IFERROR(IF(INDEX(2a_PRE_TRABAJO!$M$5:$M$51,MATCH($A21,2a_PRE_TRABAJO!$A$5:$A$51,0))="","",INDEX(2a_PRE_TRABAJO!$M$5:$M$51,MATCH($A21,2a_PRE_TRABAJO!$A$5:$A$51,0))),"")="","",IFERROR(6-IFERROR(IF(INDEX(2a_PRE_TRABAJO!$M$5:$M$51,MATCH($A21,2a_PRE_TRABAJO!$A$5:$A$51,0))="","",INDEX(2a_PRE_TRABAJO!$M$5:$M$51,MATCH($A21,2a_PRE_TRABAJO!$A$5:$A$51,0))),""),"REVISAR"))</f>
        <v>3</v>
      </c>
      <c r="R21" s="19" t="n">
        <f aca="false">IFERROR(IF(INDEX(2a_PRE_TRABAJO!$N$5:$N$51,MATCH($A21,2a_PRE_TRABAJO!$A$5:$A$51,0))="","",INDEX(2a_PRE_TRABAJO!$N$5:$N$51,MATCH($A21,2a_PRE_TRABAJO!$A$5:$A$51,0))),"")</f>
        <v>4</v>
      </c>
      <c r="S21" s="19" t="n">
        <f aca="false">IFERROR(IF(INDEX(2a_PRE_TRABAJO!$O$5:$O$51,MATCH($A21,2a_PRE_TRABAJO!$A$5:$A$51,0))="","",INDEX(2a_PRE_TRABAJO!$O$5:$O$51,MATCH($A21,2a_PRE_TRABAJO!$A$5:$A$51,0))),"")</f>
        <v>5</v>
      </c>
      <c r="T21" s="19" t="n">
        <f aca="false">IFERROR(IF(INDEX(2a_PRE_TRABAJO!$P$5:$P$51,MATCH($A21,2a_PRE_TRABAJO!$A$5:$A$51,0))="","",INDEX(2a_PRE_TRABAJO!$P$5:$P$51,MATCH($A21,2a_PRE_TRABAJO!$A$5:$A$51,0))),"")</f>
        <v>4</v>
      </c>
      <c r="U21" s="19" t="n">
        <f aca="false">IFERROR(IF(INDEX(2a_PRE_TRABAJO!$Q$5:$Q$51,MATCH($A21,2a_PRE_TRABAJO!$A$5:$A$51,0))="","",INDEX(2a_PRE_TRABAJO!$Q$5:$Q$51,MATCH($A21,2a_PRE_TRABAJO!$A$5:$A$51,0))),"")</f>
        <v>4</v>
      </c>
      <c r="V21" s="19" t="n">
        <f aca="false">IFERROR(IF(INDEX(2a_PRE_TRABAJO!$R$5:$R$51,MATCH($A21,2a_PRE_TRABAJO!$A$5:$A$51,0))="","",INDEX(2a_PRE_TRABAJO!$R$5:$R$51,MATCH($A21,2a_PRE_TRABAJO!$A$5:$A$51,0))),"")</f>
        <v>4</v>
      </c>
      <c r="W21" s="19" t="n">
        <f aca="false">IFERROR(IF(INDEX(2a_PRE_TRABAJO!$S$5:$S$51,MATCH($A21,2a_PRE_TRABAJO!$A$5:$A$51,0))="","",INDEX(2a_PRE_TRABAJO!$S$5:$S$51,MATCH($A21,2a_PRE_TRABAJO!$A$5:$A$51,0))),"")</f>
        <v>4</v>
      </c>
      <c r="X21" s="19" t="n">
        <f aca="false">IFERROR(IF(INDEX(2a_PRE_TRABAJO!$T$5:$T$51,MATCH($A21,2a_PRE_TRABAJO!$A$5:$A$51,0))="","",INDEX(2a_PRE_TRABAJO!$T$5:$T$51,MATCH($A21,2a_PRE_TRABAJO!$A$5:$A$51,0))),"")</f>
        <v>2</v>
      </c>
      <c r="Y21" s="19" t="n">
        <f aca="false">IF(IFERROR(IF(INDEX(2a_PRE_TRABAJO!$U$5:$U$51,MATCH($A21,2a_PRE_TRABAJO!$A$5:$A$51,0))="","",INDEX(2a_PRE_TRABAJO!$U$5:$U$51,MATCH($A21,2a_PRE_TRABAJO!$A$5:$A$51,0))),"")="","",IFERROR(6-IFERROR(IF(INDEX(2a_PRE_TRABAJO!$U$5:$U$51,MATCH($A21,2a_PRE_TRABAJO!$A$5:$A$51,0))="","",INDEX(2a_PRE_TRABAJO!$U$5:$U$51,MATCH($A21,2a_PRE_TRABAJO!$A$5:$A$51,0))),""),"REVISAR"))</f>
        <v>4</v>
      </c>
      <c r="Z21" s="19" t="n">
        <f aca="false">IFERROR(IF(INDEX(2a_PRE_TRABAJO!$V$5:$V$51,MATCH($A21,2a_PRE_TRABAJO!$A$5:$A$51,0))="","",INDEX(2a_PRE_TRABAJO!$V$5:$V$51,MATCH($A21,2a_PRE_TRABAJO!$A$5:$A$51,0))),"")</f>
        <v>5</v>
      </c>
      <c r="AA21" s="19" t="n">
        <f aca="false">IFERROR(IF(INDEX(2a_PRE_TRABAJO!$W$5:$W$51,MATCH($A21,2a_PRE_TRABAJO!$A$5:$A$51,0))="","",INDEX(2a_PRE_TRABAJO!$W$5:$W$51,MATCH($A21,2a_PRE_TRABAJO!$A$5:$A$51,0))),"")</f>
        <v>2</v>
      </c>
      <c r="AB21" s="19" t="n">
        <f aca="false">IFERROR(IF(INDEX(2a_PRE_TRABAJO!$X$5:$X$51,MATCH($A21,2a_PRE_TRABAJO!$A$5:$A$51,0))="","",INDEX(2a_PRE_TRABAJO!$X$5:$X$51,MATCH($A21,2a_PRE_TRABAJO!$A$5:$A$51,0))),"")</f>
        <v>3</v>
      </c>
      <c r="AC21" s="19" t="n">
        <f aca="false">IFERROR(IF(INDEX(2b_POST_TRABAJO!$F$5:$F$48,MATCH($A21,2b_POST_TRABAJO!$A$5:$A$48,0))="","",INDEX(2b_POST_TRABAJO!$F$5:$F$48,MATCH($A21,2b_POST_TRABAJO!$A$5:$A$48,0))),"")</f>
        <v>5</v>
      </c>
      <c r="AD21" s="19" t="n">
        <f aca="false">IFERROR(IF(INDEX(2b_POST_TRABAJO!$G$5:$G$48,MATCH($A21,2b_POST_TRABAJO!$A$5:$A$48,0))="","",INDEX(2b_POST_TRABAJO!$G$5:$G$48,MATCH($A21,2b_POST_TRABAJO!$A$5:$A$48,0))),"")</f>
        <v>5</v>
      </c>
      <c r="AE21" s="19" t="n">
        <f aca="false">IFERROR(IF(INDEX(2b_POST_TRABAJO!$H$5:$H$48,MATCH($A21,2b_POST_TRABAJO!$A$5:$A$48,0))="","",INDEX(2b_POST_TRABAJO!$H$5:$H$48,MATCH($A21,2b_POST_TRABAJO!$A$5:$A$48,0))),"")</f>
        <v>5</v>
      </c>
      <c r="AF21" s="19" t="n">
        <f aca="false">IF(IFERROR(IF(INDEX(2b_POST_TRABAJO!$I$5:$I$48,MATCH($A21,2b_POST_TRABAJO!$A$5:$A$48,0))="","",INDEX(2b_POST_TRABAJO!$I$5:$I$48,MATCH($A21,2b_POST_TRABAJO!$A$5:$A$48,0))),"")="","",IFERROR(6-IFERROR(IF(INDEX(2b_POST_TRABAJO!$I$5:$I$48,MATCH($A21,2b_POST_TRABAJO!$A$5:$A$48,0))="","",INDEX(2b_POST_TRABAJO!$I$5:$I$48,MATCH($A21,2b_POST_TRABAJO!$A$5:$A$48,0))),""),"REVISAR"))</f>
        <v>4</v>
      </c>
      <c r="AG21" s="19" t="n">
        <f aca="false">IFERROR(IF(INDEX(2b_POST_TRABAJO!$J$5:$J$48,MATCH($A21,2b_POST_TRABAJO!$A$5:$A$48,0))="","",INDEX(2b_POST_TRABAJO!$J$5:$J$48,MATCH($A21,2b_POST_TRABAJO!$A$5:$A$48,0))),"")</f>
        <v>5</v>
      </c>
      <c r="AH21" s="19" t="n">
        <f aca="false">IFERROR(IF(INDEX(2b_POST_TRABAJO!$K$5:$K$48,MATCH($A21,2b_POST_TRABAJO!$A$5:$A$48,0))="","",INDEX(2b_POST_TRABAJO!$K$5:$K$48,MATCH($A21,2b_POST_TRABAJO!$A$5:$A$48,0))),"")</f>
        <v>5</v>
      </c>
      <c r="AI21" s="19" t="n">
        <f aca="false">IFERROR(IF(INDEX(2b_POST_TRABAJO!$L$5:$L$48,MATCH($A21,2b_POST_TRABAJO!$A$5:$A$48,0))="","",INDEX(2b_POST_TRABAJO!$L$5:$L$48,MATCH($A21,2b_POST_TRABAJO!$A$5:$A$48,0))),"")</f>
        <v>5</v>
      </c>
      <c r="AJ21" s="19" t="n">
        <f aca="false">IFERROR(IF(INDEX(2b_POST_TRABAJO!$M$5:$M$48,MATCH($A21,2b_POST_TRABAJO!$A$5:$A$48,0))="","",INDEX(2b_POST_TRABAJO!$M$5:$M$48,MATCH($A21,2b_POST_TRABAJO!$A$5:$A$48,0))),"")</f>
        <v>3</v>
      </c>
      <c r="AK21" s="19" t="n">
        <f aca="false">IFERROR(IF(INDEX(2b_POST_TRABAJO!$N$5:$N$48,MATCH($A21,2b_POST_TRABAJO!$A$5:$A$48,0))="","",INDEX(2b_POST_TRABAJO!$N$5:$N$48,MATCH($A21,2b_POST_TRABAJO!$A$5:$A$48,0))),"")</f>
        <v>4</v>
      </c>
      <c r="AL21" s="19" t="n">
        <f aca="false">IFERROR(IF(INDEX(2b_POST_TRABAJO!$O$5:$O$48,MATCH($A21,2b_POST_TRABAJO!$A$5:$A$48,0))="","",INDEX(2b_POST_TRABAJO!$O$5:$O$48,MATCH($A21,2b_POST_TRABAJO!$A$5:$A$48,0))),"")</f>
        <v>5</v>
      </c>
      <c r="AM21" s="19" t="n">
        <f aca="false">IFERROR(IF(INDEX(2b_POST_TRABAJO!$P$5:$P$48,MATCH($A21,2b_POST_TRABAJO!$A$5:$A$48,0))="","",INDEX(2b_POST_TRABAJO!$P$5:$P$48,MATCH($A21,2b_POST_TRABAJO!$A$5:$A$48,0))),"")</f>
        <v>5</v>
      </c>
      <c r="AN21" s="19" t="n">
        <f aca="false">IF(IFERROR(IF(INDEX(2b_POST_TRABAJO!$Q$5:$Q$48,MATCH($A21,2b_POST_TRABAJO!$A$5:$A$48,0))="","",INDEX(2b_POST_TRABAJO!$Q$5:$Q$48,MATCH($A21,2b_POST_TRABAJO!$A$5:$A$48,0))),"")="","",IFERROR(6-IFERROR(IF(INDEX(2b_POST_TRABAJO!$Q$5:$Q$48,MATCH($A21,2b_POST_TRABAJO!$A$5:$A$48,0))="","",INDEX(2b_POST_TRABAJO!$Q$5:$Q$48,MATCH($A21,2b_POST_TRABAJO!$A$5:$A$48,0))),""),"REVISAR"))</f>
        <v>5</v>
      </c>
      <c r="AO21" s="19" t="n">
        <f aca="false">IFERROR(IF(INDEX(2b_POST_TRABAJO!$R$5:$R$48,MATCH($A21,2b_POST_TRABAJO!$A$5:$A$48,0))="","",INDEX(2b_POST_TRABAJO!$R$5:$R$48,MATCH($A21,2b_POST_TRABAJO!$A$5:$A$48,0))),"")</f>
        <v>5</v>
      </c>
      <c r="AP21" s="19" t="n">
        <f aca="false">IFERROR(IF(INDEX(2b_POST_TRABAJO!$S$5:$S$48,MATCH($A21,2b_POST_TRABAJO!$A$5:$A$48,0))="","",INDEX(2b_POST_TRABAJO!$S$5:$S$48,MATCH($A21,2b_POST_TRABAJO!$A$5:$A$48,0))),"")</f>
        <v>5</v>
      </c>
      <c r="AQ21" s="19" t="n">
        <f aca="false">IFERROR(IF(INDEX(2b_POST_TRABAJO!$T$5:$T$48,MATCH($A21,2b_POST_TRABAJO!$A$5:$A$48,0))="","",INDEX(2b_POST_TRABAJO!$T$5:$T$48,MATCH($A21,2b_POST_TRABAJO!$A$5:$A$48,0))),"")</f>
        <v>5</v>
      </c>
      <c r="AR21" s="27" t="n">
        <f aca="false">IF(COUNT(N21:R21)&lt;5,"",IFERROR(ROUND(AVERAGE(N21:R21),2),"REVISAR"))</f>
        <v>3.4</v>
      </c>
      <c r="AS21" s="27" t="n">
        <f aca="false">IF(COUNT(S21:W21)&lt;5,"",IFERROR(ROUND(AVERAGE(S21:W21),2),"REVISAR"))</f>
        <v>4.2</v>
      </c>
      <c r="AT21" s="27" t="n">
        <f aca="false">IF(COUNT(X21:AB21)&lt;5,"",IFERROR(ROUND(AVERAGE(X21:AB21),2),"REVISAR"))</f>
        <v>3.2</v>
      </c>
      <c r="AU21" s="11" t="n">
        <f aca="false">IF(COUNT(N21:AB21)&lt;15,"",IFERROR(SUM(N21:AB21),"REVISAR"))</f>
        <v>54</v>
      </c>
      <c r="AV21" s="18" t="n">
        <f aca="false">IF(AU21="","",IF(ISNUMBER(AU21),IF(AU21&lt;=35,1,IF(AU21&lt;=55,2,3)),"REVISAR"))</f>
        <v>2</v>
      </c>
      <c r="AW21" s="27" t="n">
        <f aca="false">IF(COUNT(AC21:AG21)&lt;5,"",IFERROR(ROUND(AVERAGE(AC21:AG21),2),"REVISAR"))</f>
        <v>4.8</v>
      </c>
      <c r="AX21" s="27" t="n">
        <f aca="false">IF(COUNT(AH21:AL21)&lt;5,"",IFERROR(ROUND(AVERAGE(AH21:AL21),2),"REVISAR"))</f>
        <v>4.4</v>
      </c>
      <c r="AY21" s="27" t="n">
        <f aca="false">IF(COUNT(AM21:AQ21)&lt;5,"",IFERROR(ROUND(AVERAGE(AM21:AQ21),2),"REVISAR"))</f>
        <v>5</v>
      </c>
      <c r="AZ21" s="11" t="n">
        <f aca="false">IF(COUNT(AC21:AQ21)&lt;15,"",IFERROR(SUM(AC21:AQ21),"REVISAR"))</f>
        <v>71</v>
      </c>
      <c r="BA21" s="18" t="n">
        <f aca="false">IF(AZ21="","",IF(ISNUMBER(AZ21),IF(AZ21&lt;=35,1,IF(AZ21&lt;=55,2,3)),"REVISAR"))</f>
        <v>3</v>
      </c>
      <c r="BB21" s="28" t="n">
        <f aca="false">IF(OR(J21="",K21=""),"",IFERROR(ROUND(K21-J21,1),"REVISAR"))</f>
        <v>-3.8</v>
      </c>
      <c r="BC21" s="11" t="n">
        <f aca="false">IF(OR(L21="",M21=""),"",IFERROR(M21-L21,"REVISAR"))</f>
        <v>22</v>
      </c>
      <c r="BD21" s="11" t="n">
        <f aca="false">IF(OR(AU21="",AZ21=""),"",IFERROR(AZ21-AU21,"REVISAR"))</f>
        <v>17</v>
      </c>
      <c r="BE21" s="23"/>
      <c r="BF21" s="21"/>
    </row>
    <row r="22" customFormat="false" ht="15" hidden="false" customHeight="false" outlineLevel="0" collapsed="false">
      <c r="A22" s="17" t="s">
        <v>71</v>
      </c>
      <c r="B22" s="23" t="n">
        <v>1</v>
      </c>
      <c r="C22" s="19" t="n">
        <f aca="false">IFERROR(IF(INDEX(2a_PRE_TRABAJO!$B$5:$B$51,MATCH($A22,2a_PRE_TRABAJO!$A$5:$A$51,0))="","",INDEX(2a_PRE_TRABAJO!$B$5:$B$51,MATCH($A22,2a_PRE_TRABAJO!$A$5:$A$51,0))),"")</f>
        <v>1</v>
      </c>
      <c r="D22" s="19" t="n">
        <f aca="false">IFERROR(IF(INDEX(2a_PRE_TRABAJO!$C$5:$C$51,MATCH($A22,2a_PRE_TRABAJO!$A$5:$A$51,0))="","",INDEX(2a_PRE_TRABAJO!$C$5:$C$51,MATCH($A22,2a_PRE_TRABAJO!$A$5:$A$51,0))),"")</f>
        <v>1</v>
      </c>
      <c r="E22" s="19" t="n">
        <f aca="false">IFERROR(IF(INDEX(2a_PRE_TRABAJO!$D$5:$D$51,MATCH($A22,2a_PRE_TRABAJO!$A$5:$A$51,0))="","",INDEX(2a_PRE_TRABAJO!$D$5:$D$51,MATCH($A22,2a_PRE_TRABAJO!$A$5:$A$51,0))),"")</f>
        <v>33</v>
      </c>
      <c r="F22" s="19" t="n">
        <f aca="false">IFERROR(IF(INDEX(2a_PRE_TRABAJO!$E$5:$E$51,MATCH($A22,2a_PRE_TRABAJO!$A$5:$A$51,0))="","",INDEX(2a_PRE_TRABAJO!$E$5:$E$51,MATCH($A22,2a_PRE_TRABAJO!$A$5:$A$51,0))),"")</f>
        <v>10</v>
      </c>
      <c r="G22" s="19" t="str">
        <f aca="false">IFERROR(IF(INDEX(2a_PRE_TRABAJO!$F$5:$F$51,MATCH($A22,2a_PRE_TRABAJO!$A$5:$A$51,0))="","",INDEX(2a_PRE_TRABAJO!$F$5:$F$51,MATCH($A22,2a_PRE_TRABAJO!$A$5:$A$51,0))),"")</f>
        <v>TÉCNICO</v>
      </c>
      <c r="H22" s="24" t="n">
        <f aca="false">IFERROR(IF(INDEX(2a_PRE_TRABAJO!$G$5:$G$51,MATCH($A22,2a_PRE_TRABAJO!$A$5:$A$51,0))="","",INDEX(2a_PRE_TRABAJO!$G$5:$G$51,MATCH($A22,2a_PRE_TRABAJO!$A$5:$A$51,0))),"")</f>
        <v>46260</v>
      </c>
      <c r="I22" s="24" t="n">
        <f aca="false">IFERROR(IF(INDEX(2b_POST_TRABAJO!$C$5:$C$48,MATCH($A22,2b_POST_TRABAJO!$A$5:$A$48,0))="","",INDEX(2b_POST_TRABAJO!$C$5:$C$48,MATCH($A22,2b_POST_TRABAJO!$A$5:$A$48,0))),"")</f>
        <v>46309</v>
      </c>
      <c r="J22" s="25" t="n">
        <f aca="false">IFERROR(IF(INDEX(2a_PRE_TRABAJO!$H$5:$H$51,MATCH($A22,2a_PRE_TRABAJO!$A$5:$A$51,0))="","",INDEX(2a_PRE_TRABAJO!$H$5:$H$51,MATCH($A22,2a_PRE_TRABAJO!$A$5:$A$51,0))),"")</f>
        <v>15.8</v>
      </c>
      <c r="K22" s="25" t="n">
        <f aca="false">IFERROR(IF(INDEX(2b_POST_TRABAJO!$D$5:$D$48,MATCH($A22,2b_POST_TRABAJO!$A$5:$A$48,0))="","",INDEX(2b_POST_TRABAJO!$D$5:$D$48,MATCH($A22,2b_POST_TRABAJO!$A$5:$A$48,0))),"")</f>
        <v>7</v>
      </c>
      <c r="L22" s="26" t="n">
        <f aca="false">IFERROR(IF(INDEX(2a_PRE_TRABAJO!$I$5:$I$51,MATCH($A22,2a_PRE_TRABAJO!$A$5:$A$51,0))="","",INDEX(2a_PRE_TRABAJO!$I$5:$I$51,MATCH($A22,2a_PRE_TRABAJO!$A$5:$A$51,0))),"")</f>
        <v>60</v>
      </c>
      <c r="M22" s="26" t="n">
        <f aca="false">IFERROR(IF(INDEX(2b_POST_TRABAJO!$E$5:$E$48,MATCH($A22,2b_POST_TRABAJO!$A$5:$A$48,0))="","",INDEX(2b_POST_TRABAJO!$E$5:$E$48,MATCH($A22,2b_POST_TRABAJO!$A$5:$A$48,0))),"")</f>
        <v>81</v>
      </c>
      <c r="N22" s="19" t="n">
        <f aca="false">IFERROR(IF(INDEX(2a_PRE_TRABAJO!$J$5:$J$51,MATCH($A22,2a_PRE_TRABAJO!$A$5:$A$51,0))="","",INDEX(2a_PRE_TRABAJO!$J$5:$J$51,MATCH($A22,2a_PRE_TRABAJO!$A$5:$A$51,0))),"")</f>
        <v>4</v>
      </c>
      <c r="O22" s="19" t="n">
        <f aca="false">IFERROR(IF(INDEX(2a_PRE_TRABAJO!$K$5:$K$51,MATCH($A22,2a_PRE_TRABAJO!$A$5:$A$51,0))="","",INDEX(2a_PRE_TRABAJO!$K$5:$K$51,MATCH($A22,2a_PRE_TRABAJO!$A$5:$A$51,0))),"")</f>
        <v>4</v>
      </c>
      <c r="P22" s="19" t="n">
        <f aca="false">IFERROR(IF(INDEX(2a_PRE_TRABAJO!$L$5:$L$51,MATCH($A22,2a_PRE_TRABAJO!$A$5:$A$51,0))="","",INDEX(2a_PRE_TRABAJO!$L$5:$L$51,MATCH($A22,2a_PRE_TRABAJO!$A$5:$A$51,0))),"")</f>
        <v>4</v>
      </c>
      <c r="Q22" s="19" t="n">
        <f aca="false">IF(IFERROR(IF(INDEX(2a_PRE_TRABAJO!$M$5:$M$51,MATCH($A22,2a_PRE_TRABAJO!$A$5:$A$51,0))="","",INDEX(2a_PRE_TRABAJO!$M$5:$M$51,MATCH($A22,2a_PRE_TRABAJO!$A$5:$A$51,0))),"")="","",IFERROR(6-IFERROR(IF(INDEX(2a_PRE_TRABAJO!$M$5:$M$51,MATCH($A22,2a_PRE_TRABAJO!$A$5:$A$51,0))="","",INDEX(2a_PRE_TRABAJO!$M$5:$M$51,MATCH($A22,2a_PRE_TRABAJO!$A$5:$A$51,0))),""),"REVISAR"))</f>
        <v>2</v>
      </c>
      <c r="R22" s="19" t="n">
        <f aca="false">IFERROR(IF(INDEX(2a_PRE_TRABAJO!$N$5:$N$51,MATCH($A22,2a_PRE_TRABAJO!$A$5:$A$51,0))="","",INDEX(2a_PRE_TRABAJO!$N$5:$N$51,MATCH($A22,2a_PRE_TRABAJO!$A$5:$A$51,0))),"")</f>
        <v>3</v>
      </c>
      <c r="S22" s="19" t="n">
        <f aca="false">IFERROR(IF(INDEX(2a_PRE_TRABAJO!$O$5:$O$51,MATCH($A22,2a_PRE_TRABAJO!$A$5:$A$51,0))="","",INDEX(2a_PRE_TRABAJO!$O$5:$O$51,MATCH($A22,2a_PRE_TRABAJO!$A$5:$A$51,0))),"")</f>
        <v>3</v>
      </c>
      <c r="T22" s="19" t="n">
        <f aca="false">IFERROR(IF(INDEX(2a_PRE_TRABAJO!$P$5:$P$51,MATCH($A22,2a_PRE_TRABAJO!$A$5:$A$51,0))="","",INDEX(2a_PRE_TRABAJO!$P$5:$P$51,MATCH($A22,2a_PRE_TRABAJO!$A$5:$A$51,0))),"")</f>
        <v>5</v>
      </c>
      <c r="U22" s="19" t="n">
        <f aca="false">IFERROR(IF(INDEX(2a_PRE_TRABAJO!$Q$5:$Q$51,MATCH($A22,2a_PRE_TRABAJO!$A$5:$A$51,0))="","",INDEX(2a_PRE_TRABAJO!$Q$5:$Q$51,MATCH($A22,2a_PRE_TRABAJO!$A$5:$A$51,0))),"")</f>
        <v>2</v>
      </c>
      <c r="V22" s="19" t="n">
        <f aca="false">IFERROR(IF(INDEX(2a_PRE_TRABAJO!$R$5:$R$51,MATCH($A22,2a_PRE_TRABAJO!$A$5:$A$51,0))="","",INDEX(2a_PRE_TRABAJO!$R$5:$R$51,MATCH($A22,2a_PRE_TRABAJO!$A$5:$A$51,0))),"")</f>
        <v>4</v>
      </c>
      <c r="W22" s="19" t="n">
        <f aca="false">IFERROR(IF(INDEX(2a_PRE_TRABAJO!$S$5:$S$51,MATCH($A22,2a_PRE_TRABAJO!$A$5:$A$51,0))="","",INDEX(2a_PRE_TRABAJO!$S$5:$S$51,MATCH($A22,2a_PRE_TRABAJO!$A$5:$A$51,0))),"")</f>
        <v>1</v>
      </c>
      <c r="X22" s="19" t="n">
        <f aca="false">IFERROR(IF(INDEX(2a_PRE_TRABAJO!$T$5:$T$51,MATCH($A22,2a_PRE_TRABAJO!$A$5:$A$51,0))="","",INDEX(2a_PRE_TRABAJO!$T$5:$T$51,MATCH($A22,2a_PRE_TRABAJO!$A$5:$A$51,0))),"")</f>
        <v>4</v>
      </c>
      <c r="Y22" s="19" t="n">
        <f aca="false">IF(IFERROR(IF(INDEX(2a_PRE_TRABAJO!$U$5:$U$51,MATCH($A22,2a_PRE_TRABAJO!$A$5:$A$51,0))="","",INDEX(2a_PRE_TRABAJO!$U$5:$U$51,MATCH($A22,2a_PRE_TRABAJO!$A$5:$A$51,0))),"")="","",IFERROR(6-IFERROR(IF(INDEX(2a_PRE_TRABAJO!$U$5:$U$51,MATCH($A22,2a_PRE_TRABAJO!$A$5:$A$51,0))="","",INDEX(2a_PRE_TRABAJO!$U$5:$U$51,MATCH($A22,2a_PRE_TRABAJO!$A$5:$A$51,0))),""),"REVISAR"))</f>
        <v>4</v>
      </c>
      <c r="Z22" s="19" t="n">
        <f aca="false">IFERROR(IF(INDEX(2a_PRE_TRABAJO!$V$5:$V$51,MATCH($A22,2a_PRE_TRABAJO!$A$5:$A$51,0))="","",INDEX(2a_PRE_TRABAJO!$V$5:$V$51,MATCH($A22,2a_PRE_TRABAJO!$A$5:$A$51,0))),"")</f>
        <v>4</v>
      </c>
      <c r="AA22" s="19" t="n">
        <f aca="false">IFERROR(IF(INDEX(2a_PRE_TRABAJO!$W$5:$W$51,MATCH($A22,2a_PRE_TRABAJO!$A$5:$A$51,0))="","",INDEX(2a_PRE_TRABAJO!$W$5:$W$51,MATCH($A22,2a_PRE_TRABAJO!$A$5:$A$51,0))),"")</f>
        <v>2</v>
      </c>
      <c r="AB22" s="19" t="n">
        <f aca="false">IFERROR(IF(INDEX(2a_PRE_TRABAJO!$X$5:$X$51,MATCH($A22,2a_PRE_TRABAJO!$A$5:$A$51,0))="","",INDEX(2a_PRE_TRABAJO!$X$5:$X$51,MATCH($A22,2a_PRE_TRABAJO!$A$5:$A$51,0))),"")</f>
        <v>2</v>
      </c>
      <c r="AC22" s="19" t="n">
        <f aca="false">IFERROR(IF(INDEX(2b_POST_TRABAJO!$F$5:$F$48,MATCH($A22,2b_POST_TRABAJO!$A$5:$A$48,0))="","",INDEX(2b_POST_TRABAJO!$F$5:$F$48,MATCH($A22,2b_POST_TRABAJO!$A$5:$A$48,0))),"")</f>
        <v>2</v>
      </c>
      <c r="AD22" s="19" t="n">
        <f aca="false">IFERROR(IF(INDEX(2b_POST_TRABAJO!$G$5:$G$48,MATCH($A22,2b_POST_TRABAJO!$A$5:$A$48,0))="","",INDEX(2b_POST_TRABAJO!$G$5:$G$48,MATCH($A22,2b_POST_TRABAJO!$A$5:$A$48,0))),"")</f>
        <v>5</v>
      </c>
      <c r="AE22" s="19" t="n">
        <f aca="false">IFERROR(IF(INDEX(2b_POST_TRABAJO!$H$5:$H$48,MATCH($A22,2b_POST_TRABAJO!$A$5:$A$48,0))="","",INDEX(2b_POST_TRABAJO!$H$5:$H$48,MATCH($A22,2b_POST_TRABAJO!$A$5:$A$48,0))),"")</f>
        <v>5</v>
      </c>
      <c r="AF22" s="19" t="n">
        <f aca="false">IF(IFERROR(IF(INDEX(2b_POST_TRABAJO!$I$5:$I$48,MATCH($A22,2b_POST_TRABAJO!$A$5:$A$48,0))="","",INDEX(2b_POST_TRABAJO!$I$5:$I$48,MATCH($A22,2b_POST_TRABAJO!$A$5:$A$48,0))),"")="","",IFERROR(6-IFERROR(IF(INDEX(2b_POST_TRABAJO!$I$5:$I$48,MATCH($A22,2b_POST_TRABAJO!$A$5:$A$48,0))="","",INDEX(2b_POST_TRABAJO!$I$5:$I$48,MATCH($A22,2b_POST_TRABAJO!$A$5:$A$48,0))),""),"REVISAR"))</f>
        <v>4</v>
      </c>
      <c r="AG22" s="19" t="n">
        <f aca="false">IFERROR(IF(INDEX(2b_POST_TRABAJO!$J$5:$J$48,MATCH($A22,2b_POST_TRABAJO!$A$5:$A$48,0))="","",INDEX(2b_POST_TRABAJO!$J$5:$J$48,MATCH($A22,2b_POST_TRABAJO!$A$5:$A$48,0))),"")</f>
        <v>3</v>
      </c>
      <c r="AH22" s="19" t="n">
        <f aca="false">IFERROR(IF(INDEX(2b_POST_TRABAJO!$K$5:$K$48,MATCH($A22,2b_POST_TRABAJO!$A$5:$A$48,0))="","",INDEX(2b_POST_TRABAJO!$K$5:$K$48,MATCH($A22,2b_POST_TRABAJO!$A$5:$A$48,0))),"")</f>
        <v>5</v>
      </c>
      <c r="AI22" s="19" t="n">
        <f aca="false">IFERROR(IF(INDEX(2b_POST_TRABAJO!$L$5:$L$48,MATCH($A22,2b_POST_TRABAJO!$A$5:$A$48,0))="","",INDEX(2b_POST_TRABAJO!$L$5:$L$48,MATCH($A22,2b_POST_TRABAJO!$A$5:$A$48,0))),"")</f>
        <v>3</v>
      </c>
      <c r="AJ22" s="19" t="n">
        <f aca="false">IFERROR(IF(INDEX(2b_POST_TRABAJO!$M$5:$M$48,MATCH($A22,2b_POST_TRABAJO!$A$5:$A$48,0))="","",INDEX(2b_POST_TRABAJO!$M$5:$M$48,MATCH($A22,2b_POST_TRABAJO!$A$5:$A$48,0))),"")</f>
        <v>3</v>
      </c>
      <c r="AK22" s="19" t="n">
        <f aca="false">IFERROR(IF(INDEX(2b_POST_TRABAJO!$N$5:$N$48,MATCH($A22,2b_POST_TRABAJO!$A$5:$A$48,0))="","",INDEX(2b_POST_TRABAJO!$N$5:$N$48,MATCH($A22,2b_POST_TRABAJO!$A$5:$A$48,0))),"")</f>
        <v>5</v>
      </c>
      <c r="AL22" s="19" t="n">
        <f aca="false">IFERROR(IF(INDEX(2b_POST_TRABAJO!$O$5:$O$48,MATCH($A22,2b_POST_TRABAJO!$A$5:$A$48,0))="","",INDEX(2b_POST_TRABAJO!$O$5:$O$48,MATCH($A22,2b_POST_TRABAJO!$A$5:$A$48,0))),"")</f>
        <v>5</v>
      </c>
      <c r="AM22" s="19" t="n">
        <f aca="false">IFERROR(IF(INDEX(2b_POST_TRABAJO!$P$5:$P$48,MATCH($A22,2b_POST_TRABAJO!$A$5:$A$48,0))="","",INDEX(2b_POST_TRABAJO!$P$5:$P$48,MATCH($A22,2b_POST_TRABAJO!$A$5:$A$48,0))),"")</f>
        <v>2</v>
      </c>
      <c r="AN22" s="19" t="n">
        <f aca="false">IF(IFERROR(IF(INDEX(2b_POST_TRABAJO!$Q$5:$Q$48,MATCH($A22,2b_POST_TRABAJO!$A$5:$A$48,0))="","",INDEX(2b_POST_TRABAJO!$Q$5:$Q$48,MATCH($A22,2b_POST_TRABAJO!$A$5:$A$48,0))),"")="","",IFERROR(6-IFERROR(IF(INDEX(2b_POST_TRABAJO!$Q$5:$Q$48,MATCH($A22,2b_POST_TRABAJO!$A$5:$A$48,0))="","",INDEX(2b_POST_TRABAJO!$Q$5:$Q$48,MATCH($A22,2b_POST_TRABAJO!$A$5:$A$48,0))),""),"REVISAR"))</f>
        <v>4</v>
      </c>
      <c r="AO22" s="19" t="n">
        <f aca="false">IFERROR(IF(INDEX(2b_POST_TRABAJO!$R$5:$R$48,MATCH($A22,2b_POST_TRABAJO!$A$5:$A$48,0))="","",INDEX(2b_POST_TRABAJO!$R$5:$R$48,MATCH($A22,2b_POST_TRABAJO!$A$5:$A$48,0))),"")</f>
        <v>4</v>
      </c>
      <c r="AP22" s="19" t="n">
        <f aca="false">IFERROR(IF(INDEX(2b_POST_TRABAJO!$S$5:$S$48,MATCH($A22,2b_POST_TRABAJO!$A$5:$A$48,0))="","",INDEX(2b_POST_TRABAJO!$S$5:$S$48,MATCH($A22,2b_POST_TRABAJO!$A$5:$A$48,0))),"")</f>
        <v>5</v>
      </c>
      <c r="AQ22" s="19" t="n">
        <f aca="false">IFERROR(IF(INDEX(2b_POST_TRABAJO!$T$5:$T$48,MATCH($A22,2b_POST_TRABAJO!$A$5:$A$48,0))="","",INDEX(2b_POST_TRABAJO!$T$5:$T$48,MATCH($A22,2b_POST_TRABAJO!$A$5:$A$48,0))),"")</f>
        <v>4</v>
      </c>
      <c r="AR22" s="27" t="n">
        <f aca="false">IF(COUNT(N22:R22)&lt;5,"",IFERROR(ROUND(AVERAGE(N22:R22),2),"REVISAR"))</f>
        <v>3.4</v>
      </c>
      <c r="AS22" s="27" t="n">
        <f aca="false">IF(COUNT(S22:W22)&lt;5,"",IFERROR(ROUND(AVERAGE(S22:W22),2),"REVISAR"))</f>
        <v>3</v>
      </c>
      <c r="AT22" s="27" t="n">
        <f aca="false">IF(COUNT(X22:AB22)&lt;5,"",IFERROR(ROUND(AVERAGE(X22:AB22),2),"REVISAR"))</f>
        <v>3.2</v>
      </c>
      <c r="AU22" s="11" t="n">
        <f aca="false">IF(COUNT(N22:AB22)&lt;15,"",IFERROR(SUM(N22:AB22),"REVISAR"))</f>
        <v>48</v>
      </c>
      <c r="AV22" s="18" t="n">
        <f aca="false">IF(AU22="","",IF(ISNUMBER(AU22),IF(AU22&lt;=35,1,IF(AU22&lt;=55,2,3)),"REVISAR"))</f>
        <v>2</v>
      </c>
      <c r="AW22" s="27" t="n">
        <f aca="false">IF(COUNT(AC22:AG22)&lt;5,"",IFERROR(ROUND(AVERAGE(AC22:AG22),2),"REVISAR"))</f>
        <v>3.8</v>
      </c>
      <c r="AX22" s="27" t="n">
        <f aca="false">IF(COUNT(AH22:AL22)&lt;5,"",IFERROR(ROUND(AVERAGE(AH22:AL22),2),"REVISAR"))</f>
        <v>4.2</v>
      </c>
      <c r="AY22" s="27" t="n">
        <f aca="false">IF(COUNT(AM22:AQ22)&lt;5,"",IFERROR(ROUND(AVERAGE(AM22:AQ22),2),"REVISAR"))</f>
        <v>3.8</v>
      </c>
      <c r="AZ22" s="11" t="n">
        <f aca="false">IF(COUNT(AC22:AQ22)&lt;15,"",IFERROR(SUM(AC22:AQ22),"REVISAR"))</f>
        <v>59</v>
      </c>
      <c r="BA22" s="18" t="n">
        <f aca="false">IF(AZ22="","",IF(ISNUMBER(AZ22),IF(AZ22&lt;=35,1,IF(AZ22&lt;=55,2,3)),"REVISAR"))</f>
        <v>3</v>
      </c>
      <c r="BB22" s="28" t="n">
        <f aca="false">IF(OR(J22="",K22=""),"",IFERROR(ROUND(K22-J22,1),"REVISAR"))</f>
        <v>-8.8</v>
      </c>
      <c r="BC22" s="11" t="n">
        <f aca="false">IF(OR(L22="",M22=""),"",IFERROR(M22-L22,"REVISAR"))</f>
        <v>21</v>
      </c>
      <c r="BD22" s="11" t="n">
        <f aca="false">IF(OR(AU22="",AZ22=""),"",IFERROR(AZ22-AU22,"REVISAR"))</f>
        <v>11</v>
      </c>
      <c r="BE22" s="23"/>
      <c r="BF22" s="21"/>
    </row>
    <row r="23" customFormat="false" ht="15" hidden="false" customHeight="false" outlineLevel="0" collapsed="false">
      <c r="A23" s="17" t="s">
        <v>72</v>
      </c>
      <c r="B23" s="23" t="n">
        <v>1</v>
      </c>
      <c r="C23" s="19" t="n">
        <f aca="false">IFERROR(IF(INDEX(2a_PRE_TRABAJO!$B$5:$B$51,MATCH($A23,2a_PRE_TRABAJO!$A$5:$A$51,0))="","",INDEX(2a_PRE_TRABAJO!$B$5:$B$51,MATCH($A23,2a_PRE_TRABAJO!$A$5:$A$51,0))),"")</f>
        <v>1</v>
      </c>
      <c r="D23" s="19" t="n">
        <f aca="false">IFERROR(IF(INDEX(2a_PRE_TRABAJO!$C$5:$C$51,MATCH($A23,2a_PRE_TRABAJO!$A$5:$A$51,0))="","",INDEX(2a_PRE_TRABAJO!$C$5:$C$51,MATCH($A23,2a_PRE_TRABAJO!$A$5:$A$51,0))),"")</f>
        <v>2</v>
      </c>
      <c r="E23" s="19" t="n">
        <f aca="false">IFERROR(IF(INDEX(2a_PRE_TRABAJO!$D$5:$D$51,MATCH($A23,2a_PRE_TRABAJO!$A$5:$A$51,0))="","",INDEX(2a_PRE_TRABAJO!$D$5:$D$51,MATCH($A23,2a_PRE_TRABAJO!$A$5:$A$51,0))),"")</f>
        <v>34</v>
      </c>
      <c r="F23" s="19" t="n">
        <f aca="false">IFERROR(IF(INDEX(2a_PRE_TRABAJO!$E$5:$E$51,MATCH($A23,2a_PRE_TRABAJO!$A$5:$A$51,0))="","",INDEX(2a_PRE_TRABAJO!$E$5:$E$51,MATCH($A23,2a_PRE_TRABAJO!$A$5:$A$51,0))),"")</f>
        <v>13</v>
      </c>
      <c r="G23" s="19" t="str">
        <f aca="false">IFERROR(IF(INDEX(2a_PRE_TRABAJO!$F$5:$F$51,MATCH($A23,2a_PRE_TRABAJO!$A$5:$A$51,0))="","",INDEX(2a_PRE_TRABAJO!$F$5:$F$51,MATCH($A23,2a_PRE_TRABAJO!$A$5:$A$51,0))),"")</f>
        <v>auxiliar</v>
      </c>
      <c r="H23" s="24" t="n">
        <f aca="false">IFERROR(IF(INDEX(2a_PRE_TRABAJO!$G$5:$G$51,MATCH($A23,2a_PRE_TRABAJO!$A$5:$A$51,0))="","",INDEX(2a_PRE_TRABAJO!$G$5:$G$51,MATCH($A23,2a_PRE_TRABAJO!$A$5:$A$51,0))),"")</f>
        <v>46261</v>
      </c>
      <c r="I23" s="24" t="n">
        <f aca="false">IFERROR(IF(INDEX(2b_POST_TRABAJO!$C$5:$C$48,MATCH($A23,2b_POST_TRABAJO!$A$5:$A$48,0))="","",INDEX(2b_POST_TRABAJO!$C$5:$C$48,MATCH($A23,2b_POST_TRABAJO!$A$5:$A$48,0))),"")</f>
        <v>46310</v>
      </c>
      <c r="J23" s="25" t="n">
        <f aca="false">IFERROR(IF(INDEX(2a_PRE_TRABAJO!$H$5:$H$51,MATCH($A23,2a_PRE_TRABAJO!$A$5:$A$51,0))="","",INDEX(2a_PRE_TRABAJO!$H$5:$H$51,MATCH($A23,2a_PRE_TRABAJO!$A$5:$A$51,0))),"")</f>
        <v>9.2</v>
      </c>
      <c r="K23" s="25" t="n">
        <f aca="false">IFERROR(IF(INDEX(2b_POST_TRABAJO!$D$5:$D$48,MATCH($A23,2b_POST_TRABAJO!$A$5:$A$48,0))="","",INDEX(2b_POST_TRABAJO!$D$5:$D$48,MATCH($A23,2b_POST_TRABAJO!$A$5:$A$48,0))),"")</f>
        <v>4.6</v>
      </c>
      <c r="L23" s="26" t="n">
        <f aca="false">IFERROR(IF(INDEX(2a_PRE_TRABAJO!$I$5:$I$51,MATCH($A23,2a_PRE_TRABAJO!$A$5:$A$51,0))="","",INDEX(2a_PRE_TRABAJO!$I$5:$I$51,MATCH($A23,2a_PRE_TRABAJO!$A$5:$A$51,0))),"")</f>
        <v>70</v>
      </c>
      <c r="M23" s="26" t="n">
        <f aca="false">IFERROR(IF(INDEX(2b_POST_TRABAJO!$E$5:$E$48,MATCH($A23,2b_POST_TRABAJO!$A$5:$A$48,0))="","",INDEX(2b_POST_TRABAJO!$E$5:$E$48,MATCH($A23,2b_POST_TRABAJO!$A$5:$A$48,0))),"")</f>
        <v>88</v>
      </c>
      <c r="N23" s="19" t="n">
        <f aca="false">IFERROR(IF(INDEX(2a_PRE_TRABAJO!$J$5:$J$51,MATCH($A23,2a_PRE_TRABAJO!$A$5:$A$51,0))="","",INDEX(2a_PRE_TRABAJO!$J$5:$J$51,MATCH($A23,2a_PRE_TRABAJO!$A$5:$A$51,0))),"")</f>
        <v>4</v>
      </c>
      <c r="O23" s="19" t="n">
        <f aca="false">IFERROR(IF(INDEX(2a_PRE_TRABAJO!$K$5:$K$51,MATCH($A23,2a_PRE_TRABAJO!$A$5:$A$51,0))="","",INDEX(2a_PRE_TRABAJO!$K$5:$K$51,MATCH($A23,2a_PRE_TRABAJO!$A$5:$A$51,0))),"")</f>
        <v>5</v>
      </c>
      <c r="P23" s="19" t="n">
        <f aca="false">IFERROR(IF(INDEX(2a_PRE_TRABAJO!$L$5:$L$51,MATCH($A23,2a_PRE_TRABAJO!$A$5:$A$51,0))="","",INDEX(2a_PRE_TRABAJO!$L$5:$L$51,MATCH($A23,2a_PRE_TRABAJO!$A$5:$A$51,0))),"")</f>
        <v>3</v>
      </c>
      <c r="Q23" s="19" t="n">
        <f aca="false">IF(IFERROR(IF(INDEX(2a_PRE_TRABAJO!$M$5:$M$51,MATCH($A23,2a_PRE_TRABAJO!$A$5:$A$51,0))="","",INDEX(2a_PRE_TRABAJO!$M$5:$M$51,MATCH($A23,2a_PRE_TRABAJO!$A$5:$A$51,0))),"")="","",IFERROR(6-IFERROR(IF(INDEX(2a_PRE_TRABAJO!$M$5:$M$51,MATCH($A23,2a_PRE_TRABAJO!$A$5:$A$51,0))="","",INDEX(2a_PRE_TRABAJO!$M$5:$M$51,MATCH($A23,2a_PRE_TRABAJO!$A$5:$A$51,0))),""),"REVISAR"))</f>
        <v>4</v>
      </c>
      <c r="R23" s="19" t="n">
        <f aca="false">IFERROR(IF(INDEX(2a_PRE_TRABAJO!$N$5:$N$51,MATCH($A23,2a_PRE_TRABAJO!$A$5:$A$51,0))="","",INDEX(2a_PRE_TRABAJO!$N$5:$N$51,MATCH($A23,2a_PRE_TRABAJO!$A$5:$A$51,0))),"")</f>
        <v>3</v>
      </c>
      <c r="S23" s="19" t="n">
        <f aca="false">IFERROR(IF(INDEX(2a_PRE_TRABAJO!$O$5:$O$51,MATCH($A23,2a_PRE_TRABAJO!$A$5:$A$51,0))="","",INDEX(2a_PRE_TRABAJO!$O$5:$O$51,MATCH($A23,2a_PRE_TRABAJO!$A$5:$A$51,0))),"")</f>
        <v>3</v>
      </c>
      <c r="T23" s="19" t="n">
        <f aca="false">IFERROR(IF(INDEX(2a_PRE_TRABAJO!$P$5:$P$51,MATCH($A23,2a_PRE_TRABAJO!$A$5:$A$51,0))="","",INDEX(2a_PRE_TRABAJO!$P$5:$P$51,MATCH($A23,2a_PRE_TRABAJO!$A$5:$A$51,0))),"")</f>
        <v>4</v>
      </c>
      <c r="U23" s="19" t="n">
        <f aca="false">IFERROR(IF(INDEX(2a_PRE_TRABAJO!$Q$5:$Q$51,MATCH($A23,2a_PRE_TRABAJO!$A$5:$A$51,0))="","",INDEX(2a_PRE_TRABAJO!$Q$5:$Q$51,MATCH($A23,2a_PRE_TRABAJO!$A$5:$A$51,0))),"")</f>
        <v>3</v>
      </c>
      <c r="V23" s="19" t="n">
        <f aca="false">IFERROR(IF(INDEX(2a_PRE_TRABAJO!$R$5:$R$51,MATCH($A23,2a_PRE_TRABAJO!$A$5:$A$51,0))="","",INDEX(2a_PRE_TRABAJO!$R$5:$R$51,MATCH($A23,2a_PRE_TRABAJO!$A$5:$A$51,0))),"")</f>
        <v>3</v>
      </c>
      <c r="W23" s="19" t="n">
        <f aca="false">IFERROR(IF(INDEX(2a_PRE_TRABAJO!$S$5:$S$51,MATCH($A23,2a_PRE_TRABAJO!$A$5:$A$51,0))="","",INDEX(2a_PRE_TRABAJO!$S$5:$S$51,MATCH($A23,2a_PRE_TRABAJO!$A$5:$A$51,0))),"")</f>
        <v>4</v>
      </c>
      <c r="X23" s="19" t="n">
        <f aca="false">IFERROR(IF(INDEX(2a_PRE_TRABAJO!$T$5:$T$51,MATCH($A23,2a_PRE_TRABAJO!$A$5:$A$51,0))="","",INDEX(2a_PRE_TRABAJO!$T$5:$T$51,MATCH($A23,2a_PRE_TRABAJO!$A$5:$A$51,0))),"")</f>
        <v>3</v>
      </c>
      <c r="Y23" s="19" t="n">
        <f aca="false">IF(IFERROR(IF(INDEX(2a_PRE_TRABAJO!$U$5:$U$51,MATCH($A23,2a_PRE_TRABAJO!$A$5:$A$51,0))="","",INDEX(2a_PRE_TRABAJO!$U$5:$U$51,MATCH($A23,2a_PRE_TRABAJO!$A$5:$A$51,0))),"")="","",IFERROR(6-IFERROR(IF(INDEX(2a_PRE_TRABAJO!$U$5:$U$51,MATCH($A23,2a_PRE_TRABAJO!$A$5:$A$51,0))="","",INDEX(2a_PRE_TRABAJO!$U$5:$U$51,MATCH($A23,2a_PRE_TRABAJO!$A$5:$A$51,0))),""),"REVISAR"))</f>
        <v>3</v>
      </c>
      <c r="Z23" s="19" t="n">
        <f aca="false">IFERROR(IF(INDEX(2a_PRE_TRABAJO!$V$5:$V$51,MATCH($A23,2a_PRE_TRABAJO!$A$5:$A$51,0))="","",INDEX(2a_PRE_TRABAJO!$V$5:$V$51,MATCH($A23,2a_PRE_TRABAJO!$A$5:$A$51,0))),"")</f>
        <v>3</v>
      </c>
      <c r="AA23" s="19" t="n">
        <f aca="false">IFERROR(IF(INDEX(2a_PRE_TRABAJO!$W$5:$W$51,MATCH($A23,2a_PRE_TRABAJO!$A$5:$A$51,0))="","",INDEX(2a_PRE_TRABAJO!$W$5:$W$51,MATCH($A23,2a_PRE_TRABAJO!$A$5:$A$51,0))),"")</f>
        <v>4</v>
      </c>
      <c r="AB23" s="19" t="n">
        <f aca="false">IFERROR(IF(INDEX(2a_PRE_TRABAJO!$X$5:$X$51,MATCH($A23,2a_PRE_TRABAJO!$A$5:$A$51,0))="","",INDEX(2a_PRE_TRABAJO!$X$5:$X$51,MATCH($A23,2a_PRE_TRABAJO!$A$5:$A$51,0))),"")</f>
        <v>3</v>
      </c>
      <c r="AC23" s="19" t="n">
        <f aca="false">IFERROR(IF(INDEX(2b_POST_TRABAJO!$F$5:$F$48,MATCH($A23,2b_POST_TRABAJO!$A$5:$A$48,0))="","",INDEX(2b_POST_TRABAJO!$F$5:$F$48,MATCH($A23,2b_POST_TRABAJO!$A$5:$A$48,0))),"")</f>
        <v>4</v>
      </c>
      <c r="AD23" s="19" t="n">
        <f aca="false">IFERROR(IF(INDEX(2b_POST_TRABAJO!$G$5:$G$48,MATCH($A23,2b_POST_TRABAJO!$A$5:$A$48,0))="","",INDEX(2b_POST_TRABAJO!$G$5:$G$48,MATCH($A23,2b_POST_TRABAJO!$A$5:$A$48,0))),"")</f>
        <v>3</v>
      </c>
      <c r="AE23" s="19" t="n">
        <f aca="false">IFERROR(IF(INDEX(2b_POST_TRABAJO!$H$5:$H$48,MATCH($A23,2b_POST_TRABAJO!$A$5:$A$48,0))="","",INDEX(2b_POST_TRABAJO!$H$5:$H$48,MATCH($A23,2b_POST_TRABAJO!$A$5:$A$48,0))),"")</f>
        <v>5</v>
      </c>
      <c r="AF23" s="19" t="n">
        <f aca="false">IF(IFERROR(IF(INDEX(2b_POST_TRABAJO!$I$5:$I$48,MATCH($A23,2b_POST_TRABAJO!$A$5:$A$48,0))="","",INDEX(2b_POST_TRABAJO!$I$5:$I$48,MATCH($A23,2b_POST_TRABAJO!$A$5:$A$48,0))),"")="","",IFERROR(6-IFERROR(IF(INDEX(2b_POST_TRABAJO!$I$5:$I$48,MATCH($A23,2b_POST_TRABAJO!$A$5:$A$48,0))="","",INDEX(2b_POST_TRABAJO!$I$5:$I$48,MATCH($A23,2b_POST_TRABAJO!$A$5:$A$48,0))),""),"REVISAR"))</f>
        <v>5</v>
      </c>
      <c r="AG23" s="19" t="n">
        <f aca="false">IFERROR(IF(INDEX(2b_POST_TRABAJO!$J$5:$J$48,MATCH($A23,2b_POST_TRABAJO!$A$5:$A$48,0))="","",INDEX(2b_POST_TRABAJO!$J$5:$J$48,MATCH($A23,2b_POST_TRABAJO!$A$5:$A$48,0))),"")</f>
        <v>4</v>
      </c>
      <c r="AH23" s="19" t="n">
        <f aca="false">IFERROR(IF(INDEX(2b_POST_TRABAJO!$K$5:$K$48,MATCH($A23,2b_POST_TRABAJO!$A$5:$A$48,0))="","",INDEX(2b_POST_TRABAJO!$K$5:$K$48,MATCH($A23,2b_POST_TRABAJO!$A$5:$A$48,0))),"")</f>
        <v>4</v>
      </c>
      <c r="AI23" s="19" t="n">
        <f aca="false">IFERROR(IF(INDEX(2b_POST_TRABAJO!$L$5:$L$48,MATCH($A23,2b_POST_TRABAJO!$A$5:$A$48,0))="","",INDEX(2b_POST_TRABAJO!$L$5:$L$48,MATCH($A23,2b_POST_TRABAJO!$A$5:$A$48,0))),"")</f>
        <v>4</v>
      </c>
      <c r="AJ23" s="19" t="n">
        <f aca="false">IFERROR(IF(INDEX(2b_POST_TRABAJO!$M$5:$M$48,MATCH($A23,2b_POST_TRABAJO!$A$5:$A$48,0))="","",INDEX(2b_POST_TRABAJO!$M$5:$M$48,MATCH($A23,2b_POST_TRABAJO!$A$5:$A$48,0))),"")</f>
        <v>3</v>
      </c>
      <c r="AK23" s="19" t="n">
        <f aca="false">IFERROR(IF(INDEX(2b_POST_TRABAJO!$N$5:$N$48,MATCH($A23,2b_POST_TRABAJO!$A$5:$A$48,0))="","",INDEX(2b_POST_TRABAJO!$N$5:$N$48,MATCH($A23,2b_POST_TRABAJO!$A$5:$A$48,0))),"")</f>
        <v>4</v>
      </c>
      <c r="AL23" s="19" t="n">
        <f aca="false">IFERROR(IF(INDEX(2b_POST_TRABAJO!$O$5:$O$48,MATCH($A23,2b_POST_TRABAJO!$A$5:$A$48,0))="","",INDEX(2b_POST_TRABAJO!$O$5:$O$48,MATCH($A23,2b_POST_TRABAJO!$A$5:$A$48,0))),"")</f>
        <v>5</v>
      </c>
      <c r="AM23" s="19" t="n">
        <f aca="false">IFERROR(IF(INDEX(2b_POST_TRABAJO!$P$5:$P$48,MATCH($A23,2b_POST_TRABAJO!$A$5:$A$48,0))="","",INDEX(2b_POST_TRABAJO!$P$5:$P$48,MATCH($A23,2b_POST_TRABAJO!$A$5:$A$48,0))),"")</f>
        <v>4</v>
      </c>
      <c r="AN23" s="19" t="n">
        <f aca="false">IF(IFERROR(IF(INDEX(2b_POST_TRABAJO!$Q$5:$Q$48,MATCH($A23,2b_POST_TRABAJO!$A$5:$A$48,0))="","",INDEX(2b_POST_TRABAJO!$Q$5:$Q$48,MATCH($A23,2b_POST_TRABAJO!$A$5:$A$48,0))),"")="","",IFERROR(6-IFERROR(IF(INDEX(2b_POST_TRABAJO!$Q$5:$Q$48,MATCH($A23,2b_POST_TRABAJO!$A$5:$A$48,0))="","",INDEX(2b_POST_TRABAJO!$Q$5:$Q$48,MATCH($A23,2b_POST_TRABAJO!$A$5:$A$48,0))),""),"REVISAR"))</f>
        <v>4</v>
      </c>
      <c r="AO23" s="19" t="n">
        <f aca="false">IFERROR(IF(INDEX(2b_POST_TRABAJO!$R$5:$R$48,MATCH($A23,2b_POST_TRABAJO!$A$5:$A$48,0))="","",INDEX(2b_POST_TRABAJO!$R$5:$R$48,MATCH($A23,2b_POST_TRABAJO!$A$5:$A$48,0))),"")</f>
        <v>5</v>
      </c>
      <c r="AP23" s="19" t="n">
        <f aca="false">IFERROR(IF(INDEX(2b_POST_TRABAJO!$S$5:$S$48,MATCH($A23,2b_POST_TRABAJO!$A$5:$A$48,0))="","",INDEX(2b_POST_TRABAJO!$S$5:$S$48,MATCH($A23,2b_POST_TRABAJO!$A$5:$A$48,0))),"")</f>
        <v>4</v>
      </c>
      <c r="AQ23" s="19" t="n">
        <f aca="false">IFERROR(IF(INDEX(2b_POST_TRABAJO!$T$5:$T$48,MATCH($A23,2b_POST_TRABAJO!$A$5:$A$48,0))="","",INDEX(2b_POST_TRABAJO!$T$5:$T$48,MATCH($A23,2b_POST_TRABAJO!$A$5:$A$48,0))),"")</f>
        <v>5</v>
      </c>
      <c r="AR23" s="27" t="n">
        <f aca="false">IF(COUNT(N23:R23)&lt;5,"",IFERROR(ROUND(AVERAGE(N23:R23),2),"REVISAR"))</f>
        <v>3.8</v>
      </c>
      <c r="AS23" s="27" t="n">
        <f aca="false">IF(COUNT(S23:W23)&lt;5,"",IFERROR(ROUND(AVERAGE(S23:W23),2),"REVISAR"))</f>
        <v>3.4</v>
      </c>
      <c r="AT23" s="27" t="n">
        <f aca="false">IF(COUNT(X23:AB23)&lt;5,"",IFERROR(ROUND(AVERAGE(X23:AB23),2),"REVISAR"))</f>
        <v>3.2</v>
      </c>
      <c r="AU23" s="11" t="n">
        <f aca="false">IF(COUNT(N23:AB23)&lt;15,"",IFERROR(SUM(N23:AB23),"REVISAR"))</f>
        <v>52</v>
      </c>
      <c r="AV23" s="18" t="n">
        <f aca="false">IF(AU23="","",IF(ISNUMBER(AU23),IF(AU23&lt;=35,1,IF(AU23&lt;=55,2,3)),"REVISAR"))</f>
        <v>2</v>
      </c>
      <c r="AW23" s="27" t="n">
        <f aca="false">IF(COUNT(AC23:AG23)&lt;5,"",IFERROR(ROUND(AVERAGE(AC23:AG23),2),"REVISAR"))</f>
        <v>4.2</v>
      </c>
      <c r="AX23" s="27" t="n">
        <f aca="false">IF(COUNT(AH23:AL23)&lt;5,"",IFERROR(ROUND(AVERAGE(AH23:AL23),2),"REVISAR"))</f>
        <v>4</v>
      </c>
      <c r="AY23" s="27" t="n">
        <f aca="false">IF(COUNT(AM23:AQ23)&lt;5,"",IFERROR(ROUND(AVERAGE(AM23:AQ23),2),"REVISAR"))</f>
        <v>4.4</v>
      </c>
      <c r="AZ23" s="11" t="n">
        <f aca="false">IF(COUNT(AC23:AQ23)&lt;15,"",IFERROR(SUM(AC23:AQ23),"REVISAR"))</f>
        <v>63</v>
      </c>
      <c r="BA23" s="18" t="n">
        <f aca="false">IF(AZ23="","",IF(ISNUMBER(AZ23),IF(AZ23&lt;=35,1,IF(AZ23&lt;=55,2,3)),"REVISAR"))</f>
        <v>3</v>
      </c>
      <c r="BB23" s="28" t="n">
        <f aca="false">IF(OR(J23="",K23=""),"",IFERROR(ROUND(K23-J23,1),"REVISAR"))</f>
        <v>-4.6</v>
      </c>
      <c r="BC23" s="11" t="n">
        <f aca="false">IF(OR(L23="",M23=""),"",IFERROR(M23-L23,"REVISAR"))</f>
        <v>18</v>
      </c>
      <c r="BD23" s="11" t="n">
        <f aca="false">IF(OR(AU23="",AZ23=""),"",IFERROR(AZ23-AU23,"REVISAR"))</f>
        <v>11</v>
      </c>
      <c r="BE23" s="23"/>
      <c r="BF23" s="21"/>
    </row>
    <row r="24" customFormat="false" ht="15" hidden="false" customHeight="false" outlineLevel="0" collapsed="false">
      <c r="A24" s="17" t="s">
        <v>74</v>
      </c>
      <c r="B24" s="23" t="n">
        <v>1</v>
      </c>
      <c r="C24" s="19" t="n">
        <f aca="false">IFERROR(IF(INDEX(2a_PRE_TRABAJO!$B$5:$B$51,MATCH($A24,2a_PRE_TRABAJO!$A$5:$A$51,0))="","",INDEX(2a_PRE_TRABAJO!$B$5:$B$51,MATCH($A24,2a_PRE_TRABAJO!$A$5:$A$51,0))),"")</f>
        <v>1</v>
      </c>
      <c r="D24" s="19" t="n">
        <f aca="false">IFERROR(IF(INDEX(2a_PRE_TRABAJO!$C$5:$C$51,MATCH($A24,2a_PRE_TRABAJO!$A$5:$A$51,0))="","",INDEX(2a_PRE_TRABAJO!$C$5:$C$51,MATCH($A24,2a_PRE_TRABAJO!$A$5:$A$51,0))),"")</f>
        <v>1</v>
      </c>
      <c r="E24" s="19" t="n">
        <f aca="false">IFERROR(IF(INDEX(2a_PRE_TRABAJO!$D$5:$D$51,MATCH($A24,2a_PRE_TRABAJO!$A$5:$A$51,0))="","",INDEX(2a_PRE_TRABAJO!$D$5:$D$51,MATCH($A24,2a_PRE_TRABAJO!$A$5:$A$51,0))),"")</f>
        <v>45</v>
      </c>
      <c r="F24" s="19" t="n">
        <f aca="false">IFERROR(IF(INDEX(2a_PRE_TRABAJO!$E$5:$E$51,MATCH($A24,2a_PRE_TRABAJO!$A$5:$A$51,0))="","",INDEX(2a_PRE_TRABAJO!$E$5:$E$51,MATCH($A24,2a_PRE_TRABAJO!$A$5:$A$51,0))),"")</f>
        <v>13</v>
      </c>
      <c r="G24" s="19" t="str">
        <f aca="false">IFERROR(IF(INDEX(2a_PRE_TRABAJO!$F$5:$F$51,MATCH($A24,2a_PRE_TRABAJO!$A$5:$A$51,0))="","",INDEX(2a_PRE_TRABAJO!$F$5:$F$51,MATCH($A24,2a_PRE_TRABAJO!$A$5:$A$51,0))),"")</f>
        <v>tecnico </v>
      </c>
      <c r="H24" s="24" t="n">
        <f aca="false">IFERROR(IF(INDEX(2a_PRE_TRABAJO!$G$5:$G$51,MATCH($A24,2a_PRE_TRABAJO!$A$5:$A$51,0))="","",INDEX(2a_PRE_TRABAJO!$G$5:$G$51,MATCH($A24,2a_PRE_TRABAJO!$A$5:$A$51,0))),"")</f>
        <v>46262</v>
      </c>
      <c r="I24" s="24" t="n">
        <f aca="false">IFERROR(IF(INDEX(2b_POST_TRABAJO!$C$5:$C$48,MATCH($A24,2b_POST_TRABAJO!$A$5:$A$48,0))="","",INDEX(2b_POST_TRABAJO!$C$5:$C$48,MATCH($A24,2b_POST_TRABAJO!$A$5:$A$48,0))),"")</f>
        <v>46311</v>
      </c>
      <c r="J24" s="25" t="n">
        <f aca="false">IFERROR(IF(INDEX(2a_PRE_TRABAJO!$H$5:$H$51,MATCH($A24,2a_PRE_TRABAJO!$A$5:$A$51,0))="","",INDEX(2a_PRE_TRABAJO!$H$5:$H$51,MATCH($A24,2a_PRE_TRABAJO!$A$5:$A$51,0))),"")</f>
        <v>13</v>
      </c>
      <c r="K24" s="25" t="n">
        <f aca="false">IFERROR(IF(INDEX(2b_POST_TRABAJO!$D$5:$D$48,MATCH($A24,2b_POST_TRABAJO!$A$5:$A$48,0))="","",INDEX(2b_POST_TRABAJO!$D$5:$D$48,MATCH($A24,2b_POST_TRABAJO!$A$5:$A$48,0))),"")</f>
        <v>5.6</v>
      </c>
      <c r="L24" s="26" t="n">
        <f aca="false">IFERROR(IF(INDEX(2a_PRE_TRABAJO!$I$5:$I$51,MATCH($A24,2a_PRE_TRABAJO!$A$5:$A$51,0))="","",INDEX(2a_PRE_TRABAJO!$I$5:$I$51,MATCH($A24,2a_PRE_TRABAJO!$A$5:$A$51,0))),"")</f>
        <v>52</v>
      </c>
      <c r="M24" s="26" t="n">
        <f aca="false">IFERROR(IF(INDEX(2b_POST_TRABAJO!$E$5:$E$48,MATCH($A24,2b_POST_TRABAJO!$A$5:$A$48,0))="","",INDEX(2b_POST_TRABAJO!$E$5:$E$48,MATCH($A24,2b_POST_TRABAJO!$A$5:$A$48,0))),"")</f>
        <v>81</v>
      </c>
      <c r="N24" s="19" t="n">
        <f aca="false">IFERROR(IF(INDEX(2a_PRE_TRABAJO!$J$5:$J$51,MATCH($A24,2a_PRE_TRABAJO!$A$5:$A$51,0))="","",INDEX(2a_PRE_TRABAJO!$J$5:$J$51,MATCH($A24,2a_PRE_TRABAJO!$A$5:$A$51,0))),"")</f>
        <v>4</v>
      </c>
      <c r="O24" s="19" t="n">
        <f aca="false">IFERROR(IF(INDEX(2a_PRE_TRABAJO!$K$5:$K$51,MATCH($A24,2a_PRE_TRABAJO!$A$5:$A$51,0))="","",INDEX(2a_PRE_TRABAJO!$K$5:$K$51,MATCH($A24,2a_PRE_TRABAJO!$A$5:$A$51,0))),"")</f>
        <v>4</v>
      </c>
      <c r="P24" s="19" t="n">
        <f aca="false">IFERROR(IF(INDEX(2a_PRE_TRABAJO!$L$5:$L$51,MATCH($A24,2a_PRE_TRABAJO!$A$5:$A$51,0))="","",INDEX(2a_PRE_TRABAJO!$L$5:$L$51,MATCH($A24,2a_PRE_TRABAJO!$A$5:$A$51,0))),"")</f>
        <v>2</v>
      </c>
      <c r="Q24" s="19" t="n">
        <f aca="false">IF(IFERROR(IF(INDEX(2a_PRE_TRABAJO!$M$5:$M$51,MATCH($A24,2a_PRE_TRABAJO!$A$5:$A$51,0))="","",INDEX(2a_PRE_TRABAJO!$M$5:$M$51,MATCH($A24,2a_PRE_TRABAJO!$A$5:$A$51,0))),"")="","",IFERROR(6-IFERROR(IF(INDEX(2a_PRE_TRABAJO!$M$5:$M$51,MATCH($A24,2a_PRE_TRABAJO!$A$5:$A$51,0))="","",INDEX(2a_PRE_TRABAJO!$M$5:$M$51,MATCH($A24,2a_PRE_TRABAJO!$A$5:$A$51,0))),""),"REVISAR"))</f>
        <v>4</v>
      </c>
      <c r="R24" s="19" t="n">
        <f aca="false">IFERROR(IF(INDEX(2a_PRE_TRABAJO!$N$5:$N$51,MATCH($A24,2a_PRE_TRABAJO!$A$5:$A$51,0))="","",INDEX(2a_PRE_TRABAJO!$N$5:$N$51,MATCH($A24,2a_PRE_TRABAJO!$A$5:$A$51,0))),"")</f>
        <v>2</v>
      </c>
      <c r="S24" s="19" t="n">
        <f aca="false">IFERROR(IF(INDEX(2a_PRE_TRABAJO!$O$5:$O$51,MATCH($A24,2a_PRE_TRABAJO!$A$5:$A$51,0))="","",INDEX(2a_PRE_TRABAJO!$O$5:$O$51,MATCH($A24,2a_PRE_TRABAJO!$A$5:$A$51,0))),"")</f>
        <v>3</v>
      </c>
      <c r="T24" s="19" t="n">
        <f aca="false">IFERROR(IF(INDEX(2a_PRE_TRABAJO!$P$5:$P$51,MATCH($A24,2a_PRE_TRABAJO!$A$5:$A$51,0))="","",INDEX(2a_PRE_TRABAJO!$P$5:$P$51,MATCH($A24,2a_PRE_TRABAJO!$A$5:$A$51,0))),"")</f>
        <v>3</v>
      </c>
      <c r="U24" s="19" t="n">
        <f aca="false">IFERROR(IF(INDEX(2a_PRE_TRABAJO!$Q$5:$Q$51,MATCH($A24,2a_PRE_TRABAJO!$A$5:$A$51,0))="","",INDEX(2a_PRE_TRABAJO!$Q$5:$Q$51,MATCH($A24,2a_PRE_TRABAJO!$A$5:$A$51,0))),"")</f>
        <v>3</v>
      </c>
      <c r="V24" s="19" t="n">
        <f aca="false">IFERROR(IF(INDEX(2a_PRE_TRABAJO!$R$5:$R$51,MATCH($A24,2a_PRE_TRABAJO!$A$5:$A$51,0))="","",INDEX(2a_PRE_TRABAJO!$R$5:$R$51,MATCH($A24,2a_PRE_TRABAJO!$A$5:$A$51,0))),"")</f>
        <v>3</v>
      </c>
      <c r="W24" s="19" t="n">
        <f aca="false">IFERROR(IF(INDEX(2a_PRE_TRABAJO!$S$5:$S$51,MATCH($A24,2a_PRE_TRABAJO!$A$5:$A$51,0))="","",INDEX(2a_PRE_TRABAJO!$S$5:$S$51,MATCH($A24,2a_PRE_TRABAJO!$A$5:$A$51,0))),"")</f>
        <v>5</v>
      </c>
      <c r="X24" s="19" t="n">
        <f aca="false">IFERROR(IF(INDEX(2a_PRE_TRABAJO!$T$5:$T$51,MATCH($A24,2a_PRE_TRABAJO!$A$5:$A$51,0))="","",INDEX(2a_PRE_TRABAJO!$T$5:$T$51,MATCH($A24,2a_PRE_TRABAJO!$A$5:$A$51,0))),"")</f>
        <v>2</v>
      </c>
      <c r="Y24" s="19" t="n">
        <f aca="false">IF(IFERROR(IF(INDEX(2a_PRE_TRABAJO!$U$5:$U$51,MATCH($A24,2a_PRE_TRABAJO!$A$5:$A$51,0))="","",INDEX(2a_PRE_TRABAJO!$U$5:$U$51,MATCH($A24,2a_PRE_TRABAJO!$A$5:$A$51,0))),"")="","",IFERROR(6-IFERROR(IF(INDEX(2a_PRE_TRABAJO!$U$5:$U$51,MATCH($A24,2a_PRE_TRABAJO!$A$5:$A$51,0))="","",INDEX(2a_PRE_TRABAJO!$U$5:$U$51,MATCH($A24,2a_PRE_TRABAJO!$A$5:$A$51,0))),""),"REVISAR"))</f>
        <v>3</v>
      </c>
      <c r="Z24" s="19" t="n">
        <f aca="false">IFERROR(IF(INDEX(2a_PRE_TRABAJO!$V$5:$V$51,MATCH($A24,2a_PRE_TRABAJO!$A$5:$A$51,0))="","",INDEX(2a_PRE_TRABAJO!$V$5:$V$51,MATCH($A24,2a_PRE_TRABAJO!$A$5:$A$51,0))),"")</f>
        <v>3</v>
      </c>
      <c r="AA24" s="19" t="n">
        <f aca="false">IFERROR(IF(INDEX(2a_PRE_TRABAJO!$W$5:$W$51,MATCH($A24,2a_PRE_TRABAJO!$A$5:$A$51,0))="","",INDEX(2a_PRE_TRABAJO!$W$5:$W$51,MATCH($A24,2a_PRE_TRABAJO!$A$5:$A$51,0))),"")</f>
        <v>2</v>
      </c>
      <c r="AB24" s="19" t="n">
        <f aca="false">IFERROR(IF(INDEX(2a_PRE_TRABAJO!$X$5:$X$51,MATCH($A24,2a_PRE_TRABAJO!$A$5:$A$51,0))="","",INDEX(2a_PRE_TRABAJO!$X$5:$X$51,MATCH($A24,2a_PRE_TRABAJO!$A$5:$A$51,0))),"")</f>
        <v>4</v>
      </c>
      <c r="AC24" s="19" t="n">
        <f aca="false">IFERROR(IF(INDEX(2b_POST_TRABAJO!$F$5:$F$48,MATCH($A24,2b_POST_TRABAJO!$A$5:$A$48,0))="","",INDEX(2b_POST_TRABAJO!$F$5:$F$48,MATCH($A24,2b_POST_TRABAJO!$A$5:$A$48,0))),"")</f>
        <v>5</v>
      </c>
      <c r="AD24" s="19" t="n">
        <f aca="false">IFERROR(IF(INDEX(2b_POST_TRABAJO!$G$5:$G$48,MATCH($A24,2b_POST_TRABAJO!$A$5:$A$48,0))="","",INDEX(2b_POST_TRABAJO!$G$5:$G$48,MATCH($A24,2b_POST_TRABAJO!$A$5:$A$48,0))),"")</f>
        <v>5</v>
      </c>
      <c r="AE24" s="19" t="n">
        <f aca="false">IFERROR(IF(INDEX(2b_POST_TRABAJO!$H$5:$H$48,MATCH($A24,2b_POST_TRABAJO!$A$5:$A$48,0))="","",INDEX(2b_POST_TRABAJO!$H$5:$H$48,MATCH($A24,2b_POST_TRABAJO!$A$5:$A$48,0))),"")</f>
        <v>4</v>
      </c>
      <c r="AF24" s="19" t="n">
        <f aca="false">IF(IFERROR(IF(INDEX(2b_POST_TRABAJO!$I$5:$I$48,MATCH($A24,2b_POST_TRABAJO!$A$5:$A$48,0))="","",INDEX(2b_POST_TRABAJO!$I$5:$I$48,MATCH($A24,2b_POST_TRABAJO!$A$5:$A$48,0))),"")="","",IFERROR(6-IFERROR(IF(INDEX(2b_POST_TRABAJO!$I$5:$I$48,MATCH($A24,2b_POST_TRABAJO!$A$5:$A$48,0))="","",INDEX(2b_POST_TRABAJO!$I$5:$I$48,MATCH($A24,2b_POST_TRABAJO!$A$5:$A$48,0))),""),"REVISAR"))</f>
        <v>5</v>
      </c>
      <c r="AG24" s="19" t="n">
        <f aca="false">IFERROR(IF(INDEX(2b_POST_TRABAJO!$J$5:$J$48,MATCH($A24,2b_POST_TRABAJO!$A$5:$A$48,0))="","",INDEX(2b_POST_TRABAJO!$J$5:$J$48,MATCH($A24,2b_POST_TRABAJO!$A$5:$A$48,0))),"")</f>
        <v>4</v>
      </c>
      <c r="AH24" s="19" t="n">
        <f aca="false">IFERROR(IF(INDEX(2b_POST_TRABAJO!$K$5:$K$48,MATCH($A24,2b_POST_TRABAJO!$A$5:$A$48,0))="","",INDEX(2b_POST_TRABAJO!$K$5:$K$48,MATCH($A24,2b_POST_TRABAJO!$A$5:$A$48,0))),"")</f>
        <v>5</v>
      </c>
      <c r="AI24" s="19" t="n">
        <f aca="false">IFERROR(IF(INDEX(2b_POST_TRABAJO!$L$5:$L$48,MATCH($A24,2b_POST_TRABAJO!$A$5:$A$48,0))="","",INDEX(2b_POST_TRABAJO!$L$5:$L$48,MATCH($A24,2b_POST_TRABAJO!$A$5:$A$48,0))),"")</f>
        <v>5</v>
      </c>
      <c r="AJ24" s="19" t="n">
        <f aca="false">IFERROR(IF(INDEX(2b_POST_TRABAJO!$M$5:$M$48,MATCH($A24,2b_POST_TRABAJO!$A$5:$A$48,0))="","",INDEX(2b_POST_TRABAJO!$M$5:$M$48,MATCH($A24,2b_POST_TRABAJO!$A$5:$A$48,0))),"")</f>
        <v>4</v>
      </c>
      <c r="AK24" s="19" t="n">
        <f aca="false">IFERROR(IF(INDEX(2b_POST_TRABAJO!$N$5:$N$48,MATCH($A24,2b_POST_TRABAJO!$A$5:$A$48,0))="","",INDEX(2b_POST_TRABAJO!$N$5:$N$48,MATCH($A24,2b_POST_TRABAJO!$A$5:$A$48,0))),"")</f>
        <v>5</v>
      </c>
      <c r="AL24" s="19" t="n">
        <f aca="false">IFERROR(IF(INDEX(2b_POST_TRABAJO!$O$5:$O$48,MATCH($A24,2b_POST_TRABAJO!$A$5:$A$48,0))="","",INDEX(2b_POST_TRABAJO!$O$5:$O$48,MATCH($A24,2b_POST_TRABAJO!$A$5:$A$48,0))),"")</f>
        <v>5</v>
      </c>
      <c r="AM24" s="19" t="n">
        <f aca="false">IFERROR(IF(INDEX(2b_POST_TRABAJO!$P$5:$P$48,MATCH($A24,2b_POST_TRABAJO!$A$5:$A$48,0))="","",INDEX(2b_POST_TRABAJO!$P$5:$P$48,MATCH($A24,2b_POST_TRABAJO!$A$5:$A$48,0))),"")</f>
        <v>5</v>
      </c>
      <c r="AN24" s="19" t="n">
        <f aca="false">IF(IFERROR(IF(INDEX(2b_POST_TRABAJO!$Q$5:$Q$48,MATCH($A24,2b_POST_TRABAJO!$A$5:$A$48,0))="","",INDEX(2b_POST_TRABAJO!$Q$5:$Q$48,MATCH($A24,2b_POST_TRABAJO!$A$5:$A$48,0))),"")="","",IFERROR(6-IFERROR(IF(INDEX(2b_POST_TRABAJO!$Q$5:$Q$48,MATCH($A24,2b_POST_TRABAJO!$A$5:$A$48,0))="","",INDEX(2b_POST_TRABAJO!$Q$5:$Q$48,MATCH($A24,2b_POST_TRABAJO!$A$5:$A$48,0))),""),"REVISAR"))</f>
        <v>4</v>
      </c>
      <c r="AO24" s="19" t="n">
        <f aca="false">IFERROR(IF(INDEX(2b_POST_TRABAJO!$R$5:$R$48,MATCH($A24,2b_POST_TRABAJO!$A$5:$A$48,0))="","",INDEX(2b_POST_TRABAJO!$R$5:$R$48,MATCH($A24,2b_POST_TRABAJO!$A$5:$A$48,0))),"")</f>
        <v>5</v>
      </c>
      <c r="AP24" s="19" t="n">
        <f aca="false">IFERROR(IF(INDEX(2b_POST_TRABAJO!$S$5:$S$48,MATCH($A24,2b_POST_TRABAJO!$A$5:$A$48,0))="","",INDEX(2b_POST_TRABAJO!$S$5:$S$48,MATCH($A24,2b_POST_TRABAJO!$A$5:$A$48,0))),"")</f>
        <v>4</v>
      </c>
      <c r="AQ24" s="19" t="n">
        <f aca="false">IFERROR(IF(INDEX(2b_POST_TRABAJO!$T$5:$T$48,MATCH($A24,2b_POST_TRABAJO!$A$5:$A$48,0))="","",INDEX(2b_POST_TRABAJO!$T$5:$T$48,MATCH($A24,2b_POST_TRABAJO!$A$5:$A$48,0))),"")</f>
        <v>4</v>
      </c>
      <c r="AR24" s="27" t="n">
        <f aca="false">IF(COUNT(N24:R24)&lt;5,"",IFERROR(ROUND(AVERAGE(N24:R24),2),"REVISAR"))</f>
        <v>3.2</v>
      </c>
      <c r="AS24" s="27" t="n">
        <f aca="false">IF(COUNT(S24:W24)&lt;5,"",IFERROR(ROUND(AVERAGE(S24:W24),2),"REVISAR"))</f>
        <v>3.4</v>
      </c>
      <c r="AT24" s="27" t="n">
        <f aca="false">IF(COUNT(X24:AB24)&lt;5,"",IFERROR(ROUND(AVERAGE(X24:AB24),2),"REVISAR"))</f>
        <v>2.8</v>
      </c>
      <c r="AU24" s="11" t="n">
        <f aca="false">IF(COUNT(N24:AB24)&lt;15,"",IFERROR(SUM(N24:AB24),"REVISAR"))</f>
        <v>47</v>
      </c>
      <c r="AV24" s="18" t="n">
        <f aca="false">IF(AU24="","",IF(ISNUMBER(AU24),IF(AU24&lt;=35,1,IF(AU24&lt;=55,2,3)),"REVISAR"))</f>
        <v>2</v>
      </c>
      <c r="AW24" s="27" t="n">
        <f aca="false">IF(COUNT(AC24:AG24)&lt;5,"",IFERROR(ROUND(AVERAGE(AC24:AG24),2),"REVISAR"))</f>
        <v>4.6</v>
      </c>
      <c r="AX24" s="27" t="n">
        <f aca="false">IF(COUNT(AH24:AL24)&lt;5,"",IFERROR(ROUND(AVERAGE(AH24:AL24),2),"REVISAR"))</f>
        <v>4.8</v>
      </c>
      <c r="AY24" s="27" t="n">
        <f aca="false">IF(COUNT(AM24:AQ24)&lt;5,"",IFERROR(ROUND(AVERAGE(AM24:AQ24),2),"REVISAR"))</f>
        <v>4.4</v>
      </c>
      <c r="AZ24" s="11" t="n">
        <f aca="false">IF(COUNT(AC24:AQ24)&lt;15,"",IFERROR(SUM(AC24:AQ24),"REVISAR"))</f>
        <v>69</v>
      </c>
      <c r="BA24" s="18" t="n">
        <f aca="false">IF(AZ24="","",IF(ISNUMBER(AZ24),IF(AZ24&lt;=35,1,IF(AZ24&lt;=55,2,3)),"REVISAR"))</f>
        <v>3</v>
      </c>
      <c r="BB24" s="28" t="n">
        <f aca="false">IF(OR(J24="",K24=""),"",IFERROR(ROUND(K24-J24,1),"REVISAR"))</f>
        <v>-7.4</v>
      </c>
      <c r="BC24" s="11" t="n">
        <f aca="false">IF(OR(L24="",M24=""),"",IFERROR(M24-L24,"REVISAR"))</f>
        <v>29</v>
      </c>
      <c r="BD24" s="11" t="n">
        <f aca="false">IF(OR(AU24="",AZ24=""),"",IFERROR(AZ24-AU24,"REVISAR"))</f>
        <v>22</v>
      </c>
      <c r="BE24" s="23"/>
      <c r="BF24" s="21"/>
    </row>
    <row r="25" customFormat="false" ht="15" hidden="false" customHeight="false" outlineLevel="0" collapsed="false">
      <c r="A25" s="17" t="s">
        <v>75</v>
      </c>
      <c r="B25" s="23" t="n">
        <v>1</v>
      </c>
      <c r="C25" s="19" t="n">
        <f aca="false">IFERROR(IF(INDEX(2a_PRE_TRABAJO!$B$5:$B$51,MATCH($A25,2a_PRE_TRABAJO!$A$5:$A$51,0))="","",INDEX(2a_PRE_TRABAJO!$B$5:$B$51,MATCH($A25,2a_PRE_TRABAJO!$A$5:$A$51,0))),"")</f>
        <v>1</v>
      </c>
      <c r="D25" s="19" t="n">
        <f aca="false">IFERROR(IF(INDEX(2a_PRE_TRABAJO!$C$5:$C$51,MATCH($A25,2a_PRE_TRABAJO!$A$5:$A$51,0))="","",INDEX(2a_PRE_TRABAJO!$C$5:$C$51,MATCH($A25,2a_PRE_TRABAJO!$A$5:$A$51,0))),"")</f>
        <v>1</v>
      </c>
      <c r="E25" s="19" t="n">
        <f aca="false">IFERROR(IF(INDEX(2a_PRE_TRABAJO!$D$5:$D$51,MATCH($A25,2a_PRE_TRABAJO!$A$5:$A$51,0))="","",INDEX(2a_PRE_TRABAJO!$D$5:$D$51,MATCH($A25,2a_PRE_TRABAJO!$A$5:$A$51,0))),"")</f>
        <v>33</v>
      </c>
      <c r="F25" s="19" t="n">
        <f aca="false">IFERROR(IF(INDEX(2a_PRE_TRABAJO!$E$5:$E$51,MATCH($A25,2a_PRE_TRABAJO!$A$5:$A$51,0))="","",INDEX(2a_PRE_TRABAJO!$E$5:$E$51,MATCH($A25,2a_PRE_TRABAJO!$A$5:$A$51,0))),"")</f>
        <v>6</v>
      </c>
      <c r="G25" s="19" t="str">
        <f aca="false">IFERROR(IF(INDEX(2a_PRE_TRABAJO!$F$5:$F$51,MATCH($A25,2a_PRE_TRABAJO!$A$5:$A$51,0))="","",INDEX(2a_PRE_TRABAJO!$F$5:$F$51,MATCH($A25,2a_PRE_TRABAJO!$A$5:$A$51,0))),"")</f>
        <v>Auxiliar</v>
      </c>
      <c r="H25" s="24" t="n">
        <f aca="false">IFERROR(IF(INDEX(2a_PRE_TRABAJO!$G$5:$G$51,MATCH($A25,2a_PRE_TRABAJO!$A$5:$A$51,0))="","",INDEX(2a_PRE_TRABAJO!$G$5:$G$51,MATCH($A25,2a_PRE_TRABAJO!$A$5:$A$51,0))),"")</f>
        <v>46258</v>
      </c>
      <c r="I25" s="24" t="n">
        <f aca="false">IFERROR(IF(INDEX(2b_POST_TRABAJO!$C$5:$C$48,MATCH($A25,2b_POST_TRABAJO!$A$5:$A$48,0))="","",INDEX(2b_POST_TRABAJO!$C$5:$C$48,MATCH($A25,2b_POST_TRABAJO!$A$5:$A$48,0))),"")</f>
        <v>46307</v>
      </c>
      <c r="J25" s="25" t="n">
        <f aca="false">IFERROR(IF(INDEX(2a_PRE_TRABAJO!$H$5:$H$51,MATCH($A25,2a_PRE_TRABAJO!$A$5:$A$51,0))="","",INDEX(2a_PRE_TRABAJO!$H$5:$H$51,MATCH($A25,2a_PRE_TRABAJO!$A$5:$A$51,0))),"")</f>
        <v>11.6</v>
      </c>
      <c r="K25" s="25" t="n">
        <f aca="false">IFERROR(IF(INDEX(2b_POST_TRABAJO!$D$5:$D$48,MATCH($A25,2b_POST_TRABAJO!$A$5:$A$48,0))="","",INDEX(2b_POST_TRABAJO!$D$5:$D$48,MATCH($A25,2b_POST_TRABAJO!$A$5:$A$48,0))),"")</f>
        <v>7.7</v>
      </c>
      <c r="L25" s="26" t="n">
        <f aca="false">IFERROR(IF(INDEX(2a_PRE_TRABAJO!$I$5:$I$51,MATCH($A25,2a_PRE_TRABAJO!$A$5:$A$51,0))="","",INDEX(2a_PRE_TRABAJO!$I$5:$I$51,MATCH($A25,2a_PRE_TRABAJO!$A$5:$A$51,0))),"")</f>
        <v>56</v>
      </c>
      <c r="M25" s="26" t="n">
        <f aca="false">IFERROR(IF(INDEX(2b_POST_TRABAJO!$E$5:$E$48,MATCH($A25,2b_POST_TRABAJO!$A$5:$A$48,0))="","",INDEX(2b_POST_TRABAJO!$E$5:$E$48,MATCH($A25,2b_POST_TRABAJO!$A$5:$A$48,0))),"")</f>
        <v>73</v>
      </c>
      <c r="N25" s="19" t="n">
        <f aca="false">IFERROR(IF(INDEX(2a_PRE_TRABAJO!$J$5:$J$51,MATCH($A25,2a_PRE_TRABAJO!$A$5:$A$51,0))="","",INDEX(2a_PRE_TRABAJO!$J$5:$J$51,MATCH($A25,2a_PRE_TRABAJO!$A$5:$A$51,0))),"")</f>
        <v>3</v>
      </c>
      <c r="O25" s="19" t="n">
        <f aca="false">IFERROR(IF(INDEX(2a_PRE_TRABAJO!$K$5:$K$51,MATCH($A25,2a_PRE_TRABAJO!$A$5:$A$51,0))="","",INDEX(2a_PRE_TRABAJO!$K$5:$K$51,MATCH($A25,2a_PRE_TRABAJO!$A$5:$A$51,0))),"")</f>
        <v>5</v>
      </c>
      <c r="P25" s="19" t="n">
        <f aca="false">IFERROR(IF(INDEX(2a_PRE_TRABAJO!$L$5:$L$51,MATCH($A25,2a_PRE_TRABAJO!$A$5:$A$51,0))="","",INDEX(2a_PRE_TRABAJO!$L$5:$L$51,MATCH($A25,2a_PRE_TRABAJO!$A$5:$A$51,0))),"")</f>
        <v>3</v>
      </c>
      <c r="Q25" s="19" t="n">
        <f aca="false">IF(IFERROR(IF(INDEX(2a_PRE_TRABAJO!$M$5:$M$51,MATCH($A25,2a_PRE_TRABAJO!$A$5:$A$51,0))="","",INDEX(2a_PRE_TRABAJO!$M$5:$M$51,MATCH($A25,2a_PRE_TRABAJO!$A$5:$A$51,0))),"")="","",IFERROR(6-IFERROR(IF(INDEX(2a_PRE_TRABAJO!$M$5:$M$51,MATCH($A25,2a_PRE_TRABAJO!$A$5:$A$51,0))="","",INDEX(2a_PRE_TRABAJO!$M$5:$M$51,MATCH($A25,2a_PRE_TRABAJO!$A$5:$A$51,0))),""),"REVISAR"))</f>
        <v>3</v>
      </c>
      <c r="R25" s="19" t="n">
        <f aca="false">IFERROR(IF(INDEX(2a_PRE_TRABAJO!$N$5:$N$51,MATCH($A25,2a_PRE_TRABAJO!$A$5:$A$51,0))="","",INDEX(2a_PRE_TRABAJO!$N$5:$N$51,MATCH($A25,2a_PRE_TRABAJO!$A$5:$A$51,0))),"")</f>
        <v>3</v>
      </c>
      <c r="S25" s="19" t="n">
        <f aca="false">IFERROR(IF(INDEX(2a_PRE_TRABAJO!$O$5:$O$51,MATCH($A25,2a_PRE_TRABAJO!$A$5:$A$51,0))="","",INDEX(2a_PRE_TRABAJO!$O$5:$O$51,MATCH($A25,2a_PRE_TRABAJO!$A$5:$A$51,0))),"")</f>
        <v>4</v>
      </c>
      <c r="T25" s="19" t="n">
        <f aca="false">IFERROR(IF(INDEX(2a_PRE_TRABAJO!$P$5:$P$51,MATCH($A25,2a_PRE_TRABAJO!$A$5:$A$51,0))="","",INDEX(2a_PRE_TRABAJO!$P$5:$P$51,MATCH($A25,2a_PRE_TRABAJO!$A$5:$A$51,0))),"")</f>
        <v>2</v>
      </c>
      <c r="U25" s="19" t="n">
        <f aca="false">IFERROR(IF(INDEX(2a_PRE_TRABAJO!$Q$5:$Q$51,MATCH($A25,2a_PRE_TRABAJO!$A$5:$A$51,0))="","",INDEX(2a_PRE_TRABAJO!$Q$5:$Q$51,MATCH($A25,2a_PRE_TRABAJO!$A$5:$A$51,0))),"")</f>
        <v>2</v>
      </c>
      <c r="V25" s="19" t="n">
        <f aca="false">IFERROR(IF(INDEX(2a_PRE_TRABAJO!$R$5:$R$51,MATCH($A25,2a_PRE_TRABAJO!$A$5:$A$51,0))="","",INDEX(2a_PRE_TRABAJO!$R$5:$R$51,MATCH($A25,2a_PRE_TRABAJO!$A$5:$A$51,0))),"")</f>
        <v>3</v>
      </c>
      <c r="W25" s="19" t="n">
        <f aca="false">IFERROR(IF(INDEX(2a_PRE_TRABAJO!$S$5:$S$51,MATCH($A25,2a_PRE_TRABAJO!$A$5:$A$51,0))="","",INDEX(2a_PRE_TRABAJO!$S$5:$S$51,MATCH($A25,2a_PRE_TRABAJO!$A$5:$A$51,0))),"")</f>
        <v>3</v>
      </c>
      <c r="X25" s="19" t="n">
        <f aca="false">IFERROR(IF(INDEX(2a_PRE_TRABAJO!$T$5:$T$51,MATCH($A25,2a_PRE_TRABAJO!$A$5:$A$51,0))="","",INDEX(2a_PRE_TRABAJO!$T$5:$T$51,MATCH($A25,2a_PRE_TRABAJO!$A$5:$A$51,0))),"")</f>
        <v>4</v>
      </c>
      <c r="Y25" s="19" t="n">
        <f aca="false">IF(IFERROR(IF(INDEX(2a_PRE_TRABAJO!$U$5:$U$51,MATCH($A25,2a_PRE_TRABAJO!$A$5:$A$51,0))="","",INDEX(2a_PRE_TRABAJO!$U$5:$U$51,MATCH($A25,2a_PRE_TRABAJO!$A$5:$A$51,0))),"")="","",IFERROR(6-IFERROR(IF(INDEX(2a_PRE_TRABAJO!$U$5:$U$51,MATCH($A25,2a_PRE_TRABAJO!$A$5:$A$51,0))="","",INDEX(2a_PRE_TRABAJO!$U$5:$U$51,MATCH($A25,2a_PRE_TRABAJO!$A$5:$A$51,0))),""),"REVISAR"))</f>
        <v>4</v>
      </c>
      <c r="Z25" s="19" t="n">
        <f aca="false">IFERROR(IF(INDEX(2a_PRE_TRABAJO!$V$5:$V$51,MATCH($A25,2a_PRE_TRABAJO!$A$5:$A$51,0))="","",INDEX(2a_PRE_TRABAJO!$V$5:$V$51,MATCH($A25,2a_PRE_TRABAJO!$A$5:$A$51,0))),"")</f>
        <v>1</v>
      </c>
      <c r="AA25" s="19" t="n">
        <f aca="false">IFERROR(IF(INDEX(2a_PRE_TRABAJO!$W$5:$W$51,MATCH($A25,2a_PRE_TRABAJO!$A$5:$A$51,0))="","",INDEX(2a_PRE_TRABAJO!$W$5:$W$51,MATCH($A25,2a_PRE_TRABAJO!$A$5:$A$51,0))),"")</f>
        <v>4</v>
      </c>
      <c r="AB25" s="19" t="n">
        <f aca="false">IFERROR(IF(INDEX(2a_PRE_TRABAJO!$X$5:$X$51,MATCH($A25,2a_PRE_TRABAJO!$A$5:$A$51,0))="","",INDEX(2a_PRE_TRABAJO!$X$5:$X$51,MATCH($A25,2a_PRE_TRABAJO!$A$5:$A$51,0))),"")</f>
        <v>4</v>
      </c>
      <c r="AC25" s="19" t="n">
        <f aca="false">IFERROR(IF(INDEX(2b_POST_TRABAJO!$F$5:$F$48,MATCH($A25,2b_POST_TRABAJO!$A$5:$A$48,0))="","",INDEX(2b_POST_TRABAJO!$F$5:$F$48,MATCH($A25,2b_POST_TRABAJO!$A$5:$A$48,0))),"")</f>
        <v>2</v>
      </c>
      <c r="AD25" s="19" t="n">
        <f aca="false">IFERROR(IF(INDEX(2b_POST_TRABAJO!$G$5:$G$48,MATCH($A25,2b_POST_TRABAJO!$A$5:$A$48,0))="","",INDEX(2b_POST_TRABAJO!$G$5:$G$48,MATCH($A25,2b_POST_TRABAJO!$A$5:$A$48,0))),"")</f>
        <v>4</v>
      </c>
      <c r="AE25" s="19" t="n">
        <f aca="false">IFERROR(IF(INDEX(2b_POST_TRABAJO!$H$5:$H$48,MATCH($A25,2b_POST_TRABAJO!$A$5:$A$48,0))="","",INDEX(2b_POST_TRABAJO!$H$5:$H$48,MATCH($A25,2b_POST_TRABAJO!$A$5:$A$48,0))),"")</f>
        <v>3</v>
      </c>
      <c r="AF25" s="19" t="n">
        <f aca="false">IF(IFERROR(IF(INDEX(2b_POST_TRABAJO!$I$5:$I$48,MATCH($A25,2b_POST_TRABAJO!$A$5:$A$48,0))="","",INDEX(2b_POST_TRABAJO!$I$5:$I$48,MATCH($A25,2b_POST_TRABAJO!$A$5:$A$48,0))),"")="","",IFERROR(6-IFERROR(IF(INDEX(2b_POST_TRABAJO!$I$5:$I$48,MATCH($A25,2b_POST_TRABAJO!$A$5:$A$48,0))="","",INDEX(2b_POST_TRABAJO!$I$5:$I$48,MATCH($A25,2b_POST_TRABAJO!$A$5:$A$48,0))),""),"REVISAR"))</f>
        <v>3</v>
      </c>
      <c r="AG25" s="19" t="n">
        <f aca="false">IFERROR(IF(INDEX(2b_POST_TRABAJO!$J$5:$J$48,MATCH($A25,2b_POST_TRABAJO!$A$5:$A$48,0))="","",INDEX(2b_POST_TRABAJO!$J$5:$J$48,MATCH($A25,2b_POST_TRABAJO!$A$5:$A$48,0))),"")</f>
        <v>4</v>
      </c>
      <c r="AH25" s="19" t="n">
        <f aca="false">IFERROR(IF(INDEX(2b_POST_TRABAJO!$K$5:$K$48,MATCH($A25,2b_POST_TRABAJO!$A$5:$A$48,0))="","",INDEX(2b_POST_TRABAJO!$K$5:$K$48,MATCH($A25,2b_POST_TRABAJO!$A$5:$A$48,0))),"")</f>
        <v>4</v>
      </c>
      <c r="AI25" s="19" t="n">
        <f aca="false">IFERROR(IF(INDEX(2b_POST_TRABAJO!$L$5:$L$48,MATCH($A25,2b_POST_TRABAJO!$A$5:$A$48,0))="","",INDEX(2b_POST_TRABAJO!$L$5:$L$48,MATCH($A25,2b_POST_TRABAJO!$A$5:$A$48,0))),"")</f>
        <v>5</v>
      </c>
      <c r="AJ25" s="19" t="n">
        <f aca="false">IFERROR(IF(INDEX(2b_POST_TRABAJO!$M$5:$M$48,MATCH($A25,2b_POST_TRABAJO!$A$5:$A$48,0))="","",INDEX(2b_POST_TRABAJO!$M$5:$M$48,MATCH($A25,2b_POST_TRABAJO!$A$5:$A$48,0))),"")</f>
        <v>3</v>
      </c>
      <c r="AK25" s="19" t="n">
        <f aca="false">IFERROR(IF(INDEX(2b_POST_TRABAJO!$N$5:$N$48,MATCH($A25,2b_POST_TRABAJO!$A$5:$A$48,0))="","",INDEX(2b_POST_TRABAJO!$N$5:$N$48,MATCH($A25,2b_POST_TRABAJO!$A$5:$A$48,0))),"")</f>
        <v>4</v>
      </c>
      <c r="AL25" s="19" t="n">
        <f aca="false">IFERROR(IF(INDEX(2b_POST_TRABAJO!$O$5:$O$48,MATCH($A25,2b_POST_TRABAJO!$A$5:$A$48,0))="","",INDEX(2b_POST_TRABAJO!$O$5:$O$48,MATCH($A25,2b_POST_TRABAJO!$A$5:$A$48,0))),"")</f>
        <v>3</v>
      </c>
      <c r="AM25" s="19" t="n">
        <f aca="false">IFERROR(IF(INDEX(2b_POST_TRABAJO!$P$5:$P$48,MATCH($A25,2b_POST_TRABAJO!$A$5:$A$48,0))="","",INDEX(2b_POST_TRABAJO!$P$5:$P$48,MATCH($A25,2b_POST_TRABAJO!$A$5:$A$48,0))),"")</f>
        <v>4</v>
      </c>
      <c r="AN25" s="19" t="n">
        <f aca="false">IF(IFERROR(IF(INDEX(2b_POST_TRABAJO!$Q$5:$Q$48,MATCH($A25,2b_POST_TRABAJO!$A$5:$A$48,0))="","",INDEX(2b_POST_TRABAJO!$Q$5:$Q$48,MATCH($A25,2b_POST_TRABAJO!$A$5:$A$48,0))),"")="","",IFERROR(6-IFERROR(IF(INDEX(2b_POST_TRABAJO!$Q$5:$Q$48,MATCH($A25,2b_POST_TRABAJO!$A$5:$A$48,0))="","",INDEX(2b_POST_TRABAJO!$Q$5:$Q$48,MATCH($A25,2b_POST_TRABAJO!$A$5:$A$48,0))),""),"REVISAR"))</f>
        <v>5</v>
      </c>
      <c r="AO25" s="19" t="n">
        <f aca="false">IFERROR(IF(INDEX(2b_POST_TRABAJO!$R$5:$R$48,MATCH($A25,2b_POST_TRABAJO!$A$5:$A$48,0))="","",INDEX(2b_POST_TRABAJO!$R$5:$R$48,MATCH($A25,2b_POST_TRABAJO!$A$5:$A$48,0))),"")</f>
        <v>4</v>
      </c>
      <c r="AP25" s="19" t="n">
        <f aca="false">IFERROR(IF(INDEX(2b_POST_TRABAJO!$S$5:$S$48,MATCH($A25,2b_POST_TRABAJO!$A$5:$A$48,0))="","",INDEX(2b_POST_TRABAJO!$S$5:$S$48,MATCH($A25,2b_POST_TRABAJO!$A$5:$A$48,0))),"")</f>
        <v>5</v>
      </c>
      <c r="AQ25" s="19" t="n">
        <f aca="false">IFERROR(IF(INDEX(2b_POST_TRABAJO!$T$5:$T$48,MATCH($A25,2b_POST_TRABAJO!$A$5:$A$48,0))="","",INDEX(2b_POST_TRABAJO!$T$5:$T$48,MATCH($A25,2b_POST_TRABAJO!$A$5:$A$48,0))),"")</f>
        <v>5</v>
      </c>
      <c r="AR25" s="27" t="n">
        <f aca="false">IF(COUNT(N25:R25)&lt;5,"",IFERROR(ROUND(AVERAGE(N25:R25),2),"REVISAR"))</f>
        <v>3.4</v>
      </c>
      <c r="AS25" s="27" t="n">
        <f aca="false">IF(COUNT(S25:W25)&lt;5,"",IFERROR(ROUND(AVERAGE(S25:W25),2),"REVISAR"))</f>
        <v>2.8</v>
      </c>
      <c r="AT25" s="27" t="n">
        <f aca="false">IF(COUNT(X25:AB25)&lt;5,"",IFERROR(ROUND(AVERAGE(X25:AB25),2),"REVISAR"))</f>
        <v>3.4</v>
      </c>
      <c r="AU25" s="11" t="n">
        <f aca="false">IF(COUNT(N25:AB25)&lt;15,"",IFERROR(SUM(N25:AB25),"REVISAR"))</f>
        <v>48</v>
      </c>
      <c r="AV25" s="18" t="n">
        <f aca="false">IF(AU25="","",IF(ISNUMBER(AU25),IF(AU25&lt;=35,1,IF(AU25&lt;=55,2,3)),"REVISAR"))</f>
        <v>2</v>
      </c>
      <c r="AW25" s="27" t="n">
        <f aca="false">IF(COUNT(AC25:AG25)&lt;5,"",IFERROR(ROUND(AVERAGE(AC25:AG25),2),"REVISAR"))</f>
        <v>3.2</v>
      </c>
      <c r="AX25" s="27" t="n">
        <f aca="false">IF(COUNT(AH25:AL25)&lt;5,"",IFERROR(ROUND(AVERAGE(AH25:AL25),2),"REVISAR"))</f>
        <v>3.8</v>
      </c>
      <c r="AY25" s="27" t="n">
        <f aca="false">IF(COUNT(AM25:AQ25)&lt;5,"",IFERROR(ROUND(AVERAGE(AM25:AQ25),2),"REVISAR"))</f>
        <v>4.6</v>
      </c>
      <c r="AZ25" s="11" t="n">
        <f aca="false">IF(COUNT(AC25:AQ25)&lt;15,"",IFERROR(SUM(AC25:AQ25),"REVISAR"))</f>
        <v>58</v>
      </c>
      <c r="BA25" s="18" t="n">
        <f aca="false">IF(AZ25="","",IF(ISNUMBER(AZ25),IF(AZ25&lt;=35,1,IF(AZ25&lt;=55,2,3)),"REVISAR"))</f>
        <v>3</v>
      </c>
      <c r="BB25" s="28" t="n">
        <f aca="false">IF(OR(J25="",K25=""),"",IFERROR(ROUND(K25-J25,1),"REVISAR"))</f>
        <v>-3.9</v>
      </c>
      <c r="BC25" s="11" t="n">
        <f aca="false">IF(OR(L25="",M25=""),"",IFERROR(M25-L25,"REVISAR"))</f>
        <v>17</v>
      </c>
      <c r="BD25" s="11" t="n">
        <f aca="false">IF(OR(AU25="",AZ25=""),"",IFERROR(AZ25-AU25,"REVISAR"))</f>
        <v>10</v>
      </c>
      <c r="BE25" s="23"/>
      <c r="BF25" s="21"/>
    </row>
    <row r="26" customFormat="false" ht="15" hidden="false" customHeight="false" outlineLevel="0" collapsed="false">
      <c r="A26" s="17" t="s">
        <v>76</v>
      </c>
      <c r="B26" s="23" t="n">
        <v>1</v>
      </c>
      <c r="C26" s="19" t="n">
        <f aca="false">IFERROR(IF(INDEX(2a_PRE_TRABAJO!$B$5:$B$51,MATCH($A26,2a_PRE_TRABAJO!$A$5:$A$51,0))="","",INDEX(2a_PRE_TRABAJO!$B$5:$B$51,MATCH($A26,2a_PRE_TRABAJO!$A$5:$A$51,0))),"")</f>
        <v>1</v>
      </c>
      <c r="D26" s="19" t="n">
        <f aca="false">IFERROR(IF(INDEX(2a_PRE_TRABAJO!$C$5:$C$51,MATCH($A26,2a_PRE_TRABAJO!$A$5:$A$51,0))="","",INDEX(2a_PRE_TRABAJO!$C$5:$C$51,MATCH($A26,2a_PRE_TRABAJO!$A$5:$A$51,0))),"")</f>
        <v>1</v>
      </c>
      <c r="E26" s="19" t="n">
        <f aca="false">IFERROR(IF(INDEX(2a_PRE_TRABAJO!$D$5:$D$51,MATCH($A26,2a_PRE_TRABAJO!$A$5:$A$51,0))="","",INDEX(2a_PRE_TRABAJO!$D$5:$D$51,MATCH($A26,2a_PRE_TRABAJO!$A$5:$A$51,0))),"")</f>
        <v>36</v>
      </c>
      <c r="F26" s="19" t="n">
        <f aca="false">IFERROR(IF(INDEX(2a_PRE_TRABAJO!$E$5:$E$51,MATCH($A26,2a_PRE_TRABAJO!$A$5:$A$51,0))="","",INDEX(2a_PRE_TRABAJO!$E$5:$E$51,MATCH($A26,2a_PRE_TRABAJO!$A$5:$A$51,0))),"")</f>
        <v>15</v>
      </c>
      <c r="G26" s="19" t="str">
        <f aca="false">IFERROR(IF(INDEX(2a_PRE_TRABAJO!$F$5:$F$51,MATCH($A26,2a_PRE_TRABAJO!$A$5:$A$51,0))="","",INDEX(2a_PRE_TRABAJO!$F$5:$F$51,MATCH($A26,2a_PRE_TRABAJO!$A$5:$A$51,0))),"")</f>
        <v>auxiliar</v>
      </c>
      <c r="H26" s="24" t="n">
        <f aca="false">IFERROR(IF(INDEX(2a_PRE_TRABAJO!$G$5:$G$51,MATCH($A26,2a_PRE_TRABAJO!$A$5:$A$51,0))="","",INDEX(2a_PRE_TRABAJO!$G$5:$G$51,MATCH($A26,2a_PRE_TRABAJO!$A$5:$A$51,0))),"")</f>
        <v>46259</v>
      </c>
      <c r="I26" s="24" t="n">
        <f aca="false">IFERROR(IF(INDEX(2b_POST_TRABAJO!$C$5:$C$48,MATCH($A26,2b_POST_TRABAJO!$A$5:$A$48,0))="","",INDEX(2b_POST_TRABAJO!$C$5:$C$48,MATCH($A26,2b_POST_TRABAJO!$A$5:$A$48,0))),"")</f>
        <v>46308</v>
      </c>
      <c r="J26" s="25" t="n">
        <f aca="false">IFERROR(IF(INDEX(2a_PRE_TRABAJO!$H$5:$H$51,MATCH($A26,2a_PRE_TRABAJO!$A$5:$A$51,0))="","",INDEX(2a_PRE_TRABAJO!$H$5:$H$51,MATCH($A26,2a_PRE_TRABAJO!$A$5:$A$51,0))),"")</f>
        <v>8.7</v>
      </c>
      <c r="K26" s="25" t="str">
        <f aca="false">IFERROR(IF(INDEX(2b_POST_TRABAJO!$D$5:$D$48,MATCH($A26,2b_POST_TRABAJO!$A$5:$A$48,0))="","",INDEX(2b_POST_TRABAJO!$D$5:$D$48,MATCH($A26,2b_POST_TRABAJO!$A$5:$A$48,0))),"")</f>
        <v/>
      </c>
      <c r="L26" s="26" t="n">
        <f aca="false">IFERROR(IF(INDEX(2a_PRE_TRABAJO!$I$5:$I$51,MATCH($A26,2a_PRE_TRABAJO!$A$5:$A$51,0))="","",INDEX(2a_PRE_TRABAJO!$I$5:$I$51,MATCH($A26,2a_PRE_TRABAJO!$A$5:$A$51,0))),"")</f>
        <v>66</v>
      </c>
      <c r="M26" s="26" t="n">
        <f aca="false">IFERROR(IF(INDEX(2b_POST_TRABAJO!$E$5:$E$48,MATCH($A26,2b_POST_TRABAJO!$A$5:$A$48,0))="","",INDEX(2b_POST_TRABAJO!$E$5:$E$48,MATCH($A26,2b_POST_TRABAJO!$A$5:$A$48,0))),"")</f>
        <v>69</v>
      </c>
      <c r="N26" s="19" t="n">
        <f aca="false">IFERROR(IF(INDEX(2a_PRE_TRABAJO!$J$5:$J$51,MATCH($A26,2a_PRE_TRABAJO!$A$5:$A$51,0))="","",INDEX(2a_PRE_TRABAJO!$J$5:$J$51,MATCH($A26,2a_PRE_TRABAJO!$A$5:$A$51,0))),"")</f>
        <v>1</v>
      </c>
      <c r="O26" s="19" t="n">
        <f aca="false">IFERROR(IF(INDEX(2a_PRE_TRABAJO!$K$5:$K$51,MATCH($A26,2a_PRE_TRABAJO!$A$5:$A$51,0))="","",INDEX(2a_PRE_TRABAJO!$K$5:$K$51,MATCH($A26,2a_PRE_TRABAJO!$A$5:$A$51,0))),"")</f>
        <v>2</v>
      </c>
      <c r="P26" s="19" t="n">
        <f aca="false">IFERROR(IF(INDEX(2a_PRE_TRABAJO!$L$5:$L$51,MATCH($A26,2a_PRE_TRABAJO!$A$5:$A$51,0))="","",INDEX(2a_PRE_TRABAJO!$L$5:$L$51,MATCH($A26,2a_PRE_TRABAJO!$A$5:$A$51,0))),"")</f>
        <v>3</v>
      </c>
      <c r="Q26" s="19" t="n">
        <f aca="false">IF(IFERROR(IF(INDEX(2a_PRE_TRABAJO!$M$5:$M$51,MATCH($A26,2a_PRE_TRABAJO!$A$5:$A$51,0))="","",INDEX(2a_PRE_TRABAJO!$M$5:$M$51,MATCH($A26,2a_PRE_TRABAJO!$A$5:$A$51,0))),"")="","",IFERROR(6-IFERROR(IF(INDEX(2a_PRE_TRABAJO!$M$5:$M$51,MATCH($A26,2a_PRE_TRABAJO!$A$5:$A$51,0))="","",INDEX(2a_PRE_TRABAJO!$M$5:$M$51,MATCH($A26,2a_PRE_TRABAJO!$A$5:$A$51,0))),""),"REVISAR"))</f>
        <v>2</v>
      </c>
      <c r="R26" s="19" t="n">
        <f aca="false">IFERROR(IF(INDEX(2a_PRE_TRABAJO!$N$5:$N$51,MATCH($A26,2a_PRE_TRABAJO!$A$5:$A$51,0))="","",INDEX(2a_PRE_TRABAJO!$N$5:$N$51,MATCH($A26,2a_PRE_TRABAJO!$A$5:$A$51,0))),"")</f>
        <v>2</v>
      </c>
      <c r="S26" s="19" t="n">
        <f aca="false">IFERROR(IF(INDEX(2a_PRE_TRABAJO!$O$5:$O$51,MATCH($A26,2a_PRE_TRABAJO!$A$5:$A$51,0))="","",INDEX(2a_PRE_TRABAJO!$O$5:$O$51,MATCH($A26,2a_PRE_TRABAJO!$A$5:$A$51,0))),"")</f>
        <v>5</v>
      </c>
      <c r="T26" s="19" t="n">
        <f aca="false">IFERROR(IF(INDEX(2a_PRE_TRABAJO!$P$5:$P$51,MATCH($A26,2a_PRE_TRABAJO!$A$5:$A$51,0))="","",INDEX(2a_PRE_TRABAJO!$P$5:$P$51,MATCH($A26,2a_PRE_TRABAJO!$A$5:$A$51,0))),"")</f>
        <v>1</v>
      </c>
      <c r="U26" s="19" t="n">
        <f aca="false">IFERROR(IF(INDEX(2a_PRE_TRABAJO!$Q$5:$Q$51,MATCH($A26,2a_PRE_TRABAJO!$A$5:$A$51,0))="","",INDEX(2a_PRE_TRABAJO!$Q$5:$Q$51,MATCH($A26,2a_PRE_TRABAJO!$A$5:$A$51,0))),"")</f>
        <v>1</v>
      </c>
      <c r="V26" s="19" t="n">
        <f aca="false">IFERROR(IF(INDEX(2a_PRE_TRABAJO!$R$5:$R$51,MATCH($A26,2a_PRE_TRABAJO!$A$5:$A$51,0))="","",INDEX(2a_PRE_TRABAJO!$R$5:$R$51,MATCH($A26,2a_PRE_TRABAJO!$A$5:$A$51,0))),"")</f>
        <v>1</v>
      </c>
      <c r="W26" s="19" t="n">
        <f aca="false">IFERROR(IF(INDEX(2a_PRE_TRABAJO!$S$5:$S$51,MATCH($A26,2a_PRE_TRABAJO!$A$5:$A$51,0))="","",INDEX(2a_PRE_TRABAJO!$S$5:$S$51,MATCH($A26,2a_PRE_TRABAJO!$A$5:$A$51,0))),"")</f>
        <v>1</v>
      </c>
      <c r="X26" s="19" t="n">
        <f aca="false">IFERROR(IF(INDEX(2a_PRE_TRABAJO!$T$5:$T$51,MATCH($A26,2a_PRE_TRABAJO!$A$5:$A$51,0))="","",INDEX(2a_PRE_TRABAJO!$T$5:$T$51,MATCH($A26,2a_PRE_TRABAJO!$A$5:$A$51,0))),"")</f>
        <v>1</v>
      </c>
      <c r="Y26" s="19" t="n">
        <f aca="false">IF(IFERROR(IF(INDEX(2a_PRE_TRABAJO!$U$5:$U$51,MATCH($A26,2a_PRE_TRABAJO!$A$5:$A$51,0))="","",INDEX(2a_PRE_TRABAJO!$U$5:$U$51,MATCH($A26,2a_PRE_TRABAJO!$A$5:$A$51,0))),"")="","",IFERROR(6-IFERROR(IF(INDEX(2a_PRE_TRABAJO!$U$5:$U$51,MATCH($A26,2a_PRE_TRABAJO!$A$5:$A$51,0))="","",INDEX(2a_PRE_TRABAJO!$U$5:$U$51,MATCH($A26,2a_PRE_TRABAJO!$A$5:$A$51,0))),""),"REVISAR"))</f>
        <v>2</v>
      </c>
      <c r="Z26" s="19" t="n">
        <f aca="false">IFERROR(IF(INDEX(2a_PRE_TRABAJO!$V$5:$V$51,MATCH($A26,2a_PRE_TRABAJO!$A$5:$A$51,0))="","",INDEX(2a_PRE_TRABAJO!$V$5:$V$51,MATCH($A26,2a_PRE_TRABAJO!$A$5:$A$51,0))),"")</f>
        <v>3</v>
      </c>
      <c r="AA26" s="19" t="n">
        <f aca="false">IFERROR(IF(INDEX(2a_PRE_TRABAJO!$W$5:$W$51,MATCH($A26,2a_PRE_TRABAJO!$A$5:$A$51,0))="","",INDEX(2a_PRE_TRABAJO!$W$5:$W$51,MATCH($A26,2a_PRE_TRABAJO!$A$5:$A$51,0))),"")</f>
        <v>2</v>
      </c>
      <c r="AB26" s="19" t="n">
        <f aca="false">IFERROR(IF(INDEX(2a_PRE_TRABAJO!$X$5:$X$51,MATCH($A26,2a_PRE_TRABAJO!$A$5:$A$51,0))="","",INDEX(2a_PRE_TRABAJO!$X$5:$X$51,MATCH($A26,2a_PRE_TRABAJO!$A$5:$A$51,0))),"")</f>
        <v>1</v>
      </c>
      <c r="AC26" s="19" t="n">
        <f aca="false">IFERROR(IF(INDEX(2b_POST_TRABAJO!$F$5:$F$48,MATCH($A26,2b_POST_TRABAJO!$A$5:$A$48,0))="","",INDEX(2b_POST_TRABAJO!$F$5:$F$48,MATCH($A26,2b_POST_TRABAJO!$A$5:$A$48,0))),"")</f>
        <v>2</v>
      </c>
      <c r="AD26" s="19" t="n">
        <f aca="false">IFERROR(IF(INDEX(2b_POST_TRABAJO!$G$5:$G$48,MATCH($A26,2b_POST_TRABAJO!$A$5:$A$48,0))="","",INDEX(2b_POST_TRABAJO!$G$5:$G$48,MATCH($A26,2b_POST_TRABAJO!$A$5:$A$48,0))),"")</f>
        <v>3</v>
      </c>
      <c r="AE26" s="19" t="n">
        <f aca="false">IFERROR(IF(INDEX(2b_POST_TRABAJO!$H$5:$H$48,MATCH($A26,2b_POST_TRABAJO!$A$5:$A$48,0))="","",INDEX(2b_POST_TRABAJO!$H$5:$H$48,MATCH($A26,2b_POST_TRABAJO!$A$5:$A$48,0))),"")</f>
        <v>3</v>
      </c>
      <c r="AF26" s="19" t="n">
        <f aca="false">IF(IFERROR(IF(INDEX(2b_POST_TRABAJO!$I$5:$I$48,MATCH($A26,2b_POST_TRABAJO!$A$5:$A$48,0))="","",INDEX(2b_POST_TRABAJO!$I$5:$I$48,MATCH($A26,2b_POST_TRABAJO!$A$5:$A$48,0))),"")="","",IFERROR(6-IFERROR(IF(INDEX(2b_POST_TRABAJO!$I$5:$I$48,MATCH($A26,2b_POST_TRABAJO!$A$5:$A$48,0))="","",INDEX(2b_POST_TRABAJO!$I$5:$I$48,MATCH($A26,2b_POST_TRABAJO!$A$5:$A$48,0))),""),"REVISAR"))</f>
        <v>4</v>
      </c>
      <c r="AG26" s="19" t="n">
        <f aca="false">IFERROR(IF(INDEX(2b_POST_TRABAJO!$J$5:$J$48,MATCH($A26,2b_POST_TRABAJO!$A$5:$A$48,0))="","",INDEX(2b_POST_TRABAJO!$J$5:$J$48,MATCH($A26,2b_POST_TRABAJO!$A$5:$A$48,0))),"")</f>
        <v>2</v>
      </c>
      <c r="AH26" s="19" t="n">
        <f aca="false">IFERROR(IF(INDEX(2b_POST_TRABAJO!$K$5:$K$48,MATCH($A26,2b_POST_TRABAJO!$A$5:$A$48,0))="","",INDEX(2b_POST_TRABAJO!$K$5:$K$48,MATCH($A26,2b_POST_TRABAJO!$A$5:$A$48,0))),"")</f>
        <v>5</v>
      </c>
      <c r="AI26" s="19" t="n">
        <f aca="false">IFERROR(IF(INDEX(2b_POST_TRABAJO!$L$5:$L$48,MATCH($A26,2b_POST_TRABAJO!$A$5:$A$48,0))="","",INDEX(2b_POST_TRABAJO!$L$5:$L$48,MATCH($A26,2b_POST_TRABAJO!$A$5:$A$48,0))),"")</f>
        <v>4</v>
      </c>
      <c r="AJ26" s="19" t="n">
        <f aca="false">IFERROR(IF(INDEX(2b_POST_TRABAJO!$M$5:$M$48,MATCH($A26,2b_POST_TRABAJO!$A$5:$A$48,0))="","",INDEX(2b_POST_TRABAJO!$M$5:$M$48,MATCH($A26,2b_POST_TRABAJO!$A$5:$A$48,0))),"")</f>
        <v>2</v>
      </c>
      <c r="AK26" s="19" t="n">
        <f aca="false">IFERROR(IF(INDEX(2b_POST_TRABAJO!$N$5:$N$48,MATCH($A26,2b_POST_TRABAJO!$A$5:$A$48,0))="","",INDEX(2b_POST_TRABAJO!$N$5:$N$48,MATCH($A26,2b_POST_TRABAJO!$A$5:$A$48,0))),"")</f>
        <v>4</v>
      </c>
      <c r="AL26" s="19" t="n">
        <f aca="false">IFERROR(IF(INDEX(2b_POST_TRABAJO!$O$5:$O$48,MATCH($A26,2b_POST_TRABAJO!$A$5:$A$48,0))="","",INDEX(2b_POST_TRABAJO!$O$5:$O$48,MATCH($A26,2b_POST_TRABAJO!$A$5:$A$48,0))),"")</f>
        <v>3</v>
      </c>
      <c r="AM26" s="19" t="n">
        <f aca="false">IFERROR(IF(INDEX(2b_POST_TRABAJO!$P$5:$P$48,MATCH($A26,2b_POST_TRABAJO!$A$5:$A$48,0))="","",INDEX(2b_POST_TRABAJO!$P$5:$P$48,MATCH($A26,2b_POST_TRABAJO!$A$5:$A$48,0))),"")</f>
        <v>4</v>
      </c>
      <c r="AN26" s="19" t="n">
        <f aca="false">IF(IFERROR(IF(INDEX(2b_POST_TRABAJO!$Q$5:$Q$48,MATCH($A26,2b_POST_TRABAJO!$A$5:$A$48,0))="","",INDEX(2b_POST_TRABAJO!$Q$5:$Q$48,MATCH($A26,2b_POST_TRABAJO!$A$5:$A$48,0))),"")="","",IFERROR(6-IFERROR(IF(INDEX(2b_POST_TRABAJO!$Q$5:$Q$48,MATCH($A26,2b_POST_TRABAJO!$A$5:$A$48,0))="","",INDEX(2b_POST_TRABAJO!$Q$5:$Q$48,MATCH($A26,2b_POST_TRABAJO!$A$5:$A$48,0))),""),"REVISAR"))</f>
        <v>4</v>
      </c>
      <c r="AO26" s="19" t="n">
        <f aca="false">IFERROR(IF(INDEX(2b_POST_TRABAJO!$R$5:$R$48,MATCH($A26,2b_POST_TRABAJO!$A$5:$A$48,0))="","",INDEX(2b_POST_TRABAJO!$R$5:$R$48,MATCH($A26,2b_POST_TRABAJO!$A$5:$A$48,0))),"")</f>
        <v>2</v>
      </c>
      <c r="AP26" s="19" t="n">
        <f aca="false">IFERROR(IF(INDEX(2b_POST_TRABAJO!$S$5:$S$48,MATCH($A26,2b_POST_TRABAJO!$A$5:$A$48,0))="","",INDEX(2b_POST_TRABAJO!$S$5:$S$48,MATCH($A26,2b_POST_TRABAJO!$A$5:$A$48,0))),"")</f>
        <v>3</v>
      </c>
      <c r="AQ26" s="19" t="n">
        <f aca="false">IFERROR(IF(INDEX(2b_POST_TRABAJO!$T$5:$T$48,MATCH($A26,2b_POST_TRABAJO!$A$5:$A$48,0))="","",INDEX(2b_POST_TRABAJO!$T$5:$T$48,MATCH($A26,2b_POST_TRABAJO!$A$5:$A$48,0))),"")</f>
        <v>1</v>
      </c>
      <c r="AR26" s="27" t="n">
        <f aca="false">IF(COUNT(N26:R26)&lt;5,"",IFERROR(ROUND(AVERAGE(N26:R26),2),"REVISAR"))</f>
        <v>2</v>
      </c>
      <c r="AS26" s="27" t="n">
        <f aca="false">IF(COUNT(S26:W26)&lt;5,"",IFERROR(ROUND(AVERAGE(S26:W26),2),"REVISAR"))</f>
        <v>1.8</v>
      </c>
      <c r="AT26" s="27" t="n">
        <f aca="false">IF(COUNT(X26:AB26)&lt;5,"",IFERROR(ROUND(AVERAGE(X26:AB26),2),"REVISAR"))</f>
        <v>1.8</v>
      </c>
      <c r="AU26" s="11" t="n">
        <f aca="false">IF(COUNT(N26:AB26)&lt;15,"",IFERROR(SUM(N26:AB26),"REVISAR"))</f>
        <v>28</v>
      </c>
      <c r="AV26" s="18" t="n">
        <f aca="false">IF(AU26="","",IF(ISNUMBER(AU26),IF(AU26&lt;=35,1,IF(AU26&lt;=55,2,3)),"REVISAR"))</f>
        <v>1</v>
      </c>
      <c r="AW26" s="27" t="n">
        <f aca="false">IF(COUNT(AC26:AG26)&lt;5,"",IFERROR(ROUND(AVERAGE(AC26:AG26),2),"REVISAR"))</f>
        <v>2.8</v>
      </c>
      <c r="AX26" s="27" t="n">
        <f aca="false">IF(COUNT(AH26:AL26)&lt;5,"",IFERROR(ROUND(AVERAGE(AH26:AL26),2),"REVISAR"))</f>
        <v>3.6</v>
      </c>
      <c r="AY26" s="27" t="n">
        <f aca="false">IF(COUNT(AM26:AQ26)&lt;5,"",IFERROR(ROUND(AVERAGE(AM26:AQ26),2),"REVISAR"))</f>
        <v>2.8</v>
      </c>
      <c r="AZ26" s="11" t="n">
        <f aca="false">IF(COUNT(AC26:AQ26)&lt;15,"",IFERROR(SUM(AC26:AQ26),"REVISAR"))</f>
        <v>46</v>
      </c>
      <c r="BA26" s="18" t="n">
        <f aca="false">IF(AZ26="","",IF(ISNUMBER(AZ26),IF(AZ26&lt;=35,1,IF(AZ26&lt;=55,2,3)),"REVISAR"))</f>
        <v>2</v>
      </c>
      <c r="BB26" s="28" t="str">
        <f aca="false">IF(OR(J26="",K26=""),"",IFERROR(ROUND(K26-J26,1),"REVISAR"))</f>
        <v/>
      </c>
      <c r="BC26" s="11" t="n">
        <f aca="false">IF(OR(L26="",M26=""),"",IFERROR(M26-L26,"REVISAR"))</f>
        <v>3</v>
      </c>
      <c r="BD26" s="11" t="n">
        <f aca="false">IF(OR(AU26="",AZ26=""),"",IFERROR(AZ26-AU26,"REVISAR"))</f>
        <v>18</v>
      </c>
      <c r="BE26" s="23"/>
      <c r="BF26" s="21"/>
    </row>
    <row r="27" customFormat="false" ht="15" hidden="false" customHeight="false" outlineLevel="0" collapsed="false">
      <c r="A27" s="17" t="s">
        <v>77</v>
      </c>
      <c r="B27" s="23" t="n">
        <v>1</v>
      </c>
      <c r="C27" s="19" t="n">
        <f aca="false">IFERROR(IF(INDEX(2a_PRE_TRABAJO!$B$5:$B$51,MATCH($A27,2a_PRE_TRABAJO!$A$5:$A$51,0))="","",INDEX(2a_PRE_TRABAJO!$B$5:$B$51,MATCH($A27,2a_PRE_TRABAJO!$A$5:$A$51,0))),"")</f>
        <v>1</v>
      </c>
      <c r="D27" s="19" t="n">
        <f aca="false">IFERROR(IF(INDEX(2a_PRE_TRABAJO!$C$5:$C$51,MATCH($A27,2a_PRE_TRABAJO!$A$5:$A$51,0))="","",INDEX(2a_PRE_TRABAJO!$C$5:$C$51,MATCH($A27,2a_PRE_TRABAJO!$A$5:$A$51,0))),"")</f>
        <v>1</v>
      </c>
      <c r="E27" s="19" t="n">
        <f aca="false">IFERROR(IF(INDEX(2a_PRE_TRABAJO!$D$5:$D$51,MATCH($A27,2a_PRE_TRABAJO!$A$5:$A$51,0))="","",INDEX(2a_PRE_TRABAJO!$D$5:$D$51,MATCH($A27,2a_PRE_TRABAJO!$A$5:$A$51,0))),"")</f>
        <v>41</v>
      </c>
      <c r="F27" s="19" t="n">
        <f aca="false">IFERROR(IF(INDEX(2a_PRE_TRABAJO!$E$5:$E$51,MATCH($A27,2a_PRE_TRABAJO!$A$5:$A$51,0))="","",INDEX(2a_PRE_TRABAJO!$E$5:$E$51,MATCH($A27,2a_PRE_TRABAJO!$A$5:$A$51,0))),"")</f>
        <v>6</v>
      </c>
      <c r="G27" s="19" t="str">
        <f aca="false">IFERROR(IF(INDEX(2a_PRE_TRABAJO!$F$5:$F$51,MATCH($A27,2a_PRE_TRABAJO!$A$5:$A$51,0))="","",INDEX(2a_PRE_TRABAJO!$F$5:$F$51,MATCH($A27,2a_PRE_TRABAJO!$A$5:$A$51,0))),"")</f>
        <v>auxiliar</v>
      </c>
      <c r="H27" s="24" t="n">
        <f aca="false">IFERROR(IF(INDEX(2a_PRE_TRABAJO!$G$5:$G$51,MATCH($A27,2a_PRE_TRABAJO!$A$5:$A$51,0))="","",INDEX(2a_PRE_TRABAJO!$G$5:$G$51,MATCH($A27,2a_PRE_TRABAJO!$A$5:$A$51,0))),"")</f>
        <v>46260</v>
      </c>
      <c r="I27" s="24" t="n">
        <f aca="false">IFERROR(IF(INDEX(2b_POST_TRABAJO!$C$5:$C$48,MATCH($A27,2b_POST_TRABAJO!$A$5:$A$48,0))="","",INDEX(2b_POST_TRABAJO!$C$5:$C$48,MATCH($A27,2b_POST_TRABAJO!$A$5:$A$48,0))),"")</f>
        <v>46309</v>
      </c>
      <c r="J27" s="25" t="n">
        <f aca="false">IFERROR(IF(INDEX(2a_PRE_TRABAJO!$H$5:$H$51,MATCH($A27,2a_PRE_TRABAJO!$A$5:$A$51,0))="","",INDEX(2a_PRE_TRABAJO!$H$5:$H$51,MATCH($A27,2a_PRE_TRABAJO!$A$5:$A$51,0))),"")</f>
        <v>11.8</v>
      </c>
      <c r="K27" s="25" t="n">
        <f aca="false">IFERROR(IF(INDEX(2b_POST_TRABAJO!$D$5:$D$48,MATCH($A27,2b_POST_TRABAJO!$A$5:$A$48,0))="","",INDEX(2b_POST_TRABAJO!$D$5:$D$48,MATCH($A27,2b_POST_TRABAJO!$A$5:$A$48,0))),"")</f>
        <v>4.5</v>
      </c>
      <c r="L27" s="26" t="n">
        <f aca="false">IFERROR(IF(INDEX(2a_PRE_TRABAJO!$I$5:$I$51,MATCH($A27,2a_PRE_TRABAJO!$A$5:$A$51,0))="","",INDEX(2a_PRE_TRABAJO!$I$5:$I$51,MATCH($A27,2a_PRE_TRABAJO!$A$5:$A$51,0))),"")</f>
        <v>67</v>
      </c>
      <c r="M27" s="26" t="n">
        <f aca="false">IFERROR(IF(INDEX(2b_POST_TRABAJO!$E$5:$E$48,MATCH($A27,2b_POST_TRABAJO!$A$5:$A$48,0))="","",INDEX(2b_POST_TRABAJO!$E$5:$E$48,MATCH($A27,2b_POST_TRABAJO!$A$5:$A$48,0))),"")</f>
        <v>88</v>
      </c>
      <c r="N27" s="19" t="n">
        <f aca="false">IFERROR(IF(INDEX(2a_PRE_TRABAJO!$J$5:$J$51,MATCH($A27,2a_PRE_TRABAJO!$A$5:$A$51,0))="","",INDEX(2a_PRE_TRABAJO!$J$5:$J$51,MATCH($A27,2a_PRE_TRABAJO!$A$5:$A$51,0))),"")</f>
        <v>3</v>
      </c>
      <c r="O27" s="19" t="n">
        <f aca="false">IFERROR(IF(INDEX(2a_PRE_TRABAJO!$K$5:$K$51,MATCH($A27,2a_PRE_TRABAJO!$A$5:$A$51,0))="","",INDEX(2a_PRE_TRABAJO!$K$5:$K$51,MATCH($A27,2a_PRE_TRABAJO!$A$5:$A$51,0))),"")</f>
        <v>2</v>
      </c>
      <c r="P27" s="19" t="n">
        <f aca="false">IFERROR(IF(INDEX(2a_PRE_TRABAJO!$L$5:$L$51,MATCH($A27,2a_PRE_TRABAJO!$A$5:$A$51,0))="","",INDEX(2a_PRE_TRABAJO!$L$5:$L$51,MATCH($A27,2a_PRE_TRABAJO!$A$5:$A$51,0))),"")</f>
        <v>2</v>
      </c>
      <c r="Q27" s="19" t="n">
        <f aca="false">IF(IFERROR(IF(INDEX(2a_PRE_TRABAJO!$M$5:$M$51,MATCH($A27,2a_PRE_TRABAJO!$A$5:$A$51,0))="","",INDEX(2a_PRE_TRABAJO!$M$5:$M$51,MATCH($A27,2a_PRE_TRABAJO!$A$5:$A$51,0))),"")="","",IFERROR(6-IFERROR(IF(INDEX(2a_PRE_TRABAJO!$M$5:$M$51,MATCH($A27,2a_PRE_TRABAJO!$A$5:$A$51,0))="","",INDEX(2a_PRE_TRABAJO!$M$5:$M$51,MATCH($A27,2a_PRE_TRABAJO!$A$5:$A$51,0))),""),"REVISAR"))</f>
        <v>2</v>
      </c>
      <c r="R27" s="19" t="n">
        <f aca="false">IFERROR(IF(INDEX(2a_PRE_TRABAJO!$N$5:$N$51,MATCH($A27,2a_PRE_TRABAJO!$A$5:$A$51,0))="","",INDEX(2a_PRE_TRABAJO!$N$5:$N$51,MATCH($A27,2a_PRE_TRABAJO!$A$5:$A$51,0))),"")</f>
        <v>2</v>
      </c>
      <c r="S27" s="19" t="n">
        <f aca="false">IFERROR(IF(INDEX(2a_PRE_TRABAJO!$O$5:$O$51,MATCH($A27,2a_PRE_TRABAJO!$A$5:$A$51,0))="","",INDEX(2a_PRE_TRABAJO!$O$5:$O$51,MATCH($A27,2a_PRE_TRABAJO!$A$5:$A$51,0))),"")</f>
        <v>2</v>
      </c>
      <c r="T27" s="19" t="n">
        <f aca="false">IFERROR(IF(INDEX(2a_PRE_TRABAJO!$P$5:$P$51,MATCH($A27,2a_PRE_TRABAJO!$A$5:$A$51,0))="","",INDEX(2a_PRE_TRABAJO!$P$5:$P$51,MATCH($A27,2a_PRE_TRABAJO!$A$5:$A$51,0))),"")</f>
        <v>2</v>
      </c>
      <c r="U27" s="19" t="n">
        <f aca="false">IFERROR(IF(INDEX(2a_PRE_TRABAJO!$Q$5:$Q$51,MATCH($A27,2a_PRE_TRABAJO!$A$5:$A$51,0))="","",INDEX(2a_PRE_TRABAJO!$Q$5:$Q$51,MATCH($A27,2a_PRE_TRABAJO!$A$5:$A$51,0))),"")</f>
        <v>1</v>
      </c>
      <c r="V27" s="19" t="n">
        <f aca="false">IFERROR(IF(INDEX(2a_PRE_TRABAJO!$R$5:$R$51,MATCH($A27,2a_PRE_TRABAJO!$A$5:$A$51,0))="","",INDEX(2a_PRE_TRABAJO!$R$5:$R$51,MATCH($A27,2a_PRE_TRABAJO!$A$5:$A$51,0))),"")</f>
        <v>2</v>
      </c>
      <c r="W27" s="19" t="n">
        <f aca="false">IFERROR(IF(INDEX(2a_PRE_TRABAJO!$S$5:$S$51,MATCH($A27,2a_PRE_TRABAJO!$A$5:$A$51,0))="","",INDEX(2a_PRE_TRABAJO!$S$5:$S$51,MATCH($A27,2a_PRE_TRABAJO!$A$5:$A$51,0))),"")</f>
        <v>3</v>
      </c>
      <c r="X27" s="19" t="n">
        <f aca="false">IFERROR(IF(INDEX(2a_PRE_TRABAJO!$T$5:$T$51,MATCH($A27,2a_PRE_TRABAJO!$A$5:$A$51,0))="","",INDEX(2a_PRE_TRABAJO!$T$5:$T$51,MATCH($A27,2a_PRE_TRABAJO!$A$5:$A$51,0))),"")</f>
        <v>2</v>
      </c>
      <c r="Y27" s="19" t="n">
        <f aca="false">IF(IFERROR(IF(INDEX(2a_PRE_TRABAJO!$U$5:$U$51,MATCH($A27,2a_PRE_TRABAJO!$A$5:$A$51,0))="","",INDEX(2a_PRE_TRABAJO!$U$5:$U$51,MATCH($A27,2a_PRE_TRABAJO!$A$5:$A$51,0))),"")="","",IFERROR(6-IFERROR(IF(INDEX(2a_PRE_TRABAJO!$U$5:$U$51,MATCH($A27,2a_PRE_TRABAJO!$A$5:$A$51,0))="","",INDEX(2a_PRE_TRABAJO!$U$5:$U$51,MATCH($A27,2a_PRE_TRABAJO!$A$5:$A$51,0))),""),"REVISAR"))</f>
        <v>3</v>
      </c>
      <c r="Z27" s="19" t="n">
        <f aca="false">IFERROR(IF(INDEX(2a_PRE_TRABAJO!$V$5:$V$51,MATCH($A27,2a_PRE_TRABAJO!$A$5:$A$51,0))="","",INDEX(2a_PRE_TRABAJO!$V$5:$V$51,MATCH($A27,2a_PRE_TRABAJO!$A$5:$A$51,0))),"")</f>
        <v>2</v>
      </c>
      <c r="AA27" s="19" t="n">
        <f aca="false">IFERROR(IF(INDEX(2a_PRE_TRABAJO!$W$5:$W$51,MATCH($A27,2a_PRE_TRABAJO!$A$5:$A$51,0))="","",INDEX(2a_PRE_TRABAJO!$W$5:$W$51,MATCH($A27,2a_PRE_TRABAJO!$A$5:$A$51,0))),"")</f>
        <v>2</v>
      </c>
      <c r="AB27" s="19" t="n">
        <f aca="false">IFERROR(IF(INDEX(2a_PRE_TRABAJO!$X$5:$X$51,MATCH($A27,2a_PRE_TRABAJO!$A$5:$A$51,0))="","",INDEX(2a_PRE_TRABAJO!$X$5:$X$51,MATCH($A27,2a_PRE_TRABAJO!$A$5:$A$51,0))),"")</f>
        <v>2</v>
      </c>
      <c r="AC27" s="19" t="n">
        <f aca="false">IFERROR(IF(INDEX(2b_POST_TRABAJO!$F$5:$F$48,MATCH($A27,2b_POST_TRABAJO!$A$5:$A$48,0))="","",INDEX(2b_POST_TRABAJO!$F$5:$F$48,MATCH($A27,2b_POST_TRABAJO!$A$5:$A$48,0))),"")</f>
        <v>3</v>
      </c>
      <c r="AD27" s="19" t="n">
        <f aca="false">IFERROR(IF(INDEX(2b_POST_TRABAJO!$G$5:$G$48,MATCH($A27,2b_POST_TRABAJO!$A$5:$A$48,0))="","",INDEX(2b_POST_TRABAJO!$G$5:$G$48,MATCH($A27,2b_POST_TRABAJO!$A$5:$A$48,0))),"")</f>
        <v>4</v>
      </c>
      <c r="AE27" s="19" t="n">
        <f aca="false">IFERROR(IF(INDEX(2b_POST_TRABAJO!$H$5:$H$48,MATCH($A27,2b_POST_TRABAJO!$A$5:$A$48,0))="","",INDEX(2b_POST_TRABAJO!$H$5:$H$48,MATCH($A27,2b_POST_TRABAJO!$A$5:$A$48,0))),"")</f>
        <v>3</v>
      </c>
      <c r="AF27" s="19" t="n">
        <f aca="false">IF(IFERROR(IF(INDEX(2b_POST_TRABAJO!$I$5:$I$48,MATCH($A27,2b_POST_TRABAJO!$A$5:$A$48,0))="","",INDEX(2b_POST_TRABAJO!$I$5:$I$48,MATCH($A27,2b_POST_TRABAJO!$A$5:$A$48,0))),"")="","",IFERROR(6-IFERROR(IF(INDEX(2b_POST_TRABAJO!$I$5:$I$48,MATCH($A27,2b_POST_TRABAJO!$A$5:$A$48,0))="","",INDEX(2b_POST_TRABAJO!$I$5:$I$48,MATCH($A27,2b_POST_TRABAJO!$A$5:$A$48,0))),""),"REVISAR"))</f>
        <v>4</v>
      </c>
      <c r="AG27" s="19" t="n">
        <f aca="false">IFERROR(IF(INDEX(2b_POST_TRABAJO!$J$5:$J$48,MATCH($A27,2b_POST_TRABAJO!$A$5:$A$48,0))="","",INDEX(2b_POST_TRABAJO!$J$5:$J$48,MATCH($A27,2b_POST_TRABAJO!$A$5:$A$48,0))),"")</f>
        <v>4</v>
      </c>
      <c r="AH27" s="19" t="n">
        <f aca="false">IFERROR(IF(INDEX(2b_POST_TRABAJO!$K$5:$K$48,MATCH($A27,2b_POST_TRABAJO!$A$5:$A$48,0))="","",INDEX(2b_POST_TRABAJO!$K$5:$K$48,MATCH($A27,2b_POST_TRABAJO!$A$5:$A$48,0))),"")</f>
        <v>4</v>
      </c>
      <c r="AI27" s="19" t="n">
        <f aca="false">IFERROR(IF(INDEX(2b_POST_TRABAJO!$L$5:$L$48,MATCH($A27,2b_POST_TRABAJO!$A$5:$A$48,0))="","",INDEX(2b_POST_TRABAJO!$L$5:$L$48,MATCH($A27,2b_POST_TRABAJO!$A$5:$A$48,0))),"")</f>
        <v>2</v>
      </c>
      <c r="AJ27" s="19" t="n">
        <f aca="false">IFERROR(IF(INDEX(2b_POST_TRABAJO!$M$5:$M$48,MATCH($A27,2b_POST_TRABAJO!$A$5:$A$48,0))="","",INDEX(2b_POST_TRABAJO!$M$5:$M$48,MATCH($A27,2b_POST_TRABAJO!$A$5:$A$48,0))),"")</f>
        <v>4</v>
      </c>
      <c r="AK27" s="19" t="n">
        <f aca="false">IFERROR(IF(INDEX(2b_POST_TRABAJO!$N$5:$N$48,MATCH($A27,2b_POST_TRABAJO!$A$5:$A$48,0))="","",INDEX(2b_POST_TRABAJO!$N$5:$N$48,MATCH($A27,2b_POST_TRABAJO!$A$5:$A$48,0))),"")</f>
        <v>4</v>
      </c>
      <c r="AL27" s="19" t="n">
        <f aca="false">IFERROR(IF(INDEX(2b_POST_TRABAJO!$O$5:$O$48,MATCH($A27,2b_POST_TRABAJO!$A$5:$A$48,0))="","",INDEX(2b_POST_TRABAJO!$O$5:$O$48,MATCH($A27,2b_POST_TRABAJO!$A$5:$A$48,0))),"")</f>
        <v>5</v>
      </c>
      <c r="AM27" s="19" t="n">
        <f aca="false">IFERROR(IF(INDEX(2b_POST_TRABAJO!$P$5:$P$48,MATCH($A27,2b_POST_TRABAJO!$A$5:$A$48,0))="","",INDEX(2b_POST_TRABAJO!$P$5:$P$48,MATCH($A27,2b_POST_TRABAJO!$A$5:$A$48,0))),"")</f>
        <v>4</v>
      </c>
      <c r="AN27" s="19" t="n">
        <f aca="false">IF(IFERROR(IF(INDEX(2b_POST_TRABAJO!$Q$5:$Q$48,MATCH($A27,2b_POST_TRABAJO!$A$5:$A$48,0))="","",INDEX(2b_POST_TRABAJO!$Q$5:$Q$48,MATCH($A27,2b_POST_TRABAJO!$A$5:$A$48,0))),"")="","",IFERROR(6-IFERROR(IF(INDEX(2b_POST_TRABAJO!$Q$5:$Q$48,MATCH($A27,2b_POST_TRABAJO!$A$5:$A$48,0))="","",INDEX(2b_POST_TRABAJO!$Q$5:$Q$48,MATCH($A27,2b_POST_TRABAJO!$A$5:$A$48,0))),""),"REVISAR"))</f>
        <v>3</v>
      </c>
      <c r="AO27" s="19" t="n">
        <f aca="false">IFERROR(IF(INDEX(2b_POST_TRABAJO!$R$5:$R$48,MATCH($A27,2b_POST_TRABAJO!$A$5:$A$48,0))="","",INDEX(2b_POST_TRABAJO!$R$5:$R$48,MATCH($A27,2b_POST_TRABAJO!$A$5:$A$48,0))),"")</f>
        <v>3</v>
      </c>
      <c r="AP27" s="19" t="n">
        <f aca="false">IFERROR(IF(INDEX(2b_POST_TRABAJO!$S$5:$S$48,MATCH($A27,2b_POST_TRABAJO!$A$5:$A$48,0))="","",INDEX(2b_POST_TRABAJO!$S$5:$S$48,MATCH($A27,2b_POST_TRABAJO!$A$5:$A$48,0))),"")</f>
        <v>4</v>
      </c>
      <c r="AQ27" s="19" t="n">
        <f aca="false">IFERROR(IF(INDEX(2b_POST_TRABAJO!$T$5:$T$48,MATCH($A27,2b_POST_TRABAJO!$A$5:$A$48,0))="","",INDEX(2b_POST_TRABAJO!$T$5:$T$48,MATCH($A27,2b_POST_TRABAJO!$A$5:$A$48,0))),"")</f>
        <v>4</v>
      </c>
      <c r="AR27" s="27" t="n">
        <f aca="false">IF(COUNT(N27:R27)&lt;5,"",IFERROR(ROUND(AVERAGE(N27:R27),2),"REVISAR"))</f>
        <v>2.2</v>
      </c>
      <c r="AS27" s="27" t="n">
        <f aca="false">IF(COUNT(S27:W27)&lt;5,"",IFERROR(ROUND(AVERAGE(S27:W27),2),"REVISAR"))</f>
        <v>2</v>
      </c>
      <c r="AT27" s="27" t="n">
        <f aca="false">IF(COUNT(X27:AB27)&lt;5,"",IFERROR(ROUND(AVERAGE(X27:AB27),2),"REVISAR"))</f>
        <v>2.2</v>
      </c>
      <c r="AU27" s="11" t="n">
        <f aca="false">IF(COUNT(N27:AB27)&lt;15,"",IFERROR(SUM(N27:AB27),"REVISAR"))</f>
        <v>32</v>
      </c>
      <c r="AV27" s="18" t="n">
        <f aca="false">IF(AU27="","",IF(ISNUMBER(AU27),IF(AU27&lt;=35,1,IF(AU27&lt;=55,2,3)),"REVISAR"))</f>
        <v>1</v>
      </c>
      <c r="AW27" s="27" t="n">
        <f aca="false">IF(COUNT(AC27:AG27)&lt;5,"",IFERROR(ROUND(AVERAGE(AC27:AG27),2),"REVISAR"))</f>
        <v>3.6</v>
      </c>
      <c r="AX27" s="27" t="n">
        <f aca="false">IF(COUNT(AH27:AL27)&lt;5,"",IFERROR(ROUND(AVERAGE(AH27:AL27),2),"REVISAR"))</f>
        <v>3.8</v>
      </c>
      <c r="AY27" s="27" t="n">
        <f aca="false">IF(COUNT(AM27:AQ27)&lt;5,"",IFERROR(ROUND(AVERAGE(AM27:AQ27),2),"REVISAR"))</f>
        <v>3.6</v>
      </c>
      <c r="AZ27" s="11" t="n">
        <f aca="false">IF(COUNT(AC27:AQ27)&lt;15,"",IFERROR(SUM(AC27:AQ27),"REVISAR"))</f>
        <v>55</v>
      </c>
      <c r="BA27" s="18" t="n">
        <f aca="false">IF(AZ27="","",IF(ISNUMBER(AZ27),IF(AZ27&lt;=35,1,IF(AZ27&lt;=55,2,3)),"REVISAR"))</f>
        <v>2</v>
      </c>
      <c r="BB27" s="28" t="n">
        <f aca="false">IF(OR(J27="",K27=""),"",IFERROR(ROUND(K27-J27,1),"REVISAR"))</f>
        <v>-7.3</v>
      </c>
      <c r="BC27" s="11" t="n">
        <f aca="false">IF(OR(L27="",M27=""),"",IFERROR(M27-L27,"REVISAR"))</f>
        <v>21</v>
      </c>
      <c r="BD27" s="11" t="n">
        <f aca="false">IF(OR(AU27="",AZ27=""),"",IFERROR(AZ27-AU27,"REVISAR"))</f>
        <v>23</v>
      </c>
      <c r="BE27" s="23"/>
      <c r="BF27" s="21"/>
    </row>
    <row r="28" customFormat="false" ht="15" hidden="false" customHeight="false" outlineLevel="0" collapsed="false">
      <c r="A28" s="17" t="s">
        <v>78</v>
      </c>
      <c r="B28" s="23" t="n">
        <v>1</v>
      </c>
      <c r="C28" s="19" t="n">
        <f aca="false">IFERROR(IF(INDEX(2a_PRE_TRABAJO!$B$5:$B$51,MATCH($A28,2a_PRE_TRABAJO!$A$5:$A$51,0))="","",INDEX(2a_PRE_TRABAJO!$B$5:$B$51,MATCH($A28,2a_PRE_TRABAJO!$A$5:$A$51,0))),"")</f>
        <v>1</v>
      </c>
      <c r="D28" s="19" t="n">
        <f aca="false">IFERROR(IF(INDEX(2a_PRE_TRABAJO!$C$5:$C$51,MATCH($A28,2a_PRE_TRABAJO!$A$5:$A$51,0))="","",INDEX(2a_PRE_TRABAJO!$C$5:$C$51,MATCH($A28,2a_PRE_TRABAJO!$A$5:$A$51,0))),"")</f>
        <v>1</v>
      </c>
      <c r="E28" s="19" t="n">
        <f aca="false">IFERROR(IF(INDEX(2a_PRE_TRABAJO!$D$5:$D$51,MATCH($A28,2a_PRE_TRABAJO!$A$5:$A$51,0))="","",INDEX(2a_PRE_TRABAJO!$D$5:$D$51,MATCH($A28,2a_PRE_TRABAJO!$A$5:$A$51,0))),"")</f>
        <v>32</v>
      </c>
      <c r="F28" s="19" t="n">
        <f aca="false">IFERROR(IF(INDEX(2a_PRE_TRABAJO!$E$5:$E$51,MATCH($A28,2a_PRE_TRABAJO!$A$5:$A$51,0))="","",INDEX(2a_PRE_TRABAJO!$E$5:$E$51,MATCH($A28,2a_PRE_TRABAJO!$A$5:$A$51,0))),"")</f>
        <v>10</v>
      </c>
      <c r="G28" s="19" t="str">
        <f aca="false">IFERROR(IF(INDEX(2a_PRE_TRABAJO!$F$5:$F$51,MATCH($A28,2a_PRE_TRABAJO!$A$5:$A$51,0))="","",INDEX(2a_PRE_TRABAJO!$F$5:$F$51,MATCH($A28,2a_PRE_TRABAJO!$A$5:$A$51,0))),"")</f>
        <v>auxiliar</v>
      </c>
      <c r="H28" s="24" t="n">
        <f aca="false">IFERROR(IF(INDEX(2a_PRE_TRABAJO!$G$5:$G$51,MATCH($A28,2a_PRE_TRABAJO!$A$5:$A$51,0))="","",INDEX(2a_PRE_TRABAJO!$G$5:$G$51,MATCH($A28,2a_PRE_TRABAJO!$A$5:$A$51,0))),"")</f>
        <v>46261</v>
      </c>
      <c r="I28" s="24" t="n">
        <f aca="false">IFERROR(IF(INDEX(2b_POST_TRABAJO!$C$5:$C$48,MATCH($A28,2b_POST_TRABAJO!$A$5:$A$48,0))="","",INDEX(2b_POST_TRABAJO!$C$5:$C$48,MATCH($A28,2b_POST_TRABAJO!$A$5:$A$48,0))),"")</f>
        <v>46310</v>
      </c>
      <c r="J28" s="25" t="n">
        <f aca="false">IFERROR(IF(INDEX(2a_PRE_TRABAJO!$H$5:$H$51,MATCH($A28,2a_PRE_TRABAJO!$A$5:$A$51,0))="","",INDEX(2a_PRE_TRABAJO!$H$5:$H$51,MATCH($A28,2a_PRE_TRABAJO!$A$5:$A$51,0))),"")</f>
        <v>17.4</v>
      </c>
      <c r="K28" s="25" t="n">
        <f aca="false">IFERROR(IF(INDEX(2b_POST_TRABAJO!$D$5:$D$48,MATCH($A28,2b_POST_TRABAJO!$A$5:$A$48,0))="","",INDEX(2b_POST_TRABAJO!$D$5:$D$48,MATCH($A28,2b_POST_TRABAJO!$A$5:$A$48,0))),"")</f>
        <v>9.5</v>
      </c>
      <c r="L28" s="26" t="n">
        <f aca="false">IFERROR(IF(INDEX(2a_PRE_TRABAJO!$I$5:$I$51,MATCH($A28,2a_PRE_TRABAJO!$A$5:$A$51,0))="","",INDEX(2a_PRE_TRABAJO!$I$5:$I$51,MATCH($A28,2a_PRE_TRABAJO!$A$5:$A$51,0))),"")</f>
        <v>61</v>
      </c>
      <c r="M28" s="26" t="n">
        <f aca="false">IFERROR(IF(INDEX(2b_POST_TRABAJO!$E$5:$E$48,MATCH($A28,2b_POST_TRABAJO!$A$5:$A$48,0))="","",INDEX(2b_POST_TRABAJO!$E$5:$E$48,MATCH($A28,2b_POST_TRABAJO!$A$5:$A$48,0))),"")</f>
        <v>73</v>
      </c>
      <c r="N28" s="19" t="n">
        <f aca="false">IFERROR(IF(INDEX(2a_PRE_TRABAJO!$J$5:$J$51,MATCH($A28,2a_PRE_TRABAJO!$A$5:$A$51,0))="","",INDEX(2a_PRE_TRABAJO!$J$5:$J$51,MATCH($A28,2a_PRE_TRABAJO!$A$5:$A$51,0))),"")</f>
        <v>4</v>
      </c>
      <c r="O28" s="19" t="n">
        <f aca="false">IFERROR(IF(INDEX(2a_PRE_TRABAJO!$K$5:$K$51,MATCH($A28,2a_PRE_TRABAJO!$A$5:$A$51,0))="","",INDEX(2a_PRE_TRABAJO!$K$5:$K$51,MATCH($A28,2a_PRE_TRABAJO!$A$5:$A$51,0))),"")</f>
        <v>4</v>
      </c>
      <c r="P28" s="19" t="n">
        <f aca="false">IFERROR(IF(INDEX(2a_PRE_TRABAJO!$L$5:$L$51,MATCH($A28,2a_PRE_TRABAJO!$A$5:$A$51,0))="","",INDEX(2a_PRE_TRABAJO!$L$5:$L$51,MATCH($A28,2a_PRE_TRABAJO!$A$5:$A$51,0))),"")</f>
        <v>1</v>
      </c>
      <c r="Q28" s="19" t="n">
        <f aca="false">IF(IFERROR(IF(INDEX(2a_PRE_TRABAJO!$M$5:$M$51,MATCH($A28,2a_PRE_TRABAJO!$A$5:$A$51,0))="","",INDEX(2a_PRE_TRABAJO!$M$5:$M$51,MATCH($A28,2a_PRE_TRABAJO!$A$5:$A$51,0))),"")="","",IFERROR(6-IFERROR(IF(INDEX(2a_PRE_TRABAJO!$M$5:$M$51,MATCH($A28,2a_PRE_TRABAJO!$A$5:$A$51,0))="","",INDEX(2a_PRE_TRABAJO!$M$5:$M$51,MATCH($A28,2a_PRE_TRABAJO!$A$5:$A$51,0))),""),"REVISAR"))</f>
        <v>4</v>
      </c>
      <c r="R28" s="19" t="n">
        <f aca="false">IFERROR(IF(INDEX(2a_PRE_TRABAJO!$N$5:$N$51,MATCH($A28,2a_PRE_TRABAJO!$A$5:$A$51,0))="","",INDEX(2a_PRE_TRABAJO!$N$5:$N$51,MATCH($A28,2a_PRE_TRABAJO!$A$5:$A$51,0))),"")</f>
        <v>2</v>
      </c>
      <c r="S28" s="19" t="n">
        <f aca="false">IFERROR(IF(INDEX(2a_PRE_TRABAJO!$O$5:$O$51,MATCH($A28,2a_PRE_TRABAJO!$A$5:$A$51,0))="","",INDEX(2a_PRE_TRABAJO!$O$5:$O$51,MATCH($A28,2a_PRE_TRABAJO!$A$5:$A$51,0))),"")</f>
        <v>3</v>
      </c>
      <c r="T28" s="19" t="n">
        <f aca="false">IFERROR(IF(INDEX(2a_PRE_TRABAJO!$P$5:$P$51,MATCH($A28,2a_PRE_TRABAJO!$A$5:$A$51,0))="","",INDEX(2a_PRE_TRABAJO!$P$5:$P$51,MATCH($A28,2a_PRE_TRABAJO!$A$5:$A$51,0))),"")</f>
        <v>3</v>
      </c>
      <c r="U28" s="19" t="n">
        <f aca="false">IFERROR(IF(INDEX(2a_PRE_TRABAJO!$Q$5:$Q$51,MATCH($A28,2a_PRE_TRABAJO!$A$5:$A$51,0))="","",INDEX(2a_PRE_TRABAJO!$Q$5:$Q$51,MATCH($A28,2a_PRE_TRABAJO!$A$5:$A$51,0))),"")</f>
        <v>3</v>
      </c>
      <c r="V28" s="19" t="n">
        <f aca="false">IFERROR(IF(INDEX(2a_PRE_TRABAJO!$R$5:$R$51,MATCH($A28,2a_PRE_TRABAJO!$A$5:$A$51,0))="","",INDEX(2a_PRE_TRABAJO!$R$5:$R$51,MATCH($A28,2a_PRE_TRABAJO!$A$5:$A$51,0))),"")</f>
        <v>5</v>
      </c>
      <c r="W28" s="19" t="n">
        <f aca="false">IFERROR(IF(INDEX(2a_PRE_TRABAJO!$S$5:$S$51,MATCH($A28,2a_PRE_TRABAJO!$A$5:$A$51,0))="","",INDEX(2a_PRE_TRABAJO!$S$5:$S$51,MATCH($A28,2a_PRE_TRABAJO!$A$5:$A$51,0))),"")</f>
        <v>2</v>
      </c>
      <c r="X28" s="19" t="n">
        <f aca="false">IFERROR(IF(INDEX(2a_PRE_TRABAJO!$T$5:$T$51,MATCH($A28,2a_PRE_TRABAJO!$A$5:$A$51,0))="","",INDEX(2a_PRE_TRABAJO!$T$5:$T$51,MATCH($A28,2a_PRE_TRABAJO!$A$5:$A$51,0))),"")</f>
        <v>4</v>
      </c>
      <c r="Y28" s="19" t="n">
        <f aca="false">IF(IFERROR(IF(INDEX(2a_PRE_TRABAJO!$U$5:$U$51,MATCH($A28,2a_PRE_TRABAJO!$A$5:$A$51,0))="","",INDEX(2a_PRE_TRABAJO!$U$5:$U$51,MATCH($A28,2a_PRE_TRABAJO!$A$5:$A$51,0))),"")="","",IFERROR(6-IFERROR(IF(INDEX(2a_PRE_TRABAJO!$U$5:$U$51,MATCH($A28,2a_PRE_TRABAJO!$A$5:$A$51,0))="","",INDEX(2a_PRE_TRABAJO!$U$5:$U$51,MATCH($A28,2a_PRE_TRABAJO!$A$5:$A$51,0))),""),"REVISAR"))</f>
        <v>2</v>
      </c>
      <c r="Z28" s="19" t="n">
        <f aca="false">IFERROR(IF(INDEX(2a_PRE_TRABAJO!$V$5:$V$51,MATCH($A28,2a_PRE_TRABAJO!$A$5:$A$51,0))="","",INDEX(2a_PRE_TRABAJO!$V$5:$V$51,MATCH($A28,2a_PRE_TRABAJO!$A$5:$A$51,0))),"")</f>
        <v>2</v>
      </c>
      <c r="AA28" s="19" t="n">
        <f aca="false">IFERROR(IF(INDEX(2a_PRE_TRABAJO!$W$5:$W$51,MATCH($A28,2a_PRE_TRABAJO!$A$5:$A$51,0))="","",INDEX(2a_PRE_TRABAJO!$W$5:$W$51,MATCH($A28,2a_PRE_TRABAJO!$A$5:$A$51,0))),"")</f>
        <v>2</v>
      </c>
      <c r="AB28" s="19" t="n">
        <f aca="false">IFERROR(IF(INDEX(2a_PRE_TRABAJO!$X$5:$X$51,MATCH($A28,2a_PRE_TRABAJO!$A$5:$A$51,0))="","",INDEX(2a_PRE_TRABAJO!$X$5:$X$51,MATCH($A28,2a_PRE_TRABAJO!$A$5:$A$51,0))),"")</f>
        <v>2</v>
      </c>
      <c r="AC28" s="19" t="n">
        <f aca="false">IFERROR(IF(INDEX(2b_POST_TRABAJO!$F$5:$F$48,MATCH($A28,2b_POST_TRABAJO!$A$5:$A$48,0))="","",INDEX(2b_POST_TRABAJO!$F$5:$F$48,MATCH($A28,2b_POST_TRABAJO!$A$5:$A$48,0))),"")</f>
        <v>5</v>
      </c>
      <c r="AD28" s="19" t="n">
        <f aca="false">IFERROR(IF(INDEX(2b_POST_TRABAJO!$G$5:$G$48,MATCH($A28,2b_POST_TRABAJO!$A$5:$A$48,0))="","",INDEX(2b_POST_TRABAJO!$G$5:$G$48,MATCH($A28,2b_POST_TRABAJO!$A$5:$A$48,0))),"")</f>
        <v>4</v>
      </c>
      <c r="AE28" s="19" t="n">
        <f aca="false">IFERROR(IF(INDEX(2b_POST_TRABAJO!$H$5:$H$48,MATCH($A28,2b_POST_TRABAJO!$A$5:$A$48,0))="","",INDEX(2b_POST_TRABAJO!$H$5:$H$48,MATCH($A28,2b_POST_TRABAJO!$A$5:$A$48,0))),"")</f>
        <v>4</v>
      </c>
      <c r="AF28" s="19" t="n">
        <f aca="false">IF(IFERROR(IF(INDEX(2b_POST_TRABAJO!$I$5:$I$48,MATCH($A28,2b_POST_TRABAJO!$A$5:$A$48,0))="","",INDEX(2b_POST_TRABAJO!$I$5:$I$48,MATCH($A28,2b_POST_TRABAJO!$A$5:$A$48,0))),"")="","",IFERROR(6-IFERROR(IF(INDEX(2b_POST_TRABAJO!$I$5:$I$48,MATCH($A28,2b_POST_TRABAJO!$A$5:$A$48,0))="","",INDEX(2b_POST_TRABAJO!$I$5:$I$48,MATCH($A28,2b_POST_TRABAJO!$A$5:$A$48,0))),""),"REVISAR"))</f>
        <v>4</v>
      </c>
      <c r="AG28" s="19" t="n">
        <f aca="false">IFERROR(IF(INDEX(2b_POST_TRABAJO!$J$5:$J$48,MATCH($A28,2b_POST_TRABAJO!$A$5:$A$48,0))="","",INDEX(2b_POST_TRABAJO!$J$5:$J$48,MATCH($A28,2b_POST_TRABAJO!$A$5:$A$48,0))),"")</f>
        <v>4</v>
      </c>
      <c r="AH28" s="19" t="n">
        <f aca="false">IFERROR(IF(INDEX(2b_POST_TRABAJO!$K$5:$K$48,MATCH($A28,2b_POST_TRABAJO!$A$5:$A$48,0))="","",INDEX(2b_POST_TRABAJO!$K$5:$K$48,MATCH($A28,2b_POST_TRABAJO!$A$5:$A$48,0))),"")</f>
        <v>5</v>
      </c>
      <c r="AI28" s="19" t="n">
        <f aca="false">IFERROR(IF(INDEX(2b_POST_TRABAJO!$L$5:$L$48,MATCH($A28,2b_POST_TRABAJO!$A$5:$A$48,0))="","",INDEX(2b_POST_TRABAJO!$L$5:$L$48,MATCH($A28,2b_POST_TRABAJO!$A$5:$A$48,0))),"")</f>
        <v>5</v>
      </c>
      <c r="AJ28" s="19" t="n">
        <f aca="false">IFERROR(IF(INDEX(2b_POST_TRABAJO!$M$5:$M$48,MATCH($A28,2b_POST_TRABAJO!$A$5:$A$48,0))="","",INDEX(2b_POST_TRABAJO!$M$5:$M$48,MATCH($A28,2b_POST_TRABAJO!$A$5:$A$48,0))),"")</f>
        <v>4</v>
      </c>
      <c r="AK28" s="19" t="n">
        <f aca="false">IFERROR(IF(INDEX(2b_POST_TRABAJO!$N$5:$N$48,MATCH($A28,2b_POST_TRABAJO!$A$5:$A$48,0))="","",INDEX(2b_POST_TRABAJO!$N$5:$N$48,MATCH($A28,2b_POST_TRABAJO!$A$5:$A$48,0))),"")</f>
        <v>5</v>
      </c>
      <c r="AL28" s="19" t="n">
        <f aca="false">IFERROR(IF(INDEX(2b_POST_TRABAJO!$O$5:$O$48,MATCH($A28,2b_POST_TRABAJO!$A$5:$A$48,0))="","",INDEX(2b_POST_TRABAJO!$O$5:$O$48,MATCH($A28,2b_POST_TRABAJO!$A$5:$A$48,0))),"")</f>
        <v>3</v>
      </c>
      <c r="AM28" s="19" t="n">
        <f aca="false">IFERROR(IF(INDEX(2b_POST_TRABAJO!$P$5:$P$48,MATCH($A28,2b_POST_TRABAJO!$A$5:$A$48,0))="","",INDEX(2b_POST_TRABAJO!$P$5:$P$48,MATCH($A28,2b_POST_TRABAJO!$A$5:$A$48,0))),"")</f>
        <v>4</v>
      </c>
      <c r="AN28" s="19" t="n">
        <f aca="false">IF(IFERROR(IF(INDEX(2b_POST_TRABAJO!$Q$5:$Q$48,MATCH($A28,2b_POST_TRABAJO!$A$5:$A$48,0))="","",INDEX(2b_POST_TRABAJO!$Q$5:$Q$48,MATCH($A28,2b_POST_TRABAJO!$A$5:$A$48,0))),"")="","",IFERROR(6-IFERROR(IF(INDEX(2b_POST_TRABAJO!$Q$5:$Q$48,MATCH($A28,2b_POST_TRABAJO!$A$5:$A$48,0))="","",INDEX(2b_POST_TRABAJO!$Q$5:$Q$48,MATCH($A28,2b_POST_TRABAJO!$A$5:$A$48,0))),""),"REVISAR"))</f>
        <v>4</v>
      </c>
      <c r="AO28" s="19" t="n">
        <f aca="false">IFERROR(IF(INDEX(2b_POST_TRABAJO!$R$5:$R$48,MATCH($A28,2b_POST_TRABAJO!$A$5:$A$48,0))="","",INDEX(2b_POST_TRABAJO!$R$5:$R$48,MATCH($A28,2b_POST_TRABAJO!$A$5:$A$48,0))),"")</f>
        <v>4</v>
      </c>
      <c r="AP28" s="19" t="n">
        <f aca="false">IFERROR(IF(INDEX(2b_POST_TRABAJO!$S$5:$S$48,MATCH($A28,2b_POST_TRABAJO!$A$5:$A$48,0))="","",INDEX(2b_POST_TRABAJO!$S$5:$S$48,MATCH($A28,2b_POST_TRABAJO!$A$5:$A$48,0))),"")</f>
        <v>3</v>
      </c>
      <c r="AQ28" s="19" t="n">
        <f aca="false">IFERROR(IF(INDEX(2b_POST_TRABAJO!$T$5:$T$48,MATCH($A28,2b_POST_TRABAJO!$A$5:$A$48,0))="","",INDEX(2b_POST_TRABAJO!$T$5:$T$48,MATCH($A28,2b_POST_TRABAJO!$A$5:$A$48,0))),"")</f>
        <v>5</v>
      </c>
      <c r="AR28" s="27" t="n">
        <f aca="false">IF(COUNT(N28:R28)&lt;5,"",IFERROR(ROUND(AVERAGE(N28:R28),2),"REVISAR"))</f>
        <v>3</v>
      </c>
      <c r="AS28" s="27" t="n">
        <f aca="false">IF(COUNT(S28:W28)&lt;5,"",IFERROR(ROUND(AVERAGE(S28:W28),2),"REVISAR"))</f>
        <v>3.2</v>
      </c>
      <c r="AT28" s="27" t="n">
        <f aca="false">IF(COUNT(X28:AB28)&lt;5,"",IFERROR(ROUND(AVERAGE(X28:AB28),2),"REVISAR"))</f>
        <v>2.4</v>
      </c>
      <c r="AU28" s="11" t="n">
        <f aca="false">IF(COUNT(N28:AB28)&lt;15,"",IFERROR(SUM(N28:AB28),"REVISAR"))</f>
        <v>43</v>
      </c>
      <c r="AV28" s="18" t="n">
        <f aca="false">IF(AU28="","",IF(ISNUMBER(AU28),IF(AU28&lt;=35,1,IF(AU28&lt;=55,2,3)),"REVISAR"))</f>
        <v>2</v>
      </c>
      <c r="AW28" s="27" t="n">
        <f aca="false">IF(COUNT(AC28:AG28)&lt;5,"",IFERROR(ROUND(AVERAGE(AC28:AG28),2),"REVISAR"))</f>
        <v>4.2</v>
      </c>
      <c r="AX28" s="27" t="n">
        <f aca="false">IF(COUNT(AH28:AL28)&lt;5,"",IFERROR(ROUND(AVERAGE(AH28:AL28),2),"REVISAR"))</f>
        <v>4.4</v>
      </c>
      <c r="AY28" s="27" t="n">
        <f aca="false">IF(COUNT(AM28:AQ28)&lt;5,"",IFERROR(ROUND(AVERAGE(AM28:AQ28),2),"REVISAR"))</f>
        <v>4</v>
      </c>
      <c r="AZ28" s="11" t="n">
        <f aca="false">IF(COUNT(AC28:AQ28)&lt;15,"",IFERROR(SUM(AC28:AQ28),"REVISAR"))</f>
        <v>63</v>
      </c>
      <c r="BA28" s="18" t="n">
        <f aca="false">IF(AZ28="","",IF(ISNUMBER(AZ28),IF(AZ28&lt;=35,1,IF(AZ28&lt;=55,2,3)),"REVISAR"))</f>
        <v>3</v>
      </c>
      <c r="BB28" s="28" t="n">
        <f aca="false">IF(OR(J28="",K28=""),"",IFERROR(ROUND(K28-J28,1),"REVISAR"))</f>
        <v>-7.9</v>
      </c>
      <c r="BC28" s="11" t="n">
        <f aca="false">IF(OR(L28="",M28=""),"",IFERROR(M28-L28,"REVISAR"))</f>
        <v>12</v>
      </c>
      <c r="BD28" s="11" t="n">
        <f aca="false">IF(OR(AU28="",AZ28=""),"",IFERROR(AZ28-AU28,"REVISAR"))</f>
        <v>20</v>
      </c>
      <c r="BE28" s="23"/>
      <c r="BF28" s="21"/>
    </row>
    <row r="29" customFormat="false" ht="15" hidden="false" customHeight="false" outlineLevel="0" collapsed="false">
      <c r="A29" s="17" t="s">
        <v>79</v>
      </c>
      <c r="B29" s="23" t="n">
        <v>1</v>
      </c>
      <c r="C29" s="19" t="n">
        <f aca="false">IFERROR(IF(INDEX(2a_PRE_TRABAJO!$B$5:$B$51,MATCH($A29,2a_PRE_TRABAJO!$A$5:$A$51,0))="","",INDEX(2a_PRE_TRABAJO!$B$5:$B$51,MATCH($A29,2a_PRE_TRABAJO!$A$5:$A$51,0))),"")</f>
        <v>2</v>
      </c>
      <c r="D29" s="19" t="n">
        <f aca="false">IFERROR(IF(INDEX(2a_PRE_TRABAJO!$C$5:$C$51,MATCH($A29,2a_PRE_TRABAJO!$A$5:$A$51,0))="","",INDEX(2a_PRE_TRABAJO!$C$5:$C$51,MATCH($A29,2a_PRE_TRABAJO!$A$5:$A$51,0))),"")</f>
        <v>2</v>
      </c>
      <c r="E29" s="19" t="n">
        <f aca="false">IFERROR(IF(INDEX(2a_PRE_TRABAJO!$D$5:$D$51,MATCH($A29,2a_PRE_TRABAJO!$A$5:$A$51,0))="","",INDEX(2a_PRE_TRABAJO!$D$5:$D$51,MATCH($A29,2a_PRE_TRABAJO!$A$5:$A$51,0))),"")</f>
        <v>27</v>
      </c>
      <c r="F29" s="19" t="n">
        <f aca="false">IFERROR(IF(INDEX(2a_PRE_TRABAJO!$E$5:$E$51,MATCH($A29,2a_PRE_TRABAJO!$A$5:$A$51,0))="","",INDEX(2a_PRE_TRABAJO!$E$5:$E$51,MATCH($A29,2a_PRE_TRABAJO!$A$5:$A$51,0))),"")</f>
        <v>6</v>
      </c>
      <c r="G29" s="19" t="str">
        <f aca="false">IFERROR(IF(INDEX(2a_PRE_TRABAJO!$F$5:$F$51,MATCH($A29,2a_PRE_TRABAJO!$A$5:$A$51,0))="","",INDEX(2a_PRE_TRABAJO!$F$5:$F$51,MATCH($A29,2a_PRE_TRABAJO!$A$5:$A$51,0))),"")</f>
        <v>TÉCNICO</v>
      </c>
      <c r="H29" s="24" t="n">
        <f aca="false">IFERROR(IF(INDEX(2a_PRE_TRABAJO!$G$5:$G$51,MATCH($A29,2a_PRE_TRABAJO!$A$5:$A$51,0))="","",INDEX(2a_PRE_TRABAJO!$G$5:$G$51,MATCH($A29,2a_PRE_TRABAJO!$A$5:$A$51,0))),"")</f>
        <v>46262</v>
      </c>
      <c r="I29" s="24" t="n">
        <f aca="false">IFERROR(IF(INDEX(2b_POST_TRABAJO!$C$5:$C$48,MATCH($A29,2b_POST_TRABAJO!$A$5:$A$48,0))="","",INDEX(2b_POST_TRABAJO!$C$5:$C$48,MATCH($A29,2b_POST_TRABAJO!$A$5:$A$48,0))),"")</f>
        <v>46311</v>
      </c>
      <c r="J29" s="25" t="n">
        <f aca="false">IFERROR(IF(INDEX(2a_PRE_TRABAJO!$H$5:$H$51,MATCH($A29,2a_PRE_TRABAJO!$A$5:$A$51,0))="","",INDEX(2a_PRE_TRABAJO!$H$5:$H$51,MATCH($A29,2a_PRE_TRABAJO!$A$5:$A$51,0))),"")</f>
        <v>8.4</v>
      </c>
      <c r="K29" s="25" t="n">
        <f aca="false">IFERROR(IF(INDEX(2b_POST_TRABAJO!$D$5:$D$48,MATCH($A29,2b_POST_TRABAJO!$A$5:$A$48,0))="","",INDEX(2b_POST_TRABAJO!$D$5:$D$48,MATCH($A29,2b_POST_TRABAJO!$A$5:$A$48,0))),"")</f>
        <v>6.9</v>
      </c>
      <c r="L29" s="26" t="n">
        <f aca="false">IFERROR(IF(INDEX(2a_PRE_TRABAJO!$I$5:$I$51,MATCH($A29,2a_PRE_TRABAJO!$A$5:$A$51,0))="","",INDEX(2a_PRE_TRABAJO!$I$5:$I$51,MATCH($A29,2a_PRE_TRABAJO!$A$5:$A$51,0))),"")</f>
        <v>67</v>
      </c>
      <c r="M29" s="26" t="n">
        <f aca="false">IFERROR(IF(INDEX(2b_POST_TRABAJO!$E$5:$E$48,MATCH($A29,2b_POST_TRABAJO!$A$5:$A$48,0))="","",INDEX(2b_POST_TRABAJO!$E$5:$E$48,MATCH($A29,2b_POST_TRABAJO!$A$5:$A$48,0))),"")</f>
        <v>73</v>
      </c>
      <c r="N29" s="19" t="n">
        <f aca="false">IFERROR(IF(INDEX(2a_PRE_TRABAJO!$J$5:$J$51,MATCH($A29,2a_PRE_TRABAJO!$A$5:$A$51,0))="","",INDEX(2a_PRE_TRABAJO!$J$5:$J$51,MATCH($A29,2a_PRE_TRABAJO!$A$5:$A$51,0))),"")</f>
        <v>3</v>
      </c>
      <c r="O29" s="19" t="n">
        <f aca="false">IFERROR(IF(INDEX(2a_PRE_TRABAJO!$K$5:$K$51,MATCH($A29,2a_PRE_TRABAJO!$A$5:$A$51,0))="","",INDEX(2a_PRE_TRABAJO!$K$5:$K$51,MATCH($A29,2a_PRE_TRABAJO!$A$5:$A$51,0))),"")</f>
        <v>3</v>
      </c>
      <c r="P29" s="19" t="n">
        <f aca="false">IFERROR(IF(INDEX(2a_PRE_TRABAJO!$L$5:$L$51,MATCH($A29,2a_PRE_TRABAJO!$A$5:$A$51,0))="","",INDEX(2a_PRE_TRABAJO!$L$5:$L$51,MATCH($A29,2a_PRE_TRABAJO!$A$5:$A$51,0))),"")</f>
        <v>2</v>
      </c>
      <c r="Q29" s="19" t="n">
        <f aca="false">IF(IFERROR(IF(INDEX(2a_PRE_TRABAJO!$M$5:$M$51,MATCH($A29,2a_PRE_TRABAJO!$A$5:$A$51,0))="","",INDEX(2a_PRE_TRABAJO!$M$5:$M$51,MATCH($A29,2a_PRE_TRABAJO!$A$5:$A$51,0))),"")="","",IFERROR(6-IFERROR(IF(INDEX(2a_PRE_TRABAJO!$M$5:$M$51,MATCH($A29,2a_PRE_TRABAJO!$A$5:$A$51,0))="","",INDEX(2a_PRE_TRABAJO!$M$5:$M$51,MATCH($A29,2a_PRE_TRABAJO!$A$5:$A$51,0))),""),"REVISAR"))</f>
        <v>4</v>
      </c>
      <c r="R29" s="19" t="n">
        <f aca="false">IFERROR(IF(INDEX(2a_PRE_TRABAJO!$N$5:$N$51,MATCH($A29,2a_PRE_TRABAJO!$A$5:$A$51,0))="","",INDEX(2a_PRE_TRABAJO!$N$5:$N$51,MATCH($A29,2a_PRE_TRABAJO!$A$5:$A$51,0))),"")</f>
        <v>4</v>
      </c>
      <c r="S29" s="19" t="n">
        <f aca="false">IFERROR(IF(INDEX(2a_PRE_TRABAJO!$O$5:$O$51,MATCH($A29,2a_PRE_TRABAJO!$A$5:$A$51,0))="","",INDEX(2a_PRE_TRABAJO!$O$5:$O$51,MATCH($A29,2a_PRE_TRABAJO!$A$5:$A$51,0))),"")</f>
        <v>2</v>
      </c>
      <c r="T29" s="19" t="n">
        <f aca="false">IFERROR(IF(INDEX(2a_PRE_TRABAJO!$P$5:$P$51,MATCH($A29,2a_PRE_TRABAJO!$A$5:$A$51,0))="","",INDEX(2a_PRE_TRABAJO!$P$5:$P$51,MATCH($A29,2a_PRE_TRABAJO!$A$5:$A$51,0))),"")</f>
        <v>3</v>
      </c>
      <c r="U29" s="19" t="n">
        <f aca="false">IFERROR(IF(INDEX(2a_PRE_TRABAJO!$Q$5:$Q$51,MATCH($A29,2a_PRE_TRABAJO!$A$5:$A$51,0))="","",INDEX(2a_PRE_TRABAJO!$Q$5:$Q$51,MATCH($A29,2a_PRE_TRABAJO!$A$5:$A$51,0))),"")</f>
        <v>3</v>
      </c>
      <c r="V29" s="19" t="n">
        <f aca="false">IFERROR(IF(INDEX(2a_PRE_TRABAJO!$R$5:$R$51,MATCH($A29,2a_PRE_TRABAJO!$A$5:$A$51,0))="","",INDEX(2a_PRE_TRABAJO!$R$5:$R$51,MATCH($A29,2a_PRE_TRABAJO!$A$5:$A$51,0))),"")</f>
        <v>4</v>
      </c>
      <c r="W29" s="19" t="n">
        <f aca="false">IFERROR(IF(INDEX(2a_PRE_TRABAJO!$S$5:$S$51,MATCH($A29,2a_PRE_TRABAJO!$A$5:$A$51,0))="","",INDEX(2a_PRE_TRABAJO!$S$5:$S$51,MATCH($A29,2a_PRE_TRABAJO!$A$5:$A$51,0))),"")</f>
        <v>1</v>
      </c>
      <c r="X29" s="19" t="n">
        <f aca="false">IFERROR(IF(INDEX(2a_PRE_TRABAJO!$T$5:$T$51,MATCH($A29,2a_PRE_TRABAJO!$A$5:$A$51,0))="","",INDEX(2a_PRE_TRABAJO!$T$5:$T$51,MATCH($A29,2a_PRE_TRABAJO!$A$5:$A$51,0))),"")</f>
        <v>3</v>
      </c>
      <c r="Y29" s="19" t="n">
        <f aca="false">IF(IFERROR(IF(INDEX(2a_PRE_TRABAJO!$U$5:$U$51,MATCH($A29,2a_PRE_TRABAJO!$A$5:$A$51,0))="","",INDEX(2a_PRE_TRABAJO!$U$5:$U$51,MATCH($A29,2a_PRE_TRABAJO!$A$5:$A$51,0))),"")="","",IFERROR(6-IFERROR(IF(INDEX(2a_PRE_TRABAJO!$U$5:$U$51,MATCH($A29,2a_PRE_TRABAJO!$A$5:$A$51,0))="","",INDEX(2a_PRE_TRABAJO!$U$5:$U$51,MATCH($A29,2a_PRE_TRABAJO!$A$5:$A$51,0))),""),"REVISAR"))</f>
        <v>5</v>
      </c>
      <c r="Z29" s="19" t="n">
        <f aca="false">IFERROR(IF(INDEX(2a_PRE_TRABAJO!$V$5:$V$51,MATCH($A29,2a_PRE_TRABAJO!$A$5:$A$51,0))="","",INDEX(2a_PRE_TRABAJO!$V$5:$V$51,MATCH($A29,2a_PRE_TRABAJO!$A$5:$A$51,0))),"")</f>
        <v>4</v>
      </c>
      <c r="AA29" s="19" t="n">
        <f aca="false">IFERROR(IF(INDEX(2a_PRE_TRABAJO!$W$5:$W$51,MATCH($A29,2a_PRE_TRABAJO!$A$5:$A$51,0))="","",INDEX(2a_PRE_TRABAJO!$W$5:$W$51,MATCH($A29,2a_PRE_TRABAJO!$A$5:$A$51,0))),"")</f>
        <v>4</v>
      </c>
      <c r="AB29" s="19" t="n">
        <f aca="false">IFERROR(IF(INDEX(2a_PRE_TRABAJO!$X$5:$X$51,MATCH($A29,2a_PRE_TRABAJO!$A$5:$A$51,0))="","",INDEX(2a_PRE_TRABAJO!$X$5:$X$51,MATCH($A29,2a_PRE_TRABAJO!$A$5:$A$51,0))),"")</f>
        <v>3</v>
      </c>
      <c r="AC29" s="19" t="n">
        <f aca="false">IFERROR(IF(INDEX(2b_POST_TRABAJO!$F$5:$F$48,MATCH($A29,2b_POST_TRABAJO!$A$5:$A$48,0))="","",INDEX(2b_POST_TRABAJO!$F$5:$F$48,MATCH($A29,2b_POST_TRABAJO!$A$5:$A$48,0))),"")</f>
        <v>3</v>
      </c>
      <c r="AD29" s="19" t="n">
        <f aca="false">IFERROR(IF(INDEX(2b_POST_TRABAJO!$G$5:$G$48,MATCH($A29,2b_POST_TRABAJO!$A$5:$A$48,0))="","",INDEX(2b_POST_TRABAJO!$G$5:$G$48,MATCH($A29,2b_POST_TRABAJO!$A$5:$A$48,0))),"")</f>
        <v>4</v>
      </c>
      <c r="AE29" s="19" t="n">
        <f aca="false">IFERROR(IF(INDEX(2b_POST_TRABAJO!$H$5:$H$48,MATCH($A29,2b_POST_TRABAJO!$A$5:$A$48,0))="","",INDEX(2b_POST_TRABAJO!$H$5:$H$48,MATCH($A29,2b_POST_TRABAJO!$A$5:$A$48,0))),"")</f>
        <v>4</v>
      </c>
      <c r="AF29" s="19" t="n">
        <f aca="false">IF(IFERROR(IF(INDEX(2b_POST_TRABAJO!$I$5:$I$48,MATCH($A29,2b_POST_TRABAJO!$A$5:$A$48,0))="","",INDEX(2b_POST_TRABAJO!$I$5:$I$48,MATCH($A29,2b_POST_TRABAJO!$A$5:$A$48,0))),"")="","",IFERROR(6-IFERROR(IF(INDEX(2b_POST_TRABAJO!$I$5:$I$48,MATCH($A29,2b_POST_TRABAJO!$A$5:$A$48,0))="","",INDEX(2b_POST_TRABAJO!$I$5:$I$48,MATCH($A29,2b_POST_TRABAJO!$A$5:$A$48,0))),""),"REVISAR"))</f>
        <v>4</v>
      </c>
      <c r="AG29" s="19" t="n">
        <f aca="false">IFERROR(IF(INDEX(2b_POST_TRABAJO!$J$5:$J$48,MATCH($A29,2b_POST_TRABAJO!$A$5:$A$48,0))="","",INDEX(2b_POST_TRABAJO!$J$5:$J$48,MATCH($A29,2b_POST_TRABAJO!$A$5:$A$48,0))),"")</f>
        <v>2</v>
      </c>
      <c r="AH29" s="19" t="n">
        <f aca="false">IFERROR(IF(INDEX(2b_POST_TRABAJO!$K$5:$K$48,MATCH($A29,2b_POST_TRABAJO!$A$5:$A$48,0))="","",INDEX(2b_POST_TRABAJO!$K$5:$K$48,MATCH($A29,2b_POST_TRABAJO!$A$5:$A$48,0))),"")</f>
        <v>3</v>
      </c>
      <c r="AI29" s="19" t="n">
        <f aca="false">IFERROR(IF(INDEX(2b_POST_TRABAJO!$L$5:$L$48,MATCH($A29,2b_POST_TRABAJO!$A$5:$A$48,0))="","",INDEX(2b_POST_TRABAJO!$L$5:$L$48,MATCH($A29,2b_POST_TRABAJO!$A$5:$A$48,0))),"")</f>
        <v>4</v>
      </c>
      <c r="AJ29" s="19" t="n">
        <f aca="false">IFERROR(IF(INDEX(2b_POST_TRABAJO!$M$5:$M$48,MATCH($A29,2b_POST_TRABAJO!$A$5:$A$48,0))="","",INDEX(2b_POST_TRABAJO!$M$5:$M$48,MATCH($A29,2b_POST_TRABAJO!$A$5:$A$48,0))),"")</f>
        <v>3</v>
      </c>
      <c r="AK29" s="19" t="n">
        <f aca="false">IFERROR(IF(INDEX(2b_POST_TRABAJO!$N$5:$N$48,MATCH($A29,2b_POST_TRABAJO!$A$5:$A$48,0))="","",INDEX(2b_POST_TRABAJO!$N$5:$N$48,MATCH($A29,2b_POST_TRABAJO!$A$5:$A$48,0))),"")</f>
        <v>3</v>
      </c>
      <c r="AL29" s="19" t="n">
        <f aca="false">IFERROR(IF(INDEX(2b_POST_TRABAJO!$O$5:$O$48,MATCH($A29,2b_POST_TRABAJO!$A$5:$A$48,0))="","",INDEX(2b_POST_TRABAJO!$O$5:$O$48,MATCH($A29,2b_POST_TRABAJO!$A$5:$A$48,0))),"")</f>
        <v>4</v>
      </c>
      <c r="AM29" s="19" t="n">
        <f aca="false">IFERROR(IF(INDEX(2b_POST_TRABAJO!$P$5:$P$48,MATCH($A29,2b_POST_TRABAJO!$A$5:$A$48,0))="","",INDEX(2b_POST_TRABAJO!$P$5:$P$48,MATCH($A29,2b_POST_TRABAJO!$A$5:$A$48,0))),"")</f>
        <v>3</v>
      </c>
      <c r="AN29" s="19" t="n">
        <f aca="false">IF(IFERROR(IF(INDEX(2b_POST_TRABAJO!$Q$5:$Q$48,MATCH($A29,2b_POST_TRABAJO!$A$5:$A$48,0))="","",INDEX(2b_POST_TRABAJO!$Q$5:$Q$48,MATCH($A29,2b_POST_TRABAJO!$A$5:$A$48,0))),"")="","",IFERROR(6-IFERROR(IF(INDEX(2b_POST_TRABAJO!$Q$5:$Q$48,MATCH($A29,2b_POST_TRABAJO!$A$5:$A$48,0))="","",INDEX(2b_POST_TRABAJO!$Q$5:$Q$48,MATCH($A29,2b_POST_TRABAJO!$A$5:$A$48,0))),""),"REVISAR"))</f>
        <v>3</v>
      </c>
      <c r="AO29" s="19" t="n">
        <f aca="false">IFERROR(IF(INDEX(2b_POST_TRABAJO!$R$5:$R$48,MATCH($A29,2b_POST_TRABAJO!$A$5:$A$48,0))="","",INDEX(2b_POST_TRABAJO!$R$5:$R$48,MATCH($A29,2b_POST_TRABAJO!$A$5:$A$48,0))),"")</f>
        <v>3</v>
      </c>
      <c r="AP29" s="19" t="n">
        <f aca="false">IFERROR(IF(INDEX(2b_POST_TRABAJO!$S$5:$S$48,MATCH($A29,2b_POST_TRABAJO!$A$5:$A$48,0))="","",INDEX(2b_POST_TRABAJO!$S$5:$S$48,MATCH($A29,2b_POST_TRABAJO!$A$5:$A$48,0))),"")</f>
        <v>3</v>
      </c>
      <c r="AQ29" s="19" t="n">
        <f aca="false">IFERROR(IF(INDEX(2b_POST_TRABAJO!$T$5:$T$48,MATCH($A29,2b_POST_TRABAJO!$A$5:$A$48,0))="","",INDEX(2b_POST_TRABAJO!$T$5:$T$48,MATCH($A29,2b_POST_TRABAJO!$A$5:$A$48,0))),"")</f>
        <v>3</v>
      </c>
      <c r="AR29" s="27" t="n">
        <f aca="false">IF(COUNT(N29:R29)&lt;5,"",IFERROR(ROUND(AVERAGE(N29:R29),2),"REVISAR"))</f>
        <v>3.2</v>
      </c>
      <c r="AS29" s="27" t="n">
        <f aca="false">IF(COUNT(S29:W29)&lt;5,"",IFERROR(ROUND(AVERAGE(S29:W29),2),"REVISAR"))</f>
        <v>2.6</v>
      </c>
      <c r="AT29" s="27" t="n">
        <f aca="false">IF(COUNT(X29:AB29)&lt;5,"",IFERROR(ROUND(AVERAGE(X29:AB29),2),"REVISAR"))</f>
        <v>3.8</v>
      </c>
      <c r="AU29" s="11" t="n">
        <f aca="false">IF(COUNT(N29:AB29)&lt;15,"",IFERROR(SUM(N29:AB29),"REVISAR"))</f>
        <v>48</v>
      </c>
      <c r="AV29" s="18" t="n">
        <f aca="false">IF(AU29="","",IF(ISNUMBER(AU29),IF(AU29&lt;=35,1,IF(AU29&lt;=55,2,3)),"REVISAR"))</f>
        <v>2</v>
      </c>
      <c r="AW29" s="27" t="n">
        <f aca="false">IF(COUNT(AC29:AG29)&lt;5,"",IFERROR(ROUND(AVERAGE(AC29:AG29),2),"REVISAR"))</f>
        <v>3.4</v>
      </c>
      <c r="AX29" s="27" t="n">
        <f aca="false">IF(COUNT(AH29:AL29)&lt;5,"",IFERROR(ROUND(AVERAGE(AH29:AL29),2),"REVISAR"))</f>
        <v>3.4</v>
      </c>
      <c r="AY29" s="27" t="n">
        <f aca="false">IF(COUNT(AM29:AQ29)&lt;5,"",IFERROR(ROUND(AVERAGE(AM29:AQ29),2),"REVISAR"))</f>
        <v>3</v>
      </c>
      <c r="AZ29" s="11" t="n">
        <f aca="false">IF(COUNT(AC29:AQ29)&lt;15,"",IFERROR(SUM(AC29:AQ29),"REVISAR"))</f>
        <v>49</v>
      </c>
      <c r="BA29" s="18" t="n">
        <f aca="false">IF(AZ29="","",IF(ISNUMBER(AZ29),IF(AZ29&lt;=35,1,IF(AZ29&lt;=55,2,3)),"REVISAR"))</f>
        <v>2</v>
      </c>
      <c r="BB29" s="28" t="n">
        <f aca="false">IF(OR(J29="",K29=""),"",IFERROR(ROUND(K29-J29,1),"REVISAR"))</f>
        <v>-1.5</v>
      </c>
      <c r="BC29" s="11" t="n">
        <f aca="false">IF(OR(L29="",M29=""),"",IFERROR(M29-L29,"REVISAR"))</f>
        <v>6</v>
      </c>
      <c r="BD29" s="11" t="n">
        <f aca="false">IF(OR(AU29="",AZ29=""),"",IFERROR(AZ29-AU29,"REVISAR"))</f>
        <v>1</v>
      </c>
      <c r="BE29" s="23"/>
      <c r="BF29" s="21"/>
    </row>
    <row r="30" customFormat="false" ht="15" hidden="false" customHeight="false" outlineLevel="0" collapsed="false">
      <c r="A30" s="17" t="s">
        <v>80</v>
      </c>
      <c r="B30" s="23" t="n">
        <v>1</v>
      </c>
      <c r="C30" s="19" t="n">
        <f aca="false">IFERROR(IF(INDEX(2a_PRE_TRABAJO!$B$5:$B$51,MATCH($A30,2a_PRE_TRABAJO!$A$5:$A$51,0))="","",INDEX(2a_PRE_TRABAJO!$B$5:$B$51,MATCH($A30,2a_PRE_TRABAJO!$A$5:$A$51,0))),"")</f>
        <v>2</v>
      </c>
      <c r="D30" s="19" t="n">
        <f aca="false">IFERROR(IF(INDEX(2a_PRE_TRABAJO!$C$5:$C$51,MATCH($A30,2a_PRE_TRABAJO!$A$5:$A$51,0))="","",INDEX(2a_PRE_TRABAJO!$C$5:$C$51,MATCH($A30,2a_PRE_TRABAJO!$A$5:$A$51,0))),"")</f>
        <v>1</v>
      </c>
      <c r="E30" s="19" t="n">
        <f aca="false">IFERROR(IF(INDEX(2a_PRE_TRABAJO!$D$5:$D$51,MATCH($A30,2a_PRE_TRABAJO!$A$5:$A$51,0))="","",INDEX(2a_PRE_TRABAJO!$D$5:$D$51,MATCH($A30,2a_PRE_TRABAJO!$A$5:$A$51,0))),"")</f>
        <v>23</v>
      </c>
      <c r="F30" s="19" t="n">
        <f aca="false">IFERROR(IF(INDEX(2a_PRE_TRABAJO!$E$5:$E$51,MATCH($A30,2a_PRE_TRABAJO!$A$5:$A$51,0))="","",INDEX(2a_PRE_TRABAJO!$E$5:$E$51,MATCH($A30,2a_PRE_TRABAJO!$A$5:$A$51,0))),"")</f>
        <v>25</v>
      </c>
      <c r="G30" s="19" t="str">
        <f aca="false">IFERROR(IF(INDEX(2a_PRE_TRABAJO!$F$5:$F$51,MATCH($A30,2a_PRE_TRABAJO!$A$5:$A$51,0))="","",INDEX(2a_PRE_TRABAJO!$F$5:$F$51,MATCH($A30,2a_PRE_TRABAJO!$A$5:$A$51,0))),"")</f>
        <v>Tecnico</v>
      </c>
      <c r="H30" s="24" t="n">
        <f aca="false">IFERROR(IF(INDEX(2a_PRE_TRABAJO!$G$5:$G$51,MATCH($A30,2a_PRE_TRABAJO!$A$5:$A$51,0))="","",INDEX(2a_PRE_TRABAJO!$G$5:$G$51,MATCH($A30,2a_PRE_TRABAJO!$A$5:$A$51,0))),"")</f>
        <v>46258</v>
      </c>
      <c r="I30" s="24" t="n">
        <f aca="false">IFERROR(IF(INDEX(2b_POST_TRABAJO!$C$5:$C$48,MATCH($A30,2b_POST_TRABAJO!$A$5:$A$48,0))="","",INDEX(2b_POST_TRABAJO!$C$5:$C$48,MATCH($A30,2b_POST_TRABAJO!$A$5:$A$48,0))),"")</f>
        <v>46307</v>
      </c>
      <c r="J30" s="25" t="n">
        <f aca="false">IFERROR(IF(INDEX(2a_PRE_TRABAJO!$H$5:$H$51,MATCH($A30,2a_PRE_TRABAJO!$A$5:$A$51,0))="","",INDEX(2a_PRE_TRABAJO!$H$5:$H$51,MATCH($A30,2a_PRE_TRABAJO!$A$5:$A$51,0))),"")</f>
        <v>13.5</v>
      </c>
      <c r="K30" s="25" t="n">
        <f aca="false">IFERROR(IF(INDEX(2b_POST_TRABAJO!$D$5:$D$48,MATCH($A30,2b_POST_TRABAJO!$A$5:$A$48,0))="","",INDEX(2b_POST_TRABAJO!$D$5:$D$48,MATCH($A30,2b_POST_TRABAJO!$A$5:$A$48,0))),"")</f>
        <v>14.4</v>
      </c>
      <c r="L30" s="26" t="n">
        <f aca="false">IFERROR(IF(INDEX(2a_PRE_TRABAJO!$I$5:$I$51,MATCH($A30,2a_PRE_TRABAJO!$A$5:$A$51,0))="","",INDEX(2a_PRE_TRABAJO!$I$5:$I$51,MATCH($A30,2a_PRE_TRABAJO!$A$5:$A$51,0))),"")</f>
        <v>60</v>
      </c>
      <c r="M30" s="26" t="n">
        <f aca="false">IFERROR(IF(INDEX(2b_POST_TRABAJO!$E$5:$E$48,MATCH($A30,2b_POST_TRABAJO!$A$5:$A$48,0))="","",INDEX(2b_POST_TRABAJO!$E$5:$E$48,MATCH($A30,2b_POST_TRABAJO!$A$5:$A$48,0))),"")</f>
        <v>55</v>
      </c>
      <c r="N30" s="19" t="n">
        <f aca="false">IFERROR(IF(INDEX(2a_PRE_TRABAJO!$J$5:$J$51,MATCH($A30,2a_PRE_TRABAJO!$A$5:$A$51,0))="","",INDEX(2a_PRE_TRABAJO!$J$5:$J$51,MATCH($A30,2a_PRE_TRABAJO!$A$5:$A$51,0))),"")</f>
        <v>2</v>
      </c>
      <c r="O30" s="19" t="n">
        <f aca="false">IFERROR(IF(INDEX(2a_PRE_TRABAJO!$K$5:$K$51,MATCH($A30,2a_PRE_TRABAJO!$A$5:$A$51,0))="","",INDEX(2a_PRE_TRABAJO!$K$5:$K$51,MATCH($A30,2a_PRE_TRABAJO!$A$5:$A$51,0))),"")</f>
        <v>2</v>
      </c>
      <c r="P30" s="19" t="n">
        <f aca="false">IFERROR(IF(INDEX(2a_PRE_TRABAJO!$L$5:$L$51,MATCH($A30,2a_PRE_TRABAJO!$A$5:$A$51,0))="","",INDEX(2a_PRE_TRABAJO!$L$5:$L$51,MATCH($A30,2a_PRE_TRABAJO!$A$5:$A$51,0))),"")</f>
        <v>3</v>
      </c>
      <c r="Q30" s="19" t="n">
        <f aca="false">IF(IFERROR(IF(INDEX(2a_PRE_TRABAJO!$M$5:$M$51,MATCH($A30,2a_PRE_TRABAJO!$A$5:$A$51,0))="","",INDEX(2a_PRE_TRABAJO!$M$5:$M$51,MATCH($A30,2a_PRE_TRABAJO!$A$5:$A$51,0))),"")="","",IFERROR(6-IFERROR(IF(INDEX(2a_PRE_TRABAJO!$M$5:$M$51,MATCH($A30,2a_PRE_TRABAJO!$A$5:$A$51,0))="","",INDEX(2a_PRE_TRABAJO!$M$5:$M$51,MATCH($A30,2a_PRE_TRABAJO!$A$5:$A$51,0))),""),"REVISAR"))</f>
        <v>1</v>
      </c>
      <c r="R30" s="19" t="n">
        <f aca="false">IFERROR(IF(INDEX(2a_PRE_TRABAJO!$N$5:$N$51,MATCH($A30,2a_PRE_TRABAJO!$A$5:$A$51,0))="","",INDEX(2a_PRE_TRABAJO!$N$5:$N$51,MATCH($A30,2a_PRE_TRABAJO!$A$5:$A$51,0))),"")</f>
        <v>2</v>
      </c>
      <c r="S30" s="19" t="n">
        <f aca="false">IFERROR(IF(INDEX(2a_PRE_TRABAJO!$O$5:$O$51,MATCH($A30,2a_PRE_TRABAJO!$A$5:$A$51,0))="","",INDEX(2a_PRE_TRABAJO!$O$5:$O$51,MATCH($A30,2a_PRE_TRABAJO!$A$5:$A$51,0))),"")</f>
        <v>3</v>
      </c>
      <c r="T30" s="19" t="n">
        <f aca="false">IFERROR(IF(INDEX(2a_PRE_TRABAJO!$P$5:$P$51,MATCH($A30,2a_PRE_TRABAJO!$A$5:$A$51,0))="","",INDEX(2a_PRE_TRABAJO!$P$5:$P$51,MATCH($A30,2a_PRE_TRABAJO!$A$5:$A$51,0))),"")</f>
        <v>2</v>
      </c>
      <c r="U30" s="19" t="n">
        <f aca="false">IFERROR(IF(INDEX(2a_PRE_TRABAJO!$Q$5:$Q$51,MATCH($A30,2a_PRE_TRABAJO!$A$5:$A$51,0))="","",INDEX(2a_PRE_TRABAJO!$Q$5:$Q$51,MATCH($A30,2a_PRE_TRABAJO!$A$5:$A$51,0))),"")</f>
        <v>3</v>
      </c>
      <c r="V30" s="19" t="n">
        <f aca="false">IFERROR(IF(INDEX(2a_PRE_TRABAJO!$R$5:$R$51,MATCH($A30,2a_PRE_TRABAJO!$A$5:$A$51,0))="","",INDEX(2a_PRE_TRABAJO!$R$5:$R$51,MATCH($A30,2a_PRE_TRABAJO!$A$5:$A$51,0))),"")</f>
        <v>1</v>
      </c>
      <c r="W30" s="19" t="n">
        <f aca="false">IFERROR(IF(INDEX(2a_PRE_TRABAJO!$S$5:$S$51,MATCH($A30,2a_PRE_TRABAJO!$A$5:$A$51,0))="","",INDEX(2a_PRE_TRABAJO!$S$5:$S$51,MATCH($A30,2a_PRE_TRABAJO!$A$5:$A$51,0))),"")</f>
        <v>1</v>
      </c>
      <c r="X30" s="19" t="n">
        <f aca="false">IFERROR(IF(INDEX(2a_PRE_TRABAJO!$T$5:$T$51,MATCH($A30,2a_PRE_TRABAJO!$A$5:$A$51,0))="","",INDEX(2a_PRE_TRABAJO!$T$5:$T$51,MATCH($A30,2a_PRE_TRABAJO!$A$5:$A$51,0))),"")</f>
        <v>1</v>
      </c>
      <c r="Y30" s="19" t="n">
        <f aca="false">IF(IFERROR(IF(INDEX(2a_PRE_TRABAJO!$U$5:$U$51,MATCH($A30,2a_PRE_TRABAJO!$A$5:$A$51,0))="","",INDEX(2a_PRE_TRABAJO!$U$5:$U$51,MATCH($A30,2a_PRE_TRABAJO!$A$5:$A$51,0))),"")="","",IFERROR(6-IFERROR(IF(INDEX(2a_PRE_TRABAJO!$U$5:$U$51,MATCH($A30,2a_PRE_TRABAJO!$A$5:$A$51,0))="","",INDEX(2a_PRE_TRABAJO!$U$5:$U$51,MATCH($A30,2a_PRE_TRABAJO!$A$5:$A$51,0))),""),"REVISAR"))</f>
        <v>5</v>
      </c>
      <c r="Z30" s="19" t="n">
        <f aca="false">IFERROR(IF(INDEX(2a_PRE_TRABAJO!$V$5:$V$51,MATCH($A30,2a_PRE_TRABAJO!$A$5:$A$51,0))="","",INDEX(2a_PRE_TRABAJO!$V$5:$V$51,MATCH($A30,2a_PRE_TRABAJO!$A$5:$A$51,0))),"")</f>
        <v>4</v>
      </c>
      <c r="AA30" s="19" t="n">
        <f aca="false">IFERROR(IF(INDEX(2a_PRE_TRABAJO!$W$5:$W$51,MATCH($A30,2a_PRE_TRABAJO!$A$5:$A$51,0))="","",INDEX(2a_PRE_TRABAJO!$W$5:$W$51,MATCH($A30,2a_PRE_TRABAJO!$A$5:$A$51,0))),"")</f>
        <v>3</v>
      </c>
      <c r="AB30" s="19" t="n">
        <f aca="false">IFERROR(IF(INDEX(2a_PRE_TRABAJO!$X$5:$X$51,MATCH($A30,2a_PRE_TRABAJO!$A$5:$A$51,0))="","",INDEX(2a_PRE_TRABAJO!$X$5:$X$51,MATCH($A30,2a_PRE_TRABAJO!$A$5:$A$51,0))),"")</f>
        <v>3</v>
      </c>
      <c r="AC30" s="19" t="n">
        <f aca="false">IFERROR(IF(INDEX(2b_POST_TRABAJO!$F$5:$F$48,MATCH($A30,2b_POST_TRABAJO!$A$5:$A$48,0))="","",INDEX(2b_POST_TRABAJO!$F$5:$F$48,MATCH($A30,2b_POST_TRABAJO!$A$5:$A$48,0))),"")</f>
        <v>2</v>
      </c>
      <c r="AD30" s="19" t="n">
        <f aca="false">IFERROR(IF(INDEX(2b_POST_TRABAJO!$G$5:$G$48,MATCH($A30,2b_POST_TRABAJO!$A$5:$A$48,0))="","",INDEX(2b_POST_TRABAJO!$G$5:$G$48,MATCH($A30,2b_POST_TRABAJO!$A$5:$A$48,0))),"")</f>
        <v>4</v>
      </c>
      <c r="AE30" s="19" t="n">
        <f aca="false">IFERROR(IF(INDEX(2b_POST_TRABAJO!$H$5:$H$48,MATCH($A30,2b_POST_TRABAJO!$A$5:$A$48,0))="","",INDEX(2b_POST_TRABAJO!$H$5:$H$48,MATCH($A30,2b_POST_TRABAJO!$A$5:$A$48,0))),"")</f>
        <v>3</v>
      </c>
      <c r="AF30" s="19" t="n">
        <f aca="false">IF(IFERROR(IF(INDEX(2b_POST_TRABAJO!$I$5:$I$48,MATCH($A30,2b_POST_TRABAJO!$A$5:$A$48,0))="","",INDEX(2b_POST_TRABAJO!$I$5:$I$48,MATCH($A30,2b_POST_TRABAJO!$A$5:$A$48,0))),"")="","",IFERROR(6-IFERROR(IF(INDEX(2b_POST_TRABAJO!$I$5:$I$48,MATCH($A30,2b_POST_TRABAJO!$A$5:$A$48,0))="","",INDEX(2b_POST_TRABAJO!$I$5:$I$48,MATCH($A30,2b_POST_TRABAJO!$A$5:$A$48,0))),""),"REVISAR"))</f>
        <v>3</v>
      </c>
      <c r="AG30" s="19" t="n">
        <f aca="false">IFERROR(IF(INDEX(2b_POST_TRABAJO!$J$5:$J$48,MATCH($A30,2b_POST_TRABAJO!$A$5:$A$48,0))="","",INDEX(2b_POST_TRABAJO!$J$5:$J$48,MATCH($A30,2b_POST_TRABAJO!$A$5:$A$48,0))),"")</f>
        <v>4</v>
      </c>
      <c r="AH30" s="19" t="n">
        <f aca="false">IFERROR(IF(INDEX(2b_POST_TRABAJO!$K$5:$K$48,MATCH($A30,2b_POST_TRABAJO!$A$5:$A$48,0))="","",INDEX(2b_POST_TRABAJO!$K$5:$K$48,MATCH($A30,2b_POST_TRABAJO!$A$5:$A$48,0))),"")</f>
        <v>2</v>
      </c>
      <c r="AI30" s="19" t="n">
        <f aca="false">IFERROR(IF(INDEX(2b_POST_TRABAJO!$L$5:$L$48,MATCH($A30,2b_POST_TRABAJO!$A$5:$A$48,0))="","",INDEX(2b_POST_TRABAJO!$L$5:$L$48,MATCH($A30,2b_POST_TRABAJO!$A$5:$A$48,0))),"")</f>
        <v>4</v>
      </c>
      <c r="AJ30" s="19" t="n">
        <f aca="false">IFERROR(IF(INDEX(2b_POST_TRABAJO!$M$5:$M$48,MATCH($A30,2b_POST_TRABAJO!$A$5:$A$48,0))="","",INDEX(2b_POST_TRABAJO!$M$5:$M$48,MATCH($A30,2b_POST_TRABAJO!$A$5:$A$48,0))),"")</f>
        <v>3</v>
      </c>
      <c r="AK30" s="19" t="n">
        <f aca="false">IFERROR(IF(INDEX(2b_POST_TRABAJO!$N$5:$N$48,MATCH($A30,2b_POST_TRABAJO!$A$5:$A$48,0))="","",INDEX(2b_POST_TRABAJO!$N$5:$N$48,MATCH($A30,2b_POST_TRABAJO!$A$5:$A$48,0))),"")</f>
        <v>2</v>
      </c>
      <c r="AL30" s="19" t="n">
        <f aca="false">IFERROR(IF(INDEX(2b_POST_TRABAJO!$O$5:$O$48,MATCH($A30,2b_POST_TRABAJO!$A$5:$A$48,0))="","",INDEX(2b_POST_TRABAJO!$O$5:$O$48,MATCH($A30,2b_POST_TRABAJO!$A$5:$A$48,0))),"")</f>
        <v>3</v>
      </c>
      <c r="AM30" s="19" t="n">
        <f aca="false">IFERROR(IF(INDEX(2b_POST_TRABAJO!$P$5:$P$48,MATCH($A30,2b_POST_TRABAJO!$A$5:$A$48,0))="","",INDEX(2b_POST_TRABAJO!$P$5:$P$48,MATCH($A30,2b_POST_TRABAJO!$A$5:$A$48,0))),"")</f>
        <v>2</v>
      </c>
      <c r="AN30" s="19" t="n">
        <f aca="false">IF(IFERROR(IF(INDEX(2b_POST_TRABAJO!$Q$5:$Q$48,MATCH($A30,2b_POST_TRABAJO!$A$5:$A$48,0))="","",INDEX(2b_POST_TRABAJO!$Q$5:$Q$48,MATCH($A30,2b_POST_TRABAJO!$A$5:$A$48,0))),"")="","",IFERROR(6-IFERROR(IF(INDEX(2b_POST_TRABAJO!$Q$5:$Q$48,MATCH($A30,2b_POST_TRABAJO!$A$5:$A$48,0))="","",INDEX(2b_POST_TRABAJO!$Q$5:$Q$48,MATCH($A30,2b_POST_TRABAJO!$A$5:$A$48,0))),""),"REVISAR"))</f>
        <v>4</v>
      </c>
      <c r="AO30" s="19" t="n">
        <f aca="false">IFERROR(IF(INDEX(2b_POST_TRABAJO!$R$5:$R$48,MATCH($A30,2b_POST_TRABAJO!$A$5:$A$48,0))="","",INDEX(2b_POST_TRABAJO!$R$5:$R$48,MATCH($A30,2b_POST_TRABAJO!$A$5:$A$48,0))),"")</f>
        <v>1</v>
      </c>
      <c r="AP30" s="19" t="n">
        <f aca="false">IFERROR(IF(INDEX(2b_POST_TRABAJO!$S$5:$S$48,MATCH($A30,2b_POST_TRABAJO!$A$5:$A$48,0))="","",INDEX(2b_POST_TRABAJO!$S$5:$S$48,MATCH($A30,2b_POST_TRABAJO!$A$5:$A$48,0))),"")</f>
        <v>4</v>
      </c>
      <c r="AQ30" s="19" t="n">
        <f aca="false">IFERROR(IF(INDEX(2b_POST_TRABAJO!$T$5:$T$48,MATCH($A30,2b_POST_TRABAJO!$A$5:$A$48,0))="","",INDEX(2b_POST_TRABAJO!$T$5:$T$48,MATCH($A30,2b_POST_TRABAJO!$A$5:$A$48,0))),"")</f>
        <v>4</v>
      </c>
      <c r="AR30" s="27" t="n">
        <f aca="false">IF(COUNT(N30:R30)&lt;5,"",IFERROR(ROUND(AVERAGE(N30:R30),2),"REVISAR"))</f>
        <v>2</v>
      </c>
      <c r="AS30" s="27" t="n">
        <f aca="false">IF(COUNT(S30:W30)&lt;5,"",IFERROR(ROUND(AVERAGE(S30:W30),2),"REVISAR"))</f>
        <v>2</v>
      </c>
      <c r="AT30" s="27" t="n">
        <f aca="false">IF(COUNT(X30:AB30)&lt;5,"",IFERROR(ROUND(AVERAGE(X30:AB30),2),"REVISAR"))</f>
        <v>3.2</v>
      </c>
      <c r="AU30" s="11" t="n">
        <f aca="false">IF(COUNT(N30:AB30)&lt;15,"",IFERROR(SUM(N30:AB30),"REVISAR"))</f>
        <v>36</v>
      </c>
      <c r="AV30" s="18" t="n">
        <f aca="false">IF(AU30="","",IF(ISNUMBER(AU30),IF(AU30&lt;=35,1,IF(AU30&lt;=55,2,3)),"REVISAR"))</f>
        <v>2</v>
      </c>
      <c r="AW30" s="27" t="n">
        <f aca="false">IF(COUNT(AC30:AG30)&lt;5,"",IFERROR(ROUND(AVERAGE(AC30:AG30),2),"REVISAR"))</f>
        <v>3.2</v>
      </c>
      <c r="AX30" s="27" t="n">
        <f aca="false">IF(COUNT(AH30:AL30)&lt;5,"",IFERROR(ROUND(AVERAGE(AH30:AL30),2),"REVISAR"))</f>
        <v>2.8</v>
      </c>
      <c r="AY30" s="27" t="n">
        <f aca="false">IF(COUNT(AM30:AQ30)&lt;5,"",IFERROR(ROUND(AVERAGE(AM30:AQ30),2),"REVISAR"))</f>
        <v>3</v>
      </c>
      <c r="AZ30" s="11" t="n">
        <f aca="false">IF(COUNT(AC30:AQ30)&lt;15,"",IFERROR(SUM(AC30:AQ30),"REVISAR"))</f>
        <v>45</v>
      </c>
      <c r="BA30" s="18" t="n">
        <f aca="false">IF(AZ30="","",IF(ISNUMBER(AZ30),IF(AZ30&lt;=35,1,IF(AZ30&lt;=55,2,3)),"REVISAR"))</f>
        <v>2</v>
      </c>
      <c r="BB30" s="28" t="n">
        <f aca="false">IF(OR(J30="",K30=""),"",IFERROR(ROUND(K30-J30,1),"REVISAR"))</f>
        <v>0.9</v>
      </c>
      <c r="BC30" s="11" t="n">
        <f aca="false">IF(OR(L30="",M30=""),"",IFERROR(M30-L30,"REVISAR"))</f>
        <v>-5</v>
      </c>
      <c r="BD30" s="11" t="n">
        <f aca="false">IF(OR(AU30="",AZ30=""),"",IFERROR(AZ30-AU30,"REVISAR"))</f>
        <v>9</v>
      </c>
      <c r="BE30" s="23"/>
      <c r="BF30" s="21"/>
    </row>
    <row r="31" customFormat="false" ht="15" hidden="false" customHeight="false" outlineLevel="0" collapsed="false">
      <c r="A31" s="17" t="s">
        <v>81</v>
      </c>
      <c r="B31" s="23" t="n">
        <v>1</v>
      </c>
      <c r="C31" s="19" t="n">
        <f aca="false">IFERROR(IF(INDEX(2a_PRE_TRABAJO!$B$5:$B$51,MATCH($A31,2a_PRE_TRABAJO!$A$5:$A$51,0))="","",INDEX(2a_PRE_TRABAJO!$B$5:$B$51,MATCH($A31,2a_PRE_TRABAJO!$A$5:$A$51,0))),"")</f>
        <v>2</v>
      </c>
      <c r="D31" s="19" t="n">
        <f aca="false">IFERROR(IF(INDEX(2a_PRE_TRABAJO!$C$5:$C$51,MATCH($A31,2a_PRE_TRABAJO!$A$5:$A$51,0))="","",INDEX(2a_PRE_TRABAJO!$C$5:$C$51,MATCH($A31,2a_PRE_TRABAJO!$A$5:$A$51,0))),"")</f>
        <v>2</v>
      </c>
      <c r="E31" s="19" t="n">
        <f aca="false">IFERROR(IF(INDEX(2a_PRE_TRABAJO!$D$5:$D$51,MATCH($A31,2a_PRE_TRABAJO!$A$5:$A$51,0))="","",INDEX(2a_PRE_TRABAJO!$D$5:$D$51,MATCH($A31,2a_PRE_TRABAJO!$A$5:$A$51,0))),"")</f>
        <v>41</v>
      </c>
      <c r="F31" s="19" t="n">
        <f aca="false">IFERROR(IF(INDEX(2a_PRE_TRABAJO!$E$5:$E$51,MATCH($A31,2a_PRE_TRABAJO!$A$5:$A$51,0))="","",INDEX(2a_PRE_TRABAJO!$E$5:$E$51,MATCH($A31,2a_PRE_TRABAJO!$A$5:$A$51,0))),"")</f>
        <v>5</v>
      </c>
      <c r="G31" s="19" t="str">
        <f aca="false">IFERROR(IF(INDEX(2a_PRE_TRABAJO!$F$5:$F$51,MATCH($A31,2a_PRE_TRABAJO!$A$5:$A$51,0))="","",INDEX(2a_PRE_TRABAJO!$F$5:$F$51,MATCH($A31,2a_PRE_TRABAJO!$A$5:$A$51,0))),"")</f>
        <v>AUXILIAR</v>
      </c>
      <c r="H31" s="24" t="n">
        <f aca="false">IFERROR(IF(INDEX(2a_PRE_TRABAJO!$G$5:$G$51,MATCH($A31,2a_PRE_TRABAJO!$A$5:$A$51,0))="","",INDEX(2a_PRE_TRABAJO!$G$5:$G$51,MATCH($A31,2a_PRE_TRABAJO!$A$5:$A$51,0))),"")</f>
        <v>46259</v>
      </c>
      <c r="I31" s="24" t="n">
        <f aca="false">IFERROR(IF(INDEX(2b_POST_TRABAJO!$C$5:$C$48,MATCH($A31,2b_POST_TRABAJO!$A$5:$A$48,0))="","",INDEX(2b_POST_TRABAJO!$C$5:$C$48,MATCH($A31,2b_POST_TRABAJO!$A$5:$A$48,0))),"")</f>
        <v>46308</v>
      </c>
      <c r="J31" s="25" t="str">
        <f aca="false">IFERROR(IF(INDEX(2a_PRE_TRABAJO!$H$5:$H$51,MATCH($A31,2a_PRE_TRABAJO!$A$5:$A$51,0))="","",INDEX(2a_PRE_TRABAJO!$H$5:$H$51,MATCH($A31,2a_PRE_TRABAJO!$A$5:$A$51,0))),"")</f>
        <v>8,5</v>
      </c>
      <c r="K31" s="25" t="n">
        <f aca="false">IFERROR(IF(INDEX(2b_POST_TRABAJO!$D$5:$D$48,MATCH($A31,2b_POST_TRABAJO!$A$5:$A$48,0))="","",INDEX(2b_POST_TRABAJO!$D$5:$D$48,MATCH($A31,2b_POST_TRABAJO!$A$5:$A$48,0))),"")</f>
        <v>10.4</v>
      </c>
      <c r="L31" s="26" t="n">
        <f aca="false">IFERROR(IF(INDEX(2a_PRE_TRABAJO!$I$5:$I$51,MATCH($A31,2a_PRE_TRABAJO!$A$5:$A$51,0))="","",INDEX(2a_PRE_TRABAJO!$I$5:$I$51,MATCH($A31,2a_PRE_TRABAJO!$A$5:$A$51,0))),"")</f>
        <v>69</v>
      </c>
      <c r="M31" s="26" t="n">
        <f aca="false">IFERROR(IF(INDEX(2b_POST_TRABAJO!$E$5:$E$48,MATCH($A31,2b_POST_TRABAJO!$A$5:$A$48,0))="","",INDEX(2b_POST_TRABAJO!$E$5:$E$48,MATCH($A31,2b_POST_TRABAJO!$A$5:$A$48,0))),"")</f>
        <v>67</v>
      </c>
      <c r="N31" s="19" t="n">
        <f aca="false">IFERROR(IF(INDEX(2a_PRE_TRABAJO!$J$5:$J$51,MATCH($A31,2a_PRE_TRABAJO!$A$5:$A$51,0))="","",INDEX(2a_PRE_TRABAJO!$J$5:$J$51,MATCH($A31,2a_PRE_TRABAJO!$A$5:$A$51,0))),"")</f>
        <v>3</v>
      </c>
      <c r="O31" s="19" t="n">
        <f aca="false">IFERROR(IF(INDEX(2a_PRE_TRABAJO!$K$5:$K$51,MATCH($A31,2a_PRE_TRABAJO!$A$5:$A$51,0))="","",INDEX(2a_PRE_TRABAJO!$K$5:$K$51,MATCH($A31,2a_PRE_TRABAJO!$A$5:$A$51,0))),"")</f>
        <v>4</v>
      </c>
      <c r="P31" s="19" t="n">
        <f aca="false">IFERROR(IF(INDEX(2a_PRE_TRABAJO!$L$5:$L$51,MATCH($A31,2a_PRE_TRABAJO!$A$5:$A$51,0))="","",INDEX(2a_PRE_TRABAJO!$L$5:$L$51,MATCH($A31,2a_PRE_TRABAJO!$A$5:$A$51,0))),"")</f>
        <v>4</v>
      </c>
      <c r="Q31" s="19" t="n">
        <f aca="false">IF(IFERROR(IF(INDEX(2a_PRE_TRABAJO!$M$5:$M$51,MATCH($A31,2a_PRE_TRABAJO!$A$5:$A$51,0))="","",INDEX(2a_PRE_TRABAJO!$M$5:$M$51,MATCH($A31,2a_PRE_TRABAJO!$A$5:$A$51,0))),"")="","",IFERROR(6-IFERROR(IF(INDEX(2a_PRE_TRABAJO!$M$5:$M$51,MATCH($A31,2a_PRE_TRABAJO!$A$5:$A$51,0))="","",INDEX(2a_PRE_TRABAJO!$M$5:$M$51,MATCH($A31,2a_PRE_TRABAJO!$A$5:$A$51,0))),""),"REVISAR"))</f>
        <v>5</v>
      </c>
      <c r="R31" s="19" t="n">
        <f aca="false">IFERROR(IF(INDEX(2a_PRE_TRABAJO!$N$5:$N$51,MATCH($A31,2a_PRE_TRABAJO!$A$5:$A$51,0))="","",INDEX(2a_PRE_TRABAJO!$N$5:$N$51,MATCH($A31,2a_PRE_TRABAJO!$A$5:$A$51,0))),"")</f>
        <v>3</v>
      </c>
      <c r="S31" s="19" t="n">
        <f aca="false">IFERROR(IF(INDEX(2a_PRE_TRABAJO!$O$5:$O$51,MATCH($A31,2a_PRE_TRABAJO!$A$5:$A$51,0))="","",INDEX(2a_PRE_TRABAJO!$O$5:$O$51,MATCH($A31,2a_PRE_TRABAJO!$A$5:$A$51,0))),"")</f>
        <v>3</v>
      </c>
      <c r="T31" s="19" t="n">
        <f aca="false">IFERROR(IF(INDEX(2a_PRE_TRABAJO!$P$5:$P$51,MATCH($A31,2a_PRE_TRABAJO!$A$5:$A$51,0))="","",INDEX(2a_PRE_TRABAJO!$P$5:$P$51,MATCH($A31,2a_PRE_TRABAJO!$A$5:$A$51,0))),"")</f>
        <v>3</v>
      </c>
      <c r="U31" s="19" t="n">
        <f aca="false">IFERROR(IF(INDEX(2a_PRE_TRABAJO!$Q$5:$Q$51,MATCH($A31,2a_PRE_TRABAJO!$A$5:$A$51,0))="","",INDEX(2a_PRE_TRABAJO!$Q$5:$Q$51,MATCH($A31,2a_PRE_TRABAJO!$A$5:$A$51,0))),"")</f>
        <v>3</v>
      </c>
      <c r="V31" s="19" t="n">
        <f aca="false">IFERROR(IF(INDEX(2a_PRE_TRABAJO!$R$5:$R$51,MATCH($A31,2a_PRE_TRABAJO!$A$5:$A$51,0))="","",INDEX(2a_PRE_TRABAJO!$R$5:$R$51,MATCH($A31,2a_PRE_TRABAJO!$A$5:$A$51,0))),"")</f>
        <v>3</v>
      </c>
      <c r="W31" s="19" t="n">
        <f aca="false">IFERROR(IF(INDEX(2a_PRE_TRABAJO!$S$5:$S$51,MATCH($A31,2a_PRE_TRABAJO!$A$5:$A$51,0))="","",INDEX(2a_PRE_TRABAJO!$S$5:$S$51,MATCH($A31,2a_PRE_TRABAJO!$A$5:$A$51,0))),"")</f>
        <v>3</v>
      </c>
      <c r="X31" s="19" t="n">
        <f aca="false">IFERROR(IF(INDEX(2a_PRE_TRABAJO!$T$5:$T$51,MATCH($A31,2a_PRE_TRABAJO!$A$5:$A$51,0))="","",INDEX(2a_PRE_TRABAJO!$T$5:$T$51,MATCH($A31,2a_PRE_TRABAJO!$A$5:$A$51,0))),"")</f>
        <v>5</v>
      </c>
      <c r="Y31" s="19" t="n">
        <f aca="false">IF(IFERROR(IF(INDEX(2a_PRE_TRABAJO!$U$5:$U$51,MATCH($A31,2a_PRE_TRABAJO!$A$5:$A$51,0))="","",INDEX(2a_PRE_TRABAJO!$U$5:$U$51,MATCH($A31,2a_PRE_TRABAJO!$A$5:$A$51,0))),"")="","",IFERROR(6-IFERROR(IF(INDEX(2a_PRE_TRABAJO!$U$5:$U$51,MATCH($A31,2a_PRE_TRABAJO!$A$5:$A$51,0))="","",INDEX(2a_PRE_TRABAJO!$U$5:$U$51,MATCH($A31,2a_PRE_TRABAJO!$A$5:$A$51,0))),""),"REVISAR"))</f>
        <v>4</v>
      </c>
      <c r="Z31" s="19" t="n">
        <f aca="false">IFERROR(IF(INDEX(2a_PRE_TRABAJO!$V$5:$V$51,MATCH($A31,2a_PRE_TRABAJO!$A$5:$A$51,0))="","",INDEX(2a_PRE_TRABAJO!$V$5:$V$51,MATCH($A31,2a_PRE_TRABAJO!$A$5:$A$51,0))),"")</f>
        <v>3</v>
      </c>
      <c r="AA31" s="19" t="n">
        <f aca="false">IFERROR(IF(INDEX(2a_PRE_TRABAJO!$W$5:$W$51,MATCH($A31,2a_PRE_TRABAJO!$A$5:$A$51,0))="","",INDEX(2a_PRE_TRABAJO!$W$5:$W$51,MATCH($A31,2a_PRE_TRABAJO!$A$5:$A$51,0))),"")</f>
        <v>4</v>
      </c>
      <c r="AB31" s="19" t="n">
        <f aca="false">IFERROR(IF(INDEX(2a_PRE_TRABAJO!$X$5:$X$51,MATCH($A31,2a_PRE_TRABAJO!$A$5:$A$51,0))="","",INDEX(2a_PRE_TRABAJO!$X$5:$X$51,MATCH($A31,2a_PRE_TRABAJO!$A$5:$A$51,0))),"")</f>
        <v>3</v>
      </c>
      <c r="AC31" s="19" t="n">
        <f aca="false">IFERROR(IF(INDEX(2b_POST_TRABAJO!$F$5:$F$48,MATCH($A31,2b_POST_TRABAJO!$A$5:$A$48,0))="","",INDEX(2b_POST_TRABAJO!$F$5:$F$48,MATCH($A31,2b_POST_TRABAJO!$A$5:$A$48,0))),"")</f>
        <v>2</v>
      </c>
      <c r="AD31" s="19" t="n">
        <f aca="false">IFERROR(IF(INDEX(2b_POST_TRABAJO!$G$5:$G$48,MATCH($A31,2b_POST_TRABAJO!$A$5:$A$48,0))="","",INDEX(2b_POST_TRABAJO!$G$5:$G$48,MATCH($A31,2b_POST_TRABAJO!$A$5:$A$48,0))),"")</f>
        <v>3</v>
      </c>
      <c r="AE31" s="19" t="n">
        <f aca="false">IFERROR(IF(INDEX(2b_POST_TRABAJO!$H$5:$H$48,MATCH($A31,2b_POST_TRABAJO!$A$5:$A$48,0))="","",INDEX(2b_POST_TRABAJO!$H$5:$H$48,MATCH($A31,2b_POST_TRABAJO!$A$5:$A$48,0))),"")</f>
        <v>3</v>
      </c>
      <c r="AF31" s="19" t="n">
        <f aca="false">IF(IFERROR(IF(INDEX(2b_POST_TRABAJO!$I$5:$I$48,MATCH($A31,2b_POST_TRABAJO!$A$5:$A$48,0))="","",INDEX(2b_POST_TRABAJO!$I$5:$I$48,MATCH($A31,2b_POST_TRABAJO!$A$5:$A$48,0))),"")="","",IFERROR(6-IFERROR(IF(INDEX(2b_POST_TRABAJO!$I$5:$I$48,MATCH($A31,2b_POST_TRABAJO!$A$5:$A$48,0))="","",INDEX(2b_POST_TRABAJO!$I$5:$I$48,MATCH($A31,2b_POST_TRABAJO!$A$5:$A$48,0))),""),"REVISAR"))</f>
        <v>1</v>
      </c>
      <c r="AG31" s="19" t="n">
        <f aca="false">IFERROR(IF(INDEX(2b_POST_TRABAJO!$J$5:$J$48,MATCH($A31,2b_POST_TRABAJO!$A$5:$A$48,0))="","",INDEX(2b_POST_TRABAJO!$J$5:$J$48,MATCH($A31,2b_POST_TRABAJO!$A$5:$A$48,0))),"")</f>
        <v>4</v>
      </c>
      <c r="AH31" s="19" t="n">
        <f aca="false">IFERROR(IF(INDEX(2b_POST_TRABAJO!$K$5:$K$48,MATCH($A31,2b_POST_TRABAJO!$A$5:$A$48,0))="","",INDEX(2b_POST_TRABAJO!$K$5:$K$48,MATCH($A31,2b_POST_TRABAJO!$A$5:$A$48,0))),"")</f>
        <v>2</v>
      </c>
      <c r="AI31" s="19" t="n">
        <f aca="false">IFERROR(IF(INDEX(2b_POST_TRABAJO!$L$5:$L$48,MATCH($A31,2b_POST_TRABAJO!$A$5:$A$48,0))="","",INDEX(2b_POST_TRABAJO!$L$5:$L$48,MATCH($A31,2b_POST_TRABAJO!$A$5:$A$48,0))),"")</f>
        <v>3</v>
      </c>
      <c r="AJ31" s="19" t="n">
        <f aca="false">IFERROR(IF(INDEX(2b_POST_TRABAJO!$M$5:$M$48,MATCH($A31,2b_POST_TRABAJO!$A$5:$A$48,0))="","",INDEX(2b_POST_TRABAJO!$M$5:$M$48,MATCH($A31,2b_POST_TRABAJO!$A$5:$A$48,0))),"")</f>
        <v>1</v>
      </c>
      <c r="AK31" s="19" t="n">
        <f aca="false">IFERROR(IF(INDEX(2b_POST_TRABAJO!$N$5:$N$48,MATCH($A31,2b_POST_TRABAJO!$A$5:$A$48,0))="","",INDEX(2b_POST_TRABAJO!$N$5:$N$48,MATCH($A31,2b_POST_TRABAJO!$A$5:$A$48,0))),"")</f>
        <v>2</v>
      </c>
      <c r="AL31" s="19" t="n">
        <f aca="false">IFERROR(IF(INDEX(2b_POST_TRABAJO!$O$5:$O$48,MATCH($A31,2b_POST_TRABAJO!$A$5:$A$48,0))="","",INDEX(2b_POST_TRABAJO!$O$5:$O$48,MATCH($A31,2b_POST_TRABAJO!$A$5:$A$48,0))),"")</f>
        <v>1</v>
      </c>
      <c r="AM31" s="19" t="n">
        <f aca="false">IFERROR(IF(INDEX(2b_POST_TRABAJO!$P$5:$P$48,MATCH($A31,2b_POST_TRABAJO!$A$5:$A$48,0))="","",INDEX(2b_POST_TRABAJO!$P$5:$P$48,MATCH($A31,2b_POST_TRABAJO!$A$5:$A$48,0))),"")</f>
        <v>3</v>
      </c>
      <c r="AN31" s="19" t="n">
        <f aca="false">IF(IFERROR(IF(INDEX(2b_POST_TRABAJO!$Q$5:$Q$48,MATCH($A31,2b_POST_TRABAJO!$A$5:$A$48,0))="","",INDEX(2b_POST_TRABAJO!$Q$5:$Q$48,MATCH($A31,2b_POST_TRABAJO!$A$5:$A$48,0))),"")="","",IFERROR(6-IFERROR(IF(INDEX(2b_POST_TRABAJO!$Q$5:$Q$48,MATCH($A31,2b_POST_TRABAJO!$A$5:$A$48,0))="","",INDEX(2b_POST_TRABAJO!$Q$5:$Q$48,MATCH($A31,2b_POST_TRABAJO!$A$5:$A$48,0))),""),"REVISAR"))</f>
        <v>2</v>
      </c>
      <c r="AO31" s="19" t="n">
        <f aca="false">IFERROR(IF(INDEX(2b_POST_TRABAJO!$R$5:$R$48,MATCH($A31,2b_POST_TRABAJO!$A$5:$A$48,0))="","",INDEX(2b_POST_TRABAJO!$R$5:$R$48,MATCH($A31,2b_POST_TRABAJO!$A$5:$A$48,0))),"")</f>
        <v>1</v>
      </c>
      <c r="AP31" s="19" t="n">
        <f aca="false">IFERROR(IF(INDEX(2b_POST_TRABAJO!$S$5:$S$48,MATCH($A31,2b_POST_TRABAJO!$A$5:$A$48,0))="","",INDEX(2b_POST_TRABAJO!$S$5:$S$48,MATCH($A31,2b_POST_TRABAJO!$A$5:$A$48,0))),"")</f>
        <v>3</v>
      </c>
      <c r="AQ31" s="19" t="n">
        <f aca="false">IFERROR(IF(INDEX(2b_POST_TRABAJO!$T$5:$T$48,MATCH($A31,2b_POST_TRABAJO!$A$5:$A$48,0))="","",INDEX(2b_POST_TRABAJO!$T$5:$T$48,MATCH($A31,2b_POST_TRABAJO!$A$5:$A$48,0))),"")</f>
        <v>2</v>
      </c>
      <c r="AR31" s="27" t="n">
        <f aca="false">IF(COUNT(N31:R31)&lt;5,"",IFERROR(ROUND(AVERAGE(N31:R31),2),"REVISAR"))</f>
        <v>3.8</v>
      </c>
      <c r="AS31" s="27" t="n">
        <f aca="false">IF(COUNT(S31:W31)&lt;5,"",IFERROR(ROUND(AVERAGE(S31:W31),2),"REVISAR"))</f>
        <v>3</v>
      </c>
      <c r="AT31" s="27" t="n">
        <f aca="false">IF(COUNT(X31:AB31)&lt;5,"",IFERROR(ROUND(AVERAGE(X31:AB31),2),"REVISAR"))</f>
        <v>3.8</v>
      </c>
      <c r="AU31" s="11" t="n">
        <f aca="false">IF(COUNT(N31:AB31)&lt;15,"",IFERROR(SUM(N31:AB31),"REVISAR"))</f>
        <v>53</v>
      </c>
      <c r="AV31" s="18" t="n">
        <f aca="false">IF(AU31="","",IF(ISNUMBER(AU31),IF(AU31&lt;=35,1,IF(AU31&lt;=55,2,3)),"REVISAR"))</f>
        <v>2</v>
      </c>
      <c r="AW31" s="27" t="n">
        <f aca="false">IF(COUNT(AC31:AG31)&lt;5,"",IFERROR(ROUND(AVERAGE(AC31:AG31),2),"REVISAR"))</f>
        <v>2.6</v>
      </c>
      <c r="AX31" s="27" t="n">
        <f aca="false">IF(COUNT(AH31:AL31)&lt;5,"",IFERROR(ROUND(AVERAGE(AH31:AL31),2),"REVISAR"))</f>
        <v>1.8</v>
      </c>
      <c r="AY31" s="27" t="n">
        <f aca="false">IF(COUNT(AM31:AQ31)&lt;5,"",IFERROR(ROUND(AVERAGE(AM31:AQ31),2),"REVISAR"))</f>
        <v>2.2</v>
      </c>
      <c r="AZ31" s="11" t="n">
        <f aca="false">IF(COUNT(AC31:AQ31)&lt;15,"",IFERROR(SUM(AC31:AQ31),"REVISAR"))</f>
        <v>33</v>
      </c>
      <c r="BA31" s="18" t="n">
        <f aca="false">IF(AZ31="","",IF(ISNUMBER(AZ31),IF(AZ31&lt;=35,1,IF(AZ31&lt;=55,2,3)),"REVISAR"))</f>
        <v>1</v>
      </c>
      <c r="BB31" s="28" t="str">
        <f aca="false">IF(OR(J31="",K31=""),"",IFERROR(ROUND(K31-J31,1),"REVISAR"))</f>
        <v>REVISAR</v>
      </c>
      <c r="BC31" s="11" t="n">
        <f aca="false">IF(OR(L31="",M31=""),"",IFERROR(M31-L31,"REVISAR"))</f>
        <v>-2</v>
      </c>
      <c r="BD31" s="11" t="n">
        <f aca="false">IF(OR(AU31="",AZ31=""),"",IFERROR(AZ31-AU31,"REVISAR"))</f>
        <v>-20</v>
      </c>
      <c r="BE31" s="23"/>
      <c r="BF31" s="21"/>
    </row>
    <row r="32" customFormat="false" ht="15" hidden="false" customHeight="false" outlineLevel="0" collapsed="false">
      <c r="A32" s="17" t="s">
        <v>83</v>
      </c>
      <c r="B32" s="23" t="n">
        <v>1</v>
      </c>
      <c r="C32" s="19" t="n">
        <f aca="false">IFERROR(IF(INDEX(2a_PRE_TRABAJO!$B$5:$B$51,MATCH($A32,2a_PRE_TRABAJO!$A$5:$A$51,0))="","",INDEX(2a_PRE_TRABAJO!$B$5:$B$51,MATCH($A32,2a_PRE_TRABAJO!$A$5:$A$51,0))),"")</f>
        <v>2</v>
      </c>
      <c r="D32" s="19" t="n">
        <f aca="false">IFERROR(IF(INDEX(2a_PRE_TRABAJO!$C$5:$C$51,MATCH($A32,2a_PRE_TRABAJO!$A$5:$A$51,0))="","",INDEX(2a_PRE_TRABAJO!$C$5:$C$51,MATCH($A32,2a_PRE_TRABAJO!$A$5:$A$51,0))),"")</f>
        <v>1</v>
      </c>
      <c r="E32" s="19" t="n">
        <f aca="false">IFERROR(IF(INDEX(2a_PRE_TRABAJO!$D$5:$D$51,MATCH($A32,2a_PRE_TRABAJO!$A$5:$A$51,0))="","",INDEX(2a_PRE_TRABAJO!$D$5:$D$51,MATCH($A32,2a_PRE_TRABAJO!$A$5:$A$51,0))),"")</f>
        <v>32</v>
      </c>
      <c r="F32" s="19" t="n">
        <f aca="false">IFERROR(IF(INDEX(2a_PRE_TRABAJO!$E$5:$E$51,MATCH($A32,2a_PRE_TRABAJO!$A$5:$A$51,0))="","",INDEX(2a_PRE_TRABAJO!$E$5:$E$51,MATCH($A32,2a_PRE_TRABAJO!$A$5:$A$51,0))),"")</f>
        <v>2</v>
      </c>
      <c r="G32" s="19" t="str">
        <f aca="false">IFERROR(IF(INDEX(2a_PRE_TRABAJO!$F$5:$F$51,MATCH($A32,2a_PRE_TRABAJO!$A$5:$A$51,0))="","",INDEX(2a_PRE_TRABAJO!$F$5:$F$51,MATCH($A32,2a_PRE_TRABAJO!$A$5:$A$51,0))),"")</f>
        <v>TÉCNICO</v>
      </c>
      <c r="H32" s="24" t="n">
        <f aca="false">IFERROR(IF(INDEX(2a_PRE_TRABAJO!$G$5:$G$51,MATCH($A32,2a_PRE_TRABAJO!$A$5:$A$51,0))="","",INDEX(2a_PRE_TRABAJO!$G$5:$G$51,MATCH($A32,2a_PRE_TRABAJO!$A$5:$A$51,0))),"")</f>
        <v>46260</v>
      </c>
      <c r="I32" s="24" t="n">
        <f aca="false">IFERROR(IF(INDEX(2b_POST_TRABAJO!$C$5:$C$48,MATCH($A32,2b_POST_TRABAJO!$A$5:$A$48,0))="","",INDEX(2b_POST_TRABAJO!$C$5:$C$48,MATCH($A32,2b_POST_TRABAJO!$A$5:$A$48,0))),"")</f>
        <v>46309</v>
      </c>
      <c r="J32" s="25" t="n">
        <f aca="false">IFERROR(IF(INDEX(2a_PRE_TRABAJO!$H$5:$H$51,MATCH($A32,2a_PRE_TRABAJO!$A$5:$A$51,0))="","",INDEX(2a_PRE_TRABAJO!$H$5:$H$51,MATCH($A32,2a_PRE_TRABAJO!$A$5:$A$51,0))),"")</f>
        <v>12.8</v>
      </c>
      <c r="K32" s="25" t="n">
        <f aca="false">IFERROR(IF(INDEX(2b_POST_TRABAJO!$D$5:$D$48,MATCH($A32,2b_POST_TRABAJO!$A$5:$A$48,0))="","",INDEX(2b_POST_TRABAJO!$D$5:$D$48,MATCH($A32,2b_POST_TRABAJO!$A$5:$A$48,0))),"")</f>
        <v>13.3</v>
      </c>
      <c r="L32" s="26" t="n">
        <f aca="false">IFERROR(IF(INDEX(2a_PRE_TRABAJO!$I$5:$I$51,MATCH($A32,2a_PRE_TRABAJO!$A$5:$A$51,0))="","",INDEX(2a_PRE_TRABAJO!$I$5:$I$51,MATCH($A32,2a_PRE_TRABAJO!$A$5:$A$51,0))),"")</f>
        <v>61</v>
      </c>
      <c r="M32" s="26" t="n">
        <f aca="false">IFERROR(IF(INDEX(2b_POST_TRABAJO!$E$5:$E$48,MATCH($A32,2b_POST_TRABAJO!$A$5:$A$48,0))="","",INDEX(2b_POST_TRABAJO!$E$5:$E$48,MATCH($A32,2b_POST_TRABAJO!$A$5:$A$48,0))),"")</f>
        <v>63</v>
      </c>
      <c r="N32" s="19" t="n">
        <f aca="false">IFERROR(IF(INDEX(2a_PRE_TRABAJO!$J$5:$J$51,MATCH($A32,2a_PRE_TRABAJO!$A$5:$A$51,0))="","",INDEX(2a_PRE_TRABAJO!$J$5:$J$51,MATCH($A32,2a_PRE_TRABAJO!$A$5:$A$51,0))),"")</f>
        <v>4</v>
      </c>
      <c r="O32" s="19" t="n">
        <f aca="false">IFERROR(IF(INDEX(2a_PRE_TRABAJO!$K$5:$K$51,MATCH($A32,2a_PRE_TRABAJO!$A$5:$A$51,0))="","",INDEX(2a_PRE_TRABAJO!$K$5:$K$51,MATCH($A32,2a_PRE_TRABAJO!$A$5:$A$51,0))),"")</f>
        <v>3</v>
      </c>
      <c r="P32" s="19" t="n">
        <f aca="false">IFERROR(IF(INDEX(2a_PRE_TRABAJO!$L$5:$L$51,MATCH($A32,2a_PRE_TRABAJO!$A$5:$A$51,0))="","",INDEX(2a_PRE_TRABAJO!$L$5:$L$51,MATCH($A32,2a_PRE_TRABAJO!$A$5:$A$51,0))),"")</f>
        <v>2</v>
      </c>
      <c r="Q32" s="19" t="n">
        <f aca="false">IF(IFERROR(IF(INDEX(2a_PRE_TRABAJO!$M$5:$M$51,MATCH($A32,2a_PRE_TRABAJO!$A$5:$A$51,0))="","",INDEX(2a_PRE_TRABAJO!$M$5:$M$51,MATCH($A32,2a_PRE_TRABAJO!$A$5:$A$51,0))),"")="","",IFERROR(6-IFERROR(IF(INDEX(2a_PRE_TRABAJO!$M$5:$M$51,MATCH($A32,2a_PRE_TRABAJO!$A$5:$A$51,0))="","",INDEX(2a_PRE_TRABAJO!$M$5:$M$51,MATCH($A32,2a_PRE_TRABAJO!$A$5:$A$51,0))),""),"REVISAR"))</f>
        <v>5</v>
      </c>
      <c r="R32" s="19" t="n">
        <f aca="false">IFERROR(IF(INDEX(2a_PRE_TRABAJO!$N$5:$N$51,MATCH($A32,2a_PRE_TRABAJO!$A$5:$A$51,0))="","",INDEX(2a_PRE_TRABAJO!$N$5:$N$51,MATCH($A32,2a_PRE_TRABAJO!$A$5:$A$51,0))),"")</f>
        <v>4</v>
      </c>
      <c r="S32" s="19" t="n">
        <f aca="false">IFERROR(IF(INDEX(2a_PRE_TRABAJO!$O$5:$O$51,MATCH($A32,2a_PRE_TRABAJO!$A$5:$A$51,0))="","",INDEX(2a_PRE_TRABAJO!$O$5:$O$51,MATCH($A32,2a_PRE_TRABAJO!$A$5:$A$51,0))),"")</f>
        <v>2</v>
      </c>
      <c r="T32" s="19" t="n">
        <f aca="false">IFERROR(IF(INDEX(2a_PRE_TRABAJO!$P$5:$P$51,MATCH($A32,2a_PRE_TRABAJO!$A$5:$A$51,0))="","",INDEX(2a_PRE_TRABAJO!$P$5:$P$51,MATCH($A32,2a_PRE_TRABAJO!$A$5:$A$51,0))),"")</f>
        <v>3</v>
      </c>
      <c r="U32" s="19" t="n">
        <f aca="false">IFERROR(IF(INDEX(2a_PRE_TRABAJO!$Q$5:$Q$51,MATCH($A32,2a_PRE_TRABAJO!$A$5:$A$51,0))="","",INDEX(2a_PRE_TRABAJO!$Q$5:$Q$51,MATCH($A32,2a_PRE_TRABAJO!$A$5:$A$51,0))),"")</f>
        <v>4</v>
      </c>
      <c r="V32" s="19" t="n">
        <f aca="false">IFERROR(IF(INDEX(2a_PRE_TRABAJO!$R$5:$R$51,MATCH($A32,2a_PRE_TRABAJO!$A$5:$A$51,0))="","",INDEX(2a_PRE_TRABAJO!$R$5:$R$51,MATCH($A32,2a_PRE_TRABAJO!$A$5:$A$51,0))),"")</f>
        <v>5</v>
      </c>
      <c r="W32" s="19" t="n">
        <f aca="false">IFERROR(IF(INDEX(2a_PRE_TRABAJO!$S$5:$S$51,MATCH($A32,2a_PRE_TRABAJO!$A$5:$A$51,0))="","",INDEX(2a_PRE_TRABAJO!$S$5:$S$51,MATCH($A32,2a_PRE_TRABAJO!$A$5:$A$51,0))),"")</f>
        <v>4</v>
      </c>
      <c r="X32" s="19" t="n">
        <f aca="false">IFERROR(IF(INDEX(2a_PRE_TRABAJO!$T$5:$T$51,MATCH($A32,2a_PRE_TRABAJO!$A$5:$A$51,0))="","",INDEX(2a_PRE_TRABAJO!$T$5:$T$51,MATCH($A32,2a_PRE_TRABAJO!$A$5:$A$51,0))),"")</f>
        <v>4</v>
      </c>
      <c r="Y32" s="19" t="n">
        <f aca="false">IF(IFERROR(IF(INDEX(2a_PRE_TRABAJO!$U$5:$U$51,MATCH($A32,2a_PRE_TRABAJO!$A$5:$A$51,0))="","",INDEX(2a_PRE_TRABAJO!$U$5:$U$51,MATCH($A32,2a_PRE_TRABAJO!$A$5:$A$51,0))),"")="","",IFERROR(6-IFERROR(IF(INDEX(2a_PRE_TRABAJO!$U$5:$U$51,MATCH($A32,2a_PRE_TRABAJO!$A$5:$A$51,0))="","",INDEX(2a_PRE_TRABAJO!$U$5:$U$51,MATCH($A32,2a_PRE_TRABAJO!$A$5:$A$51,0))),""),"REVISAR"))</f>
        <v>3</v>
      </c>
      <c r="Z32" s="19" t="n">
        <f aca="false">IFERROR(IF(INDEX(2a_PRE_TRABAJO!$V$5:$V$51,MATCH($A32,2a_PRE_TRABAJO!$A$5:$A$51,0))="","",INDEX(2a_PRE_TRABAJO!$V$5:$V$51,MATCH($A32,2a_PRE_TRABAJO!$A$5:$A$51,0))),"")</f>
        <v>4</v>
      </c>
      <c r="AA32" s="19" t="n">
        <f aca="false">IFERROR(IF(INDEX(2a_PRE_TRABAJO!$W$5:$W$51,MATCH($A32,2a_PRE_TRABAJO!$A$5:$A$51,0))="","",INDEX(2a_PRE_TRABAJO!$W$5:$W$51,MATCH($A32,2a_PRE_TRABAJO!$A$5:$A$51,0))),"")</f>
        <v>3</v>
      </c>
      <c r="AB32" s="19" t="n">
        <f aca="false">IFERROR(IF(INDEX(2a_PRE_TRABAJO!$X$5:$X$51,MATCH($A32,2a_PRE_TRABAJO!$A$5:$A$51,0))="","",INDEX(2a_PRE_TRABAJO!$X$5:$X$51,MATCH($A32,2a_PRE_TRABAJO!$A$5:$A$51,0))),"")</f>
        <v>3</v>
      </c>
      <c r="AC32" s="19" t="n">
        <f aca="false">IFERROR(IF(INDEX(2b_POST_TRABAJO!$F$5:$F$48,MATCH($A32,2b_POST_TRABAJO!$A$5:$A$48,0))="","",INDEX(2b_POST_TRABAJO!$F$5:$F$48,MATCH($A32,2b_POST_TRABAJO!$A$5:$A$48,0))),"")</f>
        <v>4</v>
      </c>
      <c r="AD32" s="19" t="n">
        <f aca="false">IFERROR(IF(INDEX(2b_POST_TRABAJO!$G$5:$G$48,MATCH($A32,2b_POST_TRABAJO!$A$5:$A$48,0))="","",INDEX(2b_POST_TRABAJO!$G$5:$G$48,MATCH($A32,2b_POST_TRABAJO!$A$5:$A$48,0))),"")</f>
        <v>2</v>
      </c>
      <c r="AE32" s="19" t="n">
        <f aca="false">IFERROR(IF(INDEX(2b_POST_TRABAJO!$H$5:$H$48,MATCH($A32,2b_POST_TRABAJO!$A$5:$A$48,0))="","",INDEX(2b_POST_TRABAJO!$H$5:$H$48,MATCH($A32,2b_POST_TRABAJO!$A$5:$A$48,0))),"")</f>
        <v>5</v>
      </c>
      <c r="AF32" s="19" t="n">
        <f aca="false">IF(IFERROR(IF(INDEX(2b_POST_TRABAJO!$I$5:$I$48,MATCH($A32,2b_POST_TRABAJO!$A$5:$A$48,0))="","",INDEX(2b_POST_TRABAJO!$I$5:$I$48,MATCH($A32,2b_POST_TRABAJO!$A$5:$A$48,0))),"")="","",IFERROR(6-IFERROR(IF(INDEX(2b_POST_TRABAJO!$I$5:$I$48,MATCH($A32,2b_POST_TRABAJO!$A$5:$A$48,0))="","",INDEX(2b_POST_TRABAJO!$I$5:$I$48,MATCH($A32,2b_POST_TRABAJO!$A$5:$A$48,0))),""),"REVISAR"))</f>
        <v>3</v>
      </c>
      <c r="AG32" s="19" t="n">
        <f aca="false">IFERROR(IF(INDEX(2b_POST_TRABAJO!$J$5:$J$48,MATCH($A32,2b_POST_TRABAJO!$A$5:$A$48,0))="","",INDEX(2b_POST_TRABAJO!$J$5:$J$48,MATCH($A32,2b_POST_TRABAJO!$A$5:$A$48,0))),"")</f>
        <v>4</v>
      </c>
      <c r="AH32" s="19" t="n">
        <f aca="false">IFERROR(IF(INDEX(2b_POST_TRABAJO!$K$5:$K$48,MATCH($A32,2b_POST_TRABAJO!$A$5:$A$48,0))="","",INDEX(2b_POST_TRABAJO!$K$5:$K$48,MATCH($A32,2b_POST_TRABAJO!$A$5:$A$48,0))),"")</f>
        <v>3</v>
      </c>
      <c r="AI32" s="19" t="n">
        <f aca="false">IFERROR(IF(INDEX(2b_POST_TRABAJO!$L$5:$L$48,MATCH($A32,2b_POST_TRABAJO!$A$5:$A$48,0))="","",INDEX(2b_POST_TRABAJO!$L$5:$L$48,MATCH($A32,2b_POST_TRABAJO!$A$5:$A$48,0))),"")</f>
        <v>3</v>
      </c>
      <c r="AJ32" s="19" t="n">
        <f aca="false">IFERROR(IF(INDEX(2b_POST_TRABAJO!$M$5:$M$48,MATCH($A32,2b_POST_TRABAJO!$A$5:$A$48,0))="","",INDEX(2b_POST_TRABAJO!$M$5:$M$48,MATCH($A32,2b_POST_TRABAJO!$A$5:$A$48,0))),"")</f>
        <v>2</v>
      </c>
      <c r="AK32" s="19" t="n">
        <f aca="false">IFERROR(IF(INDEX(2b_POST_TRABAJO!$N$5:$N$48,MATCH($A32,2b_POST_TRABAJO!$A$5:$A$48,0))="","",INDEX(2b_POST_TRABAJO!$N$5:$N$48,MATCH($A32,2b_POST_TRABAJO!$A$5:$A$48,0))),"")</f>
        <v>4</v>
      </c>
      <c r="AL32" s="19" t="n">
        <f aca="false">IFERROR(IF(INDEX(2b_POST_TRABAJO!$O$5:$O$48,MATCH($A32,2b_POST_TRABAJO!$A$5:$A$48,0))="","",INDEX(2b_POST_TRABAJO!$O$5:$O$48,MATCH($A32,2b_POST_TRABAJO!$A$5:$A$48,0))),"")</f>
        <v>3</v>
      </c>
      <c r="AM32" s="19" t="n">
        <f aca="false">IFERROR(IF(INDEX(2b_POST_TRABAJO!$P$5:$P$48,MATCH($A32,2b_POST_TRABAJO!$A$5:$A$48,0))="","",INDEX(2b_POST_TRABAJO!$P$5:$P$48,MATCH($A32,2b_POST_TRABAJO!$A$5:$A$48,0))),"")</f>
        <v>4</v>
      </c>
      <c r="AN32" s="19" t="n">
        <f aca="false">IF(IFERROR(IF(INDEX(2b_POST_TRABAJO!$Q$5:$Q$48,MATCH($A32,2b_POST_TRABAJO!$A$5:$A$48,0))="","",INDEX(2b_POST_TRABAJO!$Q$5:$Q$48,MATCH($A32,2b_POST_TRABAJO!$A$5:$A$48,0))),"")="","",IFERROR(6-IFERROR(IF(INDEX(2b_POST_TRABAJO!$Q$5:$Q$48,MATCH($A32,2b_POST_TRABAJO!$A$5:$A$48,0))="","",INDEX(2b_POST_TRABAJO!$Q$5:$Q$48,MATCH($A32,2b_POST_TRABAJO!$A$5:$A$48,0))),""),"REVISAR"))</f>
        <v>3</v>
      </c>
      <c r="AO32" s="19" t="n">
        <f aca="false">IFERROR(IF(INDEX(2b_POST_TRABAJO!$R$5:$R$48,MATCH($A32,2b_POST_TRABAJO!$A$5:$A$48,0))="","",INDEX(2b_POST_TRABAJO!$R$5:$R$48,MATCH($A32,2b_POST_TRABAJO!$A$5:$A$48,0))),"")</f>
        <v>3</v>
      </c>
      <c r="AP32" s="19" t="n">
        <f aca="false">IFERROR(IF(INDEX(2b_POST_TRABAJO!$S$5:$S$48,MATCH($A32,2b_POST_TRABAJO!$A$5:$A$48,0))="","",INDEX(2b_POST_TRABAJO!$S$5:$S$48,MATCH($A32,2b_POST_TRABAJO!$A$5:$A$48,0))),"")</f>
        <v>4</v>
      </c>
      <c r="AQ32" s="19" t="n">
        <f aca="false">IFERROR(IF(INDEX(2b_POST_TRABAJO!$T$5:$T$48,MATCH($A32,2b_POST_TRABAJO!$A$5:$A$48,0))="","",INDEX(2b_POST_TRABAJO!$T$5:$T$48,MATCH($A32,2b_POST_TRABAJO!$A$5:$A$48,0))),"")</f>
        <v>4</v>
      </c>
      <c r="AR32" s="27" t="n">
        <f aca="false">IF(COUNT(N32:R32)&lt;5,"",IFERROR(ROUND(AVERAGE(N32:R32),2),"REVISAR"))</f>
        <v>3.6</v>
      </c>
      <c r="AS32" s="27" t="n">
        <f aca="false">IF(COUNT(S32:W32)&lt;5,"",IFERROR(ROUND(AVERAGE(S32:W32),2),"REVISAR"))</f>
        <v>3.6</v>
      </c>
      <c r="AT32" s="27" t="n">
        <f aca="false">IF(COUNT(X32:AB32)&lt;5,"",IFERROR(ROUND(AVERAGE(X32:AB32),2),"REVISAR"))</f>
        <v>3.4</v>
      </c>
      <c r="AU32" s="11" t="n">
        <f aca="false">IF(COUNT(N32:AB32)&lt;15,"",IFERROR(SUM(N32:AB32),"REVISAR"))</f>
        <v>53</v>
      </c>
      <c r="AV32" s="18" t="n">
        <f aca="false">IF(AU32="","",IF(ISNUMBER(AU32),IF(AU32&lt;=35,1,IF(AU32&lt;=55,2,3)),"REVISAR"))</f>
        <v>2</v>
      </c>
      <c r="AW32" s="27" t="n">
        <f aca="false">IF(COUNT(AC32:AG32)&lt;5,"",IFERROR(ROUND(AVERAGE(AC32:AG32),2),"REVISAR"))</f>
        <v>3.6</v>
      </c>
      <c r="AX32" s="27" t="n">
        <f aca="false">IF(COUNT(AH32:AL32)&lt;5,"",IFERROR(ROUND(AVERAGE(AH32:AL32),2),"REVISAR"))</f>
        <v>3</v>
      </c>
      <c r="AY32" s="27" t="n">
        <f aca="false">IF(COUNT(AM32:AQ32)&lt;5,"",IFERROR(ROUND(AVERAGE(AM32:AQ32),2),"REVISAR"))</f>
        <v>3.6</v>
      </c>
      <c r="AZ32" s="11" t="n">
        <f aca="false">IF(COUNT(AC32:AQ32)&lt;15,"",IFERROR(SUM(AC32:AQ32),"REVISAR"))</f>
        <v>51</v>
      </c>
      <c r="BA32" s="18" t="n">
        <f aca="false">IF(AZ32="","",IF(ISNUMBER(AZ32),IF(AZ32&lt;=35,1,IF(AZ32&lt;=55,2,3)),"REVISAR"))</f>
        <v>2</v>
      </c>
      <c r="BB32" s="28" t="n">
        <f aca="false">IF(OR(J32="",K32=""),"",IFERROR(ROUND(K32-J32,1),"REVISAR"))</f>
        <v>0.5</v>
      </c>
      <c r="BC32" s="11" t="n">
        <f aca="false">IF(OR(L32="",M32=""),"",IFERROR(M32-L32,"REVISAR"))</f>
        <v>2</v>
      </c>
      <c r="BD32" s="11" t="n">
        <f aca="false">IF(OR(AU32="",AZ32=""),"",IFERROR(AZ32-AU32,"REVISAR"))</f>
        <v>-2</v>
      </c>
      <c r="BE32" s="23"/>
      <c r="BF32" s="21"/>
    </row>
    <row r="33" customFormat="false" ht="15" hidden="false" customHeight="false" outlineLevel="0" collapsed="false">
      <c r="A33" s="17" t="s">
        <v>84</v>
      </c>
      <c r="B33" s="23" t="n">
        <v>1</v>
      </c>
      <c r="C33" s="19" t="n">
        <f aca="false">IFERROR(IF(INDEX(2a_PRE_TRABAJO!$B$5:$B$51,MATCH($A33,2a_PRE_TRABAJO!$A$5:$A$51,0))="","",INDEX(2a_PRE_TRABAJO!$B$5:$B$51,MATCH($A33,2a_PRE_TRABAJO!$A$5:$A$51,0))),"")</f>
        <v>2</v>
      </c>
      <c r="D33" s="19" t="n">
        <f aca="false">IFERROR(IF(INDEX(2a_PRE_TRABAJO!$C$5:$C$51,MATCH($A33,2a_PRE_TRABAJO!$A$5:$A$51,0))="","",INDEX(2a_PRE_TRABAJO!$C$5:$C$51,MATCH($A33,2a_PRE_TRABAJO!$A$5:$A$51,0))),"")</f>
        <v>2</v>
      </c>
      <c r="E33" s="19" t="n">
        <f aca="false">IFERROR(IF(INDEX(2a_PRE_TRABAJO!$D$5:$D$51,MATCH($A33,2a_PRE_TRABAJO!$A$5:$A$51,0))="","",INDEX(2a_PRE_TRABAJO!$D$5:$D$51,MATCH($A33,2a_PRE_TRABAJO!$A$5:$A$51,0))),"")</f>
        <v>43</v>
      </c>
      <c r="F33" s="19" t="n">
        <f aca="false">IFERROR(IF(INDEX(2a_PRE_TRABAJO!$E$5:$E$51,MATCH($A33,2a_PRE_TRABAJO!$A$5:$A$51,0))="","",INDEX(2a_PRE_TRABAJO!$E$5:$E$51,MATCH($A33,2a_PRE_TRABAJO!$A$5:$A$51,0))),"")</f>
        <v>8</v>
      </c>
      <c r="G33" s="19" t="str">
        <f aca="false">IFERROR(IF(INDEX(2a_PRE_TRABAJO!$F$5:$F$51,MATCH($A33,2a_PRE_TRABAJO!$A$5:$A$51,0))="","",INDEX(2a_PRE_TRABAJO!$F$5:$F$51,MATCH($A33,2a_PRE_TRABAJO!$A$5:$A$51,0))),"")</f>
        <v>Auxiliar</v>
      </c>
      <c r="H33" s="24" t="n">
        <f aca="false">IFERROR(IF(INDEX(2a_PRE_TRABAJO!$G$5:$G$51,MATCH($A33,2a_PRE_TRABAJO!$A$5:$A$51,0))="","",INDEX(2a_PRE_TRABAJO!$G$5:$G$51,MATCH($A33,2a_PRE_TRABAJO!$A$5:$A$51,0))),"")</f>
        <v>46261</v>
      </c>
      <c r="I33" s="24" t="n">
        <f aca="false">IFERROR(IF(INDEX(2b_POST_TRABAJO!$C$5:$C$48,MATCH($A33,2b_POST_TRABAJO!$A$5:$A$48,0))="","",INDEX(2b_POST_TRABAJO!$C$5:$C$48,MATCH($A33,2b_POST_TRABAJO!$A$5:$A$48,0))),"")</f>
        <v>46310</v>
      </c>
      <c r="J33" s="25" t="n">
        <f aca="false">IFERROR(IF(INDEX(2a_PRE_TRABAJO!$H$5:$H$51,MATCH($A33,2a_PRE_TRABAJO!$A$5:$A$51,0))="","",INDEX(2a_PRE_TRABAJO!$H$5:$H$51,MATCH($A33,2a_PRE_TRABAJO!$A$5:$A$51,0))),"")</f>
        <v>11.3</v>
      </c>
      <c r="K33" s="25" t="n">
        <f aca="false">IFERROR(IF(INDEX(2b_POST_TRABAJO!$D$5:$D$48,MATCH($A33,2b_POST_TRABAJO!$A$5:$A$48,0))="","",INDEX(2b_POST_TRABAJO!$D$5:$D$48,MATCH($A33,2b_POST_TRABAJO!$A$5:$A$48,0))),"")</f>
        <v>10.7</v>
      </c>
      <c r="L33" s="26" t="n">
        <f aca="false">IFERROR(IF(INDEX(2a_PRE_TRABAJO!$I$5:$I$51,MATCH($A33,2a_PRE_TRABAJO!$A$5:$A$51,0))="","",INDEX(2a_PRE_TRABAJO!$I$5:$I$51,MATCH($A33,2a_PRE_TRABAJO!$A$5:$A$51,0))),"")</f>
        <v>59</v>
      </c>
      <c r="M33" s="26" t="n">
        <f aca="false">IFERROR(IF(INDEX(2b_POST_TRABAJO!$E$5:$E$48,MATCH($A33,2b_POST_TRABAJO!$A$5:$A$48,0))="","",INDEX(2b_POST_TRABAJO!$E$5:$E$48,MATCH($A33,2b_POST_TRABAJO!$A$5:$A$48,0))),"")</f>
        <v>53</v>
      </c>
      <c r="N33" s="19" t="n">
        <f aca="false">IFERROR(IF(INDEX(2a_PRE_TRABAJO!$J$5:$J$51,MATCH($A33,2a_PRE_TRABAJO!$A$5:$A$51,0))="","",INDEX(2a_PRE_TRABAJO!$J$5:$J$51,MATCH($A33,2a_PRE_TRABAJO!$A$5:$A$51,0))),"")</f>
        <v>1</v>
      </c>
      <c r="O33" s="19" t="n">
        <f aca="false">IFERROR(IF(INDEX(2a_PRE_TRABAJO!$K$5:$K$51,MATCH($A33,2a_PRE_TRABAJO!$A$5:$A$51,0))="","",INDEX(2a_PRE_TRABAJO!$K$5:$K$51,MATCH($A33,2a_PRE_TRABAJO!$A$5:$A$51,0))),"")</f>
        <v>3</v>
      </c>
      <c r="P33" s="19" t="n">
        <f aca="false">IFERROR(IF(INDEX(2a_PRE_TRABAJO!$L$5:$L$51,MATCH($A33,2a_PRE_TRABAJO!$A$5:$A$51,0))="","",INDEX(2a_PRE_TRABAJO!$L$5:$L$51,MATCH($A33,2a_PRE_TRABAJO!$A$5:$A$51,0))),"")</f>
        <v>3</v>
      </c>
      <c r="Q33" s="19" t="n">
        <f aca="false">IF(IFERROR(IF(INDEX(2a_PRE_TRABAJO!$M$5:$M$51,MATCH($A33,2a_PRE_TRABAJO!$A$5:$A$51,0))="","",INDEX(2a_PRE_TRABAJO!$M$5:$M$51,MATCH($A33,2a_PRE_TRABAJO!$A$5:$A$51,0))),"")="","",IFERROR(6-IFERROR(IF(INDEX(2a_PRE_TRABAJO!$M$5:$M$51,MATCH($A33,2a_PRE_TRABAJO!$A$5:$A$51,0))="","",INDEX(2a_PRE_TRABAJO!$M$5:$M$51,MATCH($A33,2a_PRE_TRABAJO!$A$5:$A$51,0))),""),"REVISAR"))</f>
        <v>2</v>
      </c>
      <c r="R33" s="19" t="n">
        <f aca="false">IFERROR(IF(INDEX(2a_PRE_TRABAJO!$N$5:$N$51,MATCH($A33,2a_PRE_TRABAJO!$A$5:$A$51,0))="","",INDEX(2a_PRE_TRABAJO!$N$5:$N$51,MATCH($A33,2a_PRE_TRABAJO!$A$5:$A$51,0))),"")</f>
        <v>3</v>
      </c>
      <c r="S33" s="19" t="n">
        <f aca="false">IFERROR(IF(INDEX(2a_PRE_TRABAJO!$O$5:$O$51,MATCH($A33,2a_PRE_TRABAJO!$A$5:$A$51,0))="","",INDEX(2a_PRE_TRABAJO!$O$5:$O$51,MATCH($A33,2a_PRE_TRABAJO!$A$5:$A$51,0))),"")</f>
        <v>3</v>
      </c>
      <c r="T33" s="19" t="n">
        <f aca="false">IFERROR(IF(INDEX(2a_PRE_TRABAJO!$P$5:$P$51,MATCH($A33,2a_PRE_TRABAJO!$A$5:$A$51,0))="","",INDEX(2a_PRE_TRABAJO!$P$5:$P$51,MATCH($A33,2a_PRE_TRABAJO!$A$5:$A$51,0))),"")</f>
        <v>2</v>
      </c>
      <c r="U33" s="19" t="n">
        <f aca="false">IFERROR(IF(INDEX(2a_PRE_TRABAJO!$Q$5:$Q$51,MATCH($A33,2a_PRE_TRABAJO!$A$5:$A$51,0))="","",INDEX(2a_PRE_TRABAJO!$Q$5:$Q$51,MATCH($A33,2a_PRE_TRABAJO!$A$5:$A$51,0))),"")</f>
        <v>2</v>
      </c>
      <c r="V33" s="19" t="n">
        <f aca="false">IFERROR(IF(INDEX(2a_PRE_TRABAJO!$R$5:$R$51,MATCH($A33,2a_PRE_TRABAJO!$A$5:$A$51,0))="","",INDEX(2a_PRE_TRABAJO!$R$5:$R$51,MATCH($A33,2a_PRE_TRABAJO!$A$5:$A$51,0))),"")</f>
        <v>2</v>
      </c>
      <c r="W33" s="19" t="n">
        <f aca="false">IFERROR(IF(INDEX(2a_PRE_TRABAJO!$S$5:$S$51,MATCH($A33,2a_PRE_TRABAJO!$A$5:$A$51,0))="","",INDEX(2a_PRE_TRABAJO!$S$5:$S$51,MATCH($A33,2a_PRE_TRABAJO!$A$5:$A$51,0))),"")</f>
        <v>4</v>
      </c>
      <c r="X33" s="19" t="n">
        <f aca="false">IFERROR(IF(INDEX(2a_PRE_TRABAJO!$T$5:$T$51,MATCH($A33,2a_PRE_TRABAJO!$A$5:$A$51,0))="","",INDEX(2a_PRE_TRABAJO!$T$5:$T$51,MATCH($A33,2a_PRE_TRABAJO!$A$5:$A$51,0))),"")</f>
        <v>2</v>
      </c>
      <c r="Y33" s="19" t="n">
        <f aca="false">IF(IFERROR(IF(INDEX(2a_PRE_TRABAJO!$U$5:$U$51,MATCH($A33,2a_PRE_TRABAJO!$A$5:$A$51,0))="","",INDEX(2a_PRE_TRABAJO!$U$5:$U$51,MATCH($A33,2a_PRE_TRABAJO!$A$5:$A$51,0))),"")="","",IFERROR(6-IFERROR(IF(INDEX(2a_PRE_TRABAJO!$U$5:$U$51,MATCH($A33,2a_PRE_TRABAJO!$A$5:$A$51,0))="","",INDEX(2a_PRE_TRABAJO!$U$5:$U$51,MATCH($A33,2a_PRE_TRABAJO!$A$5:$A$51,0))),""),"REVISAR"))</f>
        <v>3</v>
      </c>
      <c r="Z33" s="19" t="n">
        <f aca="false">IFERROR(IF(INDEX(2a_PRE_TRABAJO!$V$5:$V$51,MATCH($A33,2a_PRE_TRABAJO!$A$5:$A$51,0))="","",INDEX(2a_PRE_TRABAJO!$V$5:$V$51,MATCH($A33,2a_PRE_TRABAJO!$A$5:$A$51,0))),"")</f>
        <v>3</v>
      </c>
      <c r="AA33" s="19" t="n">
        <f aca="false">IFERROR(IF(INDEX(2a_PRE_TRABAJO!$W$5:$W$51,MATCH($A33,2a_PRE_TRABAJO!$A$5:$A$51,0))="","",INDEX(2a_PRE_TRABAJO!$W$5:$W$51,MATCH($A33,2a_PRE_TRABAJO!$A$5:$A$51,0))),"")</f>
        <v>2</v>
      </c>
      <c r="AB33" s="19" t="n">
        <f aca="false">IFERROR(IF(INDEX(2a_PRE_TRABAJO!$X$5:$X$51,MATCH($A33,2a_PRE_TRABAJO!$A$5:$A$51,0))="","",INDEX(2a_PRE_TRABAJO!$X$5:$X$51,MATCH($A33,2a_PRE_TRABAJO!$A$5:$A$51,0))),"")</f>
        <v>2</v>
      </c>
      <c r="AC33" s="19" t="n">
        <f aca="false">IFERROR(IF(INDEX(2b_POST_TRABAJO!$F$5:$F$48,MATCH($A33,2b_POST_TRABAJO!$A$5:$A$48,0))="","",INDEX(2b_POST_TRABAJO!$F$5:$F$48,MATCH($A33,2b_POST_TRABAJO!$A$5:$A$48,0))),"")</f>
        <v>3</v>
      </c>
      <c r="AD33" s="19" t="n">
        <f aca="false">IFERROR(IF(INDEX(2b_POST_TRABAJO!$G$5:$G$48,MATCH($A33,2b_POST_TRABAJO!$A$5:$A$48,0))="","",INDEX(2b_POST_TRABAJO!$G$5:$G$48,MATCH($A33,2b_POST_TRABAJO!$A$5:$A$48,0))),"")</f>
        <v>1</v>
      </c>
      <c r="AE33" s="19" t="n">
        <f aca="false">IFERROR(IF(INDEX(2b_POST_TRABAJO!$H$5:$H$48,MATCH($A33,2b_POST_TRABAJO!$A$5:$A$48,0))="","",INDEX(2b_POST_TRABAJO!$H$5:$H$48,MATCH($A33,2b_POST_TRABAJO!$A$5:$A$48,0))),"")</f>
        <v>3</v>
      </c>
      <c r="AF33" s="19" t="n">
        <f aca="false">IF(IFERROR(IF(INDEX(2b_POST_TRABAJO!$I$5:$I$48,MATCH($A33,2b_POST_TRABAJO!$A$5:$A$48,0))="","",INDEX(2b_POST_TRABAJO!$I$5:$I$48,MATCH($A33,2b_POST_TRABAJO!$A$5:$A$48,0))),"")="","",IFERROR(6-IFERROR(IF(INDEX(2b_POST_TRABAJO!$I$5:$I$48,MATCH($A33,2b_POST_TRABAJO!$A$5:$A$48,0))="","",INDEX(2b_POST_TRABAJO!$I$5:$I$48,MATCH($A33,2b_POST_TRABAJO!$A$5:$A$48,0))),""),"REVISAR"))</f>
        <v>3</v>
      </c>
      <c r="AG33" s="19" t="n">
        <f aca="false">IFERROR(IF(INDEX(2b_POST_TRABAJO!$J$5:$J$48,MATCH($A33,2b_POST_TRABAJO!$A$5:$A$48,0))="","",INDEX(2b_POST_TRABAJO!$J$5:$J$48,MATCH($A33,2b_POST_TRABAJO!$A$5:$A$48,0))),"")</f>
        <v>3</v>
      </c>
      <c r="AH33" s="19" t="n">
        <f aca="false">IFERROR(IF(INDEX(2b_POST_TRABAJO!$K$5:$K$48,MATCH($A33,2b_POST_TRABAJO!$A$5:$A$48,0))="","",INDEX(2b_POST_TRABAJO!$K$5:$K$48,MATCH($A33,2b_POST_TRABAJO!$A$5:$A$48,0))),"")</f>
        <v>3</v>
      </c>
      <c r="AI33" s="19" t="n">
        <f aca="false">IFERROR(IF(INDEX(2b_POST_TRABAJO!$L$5:$L$48,MATCH($A33,2b_POST_TRABAJO!$A$5:$A$48,0))="","",INDEX(2b_POST_TRABAJO!$L$5:$L$48,MATCH($A33,2b_POST_TRABAJO!$A$5:$A$48,0))),"")</f>
        <v>3</v>
      </c>
      <c r="AJ33" s="19" t="n">
        <f aca="false">IFERROR(IF(INDEX(2b_POST_TRABAJO!$M$5:$M$48,MATCH($A33,2b_POST_TRABAJO!$A$5:$A$48,0))="","",INDEX(2b_POST_TRABAJO!$M$5:$M$48,MATCH($A33,2b_POST_TRABAJO!$A$5:$A$48,0))),"")</f>
        <v>3</v>
      </c>
      <c r="AK33" s="19" t="n">
        <f aca="false">IFERROR(IF(INDEX(2b_POST_TRABAJO!$N$5:$N$48,MATCH($A33,2b_POST_TRABAJO!$A$5:$A$48,0))="","",INDEX(2b_POST_TRABAJO!$N$5:$N$48,MATCH($A33,2b_POST_TRABAJO!$A$5:$A$48,0))),"")</f>
        <v>3</v>
      </c>
      <c r="AL33" s="19" t="n">
        <f aca="false">IFERROR(IF(INDEX(2b_POST_TRABAJO!$O$5:$O$48,MATCH($A33,2b_POST_TRABAJO!$A$5:$A$48,0))="","",INDEX(2b_POST_TRABAJO!$O$5:$O$48,MATCH($A33,2b_POST_TRABAJO!$A$5:$A$48,0))),"")</f>
        <v>3</v>
      </c>
      <c r="AM33" s="19" t="n">
        <f aca="false">IFERROR(IF(INDEX(2b_POST_TRABAJO!$P$5:$P$48,MATCH($A33,2b_POST_TRABAJO!$A$5:$A$48,0))="","",INDEX(2b_POST_TRABAJO!$P$5:$P$48,MATCH($A33,2b_POST_TRABAJO!$A$5:$A$48,0))),"")</f>
        <v>1</v>
      </c>
      <c r="AN33" s="19" t="n">
        <f aca="false">IF(IFERROR(IF(INDEX(2b_POST_TRABAJO!$Q$5:$Q$48,MATCH($A33,2b_POST_TRABAJO!$A$5:$A$48,0))="","",INDEX(2b_POST_TRABAJO!$Q$5:$Q$48,MATCH($A33,2b_POST_TRABAJO!$A$5:$A$48,0))),"")="","",IFERROR(6-IFERROR(IF(INDEX(2b_POST_TRABAJO!$Q$5:$Q$48,MATCH($A33,2b_POST_TRABAJO!$A$5:$A$48,0))="","",INDEX(2b_POST_TRABAJO!$Q$5:$Q$48,MATCH($A33,2b_POST_TRABAJO!$A$5:$A$48,0))),""),"REVISAR"))</f>
        <v>3</v>
      </c>
      <c r="AO33" s="19" t="n">
        <f aca="false">IFERROR(IF(INDEX(2b_POST_TRABAJO!$R$5:$R$48,MATCH($A33,2b_POST_TRABAJO!$A$5:$A$48,0))="","",INDEX(2b_POST_TRABAJO!$R$5:$R$48,MATCH($A33,2b_POST_TRABAJO!$A$5:$A$48,0))),"")</f>
        <v>3</v>
      </c>
      <c r="AP33" s="19" t="n">
        <f aca="false">IFERROR(IF(INDEX(2b_POST_TRABAJO!$S$5:$S$48,MATCH($A33,2b_POST_TRABAJO!$A$5:$A$48,0))="","",INDEX(2b_POST_TRABAJO!$S$5:$S$48,MATCH($A33,2b_POST_TRABAJO!$A$5:$A$48,0))),"")</f>
        <v>4</v>
      </c>
      <c r="AQ33" s="19" t="n">
        <f aca="false">IFERROR(IF(INDEX(2b_POST_TRABAJO!$T$5:$T$48,MATCH($A33,2b_POST_TRABAJO!$A$5:$A$48,0))="","",INDEX(2b_POST_TRABAJO!$T$5:$T$48,MATCH($A33,2b_POST_TRABAJO!$A$5:$A$48,0))),"")</f>
        <v>3</v>
      </c>
      <c r="AR33" s="27" t="n">
        <f aca="false">IF(COUNT(N33:R33)&lt;5,"",IFERROR(ROUND(AVERAGE(N33:R33),2),"REVISAR"))</f>
        <v>2.4</v>
      </c>
      <c r="AS33" s="27" t="n">
        <f aca="false">IF(COUNT(S33:W33)&lt;5,"",IFERROR(ROUND(AVERAGE(S33:W33),2),"REVISAR"))</f>
        <v>2.6</v>
      </c>
      <c r="AT33" s="27" t="n">
        <f aca="false">IF(COUNT(X33:AB33)&lt;5,"",IFERROR(ROUND(AVERAGE(X33:AB33),2),"REVISAR"))</f>
        <v>2.4</v>
      </c>
      <c r="AU33" s="11" t="n">
        <f aca="false">IF(COUNT(N33:AB33)&lt;15,"",IFERROR(SUM(N33:AB33),"REVISAR"))</f>
        <v>37</v>
      </c>
      <c r="AV33" s="18" t="n">
        <f aca="false">IF(AU33="","",IF(ISNUMBER(AU33),IF(AU33&lt;=35,1,IF(AU33&lt;=55,2,3)),"REVISAR"))</f>
        <v>2</v>
      </c>
      <c r="AW33" s="27" t="n">
        <f aca="false">IF(COUNT(AC33:AG33)&lt;5,"",IFERROR(ROUND(AVERAGE(AC33:AG33),2),"REVISAR"))</f>
        <v>2.6</v>
      </c>
      <c r="AX33" s="27" t="n">
        <f aca="false">IF(COUNT(AH33:AL33)&lt;5,"",IFERROR(ROUND(AVERAGE(AH33:AL33),2),"REVISAR"))</f>
        <v>3</v>
      </c>
      <c r="AY33" s="27" t="n">
        <f aca="false">IF(COUNT(AM33:AQ33)&lt;5,"",IFERROR(ROUND(AVERAGE(AM33:AQ33),2),"REVISAR"))</f>
        <v>2.8</v>
      </c>
      <c r="AZ33" s="11" t="n">
        <f aca="false">IF(COUNT(AC33:AQ33)&lt;15,"",IFERROR(SUM(AC33:AQ33),"REVISAR"))</f>
        <v>42</v>
      </c>
      <c r="BA33" s="18" t="n">
        <f aca="false">IF(AZ33="","",IF(ISNUMBER(AZ33),IF(AZ33&lt;=35,1,IF(AZ33&lt;=55,2,3)),"REVISAR"))</f>
        <v>2</v>
      </c>
      <c r="BB33" s="28" t="n">
        <f aca="false">IF(OR(J33="",K33=""),"",IFERROR(ROUND(K33-J33,1),"REVISAR"))</f>
        <v>-0.6</v>
      </c>
      <c r="BC33" s="11" t="n">
        <f aca="false">IF(OR(L33="",M33=""),"",IFERROR(M33-L33,"REVISAR"))</f>
        <v>-6</v>
      </c>
      <c r="BD33" s="11" t="n">
        <f aca="false">IF(OR(AU33="",AZ33=""),"",IFERROR(AZ33-AU33,"REVISAR"))</f>
        <v>5</v>
      </c>
      <c r="BE33" s="23"/>
      <c r="BF33" s="21"/>
    </row>
    <row r="34" customFormat="false" ht="15" hidden="false" customHeight="false" outlineLevel="0" collapsed="false">
      <c r="A34" s="17" t="s">
        <v>85</v>
      </c>
      <c r="B34" s="23" t="n">
        <v>1</v>
      </c>
      <c r="C34" s="19" t="n">
        <f aca="false">IFERROR(IF(INDEX(2a_PRE_TRABAJO!$B$5:$B$51,MATCH($A34,2a_PRE_TRABAJO!$A$5:$A$51,0))="","",INDEX(2a_PRE_TRABAJO!$B$5:$B$51,MATCH($A34,2a_PRE_TRABAJO!$A$5:$A$51,0))),"")</f>
        <v>2</v>
      </c>
      <c r="D34" s="19" t="n">
        <f aca="false">IFERROR(IF(INDEX(2a_PRE_TRABAJO!$C$5:$C$51,MATCH($A34,2a_PRE_TRABAJO!$A$5:$A$51,0))="","",INDEX(2a_PRE_TRABAJO!$C$5:$C$51,MATCH($A34,2a_PRE_TRABAJO!$A$5:$A$51,0))),"")</f>
        <v>2</v>
      </c>
      <c r="E34" s="19" t="n">
        <f aca="false">IFERROR(IF(INDEX(2a_PRE_TRABAJO!$D$5:$D$51,MATCH($A34,2a_PRE_TRABAJO!$A$5:$A$51,0))="","",INDEX(2a_PRE_TRABAJO!$D$5:$D$51,MATCH($A34,2a_PRE_TRABAJO!$A$5:$A$51,0))),"")</f>
        <v>35</v>
      </c>
      <c r="F34" s="19" t="n">
        <f aca="false">IFERROR(IF(INDEX(2a_PRE_TRABAJO!$E$5:$E$51,MATCH($A34,2a_PRE_TRABAJO!$A$5:$A$51,0))="","",INDEX(2a_PRE_TRABAJO!$E$5:$E$51,MATCH($A34,2a_PRE_TRABAJO!$A$5:$A$51,0))),"")</f>
        <v>3</v>
      </c>
      <c r="G34" s="19" t="str">
        <f aca="false">IFERROR(IF(INDEX(2a_PRE_TRABAJO!$F$5:$F$51,MATCH($A34,2a_PRE_TRABAJO!$A$5:$A$51,0))="","",INDEX(2a_PRE_TRABAJO!$F$5:$F$51,MATCH($A34,2a_PRE_TRABAJO!$A$5:$A$51,0))),"")</f>
        <v>TÉCNICO</v>
      </c>
      <c r="H34" s="24" t="n">
        <f aca="false">IFERROR(IF(INDEX(2a_PRE_TRABAJO!$G$5:$G$51,MATCH($A34,2a_PRE_TRABAJO!$A$5:$A$51,0))="","",INDEX(2a_PRE_TRABAJO!$G$5:$G$51,MATCH($A34,2a_PRE_TRABAJO!$A$5:$A$51,0))),"")</f>
        <v>46262</v>
      </c>
      <c r="I34" s="24" t="n">
        <f aca="false">IFERROR(IF(INDEX(2b_POST_TRABAJO!$C$5:$C$48,MATCH($A34,2b_POST_TRABAJO!$A$5:$A$48,0))="","",INDEX(2b_POST_TRABAJO!$C$5:$C$48,MATCH($A34,2b_POST_TRABAJO!$A$5:$A$48,0))),"")</f>
        <v>46311</v>
      </c>
      <c r="J34" s="25" t="n">
        <f aca="false">IFERROR(IF(INDEX(2a_PRE_TRABAJO!$H$5:$H$51,MATCH($A34,2a_PRE_TRABAJO!$A$5:$A$51,0))="","",INDEX(2a_PRE_TRABAJO!$H$5:$H$51,MATCH($A34,2a_PRE_TRABAJO!$A$5:$A$51,0))),"")</f>
        <v>12.2</v>
      </c>
      <c r="K34" s="25" t="n">
        <f aca="false">IFERROR(IF(INDEX(2b_POST_TRABAJO!$D$5:$D$48,MATCH($A34,2b_POST_TRABAJO!$A$5:$A$48,0))="","",INDEX(2b_POST_TRABAJO!$D$5:$D$48,MATCH($A34,2b_POST_TRABAJO!$A$5:$A$48,0))),"")</f>
        <v>12</v>
      </c>
      <c r="L34" s="26" t="n">
        <f aca="false">IFERROR(IF(INDEX(2a_PRE_TRABAJO!$I$5:$I$51,MATCH($A34,2a_PRE_TRABAJO!$A$5:$A$51,0))="","",INDEX(2a_PRE_TRABAJO!$I$5:$I$51,MATCH($A34,2a_PRE_TRABAJO!$A$5:$A$51,0))),"")</f>
        <v>61</v>
      </c>
      <c r="M34" s="26" t="n">
        <f aca="false">IFERROR(IF(INDEX(2b_POST_TRABAJO!$E$5:$E$48,MATCH($A34,2b_POST_TRABAJO!$A$5:$A$48,0))="","",INDEX(2b_POST_TRABAJO!$E$5:$E$48,MATCH($A34,2b_POST_TRABAJO!$A$5:$A$48,0))),"")</f>
        <v>69</v>
      </c>
      <c r="N34" s="19" t="n">
        <f aca="false">IFERROR(IF(INDEX(2a_PRE_TRABAJO!$J$5:$J$51,MATCH($A34,2a_PRE_TRABAJO!$A$5:$A$51,0))="","",INDEX(2a_PRE_TRABAJO!$J$5:$J$51,MATCH($A34,2a_PRE_TRABAJO!$A$5:$A$51,0))),"")</f>
        <v>1</v>
      </c>
      <c r="O34" s="19" t="n">
        <f aca="false">IFERROR(IF(INDEX(2a_PRE_TRABAJO!$K$5:$K$51,MATCH($A34,2a_PRE_TRABAJO!$A$5:$A$51,0))="","",INDEX(2a_PRE_TRABAJO!$K$5:$K$51,MATCH($A34,2a_PRE_TRABAJO!$A$5:$A$51,0))),"")</f>
        <v>5</v>
      </c>
      <c r="P34" s="19" t="n">
        <f aca="false">IFERROR(IF(INDEX(2a_PRE_TRABAJO!$L$5:$L$51,MATCH($A34,2a_PRE_TRABAJO!$A$5:$A$51,0))="","",INDEX(2a_PRE_TRABAJO!$L$5:$L$51,MATCH($A34,2a_PRE_TRABAJO!$A$5:$A$51,0))),"")</f>
        <v>4</v>
      </c>
      <c r="Q34" s="19" t="n">
        <f aca="false">IF(IFERROR(IF(INDEX(2a_PRE_TRABAJO!$M$5:$M$51,MATCH($A34,2a_PRE_TRABAJO!$A$5:$A$51,0))="","",INDEX(2a_PRE_TRABAJO!$M$5:$M$51,MATCH($A34,2a_PRE_TRABAJO!$A$5:$A$51,0))),"")="","",IFERROR(6-IFERROR(IF(INDEX(2a_PRE_TRABAJO!$M$5:$M$51,MATCH($A34,2a_PRE_TRABAJO!$A$5:$A$51,0))="","",INDEX(2a_PRE_TRABAJO!$M$5:$M$51,MATCH($A34,2a_PRE_TRABAJO!$A$5:$A$51,0))),""),"REVISAR"))</f>
        <v>4</v>
      </c>
      <c r="R34" s="19" t="n">
        <f aca="false">IFERROR(IF(INDEX(2a_PRE_TRABAJO!$N$5:$N$51,MATCH($A34,2a_PRE_TRABAJO!$A$5:$A$51,0))="","",INDEX(2a_PRE_TRABAJO!$N$5:$N$51,MATCH($A34,2a_PRE_TRABAJO!$A$5:$A$51,0))),"")</f>
        <v>2</v>
      </c>
      <c r="S34" s="19" t="n">
        <f aca="false">IFERROR(IF(INDEX(2a_PRE_TRABAJO!$O$5:$O$51,MATCH($A34,2a_PRE_TRABAJO!$A$5:$A$51,0))="","",INDEX(2a_PRE_TRABAJO!$O$5:$O$51,MATCH($A34,2a_PRE_TRABAJO!$A$5:$A$51,0))),"")</f>
        <v>3</v>
      </c>
      <c r="T34" s="19" t="n">
        <f aca="false">IFERROR(IF(INDEX(2a_PRE_TRABAJO!$P$5:$P$51,MATCH($A34,2a_PRE_TRABAJO!$A$5:$A$51,0))="","",INDEX(2a_PRE_TRABAJO!$P$5:$P$51,MATCH($A34,2a_PRE_TRABAJO!$A$5:$A$51,0))),"")</f>
        <v>3</v>
      </c>
      <c r="U34" s="19" t="n">
        <f aca="false">IFERROR(IF(INDEX(2a_PRE_TRABAJO!$Q$5:$Q$51,MATCH($A34,2a_PRE_TRABAJO!$A$5:$A$51,0))="","",INDEX(2a_PRE_TRABAJO!$Q$5:$Q$51,MATCH($A34,2a_PRE_TRABAJO!$A$5:$A$51,0))),"")</f>
        <v>3</v>
      </c>
      <c r="V34" s="19" t="n">
        <f aca="false">IFERROR(IF(INDEX(2a_PRE_TRABAJO!$R$5:$R$51,MATCH($A34,2a_PRE_TRABAJO!$A$5:$A$51,0))="","",INDEX(2a_PRE_TRABAJO!$R$5:$R$51,MATCH($A34,2a_PRE_TRABAJO!$A$5:$A$51,0))),"")</f>
        <v>2</v>
      </c>
      <c r="W34" s="19" t="n">
        <f aca="false">IFERROR(IF(INDEX(2a_PRE_TRABAJO!$S$5:$S$51,MATCH($A34,2a_PRE_TRABAJO!$A$5:$A$51,0))="","",INDEX(2a_PRE_TRABAJO!$S$5:$S$51,MATCH($A34,2a_PRE_TRABAJO!$A$5:$A$51,0))),"")</f>
        <v>2</v>
      </c>
      <c r="X34" s="19" t="n">
        <f aca="false">IFERROR(IF(INDEX(2a_PRE_TRABAJO!$T$5:$T$51,MATCH($A34,2a_PRE_TRABAJO!$A$5:$A$51,0))="","",INDEX(2a_PRE_TRABAJO!$T$5:$T$51,MATCH($A34,2a_PRE_TRABAJO!$A$5:$A$51,0))),"")</f>
        <v>2</v>
      </c>
      <c r="Y34" s="19" t="n">
        <f aca="false">IF(IFERROR(IF(INDEX(2a_PRE_TRABAJO!$U$5:$U$51,MATCH($A34,2a_PRE_TRABAJO!$A$5:$A$51,0))="","",INDEX(2a_PRE_TRABAJO!$U$5:$U$51,MATCH($A34,2a_PRE_TRABAJO!$A$5:$A$51,0))),"")="","",IFERROR(6-IFERROR(IF(INDEX(2a_PRE_TRABAJO!$U$5:$U$51,MATCH($A34,2a_PRE_TRABAJO!$A$5:$A$51,0))="","",INDEX(2a_PRE_TRABAJO!$U$5:$U$51,MATCH($A34,2a_PRE_TRABAJO!$A$5:$A$51,0))),""),"REVISAR"))</f>
        <v>4</v>
      </c>
      <c r="Z34" s="19" t="n">
        <f aca="false">IFERROR(IF(INDEX(2a_PRE_TRABAJO!$V$5:$V$51,MATCH($A34,2a_PRE_TRABAJO!$A$5:$A$51,0))="","",INDEX(2a_PRE_TRABAJO!$V$5:$V$51,MATCH($A34,2a_PRE_TRABAJO!$A$5:$A$51,0))),"")</f>
        <v>2</v>
      </c>
      <c r="AA34" s="19" t="n">
        <f aca="false">IFERROR(IF(INDEX(2a_PRE_TRABAJO!$W$5:$W$51,MATCH($A34,2a_PRE_TRABAJO!$A$5:$A$51,0))="","",INDEX(2a_PRE_TRABAJO!$W$5:$W$51,MATCH($A34,2a_PRE_TRABAJO!$A$5:$A$51,0))),"")</f>
        <v>4</v>
      </c>
      <c r="AB34" s="19" t="n">
        <f aca="false">IFERROR(IF(INDEX(2a_PRE_TRABAJO!$X$5:$X$51,MATCH($A34,2a_PRE_TRABAJO!$A$5:$A$51,0))="","",INDEX(2a_PRE_TRABAJO!$X$5:$X$51,MATCH($A34,2a_PRE_TRABAJO!$A$5:$A$51,0))),"")</f>
        <v>5</v>
      </c>
      <c r="AC34" s="19" t="n">
        <f aca="false">IFERROR(IF(INDEX(2b_POST_TRABAJO!$F$5:$F$48,MATCH($A34,2b_POST_TRABAJO!$A$5:$A$48,0))="","",INDEX(2b_POST_TRABAJO!$F$5:$F$48,MATCH($A34,2b_POST_TRABAJO!$A$5:$A$48,0))),"")</f>
        <v>5</v>
      </c>
      <c r="AD34" s="19" t="n">
        <f aca="false">IFERROR(IF(INDEX(2b_POST_TRABAJO!$G$5:$G$48,MATCH($A34,2b_POST_TRABAJO!$A$5:$A$48,0))="","",INDEX(2b_POST_TRABAJO!$G$5:$G$48,MATCH($A34,2b_POST_TRABAJO!$A$5:$A$48,0))),"")</f>
        <v>3</v>
      </c>
      <c r="AE34" s="19" t="n">
        <f aca="false">IFERROR(IF(INDEX(2b_POST_TRABAJO!$H$5:$H$48,MATCH($A34,2b_POST_TRABAJO!$A$5:$A$48,0))="","",INDEX(2b_POST_TRABAJO!$H$5:$H$48,MATCH($A34,2b_POST_TRABAJO!$A$5:$A$48,0))),"")</f>
        <v>3</v>
      </c>
      <c r="AF34" s="19" t="n">
        <f aca="false">IF(IFERROR(IF(INDEX(2b_POST_TRABAJO!$I$5:$I$48,MATCH($A34,2b_POST_TRABAJO!$A$5:$A$48,0))="","",INDEX(2b_POST_TRABAJO!$I$5:$I$48,MATCH($A34,2b_POST_TRABAJO!$A$5:$A$48,0))),"")="","",IFERROR(6-IFERROR(IF(INDEX(2b_POST_TRABAJO!$I$5:$I$48,MATCH($A34,2b_POST_TRABAJO!$A$5:$A$48,0))="","",INDEX(2b_POST_TRABAJO!$I$5:$I$48,MATCH($A34,2b_POST_TRABAJO!$A$5:$A$48,0))),""),"REVISAR"))</f>
        <v>4</v>
      </c>
      <c r="AG34" s="19" t="n">
        <f aca="false">IFERROR(IF(INDEX(2b_POST_TRABAJO!$J$5:$J$48,MATCH($A34,2b_POST_TRABAJO!$A$5:$A$48,0))="","",INDEX(2b_POST_TRABAJO!$J$5:$J$48,MATCH($A34,2b_POST_TRABAJO!$A$5:$A$48,0))),"")</f>
        <v>3</v>
      </c>
      <c r="AH34" s="19" t="n">
        <f aca="false">IFERROR(IF(INDEX(2b_POST_TRABAJO!$K$5:$K$48,MATCH($A34,2b_POST_TRABAJO!$A$5:$A$48,0))="","",INDEX(2b_POST_TRABAJO!$K$5:$K$48,MATCH($A34,2b_POST_TRABAJO!$A$5:$A$48,0))),"")</f>
        <v>3</v>
      </c>
      <c r="AI34" s="19" t="n">
        <f aca="false">IFERROR(IF(INDEX(2b_POST_TRABAJO!$L$5:$L$48,MATCH($A34,2b_POST_TRABAJO!$A$5:$A$48,0))="","",INDEX(2b_POST_TRABAJO!$L$5:$L$48,MATCH($A34,2b_POST_TRABAJO!$A$5:$A$48,0))),"")</f>
        <v>4</v>
      </c>
      <c r="AJ34" s="19" t="n">
        <f aca="false">IFERROR(IF(INDEX(2b_POST_TRABAJO!$M$5:$M$48,MATCH($A34,2b_POST_TRABAJO!$A$5:$A$48,0))="","",INDEX(2b_POST_TRABAJO!$M$5:$M$48,MATCH($A34,2b_POST_TRABAJO!$A$5:$A$48,0))),"")</f>
        <v>3</v>
      </c>
      <c r="AK34" s="19" t="n">
        <f aca="false">IFERROR(IF(INDEX(2b_POST_TRABAJO!$N$5:$N$48,MATCH($A34,2b_POST_TRABAJO!$A$5:$A$48,0))="","",INDEX(2b_POST_TRABAJO!$N$5:$N$48,MATCH($A34,2b_POST_TRABAJO!$A$5:$A$48,0))),"")</f>
        <v>3</v>
      </c>
      <c r="AL34" s="19" t="n">
        <f aca="false">IFERROR(IF(INDEX(2b_POST_TRABAJO!$O$5:$O$48,MATCH($A34,2b_POST_TRABAJO!$A$5:$A$48,0))="","",INDEX(2b_POST_TRABAJO!$O$5:$O$48,MATCH($A34,2b_POST_TRABAJO!$A$5:$A$48,0))),"")</f>
        <v>3</v>
      </c>
      <c r="AM34" s="19" t="n">
        <f aca="false">IFERROR(IF(INDEX(2b_POST_TRABAJO!$P$5:$P$48,MATCH($A34,2b_POST_TRABAJO!$A$5:$A$48,0))="","",INDEX(2b_POST_TRABAJO!$P$5:$P$48,MATCH($A34,2b_POST_TRABAJO!$A$5:$A$48,0))),"")</f>
        <v>3</v>
      </c>
      <c r="AN34" s="19" t="n">
        <f aca="false">IF(IFERROR(IF(INDEX(2b_POST_TRABAJO!$Q$5:$Q$48,MATCH($A34,2b_POST_TRABAJO!$A$5:$A$48,0))="","",INDEX(2b_POST_TRABAJO!$Q$5:$Q$48,MATCH($A34,2b_POST_TRABAJO!$A$5:$A$48,0))),"")="","",IFERROR(6-IFERROR(IF(INDEX(2b_POST_TRABAJO!$Q$5:$Q$48,MATCH($A34,2b_POST_TRABAJO!$A$5:$A$48,0))="","",INDEX(2b_POST_TRABAJO!$Q$5:$Q$48,MATCH($A34,2b_POST_TRABAJO!$A$5:$A$48,0))),""),"REVISAR"))</f>
        <v>2</v>
      </c>
      <c r="AO34" s="19" t="n">
        <f aca="false">IFERROR(IF(INDEX(2b_POST_TRABAJO!$R$5:$R$48,MATCH($A34,2b_POST_TRABAJO!$A$5:$A$48,0))="","",INDEX(2b_POST_TRABAJO!$R$5:$R$48,MATCH($A34,2b_POST_TRABAJO!$A$5:$A$48,0))),"")</f>
        <v>4</v>
      </c>
      <c r="AP34" s="19" t="n">
        <f aca="false">IFERROR(IF(INDEX(2b_POST_TRABAJO!$S$5:$S$48,MATCH($A34,2b_POST_TRABAJO!$A$5:$A$48,0))="","",INDEX(2b_POST_TRABAJO!$S$5:$S$48,MATCH($A34,2b_POST_TRABAJO!$A$5:$A$48,0))),"")</f>
        <v>2</v>
      </c>
      <c r="AQ34" s="19" t="n">
        <f aca="false">IFERROR(IF(INDEX(2b_POST_TRABAJO!$T$5:$T$48,MATCH($A34,2b_POST_TRABAJO!$A$5:$A$48,0))="","",INDEX(2b_POST_TRABAJO!$T$5:$T$48,MATCH($A34,2b_POST_TRABAJO!$A$5:$A$48,0))),"")</f>
        <v>3</v>
      </c>
      <c r="AR34" s="27" t="n">
        <f aca="false">IF(COUNT(N34:R34)&lt;5,"",IFERROR(ROUND(AVERAGE(N34:R34),2),"REVISAR"))</f>
        <v>3.2</v>
      </c>
      <c r="AS34" s="27" t="n">
        <f aca="false">IF(COUNT(S34:W34)&lt;5,"",IFERROR(ROUND(AVERAGE(S34:W34),2),"REVISAR"))</f>
        <v>2.6</v>
      </c>
      <c r="AT34" s="27" t="n">
        <f aca="false">IF(COUNT(X34:AB34)&lt;5,"",IFERROR(ROUND(AVERAGE(X34:AB34),2),"REVISAR"))</f>
        <v>3.4</v>
      </c>
      <c r="AU34" s="11" t="n">
        <f aca="false">IF(COUNT(N34:AB34)&lt;15,"",IFERROR(SUM(N34:AB34),"REVISAR"))</f>
        <v>46</v>
      </c>
      <c r="AV34" s="18" t="n">
        <f aca="false">IF(AU34="","",IF(ISNUMBER(AU34),IF(AU34&lt;=35,1,IF(AU34&lt;=55,2,3)),"REVISAR"))</f>
        <v>2</v>
      </c>
      <c r="AW34" s="27" t="n">
        <f aca="false">IF(COUNT(AC34:AG34)&lt;5,"",IFERROR(ROUND(AVERAGE(AC34:AG34),2),"REVISAR"))</f>
        <v>3.6</v>
      </c>
      <c r="AX34" s="27" t="n">
        <f aca="false">IF(COUNT(AH34:AL34)&lt;5,"",IFERROR(ROUND(AVERAGE(AH34:AL34),2),"REVISAR"))</f>
        <v>3.2</v>
      </c>
      <c r="AY34" s="27" t="n">
        <f aca="false">IF(COUNT(AM34:AQ34)&lt;5,"",IFERROR(ROUND(AVERAGE(AM34:AQ34),2),"REVISAR"))</f>
        <v>2.8</v>
      </c>
      <c r="AZ34" s="11" t="n">
        <f aca="false">IF(COUNT(AC34:AQ34)&lt;15,"",IFERROR(SUM(AC34:AQ34),"REVISAR"))</f>
        <v>48</v>
      </c>
      <c r="BA34" s="18" t="n">
        <f aca="false">IF(AZ34="","",IF(ISNUMBER(AZ34),IF(AZ34&lt;=35,1,IF(AZ34&lt;=55,2,3)),"REVISAR"))</f>
        <v>2</v>
      </c>
      <c r="BB34" s="28" t="n">
        <f aca="false">IF(OR(J34="",K34=""),"",IFERROR(ROUND(K34-J34,1),"REVISAR"))</f>
        <v>-0.2</v>
      </c>
      <c r="BC34" s="11" t="n">
        <f aca="false">IF(OR(L34="",M34=""),"",IFERROR(M34-L34,"REVISAR"))</f>
        <v>8</v>
      </c>
      <c r="BD34" s="11" t="n">
        <f aca="false">IF(OR(AU34="",AZ34=""),"",IFERROR(AZ34-AU34,"REVISAR"))</f>
        <v>2</v>
      </c>
      <c r="BE34" s="23"/>
      <c r="BF34" s="21"/>
    </row>
    <row r="35" customFormat="false" ht="15" hidden="false" customHeight="false" outlineLevel="0" collapsed="false">
      <c r="A35" s="17" t="s">
        <v>86</v>
      </c>
      <c r="B35" s="23" t="n">
        <v>1</v>
      </c>
      <c r="C35" s="19" t="n">
        <f aca="false">IFERROR(IF(INDEX(2a_PRE_TRABAJO!$B$5:$B$51,MATCH($A35,2a_PRE_TRABAJO!$A$5:$A$51,0))="","",INDEX(2a_PRE_TRABAJO!$B$5:$B$51,MATCH($A35,2a_PRE_TRABAJO!$A$5:$A$51,0))),"")</f>
        <v>2</v>
      </c>
      <c r="D35" s="19" t="n">
        <f aca="false">IFERROR(IF(INDEX(2a_PRE_TRABAJO!$C$5:$C$51,MATCH($A35,2a_PRE_TRABAJO!$A$5:$A$51,0))="","",INDEX(2a_PRE_TRABAJO!$C$5:$C$51,MATCH($A35,2a_PRE_TRABAJO!$A$5:$A$51,0))),"")</f>
        <v>1</v>
      </c>
      <c r="E35" s="19" t="n">
        <f aca="false">IFERROR(IF(INDEX(2a_PRE_TRABAJO!$D$5:$D$51,MATCH($A35,2a_PRE_TRABAJO!$A$5:$A$51,0))="","",INDEX(2a_PRE_TRABAJO!$D$5:$D$51,MATCH($A35,2a_PRE_TRABAJO!$A$5:$A$51,0))),"")</f>
        <v>35</v>
      </c>
      <c r="F35" s="19" t="n">
        <f aca="false">IFERROR(IF(INDEX(2a_PRE_TRABAJO!$E$5:$E$51,MATCH($A35,2a_PRE_TRABAJO!$A$5:$A$51,0))="","",INDEX(2a_PRE_TRABAJO!$E$5:$E$51,MATCH($A35,2a_PRE_TRABAJO!$A$5:$A$51,0))),"")</f>
        <v>13</v>
      </c>
      <c r="G35" s="19" t="str">
        <f aca="false">IFERROR(IF(INDEX(2a_PRE_TRABAJO!$F$5:$F$51,MATCH($A35,2a_PRE_TRABAJO!$A$5:$A$51,0))="","",INDEX(2a_PRE_TRABAJO!$F$5:$F$51,MATCH($A35,2a_PRE_TRABAJO!$A$5:$A$51,0))),"")</f>
        <v>Profesional </v>
      </c>
      <c r="H35" s="24" t="n">
        <f aca="false">IFERROR(IF(INDEX(2a_PRE_TRABAJO!$G$5:$G$51,MATCH($A35,2a_PRE_TRABAJO!$A$5:$A$51,0))="","",INDEX(2a_PRE_TRABAJO!$G$5:$G$51,MATCH($A35,2a_PRE_TRABAJO!$A$5:$A$51,0))),"")</f>
        <v>46258</v>
      </c>
      <c r="I35" s="24" t="n">
        <f aca="false">IFERROR(IF(INDEX(2b_POST_TRABAJO!$C$5:$C$48,MATCH($A35,2b_POST_TRABAJO!$A$5:$A$48,0))="","",INDEX(2b_POST_TRABAJO!$C$5:$C$48,MATCH($A35,2b_POST_TRABAJO!$A$5:$A$48,0))),"")</f>
        <v>46307</v>
      </c>
      <c r="J35" s="25" t="n">
        <f aca="false">IFERROR(IF(INDEX(2a_PRE_TRABAJO!$H$5:$H$51,MATCH($A35,2a_PRE_TRABAJO!$A$5:$A$51,0))="","",INDEX(2a_PRE_TRABAJO!$H$5:$H$51,MATCH($A35,2a_PRE_TRABAJO!$A$5:$A$51,0))),"")</f>
        <v>12.8</v>
      </c>
      <c r="K35" s="25" t="n">
        <f aca="false">IFERROR(IF(INDEX(2b_POST_TRABAJO!$D$5:$D$48,MATCH($A35,2b_POST_TRABAJO!$A$5:$A$48,0))="","",INDEX(2b_POST_TRABAJO!$D$5:$D$48,MATCH($A35,2b_POST_TRABAJO!$A$5:$A$48,0))),"")</f>
        <v>12.2</v>
      </c>
      <c r="L35" s="26" t="n">
        <f aca="false">IFERROR(IF(INDEX(2a_PRE_TRABAJO!$I$5:$I$51,MATCH($A35,2a_PRE_TRABAJO!$A$5:$A$51,0))="","",INDEX(2a_PRE_TRABAJO!$I$5:$I$51,MATCH($A35,2a_PRE_TRABAJO!$A$5:$A$51,0))),"")</f>
        <v>61</v>
      </c>
      <c r="M35" s="26" t="n">
        <f aca="false">IFERROR(IF(INDEX(2b_POST_TRABAJO!$E$5:$E$48,MATCH($A35,2b_POST_TRABAJO!$A$5:$A$48,0))="","",INDEX(2b_POST_TRABAJO!$E$5:$E$48,MATCH($A35,2b_POST_TRABAJO!$A$5:$A$48,0))),"")</f>
        <v>58</v>
      </c>
      <c r="N35" s="19" t="n">
        <f aca="false">IFERROR(IF(INDEX(2a_PRE_TRABAJO!$J$5:$J$51,MATCH($A35,2a_PRE_TRABAJO!$A$5:$A$51,0))="","",INDEX(2a_PRE_TRABAJO!$J$5:$J$51,MATCH($A35,2a_PRE_TRABAJO!$A$5:$A$51,0))),"")</f>
        <v>2</v>
      </c>
      <c r="O35" s="19" t="n">
        <f aca="false">IFERROR(IF(INDEX(2a_PRE_TRABAJO!$K$5:$K$51,MATCH($A35,2a_PRE_TRABAJO!$A$5:$A$51,0))="","",INDEX(2a_PRE_TRABAJO!$K$5:$K$51,MATCH($A35,2a_PRE_TRABAJO!$A$5:$A$51,0))),"")</f>
        <v>2</v>
      </c>
      <c r="P35" s="19" t="n">
        <f aca="false">IFERROR(IF(INDEX(2a_PRE_TRABAJO!$L$5:$L$51,MATCH($A35,2a_PRE_TRABAJO!$A$5:$A$51,0))="","",INDEX(2a_PRE_TRABAJO!$L$5:$L$51,MATCH($A35,2a_PRE_TRABAJO!$A$5:$A$51,0))),"")</f>
        <v>3</v>
      </c>
      <c r="Q35" s="19" t="n">
        <f aca="false">IF(IFERROR(IF(INDEX(2a_PRE_TRABAJO!$M$5:$M$51,MATCH($A35,2a_PRE_TRABAJO!$A$5:$A$51,0))="","",INDEX(2a_PRE_TRABAJO!$M$5:$M$51,MATCH($A35,2a_PRE_TRABAJO!$A$5:$A$51,0))),"")="","",IFERROR(6-IFERROR(IF(INDEX(2a_PRE_TRABAJO!$M$5:$M$51,MATCH($A35,2a_PRE_TRABAJO!$A$5:$A$51,0))="","",INDEX(2a_PRE_TRABAJO!$M$5:$M$51,MATCH($A35,2a_PRE_TRABAJO!$A$5:$A$51,0))),""),"REVISAR"))</f>
        <v>1</v>
      </c>
      <c r="R35" s="19" t="n">
        <f aca="false">IFERROR(IF(INDEX(2a_PRE_TRABAJO!$N$5:$N$51,MATCH($A35,2a_PRE_TRABAJO!$A$5:$A$51,0))="","",INDEX(2a_PRE_TRABAJO!$N$5:$N$51,MATCH($A35,2a_PRE_TRABAJO!$A$5:$A$51,0))),"")</f>
        <v>4</v>
      </c>
      <c r="S35" s="19" t="n">
        <f aca="false">IFERROR(IF(INDEX(2a_PRE_TRABAJO!$O$5:$O$51,MATCH($A35,2a_PRE_TRABAJO!$A$5:$A$51,0))="","",INDEX(2a_PRE_TRABAJO!$O$5:$O$51,MATCH($A35,2a_PRE_TRABAJO!$A$5:$A$51,0))),"")</f>
        <v>1</v>
      </c>
      <c r="T35" s="19" t="n">
        <f aca="false">IFERROR(IF(INDEX(2a_PRE_TRABAJO!$P$5:$P$51,MATCH($A35,2a_PRE_TRABAJO!$A$5:$A$51,0))="","",INDEX(2a_PRE_TRABAJO!$P$5:$P$51,MATCH($A35,2a_PRE_TRABAJO!$A$5:$A$51,0))),"")</f>
        <v>4</v>
      </c>
      <c r="U35" s="19" t="n">
        <f aca="false">IFERROR(IF(INDEX(2a_PRE_TRABAJO!$Q$5:$Q$51,MATCH($A35,2a_PRE_TRABAJO!$A$5:$A$51,0))="","",INDEX(2a_PRE_TRABAJO!$Q$5:$Q$51,MATCH($A35,2a_PRE_TRABAJO!$A$5:$A$51,0))),"")</f>
        <v>3</v>
      </c>
      <c r="V35" s="19" t="n">
        <f aca="false">IFERROR(IF(INDEX(2a_PRE_TRABAJO!$R$5:$R$51,MATCH($A35,2a_PRE_TRABAJO!$A$5:$A$51,0))="","",INDEX(2a_PRE_TRABAJO!$R$5:$R$51,MATCH($A35,2a_PRE_TRABAJO!$A$5:$A$51,0))),"")</f>
        <v>3</v>
      </c>
      <c r="W35" s="19" t="n">
        <f aca="false">IFERROR(IF(INDEX(2a_PRE_TRABAJO!$S$5:$S$51,MATCH($A35,2a_PRE_TRABAJO!$A$5:$A$51,0))="","",INDEX(2a_PRE_TRABAJO!$S$5:$S$51,MATCH($A35,2a_PRE_TRABAJO!$A$5:$A$51,0))),"")</f>
        <v>3</v>
      </c>
      <c r="X35" s="19" t="n">
        <f aca="false">IFERROR(IF(INDEX(2a_PRE_TRABAJO!$T$5:$T$51,MATCH($A35,2a_PRE_TRABAJO!$A$5:$A$51,0))="","",INDEX(2a_PRE_TRABAJO!$T$5:$T$51,MATCH($A35,2a_PRE_TRABAJO!$A$5:$A$51,0))),"")</f>
        <v>2</v>
      </c>
      <c r="Y35" s="19" t="n">
        <f aca="false">IF(IFERROR(IF(INDEX(2a_PRE_TRABAJO!$U$5:$U$51,MATCH($A35,2a_PRE_TRABAJO!$A$5:$A$51,0))="","",INDEX(2a_PRE_TRABAJO!$U$5:$U$51,MATCH($A35,2a_PRE_TRABAJO!$A$5:$A$51,0))),"")="","",IFERROR(6-IFERROR(IF(INDEX(2a_PRE_TRABAJO!$U$5:$U$51,MATCH($A35,2a_PRE_TRABAJO!$A$5:$A$51,0))="","",INDEX(2a_PRE_TRABAJO!$U$5:$U$51,MATCH($A35,2a_PRE_TRABAJO!$A$5:$A$51,0))),""),"REVISAR"))</f>
        <v>3</v>
      </c>
      <c r="Z35" s="19" t="n">
        <f aca="false">IFERROR(IF(INDEX(2a_PRE_TRABAJO!$V$5:$V$51,MATCH($A35,2a_PRE_TRABAJO!$A$5:$A$51,0))="","",INDEX(2a_PRE_TRABAJO!$V$5:$V$51,MATCH($A35,2a_PRE_TRABAJO!$A$5:$A$51,0))),"")</f>
        <v>3</v>
      </c>
      <c r="AA35" s="19" t="n">
        <f aca="false">IFERROR(IF(INDEX(2a_PRE_TRABAJO!$W$5:$W$51,MATCH($A35,2a_PRE_TRABAJO!$A$5:$A$51,0))="","",INDEX(2a_PRE_TRABAJO!$W$5:$W$51,MATCH($A35,2a_PRE_TRABAJO!$A$5:$A$51,0))),"")</f>
        <v>2</v>
      </c>
      <c r="AB35" s="19" t="n">
        <f aca="false">IFERROR(IF(INDEX(2a_PRE_TRABAJO!$X$5:$X$51,MATCH($A35,2a_PRE_TRABAJO!$A$5:$A$51,0))="","",INDEX(2a_PRE_TRABAJO!$X$5:$X$51,MATCH($A35,2a_PRE_TRABAJO!$A$5:$A$51,0))),"")</f>
        <v>1</v>
      </c>
      <c r="AC35" s="19" t="n">
        <f aca="false">IFERROR(IF(INDEX(2b_POST_TRABAJO!$F$5:$F$48,MATCH($A35,2b_POST_TRABAJO!$A$5:$A$48,0))="","",INDEX(2b_POST_TRABAJO!$F$5:$F$48,MATCH($A35,2b_POST_TRABAJO!$A$5:$A$48,0))),"")</f>
        <v>2</v>
      </c>
      <c r="AD35" s="19" t="n">
        <f aca="false">IFERROR(IF(INDEX(2b_POST_TRABAJO!$G$5:$G$48,MATCH($A35,2b_POST_TRABAJO!$A$5:$A$48,0))="","",INDEX(2b_POST_TRABAJO!$G$5:$G$48,MATCH($A35,2b_POST_TRABAJO!$A$5:$A$48,0))),"")</f>
        <v>4</v>
      </c>
      <c r="AE35" s="19" t="n">
        <f aca="false">IFERROR(IF(INDEX(2b_POST_TRABAJO!$H$5:$H$48,MATCH($A35,2b_POST_TRABAJO!$A$5:$A$48,0))="","",INDEX(2b_POST_TRABAJO!$H$5:$H$48,MATCH($A35,2b_POST_TRABAJO!$A$5:$A$48,0))),"")</f>
        <v>3</v>
      </c>
      <c r="AF35" s="19" t="n">
        <f aca="false">IF(IFERROR(IF(INDEX(2b_POST_TRABAJO!$I$5:$I$48,MATCH($A35,2b_POST_TRABAJO!$A$5:$A$48,0))="","",INDEX(2b_POST_TRABAJO!$I$5:$I$48,MATCH($A35,2b_POST_TRABAJO!$A$5:$A$48,0))),"")="","",IFERROR(6-IFERROR(IF(INDEX(2b_POST_TRABAJO!$I$5:$I$48,MATCH($A35,2b_POST_TRABAJO!$A$5:$A$48,0))="","",INDEX(2b_POST_TRABAJO!$I$5:$I$48,MATCH($A35,2b_POST_TRABAJO!$A$5:$A$48,0))),""),"REVISAR"))</f>
        <v>3</v>
      </c>
      <c r="AG35" s="19" t="n">
        <f aca="false">IFERROR(IF(INDEX(2b_POST_TRABAJO!$J$5:$J$48,MATCH($A35,2b_POST_TRABAJO!$A$5:$A$48,0))="","",INDEX(2b_POST_TRABAJO!$J$5:$J$48,MATCH($A35,2b_POST_TRABAJO!$A$5:$A$48,0))),"")</f>
        <v>2</v>
      </c>
      <c r="AH35" s="19" t="n">
        <f aca="false">IFERROR(IF(INDEX(2b_POST_TRABAJO!$K$5:$K$48,MATCH($A35,2b_POST_TRABAJO!$A$5:$A$48,0))="","",INDEX(2b_POST_TRABAJO!$K$5:$K$48,MATCH($A35,2b_POST_TRABAJO!$A$5:$A$48,0))),"")</f>
        <v>3</v>
      </c>
      <c r="AI35" s="19" t="n">
        <f aca="false">IFERROR(IF(INDEX(2b_POST_TRABAJO!$L$5:$L$48,MATCH($A35,2b_POST_TRABAJO!$A$5:$A$48,0))="","",INDEX(2b_POST_TRABAJO!$L$5:$L$48,MATCH($A35,2b_POST_TRABAJO!$A$5:$A$48,0))),"")</f>
        <v>2</v>
      </c>
      <c r="AJ35" s="19" t="n">
        <f aca="false">IFERROR(IF(INDEX(2b_POST_TRABAJO!$M$5:$M$48,MATCH($A35,2b_POST_TRABAJO!$A$5:$A$48,0))="","",INDEX(2b_POST_TRABAJO!$M$5:$M$48,MATCH($A35,2b_POST_TRABAJO!$A$5:$A$48,0))),"")</f>
        <v>4</v>
      </c>
      <c r="AK35" s="19" t="n">
        <f aca="false">IFERROR(IF(INDEX(2b_POST_TRABAJO!$N$5:$N$48,MATCH($A35,2b_POST_TRABAJO!$A$5:$A$48,0))="","",INDEX(2b_POST_TRABAJO!$N$5:$N$48,MATCH($A35,2b_POST_TRABAJO!$A$5:$A$48,0))),"")</f>
        <v>3</v>
      </c>
      <c r="AL35" s="19" t="n">
        <f aca="false">IFERROR(IF(INDEX(2b_POST_TRABAJO!$O$5:$O$48,MATCH($A35,2b_POST_TRABAJO!$A$5:$A$48,0))="","",INDEX(2b_POST_TRABAJO!$O$5:$O$48,MATCH($A35,2b_POST_TRABAJO!$A$5:$A$48,0))),"")</f>
        <v>3</v>
      </c>
      <c r="AM35" s="19" t="n">
        <f aca="false">IFERROR(IF(INDEX(2b_POST_TRABAJO!$P$5:$P$48,MATCH($A35,2b_POST_TRABAJO!$A$5:$A$48,0))="","",INDEX(2b_POST_TRABAJO!$P$5:$P$48,MATCH($A35,2b_POST_TRABAJO!$A$5:$A$48,0))),"")</f>
        <v>3</v>
      </c>
      <c r="AN35" s="19" t="n">
        <f aca="false">IF(IFERROR(IF(INDEX(2b_POST_TRABAJO!$Q$5:$Q$48,MATCH($A35,2b_POST_TRABAJO!$A$5:$A$48,0))="","",INDEX(2b_POST_TRABAJO!$Q$5:$Q$48,MATCH($A35,2b_POST_TRABAJO!$A$5:$A$48,0))),"")="","",IFERROR(6-IFERROR(IF(INDEX(2b_POST_TRABAJO!$Q$5:$Q$48,MATCH($A35,2b_POST_TRABAJO!$A$5:$A$48,0))="","",INDEX(2b_POST_TRABAJO!$Q$5:$Q$48,MATCH($A35,2b_POST_TRABAJO!$A$5:$A$48,0))),""),"REVISAR"))</f>
        <v>2</v>
      </c>
      <c r="AO35" s="19" t="n">
        <f aca="false">IFERROR(IF(INDEX(2b_POST_TRABAJO!$R$5:$R$48,MATCH($A35,2b_POST_TRABAJO!$A$5:$A$48,0))="","",INDEX(2b_POST_TRABAJO!$R$5:$R$48,MATCH($A35,2b_POST_TRABAJO!$A$5:$A$48,0))),"")</f>
        <v>2</v>
      </c>
      <c r="AP35" s="19" t="n">
        <f aca="false">IFERROR(IF(INDEX(2b_POST_TRABAJO!$S$5:$S$48,MATCH($A35,2b_POST_TRABAJO!$A$5:$A$48,0))="","",INDEX(2b_POST_TRABAJO!$S$5:$S$48,MATCH($A35,2b_POST_TRABAJO!$A$5:$A$48,0))),"")</f>
        <v>2</v>
      </c>
      <c r="AQ35" s="19" t="n">
        <f aca="false">IFERROR(IF(INDEX(2b_POST_TRABAJO!$T$5:$T$48,MATCH($A35,2b_POST_TRABAJO!$A$5:$A$48,0))="","",INDEX(2b_POST_TRABAJO!$T$5:$T$48,MATCH($A35,2b_POST_TRABAJO!$A$5:$A$48,0))),"")</f>
        <v>3</v>
      </c>
      <c r="AR35" s="27" t="n">
        <f aca="false">IF(COUNT(N35:R35)&lt;5,"",IFERROR(ROUND(AVERAGE(N35:R35),2),"REVISAR"))</f>
        <v>2.4</v>
      </c>
      <c r="AS35" s="27" t="n">
        <f aca="false">IF(COUNT(S35:W35)&lt;5,"",IFERROR(ROUND(AVERAGE(S35:W35),2),"REVISAR"))</f>
        <v>2.8</v>
      </c>
      <c r="AT35" s="27" t="n">
        <f aca="false">IF(COUNT(X35:AB35)&lt;5,"",IFERROR(ROUND(AVERAGE(X35:AB35),2),"REVISAR"))</f>
        <v>2.2</v>
      </c>
      <c r="AU35" s="11" t="n">
        <f aca="false">IF(COUNT(N35:AB35)&lt;15,"",IFERROR(SUM(N35:AB35),"REVISAR"))</f>
        <v>37</v>
      </c>
      <c r="AV35" s="18" t="n">
        <f aca="false">IF(AU35="","",IF(ISNUMBER(AU35),IF(AU35&lt;=35,1,IF(AU35&lt;=55,2,3)),"REVISAR"))</f>
        <v>2</v>
      </c>
      <c r="AW35" s="27" t="n">
        <f aca="false">IF(COUNT(AC35:AG35)&lt;5,"",IFERROR(ROUND(AVERAGE(AC35:AG35),2),"REVISAR"))</f>
        <v>2.8</v>
      </c>
      <c r="AX35" s="27" t="n">
        <f aca="false">IF(COUNT(AH35:AL35)&lt;5,"",IFERROR(ROUND(AVERAGE(AH35:AL35),2),"REVISAR"))</f>
        <v>3</v>
      </c>
      <c r="AY35" s="27" t="n">
        <f aca="false">IF(COUNT(AM35:AQ35)&lt;5,"",IFERROR(ROUND(AVERAGE(AM35:AQ35),2),"REVISAR"))</f>
        <v>2.4</v>
      </c>
      <c r="AZ35" s="11" t="n">
        <f aca="false">IF(COUNT(AC35:AQ35)&lt;15,"",IFERROR(SUM(AC35:AQ35),"REVISAR"))</f>
        <v>41</v>
      </c>
      <c r="BA35" s="18" t="n">
        <f aca="false">IF(AZ35="","",IF(ISNUMBER(AZ35),IF(AZ35&lt;=35,1,IF(AZ35&lt;=55,2,3)),"REVISAR"))</f>
        <v>2</v>
      </c>
      <c r="BB35" s="28" t="n">
        <f aca="false">IF(OR(J35="",K35=""),"",IFERROR(ROUND(K35-J35,1),"REVISAR"))</f>
        <v>-0.6</v>
      </c>
      <c r="BC35" s="11" t="n">
        <f aca="false">IF(OR(L35="",M35=""),"",IFERROR(M35-L35,"REVISAR"))</f>
        <v>-3</v>
      </c>
      <c r="BD35" s="11" t="n">
        <f aca="false">IF(OR(AU35="",AZ35=""),"",IFERROR(AZ35-AU35,"REVISAR"))</f>
        <v>4</v>
      </c>
      <c r="BE35" s="23"/>
      <c r="BF35" s="21"/>
    </row>
    <row r="36" customFormat="false" ht="15" hidden="false" customHeight="false" outlineLevel="0" collapsed="false">
      <c r="A36" s="17" t="s">
        <v>87</v>
      </c>
      <c r="B36" s="23" t="n">
        <v>1</v>
      </c>
      <c r="C36" s="19" t="n">
        <f aca="false">IFERROR(IF(INDEX(2a_PRE_TRABAJO!$B$5:$B$51,MATCH($A36,2a_PRE_TRABAJO!$A$5:$A$51,0))="","",INDEX(2a_PRE_TRABAJO!$B$5:$B$51,MATCH($A36,2a_PRE_TRABAJO!$A$5:$A$51,0))),"")</f>
        <v>2</v>
      </c>
      <c r="D36" s="19" t="n">
        <f aca="false">IFERROR(IF(INDEX(2a_PRE_TRABAJO!$C$5:$C$51,MATCH($A36,2a_PRE_TRABAJO!$A$5:$A$51,0))="","",INDEX(2a_PRE_TRABAJO!$C$5:$C$51,MATCH($A36,2a_PRE_TRABAJO!$A$5:$A$51,0))),"")</f>
        <v>1</v>
      </c>
      <c r="E36" s="19" t="n">
        <f aca="false">IFERROR(IF(INDEX(2a_PRE_TRABAJO!$D$5:$D$51,MATCH($A36,2a_PRE_TRABAJO!$A$5:$A$51,0))="","",INDEX(2a_PRE_TRABAJO!$D$5:$D$51,MATCH($A36,2a_PRE_TRABAJO!$A$5:$A$51,0))),"")</f>
        <v>35</v>
      </c>
      <c r="F36" s="19" t="n">
        <f aca="false">IFERROR(IF(INDEX(2a_PRE_TRABAJO!$E$5:$E$51,MATCH($A36,2a_PRE_TRABAJO!$A$5:$A$51,0))="","",INDEX(2a_PRE_TRABAJO!$E$5:$E$51,MATCH($A36,2a_PRE_TRABAJO!$A$5:$A$51,0))),"")</f>
        <v>4</v>
      </c>
      <c r="G36" s="19" t="str">
        <f aca="false">IFERROR(IF(INDEX(2a_PRE_TRABAJO!$F$5:$F$51,MATCH($A36,2a_PRE_TRABAJO!$A$5:$A$51,0))="","",INDEX(2a_PRE_TRABAJO!$F$5:$F$51,MATCH($A36,2a_PRE_TRABAJO!$A$5:$A$51,0))),"")</f>
        <v>tecnico </v>
      </c>
      <c r="H36" s="24" t="n">
        <f aca="false">IFERROR(IF(INDEX(2a_PRE_TRABAJO!$G$5:$G$51,MATCH($A36,2a_PRE_TRABAJO!$A$5:$A$51,0))="","",INDEX(2a_PRE_TRABAJO!$G$5:$G$51,MATCH($A36,2a_PRE_TRABAJO!$A$5:$A$51,0))),"")</f>
        <v>46259</v>
      </c>
      <c r="I36" s="24" t="str">
        <f aca="false">IFERROR(IF(INDEX(2b_POST_TRABAJO!$C$5:$C$48,MATCH($A36,2b_POST_TRABAJO!$A$5:$A$48,0))="","",INDEX(2b_POST_TRABAJO!$C$5:$C$48,MATCH($A36,2b_POST_TRABAJO!$A$5:$A$48,0))),"")</f>
        <v/>
      </c>
      <c r="J36" s="25" t="n">
        <f aca="false">IFERROR(IF(INDEX(2a_PRE_TRABAJO!$H$5:$H$51,MATCH($A36,2a_PRE_TRABAJO!$A$5:$A$51,0))="","",INDEX(2a_PRE_TRABAJO!$H$5:$H$51,MATCH($A36,2a_PRE_TRABAJO!$A$5:$A$51,0))),"")</f>
        <v>9.6</v>
      </c>
      <c r="K36" s="25" t="str">
        <f aca="false">IFERROR(IF(INDEX(2b_POST_TRABAJO!$D$5:$D$48,MATCH($A36,2b_POST_TRABAJO!$A$5:$A$48,0))="","",INDEX(2b_POST_TRABAJO!$D$5:$D$48,MATCH($A36,2b_POST_TRABAJO!$A$5:$A$48,0))),"")</f>
        <v/>
      </c>
      <c r="L36" s="26" t="n">
        <f aca="false">IFERROR(IF(INDEX(2a_PRE_TRABAJO!$I$5:$I$51,MATCH($A36,2a_PRE_TRABAJO!$A$5:$A$51,0))="","",INDEX(2a_PRE_TRABAJO!$I$5:$I$51,MATCH($A36,2a_PRE_TRABAJO!$A$5:$A$51,0))),"")</f>
        <v>50</v>
      </c>
      <c r="M36" s="26" t="str">
        <f aca="false">IFERROR(IF(INDEX(2b_POST_TRABAJO!$E$5:$E$48,MATCH($A36,2b_POST_TRABAJO!$A$5:$A$48,0))="","",INDEX(2b_POST_TRABAJO!$E$5:$E$48,MATCH($A36,2b_POST_TRABAJO!$A$5:$A$48,0))),"")</f>
        <v/>
      </c>
      <c r="N36" s="19" t="n">
        <f aca="false">IFERROR(IF(INDEX(2a_PRE_TRABAJO!$J$5:$J$51,MATCH($A36,2a_PRE_TRABAJO!$A$5:$A$51,0))="","",INDEX(2a_PRE_TRABAJO!$J$5:$J$51,MATCH($A36,2a_PRE_TRABAJO!$A$5:$A$51,0))),"")</f>
        <v>4</v>
      </c>
      <c r="O36" s="19" t="n">
        <f aca="false">IFERROR(IF(INDEX(2a_PRE_TRABAJO!$K$5:$K$51,MATCH($A36,2a_PRE_TRABAJO!$A$5:$A$51,0))="","",INDEX(2a_PRE_TRABAJO!$K$5:$K$51,MATCH($A36,2a_PRE_TRABAJO!$A$5:$A$51,0))),"")</f>
        <v>1</v>
      </c>
      <c r="P36" s="19" t="n">
        <f aca="false">IFERROR(IF(INDEX(2a_PRE_TRABAJO!$L$5:$L$51,MATCH($A36,2a_PRE_TRABAJO!$A$5:$A$51,0))="","",INDEX(2a_PRE_TRABAJO!$L$5:$L$51,MATCH($A36,2a_PRE_TRABAJO!$A$5:$A$51,0))),"")</f>
        <v>1</v>
      </c>
      <c r="Q36" s="19" t="n">
        <f aca="false">IF(IFERROR(IF(INDEX(2a_PRE_TRABAJO!$M$5:$M$51,MATCH($A36,2a_PRE_TRABAJO!$A$5:$A$51,0))="","",INDEX(2a_PRE_TRABAJO!$M$5:$M$51,MATCH($A36,2a_PRE_TRABAJO!$A$5:$A$51,0))),"")="","",IFERROR(6-IFERROR(IF(INDEX(2a_PRE_TRABAJO!$M$5:$M$51,MATCH($A36,2a_PRE_TRABAJO!$A$5:$A$51,0))="","",INDEX(2a_PRE_TRABAJO!$M$5:$M$51,MATCH($A36,2a_PRE_TRABAJO!$A$5:$A$51,0))),""),"REVISAR"))</f>
        <v>2</v>
      </c>
      <c r="R36" s="19" t="n">
        <f aca="false">IFERROR(IF(INDEX(2a_PRE_TRABAJO!$N$5:$N$51,MATCH($A36,2a_PRE_TRABAJO!$A$5:$A$51,0))="","",INDEX(2a_PRE_TRABAJO!$N$5:$N$51,MATCH($A36,2a_PRE_TRABAJO!$A$5:$A$51,0))),"")</f>
        <v>3</v>
      </c>
      <c r="S36" s="19" t="n">
        <f aca="false">IFERROR(IF(INDEX(2a_PRE_TRABAJO!$O$5:$O$51,MATCH($A36,2a_PRE_TRABAJO!$A$5:$A$51,0))="","",INDEX(2a_PRE_TRABAJO!$O$5:$O$51,MATCH($A36,2a_PRE_TRABAJO!$A$5:$A$51,0))),"")</f>
        <v>4</v>
      </c>
      <c r="T36" s="19" t="n">
        <f aca="false">IFERROR(IF(INDEX(2a_PRE_TRABAJO!$P$5:$P$51,MATCH($A36,2a_PRE_TRABAJO!$A$5:$A$51,0))="","",INDEX(2a_PRE_TRABAJO!$P$5:$P$51,MATCH($A36,2a_PRE_TRABAJO!$A$5:$A$51,0))),"")</f>
        <v>3</v>
      </c>
      <c r="U36" s="19" t="n">
        <f aca="false">IFERROR(IF(INDEX(2a_PRE_TRABAJO!$Q$5:$Q$51,MATCH($A36,2a_PRE_TRABAJO!$A$5:$A$51,0))="","",INDEX(2a_PRE_TRABAJO!$Q$5:$Q$51,MATCH($A36,2a_PRE_TRABAJO!$A$5:$A$51,0))),"")</f>
        <v>4</v>
      </c>
      <c r="V36" s="19" t="n">
        <f aca="false">IFERROR(IF(INDEX(2a_PRE_TRABAJO!$R$5:$R$51,MATCH($A36,2a_PRE_TRABAJO!$A$5:$A$51,0))="","",INDEX(2a_PRE_TRABAJO!$R$5:$R$51,MATCH($A36,2a_PRE_TRABAJO!$A$5:$A$51,0))),"")</f>
        <v>3</v>
      </c>
      <c r="W36" s="19" t="n">
        <f aca="false">IFERROR(IF(INDEX(2a_PRE_TRABAJO!$S$5:$S$51,MATCH($A36,2a_PRE_TRABAJO!$A$5:$A$51,0))="","",INDEX(2a_PRE_TRABAJO!$S$5:$S$51,MATCH($A36,2a_PRE_TRABAJO!$A$5:$A$51,0))),"")</f>
        <v>4</v>
      </c>
      <c r="X36" s="19" t="n">
        <f aca="false">IFERROR(IF(INDEX(2a_PRE_TRABAJO!$T$5:$T$51,MATCH($A36,2a_PRE_TRABAJO!$A$5:$A$51,0))="","",INDEX(2a_PRE_TRABAJO!$T$5:$T$51,MATCH($A36,2a_PRE_TRABAJO!$A$5:$A$51,0))),"")</f>
        <v>2</v>
      </c>
      <c r="Y36" s="19" t="n">
        <f aca="false">IF(IFERROR(IF(INDEX(2a_PRE_TRABAJO!$U$5:$U$51,MATCH($A36,2a_PRE_TRABAJO!$A$5:$A$51,0))="","",INDEX(2a_PRE_TRABAJO!$U$5:$U$51,MATCH($A36,2a_PRE_TRABAJO!$A$5:$A$51,0))),"")="","",IFERROR(6-IFERROR(IF(INDEX(2a_PRE_TRABAJO!$U$5:$U$51,MATCH($A36,2a_PRE_TRABAJO!$A$5:$A$51,0))="","",INDEX(2a_PRE_TRABAJO!$U$5:$U$51,MATCH($A36,2a_PRE_TRABAJO!$A$5:$A$51,0))),""),"REVISAR"))</f>
        <v>3</v>
      </c>
      <c r="Z36" s="19" t="n">
        <f aca="false">IFERROR(IF(INDEX(2a_PRE_TRABAJO!$V$5:$V$51,MATCH($A36,2a_PRE_TRABAJO!$A$5:$A$51,0))="","",INDEX(2a_PRE_TRABAJO!$V$5:$V$51,MATCH($A36,2a_PRE_TRABAJO!$A$5:$A$51,0))),"")</f>
        <v>2</v>
      </c>
      <c r="AA36" s="19" t="n">
        <f aca="false">IFERROR(IF(INDEX(2a_PRE_TRABAJO!$W$5:$W$51,MATCH($A36,2a_PRE_TRABAJO!$A$5:$A$51,0))="","",INDEX(2a_PRE_TRABAJO!$W$5:$W$51,MATCH($A36,2a_PRE_TRABAJO!$A$5:$A$51,0))),"")</f>
        <v>1</v>
      </c>
      <c r="AB36" s="19" t="n">
        <f aca="false">IFERROR(IF(INDEX(2a_PRE_TRABAJO!$X$5:$X$51,MATCH($A36,2a_PRE_TRABAJO!$A$5:$A$51,0))="","",INDEX(2a_PRE_TRABAJO!$X$5:$X$51,MATCH($A36,2a_PRE_TRABAJO!$A$5:$A$51,0))),"")</f>
        <v>3</v>
      </c>
      <c r="AC36" s="19" t="str">
        <f aca="false">IFERROR(IF(INDEX(2b_POST_TRABAJO!$F$5:$F$48,MATCH($A36,2b_POST_TRABAJO!$A$5:$A$48,0))="","",INDEX(2b_POST_TRABAJO!$F$5:$F$48,MATCH($A36,2b_POST_TRABAJO!$A$5:$A$48,0))),"")</f>
        <v/>
      </c>
      <c r="AD36" s="19" t="str">
        <f aca="false">IFERROR(IF(INDEX(2b_POST_TRABAJO!$G$5:$G$48,MATCH($A36,2b_POST_TRABAJO!$A$5:$A$48,0))="","",INDEX(2b_POST_TRABAJO!$G$5:$G$48,MATCH($A36,2b_POST_TRABAJO!$A$5:$A$48,0))),"")</f>
        <v/>
      </c>
      <c r="AE36" s="19" t="str">
        <f aca="false">IFERROR(IF(INDEX(2b_POST_TRABAJO!$H$5:$H$48,MATCH($A36,2b_POST_TRABAJO!$A$5:$A$48,0))="","",INDEX(2b_POST_TRABAJO!$H$5:$H$48,MATCH($A36,2b_POST_TRABAJO!$A$5:$A$48,0))),"")</f>
        <v/>
      </c>
      <c r="AF36" s="19" t="str">
        <f aca="false">IF(IFERROR(IF(INDEX(2b_POST_TRABAJO!$I$5:$I$48,MATCH($A36,2b_POST_TRABAJO!$A$5:$A$48,0))="","",INDEX(2b_POST_TRABAJO!$I$5:$I$48,MATCH($A36,2b_POST_TRABAJO!$A$5:$A$48,0))),"")="","",IFERROR(6-IFERROR(IF(INDEX(2b_POST_TRABAJO!$I$5:$I$48,MATCH($A36,2b_POST_TRABAJO!$A$5:$A$48,0))="","",INDEX(2b_POST_TRABAJO!$I$5:$I$48,MATCH($A36,2b_POST_TRABAJO!$A$5:$A$48,0))),""),"REVISAR"))</f>
        <v/>
      </c>
      <c r="AG36" s="19" t="str">
        <f aca="false">IFERROR(IF(INDEX(2b_POST_TRABAJO!$J$5:$J$48,MATCH($A36,2b_POST_TRABAJO!$A$5:$A$48,0))="","",INDEX(2b_POST_TRABAJO!$J$5:$J$48,MATCH($A36,2b_POST_TRABAJO!$A$5:$A$48,0))),"")</f>
        <v/>
      </c>
      <c r="AH36" s="19" t="str">
        <f aca="false">IFERROR(IF(INDEX(2b_POST_TRABAJO!$K$5:$K$48,MATCH($A36,2b_POST_TRABAJO!$A$5:$A$48,0))="","",INDEX(2b_POST_TRABAJO!$K$5:$K$48,MATCH($A36,2b_POST_TRABAJO!$A$5:$A$48,0))),"")</f>
        <v/>
      </c>
      <c r="AI36" s="19" t="str">
        <f aca="false">IFERROR(IF(INDEX(2b_POST_TRABAJO!$L$5:$L$48,MATCH($A36,2b_POST_TRABAJO!$A$5:$A$48,0))="","",INDEX(2b_POST_TRABAJO!$L$5:$L$48,MATCH($A36,2b_POST_TRABAJO!$A$5:$A$48,0))),"")</f>
        <v/>
      </c>
      <c r="AJ36" s="19" t="str">
        <f aca="false">IFERROR(IF(INDEX(2b_POST_TRABAJO!$M$5:$M$48,MATCH($A36,2b_POST_TRABAJO!$A$5:$A$48,0))="","",INDEX(2b_POST_TRABAJO!$M$5:$M$48,MATCH($A36,2b_POST_TRABAJO!$A$5:$A$48,0))),"")</f>
        <v/>
      </c>
      <c r="AK36" s="19" t="str">
        <f aca="false">IFERROR(IF(INDEX(2b_POST_TRABAJO!$N$5:$N$48,MATCH($A36,2b_POST_TRABAJO!$A$5:$A$48,0))="","",INDEX(2b_POST_TRABAJO!$N$5:$N$48,MATCH($A36,2b_POST_TRABAJO!$A$5:$A$48,0))),"")</f>
        <v/>
      </c>
      <c r="AL36" s="19" t="str">
        <f aca="false">IFERROR(IF(INDEX(2b_POST_TRABAJO!$O$5:$O$48,MATCH($A36,2b_POST_TRABAJO!$A$5:$A$48,0))="","",INDEX(2b_POST_TRABAJO!$O$5:$O$48,MATCH($A36,2b_POST_TRABAJO!$A$5:$A$48,0))),"")</f>
        <v/>
      </c>
      <c r="AM36" s="19" t="str">
        <f aca="false">IFERROR(IF(INDEX(2b_POST_TRABAJO!$P$5:$P$48,MATCH($A36,2b_POST_TRABAJO!$A$5:$A$48,0))="","",INDEX(2b_POST_TRABAJO!$P$5:$P$48,MATCH($A36,2b_POST_TRABAJO!$A$5:$A$48,0))),"")</f>
        <v/>
      </c>
      <c r="AN36" s="19" t="str">
        <f aca="false">IF(IFERROR(IF(INDEX(2b_POST_TRABAJO!$Q$5:$Q$48,MATCH($A36,2b_POST_TRABAJO!$A$5:$A$48,0))="","",INDEX(2b_POST_TRABAJO!$Q$5:$Q$48,MATCH($A36,2b_POST_TRABAJO!$A$5:$A$48,0))),"")="","",IFERROR(6-IFERROR(IF(INDEX(2b_POST_TRABAJO!$Q$5:$Q$48,MATCH($A36,2b_POST_TRABAJO!$A$5:$A$48,0))="","",INDEX(2b_POST_TRABAJO!$Q$5:$Q$48,MATCH($A36,2b_POST_TRABAJO!$A$5:$A$48,0))),""),"REVISAR"))</f>
        <v/>
      </c>
      <c r="AO36" s="19" t="str">
        <f aca="false">IFERROR(IF(INDEX(2b_POST_TRABAJO!$R$5:$R$48,MATCH($A36,2b_POST_TRABAJO!$A$5:$A$48,0))="","",INDEX(2b_POST_TRABAJO!$R$5:$R$48,MATCH($A36,2b_POST_TRABAJO!$A$5:$A$48,0))),"")</f>
        <v/>
      </c>
      <c r="AP36" s="19" t="str">
        <f aca="false">IFERROR(IF(INDEX(2b_POST_TRABAJO!$S$5:$S$48,MATCH($A36,2b_POST_TRABAJO!$A$5:$A$48,0))="","",INDEX(2b_POST_TRABAJO!$S$5:$S$48,MATCH($A36,2b_POST_TRABAJO!$A$5:$A$48,0))),"")</f>
        <v/>
      </c>
      <c r="AQ36" s="19" t="str">
        <f aca="false">IFERROR(IF(INDEX(2b_POST_TRABAJO!$T$5:$T$48,MATCH($A36,2b_POST_TRABAJO!$A$5:$A$48,0))="","",INDEX(2b_POST_TRABAJO!$T$5:$T$48,MATCH($A36,2b_POST_TRABAJO!$A$5:$A$48,0))),"")</f>
        <v/>
      </c>
      <c r="AR36" s="27" t="n">
        <f aca="false">IF(COUNT(N36:R36)&lt;5,"",IFERROR(ROUND(AVERAGE(N36:R36),2),"REVISAR"))</f>
        <v>2.2</v>
      </c>
      <c r="AS36" s="27" t="n">
        <f aca="false">IF(COUNT(S36:W36)&lt;5,"",IFERROR(ROUND(AVERAGE(S36:W36),2),"REVISAR"))</f>
        <v>3.6</v>
      </c>
      <c r="AT36" s="27" t="n">
        <f aca="false">IF(COUNT(X36:AB36)&lt;5,"",IFERROR(ROUND(AVERAGE(X36:AB36),2),"REVISAR"))</f>
        <v>2.2</v>
      </c>
      <c r="AU36" s="11" t="n">
        <f aca="false">IF(COUNT(N36:AB36)&lt;15,"",IFERROR(SUM(N36:AB36),"REVISAR"))</f>
        <v>40</v>
      </c>
      <c r="AV36" s="18" t="n">
        <f aca="false">IF(AU36="","",IF(ISNUMBER(AU36),IF(AU36&lt;=35,1,IF(AU36&lt;=55,2,3)),"REVISAR"))</f>
        <v>2</v>
      </c>
      <c r="AW36" s="27" t="str">
        <f aca="false">IF(COUNT(AC36:AG36)&lt;5,"",IFERROR(ROUND(AVERAGE(AC36:AG36),2),"REVISAR"))</f>
        <v/>
      </c>
      <c r="AX36" s="27" t="str">
        <f aca="false">IF(COUNT(AH36:AL36)&lt;5,"",IFERROR(ROUND(AVERAGE(AH36:AL36),2),"REVISAR"))</f>
        <v/>
      </c>
      <c r="AY36" s="27" t="str">
        <f aca="false">IF(COUNT(AM36:AQ36)&lt;5,"",IFERROR(ROUND(AVERAGE(AM36:AQ36),2),"REVISAR"))</f>
        <v/>
      </c>
      <c r="AZ36" s="11" t="str">
        <f aca="false">IF(COUNT(AC36:AQ36)&lt;15,"",IFERROR(SUM(AC36:AQ36),"REVISAR"))</f>
        <v/>
      </c>
      <c r="BA36" s="18" t="str">
        <f aca="false">IF(AZ36="","",IF(ISNUMBER(AZ36),IF(AZ36&lt;=35,1,IF(AZ36&lt;=55,2,3)),"REVISAR"))</f>
        <v/>
      </c>
      <c r="BB36" s="28" t="str">
        <f aca="false">IF(OR(J36="",K36=""),"",IFERROR(ROUND(K36-J36,1),"REVISAR"))</f>
        <v/>
      </c>
      <c r="BC36" s="11" t="str">
        <f aca="false">IF(OR(L36="",M36=""),"",IFERROR(M36-L36,"REVISAR"))</f>
        <v/>
      </c>
      <c r="BD36" s="11" t="str">
        <f aca="false">IF(OR(AU36="",AZ36=""),"",IFERROR(AZ36-AU36,"REVISAR"))</f>
        <v/>
      </c>
      <c r="BE36" s="23"/>
      <c r="BF36" s="21"/>
    </row>
    <row r="37" customFormat="false" ht="15" hidden="false" customHeight="false" outlineLevel="0" collapsed="false">
      <c r="A37" s="17" t="s">
        <v>88</v>
      </c>
      <c r="B37" s="23" t="n">
        <v>1</v>
      </c>
      <c r="C37" s="19" t="n">
        <f aca="false">IFERROR(IF(INDEX(2a_PRE_TRABAJO!$B$5:$B$51,MATCH($A37,2a_PRE_TRABAJO!$A$5:$A$51,0))="","",INDEX(2a_PRE_TRABAJO!$B$5:$B$51,MATCH($A37,2a_PRE_TRABAJO!$A$5:$A$51,0))),"")</f>
        <v>2</v>
      </c>
      <c r="D37" s="19" t="n">
        <f aca="false">IFERROR(IF(INDEX(2a_PRE_TRABAJO!$C$5:$C$51,MATCH($A37,2a_PRE_TRABAJO!$A$5:$A$51,0))="","",INDEX(2a_PRE_TRABAJO!$C$5:$C$51,MATCH($A37,2a_PRE_TRABAJO!$A$5:$A$51,0))),"")</f>
        <v>1</v>
      </c>
      <c r="E37" s="19" t="n">
        <f aca="false">IFERROR(IF(INDEX(2a_PRE_TRABAJO!$D$5:$D$51,MATCH($A37,2a_PRE_TRABAJO!$A$5:$A$51,0))="","",INDEX(2a_PRE_TRABAJO!$D$5:$D$51,MATCH($A37,2a_PRE_TRABAJO!$A$5:$A$51,0))),"")</f>
        <v>31</v>
      </c>
      <c r="F37" s="19" t="n">
        <f aca="false">IFERROR(IF(INDEX(2a_PRE_TRABAJO!$E$5:$E$51,MATCH($A37,2a_PRE_TRABAJO!$A$5:$A$51,0))="","",INDEX(2a_PRE_TRABAJO!$E$5:$E$51,MATCH($A37,2a_PRE_TRABAJO!$A$5:$A$51,0))),"")</f>
        <v>4</v>
      </c>
      <c r="G37" s="19" t="str">
        <f aca="false">IFERROR(IF(INDEX(2a_PRE_TRABAJO!$F$5:$F$51,MATCH($A37,2a_PRE_TRABAJO!$A$5:$A$51,0))="","",INDEX(2a_PRE_TRABAJO!$F$5:$F$51,MATCH($A37,2a_PRE_TRABAJO!$A$5:$A$51,0))),"")</f>
        <v>PROFESIONAL</v>
      </c>
      <c r="H37" s="24" t="n">
        <f aca="false">IFERROR(IF(INDEX(2a_PRE_TRABAJO!$G$5:$G$51,MATCH($A37,2a_PRE_TRABAJO!$A$5:$A$51,0))="","",INDEX(2a_PRE_TRABAJO!$G$5:$G$51,MATCH($A37,2a_PRE_TRABAJO!$A$5:$A$51,0))),"")</f>
        <v>46260</v>
      </c>
      <c r="I37" s="24" t="n">
        <f aca="false">IFERROR(IF(INDEX(2b_POST_TRABAJO!$C$5:$C$48,MATCH($A37,2b_POST_TRABAJO!$A$5:$A$48,0))="","",INDEX(2b_POST_TRABAJO!$C$5:$C$48,MATCH($A37,2b_POST_TRABAJO!$A$5:$A$48,0))),"")</f>
        <v>46309</v>
      </c>
      <c r="J37" s="25" t="n">
        <f aca="false">IFERROR(IF(INDEX(2a_PRE_TRABAJO!$H$5:$H$51,MATCH($A37,2a_PRE_TRABAJO!$A$5:$A$51,0))="","",INDEX(2a_PRE_TRABAJO!$H$5:$H$51,MATCH($A37,2a_PRE_TRABAJO!$A$5:$A$51,0))),"")</f>
        <v>8.2</v>
      </c>
      <c r="K37" s="25" t="n">
        <f aca="false">IFERROR(IF(INDEX(2b_POST_TRABAJO!$D$5:$D$48,MATCH($A37,2b_POST_TRABAJO!$A$5:$A$48,0))="","",INDEX(2b_POST_TRABAJO!$D$5:$D$48,MATCH($A37,2b_POST_TRABAJO!$A$5:$A$48,0))),"")</f>
        <v>8</v>
      </c>
      <c r="L37" s="26" t="n">
        <f aca="false">IFERROR(IF(INDEX(2a_PRE_TRABAJO!$I$5:$I$51,MATCH($A37,2a_PRE_TRABAJO!$A$5:$A$51,0))="","",INDEX(2a_PRE_TRABAJO!$I$5:$I$51,MATCH($A37,2a_PRE_TRABAJO!$A$5:$A$51,0))),"")</f>
        <v>63</v>
      </c>
      <c r="M37" s="26" t="n">
        <f aca="false">IFERROR(IF(INDEX(2b_POST_TRABAJO!$E$5:$E$48,MATCH($A37,2b_POST_TRABAJO!$A$5:$A$48,0))="","",INDEX(2b_POST_TRABAJO!$E$5:$E$48,MATCH($A37,2b_POST_TRABAJO!$A$5:$A$48,0))),"")</f>
        <v>70</v>
      </c>
      <c r="N37" s="19" t="n">
        <f aca="false">IFERROR(IF(INDEX(2a_PRE_TRABAJO!$J$5:$J$51,MATCH($A37,2a_PRE_TRABAJO!$A$5:$A$51,0))="","",INDEX(2a_PRE_TRABAJO!$J$5:$J$51,MATCH($A37,2a_PRE_TRABAJO!$A$5:$A$51,0))),"")</f>
        <v>3</v>
      </c>
      <c r="O37" s="19" t="n">
        <f aca="false">IFERROR(IF(INDEX(2a_PRE_TRABAJO!$K$5:$K$51,MATCH($A37,2a_PRE_TRABAJO!$A$5:$A$51,0))="","",INDEX(2a_PRE_TRABAJO!$K$5:$K$51,MATCH($A37,2a_PRE_TRABAJO!$A$5:$A$51,0))),"")</f>
        <v>3</v>
      </c>
      <c r="P37" s="19" t="n">
        <f aca="false">IFERROR(IF(INDEX(2a_PRE_TRABAJO!$L$5:$L$51,MATCH($A37,2a_PRE_TRABAJO!$A$5:$A$51,0))="","",INDEX(2a_PRE_TRABAJO!$L$5:$L$51,MATCH($A37,2a_PRE_TRABAJO!$A$5:$A$51,0))),"")</f>
        <v>3</v>
      </c>
      <c r="Q37" s="19" t="n">
        <f aca="false">IF(IFERROR(IF(INDEX(2a_PRE_TRABAJO!$M$5:$M$51,MATCH($A37,2a_PRE_TRABAJO!$A$5:$A$51,0))="","",INDEX(2a_PRE_TRABAJO!$M$5:$M$51,MATCH($A37,2a_PRE_TRABAJO!$A$5:$A$51,0))),"")="","",IFERROR(6-IFERROR(IF(INDEX(2a_PRE_TRABAJO!$M$5:$M$51,MATCH($A37,2a_PRE_TRABAJO!$A$5:$A$51,0))="","",INDEX(2a_PRE_TRABAJO!$M$5:$M$51,MATCH($A37,2a_PRE_TRABAJO!$A$5:$A$51,0))),""),"REVISAR"))</f>
        <v>2</v>
      </c>
      <c r="R37" s="19" t="n">
        <f aca="false">IFERROR(IF(INDEX(2a_PRE_TRABAJO!$N$5:$N$51,MATCH($A37,2a_PRE_TRABAJO!$A$5:$A$51,0))="","",INDEX(2a_PRE_TRABAJO!$N$5:$N$51,MATCH($A37,2a_PRE_TRABAJO!$A$5:$A$51,0))),"")</f>
        <v>3</v>
      </c>
      <c r="S37" s="19" t="n">
        <f aca="false">IFERROR(IF(INDEX(2a_PRE_TRABAJO!$O$5:$O$51,MATCH($A37,2a_PRE_TRABAJO!$A$5:$A$51,0))="","",INDEX(2a_PRE_TRABAJO!$O$5:$O$51,MATCH($A37,2a_PRE_TRABAJO!$A$5:$A$51,0))),"")</f>
        <v>3</v>
      </c>
      <c r="T37" s="19" t="n">
        <f aca="false">IFERROR(IF(INDEX(2a_PRE_TRABAJO!$P$5:$P$51,MATCH($A37,2a_PRE_TRABAJO!$A$5:$A$51,0))="","",INDEX(2a_PRE_TRABAJO!$P$5:$P$51,MATCH($A37,2a_PRE_TRABAJO!$A$5:$A$51,0))),"")</f>
        <v>2</v>
      </c>
      <c r="U37" s="19" t="n">
        <f aca="false">IFERROR(IF(INDEX(2a_PRE_TRABAJO!$Q$5:$Q$51,MATCH($A37,2a_PRE_TRABAJO!$A$5:$A$51,0))="","",INDEX(2a_PRE_TRABAJO!$Q$5:$Q$51,MATCH($A37,2a_PRE_TRABAJO!$A$5:$A$51,0))),"")</f>
        <v>4</v>
      </c>
      <c r="V37" s="19" t="n">
        <f aca="false">IFERROR(IF(INDEX(2a_PRE_TRABAJO!$R$5:$R$51,MATCH($A37,2a_PRE_TRABAJO!$A$5:$A$51,0))="","",INDEX(2a_PRE_TRABAJO!$R$5:$R$51,MATCH($A37,2a_PRE_TRABAJO!$A$5:$A$51,0))),"")</f>
        <v>2</v>
      </c>
      <c r="W37" s="19" t="n">
        <f aca="false">IFERROR(IF(INDEX(2a_PRE_TRABAJO!$S$5:$S$51,MATCH($A37,2a_PRE_TRABAJO!$A$5:$A$51,0))="","",INDEX(2a_PRE_TRABAJO!$S$5:$S$51,MATCH($A37,2a_PRE_TRABAJO!$A$5:$A$51,0))),"")</f>
        <v>3</v>
      </c>
      <c r="X37" s="19" t="n">
        <f aca="false">IFERROR(IF(INDEX(2a_PRE_TRABAJO!$T$5:$T$51,MATCH($A37,2a_PRE_TRABAJO!$A$5:$A$51,0))="","",INDEX(2a_PRE_TRABAJO!$T$5:$T$51,MATCH($A37,2a_PRE_TRABAJO!$A$5:$A$51,0))),"")</f>
        <v>4</v>
      </c>
      <c r="Y37" s="19" t="n">
        <f aca="false">IF(IFERROR(IF(INDEX(2a_PRE_TRABAJO!$U$5:$U$51,MATCH($A37,2a_PRE_TRABAJO!$A$5:$A$51,0))="","",INDEX(2a_PRE_TRABAJO!$U$5:$U$51,MATCH($A37,2a_PRE_TRABAJO!$A$5:$A$51,0))),"")="","",IFERROR(6-IFERROR(IF(INDEX(2a_PRE_TRABAJO!$U$5:$U$51,MATCH($A37,2a_PRE_TRABAJO!$A$5:$A$51,0))="","",INDEX(2a_PRE_TRABAJO!$U$5:$U$51,MATCH($A37,2a_PRE_TRABAJO!$A$5:$A$51,0))),""),"REVISAR"))</f>
        <v>2</v>
      </c>
      <c r="Z37" s="19" t="n">
        <f aca="false">IFERROR(IF(INDEX(2a_PRE_TRABAJO!$V$5:$V$51,MATCH($A37,2a_PRE_TRABAJO!$A$5:$A$51,0))="","",INDEX(2a_PRE_TRABAJO!$V$5:$V$51,MATCH($A37,2a_PRE_TRABAJO!$A$5:$A$51,0))),"")</f>
        <v>2</v>
      </c>
      <c r="AA37" s="19" t="n">
        <f aca="false">IFERROR(IF(INDEX(2a_PRE_TRABAJO!$W$5:$W$51,MATCH($A37,2a_PRE_TRABAJO!$A$5:$A$51,0))="","",INDEX(2a_PRE_TRABAJO!$W$5:$W$51,MATCH($A37,2a_PRE_TRABAJO!$A$5:$A$51,0))),"")</f>
        <v>2</v>
      </c>
      <c r="AB37" s="19" t="n">
        <f aca="false">IFERROR(IF(INDEX(2a_PRE_TRABAJO!$X$5:$X$51,MATCH($A37,2a_PRE_TRABAJO!$A$5:$A$51,0))="","",INDEX(2a_PRE_TRABAJO!$X$5:$X$51,MATCH($A37,2a_PRE_TRABAJO!$A$5:$A$51,0))),"")</f>
        <v>4</v>
      </c>
      <c r="AC37" s="19" t="n">
        <f aca="false">IFERROR(IF(INDEX(2b_POST_TRABAJO!$F$5:$F$48,MATCH($A37,2b_POST_TRABAJO!$A$5:$A$48,0))="","",INDEX(2b_POST_TRABAJO!$F$5:$F$48,MATCH($A37,2b_POST_TRABAJO!$A$5:$A$48,0))),"")</f>
        <v>4</v>
      </c>
      <c r="AD37" s="19" t="str">
        <f aca="false">IFERROR(IF(INDEX(2b_POST_TRABAJO!$G$5:$G$48,MATCH($A37,2b_POST_TRABAJO!$A$5:$A$48,0))="","",INDEX(2b_POST_TRABAJO!$G$5:$G$48,MATCH($A37,2b_POST_TRABAJO!$A$5:$A$48,0))),"")</f>
        <v/>
      </c>
      <c r="AE37" s="19" t="str">
        <f aca="false">IFERROR(IF(INDEX(2b_POST_TRABAJO!$H$5:$H$48,MATCH($A37,2b_POST_TRABAJO!$A$5:$A$48,0))="","",INDEX(2b_POST_TRABAJO!$H$5:$H$48,MATCH($A37,2b_POST_TRABAJO!$A$5:$A$48,0))),"")</f>
        <v/>
      </c>
      <c r="AF37" s="19" t="n">
        <f aca="false">IF(IFERROR(IF(INDEX(2b_POST_TRABAJO!$I$5:$I$48,MATCH($A37,2b_POST_TRABAJO!$A$5:$A$48,0))="","",INDEX(2b_POST_TRABAJO!$I$5:$I$48,MATCH($A37,2b_POST_TRABAJO!$A$5:$A$48,0))),"")="","",IFERROR(6-IFERROR(IF(INDEX(2b_POST_TRABAJO!$I$5:$I$48,MATCH($A37,2b_POST_TRABAJO!$A$5:$A$48,0))="","",INDEX(2b_POST_TRABAJO!$I$5:$I$48,MATCH($A37,2b_POST_TRABAJO!$A$5:$A$48,0))),""),"REVISAR"))</f>
        <v>4</v>
      </c>
      <c r="AG37" s="19" t="n">
        <f aca="false">IFERROR(IF(INDEX(2b_POST_TRABAJO!$J$5:$J$48,MATCH($A37,2b_POST_TRABAJO!$A$5:$A$48,0))="","",INDEX(2b_POST_TRABAJO!$J$5:$J$48,MATCH($A37,2b_POST_TRABAJO!$A$5:$A$48,0))),"")</f>
        <v>4</v>
      </c>
      <c r="AH37" s="19" t="n">
        <f aca="false">IFERROR(IF(INDEX(2b_POST_TRABAJO!$K$5:$K$48,MATCH($A37,2b_POST_TRABAJO!$A$5:$A$48,0))="","",INDEX(2b_POST_TRABAJO!$K$5:$K$48,MATCH($A37,2b_POST_TRABAJO!$A$5:$A$48,0))),"")</f>
        <v>3</v>
      </c>
      <c r="AI37" s="19" t="n">
        <f aca="false">IFERROR(IF(INDEX(2b_POST_TRABAJO!$L$5:$L$48,MATCH($A37,2b_POST_TRABAJO!$A$5:$A$48,0))="","",INDEX(2b_POST_TRABAJO!$L$5:$L$48,MATCH($A37,2b_POST_TRABAJO!$A$5:$A$48,0))),"")</f>
        <v>1</v>
      </c>
      <c r="AJ37" s="19" t="n">
        <f aca="false">IFERROR(IF(INDEX(2b_POST_TRABAJO!$M$5:$M$48,MATCH($A37,2b_POST_TRABAJO!$A$5:$A$48,0))="","",INDEX(2b_POST_TRABAJO!$M$5:$M$48,MATCH($A37,2b_POST_TRABAJO!$A$5:$A$48,0))),"")</f>
        <v>2</v>
      </c>
      <c r="AK37" s="19" t="n">
        <f aca="false">IFERROR(IF(INDEX(2b_POST_TRABAJO!$N$5:$N$48,MATCH($A37,2b_POST_TRABAJO!$A$5:$A$48,0))="","",INDEX(2b_POST_TRABAJO!$N$5:$N$48,MATCH($A37,2b_POST_TRABAJO!$A$5:$A$48,0))),"")</f>
        <v>1</v>
      </c>
      <c r="AL37" s="19" t="n">
        <f aca="false">IFERROR(IF(INDEX(2b_POST_TRABAJO!$O$5:$O$48,MATCH($A37,2b_POST_TRABAJO!$A$5:$A$48,0))="","",INDEX(2b_POST_TRABAJO!$O$5:$O$48,MATCH($A37,2b_POST_TRABAJO!$A$5:$A$48,0))),"")</f>
        <v>1</v>
      </c>
      <c r="AM37" s="19" t="n">
        <f aca="false">IFERROR(IF(INDEX(2b_POST_TRABAJO!$P$5:$P$48,MATCH($A37,2b_POST_TRABAJO!$A$5:$A$48,0))="","",INDEX(2b_POST_TRABAJO!$P$5:$P$48,MATCH($A37,2b_POST_TRABAJO!$A$5:$A$48,0))),"")</f>
        <v>2</v>
      </c>
      <c r="AN37" s="19" t="n">
        <f aca="false">IF(IFERROR(IF(INDEX(2b_POST_TRABAJO!$Q$5:$Q$48,MATCH($A37,2b_POST_TRABAJO!$A$5:$A$48,0))="","",INDEX(2b_POST_TRABAJO!$Q$5:$Q$48,MATCH($A37,2b_POST_TRABAJO!$A$5:$A$48,0))),"")="","",IFERROR(6-IFERROR(IF(INDEX(2b_POST_TRABAJO!$Q$5:$Q$48,MATCH($A37,2b_POST_TRABAJO!$A$5:$A$48,0))="","",INDEX(2b_POST_TRABAJO!$Q$5:$Q$48,MATCH($A37,2b_POST_TRABAJO!$A$5:$A$48,0))),""),"REVISAR"))</f>
        <v>3</v>
      </c>
      <c r="AO37" s="19" t="n">
        <f aca="false">IFERROR(IF(INDEX(2b_POST_TRABAJO!$R$5:$R$48,MATCH($A37,2b_POST_TRABAJO!$A$5:$A$48,0))="","",INDEX(2b_POST_TRABAJO!$R$5:$R$48,MATCH($A37,2b_POST_TRABAJO!$A$5:$A$48,0))),"")</f>
        <v>4</v>
      </c>
      <c r="AP37" s="19" t="n">
        <f aca="false">IFERROR(IF(INDEX(2b_POST_TRABAJO!$S$5:$S$48,MATCH($A37,2b_POST_TRABAJO!$A$5:$A$48,0))="","",INDEX(2b_POST_TRABAJO!$S$5:$S$48,MATCH($A37,2b_POST_TRABAJO!$A$5:$A$48,0))),"")</f>
        <v>3</v>
      </c>
      <c r="AQ37" s="19" t="n">
        <f aca="false">IFERROR(IF(INDEX(2b_POST_TRABAJO!$T$5:$T$48,MATCH($A37,2b_POST_TRABAJO!$A$5:$A$48,0))="","",INDEX(2b_POST_TRABAJO!$T$5:$T$48,MATCH($A37,2b_POST_TRABAJO!$A$5:$A$48,0))),"")</f>
        <v>4</v>
      </c>
      <c r="AR37" s="27" t="n">
        <f aca="false">IF(COUNT(N37:R37)&lt;5,"",IFERROR(ROUND(AVERAGE(N37:R37),2),"REVISAR"))</f>
        <v>2.8</v>
      </c>
      <c r="AS37" s="27" t="n">
        <f aca="false">IF(COUNT(S37:W37)&lt;5,"",IFERROR(ROUND(AVERAGE(S37:W37),2),"REVISAR"))</f>
        <v>2.8</v>
      </c>
      <c r="AT37" s="27" t="n">
        <f aca="false">IF(COUNT(X37:AB37)&lt;5,"",IFERROR(ROUND(AVERAGE(X37:AB37),2),"REVISAR"))</f>
        <v>2.8</v>
      </c>
      <c r="AU37" s="11" t="n">
        <f aca="false">IF(COUNT(N37:AB37)&lt;15,"",IFERROR(SUM(N37:AB37),"REVISAR"))</f>
        <v>42</v>
      </c>
      <c r="AV37" s="18" t="n">
        <f aca="false">IF(AU37="","",IF(ISNUMBER(AU37),IF(AU37&lt;=35,1,IF(AU37&lt;=55,2,3)),"REVISAR"))</f>
        <v>2</v>
      </c>
      <c r="AW37" s="27" t="str">
        <f aca="false">IF(COUNT(AC37:AG37)&lt;5,"",IFERROR(ROUND(AVERAGE(AC37:AG37),2),"REVISAR"))</f>
        <v/>
      </c>
      <c r="AX37" s="27" t="n">
        <f aca="false">IF(COUNT(AH37:AL37)&lt;5,"",IFERROR(ROUND(AVERAGE(AH37:AL37),2),"REVISAR"))</f>
        <v>1.6</v>
      </c>
      <c r="AY37" s="27" t="n">
        <f aca="false">IF(COUNT(AM37:AQ37)&lt;5,"",IFERROR(ROUND(AVERAGE(AM37:AQ37),2),"REVISAR"))</f>
        <v>3.2</v>
      </c>
      <c r="AZ37" s="11" t="str">
        <f aca="false">IF(COUNT(AC37:AQ37)&lt;15,"",IFERROR(SUM(AC37:AQ37),"REVISAR"))</f>
        <v/>
      </c>
      <c r="BA37" s="18" t="str">
        <f aca="false">IF(AZ37="","",IF(ISNUMBER(AZ37),IF(AZ37&lt;=35,1,IF(AZ37&lt;=55,2,3)),"REVISAR"))</f>
        <v/>
      </c>
      <c r="BB37" s="28" t="n">
        <f aca="false">IF(OR(J37="",K37=""),"",IFERROR(ROUND(K37-J37,1),"REVISAR"))</f>
        <v>-0.2</v>
      </c>
      <c r="BC37" s="11" t="n">
        <f aca="false">IF(OR(L37="",M37=""),"",IFERROR(M37-L37,"REVISAR"))</f>
        <v>7</v>
      </c>
      <c r="BD37" s="11" t="str">
        <f aca="false">IF(OR(AU37="",AZ37=""),"",IFERROR(AZ37-AU37,"REVISAR"))</f>
        <v/>
      </c>
      <c r="BE37" s="23"/>
      <c r="BF37" s="21"/>
    </row>
    <row r="38" customFormat="false" ht="15" hidden="false" customHeight="false" outlineLevel="0" collapsed="false">
      <c r="A38" s="17" t="s">
        <v>89</v>
      </c>
      <c r="B38" s="23" t="n">
        <v>1</v>
      </c>
      <c r="C38" s="19" t="n">
        <f aca="false">IFERROR(IF(INDEX(2a_PRE_TRABAJO!$B$5:$B$51,MATCH($A38,2a_PRE_TRABAJO!$A$5:$A$51,0))="","",INDEX(2a_PRE_TRABAJO!$B$5:$B$51,MATCH($A38,2a_PRE_TRABAJO!$A$5:$A$51,0))),"")</f>
        <v>2</v>
      </c>
      <c r="D38" s="19" t="n">
        <f aca="false">IFERROR(IF(INDEX(2a_PRE_TRABAJO!$C$5:$C$51,MATCH($A38,2a_PRE_TRABAJO!$A$5:$A$51,0))="","",INDEX(2a_PRE_TRABAJO!$C$5:$C$51,MATCH($A38,2a_PRE_TRABAJO!$A$5:$A$51,0))),"")</f>
        <v>2</v>
      </c>
      <c r="E38" s="19" t="n">
        <f aca="false">IFERROR(IF(INDEX(2a_PRE_TRABAJO!$D$5:$D$51,MATCH($A38,2a_PRE_TRABAJO!$A$5:$A$51,0))="","",INDEX(2a_PRE_TRABAJO!$D$5:$D$51,MATCH($A38,2a_PRE_TRABAJO!$A$5:$A$51,0))),"")</f>
        <v>44</v>
      </c>
      <c r="F38" s="19" t="n">
        <f aca="false">IFERROR(IF(INDEX(2a_PRE_TRABAJO!$E$5:$E$51,MATCH($A38,2a_PRE_TRABAJO!$A$5:$A$51,0))="","",INDEX(2a_PRE_TRABAJO!$E$5:$E$51,MATCH($A38,2a_PRE_TRABAJO!$A$5:$A$51,0))),"")</f>
        <v>10</v>
      </c>
      <c r="G38" s="19" t="str">
        <f aca="false">IFERROR(IF(INDEX(2a_PRE_TRABAJO!$F$5:$F$51,MATCH($A38,2a_PRE_TRABAJO!$A$5:$A$51,0))="","",INDEX(2a_PRE_TRABAJO!$F$5:$F$51,MATCH($A38,2a_PRE_TRABAJO!$A$5:$A$51,0))),"")</f>
        <v>AUXILIAR</v>
      </c>
      <c r="H38" s="24" t="n">
        <f aca="false">IFERROR(IF(INDEX(2a_PRE_TRABAJO!$G$5:$G$51,MATCH($A38,2a_PRE_TRABAJO!$A$5:$A$51,0))="","",INDEX(2a_PRE_TRABAJO!$G$5:$G$51,MATCH($A38,2a_PRE_TRABAJO!$A$5:$A$51,0))),"")</f>
        <v>46261</v>
      </c>
      <c r="I38" s="24" t="n">
        <f aca="false">IFERROR(IF(INDEX(2b_POST_TRABAJO!$C$5:$C$48,MATCH($A38,2b_POST_TRABAJO!$A$5:$A$48,0))="","",INDEX(2b_POST_TRABAJO!$C$5:$C$48,MATCH($A38,2b_POST_TRABAJO!$A$5:$A$48,0))),"")</f>
        <v>46310</v>
      </c>
      <c r="J38" s="25" t="n">
        <f aca="false">IFERROR(IF(INDEX(2a_PRE_TRABAJO!$H$5:$H$51,MATCH($A38,2a_PRE_TRABAJO!$A$5:$A$51,0))="","",INDEX(2a_PRE_TRABAJO!$H$5:$H$51,MATCH($A38,2a_PRE_TRABAJO!$A$5:$A$51,0))),"")</f>
        <v>14.5</v>
      </c>
      <c r="K38" s="25" t="n">
        <f aca="false">IFERROR(IF(INDEX(2b_POST_TRABAJO!$D$5:$D$48,MATCH($A38,2b_POST_TRABAJO!$A$5:$A$48,0))="","",INDEX(2b_POST_TRABAJO!$D$5:$D$48,MATCH($A38,2b_POST_TRABAJO!$A$5:$A$48,0))),"")</f>
        <v>13.5</v>
      </c>
      <c r="L38" s="26" t="n">
        <f aca="false">IFERROR(IF(INDEX(2a_PRE_TRABAJO!$I$5:$I$51,MATCH($A38,2a_PRE_TRABAJO!$A$5:$A$51,0))="","",INDEX(2a_PRE_TRABAJO!$I$5:$I$51,MATCH($A38,2a_PRE_TRABAJO!$A$5:$A$51,0))),"")</f>
        <v>68</v>
      </c>
      <c r="M38" s="26" t="n">
        <f aca="false">IFERROR(IF(INDEX(2b_POST_TRABAJO!$E$5:$E$48,MATCH($A38,2b_POST_TRABAJO!$A$5:$A$48,0))="","",INDEX(2b_POST_TRABAJO!$E$5:$E$48,MATCH($A38,2b_POST_TRABAJO!$A$5:$A$48,0))),"")</f>
        <v>70</v>
      </c>
      <c r="N38" s="19" t="n">
        <f aca="false">IFERROR(IF(INDEX(2a_PRE_TRABAJO!$J$5:$J$51,MATCH($A38,2a_PRE_TRABAJO!$A$5:$A$51,0))="","",INDEX(2a_PRE_TRABAJO!$J$5:$J$51,MATCH($A38,2a_PRE_TRABAJO!$A$5:$A$51,0))),"")</f>
        <v>3</v>
      </c>
      <c r="O38" s="19" t="n">
        <f aca="false">IFERROR(IF(INDEX(2a_PRE_TRABAJO!$K$5:$K$51,MATCH($A38,2a_PRE_TRABAJO!$A$5:$A$51,0))="","",INDEX(2a_PRE_TRABAJO!$K$5:$K$51,MATCH($A38,2a_PRE_TRABAJO!$A$5:$A$51,0))),"")</f>
        <v>2</v>
      </c>
      <c r="P38" s="19" t="n">
        <f aca="false">IFERROR(IF(INDEX(2a_PRE_TRABAJO!$L$5:$L$51,MATCH($A38,2a_PRE_TRABAJO!$A$5:$A$51,0))="","",INDEX(2a_PRE_TRABAJO!$L$5:$L$51,MATCH($A38,2a_PRE_TRABAJO!$A$5:$A$51,0))),"")</f>
        <v>1</v>
      </c>
      <c r="Q38" s="19" t="n">
        <f aca="false">IF(IFERROR(IF(INDEX(2a_PRE_TRABAJO!$M$5:$M$51,MATCH($A38,2a_PRE_TRABAJO!$A$5:$A$51,0))="","",INDEX(2a_PRE_TRABAJO!$M$5:$M$51,MATCH($A38,2a_PRE_TRABAJO!$A$5:$A$51,0))),"")="","",IFERROR(6-IFERROR(IF(INDEX(2a_PRE_TRABAJO!$M$5:$M$51,MATCH($A38,2a_PRE_TRABAJO!$A$5:$A$51,0))="","",INDEX(2a_PRE_TRABAJO!$M$5:$M$51,MATCH($A38,2a_PRE_TRABAJO!$A$5:$A$51,0))),""),"REVISAR"))</f>
        <v>1</v>
      </c>
      <c r="R38" s="19" t="n">
        <f aca="false">IFERROR(IF(INDEX(2a_PRE_TRABAJO!$N$5:$N$51,MATCH($A38,2a_PRE_TRABAJO!$A$5:$A$51,0))="","",INDEX(2a_PRE_TRABAJO!$N$5:$N$51,MATCH($A38,2a_PRE_TRABAJO!$A$5:$A$51,0))),"")</f>
        <v>2</v>
      </c>
      <c r="S38" s="19" t="n">
        <f aca="false">IFERROR(IF(INDEX(2a_PRE_TRABAJO!$O$5:$O$51,MATCH($A38,2a_PRE_TRABAJO!$A$5:$A$51,0))="","",INDEX(2a_PRE_TRABAJO!$O$5:$O$51,MATCH($A38,2a_PRE_TRABAJO!$A$5:$A$51,0))),"")</f>
        <v>1</v>
      </c>
      <c r="T38" s="19" t="n">
        <f aca="false">IFERROR(IF(INDEX(2a_PRE_TRABAJO!$P$5:$P$51,MATCH($A38,2a_PRE_TRABAJO!$A$5:$A$51,0))="","",INDEX(2a_PRE_TRABAJO!$P$5:$P$51,MATCH($A38,2a_PRE_TRABAJO!$A$5:$A$51,0))),"")</f>
        <v>4</v>
      </c>
      <c r="U38" s="19" t="n">
        <f aca="false">IFERROR(IF(INDEX(2a_PRE_TRABAJO!$Q$5:$Q$51,MATCH($A38,2a_PRE_TRABAJO!$A$5:$A$51,0))="","",INDEX(2a_PRE_TRABAJO!$Q$5:$Q$51,MATCH($A38,2a_PRE_TRABAJO!$A$5:$A$51,0))),"")</f>
        <v>4</v>
      </c>
      <c r="V38" s="19" t="n">
        <f aca="false">IFERROR(IF(INDEX(2a_PRE_TRABAJO!$R$5:$R$51,MATCH($A38,2a_PRE_TRABAJO!$A$5:$A$51,0))="","",INDEX(2a_PRE_TRABAJO!$R$5:$R$51,MATCH($A38,2a_PRE_TRABAJO!$A$5:$A$51,0))),"")</f>
        <v>2</v>
      </c>
      <c r="W38" s="19" t="n">
        <f aca="false">IFERROR(IF(INDEX(2a_PRE_TRABAJO!$S$5:$S$51,MATCH($A38,2a_PRE_TRABAJO!$A$5:$A$51,0))="","",INDEX(2a_PRE_TRABAJO!$S$5:$S$51,MATCH($A38,2a_PRE_TRABAJO!$A$5:$A$51,0))),"")</f>
        <v>2</v>
      </c>
      <c r="X38" s="19" t="n">
        <f aca="false">IFERROR(IF(INDEX(2a_PRE_TRABAJO!$T$5:$T$51,MATCH($A38,2a_PRE_TRABAJO!$A$5:$A$51,0))="","",INDEX(2a_PRE_TRABAJO!$T$5:$T$51,MATCH($A38,2a_PRE_TRABAJO!$A$5:$A$51,0))),"")</f>
        <v>1</v>
      </c>
      <c r="Y38" s="19" t="n">
        <f aca="false">IF(IFERROR(IF(INDEX(2a_PRE_TRABAJO!$U$5:$U$51,MATCH($A38,2a_PRE_TRABAJO!$A$5:$A$51,0))="","",INDEX(2a_PRE_TRABAJO!$U$5:$U$51,MATCH($A38,2a_PRE_TRABAJO!$A$5:$A$51,0))),"")="","",IFERROR(6-IFERROR(IF(INDEX(2a_PRE_TRABAJO!$U$5:$U$51,MATCH($A38,2a_PRE_TRABAJO!$A$5:$A$51,0))="","",INDEX(2a_PRE_TRABAJO!$U$5:$U$51,MATCH($A38,2a_PRE_TRABAJO!$A$5:$A$51,0))),""),"REVISAR"))</f>
        <v>4</v>
      </c>
      <c r="Z38" s="19" t="n">
        <f aca="false">IFERROR(IF(INDEX(2a_PRE_TRABAJO!$V$5:$V$51,MATCH($A38,2a_PRE_TRABAJO!$A$5:$A$51,0))="","",INDEX(2a_PRE_TRABAJO!$V$5:$V$51,MATCH($A38,2a_PRE_TRABAJO!$A$5:$A$51,0))),"")</f>
        <v>2</v>
      </c>
      <c r="AA38" s="19" t="n">
        <f aca="false">IFERROR(IF(INDEX(2a_PRE_TRABAJO!$W$5:$W$51,MATCH($A38,2a_PRE_TRABAJO!$A$5:$A$51,0))="","",INDEX(2a_PRE_TRABAJO!$W$5:$W$51,MATCH($A38,2a_PRE_TRABAJO!$A$5:$A$51,0))),"")</f>
        <v>3</v>
      </c>
      <c r="AB38" s="19" t="n">
        <f aca="false">IFERROR(IF(INDEX(2a_PRE_TRABAJO!$X$5:$X$51,MATCH($A38,2a_PRE_TRABAJO!$A$5:$A$51,0))="","",INDEX(2a_PRE_TRABAJO!$X$5:$X$51,MATCH($A38,2a_PRE_TRABAJO!$A$5:$A$51,0))),"")</f>
        <v>3</v>
      </c>
      <c r="AC38" s="19" t="n">
        <f aca="false">IFERROR(IF(INDEX(2b_POST_TRABAJO!$F$5:$F$48,MATCH($A38,2b_POST_TRABAJO!$A$5:$A$48,0))="","",INDEX(2b_POST_TRABAJO!$F$5:$F$48,MATCH($A38,2b_POST_TRABAJO!$A$5:$A$48,0))),"")</f>
        <v>2</v>
      </c>
      <c r="AD38" s="19" t="n">
        <f aca="false">IFERROR(IF(INDEX(2b_POST_TRABAJO!$G$5:$G$48,MATCH($A38,2b_POST_TRABAJO!$A$5:$A$48,0))="","",INDEX(2b_POST_TRABAJO!$G$5:$G$48,MATCH($A38,2b_POST_TRABAJO!$A$5:$A$48,0))),"")</f>
        <v>2</v>
      </c>
      <c r="AE38" s="19" t="n">
        <f aca="false">IFERROR(IF(INDEX(2b_POST_TRABAJO!$H$5:$H$48,MATCH($A38,2b_POST_TRABAJO!$A$5:$A$48,0))="","",INDEX(2b_POST_TRABAJO!$H$5:$H$48,MATCH($A38,2b_POST_TRABAJO!$A$5:$A$48,0))),"")</f>
        <v>4</v>
      </c>
      <c r="AF38" s="19" t="n">
        <f aca="false">IF(IFERROR(IF(INDEX(2b_POST_TRABAJO!$I$5:$I$48,MATCH($A38,2b_POST_TRABAJO!$A$5:$A$48,0))="","",INDEX(2b_POST_TRABAJO!$I$5:$I$48,MATCH($A38,2b_POST_TRABAJO!$A$5:$A$48,0))),"")="","",IFERROR(6-IFERROR(IF(INDEX(2b_POST_TRABAJO!$I$5:$I$48,MATCH($A38,2b_POST_TRABAJO!$A$5:$A$48,0))="","",INDEX(2b_POST_TRABAJO!$I$5:$I$48,MATCH($A38,2b_POST_TRABAJO!$A$5:$A$48,0))),""),"REVISAR"))</f>
        <v>5</v>
      </c>
      <c r="AG38" s="19" t="n">
        <f aca="false">IFERROR(IF(INDEX(2b_POST_TRABAJO!$J$5:$J$48,MATCH($A38,2b_POST_TRABAJO!$A$5:$A$48,0))="","",INDEX(2b_POST_TRABAJO!$J$5:$J$48,MATCH($A38,2b_POST_TRABAJO!$A$5:$A$48,0))),"")</f>
        <v>3</v>
      </c>
      <c r="AH38" s="19" t="n">
        <f aca="false">IFERROR(IF(INDEX(2b_POST_TRABAJO!$K$5:$K$48,MATCH($A38,2b_POST_TRABAJO!$A$5:$A$48,0))="","",INDEX(2b_POST_TRABAJO!$K$5:$K$48,MATCH($A38,2b_POST_TRABAJO!$A$5:$A$48,0))),"")</f>
        <v>2</v>
      </c>
      <c r="AI38" s="19" t="n">
        <f aca="false">IFERROR(IF(INDEX(2b_POST_TRABAJO!$L$5:$L$48,MATCH($A38,2b_POST_TRABAJO!$A$5:$A$48,0))="","",INDEX(2b_POST_TRABAJO!$L$5:$L$48,MATCH($A38,2b_POST_TRABAJO!$A$5:$A$48,0))),"")</f>
        <v>3</v>
      </c>
      <c r="AJ38" s="19" t="n">
        <f aca="false">IFERROR(IF(INDEX(2b_POST_TRABAJO!$M$5:$M$48,MATCH($A38,2b_POST_TRABAJO!$A$5:$A$48,0))="","",INDEX(2b_POST_TRABAJO!$M$5:$M$48,MATCH($A38,2b_POST_TRABAJO!$A$5:$A$48,0))),"")</f>
        <v>2</v>
      </c>
      <c r="AK38" s="19" t="n">
        <f aca="false">IFERROR(IF(INDEX(2b_POST_TRABAJO!$N$5:$N$48,MATCH($A38,2b_POST_TRABAJO!$A$5:$A$48,0))="","",INDEX(2b_POST_TRABAJO!$N$5:$N$48,MATCH($A38,2b_POST_TRABAJO!$A$5:$A$48,0))),"")</f>
        <v>2</v>
      </c>
      <c r="AL38" s="19" t="n">
        <f aca="false">IFERROR(IF(INDEX(2b_POST_TRABAJO!$O$5:$O$48,MATCH($A38,2b_POST_TRABAJO!$A$5:$A$48,0))="","",INDEX(2b_POST_TRABAJO!$O$5:$O$48,MATCH($A38,2b_POST_TRABAJO!$A$5:$A$48,0))),"")</f>
        <v>2</v>
      </c>
      <c r="AM38" s="19" t="n">
        <f aca="false">IFERROR(IF(INDEX(2b_POST_TRABAJO!$P$5:$P$48,MATCH($A38,2b_POST_TRABAJO!$A$5:$A$48,0))="","",INDEX(2b_POST_TRABAJO!$P$5:$P$48,MATCH($A38,2b_POST_TRABAJO!$A$5:$A$48,0))),"")</f>
        <v>3</v>
      </c>
      <c r="AN38" s="19" t="n">
        <f aca="false">IF(IFERROR(IF(INDEX(2b_POST_TRABAJO!$Q$5:$Q$48,MATCH($A38,2b_POST_TRABAJO!$A$5:$A$48,0))="","",INDEX(2b_POST_TRABAJO!$Q$5:$Q$48,MATCH($A38,2b_POST_TRABAJO!$A$5:$A$48,0))),"")="","",IFERROR(6-IFERROR(IF(INDEX(2b_POST_TRABAJO!$Q$5:$Q$48,MATCH($A38,2b_POST_TRABAJO!$A$5:$A$48,0))="","",INDEX(2b_POST_TRABAJO!$Q$5:$Q$48,MATCH($A38,2b_POST_TRABAJO!$A$5:$A$48,0))),""),"REVISAR"))</f>
        <v>2</v>
      </c>
      <c r="AO38" s="19" t="n">
        <f aca="false">IFERROR(IF(INDEX(2b_POST_TRABAJO!$R$5:$R$48,MATCH($A38,2b_POST_TRABAJO!$A$5:$A$48,0))="","",INDEX(2b_POST_TRABAJO!$R$5:$R$48,MATCH($A38,2b_POST_TRABAJO!$A$5:$A$48,0))),"")</f>
        <v>1</v>
      </c>
      <c r="AP38" s="19" t="n">
        <f aca="false">IFERROR(IF(INDEX(2b_POST_TRABAJO!$S$5:$S$48,MATCH($A38,2b_POST_TRABAJO!$A$5:$A$48,0))="","",INDEX(2b_POST_TRABAJO!$S$5:$S$48,MATCH($A38,2b_POST_TRABAJO!$A$5:$A$48,0))),"")</f>
        <v>3</v>
      </c>
      <c r="AQ38" s="19" t="n">
        <f aca="false">IFERROR(IF(INDEX(2b_POST_TRABAJO!$T$5:$T$48,MATCH($A38,2b_POST_TRABAJO!$A$5:$A$48,0))="","",INDEX(2b_POST_TRABAJO!$T$5:$T$48,MATCH($A38,2b_POST_TRABAJO!$A$5:$A$48,0))),"")</f>
        <v>3</v>
      </c>
      <c r="AR38" s="27" t="n">
        <f aca="false">IF(COUNT(N38:R38)&lt;5,"",IFERROR(ROUND(AVERAGE(N38:R38),2),"REVISAR"))</f>
        <v>1.8</v>
      </c>
      <c r="AS38" s="27" t="n">
        <f aca="false">IF(COUNT(S38:W38)&lt;5,"",IFERROR(ROUND(AVERAGE(S38:W38),2),"REVISAR"))</f>
        <v>2.6</v>
      </c>
      <c r="AT38" s="27" t="n">
        <f aca="false">IF(COUNT(X38:AB38)&lt;5,"",IFERROR(ROUND(AVERAGE(X38:AB38),2),"REVISAR"))</f>
        <v>2.6</v>
      </c>
      <c r="AU38" s="11" t="n">
        <f aca="false">IF(COUNT(N38:AB38)&lt;15,"",IFERROR(SUM(N38:AB38),"REVISAR"))</f>
        <v>35</v>
      </c>
      <c r="AV38" s="18" t="n">
        <f aca="false">IF(AU38="","",IF(ISNUMBER(AU38),IF(AU38&lt;=35,1,IF(AU38&lt;=55,2,3)),"REVISAR"))</f>
        <v>1</v>
      </c>
      <c r="AW38" s="27" t="n">
        <f aca="false">IF(COUNT(AC38:AG38)&lt;5,"",IFERROR(ROUND(AVERAGE(AC38:AG38),2),"REVISAR"))</f>
        <v>3.2</v>
      </c>
      <c r="AX38" s="27" t="n">
        <f aca="false">IF(COUNT(AH38:AL38)&lt;5,"",IFERROR(ROUND(AVERAGE(AH38:AL38),2),"REVISAR"))</f>
        <v>2.2</v>
      </c>
      <c r="AY38" s="27" t="n">
        <f aca="false">IF(COUNT(AM38:AQ38)&lt;5,"",IFERROR(ROUND(AVERAGE(AM38:AQ38),2),"REVISAR"))</f>
        <v>2.4</v>
      </c>
      <c r="AZ38" s="11" t="n">
        <f aca="false">IF(COUNT(AC38:AQ38)&lt;15,"",IFERROR(SUM(AC38:AQ38),"REVISAR"))</f>
        <v>39</v>
      </c>
      <c r="BA38" s="18" t="n">
        <f aca="false">IF(AZ38="","",IF(ISNUMBER(AZ38),IF(AZ38&lt;=35,1,IF(AZ38&lt;=55,2,3)),"REVISAR"))</f>
        <v>2</v>
      </c>
      <c r="BB38" s="28" t="n">
        <f aca="false">IF(OR(J38="",K38=""),"",IFERROR(ROUND(K38-J38,1),"REVISAR"))</f>
        <v>-1</v>
      </c>
      <c r="BC38" s="11" t="n">
        <f aca="false">IF(OR(L38="",M38=""),"",IFERROR(M38-L38,"REVISAR"))</f>
        <v>2</v>
      </c>
      <c r="BD38" s="11" t="n">
        <f aca="false">IF(OR(AU38="",AZ38=""),"",IFERROR(AZ38-AU38,"REVISAR"))</f>
        <v>4</v>
      </c>
      <c r="BE38" s="23"/>
      <c r="BF38" s="21"/>
    </row>
    <row r="39" customFormat="false" ht="15" hidden="false" customHeight="false" outlineLevel="0" collapsed="false">
      <c r="A39" s="17" t="s">
        <v>90</v>
      </c>
      <c r="B39" s="23" t="n">
        <v>1</v>
      </c>
      <c r="C39" s="19" t="n">
        <f aca="false">IFERROR(IF(INDEX(2a_PRE_TRABAJO!$B$5:$B$51,MATCH($A39,2a_PRE_TRABAJO!$A$5:$A$51,0))="","",INDEX(2a_PRE_TRABAJO!$B$5:$B$51,MATCH($A39,2a_PRE_TRABAJO!$A$5:$A$51,0))),"")</f>
        <v>2</v>
      </c>
      <c r="D39" s="19" t="n">
        <f aca="false">IFERROR(IF(INDEX(2a_PRE_TRABAJO!$C$5:$C$51,MATCH($A39,2a_PRE_TRABAJO!$A$5:$A$51,0))="","",INDEX(2a_PRE_TRABAJO!$C$5:$C$51,MATCH($A39,2a_PRE_TRABAJO!$A$5:$A$51,0))),"")</f>
        <v>2</v>
      </c>
      <c r="E39" s="19" t="n">
        <f aca="false">IFERROR(IF(INDEX(2a_PRE_TRABAJO!$D$5:$D$51,MATCH($A39,2a_PRE_TRABAJO!$A$5:$A$51,0))="","",INDEX(2a_PRE_TRABAJO!$D$5:$D$51,MATCH($A39,2a_PRE_TRABAJO!$A$5:$A$51,0))),"")</f>
        <v>7</v>
      </c>
      <c r="F39" s="19" t="n">
        <f aca="false">IFERROR(IF(INDEX(2a_PRE_TRABAJO!$E$5:$E$51,MATCH($A39,2a_PRE_TRABAJO!$A$5:$A$51,0))="","",INDEX(2a_PRE_TRABAJO!$E$5:$E$51,MATCH($A39,2a_PRE_TRABAJO!$A$5:$A$51,0))),"")</f>
        <v>4</v>
      </c>
      <c r="G39" s="19" t="str">
        <f aca="false">IFERROR(IF(INDEX(2a_PRE_TRABAJO!$F$5:$F$51,MATCH($A39,2a_PRE_TRABAJO!$A$5:$A$51,0))="","",INDEX(2a_PRE_TRABAJO!$F$5:$F$51,MATCH($A39,2a_PRE_TRABAJO!$A$5:$A$51,0))),"")</f>
        <v>Profesional </v>
      </c>
      <c r="H39" s="24" t="n">
        <f aca="false">IFERROR(IF(INDEX(2a_PRE_TRABAJO!$G$5:$G$51,MATCH($A39,2a_PRE_TRABAJO!$A$5:$A$51,0))="","",INDEX(2a_PRE_TRABAJO!$G$5:$G$51,MATCH($A39,2a_PRE_TRABAJO!$A$5:$A$51,0))),"")</f>
        <v>46262</v>
      </c>
      <c r="I39" s="24" t="n">
        <f aca="false">IFERROR(IF(INDEX(2b_POST_TRABAJO!$C$5:$C$48,MATCH($A39,2b_POST_TRABAJO!$A$5:$A$48,0))="","",INDEX(2b_POST_TRABAJO!$C$5:$C$48,MATCH($A39,2b_POST_TRABAJO!$A$5:$A$48,0))),"")</f>
        <v>46311</v>
      </c>
      <c r="J39" s="25" t="n">
        <f aca="false">IFERROR(IF(INDEX(2a_PRE_TRABAJO!$H$5:$H$51,MATCH($A39,2a_PRE_TRABAJO!$A$5:$A$51,0))="","",INDEX(2a_PRE_TRABAJO!$H$5:$H$51,MATCH($A39,2a_PRE_TRABAJO!$A$5:$A$51,0))),"")</f>
        <v>16.4</v>
      </c>
      <c r="K39" s="25" t="n">
        <f aca="false">IFERROR(IF(INDEX(2b_POST_TRABAJO!$D$5:$D$48,MATCH($A39,2b_POST_TRABAJO!$A$5:$A$48,0))="","",INDEX(2b_POST_TRABAJO!$D$5:$D$48,MATCH($A39,2b_POST_TRABAJO!$A$5:$A$48,0))),"")</f>
        <v>17.3</v>
      </c>
      <c r="L39" s="26" t="n">
        <f aca="false">IFERROR(IF(INDEX(2a_PRE_TRABAJO!$I$5:$I$51,MATCH($A39,2a_PRE_TRABAJO!$A$5:$A$51,0))="","",INDEX(2a_PRE_TRABAJO!$I$5:$I$51,MATCH($A39,2a_PRE_TRABAJO!$A$5:$A$51,0))),"")</f>
        <v>55</v>
      </c>
      <c r="M39" s="26" t="n">
        <f aca="false">IFERROR(IF(INDEX(2b_POST_TRABAJO!$E$5:$E$48,MATCH($A39,2b_POST_TRABAJO!$A$5:$A$48,0))="","",INDEX(2b_POST_TRABAJO!$E$5:$E$48,MATCH($A39,2b_POST_TRABAJO!$A$5:$A$48,0))),"")</f>
        <v>61</v>
      </c>
      <c r="N39" s="19" t="n">
        <f aca="false">IFERROR(IF(INDEX(2a_PRE_TRABAJO!$J$5:$J$51,MATCH($A39,2a_PRE_TRABAJO!$A$5:$A$51,0))="","",INDEX(2a_PRE_TRABAJO!$J$5:$J$51,MATCH($A39,2a_PRE_TRABAJO!$A$5:$A$51,0))),"")</f>
        <v>1</v>
      </c>
      <c r="O39" s="19" t="n">
        <f aca="false">IFERROR(IF(INDEX(2a_PRE_TRABAJO!$K$5:$K$51,MATCH($A39,2a_PRE_TRABAJO!$A$5:$A$51,0))="","",INDEX(2a_PRE_TRABAJO!$K$5:$K$51,MATCH($A39,2a_PRE_TRABAJO!$A$5:$A$51,0))),"")</f>
        <v>2</v>
      </c>
      <c r="P39" s="19" t="n">
        <f aca="false">IFERROR(IF(INDEX(2a_PRE_TRABAJO!$L$5:$L$51,MATCH($A39,2a_PRE_TRABAJO!$A$5:$A$51,0))="","",INDEX(2a_PRE_TRABAJO!$L$5:$L$51,MATCH($A39,2a_PRE_TRABAJO!$A$5:$A$51,0))),"")</f>
        <v>2</v>
      </c>
      <c r="Q39" s="19" t="n">
        <f aca="false">IF(IFERROR(IF(INDEX(2a_PRE_TRABAJO!$M$5:$M$51,MATCH($A39,2a_PRE_TRABAJO!$A$5:$A$51,0))="","",INDEX(2a_PRE_TRABAJO!$M$5:$M$51,MATCH($A39,2a_PRE_TRABAJO!$A$5:$A$51,0))),"")="","",IFERROR(6-IFERROR(IF(INDEX(2a_PRE_TRABAJO!$M$5:$M$51,MATCH($A39,2a_PRE_TRABAJO!$A$5:$A$51,0))="","",INDEX(2a_PRE_TRABAJO!$M$5:$M$51,MATCH($A39,2a_PRE_TRABAJO!$A$5:$A$51,0))),""),"REVISAR"))</f>
        <v>2</v>
      </c>
      <c r="R39" s="19" t="n">
        <f aca="false">IFERROR(IF(INDEX(2a_PRE_TRABAJO!$N$5:$N$51,MATCH($A39,2a_PRE_TRABAJO!$A$5:$A$51,0))="","",INDEX(2a_PRE_TRABAJO!$N$5:$N$51,MATCH($A39,2a_PRE_TRABAJO!$A$5:$A$51,0))),"")</f>
        <v>2</v>
      </c>
      <c r="S39" s="19" t="n">
        <f aca="false">IFERROR(IF(INDEX(2a_PRE_TRABAJO!$O$5:$O$51,MATCH($A39,2a_PRE_TRABAJO!$A$5:$A$51,0))="","",INDEX(2a_PRE_TRABAJO!$O$5:$O$51,MATCH($A39,2a_PRE_TRABAJO!$A$5:$A$51,0))),"")</f>
        <v>5</v>
      </c>
      <c r="T39" s="19" t="n">
        <f aca="false">IFERROR(IF(INDEX(2a_PRE_TRABAJO!$P$5:$P$51,MATCH($A39,2a_PRE_TRABAJO!$A$5:$A$51,0))="","",INDEX(2a_PRE_TRABAJO!$P$5:$P$51,MATCH($A39,2a_PRE_TRABAJO!$A$5:$A$51,0))),"")</f>
        <v>3</v>
      </c>
      <c r="U39" s="19" t="n">
        <f aca="false">IFERROR(IF(INDEX(2a_PRE_TRABAJO!$Q$5:$Q$51,MATCH($A39,2a_PRE_TRABAJO!$A$5:$A$51,0))="","",INDEX(2a_PRE_TRABAJO!$Q$5:$Q$51,MATCH($A39,2a_PRE_TRABAJO!$A$5:$A$51,0))),"")</f>
        <v>1</v>
      </c>
      <c r="V39" s="19" t="n">
        <f aca="false">IFERROR(IF(INDEX(2a_PRE_TRABAJO!$R$5:$R$51,MATCH($A39,2a_PRE_TRABAJO!$A$5:$A$51,0))="","",INDEX(2a_PRE_TRABAJO!$R$5:$R$51,MATCH($A39,2a_PRE_TRABAJO!$A$5:$A$51,0))),"")</f>
        <v>3</v>
      </c>
      <c r="W39" s="19" t="n">
        <f aca="false">IFERROR(IF(INDEX(2a_PRE_TRABAJO!$S$5:$S$51,MATCH($A39,2a_PRE_TRABAJO!$A$5:$A$51,0))="","",INDEX(2a_PRE_TRABAJO!$S$5:$S$51,MATCH($A39,2a_PRE_TRABAJO!$A$5:$A$51,0))),"")</f>
        <v>3</v>
      </c>
      <c r="X39" s="19" t="n">
        <f aca="false">IFERROR(IF(INDEX(2a_PRE_TRABAJO!$T$5:$T$51,MATCH($A39,2a_PRE_TRABAJO!$A$5:$A$51,0))="","",INDEX(2a_PRE_TRABAJO!$T$5:$T$51,MATCH($A39,2a_PRE_TRABAJO!$A$5:$A$51,0))),"")</f>
        <v>3</v>
      </c>
      <c r="Y39" s="19" t="n">
        <f aca="false">IF(IFERROR(IF(INDEX(2a_PRE_TRABAJO!$U$5:$U$51,MATCH($A39,2a_PRE_TRABAJO!$A$5:$A$51,0))="","",INDEX(2a_PRE_TRABAJO!$U$5:$U$51,MATCH($A39,2a_PRE_TRABAJO!$A$5:$A$51,0))),"")="","",IFERROR(6-IFERROR(IF(INDEX(2a_PRE_TRABAJO!$U$5:$U$51,MATCH($A39,2a_PRE_TRABAJO!$A$5:$A$51,0))="","",INDEX(2a_PRE_TRABAJO!$U$5:$U$51,MATCH($A39,2a_PRE_TRABAJO!$A$5:$A$51,0))),""),"REVISAR"))</f>
        <v>2</v>
      </c>
      <c r="Z39" s="19" t="n">
        <f aca="false">IFERROR(IF(INDEX(2a_PRE_TRABAJO!$V$5:$V$51,MATCH($A39,2a_PRE_TRABAJO!$A$5:$A$51,0))="","",INDEX(2a_PRE_TRABAJO!$V$5:$V$51,MATCH($A39,2a_PRE_TRABAJO!$A$5:$A$51,0))),"")</f>
        <v>3</v>
      </c>
      <c r="AA39" s="19" t="n">
        <f aca="false">IFERROR(IF(INDEX(2a_PRE_TRABAJO!$W$5:$W$51,MATCH($A39,2a_PRE_TRABAJO!$A$5:$A$51,0))="","",INDEX(2a_PRE_TRABAJO!$W$5:$W$51,MATCH($A39,2a_PRE_TRABAJO!$A$5:$A$51,0))),"")</f>
        <v>3</v>
      </c>
      <c r="AB39" s="19" t="n">
        <f aca="false">IFERROR(IF(INDEX(2a_PRE_TRABAJO!$X$5:$X$51,MATCH($A39,2a_PRE_TRABAJO!$A$5:$A$51,0))="","",INDEX(2a_PRE_TRABAJO!$X$5:$X$51,MATCH($A39,2a_PRE_TRABAJO!$A$5:$A$51,0))),"")</f>
        <v>2</v>
      </c>
      <c r="AC39" s="19" t="n">
        <f aca="false">IFERROR(IF(INDEX(2b_POST_TRABAJO!$F$5:$F$48,MATCH($A39,2b_POST_TRABAJO!$A$5:$A$48,0))="","",INDEX(2b_POST_TRABAJO!$F$5:$F$48,MATCH($A39,2b_POST_TRABAJO!$A$5:$A$48,0))),"")</f>
        <v>2</v>
      </c>
      <c r="AD39" s="19" t="n">
        <f aca="false">IFERROR(IF(INDEX(2b_POST_TRABAJO!$G$5:$G$48,MATCH($A39,2b_POST_TRABAJO!$A$5:$A$48,0))="","",INDEX(2b_POST_TRABAJO!$G$5:$G$48,MATCH($A39,2b_POST_TRABAJO!$A$5:$A$48,0))),"")</f>
        <v>2</v>
      </c>
      <c r="AE39" s="19" t="n">
        <f aca="false">IFERROR(IF(INDEX(2b_POST_TRABAJO!$H$5:$H$48,MATCH($A39,2b_POST_TRABAJO!$A$5:$A$48,0))="","",INDEX(2b_POST_TRABAJO!$H$5:$H$48,MATCH($A39,2b_POST_TRABAJO!$A$5:$A$48,0))),"")</f>
        <v>3</v>
      </c>
      <c r="AF39" s="19" t="n">
        <f aca="false">IF(IFERROR(IF(INDEX(2b_POST_TRABAJO!$I$5:$I$48,MATCH($A39,2b_POST_TRABAJO!$A$5:$A$48,0))="","",INDEX(2b_POST_TRABAJO!$I$5:$I$48,MATCH($A39,2b_POST_TRABAJO!$A$5:$A$48,0))),"")="","",IFERROR(6-IFERROR(IF(INDEX(2b_POST_TRABAJO!$I$5:$I$48,MATCH($A39,2b_POST_TRABAJO!$A$5:$A$48,0))="","",INDEX(2b_POST_TRABAJO!$I$5:$I$48,MATCH($A39,2b_POST_TRABAJO!$A$5:$A$48,0))),""),"REVISAR"))</f>
        <v>3</v>
      </c>
      <c r="AG39" s="19" t="n">
        <f aca="false">IFERROR(IF(INDEX(2b_POST_TRABAJO!$J$5:$J$48,MATCH($A39,2b_POST_TRABAJO!$A$5:$A$48,0))="","",INDEX(2b_POST_TRABAJO!$J$5:$J$48,MATCH($A39,2b_POST_TRABAJO!$A$5:$A$48,0))),"")</f>
        <v>2</v>
      </c>
      <c r="AH39" s="19" t="n">
        <f aca="false">IFERROR(IF(INDEX(2b_POST_TRABAJO!$K$5:$K$48,MATCH($A39,2b_POST_TRABAJO!$A$5:$A$48,0))="","",INDEX(2b_POST_TRABAJO!$K$5:$K$48,MATCH($A39,2b_POST_TRABAJO!$A$5:$A$48,0))),"")</f>
        <v>2</v>
      </c>
      <c r="AI39" s="19" t="n">
        <f aca="false">IFERROR(IF(INDEX(2b_POST_TRABAJO!$L$5:$L$48,MATCH($A39,2b_POST_TRABAJO!$A$5:$A$48,0))="","",INDEX(2b_POST_TRABAJO!$L$5:$L$48,MATCH($A39,2b_POST_TRABAJO!$A$5:$A$48,0))),"")</f>
        <v>3</v>
      </c>
      <c r="AJ39" s="19" t="n">
        <f aca="false">IFERROR(IF(INDEX(2b_POST_TRABAJO!$M$5:$M$48,MATCH($A39,2b_POST_TRABAJO!$A$5:$A$48,0))="","",INDEX(2b_POST_TRABAJO!$M$5:$M$48,MATCH($A39,2b_POST_TRABAJO!$A$5:$A$48,0))),"")</f>
        <v>2</v>
      </c>
      <c r="AK39" s="19" t="n">
        <f aca="false">IFERROR(IF(INDEX(2b_POST_TRABAJO!$N$5:$N$48,MATCH($A39,2b_POST_TRABAJO!$A$5:$A$48,0))="","",INDEX(2b_POST_TRABAJO!$N$5:$N$48,MATCH($A39,2b_POST_TRABAJO!$A$5:$A$48,0))),"")</f>
        <v>2</v>
      </c>
      <c r="AL39" s="19" t="n">
        <f aca="false">IFERROR(IF(INDEX(2b_POST_TRABAJO!$O$5:$O$48,MATCH($A39,2b_POST_TRABAJO!$A$5:$A$48,0))="","",INDEX(2b_POST_TRABAJO!$O$5:$O$48,MATCH($A39,2b_POST_TRABAJO!$A$5:$A$48,0))),"")</f>
        <v>2</v>
      </c>
      <c r="AM39" s="19" t="n">
        <f aca="false">IFERROR(IF(INDEX(2b_POST_TRABAJO!$P$5:$P$48,MATCH($A39,2b_POST_TRABAJO!$A$5:$A$48,0))="","",INDEX(2b_POST_TRABAJO!$P$5:$P$48,MATCH($A39,2b_POST_TRABAJO!$A$5:$A$48,0))),"")</f>
        <v>3</v>
      </c>
      <c r="AN39" s="19" t="n">
        <f aca="false">IF(IFERROR(IF(INDEX(2b_POST_TRABAJO!$Q$5:$Q$48,MATCH($A39,2b_POST_TRABAJO!$A$5:$A$48,0))="","",INDEX(2b_POST_TRABAJO!$Q$5:$Q$48,MATCH($A39,2b_POST_TRABAJO!$A$5:$A$48,0))),"")="","",IFERROR(6-IFERROR(IF(INDEX(2b_POST_TRABAJO!$Q$5:$Q$48,MATCH($A39,2b_POST_TRABAJO!$A$5:$A$48,0))="","",INDEX(2b_POST_TRABAJO!$Q$5:$Q$48,MATCH($A39,2b_POST_TRABAJO!$A$5:$A$48,0))),""),"REVISAR"))</f>
        <v>1</v>
      </c>
      <c r="AO39" s="19" t="n">
        <f aca="false">IFERROR(IF(INDEX(2b_POST_TRABAJO!$R$5:$R$48,MATCH($A39,2b_POST_TRABAJO!$A$5:$A$48,0))="","",INDEX(2b_POST_TRABAJO!$R$5:$R$48,MATCH($A39,2b_POST_TRABAJO!$A$5:$A$48,0))),"")</f>
        <v>3</v>
      </c>
      <c r="AP39" s="19" t="n">
        <f aca="false">IFERROR(IF(INDEX(2b_POST_TRABAJO!$S$5:$S$48,MATCH($A39,2b_POST_TRABAJO!$A$5:$A$48,0))="","",INDEX(2b_POST_TRABAJO!$S$5:$S$48,MATCH($A39,2b_POST_TRABAJO!$A$5:$A$48,0))),"")</f>
        <v>3</v>
      </c>
      <c r="AQ39" s="19" t="n">
        <f aca="false">IFERROR(IF(INDEX(2b_POST_TRABAJO!$T$5:$T$48,MATCH($A39,2b_POST_TRABAJO!$A$5:$A$48,0))="","",INDEX(2b_POST_TRABAJO!$T$5:$T$48,MATCH($A39,2b_POST_TRABAJO!$A$5:$A$48,0))),"")</f>
        <v>1</v>
      </c>
      <c r="AR39" s="27" t="n">
        <f aca="false">IF(COUNT(N39:R39)&lt;5,"",IFERROR(ROUND(AVERAGE(N39:R39),2),"REVISAR"))</f>
        <v>1.8</v>
      </c>
      <c r="AS39" s="27" t="n">
        <f aca="false">IF(COUNT(S39:W39)&lt;5,"",IFERROR(ROUND(AVERAGE(S39:W39),2),"REVISAR"))</f>
        <v>3</v>
      </c>
      <c r="AT39" s="27" t="n">
        <f aca="false">IF(COUNT(X39:AB39)&lt;5,"",IFERROR(ROUND(AVERAGE(X39:AB39),2),"REVISAR"))</f>
        <v>2.6</v>
      </c>
      <c r="AU39" s="11" t="n">
        <f aca="false">IF(COUNT(N39:AB39)&lt;15,"",IFERROR(SUM(N39:AB39),"REVISAR"))</f>
        <v>37</v>
      </c>
      <c r="AV39" s="18" t="n">
        <f aca="false">IF(AU39="","",IF(ISNUMBER(AU39),IF(AU39&lt;=35,1,IF(AU39&lt;=55,2,3)),"REVISAR"))</f>
        <v>2</v>
      </c>
      <c r="AW39" s="27" t="n">
        <f aca="false">IF(COUNT(AC39:AG39)&lt;5,"",IFERROR(ROUND(AVERAGE(AC39:AG39),2),"REVISAR"))</f>
        <v>2.4</v>
      </c>
      <c r="AX39" s="27" t="n">
        <f aca="false">IF(COUNT(AH39:AL39)&lt;5,"",IFERROR(ROUND(AVERAGE(AH39:AL39),2),"REVISAR"))</f>
        <v>2.2</v>
      </c>
      <c r="AY39" s="27" t="n">
        <f aca="false">IF(COUNT(AM39:AQ39)&lt;5,"",IFERROR(ROUND(AVERAGE(AM39:AQ39),2),"REVISAR"))</f>
        <v>2.2</v>
      </c>
      <c r="AZ39" s="11" t="n">
        <f aca="false">IF(COUNT(AC39:AQ39)&lt;15,"",IFERROR(SUM(AC39:AQ39),"REVISAR"))</f>
        <v>34</v>
      </c>
      <c r="BA39" s="18" t="n">
        <f aca="false">IF(AZ39="","",IF(ISNUMBER(AZ39),IF(AZ39&lt;=35,1,IF(AZ39&lt;=55,2,3)),"REVISAR"))</f>
        <v>1</v>
      </c>
      <c r="BB39" s="28" t="n">
        <f aca="false">IF(OR(J39="",K39=""),"",IFERROR(ROUND(K39-J39,1),"REVISAR"))</f>
        <v>0.9</v>
      </c>
      <c r="BC39" s="11" t="n">
        <f aca="false">IF(OR(L39="",M39=""),"",IFERROR(M39-L39,"REVISAR"))</f>
        <v>6</v>
      </c>
      <c r="BD39" s="11" t="n">
        <f aca="false">IF(OR(AU39="",AZ39=""),"",IFERROR(AZ39-AU39,"REVISAR"))</f>
        <v>-3</v>
      </c>
      <c r="BE39" s="23"/>
      <c r="BF39" s="21"/>
    </row>
    <row r="40" customFormat="false" ht="15" hidden="false" customHeight="false" outlineLevel="0" collapsed="false">
      <c r="A40" s="17" t="s">
        <v>91</v>
      </c>
      <c r="B40" s="23" t="n">
        <v>1</v>
      </c>
      <c r="C40" s="19" t="n">
        <f aca="false">IFERROR(IF(INDEX(2a_PRE_TRABAJO!$B$5:$B$51,MATCH($A40,2a_PRE_TRABAJO!$A$5:$A$51,0))="","",INDEX(2a_PRE_TRABAJO!$B$5:$B$51,MATCH($A40,2a_PRE_TRABAJO!$A$5:$A$51,0))),"")</f>
        <v>2</v>
      </c>
      <c r="D40" s="19" t="n">
        <f aca="false">IFERROR(IF(INDEX(2a_PRE_TRABAJO!$C$5:$C$51,MATCH($A40,2a_PRE_TRABAJO!$A$5:$A$51,0))="","",INDEX(2a_PRE_TRABAJO!$C$5:$C$51,MATCH($A40,2a_PRE_TRABAJO!$A$5:$A$51,0))),"")</f>
        <v>2</v>
      </c>
      <c r="E40" s="19" t="n">
        <f aca="false">IFERROR(IF(INDEX(2a_PRE_TRABAJO!$D$5:$D$51,MATCH($A40,2a_PRE_TRABAJO!$A$5:$A$51,0))="","",INDEX(2a_PRE_TRABAJO!$D$5:$D$51,MATCH($A40,2a_PRE_TRABAJO!$A$5:$A$51,0))),"")</f>
        <v>35</v>
      </c>
      <c r="F40" s="19" t="n">
        <f aca="false">IFERROR(IF(INDEX(2a_PRE_TRABAJO!$E$5:$E$51,MATCH($A40,2a_PRE_TRABAJO!$A$5:$A$51,0))="","",INDEX(2a_PRE_TRABAJO!$E$5:$E$51,MATCH($A40,2a_PRE_TRABAJO!$A$5:$A$51,0))),"")</f>
        <v>7</v>
      </c>
      <c r="G40" s="19" t="str">
        <f aca="false">IFERROR(IF(INDEX(2a_PRE_TRABAJO!$F$5:$F$51,MATCH($A40,2a_PRE_TRABAJO!$A$5:$A$51,0))="","",INDEX(2a_PRE_TRABAJO!$F$5:$F$51,MATCH($A40,2a_PRE_TRABAJO!$A$5:$A$51,0))),"")</f>
        <v>PROFESIONAL</v>
      </c>
      <c r="H40" s="24" t="n">
        <f aca="false">IFERROR(IF(INDEX(2a_PRE_TRABAJO!$G$5:$G$51,MATCH($A40,2a_PRE_TRABAJO!$A$5:$A$51,0))="","",INDEX(2a_PRE_TRABAJO!$G$5:$G$51,MATCH($A40,2a_PRE_TRABAJO!$A$5:$A$51,0))),"")</f>
        <v>46258</v>
      </c>
      <c r="I40" s="24" t="n">
        <f aca="false">IFERROR(IF(INDEX(2b_POST_TRABAJO!$C$5:$C$48,MATCH($A40,2b_POST_TRABAJO!$A$5:$A$48,0))="","",INDEX(2b_POST_TRABAJO!$C$5:$C$48,MATCH($A40,2b_POST_TRABAJO!$A$5:$A$48,0))),"")</f>
        <v>46307</v>
      </c>
      <c r="J40" s="25" t="n">
        <f aca="false">IFERROR(IF(INDEX(2a_PRE_TRABAJO!$H$5:$H$51,MATCH($A40,2a_PRE_TRABAJO!$A$5:$A$51,0))="","",INDEX(2a_PRE_TRABAJO!$H$5:$H$51,MATCH($A40,2a_PRE_TRABAJO!$A$5:$A$51,0))),"")</f>
        <v>15.1</v>
      </c>
      <c r="K40" s="25" t="n">
        <f aca="false">IFERROR(IF(INDEX(2b_POST_TRABAJO!$D$5:$D$48,MATCH($A40,2b_POST_TRABAJO!$A$5:$A$48,0))="","",INDEX(2b_POST_TRABAJO!$D$5:$D$48,MATCH($A40,2b_POST_TRABAJO!$A$5:$A$48,0))),"")</f>
        <v>15.9</v>
      </c>
      <c r="L40" s="26" t="n">
        <f aca="false">IFERROR(IF(INDEX(2a_PRE_TRABAJO!$I$5:$I$51,MATCH($A40,2a_PRE_TRABAJO!$A$5:$A$51,0))="","",INDEX(2a_PRE_TRABAJO!$I$5:$I$51,MATCH($A40,2a_PRE_TRABAJO!$A$5:$A$51,0))),"")</f>
        <v>72</v>
      </c>
      <c r="M40" s="26" t="n">
        <f aca="false">IFERROR(IF(INDEX(2b_POST_TRABAJO!$E$5:$E$48,MATCH($A40,2b_POST_TRABAJO!$A$5:$A$48,0))="","",INDEX(2b_POST_TRABAJO!$E$5:$E$48,MATCH($A40,2b_POST_TRABAJO!$A$5:$A$48,0))),"")</f>
        <v>75</v>
      </c>
      <c r="N40" s="19" t="n">
        <f aca="false">IFERROR(IF(INDEX(2a_PRE_TRABAJO!$J$5:$J$51,MATCH($A40,2a_PRE_TRABAJO!$A$5:$A$51,0))="","",INDEX(2a_PRE_TRABAJO!$J$5:$J$51,MATCH($A40,2a_PRE_TRABAJO!$A$5:$A$51,0))),"")</f>
        <v>2</v>
      </c>
      <c r="O40" s="19" t="n">
        <f aca="false">IFERROR(IF(INDEX(2a_PRE_TRABAJO!$K$5:$K$51,MATCH($A40,2a_PRE_TRABAJO!$A$5:$A$51,0))="","",INDEX(2a_PRE_TRABAJO!$K$5:$K$51,MATCH($A40,2a_PRE_TRABAJO!$A$5:$A$51,0))),"")</f>
        <v>3</v>
      </c>
      <c r="P40" s="19" t="n">
        <f aca="false">IFERROR(IF(INDEX(2a_PRE_TRABAJO!$L$5:$L$51,MATCH($A40,2a_PRE_TRABAJO!$A$5:$A$51,0))="","",INDEX(2a_PRE_TRABAJO!$L$5:$L$51,MATCH($A40,2a_PRE_TRABAJO!$A$5:$A$51,0))),"")</f>
        <v>4</v>
      </c>
      <c r="Q40" s="19" t="n">
        <f aca="false">IF(IFERROR(IF(INDEX(2a_PRE_TRABAJO!$M$5:$M$51,MATCH($A40,2a_PRE_TRABAJO!$A$5:$A$51,0))="","",INDEX(2a_PRE_TRABAJO!$M$5:$M$51,MATCH($A40,2a_PRE_TRABAJO!$A$5:$A$51,0))),"")="","",IFERROR(6-IFERROR(IF(INDEX(2a_PRE_TRABAJO!$M$5:$M$51,MATCH($A40,2a_PRE_TRABAJO!$A$5:$A$51,0))="","",INDEX(2a_PRE_TRABAJO!$M$5:$M$51,MATCH($A40,2a_PRE_TRABAJO!$A$5:$A$51,0))),""),"REVISAR"))</f>
        <v>3</v>
      </c>
      <c r="R40" s="19" t="n">
        <f aca="false">IFERROR(IF(INDEX(2a_PRE_TRABAJO!$N$5:$N$51,MATCH($A40,2a_PRE_TRABAJO!$A$5:$A$51,0))="","",INDEX(2a_PRE_TRABAJO!$N$5:$N$51,MATCH($A40,2a_PRE_TRABAJO!$A$5:$A$51,0))),"")</f>
        <v>4</v>
      </c>
      <c r="S40" s="19" t="n">
        <f aca="false">IFERROR(IF(INDEX(2a_PRE_TRABAJO!$O$5:$O$51,MATCH($A40,2a_PRE_TRABAJO!$A$5:$A$51,0))="","",INDEX(2a_PRE_TRABAJO!$O$5:$O$51,MATCH($A40,2a_PRE_TRABAJO!$A$5:$A$51,0))),"")</f>
        <v>3</v>
      </c>
      <c r="T40" s="19" t="n">
        <f aca="false">IFERROR(IF(INDEX(2a_PRE_TRABAJO!$P$5:$P$51,MATCH($A40,2a_PRE_TRABAJO!$A$5:$A$51,0))="","",INDEX(2a_PRE_TRABAJO!$P$5:$P$51,MATCH($A40,2a_PRE_TRABAJO!$A$5:$A$51,0))),"")</f>
        <v>4</v>
      </c>
      <c r="U40" s="19" t="n">
        <f aca="false">IFERROR(IF(INDEX(2a_PRE_TRABAJO!$Q$5:$Q$51,MATCH($A40,2a_PRE_TRABAJO!$A$5:$A$51,0))="","",INDEX(2a_PRE_TRABAJO!$Q$5:$Q$51,MATCH($A40,2a_PRE_TRABAJO!$A$5:$A$51,0))),"")</f>
        <v>3</v>
      </c>
      <c r="V40" s="19" t="n">
        <f aca="false">IFERROR(IF(INDEX(2a_PRE_TRABAJO!$R$5:$R$51,MATCH($A40,2a_PRE_TRABAJO!$A$5:$A$51,0))="","",INDEX(2a_PRE_TRABAJO!$R$5:$R$51,MATCH($A40,2a_PRE_TRABAJO!$A$5:$A$51,0))),"")</f>
        <v>4</v>
      </c>
      <c r="W40" s="19" t="n">
        <f aca="false">IFERROR(IF(INDEX(2a_PRE_TRABAJO!$S$5:$S$51,MATCH($A40,2a_PRE_TRABAJO!$A$5:$A$51,0))="","",INDEX(2a_PRE_TRABAJO!$S$5:$S$51,MATCH($A40,2a_PRE_TRABAJO!$A$5:$A$51,0))),"")</f>
        <v>2</v>
      </c>
      <c r="X40" s="19" t="n">
        <f aca="false">IFERROR(IF(INDEX(2a_PRE_TRABAJO!$T$5:$T$51,MATCH($A40,2a_PRE_TRABAJO!$A$5:$A$51,0))="","",INDEX(2a_PRE_TRABAJO!$T$5:$T$51,MATCH($A40,2a_PRE_TRABAJO!$A$5:$A$51,0))),"")</f>
        <v>2</v>
      </c>
      <c r="Y40" s="19" t="n">
        <f aca="false">IF(IFERROR(IF(INDEX(2a_PRE_TRABAJO!$U$5:$U$51,MATCH($A40,2a_PRE_TRABAJO!$A$5:$A$51,0))="","",INDEX(2a_PRE_TRABAJO!$U$5:$U$51,MATCH($A40,2a_PRE_TRABAJO!$A$5:$A$51,0))),"")="","",IFERROR(6-IFERROR(IF(INDEX(2a_PRE_TRABAJO!$U$5:$U$51,MATCH($A40,2a_PRE_TRABAJO!$A$5:$A$51,0))="","",INDEX(2a_PRE_TRABAJO!$U$5:$U$51,MATCH($A40,2a_PRE_TRABAJO!$A$5:$A$51,0))),""),"REVISAR"))</f>
        <v>3</v>
      </c>
      <c r="Z40" s="19" t="n">
        <f aca="false">IFERROR(IF(INDEX(2a_PRE_TRABAJO!$V$5:$V$51,MATCH($A40,2a_PRE_TRABAJO!$A$5:$A$51,0))="","",INDEX(2a_PRE_TRABAJO!$V$5:$V$51,MATCH($A40,2a_PRE_TRABAJO!$A$5:$A$51,0))),"")</f>
        <v>3</v>
      </c>
      <c r="AA40" s="19" t="n">
        <f aca="false">IFERROR(IF(INDEX(2a_PRE_TRABAJO!$W$5:$W$51,MATCH($A40,2a_PRE_TRABAJO!$A$5:$A$51,0))="","",INDEX(2a_PRE_TRABAJO!$W$5:$W$51,MATCH($A40,2a_PRE_TRABAJO!$A$5:$A$51,0))),"")</f>
        <v>4</v>
      </c>
      <c r="AB40" s="19" t="n">
        <f aca="false">IFERROR(IF(INDEX(2a_PRE_TRABAJO!$X$5:$X$51,MATCH($A40,2a_PRE_TRABAJO!$A$5:$A$51,0))="","",INDEX(2a_PRE_TRABAJO!$X$5:$X$51,MATCH($A40,2a_PRE_TRABAJO!$A$5:$A$51,0))),"")</f>
        <v>4</v>
      </c>
      <c r="AC40" s="19" t="n">
        <f aca="false">IFERROR(IF(INDEX(2b_POST_TRABAJO!$F$5:$F$48,MATCH($A40,2b_POST_TRABAJO!$A$5:$A$48,0))="","",INDEX(2b_POST_TRABAJO!$F$5:$F$48,MATCH($A40,2b_POST_TRABAJO!$A$5:$A$48,0))),"")</f>
        <v>3</v>
      </c>
      <c r="AD40" s="19" t="n">
        <f aca="false">IFERROR(IF(INDEX(2b_POST_TRABAJO!$G$5:$G$48,MATCH($A40,2b_POST_TRABAJO!$A$5:$A$48,0))="","",INDEX(2b_POST_TRABAJO!$G$5:$G$48,MATCH($A40,2b_POST_TRABAJO!$A$5:$A$48,0))),"")</f>
        <v>4</v>
      </c>
      <c r="AE40" s="19" t="n">
        <f aca="false">IFERROR(IF(INDEX(2b_POST_TRABAJO!$H$5:$H$48,MATCH($A40,2b_POST_TRABAJO!$A$5:$A$48,0))="","",INDEX(2b_POST_TRABAJO!$H$5:$H$48,MATCH($A40,2b_POST_TRABAJO!$A$5:$A$48,0))),"")</f>
        <v>4</v>
      </c>
      <c r="AF40" s="19" t="n">
        <f aca="false">IF(IFERROR(IF(INDEX(2b_POST_TRABAJO!$I$5:$I$48,MATCH($A40,2b_POST_TRABAJO!$A$5:$A$48,0))="","",INDEX(2b_POST_TRABAJO!$I$5:$I$48,MATCH($A40,2b_POST_TRABAJO!$A$5:$A$48,0))),"")="","",IFERROR(6-IFERROR(IF(INDEX(2b_POST_TRABAJO!$I$5:$I$48,MATCH($A40,2b_POST_TRABAJO!$A$5:$A$48,0))="","",INDEX(2b_POST_TRABAJO!$I$5:$I$48,MATCH($A40,2b_POST_TRABAJO!$A$5:$A$48,0))),""),"REVISAR"))</f>
        <v>5</v>
      </c>
      <c r="AG40" s="19" t="n">
        <f aca="false">IFERROR(IF(INDEX(2b_POST_TRABAJO!$J$5:$J$48,MATCH($A40,2b_POST_TRABAJO!$A$5:$A$48,0))="","",INDEX(2b_POST_TRABAJO!$J$5:$J$48,MATCH($A40,2b_POST_TRABAJO!$A$5:$A$48,0))),"")</f>
        <v>3</v>
      </c>
      <c r="AH40" s="19" t="n">
        <f aca="false">IFERROR(IF(INDEX(2b_POST_TRABAJO!$K$5:$K$48,MATCH($A40,2b_POST_TRABAJO!$A$5:$A$48,0))="","",INDEX(2b_POST_TRABAJO!$K$5:$K$48,MATCH($A40,2b_POST_TRABAJO!$A$5:$A$48,0))),"")</f>
        <v>5</v>
      </c>
      <c r="AI40" s="19" t="n">
        <f aca="false">IFERROR(IF(INDEX(2b_POST_TRABAJO!$L$5:$L$48,MATCH($A40,2b_POST_TRABAJO!$A$5:$A$48,0))="","",INDEX(2b_POST_TRABAJO!$L$5:$L$48,MATCH($A40,2b_POST_TRABAJO!$A$5:$A$48,0))),"")</f>
        <v>3</v>
      </c>
      <c r="AJ40" s="19" t="n">
        <f aca="false">IFERROR(IF(INDEX(2b_POST_TRABAJO!$M$5:$M$48,MATCH($A40,2b_POST_TRABAJO!$A$5:$A$48,0))="","",INDEX(2b_POST_TRABAJO!$M$5:$M$48,MATCH($A40,2b_POST_TRABAJO!$A$5:$A$48,0))),"")</f>
        <v>4</v>
      </c>
      <c r="AK40" s="19" t="n">
        <f aca="false">IFERROR(IF(INDEX(2b_POST_TRABAJO!$N$5:$N$48,MATCH($A40,2b_POST_TRABAJO!$A$5:$A$48,0))="","",INDEX(2b_POST_TRABAJO!$N$5:$N$48,MATCH($A40,2b_POST_TRABAJO!$A$5:$A$48,0))),"")</f>
        <v>4</v>
      </c>
      <c r="AL40" s="19" t="n">
        <f aca="false">IFERROR(IF(INDEX(2b_POST_TRABAJO!$O$5:$O$48,MATCH($A40,2b_POST_TRABAJO!$A$5:$A$48,0))="","",INDEX(2b_POST_TRABAJO!$O$5:$O$48,MATCH($A40,2b_POST_TRABAJO!$A$5:$A$48,0))),"")</f>
        <v>4</v>
      </c>
      <c r="AM40" s="19" t="n">
        <f aca="false">IFERROR(IF(INDEX(2b_POST_TRABAJO!$P$5:$P$48,MATCH($A40,2b_POST_TRABAJO!$A$5:$A$48,0))="","",INDEX(2b_POST_TRABAJO!$P$5:$P$48,MATCH($A40,2b_POST_TRABAJO!$A$5:$A$48,0))),"")</f>
        <v>5</v>
      </c>
      <c r="AN40" s="19" t="n">
        <f aca="false">IF(IFERROR(IF(INDEX(2b_POST_TRABAJO!$Q$5:$Q$48,MATCH($A40,2b_POST_TRABAJO!$A$5:$A$48,0))="","",INDEX(2b_POST_TRABAJO!$Q$5:$Q$48,MATCH($A40,2b_POST_TRABAJO!$A$5:$A$48,0))),"")="","",IFERROR(6-IFERROR(IF(INDEX(2b_POST_TRABAJO!$Q$5:$Q$48,MATCH($A40,2b_POST_TRABAJO!$A$5:$A$48,0))="","",INDEX(2b_POST_TRABAJO!$Q$5:$Q$48,MATCH($A40,2b_POST_TRABAJO!$A$5:$A$48,0))),""),"REVISAR"))</f>
        <v>3</v>
      </c>
      <c r="AO40" s="19" t="n">
        <f aca="false">IFERROR(IF(INDEX(2b_POST_TRABAJO!$R$5:$R$48,MATCH($A40,2b_POST_TRABAJO!$A$5:$A$48,0))="","",INDEX(2b_POST_TRABAJO!$R$5:$R$48,MATCH($A40,2b_POST_TRABAJO!$A$5:$A$48,0))),"")</f>
        <v>5</v>
      </c>
      <c r="AP40" s="19" t="n">
        <f aca="false">IFERROR(IF(INDEX(2b_POST_TRABAJO!$S$5:$S$48,MATCH($A40,2b_POST_TRABAJO!$A$5:$A$48,0))="","",INDEX(2b_POST_TRABAJO!$S$5:$S$48,MATCH($A40,2b_POST_TRABAJO!$A$5:$A$48,0))),"")</f>
        <v>3</v>
      </c>
      <c r="AQ40" s="19" t="n">
        <f aca="false">IFERROR(IF(INDEX(2b_POST_TRABAJO!$T$5:$T$48,MATCH($A40,2b_POST_TRABAJO!$A$5:$A$48,0))="","",INDEX(2b_POST_TRABAJO!$T$5:$T$48,MATCH($A40,2b_POST_TRABAJO!$A$5:$A$48,0))),"")</f>
        <v>4</v>
      </c>
      <c r="AR40" s="27" t="n">
        <f aca="false">IF(COUNT(N40:R40)&lt;5,"",IFERROR(ROUND(AVERAGE(N40:R40),2),"REVISAR"))</f>
        <v>3.2</v>
      </c>
      <c r="AS40" s="27" t="n">
        <f aca="false">IF(COUNT(S40:W40)&lt;5,"",IFERROR(ROUND(AVERAGE(S40:W40),2),"REVISAR"))</f>
        <v>3.2</v>
      </c>
      <c r="AT40" s="27" t="n">
        <f aca="false">IF(COUNT(X40:AB40)&lt;5,"",IFERROR(ROUND(AVERAGE(X40:AB40),2),"REVISAR"))</f>
        <v>3.2</v>
      </c>
      <c r="AU40" s="11" t="n">
        <f aca="false">IF(COUNT(N40:AB40)&lt;15,"",IFERROR(SUM(N40:AB40),"REVISAR"))</f>
        <v>48</v>
      </c>
      <c r="AV40" s="18" t="n">
        <f aca="false">IF(AU40="","",IF(ISNUMBER(AU40),IF(AU40&lt;=35,1,IF(AU40&lt;=55,2,3)),"REVISAR"))</f>
        <v>2</v>
      </c>
      <c r="AW40" s="27" t="n">
        <f aca="false">IF(COUNT(AC40:AG40)&lt;5,"",IFERROR(ROUND(AVERAGE(AC40:AG40),2),"REVISAR"))</f>
        <v>3.8</v>
      </c>
      <c r="AX40" s="27" t="n">
        <f aca="false">IF(COUNT(AH40:AL40)&lt;5,"",IFERROR(ROUND(AVERAGE(AH40:AL40),2),"REVISAR"))</f>
        <v>4</v>
      </c>
      <c r="AY40" s="27" t="n">
        <f aca="false">IF(COUNT(AM40:AQ40)&lt;5,"",IFERROR(ROUND(AVERAGE(AM40:AQ40),2),"REVISAR"))</f>
        <v>4</v>
      </c>
      <c r="AZ40" s="11" t="n">
        <f aca="false">IF(COUNT(AC40:AQ40)&lt;15,"",IFERROR(SUM(AC40:AQ40),"REVISAR"))</f>
        <v>59</v>
      </c>
      <c r="BA40" s="18" t="n">
        <f aca="false">IF(AZ40="","",IF(ISNUMBER(AZ40),IF(AZ40&lt;=35,1,IF(AZ40&lt;=55,2,3)),"REVISAR"))</f>
        <v>3</v>
      </c>
      <c r="BB40" s="28" t="n">
        <f aca="false">IF(OR(J40="",K40=""),"",IFERROR(ROUND(K40-J40,1),"REVISAR"))</f>
        <v>0.8</v>
      </c>
      <c r="BC40" s="11" t="n">
        <f aca="false">IF(OR(L40="",M40=""),"",IFERROR(M40-L40,"REVISAR"))</f>
        <v>3</v>
      </c>
      <c r="BD40" s="11" t="n">
        <f aca="false">IF(OR(AU40="",AZ40=""),"",IFERROR(AZ40-AU40,"REVISAR"))</f>
        <v>11</v>
      </c>
      <c r="BE40" s="23"/>
      <c r="BF40" s="21"/>
    </row>
    <row r="41" customFormat="false" ht="15" hidden="false" customHeight="false" outlineLevel="0" collapsed="false">
      <c r="A41" s="17" t="s">
        <v>92</v>
      </c>
      <c r="B41" s="23" t="n">
        <v>1</v>
      </c>
      <c r="C41" s="19" t="n">
        <f aca="false">IFERROR(IF(INDEX(2a_PRE_TRABAJO!$B$5:$B$51,MATCH($A41,2a_PRE_TRABAJO!$A$5:$A$51,0))="","",INDEX(2a_PRE_TRABAJO!$B$5:$B$51,MATCH($A41,2a_PRE_TRABAJO!$A$5:$A$51,0))),"")</f>
        <v>2</v>
      </c>
      <c r="D41" s="19" t="n">
        <f aca="false">IFERROR(IF(INDEX(2a_PRE_TRABAJO!$C$5:$C$51,MATCH($A41,2a_PRE_TRABAJO!$A$5:$A$51,0))="","",INDEX(2a_PRE_TRABAJO!$C$5:$C$51,MATCH($A41,2a_PRE_TRABAJO!$A$5:$A$51,0))),"")</f>
        <v>1</v>
      </c>
      <c r="E41" s="19" t="n">
        <f aca="false">IFERROR(IF(INDEX(2a_PRE_TRABAJO!$D$5:$D$51,MATCH($A41,2a_PRE_TRABAJO!$A$5:$A$51,0))="","",INDEX(2a_PRE_TRABAJO!$D$5:$D$51,MATCH($A41,2a_PRE_TRABAJO!$A$5:$A$51,0))),"")</f>
        <v>52</v>
      </c>
      <c r="F41" s="19" t="n">
        <f aca="false">IFERROR(IF(INDEX(2a_PRE_TRABAJO!$E$5:$E$51,MATCH($A41,2a_PRE_TRABAJO!$A$5:$A$51,0))="","",INDEX(2a_PRE_TRABAJO!$E$5:$E$51,MATCH($A41,2a_PRE_TRABAJO!$A$5:$A$51,0))),"")</f>
        <v>13</v>
      </c>
      <c r="G41" s="19" t="str">
        <f aca="false">IFERROR(IF(INDEX(2a_PRE_TRABAJO!$F$5:$F$51,MATCH($A41,2a_PRE_TRABAJO!$A$5:$A$51,0))="","",INDEX(2a_PRE_TRABAJO!$F$5:$F$51,MATCH($A41,2a_PRE_TRABAJO!$A$5:$A$51,0))),"")</f>
        <v>Profesional </v>
      </c>
      <c r="H41" s="24" t="n">
        <f aca="false">IFERROR(IF(INDEX(2a_PRE_TRABAJO!$G$5:$G$51,MATCH($A41,2a_PRE_TRABAJO!$A$5:$A$51,0))="","",INDEX(2a_PRE_TRABAJO!$G$5:$G$51,MATCH($A41,2a_PRE_TRABAJO!$A$5:$A$51,0))),"")</f>
        <v>46259</v>
      </c>
      <c r="I41" s="24" t="n">
        <f aca="false">IFERROR(IF(INDEX(2b_POST_TRABAJO!$C$5:$C$48,MATCH($A41,2b_POST_TRABAJO!$A$5:$A$48,0))="","",INDEX(2b_POST_TRABAJO!$C$5:$C$48,MATCH($A41,2b_POST_TRABAJO!$A$5:$A$48,0))),"")</f>
        <v>46308</v>
      </c>
      <c r="J41" s="25" t="n">
        <f aca="false">IFERROR(IF(INDEX(2a_PRE_TRABAJO!$H$5:$H$51,MATCH($A41,2a_PRE_TRABAJO!$A$5:$A$51,0))="","",INDEX(2a_PRE_TRABAJO!$H$5:$H$51,MATCH($A41,2a_PRE_TRABAJO!$A$5:$A$51,0))),"")</f>
        <v>8.5</v>
      </c>
      <c r="K41" s="25" t="n">
        <f aca="false">IFERROR(IF(INDEX(2b_POST_TRABAJO!$D$5:$D$48,MATCH($A41,2b_POST_TRABAJO!$A$5:$A$48,0))="","",INDEX(2b_POST_TRABAJO!$D$5:$D$48,MATCH($A41,2b_POST_TRABAJO!$A$5:$A$48,0))),"")</f>
        <v>8.8</v>
      </c>
      <c r="L41" s="26" t="n">
        <f aca="false">IFERROR(IF(INDEX(2a_PRE_TRABAJO!$I$5:$I$51,MATCH($A41,2a_PRE_TRABAJO!$A$5:$A$51,0))="","",INDEX(2a_PRE_TRABAJO!$I$5:$I$51,MATCH($A41,2a_PRE_TRABAJO!$A$5:$A$51,0))),"")</f>
        <v>60</v>
      </c>
      <c r="M41" s="26" t="n">
        <f aca="false">IFERROR(IF(INDEX(2b_POST_TRABAJO!$E$5:$E$48,MATCH($A41,2b_POST_TRABAJO!$A$5:$A$48,0))="","",INDEX(2b_POST_TRABAJO!$E$5:$E$48,MATCH($A41,2b_POST_TRABAJO!$A$5:$A$48,0))),"")</f>
        <v>58</v>
      </c>
      <c r="N41" s="19" t="n">
        <f aca="false">IFERROR(IF(INDEX(2a_PRE_TRABAJO!$J$5:$J$51,MATCH($A41,2a_PRE_TRABAJO!$A$5:$A$51,0))="","",INDEX(2a_PRE_TRABAJO!$J$5:$J$51,MATCH($A41,2a_PRE_TRABAJO!$A$5:$A$51,0))),"")</f>
        <v>3</v>
      </c>
      <c r="O41" s="19" t="n">
        <f aca="false">IFERROR(IF(INDEX(2a_PRE_TRABAJO!$K$5:$K$51,MATCH($A41,2a_PRE_TRABAJO!$A$5:$A$51,0))="","",INDEX(2a_PRE_TRABAJO!$K$5:$K$51,MATCH($A41,2a_PRE_TRABAJO!$A$5:$A$51,0))),"")</f>
        <v>3</v>
      </c>
      <c r="P41" s="19" t="n">
        <f aca="false">IFERROR(IF(INDEX(2a_PRE_TRABAJO!$L$5:$L$51,MATCH($A41,2a_PRE_TRABAJO!$A$5:$A$51,0))="","",INDEX(2a_PRE_TRABAJO!$L$5:$L$51,MATCH($A41,2a_PRE_TRABAJO!$A$5:$A$51,0))),"")</f>
        <v>3</v>
      </c>
      <c r="Q41" s="19" t="n">
        <f aca="false">IF(IFERROR(IF(INDEX(2a_PRE_TRABAJO!$M$5:$M$51,MATCH($A41,2a_PRE_TRABAJO!$A$5:$A$51,0))="","",INDEX(2a_PRE_TRABAJO!$M$5:$M$51,MATCH($A41,2a_PRE_TRABAJO!$A$5:$A$51,0))),"")="","",IFERROR(6-IFERROR(IF(INDEX(2a_PRE_TRABAJO!$M$5:$M$51,MATCH($A41,2a_PRE_TRABAJO!$A$5:$A$51,0))="","",INDEX(2a_PRE_TRABAJO!$M$5:$M$51,MATCH($A41,2a_PRE_TRABAJO!$A$5:$A$51,0))),""),"REVISAR"))</f>
        <v>2</v>
      </c>
      <c r="R41" s="19" t="n">
        <f aca="false">IFERROR(IF(INDEX(2a_PRE_TRABAJO!$N$5:$N$51,MATCH($A41,2a_PRE_TRABAJO!$A$5:$A$51,0))="","",INDEX(2a_PRE_TRABAJO!$N$5:$N$51,MATCH($A41,2a_PRE_TRABAJO!$A$5:$A$51,0))),"")</f>
        <v>2</v>
      </c>
      <c r="S41" s="19" t="n">
        <f aca="false">IFERROR(IF(INDEX(2a_PRE_TRABAJO!$O$5:$O$51,MATCH($A41,2a_PRE_TRABAJO!$A$5:$A$51,0))="","",INDEX(2a_PRE_TRABAJO!$O$5:$O$51,MATCH($A41,2a_PRE_TRABAJO!$A$5:$A$51,0))),"")</f>
        <v>3</v>
      </c>
      <c r="T41" s="19" t="n">
        <f aca="false">IFERROR(IF(INDEX(2a_PRE_TRABAJO!$P$5:$P$51,MATCH($A41,2a_PRE_TRABAJO!$A$5:$A$51,0))="","",INDEX(2a_PRE_TRABAJO!$P$5:$P$51,MATCH($A41,2a_PRE_TRABAJO!$A$5:$A$51,0))),"")</f>
        <v>4</v>
      </c>
      <c r="U41" s="19" t="n">
        <f aca="false">IFERROR(IF(INDEX(2a_PRE_TRABAJO!$Q$5:$Q$51,MATCH($A41,2a_PRE_TRABAJO!$A$5:$A$51,0))="","",INDEX(2a_PRE_TRABAJO!$Q$5:$Q$51,MATCH($A41,2a_PRE_TRABAJO!$A$5:$A$51,0))),"")</f>
        <v>4</v>
      </c>
      <c r="V41" s="19" t="n">
        <f aca="false">IFERROR(IF(INDEX(2a_PRE_TRABAJO!$R$5:$R$51,MATCH($A41,2a_PRE_TRABAJO!$A$5:$A$51,0))="","",INDEX(2a_PRE_TRABAJO!$R$5:$R$51,MATCH($A41,2a_PRE_TRABAJO!$A$5:$A$51,0))),"")</f>
        <v>2</v>
      </c>
      <c r="W41" s="19" t="n">
        <f aca="false">IFERROR(IF(INDEX(2a_PRE_TRABAJO!$S$5:$S$51,MATCH($A41,2a_PRE_TRABAJO!$A$5:$A$51,0))="","",INDEX(2a_PRE_TRABAJO!$S$5:$S$51,MATCH($A41,2a_PRE_TRABAJO!$A$5:$A$51,0))),"")</f>
        <v>4</v>
      </c>
      <c r="X41" s="19" t="n">
        <f aca="false">IFERROR(IF(INDEX(2a_PRE_TRABAJO!$T$5:$T$51,MATCH($A41,2a_PRE_TRABAJO!$A$5:$A$51,0))="","",INDEX(2a_PRE_TRABAJO!$T$5:$T$51,MATCH($A41,2a_PRE_TRABAJO!$A$5:$A$51,0))),"")</f>
        <v>3</v>
      </c>
      <c r="Y41" s="19" t="n">
        <f aca="false">IF(IFERROR(IF(INDEX(2a_PRE_TRABAJO!$U$5:$U$51,MATCH($A41,2a_PRE_TRABAJO!$A$5:$A$51,0))="","",INDEX(2a_PRE_TRABAJO!$U$5:$U$51,MATCH($A41,2a_PRE_TRABAJO!$A$5:$A$51,0))),"")="","",IFERROR(6-IFERROR(IF(INDEX(2a_PRE_TRABAJO!$U$5:$U$51,MATCH($A41,2a_PRE_TRABAJO!$A$5:$A$51,0))="","",INDEX(2a_PRE_TRABAJO!$U$5:$U$51,MATCH($A41,2a_PRE_TRABAJO!$A$5:$A$51,0))),""),"REVISAR"))</f>
        <v>4</v>
      </c>
      <c r="Z41" s="19" t="n">
        <f aca="false">IFERROR(IF(INDEX(2a_PRE_TRABAJO!$V$5:$V$51,MATCH($A41,2a_PRE_TRABAJO!$A$5:$A$51,0))="","",INDEX(2a_PRE_TRABAJO!$V$5:$V$51,MATCH($A41,2a_PRE_TRABAJO!$A$5:$A$51,0))),"")</f>
        <v>3</v>
      </c>
      <c r="AA41" s="19" t="n">
        <f aca="false">IFERROR(IF(INDEX(2a_PRE_TRABAJO!$W$5:$W$51,MATCH($A41,2a_PRE_TRABAJO!$A$5:$A$51,0))="","",INDEX(2a_PRE_TRABAJO!$W$5:$W$51,MATCH($A41,2a_PRE_TRABAJO!$A$5:$A$51,0))),"")</f>
        <v>2</v>
      </c>
      <c r="AB41" s="19" t="n">
        <f aca="false">IFERROR(IF(INDEX(2a_PRE_TRABAJO!$X$5:$X$51,MATCH($A41,2a_PRE_TRABAJO!$A$5:$A$51,0))="","",INDEX(2a_PRE_TRABAJO!$X$5:$X$51,MATCH($A41,2a_PRE_TRABAJO!$A$5:$A$51,0))),"")</f>
        <v>2</v>
      </c>
      <c r="AC41" s="19" t="n">
        <f aca="false">IFERROR(IF(INDEX(2b_POST_TRABAJO!$F$5:$F$48,MATCH($A41,2b_POST_TRABAJO!$A$5:$A$48,0))="","",INDEX(2b_POST_TRABAJO!$F$5:$F$48,MATCH($A41,2b_POST_TRABAJO!$A$5:$A$48,0))),"")</f>
        <v>3</v>
      </c>
      <c r="AD41" s="19" t="n">
        <f aca="false">IFERROR(IF(INDEX(2b_POST_TRABAJO!$G$5:$G$48,MATCH($A41,2b_POST_TRABAJO!$A$5:$A$48,0))="","",INDEX(2b_POST_TRABAJO!$G$5:$G$48,MATCH($A41,2b_POST_TRABAJO!$A$5:$A$48,0))),"")</f>
        <v>4</v>
      </c>
      <c r="AE41" s="19" t="n">
        <f aca="false">IFERROR(IF(INDEX(2b_POST_TRABAJO!$H$5:$H$48,MATCH($A41,2b_POST_TRABAJO!$A$5:$A$48,0))="","",INDEX(2b_POST_TRABAJO!$H$5:$H$48,MATCH($A41,2b_POST_TRABAJO!$A$5:$A$48,0))),"")</f>
        <v>2</v>
      </c>
      <c r="AF41" s="19" t="n">
        <f aca="false">IF(IFERROR(IF(INDEX(2b_POST_TRABAJO!$I$5:$I$48,MATCH($A41,2b_POST_TRABAJO!$A$5:$A$48,0))="","",INDEX(2b_POST_TRABAJO!$I$5:$I$48,MATCH($A41,2b_POST_TRABAJO!$A$5:$A$48,0))),"")="","",IFERROR(6-IFERROR(IF(INDEX(2b_POST_TRABAJO!$I$5:$I$48,MATCH($A41,2b_POST_TRABAJO!$A$5:$A$48,0))="","",INDEX(2b_POST_TRABAJO!$I$5:$I$48,MATCH($A41,2b_POST_TRABAJO!$A$5:$A$48,0))),""),"REVISAR"))</f>
        <v>4</v>
      </c>
      <c r="AG41" s="19" t="n">
        <f aca="false">IFERROR(IF(INDEX(2b_POST_TRABAJO!$J$5:$J$48,MATCH($A41,2b_POST_TRABAJO!$A$5:$A$48,0))="","",INDEX(2b_POST_TRABAJO!$J$5:$J$48,MATCH($A41,2b_POST_TRABAJO!$A$5:$A$48,0))),"")</f>
        <v>3</v>
      </c>
      <c r="AH41" s="19" t="n">
        <f aca="false">IFERROR(IF(INDEX(2b_POST_TRABAJO!$K$5:$K$48,MATCH($A41,2b_POST_TRABAJO!$A$5:$A$48,0))="","",INDEX(2b_POST_TRABAJO!$K$5:$K$48,MATCH($A41,2b_POST_TRABAJO!$A$5:$A$48,0))),"")</f>
        <v>4</v>
      </c>
      <c r="AI41" s="19" t="n">
        <f aca="false">IFERROR(IF(INDEX(2b_POST_TRABAJO!$L$5:$L$48,MATCH($A41,2b_POST_TRABAJO!$A$5:$A$48,0))="","",INDEX(2b_POST_TRABAJO!$L$5:$L$48,MATCH($A41,2b_POST_TRABAJO!$A$5:$A$48,0))),"")</f>
        <v>5</v>
      </c>
      <c r="AJ41" s="19" t="n">
        <f aca="false">IFERROR(IF(INDEX(2b_POST_TRABAJO!$M$5:$M$48,MATCH($A41,2b_POST_TRABAJO!$A$5:$A$48,0))="","",INDEX(2b_POST_TRABAJO!$M$5:$M$48,MATCH($A41,2b_POST_TRABAJO!$A$5:$A$48,0))),"")</f>
        <v>3</v>
      </c>
      <c r="AK41" s="19" t="n">
        <f aca="false">IFERROR(IF(INDEX(2b_POST_TRABAJO!$N$5:$N$48,MATCH($A41,2b_POST_TRABAJO!$A$5:$A$48,0))="","",INDEX(2b_POST_TRABAJO!$N$5:$N$48,MATCH($A41,2b_POST_TRABAJO!$A$5:$A$48,0))),"")</f>
        <v>3</v>
      </c>
      <c r="AL41" s="19" t="n">
        <f aca="false">IFERROR(IF(INDEX(2b_POST_TRABAJO!$O$5:$O$48,MATCH($A41,2b_POST_TRABAJO!$A$5:$A$48,0))="","",INDEX(2b_POST_TRABAJO!$O$5:$O$48,MATCH($A41,2b_POST_TRABAJO!$A$5:$A$48,0))),"")</f>
        <v>3</v>
      </c>
      <c r="AM41" s="19" t="n">
        <f aca="false">IFERROR(IF(INDEX(2b_POST_TRABAJO!$P$5:$P$48,MATCH($A41,2b_POST_TRABAJO!$A$5:$A$48,0))="","",INDEX(2b_POST_TRABAJO!$P$5:$P$48,MATCH($A41,2b_POST_TRABAJO!$A$5:$A$48,0))),"")</f>
        <v>3</v>
      </c>
      <c r="AN41" s="19" t="n">
        <f aca="false">IF(IFERROR(IF(INDEX(2b_POST_TRABAJO!$Q$5:$Q$48,MATCH($A41,2b_POST_TRABAJO!$A$5:$A$48,0))="","",INDEX(2b_POST_TRABAJO!$Q$5:$Q$48,MATCH($A41,2b_POST_TRABAJO!$A$5:$A$48,0))),"")="","",IFERROR(6-IFERROR(IF(INDEX(2b_POST_TRABAJO!$Q$5:$Q$48,MATCH($A41,2b_POST_TRABAJO!$A$5:$A$48,0))="","",INDEX(2b_POST_TRABAJO!$Q$5:$Q$48,MATCH($A41,2b_POST_TRABAJO!$A$5:$A$48,0))),""),"REVISAR"))</f>
        <v>3</v>
      </c>
      <c r="AO41" s="19" t="n">
        <f aca="false">IFERROR(IF(INDEX(2b_POST_TRABAJO!$R$5:$R$48,MATCH($A41,2b_POST_TRABAJO!$A$5:$A$48,0))="","",INDEX(2b_POST_TRABAJO!$R$5:$R$48,MATCH($A41,2b_POST_TRABAJO!$A$5:$A$48,0))),"")</f>
        <v>3</v>
      </c>
      <c r="AP41" s="19" t="n">
        <f aca="false">IFERROR(IF(INDEX(2b_POST_TRABAJO!$S$5:$S$48,MATCH($A41,2b_POST_TRABAJO!$A$5:$A$48,0))="","",INDEX(2b_POST_TRABAJO!$S$5:$S$48,MATCH($A41,2b_POST_TRABAJO!$A$5:$A$48,0))),"")</f>
        <v>2</v>
      </c>
      <c r="AQ41" s="19" t="n">
        <f aca="false">IFERROR(IF(INDEX(2b_POST_TRABAJO!$T$5:$T$48,MATCH($A41,2b_POST_TRABAJO!$A$5:$A$48,0))="","",INDEX(2b_POST_TRABAJO!$T$5:$T$48,MATCH($A41,2b_POST_TRABAJO!$A$5:$A$48,0))),"")</f>
        <v>2</v>
      </c>
      <c r="AR41" s="27" t="n">
        <f aca="false">IF(COUNT(N41:R41)&lt;5,"",IFERROR(ROUND(AVERAGE(N41:R41),2),"REVISAR"))</f>
        <v>2.6</v>
      </c>
      <c r="AS41" s="27" t="n">
        <f aca="false">IF(COUNT(S41:W41)&lt;5,"",IFERROR(ROUND(AVERAGE(S41:W41),2),"REVISAR"))</f>
        <v>3.4</v>
      </c>
      <c r="AT41" s="27" t="n">
        <f aca="false">IF(COUNT(X41:AB41)&lt;5,"",IFERROR(ROUND(AVERAGE(X41:AB41),2),"REVISAR"))</f>
        <v>2.8</v>
      </c>
      <c r="AU41" s="11" t="n">
        <f aca="false">IF(COUNT(N41:AB41)&lt;15,"",IFERROR(SUM(N41:AB41),"REVISAR"))</f>
        <v>44</v>
      </c>
      <c r="AV41" s="18" t="n">
        <f aca="false">IF(AU41="","",IF(ISNUMBER(AU41),IF(AU41&lt;=35,1,IF(AU41&lt;=55,2,3)),"REVISAR"))</f>
        <v>2</v>
      </c>
      <c r="AW41" s="27" t="n">
        <f aca="false">IF(COUNT(AC41:AG41)&lt;5,"",IFERROR(ROUND(AVERAGE(AC41:AG41),2),"REVISAR"))</f>
        <v>3.2</v>
      </c>
      <c r="AX41" s="27" t="n">
        <f aca="false">IF(COUNT(AH41:AL41)&lt;5,"",IFERROR(ROUND(AVERAGE(AH41:AL41),2),"REVISAR"))</f>
        <v>3.6</v>
      </c>
      <c r="AY41" s="27" t="n">
        <f aca="false">IF(COUNT(AM41:AQ41)&lt;5,"",IFERROR(ROUND(AVERAGE(AM41:AQ41),2),"REVISAR"))</f>
        <v>2.6</v>
      </c>
      <c r="AZ41" s="11" t="n">
        <f aca="false">IF(COUNT(AC41:AQ41)&lt;15,"",IFERROR(SUM(AC41:AQ41),"REVISAR"))</f>
        <v>47</v>
      </c>
      <c r="BA41" s="18" t="n">
        <f aca="false">IF(AZ41="","",IF(ISNUMBER(AZ41),IF(AZ41&lt;=35,1,IF(AZ41&lt;=55,2,3)),"REVISAR"))</f>
        <v>2</v>
      </c>
      <c r="BB41" s="28" t="n">
        <f aca="false">IF(OR(J41="",K41=""),"",IFERROR(ROUND(K41-J41,1),"REVISAR"))</f>
        <v>0.3</v>
      </c>
      <c r="BC41" s="11" t="n">
        <f aca="false">IF(OR(L41="",M41=""),"",IFERROR(M41-L41,"REVISAR"))</f>
        <v>-2</v>
      </c>
      <c r="BD41" s="11" t="n">
        <f aca="false">IF(OR(AU41="",AZ41=""),"",IFERROR(AZ41-AU41,"REVISAR"))</f>
        <v>3</v>
      </c>
      <c r="BE41" s="23"/>
      <c r="BF41" s="21"/>
    </row>
    <row r="42" customFormat="false" ht="15" hidden="false" customHeight="false" outlineLevel="0" collapsed="false">
      <c r="A42" s="17" t="s">
        <v>93</v>
      </c>
      <c r="B42" s="23" t="n">
        <v>1</v>
      </c>
      <c r="C42" s="19" t="n">
        <f aca="false">IFERROR(IF(INDEX(2a_PRE_TRABAJO!$B$5:$B$51,MATCH($A42,2a_PRE_TRABAJO!$A$5:$A$51,0))="","",INDEX(2a_PRE_TRABAJO!$B$5:$B$51,MATCH($A42,2a_PRE_TRABAJO!$A$5:$A$51,0))),"")</f>
        <v>2</v>
      </c>
      <c r="D42" s="19" t="n">
        <f aca="false">IFERROR(IF(INDEX(2a_PRE_TRABAJO!$C$5:$C$51,MATCH($A42,2a_PRE_TRABAJO!$A$5:$A$51,0))="","",INDEX(2a_PRE_TRABAJO!$C$5:$C$51,MATCH($A42,2a_PRE_TRABAJO!$A$5:$A$51,0))),"")</f>
        <v>1</v>
      </c>
      <c r="E42" s="19" t="n">
        <f aca="false">IFERROR(IF(INDEX(2a_PRE_TRABAJO!$D$5:$D$51,MATCH($A42,2a_PRE_TRABAJO!$A$5:$A$51,0))="","",INDEX(2a_PRE_TRABAJO!$D$5:$D$51,MATCH($A42,2a_PRE_TRABAJO!$A$5:$A$51,0))),"")</f>
        <v>24</v>
      </c>
      <c r="F42" s="19" t="n">
        <f aca="false">IFERROR(IF(INDEX(2a_PRE_TRABAJO!$E$5:$E$51,MATCH($A42,2a_PRE_TRABAJO!$A$5:$A$51,0))="","",INDEX(2a_PRE_TRABAJO!$E$5:$E$51,MATCH($A42,2a_PRE_TRABAJO!$A$5:$A$51,0))),"")</f>
        <v>3</v>
      </c>
      <c r="G42" s="19" t="str">
        <f aca="false">IFERROR(IF(INDEX(2a_PRE_TRABAJO!$F$5:$F$51,MATCH($A42,2a_PRE_TRABAJO!$A$5:$A$51,0))="","",INDEX(2a_PRE_TRABAJO!$F$5:$F$51,MATCH($A42,2a_PRE_TRABAJO!$A$5:$A$51,0))),"")</f>
        <v>profesional</v>
      </c>
      <c r="H42" s="24" t="n">
        <f aca="false">IFERROR(IF(INDEX(2a_PRE_TRABAJO!$G$5:$G$51,MATCH($A42,2a_PRE_TRABAJO!$A$5:$A$51,0))="","",INDEX(2a_PRE_TRABAJO!$G$5:$G$51,MATCH($A42,2a_PRE_TRABAJO!$A$5:$A$51,0))),"")</f>
        <v>46260</v>
      </c>
      <c r="I42" s="24" t="str">
        <f aca="false">IFERROR(IF(INDEX(2b_POST_TRABAJO!$C$5:$C$48,MATCH($A42,2b_POST_TRABAJO!$A$5:$A$48,0))="","",INDEX(2b_POST_TRABAJO!$C$5:$C$48,MATCH($A42,2b_POST_TRABAJO!$A$5:$A$48,0))),"")</f>
        <v/>
      </c>
      <c r="J42" s="25" t="n">
        <f aca="false">IFERROR(IF(INDEX(2a_PRE_TRABAJO!$H$5:$H$51,MATCH($A42,2a_PRE_TRABAJO!$A$5:$A$51,0))="","",INDEX(2a_PRE_TRABAJO!$H$5:$H$51,MATCH($A42,2a_PRE_TRABAJO!$A$5:$A$51,0))),"")</f>
        <v>11.8</v>
      </c>
      <c r="K42" s="25" t="str">
        <f aca="false">IFERROR(IF(INDEX(2b_POST_TRABAJO!$D$5:$D$48,MATCH($A42,2b_POST_TRABAJO!$A$5:$A$48,0))="","",INDEX(2b_POST_TRABAJO!$D$5:$D$48,MATCH($A42,2b_POST_TRABAJO!$A$5:$A$48,0))),"")</f>
        <v/>
      </c>
      <c r="L42" s="26" t="n">
        <f aca="false">IFERROR(IF(INDEX(2a_PRE_TRABAJO!$I$5:$I$51,MATCH($A42,2a_PRE_TRABAJO!$A$5:$A$51,0))="","",INDEX(2a_PRE_TRABAJO!$I$5:$I$51,MATCH($A42,2a_PRE_TRABAJO!$A$5:$A$51,0))),"")</f>
        <v>59</v>
      </c>
      <c r="M42" s="26" t="str">
        <f aca="false">IFERROR(IF(INDEX(2b_POST_TRABAJO!$E$5:$E$48,MATCH($A42,2b_POST_TRABAJO!$A$5:$A$48,0))="","",INDEX(2b_POST_TRABAJO!$E$5:$E$48,MATCH($A42,2b_POST_TRABAJO!$A$5:$A$48,0))),"")</f>
        <v/>
      </c>
      <c r="N42" s="19" t="n">
        <f aca="false">IFERROR(IF(INDEX(2a_PRE_TRABAJO!$J$5:$J$51,MATCH($A42,2a_PRE_TRABAJO!$A$5:$A$51,0))="","",INDEX(2a_PRE_TRABAJO!$J$5:$J$51,MATCH($A42,2a_PRE_TRABAJO!$A$5:$A$51,0))),"")</f>
        <v>3</v>
      </c>
      <c r="O42" s="19" t="n">
        <f aca="false">IFERROR(IF(INDEX(2a_PRE_TRABAJO!$K$5:$K$51,MATCH($A42,2a_PRE_TRABAJO!$A$5:$A$51,0))="","",INDEX(2a_PRE_TRABAJO!$K$5:$K$51,MATCH($A42,2a_PRE_TRABAJO!$A$5:$A$51,0))),"")</f>
        <v>4</v>
      </c>
      <c r="P42" s="19" t="n">
        <f aca="false">IFERROR(IF(INDEX(2a_PRE_TRABAJO!$L$5:$L$51,MATCH($A42,2a_PRE_TRABAJO!$A$5:$A$51,0))="","",INDEX(2a_PRE_TRABAJO!$L$5:$L$51,MATCH($A42,2a_PRE_TRABAJO!$A$5:$A$51,0))),"")</f>
        <v>4</v>
      </c>
      <c r="Q42" s="19" t="n">
        <f aca="false">IF(IFERROR(IF(INDEX(2a_PRE_TRABAJO!$M$5:$M$51,MATCH($A42,2a_PRE_TRABAJO!$A$5:$A$51,0))="","",INDEX(2a_PRE_TRABAJO!$M$5:$M$51,MATCH($A42,2a_PRE_TRABAJO!$A$5:$A$51,0))),"")="","",IFERROR(6-IFERROR(IF(INDEX(2a_PRE_TRABAJO!$M$5:$M$51,MATCH($A42,2a_PRE_TRABAJO!$A$5:$A$51,0))="","",INDEX(2a_PRE_TRABAJO!$M$5:$M$51,MATCH($A42,2a_PRE_TRABAJO!$A$5:$A$51,0))),""),"REVISAR"))</f>
        <v>2</v>
      </c>
      <c r="R42" s="19" t="n">
        <f aca="false">IFERROR(IF(INDEX(2a_PRE_TRABAJO!$N$5:$N$51,MATCH($A42,2a_PRE_TRABAJO!$A$5:$A$51,0))="","",INDEX(2a_PRE_TRABAJO!$N$5:$N$51,MATCH($A42,2a_PRE_TRABAJO!$A$5:$A$51,0))),"")</f>
        <v>2</v>
      </c>
      <c r="S42" s="19" t="n">
        <f aca="false">IFERROR(IF(INDEX(2a_PRE_TRABAJO!$O$5:$O$51,MATCH($A42,2a_PRE_TRABAJO!$A$5:$A$51,0))="","",INDEX(2a_PRE_TRABAJO!$O$5:$O$51,MATCH($A42,2a_PRE_TRABAJO!$A$5:$A$51,0))),"")</f>
        <v>2</v>
      </c>
      <c r="T42" s="19" t="n">
        <f aca="false">IFERROR(IF(INDEX(2a_PRE_TRABAJO!$P$5:$P$51,MATCH($A42,2a_PRE_TRABAJO!$A$5:$A$51,0))="","",INDEX(2a_PRE_TRABAJO!$P$5:$P$51,MATCH($A42,2a_PRE_TRABAJO!$A$5:$A$51,0))),"")</f>
        <v>3</v>
      </c>
      <c r="U42" s="19" t="n">
        <f aca="false">IFERROR(IF(INDEX(2a_PRE_TRABAJO!$Q$5:$Q$51,MATCH($A42,2a_PRE_TRABAJO!$A$5:$A$51,0))="","",INDEX(2a_PRE_TRABAJO!$Q$5:$Q$51,MATCH($A42,2a_PRE_TRABAJO!$A$5:$A$51,0))),"")</f>
        <v>4</v>
      </c>
      <c r="V42" s="19" t="n">
        <f aca="false">IFERROR(IF(INDEX(2a_PRE_TRABAJO!$R$5:$R$51,MATCH($A42,2a_PRE_TRABAJO!$A$5:$A$51,0))="","",INDEX(2a_PRE_TRABAJO!$R$5:$R$51,MATCH($A42,2a_PRE_TRABAJO!$A$5:$A$51,0))),"")</f>
        <v>3</v>
      </c>
      <c r="W42" s="19" t="n">
        <f aca="false">IFERROR(IF(INDEX(2a_PRE_TRABAJO!$S$5:$S$51,MATCH($A42,2a_PRE_TRABAJO!$A$5:$A$51,0))="","",INDEX(2a_PRE_TRABAJO!$S$5:$S$51,MATCH($A42,2a_PRE_TRABAJO!$A$5:$A$51,0))),"")</f>
        <v>3</v>
      </c>
      <c r="X42" s="19" t="n">
        <f aca="false">IFERROR(IF(INDEX(2a_PRE_TRABAJO!$T$5:$T$51,MATCH($A42,2a_PRE_TRABAJO!$A$5:$A$51,0))="","",INDEX(2a_PRE_TRABAJO!$T$5:$T$51,MATCH($A42,2a_PRE_TRABAJO!$A$5:$A$51,0))),"")</f>
        <v>3</v>
      </c>
      <c r="Y42" s="19" t="n">
        <f aca="false">IF(IFERROR(IF(INDEX(2a_PRE_TRABAJO!$U$5:$U$51,MATCH($A42,2a_PRE_TRABAJO!$A$5:$A$51,0))="","",INDEX(2a_PRE_TRABAJO!$U$5:$U$51,MATCH($A42,2a_PRE_TRABAJO!$A$5:$A$51,0))),"")="","",IFERROR(6-IFERROR(IF(INDEX(2a_PRE_TRABAJO!$U$5:$U$51,MATCH($A42,2a_PRE_TRABAJO!$A$5:$A$51,0))="","",INDEX(2a_PRE_TRABAJO!$U$5:$U$51,MATCH($A42,2a_PRE_TRABAJO!$A$5:$A$51,0))),""),"REVISAR"))</f>
        <v>2</v>
      </c>
      <c r="Z42" s="19" t="n">
        <f aca="false">IFERROR(IF(INDEX(2a_PRE_TRABAJO!$V$5:$V$51,MATCH($A42,2a_PRE_TRABAJO!$A$5:$A$51,0))="","",INDEX(2a_PRE_TRABAJO!$V$5:$V$51,MATCH($A42,2a_PRE_TRABAJO!$A$5:$A$51,0))),"")</f>
        <v>3</v>
      </c>
      <c r="AA42" s="19" t="n">
        <f aca="false">IFERROR(IF(INDEX(2a_PRE_TRABAJO!$W$5:$W$51,MATCH($A42,2a_PRE_TRABAJO!$A$5:$A$51,0))="","",INDEX(2a_PRE_TRABAJO!$W$5:$W$51,MATCH($A42,2a_PRE_TRABAJO!$A$5:$A$51,0))),"")</f>
        <v>2</v>
      </c>
      <c r="AB42" s="19" t="n">
        <f aca="false">IFERROR(IF(INDEX(2a_PRE_TRABAJO!$X$5:$X$51,MATCH($A42,2a_PRE_TRABAJO!$A$5:$A$51,0))="","",INDEX(2a_PRE_TRABAJO!$X$5:$X$51,MATCH($A42,2a_PRE_TRABAJO!$A$5:$A$51,0))),"")</f>
        <v>3</v>
      </c>
      <c r="AC42" s="19" t="str">
        <f aca="false">IFERROR(IF(INDEX(2b_POST_TRABAJO!$F$5:$F$48,MATCH($A42,2b_POST_TRABAJO!$A$5:$A$48,0))="","",INDEX(2b_POST_TRABAJO!$F$5:$F$48,MATCH($A42,2b_POST_TRABAJO!$A$5:$A$48,0))),"")</f>
        <v/>
      </c>
      <c r="AD42" s="19" t="str">
        <f aca="false">IFERROR(IF(INDEX(2b_POST_TRABAJO!$G$5:$G$48,MATCH($A42,2b_POST_TRABAJO!$A$5:$A$48,0))="","",INDEX(2b_POST_TRABAJO!$G$5:$G$48,MATCH($A42,2b_POST_TRABAJO!$A$5:$A$48,0))),"")</f>
        <v/>
      </c>
      <c r="AE42" s="19" t="str">
        <f aca="false">IFERROR(IF(INDEX(2b_POST_TRABAJO!$H$5:$H$48,MATCH($A42,2b_POST_TRABAJO!$A$5:$A$48,0))="","",INDEX(2b_POST_TRABAJO!$H$5:$H$48,MATCH($A42,2b_POST_TRABAJO!$A$5:$A$48,0))),"")</f>
        <v/>
      </c>
      <c r="AF42" s="19" t="str">
        <f aca="false">IF(IFERROR(IF(INDEX(2b_POST_TRABAJO!$I$5:$I$48,MATCH($A42,2b_POST_TRABAJO!$A$5:$A$48,0))="","",INDEX(2b_POST_TRABAJO!$I$5:$I$48,MATCH($A42,2b_POST_TRABAJO!$A$5:$A$48,0))),"")="","",IFERROR(6-IFERROR(IF(INDEX(2b_POST_TRABAJO!$I$5:$I$48,MATCH($A42,2b_POST_TRABAJO!$A$5:$A$48,0))="","",INDEX(2b_POST_TRABAJO!$I$5:$I$48,MATCH($A42,2b_POST_TRABAJO!$A$5:$A$48,0))),""),"REVISAR"))</f>
        <v/>
      </c>
      <c r="AG42" s="19" t="str">
        <f aca="false">IFERROR(IF(INDEX(2b_POST_TRABAJO!$J$5:$J$48,MATCH($A42,2b_POST_TRABAJO!$A$5:$A$48,0))="","",INDEX(2b_POST_TRABAJO!$J$5:$J$48,MATCH($A42,2b_POST_TRABAJO!$A$5:$A$48,0))),"")</f>
        <v/>
      </c>
      <c r="AH42" s="19" t="str">
        <f aca="false">IFERROR(IF(INDEX(2b_POST_TRABAJO!$K$5:$K$48,MATCH($A42,2b_POST_TRABAJO!$A$5:$A$48,0))="","",INDEX(2b_POST_TRABAJO!$K$5:$K$48,MATCH($A42,2b_POST_TRABAJO!$A$5:$A$48,0))),"")</f>
        <v/>
      </c>
      <c r="AI42" s="19" t="str">
        <f aca="false">IFERROR(IF(INDEX(2b_POST_TRABAJO!$L$5:$L$48,MATCH($A42,2b_POST_TRABAJO!$A$5:$A$48,0))="","",INDEX(2b_POST_TRABAJO!$L$5:$L$48,MATCH($A42,2b_POST_TRABAJO!$A$5:$A$48,0))),"")</f>
        <v/>
      </c>
      <c r="AJ42" s="19" t="str">
        <f aca="false">IFERROR(IF(INDEX(2b_POST_TRABAJO!$M$5:$M$48,MATCH($A42,2b_POST_TRABAJO!$A$5:$A$48,0))="","",INDEX(2b_POST_TRABAJO!$M$5:$M$48,MATCH($A42,2b_POST_TRABAJO!$A$5:$A$48,0))),"")</f>
        <v/>
      </c>
      <c r="AK42" s="19" t="str">
        <f aca="false">IFERROR(IF(INDEX(2b_POST_TRABAJO!$N$5:$N$48,MATCH($A42,2b_POST_TRABAJO!$A$5:$A$48,0))="","",INDEX(2b_POST_TRABAJO!$N$5:$N$48,MATCH($A42,2b_POST_TRABAJO!$A$5:$A$48,0))),"")</f>
        <v/>
      </c>
      <c r="AL42" s="19" t="str">
        <f aca="false">IFERROR(IF(INDEX(2b_POST_TRABAJO!$O$5:$O$48,MATCH($A42,2b_POST_TRABAJO!$A$5:$A$48,0))="","",INDEX(2b_POST_TRABAJO!$O$5:$O$48,MATCH($A42,2b_POST_TRABAJO!$A$5:$A$48,0))),"")</f>
        <v/>
      </c>
      <c r="AM42" s="19" t="str">
        <f aca="false">IFERROR(IF(INDEX(2b_POST_TRABAJO!$P$5:$P$48,MATCH($A42,2b_POST_TRABAJO!$A$5:$A$48,0))="","",INDEX(2b_POST_TRABAJO!$P$5:$P$48,MATCH($A42,2b_POST_TRABAJO!$A$5:$A$48,0))),"")</f>
        <v/>
      </c>
      <c r="AN42" s="19" t="str">
        <f aca="false">IF(IFERROR(IF(INDEX(2b_POST_TRABAJO!$Q$5:$Q$48,MATCH($A42,2b_POST_TRABAJO!$A$5:$A$48,0))="","",INDEX(2b_POST_TRABAJO!$Q$5:$Q$48,MATCH($A42,2b_POST_TRABAJO!$A$5:$A$48,0))),"")="","",IFERROR(6-IFERROR(IF(INDEX(2b_POST_TRABAJO!$Q$5:$Q$48,MATCH($A42,2b_POST_TRABAJO!$A$5:$A$48,0))="","",INDEX(2b_POST_TRABAJO!$Q$5:$Q$48,MATCH($A42,2b_POST_TRABAJO!$A$5:$A$48,0))),""),"REVISAR"))</f>
        <v/>
      </c>
      <c r="AO42" s="19" t="str">
        <f aca="false">IFERROR(IF(INDEX(2b_POST_TRABAJO!$R$5:$R$48,MATCH($A42,2b_POST_TRABAJO!$A$5:$A$48,0))="","",INDEX(2b_POST_TRABAJO!$R$5:$R$48,MATCH($A42,2b_POST_TRABAJO!$A$5:$A$48,0))),"")</f>
        <v/>
      </c>
      <c r="AP42" s="19" t="str">
        <f aca="false">IFERROR(IF(INDEX(2b_POST_TRABAJO!$S$5:$S$48,MATCH($A42,2b_POST_TRABAJO!$A$5:$A$48,0))="","",INDEX(2b_POST_TRABAJO!$S$5:$S$48,MATCH($A42,2b_POST_TRABAJO!$A$5:$A$48,0))),"")</f>
        <v/>
      </c>
      <c r="AQ42" s="19" t="str">
        <f aca="false">IFERROR(IF(INDEX(2b_POST_TRABAJO!$T$5:$T$48,MATCH($A42,2b_POST_TRABAJO!$A$5:$A$48,0))="","",INDEX(2b_POST_TRABAJO!$T$5:$T$48,MATCH($A42,2b_POST_TRABAJO!$A$5:$A$48,0))),"")</f>
        <v/>
      </c>
      <c r="AR42" s="27" t="n">
        <f aca="false">IF(COUNT(N42:R42)&lt;5,"",IFERROR(ROUND(AVERAGE(N42:R42),2),"REVISAR"))</f>
        <v>3</v>
      </c>
      <c r="AS42" s="27" t="n">
        <f aca="false">IF(COUNT(S42:W42)&lt;5,"",IFERROR(ROUND(AVERAGE(S42:W42),2),"REVISAR"))</f>
        <v>3</v>
      </c>
      <c r="AT42" s="27" t="n">
        <f aca="false">IF(COUNT(X42:AB42)&lt;5,"",IFERROR(ROUND(AVERAGE(X42:AB42),2),"REVISAR"))</f>
        <v>2.6</v>
      </c>
      <c r="AU42" s="11" t="n">
        <f aca="false">IF(COUNT(N42:AB42)&lt;15,"",IFERROR(SUM(N42:AB42),"REVISAR"))</f>
        <v>43</v>
      </c>
      <c r="AV42" s="18" t="n">
        <f aca="false">IF(AU42="","",IF(ISNUMBER(AU42),IF(AU42&lt;=35,1,IF(AU42&lt;=55,2,3)),"REVISAR"))</f>
        <v>2</v>
      </c>
      <c r="AW42" s="27" t="str">
        <f aca="false">IF(COUNT(AC42:AG42)&lt;5,"",IFERROR(ROUND(AVERAGE(AC42:AG42),2),"REVISAR"))</f>
        <v/>
      </c>
      <c r="AX42" s="27" t="str">
        <f aca="false">IF(COUNT(AH42:AL42)&lt;5,"",IFERROR(ROUND(AVERAGE(AH42:AL42),2),"REVISAR"))</f>
        <v/>
      </c>
      <c r="AY42" s="27" t="str">
        <f aca="false">IF(COUNT(AM42:AQ42)&lt;5,"",IFERROR(ROUND(AVERAGE(AM42:AQ42),2),"REVISAR"))</f>
        <v/>
      </c>
      <c r="AZ42" s="11" t="str">
        <f aca="false">IF(COUNT(AC42:AQ42)&lt;15,"",IFERROR(SUM(AC42:AQ42),"REVISAR"))</f>
        <v/>
      </c>
      <c r="BA42" s="18" t="str">
        <f aca="false">IF(AZ42="","",IF(ISNUMBER(AZ42),IF(AZ42&lt;=35,1,IF(AZ42&lt;=55,2,3)),"REVISAR"))</f>
        <v/>
      </c>
      <c r="BB42" s="28" t="str">
        <f aca="false">IF(OR(J42="",K42=""),"",IFERROR(ROUND(K42-J42,1),"REVISAR"))</f>
        <v/>
      </c>
      <c r="BC42" s="11" t="str">
        <f aca="false">IF(OR(L42="",M42=""),"",IFERROR(M42-L42,"REVISAR"))</f>
        <v/>
      </c>
      <c r="BD42" s="11" t="str">
        <f aca="false">IF(OR(AU42="",AZ42=""),"",IFERROR(AZ42-AU42,"REVISAR"))</f>
        <v/>
      </c>
      <c r="BE42" s="23"/>
      <c r="BF42" s="21"/>
    </row>
    <row r="43" customFormat="false" ht="15" hidden="false" customHeight="false" outlineLevel="0" collapsed="false">
      <c r="A43" s="17" t="s">
        <v>95</v>
      </c>
      <c r="B43" s="23" t="n">
        <v>1</v>
      </c>
      <c r="C43" s="19" t="n">
        <f aca="false">IFERROR(IF(INDEX(2a_PRE_TRABAJO!$B$5:$B$51,MATCH($A43,2a_PRE_TRABAJO!$A$5:$A$51,0))="","",INDEX(2a_PRE_TRABAJO!$B$5:$B$51,MATCH($A43,2a_PRE_TRABAJO!$A$5:$A$51,0))),"")</f>
        <v>2</v>
      </c>
      <c r="D43" s="19" t="n">
        <f aca="false">IFERROR(IF(INDEX(2a_PRE_TRABAJO!$C$5:$C$51,MATCH($A43,2a_PRE_TRABAJO!$A$5:$A$51,0))="","",INDEX(2a_PRE_TRABAJO!$C$5:$C$51,MATCH($A43,2a_PRE_TRABAJO!$A$5:$A$51,0))),"")</f>
        <v>1</v>
      </c>
      <c r="E43" s="19" t="n">
        <f aca="false">IFERROR(IF(INDEX(2a_PRE_TRABAJO!$D$5:$D$51,MATCH($A43,2a_PRE_TRABAJO!$A$5:$A$51,0))="","",INDEX(2a_PRE_TRABAJO!$D$5:$D$51,MATCH($A43,2a_PRE_TRABAJO!$A$5:$A$51,0))),"")</f>
        <v>44</v>
      </c>
      <c r="F43" s="19" t="n">
        <f aca="false">IFERROR(IF(INDEX(2a_PRE_TRABAJO!$E$5:$E$51,MATCH($A43,2a_PRE_TRABAJO!$A$5:$A$51,0))="","",INDEX(2a_PRE_TRABAJO!$E$5:$E$51,MATCH($A43,2a_PRE_TRABAJO!$A$5:$A$51,0))),"")</f>
        <v>7</v>
      </c>
      <c r="G43" s="19" t="str">
        <f aca="false">IFERROR(IF(INDEX(2a_PRE_TRABAJO!$F$5:$F$51,MATCH($A43,2a_PRE_TRABAJO!$A$5:$A$51,0))="","",INDEX(2a_PRE_TRABAJO!$F$5:$F$51,MATCH($A43,2a_PRE_TRABAJO!$A$5:$A$51,0))),"")</f>
        <v>Tecnico</v>
      </c>
      <c r="H43" s="24" t="n">
        <f aca="false">IFERROR(IF(INDEX(2a_PRE_TRABAJO!$G$5:$G$51,MATCH($A43,2a_PRE_TRABAJO!$A$5:$A$51,0))="","",INDEX(2a_PRE_TRABAJO!$G$5:$G$51,MATCH($A43,2a_PRE_TRABAJO!$A$5:$A$51,0))),"")</f>
        <v>46261</v>
      </c>
      <c r="I43" s="24" t="n">
        <f aca="false">IFERROR(IF(INDEX(2b_POST_TRABAJO!$C$5:$C$48,MATCH($A43,2b_POST_TRABAJO!$A$5:$A$48,0))="","",INDEX(2b_POST_TRABAJO!$C$5:$C$48,MATCH($A43,2b_POST_TRABAJO!$A$5:$A$48,0))),"")</f>
        <v>46310</v>
      </c>
      <c r="J43" s="25" t="n">
        <f aca="false">IFERROR(IF(INDEX(2a_PRE_TRABAJO!$H$5:$H$51,MATCH($A43,2a_PRE_TRABAJO!$A$5:$A$51,0))="","",INDEX(2a_PRE_TRABAJO!$H$5:$H$51,MATCH($A43,2a_PRE_TRABAJO!$A$5:$A$51,0))),"")</f>
        <v>14.3</v>
      </c>
      <c r="K43" s="25" t="n">
        <f aca="false">IFERROR(IF(INDEX(2b_POST_TRABAJO!$D$5:$D$48,MATCH($A43,2b_POST_TRABAJO!$A$5:$A$48,0))="","",INDEX(2b_POST_TRABAJO!$D$5:$D$48,MATCH($A43,2b_POST_TRABAJO!$A$5:$A$48,0))),"")</f>
        <v>15.6</v>
      </c>
      <c r="L43" s="26" t="n">
        <f aca="false">IFERROR(IF(INDEX(2a_PRE_TRABAJO!$I$5:$I$51,MATCH($A43,2a_PRE_TRABAJO!$A$5:$A$51,0))="","",INDEX(2a_PRE_TRABAJO!$I$5:$I$51,MATCH($A43,2a_PRE_TRABAJO!$A$5:$A$51,0))),"")</f>
        <v>60</v>
      </c>
      <c r="M43" s="26" t="n">
        <f aca="false">IFERROR(IF(INDEX(2b_POST_TRABAJO!$E$5:$E$48,MATCH($A43,2b_POST_TRABAJO!$A$5:$A$48,0))="","",INDEX(2b_POST_TRABAJO!$E$5:$E$48,MATCH($A43,2b_POST_TRABAJO!$A$5:$A$48,0))),"")</f>
        <v>64</v>
      </c>
      <c r="N43" s="19" t="n">
        <f aca="false">IFERROR(IF(INDEX(2a_PRE_TRABAJO!$J$5:$J$51,MATCH($A43,2a_PRE_TRABAJO!$A$5:$A$51,0))="","",INDEX(2a_PRE_TRABAJO!$J$5:$J$51,MATCH($A43,2a_PRE_TRABAJO!$A$5:$A$51,0))),"")</f>
        <v>2</v>
      </c>
      <c r="O43" s="19" t="n">
        <f aca="false">IFERROR(IF(INDEX(2a_PRE_TRABAJO!$K$5:$K$51,MATCH($A43,2a_PRE_TRABAJO!$A$5:$A$51,0))="","",INDEX(2a_PRE_TRABAJO!$K$5:$K$51,MATCH($A43,2a_PRE_TRABAJO!$A$5:$A$51,0))),"")</f>
        <v>3</v>
      </c>
      <c r="P43" s="19" t="n">
        <f aca="false">IFERROR(IF(INDEX(2a_PRE_TRABAJO!$L$5:$L$51,MATCH($A43,2a_PRE_TRABAJO!$A$5:$A$51,0))="","",INDEX(2a_PRE_TRABAJO!$L$5:$L$51,MATCH($A43,2a_PRE_TRABAJO!$A$5:$A$51,0))),"")</f>
        <v>1</v>
      </c>
      <c r="Q43" s="19" t="n">
        <f aca="false">IF(IFERROR(IF(INDEX(2a_PRE_TRABAJO!$M$5:$M$51,MATCH($A43,2a_PRE_TRABAJO!$A$5:$A$51,0))="","",INDEX(2a_PRE_TRABAJO!$M$5:$M$51,MATCH($A43,2a_PRE_TRABAJO!$A$5:$A$51,0))),"")="","",IFERROR(6-IFERROR(IF(INDEX(2a_PRE_TRABAJO!$M$5:$M$51,MATCH($A43,2a_PRE_TRABAJO!$A$5:$A$51,0))="","",INDEX(2a_PRE_TRABAJO!$M$5:$M$51,MATCH($A43,2a_PRE_TRABAJO!$A$5:$A$51,0))),""),"REVISAR"))</f>
        <v>1</v>
      </c>
      <c r="R43" s="19" t="n">
        <f aca="false">IFERROR(IF(INDEX(2a_PRE_TRABAJO!$N$5:$N$51,MATCH($A43,2a_PRE_TRABAJO!$A$5:$A$51,0))="","",INDEX(2a_PRE_TRABAJO!$N$5:$N$51,MATCH($A43,2a_PRE_TRABAJO!$A$5:$A$51,0))),"")</f>
        <v>3</v>
      </c>
      <c r="S43" s="19" t="n">
        <f aca="false">IFERROR(IF(INDEX(2a_PRE_TRABAJO!$O$5:$O$51,MATCH($A43,2a_PRE_TRABAJO!$A$5:$A$51,0))="","",INDEX(2a_PRE_TRABAJO!$O$5:$O$51,MATCH($A43,2a_PRE_TRABAJO!$A$5:$A$51,0))),"")</f>
        <v>5</v>
      </c>
      <c r="T43" s="19" t="n">
        <f aca="false">IFERROR(IF(INDEX(2a_PRE_TRABAJO!$P$5:$P$51,MATCH($A43,2a_PRE_TRABAJO!$A$5:$A$51,0))="","",INDEX(2a_PRE_TRABAJO!$P$5:$P$51,MATCH($A43,2a_PRE_TRABAJO!$A$5:$A$51,0))),"")</f>
        <v>4</v>
      </c>
      <c r="U43" s="19" t="n">
        <f aca="false">IFERROR(IF(INDEX(2a_PRE_TRABAJO!$Q$5:$Q$51,MATCH($A43,2a_PRE_TRABAJO!$A$5:$A$51,0))="","",INDEX(2a_PRE_TRABAJO!$Q$5:$Q$51,MATCH($A43,2a_PRE_TRABAJO!$A$5:$A$51,0))),"")</f>
        <v>4</v>
      </c>
      <c r="V43" s="19" t="n">
        <f aca="false">IFERROR(IF(INDEX(2a_PRE_TRABAJO!$R$5:$R$51,MATCH($A43,2a_PRE_TRABAJO!$A$5:$A$51,0))="","",INDEX(2a_PRE_TRABAJO!$R$5:$R$51,MATCH($A43,2a_PRE_TRABAJO!$A$5:$A$51,0))),"")</f>
        <v>2</v>
      </c>
      <c r="W43" s="19" t="n">
        <f aca="false">IFERROR(IF(INDEX(2a_PRE_TRABAJO!$S$5:$S$51,MATCH($A43,2a_PRE_TRABAJO!$A$5:$A$51,0))="","",INDEX(2a_PRE_TRABAJO!$S$5:$S$51,MATCH($A43,2a_PRE_TRABAJO!$A$5:$A$51,0))),"")</f>
        <v>3</v>
      </c>
      <c r="X43" s="19" t="n">
        <f aca="false">IFERROR(IF(INDEX(2a_PRE_TRABAJO!$T$5:$T$51,MATCH($A43,2a_PRE_TRABAJO!$A$5:$A$51,0))="","",INDEX(2a_PRE_TRABAJO!$T$5:$T$51,MATCH($A43,2a_PRE_TRABAJO!$A$5:$A$51,0))),"")</f>
        <v>3</v>
      </c>
      <c r="Y43" s="19" t="n">
        <f aca="false">IF(IFERROR(IF(INDEX(2a_PRE_TRABAJO!$U$5:$U$51,MATCH($A43,2a_PRE_TRABAJO!$A$5:$A$51,0))="","",INDEX(2a_PRE_TRABAJO!$U$5:$U$51,MATCH($A43,2a_PRE_TRABAJO!$A$5:$A$51,0))),"")="","",IFERROR(6-IFERROR(IF(INDEX(2a_PRE_TRABAJO!$U$5:$U$51,MATCH($A43,2a_PRE_TRABAJO!$A$5:$A$51,0))="","",INDEX(2a_PRE_TRABAJO!$U$5:$U$51,MATCH($A43,2a_PRE_TRABAJO!$A$5:$A$51,0))),""),"REVISAR"))</f>
        <v>4</v>
      </c>
      <c r="Z43" s="19" t="n">
        <f aca="false">IFERROR(IF(INDEX(2a_PRE_TRABAJO!$V$5:$V$51,MATCH($A43,2a_PRE_TRABAJO!$A$5:$A$51,0))="","",INDEX(2a_PRE_TRABAJO!$V$5:$V$51,MATCH($A43,2a_PRE_TRABAJO!$A$5:$A$51,0))),"")</f>
        <v>2</v>
      </c>
      <c r="AA43" s="19" t="n">
        <f aca="false">IFERROR(IF(INDEX(2a_PRE_TRABAJO!$W$5:$W$51,MATCH($A43,2a_PRE_TRABAJO!$A$5:$A$51,0))="","",INDEX(2a_PRE_TRABAJO!$W$5:$W$51,MATCH($A43,2a_PRE_TRABAJO!$A$5:$A$51,0))),"")</f>
        <v>3</v>
      </c>
      <c r="AB43" s="19" t="n">
        <f aca="false">IFERROR(IF(INDEX(2a_PRE_TRABAJO!$X$5:$X$51,MATCH($A43,2a_PRE_TRABAJO!$A$5:$A$51,0))="","",INDEX(2a_PRE_TRABAJO!$X$5:$X$51,MATCH($A43,2a_PRE_TRABAJO!$A$5:$A$51,0))),"")</f>
        <v>3</v>
      </c>
      <c r="AC43" s="19" t="n">
        <f aca="false">IFERROR(IF(INDEX(2b_POST_TRABAJO!$F$5:$F$48,MATCH($A43,2b_POST_TRABAJO!$A$5:$A$48,0))="","",INDEX(2b_POST_TRABAJO!$F$5:$F$48,MATCH($A43,2b_POST_TRABAJO!$A$5:$A$48,0))),"")</f>
        <v>4</v>
      </c>
      <c r="AD43" s="19" t="n">
        <f aca="false">IFERROR(IF(INDEX(2b_POST_TRABAJO!$G$5:$G$48,MATCH($A43,2b_POST_TRABAJO!$A$5:$A$48,0))="","",INDEX(2b_POST_TRABAJO!$G$5:$G$48,MATCH($A43,2b_POST_TRABAJO!$A$5:$A$48,0))),"")</f>
        <v>2</v>
      </c>
      <c r="AE43" s="19" t="n">
        <f aca="false">IFERROR(IF(INDEX(2b_POST_TRABAJO!$H$5:$H$48,MATCH($A43,2b_POST_TRABAJO!$A$5:$A$48,0))="","",INDEX(2b_POST_TRABAJO!$H$5:$H$48,MATCH($A43,2b_POST_TRABAJO!$A$5:$A$48,0))),"")</f>
        <v>3</v>
      </c>
      <c r="AF43" s="19" t="n">
        <f aca="false">IF(IFERROR(IF(INDEX(2b_POST_TRABAJO!$I$5:$I$48,MATCH($A43,2b_POST_TRABAJO!$A$5:$A$48,0))="","",INDEX(2b_POST_TRABAJO!$I$5:$I$48,MATCH($A43,2b_POST_TRABAJO!$A$5:$A$48,0))),"")="","",IFERROR(6-IFERROR(IF(INDEX(2b_POST_TRABAJO!$I$5:$I$48,MATCH($A43,2b_POST_TRABAJO!$A$5:$A$48,0))="","",INDEX(2b_POST_TRABAJO!$I$5:$I$48,MATCH($A43,2b_POST_TRABAJO!$A$5:$A$48,0))),""),"REVISAR"))</f>
        <v>2</v>
      </c>
      <c r="AG43" s="19" t="n">
        <f aca="false">IFERROR(IF(INDEX(2b_POST_TRABAJO!$J$5:$J$48,MATCH($A43,2b_POST_TRABAJO!$A$5:$A$48,0))="","",INDEX(2b_POST_TRABAJO!$J$5:$J$48,MATCH($A43,2b_POST_TRABAJO!$A$5:$A$48,0))),"")</f>
        <v>3</v>
      </c>
      <c r="AH43" s="19" t="n">
        <f aca="false">IFERROR(IF(INDEX(2b_POST_TRABAJO!$K$5:$K$48,MATCH($A43,2b_POST_TRABAJO!$A$5:$A$48,0))="","",INDEX(2b_POST_TRABAJO!$K$5:$K$48,MATCH($A43,2b_POST_TRABAJO!$A$5:$A$48,0))),"")</f>
        <v>3</v>
      </c>
      <c r="AI43" s="19" t="n">
        <f aca="false">IFERROR(IF(INDEX(2b_POST_TRABAJO!$L$5:$L$48,MATCH($A43,2b_POST_TRABAJO!$A$5:$A$48,0))="","",INDEX(2b_POST_TRABAJO!$L$5:$L$48,MATCH($A43,2b_POST_TRABAJO!$A$5:$A$48,0))),"")</f>
        <v>4</v>
      </c>
      <c r="AJ43" s="19" t="n">
        <f aca="false">IFERROR(IF(INDEX(2b_POST_TRABAJO!$M$5:$M$48,MATCH($A43,2b_POST_TRABAJO!$A$5:$A$48,0))="","",INDEX(2b_POST_TRABAJO!$M$5:$M$48,MATCH($A43,2b_POST_TRABAJO!$A$5:$A$48,0))),"")</f>
        <v>3</v>
      </c>
      <c r="AK43" s="19" t="n">
        <f aca="false">IFERROR(IF(INDEX(2b_POST_TRABAJO!$N$5:$N$48,MATCH($A43,2b_POST_TRABAJO!$A$5:$A$48,0))="","",INDEX(2b_POST_TRABAJO!$N$5:$N$48,MATCH($A43,2b_POST_TRABAJO!$A$5:$A$48,0))),"")</f>
        <v>2</v>
      </c>
      <c r="AL43" s="19" t="n">
        <f aca="false">IFERROR(IF(INDEX(2b_POST_TRABAJO!$O$5:$O$48,MATCH($A43,2b_POST_TRABAJO!$A$5:$A$48,0))="","",INDEX(2b_POST_TRABAJO!$O$5:$O$48,MATCH($A43,2b_POST_TRABAJO!$A$5:$A$48,0))),"")</f>
        <v>2</v>
      </c>
      <c r="AM43" s="19" t="n">
        <f aca="false">IFERROR(IF(INDEX(2b_POST_TRABAJO!$P$5:$P$48,MATCH($A43,2b_POST_TRABAJO!$A$5:$A$48,0))="","",INDEX(2b_POST_TRABAJO!$P$5:$P$48,MATCH($A43,2b_POST_TRABAJO!$A$5:$A$48,0))),"")</f>
        <v>5</v>
      </c>
      <c r="AN43" s="19" t="n">
        <f aca="false">IF(IFERROR(IF(INDEX(2b_POST_TRABAJO!$Q$5:$Q$48,MATCH($A43,2b_POST_TRABAJO!$A$5:$A$48,0))="","",INDEX(2b_POST_TRABAJO!$Q$5:$Q$48,MATCH($A43,2b_POST_TRABAJO!$A$5:$A$48,0))),"")="","",IFERROR(6-IFERROR(IF(INDEX(2b_POST_TRABAJO!$Q$5:$Q$48,MATCH($A43,2b_POST_TRABAJO!$A$5:$A$48,0))="","",INDEX(2b_POST_TRABAJO!$Q$5:$Q$48,MATCH($A43,2b_POST_TRABAJO!$A$5:$A$48,0))),""),"REVISAR"))</f>
        <v>4</v>
      </c>
      <c r="AO43" s="19" t="n">
        <f aca="false">IFERROR(IF(INDEX(2b_POST_TRABAJO!$R$5:$R$48,MATCH($A43,2b_POST_TRABAJO!$A$5:$A$48,0))="","",INDEX(2b_POST_TRABAJO!$R$5:$R$48,MATCH($A43,2b_POST_TRABAJO!$A$5:$A$48,0))),"")</f>
        <v>4</v>
      </c>
      <c r="AP43" s="19" t="n">
        <f aca="false">IFERROR(IF(INDEX(2b_POST_TRABAJO!$S$5:$S$48,MATCH($A43,2b_POST_TRABAJO!$A$5:$A$48,0))="","",INDEX(2b_POST_TRABAJO!$S$5:$S$48,MATCH($A43,2b_POST_TRABAJO!$A$5:$A$48,0))),"")</f>
        <v>3</v>
      </c>
      <c r="AQ43" s="19" t="n">
        <f aca="false">IFERROR(IF(INDEX(2b_POST_TRABAJO!$T$5:$T$48,MATCH($A43,2b_POST_TRABAJO!$A$5:$A$48,0))="","",INDEX(2b_POST_TRABAJO!$T$5:$T$48,MATCH($A43,2b_POST_TRABAJO!$A$5:$A$48,0))),"")</f>
        <v>3</v>
      </c>
      <c r="AR43" s="27" t="n">
        <f aca="false">IF(COUNT(N43:R43)&lt;5,"",IFERROR(ROUND(AVERAGE(N43:R43),2),"REVISAR"))</f>
        <v>2</v>
      </c>
      <c r="AS43" s="27" t="n">
        <f aca="false">IF(COUNT(S43:W43)&lt;5,"",IFERROR(ROUND(AVERAGE(S43:W43),2),"REVISAR"))</f>
        <v>3.6</v>
      </c>
      <c r="AT43" s="27" t="n">
        <f aca="false">IF(COUNT(X43:AB43)&lt;5,"",IFERROR(ROUND(AVERAGE(X43:AB43),2),"REVISAR"))</f>
        <v>3</v>
      </c>
      <c r="AU43" s="11" t="n">
        <f aca="false">IF(COUNT(N43:AB43)&lt;15,"",IFERROR(SUM(N43:AB43),"REVISAR"))</f>
        <v>43</v>
      </c>
      <c r="AV43" s="18" t="n">
        <f aca="false">IF(AU43="","",IF(ISNUMBER(AU43),IF(AU43&lt;=35,1,IF(AU43&lt;=55,2,3)),"REVISAR"))</f>
        <v>2</v>
      </c>
      <c r="AW43" s="27" t="n">
        <f aca="false">IF(COUNT(AC43:AG43)&lt;5,"",IFERROR(ROUND(AVERAGE(AC43:AG43),2),"REVISAR"))</f>
        <v>2.8</v>
      </c>
      <c r="AX43" s="27" t="n">
        <f aca="false">IF(COUNT(AH43:AL43)&lt;5,"",IFERROR(ROUND(AVERAGE(AH43:AL43),2),"REVISAR"))</f>
        <v>2.8</v>
      </c>
      <c r="AY43" s="27" t="n">
        <f aca="false">IF(COUNT(AM43:AQ43)&lt;5,"",IFERROR(ROUND(AVERAGE(AM43:AQ43),2),"REVISAR"))</f>
        <v>3.8</v>
      </c>
      <c r="AZ43" s="11" t="n">
        <f aca="false">IF(COUNT(AC43:AQ43)&lt;15,"",IFERROR(SUM(AC43:AQ43),"REVISAR"))</f>
        <v>47</v>
      </c>
      <c r="BA43" s="18" t="n">
        <f aca="false">IF(AZ43="","",IF(ISNUMBER(AZ43),IF(AZ43&lt;=35,1,IF(AZ43&lt;=55,2,3)),"REVISAR"))</f>
        <v>2</v>
      </c>
      <c r="BB43" s="28" t="n">
        <f aca="false">IF(OR(J43="",K43=""),"",IFERROR(ROUND(K43-J43,1),"REVISAR"))</f>
        <v>1.3</v>
      </c>
      <c r="BC43" s="11" t="n">
        <f aca="false">IF(OR(L43="",M43=""),"",IFERROR(M43-L43,"REVISAR"))</f>
        <v>4</v>
      </c>
      <c r="BD43" s="11" t="n">
        <f aca="false">IF(OR(AU43="",AZ43=""),"",IFERROR(AZ43-AU43,"REVISAR"))</f>
        <v>4</v>
      </c>
      <c r="BE43" s="23"/>
      <c r="BF43" s="21"/>
    </row>
    <row r="44" customFormat="false" ht="15" hidden="false" customHeight="false" outlineLevel="0" collapsed="false">
      <c r="A44" s="17" t="s">
        <v>96</v>
      </c>
      <c r="B44" s="23" t="n">
        <v>1</v>
      </c>
      <c r="C44" s="19" t="n">
        <f aca="false">IFERROR(IF(INDEX(2a_PRE_TRABAJO!$B$5:$B$51,MATCH($A44,2a_PRE_TRABAJO!$A$5:$A$51,0))="","",INDEX(2a_PRE_TRABAJO!$B$5:$B$51,MATCH($A44,2a_PRE_TRABAJO!$A$5:$A$51,0))),"")</f>
        <v>2</v>
      </c>
      <c r="D44" s="19" t="n">
        <f aca="false">IFERROR(IF(INDEX(2a_PRE_TRABAJO!$C$5:$C$51,MATCH($A44,2a_PRE_TRABAJO!$A$5:$A$51,0))="","",INDEX(2a_PRE_TRABAJO!$C$5:$C$51,MATCH($A44,2a_PRE_TRABAJO!$A$5:$A$51,0))),"")</f>
        <v>1</v>
      </c>
      <c r="E44" s="19" t="n">
        <f aca="false">IFERROR(IF(INDEX(2a_PRE_TRABAJO!$D$5:$D$51,MATCH($A44,2a_PRE_TRABAJO!$A$5:$A$51,0))="","",INDEX(2a_PRE_TRABAJO!$D$5:$D$51,MATCH($A44,2a_PRE_TRABAJO!$A$5:$A$51,0))),"")</f>
        <v>43</v>
      </c>
      <c r="F44" s="19" t="n">
        <f aca="false">IFERROR(IF(INDEX(2a_PRE_TRABAJO!$E$5:$E$51,MATCH($A44,2a_PRE_TRABAJO!$A$5:$A$51,0))="","",INDEX(2a_PRE_TRABAJO!$E$5:$E$51,MATCH($A44,2a_PRE_TRABAJO!$A$5:$A$51,0))),"")</f>
        <v>12</v>
      </c>
      <c r="G44" s="19" t="str">
        <f aca="false">IFERROR(IF(INDEX(2a_PRE_TRABAJO!$F$5:$F$51,MATCH($A44,2a_PRE_TRABAJO!$A$5:$A$51,0))="","",INDEX(2a_PRE_TRABAJO!$F$5:$F$51,MATCH($A44,2a_PRE_TRABAJO!$A$5:$A$51,0))),"")</f>
        <v>Profesional</v>
      </c>
      <c r="H44" s="24" t="n">
        <f aca="false">IFERROR(IF(INDEX(2a_PRE_TRABAJO!$G$5:$G$51,MATCH($A44,2a_PRE_TRABAJO!$A$5:$A$51,0))="","",INDEX(2a_PRE_TRABAJO!$G$5:$G$51,MATCH($A44,2a_PRE_TRABAJO!$A$5:$A$51,0))),"")</f>
        <v>46262</v>
      </c>
      <c r="I44" s="24" t="n">
        <f aca="false">IFERROR(IF(INDEX(2b_POST_TRABAJO!$C$5:$C$48,MATCH($A44,2b_POST_TRABAJO!$A$5:$A$48,0))="","",INDEX(2b_POST_TRABAJO!$C$5:$C$48,MATCH($A44,2b_POST_TRABAJO!$A$5:$A$48,0))),"")</f>
        <v>46311</v>
      </c>
      <c r="J44" s="25" t="n">
        <f aca="false">IFERROR(IF(INDEX(2a_PRE_TRABAJO!$H$5:$H$51,MATCH($A44,2a_PRE_TRABAJO!$A$5:$A$51,0))="","",INDEX(2a_PRE_TRABAJO!$H$5:$H$51,MATCH($A44,2a_PRE_TRABAJO!$A$5:$A$51,0))),"")</f>
        <v>10.1</v>
      </c>
      <c r="K44" s="25" t="n">
        <f aca="false">IFERROR(IF(INDEX(2b_POST_TRABAJO!$D$5:$D$48,MATCH($A44,2b_POST_TRABAJO!$A$5:$A$48,0))="","",INDEX(2b_POST_TRABAJO!$D$5:$D$48,MATCH($A44,2b_POST_TRABAJO!$A$5:$A$48,0))),"")</f>
        <v>264</v>
      </c>
      <c r="L44" s="26" t="n">
        <f aca="false">IFERROR(IF(INDEX(2a_PRE_TRABAJO!$I$5:$I$51,MATCH($A44,2a_PRE_TRABAJO!$A$5:$A$51,0))="","",INDEX(2a_PRE_TRABAJO!$I$5:$I$51,MATCH($A44,2a_PRE_TRABAJO!$A$5:$A$51,0))),"")</f>
        <v>60</v>
      </c>
      <c r="M44" s="26" t="n">
        <f aca="false">IFERROR(IF(INDEX(2b_POST_TRABAJO!$E$5:$E$48,MATCH($A44,2b_POST_TRABAJO!$A$5:$A$48,0))="","",INDEX(2b_POST_TRABAJO!$E$5:$E$48,MATCH($A44,2b_POST_TRABAJO!$A$5:$A$48,0))),"")</f>
        <v>59</v>
      </c>
      <c r="N44" s="19" t="n">
        <f aca="false">IFERROR(IF(INDEX(2a_PRE_TRABAJO!$J$5:$J$51,MATCH($A44,2a_PRE_TRABAJO!$A$5:$A$51,0))="","",INDEX(2a_PRE_TRABAJO!$J$5:$J$51,MATCH($A44,2a_PRE_TRABAJO!$A$5:$A$51,0))),"")</f>
        <v>3</v>
      </c>
      <c r="O44" s="19" t="n">
        <f aca="false">IFERROR(IF(INDEX(2a_PRE_TRABAJO!$K$5:$K$51,MATCH($A44,2a_PRE_TRABAJO!$A$5:$A$51,0))="","",INDEX(2a_PRE_TRABAJO!$K$5:$K$51,MATCH($A44,2a_PRE_TRABAJO!$A$5:$A$51,0))),"")</f>
        <v>2</v>
      </c>
      <c r="P44" s="19" t="n">
        <f aca="false">IFERROR(IF(INDEX(2a_PRE_TRABAJO!$L$5:$L$51,MATCH($A44,2a_PRE_TRABAJO!$A$5:$A$51,0))="","",INDEX(2a_PRE_TRABAJO!$L$5:$L$51,MATCH($A44,2a_PRE_TRABAJO!$A$5:$A$51,0))),"")</f>
        <v>4</v>
      </c>
      <c r="Q44" s="19" t="n">
        <f aca="false">IF(IFERROR(IF(INDEX(2a_PRE_TRABAJO!$M$5:$M$51,MATCH($A44,2a_PRE_TRABAJO!$A$5:$A$51,0))="","",INDEX(2a_PRE_TRABAJO!$M$5:$M$51,MATCH($A44,2a_PRE_TRABAJO!$A$5:$A$51,0))),"")="","",IFERROR(6-IFERROR(IF(INDEX(2a_PRE_TRABAJO!$M$5:$M$51,MATCH($A44,2a_PRE_TRABAJO!$A$5:$A$51,0))="","",INDEX(2a_PRE_TRABAJO!$M$5:$M$51,MATCH($A44,2a_PRE_TRABAJO!$A$5:$A$51,0))),""),"REVISAR"))</f>
        <v>3</v>
      </c>
      <c r="R44" s="19" t="n">
        <f aca="false">IFERROR(IF(INDEX(2a_PRE_TRABAJO!$N$5:$N$51,MATCH($A44,2a_PRE_TRABAJO!$A$5:$A$51,0))="","",INDEX(2a_PRE_TRABAJO!$N$5:$N$51,MATCH($A44,2a_PRE_TRABAJO!$A$5:$A$51,0))),"")</f>
        <v>4</v>
      </c>
      <c r="S44" s="19" t="n">
        <f aca="false">IFERROR(IF(INDEX(2a_PRE_TRABAJO!$O$5:$O$51,MATCH($A44,2a_PRE_TRABAJO!$A$5:$A$51,0))="","",INDEX(2a_PRE_TRABAJO!$O$5:$O$51,MATCH($A44,2a_PRE_TRABAJO!$A$5:$A$51,0))),"")</f>
        <v>3</v>
      </c>
      <c r="T44" s="19" t="n">
        <f aca="false">IFERROR(IF(INDEX(2a_PRE_TRABAJO!$P$5:$P$51,MATCH($A44,2a_PRE_TRABAJO!$A$5:$A$51,0))="","",INDEX(2a_PRE_TRABAJO!$P$5:$P$51,MATCH($A44,2a_PRE_TRABAJO!$A$5:$A$51,0))),"")</f>
        <v>5</v>
      </c>
      <c r="U44" s="19" t="n">
        <f aca="false">IFERROR(IF(INDEX(2a_PRE_TRABAJO!$Q$5:$Q$51,MATCH($A44,2a_PRE_TRABAJO!$A$5:$A$51,0))="","",INDEX(2a_PRE_TRABAJO!$Q$5:$Q$51,MATCH($A44,2a_PRE_TRABAJO!$A$5:$A$51,0))),"")</f>
        <v>4</v>
      </c>
      <c r="V44" s="19" t="n">
        <f aca="false">IFERROR(IF(INDEX(2a_PRE_TRABAJO!$R$5:$R$51,MATCH($A44,2a_PRE_TRABAJO!$A$5:$A$51,0))="","",INDEX(2a_PRE_TRABAJO!$R$5:$R$51,MATCH($A44,2a_PRE_TRABAJO!$A$5:$A$51,0))),"")</f>
        <v>3</v>
      </c>
      <c r="W44" s="19" t="n">
        <f aca="false">IFERROR(IF(INDEX(2a_PRE_TRABAJO!$S$5:$S$51,MATCH($A44,2a_PRE_TRABAJO!$A$5:$A$51,0))="","",INDEX(2a_PRE_TRABAJO!$S$5:$S$51,MATCH($A44,2a_PRE_TRABAJO!$A$5:$A$51,0))),"")</f>
        <v>5</v>
      </c>
      <c r="X44" s="19" t="n">
        <f aca="false">IFERROR(IF(INDEX(2a_PRE_TRABAJO!$T$5:$T$51,MATCH($A44,2a_PRE_TRABAJO!$A$5:$A$51,0))="","",INDEX(2a_PRE_TRABAJO!$T$5:$T$51,MATCH($A44,2a_PRE_TRABAJO!$A$5:$A$51,0))),"")</f>
        <v>3</v>
      </c>
      <c r="Y44" s="19" t="n">
        <f aca="false">IF(IFERROR(IF(INDEX(2a_PRE_TRABAJO!$U$5:$U$51,MATCH($A44,2a_PRE_TRABAJO!$A$5:$A$51,0))="","",INDEX(2a_PRE_TRABAJO!$U$5:$U$51,MATCH($A44,2a_PRE_TRABAJO!$A$5:$A$51,0))),"")="","",IFERROR(6-IFERROR(IF(INDEX(2a_PRE_TRABAJO!$U$5:$U$51,MATCH($A44,2a_PRE_TRABAJO!$A$5:$A$51,0))="","",INDEX(2a_PRE_TRABAJO!$U$5:$U$51,MATCH($A44,2a_PRE_TRABAJO!$A$5:$A$51,0))),""),"REVISAR"))</f>
        <v>4</v>
      </c>
      <c r="Z44" s="19" t="n">
        <f aca="false">IFERROR(IF(INDEX(2a_PRE_TRABAJO!$V$5:$V$51,MATCH($A44,2a_PRE_TRABAJO!$A$5:$A$51,0))="","",INDEX(2a_PRE_TRABAJO!$V$5:$V$51,MATCH($A44,2a_PRE_TRABAJO!$A$5:$A$51,0))),"")</f>
        <v>4</v>
      </c>
      <c r="AA44" s="19" t="n">
        <f aca="false">IFERROR(IF(INDEX(2a_PRE_TRABAJO!$W$5:$W$51,MATCH($A44,2a_PRE_TRABAJO!$A$5:$A$51,0))="","",INDEX(2a_PRE_TRABAJO!$W$5:$W$51,MATCH($A44,2a_PRE_TRABAJO!$A$5:$A$51,0))),"")</f>
        <v>4</v>
      </c>
      <c r="AB44" s="19" t="n">
        <f aca="false">IFERROR(IF(INDEX(2a_PRE_TRABAJO!$X$5:$X$51,MATCH($A44,2a_PRE_TRABAJO!$A$5:$A$51,0))="","",INDEX(2a_PRE_TRABAJO!$X$5:$X$51,MATCH($A44,2a_PRE_TRABAJO!$A$5:$A$51,0))),"")</f>
        <v>4</v>
      </c>
      <c r="AC44" s="19" t="n">
        <f aca="false">IFERROR(IF(INDEX(2b_POST_TRABAJO!$F$5:$F$48,MATCH($A44,2b_POST_TRABAJO!$A$5:$A$48,0))="","",INDEX(2b_POST_TRABAJO!$F$5:$F$48,MATCH($A44,2b_POST_TRABAJO!$A$5:$A$48,0))),"")</f>
        <v>5</v>
      </c>
      <c r="AD44" s="19" t="n">
        <f aca="false">IFERROR(IF(INDEX(2b_POST_TRABAJO!$G$5:$G$48,MATCH($A44,2b_POST_TRABAJO!$A$5:$A$48,0))="","",INDEX(2b_POST_TRABAJO!$G$5:$G$48,MATCH($A44,2b_POST_TRABAJO!$A$5:$A$48,0))),"")</f>
        <v>5</v>
      </c>
      <c r="AE44" s="19" t="n">
        <f aca="false">IFERROR(IF(INDEX(2b_POST_TRABAJO!$H$5:$H$48,MATCH($A44,2b_POST_TRABAJO!$A$5:$A$48,0))="","",INDEX(2b_POST_TRABAJO!$H$5:$H$48,MATCH($A44,2b_POST_TRABAJO!$A$5:$A$48,0))),"")</f>
        <v>4</v>
      </c>
      <c r="AF44" s="19" t="n">
        <f aca="false">IF(IFERROR(IF(INDEX(2b_POST_TRABAJO!$I$5:$I$48,MATCH($A44,2b_POST_TRABAJO!$A$5:$A$48,0))="","",INDEX(2b_POST_TRABAJO!$I$5:$I$48,MATCH($A44,2b_POST_TRABAJO!$A$5:$A$48,0))),"")="","",IFERROR(6-IFERROR(IF(INDEX(2b_POST_TRABAJO!$I$5:$I$48,MATCH($A44,2b_POST_TRABAJO!$A$5:$A$48,0))="","",INDEX(2b_POST_TRABAJO!$I$5:$I$48,MATCH($A44,2b_POST_TRABAJO!$A$5:$A$48,0))),""),"REVISAR"))</f>
        <v>4</v>
      </c>
      <c r="AG44" s="19" t="n">
        <f aca="false">IFERROR(IF(INDEX(2b_POST_TRABAJO!$J$5:$J$48,MATCH($A44,2b_POST_TRABAJO!$A$5:$A$48,0))="","",INDEX(2b_POST_TRABAJO!$J$5:$J$48,MATCH($A44,2b_POST_TRABAJO!$A$5:$A$48,0))),"")</f>
        <v>4</v>
      </c>
      <c r="AH44" s="19" t="n">
        <f aca="false">IFERROR(IF(INDEX(2b_POST_TRABAJO!$K$5:$K$48,MATCH($A44,2b_POST_TRABAJO!$A$5:$A$48,0))="","",INDEX(2b_POST_TRABAJO!$K$5:$K$48,MATCH($A44,2b_POST_TRABAJO!$A$5:$A$48,0))),"")</f>
        <v>4</v>
      </c>
      <c r="AI44" s="19" t="n">
        <f aca="false">IFERROR(IF(INDEX(2b_POST_TRABAJO!$L$5:$L$48,MATCH($A44,2b_POST_TRABAJO!$A$5:$A$48,0))="","",INDEX(2b_POST_TRABAJO!$L$5:$L$48,MATCH($A44,2b_POST_TRABAJO!$A$5:$A$48,0))),"")</f>
        <v>3</v>
      </c>
      <c r="AJ44" s="19" t="n">
        <f aca="false">IFERROR(IF(INDEX(2b_POST_TRABAJO!$M$5:$M$48,MATCH($A44,2b_POST_TRABAJO!$A$5:$A$48,0))="","",INDEX(2b_POST_TRABAJO!$M$5:$M$48,MATCH($A44,2b_POST_TRABAJO!$A$5:$A$48,0))),"")</f>
        <v>4</v>
      </c>
      <c r="AK44" s="19" t="n">
        <f aca="false">IFERROR(IF(INDEX(2b_POST_TRABAJO!$N$5:$N$48,MATCH($A44,2b_POST_TRABAJO!$A$5:$A$48,0))="","",INDEX(2b_POST_TRABAJO!$N$5:$N$48,MATCH($A44,2b_POST_TRABAJO!$A$5:$A$48,0))),"")</f>
        <v>4</v>
      </c>
      <c r="AL44" s="19" t="n">
        <f aca="false">IFERROR(IF(INDEX(2b_POST_TRABAJO!$O$5:$O$48,MATCH($A44,2b_POST_TRABAJO!$A$5:$A$48,0))="","",INDEX(2b_POST_TRABAJO!$O$5:$O$48,MATCH($A44,2b_POST_TRABAJO!$A$5:$A$48,0))),"")</f>
        <v>5</v>
      </c>
      <c r="AM44" s="19" t="n">
        <f aca="false">IFERROR(IF(INDEX(2b_POST_TRABAJO!$P$5:$P$48,MATCH($A44,2b_POST_TRABAJO!$A$5:$A$48,0))="","",INDEX(2b_POST_TRABAJO!$P$5:$P$48,MATCH($A44,2b_POST_TRABAJO!$A$5:$A$48,0))),"")</f>
        <v>4</v>
      </c>
      <c r="AN44" s="19" t="n">
        <f aca="false">IF(IFERROR(IF(INDEX(2b_POST_TRABAJO!$Q$5:$Q$48,MATCH($A44,2b_POST_TRABAJO!$A$5:$A$48,0))="","",INDEX(2b_POST_TRABAJO!$Q$5:$Q$48,MATCH($A44,2b_POST_TRABAJO!$A$5:$A$48,0))),"")="","",IFERROR(6-IFERROR(IF(INDEX(2b_POST_TRABAJO!$Q$5:$Q$48,MATCH($A44,2b_POST_TRABAJO!$A$5:$A$48,0))="","",INDEX(2b_POST_TRABAJO!$Q$5:$Q$48,MATCH($A44,2b_POST_TRABAJO!$A$5:$A$48,0))),""),"REVISAR"))</f>
        <v>4</v>
      </c>
      <c r="AO44" s="19" t="n">
        <f aca="false">IFERROR(IF(INDEX(2b_POST_TRABAJO!$R$5:$R$48,MATCH($A44,2b_POST_TRABAJO!$A$5:$A$48,0))="","",INDEX(2b_POST_TRABAJO!$R$5:$R$48,MATCH($A44,2b_POST_TRABAJO!$A$5:$A$48,0))),"")</f>
        <v>4</v>
      </c>
      <c r="AP44" s="19" t="n">
        <f aca="false">IFERROR(IF(INDEX(2b_POST_TRABAJO!$S$5:$S$48,MATCH($A44,2b_POST_TRABAJO!$A$5:$A$48,0))="","",INDEX(2b_POST_TRABAJO!$S$5:$S$48,MATCH($A44,2b_POST_TRABAJO!$A$5:$A$48,0))),"")</f>
        <v>5</v>
      </c>
      <c r="AQ44" s="19" t="n">
        <f aca="false">IFERROR(IF(INDEX(2b_POST_TRABAJO!$T$5:$T$48,MATCH($A44,2b_POST_TRABAJO!$A$5:$A$48,0))="","",INDEX(2b_POST_TRABAJO!$T$5:$T$48,MATCH($A44,2b_POST_TRABAJO!$A$5:$A$48,0))),"")</f>
        <v>4</v>
      </c>
      <c r="AR44" s="27" t="n">
        <f aca="false">IF(COUNT(N44:R44)&lt;5,"",IFERROR(ROUND(AVERAGE(N44:R44),2),"REVISAR"))</f>
        <v>3.2</v>
      </c>
      <c r="AS44" s="27" t="n">
        <f aca="false">IF(COUNT(S44:W44)&lt;5,"",IFERROR(ROUND(AVERAGE(S44:W44),2),"REVISAR"))</f>
        <v>4</v>
      </c>
      <c r="AT44" s="27" t="n">
        <f aca="false">IF(COUNT(X44:AB44)&lt;5,"",IFERROR(ROUND(AVERAGE(X44:AB44),2),"REVISAR"))</f>
        <v>3.8</v>
      </c>
      <c r="AU44" s="11" t="n">
        <f aca="false">IF(COUNT(N44:AB44)&lt;15,"",IFERROR(SUM(N44:AB44),"REVISAR"))</f>
        <v>55</v>
      </c>
      <c r="AV44" s="18" t="n">
        <f aca="false">IF(AU44="","",IF(ISNUMBER(AU44),IF(AU44&lt;=35,1,IF(AU44&lt;=55,2,3)),"REVISAR"))</f>
        <v>2</v>
      </c>
      <c r="AW44" s="27" t="n">
        <f aca="false">IF(COUNT(AC44:AG44)&lt;5,"",IFERROR(ROUND(AVERAGE(AC44:AG44),2),"REVISAR"))</f>
        <v>4.4</v>
      </c>
      <c r="AX44" s="27" t="n">
        <f aca="false">IF(COUNT(AH44:AL44)&lt;5,"",IFERROR(ROUND(AVERAGE(AH44:AL44),2),"REVISAR"))</f>
        <v>4</v>
      </c>
      <c r="AY44" s="27" t="n">
        <f aca="false">IF(COUNT(AM44:AQ44)&lt;5,"",IFERROR(ROUND(AVERAGE(AM44:AQ44),2),"REVISAR"))</f>
        <v>4.2</v>
      </c>
      <c r="AZ44" s="11" t="n">
        <f aca="false">IF(COUNT(AC44:AQ44)&lt;15,"",IFERROR(SUM(AC44:AQ44),"REVISAR"))</f>
        <v>63</v>
      </c>
      <c r="BA44" s="18" t="n">
        <f aca="false">IF(AZ44="","",IF(ISNUMBER(AZ44),IF(AZ44&lt;=35,1,IF(AZ44&lt;=55,2,3)),"REVISAR"))</f>
        <v>3</v>
      </c>
      <c r="BB44" s="28" t="n">
        <f aca="false">IF(OR(J44="",K44=""),"",IFERROR(ROUND(K44-J44,1),"REVISAR"))</f>
        <v>253.9</v>
      </c>
      <c r="BC44" s="11" t="n">
        <f aca="false">IF(OR(L44="",M44=""),"",IFERROR(M44-L44,"REVISAR"))</f>
        <v>-1</v>
      </c>
      <c r="BD44" s="11" t="n">
        <f aca="false">IF(OR(AU44="",AZ44=""),"",IFERROR(AZ44-AU44,"REVISAR"))</f>
        <v>8</v>
      </c>
      <c r="BE44" s="23"/>
      <c r="BF44" s="21"/>
    </row>
    <row r="45" customFormat="false" ht="15" hidden="false" customHeight="false" outlineLevel="0" collapsed="false">
      <c r="A45" s="17" t="s">
        <v>98</v>
      </c>
      <c r="B45" s="23" t="n">
        <v>1</v>
      </c>
      <c r="C45" s="19" t="n">
        <f aca="false">IFERROR(IF(INDEX(2a_PRE_TRABAJO!$B$5:$B$51,MATCH($A45,2a_PRE_TRABAJO!$A$5:$A$51,0))="","",INDEX(2a_PRE_TRABAJO!$B$5:$B$51,MATCH($A45,2a_PRE_TRABAJO!$A$5:$A$51,0))),"")</f>
        <v>2</v>
      </c>
      <c r="D45" s="19" t="n">
        <f aca="false">IFERROR(IF(INDEX(2a_PRE_TRABAJO!$C$5:$C$51,MATCH($A45,2a_PRE_TRABAJO!$A$5:$A$51,0))="","",INDEX(2a_PRE_TRABAJO!$C$5:$C$51,MATCH($A45,2a_PRE_TRABAJO!$A$5:$A$51,0))),"")</f>
        <v>2</v>
      </c>
      <c r="E45" s="19" t="n">
        <f aca="false">IFERROR(IF(INDEX(2a_PRE_TRABAJO!$D$5:$D$51,MATCH($A45,2a_PRE_TRABAJO!$A$5:$A$51,0))="","",INDEX(2a_PRE_TRABAJO!$D$5:$D$51,MATCH($A45,2a_PRE_TRABAJO!$A$5:$A$51,0))),"")</f>
        <v>34</v>
      </c>
      <c r="F45" s="19" t="n">
        <f aca="false">IFERROR(IF(INDEX(2a_PRE_TRABAJO!$E$5:$E$51,MATCH($A45,2a_PRE_TRABAJO!$A$5:$A$51,0))="","",INDEX(2a_PRE_TRABAJO!$E$5:$E$51,MATCH($A45,2a_PRE_TRABAJO!$A$5:$A$51,0))),"")</f>
        <v>3</v>
      </c>
      <c r="G45" s="19" t="str">
        <f aca="false">IFERROR(IF(INDEX(2a_PRE_TRABAJO!$F$5:$F$51,MATCH($A45,2a_PRE_TRABAJO!$A$5:$A$51,0))="","",INDEX(2a_PRE_TRABAJO!$F$5:$F$51,MATCH($A45,2a_PRE_TRABAJO!$A$5:$A$51,0))),"")</f>
        <v>tecnico </v>
      </c>
      <c r="H45" s="24" t="n">
        <f aca="false">IFERROR(IF(INDEX(2a_PRE_TRABAJO!$G$5:$G$51,MATCH($A45,2a_PRE_TRABAJO!$A$5:$A$51,0))="","",INDEX(2a_PRE_TRABAJO!$G$5:$G$51,MATCH($A45,2a_PRE_TRABAJO!$A$5:$A$51,0))),"")</f>
        <v>46258</v>
      </c>
      <c r="I45" s="24" t="str">
        <f aca="false">IFERROR(IF(INDEX(2b_POST_TRABAJO!$C$5:$C$48,MATCH($A45,2b_POST_TRABAJO!$A$5:$A$48,0))="","",INDEX(2b_POST_TRABAJO!$C$5:$C$48,MATCH($A45,2b_POST_TRABAJO!$A$5:$A$48,0))),"")</f>
        <v/>
      </c>
      <c r="J45" s="25" t="n">
        <f aca="false">IFERROR(IF(INDEX(2a_PRE_TRABAJO!$H$5:$H$51,MATCH($A45,2a_PRE_TRABAJO!$A$5:$A$51,0))="","",INDEX(2a_PRE_TRABAJO!$H$5:$H$51,MATCH($A45,2a_PRE_TRABAJO!$A$5:$A$51,0))),"")</f>
        <v>6.5</v>
      </c>
      <c r="K45" s="25" t="str">
        <f aca="false">IFERROR(IF(INDEX(2b_POST_TRABAJO!$D$5:$D$48,MATCH($A45,2b_POST_TRABAJO!$A$5:$A$48,0))="","",INDEX(2b_POST_TRABAJO!$D$5:$D$48,MATCH($A45,2b_POST_TRABAJO!$A$5:$A$48,0))),"")</f>
        <v/>
      </c>
      <c r="L45" s="26" t="n">
        <f aca="false">IFERROR(IF(INDEX(2a_PRE_TRABAJO!$I$5:$I$51,MATCH($A45,2a_PRE_TRABAJO!$A$5:$A$51,0))="","",INDEX(2a_PRE_TRABAJO!$I$5:$I$51,MATCH($A45,2a_PRE_TRABAJO!$A$5:$A$51,0))),"")</f>
        <v>69</v>
      </c>
      <c r="M45" s="26" t="str">
        <f aca="false">IFERROR(IF(INDEX(2b_POST_TRABAJO!$E$5:$E$48,MATCH($A45,2b_POST_TRABAJO!$A$5:$A$48,0))="","",INDEX(2b_POST_TRABAJO!$E$5:$E$48,MATCH($A45,2b_POST_TRABAJO!$A$5:$A$48,0))),"")</f>
        <v/>
      </c>
      <c r="N45" s="19" t="n">
        <f aca="false">IFERROR(IF(INDEX(2a_PRE_TRABAJO!$J$5:$J$51,MATCH($A45,2a_PRE_TRABAJO!$A$5:$A$51,0))="","",INDEX(2a_PRE_TRABAJO!$J$5:$J$51,MATCH($A45,2a_PRE_TRABAJO!$A$5:$A$51,0))),"")</f>
        <v>3</v>
      </c>
      <c r="O45" s="19" t="n">
        <f aca="false">IFERROR(IF(INDEX(2a_PRE_TRABAJO!$K$5:$K$51,MATCH($A45,2a_PRE_TRABAJO!$A$5:$A$51,0))="","",INDEX(2a_PRE_TRABAJO!$K$5:$K$51,MATCH($A45,2a_PRE_TRABAJO!$A$5:$A$51,0))),"")</f>
        <v>3</v>
      </c>
      <c r="P45" s="19" t="n">
        <f aca="false">IFERROR(IF(INDEX(2a_PRE_TRABAJO!$L$5:$L$51,MATCH($A45,2a_PRE_TRABAJO!$A$5:$A$51,0))="","",INDEX(2a_PRE_TRABAJO!$L$5:$L$51,MATCH($A45,2a_PRE_TRABAJO!$A$5:$A$51,0))),"")</f>
        <v>2</v>
      </c>
      <c r="Q45" s="19" t="n">
        <f aca="false">IF(IFERROR(IF(INDEX(2a_PRE_TRABAJO!$M$5:$M$51,MATCH($A45,2a_PRE_TRABAJO!$A$5:$A$51,0))="","",INDEX(2a_PRE_TRABAJO!$M$5:$M$51,MATCH($A45,2a_PRE_TRABAJO!$A$5:$A$51,0))),"")="","",IFERROR(6-IFERROR(IF(INDEX(2a_PRE_TRABAJO!$M$5:$M$51,MATCH($A45,2a_PRE_TRABAJO!$A$5:$A$51,0))="","",INDEX(2a_PRE_TRABAJO!$M$5:$M$51,MATCH($A45,2a_PRE_TRABAJO!$A$5:$A$51,0))),""),"REVISAR"))</f>
        <v>2</v>
      </c>
      <c r="R45" s="19" t="n">
        <f aca="false">IFERROR(IF(INDEX(2a_PRE_TRABAJO!$N$5:$N$51,MATCH($A45,2a_PRE_TRABAJO!$A$5:$A$51,0))="","",INDEX(2a_PRE_TRABAJO!$N$5:$N$51,MATCH($A45,2a_PRE_TRABAJO!$A$5:$A$51,0))),"")</f>
        <v>2</v>
      </c>
      <c r="S45" s="19" t="n">
        <f aca="false">IFERROR(IF(INDEX(2a_PRE_TRABAJO!$O$5:$O$51,MATCH($A45,2a_PRE_TRABAJO!$A$5:$A$51,0))="","",INDEX(2a_PRE_TRABAJO!$O$5:$O$51,MATCH($A45,2a_PRE_TRABAJO!$A$5:$A$51,0))),"")</f>
        <v>2</v>
      </c>
      <c r="T45" s="19" t="n">
        <f aca="false">IFERROR(IF(INDEX(2a_PRE_TRABAJO!$P$5:$P$51,MATCH($A45,2a_PRE_TRABAJO!$A$5:$A$51,0))="","",INDEX(2a_PRE_TRABAJO!$P$5:$P$51,MATCH($A45,2a_PRE_TRABAJO!$A$5:$A$51,0))),"")</f>
        <v>3</v>
      </c>
      <c r="U45" s="19" t="n">
        <f aca="false">IFERROR(IF(INDEX(2a_PRE_TRABAJO!$Q$5:$Q$51,MATCH($A45,2a_PRE_TRABAJO!$A$5:$A$51,0))="","",INDEX(2a_PRE_TRABAJO!$Q$5:$Q$51,MATCH($A45,2a_PRE_TRABAJO!$A$5:$A$51,0))),"")</f>
        <v>2</v>
      </c>
      <c r="V45" s="19" t="n">
        <f aca="false">IFERROR(IF(INDEX(2a_PRE_TRABAJO!$R$5:$R$51,MATCH($A45,2a_PRE_TRABAJO!$A$5:$A$51,0))="","",INDEX(2a_PRE_TRABAJO!$R$5:$R$51,MATCH($A45,2a_PRE_TRABAJO!$A$5:$A$51,0))),"")</f>
        <v>2</v>
      </c>
      <c r="W45" s="19" t="n">
        <f aca="false">IFERROR(IF(INDEX(2a_PRE_TRABAJO!$S$5:$S$51,MATCH($A45,2a_PRE_TRABAJO!$A$5:$A$51,0))="","",INDEX(2a_PRE_TRABAJO!$S$5:$S$51,MATCH($A45,2a_PRE_TRABAJO!$A$5:$A$51,0))),"")</f>
        <v>2</v>
      </c>
      <c r="X45" s="19" t="n">
        <f aca="false">IFERROR(IF(INDEX(2a_PRE_TRABAJO!$T$5:$T$51,MATCH($A45,2a_PRE_TRABAJO!$A$5:$A$51,0))="","",INDEX(2a_PRE_TRABAJO!$T$5:$T$51,MATCH($A45,2a_PRE_TRABAJO!$A$5:$A$51,0))),"")</f>
        <v>2</v>
      </c>
      <c r="Y45" s="19" t="n">
        <f aca="false">IF(IFERROR(IF(INDEX(2a_PRE_TRABAJO!$U$5:$U$51,MATCH($A45,2a_PRE_TRABAJO!$A$5:$A$51,0))="","",INDEX(2a_PRE_TRABAJO!$U$5:$U$51,MATCH($A45,2a_PRE_TRABAJO!$A$5:$A$51,0))),"")="","",IFERROR(6-IFERROR(IF(INDEX(2a_PRE_TRABAJO!$U$5:$U$51,MATCH($A45,2a_PRE_TRABAJO!$A$5:$A$51,0))="","",INDEX(2a_PRE_TRABAJO!$U$5:$U$51,MATCH($A45,2a_PRE_TRABAJO!$A$5:$A$51,0))),""),"REVISAR"))</f>
        <v>3</v>
      </c>
      <c r="Z45" s="19" t="n">
        <f aca="false">IFERROR(IF(INDEX(2a_PRE_TRABAJO!$V$5:$V$51,MATCH($A45,2a_PRE_TRABAJO!$A$5:$A$51,0))="","",INDEX(2a_PRE_TRABAJO!$V$5:$V$51,MATCH($A45,2a_PRE_TRABAJO!$A$5:$A$51,0))),"")</f>
        <v>2</v>
      </c>
      <c r="AA45" s="19" t="n">
        <f aca="false">IFERROR(IF(INDEX(2a_PRE_TRABAJO!$W$5:$W$51,MATCH($A45,2a_PRE_TRABAJO!$A$5:$A$51,0))="","",INDEX(2a_PRE_TRABAJO!$W$5:$W$51,MATCH($A45,2a_PRE_TRABAJO!$A$5:$A$51,0))),"")</f>
        <v>2</v>
      </c>
      <c r="AB45" s="19" t="n">
        <f aca="false">IFERROR(IF(INDEX(2a_PRE_TRABAJO!$X$5:$X$51,MATCH($A45,2a_PRE_TRABAJO!$A$5:$A$51,0))="","",INDEX(2a_PRE_TRABAJO!$X$5:$X$51,MATCH($A45,2a_PRE_TRABAJO!$A$5:$A$51,0))),"")</f>
        <v>2</v>
      </c>
      <c r="AC45" s="19" t="str">
        <f aca="false">IFERROR(IF(INDEX(2b_POST_TRABAJO!$F$5:$F$48,MATCH($A45,2b_POST_TRABAJO!$A$5:$A$48,0))="","",INDEX(2b_POST_TRABAJO!$F$5:$F$48,MATCH($A45,2b_POST_TRABAJO!$A$5:$A$48,0))),"")</f>
        <v/>
      </c>
      <c r="AD45" s="19" t="str">
        <f aca="false">IFERROR(IF(INDEX(2b_POST_TRABAJO!$G$5:$G$48,MATCH($A45,2b_POST_TRABAJO!$A$5:$A$48,0))="","",INDEX(2b_POST_TRABAJO!$G$5:$G$48,MATCH($A45,2b_POST_TRABAJO!$A$5:$A$48,0))),"")</f>
        <v/>
      </c>
      <c r="AE45" s="19" t="str">
        <f aca="false">IFERROR(IF(INDEX(2b_POST_TRABAJO!$H$5:$H$48,MATCH($A45,2b_POST_TRABAJO!$A$5:$A$48,0))="","",INDEX(2b_POST_TRABAJO!$H$5:$H$48,MATCH($A45,2b_POST_TRABAJO!$A$5:$A$48,0))),"")</f>
        <v/>
      </c>
      <c r="AF45" s="19" t="str">
        <f aca="false">IF(IFERROR(IF(INDEX(2b_POST_TRABAJO!$I$5:$I$48,MATCH($A45,2b_POST_TRABAJO!$A$5:$A$48,0))="","",INDEX(2b_POST_TRABAJO!$I$5:$I$48,MATCH($A45,2b_POST_TRABAJO!$A$5:$A$48,0))),"")="","",IFERROR(6-IFERROR(IF(INDEX(2b_POST_TRABAJO!$I$5:$I$48,MATCH($A45,2b_POST_TRABAJO!$A$5:$A$48,0))="","",INDEX(2b_POST_TRABAJO!$I$5:$I$48,MATCH($A45,2b_POST_TRABAJO!$A$5:$A$48,0))),""),"REVISAR"))</f>
        <v/>
      </c>
      <c r="AG45" s="19" t="str">
        <f aca="false">IFERROR(IF(INDEX(2b_POST_TRABAJO!$J$5:$J$48,MATCH($A45,2b_POST_TRABAJO!$A$5:$A$48,0))="","",INDEX(2b_POST_TRABAJO!$J$5:$J$48,MATCH($A45,2b_POST_TRABAJO!$A$5:$A$48,0))),"")</f>
        <v/>
      </c>
      <c r="AH45" s="19" t="str">
        <f aca="false">IFERROR(IF(INDEX(2b_POST_TRABAJO!$K$5:$K$48,MATCH($A45,2b_POST_TRABAJO!$A$5:$A$48,0))="","",INDEX(2b_POST_TRABAJO!$K$5:$K$48,MATCH($A45,2b_POST_TRABAJO!$A$5:$A$48,0))),"")</f>
        <v/>
      </c>
      <c r="AI45" s="19" t="str">
        <f aca="false">IFERROR(IF(INDEX(2b_POST_TRABAJO!$L$5:$L$48,MATCH($A45,2b_POST_TRABAJO!$A$5:$A$48,0))="","",INDEX(2b_POST_TRABAJO!$L$5:$L$48,MATCH($A45,2b_POST_TRABAJO!$A$5:$A$48,0))),"")</f>
        <v/>
      </c>
      <c r="AJ45" s="19" t="str">
        <f aca="false">IFERROR(IF(INDEX(2b_POST_TRABAJO!$M$5:$M$48,MATCH($A45,2b_POST_TRABAJO!$A$5:$A$48,0))="","",INDEX(2b_POST_TRABAJO!$M$5:$M$48,MATCH($A45,2b_POST_TRABAJO!$A$5:$A$48,0))),"")</f>
        <v/>
      </c>
      <c r="AK45" s="19" t="str">
        <f aca="false">IFERROR(IF(INDEX(2b_POST_TRABAJO!$N$5:$N$48,MATCH($A45,2b_POST_TRABAJO!$A$5:$A$48,0))="","",INDEX(2b_POST_TRABAJO!$N$5:$N$48,MATCH($A45,2b_POST_TRABAJO!$A$5:$A$48,0))),"")</f>
        <v/>
      </c>
      <c r="AL45" s="19" t="str">
        <f aca="false">IFERROR(IF(INDEX(2b_POST_TRABAJO!$O$5:$O$48,MATCH($A45,2b_POST_TRABAJO!$A$5:$A$48,0))="","",INDEX(2b_POST_TRABAJO!$O$5:$O$48,MATCH($A45,2b_POST_TRABAJO!$A$5:$A$48,0))),"")</f>
        <v/>
      </c>
      <c r="AM45" s="19" t="str">
        <f aca="false">IFERROR(IF(INDEX(2b_POST_TRABAJO!$P$5:$P$48,MATCH($A45,2b_POST_TRABAJO!$A$5:$A$48,0))="","",INDEX(2b_POST_TRABAJO!$P$5:$P$48,MATCH($A45,2b_POST_TRABAJO!$A$5:$A$48,0))),"")</f>
        <v/>
      </c>
      <c r="AN45" s="19" t="str">
        <f aca="false">IF(IFERROR(IF(INDEX(2b_POST_TRABAJO!$Q$5:$Q$48,MATCH($A45,2b_POST_TRABAJO!$A$5:$A$48,0))="","",INDEX(2b_POST_TRABAJO!$Q$5:$Q$48,MATCH($A45,2b_POST_TRABAJO!$A$5:$A$48,0))),"")="","",IFERROR(6-IFERROR(IF(INDEX(2b_POST_TRABAJO!$Q$5:$Q$48,MATCH($A45,2b_POST_TRABAJO!$A$5:$A$48,0))="","",INDEX(2b_POST_TRABAJO!$Q$5:$Q$48,MATCH($A45,2b_POST_TRABAJO!$A$5:$A$48,0))),""),"REVISAR"))</f>
        <v/>
      </c>
      <c r="AO45" s="19" t="str">
        <f aca="false">IFERROR(IF(INDEX(2b_POST_TRABAJO!$R$5:$R$48,MATCH($A45,2b_POST_TRABAJO!$A$5:$A$48,0))="","",INDEX(2b_POST_TRABAJO!$R$5:$R$48,MATCH($A45,2b_POST_TRABAJO!$A$5:$A$48,0))),"")</f>
        <v/>
      </c>
      <c r="AP45" s="19" t="str">
        <f aca="false">IFERROR(IF(INDEX(2b_POST_TRABAJO!$S$5:$S$48,MATCH($A45,2b_POST_TRABAJO!$A$5:$A$48,0))="","",INDEX(2b_POST_TRABAJO!$S$5:$S$48,MATCH($A45,2b_POST_TRABAJO!$A$5:$A$48,0))),"")</f>
        <v/>
      </c>
      <c r="AQ45" s="19" t="str">
        <f aca="false">IFERROR(IF(INDEX(2b_POST_TRABAJO!$T$5:$T$48,MATCH($A45,2b_POST_TRABAJO!$A$5:$A$48,0))="","",INDEX(2b_POST_TRABAJO!$T$5:$T$48,MATCH($A45,2b_POST_TRABAJO!$A$5:$A$48,0))),"")</f>
        <v/>
      </c>
      <c r="AR45" s="27" t="n">
        <f aca="false">IF(COUNT(N45:R45)&lt;5,"",IFERROR(ROUND(AVERAGE(N45:R45),2),"REVISAR"))</f>
        <v>2.4</v>
      </c>
      <c r="AS45" s="27" t="n">
        <f aca="false">IF(COUNT(S45:W45)&lt;5,"",IFERROR(ROUND(AVERAGE(S45:W45),2),"REVISAR"))</f>
        <v>2.2</v>
      </c>
      <c r="AT45" s="27" t="n">
        <f aca="false">IF(COUNT(X45:AB45)&lt;5,"",IFERROR(ROUND(AVERAGE(X45:AB45),2),"REVISAR"))</f>
        <v>2.2</v>
      </c>
      <c r="AU45" s="11" t="n">
        <f aca="false">IF(COUNT(N45:AB45)&lt;15,"",IFERROR(SUM(N45:AB45),"REVISAR"))</f>
        <v>34</v>
      </c>
      <c r="AV45" s="18" t="n">
        <f aca="false">IF(AU45="","",IF(ISNUMBER(AU45),IF(AU45&lt;=35,1,IF(AU45&lt;=55,2,3)),"REVISAR"))</f>
        <v>1</v>
      </c>
      <c r="AW45" s="27" t="str">
        <f aca="false">IF(COUNT(AC45:AG45)&lt;5,"",IFERROR(ROUND(AVERAGE(AC45:AG45),2),"REVISAR"))</f>
        <v/>
      </c>
      <c r="AX45" s="27" t="str">
        <f aca="false">IF(COUNT(AH45:AL45)&lt;5,"",IFERROR(ROUND(AVERAGE(AH45:AL45),2),"REVISAR"))</f>
        <v/>
      </c>
      <c r="AY45" s="27" t="str">
        <f aca="false">IF(COUNT(AM45:AQ45)&lt;5,"",IFERROR(ROUND(AVERAGE(AM45:AQ45),2),"REVISAR"))</f>
        <v/>
      </c>
      <c r="AZ45" s="11" t="str">
        <f aca="false">IF(COUNT(AC45:AQ45)&lt;15,"",IFERROR(SUM(AC45:AQ45),"REVISAR"))</f>
        <v/>
      </c>
      <c r="BA45" s="18" t="str">
        <f aca="false">IF(AZ45="","",IF(ISNUMBER(AZ45),IF(AZ45&lt;=35,1,IF(AZ45&lt;=55,2,3)),"REVISAR"))</f>
        <v/>
      </c>
      <c r="BB45" s="28" t="str">
        <f aca="false">IF(OR(J45="",K45=""),"",IFERROR(ROUND(K45-J45,1),"REVISAR"))</f>
        <v/>
      </c>
      <c r="BC45" s="11" t="str">
        <f aca="false">IF(OR(L45="",M45=""),"",IFERROR(M45-L45,"REVISAR"))</f>
        <v/>
      </c>
      <c r="BD45" s="11" t="str">
        <f aca="false">IF(OR(AU45="",AZ45=""),"",IFERROR(AZ45-AU45,"REVISAR"))</f>
        <v/>
      </c>
      <c r="BE45" s="23"/>
      <c r="BF45" s="21"/>
    </row>
    <row r="46" customFormat="false" ht="15" hidden="false" customHeight="false" outlineLevel="0" collapsed="false">
      <c r="A46" s="17" t="s">
        <v>99</v>
      </c>
      <c r="B46" s="23" t="n">
        <v>1</v>
      </c>
      <c r="C46" s="19" t="n">
        <f aca="false">IFERROR(IF(INDEX(2a_PRE_TRABAJO!$B$5:$B$51,MATCH($A46,2a_PRE_TRABAJO!$A$5:$A$51,0))="","",INDEX(2a_PRE_TRABAJO!$B$5:$B$51,MATCH($A46,2a_PRE_TRABAJO!$A$5:$A$51,0))),"")</f>
        <v>2</v>
      </c>
      <c r="D46" s="19" t="n">
        <f aca="false">IFERROR(IF(INDEX(2a_PRE_TRABAJO!$C$5:$C$51,MATCH($A46,2a_PRE_TRABAJO!$A$5:$A$51,0))="","",INDEX(2a_PRE_TRABAJO!$C$5:$C$51,MATCH($A46,2a_PRE_TRABAJO!$A$5:$A$51,0))),"")</f>
        <v>2</v>
      </c>
      <c r="E46" s="19" t="n">
        <f aca="false">IFERROR(IF(INDEX(2a_PRE_TRABAJO!$D$5:$D$51,MATCH($A46,2a_PRE_TRABAJO!$A$5:$A$51,0))="","",INDEX(2a_PRE_TRABAJO!$D$5:$D$51,MATCH($A46,2a_PRE_TRABAJO!$A$5:$A$51,0))),"")</f>
        <v>58</v>
      </c>
      <c r="F46" s="19" t="n">
        <f aca="false">IFERROR(IF(INDEX(2a_PRE_TRABAJO!$E$5:$E$51,MATCH($A46,2a_PRE_TRABAJO!$A$5:$A$51,0))="","",INDEX(2a_PRE_TRABAJO!$E$5:$E$51,MATCH($A46,2a_PRE_TRABAJO!$A$5:$A$51,0))),"")</f>
        <v>11</v>
      </c>
      <c r="G46" s="19" t="str">
        <f aca="false">IFERROR(IF(INDEX(2a_PRE_TRABAJO!$F$5:$F$51,MATCH($A46,2a_PRE_TRABAJO!$A$5:$A$51,0))="","",INDEX(2a_PRE_TRABAJO!$F$5:$F$51,MATCH($A46,2a_PRE_TRABAJO!$A$5:$A$51,0))),"")</f>
        <v>Técnico</v>
      </c>
      <c r="H46" s="24" t="n">
        <f aca="false">IFERROR(IF(INDEX(2a_PRE_TRABAJO!$G$5:$G$51,MATCH($A46,2a_PRE_TRABAJO!$A$5:$A$51,0))="","",INDEX(2a_PRE_TRABAJO!$G$5:$G$51,MATCH($A46,2a_PRE_TRABAJO!$A$5:$A$51,0))),"")</f>
        <v>46259</v>
      </c>
      <c r="I46" s="24" t="n">
        <f aca="false">IFERROR(IF(INDEX(2b_POST_TRABAJO!$C$5:$C$48,MATCH($A46,2b_POST_TRABAJO!$A$5:$A$48,0))="","",INDEX(2b_POST_TRABAJO!$C$5:$C$48,MATCH($A46,2b_POST_TRABAJO!$A$5:$A$48,0))),"")</f>
        <v>46308</v>
      </c>
      <c r="J46" s="25" t="n">
        <f aca="false">IFERROR(IF(INDEX(2a_PRE_TRABAJO!$H$5:$H$51,MATCH($A46,2a_PRE_TRABAJO!$A$5:$A$51,0))="","",INDEX(2a_PRE_TRABAJO!$H$5:$H$51,MATCH($A46,2a_PRE_TRABAJO!$A$5:$A$51,0))),"")</f>
        <v>6.5</v>
      </c>
      <c r="K46" s="25" t="n">
        <f aca="false">IFERROR(IF(INDEX(2b_POST_TRABAJO!$D$5:$D$48,MATCH($A46,2b_POST_TRABAJO!$A$5:$A$48,0))="","",INDEX(2b_POST_TRABAJO!$D$5:$D$48,MATCH($A46,2b_POST_TRABAJO!$A$5:$A$48,0))),"")</f>
        <v>6.3</v>
      </c>
      <c r="L46" s="26" t="n">
        <f aca="false">IFERROR(IF(INDEX(2a_PRE_TRABAJO!$I$5:$I$51,MATCH($A46,2a_PRE_TRABAJO!$A$5:$A$51,0))="","",INDEX(2a_PRE_TRABAJO!$I$5:$I$51,MATCH($A46,2a_PRE_TRABAJO!$A$5:$A$51,0))),"")</f>
        <v>73</v>
      </c>
      <c r="M46" s="26" t="n">
        <f aca="false">IFERROR(IF(INDEX(2b_POST_TRABAJO!$E$5:$E$48,MATCH($A46,2b_POST_TRABAJO!$A$5:$A$48,0))="","",INDEX(2b_POST_TRABAJO!$E$5:$E$48,MATCH($A46,2b_POST_TRABAJO!$A$5:$A$48,0))),"")</f>
        <v>79</v>
      </c>
      <c r="N46" s="19" t="n">
        <f aca="false">IFERROR(IF(INDEX(2a_PRE_TRABAJO!$J$5:$J$51,MATCH($A46,2a_PRE_TRABAJO!$A$5:$A$51,0))="","",INDEX(2a_PRE_TRABAJO!$J$5:$J$51,MATCH($A46,2a_PRE_TRABAJO!$A$5:$A$51,0))),"")</f>
        <v>4</v>
      </c>
      <c r="O46" s="19" t="n">
        <f aca="false">IFERROR(IF(INDEX(2a_PRE_TRABAJO!$K$5:$K$51,MATCH($A46,2a_PRE_TRABAJO!$A$5:$A$51,0))="","",INDEX(2a_PRE_TRABAJO!$K$5:$K$51,MATCH($A46,2a_PRE_TRABAJO!$A$5:$A$51,0))),"")</f>
        <v>2</v>
      </c>
      <c r="P46" s="19" t="n">
        <f aca="false">IFERROR(IF(INDEX(2a_PRE_TRABAJO!$L$5:$L$51,MATCH($A46,2a_PRE_TRABAJO!$A$5:$A$51,0))="","",INDEX(2a_PRE_TRABAJO!$L$5:$L$51,MATCH($A46,2a_PRE_TRABAJO!$A$5:$A$51,0))),"")</f>
        <v>4</v>
      </c>
      <c r="Q46" s="19" t="n">
        <f aca="false">IF(IFERROR(IF(INDEX(2a_PRE_TRABAJO!$M$5:$M$51,MATCH($A46,2a_PRE_TRABAJO!$A$5:$A$51,0))="","",INDEX(2a_PRE_TRABAJO!$M$5:$M$51,MATCH($A46,2a_PRE_TRABAJO!$A$5:$A$51,0))),"")="","",IFERROR(6-IFERROR(IF(INDEX(2a_PRE_TRABAJO!$M$5:$M$51,MATCH($A46,2a_PRE_TRABAJO!$A$5:$A$51,0))="","",INDEX(2a_PRE_TRABAJO!$M$5:$M$51,MATCH($A46,2a_PRE_TRABAJO!$A$5:$A$51,0))),""),"REVISAR"))</f>
        <v>1</v>
      </c>
      <c r="R46" s="19" t="n">
        <f aca="false">IFERROR(IF(INDEX(2a_PRE_TRABAJO!$N$5:$N$51,MATCH($A46,2a_PRE_TRABAJO!$A$5:$A$51,0))="","",INDEX(2a_PRE_TRABAJO!$N$5:$N$51,MATCH($A46,2a_PRE_TRABAJO!$A$5:$A$51,0))),"")</f>
        <v>5</v>
      </c>
      <c r="S46" s="19" t="n">
        <f aca="false">IFERROR(IF(INDEX(2a_PRE_TRABAJO!$O$5:$O$51,MATCH($A46,2a_PRE_TRABAJO!$A$5:$A$51,0))="","",INDEX(2a_PRE_TRABAJO!$O$5:$O$51,MATCH($A46,2a_PRE_TRABAJO!$A$5:$A$51,0))),"")</f>
        <v>3</v>
      </c>
      <c r="T46" s="19" t="n">
        <f aca="false">IFERROR(IF(INDEX(2a_PRE_TRABAJO!$P$5:$P$51,MATCH($A46,2a_PRE_TRABAJO!$A$5:$A$51,0))="","",INDEX(2a_PRE_TRABAJO!$P$5:$P$51,MATCH($A46,2a_PRE_TRABAJO!$A$5:$A$51,0))),"")</f>
        <v>4</v>
      </c>
      <c r="U46" s="19" t="n">
        <f aca="false">IFERROR(IF(INDEX(2a_PRE_TRABAJO!$Q$5:$Q$51,MATCH($A46,2a_PRE_TRABAJO!$A$5:$A$51,0))="","",INDEX(2a_PRE_TRABAJO!$Q$5:$Q$51,MATCH($A46,2a_PRE_TRABAJO!$A$5:$A$51,0))),"")</f>
        <v>3</v>
      </c>
      <c r="V46" s="19" t="n">
        <f aca="false">IFERROR(IF(INDEX(2a_PRE_TRABAJO!$R$5:$R$51,MATCH($A46,2a_PRE_TRABAJO!$A$5:$A$51,0))="","",INDEX(2a_PRE_TRABAJO!$R$5:$R$51,MATCH($A46,2a_PRE_TRABAJO!$A$5:$A$51,0))),"")</f>
        <v>2</v>
      </c>
      <c r="W46" s="19" t="n">
        <f aca="false">IFERROR(IF(INDEX(2a_PRE_TRABAJO!$S$5:$S$51,MATCH($A46,2a_PRE_TRABAJO!$A$5:$A$51,0))="","",INDEX(2a_PRE_TRABAJO!$S$5:$S$51,MATCH($A46,2a_PRE_TRABAJO!$A$5:$A$51,0))),"")</f>
        <v>5</v>
      </c>
      <c r="X46" s="19" t="n">
        <f aca="false">IFERROR(IF(INDEX(2a_PRE_TRABAJO!$T$5:$T$51,MATCH($A46,2a_PRE_TRABAJO!$A$5:$A$51,0))="","",INDEX(2a_PRE_TRABAJO!$T$5:$T$51,MATCH($A46,2a_PRE_TRABAJO!$A$5:$A$51,0))),"")</f>
        <v>3</v>
      </c>
      <c r="Y46" s="19" t="n">
        <f aca="false">IF(IFERROR(IF(INDEX(2a_PRE_TRABAJO!$U$5:$U$51,MATCH($A46,2a_PRE_TRABAJO!$A$5:$A$51,0))="","",INDEX(2a_PRE_TRABAJO!$U$5:$U$51,MATCH($A46,2a_PRE_TRABAJO!$A$5:$A$51,0))),"")="","",IFERROR(6-IFERROR(IF(INDEX(2a_PRE_TRABAJO!$U$5:$U$51,MATCH($A46,2a_PRE_TRABAJO!$A$5:$A$51,0))="","",INDEX(2a_PRE_TRABAJO!$U$5:$U$51,MATCH($A46,2a_PRE_TRABAJO!$A$5:$A$51,0))),""),"REVISAR"))</f>
        <v>5</v>
      </c>
      <c r="Z46" s="19" t="n">
        <f aca="false">IFERROR(IF(INDEX(2a_PRE_TRABAJO!$V$5:$V$51,MATCH($A46,2a_PRE_TRABAJO!$A$5:$A$51,0))="","",INDEX(2a_PRE_TRABAJO!$V$5:$V$51,MATCH($A46,2a_PRE_TRABAJO!$A$5:$A$51,0))),"")</f>
        <v>4</v>
      </c>
      <c r="AA46" s="19" t="n">
        <f aca="false">IFERROR(IF(INDEX(2a_PRE_TRABAJO!$W$5:$W$51,MATCH($A46,2a_PRE_TRABAJO!$A$5:$A$51,0))="","",INDEX(2a_PRE_TRABAJO!$W$5:$W$51,MATCH($A46,2a_PRE_TRABAJO!$A$5:$A$51,0))),"")</f>
        <v>3</v>
      </c>
      <c r="AB46" s="19" t="n">
        <f aca="false">IFERROR(IF(INDEX(2a_PRE_TRABAJO!$X$5:$X$51,MATCH($A46,2a_PRE_TRABAJO!$A$5:$A$51,0))="","",INDEX(2a_PRE_TRABAJO!$X$5:$X$51,MATCH($A46,2a_PRE_TRABAJO!$A$5:$A$51,0))),"")</f>
        <v>4</v>
      </c>
      <c r="AC46" s="19" t="n">
        <f aca="false">IFERROR(IF(INDEX(2b_POST_TRABAJO!$F$5:$F$48,MATCH($A46,2b_POST_TRABAJO!$A$5:$A$48,0))="","",INDEX(2b_POST_TRABAJO!$F$5:$F$48,MATCH($A46,2b_POST_TRABAJO!$A$5:$A$48,0))),"")</f>
        <v>2</v>
      </c>
      <c r="AD46" s="19" t="n">
        <f aca="false">IFERROR(IF(INDEX(2b_POST_TRABAJO!$G$5:$G$48,MATCH($A46,2b_POST_TRABAJO!$A$5:$A$48,0))="","",INDEX(2b_POST_TRABAJO!$G$5:$G$48,MATCH($A46,2b_POST_TRABAJO!$A$5:$A$48,0))),"")</f>
        <v>2</v>
      </c>
      <c r="AE46" s="19" t="n">
        <f aca="false">IFERROR(IF(INDEX(2b_POST_TRABAJO!$H$5:$H$48,MATCH($A46,2b_POST_TRABAJO!$A$5:$A$48,0))="","",INDEX(2b_POST_TRABAJO!$H$5:$H$48,MATCH($A46,2b_POST_TRABAJO!$A$5:$A$48,0))),"")</f>
        <v>3</v>
      </c>
      <c r="AF46" s="19" t="n">
        <f aca="false">IF(IFERROR(IF(INDEX(2b_POST_TRABAJO!$I$5:$I$48,MATCH($A46,2b_POST_TRABAJO!$A$5:$A$48,0))="","",INDEX(2b_POST_TRABAJO!$I$5:$I$48,MATCH($A46,2b_POST_TRABAJO!$A$5:$A$48,0))),"")="","",IFERROR(6-IFERROR(IF(INDEX(2b_POST_TRABAJO!$I$5:$I$48,MATCH($A46,2b_POST_TRABAJO!$A$5:$A$48,0))="","",INDEX(2b_POST_TRABAJO!$I$5:$I$48,MATCH($A46,2b_POST_TRABAJO!$A$5:$A$48,0))),""),"REVISAR"))</f>
        <v>3</v>
      </c>
      <c r="AG46" s="19" t="n">
        <f aca="false">IFERROR(IF(INDEX(2b_POST_TRABAJO!$J$5:$J$48,MATCH($A46,2b_POST_TRABAJO!$A$5:$A$48,0))="","",INDEX(2b_POST_TRABAJO!$J$5:$J$48,MATCH($A46,2b_POST_TRABAJO!$A$5:$A$48,0))),"")</f>
        <v>3</v>
      </c>
      <c r="AH46" s="19" t="n">
        <f aca="false">IFERROR(IF(INDEX(2b_POST_TRABAJO!$K$5:$K$48,MATCH($A46,2b_POST_TRABAJO!$A$5:$A$48,0))="","",INDEX(2b_POST_TRABAJO!$K$5:$K$48,MATCH($A46,2b_POST_TRABAJO!$A$5:$A$48,0))),"")</f>
        <v>4</v>
      </c>
      <c r="AI46" s="19" t="n">
        <f aca="false">IFERROR(IF(INDEX(2b_POST_TRABAJO!$L$5:$L$48,MATCH($A46,2b_POST_TRABAJO!$A$5:$A$48,0))="","",INDEX(2b_POST_TRABAJO!$L$5:$L$48,MATCH($A46,2b_POST_TRABAJO!$A$5:$A$48,0))),"")</f>
        <v>2</v>
      </c>
      <c r="AJ46" s="19" t="n">
        <f aca="false">IFERROR(IF(INDEX(2b_POST_TRABAJO!$M$5:$M$48,MATCH($A46,2b_POST_TRABAJO!$A$5:$A$48,0))="","",INDEX(2b_POST_TRABAJO!$M$5:$M$48,MATCH($A46,2b_POST_TRABAJO!$A$5:$A$48,0))),"")</f>
        <v>2</v>
      </c>
      <c r="AK46" s="19" t="n">
        <f aca="false">IFERROR(IF(INDEX(2b_POST_TRABAJO!$N$5:$N$48,MATCH($A46,2b_POST_TRABAJO!$A$5:$A$48,0))="","",INDEX(2b_POST_TRABAJO!$N$5:$N$48,MATCH($A46,2b_POST_TRABAJO!$A$5:$A$48,0))),"")</f>
        <v>3</v>
      </c>
      <c r="AL46" s="19" t="n">
        <f aca="false">IFERROR(IF(INDEX(2b_POST_TRABAJO!$O$5:$O$48,MATCH($A46,2b_POST_TRABAJO!$A$5:$A$48,0))="","",INDEX(2b_POST_TRABAJO!$O$5:$O$48,MATCH($A46,2b_POST_TRABAJO!$A$5:$A$48,0))),"")</f>
        <v>3</v>
      </c>
      <c r="AM46" s="19" t="n">
        <f aca="false">IFERROR(IF(INDEX(2b_POST_TRABAJO!$P$5:$P$48,MATCH($A46,2b_POST_TRABAJO!$A$5:$A$48,0))="","",INDEX(2b_POST_TRABAJO!$P$5:$P$48,MATCH($A46,2b_POST_TRABAJO!$A$5:$A$48,0))),"")</f>
        <v>4</v>
      </c>
      <c r="AN46" s="19" t="n">
        <f aca="false">IF(IFERROR(IF(INDEX(2b_POST_TRABAJO!$Q$5:$Q$48,MATCH($A46,2b_POST_TRABAJO!$A$5:$A$48,0))="","",INDEX(2b_POST_TRABAJO!$Q$5:$Q$48,MATCH($A46,2b_POST_TRABAJO!$A$5:$A$48,0))),"")="","",IFERROR(6-IFERROR(IF(INDEX(2b_POST_TRABAJO!$Q$5:$Q$48,MATCH($A46,2b_POST_TRABAJO!$A$5:$A$48,0))="","",INDEX(2b_POST_TRABAJO!$Q$5:$Q$48,MATCH($A46,2b_POST_TRABAJO!$A$5:$A$48,0))),""),"REVISAR"))</f>
        <v>3</v>
      </c>
      <c r="AO46" s="19" t="n">
        <f aca="false">IFERROR(IF(INDEX(2b_POST_TRABAJO!$R$5:$R$48,MATCH($A46,2b_POST_TRABAJO!$A$5:$A$48,0))="","",INDEX(2b_POST_TRABAJO!$R$5:$R$48,MATCH($A46,2b_POST_TRABAJO!$A$5:$A$48,0))),"")</f>
        <v>3</v>
      </c>
      <c r="AP46" s="19" t="n">
        <f aca="false">IFERROR(IF(INDEX(2b_POST_TRABAJO!$S$5:$S$48,MATCH($A46,2b_POST_TRABAJO!$A$5:$A$48,0))="","",INDEX(2b_POST_TRABAJO!$S$5:$S$48,MATCH($A46,2b_POST_TRABAJO!$A$5:$A$48,0))),"")</f>
        <v>3</v>
      </c>
      <c r="AQ46" s="19" t="n">
        <f aca="false">IFERROR(IF(INDEX(2b_POST_TRABAJO!$T$5:$T$48,MATCH($A46,2b_POST_TRABAJO!$A$5:$A$48,0))="","",INDEX(2b_POST_TRABAJO!$T$5:$T$48,MATCH($A46,2b_POST_TRABAJO!$A$5:$A$48,0))),"")</f>
        <v>3</v>
      </c>
      <c r="AR46" s="27" t="n">
        <f aca="false">IF(COUNT(N46:R46)&lt;5,"",IFERROR(ROUND(AVERAGE(N46:R46),2),"REVISAR"))</f>
        <v>3.2</v>
      </c>
      <c r="AS46" s="27" t="n">
        <f aca="false">IF(COUNT(S46:W46)&lt;5,"",IFERROR(ROUND(AVERAGE(S46:W46),2),"REVISAR"))</f>
        <v>3.4</v>
      </c>
      <c r="AT46" s="27" t="n">
        <f aca="false">IF(COUNT(X46:AB46)&lt;5,"",IFERROR(ROUND(AVERAGE(X46:AB46),2),"REVISAR"))</f>
        <v>3.8</v>
      </c>
      <c r="AU46" s="11" t="n">
        <f aca="false">IF(COUNT(N46:AB46)&lt;15,"",IFERROR(SUM(N46:AB46),"REVISAR"))</f>
        <v>52</v>
      </c>
      <c r="AV46" s="18" t="n">
        <f aca="false">IF(AU46="","",IF(ISNUMBER(AU46),IF(AU46&lt;=35,1,IF(AU46&lt;=55,2,3)),"REVISAR"))</f>
        <v>2</v>
      </c>
      <c r="AW46" s="27" t="n">
        <f aca="false">IF(COUNT(AC46:AG46)&lt;5,"",IFERROR(ROUND(AVERAGE(AC46:AG46),2),"REVISAR"))</f>
        <v>2.6</v>
      </c>
      <c r="AX46" s="27" t="n">
        <f aca="false">IF(COUNT(AH46:AL46)&lt;5,"",IFERROR(ROUND(AVERAGE(AH46:AL46),2),"REVISAR"))</f>
        <v>2.8</v>
      </c>
      <c r="AY46" s="27" t="n">
        <f aca="false">IF(COUNT(AM46:AQ46)&lt;5,"",IFERROR(ROUND(AVERAGE(AM46:AQ46),2),"REVISAR"))</f>
        <v>3.2</v>
      </c>
      <c r="AZ46" s="11" t="n">
        <f aca="false">IF(COUNT(AC46:AQ46)&lt;15,"",IFERROR(SUM(AC46:AQ46),"REVISAR"))</f>
        <v>43</v>
      </c>
      <c r="BA46" s="18" t="n">
        <f aca="false">IF(AZ46="","",IF(ISNUMBER(AZ46),IF(AZ46&lt;=35,1,IF(AZ46&lt;=55,2,3)),"REVISAR"))</f>
        <v>2</v>
      </c>
      <c r="BB46" s="28" t="n">
        <f aca="false">IF(OR(J46="",K46=""),"",IFERROR(ROUND(K46-J46,1),"REVISAR"))</f>
        <v>-0.2</v>
      </c>
      <c r="BC46" s="11" t="n">
        <f aca="false">IF(OR(L46="",M46=""),"",IFERROR(M46-L46,"REVISAR"))</f>
        <v>6</v>
      </c>
      <c r="BD46" s="11" t="n">
        <f aca="false">IF(OR(AU46="",AZ46=""),"",IFERROR(AZ46-AU46,"REVISAR"))</f>
        <v>-9</v>
      </c>
      <c r="BE46" s="23"/>
      <c r="BF46" s="21"/>
    </row>
    <row r="47" customFormat="false" ht="15" hidden="false" customHeight="false" outlineLevel="0" collapsed="false">
      <c r="A47" s="17" t="s">
        <v>100</v>
      </c>
      <c r="B47" s="23" t="n">
        <v>1</v>
      </c>
      <c r="C47" s="19" t="n">
        <f aca="false">IFERROR(IF(INDEX(2a_PRE_TRABAJO!$B$5:$B$51,MATCH($A47,2a_PRE_TRABAJO!$A$5:$A$51,0))="","",INDEX(2a_PRE_TRABAJO!$B$5:$B$51,MATCH($A47,2a_PRE_TRABAJO!$A$5:$A$51,0))),"")</f>
        <v>2</v>
      </c>
      <c r="D47" s="19" t="n">
        <f aca="false">IFERROR(IF(INDEX(2a_PRE_TRABAJO!$C$5:$C$51,MATCH($A47,2a_PRE_TRABAJO!$A$5:$A$51,0))="","",INDEX(2a_PRE_TRABAJO!$C$5:$C$51,MATCH($A47,2a_PRE_TRABAJO!$A$5:$A$51,0))),"")</f>
        <v>2</v>
      </c>
      <c r="E47" s="19" t="n">
        <f aca="false">IFERROR(IF(INDEX(2a_PRE_TRABAJO!$D$5:$D$51,MATCH($A47,2a_PRE_TRABAJO!$A$5:$A$51,0))="","",INDEX(2a_PRE_TRABAJO!$D$5:$D$51,MATCH($A47,2a_PRE_TRABAJO!$A$5:$A$51,0))),"")</f>
        <v>35</v>
      </c>
      <c r="F47" s="19" t="n">
        <f aca="false">IFERROR(IF(INDEX(2a_PRE_TRABAJO!$E$5:$E$51,MATCH($A47,2a_PRE_TRABAJO!$A$5:$A$51,0))="","",INDEX(2a_PRE_TRABAJO!$E$5:$E$51,MATCH($A47,2a_PRE_TRABAJO!$A$5:$A$51,0))),"")</f>
        <v>11</v>
      </c>
      <c r="G47" s="19" t="str">
        <f aca="false">IFERROR(IF(INDEX(2a_PRE_TRABAJO!$F$5:$F$51,MATCH($A47,2a_PRE_TRABAJO!$A$5:$A$51,0))="","",INDEX(2a_PRE_TRABAJO!$F$5:$F$51,MATCH($A47,2a_PRE_TRABAJO!$A$5:$A$51,0))),"")</f>
        <v>profesional</v>
      </c>
      <c r="H47" s="24" t="n">
        <f aca="false">IFERROR(IF(INDEX(2a_PRE_TRABAJO!$G$5:$G$51,MATCH($A47,2a_PRE_TRABAJO!$A$5:$A$51,0))="","",INDEX(2a_PRE_TRABAJO!$G$5:$G$51,MATCH($A47,2a_PRE_TRABAJO!$A$5:$A$51,0))),"")</f>
        <v>46260</v>
      </c>
      <c r="I47" s="24" t="n">
        <f aca="false">IFERROR(IF(INDEX(2b_POST_TRABAJO!$C$5:$C$48,MATCH($A47,2b_POST_TRABAJO!$A$5:$A$48,0))="","",INDEX(2b_POST_TRABAJO!$C$5:$C$48,MATCH($A47,2b_POST_TRABAJO!$A$5:$A$48,0))),"")</f>
        <v>46309</v>
      </c>
      <c r="J47" s="25" t="n">
        <f aca="false">IFERROR(IF(INDEX(2a_PRE_TRABAJO!$H$5:$H$51,MATCH($A47,2a_PRE_TRABAJO!$A$5:$A$51,0))="","",INDEX(2a_PRE_TRABAJO!$H$5:$H$51,MATCH($A47,2a_PRE_TRABAJO!$A$5:$A$51,0))),"")</f>
        <v>10.4</v>
      </c>
      <c r="K47" s="25" t="n">
        <f aca="false">IFERROR(IF(INDEX(2b_POST_TRABAJO!$D$5:$D$48,MATCH($A47,2b_POST_TRABAJO!$A$5:$A$48,0))="","",INDEX(2b_POST_TRABAJO!$D$5:$D$48,MATCH($A47,2b_POST_TRABAJO!$A$5:$A$48,0))),"")</f>
        <v>10</v>
      </c>
      <c r="L47" s="26" t="n">
        <f aca="false">IFERROR(IF(INDEX(2a_PRE_TRABAJO!$I$5:$I$51,MATCH($A47,2a_PRE_TRABAJO!$A$5:$A$51,0))="","",INDEX(2a_PRE_TRABAJO!$I$5:$I$51,MATCH($A47,2a_PRE_TRABAJO!$A$5:$A$51,0))),"")</f>
        <v>68</v>
      </c>
      <c r="M47" s="26" t="n">
        <f aca="false">IFERROR(IF(INDEX(2b_POST_TRABAJO!$E$5:$E$48,MATCH($A47,2b_POST_TRABAJO!$A$5:$A$48,0))="","",INDEX(2b_POST_TRABAJO!$E$5:$E$48,MATCH($A47,2b_POST_TRABAJO!$A$5:$A$48,0))),"")</f>
        <v>72</v>
      </c>
      <c r="N47" s="19" t="n">
        <f aca="false">IFERROR(IF(INDEX(2a_PRE_TRABAJO!$J$5:$J$51,MATCH($A47,2a_PRE_TRABAJO!$A$5:$A$51,0))="","",INDEX(2a_PRE_TRABAJO!$J$5:$J$51,MATCH($A47,2a_PRE_TRABAJO!$A$5:$A$51,0))),"")</f>
        <v>5</v>
      </c>
      <c r="O47" s="19" t="n">
        <f aca="false">IFERROR(IF(INDEX(2a_PRE_TRABAJO!$K$5:$K$51,MATCH($A47,2a_PRE_TRABAJO!$A$5:$A$51,0))="","",INDEX(2a_PRE_TRABAJO!$K$5:$K$51,MATCH($A47,2a_PRE_TRABAJO!$A$5:$A$51,0))),"")</f>
        <v>3</v>
      </c>
      <c r="P47" s="19" t="n">
        <f aca="false">IFERROR(IF(INDEX(2a_PRE_TRABAJO!$L$5:$L$51,MATCH($A47,2a_PRE_TRABAJO!$A$5:$A$51,0))="","",INDEX(2a_PRE_TRABAJO!$L$5:$L$51,MATCH($A47,2a_PRE_TRABAJO!$A$5:$A$51,0))),"")</f>
        <v>4</v>
      </c>
      <c r="Q47" s="19" t="n">
        <f aca="false">IF(IFERROR(IF(INDEX(2a_PRE_TRABAJO!$M$5:$M$51,MATCH($A47,2a_PRE_TRABAJO!$A$5:$A$51,0))="","",INDEX(2a_PRE_TRABAJO!$M$5:$M$51,MATCH($A47,2a_PRE_TRABAJO!$A$5:$A$51,0))),"")="","",IFERROR(6-IFERROR(IF(INDEX(2a_PRE_TRABAJO!$M$5:$M$51,MATCH($A47,2a_PRE_TRABAJO!$A$5:$A$51,0))="","",INDEX(2a_PRE_TRABAJO!$M$5:$M$51,MATCH($A47,2a_PRE_TRABAJO!$A$5:$A$51,0))),""),"REVISAR"))</f>
        <v>3</v>
      </c>
      <c r="R47" s="19" t="n">
        <f aca="false">IFERROR(IF(INDEX(2a_PRE_TRABAJO!$N$5:$N$51,MATCH($A47,2a_PRE_TRABAJO!$A$5:$A$51,0))="","",INDEX(2a_PRE_TRABAJO!$N$5:$N$51,MATCH($A47,2a_PRE_TRABAJO!$A$5:$A$51,0))),"")</f>
        <v>2</v>
      </c>
      <c r="S47" s="19" t="n">
        <f aca="false">IFERROR(IF(INDEX(2a_PRE_TRABAJO!$O$5:$O$51,MATCH($A47,2a_PRE_TRABAJO!$A$5:$A$51,0))="","",INDEX(2a_PRE_TRABAJO!$O$5:$O$51,MATCH($A47,2a_PRE_TRABAJO!$A$5:$A$51,0))),"")</f>
        <v>4</v>
      </c>
      <c r="T47" s="19" t="n">
        <f aca="false">IFERROR(IF(INDEX(2a_PRE_TRABAJO!$P$5:$P$51,MATCH($A47,2a_PRE_TRABAJO!$A$5:$A$51,0))="","",INDEX(2a_PRE_TRABAJO!$P$5:$P$51,MATCH($A47,2a_PRE_TRABAJO!$A$5:$A$51,0))),"")</f>
        <v>3</v>
      </c>
      <c r="U47" s="19" t="n">
        <f aca="false">IFERROR(IF(INDEX(2a_PRE_TRABAJO!$Q$5:$Q$51,MATCH($A47,2a_PRE_TRABAJO!$A$5:$A$51,0))="","",INDEX(2a_PRE_TRABAJO!$Q$5:$Q$51,MATCH($A47,2a_PRE_TRABAJO!$A$5:$A$51,0))),"")</f>
        <v>3</v>
      </c>
      <c r="V47" s="19" t="n">
        <f aca="false">IFERROR(IF(INDEX(2a_PRE_TRABAJO!$R$5:$R$51,MATCH($A47,2a_PRE_TRABAJO!$A$5:$A$51,0))="","",INDEX(2a_PRE_TRABAJO!$R$5:$R$51,MATCH($A47,2a_PRE_TRABAJO!$A$5:$A$51,0))),"")</f>
        <v>4</v>
      </c>
      <c r="W47" s="19" t="n">
        <f aca="false">IFERROR(IF(INDEX(2a_PRE_TRABAJO!$S$5:$S$51,MATCH($A47,2a_PRE_TRABAJO!$A$5:$A$51,0))="","",INDEX(2a_PRE_TRABAJO!$S$5:$S$51,MATCH($A47,2a_PRE_TRABAJO!$A$5:$A$51,0))),"")</f>
        <v>3</v>
      </c>
      <c r="X47" s="19" t="n">
        <f aca="false">IFERROR(IF(INDEX(2a_PRE_TRABAJO!$T$5:$T$51,MATCH($A47,2a_PRE_TRABAJO!$A$5:$A$51,0))="","",INDEX(2a_PRE_TRABAJO!$T$5:$T$51,MATCH($A47,2a_PRE_TRABAJO!$A$5:$A$51,0))),"")</f>
        <v>3</v>
      </c>
      <c r="Y47" s="19" t="n">
        <f aca="false">IF(IFERROR(IF(INDEX(2a_PRE_TRABAJO!$U$5:$U$51,MATCH($A47,2a_PRE_TRABAJO!$A$5:$A$51,0))="","",INDEX(2a_PRE_TRABAJO!$U$5:$U$51,MATCH($A47,2a_PRE_TRABAJO!$A$5:$A$51,0))),"")="","",IFERROR(6-IFERROR(IF(INDEX(2a_PRE_TRABAJO!$U$5:$U$51,MATCH($A47,2a_PRE_TRABAJO!$A$5:$A$51,0))="","",INDEX(2a_PRE_TRABAJO!$U$5:$U$51,MATCH($A47,2a_PRE_TRABAJO!$A$5:$A$51,0))),""),"REVISAR"))</f>
        <v>2</v>
      </c>
      <c r="Z47" s="19" t="n">
        <f aca="false">IFERROR(IF(INDEX(2a_PRE_TRABAJO!$V$5:$V$51,MATCH($A47,2a_PRE_TRABAJO!$A$5:$A$51,0))="","",INDEX(2a_PRE_TRABAJO!$V$5:$V$51,MATCH($A47,2a_PRE_TRABAJO!$A$5:$A$51,0))),"")</f>
        <v>2</v>
      </c>
      <c r="AA47" s="19" t="n">
        <f aca="false">IFERROR(IF(INDEX(2a_PRE_TRABAJO!$W$5:$W$51,MATCH($A47,2a_PRE_TRABAJO!$A$5:$A$51,0))="","",INDEX(2a_PRE_TRABAJO!$W$5:$W$51,MATCH($A47,2a_PRE_TRABAJO!$A$5:$A$51,0))),"")</f>
        <v>4</v>
      </c>
      <c r="AB47" s="19" t="n">
        <f aca="false">IFERROR(IF(INDEX(2a_PRE_TRABAJO!$X$5:$X$51,MATCH($A47,2a_PRE_TRABAJO!$A$5:$A$51,0))="","",INDEX(2a_PRE_TRABAJO!$X$5:$X$51,MATCH($A47,2a_PRE_TRABAJO!$A$5:$A$51,0))),"")</f>
        <v>3</v>
      </c>
      <c r="AC47" s="19" t="n">
        <f aca="false">IFERROR(IF(INDEX(2b_POST_TRABAJO!$F$5:$F$48,MATCH($A47,2b_POST_TRABAJO!$A$5:$A$48,0))="","",INDEX(2b_POST_TRABAJO!$F$5:$F$48,MATCH($A47,2b_POST_TRABAJO!$A$5:$A$48,0))),"")</f>
        <v>2</v>
      </c>
      <c r="AD47" s="19" t="n">
        <f aca="false">IFERROR(IF(INDEX(2b_POST_TRABAJO!$G$5:$G$48,MATCH($A47,2b_POST_TRABAJO!$A$5:$A$48,0))="","",INDEX(2b_POST_TRABAJO!$G$5:$G$48,MATCH($A47,2b_POST_TRABAJO!$A$5:$A$48,0))),"")</f>
        <v>1</v>
      </c>
      <c r="AE47" s="19" t="n">
        <f aca="false">IFERROR(IF(INDEX(2b_POST_TRABAJO!$H$5:$H$48,MATCH($A47,2b_POST_TRABAJO!$A$5:$A$48,0))="","",INDEX(2b_POST_TRABAJO!$H$5:$H$48,MATCH($A47,2b_POST_TRABAJO!$A$5:$A$48,0))),"")</f>
        <v>2</v>
      </c>
      <c r="AF47" s="19" t="n">
        <f aca="false">IF(IFERROR(IF(INDEX(2b_POST_TRABAJO!$I$5:$I$48,MATCH($A47,2b_POST_TRABAJO!$A$5:$A$48,0))="","",INDEX(2b_POST_TRABAJO!$I$5:$I$48,MATCH($A47,2b_POST_TRABAJO!$A$5:$A$48,0))),"")="","",IFERROR(6-IFERROR(IF(INDEX(2b_POST_TRABAJO!$I$5:$I$48,MATCH($A47,2b_POST_TRABAJO!$A$5:$A$48,0))="","",INDEX(2b_POST_TRABAJO!$I$5:$I$48,MATCH($A47,2b_POST_TRABAJO!$A$5:$A$48,0))),""),"REVISAR"))</f>
        <v>2</v>
      </c>
      <c r="AG47" s="19" t="n">
        <f aca="false">IFERROR(IF(INDEX(2b_POST_TRABAJO!$J$5:$J$48,MATCH($A47,2b_POST_TRABAJO!$A$5:$A$48,0))="","",INDEX(2b_POST_TRABAJO!$J$5:$J$48,MATCH($A47,2b_POST_TRABAJO!$A$5:$A$48,0))),"")</f>
        <v>3</v>
      </c>
      <c r="AH47" s="19" t="n">
        <f aca="false">IFERROR(IF(INDEX(2b_POST_TRABAJO!$K$5:$K$48,MATCH($A47,2b_POST_TRABAJO!$A$5:$A$48,0))="","",INDEX(2b_POST_TRABAJO!$K$5:$K$48,MATCH($A47,2b_POST_TRABAJO!$A$5:$A$48,0))),"")</f>
        <v>2</v>
      </c>
      <c r="AI47" s="19" t="n">
        <f aca="false">IFERROR(IF(INDEX(2b_POST_TRABAJO!$L$5:$L$48,MATCH($A47,2b_POST_TRABAJO!$A$5:$A$48,0))="","",INDEX(2b_POST_TRABAJO!$L$5:$L$48,MATCH($A47,2b_POST_TRABAJO!$A$5:$A$48,0))),"")</f>
        <v>5</v>
      </c>
      <c r="AJ47" s="19" t="n">
        <f aca="false">IFERROR(IF(INDEX(2b_POST_TRABAJO!$M$5:$M$48,MATCH($A47,2b_POST_TRABAJO!$A$5:$A$48,0))="","",INDEX(2b_POST_TRABAJO!$M$5:$M$48,MATCH($A47,2b_POST_TRABAJO!$A$5:$A$48,0))),"")</f>
        <v>4</v>
      </c>
      <c r="AK47" s="19" t="n">
        <f aca="false">IFERROR(IF(INDEX(2b_POST_TRABAJO!$N$5:$N$48,MATCH($A47,2b_POST_TRABAJO!$A$5:$A$48,0))="","",INDEX(2b_POST_TRABAJO!$N$5:$N$48,MATCH($A47,2b_POST_TRABAJO!$A$5:$A$48,0))),"")</f>
        <v>2</v>
      </c>
      <c r="AL47" s="19" t="n">
        <f aca="false">IFERROR(IF(INDEX(2b_POST_TRABAJO!$O$5:$O$48,MATCH($A47,2b_POST_TRABAJO!$A$5:$A$48,0))="","",INDEX(2b_POST_TRABAJO!$O$5:$O$48,MATCH($A47,2b_POST_TRABAJO!$A$5:$A$48,0))),"")</f>
        <v>3</v>
      </c>
      <c r="AM47" s="19" t="n">
        <f aca="false">IFERROR(IF(INDEX(2b_POST_TRABAJO!$P$5:$P$48,MATCH($A47,2b_POST_TRABAJO!$A$5:$A$48,0))="","",INDEX(2b_POST_TRABAJO!$P$5:$P$48,MATCH($A47,2b_POST_TRABAJO!$A$5:$A$48,0))),"")</f>
        <v>2</v>
      </c>
      <c r="AN47" s="19" t="n">
        <f aca="false">IF(IFERROR(IF(INDEX(2b_POST_TRABAJO!$Q$5:$Q$48,MATCH($A47,2b_POST_TRABAJO!$A$5:$A$48,0))="","",INDEX(2b_POST_TRABAJO!$Q$5:$Q$48,MATCH($A47,2b_POST_TRABAJO!$A$5:$A$48,0))),"")="","",IFERROR(6-IFERROR(IF(INDEX(2b_POST_TRABAJO!$Q$5:$Q$48,MATCH($A47,2b_POST_TRABAJO!$A$5:$A$48,0))="","",INDEX(2b_POST_TRABAJO!$Q$5:$Q$48,MATCH($A47,2b_POST_TRABAJO!$A$5:$A$48,0))),""),"REVISAR"))</f>
        <v>4</v>
      </c>
      <c r="AO47" s="19" t="n">
        <f aca="false">IFERROR(IF(INDEX(2b_POST_TRABAJO!$R$5:$R$48,MATCH($A47,2b_POST_TRABAJO!$A$5:$A$48,0))="","",INDEX(2b_POST_TRABAJO!$R$5:$R$48,MATCH($A47,2b_POST_TRABAJO!$A$5:$A$48,0))),"")</f>
        <v>3</v>
      </c>
      <c r="AP47" s="19" t="n">
        <f aca="false">IFERROR(IF(INDEX(2b_POST_TRABAJO!$S$5:$S$48,MATCH($A47,2b_POST_TRABAJO!$A$5:$A$48,0))="","",INDEX(2b_POST_TRABAJO!$S$5:$S$48,MATCH($A47,2b_POST_TRABAJO!$A$5:$A$48,0))),"")</f>
        <v>3</v>
      </c>
      <c r="AQ47" s="19" t="n">
        <f aca="false">IFERROR(IF(INDEX(2b_POST_TRABAJO!$T$5:$T$48,MATCH($A47,2b_POST_TRABAJO!$A$5:$A$48,0))="","",INDEX(2b_POST_TRABAJO!$T$5:$T$48,MATCH($A47,2b_POST_TRABAJO!$A$5:$A$48,0))),"")</f>
        <v>2</v>
      </c>
      <c r="AR47" s="27" t="n">
        <f aca="false">IF(COUNT(N47:R47)&lt;5,"",IFERROR(ROUND(AVERAGE(N47:R47),2),"REVISAR"))</f>
        <v>3.4</v>
      </c>
      <c r="AS47" s="27" t="n">
        <f aca="false">IF(COUNT(S47:W47)&lt;5,"",IFERROR(ROUND(AVERAGE(S47:W47),2),"REVISAR"))</f>
        <v>3.4</v>
      </c>
      <c r="AT47" s="27" t="n">
        <f aca="false">IF(COUNT(X47:AB47)&lt;5,"",IFERROR(ROUND(AVERAGE(X47:AB47),2),"REVISAR"))</f>
        <v>2.8</v>
      </c>
      <c r="AU47" s="11" t="n">
        <f aca="false">IF(COUNT(N47:AB47)&lt;15,"",IFERROR(SUM(N47:AB47),"REVISAR"))</f>
        <v>48</v>
      </c>
      <c r="AV47" s="18" t="n">
        <f aca="false">IF(AU47="","",IF(ISNUMBER(AU47),IF(AU47&lt;=35,1,IF(AU47&lt;=55,2,3)),"REVISAR"))</f>
        <v>2</v>
      </c>
      <c r="AW47" s="27" t="n">
        <f aca="false">IF(COUNT(AC47:AG47)&lt;5,"",IFERROR(ROUND(AVERAGE(AC47:AG47),2),"REVISAR"))</f>
        <v>2</v>
      </c>
      <c r="AX47" s="27" t="n">
        <f aca="false">IF(COUNT(AH47:AL47)&lt;5,"",IFERROR(ROUND(AVERAGE(AH47:AL47),2),"REVISAR"))</f>
        <v>3.2</v>
      </c>
      <c r="AY47" s="27" t="n">
        <f aca="false">IF(COUNT(AM47:AQ47)&lt;5,"",IFERROR(ROUND(AVERAGE(AM47:AQ47),2),"REVISAR"))</f>
        <v>2.8</v>
      </c>
      <c r="AZ47" s="11" t="n">
        <f aca="false">IF(COUNT(AC47:AQ47)&lt;15,"",IFERROR(SUM(AC47:AQ47),"REVISAR"))</f>
        <v>40</v>
      </c>
      <c r="BA47" s="18" t="n">
        <f aca="false">IF(AZ47="","",IF(ISNUMBER(AZ47),IF(AZ47&lt;=35,1,IF(AZ47&lt;=55,2,3)),"REVISAR"))</f>
        <v>2</v>
      </c>
      <c r="BB47" s="28" t="n">
        <f aca="false">IF(OR(J47="",K47=""),"",IFERROR(ROUND(K47-J47,1),"REVISAR"))</f>
        <v>-0.4</v>
      </c>
      <c r="BC47" s="11" t="n">
        <f aca="false">IF(OR(L47="",M47=""),"",IFERROR(M47-L47,"REVISAR"))</f>
        <v>4</v>
      </c>
      <c r="BD47" s="11" t="n">
        <f aca="false">IF(OR(AU47="",AZ47=""),"",IFERROR(AZ47-AU47,"REVISAR"))</f>
        <v>-8</v>
      </c>
      <c r="BE47" s="23"/>
      <c r="BF47" s="21"/>
    </row>
    <row r="48" customFormat="false" ht="15" hidden="false" customHeight="false" outlineLevel="0" collapsed="false">
      <c r="A48" s="17" t="s">
        <v>101</v>
      </c>
      <c r="B48" s="23" t="n">
        <v>1</v>
      </c>
      <c r="C48" s="19" t="n">
        <f aca="false">IFERROR(IF(INDEX(2a_PRE_TRABAJO!$B$5:$B$51,MATCH($A48,2a_PRE_TRABAJO!$A$5:$A$51,0))="","",INDEX(2a_PRE_TRABAJO!$B$5:$B$51,MATCH($A48,2a_PRE_TRABAJO!$A$5:$A$51,0))),"")</f>
        <v>2</v>
      </c>
      <c r="D48" s="19" t="n">
        <f aca="false">IFERROR(IF(INDEX(2a_PRE_TRABAJO!$C$5:$C$51,MATCH($A48,2a_PRE_TRABAJO!$A$5:$A$51,0))="","",INDEX(2a_PRE_TRABAJO!$C$5:$C$51,MATCH($A48,2a_PRE_TRABAJO!$A$5:$A$51,0))),"")</f>
        <v>1</v>
      </c>
      <c r="E48" s="19" t="n">
        <f aca="false">IFERROR(IF(INDEX(2a_PRE_TRABAJO!$D$5:$D$51,MATCH($A48,2a_PRE_TRABAJO!$A$5:$A$51,0))="","",INDEX(2a_PRE_TRABAJO!$D$5:$D$51,MATCH($A48,2a_PRE_TRABAJO!$A$5:$A$51,0))),"")</f>
        <v>42</v>
      </c>
      <c r="F48" s="19" t="n">
        <f aca="false">IFERROR(IF(INDEX(2a_PRE_TRABAJO!$E$5:$E$51,MATCH($A48,2a_PRE_TRABAJO!$A$5:$A$51,0))="","",INDEX(2a_PRE_TRABAJO!$E$5:$E$51,MATCH($A48,2a_PRE_TRABAJO!$A$5:$A$51,0))),"")</f>
        <v>4</v>
      </c>
      <c r="G48" s="19" t="str">
        <f aca="false">IFERROR(IF(INDEX(2a_PRE_TRABAJO!$F$5:$F$51,MATCH($A48,2a_PRE_TRABAJO!$A$5:$A$51,0))="","",INDEX(2a_PRE_TRABAJO!$F$5:$F$51,MATCH($A48,2a_PRE_TRABAJO!$A$5:$A$51,0))),"")</f>
        <v>Auxiliar</v>
      </c>
      <c r="H48" s="24" t="n">
        <f aca="false">IFERROR(IF(INDEX(2a_PRE_TRABAJO!$G$5:$G$51,MATCH($A48,2a_PRE_TRABAJO!$A$5:$A$51,0))="","",INDEX(2a_PRE_TRABAJO!$G$5:$G$51,MATCH($A48,2a_PRE_TRABAJO!$A$5:$A$51,0))),"")</f>
        <v>46261</v>
      </c>
      <c r="I48" s="24" t="n">
        <f aca="false">IFERROR(IF(INDEX(2b_POST_TRABAJO!$C$5:$C$48,MATCH($A48,2b_POST_TRABAJO!$A$5:$A$48,0))="","",INDEX(2b_POST_TRABAJO!$C$5:$C$48,MATCH($A48,2b_POST_TRABAJO!$A$5:$A$48,0))),"")</f>
        <v>46310</v>
      </c>
      <c r="J48" s="25" t="n">
        <f aca="false">IFERROR(IF(INDEX(2a_PRE_TRABAJO!$H$5:$H$51,MATCH($A48,2a_PRE_TRABAJO!$A$5:$A$51,0))="","",INDEX(2a_PRE_TRABAJO!$H$5:$H$51,MATCH($A48,2a_PRE_TRABAJO!$A$5:$A$51,0))),"")</f>
        <v>10.5</v>
      </c>
      <c r="K48" s="25" t="n">
        <f aca="false">IFERROR(IF(INDEX(2b_POST_TRABAJO!$D$5:$D$48,MATCH($A48,2b_POST_TRABAJO!$A$5:$A$48,0))="","",INDEX(2b_POST_TRABAJO!$D$5:$D$48,MATCH($A48,2b_POST_TRABAJO!$A$5:$A$48,0))),"")</f>
        <v>11.6</v>
      </c>
      <c r="L48" s="26" t="n">
        <f aca="false">IFERROR(IF(INDEX(2a_PRE_TRABAJO!$I$5:$I$51,MATCH($A48,2a_PRE_TRABAJO!$A$5:$A$51,0))="","",INDEX(2a_PRE_TRABAJO!$I$5:$I$51,MATCH($A48,2a_PRE_TRABAJO!$A$5:$A$51,0))),"")</f>
        <v>70</v>
      </c>
      <c r="M48" s="26" t="n">
        <f aca="false">IFERROR(IF(INDEX(2b_POST_TRABAJO!$E$5:$E$48,MATCH($A48,2b_POST_TRABAJO!$A$5:$A$48,0))="","",INDEX(2b_POST_TRABAJO!$E$5:$E$48,MATCH($A48,2b_POST_TRABAJO!$A$5:$A$48,0))),"")</f>
        <v>78</v>
      </c>
      <c r="N48" s="19" t="n">
        <f aca="false">IFERROR(IF(INDEX(2a_PRE_TRABAJO!$J$5:$J$51,MATCH($A48,2a_PRE_TRABAJO!$A$5:$A$51,0))="","",INDEX(2a_PRE_TRABAJO!$J$5:$J$51,MATCH($A48,2a_PRE_TRABAJO!$A$5:$A$51,0))),"")</f>
        <v>3</v>
      </c>
      <c r="O48" s="19" t="n">
        <f aca="false">IFERROR(IF(INDEX(2a_PRE_TRABAJO!$K$5:$K$51,MATCH($A48,2a_PRE_TRABAJO!$A$5:$A$51,0))="","",INDEX(2a_PRE_TRABAJO!$K$5:$K$51,MATCH($A48,2a_PRE_TRABAJO!$A$5:$A$51,0))),"")</f>
        <v>3</v>
      </c>
      <c r="P48" s="19" t="n">
        <f aca="false">IFERROR(IF(INDEX(2a_PRE_TRABAJO!$L$5:$L$51,MATCH($A48,2a_PRE_TRABAJO!$A$5:$A$51,0))="","",INDEX(2a_PRE_TRABAJO!$L$5:$L$51,MATCH($A48,2a_PRE_TRABAJO!$A$5:$A$51,0))),"")</f>
        <v>4</v>
      </c>
      <c r="Q48" s="19" t="n">
        <f aca="false">IF(IFERROR(IF(INDEX(2a_PRE_TRABAJO!$M$5:$M$51,MATCH($A48,2a_PRE_TRABAJO!$A$5:$A$51,0))="","",INDEX(2a_PRE_TRABAJO!$M$5:$M$51,MATCH($A48,2a_PRE_TRABAJO!$A$5:$A$51,0))),"")="","",IFERROR(6-IFERROR(IF(INDEX(2a_PRE_TRABAJO!$M$5:$M$51,MATCH($A48,2a_PRE_TRABAJO!$A$5:$A$51,0))="","",INDEX(2a_PRE_TRABAJO!$M$5:$M$51,MATCH($A48,2a_PRE_TRABAJO!$A$5:$A$51,0))),""),"REVISAR"))</f>
        <v>1</v>
      </c>
      <c r="R48" s="19" t="n">
        <f aca="false">IFERROR(IF(INDEX(2a_PRE_TRABAJO!$N$5:$N$51,MATCH($A48,2a_PRE_TRABAJO!$A$5:$A$51,0))="","",INDEX(2a_PRE_TRABAJO!$N$5:$N$51,MATCH($A48,2a_PRE_TRABAJO!$A$5:$A$51,0))),"")</f>
        <v>2</v>
      </c>
      <c r="S48" s="19" t="n">
        <f aca="false">IFERROR(IF(INDEX(2a_PRE_TRABAJO!$O$5:$O$51,MATCH($A48,2a_PRE_TRABAJO!$A$5:$A$51,0))="","",INDEX(2a_PRE_TRABAJO!$O$5:$O$51,MATCH($A48,2a_PRE_TRABAJO!$A$5:$A$51,0))),"")</f>
        <v>3</v>
      </c>
      <c r="T48" s="19" t="n">
        <f aca="false">IFERROR(IF(INDEX(2a_PRE_TRABAJO!$P$5:$P$51,MATCH($A48,2a_PRE_TRABAJO!$A$5:$A$51,0))="","",INDEX(2a_PRE_TRABAJO!$P$5:$P$51,MATCH($A48,2a_PRE_TRABAJO!$A$5:$A$51,0))),"")</f>
        <v>2</v>
      </c>
      <c r="U48" s="19" t="n">
        <f aca="false">IFERROR(IF(INDEX(2a_PRE_TRABAJO!$Q$5:$Q$51,MATCH($A48,2a_PRE_TRABAJO!$A$5:$A$51,0))="","",INDEX(2a_PRE_TRABAJO!$Q$5:$Q$51,MATCH($A48,2a_PRE_TRABAJO!$A$5:$A$51,0))),"")</f>
        <v>3</v>
      </c>
      <c r="V48" s="19" t="n">
        <f aca="false">IFERROR(IF(INDEX(2a_PRE_TRABAJO!$R$5:$R$51,MATCH($A48,2a_PRE_TRABAJO!$A$5:$A$51,0))="","",INDEX(2a_PRE_TRABAJO!$R$5:$R$51,MATCH($A48,2a_PRE_TRABAJO!$A$5:$A$51,0))),"")</f>
        <v>4</v>
      </c>
      <c r="W48" s="19" t="n">
        <f aca="false">IFERROR(IF(INDEX(2a_PRE_TRABAJO!$S$5:$S$51,MATCH($A48,2a_PRE_TRABAJO!$A$5:$A$51,0))="","",INDEX(2a_PRE_TRABAJO!$S$5:$S$51,MATCH($A48,2a_PRE_TRABAJO!$A$5:$A$51,0))),"")</f>
        <v>4</v>
      </c>
      <c r="X48" s="19" t="n">
        <f aca="false">IFERROR(IF(INDEX(2a_PRE_TRABAJO!$T$5:$T$51,MATCH($A48,2a_PRE_TRABAJO!$A$5:$A$51,0))="","",INDEX(2a_PRE_TRABAJO!$T$5:$T$51,MATCH($A48,2a_PRE_TRABAJO!$A$5:$A$51,0))),"")</f>
        <v>4</v>
      </c>
      <c r="Y48" s="19" t="n">
        <f aca="false">IF(IFERROR(IF(INDEX(2a_PRE_TRABAJO!$U$5:$U$51,MATCH($A48,2a_PRE_TRABAJO!$A$5:$A$51,0))="","",INDEX(2a_PRE_TRABAJO!$U$5:$U$51,MATCH($A48,2a_PRE_TRABAJO!$A$5:$A$51,0))),"")="","",IFERROR(6-IFERROR(IF(INDEX(2a_PRE_TRABAJO!$U$5:$U$51,MATCH($A48,2a_PRE_TRABAJO!$A$5:$A$51,0))="","",INDEX(2a_PRE_TRABAJO!$U$5:$U$51,MATCH($A48,2a_PRE_TRABAJO!$A$5:$A$51,0))),""),"REVISAR"))</f>
        <v>3</v>
      </c>
      <c r="Z48" s="19" t="n">
        <f aca="false">IFERROR(IF(INDEX(2a_PRE_TRABAJO!$V$5:$V$51,MATCH($A48,2a_PRE_TRABAJO!$A$5:$A$51,0))="","",INDEX(2a_PRE_TRABAJO!$V$5:$V$51,MATCH($A48,2a_PRE_TRABAJO!$A$5:$A$51,0))),"")</f>
        <v>4</v>
      </c>
      <c r="AA48" s="19" t="n">
        <f aca="false">IFERROR(IF(INDEX(2a_PRE_TRABAJO!$W$5:$W$51,MATCH($A48,2a_PRE_TRABAJO!$A$5:$A$51,0))="","",INDEX(2a_PRE_TRABAJO!$W$5:$W$51,MATCH($A48,2a_PRE_TRABAJO!$A$5:$A$51,0))),"")</f>
        <v>5</v>
      </c>
      <c r="AB48" s="19" t="n">
        <f aca="false">IFERROR(IF(INDEX(2a_PRE_TRABAJO!$X$5:$X$51,MATCH($A48,2a_PRE_TRABAJO!$A$5:$A$51,0))="","",INDEX(2a_PRE_TRABAJO!$X$5:$X$51,MATCH($A48,2a_PRE_TRABAJO!$A$5:$A$51,0))),"")</f>
        <v>4</v>
      </c>
      <c r="AC48" s="19" t="n">
        <f aca="false">IFERROR(IF(INDEX(2b_POST_TRABAJO!$F$5:$F$48,MATCH($A48,2b_POST_TRABAJO!$A$5:$A$48,0))="","",INDEX(2b_POST_TRABAJO!$F$5:$F$48,MATCH($A48,2b_POST_TRABAJO!$A$5:$A$48,0))),"")</f>
        <v>3</v>
      </c>
      <c r="AD48" s="19" t="n">
        <f aca="false">IFERROR(IF(INDEX(2b_POST_TRABAJO!$G$5:$G$48,MATCH($A48,2b_POST_TRABAJO!$A$5:$A$48,0))="","",INDEX(2b_POST_TRABAJO!$G$5:$G$48,MATCH($A48,2b_POST_TRABAJO!$A$5:$A$48,0))),"")</f>
        <v>3</v>
      </c>
      <c r="AE48" s="19" t="n">
        <f aca="false">IFERROR(IF(INDEX(2b_POST_TRABAJO!$H$5:$H$48,MATCH($A48,2b_POST_TRABAJO!$A$5:$A$48,0))="","",INDEX(2b_POST_TRABAJO!$H$5:$H$48,MATCH($A48,2b_POST_TRABAJO!$A$5:$A$48,0))),"")</f>
        <v>4</v>
      </c>
      <c r="AF48" s="19" t="n">
        <f aca="false">IF(IFERROR(IF(INDEX(2b_POST_TRABAJO!$I$5:$I$48,MATCH($A48,2b_POST_TRABAJO!$A$5:$A$48,0))="","",INDEX(2b_POST_TRABAJO!$I$5:$I$48,MATCH($A48,2b_POST_TRABAJO!$A$5:$A$48,0))),"")="","",IFERROR(6-IFERROR(IF(INDEX(2b_POST_TRABAJO!$I$5:$I$48,MATCH($A48,2b_POST_TRABAJO!$A$5:$A$48,0))="","",INDEX(2b_POST_TRABAJO!$I$5:$I$48,MATCH($A48,2b_POST_TRABAJO!$A$5:$A$48,0))),""),"REVISAR"))</f>
        <v>2</v>
      </c>
      <c r="AG48" s="19" t="n">
        <f aca="false">IFERROR(IF(INDEX(2b_POST_TRABAJO!$J$5:$J$48,MATCH($A48,2b_POST_TRABAJO!$A$5:$A$48,0))="","",INDEX(2b_POST_TRABAJO!$J$5:$J$48,MATCH($A48,2b_POST_TRABAJO!$A$5:$A$48,0))),"")</f>
        <v>3</v>
      </c>
      <c r="AH48" s="19" t="n">
        <f aca="false">IFERROR(IF(INDEX(2b_POST_TRABAJO!$K$5:$K$48,MATCH($A48,2b_POST_TRABAJO!$A$5:$A$48,0))="","",INDEX(2b_POST_TRABAJO!$K$5:$K$48,MATCH($A48,2b_POST_TRABAJO!$A$5:$A$48,0))),"")</f>
        <v>3</v>
      </c>
      <c r="AI48" s="19" t="n">
        <f aca="false">IFERROR(IF(INDEX(2b_POST_TRABAJO!$L$5:$L$48,MATCH($A48,2b_POST_TRABAJO!$A$5:$A$48,0))="","",INDEX(2b_POST_TRABAJO!$L$5:$L$48,MATCH($A48,2b_POST_TRABAJO!$A$5:$A$48,0))),"")</f>
        <v>2</v>
      </c>
      <c r="AJ48" s="19" t="n">
        <f aca="false">IFERROR(IF(INDEX(2b_POST_TRABAJO!$M$5:$M$48,MATCH($A48,2b_POST_TRABAJO!$A$5:$A$48,0))="","",INDEX(2b_POST_TRABAJO!$M$5:$M$48,MATCH($A48,2b_POST_TRABAJO!$A$5:$A$48,0))),"")</f>
        <v>3</v>
      </c>
      <c r="AK48" s="19" t="n">
        <f aca="false">IFERROR(IF(INDEX(2b_POST_TRABAJO!$N$5:$N$48,MATCH($A48,2b_POST_TRABAJO!$A$5:$A$48,0))="","",INDEX(2b_POST_TRABAJO!$N$5:$N$48,MATCH($A48,2b_POST_TRABAJO!$A$5:$A$48,0))),"")</f>
        <v>4</v>
      </c>
      <c r="AL48" s="19" t="n">
        <f aca="false">IFERROR(IF(INDEX(2b_POST_TRABAJO!$O$5:$O$48,MATCH($A48,2b_POST_TRABAJO!$A$5:$A$48,0))="","",INDEX(2b_POST_TRABAJO!$O$5:$O$48,MATCH($A48,2b_POST_TRABAJO!$A$5:$A$48,0))),"")</f>
        <v>4</v>
      </c>
      <c r="AM48" s="19" t="n">
        <f aca="false">IFERROR(IF(INDEX(2b_POST_TRABAJO!$P$5:$P$48,MATCH($A48,2b_POST_TRABAJO!$A$5:$A$48,0))="","",INDEX(2b_POST_TRABAJO!$P$5:$P$48,MATCH($A48,2b_POST_TRABAJO!$A$5:$A$48,0))),"")</f>
        <v>3</v>
      </c>
      <c r="AN48" s="19" t="n">
        <f aca="false">IF(IFERROR(IF(INDEX(2b_POST_TRABAJO!$Q$5:$Q$48,MATCH($A48,2b_POST_TRABAJO!$A$5:$A$48,0))="","",INDEX(2b_POST_TRABAJO!$Q$5:$Q$48,MATCH($A48,2b_POST_TRABAJO!$A$5:$A$48,0))),"")="","",IFERROR(6-IFERROR(IF(INDEX(2b_POST_TRABAJO!$Q$5:$Q$48,MATCH($A48,2b_POST_TRABAJO!$A$5:$A$48,0))="","",INDEX(2b_POST_TRABAJO!$Q$5:$Q$48,MATCH($A48,2b_POST_TRABAJO!$A$5:$A$48,0))),""),"REVISAR"))</f>
        <v>3</v>
      </c>
      <c r="AO48" s="19" t="n">
        <f aca="false">IFERROR(IF(INDEX(2b_POST_TRABAJO!$R$5:$R$48,MATCH($A48,2b_POST_TRABAJO!$A$5:$A$48,0))="","",INDEX(2b_POST_TRABAJO!$R$5:$R$48,MATCH($A48,2b_POST_TRABAJO!$A$5:$A$48,0))),"")</f>
        <v>3</v>
      </c>
      <c r="AP48" s="19" t="n">
        <f aca="false">IFERROR(IF(INDEX(2b_POST_TRABAJO!$S$5:$S$48,MATCH($A48,2b_POST_TRABAJO!$A$5:$A$48,0))="","",INDEX(2b_POST_TRABAJO!$S$5:$S$48,MATCH($A48,2b_POST_TRABAJO!$A$5:$A$48,0))),"")</f>
        <v>2</v>
      </c>
      <c r="AQ48" s="19" t="n">
        <f aca="false">IFERROR(IF(INDEX(2b_POST_TRABAJO!$T$5:$T$48,MATCH($A48,2b_POST_TRABAJO!$A$5:$A$48,0))="","",INDEX(2b_POST_TRABAJO!$T$5:$T$48,MATCH($A48,2b_POST_TRABAJO!$A$5:$A$48,0))),"")</f>
        <v>4</v>
      </c>
      <c r="AR48" s="27" t="n">
        <f aca="false">IF(COUNT(N48:R48)&lt;5,"",IFERROR(ROUND(AVERAGE(N48:R48),2),"REVISAR"))</f>
        <v>2.6</v>
      </c>
      <c r="AS48" s="27" t="n">
        <f aca="false">IF(COUNT(S48:W48)&lt;5,"",IFERROR(ROUND(AVERAGE(S48:W48),2),"REVISAR"))</f>
        <v>3.2</v>
      </c>
      <c r="AT48" s="27" t="n">
        <f aca="false">IF(COUNT(X48:AB48)&lt;5,"",IFERROR(ROUND(AVERAGE(X48:AB48),2),"REVISAR"))</f>
        <v>4</v>
      </c>
      <c r="AU48" s="11" t="n">
        <f aca="false">IF(COUNT(N48:AB48)&lt;15,"",IFERROR(SUM(N48:AB48),"REVISAR"))</f>
        <v>49</v>
      </c>
      <c r="AV48" s="18" t="n">
        <f aca="false">IF(AU48="","",IF(ISNUMBER(AU48),IF(AU48&lt;=35,1,IF(AU48&lt;=55,2,3)),"REVISAR"))</f>
        <v>2</v>
      </c>
      <c r="AW48" s="27" t="n">
        <f aca="false">IF(COUNT(AC48:AG48)&lt;5,"",IFERROR(ROUND(AVERAGE(AC48:AG48),2),"REVISAR"))</f>
        <v>3</v>
      </c>
      <c r="AX48" s="27" t="n">
        <f aca="false">IF(COUNT(AH48:AL48)&lt;5,"",IFERROR(ROUND(AVERAGE(AH48:AL48),2),"REVISAR"))</f>
        <v>3.2</v>
      </c>
      <c r="AY48" s="27" t="n">
        <f aca="false">IF(COUNT(AM48:AQ48)&lt;5,"",IFERROR(ROUND(AVERAGE(AM48:AQ48),2),"REVISAR"))</f>
        <v>3</v>
      </c>
      <c r="AZ48" s="11" t="n">
        <f aca="false">IF(COUNT(AC48:AQ48)&lt;15,"",IFERROR(SUM(AC48:AQ48),"REVISAR"))</f>
        <v>46</v>
      </c>
      <c r="BA48" s="18" t="n">
        <f aca="false">IF(AZ48="","",IF(ISNUMBER(AZ48),IF(AZ48&lt;=35,1,IF(AZ48&lt;=55,2,3)),"REVISAR"))</f>
        <v>2</v>
      </c>
      <c r="BB48" s="28" t="n">
        <f aca="false">IF(OR(J48="",K48=""),"",IFERROR(ROUND(K48-J48,1),"REVISAR"))</f>
        <v>1.1</v>
      </c>
      <c r="BC48" s="11" t="n">
        <f aca="false">IF(OR(L48="",M48=""),"",IFERROR(M48-L48,"REVISAR"))</f>
        <v>8</v>
      </c>
      <c r="BD48" s="11" t="n">
        <f aca="false">IF(OR(AU48="",AZ48=""),"",IFERROR(AZ48-AU48,"REVISAR"))</f>
        <v>-3</v>
      </c>
      <c r="BE48" s="23"/>
      <c r="BF48" s="21"/>
    </row>
    <row r="49" customFormat="false" ht="15" hidden="false" customHeight="false" outlineLevel="0" collapsed="false">
      <c r="A49" s="17" t="s">
        <v>102</v>
      </c>
      <c r="B49" s="23" t="n">
        <v>1</v>
      </c>
      <c r="C49" s="19" t="n">
        <f aca="false">IFERROR(IF(INDEX(2a_PRE_TRABAJO!$B$5:$B$51,MATCH($A49,2a_PRE_TRABAJO!$A$5:$A$51,0))="","",INDEX(2a_PRE_TRABAJO!$B$5:$B$51,MATCH($A49,2a_PRE_TRABAJO!$A$5:$A$51,0))),"")</f>
        <v>2</v>
      </c>
      <c r="D49" s="19" t="n">
        <f aca="false">IFERROR(IF(INDEX(2a_PRE_TRABAJO!$C$5:$C$51,MATCH($A49,2a_PRE_TRABAJO!$A$5:$A$51,0))="","",INDEX(2a_PRE_TRABAJO!$C$5:$C$51,MATCH($A49,2a_PRE_TRABAJO!$A$5:$A$51,0))),"")</f>
        <v>1</v>
      </c>
      <c r="E49" s="19" t="n">
        <f aca="false">IFERROR(IF(INDEX(2a_PRE_TRABAJO!$D$5:$D$51,MATCH($A49,2a_PRE_TRABAJO!$A$5:$A$51,0))="","",INDEX(2a_PRE_TRABAJO!$D$5:$D$51,MATCH($A49,2a_PRE_TRABAJO!$A$5:$A$51,0))),"")</f>
        <v>39</v>
      </c>
      <c r="F49" s="19" t="n">
        <f aca="false">IFERROR(IF(INDEX(2a_PRE_TRABAJO!$E$5:$E$51,MATCH($A49,2a_PRE_TRABAJO!$A$5:$A$51,0))="","",INDEX(2a_PRE_TRABAJO!$E$5:$E$51,MATCH($A49,2a_PRE_TRABAJO!$A$5:$A$51,0))),"")</f>
        <v>6</v>
      </c>
      <c r="G49" s="19" t="str">
        <f aca="false">IFERROR(IF(INDEX(2a_PRE_TRABAJO!$F$5:$F$51,MATCH($A49,2a_PRE_TRABAJO!$A$5:$A$51,0))="","",INDEX(2a_PRE_TRABAJO!$F$5:$F$51,MATCH($A49,2a_PRE_TRABAJO!$A$5:$A$51,0))),"")</f>
        <v>TÉCNICO</v>
      </c>
      <c r="H49" s="24" t="n">
        <f aca="false">IFERROR(IF(INDEX(2a_PRE_TRABAJO!$G$5:$G$51,MATCH($A49,2a_PRE_TRABAJO!$A$5:$A$51,0))="","",INDEX(2a_PRE_TRABAJO!$G$5:$G$51,MATCH($A49,2a_PRE_TRABAJO!$A$5:$A$51,0))),"")</f>
        <v>46262</v>
      </c>
      <c r="I49" s="24" t="n">
        <f aca="false">IFERROR(IF(INDEX(2b_POST_TRABAJO!$C$5:$C$48,MATCH($A49,2b_POST_TRABAJO!$A$5:$A$48,0))="","",INDEX(2b_POST_TRABAJO!$C$5:$C$48,MATCH($A49,2b_POST_TRABAJO!$A$5:$A$48,0))),"")</f>
        <v>46311</v>
      </c>
      <c r="J49" s="25" t="n">
        <f aca="false">IFERROR(IF(INDEX(2a_PRE_TRABAJO!$H$5:$H$51,MATCH($A49,2a_PRE_TRABAJO!$A$5:$A$51,0))="","",INDEX(2a_PRE_TRABAJO!$H$5:$H$51,MATCH($A49,2a_PRE_TRABAJO!$A$5:$A$51,0))),"")</f>
        <v>8.8</v>
      </c>
      <c r="K49" s="25" t="n">
        <f aca="false">IFERROR(IF(INDEX(2b_POST_TRABAJO!$D$5:$D$48,MATCH($A49,2b_POST_TRABAJO!$A$5:$A$48,0))="","",INDEX(2b_POST_TRABAJO!$D$5:$D$48,MATCH($A49,2b_POST_TRABAJO!$A$5:$A$48,0))),"")</f>
        <v>8.2</v>
      </c>
      <c r="L49" s="26" t="n">
        <f aca="false">IFERROR(IF(INDEX(2a_PRE_TRABAJO!$I$5:$I$51,MATCH($A49,2a_PRE_TRABAJO!$A$5:$A$51,0))="","",INDEX(2a_PRE_TRABAJO!$I$5:$I$51,MATCH($A49,2a_PRE_TRABAJO!$A$5:$A$51,0))),"")</f>
        <v>65</v>
      </c>
      <c r="M49" s="26" t="n">
        <f aca="false">IFERROR(IF(INDEX(2b_POST_TRABAJO!$E$5:$E$48,MATCH($A49,2b_POST_TRABAJO!$A$5:$A$48,0))="","",INDEX(2b_POST_TRABAJO!$E$5:$E$48,MATCH($A49,2b_POST_TRABAJO!$A$5:$A$48,0))),"")</f>
        <v>69</v>
      </c>
      <c r="N49" s="19" t="n">
        <f aca="false">IFERROR(IF(INDEX(2a_PRE_TRABAJO!$J$5:$J$51,MATCH($A49,2a_PRE_TRABAJO!$A$5:$A$51,0))="","",INDEX(2a_PRE_TRABAJO!$J$5:$J$51,MATCH($A49,2a_PRE_TRABAJO!$A$5:$A$51,0))),"")</f>
        <v>4</v>
      </c>
      <c r="O49" s="19" t="n">
        <f aca="false">IFERROR(IF(INDEX(2a_PRE_TRABAJO!$K$5:$K$51,MATCH($A49,2a_PRE_TRABAJO!$A$5:$A$51,0))="","",INDEX(2a_PRE_TRABAJO!$K$5:$K$51,MATCH($A49,2a_PRE_TRABAJO!$A$5:$A$51,0))),"")</f>
        <v>4</v>
      </c>
      <c r="P49" s="19" t="n">
        <f aca="false">IFERROR(IF(INDEX(2a_PRE_TRABAJO!$L$5:$L$51,MATCH($A49,2a_PRE_TRABAJO!$A$5:$A$51,0))="","",INDEX(2a_PRE_TRABAJO!$L$5:$L$51,MATCH($A49,2a_PRE_TRABAJO!$A$5:$A$51,0))),"")</f>
        <v>3</v>
      </c>
      <c r="Q49" s="19" t="n">
        <f aca="false">IF(IFERROR(IF(INDEX(2a_PRE_TRABAJO!$M$5:$M$51,MATCH($A49,2a_PRE_TRABAJO!$A$5:$A$51,0))="","",INDEX(2a_PRE_TRABAJO!$M$5:$M$51,MATCH($A49,2a_PRE_TRABAJO!$A$5:$A$51,0))),"")="","",IFERROR(6-IFERROR(IF(INDEX(2a_PRE_TRABAJO!$M$5:$M$51,MATCH($A49,2a_PRE_TRABAJO!$A$5:$A$51,0))="","",INDEX(2a_PRE_TRABAJO!$M$5:$M$51,MATCH($A49,2a_PRE_TRABAJO!$A$5:$A$51,0))),""),"REVISAR"))</f>
        <v>4</v>
      </c>
      <c r="R49" s="19" t="n">
        <f aca="false">IFERROR(IF(INDEX(2a_PRE_TRABAJO!$N$5:$N$51,MATCH($A49,2a_PRE_TRABAJO!$A$5:$A$51,0))="","",INDEX(2a_PRE_TRABAJO!$N$5:$N$51,MATCH($A49,2a_PRE_TRABAJO!$A$5:$A$51,0))),"")</f>
        <v>3</v>
      </c>
      <c r="S49" s="19" t="n">
        <f aca="false">IFERROR(IF(INDEX(2a_PRE_TRABAJO!$O$5:$O$51,MATCH($A49,2a_PRE_TRABAJO!$A$5:$A$51,0))="","",INDEX(2a_PRE_TRABAJO!$O$5:$O$51,MATCH($A49,2a_PRE_TRABAJO!$A$5:$A$51,0))),"")</f>
        <v>4</v>
      </c>
      <c r="T49" s="19" t="n">
        <f aca="false">IFERROR(IF(INDEX(2a_PRE_TRABAJO!$P$5:$P$51,MATCH($A49,2a_PRE_TRABAJO!$A$5:$A$51,0))="","",INDEX(2a_PRE_TRABAJO!$P$5:$P$51,MATCH($A49,2a_PRE_TRABAJO!$A$5:$A$51,0))),"")</f>
        <v>3</v>
      </c>
      <c r="U49" s="19" t="n">
        <f aca="false">IFERROR(IF(INDEX(2a_PRE_TRABAJO!$Q$5:$Q$51,MATCH($A49,2a_PRE_TRABAJO!$A$5:$A$51,0))="","",INDEX(2a_PRE_TRABAJO!$Q$5:$Q$51,MATCH($A49,2a_PRE_TRABAJO!$A$5:$A$51,0))),"")</f>
        <v>4</v>
      </c>
      <c r="V49" s="19" t="n">
        <f aca="false">IFERROR(IF(INDEX(2a_PRE_TRABAJO!$R$5:$R$51,MATCH($A49,2a_PRE_TRABAJO!$A$5:$A$51,0))="","",INDEX(2a_PRE_TRABAJO!$R$5:$R$51,MATCH($A49,2a_PRE_TRABAJO!$A$5:$A$51,0))),"")</f>
        <v>3</v>
      </c>
      <c r="W49" s="19" t="n">
        <f aca="false">IFERROR(IF(INDEX(2a_PRE_TRABAJO!$S$5:$S$51,MATCH($A49,2a_PRE_TRABAJO!$A$5:$A$51,0))="","",INDEX(2a_PRE_TRABAJO!$S$5:$S$51,MATCH($A49,2a_PRE_TRABAJO!$A$5:$A$51,0))),"")</f>
        <v>4</v>
      </c>
      <c r="X49" s="19" t="n">
        <f aca="false">IFERROR(IF(INDEX(2a_PRE_TRABAJO!$T$5:$T$51,MATCH($A49,2a_PRE_TRABAJO!$A$5:$A$51,0))="","",INDEX(2a_PRE_TRABAJO!$T$5:$T$51,MATCH($A49,2a_PRE_TRABAJO!$A$5:$A$51,0))),"")</f>
        <v>3</v>
      </c>
      <c r="Y49" s="19" t="n">
        <f aca="false">IF(IFERROR(IF(INDEX(2a_PRE_TRABAJO!$U$5:$U$51,MATCH($A49,2a_PRE_TRABAJO!$A$5:$A$51,0))="","",INDEX(2a_PRE_TRABAJO!$U$5:$U$51,MATCH($A49,2a_PRE_TRABAJO!$A$5:$A$51,0))),"")="","",IFERROR(6-IFERROR(IF(INDEX(2a_PRE_TRABAJO!$U$5:$U$51,MATCH($A49,2a_PRE_TRABAJO!$A$5:$A$51,0))="","",INDEX(2a_PRE_TRABAJO!$U$5:$U$51,MATCH($A49,2a_PRE_TRABAJO!$A$5:$A$51,0))),""),"REVISAR"))</f>
        <v>3</v>
      </c>
      <c r="Z49" s="19" t="n">
        <f aca="false">IFERROR(IF(INDEX(2a_PRE_TRABAJO!$V$5:$V$51,MATCH($A49,2a_PRE_TRABAJO!$A$5:$A$51,0))="","",INDEX(2a_PRE_TRABAJO!$V$5:$V$51,MATCH($A49,2a_PRE_TRABAJO!$A$5:$A$51,0))),"")</f>
        <v>3</v>
      </c>
      <c r="AA49" s="19" t="n">
        <f aca="false">IFERROR(IF(INDEX(2a_PRE_TRABAJO!$W$5:$W$51,MATCH($A49,2a_PRE_TRABAJO!$A$5:$A$51,0))="","",INDEX(2a_PRE_TRABAJO!$W$5:$W$51,MATCH($A49,2a_PRE_TRABAJO!$A$5:$A$51,0))),"")</f>
        <v>4</v>
      </c>
      <c r="AB49" s="19" t="n">
        <f aca="false">IFERROR(IF(INDEX(2a_PRE_TRABAJO!$X$5:$X$51,MATCH($A49,2a_PRE_TRABAJO!$A$5:$A$51,0))="","",INDEX(2a_PRE_TRABAJO!$X$5:$X$51,MATCH($A49,2a_PRE_TRABAJO!$A$5:$A$51,0))),"")</f>
        <v>3</v>
      </c>
      <c r="AC49" s="19" t="n">
        <f aca="false">IFERROR(IF(INDEX(2b_POST_TRABAJO!$F$5:$F$48,MATCH($A49,2b_POST_TRABAJO!$A$5:$A$48,0))="","",INDEX(2b_POST_TRABAJO!$F$5:$F$48,MATCH($A49,2b_POST_TRABAJO!$A$5:$A$48,0))),"")</f>
        <v>2</v>
      </c>
      <c r="AD49" s="19" t="n">
        <f aca="false">IFERROR(IF(INDEX(2b_POST_TRABAJO!$G$5:$G$48,MATCH($A49,2b_POST_TRABAJO!$A$5:$A$48,0))="","",INDEX(2b_POST_TRABAJO!$G$5:$G$48,MATCH($A49,2b_POST_TRABAJO!$A$5:$A$48,0))),"")</f>
        <v>5</v>
      </c>
      <c r="AE49" s="19" t="n">
        <f aca="false">IFERROR(IF(INDEX(2b_POST_TRABAJO!$H$5:$H$48,MATCH($A49,2b_POST_TRABAJO!$A$5:$A$48,0))="","",INDEX(2b_POST_TRABAJO!$H$5:$H$48,MATCH($A49,2b_POST_TRABAJO!$A$5:$A$48,0))),"")</f>
        <v>2</v>
      </c>
      <c r="AF49" s="19" t="n">
        <f aca="false">IF(IFERROR(IF(INDEX(2b_POST_TRABAJO!$I$5:$I$48,MATCH($A49,2b_POST_TRABAJO!$A$5:$A$48,0))="","",INDEX(2b_POST_TRABAJO!$I$5:$I$48,MATCH($A49,2b_POST_TRABAJO!$A$5:$A$48,0))),"")="","",IFERROR(6-IFERROR(IF(INDEX(2b_POST_TRABAJO!$I$5:$I$48,MATCH($A49,2b_POST_TRABAJO!$A$5:$A$48,0))="","",INDEX(2b_POST_TRABAJO!$I$5:$I$48,MATCH($A49,2b_POST_TRABAJO!$A$5:$A$48,0))),""),"REVISAR"))</f>
        <v>4</v>
      </c>
      <c r="AG49" s="19" t="n">
        <f aca="false">IFERROR(IF(INDEX(2b_POST_TRABAJO!$J$5:$J$48,MATCH($A49,2b_POST_TRABAJO!$A$5:$A$48,0))="","",INDEX(2b_POST_TRABAJO!$J$5:$J$48,MATCH($A49,2b_POST_TRABAJO!$A$5:$A$48,0))),"")</f>
        <v>5</v>
      </c>
      <c r="AH49" s="19" t="n">
        <f aca="false">IFERROR(IF(INDEX(2b_POST_TRABAJO!$K$5:$K$48,MATCH($A49,2b_POST_TRABAJO!$A$5:$A$48,0))="","",INDEX(2b_POST_TRABAJO!$K$5:$K$48,MATCH($A49,2b_POST_TRABAJO!$A$5:$A$48,0))),"")</f>
        <v>4</v>
      </c>
      <c r="AI49" s="19" t="n">
        <f aca="false">IFERROR(IF(INDEX(2b_POST_TRABAJO!$L$5:$L$48,MATCH($A49,2b_POST_TRABAJO!$A$5:$A$48,0))="","",INDEX(2b_POST_TRABAJO!$L$5:$L$48,MATCH($A49,2b_POST_TRABAJO!$A$5:$A$48,0))),"")</f>
        <v>4</v>
      </c>
      <c r="AJ49" s="19" t="n">
        <f aca="false">IFERROR(IF(INDEX(2b_POST_TRABAJO!$M$5:$M$48,MATCH($A49,2b_POST_TRABAJO!$A$5:$A$48,0))="","",INDEX(2b_POST_TRABAJO!$M$5:$M$48,MATCH($A49,2b_POST_TRABAJO!$A$5:$A$48,0))),"")</f>
        <v>4</v>
      </c>
      <c r="AK49" s="19" t="n">
        <f aca="false">IFERROR(IF(INDEX(2b_POST_TRABAJO!$N$5:$N$48,MATCH($A49,2b_POST_TRABAJO!$A$5:$A$48,0))="","",INDEX(2b_POST_TRABAJO!$N$5:$N$48,MATCH($A49,2b_POST_TRABAJO!$A$5:$A$48,0))),"")</f>
        <v>4</v>
      </c>
      <c r="AL49" s="19" t="n">
        <f aca="false">IFERROR(IF(INDEX(2b_POST_TRABAJO!$O$5:$O$48,MATCH($A49,2b_POST_TRABAJO!$A$5:$A$48,0))="","",INDEX(2b_POST_TRABAJO!$O$5:$O$48,MATCH($A49,2b_POST_TRABAJO!$A$5:$A$48,0))),"")</f>
        <v>5</v>
      </c>
      <c r="AM49" s="19" t="n">
        <f aca="false">IFERROR(IF(INDEX(2b_POST_TRABAJO!$P$5:$P$48,MATCH($A49,2b_POST_TRABAJO!$A$5:$A$48,0))="","",INDEX(2b_POST_TRABAJO!$P$5:$P$48,MATCH($A49,2b_POST_TRABAJO!$A$5:$A$48,0))),"")</f>
        <v>5</v>
      </c>
      <c r="AN49" s="19" t="n">
        <f aca="false">IF(IFERROR(IF(INDEX(2b_POST_TRABAJO!$Q$5:$Q$48,MATCH($A49,2b_POST_TRABAJO!$A$5:$A$48,0))="","",INDEX(2b_POST_TRABAJO!$Q$5:$Q$48,MATCH($A49,2b_POST_TRABAJO!$A$5:$A$48,0))),"")="","",IFERROR(6-IFERROR(IF(INDEX(2b_POST_TRABAJO!$Q$5:$Q$48,MATCH($A49,2b_POST_TRABAJO!$A$5:$A$48,0))="","",INDEX(2b_POST_TRABAJO!$Q$5:$Q$48,MATCH($A49,2b_POST_TRABAJO!$A$5:$A$48,0))),""),"REVISAR"))</f>
        <v>4</v>
      </c>
      <c r="AO49" s="19" t="n">
        <f aca="false">IFERROR(IF(INDEX(2b_POST_TRABAJO!$R$5:$R$48,MATCH($A49,2b_POST_TRABAJO!$A$5:$A$48,0))="","",INDEX(2b_POST_TRABAJO!$R$5:$R$48,MATCH($A49,2b_POST_TRABAJO!$A$5:$A$48,0))),"")</f>
        <v>4</v>
      </c>
      <c r="AP49" s="19" t="n">
        <f aca="false">IFERROR(IF(INDEX(2b_POST_TRABAJO!$S$5:$S$48,MATCH($A49,2b_POST_TRABAJO!$A$5:$A$48,0))="","",INDEX(2b_POST_TRABAJO!$S$5:$S$48,MATCH($A49,2b_POST_TRABAJO!$A$5:$A$48,0))),"")</f>
        <v>3</v>
      </c>
      <c r="AQ49" s="19" t="n">
        <f aca="false">IFERROR(IF(INDEX(2b_POST_TRABAJO!$T$5:$T$48,MATCH($A49,2b_POST_TRABAJO!$A$5:$A$48,0))="","",INDEX(2b_POST_TRABAJO!$T$5:$T$48,MATCH($A49,2b_POST_TRABAJO!$A$5:$A$48,0))),"")</f>
        <v>5</v>
      </c>
      <c r="AR49" s="27" t="n">
        <f aca="false">IF(COUNT(N49:R49)&lt;5,"",IFERROR(ROUND(AVERAGE(N49:R49),2),"REVISAR"))</f>
        <v>3.6</v>
      </c>
      <c r="AS49" s="27" t="n">
        <f aca="false">IF(COUNT(S49:W49)&lt;5,"",IFERROR(ROUND(AVERAGE(S49:W49),2),"REVISAR"))</f>
        <v>3.6</v>
      </c>
      <c r="AT49" s="27" t="n">
        <f aca="false">IF(COUNT(X49:AB49)&lt;5,"",IFERROR(ROUND(AVERAGE(X49:AB49),2),"REVISAR"))</f>
        <v>3.2</v>
      </c>
      <c r="AU49" s="11" t="n">
        <f aca="false">IF(COUNT(N49:AB49)&lt;15,"",IFERROR(SUM(N49:AB49),"REVISAR"))</f>
        <v>52</v>
      </c>
      <c r="AV49" s="18" t="n">
        <f aca="false">IF(AU49="","",IF(ISNUMBER(AU49),IF(AU49&lt;=35,1,IF(AU49&lt;=55,2,3)),"REVISAR"))</f>
        <v>2</v>
      </c>
      <c r="AW49" s="27" t="n">
        <f aca="false">IF(COUNT(AC49:AG49)&lt;5,"",IFERROR(ROUND(AVERAGE(AC49:AG49),2),"REVISAR"))</f>
        <v>3.6</v>
      </c>
      <c r="AX49" s="27" t="n">
        <f aca="false">IF(COUNT(AH49:AL49)&lt;5,"",IFERROR(ROUND(AVERAGE(AH49:AL49),2),"REVISAR"))</f>
        <v>4.2</v>
      </c>
      <c r="AY49" s="27" t="n">
        <f aca="false">IF(COUNT(AM49:AQ49)&lt;5,"",IFERROR(ROUND(AVERAGE(AM49:AQ49),2),"REVISAR"))</f>
        <v>4.2</v>
      </c>
      <c r="AZ49" s="11" t="n">
        <f aca="false">IF(COUNT(AC49:AQ49)&lt;15,"",IFERROR(SUM(AC49:AQ49),"REVISAR"))</f>
        <v>60</v>
      </c>
      <c r="BA49" s="18" t="n">
        <f aca="false">IF(AZ49="","",IF(ISNUMBER(AZ49),IF(AZ49&lt;=35,1,IF(AZ49&lt;=55,2,3)),"REVISAR"))</f>
        <v>3</v>
      </c>
      <c r="BB49" s="28" t="n">
        <f aca="false">IF(OR(J49="",K49=""),"",IFERROR(ROUND(K49-J49,1),"REVISAR"))</f>
        <v>-0.6</v>
      </c>
      <c r="BC49" s="11" t="n">
        <f aca="false">IF(OR(L49="",M49=""),"",IFERROR(M49-L49,"REVISAR"))</f>
        <v>4</v>
      </c>
      <c r="BD49" s="11" t="n">
        <f aca="false">IF(OR(AU49="",AZ49=""),"",IFERROR(AZ49-AU49,"REVISAR"))</f>
        <v>8</v>
      </c>
      <c r="BE49" s="23"/>
      <c r="BF49" s="21"/>
    </row>
    <row r="50" customFormat="false" ht="15" hidden="false" customHeight="false" outlineLevel="0" collapsed="false">
      <c r="A50" s="17" t="s">
        <v>103</v>
      </c>
      <c r="B50" s="23" t="n">
        <v>1</v>
      </c>
      <c r="C50" s="19" t="n">
        <f aca="false">IFERROR(IF(INDEX(2a_PRE_TRABAJO!$B$5:$B$51,MATCH($A50,2a_PRE_TRABAJO!$A$5:$A$51,0))="","",INDEX(2a_PRE_TRABAJO!$B$5:$B$51,MATCH($A50,2a_PRE_TRABAJO!$A$5:$A$51,0))),"")</f>
        <v>2</v>
      </c>
      <c r="D50" s="19" t="n">
        <f aca="false">IFERROR(IF(INDEX(2a_PRE_TRABAJO!$C$5:$C$51,MATCH($A50,2a_PRE_TRABAJO!$A$5:$A$51,0))="","",INDEX(2a_PRE_TRABAJO!$C$5:$C$51,MATCH($A50,2a_PRE_TRABAJO!$A$5:$A$51,0))),"")</f>
        <v>2</v>
      </c>
      <c r="E50" s="19" t="n">
        <f aca="false">IFERROR(IF(INDEX(2a_PRE_TRABAJO!$D$5:$D$51,MATCH($A50,2a_PRE_TRABAJO!$A$5:$A$51,0))="","",INDEX(2a_PRE_TRABAJO!$D$5:$D$51,MATCH($A50,2a_PRE_TRABAJO!$A$5:$A$51,0))),"")</f>
        <v>24</v>
      </c>
      <c r="F50" s="19" t="n">
        <f aca="false">IFERROR(IF(INDEX(2a_PRE_TRABAJO!$E$5:$E$51,MATCH($A50,2a_PRE_TRABAJO!$A$5:$A$51,0))="","",INDEX(2a_PRE_TRABAJO!$E$5:$E$51,MATCH($A50,2a_PRE_TRABAJO!$A$5:$A$51,0))),"")</f>
        <v>3</v>
      </c>
      <c r="G50" s="19" t="str">
        <f aca="false">IFERROR(IF(INDEX(2a_PRE_TRABAJO!$F$5:$F$51,MATCH($A50,2a_PRE_TRABAJO!$A$5:$A$51,0))="","",INDEX(2a_PRE_TRABAJO!$F$5:$F$51,MATCH($A50,2a_PRE_TRABAJO!$A$5:$A$51,0))),"")</f>
        <v>Tecnico</v>
      </c>
      <c r="H50" s="24" t="n">
        <f aca="false">IFERROR(IF(INDEX(2a_PRE_TRABAJO!$G$5:$G$51,MATCH($A50,2a_PRE_TRABAJO!$A$5:$A$51,0))="","",INDEX(2a_PRE_TRABAJO!$G$5:$G$51,MATCH($A50,2a_PRE_TRABAJO!$A$5:$A$51,0))),"")</f>
        <v>46258</v>
      </c>
      <c r="I50" s="24" t="n">
        <f aca="false">IFERROR(IF(INDEX(2b_POST_TRABAJO!$C$5:$C$48,MATCH($A50,2b_POST_TRABAJO!$A$5:$A$48,0))="","",INDEX(2b_POST_TRABAJO!$C$5:$C$48,MATCH($A50,2b_POST_TRABAJO!$A$5:$A$48,0))),"")</f>
        <v>46307</v>
      </c>
      <c r="J50" s="25" t="n">
        <f aca="false">IFERROR(IF(INDEX(2a_PRE_TRABAJO!$H$5:$H$51,MATCH($A50,2a_PRE_TRABAJO!$A$5:$A$51,0))="","",INDEX(2a_PRE_TRABAJO!$H$5:$H$51,MATCH($A50,2a_PRE_TRABAJO!$A$5:$A$51,0))),"")</f>
        <v>14.9</v>
      </c>
      <c r="K50" s="25" t="n">
        <f aca="false">IFERROR(IF(INDEX(2b_POST_TRABAJO!$D$5:$D$48,MATCH($A50,2b_POST_TRABAJO!$A$5:$A$48,0))="","",INDEX(2b_POST_TRABAJO!$D$5:$D$48,MATCH($A50,2b_POST_TRABAJO!$A$5:$A$48,0))),"")</f>
        <v>14.1</v>
      </c>
      <c r="L50" s="26" t="n">
        <f aca="false">IFERROR(IF(INDEX(2a_PRE_TRABAJO!$I$5:$I$51,MATCH($A50,2a_PRE_TRABAJO!$A$5:$A$51,0))="","",INDEX(2a_PRE_TRABAJO!$I$5:$I$51,MATCH($A50,2a_PRE_TRABAJO!$A$5:$A$51,0))),"")</f>
        <v>57</v>
      </c>
      <c r="M50" s="26" t="n">
        <f aca="false">IFERROR(IF(INDEX(2b_POST_TRABAJO!$E$5:$E$48,MATCH($A50,2b_POST_TRABAJO!$A$5:$A$48,0))="","",INDEX(2b_POST_TRABAJO!$E$5:$E$48,MATCH($A50,2b_POST_TRABAJO!$A$5:$A$48,0))),"")</f>
        <v>60</v>
      </c>
      <c r="N50" s="19" t="n">
        <f aca="false">IFERROR(IF(INDEX(2a_PRE_TRABAJO!$J$5:$J$51,MATCH($A50,2a_PRE_TRABAJO!$A$5:$A$51,0))="","",INDEX(2a_PRE_TRABAJO!$J$5:$J$51,MATCH($A50,2a_PRE_TRABAJO!$A$5:$A$51,0))),"")</f>
        <v>1</v>
      </c>
      <c r="O50" s="19" t="n">
        <f aca="false">IFERROR(IF(INDEX(2a_PRE_TRABAJO!$K$5:$K$51,MATCH($A50,2a_PRE_TRABAJO!$A$5:$A$51,0))="","",INDEX(2a_PRE_TRABAJO!$K$5:$K$51,MATCH($A50,2a_PRE_TRABAJO!$A$5:$A$51,0))),"")</f>
        <v>3</v>
      </c>
      <c r="P50" s="19" t="n">
        <f aca="false">IFERROR(IF(INDEX(2a_PRE_TRABAJO!$L$5:$L$51,MATCH($A50,2a_PRE_TRABAJO!$A$5:$A$51,0))="","",INDEX(2a_PRE_TRABAJO!$L$5:$L$51,MATCH($A50,2a_PRE_TRABAJO!$A$5:$A$51,0))),"")</f>
        <v>4</v>
      </c>
      <c r="Q50" s="19" t="n">
        <f aca="false">IF(IFERROR(IF(INDEX(2a_PRE_TRABAJO!$M$5:$M$51,MATCH($A50,2a_PRE_TRABAJO!$A$5:$A$51,0))="","",INDEX(2a_PRE_TRABAJO!$M$5:$M$51,MATCH($A50,2a_PRE_TRABAJO!$A$5:$A$51,0))),"")="","",IFERROR(6-IFERROR(IF(INDEX(2a_PRE_TRABAJO!$M$5:$M$51,MATCH($A50,2a_PRE_TRABAJO!$A$5:$A$51,0))="","",INDEX(2a_PRE_TRABAJO!$M$5:$M$51,MATCH($A50,2a_PRE_TRABAJO!$A$5:$A$51,0))),""),"REVISAR"))</f>
        <v>2</v>
      </c>
      <c r="R50" s="19" t="n">
        <f aca="false">IFERROR(IF(INDEX(2a_PRE_TRABAJO!$N$5:$N$51,MATCH($A50,2a_PRE_TRABAJO!$A$5:$A$51,0))="","",INDEX(2a_PRE_TRABAJO!$N$5:$N$51,MATCH($A50,2a_PRE_TRABAJO!$A$5:$A$51,0))),"")</f>
        <v>2</v>
      </c>
      <c r="S50" s="19" t="n">
        <f aca="false">IFERROR(IF(INDEX(2a_PRE_TRABAJO!$O$5:$O$51,MATCH($A50,2a_PRE_TRABAJO!$A$5:$A$51,0))="","",INDEX(2a_PRE_TRABAJO!$O$5:$O$51,MATCH($A50,2a_PRE_TRABAJO!$A$5:$A$51,0))),"")</f>
        <v>4</v>
      </c>
      <c r="T50" s="19" t="n">
        <f aca="false">IFERROR(IF(INDEX(2a_PRE_TRABAJO!$P$5:$P$51,MATCH($A50,2a_PRE_TRABAJO!$A$5:$A$51,0))="","",INDEX(2a_PRE_TRABAJO!$P$5:$P$51,MATCH($A50,2a_PRE_TRABAJO!$A$5:$A$51,0))),"")</f>
        <v>3</v>
      </c>
      <c r="U50" s="19" t="n">
        <f aca="false">IFERROR(IF(INDEX(2a_PRE_TRABAJO!$Q$5:$Q$51,MATCH($A50,2a_PRE_TRABAJO!$A$5:$A$51,0))="","",INDEX(2a_PRE_TRABAJO!$Q$5:$Q$51,MATCH($A50,2a_PRE_TRABAJO!$A$5:$A$51,0))),"")</f>
        <v>5</v>
      </c>
      <c r="V50" s="19" t="n">
        <f aca="false">IFERROR(IF(INDEX(2a_PRE_TRABAJO!$R$5:$R$51,MATCH($A50,2a_PRE_TRABAJO!$A$5:$A$51,0))="","",INDEX(2a_PRE_TRABAJO!$R$5:$R$51,MATCH($A50,2a_PRE_TRABAJO!$A$5:$A$51,0))),"")</f>
        <v>4</v>
      </c>
      <c r="W50" s="19" t="n">
        <f aca="false">IFERROR(IF(INDEX(2a_PRE_TRABAJO!$S$5:$S$51,MATCH($A50,2a_PRE_TRABAJO!$A$5:$A$51,0))="","",INDEX(2a_PRE_TRABAJO!$S$5:$S$51,MATCH($A50,2a_PRE_TRABAJO!$A$5:$A$51,0))),"")</f>
        <v>4</v>
      </c>
      <c r="X50" s="19" t="n">
        <f aca="false">IFERROR(IF(INDEX(2a_PRE_TRABAJO!$T$5:$T$51,MATCH($A50,2a_PRE_TRABAJO!$A$5:$A$51,0))="","",INDEX(2a_PRE_TRABAJO!$T$5:$T$51,MATCH($A50,2a_PRE_TRABAJO!$A$5:$A$51,0))),"")</f>
        <v>3</v>
      </c>
      <c r="Y50" s="19" t="n">
        <f aca="false">IF(IFERROR(IF(INDEX(2a_PRE_TRABAJO!$U$5:$U$51,MATCH($A50,2a_PRE_TRABAJO!$A$5:$A$51,0))="","",INDEX(2a_PRE_TRABAJO!$U$5:$U$51,MATCH($A50,2a_PRE_TRABAJO!$A$5:$A$51,0))),"")="","",IFERROR(6-IFERROR(IF(INDEX(2a_PRE_TRABAJO!$U$5:$U$51,MATCH($A50,2a_PRE_TRABAJO!$A$5:$A$51,0))="","",INDEX(2a_PRE_TRABAJO!$U$5:$U$51,MATCH($A50,2a_PRE_TRABAJO!$A$5:$A$51,0))),""),"REVISAR"))</f>
        <v>2</v>
      </c>
      <c r="Z50" s="19" t="n">
        <f aca="false">IFERROR(IF(INDEX(2a_PRE_TRABAJO!$V$5:$V$51,MATCH($A50,2a_PRE_TRABAJO!$A$5:$A$51,0))="","",INDEX(2a_PRE_TRABAJO!$V$5:$V$51,MATCH($A50,2a_PRE_TRABAJO!$A$5:$A$51,0))),"")</f>
        <v>3</v>
      </c>
      <c r="AA50" s="19" t="n">
        <f aca="false">IFERROR(IF(INDEX(2a_PRE_TRABAJO!$W$5:$W$51,MATCH($A50,2a_PRE_TRABAJO!$A$5:$A$51,0))="","",INDEX(2a_PRE_TRABAJO!$W$5:$W$51,MATCH($A50,2a_PRE_TRABAJO!$A$5:$A$51,0))),"")</f>
        <v>3</v>
      </c>
      <c r="AB50" s="19" t="n">
        <f aca="false">IFERROR(IF(INDEX(2a_PRE_TRABAJO!$X$5:$X$51,MATCH($A50,2a_PRE_TRABAJO!$A$5:$A$51,0))="","",INDEX(2a_PRE_TRABAJO!$X$5:$X$51,MATCH($A50,2a_PRE_TRABAJO!$A$5:$A$51,0))),"")</f>
        <v>2</v>
      </c>
      <c r="AC50" s="19" t="n">
        <f aca="false">IFERROR(IF(INDEX(2b_POST_TRABAJO!$F$5:$F$48,MATCH($A50,2b_POST_TRABAJO!$A$5:$A$48,0))="","",INDEX(2b_POST_TRABAJO!$F$5:$F$48,MATCH($A50,2b_POST_TRABAJO!$A$5:$A$48,0))),"")</f>
        <v>4</v>
      </c>
      <c r="AD50" s="19" t="n">
        <f aca="false">IFERROR(IF(INDEX(2b_POST_TRABAJO!$G$5:$G$48,MATCH($A50,2b_POST_TRABAJO!$A$5:$A$48,0))="","",INDEX(2b_POST_TRABAJO!$G$5:$G$48,MATCH($A50,2b_POST_TRABAJO!$A$5:$A$48,0))),"")</f>
        <v>4</v>
      </c>
      <c r="AE50" s="19" t="n">
        <f aca="false">IFERROR(IF(INDEX(2b_POST_TRABAJO!$H$5:$H$48,MATCH($A50,2b_POST_TRABAJO!$A$5:$A$48,0))="","",INDEX(2b_POST_TRABAJO!$H$5:$H$48,MATCH($A50,2b_POST_TRABAJO!$A$5:$A$48,0))),"")</f>
        <v>4</v>
      </c>
      <c r="AF50" s="19" t="n">
        <f aca="false">IF(IFERROR(IF(INDEX(2b_POST_TRABAJO!$I$5:$I$48,MATCH($A50,2b_POST_TRABAJO!$A$5:$A$48,0))="","",INDEX(2b_POST_TRABAJO!$I$5:$I$48,MATCH($A50,2b_POST_TRABAJO!$A$5:$A$48,0))),"")="","",IFERROR(6-IFERROR(IF(INDEX(2b_POST_TRABAJO!$I$5:$I$48,MATCH($A50,2b_POST_TRABAJO!$A$5:$A$48,0))="","",INDEX(2b_POST_TRABAJO!$I$5:$I$48,MATCH($A50,2b_POST_TRABAJO!$A$5:$A$48,0))),""),"REVISAR"))</f>
        <v>4</v>
      </c>
      <c r="AG50" s="19" t="n">
        <f aca="false">IFERROR(IF(INDEX(2b_POST_TRABAJO!$J$5:$J$48,MATCH($A50,2b_POST_TRABAJO!$A$5:$A$48,0))="","",INDEX(2b_POST_TRABAJO!$J$5:$J$48,MATCH($A50,2b_POST_TRABAJO!$A$5:$A$48,0))),"")</f>
        <v>5</v>
      </c>
      <c r="AH50" s="19" t="n">
        <f aca="false">IFERROR(IF(INDEX(2b_POST_TRABAJO!$K$5:$K$48,MATCH($A50,2b_POST_TRABAJO!$A$5:$A$48,0))="","",INDEX(2b_POST_TRABAJO!$K$5:$K$48,MATCH($A50,2b_POST_TRABAJO!$A$5:$A$48,0))),"")</f>
        <v>3</v>
      </c>
      <c r="AI50" s="19" t="n">
        <f aca="false">IFERROR(IF(INDEX(2b_POST_TRABAJO!$L$5:$L$48,MATCH($A50,2b_POST_TRABAJO!$A$5:$A$48,0))="","",INDEX(2b_POST_TRABAJO!$L$5:$L$48,MATCH($A50,2b_POST_TRABAJO!$A$5:$A$48,0))),"")</f>
        <v>3</v>
      </c>
      <c r="AJ50" s="19" t="n">
        <f aca="false">IFERROR(IF(INDEX(2b_POST_TRABAJO!$M$5:$M$48,MATCH($A50,2b_POST_TRABAJO!$A$5:$A$48,0))="","",INDEX(2b_POST_TRABAJO!$M$5:$M$48,MATCH($A50,2b_POST_TRABAJO!$A$5:$A$48,0))),"")</f>
        <v>2</v>
      </c>
      <c r="AK50" s="19" t="n">
        <f aca="false">IFERROR(IF(INDEX(2b_POST_TRABAJO!$N$5:$N$48,MATCH($A50,2b_POST_TRABAJO!$A$5:$A$48,0))="","",INDEX(2b_POST_TRABAJO!$N$5:$N$48,MATCH($A50,2b_POST_TRABAJO!$A$5:$A$48,0))),"")</f>
        <v>5</v>
      </c>
      <c r="AL50" s="19" t="n">
        <f aca="false">IFERROR(IF(INDEX(2b_POST_TRABAJO!$O$5:$O$48,MATCH($A50,2b_POST_TRABAJO!$A$5:$A$48,0))="","",INDEX(2b_POST_TRABAJO!$O$5:$O$48,MATCH($A50,2b_POST_TRABAJO!$A$5:$A$48,0))),"")</f>
        <v>5</v>
      </c>
      <c r="AM50" s="19" t="n">
        <f aca="false">IFERROR(IF(INDEX(2b_POST_TRABAJO!$P$5:$P$48,MATCH($A50,2b_POST_TRABAJO!$A$5:$A$48,0))="","",INDEX(2b_POST_TRABAJO!$P$5:$P$48,MATCH($A50,2b_POST_TRABAJO!$A$5:$A$48,0))),"")</f>
        <v>5</v>
      </c>
      <c r="AN50" s="19" t="n">
        <f aca="false">IF(IFERROR(IF(INDEX(2b_POST_TRABAJO!$Q$5:$Q$48,MATCH($A50,2b_POST_TRABAJO!$A$5:$A$48,0))="","",INDEX(2b_POST_TRABAJO!$Q$5:$Q$48,MATCH($A50,2b_POST_TRABAJO!$A$5:$A$48,0))),"")="","",IFERROR(6-IFERROR(IF(INDEX(2b_POST_TRABAJO!$Q$5:$Q$48,MATCH($A50,2b_POST_TRABAJO!$A$5:$A$48,0))="","",INDEX(2b_POST_TRABAJO!$Q$5:$Q$48,MATCH($A50,2b_POST_TRABAJO!$A$5:$A$48,0))),""),"REVISAR"))</f>
        <v>4</v>
      </c>
      <c r="AO50" s="19" t="n">
        <f aca="false">IFERROR(IF(INDEX(2b_POST_TRABAJO!$R$5:$R$48,MATCH($A50,2b_POST_TRABAJO!$A$5:$A$48,0))="","",INDEX(2b_POST_TRABAJO!$R$5:$R$48,MATCH($A50,2b_POST_TRABAJO!$A$5:$A$48,0))),"")</f>
        <v>3</v>
      </c>
      <c r="AP50" s="19" t="n">
        <f aca="false">IFERROR(IF(INDEX(2b_POST_TRABAJO!$S$5:$S$48,MATCH($A50,2b_POST_TRABAJO!$A$5:$A$48,0))="","",INDEX(2b_POST_TRABAJO!$S$5:$S$48,MATCH($A50,2b_POST_TRABAJO!$A$5:$A$48,0))),"")</f>
        <v>3</v>
      </c>
      <c r="AQ50" s="19" t="n">
        <f aca="false">IFERROR(IF(INDEX(2b_POST_TRABAJO!$T$5:$T$48,MATCH($A50,2b_POST_TRABAJO!$A$5:$A$48,0))="","",INDEX(2b_POST_TRABAJO!$T$5:$T$48,MATCH($A50,2b_POST_TRABAJO!$A$5:$A$48,0))),"")</f>
        <v>5</v>
      </c>
      <c r="AR50" s="27" t="n">
        <f aca="false">IF(COUNT(N50:R50)&lt;5,"",IFERROR(ROUND(AVERAGE(N50:R50),2),"REVISAR"))</f>
        <v>2.4</v>
      </c>
      <c r="AS50" s="27" t="n">
        <f aca="false">IF(COUNT(S50:W50)&lt;5,"",IFERROR(ROUND(AVERAGE(S50:W50),2),"REVISAR"))</f>
        <v>4</v>
      </c>
      <c r="AT50" s="27" t="n">
        <f aca="false">IF(COUNT(X50:AB50)&lt;5,"",IFERROR(ROUND(AVERAGE(X50:AB50),2),"REVISAR"))</f>
        <v>2.6</v>
      </c>
      <c r="AU50" s="11" t="n">
        <f aca="false">IF(COUNT(N50:AB50)&lt;15,"",IFERROR(SUM(N50:AB50),"REVISAR"))</f>
        <v>45</v>
      </c>
      <c r="AV50" s="18" t="n">
        <f aca="false">IF(AU50="","",IF(ISNUMBER(AU50),IF(AU50&lt;=35,1,IF(AU50&lt;=55,2,3)),"REVISAR"))</f>
        <v>2</v>
      </c>
      <c r="AW50" s="27" t="n">
        <f aca="false">IF(COUNT(AC50:AG50)&lt;5,"",IFERROR(ROUND(AVERAGE(AC50:AG50),2),"REVISAR"))</f>
        <v>4.2</v>
      </c>
      <c r="AX50" s="27" t="n">
        <f aca="false">IF(COUNT(AH50:AL50)&lt;5,"",IFERROR(ROUND(AVERAGE(AH50:AL50),2),"REVISAR"))</f>
        <v>3.6</v>
      </c>
      <c r="AY50" s="27" t="n">
        <f aca="false">IF(COUNT(AM50:AQ50)&lt;5,"",IFERROR(ROUND(AVERAGE(AM50:AQ50),2),"REVISAR"))</f>
        <v>4</v>
      </c>
      <c r="AZ50" s="11" t="n">
        <f aca="false">IF(COUNT(AC50:AQ50)&lt;15,"",IFERROR(SUM(AC50:AQ50),"REVISAR"))</f>
        <v>59</v>
      </c>
      <c r="BA50" s="18" t="n">
        <f aca="false">IF(AZ50="","",IF(ISNUMBER(AZ50),IF(AZ50&lt;=35,1,IF(AZ50&lt;=55,2,3)),"REVISAR"))</f>
        <v>3</v>
      </c>
      <c r="BB50" s="28" t="n">
        <f aca="false">IF(OR(J50="",K50=""),"",IFERROR(ROUND(K50-J50,1),"REVISAR"))</f>
        <v>-0.8</v>
      </c>
      <c r="BC50" s="11" t="n">
        <f aca="false">IF(OR(L50="",M50=""),"",IFERROR(M50-L50,"REVISAR"))</f>
        <v>3</v>
      </c>
      <c r="BD50" s="11" t="n">
        <f aca="false">IF(OR(AU50="",AZ50=""),"",IFERROR(AZ50-AU50,"REVISAR"))</f>
        <v>14</v>
      </c>
      <c r="BE50" s="23"/>
      <c r="BF50" s="21"/>
    </row>
    <row r="52" customFormat="false" ht="15" hidden="false" customHeight="false" outlineLevel="0" collapsed="false">
      <c r="A52" s="29" t="s">
        <v>182</v>
      </c>
    </row>
  </sheetData>
  <conditionalFormatting sqref="A5:BF50">
    <cfRule type="cellIs" priority="2" operator="equal" aboveAverage="0" equalAverage="0" bottom="0" percent="0" rank="0" text="" dxfId="0">
      <formula>"REVISAR"</formula>
    </cfRule>
  </conditionalFormatting>
  <conditionalFormatting sqref="A5:A50">
    <cfRule type="expression" priority="3" aboveAverage="0" equalAverage="0" bottom="0" percent="0" rank="0" text="" dxfId="1">
      <formula>$B5=0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N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8"/>
    <col collapsed="false" customWidth="true" hidden="false" outlineLevel="0" max="3" min="3" style="0" width="14"/>
    <col collapsed="false" customWidth="true" hidden="false" outlineLevel="0" max="4" min="4" style="0" width="12"/>
    <col collapsed="false" customWidth="true" hidden="false" outlineLevel="0" max="5" min="5" style="0" width="26"/>
    <col collapsed="false" customWidth="true" hidden="false" outlineLevel="0" max="6" min="6" style="0" width="70"/>
    <col collapsed="false" customWidth="true" hidden="false" outlineLevel="0" max="7" min="7" style="0" width="3"/>
    <col collapsed="false" customWidth="true" hidden="false" outlineLevel="0" max="8" min="8" style="0" width="16"/>
    <col collapsed="false" customWidth="true" hidden="false" outlineLevel="0" max="14" min="9" style="0" width="14"/>
  </cols>
  <sheetData>
    <row r="1" customFormat="false" ht="17.35" hidden="false" customHeight="false" outlineLevel="0" collapsed="false">
      <c r="A1" s="1" t="s">
        <v>183</v>
      </c>
    </row>
    <row r="2" customFormat="false" ht="15" hidden="false" customHeight="false" outlineLevel="0" collapsed="false">
      <c r="A2" s="2" t="s">
        <v>184</v>
      </c>
    </row>
    <row r="4" customFormat="false" ht="30" hidden="false" customHeight="true" outlineLevel="0" collapsed="false">
      <c r="A4" s="6" t="s">
        <v>185</v>
      </c>
      <c r="B4" s="6" t="s">
        <v>186</v>
      </c>
      <c r="C4" s="6" t="s">
        <v>187</v>
      </c>
      <c r="D4" s="6" t="s">
        <v>188</v>
      </c>
      <c r="E4" s="6" t="s">
        <v>189</v>
      </c>
      <c r="F4" s="6" t="s">
        <v>190</v>
      </c>
      <c r="I4" s="22" t="s">
        <v>191</v>
      </c>
    </row>
    <row r="5" customFormat="false" ht="23.85" hidden="false" customHeight="false" outlineLevel="0" collapsed="false">
      <c r="A5" s="22"/>
      <c r="B5" s="30" t="s">
        <v>192</v>
      </c>
      <c r="C5" s="22"/>
      <c r="D5" s="22"/>
      <c r="E5" s="22"/>
      <c r="F5" s="22"/>
      <c r="I5" s="6" t="s">
        <v>193</v>
      </c>
      <c r="J5" s="6" t="s">
        <v>194</v>
      </c>
      <c r="K5" s="6" t="s">
        <v>195</v>
      </c>
      <c r="L5" s="6" t="s">
        <v>196</v>
      </c>
      <c r="M5" s="6" t="s">
        <v>197</v>
      </c>
      <c r="N5" s="6" t="s">
        <v>198</v>
      </c>
    </row>
    <row r="6" customFormat="false" ht="30" hidden="false" customHeight="true" outlineLevel="0" collapsed="false">
      <c r="A6" s="18" t="n">
        <v>1</v>
      </c>
      <c r="B6" s="5" t="s">
        <v>199</v>
      </c>
      <c r="C6" s="18" t="str">
        <f aca="false">COUNTA(2a_PRE_TRABAJO!A5:A51)&amp;" / "&amp;SUMPRODUCT(1/COUNTIF(2a_PRE_TRABAJO!A5:A51,2a_PRE_TRABAJO!A5:A51))</f>
        <v>47 / 46</v>
      </c>
      <c r="D6" s="18" t="s">
        <v>200</v>
      </c>
      <c r="E6" s="31" t="str">
        <f aca="false">IF(C6=D6,"VERDE","REVISAR")</f>
        <v>REVISAR</v>
      </c>
      <c r="F6" s="32" t="s">
        <v>201</v>
      </c>
      <c r="I6" s="25" t="n">
        <f aca="false">IF(AND(5_Consolidada!$B$5=1,5_Consolidada!$C$5=1,ISNUMBER(5_Consolidada!J5)),5_Consolidada!J5,"")</f>
        <v>10.3</v>
      </c>
      <c r="J6" s="25" t="str">
        <f aca="false">IF(AND(5_Consolidada!$B$5=1,5_Consolidada!$C$5=2,ISNUMBER(5_Consolidada!J5)),5_Consolidada!J5,"")</f>
        <v/>
      </c>
      <c r="K6" s="25" t="n">
        <f aca="false">IF(AND(5_Consolidada!$B$5=1,5_Consolidada!$C$5=1,ISNUMBER(5_Consolidada!K5)),5_Consolidada!K5,"")</f>
        <v>5.5</v>
      </c>
      <c r="L6" s="25" t="str">
        <f aca="false">IF(AND(5_Consolidada!$B$5=1,5_Consolidada!$C$5=2,ISNUMBER(5_Consolidada!K5)),5_Consolidada!K5,"")</f>
        <v/>
      </c>
      <c r="M6" s="25" t="n">
        <f aca="false">IF(AND(5_Consolidada!$B$5=1,5_Consolidada!$C$5=1,ISNUMBER(5_Consolidada!BB5)),5_Consolidada!BB5,"")</f>
        <v>-4.8</v>
      </c>
      <c r="N6" s="25" t="str">
        <f aca="false">IF(AND(5_Consolidada!$B$5=1,5_Consolidada!$C$5=2,ISNUMBER(5_Consolidada!BB5)),5_Consolidada!BB5,"")</f>
        <v/>
      </c>
    </row>
    <row r="7" customFormat="false" ht="30" hidden="false" customHeight="true" outlineLevel="0" collapsed="false">
      <c r="A7" s="18" t="n">
        <v>2</v>
      </c>
      <c r="B7" s="5" t="s">
        <v>202</v>
      </c>
      <c r="C7" s="18" t="str">
        <f aca="false">COUNTA(2b_POST_TRABAJO!A5:A48)&amp;" / "&amp;SUMPRODUCT(1/COUNTIF(2b_POST_TRABAJO!A5:A48,2b_POST_TRABAJO!A5:A48))</f>
        <v>44 / 43</v>
      </c>
      <c r="D7" s="18" t="s">
        <v>203</v>
      </c>
      <c r="E7" s="31" t="str">
        <f aca="false">IF(C7=D7,"VERDE","REVISAR")</f>
        <v>REVISAR</v>
      </c>
      <c r="F7" s="32" t="s">
        <v>204</v>
      </c>
      <c r="I7" s="25" t="n">
        <f aca="false">IF(AND(5_Consolidada!$B$6=1,5_Consolidada!$C$6=1,ISNUMBER(5_Consolidada!J6)),5_Consolidada!J6,"")</f>
        <v>6.5</v>
      </c>
      <c r="J7" s="25" t="str">
        <f aca="false">IF(AND(5_Consolidada!$B$6=1,5_Consolidada!$C$6=2,ISNUMBER(5_Consolidada!J6)),5_Consolidada!J6,"")</f>
        <v/>
      </c>
      <c r="K7" s="25" t="n">
        <f aca="false">IF(AND(5_Consolidada!$B$6=1,5_Consolidada!$C$6=1,ISNUMBER(5_Consolidada!K6)),5_Consolidada!K6,"")</f>
        <v>3.8</v>
      </c>
      <c r="L7" s="25" t="str">
        <f aca="false">IF(AND(5_Consolidada!$B$6=1,5_Consolidada!$C$6=2,ISNUMBER(5_Consolidada!K6)),5_Consolidada!K6,"")</f>
        <v/>
      </c>
      <c r="M7" s="25" t="n">
        <f aca="false">IF(AND(5_Consolidada!$B$6=1,5_Consolidada!$C$6=1,ISNUMBER(5_Consolidada!BB6)),5_Consolidada!BB6,"")</f>
        <v>-2.7</v>
      </c>
      <c r="N7" s="25" t="str">
        <f aca="false">IF(AND(5_Consolidada!$B$6=1,5_Consolidada!$C$6=2,ISNUMBER(5_Consolidada!BB6)),5_Consolidada!BB6,"")</f>
        <v/>
      </c>
    </row>
    <row r="8" customFormat="false" ht="30" hidden="false" customHeight="true" outlineLevel="0" collapsed="false">
      <c r="A8" s="18" t="n">
        <v>3</v>
      </c>
      <c r="B8" s="5" t="s">
        <v>205</v>
      </c>
      <c r="C8" s="18" t="n">
        <f aca="false">4_Conciliacion!B58+4_Conciliacion!B59</f>
        <v>2</v>
      </c>
      <c r="D8" s="18" t="n">
        <v>0</v>
      </c>
      <c r="E8" s="31" t="str">
        <f aca="false">IF(C8=0,"VERDE","ROJO")</f>
        <v>ROJO</v>
      </c>
      <c r="F8" s="32" t="s">
        <v>206</v>
      </c>
      <c r="I8" s="25" t="n">
        <f aca="false">IF(AND(5_Consolidada!$B$7=1,5_Consolidada!$C$7=1,ISNUMBER(5_Consolidada!J7)),5_Consolidada!J7,"")</f>
        <v>12.8</v>
      </c>
      <c r="J8" s="25" t="str">
        <f aca="false">IF(AND(5_Consolidada!$B$7=1,5_Consolidada!$C$7=2,ISNUMBER(5_Consolidada!J7)),5_Consolidada!J7,"")</f>
        <v/>
      </c>
      <c r="K8" s="25" t="n">
        <f aca="false">IF(AND(5_Consolidada!$B$7=1,5_Consolidada!$C$7=1,ISNUMBER(5_Consolidada!K7)),5_Consolidada!K7,"")</f>
        <v>8.1</v>
      </c>
      <c r="L8" s="25" t="str">
        <f aca="false">IF(AND(5_Consolidada!$B$7=1,5_Consolidada!$C$7=2,ISNUMBER(5_Consolidada!K7)),5_Consolidada!K7,"")</f>
        <v/>
      </c>
      <c r="M8" s="25" t="n">
        <f aca="false">IF(AND(5_Consolidada!$B$7=1,5_Consolidada!$C$7=1,ISNUMBER(5_Consolidada!BB7)),5_Consolidada!BB7,"")</f>
        <v>-4.7</v>
      </c>
      <c r="N8" s="25" t="str">
        <f aca="false">IF(AND(5_Consolidada!$B$7=1,5_Consolidada!$C$7=2,ISNUMBER(5_Consolidada!BB7)),5_Consolidada!BB7,"")</f>
        <v/>
      </c>
    </row>
    <row r="9" customFormat="false" ht="30" hidden="false" customHeight="true" outlineLevel="0" collapsed="false">
      <c r="A9" s="18" t="n">
        <v>4</v>
      </c>
      <c r="B9" s="5" t="s">
        <v>207</v>
      </c>
      <c r="C9" s="18" t="n">
        <f aca="false">4_Conciliacion!B60</f>
        <v>1</v>
      </c>
      <c r="D9" s="18" t="n">
        <v>0</v>
      </c>
      <c r="E9" s="31" t="str">
        <f aca="false">IF(C9=0,"VERDE","ROJO")</f>
        <v>ROJO</v>
      </c>
      <c r="F9" s="32" t="s">
        <v>208</v>
      </c>
      <c r="I9" s="25" t="n">
        <f aca="false">IF(AND(5_Consolidada!$B$8=1,5_Consolidada!$C$8=1,ISNUMBER(5_Consolidada!J8)),5_Consolidada!J8,"")</f>
        <v>11.8</v>
      </c>
      <c r="J9" s="25" t="str">
        <f aca="false">IF(AND(5_Consolidada!$B$8=1,5_Consolidada!$C$8=2,ISNUMBER(5_Consolidada!J8)),5_Consolidada!J8,"")</f>
        <v/>
      </c>
      <c r="K9" s="25" t="n">
        <f aca="false">IF(AND(5_Consolidada!$B$8=1,5_Consolidada!$C$8=1,ISNUMBER(5_Consolidada!K8)),5_Consolidada!K8,"")</f>
        <v>6</v>
      </c>
      <c r="L9" s="25" t="str">
        <f aca="false">IF(AND(5_Consolidada!$B$8=1,5_Consolidada!$C$8=2,ISNUMBER(5_Consolidada!K8)),5_Consolidada!K8,"")</f>
        <v/>
      </c>
      <c r="M9" s="25" t="n">
        <f aca="false">IF(AND(5_Consolidada!$B$8=1,5_Consolidada!$C$8=1,ISNUMBER(5_Consolidada!BB8)),5_Consolidada!BB8,"")</f>
        <v>-5.8</v>
      </c>
      <c r="N9" s="25" t="str">
        <f aca="false">IF(AND(5_Consolidada!$B$8=1,5_Consolidada!$C$8=2,ISNUMBER(5_Consolidada!BB8)),5_Consolidada!BB8,"")</f>
        <v/>
      </c>
    </row>
    <row r="10" customFormat="false" ht="30" hidden="false" customHeight="true" outlineLevel="0" collapsed="false">
      <c r="A10" s="18" t="n">
        <v>5</v>
      </c>
      <c r="B10" s="5" t="s">
        <v>158</v>
      </c>
      <c r="C10" s="18" t="n">
        <f aca="false">4_Conciliacion!B56</f>
        <v>5</v>
      </c>
      <c r="D10" s="18" t="n">
        <v>4</v>
      </c>
      <c r="E10" s="31" t="str">
        <f aca="false">IF(C10=D10,"VERDE","REVISAR")</f>
        <v>REVISAR</v>
      </c>
      <c r="F10" s="32" t="s">
        <v>209</v>
      </c>
      <c r="I10" s="25" t="n">
        <f aca="false">IF(AND(5_Consolidada!$B$9=1,5_Consolidada!$C$9=1,ISNUMBER(5_Consolidada!J9)),5_Consolidada!J9,"")</f>
        <v>13.5</v>
      </c>
      <c r="J10" s="25" t="str">
        <f aca="false">IF(AND(5_Consolidada!$B$9=1,5_Consolidada!$C$9=2,ISNUMBER(5_Consolidada!J9)),5_Consolidada!J9,"")</f>
        <v/>
      </c>
      <c r="K10" s="25" t="n">
        <f aca="false">IF(AND(5_Consolidada!$B$9=1,5_Consolidada!$C$9=1,ISNUMBER(5_Consolidada!K9)),5_Consolidada!K9,"")</f>
        <v>7.6</v>
      </c>
      <c r="L10" s="25" t="str">
        <f aca="false">IF(AND(5_Consolidada!$B$9=1,5_Consolidada!$C$9=2,ISNUMBER(5_Consolidada!K9)),5_Consolidada!K9,"")</f>
        <v/>
      </c>
      <c r="M10" s="25" t="n">
        <f aca="false">IF(AND(5_Consolidada!$B$9=1,5_Consolidada!$C$9=1,ISNUMBER(5_Consolidada!BB9)),5_Consolidada!BB9,"")</f>
        <v>-5.9</v>
      </c>
      <c r="N10" s="25" t="str">
        <f aca="false">IF(AND(5_Consolidada!$B$9=1,5_Consolidada!$C$9=2,ISNUMBER(5_Consolidada!BB9)),5_Consolidada!BB9,"")</f>
        <v/>
      </c>
    </row>
    <row r="11" customFormat="false" ht="30" hidden="false" customHeight="true" outlineLevel="0" collapsed="false">
      <c r="A11" s="18" t="n">
        <v>6</v>
      </c>
      <c r="B11" s="5" t="s">
        <v>159</v>
      </c>
      <c r="C11" s="18" t="n">
        <f aca="false">4_Conciliacion!B57</f>
        <v>1</v>
      </c>
      <c r="D11" s="18" t="n">
        <v>1</v>
      </c>
      <c r="E11" s="31" t="str">
        <f aca="false">IF(C11=D11,"VERDE","REVISAR")</f>
        <v>VERDE</v>
      </c>
      <c r="F11" s="32" t="s">
        <v>210</v>
      </c>
      <c r="I11" s="25" t="n">
        <f aca="false">IF(AND(5_Consolidada!$B$10=1,5_Consolidada!$C$10=1,ISNUMBER(5_Consolidada!J10)),5_Consolidada!J10,"")</f>
        <v>10.1</v>
      </c>
      <c r="J11" s="25" t="str">
        <f aca="false">IF(AND(5_Consolidada!$B$10=1,5_Consolidada!$C$10=2,ISNUMBER(5_Consolidada!J10)),5_Consolidada!J10,"")</f>
        <v/>
      </c>
      <c r="K11" s="25" t="n">
        <f aca="false">IF(AND(5_Consolidada!$B$10=1,5_Consolidada!$C$10=1,ISNUMBER(5_Consolidada!K10)),5_Consolidada!K10,"")</f>
        <v>5.2</v>
      </c>
      <c r="L11" s="25" t="str">
        <f aca="false">IF(AND(5_Consolidada!$B$10=1,5_Consolidada!$C$10=2,ISNUMBER(5_Consolidada!K10)),5_Consolidada!K10,"")</f>
        <v/>
      </c>
      <c r="M11" s="25" t="n">
        <f aca="false">IF(AND(5_Consolidada!$B$10=1,5_Consolidada!$C$10=1,ISNUMBER(5_Consolidada!BB10)),5_Consolidada!BB10,"")</f>
        <v>-4.9</v>
      </c>
      <c r="N11" s="25" t="str">
        <f aca="false">IF(AND(5_Consolidada!$B$10=1,5_Consolidada!$C$10=2,ISNUMBER(5_Consolidada!BB10)),5_Consolidada!BB10,"")</f>
        <v/>
      </c>
    </row>
    <row r="12" customFormat="false" ht="30" hidden="false" customHeight="true" outlineLevel="0" collapsed="false">
      <c r="A12" s="18" t="n">
        <v>7</v>
      </c>
      <c r="B12" s="5" t="s">
        <v>163</v>
      </c>
      <c r="C12" s="18" t="n">
        <f aca="false">4_Conciliacion!B61</f>
        <v>1</v>
      </c>
      <c r="D12" s="18" t="n">
        <v>0</v>
      </c>
      <c r="E12" s="31" t="str">
        <f aca="false">IF(C12=0,"VERDE","ROJO")</f>
        <v>ROJO</v>
      </c>
      <c r="F12" s="32" t="s">
        <v>211</v>
      </c>
      <c r="I12" s="25" t="n">
        <f aca="false">IF(AND(5_Consolidada!$B$11=1,5_Consolidada!$C$11=1,ISNUMBER(5_Consolidada!J11)),5_Consolidada!J11,"")</f>
        <v>12.9</v>
      </c>
      <c r="J12" s="25" t="str">
        <f aca="false">IF(AND(5_Consolidada!$B$11=1,5_Consolidada!$C$11=2,ISNUMBER(5_Consolidada!J11)),5_Consolidada!J11,"")</f>
        <v/>
      </c>
      <c r="K12" s="25" t="str">
        <f aca="false">IF(AND(5_Consolidada!$B$11=1,5_Consolidada!$C$11=1,ISNUMBER(5_Consolidada!K11)),5_Consolidada!K11,"")</f>
        <v/>
      </c>
      <c r="L12" s="25" t="str">
        <f aca="false">IF(AND(5_Consolidada!$B$11=1,5_Consolidada!$C$11=2,ISNUMBER(5_Consolidada!K11)),5_Consolidada!K11,"")</f>
        <v/>
      </c>
      <c r="M12" s="25" t="str">
        <f aca="false">IF(AND(5_Consolidada!$B$11=1,5_Consolidada!$C$11=1,ISNUMBER(5_Consolidada!BB11)),5_Consolidada!BB11,"")</f>
        <v/>
      </c>
      <c r="N12" s="25" t="str">
        <f aca="false">IF(AND(5_Consolidada!$B$11=1,5_Consolidada!$C$11=2,ISNUMBER(5_Consolidada!BB11)),5_Consolidada!BB11,"")</f>
        <v/>
      </c>
    </row>
    <row r="13" customFormat="false" ht="30" hidden="false" customHeight="true" outlineLevel="0" collapsed="false">
      <c r="A13" s="18" t="n">
        <v>8</v>
      </c>
      <c r="B13" s="5" t="s">
        <v>212</v>
      </c>
      <c r="C13" s="18" t="str">
        <f aca="false">SUMPRODUCT((5_Consolidada!$B$5:$B$50=1)*(5_Consolidada!$C$5:$C$50=1))&amp;" / "&amp;SUMPRODUCT((5_Consolidada!$B$5:$B$50=1)*(5_Consolidada!$C$5:$C$50=2))&amp;" / "&amp;COUNTIF(5_Consolidada!$B$5:$B$50,1)</f>
        <v>24 / 22 / 46</v>
      </c>
      <c r="D13" s="18" t="s">
        <v>213</v>
      </c>
      <c r="E13" s="31" t="str">
        <f aca="false">IF(C13=D13,"VERDE","REVISAR")</f>
        <v>REVISAR</v>
      </c>
      <c r="F13" s="32" t="s">
        <v>214</v>
      </c>
      <c r="I13" s="25" t="n">
        <f aca="false">IF(AND(5_Consolidada!$B$12=1,5_Consolidada!$C$12=1,ISNUMBER(5_Consolidada!J12)),5_Consolidada!J12,"")</f>
        <v>10.6</v>
      </c>
      <c r="J13" s="25" t="str">
        <f aca="false">IF(AND(5_Consolidada!$B$12=1,5_Consolidada!$C$12=2,ISNUMBER(5_Consolidada!J12)),5_Consolidada!J12,"")</f>
        <v/>
      </c>
      <c r="K13" s="25" t="n">
        <f aca="false">IF(AND(5_Consolidada!$B$12=1,5_Consolidada!$C$12=1,ISNUMBER(5_Consolidada!K12)),5_Consolidada!K12,"")</f>
        <v>5.2</v>
      </c>
      <c r="L13" s="25" t="str">
        <f aca="false">IF(AND(5_Consolidada!$B$12=1,5_Consolidada!$C$12=2,ISNUMBER(5_Consolidada!K12)),5_Consolidada!K12,"")</f>
        <v/>
      </c>
      <c r="M13" s="25" t="n">
        <f aca="false">IF(AND(5_Consolidada!$B$12=1,5_Consolidada!$C$12=1,ISNUMBER(5_Consolidada!BB12)),5_Consolidada!BB12,"")</f>
        <v>-5.4</v>
      </c>
      <c r="N13" s="25" t="str">
        <f aca="false">IF(AND(5_Consolidada!$B$12=1,5_Consolidada!$C$12=2,ISNUMBER(5_Consolidada!BB12)),5_Consolidada!BB12,"")</f>
        <v/>
      </c>
    </row>
    <row r="14" customFormat="false" ht="15" hidden="false" customHeight="false" outlineLevel="0" collapsed="false">
      <c r="A14" s="22"/>
      <c r="B14" s="30" t="s">
        <v>215</v>
      </c>
      <c r="C14" s="22"/>
      <c r="D14" s="22"/>
      <c r="E14" s="22"/>
      <c r="F14" s="22"/>
      <c r="I14" s="25" t="n">
        <f aca="false">IF(AND(5_Consolidada!$B$13=1,5_Consolidada!$C$13=1,ISNUMBER(5_Consolidada!J13)),5_Consolidada!J13,"")</f>
        <v>7.7</v>
      </c>
      <c r="J14" s="25" t="str">
        <f aca="false">IF(AND(5_Consolidada!$B$13=1,5_Consolidada!$C$13=2,ISNUMBER(5_Consolidada!J13)),5_Consolidada!J13,"")</f>
        <v/>
      </c>
      <c r="K14" s="25" t="n">
        <f aca="false">IF(AND(5_Consolidada!$B$13=1,5_Consolidada!$C$13=1,ISNUMBER(5_Consolidada!K13)),5_Consolidada!K13,"")</f>
        <v>5.1</v>
      </c>
      <c r="L14" s="25" t="str">
        <f aca="false">IF(AND(5_Consolidada!$B$13=1,5_Consolidada!$C$13=2,ISNUMBER(5_Consolidada!K13)),5_Consolidada!K13,"")</f>
        <v/>
      </c>
      <c r="M14" s="25" t="n">
        <f aca="false">IF(AND(5_Consolidada!$B$13=1,5_Consolidada!$C$13=1,ISNUMBER(5_Consolidada!BB13)),5_Consolidada!BB13,"")</f>
        <v>-2.6</v>
      </c>
      <c r="N14" s="25" t="str">
        <f aca="false">IF(AND(5_Consolidada!$B$13=1,5_Consolidada!$C$13=2,ISNUMBER(5_Consolidada!BB13)),5_Consolidada!BB13,"")</f>
        <v/>
      </c>
    </row>
    <row r="15" customFormat="false" ht="30" hidden="false" customHeight="true" outlineLevel="0" collapsed="false">
      <c r="A15" s="18" t="n">
        <v>9</v>
      </c>
      <c r="B15" s="5" t="s">
        <v>216</v>
      </c>
      <c r="C15" s="18" t="n">
        <f aca="false">SUMPRODUCT((5_Consolidada!$B$5:$B$50=1)*(5_Consolidada!$J$5:$J$50=""))+SUMPRODUCT((5_Consolidada!$B$5:$B$50=1)*(5_Consolidada!$K$5:$K$50=""))+SUMPRODUCT((5_Consolidada!$B$5:$B$50=1)*(5_Consolidada!$L$5:$L$50=""))+SUMPRODUCT((5_Consolidada!$B$5:$B$50=1)*(5_Consolidada!$M$5:$M$50=""))+SUMPRODUCT((5_Consolidada!$B$5:$B$50=1)*(5_Consolidada!$N$5:$N$50=""))+SUMPRODUCT((5_Consolidada!$B$5:$B$50=1)*(5_Consolidada!$O$5:$O$50=""))+SUMPRODUCT((5_Consolidada!$B$5:$B$50=1)*(5_Consolidada!$P$5:$P$50=""))+SUMPRODUCT((5_Consolidada!$B$5:$B$50=1)*(5_Consolidada!$Q$5:$Q$50=""))+SUMPRODUCT((5_Consolidada!$B$5:$B$50=1)*(5_Consolidada!$R$5:$R$50=""))+SUMPRODUCT((5_Consolidada!$B$5:$B$50=1)*(5_Consolidada!$S$5:$S$50=""))+SUMPRODUCT((5_Consolidada!$B$5:$B$50=1)*(5_Consolidada!$T$5:$T$50=""))+SUMPRODUCT((5_Consolidada!$B$5:$B$50=1)*(5_Consolidada!$U$5:$U$50=""))+SUMPRODUCT((5_Consolidada!$B$5:$B$50=1)*(5_Consolidada!$V$5:$V$50=""))+SUMPRODUCT((5_Consolidada!$B$5:$B$50=1)*(5_Consolidada!$W$5:$W$50=""))+SUMPRODUCT((5_Consolidada!$B$5:$B$50=1)*(5_Consolidada!$X$5:$X$50=""))+SUMPRODUCT((5_Consolidada!$B$5:$B$50=1)*(5_Consolidada!$Y$5:$Y$50=""))+SUMPRODUCT((5_Consolidada!$B$5:$B$50=1)*(5_Consolidada!$Z$5:$Z$50=""))+SUMPRODUCT((5_Consolidada!$B$5:$B$50=1)*(5_Consolidada!$AA$5:$AA$50=""))+SUMPRODUCT((5_Consolidada!$B$5:$B$50=1)*(5_Consolidada!$AB$5:$AB$50=""))+SUMPRODUCT((5_Consolidada!$B$5:$B$50=1)*(5_Consolidada!$AC$5:$AC$50=""))+SUMPRODUCT((5_Consolidada!$B$5:$B$50=1)*(5_Consolidada!$AD$5:$AD$50=""))+SUMPRODUCT((5_Consolidada!$B$5:$B$50=1)*(5_Consolidada!$AE$5:$AE$50=""))+SUMPRODUCT((5_Consolidada!$B$5:$B$50=1)*(5_Consolidada!$AF$5:$AF$50=""))+SUMPRODUCT((5_Consolidada!$B$5:$B$50=1)*(5_Consolidada!$AG$5:$AG$50=""))+SUMPRODUCT((5_Consolidada!$B$5:$B$50=1)*(5_Consolidada!$AH$5:$AH$50=""))+SUMPRODUCT((5_Consolidada!$B$5:$B$50=1)*(5_Consolidada!$AI$5:$AI$50=""))+SUMPRODUCT((5_Consolidada!$B$5:$B$50=1)*(5_Consolidada!$AJ$5:$AJ$50=""))+SUMPRODUCT((5_Consolidada!$B$5:$B$50=1)*(5_Consolidada!$AK$5:$AK$50=""))+SUMPRODUCT((5_Consolidada!$B$5:$B$50=1)*(5_Consolidada!$AL$5:$AL$50=""))+SUMPRODUCT((5_Consolidada!$B$5:$B$50=1)*(5_Consolidada!$AM$5:$AM$50=""))+SUMPRODUCT((5_Consolidada!$B$5:$B$50=1)*(5_Consolidada!$AN$5:$AN$50=""))+SUMPRODUCT((5_Consolidada!$B$5:$B$50=1)*(5_Consolidada!$AO$5:$AO$50=""))+SUMPRODUCT((5_Consolidada!$B$5:$B$50=1)*(5_Consolidada!$AP$5:$AP$50=""))+SUMPRODUCT((5_Consolidada!$B$5:$B$50=1)*(5_Consolidada!$AQ$5:$AQ$50=""))</f>
        <v>89</v>
      </c>
      <c r="D15" s="18" t="s">
        <v>217</v>
      </c>
      <c r="E15" s="31" t="str">
        <f aca="false">IF(C15&lt;=0.02*34*COUNTIF(5_Consolidada!$B$5:$B$50,1),"VERDE","ROJO")</f>
        <v>ROJO</v>
      </c>
      <c r="F15" s="32" t="s">
        <v>218</v>
      </c>
      <c r="I15" s="25" t="n">
        <f aca="false">IF(AND(5_Consolidada!$B$14=1,5_Consolidada!$C$14=1,ISNUMBER(5_Consolidada!J14)),5_Consolidada!J14,"")</f>
        <v>13.6</v>
      </c>
      <c r="J15" s="25" t="str">
        <f aca="false">IF(AND(5_Consolidada!$B$14=1,5_Consolidada!$C$14=2,ISNUMBER(5_Consolidada!J14)),5_Consolidada!J14,"")</f>
        <v/>
      </c>
      <c r="K15" s="25" t="n">
        <f aca="false">IF(AND(5_Consolidada!$B$14=1,5_Consolidada!$C$14=1,ISNUMBER(5_Consolidada!K14)),5_Consolidada!K14,"")</f>
        <v>6.9</v>
      </c>
      <c r="L15" s="25" t="str">
        <f aca="false">IF(AND(5_Consolidada!$B$14=1,5_Consolidada!$C$14=2,ISNUMBER(5_Consolidada!K14)),5_Consolidada!K14,"")</f>
        <v/>
      </c>
      <c r="M15" s="25" t="n">
        <f aca="false">IF(AND(5_Consolidada!$B$14=1,5_Consolidada!$C$14=1,ISNUMBER(5_Consolidada!BB14)),5_Consolidada!BB14,"")</f>
        <v>-6.7</v>
      </c>
      <c r="N15" s="25" t="str">
        <f aca="false">IF(AND(5_Consolidada!$B$14=1,5_Consolidada!$C$14=2,ISNUMBER(5_Consolidada!BB14)),5_Consolidada!BB14,"")</f>
        <v/>
      </c>
    </row>
    <row r="16" customFormat="false" ht="30" hidden="false" customHeight="true" outlineLevel="0" collapsed="false">
      <c r="A16" s="18" t="n">
        <v>10</v>
      </c>
      <c r="B16" s="5" t="s">
        <v>219</v>
      </c>
      <c r="C16" s="33" t="n">
        <f aca="false">IFERROR(ROUND(100*C15/(34*COUNTIF(5_Consolidada!$B$5:$B$50,1)),2),0)</f>
        <v>5.69</v>
      </c>
      <c r="D16" s="18" t="n">
        <v>2</v>
      </c>
      <c r="E16" s="31" t="str">
        <f aca="false">IF(C16&lt;=D16,"VERDE","ROJO")</f>
        <v>ROJO</v>
      </c>
      <c r="F16" s="32" t="s">
        <v>220</v>
      </c>
      <c r="I16" s="25" t="n">
        <f aca="false">IF(AND(5_Consolidada!$B$15=1,5_Consolidada!$C$15=1,ISNUMBER(5_Consolidada!J15)),5_Consolidada!J15,"")</f>
        <v>48</v>
      </c>
      <c r="J16" s="25" t="str">
        <f aca="false">IF(AND(5_Consolidada!$B$15=1,5_Consolidada!$C$15=2,ISNUMBER(5_Consolidada!J15)),5_Consolidada!J15,"")</f>
        <v/>
      </c>
      <c r="K16" s="25" t="n">
        <f aca="false">IF(AND(5_Consolidada!$B$15=1,5_Consolidada!$C$15=1,ISNUMBER(5_Consolidada!K15)),5_Consolidada!K15,"")</f>
        <v>8.8</v>
      </c>
      <c r="L16" s="25" t="str">
        <f aca="false">IF(AND(5_Consolidada!$B$15=1,5_Consolidada!$C$15=2,ISNUMBER(5_Consolidada!K15)),5_Consolidada!K15,"")</f>
        <v/>
      </c>
      <c r="M16" s="25" t="n">
        <f aca="false">IF(AND(5_Consolidada!$B$15=1,5_Consolidada!$C$15=1,ISNUMBER(5_Consolidada!BB15)),5_Consolidada!BB15,"")</f>
        <v>-39.2</v>
      </c>
      <c r="N16" s="25" t="str">
        <f aca="false">IF(AND(5_Consolidada!$B$15=1,5_Consolidada!$C$15=2,ISNUMBER(5_Consolidada!BB15)),5_Consolidada!BB15,"")</f>
        <v/>
      </c>
    </row>
    <row r="17" customFormat="false" ht="30" hidden="false" customHeight="true" outlineLevel="0" collapsed="false">
      <c r="A17" s="18" t="n">
        <v>11</v>
      </c>
      <c r="B17" s="5" t="s">
        <v>221</v>
      </c>
      <c r="C17" s="18" t="n">
        <f aca="false">SUMPRODUCT((5_Consolidada!$B$5:$B$50=1)*(5_Consolidada!$AZ$5:$AZ$50=""))</f>
        <v>6</v>
      </c>
      <c r="D17" s="18" t="s">
        <v>222</v>
      </c>
      <c r="E17" s="31" t="str">
        <f aca="false">IF(C17&lt;=1,"ÁMBAR","ROJO")</f>
        <v>ROJO</v>
      </c>
      <c r="F17" s="32" t="s">
        <v>223</v>
      </c>
      <c r="I17" s="25" t="n">
        <f aca="false">IF(AND(5_Consolidada!$B$16=1,5_Consolidada!$C$16=1,ISNUMBER(5_Consolidada!J16)),5_Consolidada!J16,"")</f>
        <v>9.2</v>
      </c>
      <c r="J17" s="25" t="str">
        <f aca="false">IF(AND(5_Consolidada!$B$16=1,5_Consolidada!$C$16=2,ISNUMBER(5_Consolidada!J16)),5_Consolidada!J16,"")</f>
        <v/>
      </c>
      <c r="K17" s="25" t="n">
        <f aca="false">IF(AND(5_Consolidada!$B$16=1,5_Consolidada!$C$16=1,ISNUMBER(5_Consolidada!K16)),5_Consolidada!K16,"")</f>
        <v>5</v>
      </c>
      <c r="L17" s="25" t="str">
        <f aca="false">IF(AND(5_Consolidada!$B$16=1,5_Consolidada!$C$16=2,ISNUMBER(5_Consolidada!K16)),5_Consolidada!K16,"")</f>
        <v/>
      </c>
      <c r="M17" s="25" t="n">
        <f aca="false">IF(AND(5_Consolidada!$B$16=1,5_Consolidada!$C$16=1,ISNUMBER(5_Consolidada!BB16)),5_Consolidada!BB16,"")</f>
        <v>-4.2</v>
      </c>
      <c r="N17" s="25" t="str">
        <f aca="false">IF(AND(5_Consolidada!$B$16=1,5_Consolidada!$C$16=2,ISNUMBER(5_Consolidada!BB16)),5_Consolidada!BB16,"")</f>
        <v/>
      </c>
    </row>
    <row r="18" customFormat="false" ht="30" hidden="false" customHeight="true" outlineLevel="0" collapsed="false">
      <c r="A18" s="18" t="n">
        <v>12</v>
      </c>
      <c r="B18" s="5" t="s">
        <v>224</v>
      </c>
      <c r="C18" s="18" t="n">
        <f aca="false">SUMPRODUCT((5_Consolidada!$B$5:$B$50=1)*(5_Consolidada!$BE$5:$BE$50=1))</f>
        <v>0</v>
      </c>
      <c r="D18" s="18" t="s">
        <v>225</v>
      </c>
      <c r="E18" s="31" t="str">
        <f aca="false">IF(C18&lt;=0.05*COUNTIF(5_Consolidada!$B$5:$B$50,1),"ÁMBAR","ROJO")</f>
        <v>ÁMBAR</v>
      </c>
      <c r="F18" s="32" t="s">
        <v>226</v>
      </c>
      <c r="I18" s="25" t="n">
        <f aca="false">IF(AND(5_Consolidada!$B$17=1,5_Consolidada!$C$17=1,ISNUMBER(5_Consolidada!J17)),5_Consolidada!J17,"")</f>
        <v>15.1</v>
      </c>
      <c r="J18" s="25" t="str">
        <f aca="false">IF(AND(5_Consolidada!$B$17=1,5_Consolidada!$C$17=2,ISNUMBER(5_Consolidada!J17)),5_Consolidada!J17,"")</f>
        <v/>
      </c>
      <c r="K18" s="25" t="str">
        <f aca="false">IF(AND(5_Consolidada!$B$17=1,5_Consolidada!$C$17=1,ISNUMBER(5_Consolidada!K17)),5_Consolidada!K17,"")</f>
        <v/>
      </c>
      <c r="L18" s="25" t="str">
        <f aca="false">IF(AND(5_Consolidada!$B$17=1,5_Consolidada!$C$17=2,ISNUMBER(5_Consolidada!K17)),5_Consolidada!K17,"")</f>
        <v/>
      </c>
      <c r="M18" s="25" t="str">
        <f aca="false">IF(AND(5_Consolidada!$B$17=1,5_Consolidada!$C$17=1,ISNUMBER(5_Consolidada!BB17)),5_Consolidada!BB17,"")</f>
        <v/>
      </c>
      <c r="N18" s="25" t="str">
        <f aca="false">IF(AND(5_Consolidada!$B$17=1,5_Consolidada!$C$17=2,ISNUMBER(5_Consolidada!BB17)),5_Consolidada!BB17,"")</f>
        <v/>
      </c>
    </row>
    <row r="19" customFormat="false" ht="15" hidden="false" customHeight="false" outlineLevel="0" collapsed="false">
      <c r="A19" s="22"/>
      <c r="B19" s="30" t="s">
        <v>227</v>
      </c>
      <c r="C19" s="22"/>
      <c r="D19" s="22"/>
      <c r="E19" s="22"/>
      <c r="F19" s="22"/>
      <c r="I19" s="25" t="n">
        <f aca="false">IF(AND(5_Consolidada!$B$18=1,5_Consolidada!$C$18=1,ISNUMBER(5_Consolidada!J18)),5_Consolidada!J18,"")</f>
        <v>9.3</v>
      </c>
      <c r="J19" s="25" t="str">
        <f aca="false">IF(AND(5_Consolidada!$B$18=1,5_Consolidada!$C$18=2,ISNUMBER(5_Consolidada!J18)),5_Consolidada!J18,"")</f>
        <v/>
      </c>
      <c r="K19" s="25" t="n">
        <f aca="false">IF(AND(5_Consolidada!$B$18=1,5_Consolidada!$C$18=1,ISNUMBER(5_Consolidada!K18)),5_Consolidada!K18,"")</f>
        <v>6.2</v>
      </c>
      <c r="L19" s="25" t="str">
        <f aca="false">IF(AND(5_Consolidada!$B$18=1,5_Consolidada!$C$18=2,ISNUMBER(5_Consolidada!K18)),5_Consolidada!K18,"")</f>
        <v/>
      </c>
      <c r="M19" s="25" t="n">
        <f aca="false">IF(AND(5_Consolidada!$B$18=1,5_Consolidada!$C$18=1,ISNUMBER(5_Consolidada!BB18)),5_Consolidada!BB18,"")</f>
        <v>-3.1</v>
      </c>
      <c r="N19" s="25" t="str">
        <f aca="false">IF(AND(5_Consolidada!$B$18=1,5_Consolidada!$C$18=2,ISNUMBER(5_Consolidada!BB18)),5_Consolidada!BB18,"")</f>
        <v/>
      </c>
    </row>
    <row r="20" customFormat="false" ht="30" hidden="false" customHeight="true" outlineLevel="0" collapsed="false">
      <c r="A20" s="18" t="n">
        <v>13</v>
      </c>
      <c r="B20" s="5" t="s">
        <v>228</v>
      </c>
      <c r="C20" s="18" t="n">
        <f aca="false">SUMPRODUCT((5_Consolidada!$B$5:$B$50=1)*ISNUMBER(5_Consolidada!$N$5:$N$50)*((5_Consolidada!$N$5:$N$50&lt;1)+(5_Consolidada!$N$5:$N$50&gt;5)))+SUMPRODUCT((5_Consolidada!$B$5:$B$50=1)*ISNUMBER(5_Consolidada!$O$5:$O$50)*((5_Consolidada!$O$5:$O$50&lt;1)+(5_Consolidada!$O$5:$O$50&gt;5)))+SUMPRODUCT((5_Consolidada!$B$5:$B$50=1)*ISNUMBER(5_Consolidada!$P$5:$P$50)*((5_Consolidada!$P$5:$P$50&lt;1)+(5_Consolidada!$P$5:$P$50&gt;5)))+SUMPRODUCT((5_Consolidada!$B$5:$B$50=1)*ISNUMBER(5_Consolidada!$Q$5:$Q$50)*((5_Consolidada!$Q$5:$Q$50&lt;1)+(5_Consolidada!$Q$5:$Q$50&gt;5)))+SUMPRODUCT((5_Consolidada!$B$5:$B$50=1)*ISNUMBER(5_Consolidada!$R$5:$R$50)*((5_Consolidada!$R$5:$R$50&lt;1)+(5_Consolidada!$R$5:$R$50&gt;5)))+SUMPRODUCT((5_Consolidada!$B$5:$B$50=1)*ISNUMBER(5_Consolidada!$S$5:$S$50)*((5_Consolidada!$S$5:$S$50&lt;1)+(5_Consolidada!$S$5:$S$50&gt;5)))+SUMPRODUCT((5_Consolidada!$B$5:$B$50=1)*ISNUMBER(5_Consolidada!$T$5:$T$50)*((5_Consolidada!$T$5:$T$50&lt;1)+(5_Consolidada!$T$5:$T$50&gt;5)))+SUMPRODUCT((5_Consolidada!$B$5:$B$50=1)*ISNUMBER(5_Consolidada!$U$5:$U$50)*((5_Consolidada!$U$5:$U$50&lt;1)+(5_Consolidada!$U$5:$U$50&gt;5)))+SUMPRODUCT((5_Consolidada!$B$5:$B$50=1)*ISNUMBER(5_Consolidada!$V$5:$V$50)*((5_Consolidada!$V$5:$V$50&lt;1)+(5_Consolidada!$V$5:$V$50&gt;5)))+SUMPRODUCT((5_Consolidada!$B$5:$B$50=1)*ISNUMBER(5_Consolidada!$W$5:$W$50)*((5_Consolidada!$W$5:$W$50&lt;1)+(5_Consolidada!$W$5:$W$50&gt;5)))+SUMPRODUCT((5_Consolidada!$B$5:$B$50=1)*ISNUMBER(5_Consolidada!$X$5:$X$50)*((5_Consolidada!$X$5:$X$50&lt;1)+(5_Consolidada!$X$5:$X$50&gt;5)))+SUMPRODUCT((5_Consolidada!$B$5:$B$50=1)*ISNUMBER(5_Consolidada!$Y$5:$Y$50)*((5_Consolidada!$Y$5:$Y$50&lt;1)+(5_Consolidada!$Y$5:$Y$50&gt;5)))+SUMPRODUCT((5_Consolidada!$B$5:$B$50=1)*ISNUMBER(5_Consolidada!$Z$5:$Z$50)*((5_Consolidada!$Z$5:$Z$50&lt;1)+(5_Consolidada!$Z$5:$Z$50&gt;5)))+SUMPRODUCT((5_Consolidada!$B$5:$B$50=1)*ISNUMBER(5_Consolidada!$AA$5:$AA$50)*((5_Consolidada!$AA$5:$AA$50&lt;1)+(5_Consolidada!$AA$5:$AA$50&gt;5)))+SUMPRODUCT((5_Consolidada!$B$5:$B$50=1)*ISNUMBER(5_Consolidada!$AB$5:$AB$50)*((5_Consolidada!$AB$5:$AB$50&lt;1)+(5_Consolidada!$AB$5:$AB$50&gt;5)))+SUMPRODUCT((5_Consolidada!$B$5:$B$50=1)*ISNUMBER(5_Consolidada!$AC$5:$AC$50)*((5_Consolidada!$AC$5:$AC$50&lt;1)+(5_Consolidada!$AC$5:$AC$50&gt;5)))+SUMPRODUCT((5_Consolidada!$B$5:$B$50=1)*ISNUMBER(5_Consolidada!$AD$5:$AD$50)*((5_Consolidada!$AD$5:$AD$50&lt;1)+(5_Consolidada!$AD$5:$AD$50&gt;5)))+SUMPRODUCT((5_Consolidada!$B$5:$B$50=1)*ISNUMBER(5_Consolidada!$AE$5:$AE$50)*((5_Consolidada!$AE$5:$AE$50&lt;1)+(5_Consolidada!$AE$5:$AE$50&gt;5)))+SUMPRODUCT((5_Consolidada!$B$5:$B$50=1)*ISNUMBER(5_Consolidada!$AF$5:$AF$50)*((5_Consolidada!$AF$5:$AF$50&lt;1)+(5_Consolidada!$AF$5:$AF$50&gt;5)))+SUMPRODUCT((5_Consolidada!$B$5:$B$50=1)*ISNUMBER(5_Consolidada!$AG$5:$AG$50)*((5_Consolidada!$AG$5:$AG$50&lt;1)+(5_Consolidada!$AG$5:$AG$50&gt;5)))+SUMPRODUCT((5_Consolidada!$B$5:$B$50=1)*ISNUMBER(5_Consolidada!$AH$5:$AH$50)*((5_Consolidada!$AH$5:$AH$50&lt;1)+(5_Consolidada!$AH$5:$AH$50&gt;5)))+SUMPRODUCT((5_Consolidada!$B$5:$B$50=1)*ISNUMBER(5_Consolidada!$AI$5:$AI$50)*((5_Consolidada!$AI$5:$AI$50&lt;1)+(5_Consolidada!$AI$5:$AI$50&gt;5)))+SUMPRODUCT((5_Consolidada!$B$5:$B$50=1)*ISNUMBER(5_Consolidada!$AJ$5:$AJ$50)*((5_Consolidada!$AJ$5:$AJ$50&lt;1)+(5_Consolidada!$AJ$5:$AJ$50&gt;5)))+SUMPRODUCT((5_Consolidada!$B$5:$B$50=1)*ISNUMBER(5_Consolidada!$AK$5:$AK$50)*((5_Consolidada!$AK$5:$AK$50&lt;1)+(5_Consolidada!$AK$5:$AK$50&gt;5)))+SUMPRODUCT((5_Consolidada!$B$5:$B$50=1)*ISNUMBER(5_Consolidada!$AL$5:$AL$50)*((5_Consolidada!$AL$5:$AL$50&lt;1)+(5_Consolidada!$AL$5:$AL$50&gt;5)))+SUMPRODUCT((5_Consolidada!$B$5:$B$50=1)*ISNUMBER(5_Consolidada!$AM$5:$AM$50)*((5_Consolidada!$AM$5:$AM$50&lt;1)+(5_Consolidada!$AM$5:$AM$50&gt;5)))+SUMPRODUCT((5_Consolidada!$B$5:$B$50=1)*ISNUMBER(5_Consolidada!$AN$5:$AN$50)*((5_Consolidada!$AN$5:$AN$50&lt;1)+(5_Consolidada!$AN$5:$AN$50&gt;5)))+SUMPRODUCT((5_Consolidada!$B$5:$B$50=1)*ISNUMBER(5_Consolidada!$AO$5:$AO$50)*((5_Consolidada!$AO$5:$AO$50&lt;1)+(5_Consolidada!$AO$5:$AO$50&gt;5)))+SUMPRODUCT((5_Consolidada!$B$5:$B$50=1)*ISNUMBER(5_Consolidada!$AP$5:$AP$50)*((5_Consolidada!$AP$5:$AP$50&lt;1)+(5_Consolidada!$AP$5:$AP$50&gt;5)))+SUMPRODUCT((5_Consolidada!$B$5:$B$50=1)*ISNUMBER(5_Consolidada!$AQ$5:$AQ$50)*((5_Consolidada!$AQ$5:$AQ$50&lt;1)+(5_Consolidada!$AQ$5:$AQ$50&gt;5)))</f>
        <v>1</v>
      </c>
      <c r="D20" s="18" t="n">
        <v>0</v>
      </c>
      <c r="E20" s="31" t="str">
        <f aca="false">IF(C20=0,"VERDE","ROJO")</f>
        <v>ROJO</v>
      </c>
      <c r="F20" s="32" t="s">
        <v>229</v>
      </c>
      <c r="I20" s="25" t="n">
        <f aca="false">IF(AND(5_Consolidada!$B$19=1,5_Consolidada!$C$19=1,ISNUMBER(5_Consolidada!J19)),5_Consolidada!J19,"")</f>
        <v>10.6</v>
      </c>
      <c r="J20" s="25" t="str">
        <f aca="false">IF(AND(5_Consolidada!$B$19=1,5_Consolidada!$C$19=2,ISNUMBER(5_Consolidada!J19)),5_Consolidada!J19,"")</f>
        <v/>
      </c>
      <c r="K20" s="25" t="n">
        <f aca="false">IF(AND(5_Consolidada!$B$19=1,5_Consolidada!$C$19=1,ISNUMBER(5_Consolidada!K19)),5_Consolidada!K19,"")</f>
        <v>7.5</v>
      </c>
      <c r="L20" s="25" t="str">
        <f aca="false">IF(AND(5_Consolidada!$B$19=1,5_Consolidada!$C$19=2,ISNUMBER(5_Consolidada!K19)),5_Consolidada!K19,"")</f>
        <v/>
      </c>
      <c r="M20" s="25" t="n">
        <f aca="false">IF(AND(5_Consolidada!$B$19=1,5_Consolidada!$C$19=1,ISNUMBER(5_Consolidada!BB19)),5_Consolidada!BB19,"")</f>
        <v>-3.1</v>
      </c>
      <c r="N20" s="25" t="str">
        <f aca="false">IF(AND(5_Consolidada!$B$19=1,5_Consolidada!$C$19=2,ISNUMBER(5_Consolidada!BB19)),5_Consolidada!BB19,"")</f>
        <v/>
      </c>
    </row>
    <row r="21" customFormat="false" ht="30" hidden="false" customHeight="true" outlineLevel="0" collapsed="false">
      <c r="A21" s="18" t="n">
        <v>14</v>
      </c>
      <c r="B21" s="5" t="s">
        <v>230</v>
      </c>
      <c r="C21" s="18" t="n">
        <f aca="false">SUMPRODUCT((5_Consolidada!$B$5:$B$50=1)*ISNUMBER(5_Consolidada!$E$5:$E$50)*((5_Consolidada!$E$5:$E$50&lt;18)+(5_Consolidada!$E$5:$E$50&gt;70)))</f>
        <v>1</v>
      </c>
      <c r="D21" s="18" t="n">
        <v>0</v>
      </c>
      <c r="E21" s="31" t="str">
        <f aca="false">IF(C21=0,"VERDE","ROJO")</f>
        <v>ROJO</v>
      </c>
      <c r="F21" s="32" t="s">
        <v>231</v>
      </c>
      <c r="I21" s="25" t="n">
        <f aca="false">IF(AND(5_Consolidada!$B$20=1,5_Consolidada!$C$20=1,ISNUMBER(5_Consolidada!J20)),5_Consolidada!J20,"")</f>
        <v>9</v>
      </c>
      <c r="J21" s="25" t="str">
        <f aca="false">IF(AND(5_Consolidada!$B$20=1,5_Consolidada!$C$20=2,ISNUMBER(5_Consolidada!J20)),5_Consolidada!J20,"")</f>
        <v/>
      </c>
      <c r="K21" s="25" t="n">
        <f aca="false">IF(AND(5_Consolidada!$B$20=1,5_Consolidada!$C$20=1,ISNUMBER(5_Consolidada!K20)),5_Consolidada!K20,"")</f>
        <v>6</v>
      </c>
      <c r="L21" s="25" t="str">
        <f aca="false">IF(AND(5_Consolidada!$B$20=1,5_Consolidada!$C$20=2,ISNUMBER(5_Consolidada!K20)),5_Consolidada!K20,"")</f>
        <v/>
      </c>
      <c r="M21" s="25" t="n">
        <f aca="false">IF(AND(5_Consolidada!$B$20=1,5_Consolidada!$C$20=1,ISNUMBER(5_Consolidada!BB20)),5_Consolidada!BB20,"")</f>
        <v>-3</v>
      </c>
      <c r="N21" s="25" t="str">
        <f aca="false">IF(AND(5_Consolidada!$B$20=1,5_Consolidada!$C$20=2,ISNUMBER(5_Consolidada!BB20)),5_Consolidada!BB20,"")</f>
        <v/>
      </c>
    </row>
    <row r="22" customFormat="false" ht="30" hidden="false" customHeight="true" outlineLevel="0" collapsed="false">
      <c r="A22" s="18" t="n">
        <v>15</v>
      </c>
      <c r="B22" s="5" t="s">
        <v>232</v>
      </c>
      <c r="C22" s="18" t="n">
        <f aca="false">SUMPRODUCT((5_Consolidada!$B$5:$B$50=1)*ISNUMBER(5_Consolidada!$J$5:$J$50)*((5_Consolidada!$J$5:$J$50&lt;0.5)+(5_Consolidada!$J$5:$J$50&gt;60)))+SUMPRODUCT((5_Consolidada!$B$5:$B$50=1)*ISNUMBER(5_Consolidada!$K$5:$K$50)*((5_Consolidada!$K$5:$K$50&lt;0.5)+(5_Consolidada!$K$5:$K$50&gt;60)))</f>
        <v>1</v>
      </c>
      <c r="D22" s="18" t="n">
        <v>0</v>
      </c>
      <c r="E22" s="31" t="str">
        <f aca="false">IF(C22=0,"VERDE","ROJO")</f>
        <v>ROJO</v>
      </c>
      <c r="F22" s="32" t="s">
        <v>233</v>
      </c>
      <c r="I22" s="25" t="n">
        <f aca="false">IF(AND(5_Consolidada!$B$21=1,5_Consolidada!$C$21=1,ISNUMBER(5_Consolidada!J21)),5_Consolidada!J21,"")</f>
        <v>11.1</v>
      </c>
      <c r="J22" s="25" t="str">
        <f aca="false">IF(AND(5_Consolidada!$B$21=1,5_Consolidada!$C$21=2,ISNUMBER(5_Consolidada!J21)),5_Consolidada!J21,"")</f>
        <v/>
      </c>
      <c r="K22" s="25" t="n">
        <f aca="false">IF(AND(5_Consolidada!$B$21=1,5_Consolidada!$C$21=1,ISNUMBER(5_Consolidada!K21)),5_Consolidada!K21,"")</f>
        <v>7.3</v>
      </c>
      <c r="L22" s="25" t="str">
        <f aca="false">IF(AND(5_Consolidada!$B$21=1,5_Consolidada!$C$21=2,ISNUMBER(5_Consolidada!K21)),5_Consolidada!K21,"")</f>
        <v/>
      </c>
      <c r="M22" s="25" t="n">
        <f aca="false">IF(AND(5_Consolidada!$B$21=1,5_Consolidada!$C$21=1,ISNUMBER(5_Consolidada!BB21)),5_Consolidada!BB21,"")</f>
        <v>-3.8</v>
      </c>
      <c r="N22" s="25" t="str">
        <f aca="false">IF(AND(5_Consolidada!$B$21=1,5_Consolidada!$C$21=2,ISNUMBER(5_Consolidada!BB21)),5_Consolidada!BB21,"")</f>
        <v/>
      </c>
    </row>
    <row r="23" customFormat="false" ht="30" hidden="false" customHeight="true" outlineLevel="0" collapsed="false">
      <c r="A23" s="18" t="n">
        <v>16</v>
      </c>
      <c r="B23" s="5" t="s">
        <v>234</v>
      </c>
      <c r="C23" s="18" t="n">
        <f aca="false">SUMPRODUCT((5_Consolidada!$B$5:$B$50=1)*ISNUMBER(5_Consolidada!$L$5:$L$50)*((5_Consolidada!$L$5:$L$50&lt;0)+(5_Consolidada!$L$5:$L$50&gt;100)))+SUMPRODUCT((5_Consolidada!$B$5:$B$50=1)*ISNUMBER(5_Consolidada!$M$5:$M$50)*((5_Consolidada!$M$5:$M$50&lt;0)+(5_Consolidada!$M$5:$M$50&gt;100)))</f>
        <v>0</v>
      </c>
      <c r="D23" s="18" t="n">
        <v>0</v>
      </c>
      <c r="E23" s="31" t="str">
        <f aca="false">IF(C23=0,"VERDE","ROJO")</f>
        <v>VERDE</v>
      </c>
      <c r="F23" s="32" t="s">
        <v>235</v>
      </c>
      <c r="I23" s="25" t="n">
        <f aca="false">IF(AND(5_Consolidada!$B$22=1,5_Consolidada!$C$22=1,ISNUMBER(5_Consolidada!J22)),5_Consolidada!J22,"")</f>
        <v>15.8</v>
      </c>
      <c r="J23" s="25" t="str">
        <f aca="false">IF(AND(5_Consolidada!$B$22=1,5_Consolidada!$C$22=2,ISNUMBER(5_Consolidada!J22)),5_Consolidada!J22,"")</f>
        <v/>
      </c>
      <c r="K23" s="25" t="n">
        <f aca="false">IF(AND(5_Consolidada!$B$22=1,5_Consolidada!$C$22=1,ISNUMBER(5_Consolidada!K22)),5_Consolidada!K22,"")</f>
        <v>7</v>
      </c>
      <c r="L23" s="25" t="str">
        <f aca="false">IF(AND(5_Consolidada!$B$22=1,5_Consolidada!$C$22=2,ISNUMBER(5_Consolidada!K22)),5_Consolidada!K22,"")</f>
        <v/>
      </c>
      <c r="M23" s="25" t="n">
        <f aca="false">IF(AND(5_Consolidada!$B$22=1,5_Consolidada!$C$22=1,ISNUMBER(5_Consolidada!BB22)),5_Consolidada!BB22,"")</f>
        <v>-8.8</v>
      </c>
      <c r="N23" s="25" t="str">
        <f aca="false">IF(AND(5_Consolidada!$B$22=1,5_Consolidada!$C$22=2,ISNUMBER(5_Consolidada!BB22)),5_Consolidada!BB22,"")</f>
        <v/>
      </c>
    </row>
    <row r="24" customFormat="false" ht="30" hidden="false" customHeight="true" outlineLevel="0" collapsed="false">
      <c r="A24" s="18" t="n">
        <v>17</v>
      </c>
      <c r="B24" s="5" t="s">
        <v>236</v>
      </c>
      <c r="C24" s="18" t="n">
        <f aca="false">SUMPRODUCT((5_Consolidada!$B$5:$B$50=1)*(5_Consolidada!$E$5:$E$50&lt;&gt;"")*(1-ISNUMBER(5_Consolidada!$E$5:$E$50)))+SUMPRODUCT((5_Consolidada!$B$5:$B$50=1)*(5_Consolidada!$F$5:$F$50&lt;&gt;"")*(1-ISNUMBER(5_Consolidada!$F$5:$F$50)))+SUMPRODUCT((5_Consolidada!$B$5:$B$50=1)*(5_Consolidada!$G$5:$G$50&lt;&gt;"")*(1-ISNUMBER(5_Consolidada!$G$5:$G$50)))+SUMPRODUCT((5_Consolidada!$B$5:$B$50=1)*(5_Consolidada!$J$5:$J$50&lt;&gt;"")*(1-ISNUMBER(5_Consolidada!$J$5:$J$50)))+SUMPRODUCT((5_Consolidada!$B$5:$B$50=1)*(5_Consolidada!$K$5:$K$50&lt;&gt;"")*(1-ISNUMBER(5_Consolidada!$K$5:$K$50)))+SUMPRODUCT((5_Consolidada!$B$5:$B$50=1)*(5_Consolidada!$L$5:$L$50&lt;&gt;"")*(1-ISNUMBER(5_Consolidada!$L$5:$L$50)))+SUMPRODUCT((5_Consolidada!$B$5:$B$50=1)*(5_Consolidada!$M$5:$M$50&lt;&gt;"")*(1-ISNUMBER(5_Consolidada!$M$5:$M$50)))+SUMPRODUCT((5_Consolidada!$B$5:$B$50=1)*(5_Consolidada!$N$5:$N$50&lt;&gt;"")*(1-ISNUMBER(5_Consolidada!$N$5:$N$50)))+SUMPRODUCT((5_Consolidada!$B$5:$B$50=1)*(5_Consolidada!$O$5:$O$50&lt;&gt;"")*(1-ISNUMBER(5_Consolidada!$O$5:$O$50)))+SUMPRODUCT((5_Consolidada!$B$5:$B$50=1)*(5_Consolidada!$P$5:$P$50&lt;&gt;"")*(1-ISNUMBER(5_Consolidada!$P$5:$P$50)))+SUMPRODUCT((5_Consolidada!$B$5:$B$50=1)*(5_Consolidada!$Q$5:$Q$50&lt;&gt;"")*(1-ISNUMBER(5_Consolidada!$Q$5:$Q$50)))+SUMPRODUCT((5_Consolidada!$B$5:$B$50=1)*(5_Consolidada!$R$5:$R$50&lt;&gt;"")*(1-ISNUMBER(5_Consolidada!$R$5:$R$50)))+SUMPRODUCT((5_Consolidada!$B$5:$B$50=1)*(5_Consolidada!$S$5:$S$50&lt;&gt;"")*(1-ISNUMBER(5_Consolidada!$S$5:$S$50)))+SUMPRODUCT((5_Consolidada!$B$5:$B$50=1)*(5_Consolidada!$T$5:$T$50&lt;&gt;"")*(1-ISNUMBER(5_Consolidada!$T$5:$T$50)))+SUMPRODUCT((5_Consolidada!$B$5:$B$50=1)*(5_Consolidada!$U$5:$U$50&lt;&gt;"")*(1-ISNUMBER(5_Consolidada!$U$5:$U$50)))+SUMPRODUCT((5_Consolidada!$B$5:$B$50=1)*(5_Consolidada!$V$5:$V$50&lt;&gt;"")*(1-ISNUMBER(5_Consolidada!$V$5:$V$50)))+SUMPRODUCT((5_Consolidada!$B$5:$B$50=1)*(5_Consolidada!$W$5:$W$50&lt;&gt;"")*(1-ISNUMBER(5_Consolidada!$W$5:$W$50)))+SUMPRODUCT((5_Consolidada!$B$5:$B$50=1)*(5_Consolidada!$X$5:$X$50&lt;&gt;"")*(1-ISNUMBER(5_Consolidada!$X$5:$X$50)))+SUMPRODUCT((5_Consolidada!$B$5:$B$50=1)*(5_Consolidada!$Y$5:$Y$50&lt;&gt;"")*(1-ISNUMBER(5_Consolidada!$Y$5:$Y$50)))+SUMPRODUCT((5_Consolidada!$B$5:$B$50=1)*(5_Consolidada!$Z$5:$Z$50&lt;&gt;"")*(1-ISNUMBER(5_Consolidada!$Z$5:$Z$50)))+SUMPRODUCT((5_Consolidada!$B$5:$B$50=1)*(5_Consolidada!$AA$5:$AA$50&lt;&gt;"")*(1-ISNUMBER(5_Consolidada!$AA$5:$AA$50)))+SUMPRODUCT((5_Consolidada!$B$5:$B$50=1)*(5_Consolidada!$AB$5:$AB$50&lt;&gt;"")*(1-ISNUMBER(5_Consolidada!$AB$5:$AB$50)))+SUMPRODUCT((5_Consolidada!$B$5:$B$50=1)*(5_Consolidada!$AC$5:$AC$50&lt;&gt;"")*(1-ISNUMBER(5_Consolidada!$AC$5:$AC$50)))+SUMPRODUCT((5_Consolidada!$B$5:$B$50=1)*(5_Consolidada!$AD$5:$AD$50&lt;&gt;"")*(1-ISNUMBER(5_Consolidada!$AD$5:$AD$50)))+SUMPRODUCT((5_Consolidada!$B$5:$B$50=1)*(5_Consolidada!$AE$5:$AE$50&lt;&gt;"")*(1-ISNUMBER(5_Consolidada!$AE$5:$AE$50)))+SUMPRODUCT((5_Consolidada!$B$5:$B$50=1)*(5_Consolidada!$AF$5:$AF$50&lt;&gt;"")*(1-ISNUMBER(5_Consolidada!$AF$5:$AF$50)))+SUMPRODUCT((5_Consolidada!$B$5:$B$50=1)*(5_Consolidada!$AG$5:$AG$50&lt;&gt;"")*(1-ISNUMBER(5_Consolidada!$AG$5:$AG$50)))+SUMPRODUCT((5_Consolidada!$B$5:$B$50=1)*(5_Consolidada!$AH$5:$AH$50&lt;&gt;"")*(1-ISNUMBER(5_Consolidada!$AH$5:$AH$50)))+SUMPRODUCT((5_Consolidada!$B$5:$B$50=1)*(5_Consolidada!$AI$5:$AI$50&lt;&gt;"")*(1-ISNUMBER(5_Consolidada!$AI$5:$AI$50)))+SUMPRODUCT((5_Consolidada!$B$5:$B$50=1)*(5_Consolidada!$AJ$5:$AJ$50&lt;&gt;"")*(1-ISNUMBER(5_Consolidada!$AJ$5:$AJ$50)))+SUMPRODUCT((5_Consolidada!$B$5:$B$50=1)*(5_Consolidada!$AK$5:$AK$50&lt;&gt;"")*(1-ISNUMBER(5_Consolidada!$AK$5:$AK$50)))+SUMPRODUCT((5_Consolidada!$B$5:$B$50=1)*(5_Consolidada!$AL$5:$AL$50&lt;&gt;"")*(1-ISNUMBER(5_Consolidada!$AL$5:$AL$50)))+SUMPRODUCT((5_Consolidada!$B$5:$B$50=1)*(5_Consolidada!$AM$5:$AM$50&lt;&gt;"")*(1-ISNUMBER(5_Consolidada!$AM$5:$AM$50)))+SUMPRODUCT((5_Consolidada!$B$5:$B$50=1)*(5_Consolidada!$AN$5:$AN$50&lt;&gt;"")*(1-ISNUMBER(5_Consolidada!$AN$5:$AN$50)))+SUMPRODUCT((5_Consolidada!$B$5:$B$50=1)*(5_Consolidada!$AO$5:$AO$50&lt;&gt;"")*(1-ISNUMBER(5_Consolidada!$AO$5:$AO$50)))+SUMPRODUCT((5_Consolidada!$B$5:$B$50=1)*(5_Consolidada!$AP$5:$AP$50&lt;&gt;"")*(1-ISNUMBER(5_Consolidada!$AP$5:$AP$50)))+SUMPRODUCT((5_Consolidada!$B$5:$B$50=1)*(5_Consolidada!$AQ$5:$AQ$50&lt;&gt;"")*(1-ISNUMBER(5_Consolidada!$AQ$5:$AQ$50)))</f>
        <v>47</v>
      </c>
      <c r="D24" s="18" t="n">
        <v>0</v>
      </c>
      <c r="E24" s="31" t="str">
        <f aca="false">IF(C24=0,"VERDE","ROJO")</f>
        <v>ROJO</v>
      </c>
      <c r="F24" s="32" t="s">
        <v>237</v>
      </c>
      <c r="I24" s="25" t="n">
        <f aca="false">IF(AND(5_Consolidada!$B$23=1,5_Consolidada!$C$23=1,ISNUMBER(5_Consolidada!J23)),5_Consolidada!J23,"")</f>
        <v>9.2</v>
      </c>
      <c r="J24" s="25" t="str">
        <f aca="false">IF(AND(5_Consolidada!$B$23=1,5_Consolidada!$C$23=2,ISNUMBER(5_Consolidada!J23)),5_Consolidada!J23,"")</f>
        <v/>
      </c>
      <c r="K24" s="25" t="n">
        <f aca="false">IF(AND(5_Consolidada!$B$23=1,5_Consolidada!$C$23=1,ISNUMBER(5_Consolidada!K23)),5_Consolidada!K23,"")</f>
        <v>4.6</v>
      </c>
      <c r="L24" s="25" t="str">
        <f aca="false">IF(AND(5_Consolidada!$B$23=1,5_Consolidada!$C$23=2,ISNUMBER(5_Consolidada!K23)),5_Consolidada!K23,"")</f>
        <v/>
      </c>
      <c r="M24" s="25" t="n">
        <f aca="false">IF(AND(5_Consolidada!$B$23=1,5_Consolidada!$C$23=1,ISNUMBER(5_Consolidada!BB23)),5_Consolidada!BB23,"")</f>
        <v>-4.6</v>
      </c>
      <c r="N24" s="25" t="str">
        <f aca="false">IF(AND(5_Consolidada!$B$23=1,5_Consolidada!$C$23=2,ISNUMBER(5_Consolidada!BB23)),5_Consolidada!BB23,"")</f>
        <v/>
      </c>
    </row>
    <row r="25" customFormat="false" ht="30" hidden="false" customHeight="true" outlineLevel="0" collapsed="false">
      <c r="A25" s="18" t="n">
        <v>18</v>
      </c>
      <c r="B25" s="5" t="s">
        <v>238</v>
      </c>
      <c r="C25" s="18" t="n">
        <f aca="false">SUMPRODUCT((5_Consolidada!$B$5:$B$50=1)*ISNUMBER(5_Consolidada!$E$5:$E$50)*ISNUMBER(5_Consolidada!$F$5:$F$50)*(5_Consolidada!$F$5:$F$50&gt;5_Consolidada!$E$5:$E$50-18))</f>
        <v>2</v>
      </c>
      <c r="D25" s="18" t="n">
        <v>0</v>
      </c>
      <c r="E25" s="31" t="str">
        <f aca="false">IF(C25=0,"VERDE","ROJO")</f>
        <v>ROJO</v>
      </c>
      <c r="F25" s="32" t="s">
        <v>239</v>
      </c>
      <c r="I25" s="25" t="n">
        <f aca="false">IF(AND(5_Consolidada!$B$24=1,5_Consolidada!$C$24=1,ISNUMBER(5_Consolidada!J24)),5_Consolidada!J24,"")</f>
        <v>13</v>
      </c>
      <c r="J25" s="25" t="str">
        <f aca="false">IF(AND(5_Consolidada!$B$24=1,5_Consolidada!$C$24=2,ISNUMBER(5_Consolidada!J24)),5_Consolidada!J24,"")</f>
        <v/>
      </c>
      <c r="K25" s="25" t="n">
        <f aca="false">IF(AND(5_Consolidada!$B$24=1,5_Consolidada!$C$24=1,ISNUMBER(5_Consolidada!K24)),5_Consolidada!K24,"")</f>
        <v>5.6</v>
      </c>
      <c r="L25" s="25" t="str">
        <f aca="false">IF(AND(5_Consolidada!$B$24=1,5_Consolidada!$C$24=2,ISNUMBER(5_Consolidada!K24)),5_Consolidada!K24,"")</f>
        <v/>
      </c>
      <c r="M25" s="25" t="n">
        <f aca="false">IF(AND(5_Consolidada!$B$24=1,5_Consolidada!$C$24=1,ISNUMBER(5_Consolidada!BB24)),5_Consolidada!BB24,"")</f>
        <v>-7.4</v>
      </c>
      <c r="N25" s="25" t="str">
        <f aca="false">IF(AND(5_Consolidada!$B$24=1,5_Consolidada!$C$24=2,ISNUMBER(5_Consolidada!BB24)),5_Consolidada!BB24,"")</f>
        <v/>
      </c>
    </row>
    <row r="26" customFormat="false" ht="30" hidden="false" customHeight="true" outlineLevel="0" collapsed="false">
      <c r="A26" s="18" t="n">
        <v>19</v>
      </c>
      <c r="B26" s="5" t="s">
        <v>240</v>
      </c>
      <c r="C26" s="18" t="n">
        <f aca="false">SUMPRODUCT((5_Consolidada!$B$5:$B$50=1)*ISNUMBER(5_Consolidada!$I$5:$I$50)*((5_Consolidada!$I$5:$I$50&lt;DATE(2026,10,12))+(5_Consolidada!$I$5:$I$50&gt;DATE(2026,10,16))))</f>
        <v>1</v>
      </c>
      <c r="D26" s="18" t="n">
        <v>0</v>
      </c>
      <c r="E26" s="31" t="str">
        <f aca="false">IF(C26=0,"VERDE","ROJO")</f>
        <v>ROJO</v>
      </c>
      <c r="F26" s="32" t="s">
        <v>241</v>
      </c>
      <c r="I26" s="25" t="n">
        <f aca="false">IF(AND(5_Consolidada!$B$25=1,5_Consolidada!$C$25=1,ISNUMBER(5_Consolidada!J25)),5_Consolidada!J25,"")</f>
        <v>11.6</v>
      </c>
      <c r="J26" s="25" t="str">
        <f aca="false">IF(AND(5_Consolidada!$B$25=1,5_Consolidada!$C$25=2,ISNUMBER(5_Consolidada!J25)),5_Consolidada!J25,"")</f>
        <v/>
      </c>
      <c r="K26" s="25" t="n">
        <f aca="false">IF(AND(5_Consolidada!$B$25=1,5_Consolidada!$C$25=1,ISNUMBER(5_Consolidada!K25)),5_Consolidada!K25,"")</f>
        <v>7.7</v>
      </c>
      <c r="L26" s="25" t="str">
        <f aca="false">IF(AND(5_Consolidada!$B$25=1,5_Consolidada!$C$25=2,ISNUMBER(5_Consolidada!K25)),5_Consolidada!K25,"")</f>
        <v/>
      </c>
      <c r="M26" s="25" t="n">
        <f aca="false">IF(AND(5_Consolidada!$B$25=1,5_Consolidada!$C$25=1,ISNUMBER(5_Consolidada!BB25)),5_Consolidada!BB25,"")</f>
        <v>-3.9</v>
      </c>
      <c r="N26" s="25" t="str">
        <f aca="false">IF(AND(5_Consolidada!$B$25=1,5_Consolidada!$C$25=2,ISNUMBER(5_Consolidada!BB25)),5_Consolidada!BB25,"")</f>
        <v/>
      </c>
    </row>
    <row r="27" customFormat="false" ht="15" hidden="false" customHeight="false" outlineLevel="0" collapsed="false">
      <c r="A27" s="22"/>
      <c r="B27" s="30" t="s">
        <v>242</v>
      </c>
      <c r="C27" s="22"/>
      <c r="D27" s="22"/>
      <c r="E27" s="22"/>
      <c r="F27" s="22"/>
      <c r="I27" s="25" t="n">
        <f aca="false">IF(AND(5_Consolidada!$B$26=1,5_Consolidada!$C$26=1,ISNUMBER(5_Consolidada!J26)),5_Consolidada!J26,"")</f>
        <v>8.7</v>
      </c>
      <c r="J27" s="25" t="str">
        <f aca="false">IF(AND(5_Consolidada!$B$26=1,5_Consolidada!$C$26=2,ISNUMBER(5_Consolidada!J26)),5_Consolidada!J26,"")</f>
        <v/>
      </c>
      <c r="K27" s="25" t="str">
        <f aca="false">IF(AND(5_Consolidada!$B$26=1,5_Consolidada!$C$26=1,ISNUMBER(5_Consolidada!K26)),5_Consolidada!K26,"")</f>
        <v/>
      </c>
      <c r="L27" s="25" t="str">
        <f aca="false">IF(AND(5_Consolidada!$B$26=1,5_Consolidada!$C$26=2,ISNUMBER(5_Consolidada!K26)),5_Consolidada!K26,"")</f>
        <v/>
      </c>
      <c r="M27" s="25" t="str">
        <f aca="false">IF(AND(5_Consolidada!$B$26=1,5_Consolidada!$C$26=1,ISNUMBER(5_Consolidada!BB26)),5_Consolidada!BB26,"")</f>
        <v/>
      </c>
      <c r="N27" s="25" t="str">
        <f aca="false">IF(AND(5_Consolidada!$B$26=1,5_Consolidada!$C$26=2,ISNUMBER(5_Consolidada!BB26)),5_Consolidada!BB26,"")</f>
        <v/>
      </c>
    </row>
    <row r="28" customFormat="false" ht="30" hidden="false" customHeight="true" outlineLevel="0" collapsed="false">
      <c r="A28" s="18" t="n">
        <v>20</v>
      </c>
      <c r="B28" s="5" t="s">
        <v>243</v>
      </c>
      <c r="C28" s="18" t="n">
        <f aca="false">I58</f>
        <v>1</v>
      </c>
      <c r="D28" s="18" t="s">
        <v>244</v>
      </c>
      <c r="E28" s="31" t="str">
        <f aca="false">IF(C28="","REVISAR",IF(C28=0,"VERDE","ÁMBAR"))</f>
        <v>ÁMBAR</v>
      </c>
      <c r="F28" s="32" t="s">
        <v>245</v>
      </c>
      <c r="I28" s="25" t="n">
        <f aca="false">IF(AND(5_Consolidada!$B$27=1,5_Consolidada!$C$27=1,ISNUMBER(5_Consolidada!J27)),5_Consolidada!J27,"")</f>
        <v>11.8</v>
      </c>
      <c r="J28" s="25" t="str">
        <f aca="false">IF(AND(5_Consolidada!$B$27=1,5_Consolidada!$C$27=2,ISNUMBER(5_Consolidada!J27)),5_Consolidada!J27,"")</f>
        <v/>
      </c>
      <c r="K28" s="25" t="n">
        <f aca="false">IF(AND(5_Consolidada!$B$27=1,5_Consolidada!$C$27=1,ISNUMBER(5_Consolidada!K27)),5_Consolidada!K27,"")</f>
        <v>4.5</v>
      </c>
      <c r="L28" s="25" t="str">
        <f aca="false">IF(AND(5_Consolidada!$B$27=1,5_Consolidada!$C$27=2,ISNUMBER(5_Consolidada!K27)),5_Consolidada!K27,"")</f>
        <v/>
      </c>
      <c r="M28" s="25" t="n">
        <f aca="false">IF(AND(5_Consolidada!$B$27=1,5_Consolidada!$C$27=1,ISNUMBER(5_Consolidada!BB27)),5_Consolidada!BB27,"")</f>
        <v>-7.3</v>
      </c>
      <c r="N28" s="25" t="str">
        <f aca="false">IF(AND(5_Consolidada!$B$27=1,5_Consolidada!$C$27=2,ISNUMBER(5_Consolidada!BB27)),5_Consolidada!BB27,"")</f>
        <v/>
      </c>
    </row>
    <row r="29" customFormat="false" ht="30" hidden="false" customHeight="true" outlineLevel="0" collapsed="false">
      <c r="A29" s="18" t="n">
        <v>21</v>
      </c>
      <c r="B29" s="5" t="s">
        <v>246</v>
      </c>
      <c r="C29" s="18" t="n">
        <f aca="false">J58</f>
        <v>0</v>
      </c>
      <c r="D29" s="18" t="s">
        <v>244</v>
      </c>
      <c r="E29" s="31" t="str">
        <f aca="false">IF(C29="","REVISAR",IF(C29=0,"VERDE","ÁMBAR"))</f>
        <v>VERDE</v>
      </c>
      <c r="F29" s="32" t="s">
        <v>245</v>
      </c>
      <c r="I29" s="25" t="n">
        <f aca="false">IF(AND(5_Consolidada!$B$28=1,5_Consolidada!$C$28=1,ISNUMBER(5_Consolidada!J28)),5_Consolidada!J28,"")</f>
        <v>17.4</v>
      </c>
      <c r="J29" s="25" t="str">
        <f aca="false">IF(AND(5_Consolidada!$B$28=1,5_Consolidada!$C$28=2,ISNUMBER(5_Consolidada!J28)),5_Consolidada!J28,"")</f>
        <v/>
      </c>
      <c r="K29" s="25" t="n">
        <f aca="false">IF(AND(5_Consolidada!$B$28=1,5_Consolidada!$C$28=1,ISNUMBER(5_Consolidada!K28)),5_Consolidada!K28,"")</f>
        <v>9.5</v>
      </c>
      <c r="L29" s="25" t="str">
        <f aca="false">IF(AND(5_Consolidada!$B$28=1,5_Consolidada!$C$28=2,ISNUMBER(5_Consolidada!K28)),5_Consolidada!K28,"")</f>
        <v/>
      </c>
      <c r="M29" s="25" t="n">
        <f aca="false">IF(AND(5_Consolidada!$B$28=1,5_Consolidada!$C$28=1,ISNUMBER(5_Consolidada!BB28)),5_Consolidada!BB28,"")</f>
        <v>-7.9</v>
      </c>
      <c r="N29" s="25" t="str">
        <f aca="false">IF(AND(5_Consolidada!$B$28=1,5_Consolidada!$C$28=2,ISNUMBER(5_Consolidada!BB28)),5_Consolidada!BB28,"")</f>
        <v/>
      </c>
    </row>
    <row r="30" customFormat="false" ht="30" hidden="false" customHeight="true" outlineLevel="0" collapsed="false">
      <c r="A30" s="18" t="n">
        <v>22</v>
      </c>
      <c r="B30" s="5" t="s">
        <v>247</v>
      </c>
      <c r="C30" s="18" t="n">
        <f aca="false">K58</f>
        <v>0</v>
      </c>
      <c r="D30" s="18" t="s">
        <v>244</v>
      </c>
      <c r="E30" s="31" t="str">
        <f aca="false">IF(C30="","REVISAR",IF(C30=0,"VERDE","ÁMBAR"))</f>
        <v>VERDE</v>
      </c>
      <c r="F30" s="32" t="s">
        <v>245</v>
      </c>
      <c r="I30" s="25" t="str">
        <f aca="false">IF(AND(5_Consolidada!$B$29=1,5_Consolidada!$C$29=1,ISNUMBER(5_Consolidada!J29)),5_Consolidada!J29,"")</f>
        <v/>
      </c>
      <c r="J30" s="25" t="n">
        <f aca="false">IF(AND(5_Consolidada!$B$29=1,5_Consolidada!$C$29=2,ISNUMBER(5_Consolidada!J29)),5_Consolidada!J29,"")</f>
        <v>8.4</v>
      </c>
      <c r="K30" s="25" t="str">
        <f aca="false">IF(AND(5_Consolidada!$B$29=1,5_Consolidada!$C$29=1,ISNUMBER(5_Consolidada!K29)),5_Consolidada!K29,"")</f>
        <v/>
      </c>
      <c r="L30" s="25" t="n">
        <f aca="false">IF(AND(5_Consolidada!$B$29=1,5_Consolidada!$C$29=2,ISNUMBER(5_Consolidada!K29)),5_Consolidada!K29,"")</f>
        <v>6.9</v>
      </c>
      <c r="M30" s="25" t="str">
        <f aca="false">IF(AND(5_Consolidada!$B$29=1,5_Consolidada!$C$29=1,ISNUMBER(5_Consolidada!BB29)),5_Consolidada!BB29,"")</f>
        <v/>
      </c>
      <c r="N30" s="25" t="n">
        <f aca="false">IF(AND(5_Consolidada!$B$29=1,5_Consolidada!$C$29=2,ISNUMBER(5_Consolidada!BB29)),5_Consolidada!BB29,"")</f>
        <v>-1.5</v>
      </c>
    </row>
    <row r="31" customFormat="false" ht="30" hidden="false" customHeight="true" outlineLevel="0" collapsed="false">
      <c r="A31" s="18" t="n">
        <v>23</v>
      </c>
      <c r="B31" s="5" t="s">
        <v>248</v>
      </c>
      <c r="C31" s="18" t="n">
        <f aca="false">L58</f>
        <v>1</v>
      </c>
      <c r="D31" s="18" t="s">
        <v>244</v>
      </c>
      <c r="E31" s="31" t="str">
        <f aca="false">IF(C31="","REVISAR",IF(C31=0,"VERDE","ÁMBAR"))</f>
        <v>ÁMBAR</v>
      </c>
      <c r="F31" s="32" t="s">
        <v>245</v>
      </c>
      <c r="I31" s="25" t="str">
        <f aca="false">IF(AND(5_Consolidada!$B$30=1,5_Consolidada!$C$30=1,ISNUMBER(5_Consolidada!J30)),5_Consolidada!J30,"")</f>
        <v/>
      </c>
      <c r="J31" s="25" t="n">
        <f aca="false">IF(AND(5_Consolidada!$B$30=1,5_Consolidada!$C$30=2,ISNUMBER(5_Consolidada!J30)),5_Consolidada!J30,"")</f>
        <v>13.5</v>
      </c>
      <c r="K31" s="25" t="str">
        <f aca="false">IF(AND(5_Consolidada!$B$30=1,5_Consolidada!$C$30=1,ISNUMBER(5_Consolidada!K30)),5_Consolidada!K30,"")</f>
        <v/>
      </c>
      <c r="L31" s="25" t="n">
        <f aca="false">IF(AND(5_Consolidada!$B$30=1,5_Consolidada!$C$30=2,ISNUMBER(5_Consolidada!K30)),5_Consolidada!K30,"")</f>
        <v>14.4</v>
      </c>
      <c r="M31" s="25" t="str">
        <f aca="false">IF(AND(5_Consolidada!$B$30=1,5_Consolidada!$C$30=1,ISNUMBER(5_Consolidada!BB30)),5_Consolidada!BB30,"")</f>
        <v/>
      </c>
      <c r="N31" s="25" t="n">
        <f aca="false">IF(AND(5_Consolidada!$B$30=1,5_Consolidada!$C$30=2,ISNUMBER(5_Consolidada!BB30)),5_Consolidada!BB30,"")</f>
        <v>0.9</v>
      </c>
    </row>
    <row r="32" customFormat="false" ht="30" hidden="false" customHeight="true" outlineLevel="0" collapsed="false">
      <c r="A32" s="18" t="n">
        <v>24</v>
      </c>
      <c r="B32" s="5" t="s">
        <v>249</v>
      </c>
      <c r="C32" s="18" t="n">
        <f aca="false">M58</f>
        <v>1</v>
      </c>
      <c r="D32" s="18" t="s">
        <v>244</v>
      </c>
      <c r="E32" s="31" t="str">
        <f aca="false">IF(C32="","REVISAR",IF(C32=0,"VERDE","ÁMBAR"))</f>
        <v>ÁMBAR</v>
      </c>
      <c r="F32" s="32" t="s">
        <v>245</v>
      </c>
      <c r="I32" s="25" t="str">
        <f aca="false">IF(AND(5_Consolidada!$B$31=1,5_Consolidada!$C$31=1,ISNUMBER(5_Consolidada!J31)),5_Consolidada!J31,"")</f>
        <v/>
      </c>
      <c r="J32" s="25" t="str">
        <f aca="false">IF(AND(5_Consolidada!$B$31=1,5_Consolidada!$C$31=2,ISNUMBER(5_Consolidada!J31)),5_Consolidada!J31,"")</f>
        <v/>
      </c>
      <c r="K32" s="25" t="str">
        <f aca="false">IF(AND(5_Consolidada!$B$31=1,5_Consolidada!$C$31=1,ISNUMBER(5_Consolidada!K31)),5_Consolidada!K31,"")</f>
        <v/>
      </c>
      <c r="L32" s="25" t="n">
        <f aca="false">IF(AND(5_Consolidada!$B$31=1,5_Consolidada!$C$31=2,ISNUMBER(5_Consolidada!K31)),5_Consolidada!K31,"")</f>
        <v>10.4</v>
      </c>
      <c r="M32" s="25" t="str">
        <f aca="false">IF(AND(5_Consolidada!$B$31=1,5_Consolidada!$C$31=1,ISNUMBER(5_Consolidada!BB31)),5_Consolidada!BB31,"")</f>
        <v/>
      </c>
      <c r="N32" s="25" t="str">
        <f aca="false">IF(AND(5_Consolidada!$B$31=1,5_Consolidada!$C$31=2,ISNUMBER(5_Consolidada!BB31)),5_Consolidada!BB31,"")</f>
        <v/>
      </c>
    </row>
    <row r="33" customFormat="false" ht="30" hidden="false" customHeight="true" outlineLevel="0" collapsed="false">
      <c r="A33" s="18" t="n">
        <v>25</v>
      </c>
      <c r="B33" s="5" t="s">
        <v>250</v>
      </c>
      <c r="C33" s="18" t="n">
        <f aca="false">N58</f>
        <v>1</v>
      </c>
      <c r="D33" s="18" t="s">
        <v>244</v>
      </c>
      <c r="E33" s="31" t="str">
        <f aca="false">IF(C33="","REVISAR",IF(C33=0,"VERDE","ÁMBAR"))</f>
        <v>ÁMBAR</v>
      </c>
      <c r="F33" s="32" t="s">
        <v>245</v>
      </c>
      <c r="I33" s="25" t="str">
        <f aca="false">IF(AND(5_Consolidada!$B$32=1,5_Consolidada!$C$32=1,ISNUMBER(5_Consolidada!J32)),5_Consolidada!J32,"")</f>
        <v/>
      </c>
      <c r="J33" s="25" t="n">
        <f aca="false">IF(AND(5_Consolidada!$B$32=1,5_Consolidada!$C$32=2,ISNUMBER(5_Consolidada!J32)),5_Consolidada!J32,"")</f>
        <v>12.8</v>
      </c>
      <c r="K33" s="25" t="str">
        <f aca="false">IF(AND(5_Consolidada!$B$32=1,5_Consolidada!$C$32=1,ISNUMBER(5_Consolidada!K32)),5_Consolidada!K32,"")</f>
        <v/>
      </c>
      <c r="L33" s="25" t="n">
        <f aca="false">IF(AND(5_Consolidada!$B$32=1,5_Consolidada!$C$32=2,ISNUMBER(5_Consolidada!K32)),5_Consolidada!K32,"")</f>
        <v>13.3</v>
      </c>
      <c r="M33" s="25" t="str">
        <f aca="false">IF(AND(5_Consolidada!$B$32=1,5_Consolidada!$C$32=1,ISNUMBER(5_Consolidada!BB32)),5_Consolidada!BB32,"")</f>
        <v/>
      </c>
      <c r="N33" s="25" t="n">
        <f aca="false">IF(AND(5_Consolidada!$B$32=1,5_Consolidada!$C$32=2,ISNUMBER(5_Consolidada!BB32)),5_Consolidada!BB32,"")</f>
        <v>0.5</v>
      </c>
    </row>
    <row r="34" customFormat="false" ht="15" hidden="false" customHeight="false" outlineLevel="0" collapsed="false">
      <c r="A34" s="22"/>
      <c r="B34" s="30" t="s">
        <v>251</v>
      </c>
      <c r="C34" s="22"/>
      <c r="D34" s="22"/>
      <c r="E34" s="22"/>
      <c r="F34" s="22"/>
      <c r="I34" s="25" t="str">
        <f aca="false">IF(AND(5_Consolidada!$B$33=1,5_Consolidada!$C$33=1,ISNUMBER(5_Consolidada!J33)),5_Consolidada!J33,"")</f>
        <v/>
      </c>
      <c r="J34" s="25" t="n">
        <f aca="false">IF(AND(5_Consolidada!$B$33=1,5_Consolidada!$C$33=2,ISNUMBER(5_Consolidada!J33)),5_Consolidada!J33,"")</f>
        <v>11.3</v>
      </c>
      <c r="K34" s="25" t="str">
        <f aca="false">IF(AND(5_Consolidada!$B$33=1,5_Consolidada!$C$33=1,ISNUMBER(5_Consolidada!K33)),5_Consolidada!K33,"")</f>
        <v/>
      </c>
      <c r="L34" s="25" t="n">
        <f aca="false">IF(AND(5_Consolidada!$B$33=1,5_Consolidada!$C$33=2,ISNUMBER(5_Consolidada!K33)),5_Consolidada!K33,"")</f>
        <v>10.7</v>
      </c>
      <c r="M34" s="25" t="str">
        <f aca="false">IF(AND(5_Consolidada!$B$33=1,5_Consolidada!$C$33=1,ISNUMBER(5_Consolidada!BB33)),5_Consolidada!BB33,"")</f>
        <v/>
      </c>
      <c r="N34" s="25" t="n">
        <f aca="false">IF(AND(5_Consolidada!$B$33=1,5_Consolidada!$C$33=2,ISNUMBER(5_Consolidada!BB33)),5_Consolidada!BB33,"")</f>
        <v>-0.6</v>
      </c>
    </row>
    <row r="35" customFormat="false" ht="31.5" hidden="false" customHeight="true" outlineLevel="0" collapsed="false">
      <c r="A35" s="17"/>
      <c r="B35" s="34" t="s">
        <v>252</v>
      </c>
      <c r="C35" s="35" t="n">
        <f aca="false">COUNTIF(E5:E34,"ROJO")+COUNTIF(E5:E34,"REVISAR")</f>
        <v>16</v>
      </c>
      <c r="D35" s="18" t="n">
        <v>0</v>
      </c>
      <c r="E35" s="36" t="str">
        <f aca="false">IF(C35=0,"BASE LISTA PARA LIBERAR (v1.0)","NO LIBERAR: CORREGIR Y DOCUMENTAR")</f>
        <v>NO LIBERAR: CORREGIR Y DOCUMENTAR</v>
      </c>
      <c r="F35" s="32" t="s">
        <v>253</v>
      </c>
      <c r="I35" s="25" t="str">
        <f aca="false">IF(AND(5_Consolidada!$B$34=1,5_Consolidada!$C$34=1,ISNUMBER(5_Consolidada!J34)),5_Consolidada!J34,"")</f>
        <v/>
      </c>
      <c r="J35" s="25" t="n">
        <f aca="false">IF(AND(5_Consolidada!$B$34=1,5_Consolidada!$C$34=2,ISNUMBER(5_Consolidada!J34)),5_Consolidada!J34,"")</f>
        <v>12.2</v>
      </c>
      <c r="K35" s="25" t="str">
        <f aca="false">IF(AND(5_Consolidada!$B$34=1,5_Consolidada!$C$34=1,ISNUMBER(5_Consolidada!K34)),5_Consolidada!K34,"")</f>
        <v/>
      </c>
      <c r="L35" s="25" t="n">
        <f aca="false">IF(AND(5_Consolidada!$B$34=1,5_Consolidada!$C$34=2,ISNUMBER(5_Consolidada!K34)),5_Consolidada!K34,"")</f>
        <v>12</v>
      </c>
      <c r="M35" s="25" t="str">
        <f aca="false">IF(AND(5_Consolidada!$B$34=1,5_Consolidada!$C$34=1,ISNUMBER(5_Consolidada!BB34)),5_Consolidada!BB34,"")</f>
        <v/>
      </c>
      <c r="N35" s="25" t="n">
        <f aca="false">IF(AND(5_Consolidada!$B$34=1,5_Consolidada!$C$34=2,ISNUMBER(5_Consolidada!BB34)),5_Consolidada!BB34,"")</f>
        <v>-0.2</v>
      </c>
    </row>
    <row r="36" customFormat="false" ht="15" hidden="false" customHeight="false" outlineLevel="0" collapsed="false">
      <c r="I36" s="25" t="str">
        <f aca="false">IF(AND(5_Consolidada!$B$35=1,5_Consolidada!$C$35=1,ISNUMBER(5_Consolidada!J35)),5_Consolidada!J35,"")</f>
        <v/>
      </c>
      <c r="J36" s="25" t="n">
        <f aca="false">IF(AND(5_Consolidada!$B$35=1,5_Consolidada!$C$35=2,ISNUMBER(5_Consolidada!J35)),5_Consolidada!J35,"")</f>
        <v>12.8</v>
      </c>
      <c r="K36" s="25" t="str">
        <f aca="false">IF(AND(5_Consolidada!$B$35=1,5_Consolidada!$C$35=1,ISNUMBER(5_Consolidada!K35)),5_Consolidada!K35,"")</f>
        <v/>
      </c>
      <c r="L36" s="25" t="n">
        <f aca="false">IF(AND(5_Consolidada!$B$35=1,5_Consolidada!$C$35=2,ISNUMBER(5_Consolidada!K35)),5_Consolidada!K35,"")</f>
        <v>12.2</v>
      </c>
      <c r="M36" s="25" t="str">
        <f aca="false">IF(AND(5_Consolidada!$B$35=1,5_Consolidada!$C$35=1,ISNUMBER(5_Consolidada!BB35)),5_Consolidada!BB35,"")</f>
        <v/>
      </c>
      <c r="N36" s="25" t="n">
        <f aca="false">IF(AND(5_Consolidada!$B$35=1,5_Consolidada!$C$35=2,ISNUMBER(5_Consolidada!BB35)),5_Consolidada!BB35,"")</f>
        <v>-0.6</v>
      </c>
    </row>
    <row r="37" customFormat="false" ht="15" hidden="false" customHeight="false" outlineLevel="0" collapsed="false">
      <c r="B37" s="37" t="s">
        <v>254</v>
      </c>
      <c r="I37" s="25" t="str">
        <f aca="false">IF(AND(5_Consolidada!$B$36=1,5_Consolidada!$C$36=1,ISNUMBER(5_Consolidada!J36)),5_Consolidada!J36,"")</f>
        <v/>
      </c>
      <c r="J37" s="25" t="n">
        <f aca="false">IF(AND(5_Consolidada!$B$36=1,5_Consolidada!$C$36=2,ISNUMBER(5_Consolidada!J36)),5_Consolidada!J36,"")</f>
        <v>9.6</v>
      </c>
      <c r="K37" s="25" t="str">
        <f aca="false">IF(AND(5_Consolidada!$B$36=1,5_Consolidada!$C$36=1,ISNUMBER(5_Consolidada!K36)),5_Consolidada!K36,"")</f>
        <v/>
      </c>
      <c r="L37" s="25" t="str">
        <f aca="false">IF(AND(5_Consolidada!$B$36=1,5_Consolidada!$C$36=2,ISNUMBER(5_Consolidada!K36)),5_Consolidada!K36,"")</f>
        <v/>
      </c>
      <c r="M37" s="25" t="str">
        <f aca="false">IF(AND(5_Consolidada!$B$36=1,5_Consolidada!$C$36=1,ISNUMBER(5_Consolidada!BB36)),5_Consolidada!BB36,"")</f>
        <v/>
      </c>
      <c r="N37" s="25" t="str">
        <f aca="false">IF(AND(5_Consolidada!$B$36=1,5_Consolidada!$C$36=2,ISNUMBER(5_Consolidada!BB36)),5_Consolidada!BB36,"")</f>
        <v/>
      </c>
    </row>
    <row r="38" customFormat="false" ht="15" hidden="false" customHeight="false" outlineLevel="0" collapsed="false">
      <c r="I38" s="25" t="str">
        <f aca="false">IF(AND(5_Consolidada!$B$37=1,5_Consolidada!$C$37=1,ISNUMBER(5_Consolidada!J37)),5_Consolidada!J37,"")</f>
        <v/>
      </c>
      <c r="J38" s="25" t="n">
        <f aca="false">IF(AND(5_Consolidada!$B$37=1,5_Consolidada!$C$37=2,ISNUMBER(5_Consolidada!J37)),5_Consolidada!J37,"")</f>
        <v>8.2</v>
      </c>
      <c r="K38" s="25" t="str">
        <f aca="false">IF(AND(5_Consolidada!$B$37=1,5_Consolidada!$C$37=1,ISNUMBER(5_Consolidada!K37)),5_Consolidada!K37,"")</f>
        <v/>
      </c>
      <c r="L38" s="25" t="n">
        <f aca="false">IF(AND(5_Consolidada!$B$37=1,5_Consolidada!$C$37=2,ISNUMBER(5_Consolidada!K37)),5_Consolidada!K37,"")</f>
        <v>8</v>
      </c>
      <c r="M38" s="25" t="str">
        <f aca="false">IF(AND(5_Consolidada!$B$37=1,5_Consolidada!$C$37=1,ISNUMBER(5_Consolidada!BB37)),5_Consolidada!BB37,"")</f>
        <v/>
      </c>
      <c r="N38" s="25" t="n">
        <f aca="false">IF(AND(5_Consolidada!$B$37=1,5_Consolidada!$C$37=2,ISNUMBER(5_Consolidada!BB37)),5_Consolidada!BB37,"")</f>
        <v>-0.2</v>
      </c>
    </row>
    <row r="39" customFormat="false" ht="15" hidden="false" customHeight="false" outlineLevel="0" collapsed="false">
      <c r="I39" s="25" t="str">
        <f aca="false">IF(AND(5_Consolidada!$B$38=1,5_Consolidada!$C$38=1,ISNUMBER(5_Consolidada!J38)),5_Consolidada!J38,"")</f>
        <v/>
      </c>
      <c r="J39" s="25" t="n">
        <f aca="false">IF(AND(5_Consolidada!$B$38=1,5_Consolidada!$C$38=2,ISNUMBER(5_Consolidada!J38)),5_Consolidada!J38,"")</f>
        <v>14.5</v>
      </c>
      <c r="K39" s="25" t="str">
        <f aca="false">IF(AND(5_Consolidada!$B$38=1,5_Consolidada!$C$38=1,ISNUMBER(5_Consolidada!K38)),5_Consolidada!K38,"")</f>
        <v/>
      </c>
      <c r="L39" s="25" t="n">
        <f aca="false">IF(AND(5_Consolidada!$B$38=1,5_Consolidada!$C$38=2,ISNUMBER(5_Consolidada!K38)),5_Consolidada!K38,"")</f>
        <v>13.5</v>
      </c>
      <c r="M39" s="25" t="str">
        <f aca="false">IF(AND(5_Consolidada!$B$38=1,5_Consolidada!$C$38=1,ISNUMBER(5_Consolidada!BB38)),5_Consolidada!BB38,"")</f>
        <v/>
      </c>
      <c r="N39" s="25" t="n">
        <f aca="false">IF(AND(5_Consolidada!$B$38=1,5_Consolidada!$C$38=2,ISNUMBER(5_Consolidada!BB38)),5_Consolidada!BB38,"")</f>
        <v>-1</v>
      </c>
    </row>
    <row r="40" customFormat="false" ht="15" hidden="false" customHeight="false" outlineLevel="0" collapsed="false">
      <c r="I40" s="25" t="str">
        <f aca="false">IF(AND(5_Consolidada!$B$39=1,5_Consolidada!$C$39=1,ISNUMBER(5_Consolidada!J39)),5_Consolidada!J39,"")</f>
        <v/>
      </c>
      <c r="J40" s="25" t="n">
        <f aca="false">IF(AND(5_Consolidada!$B$39=1,5_Consolidada!$C$39=2,ISNUMBER(5_Consolidada!J39)),5_Consolidada!J39,"")</f>
        <v>16.4</v>
      </c>
      <c r="K40" s="25" t="str">
        <f aca="false">IF(AND(5_Consolidada!$B$39=1,5_Consolidada!$C$39=1,ISNUMBER(5_Consolidada!K39)),5_Consolidada!K39,"")</f>
        <v/>
      </c>
      <c r="L40" s="25" t="n">
        <f aca="false">IF(AND(5_Consolidada!$B$39=1,5_Consolidada!$C$39=2,ISNUMBER(5_Consolidada!K39)),5_Consolidada!K39,"")</f>
        <v>17.3</v>
      </c>
      <c r="M40" s="25" t="str">
        <f aca="false">IF(AND(5_Consolidada!$B$39=1,5_Consolidada!$C$39=1,ISNUMBER(5_Consolidada!BB39)),5_Consolidada!BB39,"")</f>
        <v/>
      </c>
      <c r="N40" s="25" t="n">
        <f aca="false">IF(AND(5_Consolidada!$B$39=1,5_Consolidada!$C$39=2,ISNUMBER(5_Consolidada!BB39)),5_Consolidada!BB39,"")</f>
        <v>0.9</v>
      </c>
    </row>
    <row r="41" customFormat="false" ht="15" hidden="false" customHeight="false" outlineLevel="0" collapsed="false">
      <c r="I41" s="25" t="str">
        <f aca="false">IF(AND(5_Consolidada!$B$40=1,5_Consolidada!$C$40=1,ISNUMBER(5_Consolidada!J40)),5_Consolidada!J40,"")</f>
        <v/>
      </c>
      <c r="J41" s="25" t="n">
        <f aca="false">IF(AND(5_Consolidada!$B$40=1,5_Consolidada!$C$40=2,ISNUMBER(5_Consolidada!J40)),5_Consolidada!J40,"")</f>
        <v>15.1</v>
      </c>
      <c r="K41" s="25" t="str">
        <f aca="false">IF(AND(5_Consolidada!$B$40=1,5_Consolidada!$C$40=1,ISNUMBER(5_Consolidada!K40)),5_Consolidada!K40,"")</f>
        <v/>
      </c>
      <c r="L41" s="25" t="n">
        <f aca="false">IF(AND(5_Consolidada!$B$40=1,5_Consolidada!$C$40=2,ISNUMBER(5_Consolidada!K40)),5_Consolidada!K40,"")</f>
        <v>15.9</v>
      </c>
      <c r="M41" s="25" t="str">
        <f aca="false">IF(AND(5_Consolidada!$B$40=1,5_Consolidada!$C$40=1,ISNUMBER(5_Consolidada!BB40)),5_Consolidada!BB40,"")</f>
        <v/>
      </c>
      <c r="N41" s="25" t="n">
        <f aca="false">IF(AND(5_Consolidada!$B$40=1,5_Consolidada!$C$40=2,ISNUMBER(5_Consolidada!BB40)),5_Consolidada!BB40,"")</f>
        <v>0.8</v>
      </c>
    </row>
    <row r="42" customFormat="false" ht="15" hidden="false" customHeight="false" outlineLevel="0" collapsed="false">
      <c r="I42" s="25" t="str">
        <f aca="false">IF(AND(5_Consolidada!$B$41=1,5_Consolidada!$C$41=1,ISNUMBER(5_Consolidada!J41)),5_Consolidada!J41,"")</f>
        <v/>
      </c>
      <c r="J42" s="25" t="n">
        <f aca="false">IF(AND(5_Consolidada!$B$41=1,5_Consolidada!$C$41=2,ISNUMBER(5_Consolidada!J41)),5_Consolidada!J41,"")</f>
        <v>8.5</v>
      </c>
      <c r="K42" s="25" t="str">
        <f aca="false">IF(AND(5_Consolidada!$B$41=1,5_Consolidada!$C$41=1,ISNUMBER(5_Consolidada!K41)),5_Consolidada!K41,"")</f>
        <v/>
      </c>
      <c r="L42" s="25" t="n">
        <f aca="false">IF(AND(5_Consolidada!$B$41=1,5_Consolidada!$C$41=2,ISNUMBER(5_Consolidada!K41)),5_Consolidada!K41,"")</f>
        <v>8.8</v>
      </c>
      <c r="M42" s="25" t="str">
        <f aca="false">IF(AND(5_Consolidada!$B$41=1,5_Consolidada!$C$41=1,ISNUMBER(5_Consolidada!BB41)),5_Consolidada!BB41,"")</f>
        <v/>
      </c>
      <c r="N42" s="25" t="n">
        <f aca="false">IF(AND(5_Consolidada!$B$41=1,5_Consolidada!$C$41=2,ISNUMBER(5_Consolidada!BB41)),5_Consolidada!BB41,"")</f>
        <v>0.3</v>
      </c>
    </row>
    <row r="43" customFormat="false" ht="15" hidden="false" customHeight="false" outlineLevel="0" collapsed="false">
      <c r="I43" s="25" t="str">
        <f aca="false">IF(AND(5_Consolidada!$B$42=1,5_Consolidada!$C$42=1,ISNUMBER(5_Consolidada!J42)),5_Consolidada!J42,"")</f>
        <v/>
      </c>
      <c r="J43" s="25" t="n">
        <f aca="false">IF(AND(5_Consolidada!$B$42=1,5_Consolidada!$C$42=2,ISNUMBER(5_Consolidada!J42)),5_Consolidada!J42,"")</f>
        <v>11.8</v>
      </c>
      <c r="K43" s="25" t="str">
        <f aca="false">IF(AND(5_Consolidada!$B$42=1,5_Consolidada!$C$42=1,ISNUMBER(5_Consolidada!K42)),5_Consolidada!K42,"")</f>
        <v/>
      </c>
      <c r="L43" s="25" t="str">
        <f aca="false">IF(AND(5_Consolidada!$B$42=1,5_Consolidada!$C$42=2,ISNUMBER(5_Consolidada!K42)),5_Consolidada!K42,"")</f>
        <v/>
      </c>
      <c r="M43" s="25" t="str">
        <f aca="false">IF(AND(5_Consolidada!$B$42=1,5_Consolidada!$C$42=1,ISNUMBER(5_Consolidada!BB42)),5_Consolidada!BB42,"")</f>
        <v/>
      </c>
      <c r="N43" s="25" t="str">
        <f aca="false">IF(AND(5_Consolidada!$B$42=1,5_Consolidada!$C$42=2,ISNUMBER(5_Consolidada!BB42)),5_Consolidada!BB42,"")</f>
        <v/>
      </c>
    </row>
    <row r="44" customFormat="false" ht="15" hidden="false" customHeight="false" outlineLevel="0" collapsed="false">
      <c r="I44" s="25" t="str">
        <f aca="false">IF(AND(5_Consolidada!$B$43=1,5_Consolidada!$C$43=1,ISNUMBER(5_Consolidada!J43)),5_Consolidada!J43,"")</f>
        <v/>
      </c>
      <c r="J44" s="25" t="n">
        <f aca="false">IF(AND(5_Consolidada!$B$43=1,5_Consolidada!$C$43=2,ISNUMBER(5_Consolidada!J43)),5_Consolidada!J43,"")</f>
        <v>14.3</v>
      </c>
      <c r="K44" s="25" t="str">
        <f aca="false">IF(AND(5_Consolidada!$B$43=1,5_Consolidada!$C$43=1,ISNUMBER(5_Consolidada!K43)),5_Consolidada!K43,"")</f>
        <v/>
      </c>
      <c r="L44" s="25" t="n">
        <f aca="false">IF(AND(5_Consolidada!$B$43=1,5_Consolidada!$C$43=2,ISNUMBER(5_Consolidada!K43)),5_Consolidada!K43,"")</f>
        <v>15.6</v>
      </c>
      <c r="M44" s="25" t="str">
        <f aca="false">IF(AND(5_Consolidada!$B$43=1,5_Consolidada!$C$43=1,ISNUMBER(5_Consolidada!BB43)),5_Consolidada!BB43,"")</f>
        <v/>
      </c>
      <c r="N44" s="25" t="n">
        <f aca="false">IF(AND(5_Consolidada!$B$43=1,5_Consolidada!$C$43=2,ISNUMBER(5_Consolidada!BB43)),5_Consolidada!BB43,"")</f>
        <v>1.3</v>
      </c>
    </row>
    <row r="45" customFormat="false" ht="15" hidden="false" customHeight="false" outlineLevel="0" collapsed="false">
      <c r="I45" s="25" t="str">
        <f aca="false">IF(AND(5_Consolidada!$B$44=1,5_Consolidada!$C$44=1,ISNUMBER(5_Consolidada!J44)),5_Consolidada!J44,"")</f>
        <v/>
      </c>
      <c r="J45" s="25" t="n">
        <f aca="false">IF(AND(5_Consolidada!$B$44=1,5_Consolidada!$C$44=2,ISNUMBER(5_Consolidada!J44)),5_Consolidada!J44,"")</f>
        <v>10.1</v>
      </c>
      <c r="K45" s="25" t="str">
        <f aca="false">IF(AND(5_Consolidada!$B$44=1,5_Consolidada!$C$44=1,ISNUMBER(5_Consolidada!K44)),5_Consolidada!K44,"")</f>
        <v/>
      </c>
      <c r="L45" s="25" t="n">
        <f aca="false">IF(AND(5_Consolidada!$B$44=1,5_Consolidada!$C$44=2,ISNUMBER(5_Consolidada!K44)),5_Consolidada!K44,"")</f>
        <v>264</v>
      </c>
      <c r="M45" s="25" t="str">
        <f aca="false">IF(AND(5_Consolidada!$B$44=1,5_Consolidada!$C$44=1,ISNUMBER(5_Consolidada!BB44)),5_Consolidada!BB44,"")</f>
        <v/>
      </c>
      <c r="N45" s="25" t="n">
        <f aca="false">IF(AND(5_Consolidada!$B$44=1,5_Consolidada!$C$44=2,ISNUMBER(5_Consolidada!BB44)),5_Consolidada!BB44,"")</f>
        <v>253.9</v>
      </c>
    </row>
    <row r="46" customFormat="false" ht="15" hidden="false" customHeight="false" outlineLevel="0" collapsed="false">
      <c r="I46" s="25" t="str">
        <f aca="false">IF(AND(5_Consolidada!$B$45=1,5_Consolidada!$C$45=1,ISNUMBER(5_Consolidada!J45)),5_Consolidada!J45,"")</f>
        <v/>
      </c>
      <c r="J46" s="25" t="n">
        <f aca="false">IF(AND(5_Consolidada!$B$45=1,5_Consolidada!$C$45=2,ISNUMBER(5_Consolidada!J45)),5_Consolidada!J45,"")</f>
        <v>6.5</v>
      </c>
      <c r="K46" s="25" t="str">
        <f aca="false">IF(AND(5_Consolidada!$B$45=1,5_Consolidada!$C$45=1,ISNUMBER(5_Consolidada!K45)),5_Consolidada!K45,"")</f>
        <v/>
      </c>
      <c r="L46" s="25" t="str">
        <f aca="false">IF(AND(5_Consolidada!$B$45=1,5_Consolidada!$C$45=2,ISNUMBER(5_Consolidada!K45)),5_Consolidada!K45,"")</f>
        <v/>
      </c>
      <c r="M46" s="25" t="str">
        <f aca="false">IF(AND(5_Consolidada!$B$45=1,5_Consolidada!$C$45=1,ISNUMBER(5_Consolidada!BB45)),5_Consolidada!BB45,"")</f>
        <v/>
      </c>
      <c r="N46" s="25" t="str">
        <f aca="false">IF(AND(5_Consolidada!$B$45=1,5_Consolidada!$C$45=2,ISNUMBER(5_Consolidada!BB45)),5_Consolidada!BB45,"")</f>
        <v/>
      </c>
    </row>
    <row r="47" customFormat="false" ht="15" hidden="false" customHeight="false" outlineLevel="0" collapsed="false">
      <c r="I47" s="25" t="str">
        <f aca="false">IF(AND(5_Consolidada!$B$46=1,5_Consolidada!$C$46=1,ISNUMBER(5_Consolidada!J46)),5_Consolidada!J46,"")</f>
        <v/>
      </c>
      <c r="J47" s="25" t="n">
        <f aca="false">IF(AND(5_Consolidada!$B$46=1,5_Consolidada!$C$46=2,ISNUMBER(5_Consolidada!J46)),5_Consolidada!J46,"")</f>
        <v>6.5</v>
      </c>
      <c r="K47" s="25" t="str">
        <f aca="false">IF(AND(5_Consolidada!$B$46=1,5_Consolidada!$C$46=1,ISNUMBER(5_Consolidada!K46)),5_Consolidada!K46,"")</f>
        <v/>
      </c>
      <c r="L47" s="25" t="n">
        <f aca="false">IF(AND(5_Consolidada!$B$46=1,5_Consolidada!$C$46=2,ISNUMBER(5_Consolidada!K46)),5_Consolidada!K46,"")</f>
        <v>6.3</v>
      </c>
      <c r="M47" s="25" t="str">
        <f aca="false">IF(AND(5_Consolidada!$B$46=1,5_Consolidada!$C$46=1,ISNUMBER(5_Consolidada!BB46)),5_Consolidada!BB46,"")</f>
        <v/>
      </c>
      <c r="N47" s="25" t="n">
        <f aca="false">IF(AND(5_Consolidada!$B$46=1,5_Consolidada!$C$46=2,ISNUMBER(5_Consolidada!BB46)),5_Consolidada!BB46,"")</f>
        <v>-0.2</v>
      </c>
    </row>
    <row r="48" customFormat="false" ht="15" hidden="false" customHeight="false" outlineLevel="0" collapsed="false">
      <c r="I48" s="25" t="str">
        <f aca="false">IF(AND(5_Consolidada!$B$47=1,5_Consolidada!$C$47=1,ISNUMBER(5_Consolidada!J47)),5_Consolidada!J47,"")</f>
        <v/>
      </c>
      <c r="J48" s="25" t="n">
        <f aca="false">IF(AND(5_Consolidada!$B$47=1,5_Consolidada!$C$47=2,ISNUMBER(5_Consolidada!J47)),5_Consolidada!J47,"")</f>
        <v>10.4</v>
      </c>
      <c r="K48" s="25" t="str">
        <f aca="false">IF(AND(5_Consolidada!$B$47=1,5_Consolidada!$C$47=1,ISNUMBER(5_Consolidada!K47)),5_Consolidada!K47,"")</f>
        <v/>
      </c>
      <c r="L48" s="25" t="n">
        <f aca="false">IF(AND(5_Consolidada!$B$47=1,5_Consolidada!$C$47=2,ISNUMBER(5_Consolidada!K47)),5_Consolidada!K47,"")</f>
        <v>10</v>
      </c>
      <c r="M48" s="25" t="str">
        <f aca="false">IF(AND(5_Consolidada!$B$47=1,5_Consolidada!$C$47=1,ISNUMBER(5_Consolidada!BB47)),5_Consolidada!BB47,"")</f>
        <v/>
      </c>
      <c r="N48" s="25" t="n">
        <f aca="false">IF(AND(5_Consolidada!$B$47=1,5_Consolidada!$C$47=2,ISNUMBER(5_Consolidada!BB47)),5_Consolidada!BB47,"")</f>
        <v>-0.4</v>
      </c>
    </row>
    <row r="49" customFormat="false" ht="15" hidden="false" customHeight="false" outlineLevel="0" collapsed="false">
      <c r="I49" s="25" t="str">
        <f aca="false">IF(AND(5_Consolidada!$B$48=1,5_Consolidada!$C$48=1,ISNUMBER(5_Consolidada!J48)),5_Consolidada!J48,"")</f>
        <v/>
      </c>
      <c r="J49" s="25" t="n">
        <f aca="false">IF(AND(5_Consolidada!$B$48=1,5_Consolidada!$C$48=2,ISNUMBER(5_Consolidada!J48)),5_Consolidada!J48,"")</f>
        <v>10.5</v>
      </c>
      <c r="K49" s="25" t="str">
        <f aca="false">IF(AND(5_Consolidada!$B$48=1,5_Consolidada!$C$48=1,ISNUMBER(5_Consolidada!K48)),5_Consolidada!K48,"")</f>
        <v/>
      </c>
      <c r="L49" s="25" t="n">
        <f aca="false">IF(AND(5_Consolidada!$B$48=1,5_Consolidada!$C$48=2,ISNUMBER(5_Consolidada!K48)),5_Consolidada!K48,"")</f>
        <v>11.6</v>
      </c>
      <c r="M49" s="25" t="str">
        <f aca="false">IF(AND(5_Consolidada!$B$48=1,5_Consolidada!$C$48=1,ISNUMBER(5_Consolidada!BB48)),5_Consolidada!BB48,"")</f>
        <v/>
      </c>
      <c r="N49" s="25" t="n">
        <f aca="false">IF(AND(5_Consolidada!$B$48=1,5_Consolidada!$C$48=2,ISNUMBER(5_Consolidada!BB48)),5_Consolidada!BB48,"")</f>
        <v>1.1</v>
      </c>
    </row>
    <row r="50" customFormat="false" ht="15" hidden="false" customHeight="false" outlineLevel="0" collapsed="false">
      <c r="I50" s="25" t="str">
        <f aca="false">IF(AND(5_Consolidada!$B$49=1,5_Consolidada!$C$49=1,ISNUMBER(5_Consolidada!J49)),5_Consolidada!J49,"")</f>
        <v/>
      </c>
      <c r="J50" s="25" t="n">
        <f aca="false">IF(AND(5_Consolidada!$B$49=1,5_Consolidada!$C$49=2,ISNUMBER(5_Consolidada!J49)),5_Consolidada!J49,"")</f>
        <v>8.8</v>
      </c>
      <c r="K50" s="25" t="str">
        <f aca="false">IF(AND(5_Consolidada!$B$49=1,5_Consolidada!$C$49=1,ISNUMBER(5_Consolidada!K49)),5_Consolidada!K49,"")</f>
        <v/>
      </c>
      <c r="L50" s="25" t="n">
        <f aca="false">IF(AND(5_Consolidada!$B$49=1,5_Consolidada!$C$49=2,ISNUMBER(5_Consolidada!K49)),5_Consolidada!K49,"")</f>
        <v>8.2</v>
      </c>
      <c r="M50" s="25" t="str">
        <f aca="false">IF(AND(5_Consolidada!$B$49=1,5_Consolidada!$C$49=1,ISNUMBER(5_Consolidada!BB49)),5_Consolidada!BB49,"")</f>
        <v/>
      </c>
      <c r="N50" s="25" t="n">
        <f aca="false">IF(AND(5_Consolidada!$B$49=1,5_Consolidada!$C$49=2,ISNUMBER(5_Consolidada!BB49)),5_Consolidada!BB49,"")</f>
        <v>-0.6</v>
      </c>
    </row>
    <row r="51" customFormat="false" ht="15" hidden="false" customHeight="false" outlineLevel="0" collapsed="false">
      <c r="I51" s="25" t="str">
        <f aca="false">IF(AND(5_Consolidada!$B$50=1,5_Consolidada!$C$50=1,ISNUMBER(5_Consolidada!J50)),5_Consolidada!J50,"")</f>
        <v/>
      </c>
      <c r="J51" s="25" t="n">
        <f aca="false">IF(AND(5_Consolidada!$B$50=1,5_Consolidada!$C$50=2,ISNUMBER(5_Consolidada!J50)),5_Consolidada!J50,"")</f>
        <v>14.9</v>
      </c>
      <c r="K51" s="25" t="str">
        <f aca="false">IF(AND(5_Consolidada!$B$50=1,5_Consolidada!$C$50=1,ISNUMBER(5_Consolidada!K50)),5_Consolidada!K50,"")</f>
        <v/>
      </c>
      <c r="L51" s="25" t="n">
        <f aca="false">IF(AND(5_Consolidada!$B$50=1,5_Consolidada!$C$50=2,ISNUMBER(5_Consolidada!K50)),5_Consolidada!K50,"")</f>
        <v>14.1</v>
      </c>
      <c r="M51" s="25" t="str">
        <f aca="false">IF(AND(5_Consolidada!$B$50=1,5_Consolidada!$C$50=1,ISNUMBER(5_Consolidada!BB50)),5_Consolidada!BB50,"")</f>
        <v/>
      </c>
      <c r="N51" s="25" t="n">
        <f aca="false">IF(AND(5_Consolidada!$B$50=1,5_Consolidada!$C$50=2,ISNUMBER(5_Consolidada!BB50)),5_Consolidada!BB50,"")</f>
        <v>-0.8</v>
      </c>
    </row>
    <row r="53" customFormat="false" ht="15" hidden="false" customHeight="false" outlineLevel="0" collapsed="false">
      <c r="H53" s="17" t="s">
        <v>255</v>
      </c>
      <c r="I53" s="27" t="n">
        <f aca="false">IF(COUNT(I6:I51)&lt;4,"",QUARTILE(I6:I51,1))</f>
        <v>9.275</v>
      </c>
      <c r="J53" s="27" t="n">
        <f aca="false">IF(COUNT(J6:J51)&lt;4,"",QUARTILE(J6:J51,1))</f>
        <v>8.8</v>
      </c>
      <c r="K53" s="27" t="n">
        <f aca="false">IF(COUNT(K6:K51)&lt;4,"",QUARTILE(K6:K51,1))</f>
        <v>5.2</v>
      </c>
      <c r="L53" s="27" t="n">
        <f aca="false">IF(COUNT(L6:L51)&lt;4,"",QUARTILE(L6:L51,1))</f>
        <v>9.4</v>
      </c>
      <c r="M53" s="27" t="n">
        <f aca="false">IF(COUNT(M6:M51)&lt;4,"",QUARTILE(M6:M51,1))</f>
        <v>-6.7</v>
      </c>
      <c r="N53" s="27" t="n">
        <f aca="false">IF(COUNT(N6:N51)&lt;4,"",QUARTILE(N6:N51,1))</f>
        <v>-0.6</v>
      </c>
    </row>
    <row r="54" customFormat="false" ht="15" hidden="false" customHeight="false" outlineLevel="0" collapsed="false">
      <c r="H54" s="17" t="s">
        <v>256</v>
      </c>
      <c r="I54" s="27" t="n">
        <f aca="false">IF(COUNT(I6:I51)&lt;4,"",QUARTILE(I6:I51,3))</f>
        <v>13.125</v>
      </c>
      <c r="J54" s="27" t="n">
        <f aca="false">IF(COUNT(J6:J51)&lt;4,"",QUARTILE(J6:J51,3))</f>
        <v>13.5</v>
      </c>
      <c r="K54" s="27" t="n">
        <f aca="false">IF(COUNT(K6:K51)&lt;4,"",QUARTILE(K6:K51,3))</f>
        <v>7.5</v>
      </c>
      <c r="L54" s="27" t="n">
        <f aca="false">IF(COUNT(L6:L51)&lt;4,"",QUARTILE(L6:L51,3))</f>
        <v>14.25</v>
      </c>
      <c r="M54" s="27" t="n">
        <f aca="false">IF(COUNT(M6:M51)&lt;4,"",QUARTILE(M6:M51,3))</f>
        <v>-3.8</v>
      </c>
      <c r="N54" s="27" t="n">
        <f aca="false">IF(COUNT(N6:N51)&lt;4,"",QUARTILE(N6:N51,3))</f>
        <v>0.875</v>
      </c>
    </row>
    <row r="55" customFormat="false" ht="15" hidden="false" customHeight="false" outlineLevel="0" collapsed="false">
      <c r="H55" s="17" t="s">
        <v>257</v>
      </c>
      <c r="I55" s="27" t="n">
        <f aca="false">IF(I53="","",I54-I53)</f>
        <v>3.85</v>
      </c>
      <c r="J55" s="27" t="n">
        <f aca="false">IF(J53="","",J54-J53)</f>
        <v>4.7</v>
      </c>
      <c r="K55" s="27" t="n">
        <f aca="false">IF(K53="","",K54-K53)</f>
        <v>2.3</v>
      </c>
      <c r="L55" s="27" t="n">
        <f aca="false">IF(L53="","",L54-L53)</f>
        <v>4.85</v>
      </c>
      <c r="M55" s="27" t="n">
        <f aca="false">IF(M53="","",M54-M53)</f>
        <v>2.9</v>
      </c>
      <c r="N55" s="27" t="n">
        <f aca="false">IF(N53="","",N54-N53)</f>
        <v>1.475</v>
      </c>
    </row>
    <row r="56" customFormat="false" ht="15" hidden="false" customHeight="false" outlineLevel="0" collapsed="false">
      <c r="H56" s="17" t="s">
        <v>258</v>
      </c>
      <c r="I56" s="27" t="n">
        <f aca="false">IF(I53="","",I53-1.5*I55)</f>
        <v>3.5</v>
      </c>
      <c r="J56" s="27" t="n">
        <f aca="false">IF(J53="","",J53-1.5*J55)</f>
        <v>1.75</v>
      </c>
      <c r="K56" s="27" t="n">
        <f aca="false">IF(K53="","",K53-1.5*K55)</f>
        <v>1.75</v>
      </c>
      <c r="L56" s="27" t="n">
        <f aca="false">IF(L53="","",L53-1.5*L55)</f>
        <v>2.125</v>
      </c>
      <c r="M56" s="27" t="n">
        <f aca="false">IF(M53="","",M53-1.5*M55)</f>
        <v>-11.05</v>
      </c>
      <c r="N56" s="27" t="n">
        <f aca="false">IF(N53="","",N53-1.5*N55)</f>
        <v>-2.8125</v>
      </c>
    </row>
    <row r="57" customFormat="false" ht="15" hidden="false" customHeight="false" outlineLevel="0" collapsed="false">
      <c r="H57" s="17" t="s">
        <v>259</v>
      </c>
      <c r="I57" s="27" t="n">
        <f aca="false">IF(I53="","",I54+1.5*I55)</f>
        <v>18.9</v>
      </c>
      <c r="J57" s="27" t="n">
        <f aca="false">IF(J53="","",J54+1.5*J55)</f>
        <v>20.55</v>
      </c>
      <c r="K57" s="27" t="n">
        <f aca="false">IF(K53="","",K54+1.5*K55)</f>
        <v>10.95</v>
      </c>
      <c r="L57" s="27" t="n">
        <f aca="false">IF(L53="","",L54+1.5*L55)</f>
        <v>21.525</v>
      </c>
      <c r="M57" s="27" t="n">
        <f aca="false">IF(M53="","",M54+1.5*M55)</f>
        <v>0.550000000000001</v>
      </c>
      <c r="N57" s="27" t="n">
        <f aca="false">IF(N53="","",N54+1.5*N55)</f>
        <v>3.0875</v>
      </c>
    </row>
    <row r="58" customFormat="false" ht="15" hidden="false" customHeight="false" outlineLevel="0" collapsed="false">
      <c r="H58" s="17" t="s">
        <v>260</v>
      </c>
      <c r="I58" s="11" t="n">
        <f aca="false">IF(I53="","",SUMPRODUCT(ISNUMBER(I6:I51)*((I6:I51&lt;I56)+(I6:I51&gt;I57))))</f>
        <v>1</v>
      </c>
      <c r="J58" s="11" t="n">
        <f aca="false">IF(J53="","",SUMPRODUCT(ISNUMBER(J6:J51)*((J6:J51&lt;J56)+(J6:J51&gt;J57))))</f>
        <v>0</v>
      </c>
      <c r="K58" s="11" t="n">
        <f aca="false">IF(K53="","",SUMPRODUCT(ISNUMBER(K6:K51)*((K6:K51&lt;K56)+(K6:K51&gt;K57))))</f>
        <v>0</v>
      </c>
      <c r="L58" s="11" t="n">
        <f aca="false">IF(L53="","",SUMPRODUCT(ISNUMBER(L6:L51)*((L6:L51&lt;L56)+(L6:L51&gt;L57))))</f>
        <v>1</v>
      </c>
      <c r="M58" s="11" t="n">
        <f aca="false">IF(M53="","",SUMPRODUCT(ISNUMBER(M6:M51)*((M6:M51&lt;M56)+(M6:M51&gt;M57))))</f>
        <v>1</v>
      </c>
      <c r="N58" s="11" t="n">
        <f aca="false">IF(N53="","",SUMPRODUCT(ISNUMBER(N6:N51)*((N6:N51&lt;N56)+(N6:N51&gt;N57))))</f>
        <v>1</v>
      </c>
    </row>
  </sheetData>
  <conditionalFormatting sqref="E5:E35">
    <cfRule type="cellIs" priority="2" operator="equal" aboveAverage="0" equalAverage="0" bottom="0" percent="0" rank="0" text="" dxfId="2">
      <formula>"VERDE"</formula>
    </cfRule>
    <cfRule type="cellIs" priority="3" operator="equal" aboveAverage="0" equalAverage="0" bottom="0" percent="0" rank="0" text="" dxfId="1">
      <formula>"ÁMBAR"</formula>
    </cfRule>
    <cfRule type="cellIs" priority="4" operator="equal" aboveAverage="0" equalAverage="0" bottom="0" percent="0" rank="0" text="" dxfId="0">
      <formula>"ROJO"</formula>
    </cfRule>
    <cfRule type="cellIs" priority="5" operator="equal" aboveAverage="0" equalAverage="0" bottom="0" percent="0" rank="0" text="" dxfId="0">
      <formula>"REVISAR"</formula>
    </cfRule>
    <cfRule type="expression" priority="6" aboveAverage="0" equalAverage="0" bottom="0" percent="0" rank="0" text="" dxfId="2">
      <formula>LEFT(E5,4)="BASE"</formula>
    </cfRule>
    <cfRule type="expression" priority="7" aboveAverage="0" equalAverage="0" bottom="0" percent="0" rank="0" text="" dxfId="0">
      <formula>LEFT(E5,2)="NO"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M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2"/>
    <col collapsed="false" customWidth="true" hidden="false" outlineLevel="0" max="4" min="4" style="0" width="16"/>
    <col collapsed="false" customWidth="true" hidden="false" outlineLevel="0" max="5" min="5" style="0" width="18"/>
    <col collapsed="false" customWidth="true" hidden="false" outlineLevel="0" max="6" min="6" style="0" width="44"/>
    <col collapsed="false" customWidth="true" hidden="false" outlineLevel="0" max="7" min="7" style="0" width="16"/>
    <col collapsed="false" customWidth="true" hidden="false" outlineLevel="0" max="8" min="8" style="0" width="12"/>
    <col collapsed="false" customWidth="true" hidden="false" outlineLevel="0" max="9" min="9" style="0" width="36"/>
    <col collapsed="false" customWidth="true" hidden="false" outlineLevel="0" max="10" min="10" style="0" width="10"/>
    <col collapsed="false" customWidth="true" hidden="false" outlineLevel="0" max="11" min="11" style="0" width="36"/>
    <col collapsed="false" customWidth="true" hidden="false" outlineLevel="0" max="12" min="12" style="0" width="16"/>
    <col collapsed="false" customWidth="true" hidden="false" outlineLevel="0" max="13" min="13" style="0" width="26"/>
  </cols>
  <sheetData>
    <row r="1" customFormat="false" ht="17.35" hidden="false" customHeight="false" outlineLevel="0" collapsed="false">
      <c r="A1" s="1" t="s">
        <v>261</v>
      </c>
    </row>
    <row r="2" customFormat="false" ht="15" hidden="false" customHeight="false" outlineLevel="0" collapsed="false">
      <c r="A2" s="2" t="s">
        <v>262</v>
      </c>
    </row>
    <row r="4" customFormat="false" ht="30" hidden="false" customHeight="true" outlineLevel="0" collapsed="false">
      <c r="A4" s="6" t="s">
        <v>185</v>
      </c>
      <c r="B4" s="6" t="s">
        <v>263</v>
      </c>
      <c r="C4" s="6" t="s">
        <v>264</v>
      </c>
      <c r="D4" s="6" t="s">
        <v>265</v>
      </c>
      <c r="E4" s="6" t="s">
        <v>266</v>
      </c>
      <c r="F4" s="6" t="s">
        <v>267</v>
      </c>
      <c r="G4" s="6" t="s">
        <v>268</v>
      </c>
      <c r="H4" s="6" t="s">
        <v>269</v>
      </c>
      <c r="I4" s="6" t="s">
        <v>270</v>
      </c>
      <c r="J4" s="6" t="s">
        <v>271</v>
      </c>
      <c r="K4" s="6" t="s">
        <v>272</v>
      </c>
      <c r="L4" s="6" t="s">
        <v>273</v>
      </c>
      <c r="M4" s="6" t="s">
        <v>274</v>
      </c>
    </row>
    <row r="5" customFormat="false" ht="24" hidden="false" customHeight="true" outlineLevel="0" collapsed="false">
      <c r="A5" s="18" t="n">
        <v>1</v>
      </c>
      <c r="B5" s="17" t="s">
        <v>21</v>
      </c>
      <c r="C5" s="5" t="s">
        <v>275</v>
      </c>
      <c r="D5" s="21" t="s">
        <v>276</v>
      </c>
      <c r="E5" s="21" t="s">
        <v>277</v>
      </c>
      <c r="F5" s="21" t="s">
        <v>278</v>
      </c>
      <c r="G5" s="21" t="s">
        <v>279</v>
      </c>
      <c r="H5" s="21" t="s">
        <v>280</v>
      </c>
      <c r="I5" s="21" t="s">
        <v>281</v>
      </c>
      <c r="J5" s="21" t="s">
        <v>282</v>
      </c>
      <c r="K5" s="21" t="s">
        <v>280</v>
      </c>
      <c r="L5" s="21" t="s">
        <v>283</v>
      </c>
      <c r="M5" s="21" t="s">
        <v>284</v>
      </c>
    </row>
    <row r="6" customFormat="false" ht="24" hidden="false" customHeight="true" outlineLevel="0" collapsed="false">
      <c r="A6" s="18" t="n">
        <v>2</v>
      </c>
      <c r="B6" s="17" t="s">
        <v>166</v>
      </c>
      <c r="C6" s="5" t="s">
        <v>285</v>
      </c>
      <c r="D6" s="21" t="s">
        <v>286</v>
      </c>
      <c r="E6" s="21" t="s">
        <v>277</v>
      </c>
      <c r="F6" s="21" t="s">
        <v>287</v>
      </c>
      <c r="G6" s="21" t="s">
        <v>288</v>
      </c>
      <c r="H6" s="21" t="s">
        <v>280</v>
      </c>
      <c r="I6" s="21" t="s">
        <v>289</v>
      </c>
      <c r="J6" s="21" t="s">
        <v>280</v>
      </c>
      <c r="K6" s="21" t="s">
        <v>280</v>
      </c>
      <c r="L6" s="21" t="s">
        <v>283</v>
      </c>
      <c r="M6" s="21" t="s">
        <v>290</v>
      </c>
    </row>
    <row r="7" customFormat="false" ht="24" hidden="false" customHeight="true" outlineLevel="0" collapsed="false">
      <c r="A7" s="18" t="n">
        <v>3</v>
      </c>
      <c r="B7" s="17" t="s">
        <v>22</v>
      </c>
      <c r="C7" s="5" t="s">
        <v>291</v>
      </c>
      <c r="D7" s="21" t="s">
        <v>286</v>
      </c>
      <c r="E7" s="21" t="s">
        <v>277</v>
      </c>
      <c r="F7" s="21" t="s">
        <v>292</v>
      </c>
      <c r="G7" s="21" t="s">
        <v>293</v>
      </c>
      <c r="H7" s="21" t="s">
        <v>280</v>
      </c>
      <c r="I7" s="21" t="s">
        <v>294</v>
      </c>
      <c r="J7" s="21" t="s">
        <v>282</v>
      </c>
      <c r="K7" s="21" t="s">
        <v>280</v>
      </c>
      <c r="L7" s="21" t="s">
        <v>283</v>
      </c>
      <c r="M7" s="21" t="s">
        <v>284</v>
      </c>
    </row>
    <row r="8" customFormat="false" ht="24" hidden="false" customHeight="true" outlineLevel="0" collapsed="false">
      <c r="A8" s="18" t="n">
        <v>4</v>
      </c>
      <c r="B8" s="17" t="s">
        <v>23</v>
      </c>
      <c r="C8" s="5" t="s">
        <v>295</v>
      </c>
      <c r="D8" s="21"/>
      <c r="E8" s="21"/>
      <c r="F8" s="21"/>
      <c r="G8" s="21"/>
      <c r="H8" s="21"/>
      <c r="I8" s="21"/>
      <c r="J8" s="21"/>
      <c r="K8" s="21"/>
      <c r="L8" s="21"/>
      <c r="M8" s="21"/>
    </row>
    <row r="9" customFormat="false" ht="24" hidden="false" customHeight="true" outlineLevel="0" collapsed="false">
      <c r="A9" s="18" t="n">
        <v>5</v>
      </c>
      <c r="B9" s="17" t="s">
        <v>24</v>
      </c>
      <c r="C9" s="5" t="s">
        <v>296</v>
      </c>
      <c r="D9" s="21"/>
      <c r="E9" s="21"/>
      <c r="F9" s="21"/>
      <c r="G9" s="21"/>
      <c r="H9" s="21"/>
      <c r="I9" s="21"/>
      <c r="J9" s="21"/>
      <c r="K9" s="21"/>
      <c r="L9" s="21"/>
      <c r="M9" s="21"/>
    </row>
    <row r="10" customFormat="false" ht="24" hidden="false" customHeight="true" outlineLevel="0" collapsed="false">
      <c r="A10" s="18" t="n">
        <v>6</v>
      </c>
      <c r="B10" s="17" t="s">
        <v>25</v>
      </c>
      <c r="C10" s="5" t="s">
        <v>297</v>
      </c>
      <c r="D10" s="21"/>
      <c r="E10" s="21"/>
      <c r="F10" s="21"/>
      <c r="G10" s="21"/>
      <c r="H10" s="21"/>
      <c r="I10" s="21"/>
      <c r="J10" s="21"/>
      <c r="K10" s="21"/>
      <c r="L10" s="21"/>
      <c r="M10" s="21"/>
    </row>
    <row r="11" customFormat="false" ht="24" hidden="false" customHeight="true" outlineLevel="0" collapsed="false">
      <c r="A11" s="18" t="n">
        <v>7</v>
      </c>
      <c r="B11" s="17" t="s">
        <v>26</v>
      </c>
      <c r="C11" s="5" t="s">
        <v>298</v>
      </c>
      <c r="D11" s="21"/>
      <c r="E11" s="21"/>
      <c r="F11" s="21"/>
      <c r="G11" s="21"/>
      <c r="H11" s="21"/>
      <c r="I11" s="21"/>
      <c r="J11" s="21"/>
      <c r="K11" s="21"/>
      <c r="L11" s="21"/>
      <c r="M11" s="21"/>
    </row>
    <row r="12" customFormat="false" ht="24" hidden="false" customHeight="true" outlineLevel="0" collapsed="false">
      <c r="A12" s="18" t="n">
        <v>8</v>
      </c>
      <c r="B12" s="17" t="s">
        <v>27</v>
      </c>
      <c r="C12" s="5" t="s">
        <v>299</v>
      </c>
      <c r="D12" s="21"/>
      <c r="E12" s="21"/>
      <c r="F12" s="21"/>
      <c r="G12" s="21"/>
      <c r="H12" s="21"/>
      <c r="I12" s="21"/>
      <c r="J12" s="21"/>
      <c r="K12" s="21"/>
      <c r="L12" s="21"/>
      <c r="M12" s="21"/>
    </row>
    <row r="13" customFormat="false" ht="24" hidden="false" customHeight="true" outlineLevel="0" collapsed="false">
      <c r="A13" s="18" t="n">
        <v>9</v>
      </c>
      <c r="B13" s="17" t="s">
        <v>106</v>
      </c>
      <c r="C13" s="5" t="s">
        <v>300</v>
      </c>
      <c r="D13" s="21"/>
      <c r="E13" s="21"/>
      <c r="F13" s="21"/>
      <c r="G13" s="21"/>
      <c r="H13" s="21"/>
      <c r="I13" s="21"/>
      <c r="J13" s="21"/>
      <c r="K13" s="21"/>
      <c r="L13" s="21"/>
      <c r="M13" s="21"/>
    </row>
    <row r="14" customFormat="false" ht="24" hidden="false" customHeight="true" outlineLevel="0" collapsed="false">
      <c r="A14" s="18" t="n">
        <v>10</v>
      </c>
      <c r="B14" s="17" t="s">
        <v>28</v>
      </c>
      <c r="C14" s="5" t="s">
        <v>301</v>
      </c>
      <c r="D14" s="21"/>
      <c r="E14" s="21"/>
      <c r="F14" s="21"/>
      <c r="G14" s="21"/>
      <c r="H14" s="21"/>
      <c r="I14" s="21"/>
      <c r="J14" s="21"/>
      <c r="K14" s="21"/>
      <c r="L14" s="21"/>
      <c r="M14" s="21"/>
    </row>
    <row r="15" customFormat="false" ht="24" hidden="false" customHeight="true" outlineLevel="0" collapsed="false">
      <c r="A15" s="18" t="n">
        <v>11</v>
      </c>
      <c r="B15" s="17" t="s">
        <v>107</v>
      </c>
      <c r="C15" s="5" t="s">
        <v>302</v>
      </c>
      <c r="D15" s="21"/>
      <c r="E15" s="21"/>
      <c r="F15" s="21"/>
      <c r="G15" s="21"/>
      <c r="H15" s="21"/>
      <c r="I15" s="21"/>
      <c r="J15" s="21"/>
      <c r="K15" s="21"/>
      <c r="L15" s="21"/>
      <c r="M15" s="21"/>
    </row>
    <row r="16" customFormat="false" ht="24" hidden="false" customHeight="true" outlineLevel="0" collapsed="false">
      <c r="A16" s="18" t="n">
        <v>12</v>
      </c>
      <c r="B16" s="17" t="s">
        <v>29</v>
      </c>
      <c r="C16" s="5" t="s">
        <v>303</v>
      </c>
      <c r="D16" s="21"/>
      <c r="E16" s="21"/>
      <c r="F16" s="21"/>
      <c r="G16" s="21"/>
      <c r="H16" s="21"/>
      <c r="I16" s="21"/>
      <c r="J16" s="21"/>
      <c r="K16" s="21"/>
      <c r="L16" s="21"/>
      <c r="M16" s="21"/>
    </row>
    <row r="17" customFormat="false" ht="24" hidden="false" customHeight="true" outlineLevel="0" collapsed="false">
      <c r="A17" s="18" t="n">
        <v>13</v>
      </c>
      <c r="B17" s="17" t="s">
        <v>108</v>
      </c>
      <c r="C17" s="5" t="s">
        <v>304</v>
      </c>
      <c r="D17" s="21"/>
      <c r="E17" s="21"/>
      <c r="F17" s="21"/>
      <c r="G17" s="21"/>
      <c r="H17" s="21"/>
      <c r="I17" s="21"/>
      <c r="J17" s="21"/>
      <c r="K17" s="21"/>
      <c r="L17" s="21"/>
      <c r="M17" s="21"/>
    </row>
    <row r="18" customFormat="false" ht="24" hidden="false" customHeight="true" outlineLevel="0" collapsed="false">
      <c r="A18" s="18" t="n">
        <v>14</v>
      </c>
      <c r="B18" s="17" t="s">
        <v>30</v>
      </c>
      <c r="C18" s="5" t="s">
        <v>305</v>
      </c>
      <c r="D18" s="21"/>
      <c r="E18" s="21"/>
      <c r="F18" s="21"/>
      <c r="G18" s="21"/>
      <c r="H18" s="21"/>
      <c r="I18" s="21"/>
      <c r="J18" s="21"/>
      <c r="K18" s="21"/>
      <c r="L18" s="21"/>
      <c r="M18" s="21"/>
    </row>
    <row r="19" customFormat="false" ht="24" hidden="false" customHeight="true" outlineLevel="0" collapsed="false">
      <c r="A19" s="18" t="n">
        <v>15</v>
      </c>
      <c r="B19" s="17" t="s">
        <v>31</v>
      </c>
      <c r="C19" s="5" t="s">
        <v>306</v>
      </c>
      <c r="D19" s="21"/>
      <c r="E19" s="21"/>
      <c r="F19" s="21"/>
      <c r="G19" s="21"/>
      <c r="H19" s="21"/>
      <c r="I19" s="21"/>
      <c r="J19" s="21"/>
      <c r="K19" s="21"/>
      <c r="L19" s="21"/>
      <c r="M19" s="21"/>
    </row>
    <row r="20" customFormat="false" ht="24" hidden="false" customHeight="true" outlineLevel="0" collapsed="false">
      <c r="A20" s="18" t="n">
        <v>16</v>
      </c>
      <c r="B20" s="17" t="s">
        <v>32</v>
      </c>
      <c r="C20" s="5" t="s">
        <v>307</v>
      </c>
      <c r="D20" s="21"/>
      <c r="E20" s="21"/>
      <c r="F20" s="21"/>
      <c r="G20" s="21"/>
      <c r="H20" s="21"/>
      <c r="I20" s="21"/>
      <c r="J20" s="21"/>
      <c r="K20" s="21"/>
      <c r="L20" s="21"/>
      <c r="M20" s="21"/>
    </row>
    <row r="21" customFormat="false" ht="24" hidden="false" customHeight="true" outlineLevel="0" collapsed="false">
      <c r="A21" s="18" t="n">
        <v>17</v>
      </c>
      <c r="B21" s="17" t="s">
        <v>33</v>
      </c>
      <c r="C21" s="5" t="s">
        <v>308</v>
      </c>
      <c r="D21" s="21"/>
      <c r="E21" s="21"/>
      <c r="F21" s="21"/>
      <c r="G21" s="21"/>
      <c r="H21" s="21"/>
      <c r="I21" s="21"/>
      <c r="J21" s="21"/>
      <c r="K21" s="21"/>
      <c r="L21" s="21"/>
      <c r="M21" s="21"/>
    </row>
    <row r="22" customFormat="false" ht="24" hidden="false" customHeight="true" outlineLevel="0" collapsed="false">
      <c r="A22" s="18" t="n">
        <v>18</v>
      </c>
      <c r="B22" s="17" t="s">
        <v>34</v>
      </c>
      <c r="C22" s="5" t="s">
        <v>309</v>
      </c>
      <c r="D22" s="21"/>
      <c r="E22" s="21"/>
      <c r="F22" s="21"/>
      <c r="G22" s="21"/>
      <c r="H22" s="21"/>
      <c r="I22" s="21"/>
      <c r="J22" s="21"/>
      <c r="K22" s="21"/>
      <c r="L22" s="21"/>
      <c r="M22" s="21"/>
    </row>
    <row r="23" customFormat="false" ht="24" hidden="false" customHeight="true" outlineLevel="0" collapsed="false">
      <c r="A23" s="18" t="n">
        <v>19</v>
      </c>
      <c r="B23" s="17" t="s">
        <v>35</v>
      </c>
      <c r="C23" s="5" t="s">
        <v>310</v>
      </c>
      <c r="D23" s="21"/>
      <c r="E23" s="21"/>
      <c r="F23" s="21"/>
      <c r="G23" s="21"/>
      <c r="H23" s="21"/>
      <c r="I23" s="21"/>
      <c r="J23" s="21"/>
      <c r="K23" s="21"/>
      <c r="L23" s="21"/>
      <c r="M23" s="21"/>
    </row>
    <row r="24" customFormat="false" ht="24" hidden="false" customHeight="true" outlineLevel="0" collapsed="false">
      <c r="A24" s="18" t="n">
        <v>20</v>
      </c>
      <c r="B24" s="17" t="s">
        <v>36</v>
      </c>
      <c r="C24" s="5" t="s">
        <v>311</v>
      </c>
      <c r="D24" s="21"/>
      <c r="E24" s="21"/>
      <c r="F24" s="21"/>
      <c r="G24" s="21"/>
      <c r="H24" s="21"/>
      <c r="I24" s="21"/>
      <c r="J24" s="21"/>
      <c r="K24" s="21"/>
      <c r="L24" s="21"/>
      <c r="M24" s="21"/>
    </row>
    <row r="25" customFormat="false" ht="24" hidden="false" customHeight="true" outlineLevel="0" collapsed="false">
      <c r="A25" s="18" t="n">
        <v>21</v>
      </c>
      <c r="B25" s="17" t="s">
        <v>37</v>
      </c>
      <c r="C25" s="5" t="s">
        <v>312</v>
      </c>
      <c r="D25" s="21"/>
      <c r="E25" s="21"/>
      <c r="F25" s="21"/>
      <c r="G25" s="21"/>
      <c r="H25" s="21"/>
      <c r="I25" s="21"/>
      <c r="J25" s="21"/>
      <c r="K25" s="21"/>
      <c r="L25" s="21"/>
      <c r="M25" s="21"/>
    </row>
    <row r="26" customFormat="false" ht="24" hidden="false" customHeight="true" outlineLevel="0" collapsed="false">
      <c r="A26" s="18" t="n">
        <v>22</v>
      </c>
      <c r="B26" s="17" t="s">
        <v>38</v>
      </c>
      <c r="C26" s="5" t="s">
        <v>313</v>
      </c>
      <c r="D26" s="21"/>
      <c r="E26" s="21"/>
      <c r="F26" s="21"/>
      <c r="G26" s="21"/>
      <c r="H26" s="21"/>
      <c r="I26" s="21"/>
      <c r="J26" s="21"/>
      <c r="K26" s="21"/>
      <c r="L26" s="21"/>
      <c r="M26" s="21"/>
    </row>
    <row r="27" customFormat="false" ht="24" hidden="false" customHeight="true" outlineLevel="0" collapsed="false">
      <c r="A27" s="18" t="n">
        <v>23</v>
      </c>
      <c r="B27" s="17" t="s">
        <v>39</v>
      </c>
      <c r="C27" s="5" t="s">
        <v>314</v>
      </c>
      <c r="D27" s="21"/>
      <c r="E27" s="21"/>
      <c r="F27" s="21"/>
      <c r="G27" s="21"/>
      <c r="H27" s="21"/>
      <c r="I27" s="21"/>
      <c r="J27" s="21"/>
      <c r="K27" s="21"/>
      <c r="L27" s="21"/>
      <c r="M27" s="21"/>
    </row>
    <row r="28" customFormat="false" ht="24" hidden="false" customHeight="true" outlineLevel="0" collapsed="false">
      <c r="A28" s="18" t="n">
        <v>24</v>
      </c>
      <c r="B28" s="17" t="s">
        <v>40</v>
      </c>
      <c r="C28" s="5" t="s">
        <v>315</v>
      </c>
      <c r="D28" s="21"/>
      <c r="E28" s="21"/>
      <c r="F28" s="21"/>
      <c r="G28" s="21"/>
      <c r="H28" s="21"/>
      <c r="I28" s="21"/>
      <c r="J28" s="21"/>
      <c r="K28" s="21"/>
      <c r="L28" s="21"/>
      <c r="M28" s="21"/>
    </row>
    <row r="29" customFormat="false" ht="24" hidden="false" customHeight="true" outlineLevel="0" collapsed="false">
      <c r="A29" s="18" t="n">
        <v>25</v>
      </c>
      <c r="B29" s="17" t="s">
        <v>41</v>
      </c>
      <c r="C29" s="5" t="s">
        <v>316</v>
      </c>
      <c r="D29" s="21"/>
      <c r="E29" s="21"/>
      <c r="F29" s="21"/>
      <c r="G29" s="21"/>
      <c r="H29" s="21"/>
      <c r="I29" s="21"/>
      <c r="J29" s="21"/>
      <c r="K29" s="21"/>
      <c r="L29" s="21"/>
      <c r="M29" s="21"/>
    </row>
    <row r="30" customFormat="false" ht="24" hidden="false" customHeight="true" outlineLevel="0" collapsed="false">
      <c r="A30" s="18" t="n">
        <v>26</v>
      </c>
      <c r="B30" s="17" t="s">
        <v>42</v>
      </c>
      <c r="C30" s="5" t="s">
        <v>317</v>
      </c>
      <c r="D30" s="21"/>
      <c r="E30" s="21"/>
      <c r="F30" s="21"/>
      <c r="G30" s="21"/>
      <c r="H30" s="21"/>
      <c r="I30" s="21"/>
      <c r="J30" s="21"/>
      <c r="K30" s="21"/>
      <c r="L30" s="21"/>
      <c r="M30" s="21"/>
    </row>
    <row r="31" customFormat="false" ht="24" hidden="false" customHeight="true" outlineLevel="0" collapsed="false">
      <c r="A31" s="18" t="n">
        <v>27</v>
      </c>
      <c r="B31" s="17" t="s">
        <v>43</v>
      </c>
      <c r="C31" s="5" t="s">
        <v>318</v>
      </c>
      <c r="D31" s="21"/>
      <c r="E31" s="21"/>
      <c r="F31" s="21"/>
      <c r="G31" s="21"/>
      <c r="H31" s="21"/>
      <c r="I31" s="21"/>
      <c r="J31" s="21"/>
      <c r="K31" s="21"/>
      <c r="L31" s="21"/>
      <c r="M31" s="21"/>
    </row>
    <row r="32" customFormat="false" ht="24" hidden="false" customHeight="true" outlineLevel="0" collapsed="false">
      <c r="A32" s="18" t="n">
        <v>28</v>
      </c>
      <c r="B32" s="17" t="s">
        <v>44</v>
      </c>
      <c r="C32" s="5" t="s">
        <v>319</v>
      </c>
      <c r="D32" s="21"/>
      <c r="E32" s="21"/>
      <c r="F32" s="21"/>
      <c r="G32" s="21"/>
      <c r="H32" s="21"/>
      <c r="I32" s="21"/>
      <c r="J32" s="21"/>
      <c r="K32" s="21"/>
      <c r="L32" s="21"/>
      <c r="M32" s="21"/>
    </row>
    <row r="33" customFormat="false" ht="24" hidden="false" customHeight="true" outlineLevel="0" collapsed="false">
      <c r="A33" s="18" t="n">
        <v>29</v>
      </c>
      <c r="B33" s="17" t="s">
        <v>109</v>
      </c>
      <c r="C33" s="5" t="s">
        <v>320</v>
      </c>
      <c r="D33" s="21"/>
      <c r="E33" s="21"/>
      <c r="F33" s="21"/>
      <c r="G33" s="21"/>
      <c r="H33" s="21"/>
      <c r="I33" s="21"/>
      <c r="J33" s="21"/>
      <c r="K33" s="21"/>
      <c r="L33" s="21"/>
      <c r="M33" s="21"/>
    </row>
    <row r="34" customFormat="false" ht="24" hidden="false" customHeight="true" outlineLevel="0" collapsed="false">
      <c r="A34" s="18" t="n">
        <v>30</v>
      </c>
      <c r="B34" s="17" t="s">
        <v>110</v>
      </c>
      <c r="C34" s="5" t="s">
        <v>321</v>
      </c>
      <c r="D34" s="21"/>
      <c r="E34" s="21"/>
      <c r="F34" s="21"/>
      <c r="G34" s="21"/>
      <c r="H34" s="21"/>
      <c r="I34" s="21"/>
      <c r="J34" s="21"/>
      <c r="K34" s="21"/>
      <c r="L34" s="21"/>
      <c r="M34" s="21"/>
    </row>
    <row r="35" customFormat="false" ht="24" hidden="false" customHeight="true" outlineLevel="0" collapsed="false">
      <c r="A35" s="18" t="n">
        <v>31</v>
      </c>
      <c r="B35" s="17" t="s">
        <v>111</v>
      </c>
      <c r="C35" s="5" t="s">
        <v>322</v>
      </c>
      <c r="D35" s="21"/>
      <c r="E35" s="21"/>
      <c r="F35" s="21"/>
      <c r="G35" s="21"/>
      <c r="H35" s="21"/>
      <c r="I35" s="21"/>
      <c r="J35" s="21"/>
      <c r="K35" s="21"/>
      <c r="L35" s="21"/>
      <c r="M35" s="21"/>
    </row>
    <row r="36" customFormat="false" ht="24" hidden="false" customHeight="true" outlineLevel="0" collapsed="false">
      <c r="A36" s="18" t="n">
        <v>32</v>
      </c>
      <c r="B36" s="17" t="s">
        <v>112</v>
      </c>
      <c r="C36" s="5" t="s">
        <v>323</v>
      </c>
      <c r="D36" s="21"/>
      <c r="E36" s="21"/>
      <c r="F36" s="21"/>
      <c r="G36" s="21"/>
      <c r="H36" s="21"/>
      <c r="I36" s="21"/>
      <c r="J36" s="21"/>
      <c r="K36" s="21"/>
      <c r="L36" s="21"/>
      <c r="M36" s="21"/>
    </row>
    <row r="37" customFormat="false" ht="24" hidden="false" customHeight="true" outlineLevel="0" collapsed="false">
      <c r="A37" s="18" t="n">
        <v>33</v>
      </c>
      <c r="B37" s="17" t="s">
        <v>113</v>
      </c>
      <c r="C37" s="5" t="s">
        <v>324</v>
      </c>
      <c r="D37" s="21"/>
      <c r="E37" s="21"/>
      <c r="F37" s="21"/>
      <c r="G37" s="21"/>
      <c r="H37" s="21"/>
      <c r="I37" s="21"/>
      <c r="J37" s="21"/>
      <c r="K37" s="21"/>
      <c r="L37" s="21"/>
      <c r="M37" s="21"/>
    </row>
    <row r="38" customFormat="false" ht="24" hidden="false" customHeight="true" outlineLevel="0" collapsed="false">
      <c r="A38" s="18" t="n">
        <v>34</v>
      </c>
      <c r="B38" s="17" t="s">
        <v>114</v>
      </c>
      <c r="C38" s="5" t="s">
        <v>325</v>
      </c>
      <c r="D38" s="21"/>
      <c r="E38" s="21"/>
      <c r="F38" s="21"/>
      <c r="G38" s="21"/>
      <c r="H38" s="21"/>
      <c r="I38" s="21"/>
      <c r="J38" s="21"/>
      <c r="K38" s="21"/>
      <c r="L38" s="21"/>
      <c r="M38" s="21"/>
    </row>
    <row r="39" customFormat="false" ht="24" hidden="false" customHeight="true" outlineLevel="0" collapsed="false">
      <c r="A39" s="18" t="n">
        <v>35</v>
      </c>
      <c r="B39" s="17" t="s">
        <v>115</v>
      </c>
      <c r="C39" s="5" t="s">
        <v>326</v>
      </c>
      <c r="D39" s="21"/>
      <c r="E39" s="21"/>
      <c r="F39" s="21"/>
      <c r="G39" s="21"/>
      <c r="H39" s="21"/>
      <c r="I39" s="21"/>
      <c r="J39" s="21"/>
      <c r="K39" s="21"/>
      <c r="L39" s="21"/>
      <c r="M39" s="21"/>
    </row>
    <row r="40" customFormat="false" ht="24" hidden="false" customHeight="true" outlineLevel="0" collapsed="false">
      <c r="A40" s="18" t="n">
        <v>36</v>
      </c>
      <c r="B40" s="17" t="s">
        <v>116</v>
      </c>
      <c r="C40" s="5" t="s">
        <v>327</v>
      </c>
      <c r="D40" s="21"/>
      <c r="E40" s="21"/>
      <c r="F40" s="21"/>
      <c r="G40" s="21"/>
      <c r="H40" s="21"/>
      <c r="I40" s="21"/>
      <c r="J40" s="21"/>
      <c r="K40" s="21"/>
      <c r="L40" s="21"/>
      <c r="M40" s="21"/>
    </row>
    <row r="41" customFormat="false" ht="24" hidden="false" customHeight="true" outlineLevel="0" collapsed="false">
      <c r="A41" s="18" t="n">
        <v>37</v>
      </c>
      <c r="B41" s="17" t="s">
        <v>117</v>
      </c>
      <c r="C41" s="5" t="s">
        <v>328</v>
      </c>
      <c r="D41" s="21"/>
      <c r="E41" s="21"/>
      <c r="F41" s="21"/>
      <c r="G41" s="21"/>
      <c r="H41" s="21"/>
      <c r="I41" s="21"/>
      <c r="J41" s="21"/>
      <c r="K41" s="21"/>
      <c r="L41" s="21"/>
      <c r="M41" s="21"/>
    </row>
    <row r="42" customFormat="false" ht="24" hidden="false" customHeight="true" outlineLevel="0" collapsed="false">
      <c r="A42" s="18" t="n">
        <v>38</v>
      </c>
      <c r="B42" s="17" t="s">
        <v>118</v>
      </c>
      <c r="C42" s="5" t="s">
        <v>329</v>
      </c>
      <c r="D42" s="21"/>
      <c r="E42" s="21"/>
      <c r="F42" s="21"/>
      <c r="G42" s="21"/>
      <c r="H42" s="21"/>
      <c r="I42" s="21"/>
      <c r="J42" s="21"/>
      <c r="K42" s="21"/>
      <c r="L42" s="21"/>
      <c r="M42" s="21"/>
    </row>
    <row r="43" customFormat="false" ht="24" hidden="false" customHeight="true" outlineLevel="0" collapsed="false">
      <c r="A43" s="18" t="n">
        <v>39</v>
      </c>
      <c r="B43" s="17" t="s">
        <v>119</v>
      </c>
      <c r="C43" s="5" t="s">
        <v>330</v>
      </c>
      <c r="D43" s="21"/>
      <c r="E43" s="21"/>
      <c r="F43" s="21"/>
      <c r="G43" s="21"/>
      <c r="H43" s="21"/>
      <c r="I43" s="21"/>
      <c r="J43" s="21"/>
      <c r="K43" s="21"/>
      <c r="L43" s="21"/>
      <c r="M43" s="21"/>
    </row>
    <row r="44" customFormat="false" ht="24" hidden="false" customHeight="true" outlineLevel="0" collapsed="false">
      <c r="A44" s="18" t="n">
        <v>40</v>
      </c>
      <c r="B44" s="17" t="s">
        <v>120</v>
      </c>
      <c r="C44" s="5" t="s">
        <v>331</v>
      </c>
      <c r="D44" s="21"/>
      <c r="E44" s="21"/>
      <c r="F44" s="21"/>
      <c r="G44" s="21"/>
      <c r="H44" s="21"/>
      <c r="I44" s="21"/>
      <c r="J44" s="21"/>
      <c r="K44" s="21"/>
      <c r="L44" s="21"/>
      <c r="M44" s="21"/>
    </row>
    <row r="45" customFormat="false" ht="24" hidden="false" customHeight="true" outlineLevel="0" collapsed="false">
      <c r="A45" s="18" t="n">
        <v>41</v>
      </c>
      <c r="B45" s="17" t="s">
        <v>121</v>
      </c>
      <c r="C45" s="5" t="s">
        <v>332</v>
      </c>
      <c r="D45" s="21"/>
      <c r="E45" s="21"/>
      <c r="F45" s="21"/>
      <c r="G45" s="21"/>
      <c r="H45" s="21"/>
      <c r="I45" s="21"/>
      <c r="J45" s="21"/>
      <c r="K45" s="21"/>
      <c r="L45" s="21"/>
      <c r="M45" s="21"/>
    </row>
    <row r="46" customFormat="false" ht="24" hidden="false" customHeight="true" outlineLevel="0" collapsed="false">
      <c r="A46" s="18" t="n">
        <v>42</v>
      </c>
      <c r="B46" s="17" t="s">
        <v>122</v>
      </c>
      <c r="C46" s="5" t="s">
        <v>333</v>
      </c>
      <c r="D46" s="21"/>
      <c r="E46" s="21"/>
      <c r="F46" s="21"/>
      <c r="G46" s="21"/>
      <c r="H46" s="21"/>
      <c r="I46" s="21"/>
      <c r="J46" s="21"/>
      <c r="K46" s="21"/>
      <c r="L46" s="21"/>
      <c r="M46" s="21"/>
    </row>
    <row r="47" customFormat="false" ht="24" hidden="false" customHeight="true" outlineLevel="0" collapsed="false">
      <c r="A47" s="18" t="n">
        <v>43</v>
      </c>
      <c r="B47" s="17" t="s">
        <v>123</v>
      </c>
      <c r="C47" s="5" t="s">
        <v>334</v>
      </c>
      <c r="D47" s="21"/>
      <c r="E47" s="21"/>
      <c r="F47" s="21"/>
      <c r="G47" s="21"/>
      <c r="H47" s="21"/>
      <c r="I47" s="21"/>
      <c r="J47" s="21"/>
      <c r="K47" s="21"/>
      <c r="L47" s="21"/>
      <c r="M47" s="21"/>
    </row>
    <row r="48" customFormat="false" ht="24" hidden="false" customHeight="true" outlineLevel="0" collapsed="false">
      <c r="A48" s="18" t="n">
        <v>44</v>
      </c>
      <c r="B48" s="17" t="s">
        <v>167</v>
      </c>
      <c r="C48" s="5" t="s">
        <v>335</v>
      </c>
      <c r="D48" s="21"/>
      <c r="E48" s="21"/>
      <c r="F48" s="21"/>
      <c r="G48" s="21"/>
      <c r="H48" s="21"/>
      <c r="I48" s="21"/>
      <c r="J48" s="21"/>
      <c r="K48" s="21"/>
      <c r="L48" s="21"/>
      <c r="M48" s="21"/>
    </row>
    <row r="49" customFormat="false" ht="24" hidden="false" customHeight="true" outlineLevel="0" collapsed="false">
      <c r="A49" s="18" t="n">
        <v>45</v>
      </c>
      <c r="B49" s="17" t="s">
        <v>168</v>
      </c>
      <c r="C49" s="5" t="s">
        <v>336</v>
      </c>
      <c r="D49" s="21"/>
      <c r="E49" s="21"/>
      <c r="F49" s="21"/>
      <c r="G49" s="21"/>
      <c r="H49" s="21"/>
      <c r="I49" s="21"/>
      <c r="J49" s="21"/>
      <c r="K49" s="21"/>
      <c r="L49" s="21"/>
      <c r="M49" s="21"/>
    </row>
    <row r="50" customFormat="false" ht="24" hidden="false" customHeight="true" outlineLevel="0" collapsed="false">
      <c r="A50" s="18" t="n">
        <v>46</v>
      </c>
      <c r="B50" s="17" t="s">
        <v>169</v>
      </c>
      <c r="C50" s="5" t="s">
        <v>337</v>
      </c>
      <c r="D50" s="21"/>
      <c r="E50" s="21"/>
      <c r="F50" s="21"/>
      <c r="G50" s="21"/>
      <c r="H50" s="21"/>
      <c r="I50" s="21"/>
      <c r="J50" s="21"/>
      <c r="K50" s="21"/>
      <c r="L50" s="21"/>
      <c r="M50" s="21"/>
    </row>
    <row r="51" customFormat="false" ht="24" hidden="false" customHeight="true" outlineLevel="0" collapsed="false">
      <c r="A51" s="18" t="n">
        <v>47</v>
      </c>
      <c r="B51" s="17" t="s">
        <v>170</v>
      </c>
      <c r="C51" s="5" t="s">
        <v>338</v>
      </c>
      <c r="D51" s="21"/>
      <c r="E51" s="21"/>
      <c r="F51" s="21"/>
      <c r="G51" s="21"/>
      <c r="H51" s="21"/>
      <c r="I51" s="21"/>
      <c r="J51" s="21"/>
      <c r="K51" s="21"/>
      <c r="L51" s="21"/>
      <c r="M51" s="21"/>
    </row>
    <row r="52" customFormat="false" ht="24" hidden="false" customHeight="true" outlineLevel="0" collapsed="false">
      <c r="A52" s="18" t="n">
        <v>48</v>
      </c>
      <c r="B52" s="17" t="s">
        <v>171</v>
      </c>
      <c r="C52" s="5" t="s">
        <v>339</v>
      </c>
      <c r="D52" s="21"/>
      <c r="E52" s="21"/>
      <c r="F52" s="21"/>
      <c r="G52" s="21"/>
      <c r="H52" s="21"/>
      <c r="I52" s="21"/>
      <c r="J52" s="21"/>
      <c r="K52" s="21"/>
      <c r="L52" s="21"/>
      <c r="M52" s="21"/>
    </row>
    <row r="53" customFormat="false" ht="24" hidden="false" customHeight="true" outlineLevel="0" collapsed="false">
      <c r="A53" s="18" t="n">
        <v>49</v>
      </c>
      <c r="B53" s="17" t="s">
        <v>172</v>
      </c>
      <c r="C53" s="5" t="s">
        <v>340</v>
      </c>
      <c r="D53" s="21"/>
      <c r="E53" s="21"/>
      <c r="F53" s="21"/>
      <c r="G53" s="21"/>
      <c r="H53" s="21"/>
      <c r="I53" s="21"/>
      <c r="J53" s="21"/>
      <c r="K53" s="21"/>
      <c r="L53" s="21"/>
      <c r="M53" s="21"/>
    </row>
    <row r="54" customFormat="false" ht="24" hidden="false" customHeight="true" outlineLevel="0" collapsed="false">
      <c r="A54" s="18" t="n">
        <v>50</v>
      </c>
      <c r="B54" s="17" t="s">
        <v>173</v>
      </c>
      <c r="C54" s="5" t="s">
        <v>341</v>
      </c>
      <c r="D54" s="21"/>
      <c r="E54" s="21"/>
      <c r="F54" s="21"/>
      <c r="G54" s="21"/>
      <c r="H54" s="21"/>
      <c r="I54" s="21"/>
      <c r="J54" s="21"/>
      <c r="K54" s="21"/>
      <c r="L54" s="21"/>
      <c r="M54" s="21"/>
    </row>
    <row r="55" customFormat="false" ht="24" hidden="false" customHeight="true" outlineLevel="0" collapsed="false">
      <c r="A55" s="18" t="n">
        <v>51</v>
      </c>
      <c r="B55" s="17" t="s">
        <v>174</v>
      </c>
      <c r="C55" s="5" t="s">
        <v>342</v>
      </c>
      <c r="D55" s="21"/>
      <c r="E55" s="21"/>
      <c r="F55" s="21"/>
      <c r="G55" s="21"/>
      <c r="H55" s="21"/>
      <c r="I55" s="21"/>
      <c r="J55" s="21"/>
      <c r="K55" s="21"/>
      <c r="L55" s="21"/>
      <c r="M55" s="21"/>
    </row>
    <row r="56" customFormat="false" ht="24" hidden="false" customHeight="true" outlineLevel="0" collapsed="false">
      <c r="A56" s="18" t="n">
        <v>52</v>
      </c>
      <c r="B56" s="17" t="s">
        <v>175</v>
      </c>
      <c r="C56" s="5" t="s">
        <v>343</v>
      </c>
      <c r="D56" s="21"/>
      <c r="E56" s="21"/>
      <c r="F56" s="21"/>
      <c r="G56" s="21"/>
      <c r="H56" s="21"/>
      <c r="I56" s="21"/>
      <c r="J56" s="21"/>
      <c r="K56" s="21"/>
      <c r="L56" s="21"/>
      <c r="M56" s="21"/>
    </row>
    <row r="57" customFormat="false" ht="24" hidden="false" customHeight="true" outlineLevel="0" collapsed="false">
      <c r="A57" s="18" t="n">
        <v>53</v>
      </c>
      <c r="B57" s="17" t="s">
        <v>176</v>
      </c>
      <c r="C57" s="5" t="s">
        <v>344</v>
      </c>
      <c r="D57" s="21"/>
      <c r="E57" s="21"/>
      <c r="F57" s="21"/>
      <c r="G57" s="21"/>
      <c r="H57" s="21"/>
      <c r="I57" s="21"/>
      <c r="J57" s="21"/>
      <c r="K57" s="21"/>
      <c r="L57" s="21"/>
      <c r="M57" s="21"/>
    </row>
    <row r="58" customFormat="false" ht="24" hidden="false" customHeight="true" outlineLevel="0" collapsed="false">
      <c r="A58" s="18" t="n">
        <v>54</v>
      </c>
      <c r="B58" s="17" t="s">
        <v>177</v>
      </c>
      <c r="C58" s="5" t="s">
        <v>345</v>
      </c>
      <c r="D58" s="21"/>
      <c r="E58" s="21"/>
      <c r="F58" s="21"/>
      <c r="G58" s="21"/>
      <c r="H58" s="21"/>
      <c r="I58" s="21"/>
      <c r="J58" s="21"/>
      <c r="K58" s="21"/>
      <c r="L58" s="21"/>
      <c r="M58" s="21"/>
    </row>
    <row r="59" customFormat="false" ht="24" hidden="false" customHeight="true" outlineLevel="0" collapsed="false">
      <c r="A59" s="18" t="n">
        <v>55</v>
      </c>
      <c r="B59" s="17" t="s">
        <v>178</v>
      </c>
      <c r="C59" s="5" t="s">
        <v>346</v>
      </c>
      <c r="D59" s="21"/>
      <c r="E59" s="21"/>
      <c r="F59" s="21"/>
      <c r="G59" s="21"/>
      <c r="H59" s="21"/>
      <c r="I59" s="21"/>
      <c r="J59" s="21"/>
      <c r="K59" s="21"/>
      <c r="L59" s="21"/>
      <c r="M59" s="21"/>
    </row>
    <row r="60" customFormat="false" ht="24" hidden="false" customHeight="true" outlineLevel="0" collapsed="false">
      <c r="A60" s="18" t="n">
        <v>56</v>
      </c>
      <c r="B60" s="17" t="s">
        <v>179</v>
      </c>
      <c r="C60" s="5" t="s">
        <v>347</v>
      </c>
      <c r="D60" s="21"/>
      <c r="E60" s="21"/>
      <c r="F60" s="21"/>
      <c r="G60" s="21"/>
      <c r="H60" s="21"/>
      <c r="I60" s="21"/>
      <c r="J60" s="21"/>
      <c r="K60" s="21"/>
      <c r="L60" s="21"/>
      <c r="M60" s="21"/>
    </row>
    <row r="61" customFormat="false" ht="24" hidden="false" customHeight="true" outlineLevel="0" collapsed="false">
      <c r="A61" s="18" t="n">
        <v>57</v>
      </c>
      <c r="B61" s="17" t="s">
        <v>180</v>
      </c>
      <c r="C61" s="5" t="s">
        <v>348</v>
      </c>
      <c r="D61" s="21"/>
      <c r="E61" s="21"/>
      <c r="F61" s="21"/>
      <c r="G61" s="21"/>
      <c r="H61" s="21"/>
      <c r="I61" s="21"/>
      <c r="J61" s="21"/>
      <c r="K61" s="21"/>
      <c r="L61" s="21"/>
      <c r="M61" s="21"/>
    </row>
    <row r="62" customFormat="false" ht="24" hidden="false" customHeight="true" outlineLevel="0" collapsed="false">
      <c r="A62" s="18" t="n">
        <v>58</v>
      </c>
      <c r="B62" s="17" t="s">
        <v>181</v>
      </c>
      <c r="C62" s="5" t="s">
        <v>349</v>
      </c>
      <c r="D62" s="21"/>
      <c r="E62" s="21"/>
      <c r="F62" s="21"/>
      <c r="G62" s="21"/>
      <c r="H62" s="21"/>
      <c r="I62" s="21"/>
      <c r="J62" s="21"/>
      <c r="K62" s="21"/>
      <c r="L62" s="21"/>
      <c r="M62"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L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8"/>
    <col collapsed="false" customWidth="true" hidden="false" outlineLevel="0" max="5" min="4" style="0" width="16"/>
    <col collapsed="false" customWidth="true" hidden="false" outlineLevel="0" max="6" min="6" style="0" width="20"/>
    <col collapsed="false" customWidth="true" hidden="false" outlineLevel="0" max="7" min="7" style="0" width="26"/>
    <col collapsed="false" customWidth="true" hidden="false" outlineLevel="0" max="8" min="8" style="0" width="24"/>
    <col collapsed="false" customWidth="true" hidden="false" outlineLevel="0" max="9" min="9" style="0" width="46"/>
    <col collapsed="false" customWidth="true" hidden="false" outlineLevel="0" max="10" min="10" style="0" width="36"/>
    <col collapsed="false" customWidth="true" hidden="false" outlineLevel="0" max="12" min="11" style="0" width="14"/>
  </cols>
  <sheetData>
    <row r="1" customFormat="false" ht="17.35" hidden="false" customHeight="false" outlineLevel="0" collapsed="false">
      <c r="A1" s="1" t="s">
        <v>350</v>
      </c>
    </row>
    <row r="2" customFormat="false" ht="15" hidden="false" customHeight="false" outlineLevel="0" collapsed="false">
      <c r="A2" s="2" t="s">
        <v>351</v>
      </c>
    </row>
    <row r="4" customFormat="false" ht="30" hidden="false" customHeight="true" outlineLevel="0" collapsed="false">
      <c r="A4" s="6" t="s">
        <v>185</v>
      </c>
      <c r="B4" s="6" t="s">
        <v>352</v>
      </c>
      <c r="C4" s="6" t="s">
        <v>353</v>
      </c>
      <c r="D4" s="6" t="s">
        <v>354</v>
      </c>
      <c r="E4" s="6" t="s">
        <v>263</v>
      </c>
      <c r="F4" s="6" t="s">
        <v>355</v>
      </c>
      <c r="G4" s="6" t="s">
        <v>356</v>
      </c>
      <c r="H4" s="6" t="s">
        <v>357</v>
      </c>
      <c r="I4" s="6" t="s">
        <v>358</v>
      </c>
      <c r="J4" s="6" t="s">
        <v>359</v>
      </c>
      <c r="K4" s="6" t="s">
        <v>360</v>
      </c>
      <c r="L4" s="6" t="s">
        <v>361</v>
      </c>
    </row>
    <row r="5" customFormat="false" ht="39.75" hidden="false" customHeight="true" outlineLevel="0" collapsed="false">
      <c r="A5" s="18" t="n">
        <v>1</v>
      </c>
      <c r="B5" s="38" t="n">
        <v>46319</v>
      </c>
      <c r="C5" s="21" t="s">
        <v>362</v>
      </c>
      <c r="D5" s="21" t="s">
        <v>84</v>
      </c>
      <c r="E5" s="21" t="s">
        <v>363</v>
      </c>
      <c r="F5" s="21" t="s">
        <v>364</v>
      </c>
      <c r="G5" s="21" t="s">
        <v>365</v>
      </c>
      <c r="H5" s="21" t="s">
        <v>366</v>
      </c>
      <c r="I5" s="21" t="s">
        <v>367</v>
      </c>
      <c r="J5" s="21" t="s">
        <v>368</v>
      </c>
      <c r="K5" s="21" t="s">
        <v>369</v>
      </c>
      <c r="L5" s="21" t="s">
        <v>370</v>
      </c>
    </row>
    <row r="6" customFormat="false" ht="15" hidden="false" customHeight="false" outlineLevel="0" collapsed="false">
      <c r="A6" s="18" t="n">
        <v>2</v>
      </c>
      <c r="B6" s="21"/>
      <c r="C6" s="21"/>
      <c r="D6" s="21"/>
      <c r="E6" s="21"/>
      <c r="F6" s="21"/>
      <c r="G6" s="21"/>
      <c r="H6" s="21"/>
      <c r="I6" s="21"/>
      <c r="J6" s="21"/>
      <c r="K6" s="21"/>
      <c r="L6" s="21"/>
    </row>
    <row r="7" customFormat="false" ht="15" hidden="false" customHeight="false" outlineLevel="0" collapsed="false">
      <c r="A7" s="18" t="n">
        <v>3</v>
      </c>
      <c r="B7" s="21"/>
      <c r="C7" s="21"/>
      <c r="D7" s="21"/>
      <c r="E7" s="21"/>
      <c r="F7" s="21"/>
      <c r="G7" s="21"/>
      <c r="H7" s="21"/>
      <c r="I7" s="21"/>
      <c r="J7" s="21"/>
      <c r="K7" s="21"/>
      <c r="L7" s="21"/>
    </row>
    <row r="8" customFormat="false" ht="15" hidden="false" customHeight="false" outlineLevel="0" collapsed="false">
      <c r="A8" s="18" t="n">
        <v>4</v>
      </c>
      <c r="B8" s="21"/>
      <c r="C8" s="21"/>
      <c r="D8" s="21"/>
      <c r="E8" s="21"/>
      <c r="F8" s="21"/>
      <c r="G8" s="21"/>
      <c r="H8" s="21"/>
      <c r="I8" s="21"/>
      <c r="J8" s="21"/>
      <c r="K8" s="21"/>
      <c r="L8" s="21"/>
    </row>
    <row r="9" customFormat="false" ht="15" hidden="false" customHeight="false" outlineLevel="0" collapsed="false">
      <c r="A9" s="18" t="n">
        <v>5</v>
      </c>
      <c r="B9" s="21"/>
      <c r="C9" s="21"/>
      <c r="D9" s="21"/>
      <c r="E9" s="21"/>
      <c r="F9" s="21"/>
      <c r="G9" s="21"/>
      <c r="H9" s="21"/>
      <c r="I9" s="21"/>
      <c r="J9" s="21"/>
      <c r="K9" s="21"/>
      <c r="L9" s="21"/>
    </row>
    <row r="10" customFormat="false" ht="15" hidden="false" customHeight="false" outlineLevel="0" collapsed="false">
      <c r="A10" s="18" t="n">
        <v>6</v>
      </c>
      <c r="B10" s="21"/>
      <c r="C10" s="21"/>
      <c r="D10" s="21"/>
      <c r="E10" s="21"/>
      <c r="F10" s="21"/>
      <c r="G10" s="21"/>
      <c r="H10" s="21"/>
      <c r="I10" s="21"/>
      <c r="J10" s="21"/>
      <c r="K10" s="21"/>
      <c r="L10" s="21"/>
    </row>
    <row r="11" customFormat="false" ht="15" hidden="false" customHeight="false" outlineLevel="0" collapsed="false">
      <c r="A11" s="18" t="n">
        <v>7</v>
      </c>
      <c r="B11" s="21"/>
      <c r="C11" s="21"/>
      <c r="D11" s="21"/>
      <c r="E11" s="21"/>
      <c r="F11" s="21"/>
      <c r="G11" s="21"/>
      <c r="H11" s="21"/>
      <c r="I11" s="21"/>
      <c r="J11" s="21"/>
      <c r="K11" s="21"/>
      <c r="L11" s="21"/>
    </row>
    <row r="12" customFormat="false" ht="15" hidden="false" customHeight="false" outlineLevel="0" collapsed="false">
      <c r="A12" s="18" t="n">
        <v>8</v>
      </c>
      <c r="B12" s="21"/>
      <c r="C12" s="21"/>
      <c r="D12" s="21"/>
      <c r="E12" s="21"/>
      <c r="F12" s="21"/>
      <c r="G12" s="21"/>
      <c r="H12" s="21"/>
      <c r="I12" s="21"/>
      <c r="J12" s="21"/>
      <c r="K12" s="21"/>
      <c r="L12" s="21"/>
    </row>
    <row r="13" customFormat="false" ht="15" hidden="false" customHeight="false" outlineLevel="0" collapsed="false">
      <c r="A13" s="18" t="n">
        <v>9</v>
      </c>
      <c r="B13" s="21"/>
      <c r="C13" s="21"/>
      <c r="D13" s="21"/>
      <c r="E13" s="21"/>
      <c r="F13" s="21"/>
      <c r="G13" s="21"/>
      <c r="H13" s="21"/>
      <c r="I13" s="21"/>
      <c r="J13" s="21"/>
      <c r="K13" s="21"/>
      <c r="L13" s="21"/>
    </row>
    <row r="14" customFormat="false" ht="15" hidden="false" customHeight="false" outlineLevel="0" collapsed="false">
      <c r="A14" s="18" t="n">
        <v>10</v>
      </c>
      <c r="B14" s="21"/>
      <c r="C14" s="21"/>
      <c r="D14" s="21"/>
      <c r="E14" s="21"/>
      <c r="F14" s="21"/>
      <c r="G14" s="21"/>
      <c r="H14" s="21"/>
      <c r="I14" s="21"/>
      <c r="J14" s="21"/>
      <c r="K14" s="21"/>
      <c r="L14" s="21"/>
    </row>
    <row r="15" customFormat="false" ht="15" hidden="false" customHeight="false" outlineLevel="0" collapsed="false">
      <c r="A15" s="18" t="n">
        <v>11</v>
      </c>
      <c r="B15" s="21"/>
      <c r="C15" s="21"/>
      <c r="D15" s="21"/>
      <c r="E15" s="21"/>
      <c r="F15" s="21"/>
      <c r="G15" s="21"/>
      <c r="H15" s="21"/>
      <c r="I15" s="21"/>
      <c r="J15" s="21"/>
      <c r="K15" s="21"/>
      <c r="L15" s="21"/>
    </row>
    <row r="16" customFormat="false" ht="15" hidden="false" customHeight="false" outlineLevel="0" collapsed="false">
      <c r="A16" s="18" t="n">
        <v>12</v>
      </c>
      <c r="B16" s="21"/>
      <c r="C16" s="21"/>
      <c r="D16" s="21"/>
      <c r="E16" s="21"/>
      <c r="F16" s="21"/>
      <c r="G16" s="21"/>
      <c r="H16" s="21"/>
      <c r="I16" s="21"/>
      <c r="J16" s="21"/>
      <c r="K16" s="21"/>
      <c r="L16" s="21"/>
    </row>
    <row r="17" customFormat="false" ht="15" hidden="false" customHeight="false" outlineLevel="0" collapsed="false">
      <c r="A17" s="18" t="n">
        <v>13</v>
      </c>
      <c r="B17" s="21"/>
      <c r="C17" s="21"/>
      <c r="D17" s="21"/>
      <c r="E17" s="21"/>
      <c r="F17" s="21"/>
      <c r="G17" s="21"/>
      <c r="H17" s="21"/>
      <c r="I17" s="21"/>
      <c r="J17" s="21"/>
      <c r="K17" s="21"/>
      <c r="L17" s="21"/>
    </row>
    <row r="18" customFormat="false" ht="15" hidden="false" customHeight="false" outlineLevel="0" collapsed="false">
      <c r="A18" s="18" t="n">
        <v>14</v>
      </c>
      <c r="B18" s="21"/>
      <c r="C18" s="21"/>
      <c r="D18" s="21"/>
      <c r="E18" s="21"/>
      <c r="F18" s="21"/>
      <c r="G18" s="21"/>
      <c r="H18" s="21"/>
      <c r="I18" s="21"/>
      <c r="J18" s="21"/>
      <c r="K18" s="21"/>
      <c r="L18" s="21"/>
    </row>
    <row r="19" customFormat="false" ht="15" hidden="false" customHeight="false" outlineLevel="0" collapsed="false">
      <c r="A19" s="18" t="n">
        <v>15</v>
      </c>
      <c r="B19" s="21"/>
      <c r="C19" s="21"/>
      <c r="D19" s="21"/>
      <c r="E19" s="21"/>
      <c r="F19" s="21"/>
      <c r="G19" s="21"/>
      <c r="H19" s="21"/>
      <c r="I19" s="21"/>
      <c r="J19" s="21"/>
      <c r="K19" s="21"/>
      <c r="L19" s="21"/>
    </row>
    <row r="20" customFormat="false" ht="15" hidden="false" customHeight="false" outlineLevel="0" collapsed="false">
      <c r="A20" s="18" t="n">
        <v>16</v>
      </c>
      <c r="B20" s="21"/>
      <c r="C20" s="21"/>
      <c r="D20" s="21"/>
      <c r="E20" s="21"/>
      <c r="F20" s="21"/>
      <c r="G20" s="21"/>
      <c r="H20" s="21"/>
      <c r="I20" s="21"/>
      <c r="J20" s="21"/>
      <c r="K20" s="21"/>
      <c r="L20" s="21"/>
    </row>
    <row r="21" customFormat="false" ht="15" hidden="false" customHeight="false" outlineLevel="0" collapsed="false">
      <c r="A21" s="18" t="n">
        <v>17</v>
      </c>
      <c r="B21" s="21"/>
      <c r="C21" s="21"/>
      <c r="D21" s="21"/>
      <c r="E21" s="21"/>
      <c r="F21" s="21"/>
      <c r="G21" s="21"/>
      <c r="H21" s="21"/>
      <c r="I21" s="21"/>
      <c r="J21" s="21"/>
      <c r="K21" s="21"/>
      <c r="L21" s="21"/>
    </row>
    <row r="22" customFormat="false" ht="15" hidden="false" customHeight="false" outlineLevel="0" collapsed="false">
      <c r="A22" s="18" t="n">
        <v>18</v>
      </c>
      <c r="B22" s="21"/>
      <c r="C22" s="21"/>
      <c r="D22" s="21"/>
      <c r="E22" s="21"/>
      <c r="F22" s="21"/>
      <c r="G22" s="21"/>
      <c r="H22" s="21"/>
      <c r="I22" s="21"/>
      <c r="J22" s="21"/>
      <c r="K22" s="21"/>
      <c r="L22" s="21"/>
    </row>
    <row r="23" customFormat="false" ht="15" hidden="false" customHeight="false" outlineLevel="0" collapsed="false">
      <c r="A23" s="18" t="n">
        <v>19</v>
      </c>
      <c r="B23" s="21"/>
      <c r="C23" s="21"/>
      <c r="D23" s="21"/>
      <c r="E23" s="21"/>
      <c r="F23" s="21"/>
      <c r="G23" s="21"/>
      <c r="H23" s="21"/>
      <c r="I23" s="21"/>
      <c r="J23" s="21"/>
      <c r="K23" s="21"/>
      <c r="L23" s="21"/>
    </row>
    <row r="24" customFormat="false" ht="15" hidden="false" customHeight="false" outlineLevel="0" collapsed="false">
      <c r="A24" s="18" t="n">
        <v>20</v>
      </c>
      <c r="B24" s="21"/>
      <c r="C24" s="21"/>
      <c r="D24" s="21"/>
      <c r="E24" s="21"/>
      <c r="F24" s="21"/>
      <c r="G24" s="21"/>
      <c r="H24" s="21"/>
      <c r="I24" s="21"/>
      <c r="J24" s="21"/>
      <c r="K24" s="21"/>
      <c r="L24" s="21"/>
    </row>
    <row r="25" customFormat="false" ht="15" hidden="false" customHeight="false" outlineLevel="0" collapsed="false">
      <c r="A25" s="18" t="n">
        <v>21</v>
      </c>
      <c r="B25" s="21"/>
      <c r="C25" s="21"/>
      <c r="D25" s="21"/>
      <c r="E25" s="21"/>
      <c r="F25" s="21"/>
      <c r="G25" s="21"/>
      <c r="H25" s="21"/>
      <c r="I25" s="21"/>
      <c r="J25" s="21"/>
      <c r="K25" s="21"/>
      <c r="L25" s="21"/>
    </row>
    <row r="26" customFormat="false" ht="15" hidden="false" customHeight="false" outlineLevel="0" collapsed="false">
      <c r="A26" s="18" t="n">
        <v>22</v>
      </c>
      <c r="B26" s="21"/>
      <c r="C26" s="21"/>
      <c r="D26" s="21"/>
      <c r="E26" s="21"/>
      <c r="F26" s="21"/>
      <c r="G26" s="21"/>
      <c r="H26" s="21"/>
      <c r="I26" s="21"/>
      <c r="J26" s="21"/>
      <c r="K26" s="21"/>
      <c r="L26" s="21"/>
    </row>
    <row r="27" customFormat="false" ht="15" hidden="false" customHeight="false" outlineLevel="0" collapsed="false">
      <c r="A27" s="18" t="n">
        <v>23</v>
      </c>
      <c r="B27" s="21"/>
      <c r="C27" s="21"/>
      <c r="D27" s="21"/>
      <c r="E27" s="21"/>
      <c r="F27" s="21"/>
      <c r="G27" s="21"/>
      <c r="H27" s="21"/>
      <c r="I27" s="21"/>
      <c r="J27" s="21"/>
      <c r="K27" s="21"/>
      <c r="L27" s="21"/>
    </row>
    <row r="28" customFormat="false" ht="15" hidden="false" customHeight="false" outlineLevel="0" collapsed="false">
      <c r="A28" s="18" t="n">
        <v>24</v>
      </c>
      <c r="B28" s="21"/>
      <c r="C28" s="21"/>
      <c r="D28" s="21"/>
      <c r="E28" s="21"/>
      <c r="F28" s="21"/>
      <c r="G28" s="21"/>
      <c r="H28" s="21"/>
      <c r="I28" s="21"/>
      <c r="J28" s="21"/>
      <c r="K28" s="21"/>
      <c r="L28" s="21"/>
    </row>
    <row r="29" customFormat="false" ht="15" hidden="false" customHeight="false" outlineLevel="0" collapsed="false">
      <c r="A29" s="18" t="n">
        <v>25</v>
      </c>
      <c r="B29" s="21"/>
      <c r="C29" s="21"/>
      <c r="D29" s="21"/>
      <c r="E29" s="21"/>
      <c r="F29" s="21"/>
      <c r="G29" s="21"/>
      <c r="H29" s="21"/>
      <c r="I29" s="21"/>
      <c r="J29" s="21"/>
      <c r="K29" s="21"/>
      <c r="L29"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0"/>
    <col collapsed="false" customWidth="true" hidden="false" outlineLevel="0" max="3" min="3" style="0" width="22"/>
    <col collapsed="false" customWidth="true" hidden="false" outlineLevel="0" max="4" min="4" style="0" width="50"/>
  </cols>
  <sheetData>
    <row r="1" customFormat="false" ht="17.35" hidden="false" customHeight="false" outlineLevel="0" collapsed="false">
      <c r="A1" s="1" t="s">
        <v>371</v>
      </c>
    </row>
    <row r="2" customFormat="false" ht="15" hidden="false" customHeight="false" outlineLevel="0" collapsed="false">
      <c r="A2" s="2" t="s">
        <v>372</v>
      </c>
    </row>
    <row r="4" customFormat="false" ht="30" hidden="false" customHeight="true" outlineLevel="0" collapsed="false">
      <c r="A4" s="6" t="s">
        <v>185</v>
      </c>
      <c r="B4" s="6" t="s">
        <v>373</v>
      </c>
      <c r="C4" s="6" t="s">
        <v>374</v>
      </c>
      <c r="D4" s="6" t="s">
        <v>375</v>
      </c>
    </row>
    <row r="5" customFormat="false" ht="31.5" hidden="false" customHeight="true" outlineLevel="0" collapsed="false">
      <c r="A5" s="18" t="n">
        <v>1</v>
      </c>
      <c r="B5" s="5" t="s">
        <v>376</v>
      </c>
      <c r="C5" s="23"/>
      <c r="D5" s="21"/>
    </row>
    <row r="6" customFormat="false" ht="31.5" hidden="false" customHeight="true" outlineLevel="0" collapsed="false">
      <c r="A6" s="18" t="n">
        <v>2</v>
      </c>
      <c r="B6" s="5" t="s">
        <v>377</v>
      </c>
      <c r="C6" s="23"/>
      <c r="D6" s="21"/>
    </row>
    <row r="7" customFormat="false" ht="31.5" hidden="false" customHeight="true" outlineLevel="0" collapsed="false">
      <c r="A7" s="18" t="n">
        <v>3</v>
      </c>
      <c r="B7" s="5" t="s">
        <v>378</v>
      </c>
      <c r="C7" s="23"/>
      <c r="D7" s="21"/>
    </row>
    <row r="8" customFormat="false" ht="31.5" hidden="false" customHeight="true" outlineLevel="0" collapsed="false">
      <c r="A8" s="18" t="n">
        <v>4</v>
      </c>
      <c r="B8" s="5" t="s">
        <v>379</v>
      </c>
      <c r="C8" s="23"/>
      <c r="D8" s="21"/>
    </row>
    <row r="9" customFormat="false" ht="31.5" hidden="false" customHeight="true" outlineLevel="0" collapsed="false">
      <c r="A9" s="18" t="n">
        <v>5</v>
      </c>
      <c r="B9" s="5" t="s">
        <v>380</v>
      </c>
      <c r="C9" s="23"/>
      <c r="D9" s="21"/>
    </row>
    <row r="10" customFormat="false" ht="31.5" hidden="false" customHeight="true" outlineLevel="0" collapsed="false">
      <c r="A10" s="18" t="n">
        <v>6</v>
      </c>
      <c r="B10" s="5" t="s">
        <v>381</v>
      </c>
      <c r="C10" s="23"/>
      <c r="D10" s="21"/>
    </row>
    <row r="11" customFormat="false" ht="31.5" hidden="false" customHeight="true" outlineLevel="0" collapsed="false">
      <c r="A11" s="18" t="n">
        <v>7</v>
      </c>
      <c r="B11" s="5" t="s">
        <v>382</v>
      </c>
      <c r="C11" s="23"/>
      <c r="D11" s="21"/>
    </row>
    <row r="12" customFormat="false" ht="31.5" hidden="false" customHeight="true" outlineLevel="0" collapsed="false">
      <c r="A12" s="18" t="n">
        <v>8</v>
      </c>
      <c r="B12" s="5" t="s">
        <v>383</v>
      </c>
      <c r="C12" s="23"/>
      <c r="D12" s="21"/>
    </row>
    <row r="13" customFormat="false" ht="31.5" hidden="false" customHeight="true" outlineLevel="0" collapsed="false">
      <c r="A13" s="18" t="n">
        <v>9</v>
      </c>
      <c r="B13" s="5" t="s">
        <v>384</v>
      </c>
      <c r="C13" s="23"/>
      <c r="D13" s="21"/>
    </row>
    <row r="14" customFormat="false" ht="31.5" hidden="false" customHeight="true" outlineLevel="0" collapsed="false">
      <c r="A14" s="18" t="n">
        <v>10</v>
      </c>
      <c r="B14" s="5" t="s">
        <v>385</v>
      </c>
      <c r="C14" s="23"/>
      <c r="D14" s="21"/>
    </row>
    <row r="15" customFormat="false" ht="31.5" hidden="false" customHeight="true" outlineLevel="0" collapsed="false">
      <c r="A15" s="18" t="n">
        <v>11</v>
      </c>
      <c r="B15" s="5" t="s">
        <v>386</v>
      </c>
      <c r="C15" s="23"/>
      <c r="D15" s="21"/>
    </row>
    <row r="16" customFormat="false" ht="31.5" hidden="false" customHeight="true" outlineLevel="0" collapsed="false">
      <c r="A16" s="18" t="n">
        <v>12</v>
      </c>
      <c r="B16" s="5" t="s">
        <v>387</v>
      </c>
      <c r="C16" s="23"/>
      <c r="D16" s="21"/>
    </row>
    <row r="17" customFormat="false" ht="31.5" hidden="false" customHeight="true" outlineLevel="0" collapsed="false">
      <c r="A17" s="18" t="n">
        <v>13</v>
      </c>
      <c r="B17" s="5" t="s">
        <v>388</v>
      </c>
      <c r="C17" s="23"/>
      <c r="D17" s="21"/>
    </row>
    <row r="18" customFormat="false" ht="31.5" hidden="false" customHeight="true" outlineLevel="0" collapsed="false">
      <c r="A18" s="18" t="n">
        <v>14</v>
      </c>
      <c r="B18" s="5" t="s">
        <v>389</v>
      </c>
      <c r="C18" s="23"/>
      <c r="D18" s="21"/>
    </row>
    <row r="20" customFormat="false" ht="15" hidden="false" customHeight="false" outlineLevel="0" collapsed="false">
      <c r="B20" s="17" t="s">
        <v>390</v>
      </c>
      <c r="C20" s="35" t="n">
        <f aca="false">COUNTIF(C5:C18,"Sí")</f>
        <v>0</v>
      </c>
    </row>
    <row r="21" customFormat="false" ht="15" hidden="false" customHeight="false" outlineLevel="0" collapsed="false">
      <c r="B21" s="17" t="s">
        <v>391</v>
      </c>
      <c r="C21" s="35" t="n">
        <f aca="false">COUNTIF(C5:C18,"Sí")+COUNTIF(C5:C18,"No")</f>
        <v>0</v>
      </c>
    </row>
    <row r="22" customFormat="false" ht="15" hidden="false" customHeight="false" outlineLevel="0" collapsed="false">
      <c r="B22" s="17" t="s">
        <v>392</v>
      </c>
      <c r="C22" s="36" t="str">
        <f aca="false">IF(C21=0,"Sin evaluar",IF(C20=C21,"LISTA PARA LIBERAR",IF(C20&gt;=C21-2,"LIBERAR CON OBSERVACIONES","REVISAR CON EL ASESOR")))</f>
        <v>Sin evaluar</v>
      </c>
    </row>
  </sheetData>
  <dataValidations count="1">
    <dataValidation allowBlank="true" errorStyle="stop" operator="between" showDropDown="false" showErrorMessage="false" showInputMessage="false" sqref="C5:C18" type="list">
      <formula1>"Sí,No,N.A."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2026-10-24T14:45:42Z</dcterms:created>
  <dc:creator>openpyxl</dc:creator>
  <dc:description/>
  <dc:language>en-US</dc:language>
  <cp:lastModifiedBy/>
  <dcterms:modified xsi:type="dcterms:W3CDTF">2026-10-24T14:45:42Z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