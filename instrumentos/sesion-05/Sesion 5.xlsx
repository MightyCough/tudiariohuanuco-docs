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Instrucciones" sheetId="1" r:id="rId5"/>
    <sheet state="visible" name="01_Ficha_Dosis" sheetId="2" r:id="rId6"/>
    <sheet state="visible" name="02_Participantes" sheetId="3" r:id="rId7"/>
    <sheet state="visible" name="03_Cronograma" sheetId="4" r:id="rId8"/>
    <sheet state="visible" name="04_Log_Accesos" sheetId="5" r:id="rId9"/>
    <sheet state="visible" name="05_Registro_Uso" sheetId="6" r:id="rId10"/>
    <sheet state="visible" name="06_Bitacora" sheetId="7" r:id="rId11"/>
    <sheet state="visible" name="07_Soporte" sheetId="8" r:id="rId12"/>
    <sheet state="visible" name="08_Disponibilidad" sheetId="9" r:id="rId13"/>
    <sheet state="visible" name="09_Lista_Cotejo" sheetId="10" r:id="rId14"/>
    <sheet state="visible" name="10_Rubrica" sheetId="11" r:id="rId15"/>
    <sheet state="visible" name="11_Portafolio" sheetId="12" r:id="rId16"/>
    <sheet state="visible" name="12_Tablero" sheetId="13" r:id="rId17"/>
    <sheet state="visible" name="13_Actas" sheetId="14" r:id="rId18"/>
  </sheets>
  <definedNames>
    <definedName hidden="1" localSheetId="4" name="_xlnm._FilterDatabase">'04_Log_Accesos'!$A$5:$L$705</definedName>
  </definedNames>
  <calcPr/>
</workbook>
</file>

<file path=xl/sharedStrings.xml><?xml version="1.0" encoding="utf-8"?>
<sst xmlns="http://schemas.openxmlformats.org/spreadsheetml/2006/main" count="644" uniqueCount="371">
  <si>
    <t>UNIVERSIDAD DE HUÁNUCO · Ingeniería de Sistemas e Informática · Seminario de Tesis III · Sesión 5</t>
  </si>
  <si>
    <t>Plantilla de formatos – Implementación sistemática de la solución tecnológica</t>
  </si>
  <si>
    <t>Formato 1 · Ficha de dosis de la intervención</t>
  </si>
  <si>
    <t>Formato 2 · Relación codificada de participantes</t>
  </si>
  <si>
    <t>Unidad II · Semana 5 · Indicador: demuestra que los participantes reciben la intervención con la duración, frecuencia e intensidad del protocolo.</t>
  </si>
  <si>
    <t>Completa las celdas amarillas ANTES de iniciar. Los parámetros alimentan todas las demás hojas. Validar con el docente.</t>
  </si>
  <si>
    <t>Formato 3 · Cronograma de sesiones: programado vs. ejecutado</t>
  </si>
  <si>
    <t>Solo códigos, nunca nombres. Deben ser los mismos participantes del pretest. Capacidad: 60 participantes.</t>
  </si>
  <si>
    <t>Leyenda</t>
  </si>
  <si>
    <t>Registra la fecha real y el estado de cada sesión. Una sesión perdida se reprograma dentro de la misma semana.</t>
  </si>
  <si>
    <t>N.°</t>
  </si>
  <si>
    <t>Campo</t>
  </si>
  <si>
    <t>Valor</t>
  </si>
  <si>
    <t>Nota / criterio</t>
  </si>
  <si>
    <t>Sesión</t>
  </si>
  <si>
    <t>Celda editable: escribe o selecciona aquí tus datos.</t>
  </si>
  <si>
    <t>Código</t>
  </si>
  <si>
    <t>Grupo</t>
  </si>
  <si>
    <t>Rindió pretest</t>
  </si>
  <si>
    <t>Estado</t>
  </si>
  <si>
    <t>Fecha de retiro</t>
  </si>
  <si>
    <t>Motivo del retiro</t>
  </si>
  <si>
    <t>Semana</t>
  </si>
  <si>
    <t>Observación</t>
  </si>
  <si>
    <t>A. Datos del estudio</t>
  </si>
  <si>
    <t>Fecha programada</t>
  </si>
  <si>
    <t>Día</t>
  </si>
  <si>
    <t>Fecha real</t>
  </si>
  <si>
    <t>Motivo / observación</t>
  </si>
  <si>
    <t>Asistentes</t>
  </si>
  <si>
    <t>Celda con fórmula: se calcula sola, no la modifiques.</t>
  </si>
  <si>
    <t>% asistencia</t>
  </si>
  <si>
    <t>Resultado clave o resumen.</t>
  </si>
  <si>
    <t>Título de la tesis</t>
  </si>
  <si>
    <t>Hojas y orden de llenado</t>
  </si>
  <si>
    <t>Influencia de una aplicación web móvil con asistente conversacional inteligente en la experiencia de usuario de lectores de Tu Diario Huánuco, 2026</t>
  </si>
  <si>
    <t>Idéntico al título aprobado</t>
  </si>
  <si>
    <t>Hoja</t>
  </si>
  <si>
    <t>Tesista</t>
  </si>
  <si>
    <t>Qué registras</t>
  </si>
  <si>
    <t>Trujillo Avila, Marcel Alexander Javier; Godoy Condezo, Alejandro Jeanpier</t>
  </si>
  <si>
    <t>Frecuencia</t>
  </si>
  <si>
    <t>Asesor</t>
  </si>
  <si>
    <t>01_Ficha_Dosis</t>
  </si>
  <si>
    <t>Parámetros del protocolo: fechas, frecuencia, intensidad, sesión válida y metas</t>
  </si>
  <si>
    <t>Una vez (validar con el docente)</t>
  </si>
  <si>
    <t>Diseño</t>
  </si>
  <si>
    <t>02_Participantes</t>
  </si>
  <si>
    <t>Relación codificada de participantes (mismos del pretest)</t>
  </si>
  <si>
    <t>Al inicio y ante cambios</t>
  </si>
  <si>
    <t>03_Cronograma</t>
  </si>
  <si>
    <t>Sesiones programadas vs. ejecutadas y reprogramaciones</t>
  </si>
  <si>
    <t>Cada sesión</t>
  </si>
  <si>
    <t>Preexperimental</t>
  </si>
  <si>
    <t>Preexperimental (G: O1 X O2) o Cuasiexperimental (GE/GC)</t>
  </si>
  <si>
    <t>04_Log_Accesos</t>
  </si>
  <si>
    <t>Exportación del log del sistema (una fila por acceso)</t>
  </si>
  <si>
    <t>Diaria</t>
  </si>
  <si>
    <t>Solución tecnológica (VI)</t>
  </si>
  <si>
    <t>Aplicación web móvil con asistente conversacional inteligente</t>
  </si>
  <si>
    <t>05_Registro_Uso</t>
  </si>
  <si>
    <t>La X del diseño</t>
  </si>
  <si>
    <t>Consolidado automático de dosis por participante y semana</t>
  </si>
  <si>
    <t>Automático</t>
  </si>
  <si>
    <t>Variable dependiente (VD)</t>
  </si>
  <si>
    <t>Experiencia de usuario de los lectores</t>
  </si>
  <si>
    <t>Medida en pretest y postest</t>
  </si>
  <si>
    <t>B. Duración</t>
  </si>
  <si>
    <t>06_Bitacora</t>
  </si>
  <si>
    <t>Hechos observados, acciones tomadas y evidencias</t>
  </si>
  <si>
    <t>Fecha de inicio formal</t>
  </si>
  <si>
    <t>07_Soporte</t>
  </si>
  <si>
    <t>Incidencias por nivel (N1, N2, N3) y tiempos de atención</t>
  </si>
  <si>
    <t>Por incidencia</t>
  </si>
  <si>
    <t>08_Disponibilidad</t>
  </si>
  <si>
    <t>Horas programadas, horas de caída y checklist funcional</t>
  </si>
  <si>
    <t>Según acta de inicio</t>
  </si>
  <si>
    <t>09_Lista_Cotejo</t>
  </si>
  <si>
    <t>Verificación Sí/No del cumplimiento del protocolo</t>
  </si>
  <si>
    <t>Semanal y al cierre</t>
  </si>
  <si>
    <t>Fecha de cierre</t>
  </si>
  <si>
    <t>Según acta de cierre</t>
  </si>
  <si>
    <t>10_Rubrica</t>
  </si>
  <si>
    <t>Rúbrica de implementación (puntaje sobre 20)</t>
  </si>
  <si>
    <t>Número de semanas de intervención</t>
  </si>
  <si>
    <t>Al evaluar</t>
  </si>
  <si>
    <t>Máximo 8 semanas en esta plantilla</t>
  </si>
  <si>
    <t>11_Portafolio</t>
  </si>
  <si>
    <t>Índice codificado de evidencias (E-###)</t>
  </si>
  <si>
    <t>Duración en días calendario</t>
  </si>
  <si>
    <t>Por evidencia</t>
  </si>
  <si>
    <t>12_Tablero</t>
  </si>
  <si>
    <t>Indicadores con semáforo y gráficos de seguimiento</t>
  </si>
  <si>
    <t>13_Actas</t>
  </si>
  <si>
    <t>Actas de inicio y de cierre de la intervención</t>
  </si>
  <si>
    <t>Inicio y cierre</t>
  </si>
  <si>
    <t>Notas importantes</t>
  </si>
  <si>
    <t>• Las hojas 02, 03, 04, 06, 07, 08 y 11 traen DATOS DE EJEMPLO (app móvil de refuerzo, n = 25, 6 semanas). Reemplázalos por los de tu tesis.</t>
  </si>
  <si>
    <t>• Para borrar el ejemplo del log: selecciona las celdas amarillas de 04_Log_Accesos (columnas A:G) y presiona Suprimir. Las fórmulas se mantienen.</t>
  </si>
  <si>
    <t>• Si tu solución no trabaja por sesiones (p. ej., sistema de inventarios), usa el turno de trabajo como "sesión" y las transacciones como "actividades".</t>
  </si>
  <si>
    <t>• Los participantes se identifican SOLO por código (P01, P02…). No escribas nombres: protección de datos (Ley N.° 29733).</t>
  </si>
  <si>
    <t>Calculado</t>
  </si>
  <si>
    <t>C. Frecuencia</t>
  </si>
  <si>
    <t>• Nombre del archivo a entregar: S5_ApellidoNombre_Formatos.xlsx</t>
  </si>
  <si>
    <t>Sesiones programadas por semana</t>
  </si>
  <si>
    <t>Ej.: lunes, miércoles y viernes</t>
  </si>
  <si>
    <t>Días y horario</t>
  </si>
  <si>
    <t>Lun, Mié, Vie · 16:00–17:00 · Laboratorio 2</t>
  </si>
  <si>
    <t>Mismo horario para todos</t>
  </si>
  <si>
    <t>D. Intensidad</t>
  </si>
  <si>
    <t>Minutos programados por sesión</t>
  </si>
  <si>
    <t>Tiempo de la sesión estándar</t>
  </si>
  <si>
    <t>Minutos mínimos para sesión válida</t>
  </si>
  <si>
    <t>Criterio definido a priori</t>
  </si>
  <si>
    <t>Actividades mínimas para sesión válida</t>
  </si>
  <si>
    <t>Ejercicios, tareas o transacciones</t>
  </si>
  <si>
    <t>E. Dosis planificada (calculada)</t>
  </si>
  <si>
    <t>Participantes activos del grupo experimental</t>
  </si>
  <si>
    <t>Desde 02_Participantes (incluye retirados)</t>
  </si>
  <si>
    <t>Sesiones planificadas por participante</t>
  </si>
  <si>
    <t>Frecuencia × semanas</t>
  </si>
  <si>
    <t>Minutos planificados por participante</t>
  </si>
  <si>
    <t>Sesiones × minutos por sesión</t>
  </si>
  <si>
    <t>Sesiones planificadas totales</t>
  </si>
  <si>
    <t>Sesiones × participantes</t>
  </si>
  <si>
    <t>F. Metas del protocolo</t>
  </si>
  <si>
    <t>Umbral de dosis completa por participante</t>
  </si>
  <si>
    <t>Fijado con el asesor antes de iniciar</t>
  </si>
  <si>
    <t>Meta: cumplimiento de sesiones</t>
  </si>
  <si>
    <t>Meta: participantes con dosis completa</t>
  </si>
  <si>
    <t>Meta: disponibilidad del sistema</t>
  </si>
  <si>
    <t>Meta: incidencias atendidas a tiempo</t>
  </si>
  <si>
    <t>Meta: periodo cumplido</t>
  </si>
  <si>
    <t>Formato 4 · Registro de accesos (log del sistema)</t>
  </si>
  <si>
    <t>Pega aquí la exportación de tu log (A:G). Las columnas H:L se calculan. Hora del servidor. Capacidad: 700 registros.</t>
  </si>
  <si>
    <t>ID</t>
  </si>
  <si>
    <t>Inicio (fecha-hora)</t>
  </si>
  <si>
    <t>Fin (fecha-hora)</t>
  </si>
  <si>
    <t>Módulo</t>
  </si>
  <si>
    <t>Actividades</t>
  </si>
  <si>
    <t>Fecha</t>
  </si>
  <si>
    <t>Minutos</t>
  </si>
  <si>
    <t>¿Válida? (1/0)</t>
  </si>
  <si>
    <t>Min. válidos</t>
  </si>
  <si>
    <t>Formato 5 · Registro de uso consolidado (dosis por participante)</t>
  </si>
  <si>
    <t>Hoja automática: cuenta solo sesiones válidas del log. Semanas fuera del periodo aparecen vacías.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</si>
  <si>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</si>
  <si>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</si>
  <si>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</si>
  <si>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</si>
  <si>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</si>
  <si>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</si>
  <si>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</si>
  <si>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</si>
  <si>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Sesiones válidas</t>
  </si>
  <si>
    <t>Minutos válidos</t>
  </si>
  <si>
    <t>Intensidad (min/ses.)</t>
  </si>
  <si>
    <t>% cumplimiento</t>
  </si>
  <si>
    <t>Formato 6 · Bitácora de intervención</t>
  </si>
  <si>
    <t>Escribe el mismo día, hechos observables (no opiniones). Toda ayuda adicional, cambio o evento externo va aquí.</t>
  </si>
  <si>
    <t>Hora</t>
  </si>
  <si>
    <t>Tipo de registro</t>
  </si>
  <si>
    <t>Participantes</t>
  </si>
  <si>
    <t>Hecho observado</t>
  </si>
  <si>
    <t>Acción tomada</t>
  </si>
  <si>
    <t>Responsable</t>
  </si>
  <si>
    <t>Cód. evidencia</t>
  </si>
  <si>
    <t>16:00</t>
  </si>
  <si>
    <t>25 / 25</t>
  </si>
  <si>
    <t>Inicio formal de la intervención. Se leyó el guion único de orientación.</t>
  </si>
  <si>
    <t>Se entregó guía rápida y se explicó el canal de consultas.</t>
  </si>
  <si>
    <t>E-001</t>
  </si>
  <si>
    <t>16:20</t>
  </si>
  <si>
    <t>Consulta de usuario</t>
  </si>
  <si>
    <t>P05</t>
  </si>
  <si>
    <t>Consulta sobre cómo filtrar ejercicios por tema.</t>
  </si>
  <si>
    <t>Se remitió a la guía rápida p. 2 (mismo apoyo para todos).</t>
  </si>
  <si>
    <t>C-001</t>
  </si>
  <si>
    <t>18:30</t>
  </si>
  <si>
    <t>Reunión de seguimiento</t>
  </si>
  <si>
    <t>Revisión del tablero de la semana 1: 75/75 sesiones.</t>
  </si>
  <si>
    <t>Se mantiene el protocolo sin cambios.</t>
  </si>
  <si>
    <t>Tesista / asesor</t>
  </si>
  <si>
    <t>R-001</t>
  </si>
  <si>
    <t>16:05</t>
  </si>
  <si>
    <t>Incidencia técnica</t>
  </si>
  <si>
    <t>Caída del servidor (error 500) durante 2 h; no se pudo realizar la sesión.</t>
  </si>
  <si>
    <t>Incidencia N3; sesión reprogramada al jueves 22/10.</t>
  </si>
  <si>
    <t>E-014</t>
  </si>
  <si>
    <t>17:10</t>
  </si>
  <si>
    <t>Seguimiento de participante</t>
  </si>
  <si>
    <t>P12</t>
  </si>
  <si>
    <t>P12 acumula baja dosis por inasistencias.</t>
  </si>
  <si>
    <t>Contacto por el canal oficial; se registra la causa (motivos laborales).</t>
  </si>
  <si>
    <t>C-009</t>
  </si>
  <si>
    <t>Formato 7 · Registro de soporte técnico e incidencias</t>
  </si>
  <si>
    <t>Metas de respuesta: N1 ≤ 0,5 h · N2 ≤ 4 h · N3 ≤ 24 h. Si una falla impide una sesión, reprográmala en la misma semana.</t>
  </si>
  <si>
    <t>Reporte (fecha-hora)</t>
  </si>
  <si>
    <t>Nivel</t>
  </si>
  <si>
    <t>Síntoma / descripción</t>
  </si>
  <si>
    <t>Solución aplicada</t>
  </si>
  <si>
    <t>Solución (fecha-hora)</t>
  </si>
  <si>
    <t>Tiempo (h)</t>
  </si>
  <si>
    <t>Meta (h)</t>
  </si>
  <si>
    <t>¿A tiempo?</t>
  </si>
  <si>
    <t>¿Afectó sesión?</t>
  </si>
  <si>
    <t>¿Reprogramada?</t>
  </si>
  <si>
    <t>INC-01</t>
  </si>
  <si>
    <t>P03</t>
  </si>
  <si>
    <t>N1</t>
  </si>
  <si>
    <t>Olvidó su contraseña</t>
  </si>
  <si>
    <t>Restablecimiento de contraseña</t>
  </si>
  <si>
    <t>No</t>
  </si>
  <si>
    <t>No aplica</t>
  </si>
  <si>
    <t>INC-02</t>
  </si>
  <si>
    <t>P18</t>
  </si>
  <si>
    <t>N2</t>
  </si>
  <si>
    <t>Módulo de ejercicios no muestra el tema 3</t>
  </si>
  <si>
    <t>Corrección de permisos del tema en el panel</t>
  </si>
  <si>
    <t>INC-03</t>
  </si>
  <si>
    <t>Todos</t>
  </si>
  <si>
    <t>N3</t>
  </si>
  <si>
    <t>Caída del servidor (error 500)</t>
  </si>
  <si>
    <t>Reinicio del servicio y ampliación de memoria</t>
  </si>
  <si>
    <t>Sí</t>
  </si>
  <si>
    <t>INC-04</t>
  </si>
  <si>
    <t>P09</t>
  </si>
  <si>
    <t>No recibe notificaciones</t>
  </si>
  <si>
    <t>Activación de notificaciones en el celular</t>
  </si>
  <si>
    <t>Formato 8 · Control diario de disponibilidad y funcionalidad</t>
  </si>
  <si>
    <t>Horas programadas = horario en que el sistema debe estar disponible. Checklist: Sí/No antes de cada sesión.</t>
  </si>
  <si>
    <t>Horas programadas</t>
  </si>
  <si>
    <t>Horas de caída</t>
  </si>
  <si>
    <t>Disponibilidad</t>
  </si>
  <si>
    <t>Servidor y BD en línea</t>
  </si>
  <si>
    <t>Login de prueba</t>
  </si>
  <si>
    <t>Funciones críticas</t>
  </si>
  <si>
    <t>Logs activos</t>
  </si>
  <si>
    <t>Respaldo del día</t>
  </si>
  <si>
    <t>Tiempo de respuesta OK</t>
  </si>
  <si>
    <t>Caída del servidor 16:05–18:05 (INC-03)</t>
  </si>
  <si>
    <t>Formato 9 · Lista de cotejo de cumplimiento del protocolo</t>
  </si>
  <si>
    <t>Marca Sí / No / No aplica. Cada "No" requiere observación y acción correctiva.</t>
  </si>
  <si>
    <t>Semana evaluada:</t>
  </si>
  <si>
    <t>Criterio de cumplimiento</t>
  </si>
  <si>
    <t>Cumple</t>
  </si>
  <si>
    <t>Evidencia</t>
  </si>
  <si>
    <t>Observación / acción correctiva</t>
  </si>
  <si>
    <t>La intervención inició y avanza según las fechas del protocolo</t>
  </si>
  <si>
    <t>Acta de inicio, 03_Cronograma</t>
  </si>
  <si>
    <t>Se ejecutó la frecuencia programada de sesiones</t>
  </si>
  <si>
    <t>Cada sesión cumplió la duración e intensidad mínimas</t>
  </si>
  <si>
    <t>Los participantes son los mismos del pretest (códigos)</t>
  </si>
  <si>
    <t>Se aplicó el guion único de orientación a todos</t>
  </si>
  <si>
    <t>El sistema estuvo disponible al menos el 95 % del tiempo</t>
  </si>
  <si>
    <t>Las incidencias se registraron y atendieron</t>
  </si>
  <si>
    <t>Las sesiones perdidas se reprogramaron en la misma semana</t>
  </si>
  <si>
    <t>03_Cronograma, 06_Bitacora</t>
  </si>
  <si>
    <t>Las evidencias están codificadas en el portafolio</t>
  </si>
  <si>
    <t>El GC no tuvo acceso a la solución (solo cuasiexperimental)</t>
  </si>
  <si>
    <t>Control de cuentas</t>
  </si>
  <si>
    <t>Nivel de cumplimiento (Sí ÷ criterios aplicables)</t>
  </si>
  <si>
    <t>Firma del tesista: ______________________        Firma del docente/asesor: ______________________</t>
  </si>
  <si>
    <t>Formato 10 · Rúbrica de implementación (20 puntos)</t>
  </si>
  <si>
    <t>Selecciona el nivel alcanzado en cada criterio. Logrado = 5 · En proceso = 3 · Inicio = 1.</t>
  </si>
  <si>
    <t>Criterio</t>
  </si>
  <si>
    <t>Logrado (5)</t>
  </si>
  <si>
    <t>En proceso (3)</t>
  </si>
  <si>
    <t>Inicio (1)</t>
  </si>
  <si>
    <t>Nivel alcanzado</t>
  </si>
  <si>
    <t>Puntaje</t>
  </si>
  <si>
    <t>Dosis</t>
  </si>
  <si>
    <t>Duración, frecuencia e intensidad demostradas con datos y cálculo por participante</t>
  </si>
  <si>
    <t>Demostradas parcialmente o sin cálculo</t>
  </si>
  <si>
    <t>No se demuestra la dosis</t>
  </si>
  <si>
    <t>Registro</t>
  </si>
  <si>
    <t>Logs, registro de uso y bitácora completos, coherentes y trazables</t>
  </si>
  <si>
    <t>Registros incompletos o no coinciden</t>
  </si>
  <si>
    <t>Sin registros sistemáticos</t>
  </si>
  <si>
    <t>Soporte y funcionamiento</t>
  </si>
  <si>
    <t>Disponibilidad medida; incidencias clasificadas, atendidas y documentadas</t>
  </si>
  <si>
    <t>Atención sin documentar</t>
  </si>
  <si>
    <t>Fallas sin atender</t>
  </si>
  <si>
    <t>Actitud profesional</t>
  </si>
  <si>
    <t>Puntual, empático, perseverante y orientado al usuario en todas las sesiones</t>
  </si>
  <si>
    <t>Cumple con observaciones</t>
  </si>
  <si>
    <t>Incumple compromisos</t>
  </si>
  <si>
    <t>Nota (0–20)</t>
  </si>
  <si>
    <t>Retroalimentación del docente:</t>
  </si>
  <si>
    <t>Formato 11 · Índice del portafolio de evidencias</t>
  </si>
  <si>
    <t>Codifica cada evidencia (E-###, C-### consultas, R-### reuniones). Fotos y videos solo con autorización y sin datos personales.</t>
  </si>
  <si>
    <t>Tipo</t>
  </si>
  <si>
    <t>Descripción</t>
  </si>
  <si>
    <t>Carpeta</t>
  </si>
  <si>
    <t>Nombre del archivo</t>
  </si>
  <si>
    <t>Autorización</t>
  </si>
  <si>
    <t>Acta</t>
  </si>
  <si>
    <t>Acta de inicio de la intervención firmada</t>
  </si>
  <si>
    <t>01_Protocolo</t>
  </si>
  <si>
    <t>E-001_acta_inicio.pdf</t>
  </si>
  <si>
    <t>E-002</t>
  </si>
  <si>
    <t>Log</t>
  </si>
  <si>
    <t>Exportación semanal del log (semana 1)</t>
  </si>
  <si>
    <t>02_Registros</t>
  </si>
  <si>
    <t>E-002_log_sem1.csv</t>
  </si>
  <si>
    <t>Captura</t>
  </si>
  <si>
    <t>Consulta de P05 en el canal oficial</t>
  </si>
  <si>
    <t>03_Bitacora</t>
  </si>
  <si>
    <t>C-001_consulta.png</t>
  </si>
  <si>
    <t>Error 500 del servidor (INC-03)</t>
  </si>
  <si>
    <t>04_Soporte</t>
  </si>
  <si>
    <t>E-014_error500.png</t>
  </si>
  <si>
    <t>E-020</t>
  </si>
  <si>
    <t>Foto</t>
  </si>
  <si>
    <t>Sesión en laboratorio 2 (sin rostros)</t>
  </si>
  <si>
    <t>05_Evidencias</t>
  </si>
  <si>
    <t>E-020_sesion.jpg</t>
  </si>
  <si>
    <t>Reunión de seguimiento semana 1</t>
  </si>
  <si>
    <t>R-001_reunion.pdf</t>
  </si>
  <si>
    <t>Formato 13 · Actas de inicio y de cierre de la intervención</t>
  </si>
  <si>
    <t>Imprime, completa y firma. Escanea y guarda en 01_Protocolo del portafolio.</t>
  </si>
  <si>
    <t>ACTA DE INICIO DE LA INTERVENCIÓN TECNOLÓGICA</t>
  </si>
  <si>
    <t>Organización / sede</t>
  </si>
  <si>
    <t>Fecha y hora de inicio</t>
  </si>
  <si>
    <t>Solución tecnológica (versión)</t>
  </si>
  <si>
    <t>Participantes que inician (GE)</t>
  </si>
  <si>
    <t>Duración programada</t>
  </si>
  <si>
    <t>Formato 12 · Tablero de seguimiento del cumplimiento del protocolo</t>
  </si>
  <si>
    <t>Hoja automática. Evidencia directa del indicador de logro. Verde: cumple la meta · Ámbar: hasta 10 puntos debajo · Rojo: acción correctiva.</t>
  </si>
  <si>
    <t>Indicador</t>
  </si>
  <si>
    <t>Fórmula</t>
  </si>
  <si>
    <t>Resultado</t>
  </si>
  <si>
    <t>Meta</t>
  </si>
  <si>
    <t>Semáforo</t>
  </si>
  <si>
    <t>Verificación funcional previa</t>
  </si>
  <si>
    <t>Checklist completo: Sí / No</t>
  </si>
  <si>
    <t>Cumplimiento de sesiones</t>
  </si>
  <si>
    <t>Orientación inicial realizada</t>
  </si>
  <si>
    <t>Guion único leído y guía rápida entregada: Sí / No</t>
  </si>
  <si>
    <t>Sesiones válidas ÷ sesiones planificadas × 100</t>
  </si>
  <si>
    <t>Observaciones</t>
  </si>
  <si>
    <t>______________________________
Tesista</t>
  </si>
  <si>
    <t>______________________________
Representante de la organización / Asesor</t>
  </si>
  <si>
    <t>ACTA DE CIERRE DE LA INTERVENCIÓN TECNOLÓGICA</t>
  </si>
  <si>
    <t>Fecha y hora de cierre</t>
  </si>
  <si>
    <t>Participantes que concluyen</t>
  </si>
  <si>
    <t>Retiros (mortalidad experimental)</t>
  </si>
  <si>
    <t>Sesiones planificadas / válidas</t>
  </si>
  <si>
    <t>Disponibilidad del sistema</t>
  </si>
  <si>
    <t>Incidencias registradas</t>
  </si>
  <si>
    <t>Desviaciones y acciones correctivas</t>
  </si>
  <si>
    <t>Participantes con dosis completa</t>
  </si>
  <si>
    <t>Participantes ≥ umbral ÷ total GE × 100</t>
  </si>
  <si>
    <t>Intensidad media por sesión (min)</t>
  </si>
  <si>
    <t>Minutos válidos ÷ sesiones válidas</t>
  </si>
  <si>
    <t>(Horas programadas − caída) ÷ horas programadas × 100</t>
  </si>
  <si>
    <t>Incidencias atendidas a tiempo</t>
  </si>
  <si>
    <t>Incidencias a tiempo ÷ total × 100</t>
  </si>
  <si>
    <t>Periodo cumplido (sesiones del cronograma)</t>
  </si>
  <si>
    <t>Sesiones realizadas o reprogramadas ÷ programadas × 100</t>
  </si>
  <si>
    <t>Sesiones por semana</t>
  </si>
  <si>
    <t>Programadas</t>
  </si>
  <si>
    <t>Válidas</t>
  </si>
  <si>
    <t>% semana</t>
  </si>
  <si>
    <t>Total</t>
  </si>
  <si>
    <t>Participantes según cumplimiento de dosis</t>
  </si>
  <si>
    <t>Rango</t>
  </si>
  <si>
    <t>% del total</t>
  </si>
  <si>
    <t>≥ 90 %</t>
  </si>
  <si>
    <t>80 % – 89,9 %</t>
  </si>
  <si>
    <t>&lt; 80 %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</si>
</sst>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%"/>
    <numFmt numFmtId="166" formatCode="dd/mm/yyyy\ hh:mm"/>
    <numFmt numFmtId="167" formatCode="0.0"/>
  </numFmts>
  <fonts count="16">
    <font>
      <sz val="11.0"/>
      <color theme="1"/>
      <name val="Calibri"/>
      <scheme val="minor"/>
    </font>
    <font>
      <b/>
      <sz val="9.0"/>
      <color rgb="FF2582C7"/>
      <name val="Arial"/>
    </font>
    <font>
      <sz val="11.0"/>
      <color theme="1"/>
      <name val="Arial"/>
    </font>
    <font>
      <b/>
      <sz val="16.0"/>
      <color rgb="FF002060"/>
      <name val="Arial"/>
    </font>
    <font>
      <i/>
      <sz val="10.0"/>
      <color rgb="FF404040"/>
      <name val="Arial"/>
    </font>
    <font>
      <b/>
      <sz val="12.0"/>
      <color rgb="FF002060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2.0"/>
      <color rgb="FFC00000"/>
      <name val="Arial"/>
    </font>
    <font>
      <b/>
      <sz val="10.0"/>
      <color rgb="FF002060"/>
      <name val="Arial"/>
    </font>
    <font>
      <b/>
      <sz val="10.0"/>
      <color theme="1"/>
      <name val="Arial"/>
    </font>
    <font>
      <b/>
      <sz val="11.0"/>
      <color rgb="FF002060"/>
      <name val="Arial"/>
    </font>
    <font>
      <b/>
      <sz val="14.0"/>
      <color rgb="FF002060"/>
      <name val="Arial"/>
    </font>
    <font/>
    <font>
      <b/>
      <sz val="13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2CC"/>
        <bgColor rgb="FFFFF2CC"/>
      </patternFill>
    </fill>
    <fill>
      <patternFill patternType="solid">
        <fgColor rgb="FF2582C7"/>
        <bgColor rgb="FF2582C7"/>
      </patternFill>
    </fill>
    <fill>
      <patternFill patternType="solid">
        <fgColor rgb="FFFFFFFF"/>
        <bgColor rgb="FFFFFFFF"/>
      </patternFill>
    </fill>
    <fill>
      <patternFill patternType="solid">
        <fgColor rgb="FFEAF4FB"/>
        <bgColor rgb="FFEAF4FB"/>
      </patternFill>
    </fill>
  </fills>
  <borders count="11">
    <border/>
    <border>
      <left style="thin">
        <color rgb="FFB7CFE6"/>
      </left>
      <right style="thin">
        <color rgb="FFB7CFE6"/>
      </right>
      <top style="thin">
        <color rgb="FFB7CFE6"/>
      </top>
      <bottom style="thin">
        <color rgb="FFB7CFE6"/>
      </bottom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bottom" wrapText="0"/>
    </xf>
    <xf borderId="2" fillId="4" fontId="2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4" fontId="8" numFmtId="0" xfId="0" applyAlignment="1" applyBorder="1" applyFill="1" applyFont="1">
      <alignment shrinkToFit="0" vertical="bottom" wrapText="0"/>
    </xf>
    <xf borderId="1" fillId="5" fontId="2" numFmtId="0" xfId="0" applyAlignment="1" applyBorder="1" applyFill="1" applyFont="1">
      <alignment shrinkToFit="0" vertical="bottom" wrapText="0"/>
    </xf>
    <xf borderId="1" fillId="0" fontId="7" numFmtId="0" xfId="0" applyAlignment="1" applyBorder="1" applyFont="1">
      <alignment shrinkToFit="0" vertical="center" wrapText="1"/>
    </xf>
    <xf borderId="1" fillId="6" fontId="2" numFmtId="0" xfId="0" applyAlignment="1" applyBorder="1" applyFill="1" applyFont="1">
      <alignment shrinkToFit="0" vertical="bottom" wrapText="0"/>
    </xf>
    <xf borderId="1" fillId="3" fontId="7" numFmtId="0" xfId="0" applyAlignment="1" applyBorder="1" applyFill="1" applyFont="1">
      <alignment shrinkToFit="0" vertical="center" wrapText="1"/>
    </xf>
    <xf borderId="1" fillId="3" fontId="7" numFmtId="0" xfId="0" applyAlignment="1" applyBorder="1" applyFill="1" applyFont="1">
      <alignment readingOrder="0" shrinkToFit="0" vertical="center" wrapText="1"/>
    </xf>
    <xf borderId="1" fillId="3" fontId="7" numFmtId="164" xfId="0" applyAlignment="1" applyBorder="1" applyFill="1" applyFont="1" applyNumberFormat="1">
      <alignment shrinkToFit="0" vertical="center" wrapText="1"/>
    </xf>
    <xf borderId="1" fillId="3" fontId="7" numFmtId="164" xfId="0" applyAlignment="1" applyBorder="1" applyFill="1" applyFont="1" applyNumberFormat="1">
      <alignment readingOrder="0" shrinkToFit="0" vertical="center" wrapText="1"/>
    </xf>
    <xf borderId="0" fillId="0" fontId="9" numFmtId="0" xfId="0" applyAlignment="1" applyFont="1">
      <alignment shrinkToFit="0" vertical="bottom" wrapText="0"/>
    </xf>
    <xf borderId="0" fillId="0" fontId="7" numFmtId="0" xfId="0" applyAlignment="1" applyFont="1">
      <alignment shrinkToFit="0" vertical="top" wrapText="1"/>
    </xf>
    <xf borderId="1" fillId="6" fontId="10" numFmtId="0" xfId="0" applyAlignment="1" applyBorder="1" applyFill="1" applyFont="1">
      <alignment shrinkToFit="0" vertical="center" wrapText="1"/>
    </xf>
    <xf borderId="1" fillId="0" fontId="7" numFmtId="165" xfId="0" applyAlignment="1" applyBorder="1" applyFont="1" applyNumberFormat="1">
      <alignment shrinkToFit="0" vertical="center" wrapText="1"/>
    </xf>
    <xf borderId="1" fillId="3" fontId="7" numFmtId="9" xfId="0" applyAlignment="1" applyBorder="1" applyFill="1" applyFont="1" applyNumberFormat="1">
      <alignment shrinkToFit="0" vertical="center" wrapText="1"/>
    </xf>
    <xf borderId="1" fillId="3" fontId="7" numFmtId="166" xfId="0" applyAlignment="1" applyBorder="1" applyFill="1" applyFont="1" applyNumberFormat="1">
      <alignment shrinkToFit="0" vertical="center" wrapText="1"/>
    </xf>
    <xf borderId="1" fillId="0" fontId="7" numFmtId="164" xfId="0" applyAlignment="1" applyBorder="1" applyFont="1" applyNumberFormat="1">
      <alignment shrinkToFit="0" vertical="center" wrapText="1"/>
    </xf>
    <xf borderId="1" fillId="6" fontId="7" numFmtId="0" xfId="0" applyAlignment="1" applyBorder="1" applyFill="1" applyFont="1">
      <alignment shrinkToFit="0" vertical="center" wrapText="1"/>
    </xf>
    <xf borderId="1" fillId="6" fontId="7" numFmtId="167" xfId="0" applyAlignment="1" applyBorder="1" applyFill="1" applyFont="1" applyNumberFormat="1">
      <alignment shrinkToFit="0" vertical="center" wrapText="1"/>
    </xf>
    <xf borderId="1" fillId="6" fontId="7" numFmtId="165" xfId="0" applyAlignment="1" applyBorder="1" applyFill="1" applyFont="1" applyNumberFormat="1">
      <alignment shrinkToFit="0" vertical="center" wrapText="1"/>
    </xf>
    <xf borderId="1" fillId="0" fontId="7" numFmtId="2" xfId="0" applyAlignment="1" applyBorder="1" applyFont="1" applyNumberFormat="1">
      <alignment shrinkToFit="0" vertical="center" wrapText="1"/>
    </xf>
    <xf borderId="0" fillId="0" fontId="11" numFmtId="0" xfId="0" applyAlignment="1" applyFont="1">
      <alignment shrinkToFit="0" vertical="bottom" wrapText="0"/>
    </xf>
    <xf borderId="2" fillId="3" fontId="2" numFmtId="0" xfId="0" applyAlignment="1" applyBorder="1" applyFill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2" fillId="6" fontId="5" numFmtId="9" xfId="0" applyAlignment="1" applyBorder="1" applyFill="1" applyFont="1" applyNumberFormat="1">
      <alignment shrinkToFit="0" vertical="bottom" wrapText="0"/>
    </xf>
    <xf borderId="1" fillId="0" fontId="10" numFmtId="0" xfId="0" applyAlignment="1" applyBorder="1" applyFont="1">
      <alignment shrinkToFit="0" vertical="center" wrapText="1"/>
    </xf>
    <xf borderId="2" fillId="6" fontId="13" numFmtId="0" xfId="0" applyAlignment="1" applyBorder="1" applyFill="1" applyFont="1">
      <alignment shrinkToFit="0" vertical="bottom" wrapText="0"/>
    </xf>
    <xf borderId="3" fillId="3" fontId="2" numFmtId="0" xfId="0" applyAlignment="1" applyBorder="1" applyFill="1" applyFont="1">
      <alignment shrinkToFit="0" vertical="top" wrapText="1"/>
    </xf>
    <xf borderId="4" fillId="0" fontId="14" numFmtId="0" xfId="0" applyBorder="1" applyFont="1"/>
    <xf borderId="5" fillId="0" fontId="14" numFmtId="0" xfId="0" applyBorder="1" applyFont="1"/>
    <xf borderId="6" fillId="0" fontId="14" numFmtId="0" xfId="0" applyBorder="1" applyFont="1"/>
    <xf borderId="7" fillId="0" fontId="14" numFmtId="0" xfId="0" applyBorder="1" applyFont="1"/>
    <xf borderId="8" fillId="0" fontId="14" numFmtId="0" xfId="0" applyBorder="1" applyFont="1"/>
    <xf borderId="9" fillId="0" fontId="14" numFmtId="0" xfId="0" applyBorder="1" applyFont="1"/>
    <xf borderId="10" fillId="0" fontId="14" numFmtId="0" xfId="0" applyBorder="1" applyFont="1"/>
    <xf borderId="2" fillId="2" fontId="15" numFmtId="0" xfId="0" applyAlignment="1" applyBorder="1" applyFill="1" applyFont="1">
      <alignment shrinkToFit="0" vertical="bottom" wrapText="0"/>
    </xf>
    <xf borderId="2" fillId="2" fontId="2" numFmtId="0" xfId="0" applyAlignment="1" applyBorder="1" applyFill="1" applyFont="1">
      <alignment shrinkToFit="0" vertical="bottom" wrapText="0"/>
    </xf>
    <xf borderId="1" fillId="0" fontId="11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shrinkToFit="0" vertical="bottom" wrapText="1"/>
    </xf>
    <xf borderId="1" fillId="0" fontId="12" numFmtId="165" xfId="0" applyAlignment="1" applyBorder="1" applyFont="1" applyNumberFormat="1">
      <alignment shrinkToFit="0" vertical="center" wrapText="1"/>
    </xf>
    <xf borderId="1" fillId="0" fontId="7" numFmtId="0" xfId="0" applyAlignment="1" applyBorder="1" applyFont="1">
      <alignment horizontal="center" shrinkToFit="0" vertical="center" wrapText="0"/>
    </xf>
    <xf borderId="1" fillId="0" fontId="12" numFmtId="167" xfId="0" applyAlignment="1" applyBorder="1" applyFont="1" applyNumberFormat="1">
      <alignment shrinkToFit="0" vertical="center" wrapText="1"/>
    </xf>
    <xf borderId="1" fillId="0" fontId="7" numFmtId="167" xfId="0" applyAlignment="1" applyBorder="1" applyFont="1" applyNumberForma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6" fontId="10" numFmtId="165" xfId="0" applyAlignment="1" applyBorder="1" applyFill="1" applyFont="1" applyNumberFormat="1">
      <alignment shrinkToFit="0" vertical="center" wrapText="1"/>
    </xf>
  </cellXfs>
  <cellStyles count="1">
    <cellStyle xfId="0" name="Normal" builtinId="0"/>
  </cellStyles>
  <dxfs count="6">
    <dxf>
      <font>
        <b/>
        <color rgb="FFC00000"/>
      </font>
      <fill>
        <patternFill patternType="solid">
          <fgColor rgb="FFF8D7DA"/>
          <bgColor rgb="FFF8D7DA"/>
        </patternFill>
      </fill>
      <border/>
    </dxf>
    <dxf>
      <font>
        <b/>
        <color rgb="FFFFFFFF"/>
      </font>
      <fill>
        <patternFill patternType="solid">
          <fgColor rgb="FF2E8B57"/>
          <bgColor rgb="FF2E8B57"/>
        </patternFill>
      </fill>
      <border/>
    </dxf>
    <dxf>
      <font>
        <b/>
        <color rgb="FFFFFFFF"/>
      </font>
      <fill>
        <patternFill patternType="solid">
          <fgColor rgb="FFE0A100"/>
          <bgColor rgb="FFE0A100"/>
        </patternFill>
      </fill>
      <border/>
    </dxf>
    <dxf>
      <font>
        <b/>
        <color rgb="FFFFFFFF"/>
      </font>
      <fill>
        <patternFill patternType="solid">
          <fgColor rgb="FFC00000"/>
          <bgColor rgb="FFC00000"/>
        </patternFill>
      </fill>
      <border/>
    </dxf>
    <dxf>
      <font>
        <b/>
        <color rgb="FF1E6B3A"/>
      </font>
      <fill>
        <patternFill patternType="solid">
          <fgColor rgb="FFD4EDDA"/>
          <bgColor rgb="FFD4EDDA"/>
        </patternFill>
      </fill>
      <border/>
    </dxf>
    <dxf>
      <font/>
      <fill>
        <patternFill patternType="solid">
          <fgColor rgb="FFF8D7DA"/>
          <bgColor rgb="FFF8D7D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Sesiones programadas vs. válidas por semana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Programadas</c:v>
          </c:tx>
          <c:spPr>
            <a:solidFill>
              <a:srgbClr val="B7CFE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'12_Tablero'!$A$16:$A$21</c:f>
            </c:strRef>
          </c:cat>
          <c:val>
            <c:numRef>
              <c:f>'12_Tablero'!$B$16:$B$21</c:f>
              <c:numCache/>
            </c:numRef>
          </c:val>
        </c:ser>
        <c:ser>
          <c:idx val="1"/>
          <c:order val="1"/>
          <c:tx>
            <c:v>Válidas</c:v>
          </c:tx>
          <c:spPr>
            <a:solidFill>
              <a:srgbClr val="2582C7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'12_Tablero'!$A$16:$A$21</c:f>
            </c:strRef>
          </c:cat>
          <c:val>
            <c:numRef>
              <c:f>'12_Tablero'!$C$16:$C$21</c:f>
              <c:numCache/>
            </c:numRef>
          </c:val>
        </c:ser>
        <c:axId val="1113942250"/>
        <c:axId val="1734282981"/>
      </c:barChart>
      <c:catAx>
        <c:axId val="1113942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34282981"/>
      </c:catAx>
      <c:valAx>
        <c:axId val="173428298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Sesiones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1394225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Participantes por cumplimiento de dosis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'12_Tablero'!$B$28</c:f>
            </c:strRef>
          </c:tx>
          <c:dPt>
            <c:idx val="0"/>
            <c:spPr>
              <a:solidFill>
                <a:srgbClr val="2E8B57"/>
              </a:solidFill>
            </c:spPr>
          </c:dPt>
          <c:dPt>
            <c:idx val="1"/>
            <c:spPr>
              <a:solidFill>
                <a:srgbClr val="E0A100"/>
              </a:solidFill>
            </c:spPr>
          </c:dPt>
          <c:dPt>
            <c:idx val="2"/>
            <c:spPr>
              <a:solidFill>
                <a:srgbClr val="C0000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'12_Tablero'!$A$29:$A$31</c:f>
            </c:strRef>
          </c:cat>
          <c:val>
            <c:numRef>
              <c:f>'12_Tablero'!$B$29:$B$31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4</xdr:row>
      <xdr:rowOff>0</xdr:rowOff>
    </xdr:from>
    <xdr:ext cx="5810250" cy="30670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23</xdr:row>
      <xdr:rowOff>0</xdr:rowOff>
    </xdr:from>
    <xdr:ext cx="4105275" cy="31813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62.0"/>
    <col customWidth="1" min="4" max="4" width="26.0"/>
    <col customWidth="1" min="5" max="26" width="8.71"/>
  </cols>
  <sheetData>
    <row r="1">
      <c r="A1" s="1" t="s">
        <v>0</v>
      </c>
      <c r="B1" s="2"/>
      <c r="C1" s="2"/>
      <c r="D1" s="2"/>
    </row>
    <row r="2" ht="25.5" customHeight="1">
      <c r="A2" s="3" t="s">
        <v>1</v>
      </c>
      <c r="B2" s="2"/>
      <c r="C2" s="2"/>
      <c r="D2" s="2"/>
    </row>
    <row r="3">
      <c r="A3" s="4" t="s">
        <v>4</v>
      </c>
      <c r="B3" s="2"/>
      <c r="C3" s="2"/>
      <c r="D3" s="2"/>
    </row>
    <row r="4">
      <c r="A4" s="2"/>
      <c r="B4" s="2"/>
      <c r="C4" s="2"/>
      <c r="D4" s="2"/>
    </row>
    <row r="5">
      <c r="A5" s="5" t="s">
        <v>8</v>
      </c>
      <c r="B5" s="2"/>
      <c r="C5" s="2"/>
      <c r="D5" s="2"/>
    </row>
    <row r="6">
      <c r="A6" s="2"/>
      <c r="B6" s="7"/>
      <c r="C6" s="9" t="s">
        <v>15</v>
      </c>
      <c r="D6" s="2"/>
    </row>
    <row r="7">
      <c r="A7" s="2"/>
      <c r="B7" s="11"/>
      <c r="C7" s="9" t="s">
        <v>30</v>
      </c>
      <c r="D7" s="2"/>
    </row>
    <row r="8">
      <c r="A8" s="2"/>
      <c r="B8" s="13"/>
      <c r="C8" s="9" t="s">
        <v>32</v>
      </c>
      <c r="D8" s="2"/>
    </row>
    <row r="9">
      <c r="A9" s="2"/>
      <c r="B9" s="2"/>
      <c r="C9" s="2"/>
      <c r="D9" s="2"/>
    </row>
    <row r="10">
      <c r="A10" s="5" t="s">
        <v>34</v>
      </c>
      <c r="B10" s="2"/>
      <c r="C10" s="2"/>
      <c r="D10" s="2"/>
    </row>
    <row r="11" ht="31.5" customHeight="1">
      <c r="A11" s="6" t="s">
        <v>10</v>
      </c>
      <c r="B11" s="6" t="s">
        <v>37</v>
      </c>
      <c r="C11" s="6" t="s">
        <v>39</v>
      </c>
      <c r="D11" s="6" t="s">
        <v>41</v>
      </c>
    </row>
    <row r="12">
      <c r="A12" s="12">
        <v>1.0</v>
      </c>
      <c r="B12" s="12" t="s">
        <v>43</v>
      </c>
      <c r="C12" s="12" t="s">
        <v>44</v>
      </c>
      <c r="D12" s="12" t="s">
        <v>45</v>
      </c>
    </row>
    <row r="13">
      <c r="A13" s="12">
        <v>2.0</v>
      </c>
      <c r="B13" s="12" t="s">
        <v>47</v>
      </c>
      <c r="C13" s="12" t="s">
        <v>48</v>
      </c>
      <c r="D13" s="12" t="s">
        <v>49</v>
      </c>
    </row>
    <row r="14">
      <c r="A14" s="12">
        <v>3.0</v>
      </c>
      <c r="B14" s="12" t="s">
        <v>50</v>
      </c>
      <c r="C14" s="12" t="s">
        <v>51</v>
      </c>
      <c r="D14" s="12" t="s">
        <v>52</v>
      </c>
    </row>
    <row r="15">
      <c r="A15" s="12">
        <v>4.0</v>
      </c>
      <c r="B15" s="12" t="s">
        <v>55</v>
      </c>
      <c r="C15" s="12" t="s">
        <v>56</v>
      </c>
      <c r="D15" s="12" t="s">
        <v>57</v>
      </c>
    </row>
    <row r="16">
      <c r="A16" s="12">
        <v>5.0</v>
      </c>
      <c r="B16" s="12" t="s">
        <v>60</v>
      </c>
      <c r="C16" s="12" t="s">
        <v>62</v>
      </c>
      <c r="D16" s="12" t="s">
        <v>63</v>
      </c>
    </row>
    <row r="17">
      <c r="A17" s="12">
        <v>6.0</v>
      </c>
      <c r="B17" s="12" t="s">
        <v>68</v>
      </c>
      <c r="C17" s="12" t="s">
        <v>69</v>
      </c>
      <c r="D17" s="12" t="s">
        <v>57</v>
      </c>
    </row>
    <row r="18">
      <c r="A18" s="12">
        <v>7.0</v>
      </c>
      <c r="B18" s="12" t="s">
        <v>71</v>
      </c>
      <c r="C18" s="12" t="s">
        <v>72</v>
      </c>
      <c r="D18" s="12" t="s">
        <v>73</v>
      </c>
    </row>
    <row r="19">
      <c r="A19" s="12">
        <v>8.0</v>
      </c>
      <c r="B19" s="12" t="s">
        <v>74</v>
      </c>
      <c r="C19" s="12" t="s">
        <v>75</v>
      </c>
      <c r="D19" s="12" t="s">
        <v>57</v>
      </c>
    </row>
    <row r="20">
      <c r="A20" s="12">
        <v>9.0</v>
      </c>
      <c r="B20" s="12" t="s">
        <v>77</v>
      </c>
      <c r="C20" s="12" t="s">
        <v>78</v>
      </c>
      <c r="D20" s="12" t="s">
        <v>79</v>
      </c>
    </row>
    <row r="21" ht="15.75" customHeight="1">
      <c r="A21" s="12">
        <v>10.0</v>
      </c>
      <c r="B21" s="12" t="s">
        <v>82</v>
      </c>
      <c r="C21" s="12" t="s">
        <v>83</v>
      </c>
      <c r="D21" s="12" t="s">
        <v>85</v>
      </c>
    </row>
    <row r="22" ht="15.75" customHeight="1">
      <c r="A22" s="12">
        <v>11.0</v>
      </c>
      <c r="B22" s="12" t="s">
        <v>87</v>
      </c>
      <c r="C22" s="12" t="s">
        <v>88</v>
      </c>
      <c r="D22" s="12" t="s">
        <v>90</v>
      </c>
    </row>
    <row r="23" ht="15.75" customHeight="1">
      <c r="A23" s="12">
        <v>12.0</v>
      </c>
      <c r="B23" s="12" t="s">
        <v>91</v>
      </c>
      <c r="C23" s="12" t="s">
        <v>92</v>
      </c>
      <c r="D23" s="12" t="s">
        <v>63</v>
      </c>
    </row>
    <row r="24" ht="15.75" customHeight="1">
      <c r="A24" s="12">
        <v>13.0</v>
      </c>
      <c r="B24" s="12" t="s">
        <v>93</v>
      </c>
      <c r="C24" s="12" t="s">
        <v>94</v>
      </c>
      <c r="D24" s="12" t="s">
        <v>95</v>
      </c>
    </row>
    <row r="25" ht="15.75" customHeight="1">
      <c r="A25" s="2"/>
      <c r="B25" s="2"/>
      <c r="C25" s="2"/>
      <c r="D25" s="2"/>
    </row>
    <row r="26" ht="15.75" customHeight="1">
      <c r="A26" s="18" t="s">
        <v>96</v>
      </c>
      <c r="B26" s="2"/>
      <c r="C26" s="2"/>
      <c r="D26" s="2"/>
    </row>
    <row r="27" ht="27.75" customHeight="1">
      <c r="A27" s="2"/>
      <c r="B27" s="19" t="s">
        <v>97</v>
      </c>
    </row>
    <row r="28" ht="27.75" customHeight="1">
      <c r="A28" s="2"/>
      <c r="B28" s="19" t="s">
        <v>98</v>
      </c>
    </row>
    <row r="29" ht="27.75" customHeight="1">
      <c r="A29" s="2"/>
      <c r="B29" s="19" t="s">
        <v>99</v>
      </c>
    </row>
    <row r="30" ht="27.75" customHeight="1">
      <c r="A30" s="2"/>
      <c r="B30" s="19" t="s">
        <v>100</v>
      </c>
    </row>
    <row r="31" ht="27.75" customHeight="1">
      <c r="A31" s="2"/>
      <c r="B31" s="19" t="s">
        <v>103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7:D27"/>
    <mergeCell ref="B28:D28"/>
    <mergeCell ref="B29:D29"/>
    <mergeCell ref="B30:D30"/>
    <mergeCell ref="B31:D31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0"/>
    <col customWidth="1" min="2" max="2" width="46.0"/>
    <col customWidth="1" min="3" max="3" width="34.0"/>
    <col customWidth="1" min="4" max="4" width="52.0"/>
    <col customWidth="1" min="5" max="26" width="8.71"/>
  </cols>
  <sheetData>
    <row r="1">
      <c r="A1" s="1" t="s">
        <v>0</v>
      </c>
      <c r="B1" s="2"/>
      <c r="C1" s="2"/>
      <c r="D1" s="2"/>
    </row>
    <row r="2" ht="25.5" customHeight="1">
      <c r="A2" s="3" t="s">
        <v>2</v>
      </c>
      <c r="B2" s="2"/>
      <c r="C2" s="2"/>
      <c r="D2" s="2"/>
    </row>
    <row r="3">
      <c r="A3" s="4" t="s">
        <v>5</v>
      </c>
      <c r="B3" s="2"/>
      <c r="C3" s="2"/>
      <c r="D3" s="2"/>
    </row>
    <row r="4">
      <c r="A4" s="2"/>
      <c r="B4" s="2"/>
      <c r="C4" s="2"/>
      <c r="D4" s="2"/>
    </row>
    <row r="5" ht="31.5" customHeight="1">
      <c r="A5" s="6"/>
      <c r="B5" s="6" t="s">
        <v>11</v>
      </c>
      <c r="C5" s="6" t="s">
        <v>12</v>
      </c>
      <c r="D5" s="6" t="s">
        <v>13</v>
      </c>
    </row>
    <row r="6">
      <c r="A6" s="8"/>
      <c r="B6" s="10" t="s">
        <v>24</v>
      </c>
      <c r="C6" s="8"/>
      <c r="D6" s="8"/>
    </row>
    <row r="7" ht="42.0" customHeight="1">
      <c r="A7" s="12"/>
      <c r="B7" s="12" t="s">
        <v>33</v>
      </c>
      <c r="C7" s="15" t="s">
        <v>35</v>
      </c>
      <c r="D7" s="12" t="s">
        <v>36</v>
      </c>
    </row>
    <row r="8">
      <c r="A8" s="12"/>
      <c r="B8" s="12" t="s">
        <v>38</v>
      </c>
      <c r="C8" s="15" t="s">
        <v>40</v>
      </c>
      <c r="D8" s="12"/>
    </row>
    <row r="9">
      <c r="A9" s="12"/>
      <c r="B9" s="12" t="s">
        <v>42</v>
      </c>
      <c r="C9" s="14"/>
      <c r="D9" s="12"/>
    </row>
    <row r="10">
      <c r="A10" s="12"/>
      <c r="B10" s="12" t="s">
        <v>46</v>
      </c>
      <c r="C10" s="15" t="s">
        <v>53</v>
      </c>
      <c r="D10" s="12" t="s">
        <v>54</v>
      </c>
    </row>
    <row r="11">
      <c r="A11" s="12"/>
      <c r="B11" s="12" t="s">
        <v>58</v>
      </c>
      <c r="C11" s="15" t="s">
        <v>59</v>
      </c>
      <c r="D11" s="12" t="s">
        <v>61</v>
      </c>
    </row>
    <row r="12">
      <c r="A12" s="12"/>
      <c r="B12" s="12" t="s">
        <v>64</v>
      </c>
      <c r="C12" s="15" t="s">
        <v>65</v>
      </c>
      <c r="D12" s="12" t="s">
        <v>66</v>
      </c>
    </row>
    <row r="13">
      <c r="A13" s="8"/>
      <c r="B13" s="10" t="s">
        <v>67</v>
      </c>
      <c r="C13" s="8"/>
      <c r="D13" s="8"/>
    </row>
    <row r="14">
      <c r="A14" s="12"/>
      <c r="B14" s="12" t="s">
        <v>70</v>
      </c>
      <c r="C14" s="17">
        <v>46313.0</v>
      </c>
      <c r="D14" s="12" t="s">
        <v>76</v>
      </c>
    </row>
    <row r="15">
      <c r="A15" s="12"/>
      <c r="B15" s="12" t="s">
        <v>80</v>
      </c>
      <c r="C15" s="17">
        <v>46353.0</v>
      </c>
      <c r="D15" s="12" t="s">
        <v>81</v>
      </c>
    </row>
    <row r="16">
      <c r="A16" s="12"/>
      <c r="B16" s="12" t="s">
        <v>84</v>
      </c>
      <c r="C16" s="14">
        <v>6.0</v>
      </c>
      <c r="D16" s="12" t="s">
        <v>86</v>
      </c>
    </row>
    <row r="17">
      <c r="A17" s="12"/>
      <c r="B17" s="12" t="s">
        <v>89</v>
      </c>
      <c r="C17" s="20">
        <f>C15-C14+1</f>
        <v>41</v>
      </c>
      <c r="D17" s="12" t="s">
        <v>101</v>
      </c>
    </row>
    <row r="18">
      <c r="A18" s="8"/>
      <c r="B18" s="10" t="s">
        <v>102</v>
      </c>
      <c r="C18" s="8"/>
      <c r="D18" s="8"/>
    </row>
    <row r="19">
      <c r="A19" s="12"/>
      <c r="B19" s="12" t="s">
        <v>104</v>
      </c>
      <c r="C19" s="14"/>
      <c r="D19" s="12" t="s">
        <v>105</v>
      </c>
    </row>
    <row r="20">
      <c r="A20" s="12"/>
      <c r="B20" s="12" t="s">
        <v>106</v>
      </c>
      <c r="C20" s="14" t="s">
        <v>107</v>
      </c>
      <c r="D20" s="12" t="s">
        <v>108</v>
      </c>
    </row>
    <row r="21" ht="15.75" customHeight="1">
      <c r="A21" s="8"/>
      <c r="B21" s="10" t="s">
        <v>109</v>
      </c>
      <c r="C21" s="8"/>
      <c r="D21" s="8"/>
    </row>
    <row r="22" ht="15.75" customHeight="1">
      <c r="A22" s="12"/>
      <c r="B22" s="12" t="s">
        <v>110</v>
      </c>
      <c r="C22" s="14"/>
      <c r="D22" s="12" t="s">
        <v>111</v>
      </c>
    </row>
    <row r="23" ht="15.75" customHeight="1">
      <c r="A23" s="12"/>
      <c r="B23" s="12" t="s">
        <v>112</v>
      </c>
      <c r="C23" s="14"/>
      <c r="D23" s="12" t="s">
        <v>113</v>
      </c>
    </row>
    <row r="24" ht="15.75" customHeight="1">
      <c r="A24" s="12"/>
      <c r="B24" s="12" t="s">
        <v>114</v>
      </c>
      <c r="C24" s="14"/>
      <c r="D24" s="12" t="s">
        <v>115</v>
      </c>
    </row>
    <row r="25" ht="15.75" customHeight="1">
      <c r="A25" s="8"/>
      <c r="B25" s="10" t="s">
        <v>116</v>
      </c>
      <c r="C25" s="8"/>
      <c r="D25" s="8"/>
    </row>
    <row r="26" ht="15.75" customHeight="1">
      <c r="A26" s="12"/>
      <c r="B26" s="12" t="s">
        <v>117</v>
      </c>
      <c r="C26" s="20">
        <f>COUNTIF('02_Participantes'!$C$6:$C$65,"GE")</f>
        <v>0</v>
      </c>
      <c r="D26" s="12" t="s">
        <v>118</v>
      </c>
    </row>
    <row r="27" ht="15.75" customHeight="1">
      <c r="A27" s="12"/>
      <c r="B27" s="12" t="s">
        <v>119</v>
      </c>
      <c r="C27" s="20">
        <f>C16*C19</f>
        <v>0</v>
      </c>
      <c r="D27" s="12" t="s">
        <v>120</v>
      </c>
    </row>
    <row r="28" ht="15.75" customHeight="1">
      <c r="A28" s="12"/>
      <c r="B28" s="12" t="s">
        <v>121</v>
      </c>
      <c r="C28" s="20">
        <f>C27*C22</f>
        <v>0</v>
      </c>
      <c r="D28" s="12" t="s">
        <v>122</v>
      </c>
    </row>
    <row r="29" ht="15.75" customHeight="1">
      <c r="A29" s="12"/>
      <c r="B29" s="12" t="s">
        <v>123</v>
      </c>
      <c r="C29" s="20">
        <f>C27*C26</f>
        <v>0</v>
      </c>
      <c r="D29" s="12" t="s">
        <v>124</v>
      </c>
    </row>
    <row r="30" ht="15.75" customHeight="1">
      <c r="A30" s="8"/>
      <c r="B30" s="10" t="s">
        <v>125</v>
      </c>
      <c r="C30" s="8"/>
      <c r="D30" s="8"/>
    </row>
    <row r="31" ht="15.75" customHeight="1">
      <c r="A31" s="12"/>
      <c r="B31" s="12" t="s">
        <v>126</v>
      </c>
      <c r="C31" s="22">
        <v>0.8</v>
      </c>
      <c r="D31" s="12" t="s">
        <v>127</v>
      </c>
    </row>
    <row r="32" ht="15.75" customHeight="1">
      <c r="A32" s="12"/>
      <c r="B32" s="12" t="s">
        <v>128</v>
      </c>
      <c r="C32" s="22">
        <v>0.9</v>
      </c>
      <c r="D32" s="12"/>
    </row>
    <row r="33" ht="15.75" customHeight="1">
      <c r="A33" s="12"/>
      <c r="B33" s="12" t="s">
        <v>129</v>
      </c>
      <c r="C33" s="22">
        <v>0.85</v>
      </c>
      <c r="D33" s="12"/>
    </row>
    <row r="34" ht="15.75" customHeight="1">
      <c r="A34" s="12"/>
      <c r="B34" s="12" t="s">
        <v>130</v>
      </c>
      <c r="C34" s="22">
        <v>0.95</v>
      </c>
      <c r="D34" s="12"/>
    </row>
    <row r="35" ht="15.75" customHeight="1">
      <c r="A35" s="12"/>
      <c r="B35" s="12" t="s">
        <v>131</v>
      </c>
      <c r="C35" s="22">
        <v>0.9</v>
      </c>
      <c r="D35" s="12"/>
    </row>
    <row r="36" ht="15.75" customHeight="1">
      <c r="A36" s="12"/>
      <c r="B36" s="12" t="s">
        <v>132</v>
      </c>
      <c r="C36" s="22">
        <v>1.0</v>
      </c>
      <c r="D36" s="1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10">
      <formula1>"Preexperimental,Cuasiexperimental"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.0"/>
    <col customWidth="1" min="2" max="3" width="12.0"/>
    <col customWidth="1" min="4" max="5" width="14.0"/>
    <col customWidth="1" min="6" max="6" width="16.0"/>
    <col customWidth="1" min="7" max="8" width="34.0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 ht="25.5" customHeight="1">
      <c r="A2" s="3" t="s">
        <v>3</v>
      </c>
      <c r="B2" s="2"/>
      <c r="C2" s="2"/>
      <c r="D2" s="2"/>
      <c r="E2" s="2"/>
      <c r="F2" s="2"/>
      <c r="G2" s="2"/>
      <c r="H2" s="2"/>
    </row>
    <row r="3">
      <c r="A3" s="4" t="s">
        <v>7</v>
      </c>
      <c r="B3" s="2"/>
      <c r="C3" s="2"/>
      <c r="D3" s="2"/>
      <c r="E3" s="2"/>
      <c r="F3" s="2"/>
      <c r="G3" s="2"/>
      <c r="H3" s="2"/>
    </row>
    <row r="4">
      <c r="A4" s="2"/>
      <c r="B4" s="2"/>
      <c r="C4" s="2"/>
      <c r="D4" s="2"/>
      <c r="E4" s="2"/>
      <c r="F4" s="2"/>
      <c r="G4" s="2"/>
      <c r="H4" s="2"/>
    </row>
    <row r="5" ht="31.5" customHeight="1">
      <c r="A5" s="6" t="s">
        <v>10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23</v>
      </c>
    </row>
    <row r="6">
      <c r="A6" s="12">
        <v>1.0</v>
      </c>
      <c r="B6" s="14"/>
      <c r="C6" s="14"/>
      <c r="D6" s="14"/>
      <c r="E6" s="14"/>
      <c r="F6" s="16"/>
      <c r="G6" s="14"/>
      <c r="H6" s="14"/>
    </row>
    <row r="7">
      <c r="A7" s="12">
        <v>2.0</v>
      </c>
      <c r="B7" s="14"/>
      <c r="C7" s="14"/>
      <c r="D7" s="14"/>
      <c r="E7" s="14"/>
      <c r="F7" s="16"/>
      <c r="G7" s="14"/>
      <c r="H7" s="14"/>
    </row>
    <row r="8">
      <c r="A8" s="12">
        <v>3.0</v>
      </c>
      <c r="B8" s="14"/>
      <c r="C8" s="14"/>
      <c r="D8" s="14"/>
      <c r="E8" s="14"/>
      <c r="F8" s="16"/>
      <c r="G8" s="14"/>
      <c r="H8" s="14"/>
    </row>
    <row r="9">
      <c r="A9" s="12">
        <v>4.0</v>
      </c>
      <c r="B9" s="14"/>
      <c r="C9" s="14"/>
      <c r="D9" s="14"/>
      <c r="E9" s="14"/>
      <c r="F9" s="16"/>
      <c r="G9" s="14"/>
      <c r="H9" s="14"/>
    </row>
    <row r="10">
      <c r="A10" s="12">
        <v>5.0</v>
      </c>
      <c r="B10" s="14"/>
      <c r="C10" s="14"/>
      <c r="D10" s="14"/>
      <c r="E10" s="14"/>
      <c r="F10" s="16"/>
      <c r="G10" s="14"/>
      <c r="H10" s="14"/>
    </row>
    <row r="11">
      <c r="A11" s="12">
        <v>6.0</v>
      </c>
      <c r="B11" s="14"/>
      <c r="C11" s="14"/>
      <c r="D11" s="14"/>
      <c r="E11" s="14"/>
      <c r="F11" s="16"/>
      <c r="G11" s="14"/>
      <c r="H11" s="14"/>
    </row>
    <row r="12">
      <c r="A12" s="12">
        <v>7.0</v>
      </c>
      <c r="B12" s="14"/>
      <c r="C12" s="14"/>
      <c r="D12" s="14"/>
      <c r="E12" s="14"/>
      <c r="F12" s="16"/>
      <c r="G12" s="14"/>
      <c r="H12" s="14"/>
    </row>
    <row r="13">
      <c r="A13" s="12">
        <v>8.0</v>
      </c>
      <c r="B13" s="14"/>
      <c r="C13" s="14"/>
      <c r="D13" s="14"/>
      <c r="E13" s="14"/>
      <c r="F13" s="16"/>
      <c r="G13" s="14"/>
      <c r="H13" s="14"/>
    </row>
    <row r="14">
      <c r="A14" s="12">
        <v>9.0</v>
      </c>
      <c r="B14" s="14"/>
      <c r="C14" s="14"/>
      <c r="D14" s="14"/>
      <c r="E14" s="14"/>
      <c r="F14" s="16"/>
      <c r="G14" s="14"/>
      <c r="H14" s="14"/>
    </row>
    <row r="15">
      <c r="A15" s="12">
        <v>10.0</v>
      </c>
      <c r="B15" s="14"/>
      <c r="C15" s="14"/>
      <c r="D15" s="14"/>
      <c r="E15" s="14"/>
      <c r="F15" s="16"/>
      <c r="G15" s="14"/>
      <c r="H15" s="14"/>
    </row>
    <row r="16">
      <c r="A16" s="12">
        <v>11.0</v>
      </c>
      <c r="B16" s="14"/>
      <c r="C16" s="14"/>
      <c r="D16" s="14"/>
      <c r="E16" s="14"/>
      <c r="F16" s="16"/>
      <c r="G16" s="14"/>
      <c r="H16" s="14"/>
    </row>
    <row r="17">
      <c r="A17" s="12">
        <v>12.0</v>
      </c>
      <c r="B17" s="14"/>
      <c r="C17" s="14"/>
      <c r="D17" s="14"/>
      <c r="E17" s="14"/>
      <c r="F17" s="16"/>
      <c r="G17" s="14"/>
      <c r="H17" s="14"/>
    </row>
    <row r="18">
      <c r="A18" s="12">
        <v>13.0</v>
      </c>
      <c r="B18" s="14"/>
      <c r="C18" s="14"/>
      <c r="D18" s="14"/>
      <c r="E18" s="14"/>
      <c r="F18" s="16"/>
      <c r="G18" s="14"/>
      <c r="H18" s="14"/>
    </row>
    <row r="19">
      <c r="A19" s="12">
        <v>14.0</v>
      </c>
      <c r="B19" s="14"/>
      <c r="C19" s="14"/>
      <c r="D19" s="14"/>
      <c r="E19" s="14"/>
      <c r="F19" s="16"/>
      <c r="G19" s="14"/>
      <c r="H19" s="14"/>
    </row>
    <row r="20">
      <c r="A20" s="12">
        <v>15.0</v>
      </c>
      <c r="B20" s="14"/>
      <c r="C20" s="14"/>
      <c r="D20" s="14"/>
      <c r="E20" s="14"/>
      <c r="F20" s="16"/>
      <c r="G20" s="14"/>
      <c r="H20" s="14"/>
    </row>
    <row r="21" ht="15.75" customHeight="1">
      <c r="A21" s="12">
        <v>16.0</v>
      </c>
      <c r="B21" s="14"/>
      <c r="C21" s="14"/>
      <c r="D21" s="14"/>
      <c r="E21" s="14"/>
      <c r="F21" s="16"/>
      <c r="G21" s="14"/>
      <c r="H21" s="14"/>
    </row>
    <row r="22" ht="15.75" customHeight="1">
      <c r="A22" s="12">
        <v>17.0</v>
      </c>
      <c r="B22" s="14"/>
      <c r="C22" s="14"/>
      <c r="D22" s="14"/>
      <c r="E22" s="14"/>
      <c r="F22" s="16"/>
      <c r="G22" s="14"/>
      <c r="H22" s="14"/>
    </row>
    <row r="23" ht="15.75" customHeight="1">
      <c r="A23" s="12">
        <v>18.0</v>
      </c>
      <c r="B23" s="14"/>
      <c r="C23" s="14"/>
      <c r="D23" s="14"/>
      <c r="E23" s="14"/>
      <c r="F23" s="16"/>
      <c r="G23" s="14"/>
      <c r="H23" s="14"/>
    </row>
    <row r="24" ht="15.75" customHeight="1">
      <c r="A24" s="12">
        <v>19.0</v>
      </c>
      <c r="B24" s="14"/>
      <c r="C24" s="14"/>
      <c r="D24" s="14"/>
      <c r="E24" s="14"/>
      <c r="F24" s="16"/>
      <c r="G24" s="14"/>
      <c r="H24" s="14"/>
    </row>
    <row r="25" ht="15.75" customHeight="1">
      <c r="A25" s="12">
        <v>20.0</v>
      </c>
      <c r="B25" s="14"/>
      <c r="C25" s="14"/>
      <c r="D25" s="14"/>
      <c r="E25" s="14"/>
      <c r="F25" s="16"/>
      <c r="G25" s="14"/>
      <c r="H25" s="14"/>
    </row>
    <row r="26" ht="15.75" customHeight="1">
      <c r="A26" s="12">
        <v>21.0</v>
      </c>
      <c r="B26" s="14"/>
      <c r="C26" s="14"/>
      <c r="D26" s="14"/>
      <c r="E26" s="14"/>
      <c r="F26" s="16"/>
      <c r="G26" s="14"/>
      <c r="H26" s="14"/>
    </row>
    <row r="27" ht="15.75" customHeight="1">
      <c r="A27" s="12">
        <v>22.0</v>
      </c>
      <c r="B27" s="14"/>
      <c r="C27" s="14"/>
      <c r="D27" s="14"/>
      <c r="E27" s="14"/>
      <c r="F27" s="16"/>
      <c r="G27" s="14"/>
      <c r="H27" s="14"/>
    </row>
    <row r="28" ht="15.75" customHeight="1">
      <c r="A28" s="12">
        <v>23.0</v>
      </c>
      <c r="B28" s="14"/>
      <c r="C28" s="14"/>
      <c r="D28" s="14"/>
      <c r="E28" s="14"/>
      <c r="F28" s="16"/>
      <c r="G28" s="14"/>
      <c r="H28" s="14"/>
    </row>
    <row r="29" ht="15.75" customHeight="1">
      <c r="A29" s="12">
        <v>24.0</v>
      </c>
      <c r="B29" s="14"/>
      <c r="C29" s="14"/>
      <c r="D29" s="14"/>
      <c r="E29" s="14"/>
      <c r="F29" s="16"/>
      <c r="G29" s="14"/>
      <c r="H29" s="14"/>
    </row>
    <row r="30" ht="15.75" customHeight="1">
      <c r="A30" s="12">
        <v>25.0</v>
      </c>
      <c r="B30" s="14"/>
      <c r="C30" s="14"/>
      <c r="D30" s="14"/>
      <c r="E30" s="14"/>
      <c r="F30" s="16"/>
      <c r="G30" s="14"/>
      <c r="H30" s="14"/>
    </row>
    <row r="31" ht="15.75" customHeight="1">
      <c r="A31" s="12">
        <v>26.0</v>
      </c>
      <c r="B31" s="14"/>
      <c r="C31" s="14"/>
      <c r="D31" s="14"/>
      <c r="E31" s="14"/>
      <c r="F31" s="16"/>
      <c r="G31" s="14"/>
      <c r="H31" s="14"/>
    </row>
    <row r="32" ht="15.75" customHeight="1">
      <c r="A32" s="12">
        <v>27.0</v>
      </c>
      <c r="B32" s="14"/>
      <c r="C32" s="14"/>
      <c r="D32" s="14"/>
      <c r="E32" s="14"/>
      <c r="F32" s="16"/>
      <c r="G32" s="14"/>
      <c r="H32" s="14"/>
    </row>
    <row r="33" ht="15.75" customHeight="1">
      <c r="A33" s="12">
        <v>28.0</v>
      </c>
      <c r="B33" s="14"/>
      <c r="C33" s="14"/>
      <c r="D33" s="14"/>
      <c r="E33" s="14"/>
      <c r="F33" s="16"/>
      <c r="G33" s="14"/>
      <c r="H33" s="14"/>
    </row>
    <row r="34" ht="15.75" customHeight="1">
      <c r="A34" s="12">
        <v>29.0</v>
      </c>
      <c r="B34" s="14"/>
      <c r="C34" s="14"/>
      <c r="D34" s="14"/>
      <c r="E34" s="14"/>
      <c r="F34" s="16"/>
      <c r="G34" s="14"/>
      <c r="H34" s="14"/>
    </row>
    <row r="35" ht="15.75" customHeight="1">
      <c r="A35" s="12">
        <v>30.0</v>
      </c>
      <c r="B35" s="14"/>
      <c r="C35" s="14"/>
      <c r="D35" s="14"/>
      <c r="E35" s="14"/>
      <c r="F35" s="16"/>
      <c r="G35" s="14"/>
      <c r="H35" s="14"/>
    </row>
    <row r="36" ht="15.75" customHeight="1">
      <c r="A36" s="12">
        <v>31.0</v>
      </c>
      <c r="B36" s="14"/>
      <c r="C36" s="14"/>
      <c r="D36" s="14"/>
      <c r="E36" s="14"/>
      <c r="F36" s="16"/>
      <c r="G36" s="14"/>
      <c r="H36" s="14"/>
    </row>
    <row r="37" ht="15.75" customHeight="1">
      <c r="A37" s="12">
        <v>32.0</v>
      </c>
      <c r="B37" s="14"/>
      <c r="C37" s="14"/>
      <c r="D37" s="14"/>
      <c r="E37" s="14"/>
      <c r="F37" s="16"/>
      <c r="G37" s="14"/>
      <c r="H37" s="14"/>
    </row>
    <row r="38" ht="15.75" customHeight="1">
      <c r="A38" s="12">
        <v>33.0</v>
      </c>
      <c r="B38" s="14"/>
      <c r="C38" s="14"/>
      <c r="D38" s="14"/>
      <c r="E38" s="14"/>
      <c r="F38" s="16"/>
      <c r="G38" s="14"/>
      <c r="H38" s="14"/>
    </row>
    <row r="39" ht="15.75" customHeight="1">
      <c r="A39" s="12">
        <v>34.0</v>
      </c>
      <c r="B39" s="14"/>
      <c r="C39" s="14"/>
      <c r="D39" s="14"/>
      <c r="E39" s="14"/>
      <c r="F39" s="16"/>
      <c r="G39" s="14"/>
      <c r="H39" s="14"/>
    </row>
    <row r="40" ht="15.75" customHeight="1">
      <c r="A40" s="12">
        <v>35.0</v>
      </c>
      <c r="B40" s="14"/>
      <c r="C40" s="14"/>
      <c r="D40" s="14"/>
      <c r="E40" s="14"/>
      <c r="F40" s="16"/>
      <c r="G40" s="14"/>
      <c r="H40" s="14"/>
    </row>
    <row r="41" ht="15.75" customHeight="1">
      <c r="A41" s="12">
        <v>36.0</v>
      </c>
      <c r="B41" s="14"/>
      <c r="C41" s="14"/>
      <c r="D41" s="14"/>
      <c r="E41" s="14"/>
      <c r="F41" s="16"/>
      <c r="G41" s="14"/>
      <c r="H41" s="14"/>
    </row>
    <row r="42" ht="15.75" customHeight="1">
      <c r="A42" s="12">
        <v>37.0</v>
      </c>
      <c r="B42" s="14"/>
      <c r="C42" s="14"/>
      <c r="D42" s="14"/>
      <c r="E42" s="14"/>
      <c r="F42" s="16"/>
      <c r="G42" s="14"/>
      <c r="H42" s="14"/>
    </row>
    <row r="43" ht="15.75" customHeight="1">
      <c r="A43" s="12">
        <v>38.0</v>
      </c>
      <c r="B43" s="14"/>
      <c r="C43" s="14"/>
      <c r="D43" s="14"/>
      <c r="E43" s="14"/>
      <c r="F43" s="16"/>
      <c r="G43" s="14"/>
      <c r="H43" s="14"/>
    </row>
    <row r="44" ht="15.75" customHeight="1">
      <c r="A44" s="12">
        <v>39.0</v>
      </c>
      <c r="B44" s="14"/>
      <c r="C44" s="14"/>
      <c r="D44" s="14"/>
      <c r="E44" s="14"/>
      <c r="F44" s="16"/>
      <c r="G44" s="14"/>
      <c r="H44" s="14"/>
    </row>
    <row r="45" ht="15.75" customHeight="1">
      <c r="A45" s="12">
        <v>40.0</v>
      </c>
      <c r="B45" s="14"/>
      <c r="C45" s="14"/>
      <c r="D45" s="14"/>
      <c r="E45" s="14"/>
      <c r="F45" s="16"/>
      <c r="G45" s="14"/>
      <c r="H45" s="14"/>
    </row>
    <row r="46" ht="15.75" customHeight="1">
      <c r="A46" s="12">
        <v>41.0</v>
      </c>
      <c r="B46" s="14"/>
      <c r="C46" s="14"/>
      <c r="D46" s="14"/>
      <c r="E46" s="14"/>
      <c r="F46" s="16"/>
      <c r="G46" s="14"/>
      <c r="H46" s="14"/>
    </row>
    <row r="47" ht="15.75" customHeight="1">
      <c r="A47" s="12">
        <v>42.0</v>
      </c>
      <c r="B47" s="14"/>
      <c r="C47" s="14"/>
      <c r="D47" s="14"/>
      <c r="E47" s="14"/>
      <c r="F47" s="16"/>
      <c r="G47" s="14"/>
      <c r="H47" s="14"/>
    </row>
    <row r="48" ht="15.75" customHeight="1">
      <c r="A48" s="12">
        <v>43.0</v>
      </c>
      <c r="B48" s="14"/>
      <c r="C48" s="14"/>
      <c r="D48" s="14"/>
      <c r="E48" s="14"/>
      <c r="F48" s="16"/>
      <c r="G48" s="14"/>
      <c r="H48" s="14"/>
    </row>
    <row r="49" ht="15.75" customHeight="1">
      <c r="A49" s="12">
        <v>44.0</v>
      </c>
      <c r="B49" s="14"/>
      <c r="C49" s="14"/>
      <c r="D49" s="14"/>
      <c r="E49" s="14"/>
      <c r="F49" s="16"/>
      <c r="G49" s="14"/>
      <c r="H49" s="14"/>
    </row>
    <row r="50" ht="15.75" customHeight="1">
      <c r="A50" s="12">
        <v>45.0</v>
      </c>
      <c r="B50" s="14"/>
      <c r="C50" s="14"/>
      <c r="D50" s="14"/>
      <c r="E50" s="14"/>
      <c r="F50" s="16"/>
      <c r="G50" s="14"/>
      <c r="H50" s="14"/>
    </row>
    <row r="51" ht="15.75" customHeight="1">
      <c r="A51" s="12">
        <v>46.0</v>
      </c>
      <c r="B51" s="14"/>
      <c r="C51" s="14"/>
      <c r="D51" s="14"/>
      <c r="E51" s="14"/>
      <c r="F51" s="16"/>
      <c r="G51" s="14"/>
      <c r="H51" s="14"/>
    </row>
    <row r="52" ht="15.75" customHeight="1">
      <c r="A52" s="12">
        <v>47.0</v>
      </c>
      <c r="B52" s="14"/>
      <c r="C52" s="14"/>
      <c r="D52" s="14"/>
      <c r="E52" s="14"/>
      <c r="F52" s="16"/>
      <c r="G52" s="14"/>
      <c r="H52" s="14"/>
    </row>
    <row r="53" ht="15.75" customHeight="1">
      <c r="A53" s="12">
        <v>48.0</v>
      </c>
      <c r="B53" s="14"/>
      <c r="C53" s="14"/>
      <c r="D53" s="14"/>
      <c r="E53" s="14"/>
      <c r="F53" s="16"/>
      <c r="G53" s="14"/>
      <c r="H53" s="14"/>
    </row>
    <row r="54" ht="15.75" customHeight="1">
      <c r="A54" s="12">
        <v>49.0</v>
      </c>
      <c r="B54" s="14"/>
      <c r="C54" s="14"/>
      <c r="D54" s="14"/>
      <c r="E54" s="14"/>
      <c r="F54" s="16"/>
      <c r="G54" s="14"/>
      <c r="H54" s="14"/>
    </row>
    <row r="55" ht="15.75" customHeight="1">
      <c r="A55" s="12">
        <v>50.0</v>
      </c>
      <c r="B55" s="14"/>
      <c r="C55" s="14"/>
      <c r="D55" s="14"/>
      <c r="E55" s="14"/>
      <c r="F55" s="16"/>
      <c r="G55" s="14"/>
      <c r="H55" s="14"/>
    </row>
    <row r="56" ht="15.75" customHeight="1">
      <c r="A56" s="12">
        <v>51.0</v>
      </c>
      <c r="B56" s="14"/>
      <c r="C56" s="14"/>
      <c r="D56" s="14"/>
      <c r="E56" s="14"/>
      <c r="F56" s="16"/>
      <c r="G56" s="14"/>
      <c r="H56" s="14"/>
    </row>
    <row r="57" ht="15.75" customHeight="1">
      <c r="A57" s="12">
        <v>52.0</v>
      </c>
      <c r="B57" s="14"/>
      <c r="C57" s="14"/>
      <c r="D57" s="14"/>
      <c r="E57" s="14"/>
      <c r="F57" s="16"/>
      <c r="G57" s="14"/>
      <c r="H57" s="14"/>
    </row>
    <row r="58" ht="15.75" customHeight="1">
      <c r="A58" s="12">
        <v>53.0</v>
      </c>
      <c r="B58" s="14"/>
      <c r="C58" s="14"/>
      <c r="D58" s="14"/>
      <c r="E58" s="14"/>
      <c r="F58" s="16"/>
      <c r="G58" s="14"/>
      <c r="H58" s="14"/>
    </row>
    <row r="59" ht="15.75" customHeight="1">
      <c r="A59" s="12">
        <v>54.0</v>
      </c>
      <c r="B59" s="14"/>
      <c r="C59" s="14"/>
      <c r="D59" s="14"/>
      <c r="E59" s="14"/>
      <c r="F59" s="16"/>
      <c r="G59" s="14"/>
      <c r="H59" s="14"/>
    </row>
    <row r="60" ht="15.75" customHeight="1">
      <c r="A60" s="12">
        <v>55.0</v>
      </c>
      <c r="B60" s="14"/>
      <c r="C60" s="14"/>
      <c r="D60" s="14"/>
      <c r="E60" s="14"/>
      <c r="F60" s="16"/>
      <c r="G60" s="14"/>
      <c r="H60" s="14"/>
    </row>
    <row r="61" ht="15.75" customHeight="1">
      <c r="A61" s="12">
        <v>56.0</v>
      </c>
      <c r="B61" s="14"/>
      <c r="C61" s="14"/>
      <c r="D61" s="14"/>
      <c r="E61" s="14"/>
      <c r="F61" s="16"/>
      <c r="G61" s="14"/>
      <c r="H61" s="14"/>
    </row>
    <row r="62" ht="15.75" customHeight="1">
      <c r="A62" s="12">
        <v>57.0</v>
      </c>
      <c r="B62" s="14"/>
      <c r="C62" s="14"/>
      <c r="D62" s="14"/>
      <c r="E62" s="14"/>
      <c r="F62" s="16"/>
      <c r="G62" s="14"/>
      <c r="H62" s="14"/>
    </row>
    <row r="63" ht="15.75" customHeight="1">
      <c r="A63" s="12">
        <v>58.0</v>
      </c>
      <c r="B63" s="14"/>
      <c r="C63" s="14"/>
      <c r="D63" s="14"/>
      <c r="E63" s="14"/>
      <c r="F63" s="16"/>
      <c r="G63" s="14"/>
      <c r="H63" s="14"/>
    </row>
    <row r="64" ht="15.75" customHeight="1">
      <c r="A64" s="12">
        <v>59.0</v>
      </c>
      <c r="B64" s="14"/>
      <c r="C64" s="14"/>
      <c r="D64" s="14"/>
      <c r="E64" s="14"/>
      <c r="F64" s="16"/>
      <c r="G64" s="14"/>
      <c r="H64" s="14"/>
    </row>
    <row r="65" ht="15.75" customHeight="1">
      <c r="A65" s="12">
        <v>60.0</v>
      </c>
      <c r="B65" s="14"/>
      <c r="C65" s="14"/>
      <c r="D65" s="14"/>
      <c r="E65" s="14"/>
      <c r="F65" s="16"/>
      <c r="G65" s="14"/>
      <c r="H65" s="14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6:D65">
      <formula1>"Sí,No"</formula1>
    </dataValidation>
    <dataValidation type="list" allowBlank="1" sqref="C6:C65">
      <formula1>"GE,GC"</formula1>
    </dataValidation>
    <dataValidation type="list" allowBlank="1" sqref="E6:E65">
      <formula1>"Activo,Retirado"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8.0"/>
    <col customWidth="1" min="2" max="2" width="10.0"/>
    <col customWidth="1" min="3" max="3" width="15.0"/>
    <col customWidth="1" min="4" max="4" width="12.0"/>
    <col customWidth="1" min="5" max="5" width="15.0"/>
    <col customWidth="1" min="6" max="6" width="16.0"/>
    <col customWidth="1" min="7" max="7" width="40.0"/>
    <col customWidth="1" min="8" max="9" width="13.0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25.5" customHeight="1">
      <c r="A2" s="3" t="s">
        <v>6</v>
      </c>
      <c r="B2" s="2"/>
      <c r="C2" s="2"/>
      <c r="D2" s="2"/>
      <c r="E2" s="2"/>
      <c r="F2" s="2"/>
      <c r="G2" s="2"/>
      <c r="H2" s="2"/>
      <c r="I2" s="2"/>
    </row>
    <row r="3">
      <c r="A3" s="4" t="s">
        <v>9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1.5" customHeight="1">
      <c r="A5" s="6" t="s">
        <v>14</v>
      </c>
      <c r="B5" s="6" t="s">
        <v>22</v>
      </c>
      <c r="C5" s="6" t="s">
        <v>25</v>
      </c>
      <c r="D5" s="6" t="s">
        <v>26</v>
      </c>
      <c r="E5" s="6" t="s">
        <v>27</v>
      </c>
      <c r="F5" s="6" t="s">
        <v>19</v>
      </c>
      <c r="G5" s="6" t="s">
        <v>28</v>
      </c>
      <c r="H5" s="6" t="s">
        <v>29</v>
      </c>
      <c r="I5" s="6" t="s">
        <v>31</v>
      </c>
    </row>
    <row r="6">
      <c r="A6" s="12">
        <v>1.0</v>
      </c>
      <c r="B6" s="12">
        <f>IF(C6="","",INT((C6-'01_Ficha_Dosis'!$C$14)/7)+1)</f>
        <v>-2</v>
      </c>
      <c r="C6" s="16">
        <v>46293.0</v>
      </c>
      <c r="D6" s="12" t="str">
        <f t="shared" ref="D6:D45" si="1">IF(C6="","",CHOOSE(WEEKDAY(C6,2),"lun","mar","mié","jue","vie","sáb","dom"))</f>
        <v>lun</v>
      </c>
      <c r="E6" s="16"/>
      <c r="F6" s="14"/>
      <c r="G6" s="14"/>
      <c r="H6" s="14"/>
      <c r="I6" s="21" t="str">
        <f>IF(OR(H6="",'01_Ficha_Dosis'!$C$26=0),"",H6/'01_Ficha_Dosis'!$C$26)</f>
        <v/>
      </c>
    </row>
    <row r="7">
      <c r="A7" s="12">
        <v>2.0</v>
      </c>
      <c r="B7" s="12">
        <f>IF(C7="","",INT((C7-'01_Ficha_Dosis'!$C$14)/7)+1)</f>
        <v>-2</v>
      </c>
      <c r="C7" s="16">
        <v>46295.0</v>
      </c>
      <c r="D7" s="12" t="str">
        <f t="shared" si="1"/>
        <v>mié</v>
      </c>
      <c r="E7" s="16"/>
      <c r="F7" s="14"/>
      <c r="G7" s="14"/>
      <c r="H7" s="14"/>
      <c r="I7" s="21" t="str">
        <f>IF(OR(H7="",'01_Ficha_Dosis'!$C$26=0),"",H7/'01_Ficha_Dosis'!$C$26)</f>
        <v/>
      </c>
    </row>
    <row r="8">
      <c r="A8" s="12">
        <v>3.0</v>
      </c>
      <c r="B8" s="12">
        <f>IF(C8="","",INT((C8-'01_Ficha_Dosis'!$C$14)/7)+1)</f>
        <v>-2</v>
      </c>
      <c r="C8" s="16">
        <v>46297.0</v>
      </c>
      <c r="D8" s="12" t="str">
        <f t="shared" si="1"/>
        <v>vie</v>
      </c>
      <c r="E8" s="16"/>
      <c r="F8" s="14"/>
      <c r="G8" s="14"/>
      <c r="H8" s="14"/>
      <c r="I8" s="21" t="str">
        <f>IF(OR(H8="",'01_Ficha_Dosis'!$C$26=0),"",H8/'01_Ficha_Dosis'!$C$26)</f>
        <v/>
      </c>
    </row>
    <row r="9">
      <c r="A9" s="12">
        <v>4.0</v>
      </c>
      <c r="B9" s="12">
        <f>IF(C9="","",INT((C9-'01_Ficha_Dosis'!$C$14)/7)+1)</f>
        <v>-1</v>
      </c>
      <c r="C9" s="16">
        <v>46300.0</v>
      </c>
      <c r="D9" s="12" t="str">
        <f t="shared" si="1"/>
        <v>lun</v>
      </c>
      <c r="E9" s="16"/>
      <c r="F9" s="14"/>
      <c r="G9" s="14"/>
      <c r="H9" s="14"/>
      <c r="I9" s="21" t="str">
        <f>IF(OR(H9="",'01_Ficha_Dosis'!$C$26=0),"",H9/'01_Ficha_Dosis'!$C$26)</f>
        <v/>
      </c>
    </row>
    <row r="10">
      <c r="A10" s="12">
        <v>5.0</v>
      </c>
      <c r="B10" s="12">
        <f>IF(C10="","",INT((C10-'01_Ficha_Dosis'!$C$14)/7)+1)</f>
        <v>-1</v>
      </c>
      <c r="C10" s="16">
        <v>46302.0</v>
      </c>
      <c r="D10" s="12" t="str">
        <f t="shared" si="1"/>
        <v>mié</v>
      </c>
      <c r="E10" s="16"/>
      <c r="F10" s="14"/>
      <c r="G10" s="14"/>
      <c r="H10" s="14"/>
      <c r="I10" s="21" t="str">
        <f>IF(OR(H10="",'01_Ficha_Dosis'!$C$26=0),"",H10/'01_Ficha_Dosis'!$C$26)</f>
        <v/>
      </c>
    </row>
    <row r="11">
      <c r="A11" s="12">
        <v>6.0</v>
      </c>
      <c r="B11" s="12">
        <f>IF(C11="","",INT((C11-'01_Ficha_Dosis'!$C$14)/7)+1)</f>
        <v>-1</v>
      </c>
      <c r="C11" s="16">
        <v>46304.0</v>
      </c>
      <c r="D11" s="12" t="str">
        <f t="shared" si="1"/>
        <v>vie</v>
      </c>
      <c r="E11" s="16"/>
      <c r="F11" s="14"/>
      <c r="G11" s="14"/>
      <c r="H11" s="14"/>
      <c r="I11" s="21" t="str">
        <f>IF(OR(H11="",'01_Ficha_Dosis'!$C$26=0),"",H11/'01_Ficha_Dosis'!$C$26)</f>
        <v/>
      </c>
    </row>
    <row r="12">
      <c r="A12" s="12">
        <v>7.0</v>
      </c>
      <c r="B12" s="12">
        <f>IF(C12="","",INT((C12-'01_Ficha_Dosis'!$C$14)/7)+1)</f>
        <v>0</v>
      </c>
      <c r="C12" s="16">
        <v>46307.0</v>
      </c>
      <c r="D12" s="12" t="str">
        <f t="shared" si="1"/>
        <v>lun</v>
      </c>
      <c r="E12" s="16"/>
      <c r="F12" s="14"/>
      <c r="G12" s="14"/>
      <c r="H12" s="14"/>
      <c r="I12" s="21" t="str">
        <f>IF(OR(H12="",'01_Ficha_Dosis'!$C$26=0),"",H12/'01_Ficha_Dosis'!$C$26)</f>
        <v/>
      </c>
    </row>
    <row r="13">
      <c r="A13" s="12">
        <v>8.0</v>
      </c>
      <c r="B13" s="12">
        <f>IF(C13="","",INT((C13-'01_Ficha_Dosis'!$C$14)/7)+1)</f>
        <v>0</v>
      </c>
      <c r="C13" s="16">
        <v>46309.0</v>
      </c>
      <c r="D13" s="12" t="str">
        <f t="shared" si="1"/>
        <v>mié</v>
      </c>
      <c r="E13" s="16"/>
      <c r="F13" s="14"/>
      <c r="G13" s="14"/>
      <c r="H13" s="14"/>
      <c r="I13" s="21" t="str">
        <f>IF(OR(H13="",'01_Ficha_Dosis'!$C$26=0),"",H13/'01_Ficha_Dosis'!$C$26)</f>
        <v/>
      </c>
    </row>
    <row r="14">
      <c r="A14" s="12">
        <v>9.0</v>
      </c>
      <c r="B14" s="12">
        <f>IF(C14="","",INT((C14-'01_Ficha_Dosis'!$C$14)/7)+1)</f>
        <v>0</v>
      </c>
      <c r="C14" s="16">
        <v>46311.0</v>
      </c>
      <c r="D14" s="12" t="str">
        <f t="shared" si="1"/>
        <v>vie</v>
      </c>
      <c r="E14" s="16"/>
      <c r="F14" s="14"/>
      <c r="G14" s="14"/>
      <c r="H14" s="14"/>
      <c r="I14" s="21" t="str">
        <f>IF(OR(H14="",'01_Ficha_Dosis'!$C$26=0),"",H14/'01_Ficha_Dosis'!$C$26)</f>
        <v/>
      </c>
    </row>
    <row r="15">
      <c r="A15" s="12">
        <v>10.0</v>
      </c>
      <c r="B15" s="12">
        <f>IF(C15="","",INT((C15-'01_Ficha_Dosis'!$C$14)/7)+1)</f>
        <v>1</v>
      </c>
      <c r="C15" s="16">
        <v>46314.0</v>
      </c>
      <c r="D15" s="12" t="str">
        <f t="shared" si="1"/>
        <v>lun</v>
      </c>
      <c r="E15" s="16"/>
      <c r="F15" s="14"/>
      <c r="G15" s="14"/>
      <c r="H15" s="14"/>
      <c r="I15" s="21" t="str">
        <f>IF(OR(H15="",'01_Ficha_Dosis'!$C$26=0),"",H15/'01_Ficha_Dosis'!$C$26)</f>
        <v/>
      </c>
    </row>
    <row r="16">
      <c r="A16" s="12">
        <v>11.0</v>
      </c>
      <c r="B16" s="12">
        <f>IF(C16="","",INT((C16-'01_Ficha_Dosis'!$C$14)/7)+1)</f>
        <v>1</v>
      </c>
      <c r="C16" s="16">
        <v>46316.0</v>
      </c>
      <c r="D16" s="12" t="str">
        <f t="shared" si="1"/>
        <v>mié</v>
      </c>
      <c r="E16" s="16"/>
      <c r="F16" s="14"/>
      <c r="G16" s="14"/>
      <c r="H16" s="14"/>
      <c r="I16" s="21" t="str">
        <f>IF(OR(H16="",'01_Ficha_Dosis'!$C$26=0),"",H16/'01_Ficha_Dosis'!$C$26)</f>
        <v/>
      </c>
    </row>
    <row r="17">
      <c r="A17" s="12">
        <v>12.0</v>
      </c>
      <c r="B17" s="12">
        <f>IF(C17="","",INT((C17-'01_Ficha_Dosis'!$C$14)/7)+1)</f>
        <v>1</v>
      </c>
      <c r="C17" s="16">
        <v>46318.0</v>
      </c>
      <c r="D17" s="12" t="str">
        <f t="shared" si="1"/>
        <v>vie</v>
      </c>
      <c r="E17" s="16"/>
      <c r="F17" s="14"/>
      <c r="G17" s="14"/>
      <c r="H17" s="14"/>
      <c r="I17" s="21" t="str">
        <f>IF(OR(H17="",'01_Ficha_Dosis'!$C$26=0),"",H17/'01_Ficha_Dosis'!$C$26)</f>
        <v/>
      </c>
    </row>
    <row r="18">
      <c r="A18" s="12">
        <v>13.0</v>
      </c>
      <c r="B18" s="12">
        <f>IF(C18="","",INT((C18-'01_Ficha_Dosis'!$C$14)/7)+1)</f>
        <v>2</v>
      </c>
      <c r="C18" s="16">
        <v>46321.0</v>
      </c>
      <c r="D18" s="12" t="str">
        <f t="shared" si="1"/>
        <v>lun</v>
      </c>
      <c r="E18" s="16"/>
      <c r="F18" s="14"/>
      <c r="G18" s="14"/>
      <c r="H18" s="14"/>
      <c r="I18" s="21" t="str">
        <f>IF(OR(H18="",'01_Ficha_Dosis'!$C$26=0),"",H18/'01_Ficha_Dosis'!$C$26)</f>
        <v/>
      </c>
    </row>
    <row r="19">
      <c r="A19" s="12">
        <v>14.0</v>
      </c>
      <c r="B19" s="12">
        <f>IF(C19="","",INT((C19-'01_Ficha_Dosis'!$C$14)/7)+1)</f>
        <v>2</v>
      </c>
      <c r="C19" s="16">
        <v>46323.0</v>
      </c>
      <c r="D19" s="12" t="str">
        <f t="shared" si="1"/>
        <v>mié</v>
      </c>
      <c r="E19" s="16"/>
      <c r="F19" s="14"/>
      <c r="G19" s="14"/>
      <c r="H19" s="14"/>
      <c r="I19" s="21" t="str">
        <f>IF(OR(H19="",'01_Ficha_Dosis'!$C$26=0),"",H19/'01_Ficha_Dosis'!$C$26)</f>
        <v/>
      </c>
    </row>
    <row r="20">
      <c r="A20" s="12">
        <v>15.0</v>
      </c>
      <c r="B20" s="12">
        <f>IF(C20="","",INT((C20-'01_Ficha_Dosis'!$C$14)/7)+1)</f>
        <v>2</v>
      </c>
      <c r="C20" s="16">
        <v>46325.0</v>
      </c>
      <c r="D20" s="12" t="str">
        <f t="shared" si="1"/>
        <v>vie</v>
      </c>
      <c r="E20" s="16"/>
      <c r="F20" s="14"/>
      <c r="G20" s="14"/>
      <c r="H20" s="14"/>
      <c r="I20" s="21" t="str">
        <f>IF(OR(H20="",'01_Ficha_Dosis'!$C$26=0),"",H20/'01_Ficha_Dosis'!$C$26)</f>
        <v/>
      </c>
    </row>
    <row r="21" ht="15.75" customHeight="1">
      <c r="A21" s="12">
        <v>16.0</v>
      </c>
      <c r="B21" s="12">
        <f>IF(C21="","",INT((C21-'01_Ficha_Dosis'!$C$14)/7)+1)</f>
        <v>3</v>
      </c>
      <c r="C21" s="16">
        <v>46328.0</v>
      </c>
      <c r="D21" s="12" t="str">
        <f t="shared" si="1"/>
        <v>lun</v>
      </c>
      <c r="E21" s="16"/>
      <c r="F21" s="14"/>
      <c r="G21" s="14"/>
      <c r="H21" s="14"/>
      <c r="I21" s="21" t="str">
        <f>IF(OR(H21="",'01_Ficha_Dosis'!$C$26=0),"",H21/'01_Ficha_Dosis'!$C$26)</f>
        <v/>
      </c>
    </row>
    <row r="22" ht="15.75" customHeight="1">
      <c r="A22" s="12">
        <v>17.0</v>
      </c>
      <c r="B22" s="12">
        <f>IF(C22="","",INT((C22-'01_Ficha_Dosis'!$C$14)/7)+1)</f>
        <v>3</v>
      </c>
      <c r="C22" s="16">
        <v>46330.0</v>
      </c>
      <c r="D22" s="12" t="str">
        <f t="shared" si="1"/>
        <v>mié</v>
      </c>
      <c r="E22" s="16"/>
      <c r="F22" s="14"/>
      <c r="G22" s="14"/>
      <c r="H22" s="14"/>
      <c r="I22" s="21" t="str">
        <f>IF(OR(H22="",'01_Ficha_Dosis'!$C$26=0),"",H22/'01_Ficha_Dosis'!$C$26)</f>
        <v/>
      </c>
    </row>
    <row r="23" ht="15.75" customHeight="1">
      <c r="A23" s="12">
        <v>18.0</v>
      </c>
      <c r="B23" s="12">
        <f>IF(C23="","",INT((C23-'01_Ficha_Dosis'!$C$14)/7)+1)</f>
        <v>3</v>
      </c>
      <c r="C23" s="16">
        <v>46332.0</v>
      </c>
      <c r="D23" s="12" t="str">
        <f t="shared" si="1"/>
        <v>vie</v>
      </c>
      <c r="E23" s="16"/>
      <c r="F23" s="14"/>
      <c r="G23" s="14"/>
      <c r="H23" s="14"/>
      <c r="I23" s="21" t="str">
        <f>IF(OR(H23="",'01_Ficha_Dosis'!$C$26=0),"",H23/'01_Ficha_Dosis'!$C$26)</f>
        <v/>
      </c>
    </row>
    <row r="24" ht="15.75" customHeight="1">
      <c r="A24" s="12">
        <v>19.0</v>
      </c>
      <c r="B24" s="12" t="str">
        <f>IF(C24="","",INT((C24-'01_Ficha_Dosis'!$C$14)/7)+1)</f>
        <v/>
      </c>
      <c r="C24" s="16"/>
      <c r="D24" s="12" t="str">
        <f t="shared" si="1"/>
        <v/>
      </c>
      <c r="E24" s="16"/>
      <c r="F24" s="14"/>
      <c r="G24" s="14"/>
      <c r="H24" s="14"/>
      <c r="I24" s="21" t="str">
        <f>IF(OR(H24="",'01_Ficha_Dosis'!$C$26=0),"",H24/'01_Ficha_Dosis'!$C$26)</f>
        <v/>
      </c>
    </row>
    <row r="25" ht="15.75" customHeight="1">
      <c r="A25" s="12">
        <v>20.0</v>
      </c>
      <c r="B25" s="12" t="str">
        <f>IF(C25="","",INT((C25-'01_Ficha_Dosis'!$C$14)/7)+1)</f>
        <v/>
      </c>
      <c r="C25" s="16"/>
      <c r="D25" s="12" t="str">
        <f t="shared" si="1"/>
        <v/>
      </c>
      <c r="E25" s="16"/>
      <c r="F25" s="14"/>
      <c r="G25" s="14"/>
      <c r="H25" s="14"/>
      <c r="I25" s="21" t="str">
        <f>IF(OR(H25="",'01_Ficha_Dosis'!$C$26=0),"",H25/'01_Ficha_Dosis'!$C$26)</f>
        <v/>
      </c>
    </row>
    <row r="26" ht="15.75" customHeight="1">
      <c r="A26" s="12">
        <v>21.0</v>
      </c>
      <c r="B26" s="12" t="str">
        <f>IF(C26="","",INT((C26-'01_Ficha_Dosis'!$C$14)/7)+1)</f>
        <v/>
      </c>
      <c r="C26" s="16"/>
      <c r="D26" s="12" t="str">
        <f t="shared" si="1"/>
        <v/>
      </c>
      <c r="E26" s="16"/>
      <c r="F26" s="14"/>
      <c r="G26" s="14"/>
      <c r="H26" s="14"/>
      <c r="I26" s="21" t="str">
        <f>IF(OR(H26="",'01_Ficha_Dosis'!$C$26=0),"",H26/'01_Ficha_Dosis'!$C$26)</f>
        <v/>
      </c>
    </row>
    <row r="27" ht="15.75" customHeight="1">
      <c r="A27" s="12">
        <v>22.0</v>
      </c>
      <c r="B27" s="12" t="str">
        <f>IF(C27="","",INT((C27-'01_Ficha_Dosis'!$C$14)/7)+1)</f>
        <v/>
      </c>
      <c r="C27" s="16"/>
      <c r="D27" s="12" t="str">
        <f t="shared" si="1"/>
        <v/>
      </c>
      <c r="E27" s="16"/>
      <c r="F27" s="14"/>
      <c r="G27" s="14"/>
      <c r="H27" s="14"/>
      <c r="I27" s="21" t="str">
        <f>IF(OR(H27="",'01_Ficha_Dosis'!$C$26=0),"",H27/'01_Ficha_Dosis'!$C$26)</f>
        <v/>
      </c>
    </row>
    <row r="28" ht="15.75" customHeight="1">
      <c r="A28" s="12">
        <v>23.0</v>
      </c>
      <c r="B28" s="12" t="str">
        <f>IF(C28="","",INT((C28-'01_Ficha_Dosis'!$C$14)/7)+1)</f>
        <v/>
      </c>
      <c r="C28" s="16"/>
      <c r="D28" s="12" t="str">
        <f t="shared" si="1"/>
        <v/>
      </c>
      <c r="E28" s="16"/>
      <c r="F28" s="14"/>
      <c r="G28" s="14"/>
      <c r="H28" s="14"/>
      <c r="I28" s="21" t="str">
        <f>IF(OR(H28="",'01_Ficha_Dosis'!$C$26=0),"",H28/'01_Ficha_Dosis'!$C$26)</f>
        <v/>
      </c>
    </row>
    <row r="29" ht="15.75" customHeight="1">
      <c r="A29" s="12">
        <v>24.0</v>
      </c>
      <c r="B29" s="12" t="str">
        <f>IF(C29="","",INT((C29-'01_Ficha_Dosis'!$C$14)/7)+1)</f>
        <v/>
      </c>
      <c r="C29" s="16"/>
      <c r="D29" s="12" t="str">
        <f t="shared" si="1"/>
        <v/>
      </c>
      <c r="E29" s="16"/>
      <c r="F29" s="14"/>
      <c r="G29" s="14"/>
      <c r="H29" s="14"/>
      <c r="I29" s="21" t="str">
        <f>IF(OR(H29="",'01_Ficha_Dosis'!$C$26=0),"",H29/'01_Ficha_Dosis'!$C$26)</f>
        <v/>
      </c>
    </row>
    <row r="30" ht="15.75" customHeight="1">
      <c r="A30" s="12">
        <v>25.0</v>
      </c>
      <c r="B30" s="12" t="str">
        <f>IF(C30="","",INT((C30-'01_Ficha_Dosis'!$C$14)/7)+1)</f>
        <v/>
      </c>
      <c r="C30" s="16"/>
      <c r="D30" s="12" t="str">
        <f t="shared" si="1"/>
        <v/>
      </c>
      <c r="E30" s="16"/>
      <c r="F30" s="14"/>
      <c r="G30" s="14"/>
      <c r="H30" s="14"/>
      <c r="I30" s="21" t="str">
        <f>IF(OR(H30="",'01_Ficha_Dosis'!$C$26=0),"",H30/'01_Ficha_Dosis'!$C$26)</f>
        <v/>
      </c>
    </row>
    <row r="31" ht="15.75" customHeight="1">
      <c r="A31" s="12">
        <v>26.0</v>
      </c>
      <c r="B31" s="12" t="str">
        <f>IF(C31="","",INT((C31-'01_Ficha_Dosis'!$C$14)/7)+1)</f>
        <v/>
      </c>
      <c r="C31" s="16"/>
      <c r="D31" s="12" t="str">
        <f t="shared" si="1"/>
        <v/>
      </c>
      <c r="E31" s="16"/>
      <c r="F31" s="14"/>
      <c r="G31" s="14"/>
      <c r="H31" s="14"/>
      <c r="I31" s="21" t="str">
        <f>IF(OR(H31="",'01_Ficha_Dosis'!$C$26=0),"",H31/'01_Ficha_Dosis'!$C$26)</f>
        <v/>
      </c>
    </row>
    <row r="32" ht="15.75" customHeight="1">
      <c r="A32" s="12">
        <v>27.0</v>
      </c>
      <c r="B32" s="12" t="str">
        <f>IF(C32="","",INT((C32-'01_Ficha_Dosis'!$C$14)/7)+1)</f>
        <v/>
      </c>
      <c r="C32" s="16"/>
      <c r="D32" s="12" t="str">
        <f t="shared" si="1"/>
        <v/>
      </c>
      <c r="E32" s="16"/>
      <c r="F32" s="14"/>
      <c r="G32" s="14"/>
      <c r="H32" s="14"/>
      <c r="I32" s="21" t="str">
        <f>IF(OR(H32="",'01_Ficha_Dosis'!$C$26=0),"",H32/'01_Ficha_Dosis'!$C$26)</f>
        <v/>
      </c>
    </row>
    <row r="33" ht="15.75" customHeight="1">
      <c r="A33" s="12">
        <v>28.0</v>
      </c>
      <c r="B33" s="12" t="str">
        <f>IF(C33="","",INT((C33-'01_Ficha_Dosis'!$C$14)/7)+1)</f>
        <v/>
      </c>
      <c r="C33" s="16"/>
      <c r="D33" s="12" t="str">
        <f t="shared" si="1"/>
        <v/>
      </c>
      <c r="E33" s="16"/>
      <c r="F33" s="14"/>
      <c r="G33" s="14"/>
      <c r="H33" s="14"/>
      <c r="I33" s="21" t="str">
        <f>IF(OR(H33="",'01_Ficha_Dosis'!$C$26=0),"",H33/'01_Ficha_Dosis'!$C$26)</f>
        <v/>
      </c>
    </row>
    <row r="34" ht="15.75" customHeight="1">
      <c r="A34" s="12">
        <v>29.0</v>
      </c>
      <c r="B34" s="12" t="str">
        <f>IF(C34="","",INT((C34-'01_Ficha_Dosis'!$C$14)/7)+1)</f>
        <v/>
      </c>
      <c r="C34" s="16"/>
      <c r="D34" s="12" t="str">
        <f t="shared" si="1"/>
        <v/>
      </c>
      <c r="E34" s="16"/>
      <c r="F34" s="14"/>
      <c r="G34" s="14"/>
      <c r="H34" s="14"/>
      <c r="I34" s="21" t="str">
        <f>IF(OR(H34="",'01_Ficha_Dosis'!$C$26=0),"",H34/'01_Ficha_Dosis'!$C$26)</f>
        <v/>
      </c>
    </row>
    <row r="35" ht="15.75" customHeight="1">
      <c r="A35" s="12">
        <v>30.0</v>
      </c>
      <c r="B35" s="12" t="str">
        <f>IF(C35="","",INT((C35-'01_Ficha_Dosis'!$C$14)/7)+1)</f>
        <v/>
      </c>
      <c r="C35" s="16"/>
      <c r="D35" s="12" t="str">
        <f t="shared" si="1"/>
        <v/>
      </c>
      <c r="E35" s="16"/>
      <c r="F35" s="14"/>
      <c r="G35" s="14"/>
      <c r="H35" s="14"/>
      <c r="I35" s="21" t="str">
        <f>IF(OR(H35="",'01_Ficha_Dosis'!$C$26=0),"",H35/'01_Ficha_Dosis'!$C$26)</f>
        <v/>
      </c>
    </row>
    <row r="36" ht="15.75" customHeight="1">
      <c r="A36" s="12">
        <v>31.0</v>
      </c>
      <c r="B36" s="12" t="str">
        <f>IF(C36="","",INT((C36-'01_Ficha_Dosis'!$C$14)/7)+1)</f>
        <v/>
      </c>
      <c r="C36" s="16"/>
      <c r="D36" s="12" t="str">
        <f t="shared" si="1"/>
        <v/>
      </c>
      <c r="E36" s="16"/>
      <c r="F36" s="14"/>
      <c r="G36" s="14"/>
      <c r="H36" s="14"/>
      <c r="I36" s="21" t="str">
        <f>IF(OR(H36="",'01_Ficha_Dosis'!$C$26=0),"",H36/'01_Ficha_Dosis'!$C$26)</f>
        <v/>
      </c>
    </row>
    <row r="37" ht="15.75" customHeight="1">
      <c r="A37" s="12">
        <v>32.0</v>
      </c>
      <c r="B37" s="12" t="str">
        <f>IF(C37="","",INT((C37-'01_Ficha_Dosis'!$C$14)/7)+1)</f>
        <v/>
      </c>
      <c r="C37" s="16"/>
      <c r="D37" s="12" t="str">
        <f t="shared" si="1"/>
        <v/>
      </c>
      <c r="E37" s="16"/>
      <c r="F37" s="14"/>
      <c r="G37" s="14"/>
      <c r="H37" s="14"/>
      <c r="I37" s="21" t="str">
        <f>IF(OR(H37="",'01_Ficha_Dosis'!$C$26=0),"",H37/'01_Ficha_Dosis'!$C$26)</f>
        <v/>
      </c>
    </row>
    <row r="38" ht="15.75" customHeight="1">
      <c r="A38" s="12">
        <v>33.0</v>
      </c>
      <c r="B38" s="12" t="str">
        <f>IF(C38="","",INT((C38-'01_Ficha_Dosis'!$C$14)/7)+1)</f>
        <v/>
      </c>
      <c r="C38" s="16"/>
      <c r="D38" s="12" t="str">
        <f t="shared" si="1"/>
        <v/>
      </c>
      <c r="E38" s="16"/>
      <c r="F38" s="14"/>
      <c r="G38" s="14"/>
      <c r="H38" s="14"/>
      <c r="I38" s="21" t="str">
        <f>IF(OR(H38="",'01_Ficha_Dosis'!$C$26=0),"",H38/'01_Ficha_Dosis'!$C$26)</f>
        <v/>
      </c>
    </row>
    <row r="39" ht="15.75" customHeight="1">
      <c r="A39" s="12">
        <v>34.0</v>
      </c>
      <c r="B39" s="12" t="str">
        <f>IF(C39="","",INT((C39-'01_Ficha_Dosis'!$C$14)/7)+1)</f>
        <v/>
      </c>
      <c r="C39" s="16"/>
      <c r="D39" s="12" t="str">
        <f t="shared" si="1"/>
        <v/>
      </c>
      <c r="E39" s="16"/>
      <c r="F39" s="14"/>
      <c r="G39" s="14"/>
      <c r="H39" s="14"/>
      <c r="I39" s="21" t="str">
        <f>IF(OR(H39="",'01_Ficha_Dosis'!$C$26=0),"",H39/'01_Ficha_Dosis'!$C$26)</f>
        <v/>
      </c>
    </row>
    <row r="40" ht="15.75" customHeight="1">
      <c r="A40" s="12">
        <v>35.0</v>
      </c>
      <c r="B40" s="12" t="str">
        <f>IF(C40="","",INT((C40-'01_Ficha_Dosis'!$C$14)/7)+1)</f>
        <v/>
      </c>
      <c r="C40" s="16"/>
      <c r="D40" s="12" t="str">
        <f t="shared" si="1"/>
        <v/>
      </c>
      <c r="E40" s="16"/>
      <c r="F40" s="14"/>
      <c r="G40" s="14"/>
      <c r="H40" s="14"/>
      <c r="I40" s="21" t="str">
        <f>IF(OR(H40="",'01_Ficha_Dosis'!$C$26=0),"",H40/'01_Ficha_Dosis'!$C$26)</f>
        <v/>
      </c>
    </row>
    <row r="41" ht="15.75" customHeight="1">
      <c r="A41" s="12">
        <v>36.0</v>
      </c>
      <c r="B41" s="12" t="str">
        <f>IF(C41="","",INT((C41-'01_Ficha_Dosis'!$C$14)/7)+1)</f>
        <v/>
      </c>
      <c r="C41" s="16"/>
      <c r="D41" s="12" t="str">
        <f t="shared" si="1"/>
        <v/>
      </c>
      <c r="E41" s="16"/>
      <c r="F41" s="14"/>
      <c r="G41" s="14"/>
      <c r="H41" s="14"/>
      <c r="I41" s="21" t="str">
        <f>IF(OR(H41="",'01_Ficha_Dosis'!$C$26=0),"",H41/'01_Ficha_Dosis'!$C$26)</f>
        <v/>
      </c>
    </row>
    <row r="42" ht="15.75" customHeight="1">
      <c r="A42" s="12">
        <v>37.0</v>
      </c>
      <c r="B42" s="12" t="str">
        <f>IF(C42="","",INT((C42-'01_Ficha_Dosis'!$C$14)/7)+1)</f>
        <v/>
      </c>
      <c r="C42" s="16"/>
      <c r="D42" s="12" t="str">
        <f t="shared" si="1"/>
        <v/>
      </c>
      <c r="E42" s="16"/>
      <c r="F42" s="14"/>
      <c r="G42" s="14"/>
      <c r="H42" s="14"/>
      <c r="I42" s="21" t="str">
        <f>IF(OR(H42="",'01_Ficha_Dosis'!$C$26=0),"",H42/'01_Ficha_Dosis'!$C$26)</f>
        <v/>
      </c>
    </row>
    <row r="43" ht="15.75" customHeight="1">
      <c r="A43" s="12">
        <v>38.0</v>
      </c>
      <c r="B43" s="12" t="str">
        <f>IF(C43="","",INT((C43-'01_Ficha_Dosis'!$C$14)/7)+1)</f>
        <v/>
      </c>
      <c r="C43" s="16"/>
      <c r="D43" s="12" t="str">
        <f t="shared" si="1"/>
        <v/>
      </c>
      <c r="E43" s="16"/>
      <c r="F43" s="14"/>
      <c r="G43" s="14"/>
      <c r="H43" s="14"/>
      <c r="I43" s="21" t="str">
        <f>IF(OR(H43="",'01_Ficha_Dosis'!$C$26=0),"",H43/'01_Ficha_Dosis'!$C$26)</f>
        <v/>
      </c>
    </row>
    <row r="44" ht="15.75" customHeight="1">
      <c r="A44" s="12">
        <v>39.0</v>
      </c>
      <c r="B44" s="12" t="str">
        <f>IF(C44="","",INT((C44-'01_Ficha_Dosis'!$C$14)/7)+1)</f>
        <v/>
      </c>
      <c r="C44" s="16"/>
      <c r="D44" s="12" t="str">
        <f t="shared" si="1"/>
        <v/>
      </c>
      <c r="E44" s="16"/>
      <c r="F44" s="14"/>
      <c r="G44" s="14"/>
      <c r="H44" s="14"/>
      <c r="I44" s="21" t="str">
        <f>IF(OR(H44="",'01_Ficha_Dosis'!$C$26=0),"",H44/'01_Ficha_Dosis'!$C$26)</f>
        <v/>
      </c>
    </row>
    <row r="45" ht="15.75" customHeight="1">
      <c r="A45" s="12">
        <v>40.0</v>
      </c>
      <c r="B45" s="12" t="str">
        <f>IF(C45="","",INT((C45-'01_Ficha_Dosis'!$C$14)/7)+1)</f>
        <v/>
      </c>
      <c r="C45" s="16"/>
      <c r="D45" s="12" t="str">
        <f t="shared" si="1"/>
        <v/>
      </c>
      <c r="E45" s="16"/>
      <c r="F45" s="14"/>
      <c r="G45" s="14"/>
      <c r="H45" s="14"/>
      <c r="I45" s="21" t="str">
        <f>IF(OR(H45="",'01_Ficha_Dosis'!$C$26=0),"",H45/'01_Ficha_Dosis'!$C$26)</f>
        <v/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6:F45">
      <formula1>"Realizada,Reprogramada,Suspendida,Pendiente"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8.0"/>
    <col customWidth="1" min="2" max="2" width="10.0"/>
    <col customWidth="1" min="3" max="4" width="18.0"/>
    <col customWidth="1" min="5" max="5" width="14.0"/>
    <col customWidth="1" min="6" max="6" width="12.0"/>
    <col customWidth="1" min="7" max="7" width="10.0"/>
    <col customWidth="1" min="8" max="8" width="12.0"/>
    <col customWidth="1" min="9" max="9" width="9.0"/>
    <col customWidth="1" min="10" max="11" width="10.0"/>
    <col customWidth="1" min="12" max="12" width="12.0"/>
    <col customWidth="1" min="13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5.5" customHeight="1">
      <c r="A2" s="3" t="s">
        <v>133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4" t="s">
        <v>134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31.5" customHeight="1">
      <c r="A5" s="6" t="s">
        <v>135</v>
      </c>
      <c r="B5" s="6" t="s">
        <v>16</v>
      </c>
      <c r="C5" s="6" t="s">
        <v>136</v>
      </c>
      <c r="D5" s="6" t="s">
        <v>137</v>
      </c>
      <c r="E5" s="6" t="s">
        <v>138</v>
      </c>
      <c r="F5" s="6" t="s">
        <v>139</v>
      </c>
      <c r="G5" s="6" t="s">
        <v>19</v>
      </c>
      <c r="H5" s="6" t="s">
        <v>140</v>
      </c>
      <c r="I5" s="6" t="s">
        <v>22</v>
      </c>
      <c r="J5" s="6" t="s">
        <v>141</v>
      </c>
      <c r="K5" s="6" t="s">
        <v>142</v>
      </c>
      <c r="L5" s="6" t="s">
        <v>143</v>
      </c>
    </row>
    <row r="6">
      <c r="A6" s="14"/>
      <c r="B6" s="14"/>
      <c r="C6" s="23"/>
      <c r="D6" s="23"/>
      <c r="E6" s="14"/>
      <c r="F6" s="14"/>
      <c r="G6" s="14"/>
      <c r="H6" s="24" t="str">
        <f t="shared" ref="H6:H705" si="1">IF(C6="","",INT(C6))</f>
        <v/>
      </c>
      <c r="I6" s="12" t="str">
        <f>IF(C6="","",INT((INT(C6)-'01_Ficha_Dosis'!$C$14)/7)+1)</f>
        <v/>
      </c>
      <c r="J6" s="12" t="str">
        <f t="shared" ref="J6:J705" si="2">IF(OR(C6="",D6=""),"",ROUND((D6-C6)*1440,0))</f>
        <v/>
      </c>
      <c r="K6" s="12" t="str">
        <f>IF(J6="","",IF(AND(G6="OK",J6&gt;='01_Ficha_Dosis'!$C$23,F6&gt;='01_Ficha_Dosis'!$C$24,H6&gt;='01_Ficha_Dosis'!$C$14,H6&lt;='01_Ficha_Dosis'!$C$15),1,0))</f>
        <v/>
      </c>
      <c r="L6" s="12">
        <f t="shared" ref="L6:L705" si="3">IF(K6=1,J6,0)</f>
        <v>0</v>
      </c>
    </row>
    <row r="7">
      <c r="A7" s="14"/>
      <c r="B7" s="14"/>
      <c r="C7" s="23"/>
      <c r="D7" s="23"/>
      <c r="E7" s="14"/>
      <c r="F7" s="14"/>
      <c r="G7" s="14"/>
      <c r="H7" s="24" t="str">
        <f t="shared" si="1"/>
        <v/>
      </c>
      <c r="I7" s="12" t="str">
        <f>IF(C7="","",INT((INT(C7)-'01_Ficha_Dosis'!$C$14)/7)+1)</f>
        <v/>
      </c>
      <c r="J7" s="12" t="str">
        <f t="shared" si="2"/>
        <v/>
      </c>
      <c r="K7" s="12" t="str">
        <f>IF(J7="","",IF(AND(G7="OK",J7&gt;='01_Ficha_Dosis'!$C$23,F7&gt;='01_Ficha_Dosis'!$C$24,H7&gt;='01_Ficha_Dosis'!$C$14,H7&lt;='01_Ficha_Dosis'!$C$15),1,0))</f>
        <v/>
      </c>
      <c r="L7" s="12">
        <f t="shared" si="3"/>
        <v>0</v>
      </c>
    </row>
    <row r="8">
      <c r="A8" s="14"/>
      <c r="B8" s="14"/>
      <c r="C8" s="23"/>
      <c r="D8" s="23"/>
      <c r="E8" s="14"/>
      <c r="F8" s="14"/>
      <c r="G8" s="14"/>
      <c r="H8" s="24" t="str">
        <f t="shared" si="1"/>
        <v/>
      </c>
      <c r="I8" s="12" t="str">
        <f>IF(C8="","",INT((INT(C8)-'01_Ficha_Dosis'!$C$14)/7)+1)</f>
        <v/>
      </c>
      <c r="J8" s="12" t="str">
        <f t="shared" si="2"/>
        <v/>
      </c>
      <c r="K8" s="12" t="str">
        <f>IF(J8="","",IF(AND(G8="OK",J8&gt;='01_Ficha_Dosis'!$C$23,F8&gt;='01_Ficha_Dosis'!$C$24,H8&gt;='01_Ficha_Dosis'!$C$14,H8&lt;='01_Ficha_Dosis'!$C$15),1,0))</f>
        <v/>
      </c>
      <c r="L8" s="12">
        <f t="shared" si="3"/>
        <v>0</v>
      </c>
    </row>
    <row r="9">
      <c r="A9" s="14"/>
      <c r="B9" s="14"/>
      <c r="C9" s="23"/>
      <c r="D9" s="23"/>
      <c r="E9" s="14"/>
      <c r="F9" s="14"/>
      <c r="G9" s="14"/>
      <c r="H9" s="24" t="str">
        <f t="shared" si="1"/>
        <v/>
      </c>
      <c r="I9" s="12" t="str">
        <f>IF(C9="","",INT((INT(C9)-'01_Ficha_Dosis'!$C$14)/7)+1)</f>
        <v/>
      </c>
      <c r="J9" s="12" t="str">
        <f t="shared" si="2"/>
        <v/>
      </c>
      <c r="K9" s="12" t="str">
        <f>IF(J9="","",IF(AND(G9="OK",J9&gt;='01_Ficha_Dosis'!$C$23,F9&gt;='01_Ficha_Dosis'!$C$24,H9&gt;='01_Ficha_Dosis'!$C$14,H9&lt;='01_Ficha_Dosis'!$C$15),1,0))</f>
        <v/>
      </c>
      <c r="L9" s="12">
        <f t="shared" si="3"/>
        <v>0</v>
      </c>
    </row>
    <row r="10">
      <c r="A10" s="14"/>
      <c r="B10" s="14"/>
      <c r="C10" s="23"/>
      <c r="D10" s="23"/>
      <c r="E10" s="14"/>
      <c r="F10" s="14"/>
      <c r="G10" s="14"/>
      <c r="H10" s="24" t="str">
        <f t="shared" si="1"/>
        <v/>
      </c>
      <c r="I10" s="12" t="str">
        <f>IF(C10="","",INT((INT(C10)-'01_Ficha_Dosis'!$C$14)/7)+1)</f>
        <v/>
      </c>
      <c r="J10" s="12" t="str">
        <f t="shared" si="2"/>
        <v/>
      </c>
      <c r="K10" s="12" t="str">
        <f>IF(J10="","",IF(AND(G10="OK",J10&gt;='01_Ficha_Dosis'!$C$23,F10&gt;='01_Ficha_Dosis'!$C$24,H10&gt;='01_Ficha_Dosis'!$C$14,H10&lt;='01_Ficha_Dosis'!$C$15),1,0))</f>
        <v/>
      </c>
      <c r="L10" s="12">
        <f t="shared" si="3"/>
        <v>0</v>
      </c>
    </row>
    <row r="11">
      <c r="A11" s="14"/>
      <c r="B11" s="14"/>
      <c r="C11" s="23"/>
      <c r="D11" s="23"/>
      <c r="E11" s="14"/>
      <c r="F11" s="14"/>
      <c r="G11" s="14"/>
      <c r="H11" s="24" t="str">
        <f t="shared" si="1"/>
        <v/>
      </c>
      <c r="I11" s="12" t="str">
        <f>IF(C11="","",INT((INT(C11)-'01_Ficha_Dosis'!$C$14)/7)+1)</f>
        <v/>
      </c>
      <c r="J11" s="12" t="str">
        <f t="shared" si="2"/>
        <v/>
      </c>
      <c r="K11" s="12" t="str">
        <f>IF(J11="","",IF(AND(G11="OK",J11&gt;='01_Ficha_Dosis'!$C$23,F11&gt;='01_Ficha_Dosis'!$C$24,H11&gt;='01_Ficha_Dosis'!$C$14,H11&lt;='01_Ficha_Dosis'!$C$15),1,0))</f>
        <v/>
      </c>
      <c r="L11" s="12">
        <f t="shared" si="3"/>
        <v>0</v>
      </c>
    </row>
    <row r="12">
      <c r="A12" s="14"/>
      <c r="B12" s="14"/>
      <c r="C12" s="23"/>
      <c r="D12" s="23"/>
      <c r="E12" s="14"/>
      <c r="F12" s="14"/>
      <c r="G12" s="14"/>
      <c r="H12" s="24" t="str">
        <f t="shared" si="1"/>
        <v/>
      </c>
      <c r="I12" s="12" t="str">
        <f>IF(C12="","",INT((INT(C12)-'01_Ficha_Dosis'!$C$14)/7)+1)</f>
        <v/>
      </c>
      <c r="J12" s="12" t="str">
        <f t="shared" si="2"/>
        <v/>
      </c>
      <c r="K12" s="12" t="str">
        <f>IF(J12="","",IF(AND(G12="OK",J12&gt;='01_Ficha_Dosis'!$C$23,F12&gt;='01_Ficha_Dosis'!$C$24,H12&gt;='01_Ficha_Dosis'!$C$14,H12&lt;='01_Ficha_Dosis'!$C$15),1,0))</f>
        <v/>
      </c>
      <c r="L12" s="12">
        <f t="shared" si="3"/>
        <v>0</v>
      </c>
    </row>
    <row r="13">
      <c r="A13" s="14"/>
      <c r="B13" s="14"/>
      <c r="C13" s="23"/>
      <c r="D13" s="23"/>
      <c r="E13" s="14"/>
      <c r="F13" s="14"/>
      <c r="G13" s="14"/>
      <c r="H13" s="24" t="str">
        <f t="shared" si="1"/>
        <v/>
      </c>
      <c r="I13" s="12" t="str">
        <f>IF(C13="","",INT((INT(C13)-'01_Ficha_Dosis'!$C$14)/7)+1)</f>
        <v/>
      </c>
      <c r="J13" s="12" t="str">
        <f t="shared" si="2"/>
        <v/>
      </c>
      <c r="K13" s="12" t="str">
        <f>IF(J13="","",IF(AND(G13="OK",J13&gt;='01_Ficha_Dosis'!$C$23,F13&gt;='01_Ficha_Dosis'!$C$24,H13&gt;='01_Ficha_Dosis'!$C$14,H13&lt;='01_Ficha_Dosis'!$C$15),1,0))</f>
        <v/>
      </c>
      <c r="L13" s="12">
        <f t="shared" si="3"/>
        <v>0</v>
      </c>
    </row>
    <row r="14">
      <c r="A14" s="14"/>
      <c r="B14" s="14"/>
      <c r="C14" s="23"/>
      <c r="D14" s="23"/>
      <c r="E14" s="14"/>
      <c r="F14" s="14"/>
      <c r="G14" s="14"/>
      <c r="H14" s="24" t="str">
        <f t="shared" si="1"/>
        <v/>
      </c>
      <c r="I14" s="12" t="str">
        <f>IF(C14="","",INT((INT(C14)-'01_Ficha_Dosis'!$C$14)/7)+1)</f>
        <v/>
      </c>
      <c r="J14" s="12" t="str">
        <f t="shared" si="2"/>
        <v/>
      </c>
      <c r="K14" s="12" t="str">
        <f>IF(J14="","",IF(AND(G14="OK",J14&gt;='01_Ficha_Dosis'!$C$23,F14&gt;='01_Ficha_Dosis'!$C$24,H14&gt;='01_Ficha_Dosis'!$C$14,H14&lt;='01_Ficha_Dosis'!$C$15),1,0))</f>
        <v/>
      </c>
      <c r="L14" s="12">
        <f t="shared" si="3"/>
        <v>0</v>
      </c>
    </row>
    <row r="15">
      <c r="A15" s="14"/>
      <c r="B15" s="14"/>
      <c r="C15" s="23"/>
      <c r="D15" s="23"/>
      <c r="E15" s="14"/>
      <c r="F15" s="14"/>
      <c r="G15" s="14"/>
      <c r="H15" s="24" t="str">
        <f t="shared" si="1"/>
        <v/>
      </c>
      <c r="I15" s="12" t="str">
        <f>IF(C15="","",INT((INT(C15)-'01_Ficha_Dosis'!$C$14)/7)+1)</f>
        <v/>
      </c>
      <c r="J15" s="12" t="str">
        <f t="shared" si="2"/>
        <v/>
      </c>
      <c r="K15" s="12" t="str">
        <f>IF(J15="","",IF(AND(G15="OK",J15&gt;='01_Ficha_Dosis'!$C$23,F15&gt;='01_Ficha_Dosis'!$C$24,H15&gt;='01_Ficha_Dosis'!$C$14,H15&lt;='01_Ficha_Dosis'!$C$15),1,0))</f>
        <v/>
      </c>
      <c r="L15" s="12">
        <f t="shared" si="3"/>
        <v>0</v>
      </c>
    </row>
    <row r="16">
      <c r="A16" s="14"/>
      <c r="B16" s="14"/>
      <c r="C16" s="23"/>
      <c r="D16" s="23"/>
      <c r="E16" s="14"/>
      <c r="F16" s="14"/>
      <c r="G16" s="14"/>
      <c r="H16" s="24" t="str">
        <f t="shared" si="1"/>
        <v/>
      </c>
      <c r="I16" s="12" t="str">
        <f>IF(C16="","",INT((INT(C16)-'01_Ficha_Dosis'!$C$14)/7)+1)</f>
        <v/>
      </c>
      <c r="J16" s="12" t="str">
        <f t="shared" si="2"/>
        <v/>
      </c>
      <c r="K16" s="12" t="str">
        <f>IF(J16="","",IF(AND(G16="OK",J16&gt;='01_Ficha_Dosis'!$C$23,F16&gt;='01_Ficha_Dosis'!$C$24,H16&gt;='01_Ficha_Dosis'!$C$14,H16&lt;='01_Ficha_Dosis'!$C$15),1,0))</f>
        <v/>
      </c>
      <c r="L16" s="12">
        <f t="shared" si="3"/>
        <v>0</v>
      </c>
    </row>
    <row r="17">
      <c r="A17" s="14"/>
      <c r="B17" s="14"/>
      <c r="C17" s="23"/>
      <c r="D17" s="23"/>
      <c r="E17" s="14"/>
      <c r="F17" s="14"/>
      <c r="G17" s="14"/>
      <c r="H17" s="24" t="str">
        <f t="shared" si="1"/>
        <v/>
      </c>
      <c r="I17" s="12" t="str">
        <f>IF(C17="","",INT((INT(C17)-'01_Ficha_Dosis'!$C$14)/7)+1)</f>
        <v/>
      </c>
      <c r="J17" s="12" t="str">
        <f t="shared" si="2"/>
        <v/>
      </c>
      <c r="K17" s="12" t="str">
        <f>IF(J17="","",IF(AND(G17="OK",J17&gt;='01_Ficha_Dosis'!$C$23,F17&gt;='01_Ficha_Dosis'!$C$24,H17&gt;='01_Ficha_Dosis'!$C$14,H17&lt;='01_Ficha_Dosis'!$C$15),1,0))</f>
        <v/>
      </c>
      <c r="L17" s="12">
        <f t="shared" si="3"/>
        <v>0</v>
      </c>
    </row>
    <row r="18">
      <c r="A18" s="14"/>
      <c r="B18" s="14"/>
      <c r="C18" s="23"/>
      <c r="D18" s="23"/>
      <c r="E18" s="14"/>
      <c r="F18" s="14"/>
      <c r="G18" s="14"/>
      <c r="H18" s="24" t="str">
        <f t="shared" si="1"/>
        <v/>
      </c>
      <c r="I18" s="12" t="str">
        <f>IF(C18="","",INT((INT(C18)-'01_Ficha_Dosis'!$C$14)/7)+1)</f>
        <v/>
      </c>
      <c r="J18" s="12" t="str">
        <f t="shared" si="2"/>
        <v/>
      </c>
      <c r="K18" s="12" t="str">
        <f>IF(J18="","",IF(AND(G18="OK",J18&gt;='01_Ficha_Dosis'!$C$23,F18&gt;='01_Ficha_Dosis'!$C$24,H18&gt;='01_Ficha_Dosis'!$C$14,H18&lt;='01_Ficha_Dosis'!$C$15),1,0))</f>
        <v/>
      </c>
      <c r="L18" s="12">
        <f t="shared" si="3"/>
        <v>0</v>
      </c>
    </row>
    <row r="19">
      <c r="A19" s="14"/>
      <c r="B19" s="14"/>
      <c r="C19" s="23"/>
      <c r="D19" s="23"/>
      <c r="E19" s="14"/>
      <c r="F19" s="14"/>
      <c r="G19" s="14"/>
      <c r="H19" s="24" t="str">
        <f t="shared" si="1"/>
        <v/>
      </c>
      <c r="I19" s="12" t="str">
        <f>IF(C19="","",INT((INT(C19)-'01_Ficha_Dosis'!$C$14)/7)+1)</f>
        <v/>
      </c>
      <c r="J19" s="12" t="str">
        <f t="shared" si="2"/>
        <v/>
      </c>
      <c r="K19" s="12" t="str">
        <f>IF(J19="","",IF(AND(G19="OK",J19&gt;='01_Ficha_Dosis'!$C$23,F19&gt;='01_Ficha_Dosis'!$C$24,H19&gt;='01_Ficha_Dosis'!$C$14,H19&lt;='01_Ficha_Dosis'!$C$15),1,0))</f>
        <v/>
      </c>
      <c r="L19" s="12">
        <f t="shared" si="3"/>
        <v>0</v>
      </c>
    </row>
    <row r="20">
      <c r="A20" s="14"/>
      <c r="B20" s="14"/>
      <c r="C20" s="23"/>
      <c r="D20" s="23"/>
      <c r="E20" s="14"/>
      <c r="F20" s="14"/>
      <c r="G20" s="14"/>
      <c r="H20" s="24" t="str">
        <f t="shared" si="1"/>
        <v/>
      </c>
      <c r="I20" s="12" t="str">
        <f>IF(C20="","",INT((INT(C20)-'01_Ficha_Dosis'!$C$14)/7)+1)</f>
        <v/>
      </c>
      <c r="J20" s="12" t="str">
        <f t="shared" si="2"/>
        <v/>
      </c>
      <c r="K20" s="12" t="str">
        <f>IF(J20="","",IF(AND(G20="OK",J20&gt;='01_Ficha_Dosis'!$C$23,F20&gt;='01_Ficha_Dosis'!$C$24,H20&gt;='01_Ficha_Dosis'!$C$14,H20&lt;='01_Ficha_Dosis'!$C$15),1,0))</f>
        <v/>
      </c>
      <c r="L20" s="12">
        <f t="shared" si="3"/>
        <v>0</v>
      </c>
    </row>
    <row r="21" ht="15.75" customHeight="1">
      <c r="A21" s="14"/>
      <c r="B21" s="14"/>
      <c r="C21" s="23"/>
      <c r="D21" s="23"/>
      <c r="E21" s="14"/>
      <c r="F21" s="14"/>
      <c r="G21" s="14"/>
      <c r="H21" s="24" t="str">
        <f t="shared" si="1"/>
        <v/>
      </c>
      <c r="I21" s="12" t="str">
        <f>IF(C21="","",INT((INT(C21)-'01_Ficha_Dosis'!$C$14)/7)+1)</f>
        <v/>
      </c>
      <c r="J21" s="12" t="str">
        <f t="shared" si="2"/>
        <v/>
      </c>
      <c r="K21" s="12" t="str">
        <f>IF(J21="","",IF(AND(G21="OK",J21&gt;='01_Ficha_Dosis'!$C$23,F21&gt;='01_Ficha_Dosis'!$C$24,H21&gt;='01_Ficha_Dosis'!$C$14,H21&lt;='01_Ficha_Dosis'!$C$15),1,0))</f>
        <v/>
      </c>
      <c r="L21" s="12">
        <f t="shared" si="3"/>
        <v>0</v>
      </c>
    </row>
    <row r="22" ht="15.75" customHeight="1">
      <c r="A22" s="14"/>
      <c r="B22" s="14"/>
      <c r="C22" s="23"/>
      <c r="D22" s="23"/>
      <c r="E22" s="14"/>
      <c r="F22" s="14"/>
      <c r="G22" s="14"/>
      <c r="H22" s="24" t="str">
        <f t="shared" si="1"/>
        <v/>
      </c>
      <c r="I22" s="12" t="str">
        <f>IF(C22="","",INT((INT(C22)-'01_Ficha_Dosis'!$C$14)/7)+1)</f>
        <v/>
      </c>
      <c r="J22" s="12" t="str">
        <f t="shared" si="2"/>
        <v/>
      </c>
      <c r="K22" s="12" t="str">
        <f>IF(J22="","",IF(AND(G22="OK",J22&gt;='01_Ficha_Dosis'!$C$23,F22&gt;='01_Ficha_Dosis'!$C$24,H22&gt;='01_Ficha_Dosis'!$C$14,H22&lt;='01_Ficha_Dosis'!$C$15),1,0))</f>
        <v/>
      </c>
      <c r="L22" s="12">
        <f t="shared" si="3"/>
        <v>0</v>
      </c>
    </row>
    <row r="23" ht="15.75" customHeight="1">
      <c r="A23" s="14"/>
      <c r="B23" s="14"/>
      <c r="C23" s="23"/>
      <c r="D23" s="23"/>
      <c r="E23" s="14"/>
      <c r="F23" s="14"/>
      <c r="G23" s="14"/>
      <c r="H23" s="24" t="str">
        <f t="shared" si="1"/>
        <v/>
      </c>
      <c r="I23" s="12" t="str">
        <f>IF(C23="","",INT((INT(C23)-'01_Ficha_Dosis'!$C$14)/7)+1)</f>
        <v/>
      </c>
      <c r="J23" s="12" t="str">
        <f t="shared" si="2"/>
        <v/>
      </c>
      <c r="K23" s="12" t="str">
        <f>IF(J23="","",IF(AND(G23="OK",J23&gt;='01_Ficha_Dosis'!$C$23,F23&gt;='01_Ficha_Dosis'!$C$24,H23&gt;='01_Ficha_Dosis'!$C$14,H23&lt;='01_Ficha_Dosis'!$C$15),1,0))</f>
        <v/>
      </c>
      <c r="L23" s="12">
        <f t="shared" si="3"/>
        <v>0</v>
      </c>
    </row>
    <row r="24" ht="15.75" customHeight="1">
      <c r="A24" s="14"/>
      <c r="B24" s="14"/>
      <c r="C24" s="23"/>
      <c r="D24" s="23"/>
      <c r="E24" s="14"/>
      <c r="F24" s="14"/>
      <c r="G24" s="14"/>
      <c r="H24" s="24" t="str">
        <f t="shared" si="1"/>
        <v/>
      </c>
      <c r="I24" s="12" t="str">
        <f>IF(C24="","",INT((INT(C24)-'01_Ficha_Dosis'!$C$14)/7)+1)</f>
        <v/>
      </c>
      <c r="J24" s="12" t="str">
        <f t="shared" si="2"/>
        <v/>
      </c>
      <c r="K24" s="12" t="str">
        <f>IF(J24="","",IF(AND(G24="OK",J24&gt;='01_Ficha_Dosis'!$C$23,F24&gt;='01_Ficha_Dosis'!$C$24,H24&gt;='01_Ficha_Dosis'!$C$14,H24&lt;='01_Ficha_Dosis'!$C$15),1,0))</f>
        <v/>
      </c>
      <c r="L24" s="12">
        <f t="shared" si="3"/>
        <v>0</v>
      </c>
    </row>
    <row r="25" ht="15.75" customHeight="1">
      <c r="A25" s="14"/>
      <c r="B25" s="14"/>
      <c r="C25" s="23"/>
      <c r="D25" s="23"/>
      <c r="E25" s="14"/>
      <c r="F25" s="14"/>
      <c r="G25" s="14"/>
      <c r="H25" s="24" t="str">
        <f t="shared" si="1"/>
        <v/>
      </c>
      <c r="I25" s="12" t="str">
        <f>IF(C25="","",INT((INT(C25)-'01_Ficha_Dosis'!$C$14)/7)+1)</f>
        <v/>
      </c>
      <c r="J25" s="12" t="str">
        <f t="shared" si="2"/>
        <v/>
      </c>
      <c r="K25" s="12" t="str">
        <f>IF(J25="","",IF(AND(G25="OK",J25&gt;='01_Ficha_Dosis'!$C$23,F25&gt;='01_Ficha_Dosis'!$C$24,H25&gt;='01_Ficha_Dosis'!$C$14,H25&lt;='01_Ficha_Dosis'!$C$15),1,0))</f>
        <v/>
      </c>
      <c r="L25" s="12">
        <f t="shared" si="3"/>
        <v>0</v>
      </c>
    </row>
    <row r="26" ht="15.75" customHeight="1">
      <c r="A26" s="14"/>
      <c r="B26" s="14"/>
      <c r="C26" s="23"/>
      <c r="D26" s="23"/>
      <c r="E26" s="14"/>
      <c r="F26" s="14"/>
      <c r="G26" s="14"/>
      <c r="H26" s="24" t="str">
        <f t="shared" si="1"/>
        <v/>
      </c>
      <c r="I26" s="12" t="str">
        <f>IF(C26="","",INT((INT(C26)-'01_Ficha_Dosis'!$C$14)/7)+1)</f>
        <v/>
      </c>
      <c r="J26" s="12" t="str">
        <f t="shared" si="2"/>
        <v/>
      </c>
      <c r="K26" s="12" t="str">
        <f>IF(J26="","",IF(AND(G26="OK",J26&gt;='01_Ficha_Dosis'!$C$23,F26&gt;='01_Ficha_Dosis'!$C$24,H26&gt;='01_Ficha_Dosis'!$C$14,H26&lt;='01_Ficha_Dosis'!$C$15),1,0))</f>
        <v/>
      </c>
      <c r="L26" s="12">
        <f t="shared" si="3"/>
        <v>0</v>
      </c>
    </row>
    <row r="27" ht="15.75" customHeight="1">
      <c r="A27" s="14"/>
      <c r="B27" s="14"/>
      <c r="C27" s="23"/>
      <c r="D27" s="23"/>
      <c r="E27" s="14"/>
      <c r="F27" s="14"/>
      <c r="G27" s="14"/>
      <c r="H27" s="24" t="str">
        <f t="shared" si="1"/>
        <v/>
      </c>
      <c r="I27" s="12" t="str">
        <f>IF(C27="","",INT((INT(C27)-'01_Ficha_Dosis'!$C$14)/7)+1)</f>
        <v/>
      </c>
      <c r="J27" s="12" t="str">
        <f t="shared" si="2"/>
        <v/>
      </c>
      <c r="K27" s="12" t="str">
        <f>IF(J27="","",IF(AND(G27="OK",J27&gt;='01_Ficha_Dosis'!$C$23,F27&gt;='01_Ficha_Dosis'!$C$24,H27&gt;='01_Ficha_Dosis'!$C$14,H27&lt;='01_Ficha_Dosis'!$C$15),1,0))</f>
        <v/>
      </c>
      <c r="L27" s="12">
        <f t="shared" si="3"/>
        <v>0</v>
      </c>
    </row>
    <row r="28" ht="15.75" customHeight="1">
      <c r="A28" s="14"/>
      <c r="B28" s="14"/>
      <c r="C28" s="23"/>
      <c r="D28" s="23"/>
      <c r="E28" s="14"/>
      <c r="F28" s="14"/>
      <c r="G28" s="14"/>
      <c r="H28" s="24" t="str">
        <f t="shared" si="1"/>
        <v/>
      </c>
      <c r="I28" s="12" t="str">
        <f>IF(C28="","",INT((INT(C28)-'01_Ficha_Dosis'!$C$14)/7)+1)</f>
        <v/>
      </c>
      <c r="J28" s="12" t="str">
        <f t="shared" si="2"/>
        <v/>
      </c>
      <c r="K28" s="12" t="str">
        <f>IF(J28="","",IF(AND(G28="OK",J28&gt;='01_Ficha_Dosis'!$C$23,F28&gt;='01_Ficha_Dosis'!$C$24,H28&gt;='01_Ficha_Dosis'!$C$14,H28&lt;='01_Ficha_Dosis'!$C$15),1,0))</f>
        <v/>
      </c>
      <c r="L28" s="12">
        <f t="shared" si="3"/>
        <v>0</v>
      </c>
    </row>
    <row r="29" ht="15.75" customHeight="1">
      <c r="A29" s="14"/>
      <c r="B29" s="14"/>
      <c r="C29" s="23"/>
      <c r="D29" s="23"/>
      <c r="E29" s="14"/>
      <c r="F29" s="14"/>
      <c r="G29" s="14"/>
      <c r="H29" s="24" t="str">
        <f t="shared" si="1"/>
        <v/>
      </c>
      <c r="I29" s="12" t="str">
        <f>IF(C29="","",INT((INT(C29)-'01_Ficha_Dosis'!$C$14)/7)+1)</f>
        <v/>
      </c>
      <c r="J29" s="12" t="str">
        <f t="shared" si="2"/>
        <v/>
      </c>
      <c r="K29" s="12" t="str">
        <f>IF(J29="","",IF(AND(G29="OK",J29&gt;='01_Ficha_Dosis'!$C$23,F29&gt;='01_Ficha_Dosis'!$C$24,H29&gt;='01_Ficha_Dosis'!$C$14,H29&lt;='01_Ficha_Dosis'!$C$15),1,0))</f>
        <v/>
      </c>
      <c r="L29" s="12">
        <f t="shared" si="3"/>
        <v>0</v>
      </c>
    </row>
    <row r="30" ht="15.75" customHeight="1">
      <c r="A30" s="14"/>
      <c r="B30" s="14"/>
      <c r="C30" s="23"/>
      <c r="D30" s="23"/>
      <c r="E30" s="14"/>
      <c r="F30" s="14"/>
      <c r="G30" s="14"/>
      <c r="H30" s="24" t="str">
        <f t="shared" si="1"/>
        <v/>
      </c>
      <c r="I30" s="12" t="str">
        <f>IF(C30="","",INT((INT(C30)-'01_Ficha_Dosis'!$C$14)/7)+1)</f>
        <v/>
      </c>
      <c r="J30" s="12" t="str">
        <f t="shared" si="2"/>
        <v/>
      </c>
      <c r="K30" s="12" t="str">
        <f>IF(J30="","",IF(AND(G30="OK",J30&gt;='01_Ficha_Dosis'!$C$23,F30&gt;='01_Ficha_Dosis'!$C$24,H30&gt;='01_Ficha_Dosis'!$C$14,H30&lt;='01_Ficha_Dosis'!$C$15),1,0))</f>
        <v/>
      </c>
      <c r="L30" s="12">
        <f t="shared" si="3"/>
        <v>0</v>
      </c>
    </row>
    <row r="31" ht="15.75" customHeight="1">
      <c r="A31" s="14"/>
      <c r="B31" s="14"/>
      <c r="C31" s="23"/>
      <c r="D31" s="23"/>
      <c r="E31" s="14"/>
      <c r="F31" s="14"/>
      <c r="G31" s="14"/>
      <c r="H31" s="24" t="str">
        <f t="shared" si="1"/>
        <v/>
      </c>
      <c r="I31" s="12" t="str">
        <f>IF(C31="","",INT((INT(C31)-'01_Ficha_Dosis'!$C$14)/7)+1)</f>
        <v/>
      </c>
      <c r="J31" s="12" t="str">
        <f t="shared" si="2"/>
        <v/>
      </c>
      <c r="K31" s="12" t="str">
        <f>IF(J31="","",IF(AND(G31="OK",J31&gt;='01_Ficha_Dosis'!$C$23,F31&gt;='01_Ficha_Dosis'!$C$24,H31&gt;='01_Ficha_Dosis'!$C$14,H31&lt;='01_Ficha_Dosis'!$C$15),1,0))</f>
        <v/>
      </c>
      <c r="L31" s="12">
        <f t="shared" si="3"/>
        <v>0</v>
      </c>
    </row>
    <row r="32" ht="15.75" customHeight="1">
      <c r="A32" s="14"/>
      <c r="B32" s="14"/>
      <c r="C32" s="23"/>
      <c r="D32" s="23"/>
      <c r="E32" s="14"/>
      <c r="F32" s="14"/>
      <c r="G32" s="14"/>
      <c r="H32" s="24" t="str">
        <f t="shared" si="1"/>
        <v/>
      </c>
      <c r="I32" s="12" t="str">
        <f>IF(C32="","",INT((INT(C32)-'01_Ficha_Dosis'!$C$14)/7)+1)</f>
        <v/>
      </c>
      <c r="J32" s="12" t="str">
        <f t="shared" si="2"/>
        <v/>
      </c>
      <c r="K32" s="12" t="str">
        <f>IF(J32="","",IF(AND(G32="OK",J32&gt;='01_Ficha_Dosis'!$C$23,F32&gt;='01_Ficha_Dosis'!$C$24,H32&gt;='01_Ficha_Dosis'!$C$14,H32&lt;='01_Ficha_Dosis'!$C$15),1,0))</f>
        <v/>
      </c>
      <c r="L32" s="12">
        <f t="shared" si="3"/>
        <v>0</v>
      </c>
    </row>
    <row r="33" ht="15.75" customHeight="1">
      <c r="A33" s="14"/>
      <c r="B33" s="14"/>
      <c r="C33" s="23"/>
      <c r="D33" s="23"/>
      <c r="E33" s="14"/>
      <c r="F33" s="14"/>
      <c r="G33" s="14"/>
      <c r="H33" s="24" t="str">
        <f t="shared" si="1"/>
        <v/>
      </c>
      <c r="I33" s="12" t="str">
        <f>IF(C33="","",INT((INT(C33)-'01_Ficha_Dosis'!$C$14)/7)+1)</f>
        <v/>
      </c>
      <c r="J33" s="12" t="str">
        <f t="shared" si="2"/>
        <v/>
      </c>
      <c r="K33" s="12" t="str">
        <f>IF(J33="","",IF(AND(G33="OK",J33&gt;='01_Ficha_Dosis'!$C$23,F33&gt;='01_Ficha_Dosis'!$C$24,H33&gt;='01_Ficha_Dosis'!$C$14,H33&lt;='01_Ficha_Dosis'!$C$15),1,0))</f>
        <v/>
      </c>
      <c r="L33" s="12">
        <f t="shared" si="3"/>
        <v>0</v>
      </c>
    </row>
    <row r="34" ht="15.75" customHeight="1">
      <c r="A34" s="14"/>
      <c r="B34" s="14"/>
      <c r="C34" s="23"/>
      <c r="D34" s="23"/>
      <c r="E34" s="14"/>
      <c r="F34" s="14"/>
      <c r="G34" s="14"/>
      <c r="H34" s="24" t="str">
        <f t="shared" si="1"/>
        <v/>
      </c>
      <c r="I34" s="12" t="str">
        <f>IF(C34="","",INT((INT(C34)-'01_Ficha_Dosis'!$C$14)/7)+1)</f>
        <v/>
      </c>
      <c r="J34" s="12" t="str">
        <f t="shared" si="2"/>
        <v/>
      </c>
      <c r="K34" s="12" t="str">
        <f>IF(J34="","",IF(AND(G34="OK",J34&gt;='01_Ficha_Dosis'!$C$23,F34&gt;='01_Ficha_Dosis'!$C$24,H34&gt;='01_Ficha_Dosis'!$C$14,H34&lt;='01_Ficha_Dosis'!$C$15),1,0))</f>
        <v/>
      </c>
      <c r="L34" s="12">
        <f t="shared" si="3"/>
        <v>0</v>
      </c>
    </row>
    <row r="35" ht="15.75" customHeight="1">
      <c r="A35" s="14"/>
      <c r="B35" s="14"/>
      <c r="C35" s="23"/>
      <c r="D35" s="23"/>
      <c r="E35" s="14"/>
      <c r="F35" s="14"/>
      <c r="G35" s="14"/>
      <c r="H35" s="24" t="str">
        <f t="shared" si="1"/>
        <v/>
      </c>
      <c r="I35" s="12" t="str">
        <f>IF(C35="","",INT((INT(C35)-'01_Ficha_Dosis'!$C$14)/7)+1)</f>
        <v/>
      </c>
      <c r="J35" s="12" t="str">
        <f t="shared" si="2"/>
        <v/>
      </c>
      <c r="K35" s="12" t="str">
        <f>IF(J35="","",IF(AND(G35="OK",J35&gt;='01_Ficha_Dosis'!$C$23,F35&gt;='01_Ficha_Dosis'!$C$24,H35&gt;='01_Ficha_Dosis'!$C$14,H35&lt;='01_Ficha_Dosis'!$C$15),1,0))</f>
        <v/>
      </c>
      <c r="L35" s="12">
        <f t="shared" si="3"/>
        <v>0</v>
      </c>
    </row>
    <row r="36" ht="15.75" customHeight="1">
      <c r="A36" s="14"/>
      <c r="B36" s="14"/>
      <c r="C36" s="23"/>
      <c r="D36" s="23"/>
      <c r="E36" s="14"/>
      <c r="F36" s="14"/>
      <c r="G36" s="14"/>
      <c r="H36" s="24" t="str">
        <f t="shared" si="1"/>
        <v/>
      </c>
      <c r="I36" s="12" t="str">
        <f>IF(C36="","",INT((INT(C36)-'01_Ficha_Dosis'!$C$14)/7)+1)</f>
        <v/>
      </c>
      <c r="J36" s="12" t="str">
        <f t="shared" si="2"/>
        <v/>
      </c>
      <c r="K36" s="12" t="str">
        <f>IF(J36="","",IF(AND(G36="OK",J36&gt;='01_Ficha_Dosis'!$C$23,F36&gt;='01_Ficha_Dosis'!$C$24,H36&gt;='01_Ficha_Dosis'!$C$14,H36&lt;='01_Ficha_Dosis'!$C$15),1,0))</f>
        <v/>
      </c>
      <c r="L36" s="12">
        <f t="shared" si="3"/>
        <v>0</v>
      </c>
    </row>
    <row r="37" ht="15.75" customHeight="1">
      <c r="A37" s="14"/>
      <c r="B37" s="14"/>
      <c r="C37" s="23"/>
      <c r="D37" s="23"/>
      <c r="E37" s="14"/>
      <c r="F37" s="14"/>
      <c r="G37" s="14"/>
      <c r="H37" s="24" t="str">
        <f t="shared" si="1"/>
        <v/>
      </c>
      <c r="I37" s="12" t="str">
        <f>IF(C37="","",INT((INT(C37)-'01_Ficha_Dosis'!$C$14)/7)+1)</f>
        <v/>
      </c>
      <c r="J37" s="12" t="str">
        <f t="shared" si="2"/>
        <v/>
      </c>
      <c r="K37" s="12" t="str">
        <f>IF(J37="","",IF(AND(G37="OK",J37&gt;='01_Ficha_Dosis'!$C$23,F37&gt;='01_Ficha_Dosis'!$C$24,H37&gt;='01_Ficha_Dosis'!$C$14,H37&lt;='01_Ficha_Dosis'!$C$15),1,0))</f>
        <v/>
      </c>
      <c r="L37" s="12">
        <f t="shared" si="3"/>
        <v>0</v>
      </c>
    </row>
    <row r="38" ht="15.75" customHeight="1">
      <c r="A38" s="14"/>
      <c r="B38" s="14"/>
      <c r="C38" s="23"/>
      <c r="D38" s="23"/>
      <c r="E38" s="14"/>
      <c r="F38" s="14"/>
      <c r="G38" s="14"/>
      <c r="H38" s="24" t="str">
        <f t="shared" si="1"/>
        <v/>
      </c>
      <c r="I38" s="12" t="str">
        <f>IF(C38="","",INT((INT(C38)-'01_Ficha_Dosis'!$C$14)/7)+1)</f>
        <v/>
      </c>
      <c r="J38" s="12" t="str">
        <f t="shared" si="2"/>
        <v/>
      </c>
      <c r="K38" s="12" t="str">
        <f>IF(J38="","",IF(AND(G38="OK",J38&gt;='01_Ficha_Dosis'!$C$23,F38&gt;='01_Ficha_Dosis'!$C$24,H38&gt;='01_Ficha_Dosis'!$C$14,H38&lt;='01_Ficha_Dosis'!$C$15),1,0))</f>
        <v/>
      </c>
      <c r="L38" s="12">
        <f t="shared" si="3"/>
        <v>0</v>
      </c>
    </row>
    <row r="39" ht="15.75" customHeight="1">
      <c r="A39" s="14"/>
      <c r="B39" s="14"/>
      <c r="C39" s="23"/>
      <c r="D39" s="23"/>
      <c r="E39" s="14"/>
      <c r="F39" s="14"/>
      <c r="G39" s="14"/>
      <c r="H39" s="24" t="str">
        <f t="shared" si="1"/>
        <v/>
      </c>
      <c r="I39" s="12" t="str">
        <f>IF(C39="","",INT((INT(C39)-'01_Ficha_Dosis'!$C$14)/7)+1)</f>
        <v/>
      </c>
      <c r="J39" s="12" t="str">
        <f t="shared" si="2"/>
        <v/>
      </c>
      <c r="K39" s="12" t="str">
        <f>IF(J39="","",IF(AND(G39="OK",J39&gt;='01_Ficha_Dosis'!$C$23,F39&gt;='01_Ficha_Dosis'!$C$24,H39&gt;='01_Ficha_Dosis'!$C$14,H39&lt;='01_Ficha_Dosis'!$C$15),1,0))</f>
        <v/>
      </c>
      <c r="L39" s="12">
        <f t="shared" si="3"/>
        <v>0</v>
      </c>
    </row>
    <row r="40" ht="15.75" customHeight="1">
      <c r="A40" s="14"/>
      <c r="B40" s="14"/>
      <c r="C40" s="23"/>
      <c r="D40" s="23"/>
      <c r="E40" s="14"/>
      <c r="F40" s="14"/>
      <c r="G40" s="14"/>
      <c r="H40" s="24" t="str">
        <f t="shared" si="1"/>
        <v/>
      </c>
      <c r="I40" s="12" t="str">
        <f>IF(C40="","",INT((INT(C40)-'01_Ficha_Dosis'!$C$14)/7)+1)</f>
        <v/>
      </c>
      <c r="J40" s="12" t="str">
        <f t="shared" si="2"/>
        <v/>
      </c>
      <c r="K40" s="12" t="str">
        <f>IF(J40="","",IF(AND(G40="OK",J40&gt;='01_Ficha_Dosis'!$C$23,F40&gt;='01_Ficha_Dosis'!$C$24,H40&gt;='01_Ficha_Dosis'!$C$14,H40&lt;='01_Ficha_Dosis'!$C$15),1,0))</f>
        <v/>
      </c>
      <c r="L40" s="12">
        <f t="shared" si="3"/>
        <v>0</v>
      </c>
    </row>
    <row r="41" ht="15.75" customHeight="1">
      <c r="A41" s="14"/>
      <c r="B41" s="14"/>
      <c r="C41" s="23"/>
      <c r="D41" s="23"/>
      <c r="E41" s="14"/>
      <c r="F41" s="14"/>
      <c r="G41" s="14"/>
      <c r="H41" s="24" t="str">
        <f t="shared" si="1"/>
        <v/>
      </c>
      <c r="I41" s="12" t="str">
        <f>IF(C41="","",INT((INT(C41)-'01_Ficha_Dosis'!$C$14)/7)+1)</f>
        <v/>
      </c>
      <c r="J41" s="12" t="str">
        <f t="shared" si="2"/>
        <v/>
      </c>
      <c r="K41" s="12" t="str">
        <f>IF(J41="","",IF(AND(G41="OK",J41&gt;='01_Ficha_Dosis'!$C$23,F41&gt;='01_Ficha_Dosis'!$C$24,H41&gt;='01_Ficha_Dosis'!$C$14,H41&lt;='01_Ficha_Dosis'!$C$15),1,0))</f>
        <v/>
      </c>
      <c r="L41" s="12">
        <f t="shared" si="3"/>
        <v>0</v>
      </c>
    </row>
    <row r="42" ht="15.75" customHeight="1">
      <c r="A42" s="14"/>
      <c r="B42" s="14"/>
      <c r="C42" s="23"/>
      <c r="D42" s="23"/>
      <c r="E42" s="14"/>
      <c r="F42" s="14"/>
      <c r="G42" s="14"/>
      <c r="H42" s="24" t="str">
        <f t="shared" si="1"/>
        <v/>
      </c>
      <c r="I42" s="12" t="str">
        <f>IF(C42="","",INT((INT(C42)-'01_Ficha_Dosis'!$C$14)/7)+1)</f>
        <v/>
      </c>
      <c r="J42" s="12" t="str">
        <f t="shared" si="2"/>
        <v/>
      </c>
      <c r="K42" s="12" t="str">
        <f>IF(J42="","",IF(AND(G42="OK",J42&gt;='01_Ficha_Dosis'!$C$23,F42&gt;='01_Ficha_Dosis'!$C$24,H42&gt;='01_Ficha_Dosis'!$C$14,H42&lt;='01_Ficha_Dosis'!$C$15),1,0))</f>
        <v/>
      </c>
      <c r="L42" s="12">
        <f t="shared" si="3"/>
        <v>0</v>
      </c>
    </row>
    <row r="43" ht="15.75" customHeight="1">
      <c r="A43" s="14"/>
      <c r="B43" s="14"/>
      <c r="C43" s="23"/>
      <c r="D43" s="23"/>
      <c r="E43" s="14"/>
      <c r="F43" s="14"/>
      <c r="G43" s="14"/>
      <c r="H43" s="24" t="str">
        <f t="shared" si="1"/>
        <v/>
      </c>
      <c r="I43" s="12" t="str">
        <f>IF(C43="","",INT((INT(C43)-'01_Ficha_Dosis'!$C$14)/7)+1)</f>
        <v/>
      </c>
      <c r="J43" s="12" t="str">
        <f t="shared" si="2"/>
        <v/>
      </c>
      <c r="K43" s="12" t="str">
        <f>IF(J43="","",IF(AND(G43="OK",J43&gt;='01_Ficha_Dosis'!$C$23,F43&gt;='01_Ficha_Dosis'!$C$24,H43&gt;='01_Ficha_Dosis'!$C$14,H43&lt;='01_Ficha_Dosis'!$C$15),1,0))</f>
        <v/>
      </c>
      <c r="L43" s="12">
        <f t="shared" si="3"/>
        <v>0</v>
      </c>
    </row>
    <row r="44" ht="15.75" customHeight="1">
      <c r="A44" s="14"/>
      <c r="B44" s="14"/>
      <c r="C44" s="23"/>
      <c r="D44" s="23"/>
      <c r="E44" s="14"/>
      <c r="F44" s="14"/>
      <c r="G44" s="14"/>
      <c r="H44" s="24" t="str">
        <f t="shared" si="1"/>
        <v/>
      </c>
      <c r="I44" s="12" t="str">
        <f>IF(C44="","",INT((INT(C44)-'01_Ficha_Dosis'!$C$14)/7)+1)</f>
        <v/>
      </c>
      <c r="J44" s="12" t="str">
        <f t="shared" si="2"/>
        <v/>
      </c>
      <c r="K44" s="12" t="str">
        <f>IF(J44="","",IF(AND(G44="OK",J44&gt;='01_Ficha_Dosis'!$C$23,F44&gt;='01_Ficha_Dosis'!$C$24,H44&gt;='01_Ficha_Dosis'!$C$14,H44&lt;='01_Ficha_Dosis'!$C$15),1,0))</f>
        <v/>
      </c>
      <c r="L44" s="12">
        <f t="shared" si="3"/>
        <v>0</v>
      </c>
    </row>
    <row r="45" ht="15.75" customHeight="1">
      <c r="A45" s="14"/>
      <c r="B45" s="14"/>
      <c r="C45" s="23"/>
      <c r="D45" s="23"/>
      <c r="E45" s="14"/>
      <c r="F45" s="14"/>
      <c r="G45" s="14"/>
      <c r="H45" s="24" t="str">
        <f t="shared" si="1"/>
        <v/>
      </c>
      <c r="I45" s="12" t="str">
        <f>IF(C45="","",INT((INT(C45)-'01_Ficha_Dosis'!$C$14)/7)+1)</f>
        <v/>
      </c>
      <c r="J45" s="12" t="str">
        <f t="shared" si="2"/>
        <v/>
      </c>
      <c r="K45" s="12" t="str">
        <f>IF(J45="","",IF(AND(G45="OK",J45&gt;='01_Ficha_Dosis'!$C$23,F45&gt;='01_Ficha_Dosis'!$C$24,H45&gt;='01_Ficha_Dosis'!$C$14,H45&lt;='01_Ficha_Dosis'!$C$15),1,0))</f>
        <v/>
      </c>
      <c r="L45" s="12">
        <f t="shared" si="3"/>
        <v>0</v>
      </c>
    </row>
    <row r="46" ht="15.75" customHeight="1">
      <c r="A46" s="14"/>
      <c r="B46" s="14"/>
      <c r="C46" s="23"/>
      <c r="D46" s="23"/>
      <c r="E46" s="14"/>
      <c r="F46" s="14"/>
      <c r="G46" s="14"/>
      <c r="H46" s="24" t="str">
        <f t="shared" si="1"/>
        <v/>
      </c>
      <c r="I46" s="12" t="str">
        <f>IF(C46="","",INT((INT(C46)-'01_Ficha_Dosis'!$C$14)/7)+1)</f>
        <v/>
      </c>
      <c r="J46" s="12" t="str">
        <f t="shared" si="2"/>
        <v/>
      </c>
      <c r="K46" s="12" t="str">
        <f>IF(J46="","",IF(AND(G46="OK",J46&gt;='01_Ficha_Dosis'!$C$23,F46&gt;='01_Ficha_Dosis'!$C$24,H46&gt;='01_Ficha_Dosis'!$C$14,H46&lt;='01_Ficha_Dosis'!$C$15),1,0))</f>
        <v/>
      </c>
      <c r="L46" s="12">
        <f t="shared" si="3"/>
        <v>0</v>
      </c>
    </row>
    <row r="47" ht="15.75" customHeight="1">
      <c r="A47" s="14"/>
      <c r="B47" s="14"/>
      <c r="C47" s="23"/>
      <c r="D47" s="23"/>
      <c r="E47" s="14"/>
      <c r="F47" s="14"/>
      <c r="G47" s="14"/>
      <c r="H47" s="24" t="str">
        <f t="shared" si="1"/>
        <v/>
      </c>
      <c r="I47" s="12" t="str">
        <f>IF(C47="","",INT((INT(C47)-'01_Ficha_Dosis'!$C$14)/7)+1)</f>
        <v/>
      </c>
      <c r="J47" s="12" t="str">
        <f t="shared" si="2"/>
        <v/>
      </c>
      <c r="K47" s="12" t="str">
        <f>IF(J47="","",IF(AND(G47="OK",J47&gt;='01_Ficha_Dosis'!$C$23,F47&gt;='01_Ficha_Dosis'!$C$24,H47&gt;='01_Ficha_Dosis'!$C$14,H47&lt;='01_Ficha_Dosis'!$C$15),1,0))</f>
        <v/>
      </c>
      <c r="L47" s="12">
        <f t="shared" si="3"/>
        <v>0</v>
      </c>
    </row>
    <row r="48" ht="15.75" customHeight="1">
      <c r="A48" s="14"/>
      <c r="B48" s="14"/>
      <c r="C48" s="23"/>
      <c r="D48" s="23"/>
      <c r="E48" s="14"/>
      <c r="F48" s="14"/>
      <c r="G48" s="14"/>
      <c r="H48" s="24" t="str">
        <f t="shared" si="1"/>
        <v/>
      </c>
      <c r="I48" s="12" t="str">
        <f>IF(C48="","",INT((INT(C48)-'01_Ficha_Dosis'!$C$14)/7)+1)</f>
        <v/>
      </c>
      <c r="J48" s="12" t="str">
        <f t="shared" si="2"/>
        <v/>
      </c>
      <c r="K48" s="12" t="str">
        <f>IF(J48="","",IF(AND(G48="OK",J48&gt;='01_Ficha_Dosis'!$C$23,F48&gt;='01_Ficha_Dosis'!$C$24,H48&gt;='01_Ficha_Dosis'!$C$14,H48&lt;='01_Ficha_Dosis'!$C$15),1,0))</f>
        <v/>
      </c>
      <c r="L48" s="12">
        <f t="shared" si="3"/>
        <v>0</v>
      </c>
    </row>
    <row r="49" ht="15.75" customHeight="1">
      <c r="A49" s="14"/>
      <c r="B49" s="14"/>
      <c r="C49" s="23"/>
      <c r="D49" s="23"/>
      <c r="E49" s="14"/>
      <c r="F49" s="14"/>
      <c r="G49" s="14"/>
      <c r="H49" s="24" t="str">
        <f t="shared" si="1"/>
        <v/>
      </c>
      <c r="I49" s="12" t="str">
        <f>IF(C49="","",INT((INT(C49)-'01_Ficha_Dosis'!$C$14)/7)+1)</f>
        <v/>
      </c>
      <c r="J49" s="12" t="str">
        <f t="shared" si="2"/>
        <v/>
      </c>
      <c r="K49" s="12" t="str">
        <f>IF(J49="","",IF(AND(G49="OK",J49&gt;='01_Ficha_Dosis'!$C$23,F49&gt;='01_Ficha_Dosis'!$C$24,H49&gt;='01_Ficha_Dosis'!$C$14,H49&lt;='01_Ficha_Dosis'!$C$15),1,0))</f>
        <v/>
      </c>
      <c r="L49" s="12">
        <f t="shared" si="3"/>
        <v>0</v>
      </c>
    </row>
    <row r="50" ht="15.75" customHeight="1">
      <c r="A50" s="14"/>
      <c r="B50" s="14"/>
      <c r="C50" s="23"/>
      <c r="D50" s="23"/>
      <c r="E50" s="14"/>
      <c r="F50" s="14"/>
      <c r="G50" s="14"/>
      <c r="H50" s="24" t="str">
        <f t="shared" si="1"/>
        <v/>
      </c>
      <c r="I50" s="12" t="str">
        <f>IF(C50="","",INT((INT(C50)-'01_Ficha_Dosis'!$C$14)/7)+1)</f>
        <v/>
      </c>
      <c r="J50" s="12" t="str">
        <f t="shared" si="2"/>
        <v/>
      </c>
      <c r="K50" s="12" t="str">
        <f>IF(J50="","",IF(AND(G50="OK",J50&gt;='01_Ficha_Dosis'!$C$23,F50&gt;='01_Ficha_Dosis'!$C$24,H50&gt;='01_Ficha_Dosis'!$C$14,H50&lt;='01_Ficha_Dosis'!$C$15),1,0))</f>
        <v/>
      </c>
      <c r="L50" s="12">
        <f t="shared" si="3"/>
        <v>0</v>
      </c>
    </row>
    <row r="51" ht="15.75" customHeight="1">
      <c r="A51" s="14"/>
      <c r="B51" s="14"/>
      <c r="C51" s="23"/>
      <c r="D51" s="23"/>
      <c r="E51" s="14"/>
      <c r="F51" s="14"/>
      <c r="G51" s="14"/>
      <c r="H51" s="24" t="str">
        <f t="shared" si="1"/>
        <v/>
      </c>
      <c r="I51" s="12" t="str">
        <f>IF(C51="","",INT((INT(C51)-'01_Ficha_Dosis'!$C$14)/7)+1)</f>
        <v/>
      </c>
      <c r="J51" s="12" t="str">
        <f t="shared" si="2"/>
        <v/>
      </c>
      <c r="K51" s="12" t="str">
        <f>IF(J51="","",IF(AND(G51="OK",J51&gt;='01_Ficha_Dosis'!$C$23,F51&gt;='01_Ficha_Dosis'!$C$24,H51&gt;='01_Ficha_Dosis'!$C$14,H51&lt;='01_Ficha_Dosis'!$C$15),1,0))</f>
        <v/>
      </c>
      <c r="L51" s="12">
        <f t="shared" si="3"/>
        <v>0</v>
      </c>
    </row>
    <row r="52" ht="15.75" customHeight="1">
      <c r="A52" s="14"/>
      <c r="B52" s="14"/>
      <c r="C52" s="23"/>
      <c r="D52" s="23"/>
      <c r="E52" s="14"/>
      <c r="F52" s="14"/>
      <c r="G52" s="14"/>
      <c r="H52" s="24" t="str">
        <f t="shared" si="1"/>
        <v/>
      </c>
      <c r="I52" s="12" t="str">
        <f>IF(C52="","",INT((INT(C52)-'01_Ficha_Dosis'!$C$14)/7)+1)</f>
        <v/>
      </c>
      <c r="J52" s="12" t="str">
        <f t="shared" si="2"/>
        <v/>
      </c>
      <c r="K52" s="12" t="str">
        <f>IF(J52="","",IF(AND(G52="OK",J52&gt;='01_Ficha_Dosis'!$C$23,F52&gt;='01_Ficha_Dosis'!$C$24,H52&gt;='01_Ficha_Dosis'!$C$14,H52&lt;='01_Ficha_Dosis'!$C$15),1,0))</f>
        <v/>
      </c>
      <c r="L52" s="12">
        <f t="shared" si="3"/>
        <v>0</v>
      </c>
    </row>
    <row r="53" ht="15.75" customHeight="1">
      <c r="A53" s="14"/>
      <c r="B53" s="14"/>
      <c r="C53" s="23"/>
      <c r="D53" s="23"/>
      <c r="E53" s="14"/>
      <c r="F53" s="14"/>
      <c r="G53" s="14"/>
      <c r="H53" s="24" t="str">
        <f t="shared" si="1"/>
        <v/>
      </c>
      <c r="I53" s="12" t="str">
        <f>IF(C53="","",INT((INT(C53)-'01_Ficha_Dosis'!$C$14)/7)+1)</f>
        <v/>
      </c>
      <c r="J53" s="12" t="str">
        <f t="shared" si="2"/>
        <v/>
      </c>
      <c r="K53" s="12" t="str">
        <f>IF(J53="","",IF(AND(G53="OK",J53&gt;='01_Ficha_Dosis'!$C$23,F53&gt;='01_Ficha_Dosis'!$C$24,H53&gt;='01_Ficha_Dosis'!$C$14,H53&lt;='01_Ficha_Dosis'!$C$15),1,0))</f>
        <v/>
      </c>
      <c r="L53" s="12">
        <f t="shared" si="3"/>
        <v>0</v>
      </c>
    </row>
    <row r="54" ht="15.75" customHeight="1">
      <c r="A54" s="14"/>
      <c r="B54" s="14"/>
      <c r="C54" s="23"/>
      <c r="D54" s="23"/>
      <c r="E54" s="14"/>
      <c r="F54" s="14"/>
      <c r="G54" s="14"/>
      <c r="H54" s="24" t="str">
        <f t="shared" si="1"/>
        <v/>
      </c>
      <c r="I54" s="12" t="str">
        <f>IF(C54="","",INT((INT(C54)-'01_Ficha_Dosis'!$C$14)/7)+1)</f>
        <v/>
      </c>
      <c r="J54" s="12" t="str">
        <f t="shared" si="2"/>
        <v/>
      </c>
      <c r="K54" s="12" t="str">
        <f>IF(J54="","",IF(AND(G54="OK",J54&gt;='01_Ficha_Dosis'!$C$23,F54&gt;='01_Ficha_Dosis'!$C$24,H54&gt;='01_Ficha_Dosis'!$C$14,H54&lt;='01_Ficha_Dosis'!$C$15),1,0))</f>
        <v/>
      </c>
      <c r="L54" s="12">
        <f t="shared" si="3"/>
        <v>0</v>
      </c>
    </row>
    <row r="55" ht="15.75" customHeight="1">
      <c r="A55" s="14"/>
      <c r="B55" s="14"/>
      <c r="C55" s="23"/>
      <c r="D55" s="23"/>
      <c r="E55" s="14"/>
      <c r="F55" s="14"/>
      <c r="G55" s="14"/>
      <c r="H55" s="24" t="str">
        <f t="shared" si="1"/>
        <v/>
      </c>
      <c r="I55" s="12" t="str">
        <f>IF(C55="","",INT((INT(C55)-'01_Ficha_Dosis'!$C$14)/7)+1)</f>
        <v/>
      </c>
      <c r="J55" s="12" t="str">
        <f t="shared" si="2"/>
        <v/>
      </c>
      <c r="K55" s="12" t="str">
        <f>IF(J55="","",IF(AND(G55="OK",J55&gt;='01_Ficha_Dosis'!$C$23,F55&gt;='01_Ficha_Dosis'!$C$24,H55&gt;='01_Ficha_Dosis'!$C$14,H55&lt;='01_Ficha_Dosis'!$C$15),1,0))</f>
        <v/>
      </c>
      <c r="L55" s="12">
        <f t="shared" si="3"/>
        <v>0</v>
      </c>
    </row>
    <row r="56" ht="15.75" customHeight="1">
      <c r="A56" s="14"/>
      <c r="B56" s="14"/>
      <c r="C56" s="23"/>
      <c r="D56" s="23"/>
      <c r="E56" s="14"/>
      <c r="F56" s="14"/>
      <c r="G56" s="14"/>
      <c r="H56" s="24" t="str">
        <f t="shared" si="1"/>
        <v/>
      </c>
      <c r="I56" s="12" t="str">
        <f>IF(C56="","",INT((INT(C56)-'01_Ficha_Dosis'!$C$14)/7)+1)</f>
        <v/>
      </c>
      <c r="J56" s="12" t="str">
        <f t="shared" si="2"/>
        <v/>
      </c>
      <c r="K56" s="12" t="str">
        <f>IF(J56="","",IF(AND(G56="OK",J56&gt;='01_Ficha_Dosis'!$C$23,F56&gt;='01_Ficha_Dosis'!$C$24,H56&gt;='01_Ficha_Dosis'!$C$14,H56&lt;='01_Ficha_Dosis'!$C$15),1,0))</f>
        <v/>
      </c>
      <c r="L56" s="12">
        <f t="shared" si="3"/>
        <v>0</v>
      </c>
    </row>
    <row r="57" ht="15.75" customHeight="1">
      <c r="A57" s="14"/>
      <c r="B57" s="14"/>
      <c r="C57" s="23"/>
      <c r="D57" s="23"/>
      <c r="E57" s="14"/>
      <c r="F57" s="14"/>
      <c r="G57" s="14"/>
      <c r="H57" s="24" t="str">
        <f t="shared" si="1"/>
        <v/>
      </c>
      <c r="I57" s="12" t="str">
        <f>IF(C57="","",INT((INT(C57)-'01_Ficha_Dosis'!$C$14)/7)+1)</f>
        <v/>
      </c>
      <c r="J57" s="12" t="str">
        <f t="shared" si="2"/>
        <v/>
      </c>
      <c r="K57" s="12" t="str">
        <f>IF(J57="","",IF(AND(G57="OK",J57&gt;='01_Ficha_Dosis'!$C$23,F57&gt;='01_Ficha_Dosis'!$C$24,H57&gt;='01_Ficha_Dosis'!$C$14,H57&lt;='01_Ficha_Dosis'!$C$15),1,0))</f>
        <v/>
      </c>
      <c r="L57" s="12">
        <f t="shared" si="3"/>
        <v>0</v>
      </c>
    </row>
    <row r="58" ht="15.75" customHeight="1">
      <c r="A58" s="14"/>
      <c r="B58" s="14"/>
      <c r="C58" s="23"/>
      <c r="D58" s="23"/>
      <c r="E58" s="14"/>
      <c r="F58" s="14"/>
      <c r="G58" s="14"/>
      <c r="H58" s="24" t="str">
        <f t="shared" si="1"/>
        <v/>
      </c>
      <c r="I58" s="12" t="str">
        <f>IF(C58="","",INT((INT(C58)-'01_Ficha_Dosis'!$C$14)/7)+1)</f>
        <v/>
      </c>
      <c r="J58" s="12" t="str">
        <f t="shared" si="2"/>
        <v/>
      </c>
      <c r="K58" s="12" t="str">
        <f>IF(J58="","",IF(AND(G58="OK",J58&gt;='01_Ficha_Dosis'!$C$23,F58&gt;='01_Ficha_Dosis'!$C$24,H58&gt;='01_Ficha_Dosis'!$C$14,H58&lt;='01_Ficha_Dosis'!$C$15),1,0))</f>
        <v/>
      </c>
      <c r="L58" s="12">
        <f t="shared" si="3"/>
        <v>0</v>
      </c>
    </row>
    <row r="59" ht="15.75" customHeight="1">
      <c r="A59" s="14"/>
      <c r="B59" s="14"/>
      <c r="C59" s="23"/>
      <c r="D59" s="23"/>
      <c r="E59" s="14"/>
      <c r="F59" s="14"/>
      <c r="G59" s="14"/>
      <c r="H59" s="24" t="str">
        <f t="shared" si="1"/>
        <v/>
      </c>
      <c r="I59" s="12" t="str">
        <f>IF(C59="","",INT((INT(C59)-'01_Ficha_Dosis'!$C$14)/7)+1)</f>
        <v/>
      </c>
      <c r="J59" s="12" t="str">
        <f t="shared" si="2"/>
        <v/>
      </c>
      <c r="K59" s="12" t="str">
        <f>IF(J59="","",IF(AND(G59="OK",J59&gt;='01_Ficha_Dosis'!$C$23,F59&gt;='01_Ficha_Dosis'!$C$24,H59&gt;='01_Ficha_Dosis'!$C$14,H59&lt;='01_Ficha_Dosis'!$C$15),1,0))</f>
        <v/>
      </c>
      <c r="L59" s="12">
        <f t="shared" si="3"/>
        <v>0</v>
      </c>
    </row>
    <row r="60" ht="15.75" customHeight="1">
      <c r="A60" s="14"/>
      <c r="B60" s="14"/>
      <c r="C60" s="23"/>
      <c r="D60" s="23"/>
      <c r="E60" s="14"/>
      <c r="F60" s="14"/>
      <c r="G60" s="14"/>
      <c r="H60" s="24" t="str">
        <f t="shared" si="1"/>
        <v/>
      </c>
      <c r="I60" s="12" t="str">
        <f>IF(C60="","",INT((INT(C60)-'01_Ficha_Dosis'!$C$14)/7)+1)</f>
        <v/>
      </c>
      <c r="J60" s="12" t="str">
        <f t="shared" si="2"/>
        <v/>
      </c>
      <c r="K60" s="12" t="str">
        <f>IF(J60="","",IF(AND(G60="OK",J60&gt;='01_Ficha_Dosis'!$C$23,F60&gt;='01_Ficha_Dosis'!$C$24,H60&gt;='01_Ficha_Dosis'!$C$14,H60&lt;='01_Ficha_Dosis'!$C$15),1,0))</f>
        <v/>
      </c>
      <c r="L60" s="12">
        <f t="shared" si="3"/>
        <v>0</v>
      </c>
    </row>
    <row r="61" ht="15.75" customHeight="1">
      <c r="A61" s="14"/>
      <c r="B61" s="14"/>
      <c r="C61" s="23"/>
      <c r="D61" s="23"/>
      <c r="E61" s="14"/>
      <c r="F61" s="14"/>
      <c r="G61" s="14"/>
      <c r="H61" s="24" t="str">
        <f t="shared" si="1"/>
        <v/>
      </c>
      <c r="I61" s="12" t="str">
        <f>IF(C61="","",INT((INT(C61)-'01_Ficha_Dosis'!$C$14)/7)+1)</f>
        <v/>
      </c>
      <c r="J61" s="12" t="str">
        <f t="shared" si="2"/>
        <v/>
      </c>
      <c r="K61" s="12" t="str">
        <f>IF(J61="","",IF(AND(G61="OK",J61&gt;='01_Ficha_Dosis'!$C$23,F61&gt;='01_Ficha_Dosis'!$C$24,H61&gt;='01_Ficha_Dosis'!$C$14,H61&lt;='01_Ficha_Dosis'!$C$15),1,0))</f>
        <v/>
      </c>
      <c r="L61" s="12">
        <f t="shared" si="3"/>
        <v>0</v>
      </c>
    </row>
    <row r="62" ht="15.75" customHeight="1">
      <c r="A62" s="14"/>
      <c r="B62" s="14"/>
      <c r="C62" s="23"/>
      <c r="D62" s="23"/>
      <c r="E62" s="14"/>
      <c r="F62" s="14"/>
      <c r="G62" s="14"/>
      <c r="H62" s="24" t="str">
        <f t="shared" si="1"/>
        <v/>
      </c>
      <c r="I62" s="12" t="str">
        <f>IF(C62="","",INT((INT(C62)-'01_Ficha_Dosis'!$C$14)/7)+1)</f>
        <v/>
      </c>
      <c r="J62" s="12" t="str">
        <f t="shared" si="2"/>
        <v/>
      </c>
      <c r="K62" s="12" t="str">
        <f>IF(J62="","",IF(AND(G62="OK",J62&gt;='01_Ficha_Dosis'!$C$23,F62&gt;='01_Ficha_Dosis'!$C$24,H62&gt;='01_Ficha_Dosis'!$C$14,H62&lt;='01_Ficha_Dosis'!$C$15),1,0))</f>
        <v/>
      </c>
      <c r="L62" s="12">
        <f t="shared" si="3"/>
        <v>0</v>
      </c>
    </row>
    <row r="63" ht="15.75" customHeight="1">
      <c r="A63" s="14"/>
      <c r="B63" s="14"/>
      <c r="C63" s="23"/>
      <c r="D63" s="23"/>
      <c r="E63" s="14"/>
      <c r="F63" s="14"/>
      <c r="G63" s="14"/>
      <c r="H63" s="24" t="str">
        <f t="shared" si="1"/>
        <v/>
      </c>
      <c r="I63" s="12" t="str">
        <f>IF(C63="","",INT((INT(C63)-'01_Ficha_Dosis'!$C$14)/7)+1)</f>
        <v/>
      </c>
      <c r="J63" s="12" t="str">
        <f t="shared" si="2"/>
        <v/>
      </c>
      <c r="K63" s="12" t="str">
        <f>IF(J63="","",IF(AND(G63="OK",J63&gt;='01_Ficha_Dosis'!$C$23,F63&gt;='01_Ficha_Dosis'!$C$24,H63&gt;='01_Ficha_Dosis'!$C$14,H63&lt;='01_Ficha_Dosis'!$C$15),1,0))</f>
        <v/>
      </c>
      <c r="L63" s="12">
        <f t="shared" si="3"/>
        <v>0</v>
      </c>
    </row>
    <row r="64" ht="15.75" customHeight="1">
      <c r="A64" s="14"/>
      <c r="B64" s="14"/>
      <c r="C64" s="23"/>
      <c r="D64" s="23"/>
      <c r="E64" s="14"/>
      <c r="F64" s="14"/>
      <c r="G64" s="14"/>
      <c r="H64" s="24" t="str">
        <f t="shared" si="1"/>
        <v/>
      </c>
      <c r="I64" s="12" t="str">
        <f>IF(C64="","",INT((INT(C64)-'01_Ficha_Dosis'!$C$14)/7)+1)</f>
        <v/>
      </c>
      <c r="J64" s="12" t="str">
        <f t="shared" si="2"/>
        <v/>
      </c>
      <c r="K64" s="12" t="str">
        <f>IF(J64="","",IF(AND(G64="OK",J64&gt;='01_Ficha_Dosis'!$C$23,F64&gt;='01_Ficha_Dosis'!$C$24,H64&gt;='01_Ficha_Dosis'!$C$14,H64&lt;='01_Ficha_Dosis'!$C$15),1,0))</f>
        <v/>
      </c>
      <c r="L64" s="12">
        <f t="shared" si="3"/>
        <v>0</v>
      </c>
    </row>
    <row r="65" ht="15.75" customHeight="1">
      <c r="A65" s="14"/>
      <c r="B65" s="14"/>
      <c r="C65" s="23"/>
      <c r="D65" s="23"/>
      <c r="E65" s="14"/>
      <c r="F65" s="14"/>
      <c r="G65" s="14"/>
      <c r="H65" s="24" t="str">
        <f t="shared" si="1"/>
        <v/>
      </c>
      <c r="I65" s="12" t="str">
        <f>IF(C65="","",INT((INT(C65)-'01_Ficha_Dosis'!$C$14)/7)+1)</f>
        <v/>
      </c>
      <c r="J65" s="12" t="str">
        <f t="shared" si="2"/>
        <v/>
      </c>
      <c r="K65" s="12" t="str">
        <f>IF(J65="","",IF(AND(G65="OK",J65&gt;='01_Ficha_Dosis'!$C$23,F65&gt;='01_Ficha_Dosis'!$C$24,H65&gt;='01_Ficha_Dosis'!$C$14,H65&lt;='01_Ficha_Dosis'!$C$15),1,0))</f>
        <v/>
      </c>
      <c r="L65" s="12">
        <f t="shared" si="3"/>
        <v>0</v>
      </c>
    </row>
    <row r="66" ht="15.75" customHeight="1">
      <c r="A66" s="14"/>
      <c r="B66" s="14"/>
      <c r="C66" s="23"/>
      <c r="D66" s="23"/>
      <c r="E66" s="14"/>
      <c r="F66" s="14"/>
      <c r="G66" s="14"/>
      <c r="H66" s="24" t="str">
        <f t="shared" si="1"/>
        <v/>
      </c>
      <c r="I66" s="12" t="str">
        <f>IF(C66="","",INT((INT(C66)-'01_Ficha_Dosis'!$C$14)/7)+1)</f>
        <v/>
      </c>
      <c r="J66" s="12" t="str">
        <f t="shared" si="2"/>
        <v/>
      </c>
      <c r="K66" s="12" t="str">
        <f>IF(J66="","",IF(AND(G66="OK",J66&gt;='01_Ficha_Dosis'!$C$23,F66&gt;='01_Ficha_Dosis'!$C$24,H66&gt;='01_Ficha_Dosis'!$C$14,H66&lt;='01_Ficha_Dosis'!$C$15),1,0))</f>
        <v/>
      </c>
      <c r="L66" s="12">
        <f t="shared" si="3"/>
        <v>0</v>
      </c>
    </row>
    <row r="67" ht="15.75" customHeight="1">
      <c r="A67" s="14"/>
      <c r="B67" s="14"/>
      <c r="C67" s="23"/>
      <c r="D67" s="23"/>
      <c r="E67" s="14"/>
      <c r="F67" s="14"/>
      <c r="G67" s="14"/>
      <c r="H67" s="24" t="str">
        <f t="shared" si="1"/>
        <v/>
      </c>
      <c r="I67" s="12" t="str">
        <f>IF(C67="","",INT((INT(C67)-'01_Ficha_Dosis'!$C$14)/7)+1)</f>
        <v/>
      </c>
      <c r="J67" s="12" t="str">
        <f t="shared" si="2"/>
        <v/>
      </c>
      <c r="K67" s="12" t="str">
        <f>IF(J67="","",IF(AND(G67="OK",J67&gt;='01_Ficha_Dosis'!$C$23,F67&gt;='01_Ficha_Dosis'!$C$24,H67&gt;='01_Ficha_Dosis'!$C$14,H67&lt;='01_Ficha_Dosis'!$C$15),1,0))</f>
        <v/>
      </c>
      <c r="L67" s="12">
        <f t="shared" si="3"/>
        <v>0</v>
      </c>
    </row>
    <row r="68" ht="15.75" customHeight="1">
      <c r="A68" s="14"/>
      <c r="B68" s="14"/>
      <c r="C68" s="23"/>
      <c r="D68" s="23"/>
      <c r="E68" s="14"/>
      <c r="F68" s="14"/>
      <c r="G68" s="14"/>
      <c r="H68" s="24" t="str">
        <f t="shared" si="1"/>
        <v/>
      </c>
      <c r="I68" s="12" t="str">
        <f>IF(C68="","",INT((INT(C68)-'01_Ficha_Dosis'!$C$14)/7)+1)</f>
        <v/>
      </c>
      <c r="J68" s="12" t="str">
        <f t="shared" si="2"/>
        <v/>
      </c>
      <c r="K68" s="12" t="str">
        <f>IF(J68="","",IF(AND(G68="OK",J68&gt;='01_Ficha_Dosis'!$C$23,F68&gt;='01_Ficha_Dosis'!$C$24,H68&gt;='01_Ficha_Dosis'!$C$14,H68&lt;='01_Ficha_Dosis'!$C$15),1,0))</f>
        <v/>
      </c>
      <c r="L68" s="12">
        <f t="shared" si="3"/>
        <v>0</v>
      </c>
    </row>
    <row r="69" ht="15.75" customHeight="1">
      <c r="A69" s="14"/>
      <c r="B69" s="14"/>
      <c r="C69" s="23"/>
      <c r="D69" s="23"/>
      <c r="E69" s="14"/>
      <c r="F69" s="14"/>
      <c r="G69" s="14"/>
      <c r="H69" s="24" t="str">
        <f t="shared" si="1"/>
        <v/>
      </c>
      <c r="I69" s="12" t="str">
        <f>IF(C69="","",INT((INT(C69)-'01_Ficha_Dosis'!$C$14)/7)+1)</f>
        <v/>
      </c>
      <c r="J69" s="12" t="str">
        <f t="shared" si="2"/>
        <v/>
      </c>
      <c r="K69" s="12" t="str">
        <f>IF(J69="","",IF(AND(G69="OK",J69&gt;='01_Ficha_Dosis'!$C$23,F69&gt;='01_Ficha_Dosis'!$C$24,H69&gt;='01_Ficha_Dosis'!$C$14,H69&lt;='01_Ficha_Dosis'!$C$15),1,0))</f>
        <v/>
      </c>
      <c r="L69" s="12">
        <f t="shared" si="3"/>
        <v>0</v>
      </c>
    </row>
    <row r="70" ht="15.75" customHeight="1">
      <c r="A70" s="14"/>
      <c r="B70" s="14"/>
      <c r="C70" s="23"/>
      <c r="D70" s="23"/>
      <c r="E70" s="14"/>
      <c r="F70" s="14"/>
      <c r="G70" s="14"/>
      <c r="H70" s="24" t="str">
        <f t="shared" si="1"/>
        <v/>
      </c>
      <c r="I70" s="12" t="str">
        <f>IF(C70="","",INT((INT(C70)-'01_Ficha_Dosis'!$C$14)/7)+1)</f>
        <v/>
      </c>
      <c r="J70" s="12" t="str">
        <f t="shared" si="2"/>
        <v/>
      </c>
      <c r="K70" s="12" t="str">
        <f>IF(J70="","",IF(AND(G70="OK",J70&gt;='01_Ficha_Dosis'!$C$23,F70&gt;='01_Ficha_Dosis'!$C$24,H70&gt;='01_Ficha_Dosis'!$C$14,H70&lt;='01_Ficha_Dosis'!$C$15),1,0))</f>
        <v/>
      </c>
      <c r="L70" s="12">
        <f t="shared" si="3"/>
        <v>0</v>
      </c>
    </row>
    <row r="71" ht="15.75" customHeight="1">
      <c r="A71" s="14"/>
      <c r="B71" s="14"/>
      <c r="C71" s="23"/>
      <c r="D71" s="23"/>
      <c r="E71" s="14"/>
      <c r="F71" s="14"/>
      <c r="G71" s="14"/>
      <c r="H71" s="24" t="str">
        <f t="shared" si="1"/>
        <v/>
      </c>
      <c r="I71" s="12" t="str">
        <f>IF(C71="","",INT((INT(C71)-'01_Ficha_Dosis'!$C$14)/7)+1)</f>
        <v/>
      </c>
      <c r="J71" s="12" t="str">
        <f t="shared" si="2"/>
        <v/>
      </c>
      <c r="K71" s="12" t="str">
        <f>IF(J71="","",IF(AND(G71="OK",J71&gt;='01_Ficha_Dosis'!$C$23,F71&gt;='01_Ficha_Dosis'!$C$24,H71&gt;='01_Ficha_Dosis'!$C$14,H71&lt;='01_Ficha_Dosis'!$C$15),1,0))</f>
        <v/>
      </c>
      <c r="L71" s="12">
        <f t="shared" si="3"/>
        <v>0</v>
      </c>
    </row>
    <row r="72" ht="15.75" customHeight="1">
      <c r="A72" s="14"/>
      <c r="B72" s="14"/>
      <c r="C72" s="23"/>
      <c r="D72" s="23"/>
      <c r="E72" s="14"/>
      <c r="F72" s="14"/>
      <c r="G72" s="14"/>
      <c r="H72" s="24" t="str">
        <f t="shared" si="1"/>
        <v/>
      </c>
      <c r="I72" s="12" t="str">
        <f>IF(C72="","",INT((INT(C72)-'01_Ficha_Dosis'!$C$14)/7)+1)</f>
        <v/>
      </c>
      <c r="J72" s="12" t="str">
        <f t="shared" si="2"/>
        <v/>
      </c>
      <c r="K72" s="12" t="str">
        <f>IF(J72="","",IF(AND(G72="OK",J72&gt;='01_Ficha_Dosis'!$C$23,F72&gt;='01_Ficha_Dosis'!$C$24,H72&gt;='01_Ficha_Dosis'!$C$14,H72&lt;='01_Ficha_Dosis'!$C$15),1,0))</f>
        <v/>
      </c>
      <c r="L72" s="12">
        <f t="shared" si="3"/>
        <v>0</v>
      </c>
    </row>
    <row r="73" ht="15.75" customHeight="1">
      <c r="A73" s="14"/>
      <c r="B73" s="14"/>
      <c r="C73" s="23"/>
      <c r="D73" s="23"/>
      <c r="E73" s="14"/>
      <c r="F73" s="14"/>
      <c r="G73" s="14"/>
      <c r="H73" s="24" t="str">
        <f t="shared" si="1"/>
        <v/>
      </c>
      <c r="I73" s="12" t="str">
        <f>IF(C73="","",INT((INT(C73)-'01_Ficha_Dosis'!$C$14)/7)+1)</f>
        <v/>
      </c>
      <c r="J73" s="12" t="str">
        <f t="shared" si="2"/>
        <v/>
      </c>
      <c r="K73" s="12" t="str">
        <f>IF(J73="","",IF(AND(G73="OK",J73&gt;='01_Ficha_Dosis'!$C$23,F73&gt;='01_Ficha_Dosis'!$C$24,H73&gt;='01_Ficha_Dosis'!$C$14,H73&lt;='01_Ficha_Dosis'!$C$15),1,0))</f>
        <v/>
      </c>
      <c r="L73" s="12">
        <f t="shared" si="3"/>
        <v>0</v>
      </c>
    </row>
    <row r="74" ht="15.75" customHeight="1">
      <c r="A74" s="14"/>
      <c r="B74" s="14"/>
      <c r="C74" s="23"/>
      <c r="D74" s="23"/>
      <c r="E74" s="14"/>
      <c r="F74" s="14"/>
      <c r="G74" s="14"/>
      <c r="H74" s="24" t="str">
        <f t="shared" si="1"/>
        <v/>
      </c>
      <c r="I74" s="12" t="str">
        <f>IF(C74="","",INT((INT(C74)-'01_Ficha_Dosis'!$C$14)/7)+1)</f>
        <v/>
      </c>
      <c r="J74" s="12" t="str">
        <f t="shared" si="2"/>
        <v/>
      </c>
      <c r="K74" s="12" t="str">
        <f>IF(J74="","",IF(AND(G74="OK",J74&gt;='01_Ficha_Dosis'!$C$23,F74&gt;='01_Ficha_Dosis'!$C$24,H74&gt;='01_Ficha_Dosis'!$C$14,H74&lt;='01_Ficha_Dosis'!$C$15),1,0))</f>
        <v/>
      </c>
      <c r="L74" s="12">
        <f t="shared" si="3"/>
        <v>0</v>
      </c>
    </row>
    <row r="75" ht="15.75" customHeight="1">
      <c r="A75" s="14"/>
      <c r="B75" s="14"/>
      <c r="C75" s="23"/>
      <c r="D75" s="23"/>
      <c r="E75" s="14"/>
      <c r="F75" s="14"/>
      <c r="G75" s="14"/>
      <c r="H75" s="24" t="str">
        <f t="shared" si="1"/>
        <v/>
      </c>
      <c r="I75" s="12" t="str">
        <f>IF(C75="","",INT((INT(C75)-'01_Ficha_Dosis'!$C$14)/7)+1)</f>
        <v/>
      </c>
      <c r="J75" s="12" t="str">
        <f t="shared" si="2"/>
        <v/>
      </c>
      <c r="K75" s="12" t="str">
        <f>IF(J75="","",IF(AND(G75="OK",J75&gt;='01_Ficha_Dosis'!$C$23,F75&gt;='01_Ficha_Dosis'!$C$24,H75&gt;='01_Ficha_Dosis'!$C$14,H75&lt;='01_Ficha_Dosis'!$C$15),1,0))</f>
        <v/>
      </c>
      <c r="L75" s="12">
        <f t="shared" si="3"/>
        <v>0</v>
      </c>
    </row>
    <row r="76" ht="15.75" customHeight="1">
      <c r="A76" s="14"/>
      <c r="B76" s="14"/>
      <c r="C76" s="23"/>
      <c r="D76" s="23"/>
      <c r="E76" s="14"/>
      <c r="F76" s="14"/>
      <c r="G76" s="14"/>
      <c r="H76" s="24" t="str">
        <f t="shared" si="1"/>
        <v/>
      </c>
      <c r="I76" s="12" t="str">
        <f>IF(C76="","",INT((INT(C76)-'01_Ficha_Dosis'!$C$14)/7)+1)</f>
        <v/>
      </c>
      <c r="J76" s="12" t="str">
        <f t="shared" si="2"/>
        <v/>
      </c>
      <c r="K76" s="12" t="str">
        <f>IF(J76="","",IF(AND(G76="OK",J76&gt;='01_Ficha_Dosis'!$C$23,F76&gt;='01_Ficha_Dosis'!$C$24,H76&gt;='01_Ficha_Dosis'!$C$14,H76&lt;='01_Ficha_Dosis'!$C$15),1,0))</f>
        <v/>
      </c>
      <c r="L76" s="12">
        <f t="shared" si="3"/>
        <v>0</v>
      </c>
    </row>
    <row r="77" ht="15.75" customHeight="1">
      <c r="A77" s="14"/>
      <c r="B77" s="14"/>
      <c r="C77" s="23"/>
      <c r="D77" s="23"/>
      <c r="E77" s="14"/>
      <c r="F77" s="14"/>
      <c r="G77" s="14"/>
      <c r="H77" s="24" t="str">
        <f t="shared" si="1"/>
        <v/>
      </c>
      <c r="I77" s="12" t="str">
        <f>IF(C77="","",INT((INT(C77)-'01_Ficha_Dosis'!$C$14)/7)+1)</f>
        <v/>
      </c>
      <c r="J77" s="12" t="str">
        <f t="shared" si="2"/>
        <v/>
      </c>
      <c r="K77" s="12" t="str">
        <f>IF(J77="","",IF(AND(G77="OK",J77&gt;='01_Ficha_Dosis'!$C$23,F77&gt;='01_Ficha_Dosis'!$C$24,H77&gt;='01_Ficha_Dosis'!$C$14,H77&lt;='01_Ficha_Dosis'!$C$15),1,0))</f>
        <v/>
      </c>
      <c r="L77" s="12">
        <f t="shared" si="3"/>
        <v>0</v>
      </c>
    </row>
    <row r="78" ht="15.75" customHeight="1">
      <c r="A78" s="14"/>
      <c r="B78" s="14"/>
      <c r="C78" s="23"/>
      <c r="D78" s="23"/>
      <c r="E78" s="14"/>
      <c r="F78" s="14"/>
      <c r="G78" s="14"/>
      <c r="H78" s="24" t="str">
        <f t="shared" si="1"/>
        <v/>
      </c>
      <c r="I78" s="12" t="str">
        <f>IF(C78="","",INT((INT(C78)-'01_Ficha_Dosis'!$C$14)/7)+1)</f>
        <v/>
      </c>
      <c r="J78" s="12" t="str">
        <f t="shared" si="2"/>
        <v/>
      </c>
      <c r="K78" s="12" t="str">
        <f>IF(J78="","",IF(AND(G78="OK",J78&gt;='01_Ficha_Dosis'!$C$23,F78&gt;='01_Ficha_Dosis'!$C$24,H78&gt;='01_Ficha_Dosis'!$C$14,H78&lt;='01_Ficha_Dosis'!$C$15),1,0))</f>
        <v/>
      </c>
      <c r="L78" s="12">
        <f t="shared" si="3"/>
        <v>0</v>
      </c>
    </row>
    <row r="79" ht="15.75" customHeight="1">
      <c r="A79" s="14"/>
      <c r="B79" s="14"/>
      <c r="C79" s="23"/>
      <c r="D79" s="23"/>
      <c r="E79" s="14"/>
      <c r="F79" s="14"/>
      <c r="G79" s="14"/>
      <c r="H79" s="24" t="str">
        <f t="shared" si="1"/>
        <v/>
      </c>
      <c r="I79" s="12" t="str">
        <f>IF(C79="","",INT((INT(C79)-'01_Ficha_Dosis'!$C$14)/7)+1)</f>
        <v/>
      </c>
      <c r="J79" s="12" t="str">
        <f t="shared" si="2"/>
        <v/>
      </c>
      <c r="K79" s="12" t="str">
        <f>IF(J79="","",IF(AND(G79="OK",J79&gt;='01_Ficha_Dosis'!$C$23,F79&gt;='01_Ficha_Dosis'!$C$24,H79&gt;='01_Ficha_Dosis'!$C$14,H79&lt;='01_Ficha_Dosis'!$C$15),1,0))</f>
        <v/>
      </c>
      <c r="L79" s="12">
        <f t="shared" si="3"/>
        <v>0</v>
      </c>
    </row>
    <row r="80" ht="15.75" customHeight="1">
      <c r="A80" s="14"/>
      <c r="B80" s="14"/>
      <c r="C80" s="23"/>
      <c r="D80" s="23"/>
      <c r="E80" s="14"/>
      <c r="F80" s="14"/>
      <c r="G80" s="14"/>
      <c r="H80" s="24" t="str">
        <f t="shared" si="1"/>
        <v/>
      </c>
      <c r="I80" s="12" t="str">
        <f>IF(C80="","",INT((INT(C80)-'01_Ficha_Dosis'!$C$14)/7)+1)</f>
        <v/>
      </c>
      <c r="J80" s="12" t="str">
        <f t="shared" si="2"/>
        <v/>
      </c>
      <c r="K80" s="12" t="str">
        <f>IF(J80="","",IF(AND(G80="OK",J80&gt;='01_Ficha_Dosis'!$C$23,F80&gt;='01_Ficha_Dosis'!$C$24,H80&gt;='01_Ficha_Dosis'!$C$14,H80&lt;='01_Ficha_Dosis'!$C$15),1,0))</f>
        <v/>
      </c>
      <c r="L80" s="12">
        <f t="shared" si="3"/>
        <v>0</v>
      </c>
    </row>
    <row r="81" ht="15.75" customHeight="1">
      <c r="A81" s="14"/>
      <c r="B81" s="14"/>
      <c r="C81" s="23"/>
      <c r="D81" s="23"/>
      <c r="E81" s="14"/>
      <c r="F81" s="14"/>
      <c r="G81" s="14"/>
      <c r="H81" s="24" t="str">
        <f t="shared" si="1"/>
        <v/>
      </c>
      <c r="I81" s="12" t="str">
        <f>IF(C81="","",INT((INT(C81)-'01_Ficha_Dosis'!$C$14)/7)+1)</f>
        <v/>
      </c>
      <c r="J81" s="12" t="str">
        <f t="shared" si="2"/>
        <v/>
      </c>
      <c r="K81" s="12" t="str">
        <f>IF(J81="","",IF(AND(G81="OK",J81&gt;='01_Ficha_Dosis'!$C$23,F81&gt;='01_Ficha_Dosis'!$C$24,H81&gt;='01_Ficha_Dosis'!$C$14,H81&lt;='01_Ficha_Dosis'!$C$15),1,0))</f>
        <v/>
      </c>
      <c r="L81" s="12">
        <f t="shared" si="3"/>
        <v>0</v>
      </c>
    </row>
    <row r="82" ht="15.75" customHeight="1">
      <c r="A82" s="14"/>
      <c r="B82" s="14"/>
      <c r="C82" s="23"/>
      <c r="D82" s="23"/>
      <c r="E82" s="14"/>
      <c r="F82" s="14"/>
      <c r="G82" s="14"/>
      <c r="H82" s="24" t="str">
        <f t="shared" si="1"/>
        <v/>
      </c>
      <c r="I82" s="12" t="str">
        <f>IF(C82="","",INT((INT(C82)-'01_Ficha_Dosis'!$C$14)/7)+1)</f>
        <v/>
      </c>
      <c r="J82" s="12" t="str">
        <f t="shared" si="2"/>
        <v/>
      </c>
      <c r="K82" s="12" t="str">
        <f>IF(J82="","",IF(AND(G82="OK",J82&gt;='01_Ficha_Dosis'!$C$23,F82&gt;='01_Ficha_Dosis'!$C$24,H82&gt;='01_Ficha_Dosis'!$C$14,H82&lt;='01_Ficha_Dosis'!$C$15),1,0))</f>
        <v/>
      </c>
      <c r="L82" s="12">
        <f t="shared" si="3"/>
        <v>0</v>
      </c>
    </row>
    <row r="83" ht="15.75" customHeight="1">
      <c r="A83" s="14"/>
      <c r="B83" s="14"/>
      <c r="C83" s="23"/>
      <c r="D83" s="23"/>
      <c r="E83" s="14"/>
      <c r="F83" s="14"/>
      <c r="G83" s="14"/>
      <c r="H83" s="24" t="str">
        <f t="shared" si="1"/>
        <v/>
      </c>
      <c r="I83" s="12" t="str">
        <f>IF(C83="","",INT((INT(C83)-'01_Ficha_Dosis'!$C$14)/7)+1)</f>
        <v/>
      </c>
      <c r="J83" s="12" t="str">
        <f t="shared" si="2"/>
        <v/>
      </c>
      <c r="K83" s="12" t="str">
        <f>IF(J83="","",IF(AND(G83="OK",J83&gt;='01_Ficha_Dosis'!$C$23,F83&gt;='01_Ficha_Dosis'!$C$24,H83&gt;='01_Ficha_Dosis'!$C$14,H83&lt;='01_Ficha_Dosis'!$C$15),1,0))</f>
        <v/>
      </c>
      <c r="L83" s="12">
        <f t="shared" si="3"/>
        <v>0</v>
      </c>
    </row>
    <row r="84" ht="15.75" customHeight="1">
      <c r="A84" s="14"/>
      <c r="B84" s="14"/>
      <c r="C84" s="23"/>
      <c r="D84" s="23"/>
      <c r="E84" s="14"/>
      <c r="F84" s="14"/>
      <c r="G84" s="14"/>
      <c r="H84" s="24" t="str">
        <f t="shared" si="1"/>
        <v/>
      </c>
      <c r="I84" s="12" t="str">
        <f>IF(C84="","",INT((INT(C84)-'01_Ficha_Dosis'!$C$14)/7)+1)</f>
        <v/>
      </c>
      <c r="J84" s="12" t="str">
        <f t="shared" si="2"/>
        <v/>
      </c>
      <c r="K84" s="12" t="str">
        <f>IF(J84="","",IF(AND(G84="OK",J84&gt;='01_Ficha_Dosis'!$C$23,F84&gt;='01_Ficha_Dosis'!$C$24,H84&gt;='01_Ficha_Dosis'!$C$14,H84&lt;='01_Ficha_Dosis'!$C$15),1,0))</f>
        <v/>
      </c>
      <c r="L84" s="12">
        <f t="shared" si="3"/>
        <v>0</v>
      </c>
    </row>
    <row r="85" ht="15.75" customHeight="1">
      <c r="A85" s="14"/>
      <c r="B85" s="14"/>
      <c r="C85" s="23"/>
      <c r="D85" s="23"/>
      <c r="E85" s="14"/>
      <c r="F85" s="14"/>
      <c r="G85" s="14"/>
      <c r="H85" s="24" t="str">
        <f t="shared" si="1"/>
        <v/>
      </c>
      <c r="I85" s="12" t="str">
        <f>IF(C85="","",INT((INT(C85)-'01_Ficha_Dosis'!$C$14)/7)+1)</f>
        <v/>
      </c>
      <c r="J85" s="12" t="str">
        <f t="shared" si="2"/>
        <v/>
      </c>
      <c r="K85" s="12" t="str">
        <f>IF(J85="","",IF(AND(G85="OK",J85&gt;='01_Ficha_Dosis'!$C$23,F85&gt;='01_Ficha_Dosis'!$C$24,H85&gt;='01_Ficha_Dosis'!$C$14,H85&lt;='01_Ficha_Dosis'!$C$15),1,0))</f>
        <v/>
      </c>
      <c r="L85" s="12">
        <f t="shared" si="3"/>
        <v>0</v>
      </c>
    </row>
    <row r="86" ht="15.75" customHeight="1">
      <c r="A86" s="14"/>
      <c r="B86" s="14"/>
      <c r="C86" s="23"/>
      <c r="D86" s="23"/>
      <c r="E86" s="14"/>
      <c r="F86" s="14"/>
      <c r="G86" s="14"/>
      <c r="H86" s="24" t="str">
        <f t="shared" si="1"/>
        <v/>
      </c>
      <c r="I86" s="12" t="str">
        <f>IF(C86="","",INT((INT(C86)-'01_Ficha_Dosis'!$C$14)/7)+1)</f>
        <v/>
      </c>
      <c r="J86" s="12" t="str">
        <f t="shared" si="2"/>
        <v/>
      </c>
      <c r="K86" s="12" t="str">
        <f>IF(J86="","",IF(AND(G86="OK",J86&gt;='01_Ficha_Dosis'!$C$23,F86&gt;='01_Ficha_Dosis'!$C$24,H86&gt;='01_Ficha_Dosis'!$C$14,H86&lt;='01_Ficha_Dosis'!$C$15),1,0))</f>
        <v/>
      </c>
      <c r="L86" s="12">
        <f t="shared" si="3"/>
        <v>0</v>
      </c>
    </row>
    <row r="87" ht="15.75" customHeight="1">
      <c r="A87" s="14"/>
      <c r="B87" s="14"/>
      <c r="C87" s="23"/>
      <c r="D87" s="23"/>
      <c r="E87" s="14"/>
      <c r="F87" s="14"/>
      <c r="G87" s="14"/>
      <c r="H87" s="24" t="str">
        <f t="shared" si="1"/>
        <v/>
      </c>
      <c r="I87" s="12" t="str">
        <f>IF(C87="","",INT((INT(C87)-'01_Ficha_Dosis'!$C$14)/7)+1)</f>
        <v/>
      </c>
      <c r="J87" s="12" t="str">
        <f t="shared" si="2"/>
        <v/>
      </c>
      <c r="K87" s="12" t="str">
        <f>IF(J87="","",IF(AND(G87="OK",J87&gt;='01_Ficha_Dosis'!$C$23,F87&gt;='01_Ficha_Dosis'!$C$24,H87&gt;='01_Ficha_Dosis'!$C$14,H87&lt;='01_Ficha_Dosis'!$C$15),1,0))</f>
        <v/>
      </c>
      <c r="L87" s="12">
        <f t="shared" si="3"/>
        <v>0</v>
      </c>
    </row>
    <row r="88" ht="15.75" customHeight="1">
      <c r="A88" s="14"/>
      <c r="B88" s="14"/>
      <c r="C88" s="23"/>
      <c r="D88" s="23"/>
      <c r="E88" s="14"/>
      <c r="F88" s="14"/>
      <c r="G88" s="14"/>
      <c r="H88" s="24" t="str">
        <f t="shared" si="1"/>
        <v/>
      </c>
      <c r="I88" s="12" t="str">
        <f>IF(C88="","",INT((INT(C88)-'01_Ficha_Dosis'!$C$14)/7)+1)</f>
        <v/>
      </c>
      <c r="J88" s="12" t="str">
        <f t="shared" si="2"/>
        <v/>
      </c>
      <c r="K88" s="12" t="str">
        <f>IF(J88="","",IF(AND(G88="OK",J88&gt;='01_Ficha_Dosis'!$C$23,F88&gt;='01_Ficha_Dosis'!$C$24,H88&gt;='01_Ficha_Dosis'!$C$14,H88&lt;='01_Ficha_Dosis'!$C$15),1,0))</f>
        <v/>
      </c>
      <c r="L88" s="12">
        <f t="shared" si="3"/>
        <v>0</v>
      </c>
    </row>
    <row r="89" ht="15.75" customHeight="1">
      <c r="A89" s="14"/>
      <c r="B89" s="14"/>
      <c r="C89" s="23"/>
      <c r="D89" s="23"/>
      <c r="E89" s="14"/>
      <c r="F89" s="14"/>
      <c r="G89" s="14"/>
      <c r="H89" s="24" t="str">
        <f t="shared" si="1"/>
        <v/>
      </c>
      <c r="I89" s="12" t="str">
        <f>IF(C89="","",INT((INT(C89)-'01_Ficha_Dosis'!$C$14)/7)+1)</f>
        <v/>
      </c>
      <c r="J89" s="12" t="str">
        <f t="shared" si="2"/>
        <v/>
      </c>
      <c r="K89" s="12" t="str">
        <f>IF(J89="","",IF(AND(G89="OK",J89&gt;='01_Ficha_Dosis'!$C$23,F89&gt;='01_Ficha_Dosis'!$C$24,H89&gt;='01_Ficha_Dosis'!$C$14,H89&lt;='01_Ficha_Dosis'!$C$15),1,0))</f>
        <v/>
      </c>
      <c r="L89" s="12">
        <f t="shared" si="3"/>
        <v>0</v>
      </c>
    </row>
    <row r="90" ht="15.75" customHeight="1">
      <c r="A90" s="14"/>
      <c r="B90" s="14"/>
      <c r="C90" s="23"/>
      <c r="D90" s="23"/>
      <c r="E90" s="14"/>
      <c r="F90" s="14"/>
      <c r="G90" s="14"/>
      <c r="H90" s="24" t="str">
        <f t="shared" si="1"/>
        <v/>
      </c>
      <c r="I90" s="12" t="str">
        <f>IF(C90="","",INT((INT(C90)-'01_Ficha_Dosis'!$C$14)/7)+1)</f>
        <v/>
      </c>
      <c r="J90" s="12" t="str">
        <f t="shared" si="2"/>
        <v/>
      </c>
      <c r="K90" s="12" t="str">
        <f>IF(J90="","",IF(AND(G90="OK",J90&gt;='01_Ficha_Dosis'!$C$23,F90&gt;='01_Ficha_Dosis'!$C$24,H90&gt;='01_Ficha_Dosis'!$C$14,H90&lt;='01_Ficha_Dosis'!$C$15),1,0))</f>
        <v/>
      </c>
      <c r="L90" s="12">
        <f t="shared" si="3"/>
        <v>0</v>
      </c>
    </row>
    <row r="91" ht="15.75" customHeight="1">
      <c r="A91" s="14"/>
      <c r="B91" s="14"/>
      <c r="C91" s="23"/>
      <c r="D91" s="23"/>
      <c r="E91" s="14"/>
      <c r="F91" s="14"/>
      <c r="G91" s="14"/>
      <c r="H91" s="24" t="str">
        <f t="shared" si="1"/>
        <v/>
      </c>
      <c r="I91" s="12" t="str">
        <f>IF(C91="","",INT((INT(C91)-'01_Ficha_Dosis'!$C$14)/7)+1)</f>
        <v/>
      </c>
      <c r="J91" s="12" t="str">
        <f t="shared" si="2"/>
        <v/>
      </c>
      <c r="K91" s="12" t="str">
        <f>IF(J91="","",IF(AND(G91="OK",J91&gt;='01_Ficha_Dosis'!$C$23,F91&gt;='01_Ficha_Dosis'!$C$24,H91&gt;='01_Ficha_Dosis'!$C$14,H91&lt;='01_Ficha_Dosis'!$C$15),1,0))</f>
        <v/>
      </c>
      <c r="L91" s="12">
        <f t="shared" si="3"/>
        <v>0</v>
      </c>
    </row>
    <row r="92" ht="15.75" customHeight="1">
      <c r="A92" s="14"/>
      <c r="B92" s="14"/>
      <c r="C92" s="23"/>
      <c r="D92" s="23"/>
      <c r="E92" s="14"/>
      <c r="F92" s="14"/>
      <c r="G92" s="14"/>
      <c r="H92" s="24" t="str">
        <f t="shared" si="1"/>
        <v/>
      </c>
      <c r="I92" s="12" t="str">
        <f>IF(C92="","",INT((INT(C92)-'01_Ficha_Dosis'!$C$14)/7)+1)</f>
        <v/>
      </c>
      <c r="J92" s="12" t="str">
        <f t="shared" si="2"/>
        <v/>
      </c>
      <c r="K92" s="12" t="str">
        <f>IF(J92="","",IF(AND(G92="OK",J92&gt;='01_Ficha_Dosis'!$C$23,F92&gt;='01_Ficha_Dosis'!$C$24,H92&gt;='01_Ficha_Dosis'!$C$14,H92&lt;='01_Ficha_Dosis'!$C$15),1,0))</f>
        <v/>
      </c>
      <c r="L92" s="12">
        <f t="shared" si="3"/>
        <v>0</v>
      </c>
    </row>
    <row r="93" ht="15.75" customHeight="1">
      <c r="A93" s="14"/>
      <c r="B93" s="14"/>
      <c r="C93" s="23"/>
      <c r="D93" s="23"/>
      <c r="E93" s="14"/>
      <c r="F93" s="14"/>
      <c r="G93" s="14"/>
      <c r="H93" s="24" t="str">
        <f t="shared" si="1"/>
        <v/>
      </c>
      <c r="I93" s="12" t="str">
        <f>IF(C93="","",INT((INT(C93)-'01_Ficha_Dosis'!$C$14)/7)+1)</f>
        <v/>
      </c>
      <c r="J93" s="12" t="str">
        <f t="shared" si="2"/>
        <v/>
      </c>
      <c r="K93" s="12" t="str">
        <f>IF(J93="","",IF(AND(G93="OK",J93&gt;='01_Ficha_Dosis'!$C$23,F93&gt;='01_Ficha_Dosis'!$C$24,H93&gt;='01_Ficha_Dosis'!$C$14,H93&lt;='01_Ficha_Dosis'!$C$15),1,0))</f>
        <v/>
      </c>
      <c r="L93" s="12">
        <f t="shared" si="3"/>
        <v>0</v>
      </c>
    </row>
    <row r="94" ht="15.75" customHeight="1">
      <c r="A94" s="14"/>
      <c r="B94" s="14"/>
      <c r="C94" s="23"/>
      <c r="D94" s="23"/>
      <c r="E94" s="14"/>
      <c r="F94" s="14"/>
      <c r="G94" s="14"/>
      <c r="H94" s="24" t="str">
        <f t="shared" si="1"/>
        <v/>
      </c>
      <c r="I94" s="12" t="str">
        <f>IF(C94="","",INT((INT(C94)-'01_Ficha_Dosis'!$C$14)/7)+1)</f>
        <v/>
      </c>
      <c r="J94" s="12" t="str">
        <f t="shared" si="2"/>
        <v/>
      </c>
      <c r="K94" s="12" t="str">
        <f>IF(J94="","",IF(AND(G94="OK",J94&gt;='01_Ficha_Dosis'!$C$23,F94&gt;='01_Ficha_Dosis'!$C$24,H94&gt;='01_Ficha_Dosis'!$C$14,H94&lt;='01_Ficha_Dosis'!$C$15),1,0))</f>
        <v/>
      </c>
      <c r="L94" s="12">
        <f t="shared" si="3"/>
        <v>0</v>
      </c>
    </row>
    <row r="95" ht="15.75" customHeight="1">
      <c r="A95" s="14"/>
      <c r="B95" s="14"/>
      <c r="C95" s="23"/>
      <c r="D95" s="23"/>
      <c r="E95" s="14"/>
      <c r="F95" s="14"/>
      <c r="G95" s="14"/>
      <c r="H95" s="24" t="str">
        <f t="shared" si="1"/>
        <v/>
      </c>
      <c r="I95" s="12" t="str">
        <f>IF(C95="","",INT((INT(C95)-'01_Ficha_Dosis'!$C$14)/7)+1)</f>
        <v/>
      </c>
      <c r="J95" s="12" t="str">
        <f t="shared" si="2"/>
        <v/>
      </c>
      <c r="K95" s="12" t="str">
        <f>IF(J95="","",IF(AND(G95="OK",J95&gt;='01_Ficha_Dosis'!$C$23,F95&gt;='01_Ficha_Dosis'!$C$24,H95&gt;='01_Ficha_Dosis'!$C$14,H95&lt;='01_Ficha_Dosis'!$C$15),1,0))</f>
        <v/>
      </c>
      <c r="L95" s="12">
        <f t="shared" si="3"/>
        <v>0</v>
      </c>
    </row>
    <row r="96" ht="15.75" customHeight="1">
      <c r="A96" s="14"/>
      <c r="B96" s="14"/>
      <c r="C96" s="23"/>
      <c r="D96" s="23"/>
      <c r="E96" s="14"/>
      <c r="F96" s="14"/>
      <c r="G96" s="14"/>
      <c r="H96" s="24" t="str">
        <f t="shared" si="1"/>
        <v/>
      </c>
      <c r="I96" s="12" t="str">
        <f>IF(C96="","",INT((INT(C96)-'01_Ficha_Dosis'!$C$14)/7)+1)</f>
        <v/>
      </c>
      <c r="J96" s="12" t="str">
        <f t="shared" si="2"/>
        <v/>
      </c>
      <c r="K96" s="12" t="str">
        <f>IF(J96="","",IF(AND(G96="OK",J96&gt;='01_Ficha_Dosis'!$C$23,F96&gt;='01_Ficha_Dosis'!$C$24,H96&gt;='01_Ficha_Dosis'!$C$14,H96&lt;='01_Ficha_Dosis'!$C$15),1,0))</f>
        <v/>
      </c>
      <c r="L96" s="12">
        <f t="shared" si="3"/>
        <v>0</v>
      </c>
    </row>
    <row r="97" ht="15.75" customHeight="1">
      <c r="A97" s="14"/>
      <c r="B97" s="14"/>
      <c r="C97" s="23"/>
      <c r="D97" s="23"/>
      <c r="E97" s="14"/>
      <c r="F97" s="14"/>
      <c r="G97" s="14"/>
      <c r="H97" s="24" t="str">
        <f t="shared" si="1"/>
        <v/>
      </c>
      <c r="I97" s="12" t="str">
        <f>IF(C97="","",INT((INT(C97)-'01_Ficha_Dosis'!$C$14)/7)+1)</f>
        <v/>
      </c>
      <c r="J97" s="12" t="str">
        <f t="shared" si="2"/>
        <v/>
      </c>
      <c r="K97" s="12" t="str">
        <f>IF(J97="","",IF(AND(G97="OK",J97&gt;='01_Ficha_Dosis'!$C$23,F97&gt;='01_Ficha_Dosis'!$C$24,H97&gt;='01_Ficha_Dosis'!$C$14,H97&lt;='01_Ficha_Dosis'!$C$15),1,0))</f>
        <v/>
      </c>
      <c r="L97" s="12">
        <f t="shared" si="3"/>
        <v>0</v>
      </c>
    </row>
    <row r="98" ht="15.75" customHeight="1">
      <c r="A98" s="14"/>
      <c r="B98" s="14"/>
      <c r="C98" s="23"/>
      <c r="D98" s="23"/>
      <c r="E98" s="14"/>
      <c r="F98" s="14"/>
      <c r="G98" s="14"/>
      <c r="H98" s="24" t="str">
        <f t="shared" si="1"/>
        <v/>
      </c>
      <c r="I98" s="12" t="str">
        <f>IF(C98="","",INT((INT(C98)-'01_Ficha_Dosis'!$C$14)/7)+1)</f>
        <v/>
      </c>
      <c r="J98" s="12" t="str">
        <f t="shared" si="2"/>
        <v/>
      </c>
      <c r="K98" s="12" t="str">
        <f>IF(J98="","",IF(AND(G98="OK",J98&gt;='01_Ficha_Dosis'!$C$23,F98&gt;='01_Ficha_Dosis'!$C$24,H98&gt;='01_Ficha_Dosis'!$C$14,H98&lt;='01_Ficha_Dosis'!$C$15),1,0))</f>
        <v/>
      </c>
      <c r="L98" s="12">
        <f t="shared" si="3"/>
        <v>0</v>
      </c>
    </row>
    <row r="99" ht="15.75" customHeight="1">
      <c r="A99" s="14"/>
      <c r="B99" s="14"/>
      <c r="C99" s="23"/>
      <c r="D99" s="23"/>
      <c r="E99" s="14"/>
      <c r="F99" s="14"/>
      <c r="G99" s="14"/>
      <c r="H99" s="24" t="str">
        <f t="shared" si="1"/>
        <v/>
      </c>
      <c r="I99" s="12" t="str">
        <f>IF(C99="","",INT((INT(C99)-'01_Ficha_Dosis'!$C$14)/7)+1)</f>
        <v/>
      </c>
      <c r="J99" s="12" t="str">
        <f t="shared" si="2"/>
        <v/>
      </c>
      <c r="K99" s="12" t="str">
        <f>IF(J99="","",IF(AND(G99="OK",J99&gt;='01_Ficha_Dosis'!$C$23,F99&gt;='01_Ficha_Dosis'!$C$24,H99&gt;='01_Ficha_Dosis'!$C$14,H99&lt;='01_Ficha_Dosis'!$C$15),1,0))</f>
        <v/>
      </c>
      <c r="L99" s="12">
        <f t="shared" si="3"/>
        <v>0</v>
      </c>
    </row>
    <row r="100" ht="15.75" customHeight="1">
      <c r="A100" s="14"/>
      <c r="B100" s="14"/>
      <c r="C100" s="23"/>
      <c r="D100" s="23"/>
      <c r="E100" s="14"/>
      <c r="F100" s="14"/>
      <c r="G100" s="14"/>
      <c r="H100" s="24" t="str">
        <f t="shared" si="1"/>
        <v/>
      </c>
      <c r="I100" s="12" t="str">
        <f>IF(C100="","",INT((INT(C100)-'01_Ficha_Dosis'!$C$14)/7)+1)</f>
        <v/>
      </c>
      <c r="J100" s="12" t="str">
        <f t="shared" si="2"/>
        <v/>
      </c>
      <c r="K100" s="12" t="str">
        <f>IF(J100="","",IF(AND(G100="OK",J100&gt;='01_Ficha_Dosis'!$C$23,F100&gt;='01_Ficha_Dosis'!$C$24,H100&gt;='01_Ficha_Dosis'!$C$14,H100&lt;='01_Ficha_Dosis'!$C$15),1,0))</f>
        <v/>
      </c>
      <c r="L100" s="12">
        <f t="shared" si="3"/>
        <v>0</v>
      </c>
    </row>
    <row r="101" ht="15.75" customHeight="1">
      <c r="A101" s="14"/>
      <c r="B101" s="14"/>
      <c r="C101" s="23"/>
      <c r="D101" s="23"/>
      <c r="E101" s="14"/>
      <c r="F101" s="14"/>
      <c r="G101" s="14"/>
      <c r="H101" s="24" t="str">
        <f t="shared" si="1"/>
        <v/>
      </c>
      <c r="I101" s="12" t="str">
        <f>IF(C101="","",INT((INT(C101)-'01_Ficha_Dosis'!$C$14)/7)+1)</f>
        <v/>
      </c>
      <c r="J101" s="12" t="str">
        <f t="shared" si="2"/>
        <v/>
      </c>
      <c r="K101" s="12" t="str">
        <f>IF(J101="","",IF(AND(G101="OK",J101&gt;='01_Ficha_Dosis'!$C$23,F101&gt;='01_Ficha_Dosis'!$C$24,H101&gt;='01_Ficha_Dosis'!$C$14,H101&lt;='01_Ficha_Dosis'!$C$15),1,0))</f>
        <v/>
      </c>
      <c r="L101" s="12">
        <f t="shared" si="3"/>
        <v>0</v>
      </c>
    </row>
    <row r="102" ht="15.75" customHeight="1">
      <c r="A102" s="14"/>
      <c r="B102" s="14"/>
      <c r="C102" s="23"/>
      <c r="D102" s="23"/>
      <c r="E102" s="14"/>
      <c r="F102" s="14"/>
      <c r="G102" s="14"/>
      <c r="H102" s="24" t="str">
        <f t="shared" si="1"/>
        <v/>
      </c>
      <c r="I102" s="12" t="str">
        <f>IF(C102="","",INT((INT(C102)-'01_Ficha_Dosis'!$C$14)/7)+1)</f>
        <v/>
      </c>
      <c r="J102" s="12" t="str">
        <f t="shared" si="2"/>
        <v/>
      </c>
      <c r="K102" s="12" t="str">
        <f>IF(J102="","",IF(AND(G102="OK",J102&gt;='01_Ficha_Dosis'!$C$23,F102&gt;='01_Ficha_Dosis'!$C$24,H102&gt;='01_Ficha_Dosis'!$C$14,H102&lt;='01_Ficha_Dosis'!$C$15),1,0))</f>
        <v/>
      </c>
      <c r="L102" s="12">
        <f t="shared" si="3"/>
        <v>0</v>
      </c>
    </row>
    <row r="103" ht="15.75" customHeight="1">
      <c r="A103" s="14"/>
      <c r="B103" s="14"/>
      <c r="C103" s="23"/>
      <c r="D103" s="23"/>
      <c r="E103" s="14"/>
      <c r="F103" s="14"/>
      <c r="G103" s="14"/>
      <c r="H103" s="24" t="str">
        <f t="shared" si="1"/>
        <v/>
      </c>
      <c r="I103" s="12" t="str">
        <f>IF(C103="","",INT((INT(C103)-'01_Ficha_Dosis'!$C$14)/7)+1)</f>
        <v/>
      </c>
      <c r="J103" s="12" t="str">
        <f t="shared" si="2"/>
        <v/>
      </c>
      <c r="K103" s="12" t="str">
        <f>IF(J103="","",IF(AND(G103="OK",J103&gt;='01_Ficha_Dosis'!$C$23,F103&gt;='01_Ficha_Dosis'!$C$24,H103&gt;='01_Ficha_Dosis'!$C$14,H103&lt;='01_Ficha_Dosis'!$C$15),1,0))</f>
        <v/>
      </c>
      <c r="L103" s="12">
        <f t="shared" si="3"/>
        <v>0</v>
      </c>
    </row>
    <row r="104" ht="15.75" customHeight="1">
      <c r="A104" s="14"/>
      <c r="B104" s="14"/>
      <c r="C104" s="23"/>
      <c r="D104" s="23"/>
      <c r="E104" s="14"/>
      <c r="F104" s="14"/>
      <c r="G104" s="14"/>
      <c r="H104" s="24" t="str">
        <f t="shared" si="1"/>
        <v/>
      </c>
      <c r="I104" s="12" t="str">
        <f>IF(C104="","",INT((INT(C104)-'01_Ficha_Dosis'!$C$14)/7)+1)</f>
        <v/>
      </c>
      <c r="J104" s="12" t="str">
        <f t="shared" si="2"/>
        <v/>
      </c>
      <c r="K104" s="12" t="str">
        <f>IF(J104="","",IF(AND(G104="OK",J104&gt;='01_Ficha_Dosis'!$C$23,F104&gt;='01_Ficha_Dosis'!$C$24,H104&gt;='01_Ficha_Dosis'!$C$14,H104&lt;='01_Ficha_Dosis'!$C$15),1,0))</f>
        <v/>
      </c>
      <c r="L104" s="12">
        <f t="shared" si="3"/>
        <v>0</v>
      </c>
    </row>
    <row r="105" ht="15.75" customHeight="1">
      <c r="A105" s="14"/>
      <c r="B105" s="14"/>
      <c r="C105" s="23"/>
      <c r="D105" s="23"/>
      <c r="E105" s="14"/>
      <c r="F105" s="14"/>
      <c r="G105" s="14"/>
      <c r="H105" s="24" t="str">
        <f t="shared" si="1"/>
        <v/>
      </c>
      <c r="I105" s="12" t="str">
        <f>IF(C105="","",INT((INT(C105)-'01_Ficha_Dosis'!$C$14)/7)+1)</f>
        <v/>
      </c>
      <c r="J105" s="12" t="str">
        <f t="shared" si="2"/>
        <v/>
      </c>
      <c r="K105" s="12" t="str">
        <f>IF(J105="","",IF(AND(G105="OK",J105&gt;='01_Ficha_Dosis'!$C$23,F105&gt;='01_Ficha_Dosis'!$C$24,H105&gt;='01_Ficha_Dosis'!$C$14,H105&lt;='01_Ficha_Dosis'!$C$15),1,0))</f>
        <v/>
      </c>
      <c r="L105" s="12">
        <f t="shared" si="3"/>
        <v>0</v>
      </c>
    </row>
    <row r="106" ht="15.75" customHeight="1">
      <c r="A106" s="14"/>
      <c r="B106" s="14"/>
      <c r="C106" s="23"/>
      <c r="D106" s="23"/>
      <c r="E106" s="14"/>
      <c r="F106" s="14"/>
      <c r="G106" s="14"/>
      <c r="H106" s="24" t="str">
        <f t="shared" si="1"/>
        <v/>
      </c>
      <c r="I106" s="12" t="str">
        <f>IF(C106="","",INT((INT(C106)-'01_Ficha_Dosis'!$C$14)/7)+1)</f>
        <v/>
      </c>
      <c r="J106" s="12" t="str">
        <f t="shared" si="2"/>
        <v/>
      </c>
      <c r="K106" s="12" t="str">
        <f>IF(J106="","",IF(AND(G106="OK",J106&gt;='01_Ficha_Dosis'!$C$23,F106&gt;='01_Ficha_Dosis'!$C$24,H106&gt;='01_Ficha_Dosis'!$C$14,H106&lt;='01_Ficha_Dosis'!$C$15),1,0))</f>
        <v/>
      </c>
      <c r="L106" s="12">
        <f t="shared" si="3"/>
        <v>0</v>
      </c>
    </row>
    <row r="107" ht="15.75" customHeight="1">
      <c r="A107" s="14"/>
      <c r="B107" s="14"/>
      <c r="C107" s="23"/>
      <c r="D107" s="23"/>
      <c r="E107" s="14"/>
      <c r="F107" s="14"/>
      <c r="G107" s="14"/>
      <c r="H107" s="24" t="str">
        <f t="shared" si="1"/>
        <v/>
      </c>
      <c r="I107" s="12" t="str">
        <f>IF(C107="","",INT((INT(C107)-'01_Ficha_Dosis'!$C$14)/7)+1)</f>
        <v/>
      </c>
      <c r="J107" s="12" t="str">
        <f t="shared" si="2"/>
        <v/>
      </c>
      <c r="K107" s="12" t="str">
        <f>IF(J107="","",IF(AND(G107="OK",J107&gt;='01_Ficha_Dosis'!$C$23,F107&gt;='01_Ficha_Dosis'!$C$24,H107&gt;='01_Ficha_Dosis'!$C$14,H107&lt;='01_Ficha_Dosis'!$C$15),1,0))</f>
        <v/>
      </c>
      <c r="L107" s="12">
        <f t="shared" si="3"/>
        <v>0</v>
      </c>
    </row>
    <row r="108" ht="15.75" customHeight="1">
      <c r="A108" s="14"/>
      <c r="B108" s="14"/>
      <c r="C108" s="23"/>
      <c r="D108" s="23"/>
      <c r="E108" s="14"/>
      <c r="F108" s="14"/>
      <c r="G108" s="14"/>
      <c r="H108" s="24" t="str">
        <f t="shared" si="1"/>
        <v/>
      </c>
      <c r="I108" s="12" t="str">
        <f>IF(C108="","",INT((INT(C108)-'01_Ficha_Dosis'!$C$14)/7)+1)</f>
        <v/>
      </c>
      <c r="J108" s="12" t="str">
        <f t="shared" si="2"/>
        <v/>
      </c>
      <c r="K108" s="12" t="str">
        <f>IF(J108="","",IF(AND(G108="OK",J108&gt;='01_Ficha_Dosis'!$C$23,F108&gt;='01_Ficha_Dosis'!$C$24,H108&gt;='01_Ficha_Dosis'!$C$14,H108&lt;='01_Ficha_Dosis'!$C$15),1,0))</f>
        <v/>
      </c>
      <c r="L108" s="12">
        <f t="shared" si="3"/>
        <v>0</v>
      </c>
    </row>
    <row r="109" ht="15.75" customHeight="1">
      <c r="A109" s="14"/>
      <c r="B109" s="14"/>
      <c r="C109" s="23"/>
      <c r="D109" s="23"/>
      <c r="E109" s="14"/>
      <c r="F109" s="14"/>
      <c r="G109" s="14"/>
      <c r="H109" s="24" t="str">
        <f t="shared" si="1"/>
        <v/>
      </c>
      <c r="I109" s="12" t="str">
        <f>IF(C109="","",INT((INT(C109)-'01_Ficha_Dosis'!$C$14)/7)+1)</f>
        <v/>
      </c>
      <c r="J109" s="12" t="str">
        <f t="shared" si="2"/>
        <v/>
      </c>
      <c r="K109" s="12" t="str">
        <f>IF(J109="","",IF(AND(G109="OK",J109&gt;='01_Ficha_Dosis'!$C$23,F109&gt;='01_Ficha_Dosis'!$C$24,H109&gt;='01_Ficha_Dosis'!$C$14,H109&lt;='01_Ficha_Dosis'!$C$15),1,0))</f>
        <v/>
      </c>
      <c r="L109" s="12">
        <f t="shared" si="3"/>
        <v>0</v>
      </c>
    </row>
    <row r="110" ht="15.75" customHeight="1">
      <c r="A110" s="14"/>
      <c r="B110" s="14"/>
      <c r="C110" s="23"/>
      <c r="D110" s="23"/>
      <c r="E110" s="14"/>
      <c r="F110" s="14"/>
      <c r="G110" s="14"/>
      <c r="H110" s="24" t="str">
        <f t="shared" si="1"/>
        <v/>
      </c>
      <c r="I110" s="12" t="str">
        <f>IF(C110="","",INT((INT(C110)-'01_Ficha_Dosis'!$C$14)/7)+1)</f>
        <v/>
      </c>
      <c r="J110" s="12" t="str">
        <f t="shared" si="2"/>
        <v/>
      </c>
      <c r="K110" s="12" t="str">
        <f>IF(J110="","",IF(AND(G110="OK",J110&gt;='01_Ficha_Dosis'!$C$23,F110&gt;='01_Ficha_Dosis'!$C$24,H110&gt;='01_Ficha_Dosis'!$C$14,H110&lt;='01_Ficha_Dosis'!$C$15),1,0))</f>
        <v/>
      </c>
      <c r="L110" s="12">
        <f t="shared" si="3"/>
        <v>0</v>
      </c>
    </row>
    <row r="111" ht="15.75" customHeight="1">
      <c r="A111" s="14"/>
      <c r="B111" s="14"/>
      <c r="C111" s="23"/>
      <c r="D111" s="23"/>
      <c r="E111" s="14"/>
      <c r="F111" s="14"/>
      <c r="G111" s="14"/>
      <c r="H111" s="24" t="str">
        <f t="shared" si="1"/>
        <v/>
      </c>
      <c r="I111" s="12" t="str">
        <f>IF(C111="","",INT((INT(C111)-'01_Ficha_Dosis'!$C$14)/7)+1)</f>
        <v/>
      </c>
      <c r="J111" s="12" t="str">
        <f t="shared" si="2"/>
        <v/>
      </c>
      <c r="K111" s="12" t="str">
        <f>IF(J111="","",IF(AND(G111="OK",J111&gt;='01_Ficha_Dosis'!$C$23,F111&gt;='01_Ficha_Dosis'!$C$24,H111&gt;='01_Ficha_Dosis'!$C$14,H111&lt;='01_Ficha_Dosis'!$C$15),1,0))</f>
        <v/>
      </c>
      <c r="L111" s="12">
        <f t="shared" si="3"/>
        <v>0</v>
      </c>
    </row>
    <row r="112" ht="15.75" customHeight="1">
      <c r="A112" s="14"/>
      <c r="B112" s="14"/>
      <c r="C112" s="23"/>
      <c r="D112" s="23"/>
      <c r="E112" s="14"/>
      <c r="F112" s="14"/>
      <c r="G112" s="14"/>
      <c r="H112" s="24" t="str">
        <f t="shared" si="1"/>
        <v/>
      </c>
      <c r="I112" s="12" t="str">
        <f>IF(C112="","",INT((INT(C112)-'01_Ficha_Dosis'!$C$14)/7)+1)</f>
        <v/>
      </c>
      <c r="J112" s="12" t="str">
        <f t="shared" si="2"/>
        <v/>
      </c>
      <c r="K112" s="12" t="str">
        <f>IF(J112="","",IF(AND(G112="OK",J112&gt;='01_Ficha_Dosis'!$C$23,F112&gt;='01_Ficha_Dosis'!$C$24,H112&gt;='01_Ficha_Dosis'!$C$14,H112&lt;='01_Ficha_Dosis'!$C$15),1,0))</f>
        <v/>
      </c>
      <c r="L112" s="12">
        <f t="shared" si="3"/>
        <v>0</v>
      </c>
    </row>
    <row r="113" ht="15.75" customHeight="1">
      <c r="A113" s="14"/>
      <c r="B113" s="14"/>
      <c r="C113" s="23"/>
      <c r="D113" s="23"/>
      <c r="E113" s="14"/>
      <c r="F113" s="14"/>
      <c r="G113" s="14"/>
      <c r="H113" s="24" t="str">
        <f t="shared" si="1"/>
        <v/>
      </c>
      <c r="I113" s="12" t="str">
        <f>IF(C113="","",INT((INT(C113)-'01_Ficha_Dosis'!$C$14)/7)+1)</f>
        <v/>
      </c>
      <c r="J113" s="12" t="str">
        <f t="shared" si="2"/>
        <v/>
      </c>
      <c r="K113" s="12" t="str">
        <f>IF(J113="","",IF(AND(G113="OK",J113&gt;='01_Ficha_Dosis'!$C$23,F113&gt;='01_Ficha_Dosis'!$C$24,H113&gt;='01_Ficha_Dosis'!$C$14,H113&lt;='01_Ficha_Dosis'!$C$15),1,0))</f>
        <v/>
      </c>
      <c r="L113" s="12">
        <f t="shared" si="3"/>
        <v>0</v>
      </c>
    </row>
    <row r="114" ht="15.75" customHeight="1">
      <c r="A114" s="14"/>
      <c r="B114" s="14"/>
      <c r="C114" s="23"/>
      <c r="D114" s="23"/>
      <c r="E114" s="14"/>
      <c r="F114" s="14"/>
      <c r="G114" s="14"/>
      <c r="H114" s="24" t="str">
        <f t="shared" si="1"/>
        <v/>
      </c>
      <c r="I114" s="12" t="str">
        <f>IF(C114="","",INT((INT(C114)-'01_Ficha_Dosis'!$C$14)/7)+1)</f>
        <v/>
      </c>
      <c r="J114" s="12" t="str">
        <f t="shared" si="2"/>
        <v/>
      </c>
      <c r="K114" s="12" t="str">
        <f>IF(J114="","",IF(AND(G114="OK",J114&gt;='01_Ficha_Dosis'!$C$23,F114&gt;='01_Ficha_Dosis'!$C$24,H114&gt;='01_Ficha_Dosis'!$C$14,H114&lt;='01_Ficha_Dosis'!$C$15),1,0))</f>
        <v/>
      </c>
      <c r="L114" s="12">
        <f t="shared" si="3"/>
        <v>0</v>
      </c>
    </row>
    <row r="115" ht="15.75" customHeight="1">
      <c r="A115" s="14"/>
      <c r="B115" s="14"/>
      <c r="C115" s="23"/>
      <c r="D115" s="23"/>
      <c r="E115" s="14"/>
      <c r="F115" s="14"/>
      <c r="G115" s="14"/>
      <c r="H115" s="24" t="str">
        <f t="shared" si="1"/>
        <v/>
      </c>
      <c r="I115" s="12" t="str">
        <f>IF(C115="","",INT((INT(C115)-'01_Ficha_Dosis'!$C$14)/7)+1)</f>
        <v/>
      </c>
      <c r="J115" s="12" t="str">
        <f t="shared" si="2"/>
        <v/>
      </c>
      <c r="K115" s="12" t="str">
        <f>IF(J115="","",IF(AND(G115="OK",J115&gt;='01_Ficha_Dosis'!$C$23,F115&gt;='01_Ficha_Dosis'!$C$24,H115&gt;='01_Ficha_Dosis'!$C$14,H115&lt;='01_Ficha_Dosis'!$C$15),1,0))</f>
        <v/>
      </c>
      <c r="L115" s="12">
        <f t="shared" si="3"/>
        <v>0</v>
      </c>
    </row>
    <row r="116" ht="15.75" customHeight="1">
      <c r="A116" s="14"/>
      <c r="B116" s="14"/>
      <c r="C116" s="23"/>
      <c r="D116" s="23"/>
      <c r="E116" s="14"/>
      <c r="F116" s="14"/>
      <c r="G116" s="14"/>
      <c r="H116" s="24" t="str">
        <f t="shared" si="1"/>
        <v/>
      </c>
      <c r="I116" s="12" t="str">
        <f>IF(C116="","",INT((INT(C116)-'01_Ficha_Dosis'!$C$14)/7)+1)</f>
        <v/>
      </c>
      <c r="J116" s="12" t="str">
        <f t="shared" si="2"/>
        <v/>
      </c>
      <c r="K116" s="12" t="str">
        <f>IF(J116="","",IF(AND(G116="OK",J116&gt;='01_Ficha_Dosis'!$C$23,F116&gt;='01_Ficha_Dosis'!$C$24,H116&gt;='01_Ficha_Dosis'!$C$14,H116&lt;='01_Ficha_Dosis'!$C$15),1,0))</f>
        <v/>
      </c>
      <c r="L116" s="12">
        <f t="shared" si="3"/>
        <v>0</v>
      </c>
    </row>
    <row r="117" ht="15.75" customHeight="1">
      <c r="A117" s="14"/>
      <c r="B117" s="14"/>
      <c r="C117" s="23"/>
      <c r="D117" s="23"/>
      <c r="E117" s="14"/>
      <c r="F117" s="14"/>
      <c r="G117" s="14"/>
      <c r="H117" s="24" t="str">
        <f t="shared" si="1"/>
        <v/>
      </c>
      <c r="I117" s="12" t="str">
        <f>IF(C117="","",INT((INT(C117)-'01_Ficha_Dosis'!$C$14)/7)+1)</f>
        <v/>
      </c>
      <c r="J117" s="12" t="str">
        <f t="shared" si="2"/>
        <v/>
      </c>
      <c r="K117" s="12" t="str">
        <f>IF(J117="","",IF(AND(G117="OK",J117&gt;='01_Ficha_Dosis'!$C$23,F117&gt;='01_Ficha_Dosis'!$C$24,H117&gt;='01_Ficha_Dosis'!$C$14,H117&lt;='01_Ficha_Dosis'!$C$15),1,0))</f>
        <v/>
      </c>
      <c r="L117" s="12">
        <f t="shared" si="3"/>
        <v>0</v>
      </c>
    </row>
    <row r="118" ht="15.75" customHeight="1">
      <c r="A118" s="14"/>
      <c r="B118" s="14"/>
      <c r="C118" s="23"/>
      <c r="D118" s="23"/>
      <c r="E118" s="14"/>
      <c r="F118" s="14"/>
      <c r="G118" s="14"/>
      <c r="H118" s="24" t="str">
        <f t="shared" si="1"/>
        <v/>
      </c>
      <c r="I118" s="12" t="str">
        <f>IF(C118="","",INT((INT(C118)-'01_Ficha_Dosis'!$C$14)/7)+1)</f>
        <v/>
      </c>
      <c r="J118" s="12" t="str">
        <f t="shared" si="2"/>
        <v/>
      </c>
      <c r="K118" s="12" t="str">
        <f>IF(J118="","",IF(AND(G118="OK",J118&gt;='01_Ficha_Dosis'!$C$23,F118&gt;='01_Ficha_Dosis'!$C$24,H118&gt;='01_Ficha_Dosis'!$C$14,H118&lt;='01_Ficha_Dosis'!$C$15),1,0))</f>
        <v/>
      </c>
      <c r="L118" s="12">
        <f t="shared" si="3"/>
        <v>0</v>
      </c>
    </row>
    <row r="119" ht="15.75" customHeight="1">
      <c r="A119" s="14"/>
      <c r="B119" s="14"/>
      <c r="C119" s="23"/>
      <c r="D119" s="23"/>
      <c r="E119" s="14"/>
      <c r="F119" s="14"/>
      <c r="G119" s="14"/>
      <c r="H119" s="24" t="str">
        <f t="shared" si="1"/>
        <v/>
      </c>
      <c r="I119" s="12" t="str">
        <f>IF(C119="","",INT((INT(C119)-'01_Ficha_Dosis'!$C$14)/7)+1)</f>
        <v/>
      </c>
      <c r="J119" s="12" t="str">
        <f t="shared" si="2"/>
        <v/>
      </c>
      <c r="K119" s="12" t="str">
        <f>IF(J119="","",IF(AND(G119="OK",J119&gt;='01_Ficha_Dosis'!$C$23,F119&gt;='01_Ficha_Dosis'!$C$24,H119&gt;='01_Ficha_Dosis'!$C$14,H119&lt;='01_Ficha_Dosis'!$C$15),1,0))</f>
        <v/>
      </c>
      <c r="L119" s="12">
        <f t="shared" si="3"/>
        <v>0</v>
      </c>
    </row>
    <row r="120" ht="15.75" customHeight="1">
      <c r="A120" s="14"/>
      <c r="B120" s="14"/>
      <c r="C120" s="23"/>
      <c r="D120" s="23"/>
      <c r="E120" s="14"/>
      <c r="F120" s="14"/>
      <c r="G120" s="14"/>
      <c r="H120" s="24" t="str">
        <f t="shared" si="1"/>
        <v/>
      </c>
      <c r="I120" s="12" t="str">
        <f>IF(C120="","",INT((INT(C120)-'01_Ficha_Dosis'!$C$14)/7)+1)</f>
        <v/>
      </c>
      <c r="J120" s="12" t="str">
        <f t="shared" si="2"/>
        <v/>
      </c>
      <c r="K120" s="12" t="str">
        <f>IF(J120="","",IF(AND(G120="OK",J120&gt;='01_Ficha_Dosis'!$C$23,F120&gt;='01_Ficha_Dosis'!$C$24,H120&gt;='01_Ficha_Dosis'!$C$14,H120&lt;='01_Ficha_Dosis'!$C$15),1,0))</f>
        <v/>
      </c>
      <c r="L120" s="12">
        <f t="shared" si="3"/>
        <v>0</v>
      </c>
    </row>
    <row r="121" ht="15.75" customHeight="1">
      <c r="A121" s="14"/>
      <c r="B121" s="14"/>
      <c r="C121" s="23"/>
      <c r="D121" s="23"/>
      <c r="E121" s="14"/>
      <c r="F121" s="14"/>
      <c r="G121" s="14"/>
      <c r="H121" s="24" t="str">
        <f t="shared" si="1"/>
        <v/>
      </c>
      <c r="I121" s="12" t="str">
        <f>IF(C121="","",INT((INT(C121)-'01_Ficha_Dosis'!$C$14)/7)+1)</f>
        <v/>
      </c>
      <c r="J121" s="12" t="str">
        <f t="shared" si="2"/>
        <v/>
      </c>
      <c r="K121" s="12" t="str">
        <f>IF(J121="","",IF(AND(G121="OK",J121&gt;='01_Ficha_Dosis'!$C$23,F121&gt;='01_Ficha_Dosis'!$C$24,H121&gt;='01_Ficha_Dosis'!$C$14,H121&lt;='01_Ficha_Dosis'!$C$15),1,0))</f>
        <v/>
      </c>
      <c r="L121" s="12">
        <f t="shared" si="3"/>
        <v>0</v>
      </c>
    </row>
    <row r="122" ht="15.75" customHeight="1">
      <c r="A122" s="14"/>
      <c r="B122" s="14"/>
      <c r="C122" s="23"/>
      <c r="D122" s="23"/>
      <c r="E122" s="14"/>
      <c r="F122" s="14"/>
      <c r="G122" s="14"/>
      <c r="H122" s="24" t="str">
        <f t="shared" si="1"/>
        <v/>
      </c>
      <c r="I122" s="12" t="str">
        <f>IF(C122="","",INT((INT(C122)-'01_Ficha_Dosis'!$C$14)/7)+1)</f>
        <v/>
      </c>
      <c r="J122" s="12" t="str">
        <f t="shared" si="2"/>
        <v/>
      </c>
      <c r="K122" s="12" t="str">
        <f>IF(J122="","",IF(AND(G122="OK",J122&gt;='01_Ficha_Dosis'!$C$23,F122&gt;='01_Ficha_Dosis'!$C$24,H122&gt;='01_Ficha_Dosis'!$C$14,H122&lt;='01_Ficha_Dosis'!$C$15),1,0))</f>
        <v/>
      </c>
      <c r="L122" s="12">
        <f t="shared" si="3"/>
        <v>0</v>
      </c>
    </row>
    <row r="123" ht="15.75" customHeight="1">
      <c r="A123" s="14"/>
      <c r="B123" s="14"/>
      <c r="C123" s="23"/>
      <c r="D123" s="23"/>
      <c r="E123" s="14"/>
      <c r="F123" s="14"/>
      <c r="G123" s="14"/>
      <c r="H123" s="24" t="str">
        <f t="shared" si="1"/>
        <v/>
      </c>
      <c r="I123" s="12" t="str">
        <f>IF(C123="","",INT((INT(C123)-'01_Ficha_Dosis'!$C$14)/7)+1)</f>
        <v/>
      </c>
      <c r="J123" s="12" t="str">
        <f t="shared" si="2"/>
        <v/>
      </c>
      <c r="K123" s="12" t="str">
        <f>IF(J123="","",IF(AND(G123="OK",J123&gt;='01_Ficha_Dosis'!$C$23,F123&gt;='01_Ficha_Dosis'!$C$24,H123&gt;='01_Ficha_Dosis'!$C$14,H123&lt;='01_Ficha_Dosis'!$C$15),1,0))</f>
        <v/>
      </c>
      <c r="L123" s="12">
        <f t="shared" si="3"/>
        <v>0</v>
      </c>
    </row>
    <row r="124" ht="15.75" customHeight="1">
      <c r="A124" s="14"/>
      <c r="B124" s="14"/>
      <c r="C124" s="23"/>
      <c r="D124" s="23"/>
      <c r="E124" s="14"/>
      <c r="F124" s="14"/>
      <c r="G124" s="14"/>
      <c r="H124" s="24" t="str">
        <f t="shared" si="1"/>
        <v/>
      </c>
      <c r="I124" s="12" t="str">
        <f>IF(C124="","",INT((INT(C124)-'01_Ficha_Dosis'!$C$14)/7)+1)</f>
        <v/>
      </c>
      <c r="J124" s="12" t="str">
        <f t="shared" si="2"/>
        <v/>
      </c>
      <c r="K124" s="12" t="str">
        <f>IF(J124="","",IF(AND(G124="OK",J124&gt;='01_Ficha_Dosis'!$C$23,F124&gt;='01_Ficha_Dosis'!$C$24,H124&gt;='01_Ficha_Dosis'!$C$14,H124&lt;='01_Ficha_Dosis'!$C$15),1,0))</f>
        <v/>
      </c>
      <c r="L124" s="12">
        <f t="shared" si="3"/>
        <v>0</v>
      </c>
    </row>
    <row r="125" ht="15.75" customHeight="1">
      <c r="A125" s="14"/>
      <c r="B125" s="14"/>
      <c r="C125" s="23"/>
      <c r="D125" s="23"/>
      <c r="E125" s="14"/>
      <c r="F125" s="14"/>
      <c r="G125" s="14"/>
      <c r="H125" s="24" t="str">
        <f t="shared" si="1"/>
        <v/>
      </c>
      <c r="I125" s="12" t="str">
        <f>IF(C125="","",INT((INT(C125)-'01_Ficha_Dosis'!$C$14)/7)+1)</f>
        <v/>
      </c>
      <c r="J125" s="12" t="str">
        <f t="shared" si="2"/>
        <v/>
      </c>
      <c r="K125" s="12" t="str">
        <f>IF(J125="","",IF(AND(G125="OK",J125&gt;='01_Ficha_Dosis'!$C$23,F125&gt;='01_Ficha_Dosis'!$C$24,H125&gt;='01_Ficha_Dosis'!$C$14,H125&lt;='01_Ficha_Dosis'!$C$15),1,0))</f>
        <v/>
      </c>
      <c r="L125" s="12">
        <f t="shared" si="3"/>
        <v>0</v>
      </c>
    </row>
    <row r="126" ht="15.75" customHeight="1">
      <c r="A126" s="14"/>
      <c r="B126" s="14"/>
      <c r="C126" s="23"/>
      <c r="D126" s="23"/>
      <c r="E126" s="14"/>
      <c r="F126" s="14"/>
      <c r="G126" s="14"/>
      <c r="H126" s="24" t="str">
        <f t="shared" si="1"/>
        <v/>
      </c>
      <c r="I126" s="12" t="str">
        <f>IF(C126="","",INT((INT(C126)-'01_Ficha_Dosis'!$C$14)/7)+1)</f>
        <v/>
      </c>
      <c r="J126" s="12" t="str">
        <f t="shared" si="2"/>
        <v/>
      </c>
      <c r="K126" s="12" t="str">
        <f>IF(J126="","",IF(AND(G126="OK",J126&gt;='01_Ficha_Dosis'!$C$23,F126&gt;='01_Ficha_Dosis'!$C$24,H126&gt;='01_Ficha_Dosis'!$C$14,H126&lt;='01_Ficha_Dosis'!$C$15),1,0))</f>
        <v/>
      </c>
      <c r="L126" s="12">
        <f t="shared" si="3"/>
        <v>0</v>
      </c>
    </row>
    <row r="127" ht="15.75" customHeight="1">
      <c r="A127" s="14"/>
      <c r="B127" s="14"/>
      <c r="C127" s="23"/>
      <c r="D127" s="23"/>
      <c r="E127" s="14"/>
      <c r="F127" s="14"/>
      <c r="G127" s="14"/>
      <c r="H127" s="24" t="str">
        <f t="shared" si="1"/>
        <v/>
      </c>
      <c r="I127" s="12" t="str">
        <f>IF(C127="","",INT((INT(C127)-'01_Ficha_Dosis'!$C$14)/7)+1)</f>
        <v/>
      </c>
      <c r="J127" s="12" t="str">
        <f t="shared" si="2"/>
        <v/>
      </c>
      <c r="K127" s="12" t="str">
        <f>IF(J127="","",IF(AND(G127="OK",J127&gt;='01_Ficha_Dosis'!$C$23,F127&gt;='01_Ficha_Dosis'!$C$24,H127&gt;='01_Ficha_Dosis'!$C$14,H127&lt;='01_Ficha_Dosis'!$C$15),1,0))</f>
        <v/>
      </c>
      <c r="L127" s="12">
        <f t="shared" si="3"/>
        <v>0</v>
      </c>
    </row>
    <row r="128" ht="15.75" customHeight="1">
      <c r="A128" s="14"/>
      <c r="B128" s="14"/>
      <c r="C128" s="23"/>
      <c r="D128" s="23"/>
      <c r="E128" s="14"/>
      <c r="F128" s="14"/>
      <c r="G128" s="14"/>
      <c r="H128" s="24" t="str">
        <f t="shared" si="1"/>
        <v/>
      </c>
      <c r="I128" s="12" t="str">
        <f>IF(C128="","",INT((INT(C128)-'01_Ficha_Dosis'!$C$14)/7)+1)</f>
        <v/>
      </c>
      <c r="J128" s="12" t="str">
        <f t="shared" si="2"/>
        <v/>
      </c>
      <c r="K128" s="12" t="str">
        <f>IF(J128="","",IF(AND(G128="OK",J128&gt;='01_Ficha_Dosis'!$C$23,F128&gt;='01_Ficha_Dosis'!$C$24,H128&gt;='01_Ficha_Dosis'!$C$14,H128&lt;='01_Ficha_Dosis'!$C$15),1,0))</f>
        <v/>
      </c>
      <c r="L128" s="12">
        <f t="shared" si="3"/>
        <v>0</v>
      </c>
    </row>
    <row r="129" ht="15.75" customHeight="1">
      <c r="A129" s="14"/>
      <c r="B129" s="14"/>
      <c r="C129" s="23"/>
      <c r="D129" s="23"/>
      <c r="E129" s="14"/>
      <c r="F129" s="14"/>
      <c r="G129" s="14"/>
      <c r="H129" s="24" t="str">
        <f t="shared" si="1"/>
        <v/>
      </c>
      <c r="I129" s="12" t="str">
        <f>IF(C129="","",INT((INT(C129)-'01_Ficha_Dosis'!$C$14)/7)+1)</f>
        <v/>
      </c>
      <c r="J129" s="12" t="str">
        <f t="shared" si="2"/>
        <v/>
      </c>
      <c r="K129" s="12" t="str">
        <f>IF(J129="","",IF(AND(G129="OK",J129&gt;='01_Ficha_Dosis'!$C$23,F129&gt;='01_Ficha_Dosis'!$C$24,H129&gt;='01_Ficha_Dosis'!$C$14,H129&lt;='01_Ficha_Dosis'!$C$15),1,0))</f>
        <v/>
      </c>
      <c r="L129" s="12">
        <f t="shared" si="3"/>
        <v>0</v>
      </c>
    </row>
    <row r="130" ht="15.75" customHeight="1">
      <c r="A130" s="14"/>
      <c r="B130" s="14"/>
      <c r="C130" s="23"/>
      <c r="D130" s="23"/>
      <c r="E130" s="14"/>
      <c r="F130" s="14"/>
      <c r="G130" s="14"/>
      <c r="H130" s="24" t="str">
        <f t="shared" si="1"/>
        <v/>
      </c>
      <c r="I130" s="12" t="str">
        <f>IF(C130="","",INT((INT(C130)-'01_Ficha_Dosis'!$C$14)/7)+1)</f>
        <v/>
      </c>
      <c r="J130" s="12" t="str">
        <f t="shared" si="2"/>
        <v/>
      </c>
      <c r="K130" s="12" t="str">
        <f>IF(J130="","",IF(AND(G130="OK",J130&gt;='01_Ficha_Dosis'!$C$23,F130&gt;='01_Ficha_Dosis'!$C$24,H130&gt;='01_Ficha_Dosis'!$C$14,H130&lt;='01_Ficha_Dosis'!$C$15),1,0))</f>
        <v/>
      </c>
      <c r="L130" s="12">
        <f t="shared" si="3"/>
        <v>0</v>
      </c>
    </row>
    <row r="131" ht="15.75" customHeight="1">
      <c r="A131" s="14"/>
      <c r="B131" s="14"/>
      <c r="C131" s="23"/>
      <c r="D131" s="23"/>
      <c r="E131" s="14"/>
      <c r="F131" s="14"/>
      <c r="G131" s="14"/>
      <c r="H131" s="24" t="str">
        <f t="shared" si="1"/>
        <v/>
      </c>
      <c r="I131" s="12" t="str">
        <f>IF(C131="","",INT((INT(C131)-'01_Ficha_Dosis'!$C$14)/7)+1)</f>
        <v/>
      </c>
      <c r="J131" s="12" t="str">
        <f t="shared" si="2"/>
        <v/>
      </c>
      <c r="K131" s="12" t="str">
        <f>IF(J131="","",IF(AND(G131="OK",J131&gt;='01_Ficha_Dosis'!$C$23,F131&gt;='01_Ficha_Dosis'!$C$24,H131&gt;='01_Ficha_Dosis'!$C$14,H131&lt;='01_Ficha_Dosis'!$C$15),1,0))</f>
        <v/>
      </c>
      <c r="L131" s="12">
        <f t="shared" si="3"/>
        <v>0</v>
      </c>
    </row>
    <row r="132" ht="15.75" customHeight="1">
      <c r="A132" s="14"/>
      <c r="B132" s="14"/>
      <c r="C132" s="23"/>
      <c r="D132" s="23"/>
      <c r="E132" s="14"/>
      <c r="F132" s="14"/>
      <c r="G132" s="14"/>
      <c r="H132" s="24" t="str">
        <f t="shared" si="1"/>
        <v/>
      </c>
      <c r="I132" s="12" t="str">
        <f>IF(C132="","",INT((INT(C132)-'01_Ficha_Dosis'!$C$14)/7)+1)</f>
        <v/>
      </c>
      <c r="J132" s="12" t="str">
        <f t="shared" si="2"/>
        <v/>
      </c>
      <c r="K132" s="12" t="str">
        <f>IF(J132="","",IF(AND(G132="OK",J132&gt;='01_Ficha_Dosis'!$C$23,F132&gt;='01_Ficha_Dosis'!$C$24,H132&gt;='01_Ficha_Dosis'!$C$14,H132&lt;='01_Ficha_Dosis'!$C$15),1,0))</f>
        <v/>
      </c>
      <c r="L132" s="12">
        <f t="shared" si="3"/>
        <v>0</v>
      </c>
    </row>
    <row r="133" ht="15.75" customHeight="1">
      <c r="A133" s="14"/>
      <c r="B133" s="14"/>
      <c r="C133" s="23"/>
      <c r="D133" s="23"/>
      <c r="E133" s="14"/>
      <c r="F133" s="14"/>
      <c r="G133" s="14"/>
      <c r="H133" s="24" t="str">
        <f t="shared" si="1"/>
        <v/>
      </c>
      <c r="I133" s="12" t="str">
        <f>IF(C133="","",INT((INT(C133)-'01_Ficha_Dosis'!$C$14)/7)+1)</f>
        <v/>
      </c>
      <c r="J133" s="12" t="str">
        <f t="shared" si="2"/>
        <v/>
      </c>
      <c r="K133" s="12" t="str">
        <f>IF(J133="","",IF(AND(G133="OK",J133&gt;='01_Ficha_Dosis'!$C$23,F133&gt;='01_Ficha_Dosis'!$C$24,H133&gt;='01_Ficha_Dosis'!$C$14,H133&lt;='01_Ficha_Dosis'!$C$15),1,0))</f>
        <v/>
      </c>
      <c r="L133" s="12">
        <f t="shared" si="3"/>
        <v>0</v>
      </c>
    </row>
    <row r="134" ht="15.75" customHeight="1">
      <c r="A134" s="14"/>
      <c r="B134" s="14"/>
      <c r="C134" s="23"/>
      <c r="D134" s="23"/>
      <c r="E134" s="14"/>
      <c r="F134" s="14"/>
      <c r="G134" s="14"/>
      <c r="H134" s="24" t="str">
        <f t="shared" si="1"/>
        <v/>
      </c>
      <c r="I134" s="12" t="str">
        <f>IF(C134="","",INT((INT(C134)-'01_Ficha_Dosis'!$C$14)/7)+1)</f>
        <v/>
      </c>
      <c r="J134" s="12" t="str">
        <f t="shared" si="2"/>
        <v/>
      </c>
      <c r="K134" s="12" t="str">
        <f>IF(J134="","",IF(AND(G134="OK",J134&gt;='01_Ficha_Dosis'!$C$23,F134&gt;='01_Ficha_Dosis'!$C$24,H134&gt;='01_Ficha_Dosis'!$C$14,H134&lt;='01_Ficha_Dosis'!$C$15),1,0))</f>
        <v/>
      </c>
      <c r="L134" s="12">
        <f t="shared" si="3"/>
        <v>0</v>
      </c>
    </row>
    <row r="135" ht="15.75" customHeight="1">
      <c r="A135" s="14"/>
      <c r="B135" s="14"/>
      <c r="C135" s="23"/>
      <c r="D135" s="23"/>
      <c r="E135" s="14"/>
      <c r="F135" s="14"/>
      <c r="G135" s="14"/>
      <c r="H135" s="24" t="str">
        <f t="shared" si="1"/>
        <v/>
      </c>
      <c r="I135" s="12" t="str">
        <f>IF(C135="","",INT((INT(C135)-'01_Ficha_Dosis'!$C$14)/7)+1)</f>
        <v/>
      </c>
      <c r="J135" s="12" t="str">
        <f t="shared" si="2"/>
        <v/>
      </c>
      <c r="K135" s="12" t="str">
        <f>IF(J135="","",IF(AND(G135="OK",J135&gt;='01_Ficha_Dosis'!$C$23,F135&gt;='01_Ficha_Dosis'!$C$24,H135&gt;='01_Ficha_Dosis'!$C$14,H135&lt;='01_Ficha_Dosis'!$C$15),1,0))</f>
        <v/>
      </c>
      <c r="L135" s="12">
        <f t="shared" si="3"/>
        <v>0</v>
      </c>
    </row>
    <row r="136" ht="15.75" customHeight="1">
      <c r="A136" s="14"/>
      <c r="B136" s="14"/>
      <c r="C136" s="23"/>
      <c r="D136" s="23"/>
      <c r="E136" s="14"/>
      <c r="F136" s="14"/>
      <c r="G136" s="14"/>
      <c r="H136" s="24" t="str">
        <f t="shared" si="1"/>
        <v/>
      </c>
      <c r="I136" s="12" t="str">
        <f>IF(C136="","",INT((INT(C136)-'01_Ficha_Dosis'!$C$14)/7)+1)</f>
        <v/>
      </c>
      <c r="J136" s="12" t="str">
        <f t="shared" si="2"/>
        <v/>
      </c>
      <c r="K136" s="12" t="str">
        <f>IF(J136="","",IF(AND(G136="OK",J136&gt;='01_Ficha_Dosis'!$C$23,F136&gt;='01_Ficha_Dosis'!$C$24,H136&gt;='01_Ficha_Dosis'!$C$14,H136&lt;='01_Ficha_Dosis'!$C$15),1,0))</f>
        <v/>
      </c>
      <c r="L136" s="12">
        <f t="shared" si="3"/>
        <v>0</v>
      </c>
    </row>
    <row r="137" ht="15.75" customHeight="1">
      <c r="A137" s="14"/>
      <c r="B137" s="14"/>
      <c r="C137" s="23"/>
      <c r="D137" s="23"/>
      <c r="E137" s="14"/>
      <c r="F137" s="14"/>
      <c r="G137" s="14"/>
      <c r="H137" s="24" t="str">
        <f t="shared" si="1"/>
        <v/>
      </c>
      <c r="I137" s="12" t="str">
        <f>IF(C137="","",INT((INT(C137)-'01_Ficha_Dosis'!$C$14)/7)+1)</f>
        <v/>
      </c>
      <c r="J137" s="12" t="str">
        <f t="shared" si="2"/>
        <v/>
      </c>
      <c r="K137" s="12" t="str">
        <f>IF(J137="","",IF(AND(G137="OK",J137&gt;='01_Ficha_Dosis'!$C$23,F137&gt;='01_Ficha_Dosis'!$C$24,H137&gt;='01_Ficha_Dosis'!$C$14,H137&lt;='01_Ficha_Dosis'!$C$15),1,0))</f>
        <v/>
      </c>
      <c r="L137" s="12">
        <f t="shared" si="3"/>
        <v>0</v>
      </c>
    </row>
    <row r="138" ht="15.75" customHeight="1">
      <c r="A138" s="14"/>
      <c r="B138" s="14"/>
      <c r="C138" s="23"/>
      <c r="D138" s="23"/>
      <c r="E138" s="14"/>
      <c r="F138" s="14"/>
      <c r="G138" s="14"/>
      <c r="H138" s="24" t="str">
        <f t="shared" si="1"/>
        <v/>
      </c>
      <c r="I138" s="12" t="str">
        <f>IF(C138="","",INT((INT(C138)-'01_Ficha_Dosis'!$C$14)/7)+1)</f>
        <v/>
      </c>
      <c r="J138" s="12" t="str">
        <f t="shared" si="2"/>
        <v/>
      </c>
      <c r="K138" s="12" t="str">
        <f>IF(J138="","",IF(AND(G138="OK",J138&gt;='01_Ficha_Dosis'!$C$23,F138&gt;='01_Ficha_Dosis'!$C$24,H138&gt;='01_Ficha_Dosis'!$C$14,H138&lt;='01_Ficha_Dosis'!$C$15),1,0))</f>
        <v/>
      </c>
      <c r="L138" s="12">
        <f t="shared" si="3"/>
        <v>0</v>
      </c>
    </row>
    <row r="139" ht="15.75" customHeight="1">
      <c r="A139" s="14"/>
      <c r="B139" s="14"/>
      <c r="C139" s="23"/>
      <c r="D139" s="23"/>
      <c r="E139" s="14"/>
      <c r="F139" s="14"/>
      <c r="G139" s="14"/>
      <c r="H139" s="24" t="str">
        <f t="shared" si="1"/>
        <v/>
      </c>
      <c r="I139" s="12" t="str">
        <f>IF(C139="","",INT((INT(C139)-'01_Ficha_Dosis'!$C$14)/7)+1)</f>
        <v/>
      </c>
      <c r="J139" s="12" t="str">
        <f t="shared" si="2"/>
        <v/>
      </c>
      <c r="K139" s="12" t="str">
        <f>IF(J139="","",IF(AND(G139="OK",J139&gt;='01_Ficha_Dosis'!$C$23,F139&gt;='01_Ficha_Dosis'!$C$24,H139&gt;='01_Ficha_Dosis'!$C$14,H139&lt;='01_Ficha_Dosis'!$C$15),1,0))</f>
        <v/>
      </c>
      <c r="L139" s="12">
        <f t="shared" si="3"/>
        <v>0</v>
      </c>
    </row>
    <row r="140" ht="15.75" customHeight="1">
      <c r="A140" s="14"/>
      <c r="B140" s="14"/>
      <c r="C140" s="23"/>
      <c r="D140" s="23"/>
      <c r="E140" s="14"/>
      <c r="F140" s="14"/>
      <c r="G140" s="14"/>
      <c r="H140" s="24" t="str">
        <f t="shared" si="1"/>
        <v/>
      </c>
      <c r="I140" s="12" t="str">
        <f>IF(C140="","",INT((INT(C140)-'01_Ficha_Dosis'!$C$14)/7)+1)</f>
        <v/>
      </c>
      <c r="J140" s="12" t="str">
        <f t="shared" si="2"/>
        <v/>
      </c>
      <c r="K140" s="12" t="str">
        <f>IF(J140="","",IF(AND(G140="OK",J140&gt;='01_Ficha_Dosis'!$C$23,F140&gt;='01_Ficha_Dosis'!$C$24,H140&gt;='01_Ficha_Dosis'!$C$14,H140&lt;='01_Ficha_Dosis'!$C$15),1,0))</f>
        <v/>
      </c>
      <c r="L140" s="12">
        <f t="shared" si="3"/>
        <v>0</v>
      </c>
    </row>
    <row r="141" ht="15.75" customHeight="1">
      <c r="A141" s="14"/>
      <c r="B141" s="14"/>
      <c r="C141" s="23"/>
      <c r="D141" s="23"/>
      <c r="E141" s="14"/>
      <c r="F141" s="14"/>
      <c r="G141" s="14"/>
      <c r="H141" s="24" t="str">
        <f t="shared" si="1"/>
        <v/>
      </c>
      <c r="I141" s="12" t="str">
        <f>IF(C141="","",INT((INT(C141)-'01_Ficha_Dosis'!$C$14)/7)+1)</f>
        <v/>
      </c>
      <c r="J141" s="12" t="str">
        <f t="shared" si="2"/>
        <v/>
      </c>
      <c r="K141" s="12" t="str">
        <f>IF(J141="","",IF(AND(G141="OK",J141&gt;='01_Ficha_Dosis'!$C$23,F141&gt;='01_Ficha_Dosis'!$C$24,H141&gt;='01_Ficha_Dosis'!$C$14,H141&lt;='01_Ficha_Dosis'!$C$15),1,0))</f>
        <v/>
      </c>
      <c r="L141" s="12">
        <f t="shared" si="3"/>
        <v>0</v>
      </c>
    </row>
    <row r="142" ht="15.75" customHeight="1">
      <c r="A142" s="14"/>
      <c r="B142" s="14"/>
      <c r="C142" s="23"/>
      <c r="D142" s="23"/>
      <c r="E142" s="14"/>
      <c r="F142" s="14"/>
      <c r="G142" s="14"/>
      <c r="H142" s="24" t="str">
        <f t="shared" si="1"/>
        <v/>
      </c>
      <c r="I142" s="12" t="str">
        <f>IF(C142="","",INT((INT(C142)-'01_Ficha_Dosis'!$C$14)/7)+1)</f>
        <v/>
      </c>
      <c r="J142" s="12" t="str">
        <f t="shared" si="2"/>
        <v/>
      </c>
      <c r="K142" s="12" t="str">
        <f>IF(J142="","",IF(AND(G142="OK",J142&gt;='01_Ficha_Dosis'!$C$23,F142&gt;='01_Ficha_Dosis'!$C$24,H142&gt;='01_Ficha_Dosis'!$C$14,H142&lt;='01_Ficha_Dosis'!$C$15),1,0))</f>
        <v/>
      </c>
      <c r="L142" s="12">
        <f t="shared" si="3"/>
        <v>0</v>
      </c>
    </row>
    <row r="143" ht="15.75" customHeight="1">
      <c r="A143" s="14"/>
      <c r="B143" s="14"/>
      <c r="C143" s="23"/>
      <c r="D143" s="23"/>
      <c r="E143" s="14"/>
      <c r="F143" s="14"/>
      <c r="G143" s="14"/>
      <c r="H143" s="24" t="str">
        <f t="shared" si="1"/>
        <v/>
      </c>
      <c r="I143" s="12" t="str">
        <f>IF(C143="","",INT((INT(C143)-'01_Ficha_Dosis'!$C$14)/7)+1)</f>
        <v/>
      </c>
      <c r="J143" s="12" t="str">
        <f t="shared" si="2"/>
        <v/>
      </c>
      <c r="K143" s="12" t="str">
        <f>IF(J143="","",IF(AND(G143="OK",J143&gt;='01_Ficha_Dosis'!$C$23,F143&gt;='01_Ficha_Dosis'!$C$24,H143&gt;='01_Ficha_Dosis'!$C$14,H143&lt;='01_Ficha_Dosis'!$C$15),1,0))</f>
        <v/>
      </c>
      <c r="L143" s="12">
        <f t="shared" si="3"/>
        <v>0</v>
      </c>
    </row>
    <row r="144" ht="15.75" customHeight="1">
      <c r="A144" s="14"/>
      <c r="B144" s="14"/>
      <c r="C144" s="23"/>
      <c r="D144" s="23"/>
      <c r="E144" s="14"/>
      <c r="F144" s="14"/>
      <c r="G144" s="14"/>
      <c r="H144" s="24" t="str">
        <f t="shared" si="1"/>
        <v/>
      </c>
      <c r="I144" s="12" t="str">
        <f>IF(C144="","",INT((INT(C144)-'01_Ficha_Dosis'!$C$14)/7)+1)</f>
        <v/>
      </c>
      <c r="J144" s="12" t="str">
        <f t="shared" si="2"/>
        <v/>
      </c>
      <c r="K144" s="12" t="str">
        <f>IF(J144="","",IF(AND(G144="OK",J144&gt;='01_Ficha_Dosis'!$C$23,F144&gt;='01_Ficha_Dosis'!$C$24,H144&gt;='01_Ficha_Dosis'!$C$14,H144&lt;='01_Ficha_Dosis'!$C$15),1,0))</f>
        <v/>
      </c>
      <c r="L144" s="12">
        <f t="shared" si="3"/>
        <v>0</v>
      </c>
    </row>
    <row r="145" ht="15.75" customHeight="1">
      <c r="A145" s="14"/>
      <c r="B145" s="14"/>
      <c r="C145" s="23"/>
      <c r="D145" s="23"/>
      <c r="E145" s="14"/>
      <c r="F145" s="14"/>
      <c r="G145" s="14"/>
      <c r="H145" s="24" t="str">
        <f t="shared" si="1"/>
        <v/>
      </c>
      <c r="I145" s="12" t="str">
        <f>IF(C145="","",INT((INT(C145)-'01_Ficha_Dosis'!$C$14)/7)+1)</f>
        <v/>
      </c>
      <c r="J145" s="12" t="str">
        <f t="shared" si="2"/>
        <v/>
      </c>
      <c r="K145" s="12" t="str">
        <f>IF(J145="","",IF(AND(G145="OK",J145&gt;='01_Ficha_Dosis'!$C$23,F145&gt;='01_Ficha_Dosis'!$C$24,H145&gt;='01_Ficha_Dosis'!$C$14,H145&lt;='01_Ficha_Dosis'!$C$15),1,0))</f>
        <v/>
      </c>
      <c r="L145" s="12">
        <f t="shared" si="3"/>
        <v>0</v>
      </c>
    </row>
    <row r="146" ht="15.75" customHeight="1">
      <c r="A146" s="14"/>
      <c r="B146" s="14"/>
      <c r="C146" s="23"/>
      <c r="D146" s="23"/>
      <c r="E146" s="14"/>
      <c r="F146" s="14"/>
      <c r="G146" s="14"/>
      <c r="H146" s="24" t="str">
        <f t="shared" si="1"/>
        <v/>
      </c>
      <c r="I146" s="12" t="str">
        <f>IF(C146="","",INT((INT(C146)-'01_Ficha_Dosis'!$C$14)/7)+1)</f>
        <v/>
      </c>
      <c r="J146" s="12" t="str">
        <f t="shared" si="2"/>
        <v/>
      </c>
      <c r="K146" s="12" t="str">
        <f>IF(J146="","",IF(AND(G146="OK",J146&gt;='01_Ficha_Dosis'!$C$23,F146&gt;='01_Ficha_Dosis'!$C$24,H146&gt;='01_Ficha_Dosis'!$C$14,H146&lt;='01_Ficha_Dosis'!$C$15),1,0))</f>
        <v/>
      </c>
      <c r="L146" s="12">
        <f t="shared" si="3"/>
        <v>0</v>
      </c>
    </row>
    <row r="147" ht="15.75" customHeight="1">
      <c r="A147" s="14"/>
      <c r="B147" s="14"/>
      <c r="C147" s="23"/>
      <c r="D147" s="23"/>
      <c r="E147" s="14"/>
      <c r="F147" s="14"/>
      <c r="G147" s="14"/>
      <c r="H147" s="24" t="str">
        <f t="shared" si="1"/>
        <v/>
      </c>
      <c r="I147" s="12" t="str">
        <f>IF(C147="","",INT((INT(C147)-'01_Ficha_Dosis'!$C$14)/7)+1)</f>
        <v/>
      </c>
      <c r="J147" s="12" t="str">
        <f t="shared" si="2"/>
        <v/>
      </c>
      <c r="K147" s="12" t="str">
        <f>IF(J147="","",IF(AND(G147="OK",J147&gt;='01_Ficha_Dosis'!$C$23,F147&gt;='01_Ficha_Dosis'!$C$24,H147&gt;='01_Ficha_Dosis'!$C$14,H147&lt;='01_Ficha_Dosis'!$C$15),1,0))</f>
        <v/>
      </c>
      <c r="L147" s="12">
        <f t="shared" si="3"/>
        <v>0</v>
      </c>
    </row>
    <row r="148" ht="15.75" customHeight="1">
      <c r="A148" s="14"/>
      <c r="B148" s="14"/>
      <c r="C148" s="23"/>
      <c r="D148" s="23"/>
      <c r="E148" s="14"/>
      <c r="F148" s="14"/>
      <c r="G148" s="14"/>
      <c r="H148" s="24" t="str">
        <f t="shared" si="1"/>
        <v/>
      </c>
      <c r="I148" s="12" t="str">
        <f>IF(C148="","",INT((INT(C148)-'01_Ficha_Dosis'!$C$14)/7)+1)</f>
        <v/>
      </c>
      <c r="J148" s="12" t="str">
        <f t="shared" si="2"/>
        <v/>
      </c>
      <c r="K148" s="12" t="str">
        <f>IF(J148="","",IF(AND(G148="OK",J148&gt;='01_Ficha_Dosis'!$C$23,F148&gt;='01_Ficha_Dosis'!$C$24,H148&gt;='01_Ficha_Dosis'!$C$14,H148&lt;='01_Ficha_Dosis'!$C$15),1,0))</f>
        <v/>
      </c>
      <c r="L148" s="12">
        <f t="shared" si="3"/>
        <v>0</v>
      </c>
    </row>
    <row r="149" ht="15.75" customHeight="1">
      <c r="A149" s="14"/>
      <c r="B149" s="14"/>
      <c r="C149" s="23"/>
      <c r="D149" s="23"/>
      <c r="E149" s="14"/>
      <c r="F149" s="14"/>
      <c r="G149" s="14"/>
      <c r="H149" s="24" t="str">
        <f t="shared" si="1"/>
        <v/>
      </c>
      <c r="I149" s="12" t="str">
        <f>IF(C149="","",INT((INT(C149)-'01_Ficha_Dosis'!$C$14)/7)+1)</f>
        <v/>
      </c>
      <c r="J149" s="12" t="str">
        <f t="shared" si="2"/>
        <v/>
      </c>
      <c r="K149" s="12" t="str">
        <f>IF(J149="","",IF(AND(G149="OK",J149&gt;='01_Ficha_Dosis'!$C$23,F149&gt;='01_Ficha_Dosis'!$C$24,H149&gt;='01_Ficha_Dosis'!$C$14,H149&lt;='01_Ficha_Dosis'!$C$15),1,0))</f>
        <v/>
      </c>
      <c r="L149" s="12">
        <f t="shared" si="3"/>
        <v>0</v>
      </c>
    </row>
    <row r="150" ht="15.75" customHeight="1">
      <c r="A150" s="14"/>
      <c r="B150" s="14"/>
      <c r="C150" s="23"/>
      <c r="D150" s="23"/>
      <c r="E150" s="14"/>
      <c r="F150" s="14"/>
      <c r="G150" s="14"/>
      <c r="H150" s="24" t="str">
        <f t="shared" si="1"/>
        <v/>
      </c>
      <c r="I150" s="12" t="str">
        <f>IF(C150="","",INT((INT(C150)-'01_Ficha_Dosis'!$C$14)/7)+1)</f>
        <v/>
      </c>
      <c r="J150" s="12" t="str">
        <f t="shared" si="2"/>
        <v/>
      </c>
      <c r="K150" s="12" t="str">
        <f>IF(J150="","",IF(AND(G150="OK",J150&gt;='01_Ficha_Dosis'!$C$23,F150&gt;='01_Ficha_Dosis'!$C$24,H150&gt;='01_Ficha_Dosis'!$C$14,H150&lt;='01_Ficha_Dosis'!$C$15),1,0))</f>
        <v/>
      </c>
      <c r="L150" s="12">
        <f t="shared" si="3"/>
        <v>0</v>
      </c>
    </row>
    <row r="151" ht="15.75" customHeight="1">
      <c r="A151" s="14"/>
      <c r="B151" s="14"/>
      <c r="C151" s="23"/>
      <c r="D151" s="23"/>
      <c r="E151" s="14"/>
      <c r="F151" s="14"/>
      <c r="G151" s="14"/>
      <c r="H151" s="24" t="str">
        <f t="shared" si="1"/>
        <v/>
      </c>
      <c r="I151" s="12" t="str">
        <f>IF(C151="","",INT((INT(C151)-'01_Ficha_Dosis'!$C$14)/7)+1)</f>
        <v/>
      </c>
      <c r="J151" s="12" t="str">
        <f t="shared" si="2"/>
        <v/>
      </c>
      <c r="K151" s="12" t="str">
        <f>IF(J151="","",IF(AND(G151="OK",J151&gt;='01_Ficha_Dosis'!$C$23,F151&gt;='01_Ficha_Dosis'!$C$24,H151&gt;='01_Ficha_Dosis'!$C$14,H151&lt;='01_Ficha_Dosis'!$C$15),1,0))</f>
        <v/>
      </c>
      <c r="L151" s="12">
        <f t="shared" si="3"/>
        <v>0</v>
      </c>
    </row>
    <row r="152" ht="15.75" customHeight="1">
      <c r="A152" s="14"/>
      <c r="B152" s="14"/>
      <c r="C152" s="23"/>
      <c r="D152" s="23"/>
      <c r="E152" s="14"/>
      <c r="F152" s="14"/>
      <c r="G152" s="14"/>
      <c r="H152" s="24" t="str">
        <f t="shared" si="1"/>
        <v/>
      </c>
      <c r="I152" s="12" t="str">
        <f>IF(C152="","",INT((INT(C152)-'01_Ficha_Dosis'!$C$14)/7)+1)</f>
        <v/>
      </c>
      <c r="J152" s="12" t="str">
        <f t="shared" si="2"/>
        <v/>
      </c>
      <c r="K152" s="12" t="str">
        <f>IF(J152="","",IF(AND(G152="OK",J152&gt;='01_Ficha_Dosis'!$C$23,F152&gt;='01_Ficha_Dosis'!$C$24,H152&gt;='01_Ficha_Dosis'!$C$14,H152&lt;='01_Ficha_Dosis'!$C$15),1,0))</f>
        <v/>
      </c>
      <c r="L152" s="12">
        <f t="shared" si="3"/>
        <v>0</v>
      </c>
    </row>
    <row r="153" ht="15.75" customHeight="1">
      <c r="A153" s="14"/>
      <c r="B153" s="14"/>
      <c r="C153" s="23"/>
      <c r="D153" s="23"/>
      <c r="E153" s="14"/>
      <c r="F153" s="14"/>
      <c r="G153" s="14"/>
      <c r="H153" s="24" t="str">
        <f t="shared" si="1"/>
        <v/>
      </c>
      <c r="I153" s="12" t="str">
        <f>IF(C153="","",INT((INT(C153)-'01_Ficha_Dosis'!$C$14)/7)+1)</f>
        <v/>
      </c>
      <c r="J153" s="12" t="str">
        <f t="shared" si="2"/>
        <v/>
      </c>
      <c r="K153" s="12" t="str">
        <f>IF(J153="","",IF(AND(G153="OK",J153&gt;='01_Ficha_Dosis'!$C$23,F153&gt;='01_Ficha_Dosis'!$C$24,H153&gt;='01_Ficha_Dosis'!$C$14,H153&lt;='01_Ficha_Dosis'!$C$15),1,0))</f>
        <v/>
      </c>
      <c r="L153" s="12">
        <f t="shared" si="3"/>
        <v>0</v>
      </c>
    </row>
    <row r="154" ht="15.75" customHeight="1">
      <c r="A154" s="14"/>
      <c r="B154" s="14"/>
      <c r="C154" s="23"/>
      <c r="D154" s="23"/>
      <c r="E154" s="14"/>
      <c r="F154" s="14"/>
      <c r="G154" s="14"/>
      <c r="H154" s="24" t="str">
        <f t="shared" si="1"/>
        <v/>
      </c>
      <c r="I154" s="12" t="str">
        <f>IF(C154="","",INT((INT(C154)-'01_Ficha_Dosis'!$C$14)/7)+1)</f>
        <v/>
      </c>
      <c r="J154" s="12" t="str">
        <f t="shared" si="2"/>
        <v/>
      </c>
      <c r="K154" s="12" t="str">
        <f>IF(J154="","",IF(AND(G154="OK",J154&gt;='01_Ficha_Dosis'!$C$23,F154&gt;='01_Ficha_Dosis'!$C$24,H154&gt;='01_Ficha_Dosis'!$C$14,H154&lt;='01_Ficha_Dosis'!$C$15),1,0))</f>
        <v/>
      </c>
      <c r="L154" s="12">
        <f t="shared" si="3"/>
        <v>0</v>
      </c>
    </row>
    <row r="155" ht="15.75" customHeight="1">
      <c r="A155" s="14"/>
      <c r="B155" s="14"/>
      <c r="C155" s="23"/>
      <c r="D155" s="23"/>
      <c r="E155" s="14"/>
      <c r="F155" s="14"/>
      <c r="G155" s="14"/>
      <c r="H155" s="24" t="str">
        <f t="shared" si="1"/>
        <v/>
      </c>
      <c r="I155" s="12" t="str">
        <f>IF(C155="","",INT((INT(C155)-'01_Ficha_Dosis'!$C$14)/7)+1)</f>
        <v/>
      </c>
      <c r="J155" s="12" t="str">
        <f t="shared" si="2"/>
        <v/>
      </c>
      <c r="K155" s="12" t="str">
        <f>IF(J155="","",IF(AND(G155="OK",J155&gt;='01_Ficha_Dosis'!$C$23,F155&gt;='01_Ficha_Dosis'!$C$24,H155&gt;='01_Ficha_Dosis'!$C$14,H155&lt;='01_Ficha_Dosis'!$C$15),1,0))</f>
        <v/>
      </c>
      <c r="L155" s="12">
        <f t="shared" si="3"/>
        <v>0</v>
      </c>
    </row>
    <row r="156" ht="15.75" customHeight="1">
      <c r="A156" s="14"/>
      <c r="B156" s="14"/>
      <c r="C156" s="23"/>
      <c r="D156" s="23"/>
      <c r="E156" s="14"/>
      <c r="F156" s="14"/>
      <c r="G156" s="14"/>
      <c r="H156" s="24" t="str">
        <f t="shared" si="1"/>
        <v/>
      </c>
      <c r="I156" s="12" t="str">
        <f>IF(C156="","",INT((INT(C156)-'01_Ficha_Dosis'!$C$14)/7)+1)</f>
        <v/>
      </c>
      <c r="J156" s="12" t="str">
        <f t="shared" si="2"/>
        <v/>
      </c>
      <c r="K156" s="12" t="str">
        <f>IF(J156="","",IF(AND(G156="OK",J156&gt;='01_Ficha_Dosis'!$C$23,F156&gt;='01_Ficha_Dosis'!$C$24,H156&gt;='01_Ficha_Dosis'!$C$14,H156&lt;='01_Ficha_Dosis'!$C$15),1,0))</f>
        <v/>
      </c>
      <c r="L156" s="12">
        <f t="shared" si="3"/>
        <v>0</v>
      </c>
    </row>
    <row r="157" ht="15.75" customHeight="1">
      <c r="A157" s="14"/>
      <c r="B157" s="14"/>
      <c r="C157" s="23"/>
      <c r="D157" s="23"/>
      <c r="E157" s="14"/>
      <c r="F157" s="14"/>
      <c r="G157" s="14"/>
      <c r="H157" s="24" t="str">
        <f t="shared" si="1"/>
        <v/>
      </c>
      <c r="I157" s="12" t="str">
        <f>IF(C157="","",INT((INT(C157)-'01_Ficha_Dosis'!$C$14)/7)+1)</f>
        <v/>
      </c>
      <c r="J157" s="12" t="str">
        <f t="shared" si="2"/>
        <v/>
      </c>
      <c r="K157" s="12" t="str">
        <f>IF(J157="","",IF(AND(G157="OK",J157&gt;='01_Ficha_Dosis'!$C$23,F157&gt;='01_Ficha_Dosis'!$C$24,H157&gt;='01_Ficha_Dosis'!$C$14,H157&lt;='01_Ficha_Dosis'!$C$15),1,0))</f>
        <v/>
      </c>
      <c r="L157" s="12">
        <f t="shared" si="3"/>
        <v>0</v>
      </c>
    </row>
    <row r="158" ht="15.75" customHeight="1">
      <c r="A158" s="14"/>
      <c r="B158" s="14"/>
      <c r="C158" s="23"/>
      <c r="D158" s="23"/>
      <c r="E158" s="14"/>
      <c r="F158" s="14"/>
      <c r="G158" s="14"/>
      <c r="H158" s="24" t="str">
        <f t="shared" si="1"/>
        <v/>
      </c>
      <c r="I158" s="12" t="str">
        <f>IF(C158="","",INT((INT(C158)-'01_Ficha_Dosis'!$C$14)/7)+1)</f>
        <v/>
      </c>
      <c r="J158" s="12" t="str">
        <f t="shared" si="2"/>
        <v/>
      </c>
      <c r="K158" s="12" t="str">
        <f>IF(J158="","",IF(AND(G158="OK",J158&gt;='01_Ficha_Dosis'!$C$23,F158&gt;='01_Ficha_Dosis'!$C$24,H158&gt;='01_Ficha_Dosis'!$C$14,H158&lt;='01_Ficha_Dosis'!$C$15),1,0))</f>
        <v/>
      </c>
      <c r="L158" s="12">
        <f t="shared" si="3"/>
        <v>0</v>
      </c>
    </row>
    <row r="159" ht="15.75" customHeight="1">
      <c r="A159" s="14"/>
      <c r="B159" s="14"/>
      <c r="C159" s="23"/>
      <c r="D159" s="23"/>
      <c r="E159" s="14"/>
      <c r="F159" s="14"/>
      <c r="G159" s="14"/>
      <c r="H159" s="24" t="str">
        <f t="shared" si="1"/>
        <v/>
      </c>
      <c r="I159" s="12" t="str">
        <f>IF(C159="","",INT((INT(C159)-'01_Ficha_Dosis'!$C$14)/7)+1)</f>
        <v/>
      </c>
      <c r="J159" s="12" t="str">
        <f t="shared" si="2"/>
        <v/>
      </c>
      <c r="K159" s="12" t="str">
        <f>IF(J159="","",IF(AND(G159="OK",J159&gt;='01_Ficha_Dosis'!$C$23,F159&gt;='01_Ficha_Dosis'!$C$24,H159&gt;='01_Ficha_Dosis'!$C$14,H159&lt;='01_Ficha_Dosis'!$C$15),1,0))</f>
        <v/>
      </c>
      <c r="L159" s="12">
        <f t="shared" si="3"/>
        <v>0</v>
      </c>
    </row>
    <row r="160" ht="15.75" customHeight="1">
      <c r="A160" s="14"/>
      <c r="B160" s="14"/>
      <c r="C160" s="23"/>
      <c r="D160" s="23"/>
      <c r="E160" s="14"/>
      <c r="F160" s="14"/>
      <c r="G160" s="14"/>
      <c r="H160" s="24" t="str">
        <f t="shared" si="1"/>
        <v/>
      </c>
      <c r="I160" s="12" t="str">
        <f>IF(C160="","",INT((INT(C160)-'01_Ficha_Dosis'!$C$14)/7)+1)</f>
        <v/>
      </c>
      <c r="J160" s="12" t="str">
        <f t="shared" si="2"/>
        <v/>
      </c>
      <c r="K160" s="12" t="str">
        <f>IF(J160="","",IF(AND(G160="OK",J160&gt;='01_Ficha_Dosis'!$C$23,F160&gt;='01_Ficha_Dosis'!$C$24,H160&gt;='01_Ficha_Dosis'!$C$14,H160&lt;='01_Ficha_Dosis'!$C$15),1,0))</f>
        <v/>
      </c>
      <c r="L160" s="12">
        <f t="shared" si="3"/>
        <v>0</v>
      </c>
    </row>
    <row r="161" ht="15.75" customHeight="1">
      <c r="A161" s="14"/>
      <c r="B161" s="14"/>
      <c r="C161" s="23"/>
      <c r="D161" s="23"/>
      <c r="E161" s="14"/>
      <c r="F161" s="14"/>
      <c r="G161" s="14"/>
      <c r="H161" s="24" t="str">
        <f t="shared" si="1"/>
        <v/>
      </c>
      <c r="I161" s="12" t="str">
        <f>IF(C161="","",INT((INT(C161)-'01_Ficha_Dosis'!$C$14)/7)+1)</f>
        <v/>
      </c>
      <c r="J161" s="12" t="str">
        <f t="shared" si="2"/>
        <v/>
      </c>
      <c r="K161" s="12" t="str">
        <f>IF(J161="","",IF(AND(G161="OK",J161&gt;='01_Ficha_Dosis'!$C$23,F161&gt;='01_Ficha_Dosis'!$C$24,H161&gt;='01_Ficha_Dosis'!$C$14,H161&lt;='01_Ficha_Dosis'!$C$15),1,0))</f>
        <v/>
      </c>
      <c r="L161" s="12">
        <f t="shared" si="3"/>
        <v>0</v>
      </c>
    </row>
    <row r="162" ht="15.75" customHeight="1">
      <c r="A162" s="14"/>
      <c r="B162" s="14"/>
      <c r="C162" s="23"/>
      <c r="D162" s="23"/>
      <c r="E162" s="14"/>
      <c r="F162" s="14"/>
      <c r="G162" s="14"/>
      <c r="H162" s="24" t="str">
        <f t="shared" si="1"/>
        <v/>
      </c>
      <c r="I162" s="12" t="str">
        <f>IF(C162="","",INT((INT(C162)-'01_Ficha_Dosis'!$C$14)/7)+1)</f>
        <v/>
      </c>
      <c r="J162" s="12" t="str">
        <f t="shared" si="2"/>
        <v/>
      </c>
      <c r="K162" s="12" t="str">
        <f>IF(J162="","",IF(AND(G162="OK",J162&gt;='01_Ficha_Dosis'!$C$23,F162&gt;='01_Ficha_Dosis'!$C$24,H162&gt;='01_Ficha_Dosis'!$C$14,H162&lt;='01_Ficha_Dosis'!$C$15),1,0))</f>
        <v/>
      </c>
      <c r="L162" s="12">
        <f t="shared" si="3"/>
        <v>0</v>
      </c>
    </row>
    <row r="163" ht="15.75" customHeight="1">
      <c r="A163" s="14"/>
      <c r="B163" s="14"/>
      <c r="C163" s="23"/>
      <c r="D163" s="23"/>
      <c r="E163" s="14"/>
      <c r="F163" s="14"/>
      <c r="G163" s="14"/>
      <c r="H163" s="24" t="str">
        <f t="shared" si="1"/>
        <v/>
      </c>
      <c r="I163" s="12" t="str">
        <f>IF(C163="","",INT((INT(C163)-'01_Ficha_Dosis'!$C$14)/7)+1)</f>
        <v/>
      </c>
      <c r="J163" s="12" t="str">
        <f t="shared" si="2"/>
        <v/>
      </c>
      <c r="K163" s="12" t="str">
        <f>IF(J163="","",IF(AND(G163="OK",J163&gt;='01_Ficha_Dosis'!$C$23,F163&gt;='01_Ficha_Dosis'!$C$24,H163&gt;='01_Ficha_Dosis'!$C$14,H163&lt;='01_Ficha_Dosis'!$C$15),1,0))</f>
        <v/>
      </c>
      <c r="L163" s="12">
        <f t="shared" si="3"/>
        <v>0</v>
      </c>
    </row>
    <row r="164" ht="15.75" customHeight="1">
      <c r="A164" s="14"/>
      <c r="B164" s="14"/>
      <c r="C164" s="23"/>
      <c r="D164" s="23"/>
      <c r="E164" s="14"/>
      <c r="F164" s="14"/>
      <c r="G164" s="14"/>
      <c r="H164" s="24" t="str">
        <f t="shared" si="1"/>
        <v/>
      </c>
      <c r="I164" s="12" t="str">
        <f>IF(C164="","",INT((INT(C164)-'01_Ficha_Dosis'!$C$14)/7)+1)</f>
        <v/>
      </c>
      <c r="J164" s="12" t="str">
        <f t="shared" si="2"/>
        <v/>
      </c>
      <c r="K164" s="12" t="str">
        <f>IF(J164="","",IF(AND(G164="OK",J164&gt;='01_Ficha_Dosis'!$C$23,F164&gt;='01_Ficha_Dosis'!$C$24,H164&gt;='01_Ficha_Dosis'!$C$14,H164&lt;='01_Ficha_Dosis'!$C$15),1,0))</f>
        <v/>
      </c>
      <c r="L164" s="12">
        <f t="shared" si="3"/>
        <v>0</v>
      </c>
    </row>
    <row r="165" ht="15.75" customHeight="1">
      <c r="A165" s="14"/>
      <c r="B165" s="14"/>
      <c r="C165" s="23"/>
      <c r="D165" s="23"/>
      <c r="E165" s="14"/>
      <c r="F165" s="14"/>
      <c r="G165" s="14"/>
      <c r="H165" s="24" t="str">
        <f t="shared" si="1"/>
        <v/>
      </c>
      <c r="I165" s="12" t="str">
        <f>IF(C165="","",INT((INT(C165)-'01_Ficha_Dosis'!$C$14)/7)+1)</f>
        <v/>
      </c>
      <c r="J165" s="12" t="str">
        <f t="shared" si="2"/>
        <v/>
      </c>
      <c r="K165" s="12" t="str">
        <f>IF(J165="","",IF(AND(G165="OK",J165&gt;='01_Ficha_Dosis'!$C$23,F165&gt;='01_Ficha_Dosis'!$C$24,H165&gt;='01_Ficha_Dosis'!$C$14,H165&lt;='01_Ficha_Dosis'!$C$15),1,0))</f>
        <v/>
      </c>
      <c r="L165" s="12">
        <f t="shared" si="3"/>
        <v>0</v>
      </c>
    </row>
    <row r="166" ht="15.75" customHeight="1">
      <c r="A166" s="14"/>
      <c r="B166" s="14"/>
      <c r="C166" s="23"/>
      <c r="D166" s="23"/>
      <c r="E166" s="14"/>
      <c r="F166" s="14"/>
      <c r="G166" s="14"/>
      <c r="H166" s="24" t="str">
        <f t="shared" si="1"/>
        <v/>
      </c>
      <c r="I166" s="12" t="str">
        <f>IF(C166="","",INT((INT(C166)-'01_Ficha_Dosis'!$C$14)/7)+1)</f>
        <v/>
      </c>
      <c r="J166" s="12" t="str">
        <f t="shared" si="2"/>
        <v/>
      </c>
      <c r="K166" s="12" t="str">
        <f>IF(J166="","",IF(AND(G166="OK",J166&gt;='01_Ficha_Dosis'!$C$23,F166&gt;='01_Ficha_Dosis'!$C$24,H166&gt;='01_Ficha_Dosis'!$C$14,H166&lt;='01_Ficha_Dosis'!$C$15),1,0))</f>
        <v/>
      </c>
      <c r="L166" s="12">
        <f t="shared" si="3"/>
        <v>0</v>
      </c>
    </row>
    <row r="167" ht="15.75" customHeight="1">
      <c r="A167" s="14"/>
      <c r="B167" s="14"/>
      <c r="C167" s="23"/>
      <c r="D167" s="23"/>
      <c r="E167" s="14"/>
      <c r="F167" s="14"/>
      <c r="G167" s="14"/>
      <c r="H167" s="24" t="str">
        <f t="shared" si="1"/>
        <v/>
      </c>
      <c r="I167" s="12" t="str">
        <f>IF(C167="","",INT((INT(C167)-'01_Ficha_Dosis'!$C$14)/7)+1)</f>
        <v/>
      </c>
      <c r="J167" s="12" t="str">
        <f t="shared" si="2"/>
        <v/>
      </c>
      <c r="K167" s="12" t="str">
        <f>IF(J167="","",IF(AND(G167="OK",J167&gt;='01_Ficha_Dosis'!$C$23,F167&gt;='01_Ficha_Dosis'!$C$24,H167&gt;='01_Ficha_Dosis'!$C$14,H167&lt;='01_Ficha_Dosis'!$C$15),1,0))</f>
        <v/>
      </c>
      <c r="L167" s="12">
        <f t="shared" si="3"/>
        <v>0</v>
      </c>
    </row>
    <row r="168" ht="15.75" customHeight="1">
      <c r="A168" s="14"/>
      <c r="B168" s="14"/>
      <c r="C168" s="23"/>
      <c r="D168" s="23"/>
      <c r="E168" s="14"/>
      <c r="F168" s="14"/>
      <c r="G168" s="14"/>
      <c r="H168" s="24" t="str">
        <f t="shared" si="1"/>
        <v/>
      </c>
      <c r="I168" s="12" t="str">
        <f>IF(C168="","",INT((INT(C168)-'01_Ficha_Dosis'!$C$14)/7)+1)</f>
        <v/>
      </c>
      <c r="J168" s="12" t="str">
        <f t="shared" si="2"/>
        <v/>
      </c>
      <c r="K168" s="12" t="str">
        <f>IF(J168="","",IF(AND(G168="OK",J168&gt;='01_Ficha_Dosis'!$C$23,F168&gt;='01_Ficha_Dosis'!$C$24,H168&gt;='01_Ficha_Dosis'!$C$14,H168&lt;='01_Ficha_Dosis'!$C$15),1,0))</f>
        <v/>
      </c>
      <c r="L168" s="12">
        <f t="shared" si="3"/>
        <v>0</v>
      </c>
    </row>
    <row r="169" ht="15.75" customHeight="1">
      <c r="A169" s="14"/>
      <c r="B169" s="14"/>
      <c r="C169" s="23"/>
      <c r="D169" s="23"/>
      <c r="E169" s="14"/>
      <c r="F169" s="14"/>
      <c r="G169" s="14"/>
      <c r="H169" s="24" t="str">
        <f t="shared" si="1"/>
        <v/>
      </c>
      <c r="I169" s="12" t="str">
        <f>IF(C169="","",INT((INT(C169)-'01_Ficha_Dosis'!$C$14)/7)+1)</f>
        <v/>
      </c>
      <c r="J169" s="12" t="str">
        <f t="shared" si="2"/>
        <v/>
      </c>
      <c r="K169" s="12" t="str">
        <f>IF(J169="","",IF(AND(G169="OK",J169&gt;='01_Ficha_Dosis'!$C$23,F169&gt;='01_Ficha_Dosis'!$C$24,H169&gt;='01_Ficha_Dosis'!$C$14,H169&lt;='01_Ficha_Dosis'!$C$15),1,0))</f>
        <v/>
      </c>
      <c r="L169" s="12">
        <f t="shared" si="3"/>
        <v>0</v>
      </c>
    </row>
    <row r="170" ht="15.75" customHeight="1">
      <c r="A170" s="14"/>
      <c r="B170" s="14"/>
      <c r="C170" s="23"/>
      <c r="D170" s="23"/>
      <c r="E170" s="14"/>
      <c r="F170" s="14"/>
      <c r="G170" s="14"/>
      <c r="H170" s="24" t="str">
        <f t="shared" si="1"/>
        <v/>
      </c>
      <c r="I170" s="12" t="str">
        <f>IF(C170="","",INT((INT(C170)-'01_Ficha_Dosis'!$C$14)/7)+1)</f>
        <v/>
      </c>
      <c r="J170" s="12" t="str">
        <f t="shared" si="2"/>
        <v/>
      </c>
      <c r="K170" s="12" t="str">
        <f>IF(J170="","",IF(AND(G170="OK",J170&gt;='01_Ficha_Dosis'!$C$23,F170&gt;='01_Ficha_Dosis'!$C$24,H170&gt;='01_Ficha_Dosis'!$C$14,H170&lt;='01_Ficha_Dosis'!$C$15),1,0))</f>
        <v/>
      </c>
      <c r="L170" s="12">
        <f t="shared" si="3"/>
        <v>0</v>
      </c>
    </row>
    <row r="171" ht="15.75" customHeight="1">
      <c r="A171" s="14"/>
      <c r="B171" s="14"/>
      <c r="C171" s="23"/>
      <c r="D171" s="23"/>
      <c r="E171" s="14"/>
      <c r="F171" s="14"/>
      <c r="G171" s="14"/>
      <c r="H171" s="24" t="str">
        <f t="shared" si="1"/>
        <v/>
      </c>
      <c r="I171" s="12" t="str">
        <f>IF(C171="","",INT((INT(C171)-'01_Ficha_Dosis'!$C$14)/7)+1)</f>
        <v/>
      </c>
      <c r="J171" s="12" t="str">
        <f t="shared" si="2"/>
        <v/>
      </c>
      <c r="K171" s="12" t="str">
        <f>IF(J171="","",IF(AND(G171="OK",J171&gt;='01_Ficha_Dosis'!$C$23,F171&gt;='01_Ficha_Dosis'!$C$24,H171&gt;='01_Ficha_Dosis'!$C$14,H171&lt;='01_Ficha_Dosis'!$C$15),1,0))</f>
        <v/>
      </c>
      <c r="L171" s="12">
        <f t="shared" si="3"/>
        <v>0</v>
      </c>
    </row>
    <row r="172" ht="15.75" customHeight="1">
      <c r="A172" s="14"/>
      <c r="B172" s="14"/>
      <c r="C172" s="23"/>
      <c r="D172" s="23"/>
      <c r="E172" s="14"/>
      <c r="F172" s="14"/>
      <c r="G172" s="14"/>
      <c r="H172" s="24" t="str">
        <f t="shared" si="1"/>
        <v/>
      </c>
      <c r="I172" s="12" t="str">
        <f>IF(C172="","",INT((INT(C172)-'01_Ficha_Dosis'!$C$14)/7)+1)</f>
        <v/>
      </c>
      <c r="J172" s="12" t="str">
        <f t="shared" si="2"/>
        <v/>
      </c>
      <c r="K172" s="12" t="str">
        <f>IF(J172="","",IF(AND(G172="OK",J172&gt;='01_Ficha_Dosis'!$C$23,F172&gt;='01_Ficha_Dosis'!$C$24,H172&gt;='01_Ficha_Dosis'!$C$14,H172&lt;='01_Ficha_Dosis'!$C$15),1,0))</f>
        <v/>
      </c>
      <c r="L172" s="12">
        <f t="shared" si="3"/>
        <v>0</v>
      </c>
    </row>
    <row r="173" ht="15.75" customHeight="1">
      <c r="A173" s="14"/>
      <c r="B173" s="14"/>
      <c r="C173" s="23"/>
      <c r="D173" s="23"/>
      <c r="E173" s="14"/>
      <c r="F173" s="14"/>
      <c r="G173" s="14"/>
      <c r="H173" s="24" t="str">
        <f t="shared" si="1"/>
        <v/>
      </c>
      <c r="I173" s="12" t="str">
        <f>IF(C173="","",INT((INT(C173)-'01_Ficha_Dosis'!$C$14)/7)+1)</f>
        <v/>
      </c>
      <c r="J173" s="12" t="str">
        <f t="shared" si="2"/>
        <v/>
      </c>
      <c r="K173" s="12" t="str">
        <f>IF(J173="","",IF(AND(G173="OK",J173&gt;='01_Ficha_Dosis'!$C$23,F173&gt;='01_Ficha_Dosis'!$C$24,H173&gt;='01_Ficha_Dosis'!$C$14,H173&lt;='01_Ficha_Dosis'!$C$15),1,0))</f>
        <v/>
      </c>
      <c r="L173" s="12">
        <f t="shared" si="3"/>
        <v>0</v>
      </c>
    </row>
    <row r="174" ht="15.75" customHeight="1">
      <c r="A174" s="14"/>
      <c r="B174" s="14"/>
      <c r="C174" s="23"/>
      <c r="D174" s="23"/>
      <c r="E174" s="14"/>
      <c r="F174" s="14"/>
      <c r="G174" s="14"/>
      <c r="H174" s="24" t="str">
        <f t="shared" si="1"/>
        <v/>
      </c>
      <c r="I174" s="12" t="str">
        <f>IF(C174="","",INT((INT(C174)-'01_Ficha_Dosis'!$C$14)/7)+1)</f>
        <v/>
      </c>
      <c r="J174" s="12" t="str">
        <f t="shared" si="2"/>
        <v/>
      </c>
      <c r="K174" s="12" t="str">
        <f>IF(J174="","",IF(AND(G174="OK",J174&gt;='01_Ficha_Dosis'!$C$23,F174&gt;='01_Ficha_Dosis'!$C$24,H174&gt;='01_Ficha_Dosis'!$C$14,H174&lt;='01_Ficha_Dosis'!$C$15),1,0))</f>
        <v/>
      </c>
      <c r="L174" s="12">
        <f t="shared" si="3"/>
        <v>0</v>
      </c>
    </row>
    <row r="175" ht="15.75" customHeight="1">
      <c r="A175" s="14"/>
      <c r="B175" s="14"/>
      <c r="C175" s="23"/>
      <c r="D175" s="23"/>
      <c r="E175" s="14"/>
      <c r="F175" s="14"/>
      <c r="G175" s="14"/>
      <c r="H175" s="24" t="str">
        <f t="shared" si="1"/>
        <v/>
      </c>
      <c r="I175" s="12" t="str">
        <f>IF(C175="","",INT((INT(C175)-'01_Ficha_Dosis'!$C$14)/7)+1)</f>
        <v/>
      </c>
      <c r="J175" s="12" t="str">
        <f t="shared" si="2"/>
        <v/>
      </c>
      <c r="K175" s="12" t="str">
        <f>IF(J175="","",IF(AND(G175="OK",J175&gt;='01_Ficha_Dosis'!$C$23,F175&gt;='01_Ficha_Dosis'!$C$24,H175&gt;='01_Ficha_Dosis'!$C$14,H175&lt;='01_Ficha_Dosis'!$C$15),1,0))</f>
        <v/>
      </c>
      <c r="L175" s="12">
        <f t="shared" si="3"/>
        <v>0</v>
      </c>
    </row>
    <row r="176" ht="15.75" customHeight="1">
      <c r="A176" s="14"/>
      <c r="B176" s="14"/>
      <c r="C176" s="23"/>
      <c r="D176" s="23"/>
      <c r="E176" s="14"/>
      <c r="F176" s="14"/>
      <c r="G176" s="14"/>
      <c r="H176" s="24" t="str">
        <f t="shared" si="1"/>
        <v/>
      </c>
      <c r="I176" s="12" t="str">
        <f>IF(C176="","",INT((INT(C176)-'01_Ficha_Dosis'!$C$14)/7)+1)</f>
        <v/>
      </c>
      <c r="J176" s="12" t="str">
        <f t="shared" si="2"/>
        <v/>
      </c>
      <c r="K176" s="12" t="str">
        <f>IF(J176="","",IF(AND(G176="OK",J176&gt;='01_Ficha_Dosis'!$C$23,F176&gt;='01_Ficha_Dosis'!$C$24,H176&gt;='01_Ficha_Dosis'!$C$14,H176&lt;='01_Ficha_Dosis'!$C$15),1,0))</f>
        <v/>
      </c>
      <c r="L176" s="12">
        <f t="shared" si="3"/>
        <v>0</v>
      </c>
    </row>
    <row r="177" ht="15.75" customHeight="1">
      <c r="A177" s="14"/>
      <c r="B177" s="14"/>
      <c r="C177" s="23"/>
      <c r="D177" s="23"/>
      <c r="E177" s="14"/>
      <c r="F177" s="14"/>
      <c r="G177" s="14"/>
      <c r="H177" s="24" t="str">
        <f t="shared" si="1"/>
        <v/>
      </c>
      <c r="I177" s="12" t="str">
        <f>IF(C177="","",INT((INT(C177)-'01_Ficha_Dosis'!$C$14)/7)+1)</f>
        <v/>
      </c>
      <c r="J177" s="12" t="str">
        <f t="shared" si="2"/>
        <v/>
      </c>
      <c r="K177" s="12" t="str">
        <f>IF(J177="","",IF(AND(G177="OK",J177&gt;='01_Ficha_Dosis'!$C$23,F177&gt;='01_Ficha_Dosis'!$C$24,H177&gt;='01_Ficha_Dosis'!$C$14,H177&lt;='01_Ficha_Dosis'!$C$15),1,0))</f>
        <v/>
      </c>
      <c r="L177" s="12">
        <f t="shared" si="3"/>
        <v>0</v>
      </c>
    </row>
    <row r="178" ht="15.75" customHeight="1">
      <c r="A178" s="14"/>
      <c r="B178" s="14"/>
      <c r="C178" s="23"/>
      <c r="D178" s="23"/>
      <c r="E178" s="14"/>
      <c r="F178" s="14"/>
      <c r="G178" s="14"/>
      <c r="H178" s="24" t="str">
        <f t="shared" si="1"/>
        <v/>
      </c>
      <c r="I178" s="12" t="str">
        <f>IF(C178="","",INT((INT(C178)-'01_Ficha_Dosis'!$C$14)/7)+1)</f>
        <v/>
      </c>
      <c r="J178" s="12" t="str">
        <f t="shared" si="2"/>
        <v/>
      </c>
      <c r="K178" s="12" t="str">
        <f>IF(J178="","",IF(AND(G178="OK",J178&gt;='01_Ficha_Dosis'!$C$23,F178&gt;='01_Ficha_Dosis'!$C$24,H178&gt;='01_Ficha_Dosis'!$C$14,H178&lt;='01_Ficha_Dosis'!$C$15),1,0))</f>
        <v/>
      </c>
      <c r="L178" s="12">
        <f t="shared" si="3"/>
        <v>0</v>
      </c>
    </row>
    <row r="179" ht="15.75" customHeight="1">
      <c r="A179" s="14"/>
      <c r="B179" s="14"/>
      <c r="C179" s="23"/>
      <c r="D179" s="23"/>
      <c r="E179" s="14"/>
      <c r="F179" s="14"/>
      <c r="G179" s="14"/>
      <c r="H179" s="24" t="str">
        <f t="shared" si="1"/>
        <v/>
      </c>
      <c r="I179" s="12" t="str">
        <f>IF(C179="","",INT((INT(C179)-'01_Ficha_Dosis'!$C$14)/7)+1)</f>
        <v/>
      </c>
      <c r="J179" s="12" t="str">
        <f t="shared" si="2"/>
        <v/>
      </c>
      <c r="K179" s="12" t="str">
        <f>IF(J179="","",IF(AND(G179="OK",J179&gt;='01_Ficha_Dosis'!$C$23,F179&gt;='01_Ficha_Dosis'!$C$24,H179&gt;='01_Ficha_Dosis'!$C$14,H179&lt;='01_Ficha_Dosis'!$C$15),1,0))</f>
        <v/>
      </c>
      <c r="L179" s="12">
        <f t="shared" si="3"/>
        <v>0</v>
      </c>
    </row>
    <row r="180" ht="15.75" customHeight="1">
      <c r="A180" s="14"/>
      <c r="B180" s="14"/>
      <c r="C180" s="23"/>
      <c r="D180" s="23"/>
      <c r="E180" s="14"/>
      <c r="F180" s="14"/>
      <c r="G180" s="14"/>
      <c r="H180" s="24" t="str">
        <f t="shared" si="1"/>
        <v/>
      </c>
      <c r="I180" s="12" t="str">
        <f>IF(C180="","",INT((INT(C180)-'01_Ficha_Dosis'!$C$14)/7)+1)</f>
        <v/>
      </c>
      <c r="J180" s="12" t="str">
        <f t="shared" si="2"/>
        <v/>
      </c>
      <c r="K180" s="12" t="str">
        <f>IF(J180="","",IF(AND(G180="OK",J180&gt;='01_Ficha_Dosis'!$C$23,F180&gt;='01_Ficha_Dosis'!$C$24,H180&gt;='01_Ficha_Dosis'!$C$14,H180&lt;='01_Ficha_Dosis'!$C$15),1,0))</f>
        <v/>
      </c>
      <c r="L180" s="12">
        <f t="shared" si="3"/>
        <v>0</v>
      </c>
    </row>
    <row r="181" ht="15.75" customHeight="1">
      <c r="A181" s="14"/>
      <c r="B181" s="14"/>
      <c r="C181" s="23"/>
      <c r="D181" s="23"/>
      <c r="E181" s="14"/>
      <c r="F181" s="14"/>
      <c r="G181" s="14"/>
      <c r="H181" s="24" t="str">
        <f t="shared" si="1"/>
        <v/>
      </c>
      <c r="I181" s="12" t="str">
        <f>IF(C181="","",INT((INT(C181)-'01_Ficha_Dosis'!$C$14)/7)+1)</f>
        <v/>
      </c>
      <c r="J181" s="12" t="str">
        <f t="shared" si="2"/>
        <v/>
      </c>
      <c r="K181" s="12" t="str">
        <f>IF(J181="","",IF(AND(G181="OK",J181&gt;='01_Ficha_Dosis'!$C$23,F181&gt;='01_Ficha_Dosis'!$C$24,H181&gt;='01_Ficha_Dosis'!$C$14,H181&lt;='01_Ficha_Dosis'!$C$15),1,0))</f>
        <v/>
      </c>
      <c r="L181" s="12">
        <f t="shared" si="3"/>
        <v>0</v>
      </c>
    </row>
    <row r="182" ht="15.75" customHeight="1">
      <c r="A182" s="14"/>
      <c r="B182" s="14"/>
      <c r="C182" s="23"/>
      <c r="D182" s="23"/>
      <c r="E182" s="14"/>
      <c r="F182" s="14"/>
      <c r="G182" s="14"/>
      <c r="H182" s="24" t="str">
        <f t="shared" si="1"/>
        <v/>
      </c>
      <c r="I182" s="12" t="str">
        <f>IF(C182="","",INT((INT(C182)-'01_Ficha_Dosis'!$C$14)/7)+1)</f>
        <v/>
      </c>
      <c r="J182" s="12" t="str">
        <f t="shared" si="2"/>
        <v/>
      </c>
      <c r="K182" s="12" t="str">
        <f>IF(J182="","",IF(AND(G182="OK",J182&gt;='01_Ficha_Dosis'!$C$23,F182&gt;='01_Ficha_Dosis'!$C$24,H182&gt;='01_Ficha_Dosis'!$C$14,H182&lt;='01_Ficha_Dosis'!$C$15),1,0))</f>
        <v/>
      </c>
      <c r="L182" s="12">
        <f t="shared" si="3"/>
        <v>0</v>
      </c>
    </row>
    <row r="183" ht="15.75" customHeight="1">
      <c r="A183" s="14"/>
      <c r="B183" s="14"/>
      <c r="C183" s="23"/>
      <c r="D183" s="23"/>
      <c r="E183" s="14"/>
      <c r="F183" s="14"/>
      <c r="G183" s="14"/>
      <c r="H183" s="24" t="str">
        <f t="shared" si="1"/>
        <v/>
      </c>
      <c r="I183" s="12" t="str">
        <f>IF(C183="","",INT((INT(C183)-'01_Ficha_Dosis'!$C$14)/7)+1)</f>
        <v/>
      </c>
      <c r="J183" s="12" t="str">
        <f t="shared" si="2"/>
        <v/>
      </c>
      <c r="K183" s="12" t="str">
        <f>IF(J183="","",IF(AND(G183="OK",J183&gt;='01_Ficha_Dosis'!$C$23,F183&gt;='01_Ficha_Dosis'!$C$24,H183&gt;='01_Ficha_Dosis'!$C$14,H183&lt;='01_Ficha_Dosis'!$C$15),1,0))</f>
        <v/>
      </c>
      <c r="L183" s="12">
        <f t="shared" si="3"/>
        <v>0</v>
      </c>
    </row>
    <row r="184" ht="15.75" customHeight="1">
      <c r="A184" s="14"/>
      <c r="B184" s="14"/>
      <c r="C184" s="23"/>
      <c r="D184" s="23"/>
      <c r="E184" s="14"/>
      <c r="F184" s="14"/>
      <c r="G184" s="14"/>
      <c r="H184" s="24" t="str">
        <f t="shared" si="1"/>
        <v/>
      </c>
      <c r="I184" s="12" t="str">
        <f>IF(C184="","",INT((INT(C184)-'01_Ficha_Dosis'!$C$14)/7)+1)</f>
        <v/>
      </c>
      <c r="J184" s="12" t="str">
        <f t="shared" si="2"/>
        <v/>
      </c>
      <c r="K184" s="12" t="str">
        <f>IF(J184="","",IF(AND(G184="OK",J184&gt;='01_Ficha_Dosis'!$C$23,F184&gt;='01_Ficha_Dosis'!$C$24,H184&gt;='01_Ficha_Dosis'!$C$14,H184&lt;='01_Ficha_Dosis'!$C$15),1,0))</f>
        <v/>
      </c>
      <c r="L184" s="12">
        <f t="shared" si="3"/>
        <v>0</v>
      </c>
    </row>
    <row r="185" ht="15.75" customHeight="1">
      <c r="A185" s="14"/>
      <c r="B185" s="14"/>
      <c r="C185" s="23"/>
      <c r="D185" s="23"/>
      <c r="E185" s="14"/>
      <c r="F185" s="14"/>
      <c r="G185" s="14"/>
      <c r="H185" s="24" t="str">
        <f t="shared" si="1"/>
        <v/>
      </c>
      <c r="I185" s="12" t="str">
        <f>IF(C185="","",INT((INT(C185)-'01_Ficha_Dosis'!$C$14)/7)+1)</f>
        <v/>
      </c>
      <c r="J185" s="12" t="str">
        <f t="shared" si="2"/>
        <v/>
      </c>
      <c r="K185" s="12" t="str">
        <f>IF(J185="","",IF(AND(G185="OK",J185&gt;='01_Ficha_Dosis'!$C$23,F185&gt;='01_Ficha_Dosis'!$C$24,H185&gt;='01_Ficha_Dosis'!$C$14,H185&lt;='01_Ficha_Dosis'!$C$15),1,0))</f>
        <v/>
      </c>
      <c r="L185" s="12">
        <f t="shared" si="3"/>
        <v>0</v>
      </c>
    </row>
    <row r="186" ht="15.75" customHeight="1">
      <c r="A186" s="14"/>
      <c r="B186" s="14"/>
      <c r="C186" s="23"/>
      <c r="D186" s="23"/>
      <c r="E186" s="14"/>
      <c r="F186" s="14"/>
      <c r="G186" s="14"/>
      <c r="H186" s="24" t="str">
        <f t="shared" si="1"/>
        <v/>
      </c>
      <c r="I186" s="12" t="str">
        <f>IF(C186="","",INT((INT(C186)-'01_Ficha_Dosis'!$C$14)/7)+1)</f>
        <v/>
      </c>
      <c r="J186" s="12" t="str">
        <f t="shared" si="2"/>
        <v/>
      </c>
      <c r="K186" s="12" t="str">
        <f>IF(J186="","",IF(AND(G186="OK",J186&gt;='01_Ficha_Dosis'!$C$23,F186&gt;='01_Ficha_Dosis'!$C$24,H186&gt;='01_Ficha_Dosis'!$C$14,H186&lt;='01_Ficha_Dosis'!$C$15),1,0))</f>
        <v/>
      </c>
      <c r="L186" s="12">
        <f t="shared" si="3"/>
        <v>0</v>
      </c>
    </row>
    <row r="187" ht="15.75" customHeight="1">
      <c r="A187" s="14"/>
      <c r="B187" s="14"/>
      <c r="C187" s="23"/>
      <c r="D187" s="23"/>
      <c r="E187" s="14"/>
      <c r="F187" s="14"/>
      <c r="G187" s="14"/>
      <c r="H187" s="24" t="str">
        <f t="shared" si="1"/>
        <v/>
      </c>
      <c r="I187" s="12" t="str">
        <f>IF(C187="","",INT((INT(C187)-'01_Ficha_Dosis'!$C$14)/7)+1)</f>
        <v/>
      </c>
      <c r="J187" s="12" t="str">
        <f t="shared" si="2"/>
        <v/>
      </c>
      <c r="K187" s="12" t="str">
        <f>IF(J187="","",IF(AND(G187="OK",J187&gt;='01_Ficha_Dosis'!$C$23,F187&gt;='01_Ficha_Dosis'!$C$24,H187&gt;='01_Ficha_Dosis'!$C$14,H187&lt;='01_Ficha_Dosis'!$C$15),1,0))</f>
        <v/>
      </c>
      <c r="L187" s="12">
        <f t="shared" si="3"/>
        <v>0</v>
      </c>
    </row>
    <row r="188" ht="15.75" customHeight="1">
      <c r="A188" s="14"/>
      <c r="B188" s="14"/>
      <c r="C188" s="23"/>
      <c r="D188" s="23"/>
      <c r="E188" s="14"/>
      <c r="F188" s="14"/>
      <c r="G188" s="14"/>
      <c r="H188" s="24" t="str">
        <f t="shared" si="1"/>
        <v/>
      </c>
      <c r="I188" s="12" t="str">
        <f>IF(C188="","",INT((INT(C188)-'01_Ficha_Dosis'!$C$14)/7)+1)</f>
        <v/>
      </c>
      <c r="J188" s="12" t="str">
        <f t="shared" si="2"/>
        <v/>
      </c>
      <c r="K188" s="12" t="str">
        <f>IF(J188="","",IF(AND(G188="OK",J188&gt;='01_Ficha_Dosis'!$C$23,F188&gt;='01_Ficha_Dosis'!$C$24,H188&gt;='01_Ficha_Dosis'!$C$14,H188&lt;='01_Ficha_Dosis'!$C$15),1,0))</f>
        <v/>
      </c>
      <c r="L188" s="12">
        <f t="shared" si="3"/>
        <v>0</v>
      </c>
    </row>
    <row r="189" ht="15.75" customHeight="1">
      <c r="A189" s="14"/>
      <c r="B189" s="14"/>
      <c r="C189" s="23"/>
      <c r="D189" s="23"/>
      <c r="E189" s="14"/>
      <c r="F189" s="14"/>
      <c r="G189" s="14"/>
      <c r="H189" s="24" t="str">
        <f t="shared" si="1"/>
        <v/>
      </c>
      <c r="I189" s="12" t="str">
        <f>IF(C189="","",INT((INT(C189)-'01_Ficha_Dosis'!$C$14)/7)+1)</f>
        <v/>
      </c>
      <c r="J189" s="12" t="str">
        <f t="shared" si="2"/>
        <v/>
      </c>
      <c r="K189" s="12" t="str">
        <f>IF(J189="","",IF(AND(G189="OK",J189&gt;='01_Ficha_Dosis'!$C$23,F189&gt;='01_Ficha_Dosis'!$C$24,H189&gt;='01_Ficha_Dosis'!$C$14,H189&lt;='01_Ficha_Dosis'!$C$15),1,0))</f>
        <v/>
      </c>
      <c r="L189" s="12">
        <f t="shared" si="3"/>
        <v>0</v>
      </c>
    </row>
    <row r="190" ht="15.75" customHeight="1">
      <c r="A190" s="14"/>
      <c r="B190" s="14"/>
      <c r="C190" s="23"/>
      <c r="D190" s="23"/>
      <c r="E190" s="14"/>
      <c r="F190" s="14"/>
      <c r="G190" s="14"/>
      <c r="H190" s="24" t="str">
        <f t="shared" si="1"/>
        <v/>
      </c>
      <c r="I190" s="12" t="str">
        <f>IF(C190="","",INT((INT(C190)-'01_Ficha_Dosis'!$C$14)/7)+1)</f>
        <v/>
      </c>
      <c r="J190" s="12" t="str">
        <f t="shared" si="2"/>
        <v/>
      </c>
      <c r="K190" s="12" t="str">
        <f>IF(J190="","",IF(AND(G190="OK",J190&gt;='01_Ficha_Dosis'!$C$23,F190&gt;='01_Ficha_Dosis'!$C$24,H190&gt;='01_Ficha_Dosis'!$C$14,H190&lt;='01_Ficha_Dosis'!$C$15),1,0))</f>
        <v/>
      </c>
      <c r="L190" s="12">
        <f t="shared" si="3"/>
        <v>0</v>
      </c>
    </row>
    <row r="191" ht="15.75" customHeight="1">
      <c r="A191" s="14"/>
      <c r="B191" s="14"/>
      <c r="C191" s="23"/>
      <c r="D191" s="23"/>
      <c r="E191" s="14"/>
      <c r="F191" s="14"/>
      <c r="G191" s="14"/>
      <c r="H191" s="24" t="str">
        <f t="shared" si="1"/>
        <v/>
      </c>
      <c r="I191" s="12" t="str">
        <f>IF(C191="","",INT((INT(C191)-'01_Ficha_Dosis'!$C$14)/7)+1)</f>
        <v/>
      </c>
      <c r="J191" s="12" t="str">
        <f t="shared" si="2"/>
        <v/>
      </c>
      <c r="K191" s="12" t="str">
        <f>IF(J191="","",IF(AND(G191="OK",J191&gt;='01_Ficha_Dosis'!$C$23,F191&gt;='01_Ficha_Dosis'!$C$24,H191&gt;='01_Ficha_Dosis'!$C$14,H191&lt;='01_Ficha_Dosis'!$C$15),1,0))</f>
        <v/>
      </c>
      <c r="L191" s="12">
        <f t="shared" si="3"/>
        <v>0</v>
      </c>
    </row>
    <row r="192" ht="15.75" customHeight="1">
      <c r="A192" s="14"/>
      <c r="B192" s="14"/>
      <c r="C192" s="23"/>
      <c r="D192" s="23"/>
      <c r="E192" s="14"/>
      <c r="F192" s="14"/>
      <c r="G192" s="14"/>
      <c r="H192" s="24" t="str">
        <f t="shared" si="1"/>
        <v/>
      </c>
      <c r="I192" s="12" t="str">
        <f>IF(C192="","",INT((INT(C192)-'01_Ficha_Dosis'!$C$14)/7)+1)</f>
        <v/>
      </c>
      <c r="J192" s="12" t="str">
        <f t="shared" si="2"/>
        <v/>
      </c>
      <c r="K192" s="12" t="str">
        <f>IF(J192="","",IF(AND(G192="OK",J192&gt;='01_Ficha_Dosis'!$C$23,F192&gt;='01_Ficha_Dosis'!$C$24,H192&gt;='01_Ficha_Dosis'!$C$14,H192&lt;='01_Ficha_Dosis'!$C$15),1,0))</f>
        <v/>
      </c>
      <c r="L192" s="12">
        <f t="shared" si="3"/>
        <v>0</v>
      </c>
    </row>
    <row r="193" ht="15.75" customHeight="1">
      <c r="A193" s="14"/>
      <c r="B193" s="14"/>
      <c r="C193" s="23"/>
      <c r="D193" s="23"/>
      <c r="E193" s="14"/>
      <c r="F193" s="14"/>
      <c r="G193" s="14"/>
      <c r="H193" s="24" t="str">
        <f t="shared" si="1"/>
        <v/>
      </c>
      <c r="I193" s="12" t="str">
        <f>IF(C193="","",INT((INT(C193)-'01_Ficha_Dosis'!$C$14)/7)+1)</f>
        <v/>
      </c>
      <c r="J193" s="12" t="str">
        <f t="shared" si="2"/>
        <v/>
      </c>
      <c r="K193" s="12" t="str">
        <f>IF(J193="","",IF(AND(G193="OK",J193&gt;='01_Ficha_Dosis'!$C$23,F193&gt;='01_Ficha_Dosis'!$C$24,H193&gt;='01_Ficha_Dosis'!$C$14,H193&lt;='01_Ficha_Dosis'!$C$15),1,0))</f>
        <v/>
      </c>
      <c r="L193" s="12">
        <f t="shared" si="3"/>
        <v>0</v>
      </c>
    </row>
    <row r="194" ht="15.75" customHeight="1">
      <c r="A194" s="14"/>
      <c r="B194" s="14"/>
      <c r="C194" s="23"/>
      <c r="D194" s="23"/>
      <c r="E194" s="14"/>
      <c r="F194" s="14"/>
      <c r="G194" s="14"/>
      <c r="H194" s="24" t="str">
        <f t="shared" si="1"/>
        <v/>
      </c>
      <c r="I194" s="12" t="str">
        <f>IF(C194="","",INT((INT(C194)-'01_Ficha_Dosis'!$C$14)/7)+1)</f>
        <v/>
      </c>
      <c r="J194" s="12" t="str">
        <f t="shared" si="2"/>
        <v/>
      </c>
      <c r="K194" s="12" t="str">
        <f>IF(J194="","",IF(AND(G194="OK",J194&gt;='01_Ficha_Dosis'!$C$23,F194&gt;='01_Ficha_Dosis'!$C$24,H194&gt;='01_Ficha_Dosis'!$C$14,H194&lt;='01_Ficha_Dosis'!$C$15),1,0))</f>
        <v/>
      </c>
      <c r="L194" s="12">
        <f t="shared" si="3"/>
        <v>0</v>
      </c>
    </row>
    <row r="195" ht="15.75" customHeight="1">
      <c r="A195" s="14"/>
      <c r="B195" s="14"/>
      <c r="C195" s="23"/>
      <c r="D195" s="23"/>
      <c r="E195" s="14"/>
      <c r="F195" s="14"/>
      <c r="G195" s="14"/>
      <c r="H195" s="24" t="str">
        <f t="shared" si="1"/>
        <v/>
      </c>
      <c r="I195" s="12" t="str">
        <f>IF(C195="","",INT((INT(C195)-'01_Ficha_Dosis'!$C$14)/7)+1)</f>
        <v/>
      </c>
      <c r="J195" s="12" t="str">
        <f t="shared" si="2"/>
        <v/>
      </c>
      <c r="K195" s="12" t="str">
        <f>IF(J195="","",IF(AND(G195="OK",J195&gt;='01_Ficha_Dosis'!$C$23,F195&gt;='01_Ficha_Dosis'!$C$24,H195&gt;='01_Ficha_Dosis'!$C$14,H195&lt;='01_Ficha_Dosis'!$C$15),1,0))</f>
        <v/>
      </c>
      <c r="L195" s="12">
        <f t="shared" si="3"/>
        <v>0</v>
      </c>
    </row>
    <row r="196" ht="15.75" customHeight="1">
      <c r="A196" s="14"/>
      <c r="B196" s="14"/>
      <c r="C196" s="23"/>
      <c r="D196" s="23"/>
      <c r="E196" s="14"/>
      <c r="F196" s="14"/>
      <c r="G196" s="14"/>
      <c r="H196" s="24" t="str">
        <f t="shared" si="1"/>
        <v/>
      </c>
      <c r="I196" s="12" t="str">
        <f>IF(C196="","",INT((INT(C196)-'01_Ficha_Dosis'!$C$14)/7)+1)</f>
        <v/>
      </c>
      <c r="J196" s="12" t="str">
        <f t="shared" si="2"/>
        <v/>
      </c>
      <c r="K196" s="12" t="str">
        <f>IF(J196="","",IF(AND(G196="OK",J196&gt;='01_Ficha_Dosis'!$C$23,F196&gt;='01_Ficha_Dosis'!$C$24,H196&gt;='01_Ficha_Dosis'!$C$14,H196&lt;='01_Ficha_Dosis'!$C$15),1,0))</f>
        <v/>
      </c>
      <c r="L196" s="12">
        <f t="shared" si="3"/>
        <v>0</v>
      </c>
    </row>
    <row r="197" ht="15.75" customHeight="1">
      <c r="A197" s="14"/>
      <c r="B197" s="14"/>
      <c r="C197" s="23"/>
      <c r="D197" s="23"/>
      <c r="E197" s="14"/>
      <c r="F197" s="14"/>
      <c r="G197" s="14"/>
      <c r="H197" s="24" t="str">
        <f t="shared" si="1"/>
        <v/>
      </c>
      <c r="I197" s="12" t="str">
        <f>IF(C197="","",INT((INT(C197)-'01_Ficha_Dosis'!$C$14)/7)+1)</f>
        <v/>
      </c>
      <c r="J197" s="12" t="str">
        <f t="shared" si="2"/>
        <v/>
      </c>
      <c r="K197" s="12" t="str">
        <f>IF(J197="","",IF(AND(G197="OK",J197&gt;='01_Ficha_Dosis'!$C$23,F197&gt;='01_Ficha_Dosis'!$C$24,H197&gt;='01_Ficha_Dosis'!$C$14,H197&lt;='01_Ficha_Dosis'!$C$15),1,0))</f>
        <v/>
      </c>
      <c r="L197" s="12">
        <f t="shared" si="3"/>
        <v>0</v>
      </c>
    </row>
    <row r="198" ht="15.75" customHeight="1">
      <c r="A198" s="14"/>
      <c r="B198" s="14"/>
      <c r="C198" s="23"/>
      <c r="D198" s="23"/>
      <c r="E198" s="14"/>
      <c r="F198" s="14"/>
      <c r="G198" s="14"/>
      <c r="H198" s="24" t="str">
        <f t="shared" si="1"/>
        <v/>
      </c>
      <c r="I198" s="12" t="str">
        <f>IF(C198="","",INT((INT(C198)-'01_Ficha_Dosis'!$C$14)/7)+1)</f>
        <v/>
      </c>
      <c r="J198" s="12" t="str">
        <f t="shared" si="2"/>
        <v/>
      </c>
      <c r="K198" s="12" t="str">
        <f>IF(J198="","",IF(AND(G198="OK",J198&gt;='01_Ficha_Dosis'!$C$23,F198&gt;='01_Ficha_Dosis'!$C$24,H198&gt;='01_Ficha_Dosis'!$C$14,H198&lt;='01_Ficha_Dosis'!$C$15),1,0))</f>
        <v/>
      </c>
      <c r="L198" s="12">
        <f t="shared" si="3"/>
        <v>0</v>
      </c>
    </row>
    <row r="199" ht="15.75" customHeight="1">
      <c r="A199" s="14"/>
      <c r="B199" s="14"/>
      <c r="C199" s="23"/>
      <c r="D199" s="23"/>
      <c r="E199" s="14"/>
      <c r="F199" s="14"/>
      <c r="G199" s="14"/>
      <c r="H199" s="24" t="str">
        <f t="shared" si="1"/>
        <v/>
      </c>
      <c r="I199" s="12" t="str">
        <f>IF(C199="","",INT((INT(C199)-'01_Ficha_Dosis'!$C$14)/7)+1)</f>
        <v/>
      </c>
      <c r="J199" s="12" t="str">
        <f t="shared" si="2"/>
        <v/>
      </c>
      <c r="K199" s="12" t="str">
        <f>IF(J199="","",IF(AND(G199="OK",J199&gt;='01_Ficha_Dosis'!$C$23,F199&gt;='01_Ficha_Dosis'!$C$24,H199&gt;='01_Ficha_Dosis'!$C$14,H199&lt;='01_Ficha_Dosis'!$C$15),1,0))</f>
        <v/>
      </c>
      <c r="L199" s="12">
        <f t="shared" si="3"/>
        <v>0</v>
      </c>
    </row>
    <row r="200" ht="15.75" customHeight="1">
      <c r="A200" s="14"/>
      <c r="B200" s="14"/>
      <c r="C200" s="23"/>
      <c r="D200" s="23"/>
      <c r="E200" s="14"/>
      <c r="F200" s="14"/>
      <c r="G200" s="14"/>
      <c r="H200" s="24" t="str">
        <f t="shared" si="1"/>
        <v/>
      </c>
      <c r="I200" s="12" t="str">
        <f>IF(C200="","",INT((INT(C200)-'01_Ficha_Dosis'!$C$14)/7)+1)</f>
        <v/>
      </c>
      <c r="J200" s="12" t="str">
        <f t="shared" si="2"/>
        <v/>
      </c>
      <c r="K200" s="12" t="str">
        <f>IF(J200="","",IF(AND(G200="OK",J200&gt;='01_Ficha_Dosis'!$C$23,F200&gt;='01_Ficha_Dosis'!$C$24,H200&gt;='01_Ficha_Dosis'!$C$14,H200&lt;='01_Ficha_Dosis'!$C$15),1,0))</f>
        <v/>
      </c>
      <c r="L200" s="12">
        <f t="shared" si="3"/>
        <v>0</v>
      </c>
    </row>
    <row r="201" ht="15.75" customHeight="1">
      <c r="A201" s="14"/>
      <c r="B201" s="14"/>
      <c r="C201" s="23"/>
      <c r="D201" s="23"/>
      <c r="E201" s="14"/>
      <c r="F201" s="14"/>
      <c r="G201" s="14"/>
      <c r="H201" s="24" t="str">
        <f t="shared" si="1"/>
        <v/>
      </c>
      <c r="I201" s="12" t="str">
        <f>IF(C201="","",INT((INT(C201)-'01_Ficha_Dosis'!$C$14)/7)+1)</f>
        <v/>
      </c>
      <c r="J201" s="12" t="str">
        <f t="shared" si="2"/>
        <v/>
      </c>
      <c r="K201" s="12" t="str">
        <f>IF(J201="","",IF(AND(G201="OK",J201&gt;='01_Ficha_Dosis'!$C$23,F201&gt;='01_Ficha_Dosis'!$C$24,H201&gt;='01_Ficha_Dosis'!$C$14,H201&lt;='01_Ficha_Dosis'!$C$15),1,0))</f>
        <v/>
      </c>
      <c r="L201" s="12">
        <f t="shared" si="3"/>
        <v>0</v>
      </c>
    </row>
    <row r="202" ht="15.75" customHeight="1">
      <c r="A202" s="14"/>
      <c r="B202" s="14"/>
      <c r="C202" s="23"/>
      <c r="D202" s="23"/>
      <c r="E202" s="14"/>
      <c r="F202" s="14"/>
      <c r="G202" s="14"/>
      <c r="H202" s="24" t="str">
        <f t="shared" si="1"/>
        <v/>
      </c>
      <c r="I202" s="12" t="str">
        <f>IF(C202="","",INT((INT(C202)-'01_Ficha_Dosis'!$C$14)/7)+1)</f>
        <v/>
      </c>
      <c r="J202" s="12" t="str">
        <f t="shared" si="2"/>
        <v/>
      </c>
      <c r="K202" s="12" t="str">
        <f>IF(J202="","",IF(AND(G202="OK",J202&gt;='01_Ficha_Dosis'!$C$23,F202&gt;='01_Ficha_Dosis'!$C$24,H202&gt;='01_Ficha_Dosis'!$C$14,H202&lt;='01_Ficha_Dosis'!$C$15),1,0))</f>
        <v/>
      </c>
      <c r="L202" s="12">
        <f t="shared" si="3"/>
        <v>0</v>
      </c>
    </row>
    <row r="203" ht="15.75" customHeight="1">
      <c r="A203" s="14"/>
      <c r="B203" s="14"/>
      <c r="C203" s="23"/>
      <c r="D203" s="23"/>
      <c r="E203" s="14"/>
      <c r="F203" s="14"/>
      <c r="G203" s="14"/>
      <c r="H203" s="24" t="str">
        <f t="shared" si="1"/>
        <v/>
      </c>
      <c r="I203" s="12" t="str">
        <f>IF(C203="","",INT((INT(C203)-'01_Ficha_Dosis'!$C$14)/7)+1)</f>
        <v/>
      </c>
      <c r="J203" s="12" t="str">
        <f t="shared" si="2"/>
        <v/>
      </c>
      <c r="K203" s="12" t="str">
        <f>IF(J203="","",IF(AND(G203="OK",J203&gt;='01_Ficha_Dosis'!$C$23,F203&gt;='01_Ficha_Dosis'!$C$24,H203&gt;='01_Ficha_Dosis'!$C$14,H203&lt;='01_Ficha_Dosis'!$C$15),1,0))</f>
        <v/>
      </c>
      <c r="L203" s="12">
        <f t="shared" si="3"/>
        <v>0</v>
      </c>
    </row>
    <row r="204" ht="15.75" customHeight="1">
      <c r="A204" s="14"/>
      <c r="B204" s="14"/>
      <c r="C204" s="23"/>
      <c r="D204" s="23"/>
      <c r="E204" s="14"/>
      <c r="F204" s="14"/>
      <c r="G204" s="14"/>
      <c r="H204" s="24" t="str">
        <f t="shared" si="1"/>
        <v/>
      </c>
      <c r="I204" s="12" t="str">
        <f>IF(C204="","",INT((INT(C204)-'01_Ficha_Dosis'!$C$14)/7)+1)</f>
        <v/>
      </c>
      <c r="J204" s="12" t="str">
        <f t="shared" si="2"/>
        <v/>
      </c>
      <c r="K204" s="12" t="str">
        <f>IF(J204="","",IF(AND(G204="OK",J204&gt;='01_Ficha_Dosis'!$C$23,F204&gt;='01_Ficha_Dosis'!$C$24,H204&gt;='01_Ficha_Dosis'!$C$14,H204&lt;='01_Ficha_Dosis'!$C$15),1,0))</f>
        <v/>
      </c>
      <c r="L204" s="12">
        <f t="shared" si="3"/>
        <v>0</v>
      </c>
    </row>
    <row r="205" ht="15.75" customHeight="1">
      <c r="A205" s="14"/>
      <c r="B205" s="14"/>
      <c r="C205" s="23"/>
      <c r="D205" s="23"/>
      <c r="E205" s="14"/>
      <c r="F205" s="14"/>
      <c r="G205" s="14"/>
      <c r="H205" s="24" t="str">
        <f t="shared" si="1"/>
        <v/>
      </c>
      <c r="I205" s="12" t="str">
        <f>IF(C205="","",INT((INT(C205)-'01_Ficha_Dosis'!$C$14)/7)+1)</f>
        <v/>
      </c>
      <c r="J205" s="12" t="str">
        <f t="shared" si="2"/>
        <v/>
      </c>
      <c r="K205" s="12" t="str">
        <f>IF(J205="","",IF(AND(G205="OK",J205&gt;='01_Ficha_Dosis'!$C$23,F205&gt;='01_Ficha_Dosis'!$C$24,H205&gt;='01_Ficha_Dosis'!$C$14,H205&lt;='01_Ficha_Dosis'!$C$15),1,0))</f>
        <v/>
      </c>
      <c r="L205" s="12">
        <f t="shared" si="3"/>
        <v>0</v>
      </c>
    </row>
    <row r="206" ht="15.75" customHeight="1">
      <c r="A206" s="14"/>
      <c r="B206" s="14"/>
      <c r="C206" s="23"/>
      <c r="D206" s="23"/>
      <c r="E206" s="14"/>
      <c r="F206" s="14"/>
      <c r="G206" s="14"/>
      <c r="H206" s="24" t="str">
        <f t="shared" si="1"/>
        <v/>
      </c>
      <c r="I206" s="12" t="str">
        <f>IF(C206="","",INT((INT(C206)-'01_Ficha_Dosis'!$C$14)/7)+1)</f>
        <v/>
      </c>
      <c r="J206" s="12" t="str">
        <f t="shared" si="2"/>
        <v/>
      </c>
      <c r="K206" s="12" t="str">
        <f>IF(J206="","",IF(AND(G206="OK",J206&gt;='01_Ficha_Dosis'!$C$23,F206&gt;='01_Ficha_Dosis'!$C$24,H206&gt;='01_Ficha_Dosis'!$C$14,H206&lt;='01_Ficha_Dosis'!$C$15),1,0))</f>
        <v/>
      </c>
      <c r="L206" s="12">
        <f t="shared" si="3"/>
        <v>0</v>
      </c>
    </row>
    <row r="207" ht="15.75" customHeight="1">
      <c r="A207" s="14"/>
      <c r="B207" s="14"/>
      <c r="C207" s="23"/>
      <c r="D207" s="23"/>
      <c r="E207" s="14"/>
      <c r="F207" s="14"/>
      <c r="G207" s="14"/>
      <c r="H207" s="24" t="str">
        <f t="shared" si="1"/>
        <v/>
      </c>
      <c r="I207" s="12" t="str">
        <f>IF(C207="","",INT((INT(C207)-'01_Ficha_Dosis'!$C$14)/7)+1)</f>
        <v/>
      </c>
      <c r="J207" s="12" t="str">
        <f t="shared" si="2"/>
        <v/>
      </c>
      <c r="K207" s="12" t="str">
        <f>IF(J207="","",IF(AND(G207="OK",J207&gt;='01_Ficha_Dosis'!$C$23,F207&gt;='01_Ficha_Dosis'!$C$24,H207&gt;='01_Ficha_Dosis'!$C$14,H207&lt;='01_Ficha_Dosis'!$C$15),1,0))</f>
        <v/>
      </c>
      <c r="L207" s="12">
        <f t="shared" si="3"/>
        <v>0</v>
      </c>
    </row>
    <row r="208" ht="15.75" customHeight="1">
      <c r="A208" s="14"/>
      <c r="B208" s="14"/>
      <c r="C208" s="23"/>
      <c r="D208" s="23"/>
      <c r="E208" s="14"/>
      <c r="F208" s="14"/>
      <c r="G208" s="14"/>
      <c r="H208" s="24" t="str">
        <f t="shared" si="1"/>
        <v/>
      </c>
      <c r="I208" s="12" t="str">
        <f>IF(C208="","",INT((INT(C208)-'01_Ficha_Dosis'!$C$14)/7)+1)</f>
        <v/>
      </c>
      <c r="J208" s="12" t="str">
        <f t="shared" si="2"/>
        <v/>
      </c>
      <c r="K208" s="12" t="str">
        <f>IF(J208="","",IF(AND(G208="OK",J208&gt;='01_Ficha_Dosis'!$C$23,F208&gt;='01_Ficha_Dosis'!$C$24,H208&gt;='01_Ficha_Dosis'!$C$14,H208&lt;='01_Ficha_Dosis'!$C$15),1,0))</f>
        <v/>
      </c>
      <c r="L208" s="12">
        <f t="shared" si="3"/>
        <v>0</v>
      </c>
    </row>
    <row r="209" ht="15.75" customHeight="1">
      <c r="A209" s="14"/>
      <c r="B209" s="14"/>
      <c r="C209" s="23"/>
      <c r="D209" s="23"/>
      <c r="E209" s="14"/>
      <c r="F209" s="14"/>
      <c r="G209" s="14"/>
      <c r="H209" s="24" t="str">
        <f t="shared" si="1"/>
        <v/>
      </c>
      <c r="I209" s="12" t="str">
        <f>IF(C209="","",INT((INT(C209)-'01_Ficha_Dosis'!$C$14)/7)+1)</f>
        <v/>
      </c>
      <c r="J209" s="12" t="str">
        <f t="shared" si="2"/>
        <v/>
      </c>
      <c r="K209" s="12" t="str">
        <f>IF(J209="","",IF(AND(G209="OK",J209&gt;='01_Ficha_Dosis'!$C$23,F209&gt;='01_Ficha_Dosis'!$C$24,H209&gt;='01_Ficha_Dosis'!$C$14,H209&lt;='01_Ficha_Dosis'!$C$15),1,0))</f>
        <v/>
      </c>
      <c r="L209" s="12">
        <f t="shared" si="3"/>
        <v>0</v>
      </c>
    </row>
    <row r="210" ht="15.75" customHeight="1">
      <c r="A210" s="14"/>
      <c r="B210" s="14"/>
      <c r="C210" s="23"/>
      <c r="D210" s="23"/>
      <c r="E210" s="14"/>
      <c r="F210" s="14"/>
      <c r="G210" s="14"/>
      <c r="H210" s="24" t="str">
        <f t="shared" si="1"/>
        <v/>
      </c>
      <c r="I210" s="12" t="str">
        <f>IF(C210="","",INT((INT(C210)-'01_Ficha_Dosis'!$C$14)/7)+1)</f>
        <v/>
      </c>
      <c r="J210" s="12" t="str">
        <f t="shared" si="2"/>
        <v/>
      </c>
      <c r="K210" s="12" t="str">
        <f>IF(J210="","",IF(AND(G210="OK",J210&gt;='01_Ficha_Dosis'!$C$23,F210&gt;='01_Ficha_Dosis'!$C$24,H210&gt;='01_Ficha_Dosis'!$C$14,H210&lt;='01_Ficha_Dosis'!$C$15),1,0))</f>
        <v/>
      </c>
      <c r="L210" s="12">
        <f t="shared" si="3"/>
        <v>0</v>
      </c>
    </row>
    <row r="211" ht="15.75" customHeight="1">
      <c r="A211" s="14"/>
      <c r="B211" s="14"/>
      <c r="C211" s="23"/>
      <c r="D211" s="23"/>
      <c r="E211" s="14"/>
      <c r="F211" s="14"/>
      <c r="G211" s="14"/>
      <c r="H211" s="24" t="str">
        <f t="shared" si="1"/>
        <v/>
      </c>
      <c r="I211" s="12" t="str">
        <f>IF(C211="","",INT((INT(C211)-'01_Ficha_Dosis'!$C$14)/7)+1)</f>
        <v/>
      </c>
      <c r="J211" s="12" t="str">
        <f t="shared" si="2"/>
        <v/>
      </c>
      <c r="K211" s="12" t="str">
        <f>IF(J211="","",IF(AND(G211="OK",J211&gt;='01_Ficha_Dosis'!$C$23,F211&gt;='01_Ficha_Dosis'!$C$24,H211&gt;='01_Ficha_Dosis'!$C$14,H211&lt;='01_Ficha_Dosis'!$C$15),1,0))</f>
        <v/>
      </c>
      <c r="L211" s="12">
        <f t="shared" si="3"/>
        <v>0</v>
      </c>
    </row>
    <row r="212" ht="15.75" customHeight="1">
      <c r="A212" s="14"/>
      <c r="B212" s="14"/>
      <c r="C212" s="23"/>
      <c r="D212" s="23"/>
      <c r="E212" s="14"/>
      <c r="F212" s="14"/>
      <c r="G212" s="14"/>
      <c r="H212" s="24" t="str">
        <f t="shared" si="1"/>
        <v/>
      </c>
      <c r="I212" s="12" t="str">
        <f>IF(C212="","",INT((INT(C212)-'01_Ficha_Dosis'!$C$14)/7)+1)</f>
        <v/>
      </c>
      <c r="J212" s="12" t="str">
        <f t="shared" si="2"/>
        <v/>
      </c>
      <c r="K212" s="12" t="str">
        <f>IF(J212="","",IF(AND(G212="OK",J212&gt;='01_Ficha_Dosis'!$C$23,F212&gt;='01_Ficha_Dosis'!$C$24,H212&gt;='01_Ficha_Dosis'!$C$14,H212&lt;='01_Ficha_Dosis'!$C$15),1,0))</f>
        <v/>
      </c>
      <c r="L212" s="12">
        <f t="shared" si="3"/>
        <v>0</v>
      </c>
    </row>
    <row r="213" ht="15.75" customHeight="1">
      <c r="A213" s="14"/>
      <c r="B213" s="14"/>
      <c r="C213" s="23"/>
      <c r="D213" s="23"/>
      <c r="E213" s="14"/>
      <c r="F213" s="14"/>
      <c r="G213" s="14"/>
      <c r="H213" s="24" t="str">
        <f t="shared" si="1"/>
        <v/>
      </c>
      <c r="I213" s="12" t="str">
        <f>IF(C213="","",INT((INT(C213)-'01_Ficha_Dosis'!$C$14)/7)+1)</f>
        <v/>
      </c>
      <c r="J213" s="12" t="str">
        <f t="shared" si="2"/>
        <v/>
      </c>
      <c r="K213" s="12" t="str">
        <f>IF(J213="","",IF(AND(G213="OK",J213&gt;='01_Ficha_Dosis'!$C$23,F213&gt;='01_Ficha_Dosis'!$C$24,H213&gt;='01_Ficha_Dosis'!$C$14,H213&lt;='01_Ficha_Dosis'!$C$15),1,0))</f>
        <v/>
      </c>
      <c r="L213" s="12">
        <f t="shared" si="3"/>
        <v>0</v>
      </c>
    </row>
    <row r="214" ht="15.75" customHeight="1">
      <c r="A214" s="14"/>
      <c r="B214" s="14"/>
      <c r="C214" s="23"/>
      <c r="D214" s="23"/>
      <c r="E214" s="14"/>
      <c r="F214" s="14"/>
      <c r="G214" s="14"/>
      <c r="H214" s="24" t="str">
        <f t="shared" si="1"/>
        <v/>
      </c>
      <c r="I214" s="12" t="str">
        <f>IF(C214="","",INT((INT(C214)-'01_Ficha_Dosis'!$C$14)/7)+1)</f>
        <v/>
      </c>
      <c r="J214" s="12" t="str">
        <f t="shared" si="2"/>
        <v/>
      </c>
      <c r="K214" s="12" t="str">
        <f>IF(J214="","",IF(AND(G214="OK",J214&gt;='01_Ficha_Dosis'!$C$23,F214&gt;='01_Ficha_Dosis'!$C$24,H214&gt;='01_Ficha_Dosis'!$C$14,H214&lt;='01_Ficha_Dosis'!$C$15),1,0))</f>
        <v/>
      </c>
      <c r="L214" s="12">
        <f t="shared" si="3"/>
        <v>0</v>
      </c>
    </row>
    <row r="215" ht="15.75" customHeight="1">
      <c r="A215" s="14"/>
      <c r="B215" s="14"/>
      <c r="C215" s="23"/>
      <c r="D215" s="23"/>
      <c r="E215" s="14"/>
      <c r="F215" s="14"/>
      <c r="G215" s="14"/>
      <c r="H215" s="24" t="str">
        <f t="shared" si="1"/>
        <v/>
      </c>
      <c r="I215" s="12" t="str">
        <f>IF(C215="","",INT((INT(C215)-'01_Ficha_Dosis'!$C$14)/7)+1)</f>
        <v/>
      </c>
      <c r="J215" s="12" t="str">
        <f t="shared" si="2"/>
        <v/>
      </c>
      <c r="K215" s="12" t="str">
        <f>IF(J215="","",IF(AND(G215="OK",J215&gt;='01_Ficha_Dosis'!$C$23,F215&gt;='01_Ficha_Dosis'!$C$24,H215&gt;='01_Ficha_Dosis'!$C$14,H215&lt;='01_Ficha_Dosis'!$C$15),1,0))</f>
        <v/>
      </c>
      <c r="L215" s="12">
        <f t="shared" si="3"/>
        <v>0</v>
      </c>
    </row>
    <row r="216" ht="15.75" customHeight="1">
      <c r="A216" s="14"/>
      <c r="B216" s="14"/>
      <c r="C216" s="23"/>
      <c r="D216" s="23"/>
      <c r="E216" s="14"/>
      <c r="F216" s="14"/>
      <c r="G216" s="14"/>
      <c r="H216" s="24" t="str">
        <f t="shared" si="1"/>
        <v/>
      </c>
      <c r="I216" s="12" t="str">
        <f>IF(C216="","",INT((INT(C216)-'01_Ficha_Dosis'!$C$14)/7)+1)</f>
        <v/>
      </c>
      <c r="J216" s="12" t="str">
        <f t="shared" si="2"/>
        <v/>
      </c>
      <c r="K216" s="12" t="str">
        <f>IF(J216="","",IF(AND(G216="OK",J216&gt;='01_Ficha_Dosis'!$C$23,F216&gt;='01_Ficha_Dosis'!$C$24,H216&gt;='01_Ficha_Dosis'!$C$14,H216&lt;='01_Ficha_Dosis'!$C$15),1,0))</f>
        <v/>
      </c>
      <c r="L216" s="12">
        <f t="shared" si="3"/>
        <v>0</v>
      </c>
    </row>
    <row r="217" ht="15.75" customHeight="1">
      <c r="A217" s="14"/>
      <c r="B217" s="14"/>
      <c r="C217" s="23"/>
      <c r="D217" s="23"/>
      <c r="E217" s="14"/>
      <c r="F217" s="14"/>
      <c r="G217" s="14"/>
      <c r="H217" s="24" t="str">
        <f t="shared" si="1"/>
        <v/>
      </c>
      <c r="I217" s="12" t="str">
        <f>IF(C217="","",INT((INT(C217)-'01_Ficha_Dosis'!$C$14)/7)+1)</f>
        <v/>
      </c>
      <c r="J217" s="12" t="str">
        <f t="shared" si="2"/>
        <v/>
      </c>
      <c r="K217" s="12" t="str">
        <f>IF(J217="","",IF(AND(G217="OK",J217&gt;='01_Ficha_Dosis'!$C$23,F217&gt;='01_Ficha_Dosis'!$C$24,H217&gt;='01_Ficha_Dosis'!$C$14,H217&lt;='01_Ficha_Dosis'!$C$15),1,0))</f>
        <v/>
      </c>
      <c r="L217" s="12">
        <f t="shared" si="3"/>
        <v>0</v>
      </c>
    </row>
    <row r="218" ht="15.75" customHeight="1">
      <c r="A218" s="14"/>
      <c r="B218" s="14"/>
      <c r="C218" s="23"/>
      <c r="D218" s="23"/>
      <c r="E218" s="14"/>
      <c r="F218" s="14"/>
      <c r="G218" s="14"/>
      <c r="H218" s="24" t="str">
        <f t="shared" si="1"/>
        <v/>
      </c>
      <c r="I218" s="12" t="str">
        <f>IF(C218="","",INT((INT(C218)-'01_Ficha_Dosis'!$C$14)/7)+1)</f>
        <v/>
      </c>
      <c r="J218" s="12" t="str">
        <f t="shared" si="2"/>
        <v/>
      </c>
      <c r="K218" s="12" t="str">
        <f>IF(J218="","",IF(AND(G218="OK",J218&gt;='01_Ficha_Dosis'!$C$23,F218&gt;='01_Ficha_Dosis'!$C$24,H218&gt;='01_Ficha_Dosis'!$C$14,H218&lt;='01_Ficha_Dosis'!$C$15),1,0))</f>
        <v/>
      </c>
      <c r="L218" s="12">
        <f t="shared" si="3"/>
        <v>0</v>
      </c>
    </row>
    <row r="219" ht="15.75" customHeight="1">
      <c r="A219" s="14"/>
      <c r="B219" s="14"/>
      <c r="C219" s="23"/>
      <c r="D219" s="23"/>
      <c r="E219" s="14"/>
      <c r="F219" s="14"/>
      <c r="G219" s="14"/>
      <c r="H219" s="24" t="str">
        <f t="shared" si="1"/>
        <v/>
      </c>
      <c r="I219" s="12" t="str">
        <f>IF(C219="","",INT((INT(C219)-'01_Ficha_Dosis'!$C$14)/7)+1)</f>
        <v/>
      </c>
      <c r="J219" s="12" t="str">
        <f t="shared" si="2"/>
        <v/>
      </c>
      <c r="K219" s="12" t="str">
        <f>IF(J219="","",IF(AND(G219="OK",J219&gt;='01_Ficha_Dosis'!$C$23,F219&gt;='01_Ficha_Dosis'!$C$24,H219&gt;='01_Ficha_Dosis'!$C$14,H219&lt;='01_Ficha_Dosis'!$C$15),1,0))</f>
        <v/>
      </c>
      <c r="L219" s="12">
        <f t="shared" si="3"/>
        <v>0</v>
      </c>
    </row>
    <row r="220" ht="15.75" customHeight="1">
      <c r="A220" s="14"/>
      <c r="B220" s="14"/>
      <c r="C220" s="23"/>
      <c r="D220" s="23"/>
      <c r="E220" s="14"/>
      <c r="F220" s="14"/>
      <c r="G220" s="14"/>
      <c r="H220" s="24" t="str">
        <f t="shared" si="1"/>
        <v/>
      </c>
      <c r="I220" s="12" t="str">
        <f>IF(C220="","",INT((INT(C220)-'01_Ficha_Dosis'!$C$14)/7)+1)</f>
        <v/>
      </c>
      <c r="J220" s="12" t="str">
        <f t="shared" si="2"/>
        <v/>
      </c>
      <c r="K220" s="12" t="str">
        <f>IF(J220="","",IF(AND(G220="OK",J220&gt;='01_Ficha_Dosis'!$C$23,F220&gt;='01_Ficha_Dosis'!$C$24,H220&gt;='01_Ficha_Dosis'!$C$14,H220&lt;='01_Ficha_Dosis'!$C$15),1,0))</f>
        <v/>
      </c>
      <c r="L220" s="12">
        <f t="shared" si="3"/>
        <v>0</v>
      </c>
    </row>
    <row r="221" ht="15.75" customHeight="1">
      <c r="A221" s="14"/>
      <c r="B221" s="14"/>
      <c r="C221" s="23"/>
      <c r="D221" s="23"/>
      <c r="E221" s="14"/>
      <c r="F221" s="14"/>
      <c r="G221" s="14"/>
      <c r="H221" s="24" t="str">
        <f t="shared" si="1"/>
        <v/>
      </c>
      <c r="I221" s="12" t="str">
        <f>IF(C221="","",INT((INT(C221)-'01_Ficha_Dosis'!$C$14)/7)+1)</f>
        <v/>
      </c>
      <c r="J221" s="12" t="str">
        <f t="shared" si="2"/>
        <v/>
      </c>
      <c r="K221" s="12" t="str">
        <f>IF(J221="","",IF(AND(G221="OK",J221&gt;='01_Ficha_Dosis'!$C$23,F221&gt;='01_Ficha_Dosis'!$C$24,H221&gt;='01_Ficha_Dosis'!$C$14,H221&lt;='01_Ficha_Dosis'!$C$15),1,0))</f>
        <v/>
      </c>
      <c r="L221" s="12">
        <f t="shared" si="3"/>
        <v>0</v>
      </c>
    </row>
    <row r="222" ht="15.75" customHeight="1">
      <c r="A222" s="14"/>
      <c r="B222" s="14"/>
      <c r="C222" s="23"/>
      <c r="D222" s="23"/>
      <c r="E222" s="14"/>
      <c r="F222" s="14"/>
      <c r="G222" s="14"/>
      <c r="H222" s="24" t="str">
        <f t="shared" si="1"/>
        <v/>
      </c>
      <c r="I222" s="12" t="str">
        <f>IF(C222="","",INT((INT(C222)-'01_Ficha_Dosis'!$C$14)/7)+1)</f>
        <v/>
      </c>
      <c r="J222" s="12" t="str">
        <f t="shared" si="2"/>
        <v/>
      </c>
      <c r="K222" s="12" t="str">
        <f>IF(J222="","",IF(AND(G222="OK",J222&gt;='01_Ficha_Dosis'!$C$23,F222&gt;='01_Ficha_Dosis'!$C$24,H222&gt;='01_Ficha_Dosis'!$C$14,H222&lt;='01_Ficha_Dosis'!$C$15),1,0))</f>
        <v/>
      </c>
      <c r="L222" s="12">
        <f t="shared" si="3"/>
        <v>0</v>
      </c>
    </row>
    <row r="223" ht="15.75" customHeight="1">
      <c r="A223" s="14"/>
      <c r="B223" s="14"/>
      <c r="C223" s="23"/>
      <c r="D223" s="23"/>
      <c r="E223" s="14"/>
      <c r="F223" s="14"/>
      <c r="G223" s="14"/>
      <c r="H223" s="24" t="str">
        <f t="shared" si="1"/>
        <v/>
      </c>
      <c r="I223" s="12" t="str">
        <f>IF(C223="","",INT((INT(C223)-'01_Ficha_Dosis'!$C$14)/7)+1)</f>
        <v/>
      </c>
      <c r="J223" s="12" t="str">
        <f t="shared" si="2"/>
        <v/>
      </c>
      <c r="K223" s="12" t="str">
        <f>IF(J223="","",IF(AND(G223="OK",J223&gt;='01_Ficha_Dosis'!$C$23,F223&gt;='01_Ficha_Dosis'!$C$24,H223&gt;='01_Ficha_Dosis'!$C$14,H223&lt;='01_Ficha_Dosis'!$C$15),1,0))</f>
        <v/>
      </c>
      <c r="L223" s="12">
        <f t="shared" si="3"/>
        <v>0</v>
      </c>
    </row>
    <row r="224" ht="15.75" customHeight="1">
      <c r="A224" s="14"/>
      <c r="B224" s="14"/>
      <c r="C224" s="23"/>
      <c r="D224" s="23"/>
      <c r="E224" s="14"/>
      <c r="F224" s="14"/>
      <c r="G224" s="14"/>
      <c r="H224" s="24" t="str">
        <f t="shared" si="1"/>
        <v/>
      </c>
      <c r="I224" s="12" t="str">
        <f>IF(C224="","",INT((INT(C224)-'01_Ficha_Dosis'!$C$14)/7)+1)</f>
        <v/>
      </c>
      <c r="J224" s="12" t="str">
        <f t="shared" si="2"/>
        <v/>
      </c>
      <c r="K224" s="12" t="str">
        <f>IF(J224="","",IF(AND(G224="OK",J224&gt;='01_Ficha_Dosis'!$C$23,F224&gt;='01_Ficha_Dosis'!$C$24,H224&gt;='01_Ficha_Dosis'!$C$14,H224&lt;='01_Ficha_Dosis'!$C$15),1,0))</f>
        <v/>
      </c>
      <c r="L224" s="12">
        <f t="shared" si="3"/>
        <v>0</v>
      </c>
    </row>
    <row r="225" ht="15.75" customHeight="1">
      <c r="A225" s="14"/>
      <c r="B225" s="14"/>
      <c r="C225" s="23"/>
      <c r="D225" s="23"/>
      <c r="E225" s="14"/>
      <c r="F225" s="14"/>
      <c r="G225" s="14"/>
      <c r="H225" s="24" t="str">
        <f t="shared" si="1"/>
        <v/>
      </c>
      <c r="I225" s="12" t="str">
        <f>IF(C225="","",INT((INT(C225)-'01_Ficha_Dosis'!$C$14)/7)+1)</f>
        <v/>
      </c>
      <c r="J225" s="12" t="str">
        <f t="shared" si="2"/>
        <v/>
      </c>
      <c r="K225" s="12" t="str">
        <f>IF(J225="","",IF(AND(G225="OK",J225&gt;='01_Ficha_Dosis'!$C$23,F225&gt;='01_Ficha_Dosis'!$C$24,H225&gt;='01_Ficha_Dosis'!$C$14,H225&lt;='01_Ficha_Dosis'!$C$15),1,0))</f>
        <v/>
      </c>
      <c r="L225" s="12">
        <f t="shared" si="3"/>
        <v>0</v>
      </c>
    </row>
    <row r="226" ht="15.75" customHeight="1">
      <c r="A226" s="14"/>
      <c r="B226" s="14"/>
      <c r="C226" s="23"/>
      <c r="D226" s="23"/>
      <c r="E226" s="14"/>
      <c r="F226" s="14"/>
      <c r="G226" s="14"/>
      <c r="H226" s="24" t="str">
        <f t="shared" si="1"/>
        <v/>
      </c>
      <c r="I226" s="12" t="str">
        <f>IF(C226="","",INT((INT(C226)-'01_Ficha_Dosis'!$C$14)/7)+1)</f>
        <v/>
      </c>
      <c r="J226" s="12" t="str">
        <f t="shared" si="2"/>
        <v/>
      </c>
      <c r="K226" s="12" t="str">
        <f>IF(J226="","",IF(AND(G226="OK",J226&gt;='01_Ficha_Dosis'!$C$23,F226&gt;='01_Ficha_Dosis'!$C$24,H226&gt;='01_Ficha_Dosis'!$C$14,H226&lt;='01_Ficha_Dosis'!$C$15),1,0))</f>
        <v/>
      </c>
      <c r="L226" s="12">
        <f t="shared" si="3"/>
        <v>0</v>
      </c>
    </row>
    <row r="227" ht="15.75" customHeight="1">
      <c r="A227" s="14"/>
      <c r="B227" s="14"/>
      <c r="C227" s="23"/>
      <c r="D227" s="23"/>
      <c r="E227" s="14"/>
      <c r="F227" s="14"/>
      <c r="G227" s="14"/>
      <c r="H227" s="24" t="str">
        <f t="shared" si="1"/>
        <v/>
      </c>
      <c r="I227" s="12" t="str">
        <f>IF(C227="","",INT((INT(C227)-'01_Ficha_Dosis'!$C$14)/7)+1)</f>
        <v/>
      </c>
      <c r="J227" s="12" t="str">
        <f t="shared" si="2"/>
        <v/>
      </c>
      <c r="K227" s="12" t="str">
        <f>IF(J227="","",IF(AND(G227="OK",J227&gt;='01_Ficha_Dosis'!$C$23,F227&gt;='01_Ficha_Dosis'!$C$24,H227&gt;='01_Ficha_Dosis'!$C$14,H227&lt;='01_Ficha_Dosis'!$C$15),1,0))</f>
        <v/>
      </c>
      <c r="L227" s="12">
        <f t="shared" si="3"/>
        <v>0</v>
      </c>
    </row>
    <row r="228" ht="15.75" customHeight="1">
      <c r="A228" s="14"/>
      <c r="B228" s="14"/>
      <c r="C228" s="23"/>
      <c r="D228" s="23"/>
      <c r="E228" s="14"/>
      <c r="F228" s="14"/>
      <c r="G228" s="14"/>
      <c r="H228" s="24" t="str">
        <f t="shared" si="1"/>
        <v/>
      </c>
      <c r="I228" s="12" t="str">
        <f>IF(C228="","",INT((INT(C228)-'01_Ficha_Dosis'!$C$14)/7)+1)</f>
        <v/>
      </c>
      <c r="J228" s="12" t="str">
        <f t="shared" si="2"/>
        <v/>
      </c>
      <c r="K228" s="12" t="str">
        <f>IF(J228="","",IF(AND(G228="OK",J228&gt;='01_Ficha_Dosis'!$C$23,F228&gt;='01_Ficha_Dosis'!$C$24,H228&gt;='01_Ficha_Dosis'!$C$14,H228&lt;='01_Ficha_Dosis'!$C$15),1,0))</f>
        <v/>
      </c>
      <c r="L228" s="12">
        <f t="shared" si="3"/>
        <v>0</v>
      </c>
    </row>
    <row r="229" ht="15.75" customHeight="1">
      <c r="A229" s="14"/>
      <c r="B229" s="14"/>
      <c r="C229" s="23"/>
      <c r="D229" s="23"/>
      <c r="E229" s="14"/>
      <c r="F229" s="14"/>
      <c r="G229" s="14"/>
      <c r="H229" s="24" t="str">
        <f t="shared" si="1"/>
        <v/>
      </c>
      <c r="I229" s="12" t="str">
        <f>IF(C229="","",INT((INT(C229)-'01_Ficha_Dosis'!$C$14)/7)+1)</f>
        <v/>
      </c>
      <c r="J229" s="12" t="str">
        <f t="shared" si="2"/>
        <v/>
      </c>
      <c r="K229" s="12" t="str">
        <f>IF(J229="","",IF(AND(G229="OK",J229&gt;='01_Ficha_Dosis'!$C$23,F229&gt;='01_Ficha_Dosis'!$C$24,H229&gt;='01_Ficha_Dosis'!$C$14,H229&lt;='01_Ficha_Dosis'!$C$15),1,0))</f>
        <v/>
      </c>
      <c r="L229" s="12">
        <f t="shared" si="3"/>
        <v>0</v>
      </c>
    </row>
    <row r="230" ht="15.75" customHeight="1">
      <c r="A230" s="14"/>
      <c r="B230" s="14"/>
      <c r="C230" s="23"/>
      <c r="D230" s="23"/>
      <c r="E230" s="14"/>
      <c r="F230" s="14"/>
      <c r="G230" s="14"/>
      <c r="H230" s="24" t="str">
        <f t="shared" si="1"/>
        <v/>
      </c>
      <c r="I230" s="12" t="str">
        <f>IF(C230="","",INT((INT(C230)-'01_Ficha_Dosis'!$C$14)/7)+1)</f>
        <v/>
      </c>
      <c r="J230" s="12" t="str">
        <f t="shared" si="2"/>
        <v/>
      </c>
      <c r="K230" s="12" t="str">
        <f>IF(J230="","",IF(AND(G230="OK",J230&gt;='01_Ficha_Dosis'!$C$23,F230&gt;='01_Ficha_Dosis'!$C$24,H230&gt;='01_Ficha_Dosis'!$C$14,H230&lt;='01_Ficha_Dosis'!$C$15),1,0))</f>
        <v/>
      </c>
      <c r="L230" s="12">
        <f t="shared" si="3"/>
        <v>0</v>
      </c>
    </row>
    <row r="231" ht="15.75" customHeight="1">
      <c r="A231" s="14"/>
      <c r="B231" s="14"/>
      <c r="C231" s="23"/>
      <c r="D231" s="23"/>
      <c r="E231" s="14"/>
      <c r="F231" s="14"/>
      <c r="G231" s="14"/>
      <c r="H231" s="24" t="str">
        <f t="shared" si="1"/>
        <v/>
      </c>
      <c r="I231" s="12" t="str">
        <f>IF(C231="","",INT((INT(C231)-'01_Ficha_Dosis'!$C$14)/7)+1)</f>
        <v/>
      </c>
      <c r="J231" s="12" t="str">
        <f t="shared" si="2"/>
        <v/>
      </c>
      <c r="K231" s="12" t="str">
        <f>IF(J231="","",IF(AND(G231="OK",J231&gt;='01_Ficha_Dosis'!$C$23,F231&gt;='01_Ficha_Dosis'!$C$24,H231&gt;='01_Ficha_Dosis'!$C$14,H231&lt;='01_Ficha_Dosis'!$C$15),1,0))</f>
        <v/>
      </c>
      <c r="L231" s="12">
        <f t="shared" si="3"/>
        <v>0</v>
      </c>
    </row>
    <row r="232" ht="15.75" customHeight="1">
      <c r="A232" s="14"/>
      <c r="B232" s="14"/>
      <c r="C232" s="23"/>
      <c r="D232" s="23"/>
      <c r="E232" s="14"/>
      <c r="F232" s="14"/>
      <c r="G232" s="14"/>
      <c r="H232" s="24" t="str">
        <f t="shared" si="1"/>
        <v/>
      </c>
      <c r="I232" s="12" t="str">
        <f>IF(C232="","",INT((INT(C232)-'01_Ficha_Dosis'!$C$14)/7)+1)</f>
        <v/>
      </c>
      <c r="J232" s="12" t="str">
        <f t="shared" si="2"/>
        <v/>
      </c>
      <c r="K232" s="12" t="str">
        <f>IF(J232="","",IF(AND(G232="OK",J232&gt;='01_Ficha_Dosis'!$C$23,F232&gt;='01_Ficha_Dosis'!$C$24,H232&gt;='01_Ficha_Dosis'!$C$14,H232&lt;='01_Ficha_Dosis'!$C$15),1,0))</f>
        <v/>
      </c>
      <c r="L232" s="12">
        <f t="shared" si="3"/>
        <v>0</v>
      </c>
    </row>
    <row r="233" ht="15.75" customHeight="1">
      <c r="A233" s="14"/>
      <c r="B233" s="14"/>
      <c r="C233" s="23"/>
      <c r="D233" s="23"/>
      <c r="E233" s="14"/>
      <c r="F233" s="14"/>
      <c r="G233" s="14"/>
      <c r="H233" s="24" t="str">
        <f t="shared" si="1"/>
        <v/>
      </c>
      <c r="I233" s="12" t="str">
        <f>IF(C233="","",INT((INT(C233)-'01_Ficha_Dosis'!$C$14)/7)+1)</f>
        <v/>
      </c>
      <c r="J233" s="12" t="str">
        <f t="shared" si="2"/>
        <v/>
      </c>
      <c r="K233" s="12" t="str">
        <f>IF(J233="","",IF(AND(G233="OK",J233&gt;='01_Ficha_Dosis'!$C$23,F233&gt;='01_Ficha_Dosis'!$C$24,H233&gt;='01_Ficha_Dosis'!$C$14,H233&lt;='01_Ficha_Dosis'!$C$15),1,0))</f>
        <v/>
      </c>
      <c r="L233" s="12">
        <f t="shared" si="3"/>
        <v>0</v>
      </c>
    </row>
    <row r="234" ht="15.75" customHeight="1">
      <c r="A234" s="14"/>
      <c r="B234" s="14"/>
      <c r="C234" s="23"/>
      <c r="D234" s="23"/>
      <c r="E234" s="14"/>
      <c r="F234" s="14"/>
      <c r="G234" s="14"/>
      <c r="H234" s="24" t="str">
        <f t="shared" si="1"/>
        <v/>
      </c>
      <c r="I234" s="12" t="str">
        <f>IF(C234="","",INT((INT(C234)-'01_Ficha_Dosis'!$C$14)/7)+1)</f>
        <v/>
      </c>
      <c r="J234" s="12" t="str">
        <f t="shared" si="2"/>
        <v/>
      </c>
      <c r="K234" s="12" t="str">
        <f>IF(J234="","",IF(AND(G234="OK",J234&gt;='01_Ficha_Dosis'!$C$23,F234&gt;='01_Ficha_Dosis'!$C$24,H234&gt;='01_Ficha_Dosis'!$C$14,H234&lt;='01_Ficha_Dosis'!$C$15),1,0))</f>
        <v/>
      </c>
      <c r="L234" s="12">
        <f t="shared" si="3"/>
        <v>0</v>
      </c>
    </row>
    <row r="235" ht="15.75" customHeight="1">
      <c r="A235" s="14"/>
      <c r="B235" s="14"/>
      <c r="C235" s="23"/>
      <c r="D235" s="23"/>
      <c r="E235" s="14"/>
      <c r="F235" s="14"/>
      <c r="G235" s="14"/>
      <c r="H235" s="24" t="str">
        <f t="shared" si="1"/>
        <v/>
      </c>
      <c r="I235" s="12" t="str">
        <f>IF(C235="","",INT((INT(C235)-'01_Ficha_Dosis'!$C$14)/7)+1)</f>
        <v/>
      </c>
      <c r="J235" s="12" t="str">
        <f t="shared" si="2"/>
        <v/>
      </c>
      <c r="K235" s="12" t="str">
        <f>IF(J235="","",IF(AND(G235="OK",J235&gt;='01_Ficha_Dosis'!$C$23,F235&gt;='01_Ficha_Dosis'!$C$24,H235&gt;='01_Ficha_Dosis'!$C$14,H235&lt;='01_Ficha_Dosis'!$C$15),1,0))</f>
        <v/>
      </c>
      <c r="L235" s="12">
        <f t="shared" si="3"/>
        <v>0</v>
      </c>
    </row>
    <row r="236" ht="15.75" customHeight="1">
      <c r="A236" s="14"/>
      <c r="B236" s="14"/>
      <c r="C236" s="23"/>
      <c r="D236" s="23"/>
      <c r="E236" s="14"/>
      <c r="F236" s="14"/>
      <c r="G236" s="14"/>
      <c r="H236" s="24" t="str">
        <f t="shared" si="1"/>
        <v/>
      </c>
      <c r="I236" s="12" t="str">
        <f>IF(C236="","",INT((INT(C236)-'01_Ficha_Dosis'!$C$14)/7)+1)</f>
        <v/>
      </c>
      <c r="J236" s="12" t="str">
        <f t="shared" si="2"/>
        <v/>
      </c>
      <c r="K236" s="12" t="str">
        <f>IF(J236="","",IF(AND(G236="OK",J236&gt;='01_Ficha_Dosis'!$C$23,F236&gt;='01_Ficha_Dosis'!$C$24,H236&gt;='01_Ficha_Dosis'!$C$14,H236&lt;='01_Ficha_Dosis'!$C$15),1,0))</f>
        <v/>
      </c>
      <c r="L236" s="12">
        <f t="shared" si="3"/>
        <v>0</v>
      </c>
    </row>
    <row r="237" ht="15.75" customHeight="1">
      <c r="A237" s="14"/>
      <c r="B237" s="14"/>
      <c r="C237" s="23"/>
      <c r="D237" s="23"/>
      <c r="E237" s="14"/>
      <c r="F237" s="14"/>
      <c r="G237" s="14"/>
      <c r="H237" s="24" t="str">
        <f t="shared" si="1"/>
        <v/>
      </c>
      <c r="I237" s="12" t="str">
        <f>IF(C237="","",INT((INT(C237)-'01_Ficha_Dosis'!$C$14)/7)+1)</f>
        <v/>
      </c>
      <c r="J237" s="12" t="str">
        <f t="shared" si="2"/>
        <v/>
      </c>
      <c r="K237" s="12" t="str">
        <f>IF(J237="","",IF(AND(G237="OK",J237&gt;='01_Ficha_Dosis'!$C$23,F237&gt;='01_Ficha_Dosis'!$C$24,H237&gt;='01_Ficha_Dosis'!$C$14,H237&lt;='01_Ficha_Dosis'!$C$15),1,0))</f>
        <v/>
      </c>
      <c r="L237" s="12">
        <f t="shared" si="3"/>
        <v>0</v>
      </c>
    </row>
    <row r="238" ht="15.75" customHeight="1">
      <c r="A238" s="14"/>
      <c r="B238" s="14"/>
      <c r="C238" s="23"/>
      <c r="D238" s="23"/>
      <c r="E238" s="14"/>
      <c r="F238" s="14"/>
      <c r="G238" s="14"/>
      <c r="H238" s="24" t="str">
        <f t="shared" si="1"/>
        <v/>
      </c>
      <c r="I238" s="12" t="str">
        <f>IF(C238="","",INT((INT(C238)-'01_Ficha_Dosis'!$C$14)/7)+1)</f>
        <v/>
      </c>
      <c r="J238" s="12" t="str">
        <f t="shared" si="2"/>
        <v/>
      </c>
      <c r="K238" s="12" t="str">
        <f>IF(J238="","",IF(AND(G238="OK",J238&gt;='01_Ficha_Dosis'!$C$23,F238&gt;='01_Ficha_Dosis'!$C$24,H238&gt;='01_Ficha_Dosis'!$C$14,H238&lt;='01_Ficha_Dosis'!$C$15),1,0))</f>
        <v/>
      </c>
      <c r="L238" s="12">
        <f t="shared" si="3"/>
        <v>0</v>
      </c>
    </row>
    <row r="239" ht="15.75" customHeight="1">
      <c r="A239" s="14"/>
      <c r="B239" s="14"/>
      <c r="C239" s="23"/>
      <c r="D239" s="23"/>
      <c r="E239" s="14"/>
      <c r="F239" s="14"/>
      <c r="G239" s="14"/>
      <c r="H239" s="24" t="str">
        <f t="shared" si="1"/>
        <v/>
      </c>
      <c r="I239" s="12" t="str">
        <f>IF(C239="","",INT((INT(C239)-'01_Ficha_Dosis'!$C$14)/7)+1)</f>
        <v/>
      </c>
      <c r="J239" s="12" t="str">
        <f t="shared" si="2"/>
        <v/>
      </c>
      <c r="K239" s="12" t="str">
        <f>IF(J239="","",IF(AND(G239="OK",J239&gt;='01_Ficha_Dosis'!$C$23,F239&gt;='01_Ficha_Dosis'!$C$24,H239&gt;='01_Ficha_Dosis'!$C$14,H239&lt;='01_Ficha_Dosis'!$C$15),1,0))</f>
        <v/>
      </c>
      <c r="L239" s="12">
        <f t="shared" si="3"/>
        <v>0</v>
      </c>
    </row>
    <row r="240" ht="15.75" customHeight="1">
      <c r="A240" s="14"/>
      <c r="B240" s="14"/>
      <c r="C240" s="23"/>
      <c r="D240" s="23"/>
      <c r="E240" s="14"/>
      <c r="F240" s="14"/>
      <c r="G240" s="14"/>
      <c r="H240" s="24" t="str">
        <f t="shared" si="1"/>
        <v/>
      </c>
      <c r="I240" s="12" t="str">
        <f>IF(C240="","",INT((INT(C240)-'01_Ficha_Dosis'!$C$14)/7)+1)</f>
        <v/>
      </c>
      <c r="J240" s="12" t="str">
        <f t="shared" si="2"/>
        <v/>
      </c>
      <c r="K240" s="12" t="str">
        <f>IF(J240="","",IF(AND(G240="OK",J240&gt;='01_Ficha_Dosis'!$C$23,F240&gt;='01_Ficha_Dosis'!$C$24,H240&gt;='01_Ficha_Dosis'!$C$14,H240&lt;='01_Ficha_Dosis'!$C$15),1,0))</f>
        <v/>
      </c>
      <c r="L240" s="12">
        <f t="shared" si="3"/>
        <v>0</v>
      </c>
    </row>
    <row r="241" ht="15.75" customHeight="1">
      <c r="A241" s="14"/>
      <c r="B241" s="14"/>
      <c r="C241" s="23"/>
      <c r="D241" s="23"/>
      <c r="E241" s="14"/>
      <c r="F241" s="14"/>
      <c r="G241" s="14"/>
      <c r="H241" s="24" t="str">
        <f t="shared" si="1"/>
        <v/>
      </c>
      <c r="I241" s="12" t="str">
        <f>IF(C241="","",INT((INT(C241)-'01_Ficha_Dosis'!$C$14)/7)+1)</f>
        <v/>
      </c>
      <c r="J241" s="12" t="str">
        <f t="shared" si="2"/>
        <v/>
      </c>
      <c r="K241" s="12" t="str">
        <f>IF(J241="","",IF(AND(G241="OK",J241&gt;='01_Ficha_Dosis'!$C$23,F241&gt;='01_Ficha_Dosis'!$C$24,H241&gt;='01_Ficha_Dosis'!$C$14,H241&lt;='01_Ficha_Dosis'!$C$15),1,0))</f>
        <v/>
      </c>
      <c r="L241" s="12">
        <f t="shared" si="3"/>
        <v>0</v>
      </c>
    </row>
    <row r="242" ht="15.75" customHeight="1">
      <c r="A242" s="14"/>
      <c r="B242" s="14"/>
      <c r="C242" s="23"/>
      <c r="D242" s="23"/>
      <c r="E242" s="14"/>
      <c r="F242" s="14"/>
      <c r="G242" s="14"/>
      <c r="H242" s="24" t="str">
        <f t="shared" si="1"/>
        <v/>
      </c>
      <c r="I242" s="12" t="str">
        <f>IF(C242="","",INT((INT(C242)-'01_Ficha_Dosis'!$C$14)/7)+1)</f>
        <v/>
      </c>
      <c r="J242" s="12" t="str">
        <f t="shared" si="2"/>
        <v/>
      </c>
      <c r="K242" s="12" t="str">
        <f>IF(J242="","",IF(AND(G242="OK",J242&gt;='01_Ficha_Dosis'!$C$23,F242&gt;='01_Ficha_Dosis'!$C$24,H242&gt;='01_Ficha_Dosis'!$C$14,H242&lt;='01_Ficha_Dosis'!$C$15),1,0))</f>
        <v/>
      </c>
      <c r="L242" s="12">
        <f t="shared" si="3"/>
        <v>0</v>
      </c>
    </row>
    <row r="243" ht="15.75" customHeight="1">
      <c r="A243" s="14"/>
      <c r="B243" s="14"/>
      <c r="C243" s="23"/>
      <c r="D243" s="23"/>
      <c r="E243" s="14"/>
      <c r="F243" s="14"/>
      <c r="G243" s="14"/>
      <c r="H243" s="24" t="str">
        <f t="shared" si="1"/>
        <v/>
      </c>
      <c r="I243" s="12" t="str">
        <f>IF(C243="","",INT((INT(C243)-'01_Ficha_Dosis'!$C$14)/7)+1)</f>
        <v/>
      </c>
      <c r="J243" s="12" t="str">
        <f t="shared" si="2"/>
        <v/>
      </c>
      <c r="K243" s="12" t="str">
        <f>IF(J243="","",IF(AND(G243="OK",J243&gt;='01_Ficha_Dosis'!$C$23,F243&gt;='01_Ficha_Dosis'!$C$24,H243&gt;='01_Ficha_Dosis'!$C$14,H243&lt;='01_Ficha_Dosis'!$C$15),1,0))</f>
        <v/>
      </c>
      <c r="L243" s="12">
        <f t="shared" si="3"/>
        <v>0</v>
      </c>
    </row>
    <row r="244" ht="15.75" customHeight="1">
      <c r="A244" s="14"/>
      <c r="B244" s="14"/>
      <c r="C244" s="23"/>
      <c r="D244" s="23"/>
      <c r="E244" s="14"/>
      <c r="F244" s="14"/>
      <c r="G244" s="14"/>
      <c r="H244" s="24" t="str">
        <f t="shared" si="1"/>
        <v/>
      </c>
      <c r="I244" s="12" t="str">
        <f>IF(C244="","",INT((INT(C244)-'01_Ficha_Dosis'!$C$14)/7)+1)</f>
        <v/>
      </c>
      <c r="J244" s="12" t="str">
        <f t="shared" si="2"/>
        <v/>
      </c>
      <c r="K244" s="12" t="str">
        <f>IF(J244="","",IF(AND(G244="OK",J244&gt;='01_Ficha_Dosis'!$C$23,F244&gt;='01_Ficha_Dosis'!$C$24,H244&gt;='01_Ficha_Dosis'!$C$14,H244&lt;='01_Ficha_Dosis'!$C$15),1,0))</f>
        <v/>
      </c>
      <c r="L244" s="12">
        <f t="shared" si="3"/>
        <v>0</v>
      </c>
    </row>
    <row r="245" ht="15.75" customHeight="1">
      <c r="A245" s="14"/>
      <c r="B245" s="14"/>
      <c r="C245" s="23"/>
      <c r="D245" s="23"/>
      <c r="E245" s="14"/>
      <c r="F245" s="14"/>
      <c r="G245" s="14"/>
      <c r="H245" s="24" t="str">
        <f t="shared" si="1"/>
        <v/>
      </c>
      <c r="I245" s="12" t="str">
        <f>IF(C245="","",INT((INT(C245)-'01_Ficha_Dosis'!$C$14)/7)+1)</f>
        <v/>
      </c>
      <c r="J245" s="12" t="str">
        <f t="shared" si="2"/>
        <v/>
      </c>
      <c r="K245" s="12" t="str">
        <f>IF(J245="","",IF(AND(G245="OK",J245&gt;='01_Ficha_Dosis'!$C$23,F245&gt;='01_Ficha_Dosis'!$C$24,H245&gt;='01_Ficha_Dosis'!$C$14,H245&lt;='01_Ficha_Dosis'!$C$15),1,0))</f>
        <v/>
      </c>
      <c r="L245" s="12">
        <f t="shared" si="3"/>
        <v>0</v>
      </c>
    </row>
    <row r="246" ht="15.75" customHeight="1">
      <c r="A246" s="14"/>
      <c r="B246" s="14"/>
      <c r="C246" s="23"/>
      <c r="D246" s="23"/>
      <c r="E246" s="14"/>
      <c r="F246" s="14"/>
      <c r="G246" s="14"/>
      <c r="H246" s="24" t="str">
        <f t="shared" si="1"/>
        <v/>
      </c>
      <c r="I246" s="12" t="str">
        <f>IF(C246="","",INT((INT(C246)-'01_Ficha_Dosis'!$C$14)/7)+1)</f>
        <v/>
      </c>
      <c r="J246" s="12" t="str">
        <f t="shared" si="2"/>
        <v/>
      </c>
      <c r="K246" s="12" t="str">
        <f>IF(J246="","",IF(AND(G246="OK",J246&gt;='01_Ficha_Dosis'!$C$23,F246&gt;='01_Ficha_Dosis'!$C$24,H246&gt;='01_Ficha_Dosis'!$C$14,H246&lt;='01_Ficha_Dosis'!$C$15),1,0))</f>
        <v/>
      </c>
      <c r="L246" s="12">
        <f t="shared" si="3"/>
        <v>0</v>
      </c>
    </row>
    <row r="247" ht="15.75" customHeight="1">
      <c r="A247" s="14"/>
      <c r="B247" s="14"/>
      <c r="C247" s="23"/>
      <c r="D247" s="23"/>
      <c r="E247" s="14"/>
      <c r="F247" s="14"/>
      <c r="G247" s="14"/>
      <c r="H247" s="24" t="str">
        <f t="shared" si="1"/>
        <v/>
      </c>
      <c r="I247" s="12" t="str">
        <f>IF(C247="","",INT((INT(C247)-'01_Ficha_Dosis'!$C$14)/7)+1)</f>
        <v/>
      </c>
      <c r="J247" s="12" t="str">
        <f t="shared" si="2"/>
        <v/>
      </c>
      <c r="K247" s="12" t="str">
        <f>IF(J247="","",IF(AND(G247="OK",J247&gt;='01_Ficha_Dosis'!$C$23,F247&gt;='01_Ficha_Dosis'!$C$24,H247&gt;='01_Ficha_Dosis'!$C$14,H247&lt;='01_Ficha_Dosis'!$C$15),1,0))</f>
        <v/>
      </c>
      <c r="L247" s="12">
        <f t="shared" si="3"/>
        <v>0</v>
      </c>
    </row>
    <row r="248" ht="15.75" customHeight="1">
      <c r="A248" s="14"/>
      <c r="B248" s="14"/>
      <c r="C248" s="23"/>
      <c r="D248" s="23"/>
      <c r="E248" s="14"/>
      <c r="F248" s="14"/>
      <c r="G248" s="14"/>
      <c r="H248" s="24" t="str">
        <f t="shared" si="1"/>
        <v/>
      </c>
      <c r="I248" s="12" t="str">
        <f>IF(C248="","",INT((INT(C248)-'01_Ficha_Dosis'!$C$14)/7)+1)</f>
        <v/>
      </c>
      <c r="J248" s="12" t="str">
        <f t="shared" si="2"/>
        <v/>
      </c>
      <c r="K248" s="12" t="str">
        <f>IF(J248="","",IF(AND(G248="OK",J248&gt;='01_Ficha_Dosis'!$C$23,F248&gt;='01_Ficha_Dosis'!$C$24,H248&gt;='01_Ficha_Dosis'!$C$14,H248&lt;='01_Ficha_Dosis'!$C$15),1,0))</f>
        <v/>
      </c>
      <c r="L248" s="12">
        <f t="shared" si="3"/>
        <v>0</v>
      </c>
    </row>
    <row r="249" ht="15.75" customHeight="1">
      <c r="A249" s="14"/>
      <c r="B249" s="14"/>
      <c r="C249" s="23"/>
      <c r="D249" s="23"/>
      <c r="E249" s="14"/>
      <c r="F249" s="14"/>
      <c r="G249" s="14"/>
      <c r="H249" s="24" t="str">
        <f t="shared" si="1"/>
        <v/>
      </c>
      <c r="I249" s="12" t="str">
        <f>IF(C249="","",INT((INT(C249)-'01_Ficha_Dosis'!$C$14)/7)+1)</f>
        <v/>
      </c>
      <c r="J249" s="12" t="str">
        <f t="shared" si="2"/>
        <v/>
      </c>
      <c r="K249" s="12" t="str">
        <f>IF(J249="","",IF(AND(G249="OK",J249&gt;='01_Ficha_Dosis'!$C$23,F249&gt;='01_Ficha_Dosis'!$C$24,H249&gt;='01_Ficha_Dosis'!$C$14,H249&lt;='01_Ficha_Dosis'!$C$15),1,0))</f>
        <v/>
      </c>
      <c r="L249" s="12">
        <f t="shared" si="3"/>
        <v>0</v>
      </c>
    </row>
    <row r="250" ht="15.75" customHeight="1">
      <c r="A250" s="14"/>
      <c r="B250" s="14"/>
      <c r="C250" s="23"/>
      <c r="D250" s="23"/>
      <c r="E250" s="14"/>
      <c r="F250" s="14"/>
      <c r="G250" s="14"/>
      <c r="H250" s="24" t="str">
        <f t="shared" si="1"/>
        <v/>
      </c>
      <c r="I250" s="12" t="str">
        <f>IF(C250="","",INT((INT(C250)-'01_Ficha_Dosis'!$C$14)/7)+1)</f>
        <v/>
      </c>
      <c r="J250" s="12" t="str">
        <f t="shared" si="2"/>
        <v/>
      </c>
      <c r="K250" s="12" t="str">
        <f>IF(J250="","",IF(AND(G250="OK",J250&gt;='01_Ficha_Dosis'!$C$23,F250&gt;='01_Ficha_Dosis'!$C$24,H250&gt;='01_Ficha_Dosis'!$C$14,H250&lt;='01_Ficha_Dosis'!$C$15),1,0))</f>
        <v/>
      </c>
      <c r="L250" s="12">
        <f t="shared" si="3"/>
        <v>0</v>
      </c>
    </row>
    <row r="251" ht="15.75" customHeight="1">
      <c r="A251" s="14"/>
      <c r="B251" s="14"/>
      <c r="C251" s="23"/>
      <c r="D251" s="23"/>
      <c r="E251" s="14"/>
      <c r="F251" s="14"/>
      <c r="G251" s="14"/>
      <c r="H251" s="24" t="str">
        <f t="shared" si="1"/>
        <v/>
      </c>
      <c r="I251" s="12" t="str">
        <f>IF(C251="","",INT((INT(C251)-'01_Ficha_Dosis'!$C$14)/7)+1)</f>
        <v/>
      </c>
      <c r="J251" s="12" t="str">
        <f t="shared" si="2"/>
        <v/>
      </c>
      <c r="K251" s="12" t="str">
        <f>IF(J251="","",IF(AND(G251="OK",J251&gt;='01_Ficha_Dosis'!$C$23,F251&gt;='01_Ficha_Dosis'!$C$24,H251&gt;='01_Ficha_Dosis'!$C$14,H251&lt;='01_Ficha_Dosis'!$C$15),1,0))</f>
        <v/>
      </c>
      <c r="L251" s="12">
        <f t="shared" si="3"/>
        <v>0</v>
      </c>
    </row>
    <row r="252" ht="15.75" customHeight="1">
      <c r="A252" s="14"/>
      <c r="B252" s="14"/>
      <c r="C252" s="23"/>
      <c r="D252" s="23"/>
      <c r="E252" s="14"/>
      <c r="F252" s="14"/>
      <c r="G252" s="14"/>
      <c r="H252" s="24" t="str">
        <f t="shared" si="1"/>
        <v/>
      </c>
      <c r="I252" s="12" t="str">
        <f>IF(C252="","",INT((INT(C252)-'01_Ficha_Dosis'!$C$14)/7)+1)</f>
        <v/>
      </c>
      <c r="J252" s="12" t="str">
        <f t="shared" si="2"/>
        <v/>
      </c>
      <c r="K252" s="12" t="str">
        <f>IF(J252="","",IF(AND(G252="OK",J252&gt;='01_Ficha_Dosis'!$C$23,F252&gt;='01_Ficha_Dosis'!$C$24,H252&gt;='01_Ficha_Dosis'!$C$14,H252&lt;='01_Ficha_Dosis'!$C$15),1,0))</f>
        <v/>
      </c>
      <c r="L252" s="12">
        <f t="shared" si="3"/>
        <v>0</v>
      </c>
    </row>
    <row r="253" ht="15.75" customHeight="1">
      <c r="A253" s="14"/>
      <c r="B253" s="14"/>
      <c r="C253" s="23"/>
      <c r="D253" s="23"/>
      <c r="E253" s="14"/>
      <c r="F253" s="14"/>
      <c r="G253" s="14"/>
      <c r="H253" s="24" t="str">
        <f t="shared" si="1"/>
        <v/>
      </c>
      <c r="I253" s="12" t="str">
        <f>IF(C253="","",INT((INT(C253)-'01_Ficha_Dosis'!$C$14)/7)+1)</f>
        <v/>
      </c>
      <c r="J253" s="12" t="str">
        <f t="shared" si="2"/>
        <v/>
      </c>
      <c r="K253" s="12" t="str">
        <f>IF(J253="","",IF(AND(G253="OK",J253&gt;='01_Ficha_Dosis'!$C$23,F253&gt;='01_Ficha_Dosis'!$C$24,H253&gt;='01_Ficha_Dosis'!$C$14,H253&lt;='01_Ficha_Dosis'!$C$15),1,0))</f>
        <v/>
      </c>
      <c r="L253" s="12">
        <f t="shared" si="3"/>
        <v>0</v>
      </c>
    </row>
    <row r="254" ht="15.75" customHeight="1">
      <c r="A254" s="14"/>
      <c r="B254" s="14"/>
      <c r="C254" s="23"/>
      <c r="D254" s="23"/>
      <c r="E254" s="14"/>
      <c r="F254" s="14"/>
      <c r="G254" s="14"/>
      <c r="H254" s="24" t="str">
        <f t="shared" si="1"/>
        <v/>
      </c>
      <c r="I254" s="12" t="str">
        <f>IF(C254="","",INT((INT(C254)-'01_Ficha_Dosis'!$C$14)/7)+1)</f>
        <v/>
      </c>
      <c r="J254" s="12" t="str">
        <f t="shared" si="2"/>
        <v/>
      </c>
      <c r="K254" s="12" t="str">
        <f>IF(J254="","",IF(AND(G254="OK",J254&gt;='01_Ficha_Dosis'!$C$23,F254&gt;='01_Ficha_Dosis'!$C$24,H254&gt;='01_Ficha_Dosis'!$C$14,H254&lt;='01_Ficha_Dosis'!$C$15),1,0))</f>
        <v/>
      </c>
      <c r="L254" s="12">
        <f t="shared" si="3"/>
        <v>0</v>
      </c>
    </row>
    <row r="255" ht="15.75" customHeight="1">
      <c r="A255" s="14"/>
      <c r="B255" s="14"/>
      <c r="C255" s="23"/>
      <c r="D255" s="23"/>
      <c r="E255" s="14"/>
      <c r="F255" s="14"/>
      <c r="G255" s="14"/>
      <c r="H255" s="24" t="str">
        <f t="shared" si="1"/>
        <v/>
      </c>
      <c r="I255" s="12" t="str">
        <f>IF(C255="","",INT((INT(C255)-'01_Ficha_Dosis'!$C$14)/7)+1)</f>
        <v/>
      </c>
      <c r="J255" s="12" t="str">
        <f t="shared" si="2"/>
        <v/>
      </c>
      <c r="K255" s="12" t="str">
        <f>IF(J255="","",IF(AND(G255="OK",J255&gt;='01_Ficha_Dosis'!$C$23,F255&gt;='01_Ficha_Dosis'!$C$24,H255&gt;='01_Ficha_Dosis'!$C$14,H255&lt;='01_Ficha_Dosis'!$C$15),1,0))</f>
        <v/>
      </c>
      <c r="L255" s="12">
        <f t="shared" si="3"/>
        <v>0</v>
      </c>
    </row>
    <row r="256" ht="15.75" customHeight="1">
      <c r="A256" s="14"/>
      <c r="B256" s="14"/>
      <c r="C256" s="23"/>
      <c r="D256" s="23"/>
      <c r="E256" s="14"/>
      <c r="F256" s="14"/>
      <c r="G256" s="14"/>
      <c r="H256" s="24" t="str">
        <f t="shared" si="1"/>
        <v/>
      </c>
      <c r="I256" s="12" t="str">
        <f>IF(C256="","",INT((INT(C256)-'01_Ficha_Dosis'!$C$14)/7)+1)</f>
        <v/>
      </c>
      <c r="J256" s="12" t="str">
        <f t="shared" si="2"/>
        <v/>
      </c>
      <c r="K256" s="12" t="str">
        <f>IF(J256="","",IF(AND(G256="OK",J256&gt;='01_Ficha_Dosis'!$C$23,F256&gt;='01_Ficha_Dosis'!$C$24,H256&gt;='01_Ficha_Dosis'!$C$14,H256&lt;='01_Ficha_Dosis'!$C$15),1,0))</f>
        <v/>
      </c>
      <c r="L256" s="12">
        <f t="shared" si="3"/>
        <v>0</v>
      </c>
    </row>
    <row r="257" ht="15.75" customHeight="1">
      <c r="A257" s="14"/>
      <c r="B257" s="14"/>
      <c r="C257" s="23"/>
      <c r="D257" s="23"/>
      <c r="E257" s="14"/>
      <c r="F257" s="14"/>
      <c r="G257" s="14"/>
      <c r="H257" s="24" t="str">
        <f t="shared" si="1"/>
        <v/>
      </c>
      <c r="I257" s="12" t="str">
        <f>IF(C257="","",INT((INT(C257)-'01_Ficha_Dosis'!$C$14)/7)+1)</f>
        <v/>
      </c>
      <c r="J257" s="12" t="str">
        <f t="shared" si="2"/>
        <v/>
      </c>
      <c r="K257" s="12" t="str">
        <f>IF(J257="","",IF(AND(G257="OK",J257&gt;='01_Ficha_Dosis'!$C$23,F257&gt;='01_Ficha_Dosis'!$C$24,H257&gt;='01_Ficha_Dosis'!$C$14,H257&lt;='01_Ficha_Dosis'!$C$15),1,0))</f>
        <v/>
      </c>
      <c r="L257" s="12">
        <f t="shared" si="3"/>
        <v>0</v>
      </c>
    </row>
    <row r="258" ht="15.75" customHeight="1">
      <c r="A258" s="14"/>
      <c r="B258" s="14"/>
      <c r="C258" s="23"/>
      <c r="D258" s="23"/>
      <c r="E258" s="14"/>
      <c r="F258" s="14"/>
      <c r="G258" s="14"/>
      <c r="H258" s="24" t="str">
        <f t="shared" si="1"/>
        <v/>
      </c>
      <c r="I258" s="12" t="str">
        <f>IF(C258="","",INT((INT(C258)-'01_Ficha_Dosis'!$C$14)/7)+1)</f>
        <v/>
      </c>
      <c r="J258" s="12" t="str">
        <f t="shared" si="2"/>
        <v/>
      </c>
      <c r="K258" s="12" t="str">
        <f>IF(J258="","",IF(AND(G258="OK",J258&gt;='01_Ficha_Dosis'!$C$23,F258&gt;='01_Ficha_Dosis'!$C$24,H258&gt;='01_Ficha_Dosis'!$C$14,H258&lt;='01_Ficha_Dosis'!$C$15),1,0))</f>
        <v/>
      </c>
      <c r="L258" s="12">
        <f t="shared" si="3"/>
        <v>0</v>
      </c>
    </row>
    <row r="259" ht="15.75" customHeight="1">
      <c r="A259" s="14"/>
      <c r="B259" s="14"/>
      <c r="C259" s="23"/>
      <c r="D259" s="23"/>
      <c r="E259" s="14"/>
      <c r="F259" s="14"/>
      <c r="G259" s="14"/>
      <c r="H259" s="24" t="str">
        <f t="shared" si="1"/>
        <v/>
      </c>
      <c r="I259" s="12" t="str">
        <f>IF(C259="","",INT((INT(C259)-'01_Ficha_Dosis'!$C$14)/7)+1)</f>
        <v/>
      </c>
      <c r="J259" s="12" t="str">
        <f t="shared" si="2"/>
        <v/>
      </c>
      <c r="K259" s="12" t="str">
        <f>IF(J259="","",IF(AND(G259="OK",J259&gt;='01_Ficha_Dosis'!$C$23,F259&gt;='01_Ficha_Dosis'!$C$24,H259&gt;='01_Ficha_Dosis'!$C$14,H259&lt;='01_Ficha_Dosis'!$C$15),1,0))</f>
        <v/>
      </c>
      <c r="L259" s="12">
        <f t="shared" si="3"/>
        <v>0</v>
      </c>
    </row>
    <row r="260" ht="15.75" customHeight="1">
      <c r="A260" s="14"/>
      <c r="B260" s="14"/>
      <c r="C260" s="23"/>
      <c r="D260" s="23"/>
      <c r="E260" s="14"/>
      <c r="F260" s="14"/>
      <c r="G260" s="14"/>
      <c r="H260" s="24" t="str">
        <f t="shared" si="1"/>
        <v/>
      </c>
      <c r="I260" s="12" t="str">
        <f>IF(C260="","",INT((INT(C260)-'01_Ficha_Dosis'!$C$14)/7)+1)</f>
        <v/>
      </c>
      <c r="J260" s="12" t="str">
        <f t="shared" si="2"/>
        <v/>
      </c>
      <c r="K260" s="12" t="str">
        <f>IF(J260="","",IF(AND(G260="OK",J260&gt;='01_Ficha_Dosis'!$C$23,F260&gt;='01_Ficha_Dosis'!$C$24,H260&gt;='01_Ficha_Dosis'!$C$14,H260&lt;='01_Ficha_Dosis'!$C$15),1,0))</f>
        <v/>
      </c>
      <c r="L260" s="12">
        <f t="shared" si="3"/>
        <v>0</v>
      </c>
    </row>
    <row r="261" ht="15.75" customHeight="1">
      <c r="A261" s="14"/>
      <c r="B261" s="14"/>
      <c r="C261" s="23"/>
      <c r="D261" s="23"/>
      <c r="E261" s="14"/>
      <c r="F261" s="14"/>
      <c r="G261" s="14"/>
      <c r="H261" s="24" t="str">
        <f t="shared" si="1"/>
        <v/>
      </c>
      <c r="I261" s="12" t="str">
        <f>IF(C261="","",INT((INT(C261)-'01_Ficha_Dosis'!$C$14)/7)+1)</f>
        <v/>
      </c>
      <c r="J261" s="12" t="str">
        <f t="shared" si="2"/>
        <v/>
      </c>
      <c r="K261" s="12" t="str">
        <f>IF(J261="","",IF(AND(G261="OK",J261&gt;='01_Ficha_Dosis'!$C$23,F261&gt;='01_Ficha_Dosis'!$C$24,H261&gt;='01_Ficha_Dosis'!$C$14,H261&lt;='01_Ficha_Dosis'!$C$15),1,0))</f>
        <v/>
      </c>
      <c r="L261" s="12">
        <f t="shared" si="3"/>
        <v>0</v>
      </c>
    </row>
    <row r="262" ht="15.75" customHeight="1">
      <c r="A262" s="14"/>
      <c r="B262" s="14"/>
      <c r="C262" s="23"/>
      <c r="D262" s="23"/>
      <c r="E262" s="14"/>
      <c r="F262" s="14"/>
      <c r="G262" s="14"/>
      <c r="H262" s="24" t="str">
        <f t="shared" si="1"/>
        <v/>
      </c>
      <c r="I262" s="12" t="str">
        <f>IF(C262="","",INT((INT(C262)-'01_Ficha_Dosis'!$C$14)/7)+1)</f>
        <v/>
      </c>
      <c r="J262" s="12" t="str">
        <f t="shared" si="2"/>
        <v/>
      </c>
      <c r="K262" s="12" t="str">
        <f>IF(J262="","",IF(AND(G262="OK",J262&gt;='01_Ficha_Dosis'!$C$23,F262&gt;='01_Ficha_Dosis'!$C$24,H262&gt;='01_Ficha_Dosis'!$C$14,H262&lt;='01_Ficha_Dosis'!$C$15),1,0))</f>
        <v/>
      </c>
      <c r="L262" s="12">
        <f t="shared" si="3"/>
        <v>0</v>
      </c>
    </row>
    <row r="263" ht="15.75" customHeight="1">
      <c r="A263" s="14"/>
      <c r="B263" s="14"/>
      <c r="C263" s="23"/>
      <c r="D263" s="23"/>
      <c r="E263" s="14"/>
      <c r="F263" s="14"/>
      <c r="G263" s="14"/>
      <c r="H263" s="24" t="str">
        <f t="shared" si="1"/>
        <v/>
      </c>
      <c r="I263" s="12" t="str">
        <f>IF(C263="","",INT((INT(C263)-'01_Ficha_Dosis'!$C$14)/7)+1)</f>
        <v/>
      </c>
      <c r="J263" s="12" t="str">
        <f t="shared" si="2"/>
        <v/>
      </c>
      <c r="K263" s="12" t="str">
        <f>IF(J263="","",IF(AND(G263="OK",J263&gt;='01_Ficha_Dosis'!$C$23,F263&gt;='01_Ficha_Dosis'!$C$24,H263&gt;='01_Ficha_Dosis'!$C$14,H263&lt;='01_Ficha_Dosis'!$C$15),1,0))</f>
        <v/>
      </c>
      <c r="L263" s="12">
        <f t="shared" si="3"/>
        <v>0</v>
      </c>
    </row>
    <row r="264" ht="15.75" customHeight="1">
      <c r="A264" s="14"/>
      <c r="B264" s="14"/>
      <c r="C264" s="23"/>
      <c r="D264" s="23"/>
      <c r="E264" s="14"/>
      <c r="F264" s="14"/>
      <c r="G264" s="14"/>
      <c r="H264" s="24" t="str">
        <f t="shared" si="1"/>
        <v/>
      </c>
      <c r="I264" s="12" t="str">
        <f>IF(C264="","",INT((INT(C264)-'01_Ficha_Dosis'!$C$14)/7)+1)</f>
        <v/>
      </c>
      <c r="J264" s="12" t="str">
        <f t="shared" si="2"/>
        <v/>
      </c>
      <c r="K264" s="12" t="str">
        <f>IF(J264="","",IF(AND(G264="OK",J264&gt;='01_Ficha_Dosis'!$C$23,F264&gt;='01_Ficha_Dosis'!$C$24,H264&gt;='01_Ficha_Dosis'!$C$14,H264&lt;='01_Ficha_Dosis'!$C$15),1,0))</f>
        <v/>
      </c>
      <c r="L264" s="12">
        <f t="shared" si="3"/>
        <v>0</v>
      </c>
    </row>
    <row r="265" ht="15.75" customHeight="1">
      <c r="A265" s="14"/>
      <c r="B265" s="14"/>
      <c r="C265" s="23"/>
      <c r="D265" s="23"/>
      <c r="E265" s="14"/>
      <c r="F265" s="14"/>
      <c r="G265" s="14"/>
      <c r="H265" s="24" t="str">
        <f t="shared" si="1"/>
        <v/>
      </c>
      <c r="I265" s="12" t="str">
        <f>IF(C265="","",INT((INT(C265)-'01_Ficha_Dosis'!$C$14)/7)+1)</f>
        <v/>
      </c>
      <c r="J265" s="12" t="str">
        <f t="shared" si="2"/>
        <v/>
      </c>
      <c r="K265" s="12" t="str">
        <f>IF(J265="","",IF(AND(G265="OK",J265&gt;='01_Ficha_Dosis'!$C$23,F265&gt;='01_Ficha_Dosis'!$C$24,H265&gt;='01_Ficha_Dosis'!$C$14,H265&lt;='01_Ficha_Dosis'!$C$15),1,0))</f>
        <v/>
      </c>
      <c r="L265" s="12">
        <f t="shared" si="3"/>
        <v>0</v>
      </c>
    </row>
    <row r="266" ht="15.75" customHeight="1">
      <c r="A266" s="14"/>
      <c r="B266" s="14"/>
      <c r="C266" s="23"/>
      <c r="D266" s="23"/>
      <c r="E266" s="14"/>
      <c r="F266" s="14"/>
      <c r="G266" s="14"/>
      <c r="H266" s="24" t="str">
        <f t="shared" si="1"/>
        <v/>
      </c>
      <c r="I266" s="12" t="str">
        <f>IF(C266="","",INT((INT(C266)-'01_Ficha_Dosis'!$C$14)/7)+1)</f>
        <v/>
      </c>
      <c r="J266" s="12" t="str">
        <f t="shared" si="2"/>
        <v/>
      </c>
      <c r="K266" s="12" t="str">
        <f>IF(J266="","",IF(AND(G266="OK",J266&gt;='01_Ficha_Dosis'!$C$23,F266&gt;='01_Ficha_Dosis'!$C$24,H266&gt;='01_Ficha_Dosis'!$C$14,H266&lt;='01_Ficha_Dosis'!$C$15),1,0))</f>
        <v/>
      </c>
      <c r="L266" s="12">
        <f t="shared" si="3"/>
        <v>0</v>
      </c>
    </row>
    <row r="267" ht="15.75" customHeight="1">
      <c r="A267" s="14"/>
      <c r="B267" s="14"/>
      <c r="C267" s="23"/>
      <c r="D267" s="23"/>
      <c r="E267" s="14"/>
      <c r="F267" s="14"/>
      <c r="G267" s="14"/>
      <c r="H267" s="24" t="str">
        <f t="shared" si="1"/>
        <v/>
      </c>
      <c r="I267" s="12" t="str">
        <f>IF(C267="","",INT((INT(C267)-'01_Ficha_Dosis'!$C$14)/7)+1)</f>
        <v/>
      </c>
      <c r="J267" s="12" t="str">
        <f t="shared" si="2"/>
        <v/>
      </c>
      <c r="K267" s="12" t="str">
        <f>IF(J267="","",IF(AND(G267="OK",J267&gt;='01_Ficha_Dosis'!$C$23,F267&gt;='01_Ficha_Dosis'!$C$24,H267&gt;='01_Ficha_Dosis'!$C$14,H267&lt;='01_Ficha_Dosis'!$C$15),1,0))</f>
        <v/>
      </c>
      <c r="L267" s="12">
        <f t="shared" si="3"/>
        <v>0</v>
      </c>
    </row>
    <row r="268" ht="15.75" customHeight="1">
      <c r="A268" s="14"/>
      <c r="B268" s="14"/>
      <c r="C268" s="23"/>
      <c r="D268" s="23"/>
      <c r="E268" s="14"/>
      <c r="F268" s="14"/>
      <c r="G268" s="14"/>
      <c r="H268" s="24" t="str">
        <f t="shared" si="1"/>
        <v/>
      </c>
      <c r="I268" s="12" t="str">
        <f>IF(C268="","",INT((INT(C268)-'01_Ficha_Dosis'!$C$14)/7)+1)</f>
        <v/>
      </c>
      <c r="J268" s="12" t="str">
        <f t="shared" si="2"/>
        <v/>
      </c>
      <c r="K268" s="12" t="str">
        <f>IF(J268="","",IF(AND(G268="OK",J268&gt;='01_Ficha_Dosis'!$C$23,F268&gt;='01_Ficha_Dosis'!$C$24,H268&gt;='01_Ficha_Dosis'!$C$14,H268&lt;='01_Ficha_Dosis'!$C$15),1,0))</f>
        <v/>
      </c>
      <c r="L268" s="12">
        <f t="shared" si="3"/>
        <v>0</v>
      </c>
    </row>
    <row r="269" ht="15.75" customHeight="1">
      <c r="A269" s="14"/>
      <c r="B269" s="14"/>
      <c r="C269" s="23"/>
      <c r="D269" s="23"/>
      <c r="E269" s="14"/>
      <c r="F269" s="14"/>
      <c r="G269" s="14"/>
      <c r="H269" s="24" t="str">
        <f t="shared" si="1"/>
        <v/>
      </c>
      <c r="I269" s="12" t="str">
        <f>IF(C269="","",INT((INT(C269)-'01_Ficha_Dosis'!$C$14)/7)+1)</f>
        <v/>
      </c>
      <c r="J269" s="12" t="str">
        <f t="shared" si="2"/>
        <v/>
      </c>
      <c r="K269" s="12" t="str">
        <f>IF(J269="","",IF(AND(G269="OK",J269&gt;='01_Ficha_Dosis'!$C$23,F269&gt;='01_Ficha_Dosis'!$C$24,H269&gt;='01_Ficha_Dosis'!$C$14,H269&lt;='01_Ficha_Dosis'!$C$15),1,0))</f>
        <v/>
      </c>
      <c r="L269" s="12">
        <f t="shared" si="3"/>
        <v>0</v>
      </c>
    </row>
    <row r="270" ht="15.75" customHeight="1">
      <c r="A270" s="14"/>
      <c r="B270" s="14"/>
      <c r="C270" s="23"/>
      <c r="D270" s="23"/>
      <c r="E270" s="14"/>
      <c r="F270" s="14"/>
      <c r="G270" s="14"/>
      <c r="H270" s="24" t="str">
        <f t="shared" si="1"/>
        <v/>
      </c>
      <c r="I270" s="12" t="str">
        <f>IF(C270="","",INT((INT(C270)-'01_Ficha_Dosis'!$C$14)/7)+1)</f>
        <v/>
      </c>
      <c r="J270" s="12" t="str">
        <f t="shared" si="2"/>
        <v/>
      </c>
      <c r="K270" s="12" t="str">
        <f>IF(J270="","",IF(AND(G270="OK",J270&gt;='01_Ficha_Dosis'!$C$23,F270&gt;='01_Ficha_Dosis'!$C$24,H270&gt;='01_Ficha_Dosis'!$C$14,H270&lt;='01_Ficha_Dosis'!$C$15),1,0))</f>
        <v/>
      </c>
      <c r="L270" s="12">
        <f t="shared" si="3"/>
        <v>0</v>
      </c>
    </row>
    <row r="271" ht="15.75" customHeight="1">
      <c r="A271" s="14"/>
      <c r="B271" s="14"/>
      <c r="C271" s="23"/>
      <c r="D271" s="23"/>
      <c r="E271" s="14"/>
      <c r="F271" s="14"/>
      <c r="G271" s="14"/>
      <c r="H271" s="24" t="str">
        <f t="shared" si="1"/>
        <v/>
      </c>
      <c r="I271" s="12" t="str">
        <f>IF(C271="","",INT((INT(C271)-'01_Ficha_Dosis'!$C$14)/7)+1)</f>
        <v/>
      </c>
      <c r="J271" s="12" t="str">
        <f t="shared" si="2"/>
        <v/>
      </c>
      <c r="K271" s="12" t="str">
        <f>IF(J271="","",IF(AND(G271="OK",J271&gt;='01_Ficha_Dosis'!$C$23,F271&gt;='01_Ficha_Dosis'!$C$24,H271&gt;='01_Ficha_Dosis'!$C$14,H271&lt;='01_Ficha_Dosis'!$C$15),1,0))</f>
        <v/>
      </c>
      <c r="L271" s="12">
        <f t="shared" si="3"/>
        <v>0</v>
      </c>
    </row>
    <row r="272" ht="15.75" customHeight="1">
      <c r="A272" s="14"/>
      <c r="B272" s="14"/>
      <c r="C272" s="23"/>
      <c r="D272" s="23"/>
      <c r="E272" s="14"/>
      <c r="F272" s="14"/>
      <c r="G272" s="14"/>
      <c r="H272" s="24" t="str">
        <f t="shared" si="1"/>
        <v/>
      </c>
      <c r="I272" s="12" t="str">
        <f>IF(C272="","",INT((INT(C272)-'01_Ficha_Dosis'!$C$14)/7)+1)</f>
        <v/>
      </c>
      <c r="J272" s="12" t="str">
        <f t="shared" si="2"/>
        <v/>
      </c>
      <c r="K272" s="12" t="str">
        <f>IF(J272="","",IF(AND(G272="OK",J272&gt;='01_Ficha_Dosis'!$C$23,F272&gt;='01_Ficha_Dosis'!$C$24,H272&gt;='01_Ficha_Dosis'!$C$14,H272&lt;='01_Ficha_Dosis'!$C$15),1,0))</f>
        <v/>
      </c>
      <c r="L272" s="12">
        <f t="shared" si="3"/>
        <v>0</v>
      </c>
    </row>
    <row r="273" ht="15.75" customHeight="1">
      <c r="A273" s="14"/>
      <c r="B273" s="14"/>
      <c r="C273" s="23"/>
      <c r="D273" s="23"/>
      <c r="E273" s="14"/>
      <c r="F273" s="14"/>
      <c r="G273" s="14"/>
      <c r="H273" s="24" t="str">
        <f t="shared" si="1"/>
        <v/>
      </c>
      <c r="I273" s="12" t="str">
        <f>IF(C273="","",INT((INT(C273)-'01_Ficha_Dosis'!$C$14)/7)+1)</f>
        <v/>
      </c>
      <c r="J273" s="12" t="str">
        <f t="shared" si="2"/>
        <v/>
      </c>
      <c r="K273" s="12" t="str">
        <f>IF(J273="","",IF(AND(G273="OK",J273&gt;='01_Ficha_Dosis'!$C$23,F273&gt;='01_Ficha_Dosis'!$C$24,H273&gt;='01_Ficha_Dosis'!$C$14,H273&lt;='01_Ficha_Dosis'!$C$15),1,0))</f>
        <v/>
      </c>
      <c r="L273" s="12">
        <f t="shared" si="3"/>
        <v>0</v>
      </c>
    </row>
    <row r="274" ht="15.75" customHeight="1">
      <c r="A274" s="14"/>
      <c r="B274" s="14"/>
      <c r="C274" s="23"/>
      <c r="D274" s="23"/>
      <c r="E274" s="14"/>
      <c r="F274" s="14"/>
      <c r="G274" s="14"/>
      <c r="H274" s="24" t="str">
        <f t="shared" si="1"/>
        <v/>
      </c>
      <c r="I274" s="12" t="str">
        <f>IF(C274="","",INT((INT(C274)-'01_Ficha_Dosis'!$C$14)/7)+1)</f>
        <v/>
      </c>
      <c r="J274" s="12" t="str">
        <f t="shared" si="2"/>
        <v/>
      </c>
      <c r="K274" s="12" t="str">
        <f>IF(J274="","",IF(AND(G274="OK",J274&gt;='01_Ficha_Dosis'!$C$23,F274&gt;='01_Ficha_Dosis'!$C$24,H274&gt;='01_Ficha_Dosis'!$C$14,H274&lt;='01_Ficha_Dosis'!$C$15),1,0))</f>
        <v/>
      </c>
      <c r="L274" s="12">
        <f t="shared" si="3"/>
        <v>0</v>
      </c>
    </row>
    <row r="275" ht="15.75" customHeight="1">
      <c r="A275" s="14"/>
      <c r="B275" s="14"/>
      <c r="C275" s="23"/>
      <c r="D275" s="23"/>
      <c r="E275" s="14"/>
      <c r="F275" s="14"/>
      <c r="G275" s="14"/>
      <c r="H275" s="24" t="str">
        <f t="shared" si="1"/>
        <v/>
      </c>
      <c r="I275" s="12" t="str">
        <f>IF(C275="","",INT((INT(C275)-'01_Ficha_Dosis'!$C$14)/7)+1)</f>
        <v/>
      </c>
      <c r="J275" s="12" t="str">
        <f t="shared" si="2"/>
        <v/>
      </c>
      <c r="K275" s="12" t="str">
        <f>IF(J275="","",IF(AND(G275="OK",J275&gt;='01_Ficha_Dosis'!$C$23,F275&gt;='01_Ficha_Dosis'!$C$24,H275&gt;='01_Ficha_Dosis'!$C$14,H275&lt;='01_Ficha_Dosis'!$C$15),1,0))</f>
        <v/>
      </c>
      <c r="L275" s="12">
        <f t="shared" si="3"/>
        <v>0</v>
      </c>
    </row>
    <row r="276" ht="15.75" customHeight="1">
      <c r="A276" s="14"/>
      <c r="B276" s="14"/>
      <c r="C276" s="23"/>
      <c r="D276" s="23"/>
      <c r="E276" s="14"/>
      <c r="F276" s="14"/>
      <c r="G276" s="14"/>
      <c r="H276" s="24" t="str">
        <f t="shared" si="1"/>
        <v/>
      </c>
      <c r="I276" s="12" t="str">
        <f>IF(C276="","",INT((INT(C276)-'01_Ficha_Dosis'!$C$14)/7)+1)</f>
        <v/>
      </c>
      <c r="J276" s="12" t="str">
        <f t="shared" si="2"/>
        <v/>
      </c>
      <c r="K276" s="12" t="str">
        <f>IF(J276="","",IF(AND(G276="OK",J276&gt;='01_Ficha_Dosis'!$C$23,F276&gt;='01_Ficha_Dosis'!$C$24,H276&gt;='01_Ficha_Dosis'!$C$14,H276&lt;='01_Ficha_Dosis'!$C$15),1,0))</f>
        <v/>
      </c>
      <c r="L276" s="12">
        <f t="shared" si="3"/>
        <v>0</v>
      </c>
    </row>
    <row r="277" ht="15.75" customHeight="1">
      <c r="A277" s="14"/>
      <c r="B277" s="14"/>
      <c r="C277" s="23"/>
      <c r="D277" s="23"/>
      <c r="E277" s="14"/>
      <c r="F277" s="14"/>
      <c r="G277" s="14"/>
      <c r="H277" s="24" t="str">
        <f t="shared" si="1"/>
        <v/>
      </c>
      <c r="I277" s="12" t="str">
        <f>IF(C277="","",INT((INT(C277)-'01_Ficha_Dosis'!$C$14)/7)+1)</f>
        <v/>
      </c>
      <c r="J277" s="12" t="str">
        <f t="shared" si="2"/>
        <v/>
      </c>
      <c r="K277" s="12" t="str">
        <f>IF(J277="","",IF(AND(G277="OK",J277&gt;='01_Ficha_Dosis'!$C$23,F277&gt;='01_Ficha_Dosis'!$C$24,H277&gt;='01_Ficha_Dosis'!$C$14,H277&lt;='01_Ficha_Dosis'!$C$15),1,0))</f>
        <v/>
      </c>
      <c r="L277" s="12">
        <f t="shared" si="3"/>
        <v>0</v>
      </c>
    </row>
    <row r="278" ht="15.75" customHeight="1">
      <c r="A278" s="14"/>
      <c r="B278" s="14"/>
      <c r="C278" s="23"/>
      <c r="D278" s="23"/>
      <c r="E278" s="14"/>
      <c r="F278" s="14"/>
      <c r="G278" s="14"/>
      <c r="H278" s="24" t="str">
        <f t="shared" si="1"/>
        <v/>
      </c>
      <c r="I278" s="12" t="str">
        <f>IF(C278="","",INT((INT(C278)-'01_Ficha_Dosis'!$C$14)/7)+1)</f>
        <v/>
      </c>
      <c r="J278" s="12" t="str">
        <f t="shared" si="2"/>
        <v/>
      </c>
      <c r="K278" s="12" t="str">
        <f>IF(J278="","",IF(AND(G278="OK",J278&gt;='01_Ficha_Dosis'!$C$23,F278&gt;='01_Ficha_Dosis'!$C$24,H278&gt;='01_Ficha_Dosis'!$C$14,H278&lt;='01_Ficha_Dosis'!$C$15),1,0))</f>
        <v/>
      </c>
      <c r="L278" s="12">
        <f t="shared" si="3"/>
        <v>0</v>
      </c>
    </row>
    <row r="279" ht="15.75" customHeight="1">
      <c r="A279" s="14"/>
      <c r="B279" s="14"/>
      <c r="C279" s="23"/>
      <c r="D279" s="23"/>
      <c r="E279" s="14"/>
      <c r="F279" s="14"/>
      <c r="G279" s="14"/>
      <c r="H279" s="24" t="str">
        <f t="shared" si="1"/>
        <v/>
      </c>
      <c r="I279" s="12" t="str">
        <f>IF(C279="","",INT((INT(C279)-'01_Ficha_Dosis'!$C$14)/7)+1)</f>
        <v/>
      </c>
      <c r="J279" s="12" t="str">
        <f t="shared" si="2"/>
        <v/>
      </c>
      <c r="K279" s="12" t="str">
        <f>IF(J279="","",IF(AND(G279="OK",J279&gt;='01_Ficha_Dosis'!$C$23,F279&gt;='01_Ficha_Dosis'!$C$24,H279&gt;='01_Ficha_Dosis'!$C$14,H279&lt;='01_Ficha_Dosis'!$C$15),1,0))</f>
        <v/>
      </c>
      <c r="L279" s="12">
        <f t="shared" si="3"/>
        <v>0</v>
      </c>
    </row>
    <row r="280" ht="15.75" customHeight="1">
      <c r="A280" s="14"/>
      <c r="B280" s="14"/>
      <c r="C280" s="23"/>
      <c r="D280" s="23"/>
      <c r="E280" s="14"/>
      <c r="F280" s="14"/>
      <c r="G280" s="14"/>
      <c r="H280" s="24" t="str">
        <f t="shared" si="1"/>
        <v/>
      </c>
      <c r="I280" s="12" t="str">
        <f>IF(C280="","",INT((INT(C280)-'01_Ficha_Dosis'!$C$14)/7)+1)</f>
        <v/>
      </c>
      <c r="J280" s="12" t="str">
        <f t="shared" si="2"/>
        <v/>
      </c>
      <c r="K280" s="12" t="str">
        <f>IF(J280="","",IF(AND(G280="OK",J280&gt;='01_Ficha_Dosis'!$C$23,F280&gt;='01_Ficha_Dosis'!$C$24,H280&gt;='01_Ficha_Dosis'!$C$14,H280&lt;='01_Ficha_Dosis'!$C$15),1,0))</f>
        <v/>
      </c>
      <c r="L280" s="12">
        <f t="shared" si="3"/>
        <v>0</v>
      </c>
    </row>
    <row r="281" ht="15.75" customHeight="1">
      <c r="A281" s="14"/>
      <c r="B281" s="14"/>
      <c r="C281" s="23"/>
      <c r="D281" s="23"/>
      <c r="E281" s="14"/>
      <c r="F281" s="14"/>
      <c r="G281" s="14"/>
      <c r="H281" s="24" t="str">
        <f t="shared" si="1"/>
        <v/>
      </c>
      <c r="I281" s="12" t="str">
        <f>IF(C281="","",INT((INT(C281)-'01_Ficha_Dosis'!$C$14)/7)+1)</f>
        <v/>
      </c>
      <c r="J281" s="12" t="str">
        <f t="shared" si="2"/>
        <v/>
      </c>
      <c r="K281" s="12" t="str">
        <f>IF(J281="","",IF(AND(G281="OK",J281&gt;='01_Ficha_Dosis'!$C$23,F281&gt;='01_Ficha_Dosis'!$C$24,H281&gt;='01_Ficha_Dosis'!$C$14,H281&lt;='01_Ficha_Dosis'!$C$15),1,0))</f>
        <v/>
      </c>
      <c r="L281" s="12">
        <f t="shared" si="3"/>
        <v>0</v>
      </c>
    </row>
    <row r="282" ht="15.75" customHeight="1">
      <c r="A282" s="14"/>
      <c r="B282" s="14"/>
      <c r="C282" s="23"/>
      <c r="D282" s="23"/>
      <c r="E282" s="14"/>
      <c r="F282" s="14"/>
      <c r="G282" s="14"/>
      <c r="H282" s="24" t="str">
        <f t="shared" si="1"/>
        <v/>
      </c>
      <c r="I282" s="12" t="str">
        <f>IF(C282="","",INT((INT(C282)-'01_Ficha_Dosis'!$C$14)/7)+1)</f>
        <v/>
      </c>
      <c r="J282" s="12" t="str">
        <f t="shared" si="2"/>
        <v/>
      </c>
      <c r="K282" s="12" t="str">
        <f>IF(J282="","",IF(AND(G282="OK",J282&gt;='01_Ficha_Dosis'!$C$23,F282&gt;='01_Ficha_Dosis'!$C$24,H282&gt;='01_Ficha_Dosis'!$C$14,H282&lt;='01_Ficha_Dosis'!$C$15),1,0))</f>
        <v/>
      </c>
      <c r="L282" s="12">
        <f t="shared" si="3"/>
        <v>0</v>
      </c>
    </row>
    <row r="283" ht="15.75" customHeight="1">
      <c r="A283" s="14"/>
      <c r="B283" s="14"/>
      <c r="C283" s="23"/>
      <c r="D283" s="23"/>
      <c r="E283" s="14"/>
      <c r="F283" s="14"/>
      <c r="G283" s="14"/>
      <c r="H283" s="24" t="str">
        <f t="shared" si="1"/>
        <v/>
      </c>
      <c r="I283" s="12" t="str">
        <f>IF(C283="","",INT((INT(C283)-'01_Ficha_Dosis'!$C$14)/7)+1)</f>
        <v/>
      </c>
      <c r="J283" s="12" t="str">
        <f t="shared" si="2"/>
        <v/>
      </c>
      <c r="K283" s="12" t="str">
        <f>IF(J283="","",IF(AND(G283="OK",J283&gt;='01_Ficha_Dosis'!$C$23,F283&gt;='01_Ficha_Dosis'!$C$24,H283&gt;='01_Ficha_Dosis'!$C$14,H283&lt;='01_Ficha_Dosis'!$C$15),1,0))</f>
        <v/>
      </c>
      <c r="L283" s="12">
        <f t="shared" si="3"/>
        <v>0</v>
      </c>
    </row>
    <row r="284" ht="15.75" customHeight="1">
      <c r="A284" s="14"/>
      <c r="B284" s="14"/>
      <c r="C284" s="23"/>
      <c r="D284" s="23"/>
      <c r="E284" s="14"/>
      <c r="F284" s="14"/>
      <c r="G284" s="14"/>
      <c r="H284" s="24" t="str">
        <f t="shared" si="1"/>
        <v/>
      </c>
      <c r="I284" s="12" t="str">
        <f>IF(C284="","",INT((INT(C284)-'01_Ficha_Dosis'!$C$14)/7)+1)</f>
        <v/>
      </c>
      <c r="J284" s="12" t="str">
        <f t="shared" si="2"/>
        <v/>
      </c>
      <c r="K284" s="12" t="str">
        <f>IF(J284="","",IF(AND(G284="OK",J284&gt;='01_Ficha_Dosis'!$C$23,F284&gt;='01_Ficha_Dosis'!$C$24,H284&gt;='01_Ficha_Dosis'!$C$14,H284&lt;='01_Ficha_Dosis'!$C$15),1,0))</f>
        <v/>
      </c>
      <c r="L284" s="12">
        <f t="shared" si="3"/>
        <v>0</v>
      </c>
    </row>
    <row r="285" ht="15.75" customHeight="1">
      <c r="A285" s="14"/>
      <c r="B285" s="14"/>
      <c r="C285" s="23"/>
      <c r="D285" s="23"/>
      <c r="E285" s="14"/>
      <c r="F285" s="14"/>
      <c r="G285" s="14"/>
      <c r="H285" s="24" t="str">
        <f t="shared" si="1"/>
        <v/>
      </c>
      <c r="I285" s="12" t="str">
        <f>IF(C285="","",INT((INT(C285)-'01_Ficha_Dosis'!$C$14)/7)+1)</f>
        <v/>
      </c>
      <c r="J285" s="12" t="str">
        <f t="shared" si="2"/>
        <v/>
      </c>
      <c r="K285" s="12" t="str">
        <f>IF(J285="","",IF(AND(G285="OK",J285&gt;='01_Ficha_Dosis'!$C$23,F285&gt;='01_Ficha_Dosis'!$C$24,H285&gt;='01_Ficha_Dosis'!$C$14,H285&lt;='01_Ficha_Dosis'!$C$15),1,0))</f>
        <v/>
      </c>
      <c r="L285" s="12">
        <f t="shared" si="3"/>
        <v>0</v>
      </c>
    </row>
    <row r="286" ht="15.75" customHeight="1">
      <c r="A286" s="14"/>
      <c r="B286" s="14"/>
      <c r="C286" s="23"/>
      <c r="D286" s="23"/>
      <c r="E286" s="14"/>
      <c r="F286" s="14"/>
      <c r="G286" s="14"/>
      <c r="H286" s="24" t="str">
        <f t="shared" si="1"/>
        <v/>
      </c>
      <c r="I286" s="12" t="str">
        <f>IF(C286="","",INT((INT(C286)-'01_Ficha_Dosis'!$C$14)/7)+1)</f>
        <v/>
      </c>
      <c r="J286" s="12" t="str">
        <f t="shared" si="2"/>
        <v/>
      </c>
      <c r="K286" s="12" t="str">
        <f>IF(J286="","",IF(AND(G286="OK",J286&gt;='01_Ficha_Dosis'!$C$23,F286&gt;='01_Ficha_Dosis'!$C$24,H286&gt;='01_Ficha_Dosis'!$C$14,H286&lt;='01_Ficha_Dosis'!$C$15),1,0))</f>
        <v/>
      </c>
      <c r="L286" s="12">
        <f t="shared" si="3"/>
        <v>0</v>
      </c>
    </row>
    <row r="287" ht="15.75" customHeight="1">
      <c r="A287" s="14"/>
      <c r="B287" s="14"/>
      <c r="C287" s="23"/>
      <c r="D287" s="23"/>
      <c r="E287" s="14"/>
      <c r="F287" s="14"/>
      <c r="G287" s="14"/>
      <c r="H287" s="24" t="str">
        <f t="shared" si="1"/>
        <v/>
      </c>
      <c r="I287" s="12" t="str">
        <f>IF(C287="","",INT((INT(C287)-'01_Ficha_Dosis'!$C$14)/7)+1)</f>
        <v/>
      </c>
      <c r="J287" s="12" t="str">
        <f t="shared" si="2"/>
        <v/>
      </c>
      <c r="K287" s="12" t="str">
        <f>IF(J287="","",IF(AND(G287="OK",J287&gt;='01_Ficha_Dosis'!$C$23,F287&gt;='01_Ficha_Dosis'!$C$24,H287&gt;='01_Ficha_Dosis'!$C$14,H287&lt;='01_Ficha_Dosis'!$C$15),1,0))</f>
        <v/>
      </c>
      <c r="L287" s="12">
        <f t="shared" si="3"/>
        <v>0</v>
      </c>
    </row>
    <row r="288" ht="15.75" customHeight="1">
      <c r="A288" s="14"/>
      <c r="B288" s="14"/>
      <c r="C288" s="23"/>
      <c r="D288" s="23"/>
      <c r="E288" s="14"/>
      <c r="F288" s="14"/>
      <c r="G288" s="14"/>
      <c r="H288" s="24" t="str">
        <f t="shared" si="1"/>
        <v/>
      </c>
      <c r="I288" s="12" t="str">
        <f>IF(C288="","",INT((INT(C288)-'01_Ficha_Dosis'!$C$14)/7)+1)</f>
        <v/>
      </c>
      <c r="J288" s="12" t="str">
        <f t="shared" si="2"/>
        <v/>
      </c>
      <c r="K288" s="12" t="str">
        <f>IF(J288="","",IF(AND(G288="OK",J288&gt;='01_Ficha_Dosis'!$C$23,F288&gt;='01_Ficha_Dosis'!$C$24,H288&gt;='01_Ficha_Dosis'!$C$14,H288&lt;='01_Ficha_Dosis'!$C$15),1,0))</f>
        <v/>
      </c>
      <c r="L288" s="12">
        <f t="shared" si="3"/>
        <v>0</v>
      </c>
    </row>
    <row r="289" ht="15.75" customHeight="1">
      <c r="A289" s="14"/>
      <c r="B289" s="14"/>
      <c r="C289" s="23"/>
      <c r="D289" s="23"/>
      <c r="E289" s="14"/>
      <c r="F289" s="14"/>
      <c r="G289" s="14"/>
      <c r="H289" s="24" t="str">
        <f t="shared" si="1"/>
        <v/>
      </c>
      <c r="I289" s="12" t="str">
        <f>IF(C289="","",INT((INT(C289)-'01_Ficha_Dosis'!$C$14)/7)+1)</f>
        <v/>
      </c>
      <c r="J289" s="12" t="str">
        <f t="shared" si="2"/>
        <v/>
      </c>
      <c r="K289" s="12" t="str">
        <f>IF(J289="","",IF(AND(G289="OK",J289&gt;='01_Ficha_Dosis'!$C$23,F289&gt;='01_Ficha_Dosis'!$C$24,H289&gt;='01_Ficha_Dosis'!$C$14,H289&lt;='01_Ficha_Dosis'!$C$15),1,0))</f>
        <v/>
      </c>
      <c r="L289" s="12">
        <f t="shared" si="3"/>
        <v>0</v>
      </c>
    </row>
    <row r="290" ht="15.75" customHeight="1">
      <c r="A290" s="14"/>
      <c r="B290" s="14"/>
      <c r="C290" s="23"/>
      <c r="D290" s="23"/>
      <c r="E290" s="14"/>
      <c r="F290" s="14"/>
      <c r="G290" s="14"/>
      <c r="H290" s="24" t="str">
        <f t="shared" si="1"/>
        <v/>
      </c>
      <c r="I290" s="12" t="str">
        <f>IF(C290="","",INT((INT(C290)-'01_Ficha_Dosis'!$C$14)/7)+1)</f>
        <v/>
      </c>
      <c r="J290" s="12" t="str">
        <f t="shared" si="2"/>
        <v/>
      </c>
      <c r="K290" s="12" t="str">
        <f>IF(J290="","",IF(AND(G290="OK",J290&gt;='01_Ficha_Dosis'!$C$23,F290&gt;='01_Ficha_Dosis'!$C$24,H290&gt;='01_Ficha_Dosis'!$C$14,H290&lt;='01_Ficha_Dosis'!$C$15),1,0))</f>
        <v/>
      </c>
      <c r="L290" s="12">
        <f t="shared" si="3"/>
        <v>0</v>
      </c>
    </row>
    <row r="291" ht="15.75" customHeight="1">
      <c r="A291" s="14"/>
      <c r="B291" s="14"/>
      <c r="C291" s="23"/>
      <c r="D291" s="23"/>
      <c r="E291" s="14"/>
      <c r="F291" s="14"/>
      <c r="G291" s="14"/>
      <c r="H291" s="24" t="str">
        <f t="shared" si="1"/>
        <v/>
      </c>
      <c r="I291" s="12" t="str">
        <f>IF(C291="","",INT((INT(C291)-'01_Ficha_Dosis'!$C$14)/7)+1)</f>
        <v/>
      </c>
      <c r="J291" s="12" t="str">
        <f t="shared" si="2"/>
        <v/>
      </c>
      <c r="K291" s="12" t="str">
        <f>IF(J291="","",IF(AND(G291="OK",J291&gt;='01_Ficha_Dosis'!$C$23,F291&gt;='01_Ficha_Dosis'!$C$24,H291&gt;='01_Ficha_Dosis'!$C$14,H291&lt;='01_Ficha_Dosis'!$C$15),1,0))</f>
        <v/>
      </c>
      <c r="L291" s="12">
        <f t="shared" si="3"/>
        <v>0</v>
      </c>
    </row>
    <row r="292" ht="15.75" customHeight="1">
      <c r="A292" s="14"/>
      <c r="B292" s="14"/>
      <c r="C292" s="23"/>
      <c r="D292" s="23"/>
      <c r="E292" s="14"/>
      <c r="F292" s="14"/>
      <c r="G292" s="14"/>
      <c r="H292" s="24" t="str">
        <f t="shared" si="1"/>
        <v/>
      </c>
      <c r="I292" s="12" t="str">
        <f>IF(C292="","",INT((INT(C292)-'01_Ficha_Dosis'!$C$14)/7)+1)</f>
        <v/>
      </c>
      <c r="J292" s="12" t="str">
        <f t="shared" si="2"/>
        <v/>
      </c>
      <c r="K292" s="12" t="str">
        <f>IF(J292="","",IF(AND(G292="OK",J292&gt;='01_Ficha_Dosis'!$C$23,F292&gt;='01_Ficha_Dosis'!$C$24,H292&gt;='01_Ficha_Dosis'!$C$14,H292&lt;='01_Ficha_Dosis'!$C$15),1,0))</f>
        <v/>
      </c>
      <c r="L292" s="12">
        <f t="shared" si="3"/>
        <v>0</v>
      </c>
    </row>
    <row r="293" ht="15.75" customHeight="1">
      <c r="A293" s="14"/>
      <c r="B293" s="14"/>
      <c r="C293" s="23"/>
      <c r="D293" s="23"/>
      <c r="E293" s="14"/>
      <c r="F293" s="14"/>
      <c r="G293" s="14"/>
      <c r="H293" s="24" t="str">
        <f t="shared" si="1"/>
        <v/>
      </c>
      <c r="I293" s="12" t="str">
        <f>IF(C293="","",INT((INT(C293)-'01_Ficha_Dosis'!$C$14)/7)+1)</f>
        <v/>
      </c>
      <c r="J293" s="12" t="str">
        <f t="shared" si="2"/>
        <v/>
      </c>
      <c r="K293" s="12" t="str">
        <f>IF(J293="","",IF(AND(G293="OK",J293&gt;='01_Ficha_Dosis'!$C$23,F293&gt;='01_Ficha_Dosis'!$C$24,H293&gt;='01_Ficha_Dosis'!$C$14,H293&lt;='01_Ficha_Dosis'!$C$15),1,0))</f>
        <v/>
      </c>
      <c r="L293" s="12">
        <f t="shared" si="3"/>
        <v>0</v>
      </c>
    </row>
    <row r="294" ht="15.75" customHeight="1">
      <c r="A294" s="14"/>
      <c r="B294" s="14"/>
      <c r="C294" s="23"/>
      <c r="D294" s="23"/>
      <c r="E294" s="14"/>
      <c r="F294" s="14"/>
      <c r="G294" s="14"/>
      <c r="H294" s="24" t="str">
        <f t="shared" si="1"/>
        <v/>
      </c>
      <c r="I294" s="12" t="str">
        <f>IF(C294="","",INT((INT(C294)-'01_Ficha_Dosis'!$C$14)/7)+1)</f>
        <v/>
      </c>
      <c r="J294" s="12" t="str">
        <f t="shared" si="2"/>
        <v/>
      </c>
      <c r="K294" s="12" t="str">
        <f>IF(J294="","",IF(AND(G294="OK",J294&gt;='01_Ficha_Dosis'!$C$23,F294&gt;='01_Ficha_Dosis'!$C$24,H294&gt;='01_Ficha_Dosis'!$C$14,H294&lt;='01_Ficha_Dosis'!$C$15),1,0))</f>
        <v/>
      </c>
      <c r="L294" s="12">
        <f t="shared" si="3"/>
        <v>0</v>
      </c>
    </row>
    <row r="295" ht="15.75" customHeight="1">
      <c r="A295" s="14"/>
      <c r="B295" s="14"/>
      <c r="C295" s="23"/>
      <c r="D295" s="23"/>
      <c r="E295" s="14"/>
      <c r="F295" s="14"/>
      <c r="G295" s="14"/>
      <c r="H295" s="24" t="str">
        <f t="shared" si="1"/>
        <v/>
      </c>
      <c r="I295" s="12" t="str">
        <f>IF(C295="","",INT((INT(C295)-'01_Ficha_Dosis'!$C$14)/7)+1)</f>
        <v/>
      </c>
      <c r="J295" s="12" t="str">
        <f t="shared" si="2"/>
        <v/>
      </c>
      <c r="K295" s="12" t="str">
        <f>IF(J295="","",IF(AND(G295="OK",J295&gt;='01_Ficha_Dosis'!$C$23,F295&gt;='01_Ficha_Dosis'!$C$24,H295&gt;='01_Ficha_Dosis'!$C$14,H295&lt;='01_Ficha_Dosis'!$C$15),1,0))</f>
        <v/>
      </c>
      <c r="L295" s="12">
        <f t="shared" si="3"/>
        <v>0</v>
      </c>
    </row>
    <row r="296" ht="15.75" customHeight="1">
      <c r="A296" s="14"/>
      <c r="B296" s="14"/>
      <c r="C296" s="23"/>
      <c r="D296" s="23"/>
      <c r="E296" s="14"/>
      <c r="F296" s="14"/>
      <c r="G296" s="14"/>
      <c r="H296" s="24" t="str">
        <f t="shared" si="1"/>
        <v/>
      </c>
      <c r="I296" s="12" t="str">
        <f>IF(C296="","",INT((INT(C296)-'01_Ficha_Dosis'!$C$14)/7)+1)</f>
        <v/>
      </c>
      <c r="J296" s="12" t="str">
        <f t="shared" si="2"/>
        <v/>
      </c>
      <c r="K296" s="12" t="str">
        <f>IF(J296="","",IF(AND(G296="OK",J296&gt;='01_Ficha_Dosis'!$C$23,F296&gt;='01_Ficha_Dosis'!$C$24,H296&gt;='01_Ficha_Dosis'!$C$14,H296&lt;='01_Ficha_Dosis'!$C$15),1,0))</f>
        <v/>
      </c>
      <c r="L296" s="12">
        <f t="shared" si="3"/>
        <v>0</v>
      </c>
    </row>
    <row r="297" ht="15.75" customHeight="1">
      <c r="A297" s="14"/>
      <c r="B297" s="14"/>
      <c r="C297" s="23"/>
      <c r="D297" s="23"/>
      <c r="E297" s="14"/>
      <c r="F297" s="14"/>
      <c r="G297" s="14"/>
      <c r="H297" s="24" t="str">
        <f t="shared" si="1"/>
        <v/>
      </c>
      <c r="I297" s="12" t="str">
        <f>IF(C297="","",INT((INT(C297)-'01_Ficha_Dosis'!$C$14)/7)+1)</f>
        <v/>
      </c>
      <c r="J297" s="12" t="str">
        <f t="shared" si="2"/>
        <v/>
      </c>
      <c r="K297" s="12" t="str">
        <f>IF(J297="","",IF(AND(G297="OK",J297&gt;='01_Ficha_Dosis'!$C$23,F297&gt;='01_Ficha_Dosis'!$C$24,H297&gt;='01_Ficha_Dosis'!$C$14,H297&lt;='01_Ficha_Dosis'!$C$15),1,0))</f>
        <v/>
      </c>
      <c r="L297" s="12">
        <f t="shared" si="3"/>
        <v>0</v>
      </c>
    </row>
    <row r="298" ht="15.75" customHeight="1">
      <c r="A298" s="14"/>
      <c r="B298" s="14"/>
      <c r="C298" s="23"/>
      <c r="D298" s="23"/>
      <c r="E298" s="14"/>
      <c r="F298" s="14"/>
      <c r="G298" s="14"/>
      <c r="H298" s="24" t="str">
        <f t="shared" si="1"/>
        <v/>
      </c>
      <c r="I298" s="12" t="str">
        <f>IF(C298="","",INT((INT(C298)-'01_Ficha_Dosis'!$C$14)/7)+1)</f>
        <v/>
      </c>
      <c r="J298" s="12" t="str">
        <f t="shared" si="2"/>
        <v/>
      </c>
      <c r="K298" s="12" t="str">
        <f>IF(J298="","",IF(AND(G298="OK",J298&gt;='01_Ficha_Dosis'!$C$23,F298&gt;='01_Ficha_Dosis'!$C$24,H298&gt;='01_Ficha_Dosis'!$C$14,H298&lt;='01_Ficha_Dosis'!$C$15),1,0))</f>
        <v/>
      </c>
      <c r="L298" s="12">
        <f t="shared" si="3"/>
        <v>0</v>
      </c>
    </row>
    <row r="299" ht="15.75" customHeight="1">
      <c r="A299" s="14"/>
      <c r="B299" s="14"/>
      <c r="C299" s="23"/>
      <c r="D299" s="23"/>
      <c r="E299" s="14"/>
      <c r="F299" s="14"/>
      <c r="G299" s="14"/>
      <c r="H299" s="24" t="str">
        <f t="shared" si="1"/>
        <v/>
      </c>
      <c r="I299" s="12" t="str">
        <f>IF(C299="","",INT((INT(C299)-'01_Ficha_Dosis'!$C$14)/7)+1)</f>
        <v/>
      </c>
      <c r="J299" s="12" t="str">
        <f t="shared" si="2"/>
        <v/>
      </c>
      <c r="K299" s="12" t="str">
        <f>IF(J299="","",IF(AND(G299="OK",J299&gt;='01_Ficha_Dosis'!$C$23,F299&gt;='01_Ficha_Dosis'!$C$24,H299&gt;='01_Ficha_Dosis'!$C$14,H299&lt;='01_Ficha_Dosis'!$C$15),1,0))</f>
        <v/>
      </c>
      <c r="L299" s="12">
        <f t="shared" si="3"/>
        <v>0</v>
      </c>
    </row>
    <row r="300" ht="15.75" customHeight="1">
      <c r="A300" s="14"/>
      <c r="B300" s="14"/>
      <c r="C300" s="23"/>
      <c r="D300" s="23"/>
      <c r="E300" s="14"/>
      <c r="F300" s="14"/>
      <c r="G300" s="14"/>
      <c r="H300" s="24" t="str">
        <f t="shared" si="1"/>
        <v/>
      </c>
      <c r="I300" s="12" t="str">
        <f>IF(C300="","",INT((INT(C300)-'01_Ficha_Dosis'!$C$14)/7)+1)</f>
        <v/>
      </c>
      <c r="J300" s="12" t="str">
        <f t="shared" si="2"/>
        <v/>
      </c>
      <c r="K300" s="12" t="str">
        <f>IF(J300="","",IF(AND(G300="OK",J300&gt;='01_Ficha_Dosis'!$C$23,F300&gt;='01_Ficha_Dosis'!$C$24,H300&gt;='01_Ficha_Dosis'!$C$14,H300&lt;='01_Ficha_Dosis'!$C$15),1,0))</f>
        <v/>
      </c>
      <c r="L300" s="12">
        <f t="shared" si="3"/>
        <v>0</v>
      </c>
    </row>
    <row r="301" ht="15.75" customHeight="1">
      <c r="A301" s="14"/>
      <c r="B301" s="14"/>
      <c r="C301" s="23"/>
      <c r="D301" s="23"/>
      <c r="E301" s="14"/>
      <c r="F301" s="14"/>
      <c r="G301" s="14"/>
      <c r="H301" s="24" t="str">
        <f t="shared" si="1"/>
        <v/>
      </c>
      <c r="I301" s="12" t="str">
        <f>IF(C301="","",INT((INT(C301)-'01_Ficha_Dosis'!$C$14)/7)+1)</f>
        <v/>
      </c>
      <c r="J301" s="12" t="str">
        <f t="shared" si="2"/>
        <v/>
      </c>
      <c r="K301" s="12" t="str">
        <f>IF(J301="","",IF(AND(G301="OK",J301&gt;='01_Ficha_Dosis'!$C$23,F301&gt;='01_Ficha_Dosis'!$C$24,H301&gt;='01_Ficha_Dosis'!$C$14,H301&lt;='01_Ficha_Dosis'!$C$15),1,0))</f>
        <v/>
      </c>
      <c r="L301" s="12">
        <f t="shared" si="3"/>
        <v>0</v>
      </c>
    </row>
    <row r="302" ht="15.75" customHeight="1">
      <c r="A302" s="14"/>
      <c r="B302" s="14"/>
      <c r="C302" s="23"/>
      <c r="D302" s="23"/>
      <c r="E302" s="14"/>
      <c r="F302" s="14"/>
      <c r="G302" s="14"/>
      <c r="H302" s="24" t="str">
        <f t="shared" si="1"/>
        <v/>
      </c>
      <c r="I302" s="12" t="str">
        <f>IF(C302="","",INT((INT(C302)-'01_Ficha_Dosis'!$C$14)/7)+1)</f>
        <v/>
      </c>
      <c r="J302" s="12" t="str">
        <f t="shared" si="2"/>
        <v/>
      </c>
      <c r="K302" s="12" t="str">
        <f>IF(J302="","",IF(AND(G302="OK",J302&gt;='01_Ficha_Dosis'!$C$23,F302&gt;='01_Ficha_Dosis'!$C$24,H302&gt;='01_Ficha_Dosis'!$C$14,H302&lt;='01_Ficha_Dosis'!$C$15),1,0))</f>
        <v/>
      </c>
      <c r="L302" s="12">
        <f t="shared" si="3"/>
        <v>0</v>
      </c>
    </row>
    <row r="303" ht="15.75" customHeight="1">
      <c r="A303" s="14"/>
      <c r="B303" s="14"/>
      <c r="C303" s="23"/>
      <c r="D303" s="23"/>
      <c r="E303" s="14"/>
      <c r="F303" s="14"/>
      <c r="G303" s="14"/>
      <c r="H303" s="24" t="str">
        <f t="shared" si="1"/>
        <v/>
      </c>
      <c r="I303" s="12" t="str">
        <f>IF(C303="","",INT((INT(C303)-'01_Ficha_Dosis'!$C$14)/7)+1)</f>
        <v/>
      </c>
      <c r="J303" s="12" t="str">
        <f t="shared" si="2"/>
        <v/>
      </c>
      <c r="K303" s="12" t="str">
        <f>IF(J303="","",IF(AND(G303="OK",J303&gt;='01_Ficha_Dosis'!$C$23,F303&gt;='01_Ficha_Dosis'!$C$24,H303&gt;='01_Ficha_Dosis'!$C$14,H303&lt;='01_Ficha_Dosis'!$C$15),1,0))</f>
        <v/>
      </c>
      <c r="L303" s="12">
        <f t="shared" si="3"/>
        <v>0</v>
      </c>
    </row>
    <row r="304" ht="15.75" customHeight="1">
      <c r="A304" s="14"/>
      <c r="B304" s="14"/>
      <c r="C304" s="23"/>
      <c r="D304" s="23"/>
      <c r="E304" s="14"/>
      <c r="F304" s="14"/>
      <c r="G304" s="14"/>
      <c r="H304" s="24" t="str">
        <f t="shared" si="1"/>
        <v/>
      </c>
      <c r="I304" s="12" t="str">
        <f>IF(C304="","",INT((INT(C304)-'01_Ficha_Dosis'!$C$14)/7)+1)</f>
        <v/>
      </c>
      <c r="J304" s="12" t="str">
        <f t="shared" si="2"/>
        <v/>
      </c>
      <c r="K304" s="12" t="str">
        <f>IF(J304="","",IF(AND(G304="OK",J304&gt;='01_Ficha_Dosis'!$C$23,F304&gt;='01_Ficha_Dosis'!$C$24,H304&gt;='01_Ficha_Dosis'!$C$14,H304&lt;='01_Ficha_Dosis'!$C$15),1,0))</f>
        <v/>
      </c>
      <c r="L304" s="12">
        <f t="shared" si="3"/>
        <v>0</v>
      </c>
    </row>
    <row r="305" ht="15.75" customHeight="1">
      <c r="A305" s="14"/>
      <c r="B305" s="14"/>
      <c r="C305" s="23"/>
      <c r="D305" s="23"/>
      <c r="E305" s="14"/>
      <c r="F305" s="14"/>
      <c r="G305" s="14"/>
      <c r="H305" s="24" t="str">
        <f t="shared" si="1"/>
        <v/>
      </c>
      <c r="I305" s="12" t="str">
        <f>IF(C305="","",INT((INT(C305)-'01_Ficha_Dosis'!$C$14)/7)+1)</f>
        <v/>
      </c>
      <c r="J305" s="12" t="str">
        <f t="shared" si="2"/>
        <v/>
      </c>
      <c r="K305" s="12" t="str">
        <f>IF(J305="","",IF(AND(G305="OK",J305&gt;='01_Ficha_Dosis'!$C$23,F305&gt;='01_Ficha_Dosis'!$C$24,H305&gt;='01_Ficha_Dosis'!$C$14,H305&lt;='01_Ficha_Dosis'!$C$15),1,0))</f>
        <v/>
      </c>
      <c r="L305" s="12">
        <f t="shared" si="3"/>
        <v>0</v>
      </c>
    </row>
    <row r="306" ht="15.75" customHeight="1">
      <c r="A306" s="14"/>
      <c r="B306" s="14"/>
      <c r="C306" s="23"/>
      <c r="D306" s="23"/>
      <c r="E306" s="14"/>
      <c r="F306" s="14"/>
      <c r="G306" s="14"/>
      <c r="H306" s="24" t="str">
        <f t="shared" si="1"/>
        <v/>
      </c>
      <c r="I306" s="12" t="str">
        <f>IF(C306="","",INT((INT(C306)-'01_Ficha_Dosis'!$C$14)/7)+1)</f>
        <v/>
      </c>
      <c r="J306" s="12" t="str">
        <f t="shared" si="2"/>
        <v/>
      </c>
      <c r="K306" s="12" t="str">
        <f>IF(J306="","",IF(AND(G306="OK",J306&gt;='01_Ficha_Dosis'!$C$23,F306&gt;='01_Ficha_Dosis'!$C$24,H306&gt;='01_Ficha_Dosis'!$C$14,H306&lt;='01_Ficha_Dosis'!$C$15),1,0))</f>
        <v/>
      </c>
      <c r="L306" s="12">
        <f t="shared" si="3"/>
        <v>0</v>
      </c>
    </row>
    <row r="307" ht="15.75" customHeight="1">
      <c r="A307" s="14"/>
      <c r="B307" s="14"/>
      <c r="C307" s="23"/>
      <c r="D307" s="23"/>
      <c r="E307" s="14"/>
      <c r="F307" s="14"/>
      <c r="G307" s="14"/>
      <c r="H307" s="24" t="str">
        <f t="shared" si="1"/>
        <v/>
      </c>
      <c r="I307" s="12" t="str">
        <f>IF(C307="","",INT((INT(C307)-'01_Ficha_Dosis'!$C$14)/7)+1)</f>
        <v/>
      </c>
      <c r="J307" s="12" t="str">
        <f t="shared" si="2"/>
        <v/>
      </c>
      <c r="K307" s="12" t="str">
        <f>IF(J307="","",IF(AND(G307="OK",J307&gt;='01_Ficha_Dosis'!$C$23,F307&gt;='01_Ficha_Dosis'!$C$24,H307&gt;='01_Ficha_Dosis'!$C$14,H307&lt;='01_Ficha_Dosis'!$C$15),1,0))</f>
        <v/>
      </c>
      <c r="L307" s="12">
        <f t="shared" si="3"/>
        <v>0</v>
      </c>
    </row>
    <row r="308" ht="15.75" customHeight="1">
      <c r="A308" s="14"/>
      <c r="B308" s="14"/>
      <c r="C308" s="23"/>
      <c r="D308" s="23"/>
      <c r="E308" s="14"/>
      <c r="F308" s="14"/>
      <c r="G308" s="14"/>
      <c r="H308" s="24" t="str">
        <f t="shared" si="1"/>
        <v/>
      </c>
      <c r="I308" s="12" t="str">
        <f>IF(C308="","",INT((INT(C308)-'01_Ficha_Dosis'!$C$14)/7)+1)</f>
        <v/>
      </c>
      <c r="J308" s="12" t="str">
        <f t="shared" si="2"/>
        <v/>
      </c>
      <c r="K308" s="12" t="str">
        <f>IF(J308="","",IF(AND(G308="OK",J308&gt;='01_Ficha_Dosis'!$C$23,F308&gt;='01_Ficha_Dosis'!$C$24,H308&gt;='01_Ficha_Dosis'!$C$14,H308&lt;='01_Ficha_Dosis'!$C$15),1,0))</f>
        <v/>
      </c>
      <c r="L308" s="12">
        <f t="shared" si="3"/>
        <v>0</v>
      </c>
    </row>
    <row r="309" ht="15.75" customHeight="1">
      <c r="A309" s="14"/>
      <c r="B309" s="14"/>
      <c r="C309" s="23"/>
      <c r="D309" s="23"/>
      <c r="E309" s="14"/>
      <c r="F309" s="14"/>
      <c r="G309" s="14"/>
      <c r="H309" s="24" t="str">
        <f t="shared" si="1"/>
        <v/>
      </c>
      <c r="I309" s="12" t="str">
        <f>IF(C309="","",INT((INT(C309)-'01_Ficha_Dosis'!$C$14)/7)+1)</f>
        <v/>
      </c>
      <c r="J309" s="12" t="str">
        <f t="shared" si="2"/>
        <v/>
      </c>
      <c r="K309" s="12" t="str">
        <f>IF(J309="","",IF(AND(G309="OK",J309&gt;='01_Ficha_Dosis'!$C$23,F309&gt;='01_Ficha_Dosis'!$C$24,H309&gt;='01_Ficha_Dosis'!$C$14,H309&lt;='01_Ficha_Dosis'!$C$15),1,0))</f>
        <v/>
      </c>
      <c r="L309" s="12">
        <f t="shared" si="3"/>
        <v>0</v>
      </c>
    </row>
    <row r="310" ht="15.75" customHeight="1">
      <c r="A310" s="14"/>
      <c r="B310" s="14"/>
      <c r="C310" s="23"/>
      <c r="D310" s="23"/>
      <c r="E310" s="14"/>
      <c r="F310" s="14"/>
      <c r="G310" s="14"/>
      <c r="H310" s="24" t="str">
        <f t="shared" si="1"/>
        <v/>
      </c>
      <c r="I310" s="12" t="str">
        <f>IF(C310="","",INT((INT(C310)-'01_Ficha_Dosis'!$C$14)/7)+1)</f>
        <v/>
      </c>
      <c r="J310" s="12" t="str">
        <f t="shared" si="2"/>
        <v/>
      </c>
      <c r="K310" s="12" t="str">
        <f>IF(J310="","",IF(AND(G310="OK",J310&gt;='01_Ficha_Dosis'!$C$23,F310&gt;='01_Ficha_Dosis'!$C$24,H310&gt;='01_Ficha_Dosis'!$C$14,H310&lt;='01_Ficha_Dosis'!$C$15),1,0))</f>
        <v/>
      </c>
      <c r="L310" s="12">
        <f t="shared" si="3"/>
        <v>0</v>
      </c>
    </row>
    <row r="311" ht="15.75" customHeight="1">
      <c r="A311" s="14"/>
      <c r="B311" s="14"/>
      <c r="C311" s="23"/>
      <c r="D311" s="23"/>
      <c r="E311" s="14"/>
      <c r="F311" s="14"/>
      <c r="G311" s="14"/>
      <c r="H311" s="24" t="str">
        <f t="shared" si="1"/>
        <v/>
      </c>
      <c r="I311" s="12" t="str">
        <f>IF(C311="","",INT((INT(C311)-'01_Ficha_Dosis'!$C$14)/7)+1)</f>
        <v/>
      </c>
      <c r="J311" s="12" t="str">
        <f t="shared" si="2"/>
        <v/>
      </c>
      <c r="K311" s="12" t="str">
        <f>IF(J311="","",IF(AND(G311="OK",J311&gt;='01_Ficha_Dosis'!$C$23,F311&gt;='01_Ficha_Dosis'!$C$24,H311&gt;='01_Ficha_Dosis'!$C$14,H311&lt;='01_Ficha_Dosis'!$C$15),1,0))</f>
        <v/>
      </c>
      <c r="L311" s="12">
        <f t="shared" si="3"/>
        <v>0</v>
      </c>
    </row>
    <row r="312" ht="15.75" customHeight="1">
      <c r="A312" s="14"/>
      <c r="B312" s="14"/>
      <c r="C312" s="23"/>
      <c r="D312" s="23"/>
      <c r="E312" s="14"/>
      <c r="F312" s="14"/>
      <c r="G312" s="14"/>
      <c r="H312" s="24" t="str">
        <f t="shared" si="1"/>
        <v/>
      </c>
      <c r="I312" s="12" t="str">
        <f>IF(C312="","",INT((INT(C312)-'01_Ficha_Dosis'!$C$14)/7)+1)</f>
        <v/>
      </c>
      <c r="J312" s="12" t="str">
        <f t="shared" si="2"/>
        <v/>
      </c>
      <c r="K312" s="12" t="str">
        <f>IF(J312="","",IF(AND(G312="OK",J312&gt;='01_Ficha_Dosis'!$C$23,F312&gt;='01_Ficha_Dosis'!$C$24,H312&gt;='01_Ficha_Dosis'!$C$14,H312&lt;='01_Ficha_Dosis'!$C$15),1,0))</f>
        <v/>
      </c>
      <c r="L312" s="12">
        <f t="shared" si="3"/>
        <v>0</v>
      </c>
    </row>
    <row r="313" ht="15.75" customHeight="1">
      <c r="A313" s="14"/>
      <c r="B313" s="14"/>
      <c r="C313" s="23"/>
      <c r="D313" s="23"/>
      <c r="E313" s="14"/>
      <c r="F313" s="14"/>
      <c r="G313" s="14"/>
      <c r="H313" s="24" t="str">
        <f t="shared" si="1"/>
        <v/>
      </c>
      <c r="I313" s="12" t="str">
        <f>IF(C313="","",INT((INT(C313)-'01_Ficha_Dosis'!$C$14)/7)+1)</f>
        <v/>
      </c>
      <c r="J313" s="12" t="str">
        <f t="shared" si="2"/>
        <v/>
      </c>
      <c r="K313" s="12" t="str">
        <f>IF(J313="","",IF(AND(G313="OK",J313&gt;='01_Ficha_Dosis'!$C$23,F313&gt;='01_Ficha_Dosis'!$C$24,H313&gt;='01_Ficha_Dosis'!$C$14,H313&lt;='01_Ficha_Dosis'!$C$15),1,0))</f>
        <v/>
      </c>
      <c r="L313" s="12">
        <f t="shared" si="3"/>
        <v>0</v>
      </c>
    </row>
    <row r="314" ht="15.75" customHeight="1">
      <c r="A314" s="14"/>
      <c r="B314" s="14"/>
      <c r="C314" s="23"/>
      <c r="D314" s="23"/>
      <c r="E314" s="14"/>
      <c r="F314" s="14"/>
      <c r="G314" s="14"/>
      <c r="H314" s="24" t="str">
        <f t="shared" si="1"/>
        <v/>
      </c>
      <c r="I314" s="12" t="str">
        <f>IF(C314="","",INT((INT(C314)-'01_Ficha_Dosis'!$C$14)/7)+1)</f>
        <v/>
      </c>
      <c r="J314" s="12" t="str">
        <f t="shared" si="2"/>
        <v/>
      </c>
      <c r="K314" s="12" t="str">
        <f>IF(J314="","",IF(AND(G314="OK",J314&gt;='01_Ficha_Dosis'!$C$23,F314&gt;='01_Ficha_Dosis'!$C$24,H314&gt;='01_Ficha_Dosis'!$C$14,H314&lt;='01_Ficha_Dosis'!$C$15),1,0))</f>
        <v/>
      </c>
      <c r="L314" s="12">
        <f t="shared" si="3"/>
        <v>0</v>
      </c>
    </row>
    <row r="315" ht="15.75" customHeight="1">
      <c r="A315" s="14"/>
      <c r="B315" s="14"/>
      <c r="C315" s="23"/>
      <c r="D315" s="23"/>
      <c r="E315" s="14"/>
      <c r="F315" s="14"/>
      <c r="G315" s="14"/>
      <c r="H315" s="24" t="str">
        <f t="shared" si="1"/>
        <v/>
      </c>
      <c r="I315" s="12" t="str">
        <f>IF(C315="","",INT((INT(C315)-'01_Ficha_Dosis'!$C$14)/7)+1)</f>
        <v/>
      </c>
      <c r="J315" s="12" t="str">
        <f t="shared" si="2"/>
        <v/>
      </c>
      <c r="K315" s="12" t="str">
        <f>IF(J315="","",IF(AND(G315="OK",J315&gt;='01_Ficha_Dosis'!$C$23,F315&gt;='01_Ficha_Dosis'!$C$24,H315&gt;='01_Ficha_Dosis'!$C$14,H315&lt;='01_Ficha_Dosis'!$C$15),1,0))</f>
        <v/>
      </c>
      <c r="L315" s="12">
        <f t="shared" si="3"/>
        <v>0</v>
      </c>
    </row>
    <row r="316" ht="15.75" customHeight="1">
      <c r="A316" s="14"/>
      <c r="B316" s="14"/>
      <c r="C316" s="23"/>
      <c r="D316" s="23"/>
      <c r="E316" s="14"/>
      <c r="F316" s="14"/>
      <c r="G316" s="14"/>
      <c r="H316" s="24" t="str">
        <f t="shared" si="1"/>
        <v/>
      </c>
      <c r="I316" s="12" t="str">
        <f>IF(C316="","",INT((INT(C316)-'01_Ficha_Dosis'!$C$14)/7)+1)</f>
        <v/>
      </c>
      <c r="J316" s="12" t="str">
        <f t="shared" si="2"/>
        <v/>
      </c>
      <c r="K316" s="12" t="str">
        <f>IF(J316="","",IF(AND(G316="OK",J316&gt;='01_Ficha_Dosis'!$C$23,F316&gt;='01_Ficha_Dosis'!$C$24,H316&gt;='01_Ficha_Dosis'!$C$14,H316&lt;='01_Ficha_Dosis'!$C$15),1,0))</f>
        <v/>
      </c>
      <c r="L316" s="12">
        <f t="shared" si="3"/>
        <v>0</v>
      </c>
    </row>
    <row r="317" ht="15.75" customHeight="1">
      <c r="A317" s="14"/>
      <c r="B317" s="14"/>
      <c r="C317" s="23"/>
      <c r="D317" s="23"/>
      <c r="E317" s="14"/>
      <c r="F317" s="14"/>
      <c r="G317" s="14"/>
      <c r="H317" s="24" t="str">
        <f t="shared" si="1"/>
        <v/>
      </c>
      <c r="I317" s="12" t="str">
        <f>IF(C317="","",INT((INT(C317)-'01_Ficha_Dosis'!$C$14)/7)+1)</f>
        <v/>
      </c>
      <c r="J317" s="12" t="str">
        <f t="shared" si="2"/>
        <v/>
      </c>
      <c r="K317" s="12" t="str">
        <f>IF(J317="","",IF(AND(G317="OK",J317&gt;='01_Ficha_Dosis'!$C$23,F317&gt;='01_Ficha_Dosis'!$C$24,H317&gt;='01_Ficha_Dosis'!$C$14,H317&lt;='01_Ficha_Dosis'!$C$15),1,0))</f>
        <v/>
      </c>
      <c r="L317" s="12">
        <f t="shared" si="3"/>
        <v>0</v>
      </c>
    </row>
    <row r="318" ht="15.75" customHeight="1">
      <c r="A318" s="14"/>
      <c r="B318" s="14"/>
      <c r="C318" s="23"/>
      <c r="D318" s="23"/>
      <c r="E318" s="14"/>
      <c r="F318" s="14"/>
      <c r="G318" s="14"/>
      <c r="H318" s="24" t="str">
        <f t="shared" si="1"/>
        <v/>
      </c>
      <c r="I318" s="12" t="str">
        <f>IF(C318="","",INT((INT(C318)-'01_Ficha_Dosis'!$C$14)/7)+1)</f>
        <v/>
      </c>
      <c r="J318" s="12" t="str">
        <f t="shared" si="2"/>
        <v/>
      </c>
      <c r="K318" s="12" t="str">
        <f>IF(J318="","",IF(AND(G318="OK",J318&gt;='01_Ficha_Dosis'!$C$23,F318&gt;='01_Ficha_Dosis'!$C$24,H318&gt;='01_Ficha_Dosis'!$C$14,H318&lt;='01_Ficha_Dosis'!$C$15),1,0))</f>
        <v/>
      </c>
      <c r="L318" s="12">
        <f t="shared" si="3"/>
        <v>0</v>
      </c>
    </row>
    <row r="319" ht="15.75" customHeight="1">
      <c r="A319" s="14"/>
      <c r="B319" s="14"/>
      <c r="C319" s="23"/>
      <c r="D319" s="23"/>
      <c r="E319" s="14"/>
      <c r="F319" s="14"/>
      <c r="G319" s="14"/>
      <c r="H319" s="24" t="str">
        <f t="shared" si="1"/>
        <v/>
      </c>
      <c r="I319" s="12" t="str">
        <f>IF(C319="","",INT((INT(C319)-'01_Ficha_Dosis'!$C$14)/7)+1)</f>
        <v/>
      </c>
      <c r="J319" s="12" t="str">
        <f t="shared" si="2"/>
        <v/>
      </c>
      <c r="K319" s="12" t="str">
        <f>IF(J319="","",IF(AND(G319="OK",J319&gt;='01_Ficha_Dosis'!$C$23,F319&gt;='01_Ficha_Dosis'!$C$24,H319&gt;='01_Ficha_Dosis'!$C$14,H319&lt;='01_Ficha_Dosis'!$C$15),1,0))</f>
        <v/>
      </c>
      <c r="L319" s="12">
        <f t="shared" si="3"/>
        <v>0</v>
      </c>
    </row>
    <row r="320" ht="15.75" customHeight="1">
      <c r="A320" s="14"/>
      <c r="B320" s="14"/>
      <c r="C320" s="23"/>
      <c r="D320" s="23"/>
      <c r="E320" s="14"/>
      <c r="F320" s="14"/>
      <c r="G320" s="14"/>
      <c r="H320" s="24" t="str">
        <f t="shared" si="1"/>
        <v/>
      </c>
      <c r="I320" s="12" t="str">
        <f>IF(C320="","",INT((INT(C320)-'01_Ficha_Dosis'!$C$14)/7)+1)</f>
        <v/>
      </c>
      <c r="J320" s="12" t="str">
        <f t="shared" si="2"/>
        <v/>
      </c>
      <c r="K320" s="12" t="str">
        <f>IF(J320="","",IF(AND(G320="OK",J320&gt;='01_Ficha_Dosis'!$C$23,F320&gt;='01_Ficha_Dosis'!$C$24,H320&gt;='01_Ficha_Dosis'!$C$14,H320&lt;='01_Ficha_Dosis'!$C$15),1,0))</f>
        <v/>
      </c>
      <c r="L320" s="12">
        <f t="shared" si="3"/>
        <v>0</v>
      </c>
    </row>
    <row r="321" ht="15.75" customHeight="1">
      <c r="A321" s="14"/>
      <c r="B321" s="14"/>
      <c r="C321" s="23"/>
      <c r="D321" s="23"/>
      <c r="E321" s="14"/>
      <c r="F321" s="14"/>
      <c r="G321" s="14"/>
      <c r="H321" s="24" t="str">
        <f t="shared" si="1"/>
        <v/>
      </c>
      <c r="I321" s="12" t="str">
        <f>IF(C321="","",INT((INT(C321)-'01_Ficha_Dosis'!$C$14)/7)+1)</f>
        <v/>
      </c>
      <c r="J321" s="12" t="str">
        <f t="shared" si="2"/>
        <v/>
      </c>
      <c r="K321" s="12" t="str">
        <f>IF(J321="","",IF(AND(G321="OK",J321&gt;='01_Ficha_Dosis'!$C$23,F321&gt;='01_Ficha_Dosis'!$C$24,H321&gt;='01_Ficha_Dosis'!$C$14,H321&lt;='01_Ficha_Dosis'!$C$15),1,0))</f>
        <v/>
      </c>
      <c r="L321" s="12">
        <f t="shared" si="3"/>
        <v>0</v>
      </c>
    </row>
    <row r="322" ht="15.75" customHeight="1">
      <c r="A322" s="14"/>
      <c r="B322" s="14"/>
      <c r="C322" s="23"/>
      <c r="D322" s="23"/>
      <c r="E322" s="14"/>
      <c r="F322" s="14"/>
      <c r="G322" s="14"/>
      <c r="H322" s="24" t="str">
        <f t="shared" si="1"/>
        <v/>
      </c>
      <c r="I322" s="12" t="str">
        <f>IF(C322="","",INT((INT(C322)-'01_Ficha_Dosis'!$C$14)/7)+1)</f>
        <v/>
      </c>
      <c r="J322" s="12" t="str">
        <f t="shared" si="2"/>
        <v/>
      </c>
      <c r="K322" s="12" t="str">
        <f>IF(J322="","",IF(AND(G322="OK",J322&gt;='01_Ficha_Dosis'!$C$23,F322&gt;='01_Ficha_Dosis'!$C$24,H322&gt;='01_Ficha_Dosis'!$C$14,H322&lt;='01_Ficha_Dosis'!$C$15),1,0))</f>
        <v/>
      </c>
      <c r="L322" s="12">
        <f t="shared" si="3"/>
        <v>0</v>
      </c>
    </row>
    <row r="323" ht="15.75" customHeight="1">
      <c r="A323" s="14"/>
      <c r="B323" s="14"/>
      <c r="C323" s="23"/>
      <c r="D323" s="23"/>
      <c r="E323" s="14"/>
      <c r="F323" s="14"/>
      <c r="G323" s="14"/>
      <c r="H323" s="24" t="str">
        <f t="shared" si="1"/>
        <v/>
      </c>
      <c r="I323" s="12" t="str">
        <f>IF(C323="","",INT((INT(C323)-'01_Ficha_Dosis'!$C$14)/7)+1)</f>
        <v/>
      </c>
      <c r="J323" s="12" t="str">
        <f t="shared" si="2"/>
        <v/>
      </c>
      <c r="K323" s="12" t="str">
        <f>IF(J323="","",IF(AND(G323="OK",J323&gt;='01_Ficha_Dosis'!$C$23,F323&gt;='01_Ficha_Dosis'!$C$24,H323&gt;='01_Ficha_Dosis'!$C$14,H323&lt;='01_Ficha_Dosis'!$C$15),1,0))</f>
        <v/>
      </c>
      <c r="L323" s="12">
        <f t="shared" si="3"/>
        <v>0</v>
      </c>
    </row>
    <row r="324" ht="15.75" customHeight="1">
      <c r="A324" s="14"/>
      <c r="B324" s="14"/>
      <c r="C324" s="23"/>
      <c r="D324" s="23"/>
      <c r="E324" s="14"/>
      <c r="F324" s="14"/>
      <c r="G324" s="14"/>
      <c r="H324" s="24" t="str">
        <f t="shared" si="1"/>
        <v/>
      </c>
      <c r="I324" s="12" t="str">
        <f>IF(C324="","",INT((INT(C324)-'01_Ficha_Dosis'!$C$14)/7)+1)</f>
        <v/>
      </c>
      <c r="J324" s="12" t="str">
        <f t="shared" si="2"/>
        <v/>
      </c>
      <c r="K324" s="12" t="str">
        <f>IF(J324="","",IF(AND(G324="OK",J324&gt;='01_Ficha_Dosis'!$C$23,F324&gt;='01_Ficha_Dosis'!$C$24,H324&gt;='01_Ficha_Dosis'!$C$14,H324&lt;='01_Ficha_Dosis'!$C$15),1,0))</f>
        <v/>
      </c>
      <c r="L324" s="12">
        <f t="shared" si="3"/>
        <v>0</v>
      </c>
    </row>
    <row r="325" ht="15.75" customHeight="1">
      <c r="A325" s="14"/>
      <c r="B325" s="14"/>
      <c r="C325" s="23"/>
      <c r="D325" s="23"/>
      <c r="E325" s="14"/>
      <c r="F325" s="14"/>
      <c r="G325" s="14"/>
      <c r="H325" s="24" t="str">
        <f t="shared" si="1"/>
        <v/>
      </c>
      <c r="I325" s="12" t="str">
        <f>IF(C325="","",INT((INT(C325)-'01_Ficha_Dosis'!$C$14)/7)+1)</f>
        <v/>
      </c>
      <c r="J325" s="12" t="str">
        <f t="shared" si="2"/>
        <v/>
      </c>
      <c r="K325" s="12" t="str">
        <f>IF(J325="","",IF(AND(G325="OK",J325&gt;='01_Ficha_Dosis'!$C$23,F325&gt;='01_Ficha_Dosis'!$C$24,H325&gt;='01_Ficha_Dosis'!$C$14,H325&lt;='01_Ficha_Dosis'!$C$15),1,0))</f>
        <v/>
      </c>
      <c r="L325" s="12">
        <f t="shared" si="3"/>
        <v>0</v>
      </c>
    </row>
    <row r="326" ht="15.75" customHeight="1">
      <c r="A326" s="14"/>
      <c r="B326" s="14"/>
      <c r="C326" s="23"/>
      <c r="D326" s="23"/>
      <c r="E326" s="14"/>
      <c r="F326" s="14"/>
      <c r="G326" s="14"/>
      <c r="H326" s="24" t="str">
        <f t="shared" si="1"/>
        <v/>
      </c>
      <c r="I326" s="12" t="str">
        <f>IF(C326="","",INT((INT(C326)-'01_Ficha_Dosis'!$C$14)/7)+1)</f>
        <v/>
      </c>
      <c r="J326" s="12" t="str">
        <f t="shared" si="2"/>
        <v/>
      </c>
      <c r="K326" s="12" t="str">
        <f>IF(J326="","",IF(AND(G326="OK",J326&gt;='01_Ficha_Dosis'!$C$23,F326&gt;='01_Ficha_Dosis'!$C$24,H326&gt;='01_Ficha_Dosis'!$C$14,H326&lt;='01_Ficha_Dosis'!$C$15),1,0))</f>
        <v/>
      </c>
      <c r="L326" s="12">
        <f t="shared" si="3"/>
        <v>0</v>
      </c>
    </row>
    <row r="327" ht="15.75" customHeight="1">
      <c r="A327" s="14"/>
      <c r="B327" s="14"/>
      <c r="C327" s="23"/>
      <c r="D327" s="23"/>
      <c r="E327" s="14"/>
      <c r="F327" s="14"/>
      <c r="G327" s="14"/>
      <c r="H327" s="24" t="str">
        <f t="shared" si="1"/>
        <v/>
      </c>
      <c r="I327" s="12" t="str">
        <f>IF(C327="","",INT((INT(C327)-'01_Ficha_Dosis'!$C$14)/7)+1)</f>
        <v/>
      </c>
      <c r="J327" s="12" t="str">
        <f t="shared" si="2"/>
        <v/>
      </c>
      <c r="K327" s="12" t="str">
        <f>IF(J327="","",IF(AND(G327="OK",J327&gt;='01_Ficha_Dosis'!$C$23,F327&gt;='01_Ficha_Dosis'!$C$24,H327&gt;='01_Ficha_Dosis'!$C$14,H327&lt;='01_Ficha_Dosis'!$C$15),1,0))</f>
        <v/>
      </c>
      <c r="L327" s="12">
        <f t="shared" si="3"/>
        <v>0</v>
      </c>
    </row>
    <row r="328" ht="15.75" customHeight="1">
      <c r="A328" s="14"/>
      <c r="B328" s="14"/>
      <c r="C328" s="23"/>
      <c r="D328" s="23"/>
      <c r="E328" s="14"/>
      <c r="F328" s="14"/>
      <c r="G328" s="14"/>
      <c r="H328" s="24" t="str">
        <f t="shared" si="1"/>
        <v/>
      </c>
      <c r="I328" s="12" t="str">
        <f>IF(C328="","",INT((INT(C328)-'01_Ficha_Dosis'!$C$14)/7)+1)</f>
        <v/>
      </c>
      <c r="J328" s="12" t="str">
        <f t="shared" si="2"/>
        <v/>
      </c>
      <c r="K328" s="12" t="str">
        <f>IF(J328="","",IF(AND(G328="OK",J328&gt;='01_Ficha_Dosis'!$C$23,F328&gt;='01_Ficha_Dosis'!$C$24,H328&gt;='01_Ficha_Dosis'!$C$14,H328&lt;='01_Ficha_Dosis'!$C$15),1,0))</f>
        <v/>
      </c>
      <c r="L328" s="12">
        <f t="shared" si="3"/>
        <v>0</v>
      </c>
    </row>
    <row r="329" ht="15.75" customHeight="1">
      <c r="A329" s="14"/>
      <c r="B329" s="14"/>
      <c r="C329" s="23"/>
      <c r="D329" s="23"/>
      <c r="E329" s="14"/>
      <c r="F329" s="14"/>
      <c r="G329" s="14"/>
      <c r="H329" s="24" t="str">
        <f t="shared" si="1"/>
        <v/>
      </c>
      <c r="I329" s="12" t="str">
        <f>IF(C329="","",INT((INT(C329)-'01_Ficha_Dosis'!$C$14)/7)+1)</f>
        <v/>
      </c>
      <c r="J329" s="12" t="str">
        <f t="shared" si="2"/>
        <v/>
      </c>
      <c r="K329" s="12" t="str">
        <f>IF(J329="","",IF(AND(G329="OK",J329&gt;='01_Ficha_Dosis'!$C$23,F329&gt;='01_Ficha_Dosis'!$C$24,H329&gt;='01_Ficha_Dosis'!$C$14,H329&lt;='01_Ficha_Dosis'!$C$15),1,0))</f>
        <v/>
      </c>
      <c r="L329" s="12">
        <f t="shared" si="3"/>
        <v>0</v>
      </c>
    </row>
    <row r="330" ht="15.75" customHeight="1">
      <c r="A330" s="14"/>
      <c r="B330" s="14"/>
      <c r="C330" s="23"/>
      <c r="D330" s="23"/>
      <c r="E330" s="14"/>
      <c r="F330" s="14"/>
      <c r="G330" s="14"/>
      <c r="H330" s="24" t="str">
        <f t="shared" si="1"/>
        <v/>
      </c>
      <c r="I330" s="12" t="str">
        <f>IF(C330="","",INT((INT(C330)-'01_Ficha_Dosis'!$C$14)/7)+1)</f>
        <v/>
      </c>
      <c r="J330" s="12" t="str">
        <f t="shared" si="2"/>
        <v/>
      </c>
      <c r="K330" s="12" t="str">
        <f>IF(J330="","",IF(AND(G330="OK",J330&gt;='01_Ficha_Dosis'!$C$23,F330&gt;='01_Ficha_Dosis'!$C$24,H330&gt;='01_Ficha_Dosis'!$C$14,H330&lt;='01_Ficha_Dosis'!$C$15),1,0))</f>
        <v/>
      </c>
      <c r="L330" s="12">
        <f t="shared" si="3"/>
        <v>0</v>
      </c>
    </row>
    <row r="331" ht="15.75" customHeight="1">
      <c r="A331" s="14"/>
      <c r="B331" s="14"/>
      <c r="C331" s="23"/>
      <c r="D331" s="23"/>
      <c r="E331" s="14"/>
      <c r="F331" s="14"/>
      <c r="G331" s="14"/>
      <c r="H331" s="24" t="str">
        <f t="shared" si="1"/>
        <v/>
      </c>
      <c r="I331" s="12" t="str">
        <f>IF(C331="","",INT((INT(C331)-'01_Ficha_Dosis'!$C$14)/7)+1)</f>
        <v/>
      </c>
      <c r="J331" s="12" t="str">
        <f t="shared" si="2"/>
        <v/>
      </c>
      <c r="K331" s="12" t="str">
        <f>IF(J331="","",IF(AND(G331="OK",J331&gt;='01_Ficha_Dosis'!$C$23,F331&gt;='01_Ficha_Dosis'!$C$24,H331&gt;='01_Ficha_Dosis'!$C$14,H331&lt;='01_Ficha_Dosis'!$C$15),1,0))</f>
        <v/>
      </c>
      <c r="L331" s="12">
        <f t="shared" si="3"/>
        <v>0</v>
      </c>
    </row>
    <row r="332" ht="15.75" customHeight="1">
      <c r="A332" s="14"/>
      <c r="B332" s="14"/>
      <c r="C332" s="23"/>
      <c r="D332" s="23"/>
      <c r="E332" s="14"/>
      <c r="F332" s="14"/>
      <c r="G332" s="14"/>
      <c r="H332" s="24" t="str">
        <f t="shared" si="1"/>
        <v/>
      </c>
      <c r="I332" s="12" t="str">
        <f>IF(C332="","",INT((INT(C332)-'01_Ficha_Dosis'!$C$14)/7)+1)</f>
        <v/>
      </c>
      <c r="J332" s="12" t="str">
        <f t="shared" si="2"/>
        <v/>
      </c>
      <c r="K332" s="12" t="str">
        <f>IF(J332="","",IF(AND(G332="OK",J332&gt;='01_Ficha_Dosis'!$C$23,F332&gt;='01_Ficha_Dosis'!$C$24,H332&gt;='01_Ficha_Dosis'!$C$14,H332&lt;='01_Ficha_Dosis'!$C$15),1,0))</f>
        <v/>
      </c>
      <c r="L332" s="12">
        <f t="shared" si="3"/>
        <v>0</v>
      </c>
    </row>
    <row r="333" ht="15.75" customHeight="1">
      <c r="A333" s="14"/>
      <c r="B333" s="14"/>
      <c r="C333" s="23"/>
      <c r="D333" s="23"/>
      <c r="E333" s="14"/>
      <c r="F333" s="14"/>
      <c r="G333" s="14"/>
      <c r="H333" s="24" t="str">
        <f t="shared" si="1"/>
        <v/>
      </c>
      <c r="I333" s="12" t="str">
        <f>IF(C333="","",INT((INT(C333)-'01_Ficha_Dosis'!$C$14)/7)+1)</f>
        <v/>
      </c>
      <c r="J333" s="12" t="str">
        <f t="shared" si="2"/>
        <v/>
      </c>
      <c r="K333" s="12" t="str">
        <f>IF(J333="","",IF(AND(G333="OK",J333&gt;='01_Ficha_Dosis'!$C$23,F333&gt;='01_Ficha_Dosis'!$C$24,H333&gt;='01_Ficha_Dosis'!$C$14,H333&lt;='01_Ficha_Dosis'!$C$15),1,0))</f>
        <v/>
      </c>
      <c r="L333" s="12">
        <f t="shared" si="3"/>
        <v>0</v>
      </c>
    </row>
    <row r="334" ht="15.75" customHeight="1">
      <c r="A334" s="14"/>
      <c r="B334" s="14"/>
      <c r="C334" s="23"/>
      <c r="D334" s="23"/>
      <c r="E334" s="14"/>
      <c r="F334" s="14"/>
      <c r="G334" s="14"/>
      <c r="H334" s="24" t="str">
        <f t="shared" si="1"/>
        <v/>
      </c>
      <c r="I334" s="12" t="str">
        <f>IF(C334="","",INT((INT(C334)-'01_Ficha_Dosis'!$C$14)/7)+1)</f>
        <v/>
      </c>
      <c r="J334" s="12" t="str">
        <f t="shared" si="2"/>
        <v/>
      </c>
      <c r="K334" s="12" t="str">
        <f>IF(J334="","",IF(AND(G334="OK",J334&gt;='01_Ficha_Dosis'!$C$23,F334&gt;='01_Ficha_Dosis'!$C$24,H334&gt;='01_Ficha_Dosis'!$C$14,H334&lt;='01_Ficha_Dosis'!$C$15),1,0))</f>
        <v/>
      </c>
      <c r="L334" s="12">
        <f t="shared" si="3"/>
        <v>0</v>
      </c>
    </row>
    <row r="335" ht="15.75" customHeight="1">
      <c r="A335" s="14"/>
      <c r="B335" s="14"/>
      <c r="C335" s="23"/>
      <c r="D335" s="23"/>
      <c r="E335" s="14"/>
      <c r="F335" s="14"/>
      <c r="G335" s="14"/>
      <c r="H335" s="24" t="str">
        <f t="shared" si="1"/>
        <v/>
      </c>
      <c r="I335" s="12" t="str">
        <f>IF(C335="","",INT((INT(C335)-'01_Ficha_Dosis'!$C$14)/7)+1)</f>
        <v/>
      </c>
      <c r="J335" s="12" t="str">
        <f t="shared" si="2"/>
        <v/>
      </c>
      <c r="K335" s="12" t="str">
        <f>IF(J335="","",IF(AND(G335="OK",J335&gt;='01_Ficha_Dosis'!$C$23,F335&gt;='01_Ficha_Dosis'!$C$24,H335&gt;='01_Ficha_Dosis'!$C$14,H335&lt;='01_Ficha_Dosis'!$C$15),1,0))</f>
        <v/>
      </c>
      <c r="L335" s="12">
        <f t="shared" si="3"/>
        <v>0</v>
      </c>
    </row>
    <row r="336" ht="15.75" customHeight="1">
      <c r="A336" s="14"/>
      <c r="B336" s="14"/>
      <c r="C336" s="23"/>
      <c r="D336" s="23"/>
      <c r="E336" s="14"/>
      <c r="F336" s="14"/>
      <c r="G336" s="14"/>
      <c r="H336" s="24" t="str">
        <f t="shared" si="1"/>
        <v/>
      </c>
      <c r="I336" s="12" t="str">
        <f>IF(C336="","",INT((INT(C336)-'01_Ficha_Dosis'!$C$14)/7)+1)</f>
        <v/>
      </c>
      <c r="J336" s="12" t="str">
        <f t="shared" si="2"/>
        <v/>
      </c>
      <c r="K336" s="12" t="str">
        <f>IF(J336="","",IF(AND(G336="OK",J336&gt;='01_Ficha_Dosis'!$C$23,F336&gt;='01_Ficha_Dosis'!$C$24,H336&gt;='01_Ficha_Dosis'!$C$14,H336&lt;='01_Ficha_Dosis'!$C$15),1,0))</f>
        <v/>
      </c>
      <c r="L336" s="12">
        <f t="shared" si="3"/>
        <v>0</v>
      </c>
    </row>
    <row r="337" ht="15.75" customHeight="1">
      <c r="A337" s="14"/>
      <c r="B337" s="14"/>
      <c r="C337" s="23"/>
      <c r="D337" s="23"/>
      <c r="E337" s="14"/>
      <c r="F337" s="14"/>
      <c r="G337" s="14"/>
      <c r="H337" s="24" t="str">
        <f t="shared" si="1"/>
        <v/>
      </c>
      <c r="I337" s="12" t="str">
        <f>IF(C337="","",INT((INT(C337)-'01_Ficha_Dosis'!$C$14)/7)+1)</f>
        <v/>
      </c>
      <c r="J337" s="12" t="str">
        <f t="shared" si="2"/>
        <v/>
      </c>
      <c r="K337" s="12" t="str">
        <f>IF(J337="","",IF(AND(G337="OK",J337&gt;='01_Ficha_Dosis'!$C$23,F337&gt;='01_Ficha_Dosis'!$C$24,H337&gt;='01_Ficha_Dosis'!$C$14,H337&lt;='01_Ficha_Dosis'!$C$15),1,0))</f>
        <v/>
      </c>
      <c r="L337" s="12">
        <f t="shared" si="3"/>
        <v>0</v>
      </c>
    </row>
    <row r="338" ht="15.75" customHeight="1">
      <c r="A338" s="14"/>
      <c r="B338" s="14"/>
      <c r="C338" s="23"/>
      <c r="D338" s="23"/>
      <c r="E338" s="14"/>
      <c r="F338" s="14"/>
      <c r="G338" s="14"/>
      <c r="H338" s="24" t="str">
        <f t="shared" si="1"/>
        <v/>
      </c>
      <c r="I338" s="12" t="str">
        <f>IF(C338="","",INT((INT(C338)-'01_Ficha_Dosis'!$C$14)/7)+1)</f>
        <v/>
      </c>
      <c r="J338" s="12" t="str">
        <f t="shared" si="2"/>
        <v/>
      </c>
      <c r="K338" s="12" t="str">
        <f>IF(J338="","",IF(AND(G338="OK",J338&gt;='01_Ficha_Dosis'!$C$23,F338&gt;='01_Ficha_Dosis'!$C$24,H338&gt;='01_Ficha_Dosis'!$C$14,H338&lt;='01_Ficha_Dosis'!$C$15),1,0))</f>
        <v/>
      </c>
      <c r="L338" s="12">
        <f t="shared" si="3"/>
        <v>0</v>
      </c>
    </row>
    <row r="339" ht="15.75" customHeight="1">
      <c r="A339" s="14"/>
      <c r="B339" s="14"/>
      <c r="C339" s="23"/>
      <c r="D339" s="23"/>
      <c r="E339" s="14"/>
      <c r="F339" s="14"/>
      <c r="G339" s="14"/>
      <c r="H339" s="24" t="str">
        <f t="shared" si="1"/>
        <v/>
      </c>
      <c r="I339" s="12" t="str">
        <f>IF(C339="","",INT((INT(C339)-'01_Ficha_Dosis'!$C$14)/7)+1)</f>
        <v/>
      </c>
      <c r="J339" s="12" t="str">
        <f t="shared" si="2"/>
        <v/>
      </c>
      <c r="K339" s="12" t="str">
        <f>IF(J339="","",IF(AND(G339="OK",J339&gt;='01_Ficha_Dosis'!$C$23,F339&gt;='01_Ficha_Dosis'!$C$24,H339&gt;='01_Ficha_Dosis'!$C$14,H339&lt;='01_Ficha_Dosis'!$C$15),1,0))</f>
        <v/>
      </c>
      <c r="L339" s="12">
        <f t="shared" si="3"/>
        <v>0</v>
      </c>
    </row>
    <row r="340" ht="15.75" customHeight="1">
      <c r="A340" s="14"/>
      <c r="B340" s="14"/>
      <c r="C340" s="23"/>
      <c r="D340" s="23"/>
      <c r="E340" s="14"/>
      <c r="F340" s="14"/>
      <c r="G340" s="14"/>
      <c r="H340" s="24" t="str">
        <f t="shared" si="1"/>
        <v/>
      </c>
      <c r="I340" s="12" t="str">
        <f>IF(C340="","",INT((INT(C340)-'01_Ficha_Dosis'!$C$14)/7)+1)</f>
        <v/>
      </c>
      <c r="J340" s="12" t="str">
        <f t="shared" si="2"/>
        <v/>
      </c>
      <c r="K340" s="12" t="str">
        <f>IF(J340="","",IF(AND(G340="OK",J340&gt;='01_Ficha_Dosis'!$C$23,F340&gt;='01_Ficha_Dosis'!$C$24,H340&gt;='01_Ficha_Dosis'!$C$14,H340&lt;='01_Ficha_Dosis'!$C$15),1,0))</f>
        <v/>
      </c>
      <c r="L340" s="12">
        <f t="shared" si="3"/>
        <v>0</v>
      </c>
    </row>
    <row r="341" ht="15.75" customHeight="1">
      <c r="A341" s="14"/>
      <c r="B341" s="14"/>
      <c r="C341" s="23"/>
      <c r="D341" s="23"/>
      <c r="E341" s="14"/>
      <c r="F341" s="14"/>
      <c r="G341" s="14"/>
      <c r="H341" s="24" t="str">
        <f t="shared" si="1"/>
        <v/>
      </c>
      <c r="I341" s="12" t="str">
        <f>IF(C341="","",INT((INT(C341)-'01_Ficha_Dosis'!$C$14)/7)+1)</f>
        <v/>
      </c>
      <c r="J341" s="12" t="str">
        <f t="shared" si="2"/>
        <v/>
      </c>
      <c r="K341" s="12" t="str">
        <f>IF(J341="","",IF(AND(G341="OK",J341&gt;='01_Ficha_Dosis'!$C$23,F341&gt;='01_Ficha_Dosis'!$C$24,H341&gt;='01_Ficha_Dosis'!$C$14,H341&lt;='01_Ficha_Dosis'!$C$15),1,0))</f>
        <v/>
      </c>
      <c r="L341" s="12">
        <f t="shared" si="3"/>
        <v>0</v>
      </c>
    </row>
    <row r="342" ht="15.75" customHeight="1">
      <c r="A342" s="14"/>
      <c r="B342" s="14"/>
      <c r="C342" s="23"/>
      <c r="D342" s="23"/>
      <c r="E342" s="14"/>
      <c r="F342" s="14"/>
      <c r="G342" s="14"/>
      <c r="H342" s="24" t="str">
        <f t="shared" si="1"/>
        <v/>
      </c>
      <c r="I342" s="12" t="str">
        <f>IF(C342="","",INT((INT(C342)-'01_Ficha_Dosis'!$C$14)/7)+1)</f>
        <v/>
      </c>
      <c r="J342" s="12" t="str">
        <f t="shared" si="2"/>
        <v/>
      </c>
      <c r="K342" s="12" t="str">
        <f>IF(J342="","",IF(AND(G342="OK",J342&gt;='01_Ficha_Dosis'!$C$23,F342&gt;='01_Ficha_Dosis'!$C$24,H342&gt;='01_Ficha_Dosis'!$C$14,H342&lt;='01_Ficha_Dosis'!$C$15),1,0))</f>
        <v/>
      </c>
      <c r="L342" s="12">
        <f t="shared" si="3"/>
        <v>0</v>
      </c>
    </row>
    <row r="343" ht="15.75" customHeight="1">
      <c r="A343" s="14"/>
      <c r="B343" s="14"/>
      <c r="C343" s="23"/>
      <c r="D343" s="23"/>
      <c r="E343" s="14"/>
      <c r="F343" s="14"/>
      <c r="G343" s="14"/>
      <c r="H343" s="24" t="str">
        <f t="shared" si="1"/>
        <v/>
      </c>
      <c r="I343" s="12" t="str">
        <f>IF(C343="","",INT((INT(C343)-'01_Ficha_Dosis'!$C$14)/7)+1)</f>
        <v/>
      </c>
      <c r="J343" s="12" t="str">
        <f t="shared" si="2"/>
        <v/>
      </c>
      <c r="K343" s="12" t="str">
        <f>IF(J343="","",IF(AND(G343="OK",J343&gt;='01_Ficha_Dosis'!$C$23,F343&gt;='01_Ficha_Dosis'!$C$24,H343&gt;='01_Ficha_Dosis'!$C$14,H343&lt;='01_Ficha_Dosis'!$C$15),1,0))</f>
        <v/>
      </c>
      <c r="L343" s="12">
        <f t="shared" si="3"/>
        <v>0</v>
      </c>
    </row>
    <row r="344" ht="15.75" customHeight="1">
      <c r="A344" s="14"/>
      <c r="B344" s="14"/>
      <c r="C344" s="23"/>
      <c r="D344" s="23"/>
      <c r="E344" s="14"/>
      <c r="F344" s="14"/>
      <c r="G344" s="14"/>
      <c r="H344" s="24" t="str">
        <f t="shared" si="1"/>
        <v/>
      </c>
      <c r="I344" s="12" t="str">
        <f>IF(C344="","",INT((INT(C344)-'01_Ficha_Dosis'!$C$14)/7)+1)</f>
        <v/>
      </c>
      <c r="J344" s="12" t="str">
        <f t="shared" si="2"/>
        <v/>
      </c>
      <c r="K344" s="12" t="str">
        <f>IF(J344="","",IF(AND(G344="OK",J344&gt;='01_Ficha_Dosis'!$C$23,F344&gt;='01_Ficha_Dosis'!$C$24,H344&gt;='01_Ficha_Dosis'!$C$14,H344&lt;='01_Ficha_Dosis'!$C$15),1,0))</f>
        <v/>
      </c>
      <c r="L344" s="12">
        <f t="shared" si="3"/>
        <v>0</v>
      </c>
    </row>
    <row r="345" ht="15.75" customHeight="1">
      <c r="A345" s="14"/>
      <c r="B345" s="14"/>
      <c r="C345" s="23"/>
      <c r="D345" s="23"/>
      <c r="E345" s="14"/>
      <c r="F345" s="14"/>
      <c r="G345" s="14"/>
      <c r="H345" s="24" t="str">
        <f t="shared" si="1"/>
        <v/>
      </c>
      <c r="I345" s="12" t="str">
        <f>IF(C345="","",INT((INT(C345)-'01_Ficha_Dosis'!$C$14)/7)+1)</f>
        <v/>
      </c>
      <c r="J345" s="12" t="str">
        <f t="shared" si="2"/>
        <v/>
      </c>
      <c r="K345" s="12" t="str">
        <f>IF(J345="","",IF(AND(G345="OK",J345&gt;='01_Ficha_Dosis'!$C$23,F345&gt;='01_Ficha_Dosis'!$C$24,H345&gt;='01_Ficha_Dosis'!$C$14,H345&lt;='01_Ficha_Dosis'!$C$15),1,0))</f>
        <v/>
      </c>
      <c r="L345" s="12">
        <f t="shared" si="3"/>
        <v>0</v>
      </c>
    </row>
    <row r="346" ht="15.75" customHeight="1">
      <c r="A346" s="14"/>
      <c r="B346" s="14"/>
      <c r="C346" s="23"/>
      <c r="D346" s="23"/>
      <c r="E346" s="14"/>
      <c r="F346" s="14"/>
      <c r="G346" s="14"/>
      <c r="H346" s="24" t="str">
        <f t="shared" si="1"/>
        <v/>
      </c>
      <c r="I346" s="12" t="str">
        <f>IF(C346="","",INT((INT(C346)-'01_Ficha_Dosis'!$C$14)/7)+1)</f>
        <v/>
      </c>
      <c r="J346" s="12" t="str">
        <f t="shared" si="2"/>
        <v/>
      </c>
      <c r="K346" s="12" t="str">
        <f>IF(J346="","",IF(AND(G346="OK",J346&gt;='01_Ficha_Dosis'!$C$23,F346&gt;='01_Ficha_Dosis'!$C$24,H346&gt;='01_Ficha_Dosis'!$C$14,H346&lt;='01_Ficha_Dosis'!$C$15),1,0))</f>
        <v/>
      </c>
      <c r="L346" s="12">
        <f t="shared" si="3"/>
        <v>0</v>
      </c>
    </row>
    <row r="347" ht="15.75" customHeight="1">
      <c r="A347" s="14"/>
      <c r="B347" s="14"/>
      <c r="C347" s="23"/>
      <c r="D347" s="23"/>
      <c r="E347" s="14"/>
      <c r="F347" s="14"/>
      <c r="G347" s="14"/>
      <c r="H347" s="24" t="str">
        <f t="shared" si="1"/>
        <v/>
      </c>
      <c r="I347" s="12" t="str">
        <f>IF(C347="","",INT((INT(C347)-'01_Ficha_Dosis'!$C$14)/7)+1)</f>
        <v/>
      </c>
      <c r="J347" s="12" t="str">
        <f t="shared" si="2"/>
        <v/>
      </c>
      <c r="K347" s="12" t="str">
        <f>IF(J347="","",IF(AND(G347="OK",J347&gt;='01_Ficha_Dosis'!$C$23,F347&gt;='01_Ficha_Dosis'!$C$24,H347&gt;='01_Ficha_Dosis'!$C$14,H347&lt;='01_Ficha_Dosis'!$C$15),1,0))</f>
        <v/>
      </c>
      <c r="L347" s="12">
        <f t="shared" si="3"/>
        <v>0</v>
      </c>
    </row>
    <row r="348" ht="15.75" customHeight="1">
      <c r="A348" s="14"/>
      <c r="B348" s="14"/>
      <c r="C348" s="23"/>
      <c r="D348" s="23"/>
      <c r="E348" s="14"/>
      <c r="F348" s="14"/>
      <c r="G348" s="14"/>
      <c r="H348" s="24" t="str">
        <f t="shared" si="1"/>
        <v/>
      </c>
      <c r="I348" s="12" t="str">
        <f>IF(C348="","",INT((INT(C348)-'01_Ficha_Dosis'!$C$14)/7)+1)</f>
        <v/>
      </c>
      <c r="J348" s="12" t="str">
        <f t="shared" si="2"/>
        <v/>
      </c>
      <c r="K348" s="12" t="str">
        <f>IF(J348="","",IF(AND(G348="OK",J348&gt;='01_Ficha_Dosis'!$C$23,F348&gt;='01_Ficha_Dosis'!$C$24,H348&gt;='01_Ficha_Dosis'!$C$14,H348&lt;='01_Ficha_Dosis'!$C$15),1,0))</f>
        <v/>
      </c>
      <c r="L348" s="12">
        <f t="shared" si="3"/>
        <v>0</v>
      </c>
    </row>
    <row r="349" ht="15.75" customHeight="1">
      <c r="A349" s="14"/>
      <c r="B349" s="14"/>
      <c r="C349" s="23"/>
      <c r="D349" s="23"/>
      <c r="E349" s="14"/>
      <c r="F349" s="14"/>
      <c r="G349" s="14"/>
      <c r="H349" s="24" t="str">
        <f t="shared" si="1"/>
        <v/>
      </c>
      <c r="I349" s="12" t="str">
        <f>IF(C349="","",INT((INT(C349)-'01_Ficha_Dosis'!$C$14)/7)+1)</f>
        <v/>
      </c>
      <c r="J349" s="12" t="str">
        <f t="shared" si="2"/>
        <v/>
      </c>
      <c r="K349" s="12" t="str">
        <f>IF(J349="","",IF(AND(G349="OK",J349&gt;='01_Ficha_Dosis'!$C$23,F349&gt;='01_Ficha_Dosis'!$C$24,H349&gt;='01_Ficha_Dosis'!$C$14,H349&lt;='01_Ficha_Dosis'!$C$15),1,0))</f>
        <v/>
      </c>
      <c r="L349" s="12">
        <f t="shared" si="3"/>
        <v>0</v>
      </c>
    </row>
    <row r="350" ht="15.75" customHeight="1">
      <c r="A350" s="14"/>
      <c r="B350" s="14"/>
      <c r="C350" s="23"/>
      <c r="D350" s="23"/>
      <c r="E350" s="14"/>
      <c r="F350" s="14"/>
      <c r="G350" s="14"/>
      <c r="H350" s="24" t="str">
        <f t="shared" si="1"/>
        <v/>
      </c>
      <c r="I350" s="12" t="str">
        <f>IF(C350="","",INT((INT(C350)-'01_Ficha_Dosis'!$C$14)/7)+1)</f>
        <v/>
      </c>
      <c r="J350" s="12" t="str">
        <f t="shared" si="2"/>
        <v/>
      </c>
      <c r="K350" s="12" t="str">
        <f>IF(J350="","",IF(AND(G350="OK",J350&gt;='01_Ficha_Dosis'!$C$23,F350&gt;='01_Ficha_Dosis'!$C$24,H350&gt;='01_Ficha_Dosis'!$C$14,H350&lt;='01_Ficha_Dosis'!$C$15),1,0))</f>
        <v/>
      </c>
      <c r="L350" s="12">
        <f t="shared" si="3"/>
        <v>0</v>
      </c>
    </row>
    <row r="351" ht="15.75" customHeight="1">
      <c r="A351" s="14"/>
      <c r="B351" s="14"/>
      <c r="C351" s="23"/>
      <c r="D351" s="23"/>
      <c r="E351" s="14"/>
      <c r="F351" s="14"/>
      <c r="G351" s="14"/>
      <c r="H351" s="24" t="str">
        <f t="shared" si="1"/>
        <v/>
      </c>
      <c r="I351" s="12" t="str">
        <f>IF(C351="","",INT((INT(C351)-'01_Ficha_Dosis'!$C$14)/7)+1)</f>
        <v/>
      </c>
      <c r="J351" s="12" t="str">
        <f t="shared" si="2"/>
        <v/>
      </c>
      <c r="K351" s="12" t="str">
        <f>IF(J351="","",IF(AND(G351="OK",J351&gt;='01_Ficha_Dosis'!$C$23,F351&gt;='01_Ficha_Dosis'!$C$24,H351&gt;='01_Ficha_Dosis'!$C$14,H351&lt;='01_Ficha_Dosis'!$C$15),1,0))</f>
        <v/>
      </c>
      <c r="L351" s="12">
        <f t="shared" si="3"/>
        <v>0</v>
      </c>
    </row>
    <row r="352" ht="15.75" customHeight="1">
      <c r="A352" s="14"/>
      <c r="B352" s="14"/>
      <c r="C352" s="23"/>
      <c r="D352" s="23"/>
      <c r="E352" s="14"/>
      <c r="F352" s="14"/>
      <c r="G352" s="14"/>
      <c r="H352" s="24" t="str">
        <f t="shared" si="1"/>
        <v/>
      </c>
      <c r="I352" s="12" t="str">
        <f>IF(C352="","",INT((INT(C352)-'01_Ficha_Dosis'!$C$14)/7)+1)</f>
        <v/>
      </c>
      <c r="J352" s="12" t="str">
        <f t="shared" si="2"/>
        <v/>
      </c>
      <c r="K352" s="12" t="str">
        <f>IF(J352="","",IF(AND(G352="OK",J352&gt;='01_Ficha_Dosis'!$C$23,F352&gt;='01_Ficha_Dosis'!$C$24,H352&gt;='01_Ficha_Dosis'!$C$14,H352&lt;='01_Ficha_Dosis'!$C$15),1,0))</f>
        <v/>
      </c>
      <c r="L352" s="12">
        <f t="shared" si="3"/>
        <v>0</v>
      </c>
    </row>
    <row r="353" ht="15.75" customHeight="1">
      <c r="A353" s="14"/>
      <c r="B353" s="14"/>
      <c r="C353" s="23"/>
      <c r="D353" s="23"/>
      <c r="E353" s="14"/>
      <c r="F353" s="14"/>
      <c r="G353" s="14"/>
      <c r="H353" s="24" t="str">
        <f t="shared" si="1"/>
        <v/>
      </c>
      <c r="I353" s="12" t="str">
        <f>IF(C353="","",INT((INT(C353)-'01_Ficha_Dosis'!$C$14)/7)+1)</f>
        <v/>
      </c>
      <c r="J353" s="12" t="str">
        <f t="shared" si="2"/>
        <v/>
      </c>
      <c r="K353" s="12" t="str">
        <f>IF(J353="","",IF(AND(G353="OK",J353&gt;='01_Ficha_Dosis'!$C$23,F353&gt;='01_Ficha_Dosis'!$C$24,H353&gt;='01_Ficha_Dosis'!$C$14,H353&lt;='01_Ficha_Dosis'!$C$15),1,0))</f>
        <v/>
      </c>
      <c r="L353" s="12">
        <f t="shared" si="3"/>
        <v>0</v>
      </c>
    </row>
    <row r="354" ht="15.75" customHeight="1">
      <c r="A354" s="14"/>
      <c r="B354" s="14"/>
      <c r="C354" s="23"/>
      <c r="D354" s="23"/>
      <c r="E354" s="14"/>
      <c r="F354" s="14"/>
      <c r="G354" s="14"/>
      <c r="H354" s="24" t="str">
        <f t="shared" si="1"/>
        <v/>
      </c>
      <c r="I354" s="12" t="str">
        <f>IF(C354="","",INT((INT(C354)-'01_Ficha_Dosis'!$C$14)/7)+1)</f>
        <v/>
      </c>
      <c r="J354" s="12" t="str">
        <f t="shared" si="2"/>
        <v/>
      </c>
      <c r="K354" s="12" t="str">
        <f>IF(J354="","",IF(AND(G354="OK",J354&gt;='01_Ficha_Dosis'!$C$23,F354&gt;='01_Ficha_Dosis'!$C$24,H354&gt;='01_Ficha_Dosis'!$C$14,H354&lt;='01_Ficha_Dosis'!$C$15),1,0))</f>
        <v/>
      </c>
      <c r="L354" s="12">
        <f t="shared" si="3"/>
        <v>0</v>
      </c>
    </row>
    <row r="355" ht="15.75" customHeight="1">
      <c r="A355" s="14"/>
      <c r="B355" s="14"/>
      <c r="C355" s="23"/>
      <c r="D355" s="23"/>
      <c r="E355" s="14"/>
      <c r="F355" s="14"/>
      <c r="G355" s="14"/>
      <c r="H355" s="24" t="str">
        <f t="shared" si="1"/>
        <v/>
      </c>
      <c r="I355" s="12" t="str">
        <f>IF(C355="","",INT((INT(C355)-'01_Ficha_Dosis'!$C$14)/7)+1)</f>
        <v/>
      </c>
      <c r="J355" s="12" t="str">
        <f t="shared" si="2"/>
        <v/>
      </c>
      <c r="K355" s="12" t="str">
        <f>IF(J355="","",IF(AND(G355="OK",J355&gt;='01_Ficha_Dosis'!$C$23,F355&gt;='01_Ficha_Dosis'!$C$24,H355&gt;='01_Ficha_Dosis'!$C$14,H355&lt;='01_Ficha_Dosis'!$C$15),1,0))</f>
        <v/>
      </c>
      <c r="L355" s="12">
        <f t="shared" si="3"/>
        <v>0</v>
      </c>
    </row>
    <row r="356" ht="15.75" customHeight="1">
      <c r="A356" s="14"/>
      <c r="B356" s="14"/>
      <c r="C356" s="23"/>
      <c r="D356" s="23"/>
      <c r="E356" s="14"/>
      <c r="F356" s="14"/>
      <c r="G356" s="14"/>
      <c r="H356" s="24" t="str">
        <f t="shared" si="1"/>
        <v/>
      </c>
      <c r="I356" s="12" t="str">
        <f>IF(C356="","",INT((INT(C356)-'01_Ficha_Dosis'!$C$14)/7)+1)</f>
        <v/>
      </c>
      <c r="J356" s="12" t="str">
        <f t="shared" si="2"/>
        <v/>
      </c>
      <c r="K356" s="12" t="str">
        <f>IF(J356="","",IF(AND(G356="OK",J356&gt;='01_Ficha_Dosis'!$C$23,F356&gt;='01_Ficha_Dosis'!$C$24,H356&gt;='01_Ficha_Dosis'!$C$14,H356&lt;='01_Ficha_Dosis'!$C$15),1,0))</f>
        <v/>
      </c>
      <c r="L356" s="12">
        <f t="shared" si="3"/>
        <v>0</v>
      </c>
    </row>
    <row r="357" ht="15.75" customHeight="1">
      <c r="A357" s="14"/>
      <c r="B357" s="14"/>
      <c r="C357" s="23"/>
      <c r="D357" s="23"/>
      <c r="E357" s="14"/>
      <c r="F357" s="14"/>
      <c r="G357" s="14"/>
      <c r="H357" s="24" t="str">
        <f t="shared" si="1"/>
        <v/>
      </c>
      <c r="I357" s="12" t="str">
        <f>IF(C357="","",INT((INT(C357)-'01_Ficha_Dosis'!$C$14)/7)+1)</f>
        <v/>
      </c>
      <c r="J357" s="12" t="str">
        <f t="shared" si="2"/>
        <v/>
      </c>
      <c r="K357" s="12" t="str">
        <f>IF(J357="","",IF(AND(G357="OK",J357&gt;='01_Ficha_Dosis'!$C$23,F357&gt;='01_Ficha_Dosis'!$C$24,H357&gt;='01_Ficha_Dosis'!$C$14,H357&lt;='01_Ficha_Dosis'!$C$15),1,0))</f>
        <v/>
      </c>
      <c r="L357" s="12">
        <f t="shared" si="3"/>
        <v>0</v>
      </c>
    </row>
    <row r="358" ht="15.75" customHeight="1">
      <c r="A358" s="14"/>
      <c r="B358" s="14"/>
      <c r="C358" s="23"/>
      <c r="D358" s="23"/>
      <c r="E358" s="14"/>
      <c r="F358" s="14"/>
      <c r="G358" s="14"/>
      <c r="H358" s="24" t="str">
        <f t="shared" si="1"/>
        <v/>
      </c>
      <c r="I358" s="12" t="str">
        <f>IF(C358="","",INT((INT(C358)-'01_Ficha_Dosis'!$C$14)/7)+1)</f>
        <v/>
      </c>
      <c r="J358" s="12" t="str">
        <f t="shared" si="2"/>
        <v/>
      </c>
      <c r="K358" s="12" t="str">
        <f>IF(J358="","",IF(AND(G358="OK",J358&gt;='01_Ficha_Dosis'!$C$23,F358&gt;='01_Ficha_Dosis'!$C$24,H358&gt;='01_Ficha_Dosis'!$C$14,H358&lt;='01_Ficha_Dosis'!$C$15),1,0))</f>
        <v/>
      </c>
      <c r="L358" s="12">
        <f t="shared" si="3"/>
        <v>0</v>
      </c>
    </row>
    <row r="359" ht="15.75" customHeight="1">
      <c r="A359" s="14"/>
      <c r="B359" s="14"/>
      <c r="C359" s="23"/>
      <c r="D359" s="23"/>
      <c r="E359" s="14"/>
      <c r="F359" s="14"/>
      <c r="G359" s="14"/>
      <c r="H359" s="24" t="str">
        <f t="shared" si="1"/>
        <v/>
      </c>
      <c r="I359" s="12" t="str">
        <f>IF(C359="","",INT((INT(C359)-'01_Ficha_Dosis'!$C$14)/7)+1)</f>
        <v/>
      </c>
      <c r="J359" s="12" t="str">
        <f t="shared" si="2"/>
        <v/>
      </c>
      <c r="K359" s="12" t="str">
        <f>IF(J359="","",IF(AND(G359="OK",J359&gt;='01_Ficha_Dosis'!$C$23,F359&gt;='01_Ficha_Dosis'!$C$24,H359&gt;='01_Ficha_Dosis'!$C$14,H359&lt;='01_Ficha_Dosis'!$C$15),1,0))</f>
        <v/>
      </c>
      <c r="L359" s="12">
        <f t="shared" si="3"/>
        <v>0</v>
      </c>
    </row>
    <row r="360" ht="15.75" customHeight="1">
      <c r="A360" s="14"/>
      <c r="B360" s="14"/>
      <c r="C360" s="23"/>
      <c r="D360" s="23"/>
      <c r="E360" s="14"/>
      <c r="F360" s="14"/>
      <c r="G360" s="14"/>
      <c r="H360" s="24" t="str">
        <f t="shared" si="1"/>
        <v/>
      </c>
      <c r="I360" s="12" t="str">
        <f>IF(C360="","",INT((INT(C360)-'01_Ficha_Dosis'!$C$14)/7)+1)</f>
        <v/>
      </c>
      <c r="J360" s="12" t="str">
        <f t="shared" si="2"/>
        <v/>
      </c>
      <c r="K360" s="12" t="str">
        <f>IF(J360="","",IF(AND(G360="OK",J360&gt;='01_Ficha_Dosis'!$C$23,F360&gt;='01_Ficha_Dosis'!$C$24,H360&gt;='01_Ficha_Dosis'!$C$14,H360&lt;='01_Ficha_Dosis'!$C$15),1,0))</f>
        <v/>
      </c>
      <c r="L360" s="12">
        <f t="shared" si="3"/>
        <v>0</v>
      </c>
    </row>
    <row r="361" ht="15.75" customHeight="1">
      <c r="A361" s="14"/>
      <c r="B361" s="14"/>
      <c r="C361" s="23"/>
      <c r="D361" s="23"/>
      <c r="E361" s="14"/>
      <c r="F361" s="14"/>
      <c r="G361" s="14"/>
      <c r="H361" s="24" t="str">
        <f t="shared" si="1"/>
        <v/>
      </c>
      <c r="I361" s="12" t="str">
        <f>IF(C361="","",INT((INT(C361)-'01_Ficha_Dosis'!$C$14)/7)+1)</f>
        <v/>
      </c>
      <c r="J361" s="12" t="str">
        <f t="shared" si="2"/>
        <v/>
      </c>
      <c r="K361" s="12" t="str">
        <f>IF(J361="","",IF(AND(G361="OK",J361&gt;='01_Ficha_Dosis'!$C$23,F361&gt;='01_Ficha_Dosis'!$C$24,H361&gt;='01_Ficha_Dosis'!$C$14,H361&lt;='01_Ficha_Dosis'!$C$15),1,0))</f>
        <v/>
      </c>
      <c r="L361" s="12">
        <f t="shared" si="3"/>
        <v>0</v>
      </c>
    </row>
    <row r="362" ht="15.75" customHeight="1">
      <c r="A362" s="14"/>
      <c r="B362" s="14"/>
      <c r="C362" s="23"/>
      <c r="D362" s="23"/>
      <c r="E362" s="14"/>
      <c r="F362" s="14"/>
      <c r="G362" s="14"/>
      <c r="H362" s="24" t="str">
        <f t="shared" si="1"/>
        <v/>
      </c>
      <c r="I362" s="12" t="str">
        <f>IF(C362="","",INT((INT(C362)-'01_Ficha_Dosis'!$C$14)/7)+1)</f>
        <v/>
      </c>
      <c r="J362" s="12" t="str">
        <f t="shared" si="2"/>
        <v/>
      </c>
      <c r="K362" s="12" t="str">
        <f>IF(J362="","",IF(AND(G362="OK",J362&gt;='01_Ficha_Dosis'!$C$23,F362&gt;='01_Ficha_Dosis'!$C$24,H362&gt;='01_Ficha_Dosis'!$C$14,H362&lt;='01_Ficha_Dosis'!$C$15),1,0))</f>
        <v/>
      </c>
      <c r="L362" s="12">
        <f t="shared" si="3"/>
        <v>0</v>
      </c>
    </row>
    <row r="363" ht="15.75" customHeight="1">
      <c r="A363" s="14"/>
      <c r="B363" s="14"/>
      <c r="C363" s="23"/>
      <c r="D363" s="23"/>
      <c r="E363" s="14"/>
      <c r="F363" s="14"/>
      <c r="G363" s="14"/>
      <c r="H363" s="24" t="str">
        <f t="shared" si="1"/>
        <v/>
      </c>
      <c r="I363" s="12" t="str">
        <f>IF(C363="","",INT((INT(C363)-'01_Ficha_Dosis'!$C$14)/7)+1)</f>
        <v/>
      </c>
      <c r="J363" s="12" t="str">
        <f t="shared" si="2"/>
        <v/>
      </c>
      <c r="K363" s="12" t="str">
        <f>IF(J363="","",IF(AND(G363="OK",J363&gt;='01_Ficha_Dosis'!$C$23,F363&gt;='01_Ficha_Dosis'!$C$24,H363&gt;='01_Ficha_Dosis'!$C$14,H363&lt;='01_Ficha_Dosis'!$C$15),1,0))</f>
        <v/>
      </c>
      <c r="L363" s="12">
        <f t="shared" si="3"/>
        <v>0</v>
      </c>
    </row>
    <row r="364" ht="15.75" customHeight="1">
      <c r="A364" s="14"/>
      <c r="B364" s="14"/>
      <c r="C364" s="23"/>
      <c r="D364" s="23"/>
      <c r="E364" s="14"/>
      <c r="F364" s="14"/>
      <c r="G364" s="14"/>
      <c r="H364" s="24" t="str">
        <f t="shared" si="1"/>
        <v/>
      </c>
      <c r="I364" s="12" t="str">
        <f>IF(C364="","",INT((INT(C364)-'01_Ficha_Dosis'!$C$14)/7)+1)</f>
        <v/>
      </c>
      <c r="J364" s="12" t="str">
        <f t="shared" si="2"/>
        <v/>
      </c>
      <c r="K364" s="12" t="str">
        <f>IF(J364="","",IF(AND(G364="OK",J364&gt;='01_Ficha_Dosis'!$C$23,F364&gt;='01_Ficha_Dosis'!$C$24,H364&gt;='01_Ficha_Dosis'!$C$14,H364&lt;='01_Ficha_Dosis'!$C$15),1,0))</f>
        <v/>
      </c>
      <c r="L364" s="12">
        <f t="shared" si="3"/>
        <v>0</v>
      </c>
    </row>
    <row r="365" ht="15.75" customHeight="1">
      <c r="A365" s="14"/>
      <c r="B365" s="14"/>
      <c r="C365" s="23"/>
      <c r="D365" s="23"/>
      <c r="E365" s="14"/>
      <c r="F365" s="14"/>
      <c r="G365" s="14"/>
      <c r="H365" s="24" t="str">
        <f t="shared" si="1"/>
        <v/>
      </c>
      <c r="I365" s="12" t="str">
        <f>IF(C365="","",INT((INT(C365)-'01_Ficha_Dosis'!$C$14)/7)+1)</f>
        <v/>
      </c>
      <c r="J365" s="12" t="str">
        <f t="shared" si="2"/>
        <v/>
      </c>
      <c r="K365" s="12" t="str">
        <f>IF(J365="","",IF(AND(G365="OK",J365&gt;='01_Ficha_Dosis'!$C$23,F365&gt;='01_Ficha_Dosis'!$C$24,H365&gt;='01_Ficha_Dosis'!$C$14,H365&lt;='01_Ficha_Dosis'!$C$15),1,0))</f>
        <v/>
      </c>
      <c r="L365" s="12">
        <f t="shared" si="3"/>
        <v>0</v>
      </c>
    </row>
    <row r="366" ht="15.75" customHeight="1">
      <c r="A366" s="14"/>
      <c r="B366" s="14"/>
      <c r="C366" s="23"/>
      <c r="D366" s="23"/>
      <c r="E366" s="14"/>
      <c r="F366" s="14"/>
      <c r="G366" s="14"/>
      <c r="H366" s="24" t="str">
        <f t="shared" si="1"/>
        <v/>
      </c>
      <c r="I366" s="12" t="str">
        <f>IF(C366="","",INT((INT(C366)-'01_Ficha_Dosis'!$C$14)/7)+1)</f>
        <v/>
      </c>
      <c r="J366" s="12" t="str">
        <f t="shared" si="2"/>
        <v/>
      </c>
      <c r="K366" s="12" t="str">
        <f>IF(J366="","",IF(AND(G366="OK",J366&gt;='01_Ficha_Dosis'!$C$23,F366&gt;='01_Ficha_Dosis'!$C$24,H366&gt;='01_Ficha_Dosis'!$C$14,H366&lt;='01_Ficha_Dosis'!$C$15),1,0))</f>
        <v/>
      </c>
      <c r="L366" s="12">
        <f t="shared" si="3"/>
        <v>0</v>
      </c>
    </row>
    <row r="367" ht="15.75" customHeight="1">
      <c r="A367" s="14"/>
      <c r="B367" s="14"/>
      <c r="C367" s="23"/>
      <c r="D367" s="23"/>
      <c r="E367" s="14"/>
      <c r="F367" s="14"/>
      <c r="G367" s="14"/>
      <c r="H367" s="24" t="str">
        <f t="shared" si="1"/>
        <v/>
      </c>
      <c r="I367" s="12" t="str">
        <f>IF(C367="","",INT((INT(C367)-'01_Ficha_Dosis'!$C$14)/7)+1)</f>
        <v/>
      </c>
      <c r="J367" s="12" t="str">
        <f t="shared" si="2"/>
        <v/>
      </c>
      <c r="K367" s="12" t="str">
        <f>IF(J367="","",IF(AND(G367="OK",J367&gt;='01_Ficha_Dosis'!$C$23,F367&gt;='01_Ficha_Dosis'!$C$24,H367&gt;='01_Ficha_Dosis'!$C$14,H367&lt;='01_Ficha_Dosis'!$C$15),1,0))</f>
        <v/>
      </c>
      <c r="L367" s="12">
        <f t="shared" si="3"/>
        <v>0</v>
      </c>
    </row>
    <row r="368" ht="15.75" customHeight="1">
      <c r="A368" s="14"/>
      <c r="B368" s="14"/>
      <c r="C368" s="23"/>
      <c r="D368" s="23"/>
      <c r="E368" s="14"/>
      <c r="F368" s="14"/>
      <c r="G368" s="14"/>
      <c r="H368" s="24" t="str">
        <f t="shared" si="1"/>
        <v/>
      </c>
      <c r="I368" s="12" t="str">
        <f>IF(C368="","",INT((INT(C368)-'01_Ficha_Dosis'!$C$14)/7)+1)</f>
        <v/>
      </c>
      <c r="J368" s="12" t="str">
        <f t="shared" si="2"/>
        <v/>
      </c>
      <c r="K368" s="12" t="str">
        <f>IF(J368="","",IF(AND(G368="OK",J368&gt;='01_Ficha_Dosis'!$C$23,F368&gt;='01_Ficha_Dosis'!$C$24,H368&gt;='01_Ficha_Dosis'!$C$14,H368&lt;='01_Ficha_Dosis'!$C$15),1,0))</f>
        <v/>
      </c>
      <c r="L368" s="12">
        <f t="shared" si="3"/>
        <v>0</v>
      </c>
    </row>
    <row r="369" ht="15.75" customHeight="1">
      <c r="A369" s="14"/>
      <c r="B369" s="14"/>
      <c r="C369" s="23"/>
      <c r="D369" s="23"/>
      <c r="E369" s="14"/>
      <c r="F369" s="14"/>
      <c r="G369" s="14"/>
      <c r="H369" s="24" t="str">
        <f t="shared" si="1"/>
        <v/>
      </c>
      <c r="I369" s="12" t="str">
        <f>IF(C369="","",INT((INT(C369)-'01_Ficha_Dosis'!$C$14)/7)+1)</f>
        <v/>
      </c>
      <c r="J369" s="12" t="str">
        <f t="shared" si="2"/>
        <v/>
      </c>
      <c r="K369" s="12" t="str">
        <f>IF(J369="","",IF(AND(G369="OK",J369&gt;='01_Ficha_Dosis'!$C$23,F369&gt;='01_Ficha_Dosis'!$C$24,H369&gt;='01_Ficha_Dosis'!$C$14,H369&lt;='01_Ficha_Dosis'!$C$15),1,0))</f>
        <v/>
      </c>
      <c r="L369" s="12">
        <f t="shared" si="3"/>
        <v>0</v>
      </c>
    </row>
    <row r="370" ht="15.75" customHeight="1">
      <c r="A370" s="14"/>
      <c r="B370" s="14"/>
      <c r="C370" s="23"/>
      <c r="D370" s="23"/>
      <c r="E370" s="14"/>
      <c r="F370" s="14"/>
      <c r="G370" s="14"/>
      <c r="H370" s="24" t="str">
        <f t="shared" si="1"/>
        <v/>
      </c>
      <c r="I370" s="12" t="str">
        <f>IF(C370="","",INT((INT(C370)-'01_Ficha_Dosis'!$C$14)/7)+1)</f>
        <v/>
      </c>
      <c r="J370" s="12" t="str">
        <f t="shared" si="2"/>
        <v/>
      </c>
      <c r="K370" s="12" t="str">
        <f>IF(J370="","",IF(AND(G370="OK",J370&gt;='01_Ficha_Dosis'!$C$23,F370&gt;='01_Ficha_Dosis'!$C$24,H370&gt;='01_Ficha_Dosis'!$C$14,H370&lt;='01_Ficha_Dosis'!$C$15),1,0))</f>
        <v/>
      </c>
      <c r="L370" s="12">
        <f t="shared" si="3"/>
        <v>0</v>
      </c>
    </row>
    <row r="371" ht="15.75" customHeight="1">
      <c r="A371" s="14"/>
      <c r="B371" s="14"/>
      <c r="C371" s="23"/>
      <c r="D371" s="23"/>
      <c r="E371" s="14"/>
      <c r="F371" s="14"/>
      <c r="G371" s="14"/>
      <c r="H371" s="24" t="str">
        <f t="shared" si="1"/>
        <v/>
      </c>
      <c r="I371" s="12" t="str">
        <f>IF(C371="","",INT((INT(C371)-'01_Ficha_Dosis'!$C$14)/7)+1)</f>
        <v/>
      </c>
      <c r="J371" s="12" t="str">
        <f t="shared" si="2"/>
        <v/>
      </c>
      <c r="K371" s="12" t="str">
        <f>IF(J371="","",IF(AND(G371="OK",J371&gt;='01_Ficha_Dosis'!$C$23,F371&gt;='01_Ficha_Dosis'!$C$24,H371&gt;='01_Ficha_Dosis'!$C$14,H371&lt;='01_Ficha_Dosis'!$C$15),1,0))</f>
        <v/>
      </c>
      <c r="L371" s="12">
        <f t="shared" si="3"/>
        <v>0</v>
      </c>
    </row>
    <row r="372" ht="15.75" customHeight="1">
      <c r="A372" s="14"/>
      <c r="B372" s="14"/>
      <c r="C372" s="23"/>
      <c r="D372" s="23"/>
      <c r="E372" s="14"/>
      <c r="F372" s="14"/>
      <c r="G372" s="14"/>
      <c r="H372" s="24" t="str">
        <f t="shared" si="1"/>
        <v/>
      </c>
      <c r="I372" s="12" t="str">
        <f>IF(C372="","",INT((INT(C372)-'01_Ficha_Dosis'!$C$14)/7)+1)</f>
        <v/>
      </c>
      <c r="J372" s="12" t="str">
        <f t="shared" si="2"/>
        <v/>
      </c>
      <c r="K372" s="12" t="str">
        <f>IF(J372="","",IF(AND(G372="OK",J372&gt;='01_Ficha_Dosis'!$C$23,F372&gt;='01_Ficha_Dosis'!$C$24,H372&gt;='01_Ficha_Dosis'!$C$14,H372&lt;='01_Ficha_Dosis'!$C$15),1,0))</f>
        <v/>
      </c>
      <c r="L372" s="12">
        <f t="shared" si="3"/>
        <v>0</v>
      </c>
    </row>
    <row r="373" ht="15.75" customHeight="1">
      <c r="A373" s="14"/>
      <c r="B373" s="14"/>
      <c r="C373" s="23"/>
      <c r="D373" s="23"/>
      <c r="E373" s="14"/>
      <c r="F373" s="14"/>
      <c r="G373" s="14"/>
      <c r="H373" s="24" t="str">
        <f t="shared" si="1"/>
        <v/>
      </c>
      <c r="I373" s="12" t="str">
        <f>IF(C373="","",INT((INT(C373)-'01_Ficha_Dosis'!$C$14)/7)+1)</f>
        <v/>
      </c>
      <c r="J373" s="12" t="str">
        <f t="shared" si="2"/>
        <v/>
      </c>
      <c r="K373" s="12" t="str">
        <f>IF(J373="","",IF(AND(G373="OK",J373&gt;='01_Ficha_Dosis'!$C$23,F373&gt;='01_Ficha_Dosis'!$C$24,H373&gt;='01_Ficha_Dosis'!$C$14,H373&lt;='01_Ficha_Dosis'!$C$15),1,0))</f>
        <v/>
      </c>
      <c r="L373" s="12">
        <f t="shared" si="3"/>
        <v>0</v>
      </c>
    </row>
    <row r="374" ht="15.75" customHeight="1">
      <c r="A374" s="14"/>
      <c r="B374" s="14"/>
      <c r="C374" s="23"/>
      <c r="D374" s="23"/>
      <c r="E374" s="14"/>
      <c r="F374" s="14"/>
      <c r="G374" s="14"/>
      <c r="H374" s="24" t="str">
        <f t="shared" si="1"/>
        <v/>
      </c>
      <c r="I374" s="12" t="str">
        <f>IF(C374="","",INT((INT(C374)-'01_Ficha_Dosis'!$C$14)/7)+1)</f>
        <v/>
      </c>
      <c r="J374" s="12" t="str">
        <f t="shared" si="2"/>
        <v/>
      </c>
      <c r="K374" s="12" t="str">
        <f>IF(J374="","",IF(AND(G374="OK",J374&gt;='01_Ficha_Dosis'!$C$23,F374&gt;='01_Ficha_Dosis'!$C$24,H374&gt;='01_Ficha_Dosis'!$C$14,H374&lt;='01_Ficha_Dosis'!$C$15),1,0))</f>
        <v/>
      </c>
      <c r="L374" s="12">
        <f t="shared" si="3"/>
        <v>0</v>
      </c>
    </row>
    <row r="375" ht="15.75" customHeight="1">
      <c r="A375" s="14"/>
      <c r="B375" s="14"/>
      <c r="C375" s="23"/>
      <c r="D375" s="23"/>
      <c r="E375" s="14"/>
      <c r="F375" s="14"/>
      <c r="G375" s="14"/>
      <c r="H375" s="24" t="str">
        <f t="shared" si="1"/>
        <v/>
      </c>
      <c r="I375" s="12" t="str">
        <f>IF(C375="","",INT((INT(C375)-'01_Ficha_Dosis'!$C$14)/7)+1)</f>
        <v/>
      </c>
      <c r="J375" s="12" t="str">
        <f t="shared" si="2"/>
        <v/>
      </c>
      <c r="K375" s="12" t="str">
        <f>IF(J375="","",IF(AND(G375="OK",J375&gt;='01_Ficha_Dosis'!$C$23,F375&gt;='01_Ficha_Dosis'!$C$24,H375&gt;='01_Ficha_Dosis'!$C$14,H375&lt;='01_Ficha_Dosis'!$C$15),1,0))</f>
        <v/>
      </c>
      <c r="L375" s="12">
        <f t="shared" si="3"/>
        <v>0</v>
      </c>
    </row>
    <row r="376" ht="15.75" customHeight="1">
      <c r="A376" s="14"/>
      <c r="B376" s="14"/>
      <c r="C376" s="23"/>
      <c r="D376" s="23"/>
      <c r="E376" s="14"/>
      <c r="F376" s="14"/>
      <c r="G376" s="14"/>
      <c r="H376" s="24" t="str">
        <f t="shared" si="1"/>
        <v/>
      </c>
      <c r="I376" s="12" t="str">
        <f>IF(C376="","",INT((INT(C376)-'01_Ficha_Dosis'!$C$14)/7)+1)</f>
        <v/>
      </c>
      <c r="J376" s="12" t="str">
        <f t="shared" si="2"/>
        <v/>
      </c>
      <c r="K376" s="12" t="str">
        <f>IF(J376="","",IF(AND(G376="OK",J376&gt;='01_Ficha_Dosis'!$C$23,F376&gt;='01_Ficha_Dosis'!$C$24,H376&gt;='01_Ficha_Dosis'!$C$14,H376&lt;='01_Ficha_Dosis'!$C$15),1,0))</f>
        <v/>
      </c>
      <c r="L376" s="12">
        <f t="shared" si="3"/>
        <v>0</v>
      </c>
    </row>
    <row r="377" ht="15.75" customHeight="1">
      <c r="A377" s="14"/>
      <c r="B377" s="14"/>
      <c r="C377" s="23"/>
      <c r="D377" s="23"/>
      <c r="E377" s="14"/>
      <c r="F377" s="14"/>
      <c r="G377" s="14"/>
      <c r="H377" s="24" t="str">
        <f t="shared" si="1"/>
        <v/>
      </c>
      <c r="I377" s="12" t="str">
        <f>IF(C377="","",INT((INT(C377)-'01_Ficha_Dosis'!$C$14)/7)+1)</f>
        <v/>
      </c>
      <c r="J377" s="12" t="str">
        <f t="shared" si="2"/>
        <v/>
      </c>
      <c r="K377" s="12" t="str">
        <f>IF(J377="","",IF(AND(G377="OK",J377&gt;='01_Ficha_Dosis'!$C$23,F377&gt;='01_Ficha_Dosis'!$C$24,H377&gt;='01_Ficha_Dosis'!$C$14,H377&lt;='01_Ficha_Dosis'!$C$15),1,0))</f>
        <v/>
      </c>
      <c r="L377" s="12">
        <f t="shared" si="3"/>
        <v>0</v>
      </c>
    </row>
    <row r="378" ht="15.75" customHeight="1">
      <c r="A378" s="14"/>
      <c r="B378" s="14"/>
      <c r="C378" s="23"/>
      <c r="D378" s="23"/>
      <c r="E378" s="14"/>
      <c r="F378" s="14"/>
      <c r="G378" s="14"/>
      <c r="H378" s="24" t="str">
        <f t="shared" si="1"/>
        <v/>
      </c>
      <c r="I378" s="12" t="str">
        <f>IF(C378="","",INT((INT(C378)-'01_Ficha_Dosis'!$C$14)/7)+1)</f>
        <v/>
      </c>
      <c r="J378" s="12" t="str">
        <f t="shared" si="2"/>
        <v/>
      </c>
      <c r="K378" s="12" t="str">
        <f>IF(J378="","",IF(AND(G378="OK",J378&gt;='01_Ficha_Dosis'!$C$23,F378&gt;='01_Ficha_Dosis'!$C$24,H378&gt;='01_Ficha_Dosis'!$C$14,H378&lt;='01_Ficha_Dosis'!$C$15),1,0))</f>
        <v/>
      </c>
      <c r="L378" s="12">
        <f t="shared" si="3"/>
        <v>0</v>
      </c>
    </row>
    <row r="379" ht="15.75" customHeight="1">
      <c r="A379" s="14"/>
      <c r="B379" s="14"/>
      <c r="C379" s="23"/>
      <c r="D379" s="23"/>
      <c r="E379" s="14"/>
      <c r="F379" s="14"/>
      <c r="G379" s="14"/>
      <c r="H379" s="24" t="str">
        <f t="shared" si="1"/>
        <v/>
      </c>
      <c r="I379" s="12" t="str">
        <f>IF(C379="","",INT((INT(C379)-'01_Ficha_Dosis'!$C$14)/7)+1)</f>
        <v/>
      </c>
      <c r="J379" s="12" t="str">
        <f t="shared" si="2"/>
        <v/>
      </c>
      <c r="K379" s="12" t="str">
        <f>IF(J379="","",IF(AND(G379="OK",J379&gt;='01_Ficha_Dosis'!$C$23,F379&gt;='01_Ficha_Dosis'!$C$24,H379&gt;='01_Ficha_Dosis'!$C$14,H379&lt;='01_Ficha_Dosis'!$C$15),1,0))</f>
        <v/>
      </c>
      <c r="L379" s="12">
        <f t="shared" si="3"/>
        <v>0</v>
      </c>
    </row>
    <row r="380" ht="15.75" customHeight="1">
      <c r="A380" s="14"/>
      <c r="B380" s="14"/>
      <c r="C380" s="23"/>
      <c r="D380" s="23"/>
      <c r="E380" s="14"/>
      <c r="F380" s="14"/>
      <c r="G380" s="14"/>
      <c r="H380" s="24" t="str">
        <f t="shared" si="1"/>
        <v/>
      </c>
      <c r="I380" s="12" t="str">
        <f>IF(C380="","",INT((INT(C380)-'01_Ficha_Dosis'!$C$14)/7)+1)</f>
        <v/>
      </c>
      <c r="J380" s="12" t="str">
        <f t="shared" si="2"/>
        <v/>
      </c>
      <c r="K380" s="12" t="str">
        <f>IF(J380="","",IF(AND(G380="OK",J380&gt;='01_Ficha_Dosis'!$C$23,F380&gt;='01_Ficha_Dosis'!$C$24,H380&gt;='01_Ficha_Dosis'!$C$14,H380&lt;='01_Ficha_Dosis'!$C$15),1,0))</f>
        <v/>
      </c>
      <c r="L380" s="12">
        <f t="shared" si="3"/>
        <v>0</v>
      </c>
    </row>
    <row r="381" ht="15.75" customHeight="1">
      <c r="A381" s="14"/>
      <c r="B381" s="14"/>
      <c r="C381" s="23"/>
      <c r="D381" s="23"/>
      <c r="E381" s="14"/>
      <c r="F381" s="14"/>
      <c r="G381" s="14"/>
      <c r="H381" s="24" t="str">
        <f t="shared" si="1"/>
        <v/>
      </c>
      <c r="I381" s="12" t="str">
        <f>IF(C381="","",INT((INT(C381)-'01_Ficha_Dosis'!$C$14)/7)+1)</f>
        <v/>
      </c>
      <c r="J381" s="12" t="str">
        <f t="shared" si="2"/>
        <v/>
      </c>
      <c r="K381" s="12" t="str">
        <f>IF(J381="","",IF(AND(G381="OK",J381&gt;='01_Ficha_Dosis'!$C$23,F381&gt;='01_Ficha_Dosis'!$C$24,H381&gt;='01_Ficha_Dosis'!$C$14,H381&lt;='01_Ficha_Dosis'!$C$15),1,0))</f>
        <v/>
      </c>
      <c r="L381" s="12">
        <f t="shared" si="3"/>
        <v>0</v>
      </c>
    </row>
    <row r="382" ht="15.75" customHeight="1">
      <c r="A382" s="14"/>
      <c r="B382" s="14"/>
      <c r="C382" s="23"/>
      <c r="D382" s="23"/>
      <c r="E382" s="14"/>
      <c r="F382" s="14"/>
      <c r="G382" s="14"/>
      <c r="H382" s="24" t="str">
        <f t="shared" si="1"/>
        <v/>
      </c>
      <c r="I382" s="12" t="str">
        <f>IF(C382="","",INT((INT(C382)-'01_Ficha_Dosis'!$C$14)/7)+1)</f>
        <v/>
      </c>
      <c r="J382" s="12" t="str">
        <f t="shared" si="2"/>
        <v/>
      </c>
      <c r="K382" s="12" t="str">
        <f>IF(J382="","",IF(AND(G382="OK",J382&gt;='01_Ficha_Dosis'!$C$23,F382&gt;='01_Ficha_Dosis'!$C$24,H382&gt;='01_Ficha_Dosis'!$C$14,H382&lt;='01_Ficha_Dosis'!$C$15),1,0))</f>
        <v/>
      </c>
      <c r="L382" s="12">
        <f t="shared" si="3"/>
        <v>0</v>
      </c>
    </row>
    <row r="383" ht="15.75" customHeight="1">
      <c r="A383" s="14"/>
      <c r="B383" s="14"/>
      <c r="C383" s="23"/>
      <c r="D383" s="23"/>
      <c r="E383" s="14"/>
      <c r="F383" s="14"/>
      <c r="G383" s="14"/>
      <c r="H383" s="24" t="str">
        <f t="shared" si="1"/>
        <v/>
      </c>
      <c r="I383" s="12" t="str">
        <f>IF(C383="","",INT((INT(C383)-'01_Ficha_Dosis'!$C$14)/7)+1)</f>
        <v/>
      </c>
      <c r="J383" s="12" t="str">
        <f t="shared" si="2"/>
        <v/>
      </c>
      <c r="K383" s="12" t="str">
        <f>IF(J383="","",IF(AND(G383="OK",J383&gt;='01_Ficha_Dosis'!$C$23,F383&gt;='01_Ficha_Dosis'!$C$24,H383&gt;='01_Ficha_Dosis'!$C$14,H383&lt;='01_Ficha_Dosis'!$C$15),1,0))</f>
        <v/>
      </c>
      <c r="L383" s="12">
        <f t="shared" si="3"/>
        <v>0</v>
      </c>
    </row>
    <row r="384" ht="15.75" customHeight="1">
      <c r="A384" s="14"/>
      <c r="B384" s="14"/>
      <c r="C384" s="23"/>
      <c r="D384" s="23"/>
      <c r="E384" s="14"/>
      <c r="F384" s="14"/>
      <c r="G384" s="14"/>
      <c r="H384" s="24" t="str">
        <f t="shared" si="1"/>
        <v/>
      </c>
      <c r="I384" s="12" t="str">
        <f>IF(C384="","",INT((INT(C384)-'01_Ficha_Dosis'!$C$14)/7)+1)</f>
        <v/>
      </c>
      <c r="J384" s="12" t="str">
        <f t="shared" si="2"/>
        <v/>
      </c>
      <c r="K384" s="12" t="str">
        <f>IF(J384="","",IF(AND(G384="OK",J384&gt;='01_Ficha_Dosis'!$C$23,F384&gt;='01_Ficha_Dosis'!$C$24,H384&gt;='01_Ficha_Dosis'!$C$14,H384&lt;='01_Ficha_Dosis'!$C$15),1,0))</f>
        <v/>
      </c>
      <c r="L384" s="12">
        <f t="shared" si="3"/>
        <v>0</v>
      </c>
    </row>
    <row r="385" ht="15.75" customHeight="1">
      <c r="A385" s="14"/>
      <c r="B385" s="14"/>
      <c r="C385" s="23"/>
      <c r="D385" s="23"/>
      <c r="E385" s="14"/>
      <c r="F385" s="14"/>
      <c r="G385" s="14"/>
      <c r="H385" s="24" t="str">
        <f t="shared" si="1"/>
        <v/>
      </c>
      <c r="I385" s="12" t="str">
        <f>IF(C385="","",INT((INT(C385)-'01_Ficha_Dosis'!$C$14)/7)+1)</f>
        <v/>
      </c>
      <c r="J385" s="12" t="str">
        <f t="shared" si="2"/>
        <v/>
      </c>
      <c r="K385" s="12" t="str">
        <f>IF(J385="","",IF(AND(G385="OK",J385&gt;='01_Ficha_Dosis'!$C$23,F385&gt;='01_Ficha_Dosis'!$C$24,H385&gt;='01_Ficha_Dosis'!$C$14,H385&lt;='01_Ficha_Dosis'!$C$15),1,0))</f>
        <v/>
      </c>
      <c r="L385" s="12">
        <f t="shared" si="3"/>
        <v>0</v>
      </c>
    </row>
    <row r="386" ht="15.75" customHeight="1">
      <c r="A386" s="14"/>
      <c r="B386" s="14"/>
      <c r="C386" s="23"/>
      <c r="D386" s="23"/>
      <c r="E386" s="14"/>
      <c r="F386" s="14"/>
      <c r="G386" s="14"/>
      <c r="H386" s="24" t="str">
        <f t="shared" si="1"/>
        <v/>
      </c>
      <c r="I386" s="12" t="str">
        <f>IF(C386="","",INT((INT(C386)-'01_Ficha_Dosis'!$C$14)/7)+1)</f>
        <v/>
      </c>
      <c r="J386" s="12" t="str">
        <f t="shared" si="2"/>
        <v/>
      </c>
      <c r="K386" s="12" t="str">
        <f>IF(J386="","",IF(AND(G386="OK",J386&gt;='01_Ficha_Dosis'!$C$23,F386&gt;='01_Ficha_Dosis'!$C$24,H386&gt;='01_Ficha_Dosis'!$C$14,H386&lt;='01_Ficha_Dosis'!$C$15),1,0))</f>
        <v/>
      </c>
      <c r="L386" s="12">
        <f t="shared" si="3"/>
        <v>0</v>
      </c>
    </row>
    <row r="387" ht="15.75" customHeight="1">
      <c r="A387" s="14"/>
      <c r="B387" s="14"/>
      <c r="C387" s="23"/>
      <c r="D387" s="23"/>
      <c r="E387" s="14"/>
      <c r="F387" s="14"/>
      <c r="G387" s="14"/>
      <c r="H387" s="24" t="str">
        <f t="shared" si="1"/>
        <v/>
      </c>
      <c r="I387" s="12" t="str">
        <f>IF(C387="","",INT((INT(C387)-'01_Ficha_Dosis'!$C$14)/7)+1)</f>
        <v/>
      </c>
      <c r="J387" s="12" t="str">
        <f t="shared" si="2"/>
        <v/>
      </c>
      <c r="K387" s="12" t="str">
        <f>IF(J387="","",IF(AND(G387="OK",J387&gt;='01_Ficha_Dosis'!$C$23,F387&gt;='01_Ficha_Dosis'!$C$24,H387&gt;='01_Ficha_Dosis'!$C$14,H387&lt;='01_Ficha_Dosis'!$C$15),1,0))</f>
        <v/>
      </c>
      <c r="L387" s="12">
        <f t="shared" si="3"/>
        <v>0</v>
      </c>
    </row>
    <row r="388" ht="15.75" customHeight="1">
      <c r="A388" s="14"/>
      <c r="B388" s="14"/>
      <c r="C388" s="23"/>
      <c r="D388" s="23"/>
      <c r="E388" s="14"/>
      <c r="F388" s="14"/>
      <c r="G388" s="14"/>
      <c r="H388" s="24" t="str">
        <f t="shared" si="1"/>
        <v/>
      </c>
      <c r="I388" s="12" t="str">
        <f>IF(C388="","",INT((INT(C388)-'01_Ficha_Dosis'!$C$14)/7)+1)</f>
        <v/>
      </c>
      <c r="J388" s="12" t="str">
        <f t="shared" si="2"/>
        <v/>
      </c>
      <c r="K388" s="12" t="str">
        <f>IF(J388="","",IF(AND(G388="OK",J388&gt;='01_Ficha_Dosis'!$C$23,F388&gt;='01_Ficha_Dosis'!$C$24,H388&gt;='01_Ficha_Dosis'!$C$14,H388&lt;='01_Ficha_Dosis'!$C$15),1,0))</f>
        <v/>
      </c>
      <c r="L388" s="12">
        <f t="shared" si="3"/>
        <v>0</v>
      </c>
    </row>
    <row r="389" ht="15.75" customHeight="1">
      <c r="A389" s="14"/>
      <c r="B389" s="14"/>
      <c r="C389" s="23"/>
      <c r="D389" s="23"/>
      <c r="E389" s="14"/>
      <c r="F389" s="14"/>
      <c r="G389" s="14"/>
      <c r="H389" s="24" t="str">
        <f t="shared" si="1"/>
        <v/>
      </c>
      <c r="I389" s="12" t="str">
        <f>IF(C389="","",INT((INT(C389)-'01_Ficha_Dosis'!$C$14)/7)+1)</f>
        <v/>
      </c>
      <c r="J389" s="12" t="str">
        <f t="shared" si="2"/>
        <v/>
      </c>
      <c r="K389" s="12" t="str">
        <f>IF(J389="","",IF(AND(G389="OK",J389&gt;='01_Ficha_Dosis'!$C$23,F389&gt;='01_Ficha_Dosis'!$C$24,H389&gt;='01_Ficha_Dosis'!$C$14,H389&lt;='01_Ficha_Dosis'!$C$15),1,0))</f>
        <v/>
      </c>
      <c r="L389" s="12">
        <f t="shared" si="3"/>
        <v>0</v>
      </c>
    </row>
    <row r="390" ht="15.75" customHeight="1">
      <c r="A390" s="14"/>
      <c r="B390" s="14"/>
      <c r="C390" s="23"/>
      <c r="D390" s="23"/>
      <c r="E390" s="14"/>
      <c r="F390" s="14"/>
      <c r="G390" s="14"/>
      <c r="H390" s="24" t="str">
        <f t="shared" si="1"/>
        <v/>
      </c>
      <c r="I390" s="12" t="str">
        <f>IF(C390="","",INT((INT(C390)-'01_Ficha_Dosis'!$C$14)/7)+1)</f>
        <v/>
      </c>
      <c r="J390" s="12" t="str">
        <f t="shared" si="2"/>
        <v/>
      </c>
      <c r="K390" s="12" t="str">
        <f>IF(J390="","",IF(AND(G390="OK",J390&gt;='01_Ficha_Dosis'!$C$23,F390&gt;='01_Ficha_Dosis'!$C$24,H390&gt;='01_Ficha_Dosis'!$C$14,H390&lt;='01_Ficha_Dosis'!$C$15),1,0))</f>
        <v/>
      </c>
      <c r="L390" s="12">
        <f t="shared" si="3"/>
        <v>0</v>
      </c>
    </row>
    <row r="391" ht="15.75" customHeight="1">
      <c r="A391" s="14"/>
      <c r="B391" s="14"/>
      <c r="C391" s="23"/>
      <c r="D391" s="23"/>
      <c r="E391" s="14"/>
      <c r="F391" s="14"/>
      <c r="G391" s="14"/>
      <c r="H391" s="24" t="str">
        <f t="shared" si="1"/>
        <v/>
      </c>
      <c r="I391" s="12" t="str">
        <f>IF(C391="","",INT((INT(C391)-'01_Ficha_Dosis'!$C$14)/7)+1)</f>
        <v/>
      </c>
      <c r="J391" s="12" t="str">
        <f t="shared" si="2"/>
        <v/>
      </c>
      <c r="K391" s="12" t="str">
        <f>IF(J391="","",IF(AND(G391="OK",J391&gt;='01_Ficha_Dosis'!$C$23,F391&gt;='01_Ficha_Dosis'!$C$24,H391&gt;='01_Ficha_Dosis'!$C$14,H391&lt;='01_Ficha_Dosis'!$C$15),1,0))</f>
        <v/>
      </c>
      <c r="L391" s="12">
        <f t="shared" si="3"/>
        <v>0</v>
      </c>
    </row>
    <row r="392" ht="15.75" customHeight="1">
      <c r="A392" s="14"/>
      <c r="B392" s="14"/>
      <c r="C392" s="23"/>
      <c r="D392" s="23"/>
      <c r="E392" s="14"/>
      <c r="F392" s="14"/>
      <c r="G392" s="14"/>
      <c r="H392" s="24" t="str">
        <f t="shared" si="1"/>
        <v/>
      </c>
      <c r="I392" s="12" t="str">
        <f>IF(C392="","",INT((INT(C392)-'01_Ficha_Dosis'!$C$14)/7)+1)</f>
        <v/>
      </c>
      <c r="J392" s="12" t="str">
        <f t="shared" si="2"/>
        <v/>
      </c>
      <c r="K392" s="12" t="str">
        <f>IF(J392="","",IF(AND(G392="OK",J392&gt;='01_Ficha_Dosis'!$C$23,F392&gt;='01_Ficha_Dosis'!$C$24,H392&gt;='01_Ficha_Dosis'!$C$14,H392&lt;='01_Ficha_Dosis'!$C$15),1,0))</f>
        <v/>
      </c>
      <c r="L392" s="12">
        <f t="shared" si="3"/>
        <v>0</v>
      </c>
    </row>
    <row r="393" ht="15.75" customHeight="1">
      <c r="A393" s="14"/>
      <c r="B393" s="14"/>
      <c r="C393" s="23"/>
      <c r="D393" s="23"/>
      <c r="E393" s="14"/>
      <c r="F393" s="14"/>
      <c r="G393" s="14"/>
      <c r="H393" s="24" t="str">
        <f t="shared" si="1"/>
        <v/>
      </c>
      <c r="I393" s="12" t="str">
        <f>IF(C393="","",INT((INT(C393)-'01_Ficha_Dosis'!$C$14)/7)+1)</f>
        <v/>
      </c>
      <c r="J393" s="12" t="str">
        <f t="shared" si="2"/>
        <v/>
      </c>
      <c r="K393" s="12" t="str">
        <f>IF(J393="","",IF(AND(G393="OK",J393&gt;='01_Ficha_Dosis'!$C$23,F393&gt;='01_Ficha_Dosis'!$C$24,H393&gt;='01_Ficha_Dosis'!$C$14,H393&lt;='01_Ficha_Dosis'!$C$15),1,0))</f>
        <v/>
      </c>
      <c r="L393" s="12">
        <f t="shared" si="3"/>
        <v>0</v>
      </c>
    </row>
    <row r="394" ht="15.75" customHeight="1">
      <c r="A394" s="14"/>
      <c r="B394" s="14"/>
      <c r="C394" s="23"/>
      <c r="D394" s="23"/>
      <c r="E394" s="14"/>
      <c r="F394" s="14"/>
      <c r="G394" s="14"/>
      <c r="H394" s="24" t="str">
        <f t="shared" si="1"/>
        <v/>
      </c>
      <c r="I394" s="12" t="str">
        <f>IF(C394="","",INT((INT(C394)-'01_Ficha_Dosis'!$C$14)/7)+1)</f>
        <v/>
      </c>
      <c r="J394" s="12" t="str">
        <f t="shared" si="2"/>
        <v/>
      </c>
      <c r="K394" s="12" t="str">
        <f>IF(J394="","",IF(AND(G394="OK",J394&gt;='01_Ficha_Dosis'!$C$23,F394&gt;='01_Ficha_Dosis'!$C$24,H394&gt;='01_Ficha_Dosis'!$C$14,H394&lt;='01_Ficha_Dosis'!$C$15),1,0))</f>
        <v/>
      </c>
      <c r="L394" s="12">
        <f t="shared" si="3"/>
        <v>0</v>
      </c>
    </row>
    <row r="395" ht="15.75" customHeight="1">
      <c r="A395" s="14"/>
      <c r="B395" s="14"/>
      <c r="C395" s="23"/>
      <c r="D395" s="23"/>
      <c r="E395" s="14"/>
      <c r="F395" s="14"/>
      <c r="G395" s="14"/>
      <c r="H395" s="24" t="str">
        <f t="shared" si="1"/>
        <v/>
      </c>
      <c r="I395" s="12" t="str">
        <f>IF(C395="","",INT((INT(C395)-'01_Ficha_Dosis'!$C$14)/7)+1)</f>
        <v/>
      </c>
      <c r="J395" s="12" t="str">
        <f t="shared" si="2"/>
        <v/>
      </c>
      <c r="K395" s="12" t="str">
        <f>IF(J395="","",IF(AND(G395="OK",J395&gt;='01_Ficha_Dosis'!$C$23,F395&gt;='01_Ficha_Dosis'!$C$24,H395&gt;='01_Ficha_Dosis'!$C$14,H395&lt;='01_Ficha_Dosis'!$C$15),1,0))</f>
        <v/>
      </c>
      <c r="L395" s="12">
        <f t="shared" si="3"/>
        <v>0</v>
      </c>
    </row>
    <row r="396" ht="15.75" customHeight="1">
      <c r="A396" s="14"/>
      <c r="B396" s="14"/>
      <c r="C396" s="23"/>
      <c r="D396" s="23"/>
      <c r="E396" s="14"/>
      <c r="F396" s="14"/>
      <c r="G396" s="14"/>
      <c r="H396" s="24" t="str">
        <f t="shared" si="1"/>
        <v/>
      </c>
      <c r="I396" s="12" t="str">
        <f>IF(C396="","",INT((INT(C396)-'01_Ficha_Dosis'!$C$14)/7)+1)</f>
        <v/>
      </c>
      <c r="J396" s="12" t="str">
        <f t="shared" si="2"/>
        <v/>
      </c>
      <c r="K396" s="12" t="str">
        <f>IF(J396="","",IF(AND(G396="OK",J396&gt;='01_Ficha_Dosis'!$C$23,F396&gt;='01_Ficha_Dosis'!$C$24,H396&gt;='01_Ficha_Dosis'!$C$14,H396&lt;='01_Ficha_Dosis'!$C$15),1,0))</f>
        <v/>
      </c>
      <c r="L396" s="12">
        <f t="shared" si="3"/>
        <v>0</v>
      </c>
    </row>
    <row r="397" ht="15.75" customHeight="1">
      <c r="A397" s="14"/>
      <c r="B397" s="14"/>
      <c r="C397" s="23"/>
      <c r="D397" s="23"/>
      <c r="E397" s="14"/>
      <c r="F397" s="14"/>
      <c r="G397" s="14"/>
      <c r="H397" s="24" t="str">
        <f t="shared" si="1"/>
        <v/>
      </c>
      <c r="I397" s="12" t="str">
        <f>IF(C397="","",INT((INT(C397)-'01_Ficha_Dosis'!$C$14)/7)+1)</f>
        <v/>
      </c>
      <c r="J397" s="12" t="str">
        <f t="shared" si="2"/>
        <v/>
      </c>
      <c r="K397" s="12" t="str">
        <f>IF(J397="","",IF(AND(G397="OK",J397&gt;='01_Ficha_Dosis'!$C$23,F397&gt;='01_Ficha_Dosis'!$C$24,H397&gt;='01_Ficha_Dosis'!$C$14,H397&lt;='01_Ficha_Dosis'!$C$15),1,0))</f>
        <v/>
      </c>
      <c r="L397" s="12">
        <f t="shared" si="3"/>
        <v>0</v>
      </c>
    </row>
    <row r="398" ht="15.75" customHeight="1">
      <c r="A398" s="14"/>
      <c r="B398" s="14"/>
      <c r="C398" s="23"/>
      <c r="D398" s="23"/>
      <c r="E398" s="14"/>
      <c r="F398" s="14"/>
      <c r="G398" s="14"/>
      <c r="H398" s="24" t="str">
        <f t="shared" si="1"/>
        <v/>
      </c>
      <c r="I398" s="12" t="str">
        <f>IF(C398="","",INT((INT(C398)-'01_Ficha_Dosis'!$C$14)/7)+1)</f>
        <v/>
      </c>
      <c r="J398" s="12" t="str">
        <f t="shared" si="2"/>
        <v/>
      </c>
      <c r="K398" s="12" t="str">
        <f>IF(J398="","",IF(AND(G398="OK",J398&gt;='01_Ficha_Dosis'!$C$23,F398&gt;='01_Ficha_Dosis'!$C$24,H398&gt;='01_Ficha_Dosis'!$C$14,H398&lt;='01_Ficha_Dosis'!$C$15),1,0))</f>
        <v/>
      </c>
      <c r="L398" s="12">
        <f t="shared" si="3"/>
        <v>0</v>
      </c>
    </row>
    <row r="399" ht="15.75" customHeight="1">
      <c r="A399" s="14"/>
      <c r="B399" s="14"/>
      <c r="C399" s="23"/>
      <c r="D399" s="23"/>
      <c r="E399" s="14"/>
      <c r="F399" s="14"/>
      <c r="G399" s="14"/>
      <c r="H399" s="24" t="str">
        <f t="shared" si="1"/>
        <v/>
      </c>
      <c r="I399" s="12" t="str">
        <f>IF(C399="","",INT((INT(C399)-'01_Ficha_Dosis'!$C$14)/7)+1)</f>
        <v/>
      </c>
      <c r="J399" s="12" t="str">
        <f t="shared" si="2"/>
        <v/>
      </c>
      <c r="K399" s="12" t="str">
        <f>IF(J399="","",IF(AND(G399="OK",J399&gt;='01_Ficha_Dosis'!$C$23,F399&gt;='01_Ficha_Dosis'!$C$24,H399&gt;='01_Ficha_Dosis'!$C$14,H399&lt;='01_Ficha_Dosis'!$C$15),1,0))</f>
        <v/>
      </c>
      <c r="L399" s="12">
        <f t="shared" si="3"/>
        <v>0</v>
      </c>
    </row>
    <row r="400" ht="15.75" customHeight="1">
      <c r="A400" s="14"/>
      <c r="B400" s="14"/>
      <c r="C400" s="23"/>
      <c r="D400" s="23"/>
      <c r="E400" s="14"/>
      <c r="F400" s="14"/>
      <c r="G400" s="14"/>
      <c r="H400" s="24" t="str">
        <f t="shared" si="1"/>
        <v/>
      </c>
      <c r="I400" s="12" t="str">
        <f>IF(C400="","",INT((INT(C400)-'01_Ficha_Dosis'!$C$14)/7)+1)</f>
        <v/>
      </c>
      <c r="J400" s="12" t="str">
        <f t="shared" si="2"/>
        <v/>
      </c>
      <c r="K400" s="12" t="str">
        <f>IF(J400="","",IF(AND(G400="OK",J400&gt;='01_Ficha_Dosis'!$C$23,F400&gt;='01_Ficha_Dosis'!$C$24,H400&gt;='01_Ficha_Dosis'!$C$14,H400&lt;='01_Ficha_Dosis'!$C$15),1,0))</f>
        <v/>
      </c>
      <c r="L400" s="12">
        <f t="shared" si="3"/>
        <v>0</v>
      </c>
    </row>
    <row r="401" ht="15.75" customHeight="1">
      <c r="A401" s="14"/>
      <c r="B401" s="14"/>
      <c r="C401" s="23"/>
      <c r="D401" s="23"/>
      <c r="E401" s="14"/>
      <c r="F401" s="14"/>
      <c r="G401" s="14"/>
      <c r="H401" s="24" t="str">
        <f t="shared" si="1"/>
        <v/>
      </c>
      <c r="I401" s="12" t="str">
        <f>IF(C401="","",INT((INT(C401)-'01_Ficha_Dosis'!$C$14)/7)+1)</f>
        <v/>
      </c>
      <c r="J401" s="12" t="str">
        <f t="shared" si="2"/>
        <v/>
      </c>
      <c r="K401" s="12" t="str">
        <f>IF(J401="","",IF(AND(G401="OK",J401&gt;='01_Ficha_Dosis'!$C$23,F401&gt;='01_Ficha_Dosis'!$C$24,H401&gt;='01_Ficha_Dosis'!$C$14,H401&lt;='01_Ficha_Dosis'!$C$15),1,0))</f>
        <v/>
      </c>
      <c r="L401" s="12">
        <f t="shared" si="3"/>
        <v>0</v>
      </c>
    </row>
    <row r="402" ht="15.75" customHeight="1">
      <c r="A402" s="14"/>
      <c r="B402" s="14"/>
      <c r="C402" s="23"/>
      <c r="D402" s="23"/>
      <c r="E402" s="14"/>
      <c r="F402" s="14"/>
      <c r="G402" s="14"/>
      <c r="H402" s="24" t="str">
        <f t="shared" si="1"/>
        <v/>
      </c>
      <c r="I402" s="12" t="str">
        <f>IF(C402="","",INT((INT(C402)-'01_Ficha_Dosis'!$C$14)/7)+1)</f>
        <v/>
      </c>
      <c r="J402" s="12" t="str">
        <f t="shared" si="2"/>
        <v/>
      </c>
      <c r="K402" s="12" t="str">
        <f>IF(J402="","",IF(AND(G402="OK",J402&gt;='01_Ficha_Dosis'!$C$23,F402&gt;='01_Ficha_Dosis'!$C$24,H402&gt;='01_Ficha_Dosis'!$C$14,H402&lt;='01_Ficha_Dosis'!$C$15),1,0))</f>
        <v/>
      </c>
      <c r="L402" s="12">
        <f t="shared" si="3"/>
        <v>0</v>
      </c>
    </row>
    <row r="403" ht="15.75" customHeight="1">
      <c r="A403" s="14"/>
      <c r="B403" s="14"/>
      <c r="C403" s="23"/>
      <c r="D403" s="23"/>
      <c r="E403" s="14"/>
      <c r="F403" s="14"/>
      <c r="G403" s="14"/>
      <c r="H403" s="24" t="str">
        <f t="shared" si="1"/>
        <v/>
      </c>
      <c r="I403" s="12" t="str">
        <f>IF(C403="","",INT((INT(C403)-'01_Ficha_Dosis'!$C$14)/7)+1)</f>
        <v/>
      </c>
      <c r="J403" s="12" t="str">
        <f t="shared" si="2"/>
        <v/>
      </c>
      <c r="K403" s="12" t="str">
        <f>IF(J403="","",IF(AND(G403="OK",J403&gt;='01_Ficha_Dosis'!$C$23,F403&gt;='01_Ficha_Dosis'!$C$24,H403&gt;='01_Ficha_Dosis'!$C$14,H403&lt;='01_Ficha_Dosis'!$C$15),1,0))</f>
        <v/>
      </c>
      <c r="L403" s="12">
        <f t="shared" si="3"/>
        <v>0</v>
      </c>
    </row>
    <row r="404" ht="15.75" customHeight="1">
      <c r="A404" s="14"/>
      <c r="B404" s="14"/>
      <c r="C404" s="23"/>
      <c r="D404" s="23"/>
      <c r="E404" s="14"/>
      <c r="F404" s="14"/>
      <c r="G404" s="14"/>
      <c r="H404" s="24" t="str">
        <f t="shared" si="1"/>
        <v/>
      </c>
      <c r="I404" s="12" t="str">
        <f>IF(C404="","",INT((INT(C404)-'01_Ficha_Dosis'!$C$14)/7)+1)</f>
        <v/>
      </c>
      <c r="J404" s="12" t="str">
        <f t="shared" si="2"/>
        <v/>
      </c>
      <c r="K404" s="12" t="str">
        <f>IF(J404="","",IF(AND(G404="OK",J404&gt;='01_Ficha_Dosis'!$C$23,F404&gt;='01_Ficha_Dosis'!$C$24,H404&gt;='01_Ficha_Dosis'!$C$14,H404&lt;='01_Ficha_Dosis'!$C$15),1,0))</f>
        <v/>
      </c>
      <c r="L404" s="12">
        <f t="shared" si="3"/>
        <v>0</v>
      </c>
    </row>
    <row r="405" ht="15.75" customHeight="1">
      <c r="A405" s="14"/>
      <c r="B405" s="14"/>
      <c r="C405" s="23"/>
      <c r="D405" s="23"/>
      <c r="E405" s="14"/>
      <c r="F405" s="14"/>
      <c r="G405" s="14"/>
      <c r="H405" s="24" t="str">
        <f t="shared" si="1"/>
        <v/>
      </c>
      <c r="I405" s="12" t="str">
        <f>IF(C405="","",INT((INT(C405)-'01_Ficha_Dosis'!$C$14)/7)+1)</f>
        <v/>
      </c>
      <c r="J405" s="12" t="str">
        <f t="shared" si="2"/>
        <v/>
      </c>
      <c r="K405" s="12" t="str">
        <f>IF(J405="","",IF(AND(G405="OK",J405&gt;='01_Ficha_Dosis'!$C$23,F405&gt;='01_Ficha_Dosis'!$C$24,H405&gt;='01_Ficha_Dosis'!$C$14,H405&lt;='01_Ficha_Dosis'!$C$15),1,0))</f>
        <v/>
      </c>
      <c r="L405" s="12">
        <f t="shared" si="3"/>
        <v>0</v>
      </c>
    </row>
    <row r="406" ht="15.75" customHeight="1">
      <c r="A406" s="14"/>
      <c r="B406" s="14"/>
      <c r="C406" s="23"/>
      <c r="D406" s="23"/>
      <c r="E406" s="14"/>
      <c r="F406" s="14"/>
      <c r="G406" s="14"/>
      <c r="H406" s="24" t="str">
        <f t="shared" si="1"/>
        <v/>
      </c>
      <c r="I406" s="12" t="str">
        <f>IF(C406="","",INT((INT(C406)-'01_Ficha_Dosis'!$C$14)/7)+1)</f>
        <v/>
      </c>
      <c r="J406" s="12" t="str">
        <f t="shared" si="2"/>
        <v/>
      </c>
      <c r="K406" s="12" t="str">
        <f>IF(J406="","",IF(AND(G406="OK",J406&gt;='01_Ficha_Dosis'!$C$23,F406&gt;='01_Ficha_Dosis'!$C$24,H406&gt;='01_Ficha_Dosis'!$C$14,H406&lt;='01_Ficha_Dosis'!$C$15),1,0))</f>
        <v/>
      </c>
      <c r="L406" s="12">
        <f t="shared" si="3"/>
        <v>0</v>
      </c>
    </row>
    <row r="407" ht="15.75" customHeight="1">
      <c r="A407" s="14"/>
      <c r="B407" s="14"/>
      <c r="C407" s="23"/>
      <c r="D407" s="23"/>
      <c r="E407" s="14"/>
      <c r="F407" s="14"/>
      <c r="G407" s="14"/>
      <c r="H407" s="24" t="str">
        <f t="shared" si="1"/>
        <v/>
      </c>
      <c r="I407" s="12" t="str">
        <f>IF(C407="","",INT((INT(C407)-'01_Ficha_Dosis'!$C$14)/7)+1)</f>
        <v/>
      </c>
      <c r="J407" s="12" t="str">
        <f t="shared" si="2"/>
        <v/>
      </c>
      <c r="K407" s="12" t="str">
        <f>IF(J407="","",IF(AND(G407="OK",J407&gt;='01_Ficha_Dosis'!$C$23,F407&gt;='01_Ficha_Dosis'!$C$24,H407&gt;='01_Ficha_Dosis'!$C$14,H407&lt;='01_Ficha_Dosis'!$C$15),1,0))</f>
        <v/>
      </c>
      <c r="L407" s="12">
        <f t="shared" si="3"/>
        <v>0</v>
      </c>
    </row>
    <row r="408" ht="15.75" customHeight="1">
      <c r="A408" s="14"/>
      <c r="B408" s="14"/>
      <c r="C408" s="23"/>
      <c r="D408" s="23"/>
      <c r="E408" s="14"/>
      <c r="F408" s="14"/>
      <c r="G408" s="14"/>
      <c r="H408" s="24" t="str">
        <f t="shared" si="1"/>
        <v/>
      </c>
      <c r="I408" s="12" t="str">
        <f>IF(C408="","",INT((INT(C408)-'01_Ficha_Dosis'!$C$14)/7)+1)</f>
        <v/>
      </c>
      <c r="J408" s="12" t="str">
        <f t="shared" si="2"/>
        <v/>
      </c>
      <c r="K408" s="12" t="str">
        <f>IF(J408="","",IF(AND(G408="OK",J408&gt;='01_Ficha_Dosis'!$C$23,F408&gt;='01_Ficha_Dosis'!$C$24,H408&gt;='01_Ficha_Dosis'!$C$14,H408&lt;='01_Ficha_Dosis'!$C$15),1,0))</f>
        <v/>
      </c>
      <c r="L408" s="12">
        <f t="shared" si="3"/>
        <v>0</v>
      </c>
    </row>
    <row r="409" ht="15.75" customHeight="1">
      <c r="A409" s="14"/>
      <c r="B409" s="14"/>
      <c r="C409" s="23"/>
      <c r="D409" s="23"/>
      <c r="E409" s="14"/>
      <c r="F409" s="14"/>
      <c r="G409" s="14"/>
      <c r="H409" s="24" t="str">
        <f t="shared" si="1"/>
        <v/>
      </c>
      <c r="I409" s="12" t="str">
        <f>IF(C409="","",INT((INT(C409)-'01_Ficha_Dosis'!$C$14)/7)+1)</f>
        <v/>
      </c>
      <c r="J409" s="12" t="str">
        <f t="shared" si="2"/>
        <v/>
      </c>
      <c r="K409" s="12" t="str">
        <f>IF(J409="","",IF(AND(G409="OK",J409&gt;='01_Ficha_Dosis'!$C$23,F409&gt;='01_Ficha_Dosis'!$C$24,H409&gt;='01_Ficha_Dosis'!$C$14,H409&lt;='01_Ficha_Dosis'!$C$15),1,0))</f>
        <v/>
      </c>
      <c r="L409" s="12">
        <f t="shared" si="3"/>
        <v>0</v>
      </c>
    </row>
    <row r="410" ht="15.75" customHeight="1">
      <c r="A410" s="14"/>
      <c r="B410" s="14"/>
      <c r="C410" s="23"/>
      <c r="D410" s="23"/>
      <c r="E410" s="14"/>
      <c r="F410" s="14"/>
      <c r="G410" s="14"/>
      <c r="H410" s="24" t="str">
        <f t="shared" si="1"/>
        <v/>
      </c>
      <c r="I410" s="12" t="str">
        <f>IF(C410="","",INT((INT(C410)-'01_Ficha_Dosis'!$C$14)/7)+1)</f>
        <v/>
      </c>
      <c r="J410" s="12" t="str">
        <f t="shared" si="2"/>
        <v/>
      </c>
      <c r="K410" s="12" t="str">
        <f>IF(J410="","",IF(AND(G410="OK",J410&gt;='01_Ficha_Dosis'!$C$23,F410&gt;='01_Ficha_Dosis'!$C$24,H410&gt;='01_Ficha_Dosis'!$C$14,H410&lt;='01_Ficha_Dosis'!$C$15),1,0))</f>
        <v/>
      </c>
      <c r="L410" s="12">
        <f t="shared" si="3"/>
        <v>0</v>
      </c>
    </row>
    <row r="411" ht="15.75" customHeight="1">
      <c r="A411" s="14"/>
      <c r="B411" s="14"/>
      <c r="C411" s="23"/>
      <c r="D411" s="23"/>
      <c r="E411" s="14"/>
      <c r="F411" s="14"/>
      <c r="G411" s="14"/>
      <c r="H411" s="24" t="str">
        <f t="shared" si="1"/>
        <v/>
      </c>
      <c r="I411" s="12" t="str">
        <f>IF(C411="","",INT((INT(C411)-'01_Ficha_Dosis'!$C$14)/7)+1)</f>
        <v/>
      </c>
      <c r="J411" s="12" t="str">
        <f t="shared" si="2"/>
        <v/>
      </c>
      <c r="K411" s="12" t="str">
        <f>IF(J411="","",IF(AND(G411="OK",J411&gt;='01_Ficha_Dosis'!$C$23,F411&gt;='01_Ficha_Dosis'!$C$24,H411&gt;='01_Ficha_Dosis'!$C$14,H411&lt;='01_Ficha_Dosis'!$C$15),1,0))</f>
        <v/>
      </c>
      <c r="L411" s="12">
        <f t="shared" si="3"/>
        <v>0</v>
      </c>
    </row>
    <row r="412" ht="15.75" customHeight="1">
      <c r="A412" s="14"/>
      <c r="B412" s="14"/>
      <c r="C412" s="23"/>
      <c r="D412" s="23"/>
      <c r="E412" s="14"/>
      <c r="F412" s="14"/>
      <c r="G412" s="14"/>
      <c r="H412" s="24" t="str">
        <f t="shared" si="1"/>
        <v/>
      </c>
      <c r="I412" s="12" t="str">
        <f>IF(C412="","",INT((INT(C412)-'01_Ficha_Dosis'!$C$14)/7)+1)</f>
        <v/>
      </c>
      <c r="J412" s="12" t="str">
        <f t="shared" si="2"/>
        <v/>
      </c>
      <c r="K412" s="12" t="str">
        <f>IF(J412="","",IF(AND(G412="OK",J412&gt;='01_Ficha_Dosis'!$C$23,F412&gt;='01_Ficha_Dosis'!$C$24,H412&gt;='01_Ficha_Dosis'!$C$14,H412&lt;='01_Ficha_Dosis'!$C$15),1,0))</f>
        <v/>
      </c>
      <c r="L412" s="12">
        <f t="shared" si="3"/>
        <v>0</v>
      </c>
    </row>
    <row r="413" ht="15.75" customHeight="1">
      <c r="A413" s="14"/>
      <c r="B413" s="14"/>
      <c r="C413" s="23"/>
      <c r="D413" s="23"/>
      <c r="E413" s="14"/>
      <c r="F413" s="14"/>
      <c r="G413" s="14"/>
      <c r="H413" s="24" t="str">
        <f t="shared" si="1"/>
        <v/>
      </c>
      <c r="I413" s="12" t="str">
        <f>IF(C413="","",INT((INT(C413)-'01_Ficha_Dosis'!$C$14)/7)+1)</f>
        <v/>
      </c>
      <c r="J413" s="12" t="str">
        <f t="shared" si="2"/>
        <v/>
      </c>
      <c r="K413" s="12" t="str">
        <f>IF(J413="","",IF(AND(G413="OK",J413&gt;='01_Ficha_Dosis'!$C$23,F413&gt;='01_Ficha_Dosis'!$C$24,H413&gt;='01_Ficha_Dosis'!$C$14,H413&lt;='01_Ficha_Dosis'!$C$15),1,0))</f>
        <v/>
      </c>
      <c r="L413" s="12">
        <f t="shared" si="3"/>
        <v>0</v>
      </c>
    </row>
    <row r="414" ht="15.75" customHeight="1">
      <c r="A414" s="14"/>
      <c r="B414" s="14"/>
      <c r="C414" s="23"/>
      <c r="D414" s="23"/>
      <c r="E414" s="14"/>
      <c r="F414" s="14"/>
      <c r="G414" s="14"/>
      <c r="H414" s="24" t="str">
        <f t="shared" si="1"/>
        <v/>
      </c>
      <c r="I414" s="12" t="str">
        <f>IF(C414="","",INT((INT(C414)-'01_Ficha_Dosis'!$C$14)/7)+1)</f>
        <v/>
      </c>
      <c r="J414" s="12" t="str">
        <f t="shared" si="2"/>
        <v/>
      </c>
      <c r="K414" s="12" t="str">
        <f>IF(J414="","",IF(AND(G414="OK",J414&gt;='01_Ficha_Dosis'!$C$23,F414&gt;='01_Ficha_Dosis'!$C$24,H414&gt;='01_Ficha_Dosis'!$C$14,H414&lt;='01_Ficha_Dosis'!$C$15),1,0))</f>
        <v/>
      </c>
      <c r="L414" s="12">
        <f t="shared" si="3"/>
        <v>0</v>
      </c>
    </row>
    <row r="415" ht="15.75" customHeight="1">
      <c r="A415" s="14"/>
      <c r="B415" s="14"/>
      <c r="C415" s="23"/>
      <c r="D415" s="23"/>
      <c r="E415" s="14"/>
      <c r="F415" s="14"/>
      <c r="G415" s="14"/>
      <c r="H415" s="24" t="str">
        <f t="shared" si="1"/>
        <v/>
      </c>
      <c r="I415" s="12" t="str">
        <f>IF(C415="","",INT((INT(C415)-'01_Ficha_Dosis'!$C$14)/7)+1)</f>
        <v/>
      </c>
      <c r="J415" s="12" t="str">
        <f t="shared" si="2"/>
        <v/>
      </c>
      <c r="K415" s="12" t="str">
        <f>IF(J415="","",IF(AND(G415="OK",J415&gt;='01_Ficha_Dosis'!$C$23,F415&gt;='01_Ficha_Dosis'!$C$24,H415&gt;='01_Ficha_Dosis'!$C$14,H415&lt;='01_Ficha_Dosis'!$C$15),1,0))</f>
        <v/>
      </c>
      <c r="L415" s="12">
        <f t="shared" si="3"/>
        <v>0</v>
      </c>
    </row>
    <row r="416" ht="15.75" customHeight="1">
      <c r="A416" s="14"/>
      <c r="B416" s="14"/>
      <c r="C416" s="23"/>
      <c r="D416" s="23"/>
      <c r="E416" s="14"/>
      <c r="F416" s="14"/>
      <c r="G416" s="14"/>
      <c r="H416" s="24" t="str">
        <f t="shared" si="1"/>
        <v/>
      </c>
      <c r="I416" s="12" t="str">
        <f>IF(C416="","",INT((INT(C416)-'01_Ficha_Dosis'!$C$14)/7)+1)</f>
        <v/>
      </c>
      <c r="J416" s="12" t="str">
        <f t="shared" si="2"/>
        <v/>
      </c>
      <c r="K416" s="12" t="str">
        <f>IF(J416="","",IF(AND(G416="OK",J416&gt;='01_Ficha_Dosis'!$C$23,F416&gt;='01_Ficha_Dosis'!$C$24,H416&gt;='01_Ficha_Dosis'!$C$14,H416&lt;='01_Ficha_Dosis'!$C$15),1,0))</f>
        <v/>
      </c>
      <c r="L416" s="12">
        <f t="shared" si="3"/>
        <v>0</v>
      </c>
    </row>
    <row r="417" ht="15.75" customHeight="1">
      <c r="A417" s="14"/>
      <c r="B417" s="14"/>
      <c r="C417" s="23"/>
      <c r="D417" s="23"/>
      <c r="E417" s="14"/>
      <c r="F417" s="14"/>
      <c r="G417" s="14"/>
      <c r="H417" s="24" t="str">
        <f t="shared" si="1"/>
        <v/>
      </c>
      <c r="I417" s="12" t="str">
        <f>IF(C417="","",INT((INT(C417)-'01_Ficha_Dosis'!$C$14)/7)+1)</f>
        <v/>
      </c>
      <c r="J417" s="12" t="str">
        <f t="shared" si="2"/>
        <v/>
      </c>
      <c r="K417" s="12" t="str">
        <f>IF(J417="","",IF(AND(G417="OK",J417&gt;='01_Ficha_Dosis'!$C$23,F417&gt;='01_Ficha_Dosis'!$C$24,H417&gt;='01_Ficha_Dosis'!$C$14,H417&lt;='01_Ficha_Dosis'!$C$15),1,0))</f>
        <v/>
      </c>
      <c r="L417" s="12">
        <f t="shared" si="3"/>
        <v>0</v>
      </c>
    </row>
    <row r="418" ht="15.75" customHeight="1">
      <c r="A418" s="14"/>
      <c r="B418" s="14"/>
      <c r="C418" s="23"/>
      <c r="D418" s="23"/>
      <c r="E418" s="14"/>
      <c r="F418" s="14"/>
      <c r="G418" s="14"/>
      <c r="H418" s="24" t="str">
        <f t="shared" si="1"/>
        <v/>
      </c>
      <c r="I418" s="12" t="str">
        <f>IF(C418="","",INT((INT(C418)-'01_Ficha_Dosis'!$C$14)/7)+1)</f>
        <v/>
      </c>
      <c r="J418" s="12" t="str">
        <f t="shared" si="2"/>
        <v/>
      </c>
      <c r="K418" s="12" t="str">
        <f>IF(J418="","",IF(AND(G418="OK",J418&gt;='01_Ficha_Dosis'!$C$23,F418&gt;='01_Ficha_Dosis'!$C$24,H418&gt;='01_Ficha_Dosis'!$C$14,H418&lt;='01_Ficha_Dosis'!$C$15),1,0))</f>
        <v/>
      </c>
      <c r="L418" s="12">
        <f t="shared" si="3"/>
        <v>0</v>
      </c>
    </row>
    <row r="419" ht="15.75" customHeight="1">
      <c r="A419" s="14"/>
      <c r="B419" s="14"/>
      <c r="C419" s="23"/>
      <c r="D419" s="23"/>
      <c r="E419" s="14"/>
      <c r="F419" s="14"/>
      <c r="G419" s="14"/>
      <c r="H419" s="24" t="str">
        <f t="shared" si="1"/>
        <v/>
      </c>
      <c r="I419" s="12" t="str">
        <f>IF(C419="","",INT((INT(C419)-'01_Ficha_Dosis'!$C$14)/7)+1)</f>
        <v/>
      </c>
      <c r="J419" s="12" t="str">
        <f t="shared" si="2"/>
        <v/>
      </c>
      <c r="K419" s="12" t="str">
        <f>IF(J419="","",IF(AND(G419="OK",J419&gt;='01_Ficha_Dosis'!$C$23,F419&gt;='01_Ficha_Dosis'!$C$24,H419&gt;='01_Ficha_Dosis'!$C$14,H419&lt;='01_Ficha_Dosis'!$C$15),1,0))</f>
        <v/>
      </c>
      <c r="L419" s="12">
        <f t="shared" si="3"/>
        <v>0</v>
      </c>
    </row>
    <row r="420" ht="15.75" customHeight="1">
      <c r="A420" s="14"/>
      <c r="B420" s="14"/>
      <c r="C420" s="23"/>
      <c r="D420" s="23"/>
      <c r="E420" s="14"/>
      <c r="F420" s="14"/>
      <c r="G420" s="14"/>
      <c r="H420" s="24" t="str">
        <f t="shared" si="1"/>
        <v/>
      </c>
      <c r="I420" s="12" t="str">
        <f>IF(C420="","",INT((INT(C420)-'01_Ficha_Dosis'!$C$14)/7)+1)</f>
        <v/>
      </c>
      <c r="J420" s="12" t="str">
        <f t="shared" si="2"/>
        <v/>
      </c>
      <c r="K420" s="12" t="str">
        <f>IF(J420="","",IF(AND(G420="OK",J420&gt;='01_Ficha_Dosis'!$C$23,F420&gt;='01_Ficha_Dosis'!$C$24,H420&gt;='01_Ficha_Dosis'!$C$14,H420&lt;='01_Ficha_Dosis'!$C$15),1,0))</f>
        <v/>
      </c>
      <c r="L420" s="12">
        <f t="shared" si="3"/>
        <v>0</v>
      </c>
    </row>
    <row r="421" ht="15.75" customHeight="1">
      <c r="A421" s="14"/>
      <c r="B421" s="14"/>
      <c r="C421" s="23"/>
      <c r="D421" s="23"/>
      <c r="E421" s="14"/>
      <c r="F421" s="14"/>
      <c r="G421" s="14"/>
      <c r="H421" s="24" t="str">
        <f t="shared" si="1"/>
        <v/>
      </c>
      <c r="I421" s="12" t="str">
        <f>IF(C421="","",INT((INT(C421)-'01_Ficha_Dosis'!$C$14)/7)+1)</f>
        <v/>
      </c>
      <c r="J421" s="12" t="str">
        <f t="shared" si="2"/>
        <v/>
      </c>
      <c r="K421" s="12" t="str">
        <f>IF(J421="","",IF(AND(G421="OK",J421&gt;='01_Ficha_Dosis'!$C$23,F421&gt;='01_Ficha_Dosis'!$C$24,H421&gt;='01_Ficha_Dosis'!$C$14,H421&lt;='01_Ficha_Dosis'!$C$15),1,0))</f>
        <v/>
      </c>
      <c r="L421" s="12">
        <f t="shared" si="3"/>
        <v>0</v>
      </c>
    </row>
    <row r="422" ht="15.75" customHeight="1">
      <c r="A422" s="14"/>
      <c r="B422" s="14"/>
      <c r="C422" s="23"/>
      <c r="D422" s="23"/>
      <c r="E422" s="14"/>
      <c r="F422" s="14"/>
      <c r="G422" s="14"/>
      <c r="H422" s="24" t="str">
        <f t="shared" si="1"/>
        <v/>
      </c>
      <c r="I422" s="12" t="str">
        <f>IF(C422="","",INT((INT(C422)-'01_Ficha_Dosis'!$C$14)/7)+1)</f>
        <v/>
      </c>
      <c r="J422" s="12" t="str">
        <f t="shared" si="2"/>
        <v/>
      </c>
      <c r="K422" s="12" t="str">
        <f>IF(J422="","",IF(AND(G422="OK",J422&gt;='01_Ficha_Dosis'!$C$23,F422&gt;='01_Ficha_Dosis'!$C$24,H422&gt;='01_Ficha_Dosis'!$C$14,H422&lt;='01_Ficha_Dosis'!$C$15),1,0))</f>
        <v/>
      </c>
      <c r="L422" s="12">
        <f t="shared" si="3"/>
        <v>0</v>
      </c>
    </row>
    <row r="423" ht="15.75" customHeight="1">
      <c r="A423" s="14"/>
      <c r="B423" s="14"/>
      <c r="C423" s="23"/>
      <c r="D423" s="23"/>
      <c r="E423" s="14"/>
      <c r="F423" s="14"/>
      <c r="G423" s="14"/>
      <c r="H423" s="24" t="str">
        <f t="shared" si="1"/>
        <v/>
      </c>
      <c r="I423" s="12" t="str">
        <f>IF(C423="","",INT((INT(C423)-'01_Ficha_Dosis'!$C$14)/7)+1)</f>
        <v/>
      </c>
      <c r="J423" s="12" t="str">
        <f t="shared" si="2"/>
        <v/>
      </c>
      <c r="K423" s="12" t="str">
        <f>IF(J423="","",IF(AND(G423="OK",J423&gt;='01_Ficha_Dosis'!$C$23,F423&gt;='01_Ficha_Dosis'!$C$24,H423&gt;='01_Ficha_Dosis'!$C$14,H423&lt;='01_Ficha_Dosis'!$C$15),1,0))</f>
        <v/>
      </c>
      <c r="L423" s="12">
        <f t="shared" si="3"/>
        <v>0</v>
      </c>
    </row>
    <row r="424" ht="15.75" customHeight="1">
      <c r="A424" s="14"/>
      <c r="B424" s="14"/>
      <c r="C424" s="23"/>
      <c r="D424" s="23"/>
      <c r="E424" s="14"/>
      <c r="F424" s="14"/>
      <c r="G424" s="14"/>
      <c r="H424" s="24" t="str">
        <f t="shared" si="1"/>
        <v/>
      </c>
      <c r="I424" s="12" t="str">
        <f>IF(C424="","",INT((INT(C424)-'01_Ficha_Dosis'!$C$14)/7)+1)</f>
        <v/>
      </c>
      <c r="J424" s="12" t="str">
        <f t="shared" si="2"/>
        <v/>
      </c>
      <c r="K424" s="12" t="str">
        <f>IF(J424="","",IF(AND(G424="OK",J424&gt;='01_Ficha_Dosis'!$C$23,F424&gt;='01_Ficha_Dosis'!$C$24,H424&gt;='01_Ficha_Dosis'!$C$14,H424&lt;='01_Ficha_Dosis'!$C$15),1,0))</f>
        <v/>
      </c>
      <c r="L424" s="12">
        <f t="shared" si="3"/>
        <v>0</v>
      </c>
    </row>
    <row r="425" ht="15.75" customHeight="1">
      <c r="A425" s="14"/>
      <c r="B425" s="14"/>
      <c r="C425" s="23"/>
      <c r="D425" s="23"/>
      <c r="E425" s="14"/>
      <c r="F425" s="14"/>
      <c r="G425" s="14"/>
      <c r="H425" s="24" t="str">
        <f t="shared" si="1"/>
        <v/>
      </c>
      <c r="I425" s="12" t="str">
        <f>IF(C425="","",INT((INT(C425)-'01_Ficha_Dosis'!$C$14)/7)+1)</f>
        <v/>
      </c>
      <c r="J425" s="12" t="str">
        <f t="shared" si="2"/>
        <v/>
      </c>
      <c r="K425" s="12" t="str">
        <f>IF(J425="","",IF(AND(G425="OK",J425&gt;='01_Ficha_Dosis'!$C$23,F425&gt;='01_Ficha_Dosis'!$C$24,H425&gt;='01_Ficha_Dosis'!$C$14,H425&lt;='01_Ficha_Dosis'!$C$15),1,0))</f>
        <v/>
      </c>
      <c r="L425" s="12">
        <f t="shared" si="3"/>
        <v>0</v>
      </c>
    </row>
    <row r="426" ht="15.75" customHeight="1">
      <c r="A426" s="14"/>
      <c r="B426" s="14"/>
      <c r="C426" s="23"/>
      <c r="D426" s="23"/>
      <c r="E426" s="14"/>
      <c r="F426" s="14"/>
      <c r="G426" s="14"/>
      <c r="H426" s="24" t="str">
        <f t="shared" si="1"/>
        <v/>
      </c>
      <c r="I426" s="12" t="str">
        <f>IF(C426="","",INT((INT(C426)-'01_Ficha_Dosis'!$C$14)/7)+1)</f>
        <v/>
      </c>
      <c r="J426" s="12" t="str">
        <f t="shared" si="2"/>
        <v/>
      </c>
      <c r="K426" s="12" t="str">
        <f>IF(J426="","",IF(AND(G426="OK",J426&gt;='01_Ficha_Dosis'!$C$23,F426&gt;='01_Ficha_Dosis'!$C$24,H426&gt;='01_Ficha_Dosis'!$C$14,H426&lt;='01_Ficha_Dosis'!$C$15),1,0))</f>
        <v/>
      </c>
      <c r="L426" s="12">
        <f t="shared" si="3"/>
        <v>0</v>
      </c>
    </row>
    <row r="427" ht="15.75" customHeight="1">
      <c r="A427" s="14"/>
      <c r="B427" s="14"/>
      <c r="C427" s="23"/>
      <c r="D427" s="23"/>
      <c r="E427" s="14"/>
      <c r="F427" s="14"/>
      <c r="G427" s="14"/>
      <c r="H427" s="24" t="str">
        <f t="shared" si="1"/>
        <v/>
      </c>
      <c r="I427" s="12" t="str">
        <f>IF(C427="","",INT((INT(C427)-'01_Ficha_Dosis'!$C$14)/7)+1)</f>
        <v/>
      </c>
      <c r="J427" s="12" t="str">
        <f t="shared" si="2"/>
        <v/>
      </c>
      <c r="K427" s="12" t="str">
        <f>IF(J427="","",IF(AND(G427="OK",J427&gt;='01_Ficha_Dosis'!$C$23,F427&gt;='01_Ficha_Dosis'!$C$24,H427&gt;='01_Ficha_Dosis'!$C$14,H427&lt;='01_Ficha_Dosis'!$C$15),1,0))</f>
        <v/>
      </c>
      <c r="L427" s="12">
        <f t="shared" si="3"/>
        <v>0</v>
      </c>
    </row>
    <row r="428" ht="15.75" customHeight="1">
      <c r="A428" s="14"/>
      <c r="B428" s="14"/>
      <c r="C428" s="23"/>
      <c r="D428" s="23"/>
      <c r="E428" s="14"/>
      <c r="F428" s="14"/>
      <c r="G428" s="14"/>
      <c r="H428" s="24" t="str">
        <f t="shared" si="1"/>
        <v/>
      </c>
      <c r="I428" s="12" t="str">
        <f>IF(C428="","",INT((INT(C428)-'01_Ficha_Dosis'!$C$14)/7)+1)</f>
        <v/>
      </c>
      <c r="J428" s="12" t="str">
        <f t="shared" si="2"/>
        <v/>
      </c>
      <c r="K428" s="12" t="str">
        <f>IF(J428="","",IF(AND(G428="OK",J428&gt;='01_Ficha_Dosis'!$C$23,F428&gt;='01_Ficha_Dosis'!$C$24,H428&gt;='01_Ficha_Dosis'!$C$14,H428&lt;='01_Ficha_Dosis'!$C$15),1,0))</f>
        <v/>
      </c>
      <c r="L428" s="12">
        <f t="shared" si="3"/>
        <v>0</v>
      </c>
    </row>
    <row r="429" ht="15.75" customHeight="1">
      <c r="A429" s="14"/>
      <c r="B429" s="14"/>
      <c r="C429" s="23"/>
      <c r="D429" s="23"/>
      <c r="E429" s="14"/>
      <c r="F429" s="14"/>
      <c r="G429" s="14"/>
      <c r="H429" s="24" t="str">
        <f t="shared" si="1"/>
        <v/>
      </c>
      <c r="I429" s="12" t="str">
        <f>IF(C429="","",INT((INT(C429)-'01_Ficha_Dosis'!$C$14)/7)+1)</f>
        <v/>
      </c>
      <c r="J429" s="12" t="str">
        <f t="shared" si="2"/>
        <v/>
      </c>
      <c r="K429" s="12" t="str">
        <f>IF(J429="","",IF(AND(G429="OK",J429&gt;='01_Ficha_Dosis'!$C$23,F429&gt;='01_Ficha_Dosis'!$C$24,H429&gt;='01_Ficha_Dosis'!$C$14,H429&lt;='01_Ficha_Dosis'!$C$15),1,0))</f>
        <v/>
      </c>
      <c r="L429" s="12">
        <f t="shared" si="3"/>
        <v>0</v>
      </c>
    </row>
    <row r="430" ht="15.75" customHeight="1">
      <c r="A430" s="14"/>
      <c r="B430" s="14"/>
      <c r="C430" s="23"/>
      <c r="D430" s="23"/>
      <c r="E430" s="14"/>
      <c r="F430" s="14"/>
      <c r="G430" s="14"/>
      <c r="H430" s="24" t="str">
        <f t="shared" si="1"/>
        <v/>
      </c>
      <c r="I430" s="12" t="str">
        <f>IF(C430="","",INT((INT(C430)-'01_Ficha_Dosis'!$C$14)/7)+1)</f>
        <v/>
      </c>
      <c r="J430" s="12" t="str">
        <f t="shared" si="2"/>
        <v/>
      </c>
      <c r="K430" s="12" t="str">
        <f>IF(J430="","",IF(AND(G430="OK",J430&gt;='01_Ficha_Dosis'!$C$23,F430&gt;='01_Ficha_Dosis'!$C$24,H430&gt;='01_Ficha_Dosis'!$C$14,H430&lt;='01_Ficha_Dosis'!$C$15),1,0))</f>
        <v/>
      </c>
      <c r="L430" s="12">
        <f t="shared" si="3"/>
        <v>0</v>
      </c>
    </row>
    <row r="431" ht="15.75" customHeight="1">
      <c r="A431" s="14"/>
      <c r="B431" s="14"/>
      <c r="C431" s="23"/>
      <c r="D431" s="23"/>
      <c r="E431" s="14"/>
      <c r="F431" s="14"/>
      <c r="G431" s="14"/>
      <c r="H431" s="24" t="str">
        <f t="shared" si="1"/>
        <v/>
      </c>
      <c r="I431" s="12" t="str">
        <f>IF(C431="","",INT((INT(C431)-'01_Ficha_Dosis'!$C$14)/7)+1)</f>
        <v/>
      </c>
      <c r="J431" s="12" t="str">
        <f t="shared" si="2"/>
        <v/>
      </c>
      <c r="K431" s="12" t="str">
        <f>IF(J431="","",IF(AND(G431="OK",J431&gt;='01_Ficha_Dosis'!$C$23,F431&gt;='01_Ficha_Dosis'!$C$24,H431&gt;='01_Ficha_Dosis'!$C$14,H431&lt;='01_Ficha_Dosis'!$C$15),1,0))</f>
        <v/>
      </c>
      <c r="L431" s="12">
        <f t="shared" si="3"/>
        <v>0</v>
      </c>
    </row>
    <row r="432" ht="15.75" customHeight="1">
      <c r="A432" s="14"/>
      <c r="B432" s="14"/>
      <c r="C432" s="23"/>
      <c r="D432" s="23"/>
      <c r="E432" s="14"/>
      <c r="F432" s="14"/>
      <c r="G432" s="14"/>
      <c r="H432" s="24" t="str">
        <f t="shared" si="1"/>
        <v/>
      </c>
      <c r="I432" s="12" t="str">
        <f>IF(C432="","",INT((INT(C432)-'01_Ficha_Dosis'!$C$14)/7)+1)</f>
        <v/>
      </c>
      <c r="J432" s="12" t="str">
        <f t="shared" si="2"/>
        <v/>
      </c>
      <c r="K432" s="12" t="str">
        <f>IF(J432="","",IF(AND(G432="OK",J432&gt;='01_Ficha_Dosis'!$C$23,F432&gt;='01_Ficha_Dosis'!$C$24,H432&gt;='01_Ficha_Dosis'!$C$14,H432&lt;='01_Ficha_Dosis'!$C$15),1,0))</f>
        <v/>
      </c>
      <c r="L432" s="12">
        <f t="shared" si="3"/>
        <v>0</v>
      </c>
    </row>
    <row r="433" ht="15.75" customHeight="1">
      <c r="A433" s="14"/>
      <c r="B433" s="14"/>
      <c r="C433" s="23"/>
      <c r="D433" s="23"/>
      <c r="E433" s="14"/>
      <c r="F433" s="14"/>
      <c r="G433" s="14"/>
      <c r="H433" s="24" t="str">
        <f t="shared" si="1"/>
        <v/>
      </c>
      <c r="I433" s="12" t="str">
        <f>IF(C433="","",INT((INT(C433)-'01_Ficha_Dosis'!$C$14)/7)+1)</f>
        <v/>
      </c>
      <c r="J433" s="12" t="str">
        <f t="shared" si="2"/>
        <v/>
      </c>
      <c r="K433" s="12" t="str">
        <f>IF(J433="","",IF(AND(G433="OK",J433&gt;='01_Ficha_Dosis'!$C$23,F433&gt;='01_Ficha_Dosis'!$C$24,H433&gt;='01_Ficha_Dosis'!$C$14,H433&lt;='01_Ficha_Dosis'!$C$15),1,0))</f>
        <v/>
      </c>
      <c r="L433" s="12">
        <f t="shared" si="3"/>
        <v>0</v>
      </c>
    </row>
    <row r="434" ht="15.75" customHeight="1">
      <c r="A434" s="14"/>
      <c r="B434" s="14"/>
      <c r="C434" s="23"/>
      <c r="D434" s="23"/>
      <c r="E434" s="14"/>
      <c r="F434" s="14"/>
      <c r="G434" s="14"/>
      <c r="H434" s="24" t="str">
        <f t="shared" si="1"/>
        <v/>
      </c>
      <c r="I434" s="12" t="str">
        <f>IF(C434="","",INT((INT(C434)-'01_Ficha_Dosis'!$C$14)/7)+1)</f>
        <v/>
      </c>
      <c r="J434" s="12" t="str">
        <f t="shared" si="2"/>
        <v/>
      </c>
      <c r="K434" s="12" t="str">
        <f>IF(J434="","",IF(AND(G434="OK",J434&gt;='01_Ficha_Dosis'!$C$23,F434&gt;='01_Ficha_Dosis'!$C$24,H434&gt;='01_Ficha_Dosis'!$C$14,H434&lt;='01_Ficha_Dosis'!$C$15),1,0))</f>
        <v/>
      </c>
      <c r="L434" s="12">
        <f t="shared" si="3"/>
        <v>0</v>
      </c>
    </row>
    <row r="435" ht="15.75" customHeight="1">
      <c r="A435" s="14"/>
      <c r="B435" s="14"/>
      <c r="C435" s="23"/>
      <c r="D435" s="23"/>
      <c r="E435" s="14"/>
      <c r="F435" s="14"/>
      <c r="G435" s="14"/>
      <c r="H435" s="24" t="str">
        <f t="shared" si="1"/>
        <v/>
      </c>
      <c r="I435" s="12" t="str">
        <f>IF(C435="","",INT((INT(C435)-'01_Ficha_Dosis'!$C$14)/7)+1)</f>
        <v/>
      </c>
      <c r="J435" s="12" t="str">
        <f t="shared" si="2"/>
        <v/>
      </c>
      <c r="K435" s="12" t="str">
        <f>IF(J435="","",IF(AND(G435="OK",J435&gt;='01_Ficha_Dosis'!$C$23,F435&gt;='01_Ficha_Dosis'!$C$24,H435&gt;='01_Ficha_Dosis'!$C$14,H435&lt;='01_Ficha_Dosis'!$C$15),1,0))</f>
        <v/>
      </c>
      <c r="L435" s="12">
        <f t="shared" si="3"/>
        <v>0</v>
      </c>
    </row>
    <row r="436" ht="15.75" customHeight="1">
      <c r="A436" s="14"/>
      <c r="B436" s="14"/>
      <c r="C436" s="23"/>
      <c r="D436" s="23"/>
      <c r="E436" s="14"/>
      <c r="F436" s="14"/>
      <c r="G436" s="14"/>
      <c r="H436" s="24" t="str">
        <f t="shared" si="1"/>
        <v/>
      </c>
      <c r="I436" s="12" t="str">
        <f>IF(C436="","",INT((INT(C436)-'01_Ficha_Dosis'!$C$14)/7)+1)</f>
        <v/>
      </c>
      <c r="J436" s="12" t="str">
        <f t="shared" si="2"/>
        <v/>
      </c>
      <c r="K436" s="12" t="str">
        <f>IF(J436="","",IF(AND(G436="OK",J436&gt;='01_Ficha_Dosis'!$C$23,F436&gt;='01_Ficha_Dosis'!$C$24,H436&gt;='01_Ficha_Dosis'!$C$14,H436&lt;='01_Ficha_Dosis'!$C$15),1,0))</f>
        <v/>
      </c>
      <c r="L436" s="12">
        <f t="shared" si="3"/>
        <v>0</v>
      </c>
    </row>
    <row r="437" ht="15.75" customHeight="1">
      <c r="A437" s="14"/>
      <c r="B437" s="14"/>
      <c r="C437" s="23"/>
      <c r="D437" s="23"/>
      <c r="E437" s="14"/>
      <c r="F437" s="14"/>
      <c r="G437" s="14"/>
      <c r="H437" s="24" t="str">
        <f t="shared" si="1"/>
        <v/>
      </c>
      <c r="I437" s="12" t="str">
        <f>IF(C437="","",INT((INT(C437)-'01_Ficha_Dosis'!$C$14)/7)+1)</f>
        <v/>
      </c>
      <c r="J437" s="12" t="str">
        <f t="shared" si="2"/>
        <v/>
      </c>
      <c r="K437" s="12" t="str">
        <f>IF(J437="","",IF(AND(G437="OK",J437&gt;='01_Ficha_Dosis'!$C$23,F437&gt;='01_Ficha_Dosis'!$C$24,H437&gt;='01_Ficha_Dosis'!$C$14,H437&lt;='01_Ficha_Dosis'!$C$15),1,0))</f>
        <v/>
      </c>
      <c r="L437" s="12">
        <f t="shared" si="3"/>
        <v>0</v>
      </c>
    </row>
    <row r="438" ht="15.75" customHeight="1">
      <c r="A438" s="14"/>
      <c r="B438" s="14"/>
      <c r="C438" s="23"/>
      <c r="D438" s="23"/>
      <c r="E438" s="14"/>
      <c r="F438" s="14"/>
      <c r="G438" s="14"/>
      <c r="H438" s="24" t="str">
        <f t="shared" si="1"/>
        <v/>
      </c>
      <c r="I438" s="12" t="str">
        <f>IF(C438="","",INT((INT(C438)-'01_Ficha_Dosis'!$C$14)/7)+1)</f>
        <v/>
      </c>
      <c r="J438" s="12" t="str">
        <f t="shared" si="2"/>
        <v/>
      </c>
      <c r="K438" s="12" t="str">
        <f>IF(J438="","",IF(AND(G438="OK",J438&gt;='01_Ficha_Dosis'!$C$23,F438&gt;='01_Ficha_Dosis'!$C$24,H438&gt;='01_Ficha_Dosis'!$C$14,H438&lt;='01_Ficha_Dosis'!$C$15),1,0))</f>
        <v/>
      </c>
      <c r="L438" s="12">
        <f t="shared" si="3"/>
        <v>0</v>
      </c>
    </row>
    <row r="439" ht="15.75" customHeight="1">
      <c r="A439" s="14"/>
      <c r="B439" s="14"/>
      <c r="C439" s="23"/>
      <c r="D439" s="23"/>
      <c r="E439" s="14"/>
      <c r="F439" s="14"/>
      <c r="G439" s="14"/>
      <c r="H439" s="24" t="str">
        <f t="shared" si="1"/>
        <v/>
      </c>
      <c r="I439" s="12" t="str">
        <f>IF(C439="","",INT((INT(C439)-'01_Ficha_Dosis'!$C$14)/7)+1)</f>
        <v/>
      </c>
      <c r="J439" s="12" t="str">
        <f t="shared" si="2"/>
        <v/>
      </c>
      <c r="K439" s="12" t="str">
        <f>IF(J439="","",IF(AND(G439="OK",J439&gt;='01_Ficha_Dosis'!$C$23,F439&gt;='01_Ficha_Dosis'!$C$24,H439&gt;='01_Ficha_Dosis'!$C$14,H439&lt;='01_Ficha_Dosis'!$C$15),1,0))</f>
        <v/>
      </c>
      <c r="L439" s="12">
        <f t="shared" si="3"/>
        <v>0</v>
      </c>
    </row>
    <row r="440" ht="15.75" customHeight="1">
      <c r="A440" s="14"/>
      <c r="B440" s="14"/>
      <c r="C440" s="23"/>
      <c r="D440" s="23"/>
      <c r="E440" s="14"/>
      <c r="F440" s="14"/>
      <c r="G440" s="14"/>
      <c r="H440" s="24" t="str">
        <f t="shared" si="1"/>
        <v/>
      </c>
      <c r="I440" s="12" t="str">
        <f>IF(C440="","",INT((INT(C440)-'01_Ficha_Dosis'!$C$14)/7)+1)</f>
        <v/>
      </c>
      <c r="J440" s="12" t="str">
        <f t="shared" si="2"/>
        <v/>
      </c>
      <c r="K440" s="12" t="str">
        <f>IF(J440="","",IF(AND(G440="OK",J440&gt;='01_Ficha_Dosis'!$C$23,F440&gt;='01_Ficha_Dosis'!$C$24,H440&gt;='01_Ficha_Dosis'!$C$14,H440&lt;='01_Ficha_Dosis'!$C$15),1,0))</f>
        <v/>
      </c>
      <c r="L440" s="12">
        <f t="shared" si="3"/>
        <v>0</v>
      </c>
    </row>
    <row r="441" ht="15.75" customHeight="1">
      <c r="A441" s="14"/>
      <c r="B441" s="14"/>
      <c r="C441" s="23"/>
      <c r="D441" s="23"/>
      <c r="E441" s="14"/>
      <c r="F441" s="14"/>
      <c r="G441" s="14"/>
      <c r="H441" s="24" t="str">
        <f t="shared" si="1"/>
        <v/>
      </c>
      <c r="I441" s="12" t="str">
        <f>IF(C441="","",INT((INT(C441)-'01_Ficha_Dosis'!$C$14)/7)+1)</f>
        <v/>
      </c>
      <c r="J441" s="12" t="str">
        <f t="shared" si="2"/>
        <v/>
      </c>
      <c r="K441" s="12" t="str">
        <f>IF(J441="","",IF(AND(G441="OK",J441&gt;='01_Ficha_Dosis'!$C$23,F441&gt;='01_Ficha_Dosis'!$C$24,H441&gt;='01_Ficha_Dosis'!$C$14,H441&lt;='01_Ficha_Dosis'!$C$15),1,0))</f>
        <v/>
      </c>
      <c r="L441" s="12">
        <f t="shared" si="3"/>
        <v>0</v>
      </c>
    </row>
    <row r="442" ht="15.75" customHeight="1">
      <c r="A442" s="14"/>
      <c r="B442" s="14"/>
      <c r="C442" s="23"/>
      <c r="D442" s="23"/>
      <c r="E442" s="14"/>
      <c r="F442" s="14"/>
      <c r="G442" s="14"/>
      <c r="H442" s="24" t="str">
        <f t="shared" si="1"/>
        <v/>
      </c>
      <c r="I442" s="12" t="str">
        <f>IF(C442="","",INT((INT(C442)-'01_Ficha_Dosis'!$C$14)/7)+1)</f>
        <v/>
      </c>
      <c r="J442" s="12" t="str">
        <f t="shared" si="2"/>
        <v/>
      </c>
      <c r="K442" s="12" t="str">
        <f>IF(J442="","",IF(AND(G442="OK",J442&gt;='01_Ficha_Dosis'!$C$23,F442&gt;='01_Ficha_Dosis'!$C$24,H442&gt;='01_Ficha_Dosis'!$C$14,H442&lt;='01_Ficha_Dosis'!$C$15),1,0))</f>
        <v/>
      </c>
      <c r="L442" s="12">
        <f t="shared" si="3"/>
        <v>0</v>
      </c>
    </row>
    <row r="443" ht="15.75" customHeight="1">
      <c r="A443" s="14"/>
      <c r="B443" s="14"/>
      <c r="C443" s="23"/>
      <c r="D443" s="23"/>
      <c r="E443" s="14"/>
      <c r="F443" s="14"/>
      <c r="G443" s="14"/>
      <c r="H443" s="24" t="str">
        <f t="shared" si="1"/>
        <v/>
      </c>
      <c r="I443" s="12" t="str">
        <f>IF(C443="","",INT((INT(C443)-'01_Ficha_Dosis'!$C$14)/7)+1)</f>
        <v/>
      </c>
      <c r="J443" s="12" t="str">
        <f t="shared" si="2"/>
        <v/>
      </c>
      <c r="K443" s="12" t="str">
        <f>IF(J443="","",IF(AND(G443="OK",J443&gt;='01_Ficha_Dosis'!$C$23,F443&gt;='01_Ficha_Dosis'!$C$24,H443&gt;='01_Ficha_Dosis'!$C$14,H443&lt;='01_Ficha_Dosis'!$C$15),1,0))</f>
        <v/>
      </c>
      <c r="L443" s="12">
        <f t="shared" si="3"/>
        <v>0</v>
      </c>
    </row>
    <row r="444" ht="15.75" customHeight="1">
      <c r="A444" s="14"/>
      <c r="B444" s="14"/>
      <c r="C444" s="23"/>
      <c r="D444" s="23"/>
      <c r="E444" s="14"/>
      <c r="F444" s="14"/>
      <c r="G444" s="14"/>
      <c r="H444" s="24" t="str">
        <f t="shared" si="1"/>
        <v/>
      </c>
      <c r="I444" s="12" t="str">
        <f>IF(C444="","",INT((INT(C444)-'01_Ficha_Dosis'!$C$14)/7)+1)</f>
        <v/>
      </c>
      <c r="J444" s="12" t="str">
        <f t="shared" si="2"/>
        <v/>
      </c>
      <c r="K444" s="12" t="str">
        <f>IF(J444="","",IF(AND(G444="OK",J444&gt;='01_Ficha_Dosis'!$C$23,F444&gt;='01_Ficha_Dosis'!$C$24,H444&gt;='01_Ficha_Dosis'!$C$14,H444&lt;='01_Ficha_Dosis'!$C$15),1,0))</f>
        <v/>
      </c>
      <c r="L444" s="12">
        <f t="shared" si="3"/>
        <v>0</v>
      </c>
    </row>
    <row r="445" ht="15.75" customHeight="1">
      <c r="A445" s="14"/>
      <c r="B445" s="14"/>
      <c r="C445" s="23"/>
      <c r="D445" s="23"/>
      <c r="E445" s="14"/>
      <c r="F445" s="14"/>
      <c r="G445" s="14"/>
      <c r="H445" s="24" t="str">
        <f t="shared" si="1"/>
        <v/>
      </c>
      <c r="I445" s="12" t="str">
        <f>IF(C445="","",INT((INT(C445)-'01_Ficha_Dosis'!$C$14)/7)+1)</f>
        <v/>
      </c>
      <c r="J445" s="12" t="str">
        <f t="shared" si="2"/>
        <v/>
      </c>
      <c r="K445" s="12" t="str">
        <f>IF(J445="","",IF(AND(G445="OK",J445&gt;='01_Ficha_Dosis'!$C$23,F445&gt;='01_Ficha_Dosis'!$C$24,H445&gt;='01_Ficha_Dosis'!$C$14,H445&lt;='01_Ficha_Dosis'!$C$15),1,0))</f>
        <v/>
      </c>
      <c r="L445" s="12">
        <f t="shared" si="3"/>
        <v>0</v>
      </c>
    </row>
    <row r="446" ht="15.75" customHeight="1">
      <c r="A446" s="14"/>
      <c r="B446" s="14"/>
      <c r="C446" s="23"/>
      <c r="D446" s="23"/>
      <c r="E446" s="14"/>
      <c r="F446" s="14"/>
      <c r="G446" s="14"/>
      <c r="H446" s="24" t="str">
        <f t="shared" si="1"/>
        <v/>
      </c>
      <c r="I446" s="12" t="str">
        <f>IF(C446="","",INT((INT(C446)-'01_Ficha_Dosis'!$C$14)/7)+1)</f>
        <v/>
      </c>
      <c r="J446" s="12" t="str">
        <f t="shared" si="2"/>
        <v/>
      </c>
      <c r="K446" s="12" t="str">
        <f>IF(J446="","",IF(AND(G446="OK",J446&gt;='01_Ficha_Dosis'!$C$23,F446&gt;='01_Ficha_Dosis'!$C$24,H446&gt;='01_Ficha_Dosis'!$C$14,H446&lt;='01_Ficha_Dosis'!$C$15),1,0))</f>
        <v/>
      </c>
      <c r="L446" s="12">
        <f t="shared" si="3"/>
        <v>0</v>
      </c>
    </row>
    <row r="447" ht="15.75" customHeight="1">
      <c r="A447" s="14"/>
      <c r="B447" s="14"/>
      <c r="C447" s="23"/>
      <c r="D447" s="23"/>
      <c r="E447" s="14"/>
      <c r="F447" s="14"/>
      <c r="G447" s="14"/>
      <c r="H447" s="24" t="str">
        <f t="shared" si="1"/>
        <v/>
      </c>
      <c r="I447" s="12" t="str">
        <f>IF(C447="","",INT((INT(C447)-'01_Ficha_Dosis'!$C$14)/7)+1)</f>
        <v/>
      </c>
      <c r="J447" s="12" t="str">
        <f t="shared" si="2"/>
        <v/>
      </c>
      <c r="K447" s="12" t="str">
        <f>IF(J447="","",IF(AND(G447="OK",J447&gt;='01_Ficha_Dosis'!$C$23,F447&gt;='01_Ficha_Dosis'!$C$24,H447&gt;='01_Ficha_Dosis'!$C$14,H447&lt;='01_Ficha_Dosis'!$C$15),1,0))</f>
        <v/>
      </c>
      <c r="L447" s="12">
        <f t="shared" si="3"/>
        <v>0</v>
      </c>
    </row>
    <row r="448" ht="15.75" customHeight="1">
      <c r="A448" s="14"/>
      <c r="B448" s="14"/>
      <c r="C448" s="23"/>
      <c r="D448" s="23"/>
      <c r="E448" s="14"/>
      <c r="F448" s="14"/>
      <c r="G448" s="14"/>
      <c r="H448" s="24" t="str">
        <f t="shared" si="1"/>
        <v/>
      </c>
      <c r="I448" s="12" t="str">
        <f>IF(C448="","",INT((INT(C448)-'01_Ficha_Dosis'!$C$14)/7)+1)</f>
        <v/>
      </c>
      <c r="J448" s="12" t="str">
        <f t="shared" si="2"/>
        <v/>
      </c>
      <c r="K448" s="12" t="str">
        <f>IF(J448="","",IF(AND(G448="OK",J448&gt;='01_Ficha_Dosis'!$C$23,F448&gt;='01_Ficha_Dosis'!$C$24,H448&gt;='01_Ficha_Dosis'!$C$14,H448&lt;='01_Ficha_Dosis'!$C$15),1,0))</f>
        <v/>
      </c>
      <c r="L448" s="12">
        <f t="shared" si="3"/>
        <v>0</v>
      </c>
    </row>
    <row r="449" ht="15.75" customHeight="1">
      <c r="A449" s="14"/>
      <c r="B449" s="14"/>
      <c r="C449" s="23"/>
      <c r="D449" s="23"/>
      <c r="E449" s="14"/>
      <c r="F449" s="14"/>
      <c r="G449" s="14"/>
      <c r="H449" s="24" t="str">
        <f t="shared" si="1"/>
        <v/>
      </c>
      <c r="I449" s="12" t="str">
        <f>IF(C449="","",INT((INT(C449)-'01_Ficha_Dosis'!$C$14)/7)+1)</f>
        <v/>
      </c>
      <c r="J449" s="12" t="str">
        <f t="shared" si="2"/>
        <v/>
      </c>
      <c r="K449" s="12" t="str">
        <f>IF(J449="","",IF(AND(G449="OK",J449&gt;='01_Ficha_Dosis'!$C$23,F449&gt;='01_Ficha_Dosis'!$C$24,H449&gt;='01_Ficha_Dosis'!$C$14,H449&lt;='01_Ficha_Dosis'!$C$15),1,0))</f>
        <v/>
      </c>
      <c r="L449" s="12">
        <f t="shared" si="3"/>
        <v>0</v>
      </c>
    </row>
    <row r="450" ht="15.75" customHeight="1">
      <c r="A450" s="14"/>
      <c r="B450" s="14"/>
      <c r="C450" s="23"/>
      <c r="D450" s="23"/>
      <c r="E450" s="14"/>
      <c r="F450" s="14"/>
      <c r="G450" s="14"/>
      <c r="H450" s="24" t="str">
        <f t="shared" si="1"/>
        <v/>
      </c>
      <c r="I450" s="12" t="str">
        <f>IF(C450="","",INT((INT(C450)-'01_Ficha_Dosis'!$C$14)/7)+1)</f>
        <v/>
      </c>
      <c r="J450" s="12" t="str">
        <f t="shared" si="2"/>
        <v/>
      </c>
      <c r="K450" s="12" t="str">
        <f>IF(J450="","",IF(AND(G450="OK",J450&gt;='01_Ficha_Dosis'!$C$23,F450&gt;='01_Ficha_Dosis'!$C$24,H450&gt;='01_Ficha_Dosis'!$C$14,H450&lt;='01_Ficha_Dosis'!$C$15),1,0))</f>
        <v/>
      </c>
      <c r="L450" s="12">
        <f t="shared" si="3"/>
        <v>0</v>
      </c>
    </row>
    <row r="451" ht="15.75" customHeight="1">
      <c r="A451" s="14"/>
      <c r="B451" s="14"/>
      <c r="C451" s="23"/>
      <c r="D451" s="23"/>
      <c r="E451" s="14"/>
      <c r="F451" s="14"/>
      <c r="G451" s="14"/>
      <c r="H451" s="24" t="str">
        <f t="shared" si="1"/>
        <v/>
      </c>
      <c r="I451" s="12" t="str">
        <f>IF(C451="","",INT((INT(C451)-'01_Ficha_Dosis'!$C$14)/7)+1)</f>
        <v/>
      </c>
      <c r="J451" s="12" t="str">
        <f t="shared" si="2"/>
        <v/>
      </c>
      <c r="K451" s="12" t="str">
        <f>IF(J451="","",IF(AND(G451="OK",J451&gt;='01_Ficha_Dosis'!$C$23,F451&gt;='01_Ficha_Dosis'!$C$24,H451&gt;='01_Ficha_Dosis'!$C$14,H451&lt;='01_Ficha_Dosis'!$C$15),1,0))</f>
        <v/>
      </c>
      <c r="L451" s="12">
        <f t="shared" si="3"/>
        <v>0</v>
      </c>
    </row>
    <row r="452" ht="15.75" customHeight="1">
      <c r="A452" s="14"/>
      <c r="B452" s="14"/>
      <c r="C452" s="23"/>
      <c r="D452" s="23"/>
      <c r="E452" s="14"/>
      <c r="F452" s="14"/>
      <c r="G452" s="14"/>
      <c r="H452" s="24" t="str">
        <f t="shared" si="1"/>
        <v/>
      </c>
      <c r="I452" s="12" t="str">
        <f>IF(C452="","",INT((INT(C452)-'01_Ficha_Dosis'!$C$14)/7)+1)</f>
        <v/>
      </c>
      <c r="J452" s="12" t="str">
        <f t="shared" si="2"/>
        <v/>
      </c>
      <c r="K452" s="12" t="str">
        <f>IF(J452="","",IF(AND(G452="OK",J452&gt;='01_Ficha_Dosis'!$C$23,F452&gt;='01_Ficha_Dosis'!$C$24,H452&gt;='01_Ficha_Dosis'!$C$14,H452&lt;='01_Ficha_Dosis'!$C$15),1,0))</f>
        <v/>
      </c>
      <c r="L452" s="12">
        <f t="shared" si="3"/>
        <v>0</v>
      </c>
    </row>
    <row r="453" ht="15.75" customHeight="1">
      <c r="A453" s="14"/>
      <c r="B453" s="14"/>
      <c r="C453" s="23"/>
      <c r="D453" s="23"/>
      <c r="E453" s="14"/>
      <c r="F453" s="14"/>
      <c r="G453" s="14"/>
      <c r="H453" s="24" t="str">
        <f t="shared" si="1"/>
        <v/>
      </c>
      <c r="I453" s="12" t="str">
        <f>IF(C453="","",INT((INT(C453)-'01_Ficha_Dosis'!$C$14)/7)+1)</f>
        <v/>
      </c>
      <c r="J453" s="12" t="str">
        <f t="shared" si="2"/>
        <v/>
      </c>
      <c r="K453" s="12" t="str">
        <f>IF(J453="","",IF(AND(G453="OK",J453&gt;='01_Ficha_Dosis'!$C$23,F453&gt;='01_Ficha_Dosis'!$C$24,H453&gt;='01_Ficha_Dosis'!$C$14,H453&lt;='01_Ficha_Dosis'!$C$15),1,0))</f>
        <v/>
      </c>
      <c r="L453" s="12">
        <f t="shared" si="3"/>
        <v>0</v>
      </c>
    </row>
    <row r="454" ht="15.75" customHeight="1">
      <c r="A454" s="14"/>
      <c r="B454" s="14"/>
      <c r="C454" s="23"/>
      <c r="D454" s="23"/>
      <c r="E454" s="14"/>
      <c r="F454" s="14"/>
      <c r="G454" s="14"/>
      <c r="H454" s="24" t="str">
        <f t="shared" si="1"/>
        <v/>
      </c>
      <c r="I454" s="12" t="str">
        <f>IF(C454="","",INT((INT(C454)-'01_Ficha_Dosis'!$C$14)/7)+1)</f>
        <v/>
      </c>
      <c r="J454" s="12" t="str">
        <f t="shared" si="2"/>
        <v/>
      </c>
      <c r="K454" s="12" t="str">
        <f>IF(J454="","",IF(AND(G454="OK",J454&gt;='01_Ficha_Dosis'!$C$23,F454&gt;='01_Ficha_Dosis'!$C$24,H454&gt;='01_Ficha_Dosis'!$C$14,H454&lt;='01_Ficha_Dosis'!$C$15),1,0))</f>
        <v/>
      </c>
      <c r="L454" s="12">
        <f t="shared" si="3"/>
        <v>0</v>
      </c>
    </row>
    <row r="455" ht="15.75" customHeight="1">
      <c r="A455" s="14"/>
      <c r="B455" s="14"/>
      <c r="C455" s="23"/>
      <c r="D455" s="23"/>
      <c r="E455" s="14"/>
      <c r="F455" s="14"/>
      <c r="G455" s="14"/>
      <c r="H455" s="24" t="str">
        <f t="shared" si="1"/>
        <v/>
      </c>
      <c r="I455" s="12" t="str">
        <f>IF(C455="","",INT((INT(C455)-'01_Ficha_Dosis'!$C$14)/7)+1)</f>
        <v/>
      </c>
      <c r="J455" s="12" t="str">
        <f t="shared" si="2"/>
        <v/>
      </c>
      <c r="K455" s="12" t="str">
        <f>IF(J455="","",IF(AND(G455="OK",J455&gt;='01_Ficha_Dosis'!$C$23,F455&gt;='01_Ficha_Dosis'!$C$24,H455&gt;='01_Ficha_Dosis'!$C$14,H455&lt;='01_Ficha_Dosis'!$C$15),1,0))</f>
        <v/>
      </c>
      <c r="L455" s="12">
        <f t="shared" si="3"/>
        <v>0</v>
      </c>
    </row>
    <row r="456" ht="15.75" customHeight="1">
      <c r="A456" s="14"/>
      <c r="B456" s="14"/>
      <c r="C456" s="23"/>
      <c r="D456" s="23"/>
      <c r="E456" s="14"/>
      <c r="F456" s="14"/>
      <c r="G456" s="14"/>
      <c r="H456" s="24" t="str">
        <f t="shared" si="1"/>
        <v/>
      </c>
      <c r="I456" s="12" t="str">
        <f>IF(C456="","",INT((INT(C456)-'01_Ficha_Dosis'!$C$14)/7)+1)</f>
        <v/>
      </c>
      <c r="J456" s="12" t="str">
        <f t="shared" si="2"/>
        <v/>
      </c>
      <c r="K456" s="12" t="str">
        <f>IF(J456="","",IF(AND(G456="OK",J456&gt;='01_Ficha_Dosis'!$C$23,F456&gt;='01_Ficha_Dosis'!$C$24,H456&gt;='01_Ficha_Dosis'!$C$14,H456&lt;='01_Ficha_Dosis'!$C$15),1,0))</f>
        <v/>
      </c>
      <c r="L456" s="12">
        <f t="shared" si="3"/>
        <v>0</v>
      </c>
    </row>
    <row r="457" ht="15.75" customHeight="1">
      <c r="A457" s="14"/>
      <c r="B457" s="14"/>
      <c r="C457" s="23"/>
      <c r="D457" s="23"/>
      <c r="E457" s="14"/>
      <c r="F457" s="14"/>
      <c r="G457" s="14"/>
      <c r="H457" s="24" t="str">
        <f t="shared" si="1"/>
        <v/>
      </c>
      <c r="I457" s="12" t="str">
        <f>IF(C457="","",INT((INT(C457)-'01_Ficha_Dosis'!$C$14)/7)+1)</f>
        <v/>
      </c>
      <c r="J457" s="12" t="str">
        <f t="shared" si="2"/>
        <v/>
      </c>
      <c r="K457" s="12" t="str">
        <f>IF(J457="","",IF(AND(G457="OK",J457&gt;='01_Ficha_Dosis'!$C$23,F457&gt;='01_Ficha_Dosis'!$C$24,H457&gt;='01_Ficha_Dosis'!$C$14,H457&lt;='01_Ficha_Dosis'!$C$15),1,0))</f>
        <v/>
      </c>
      <c r="L457" s="12">
        <f t="shared" si="3"/>
        <v>0</v>
      </c>
    </row>
    <row r="458" ht="15.75" customHeight="1">
      <c r="A458" s="14"/>
      <c r="B458" s="14"/>
      <c r="C458" s="23"/>
      <c r="D458" s="23"/>
      <c r="E458" s="14"/>
      <c r="F458" s="14"/>
      <c r="G458" s="14"/>
      <c r="H458" s="24" t="str">
        <f t="shared" si="1"/>
        <v/>
      </c>
      <c r="I458" s="12" t="str">
        <f>IF(C458="","",INT((INT(C458)-'01_Ficha_Dosis'!$C$14)/7)+1)</f>
        <v/>
      </c>
      <c r="J458" s="12" t="str">
        <f t="shared" si="2"/>
        <v/>
      </c>
      <c r="K458" s="12" t="str">
        <f>IF(J458="","",IF(AND(G458="OK",J458&gt;='01_Ficha_Dosis'!$C$23,F458&gt;='01_Ficha_Dosis'!$C$24,H458&gt;='01_Ficha_Dosis'!$C$14,H458&lt;='01_Ficha_Dosis'!$C$15),1,0))</f>
        <v/>
      </c>
      <c r="L458" s="12">
        <f t="shared" si="3"/>
        <v>0</v>
      </c>
    </row>
    <row r="459" ht="15.75" customHeight="1">
      <c r="A459" s="14"/>
      <c r="B459" s="14"/>
      <c r="C459" s="23"/>
      <c r="D459" s="23"/>
      <c r="E459" s="14"/>
      <c r="F459" s="14"/>
      <c r="G459" s="14"/>
      <c r="H459" s="24" t="str">
        <f t="shared" si="1"/>
        <v/>
      </c>
      <c r="I459" s="12" t="str">
        <f>IF(C459="","",INT((INT(C459)-'01_Ficha_Dosis'!$C$14)/7)+1)</f>
        <v/>
      </c>
      <c r="J459" s="12" t="str">
        <f t="shared" si="2"/>
        <v/>
      </c>
      <c r="K459" s="12" t="str">
        <f>IF(J459="","",IF(AND(G459="OK",J459&gt;='01_Ficha_Dosis'!$C$23,F459&gt;='01_Ficha_Dosis'!$C$24,H459&gt;='01_Ficha_Dosis'!$C$14,H459&lt;='01_Ficha_Dosis'!$C$15),1,0))</f>
        <v/>
      </c>
      <c r="L459" s="12">
        <f t="shared" si="3"/>
        <v>0</v>
      </c>
    </row>
    <row r="460" ht="15.75" customHeight="1">
      <c r="A460" s="14"/>
      <c r="B460" s="14"/>
      <c r="C460" s="23"/>
      <c r="D460" s="23"/>
      <c r="E460" s="14"/>
      <c r="F460" s="14"/>
      <c r="G460" s="14"/>
      <c r="H460" s="24" t="str">
        <f t="shared" si="1"/>
        <v/>
      </c>
      <c r="I460" s="12" t="str">
        <f>IF(C460="","",INT((INT(C460)-'01_Ficha_Dosis'!$C$14)/7)+1)</f>
        <v/>
      </c>
      <c r="J460" s="12" t="str">
        <f t="shared" si="2"/>
        <v/>
      </c>
      <c r="K460" s="12" t="str">
        <f>IF(J460="","",IF(AND(G460="OK",J460&gt;='01_Ficha_Dosis'!$C$23,F460&gt;='01_Ficha_Dosis'!$C$24,H460&gt;='01_Ficha_Dosis'!$C$14,H460&lt;='01_Ficha_Dosis'!$C$15),1,0))</f>
        <v/>
      </c>
      <c r="L460" s="12">
        <f t="shared" si="3"/>
        <v>0</v>
      </c>
    </row>
    <row r="461" ht="15.75" customHeight="1">
      <c r="A461" s="14"/>
      <c r="B461" s="14"/>
      <c r="C461" s="23"/>
      <c r="D461" s="23"/>
      <c r="E461" s="14"/>
      <c r="F461" s="14"/>
      <c r="G461" s="14"/>
      <c r="H461" s="24" t="str">
        <f t="shared" si="1"/>
        <v/>
      </c>
      <c r="I461" s="12" t="str">
        <f>IF(C461="","",INT((INT(C461)-'01_Ficha_Dosis'!$C$14)/7)+1)</f>
        <v/>
      </c>
      <c r="J461" s="12" t="str">
        <f t="shared" si="2"/>
        <v/>
      </c>
      <c r="K461" s="12" t="str">
        <f>IF(J461="","",IF(AND(G461="OK",J461&gt;='01_Ficha_Dosis'!$C$23,F461&gt;='01_Ficha_Dosis'!$C$24,H461&gt;='01_Ficha_Dosis'!$C$14,H461&lt;='01_Ficha_Dosis'!$C$15),1,0))</f>
        <v/>
      </c>
      <c r="L461" s="12">
        <f t="shared" si="3"/>
        <v>0</v>
      </c>
    </row>
    <row r="462" ht="15.75" customHeight="1">
      <c r="A462" s="14"/>
      <c r="B462" s="14"/>
      <c r="C462" s="23"/>
      <c r="D462" s="23"/>
      <c r="E462" s="14"/>
      <c r="F462" s="14"/>
      <c r="G462" s="14"/>
      <c r="H462" s="24" t="str">
        <f t="shared" si="1"/>
        <v/>
      </c>
      <c r="I462" s="12" t="str">
        <f>IF(C462="","",INT((INT(C462)-'01_Ficha_Dosis'!$C$14)/7)+1)</f>
        <v/>
      </c>
      <c r="J462" s="12" t="str">
        <f t="shared" si="2"/>
        <v/>
      </c>
      <c r="K462" s="12" t="str">
        <f>IF(J462="","",IF(AND(G462="OK",J462&gt;='01_Ficha_Dosis'!$C$23,F462&gt;='01_Ficha_Dosis'!$C$24,H462&gt;='01_Ficha_Dosis'!$C$14,H462&lt;='01_Ficha_Dosis'!$C$15),1,0))</f>
        <v/>
      </c>
      <c r="L462" s="12">
        <f t="shared" si="3"/>
        <v>0</v>
      </c>
    </row>
    <row r="463" ht="15.75" customHeight="1">
      <c r="A463" s="14"/>
      <c r="B463" s="14"/>
      <c r="C463" s="23"/>
      <c r="D463" s="23"/>
      <c r="E463" s="14"/>
      <c r="F463" s="14"/>
      <c r="G463" s="14"/>
      <c r="H463" s="24" t="str">
        <f t="shared" si="1"/>
        <v/>
      </c>
      <c r="I463" s="12" t="str">
        <f>IF(C463="","",INT((INT(C463)-'01_Ficha_Dosis'!$C$14)/7)+1)</f>
        <v/>
      </c>
      <c r="J463" s="12" t="str">
        <f t="shared" si="2"/>
        <v/>
      </c>
      <c r="K463" s="12" t="str">
        <f>IF(J463="","",IF(AND(G463="OK",J463&gt;='01_Ficha_Dosis'!$C$23,F463&gt;='01_Ficha_Dosis'!$C$24,H463&gt;='01_Ficha_Dosis'!$C$14,H463&lt;='01_Ficha_Dosis'!$C$15),1,0))</f>
        <v/>
      </c>
      <c r="L463" s="12">
        <f t="shared" si="3"/>
        <v>0</v>
      </c>
    </row>
    <row r="464" ht="15.75" customHeight="1">
      <c r="A464" s="14"/>
      <c r="B464" s="14"/>
      <c r="C464" s="23"/>
      <c r="D464" s="23"/>
      <c r="E464" s="14"/>
      <c r="F464" s="14"/>
      <c r="G464" s="14"/>
      <c r="H464" s="24" t="str">
        <f t="shared" si="1"/>
        <v/>
      </c>
      <c r="I464" s="12" t="str">
        <f>IF(C464="","",INT((INT(C464)-'01_Ficha_Dosis'!$C$14)/7)+1)</f>
        <v/>
      </c>
      <c r="J464" s="12" t="str">
        <f t="shared" si="2"/>
        <v/>
      </c>
      <c r="K464" s="12" t="str">
        <f>IF(J464="","",IF(AND(G464="OK",J464&gt;='01_Ficha_Dosis'!$C$23,F464&gt;='01_Ficha_Dosis'!$C$24,H464&gt;='01_Ficha_Dosis'!$C$14,H464&lt;='01_Ficha_Dosis'!$C$15),1,0))</f>
        <v/>
      </c>
      <c r="L464" s="12">
        <f t="shared" si="3"/>
        <v>0</v>
      </c>
    </row>
    <row r="465" ht="15.75" customHeight="1">
      <c r="A465" s="14"/>
      <c r="B465" s="14"/>
      <c r="C465" s="23"/>
      <c r="D465" s="23"/>
      <c r="E465" s="14"/>
      <c r="F465" s="14"/>
      <c r="G465" s="14"/>
      <c r="H465" s="24" t="str">
        <f t="shared" si="1"/>
        <v/>
      </c>
      <c r="I465" s="12" t="str">
        <f>IF(C465="","",INT((INT(C465)-'01_Ficha_Dosis'!$C$14)/7)+1)</f>
        <v/>
      </c>
      <c r="J465" s="12" t="str">
        <f t="shared" si="2"/>
        <v/>
      </c>
      <c r="K465" s="12" t="str">
        <f>IF(J465="","",IF(AND(G465="OK",J465&gt;='01_Ficha_Dosis'!$C$23,F465&gt;='01_Ficha_Dosis'!$C$24,H465&gt;='01_Ficha_Dosis'!$C$14,H465&lt;='01_Ficha_Dosis'!$C$15),1,0))</f>
        <v/>
      </c>
      <c r="L465" s="12">
        <f t="shared" si="3"/>
        <v>0</v>
      </c>
    </row>
    <row r="466" ht="15.75" customHeight="1">
      <c r="A466" s="14"/>
      <c r="B466" s="14"/>
      <c r="C466" s="23"/>
      <c r="D466" s="23"/>
      <c r="E466" s="14"/>
      <c r="F466" s="14"/>
      <c r="G466" s="14"/>
      <c r="H466" s="24" t="str">
        <f t="shared" si="1"/>
        <v/>
      </c>
      <c r="I466" s="12" t="str">
        <f>IF(C466="","",INT((INT(C466)-'01_Ficha_Dosis'!$C$14)/7)+1)</f>
        <v/>
      </c>
      <c r="J466" s="12" t="str">
        <f t="shared" si="2"/>
        <v/>
      </c>
      <c r="K466" s="12" t="str">
        <f>IF(J466="","",IF(AND(G466="OK",J466&gt;='01_Ficha_Dosis'!$C$23,F466&gt;='01_Ficha_Dosis'!$C$24,H466&gt;='01_Ficha_Dosis'!$C$14,H466&lt;='01_Ficha_Dosis'!$C$15),1,0))</f>
        <v/>
      </c>
      <c r="L466" s="12">
        <f t="shared" si="3"/>
        <v>0</v>
      </c>
    </row>
    <row r="467" ht="15.75" customHeight="1">
      <c r="A467" s="14"/>
      <c r="B467" s="14"/>
      <c r="C467" s="23"/>
      <c r="D467" s="23"/>
      <c r="E467" s="14"/>
      <c r="F467" s="14"/>
      <c r="G467" s="14"/>
      <c r="H467" s="24" t="str">
        <f t="shared" si="1"/>
        <v/>
      </c>
      <c r="I467" s="12" t="str">
        <f>IF(C467="","",INT((INT(C467)-'01_Ficha_Dosis'!$C$14)/7)+1)</f>
        <v/>
      </c>
      <c r="J467" s="12" t="str">
        <f t="shared" si="2"/>
        <v/>
      </c>
      <c r="K467" s="12" t="str">
        <f>IF(J467="","",IF(AND(G467="OK",J467&gt;='01_Ficha_Dosis'!$C$23,F467&gt;='01_Ficha_Dosis'!$C$24,H467&gt;='01_Ficha_Dosis'!$C$14,H467&lt;='01_Ficha_Dosis'!$C$15),1,0))</f>
        <v/>
      </c>
      <c r="L467" s="12">
        <f t="shared" si="3"/>
        <v>0</v>
      </c>
    </row>
    <row r="468" ht="15.75" customHeight="1">
      <c r="A468" s="14"/>
      <c r="B468" s="14"/>
      <c r="C468" s="23"/>
      <c r="D468" s="23"/>
      <c r="E468" s="14"/>
      <c r="F468" s="14"/>
      <c r="G468" s="14"/>
      <c r="H468" s="24" t="str">
        <f t="shared" si="1"/>
        <v/>
      </c>
      <c r="I468" s="12" t="str">
        <f>IF(C468="","",INT((INT(C468)-'01_Ficha_Dosis'!$C$14)/7)+1)</f>
        <v/>
      </c>
      <c r="J468" s="12" t="str">
        <f t="shared" si="2"/>
        <v/>
      </c>
      <c r="K468" s="12" t="str">
        <f>IF(J468="","",IF(AND(G468="OK",J468&gt;='01_Ficha_Dosis'!$C$23,F468&gt;='01_Ficha_Dosis'!$C$24,H468&gt;='01_Ficha_Dosis'!$C$14,H468&lt;='01_Ficha_Dosis'!$C$15),1,0))</f>
        <v/>
      </c>
      <c r="L468" s="12">
        <f t="shared" si="3"/>
        <v>0</v>
      </c>
    </row>
    <row r="469" ht="15.75" customHeight="1">
      <c r="A469" s="14"/>
      <c r="B469" s="14"/>
      <c r="C469" s="23"/>
      <c r="D469" s="23"/>
      <c r="E469" s="14"/>
      <c r="F469" s="14"/>
      <c r="G469" s="14"/>
      <c r="H469" s="24" t="str">
        <f t="shared" si="1"/>
        <v/>
      </c>
      <c r="I469" s="12" t="str">
        <f>IF(C469="","",INT((INT(C469)-'01_Ficha_Dosis'!$C$14)/7)+1)</f>
        <v/>
      </c>
      <c r="J469" s="12" t="str">
        <f t="shared" si="2"/>
        <v/>
      </c>
      <c r="K469" s="12" t="str">
        <f>IF(J469="","",IF(AND(G469="OK",J469&gt;='01_Ficha_Dosis'!$C$23,F469&gt;='01_Ficha_Dosis'!$C$24,H469&gt;='01_Ficha_Dosis'!$C$14,H469&lt;='01_Ficha_Dosis'!$C$15),1,0))</f>
        <v/>
      </c>
      <c r="L469" s="12">
        <f t="shared" si="3"/>
        <v>0</v>
      </c>
    </row>
    <row r="470" ht="15.75" customHeight="1">
      <c r="A470" s="14"/>
      <c r="B470" s="14"/>
      <c r="C470" s="23"/>
      <c r="D470" s="23"/>
      <c r="E470" s="14"/>
      <c r="F470" s="14"/>
      <c r="G470" s="14"/>
      <c r="H470" s="24" t="str">
        <f t="shared" si="1"/>
        <v/>
      </c>
      <c r="I470" s="12" t="str">
        <f>IF(C470="","",INT((INT(C470)-'01_Ficha_Dosis'!$C$14)/7)+1)</f>
        <v/>
      </c>
      <c r="J470" s="12" t="str">
        <f t="shared" si="2"/>
        <v/>
      </c>
      <c r="K470" s="12" t="str">
        <f>IF(J470="","",IF(AND(G470="OK",J470&gt;='01_Ficha_Dosis'!$C$23,F470&gt;='01_Ficha_Dosis'!$C$24,H470&gt;='01_Ficha_Dosis'!$C$14,H470&lt;='01_Ficha_Dosis'!$C$15),1,0))</f>
        <v/>
      </c>
      <c r="L470" s="12">
        <f t="shared" si="3"/>
        <v>0</v>
      </c>
    </row>
    <row r="471" ht="15.75" customHeight="1">
      <c r="A471" s="14"/>
      <c r="B471" s="14"/>
      <c r="C471" s="23"/>
      <c r="D471" s="23"/>
      <c r="E471" s="14"/>
      <c r="F471" s="14"/>
      <c r="G471" s="14"/>
      <c r="H471" s="24" t="str">
        <f t="shared" si="1"/>
        <v/>
      </c>
      <c r="I471" s="12" t="str">
        <f>IF(C471="","",INT((INT(C471)-'01_Ficha_Dosis'!$C$14)/7)+1)</f>
        <v/>
      </c>
      <c r="J471" s="12" t="str">
        <f t="shared" si="2"/>
        <v/>
      </c>
      <c r="K471" s="12" t="str">
        <f>IF(J471="","",IF(AND(G471="OK",J471&gt;='01_Ficha_Dosis'!$C$23,F471&gt;='01_Ficha_Dosis'!$C$24,H471&gt;='01_Ficha_Dosis'!$C$14,H471&lt;='01_Ficha_Dosis'!$C$15),1,0))</f>
        <v/>
      </c>
      <c r="L471" s="12">
        <f t="shared" si="3"/>
        <v>0</v>
      </c>
    </row>
    <row r="472" ht="15.75" customHeight="1">
      <c r="A472" s="14"/>
      <c r="B472" s="14"/>
      <c r="C472" s="23"/>
      <c r="D472" s="23"/>
      <c r="E472" s="14"/>
      <c r="F472" s="14"/>
      <c r="G472" s="14"/>
      <c r="H472" s="24" t="str">
        <f t="shared" si="1"/>
        <v/>
      </c>
      <c r="I472" s="12" t="str">
        <f>IF(C472="","",INT((INT(C472)-'01_Ficha_Dosis'!$C$14)/7)+1)</f>
        <v/>
      </c>
      <c r="J472" s="12" t="str">
        <f t="shared" si="2"/>
        <v/>
      </c>
      <c r="K472" s="12" t="str">
        <f>IF(J472="","",IF(AND(G472="OK",J472&gt;='01_Ficha_Dosis'!$C$23,F472&gt;='01_Ficha_Dosis'!$C$24,H472&gt;='01_Ficha_Dosis'!$C$14,H472&lt;='01_Ficha_Dosis'!$C$15),1,0))</f>
        <v/>
      </c>
      <c r="L472" s="12">
        <f t="shared" si="3"/>
        <v>0</v>
      </c>
    </row>
    <row r="473" ht="15.75" customHeight="1">
      <c r="A473" s="14"/>
      <c r="B473" s="14"/>
      <c r="C473" s="23"/>
      <c r="D473" s="23"/>
      <c r="E473" s="14"/>
      <c r="F473" s="14"/>
      <c r="G473" s="14"/>
      <c r="H473" s="24" t="str">
        <f t="shared" si="1"/>
        <v/>
      </c>
      <c r="I473" s="12" t="str">
        <f>IF(C473="","",INT((INT(C473)-'01_Ficha_Dosis'!$C$14)/7)+1)</f>
        <v/>
      </c>
      <c r="J473" s="12" t="str">
        <f t="shared" si="2"/>
        <v/>
      </c>
      <c r="K473" s="12" t="str">
        <f>IF(J473="","",IF(AND(G473="OK",J473&gt;='01_Ficha_Dosis'!$C$23,F473&gt;='01_Ficha_Dosis'!$C$24,H473&gt;='01_Ficha_Dosis'!$C$14,H473&lt;='01_Ficha_Dosis'!$C$15),1,0))</f>
        <v/>
      </c>
      <c r="L473" s="12">
        <f t="shared" si="3"/>
        <v>0</v>
      </c>
    </row>
    <row r="474" ht="15.75" customHeight="1">
      <c r="A474" s="14"/>
      <c r="B474" s="14"/>
      <c r="C474" s="23"/>
      <c r="D474" s="23"/>
      <c r="E474" s="14"/>
      <c r="F474" s="14"/>
      <c r="G474" s="14"/>
      <c r="H474" s="24" t="str">
        <f t="shared" si="1"/>
        <v/>
      </c>
      <c r="I474" s="12" t="str">
        <f>IF(C474="","",INT((INT(C474)-'01_Ficha_Dosis'!$C$14)/7)+1)</f>
        <v/>
      </c>
      <c r="J474" s="12" t="str">
        <f t="shared" si="2"/>
        <v/>
      </c>
      <c r="K474" s="12" t="str">
        <f>IF(J474="","",IF(AND(G474="OK",J474&gt;='01_Ficha_Dosis'!$C$23,F474&gt;='01_Ficha_Dosis'!$C$24,H474&gt;='01_Ficha_Dosis'!$C$14,H474&lt;='01_Ficha_Dosis'!$C$15),1,0))</f>
        <v/>
      </c>
      <c r="L474" s="12">
        <f t="shared" si="3"/>
        <v>0</v>
      </c>
    </row>
    <row r="475" ht="15.75" customHeight="1">
      <c r="A475" s="14"/>
      <c r="B475" s="14"/>
      <c r="C475" s="23"/>
      <c r="D475" s="23"/>
      <c r="E475" s="14"/>
      <c r="F475" s="14"/>
      <c r="G475" s="14"/>
      <c r="H475" s="24" t="str">
        <f t="shared" si="1"/>
        <v/>
      </c>
      <c r="I475" s="12" t="str">
        <f>IF(C475="","",INT((INT(C475)-'01_Ficha_Dosis'!$C$14)/7)+1)</f>
        <v/>
      </c>
      <c r="J475" s="12" t="str">
        <f t="shared" si="2"/>
        <v/>
      </c>
      <c r="K475" s="12" t="str">
        <f>IF(J475="","",IF(AND(G475="OK",J475&gt;='01_Ficha_Dosis'!$C$23,F475&gt;='01_Ficha_Dosis'!$C$24,H475&gt;='01_Ficha_Dosis'!$C$14,H475&lt;='01_Ficha_Dosis'!$C$15),1,0))</f>
        <v/>
      </c>
      <c r="L475" s="12">
        <f t="shared" si="3"/>
        <v>0</v>
      </c>
    </row>
    <row r="476" ht="15.75" customHeight="1">
      <c r="A476" s="14"/>
      <c r="B476" s="14"/>
      <c r="C476" s="23"/>
      <c r="D476" s="23"/>
      <c r="E476" s="14"/>
      <c r="F476" s="14"/>
      <c r="G476" s="14"/>
      <c r="H476" s="24" t="str">
        <f t="shared" si="1"/>
        <v/>
      </c>
      <c r="I476" s="12" t="str">
        <f>IF(C476="","",INT((INT(C476)-'01_Ficha_Dosis'!$C$14)/7)+1)</f>
        <v/>
      </c>
      <c r="J476" s="12" t="str">
        <f t="shared" si="2"/>
        <v/>
      </c>
      <c r="K476" s="12" t="str">
        <f>IF(J476="","",IF(AND(G476="OK",J476&gt;='01_Ficha_Dosis'!$C$23,F476&gt;='01_Ficha_Dosis'!$C$24,H476&gt;='01_Ficha_Dosis'!$C$14,H476&lt;='01_Ficha_Dosis'!$C$15),1,0))</f>
        <v/>
      </c>
      <c r="L476" s="12">
        <f t="shared" si="3"/>
        <v>0</v>
      </c>
    </row>
    <row r="477" ht="15.75" customHeight="1">
      <c r="A477" s="14"/>
      <c r="B477" s="14"/>
      <c r="C477" s="23"/>
      <c r="D477" s="23"/>
      <c r="E477" s="14"/>
      <c r="F477" s="14"/>
      <c r="G477" s="14"/>
      <c r="H477" s="24" t="str">
        <f t="shared" si="1"/>
        <v/>
      </c>
      <c r="I477" s="12" t="str">
        <f>IF(C477="","",INT((INT(C477)-'01_Ficha_Dosis'!$C$14)/7)+1)</f>
        <v/>
      </c>
      <c r="J477" s="12" t="str">
        <f t="shared" si="2"/>
        <v/>
      </c>
      <c r="K477" s="12" t="str">
        <f>IF(J477="","",IF(AND(G477="OK",J477&gt;='01_Ficha_Dosis'!$C$23,F477&gt;='01_Ficha_Dosis'!$C$24,H477&gt;='01_Ficha_Dosis'!$C$14,H477&lt;='01_Ficha_Dosis'!$C$15),1,0))</f>
        <v/>
      </c>
      <c r="L477" s="12">
        <f t="shared" si="3"/>
        <v>0</v>
      </c>
    </row>
    <row r="478" ht="15.75" customHeight="1">
      <c r="A478" s="14"/>
      <c r="B478" s="14"/>
      <c r="C478" s="23"/>
      <c r="D478" s="23"/>
      <c r="E478" s="14"/>
      <c r="F478" s="14"/>
      <c r="G478" s="14"/>
      <c r="H478" s="24" t="str">
        <f t="shared" si="1"/>
        <v/>
      </c>
      <c r="I478" s="12" t="str">
        <f>IF(C478="","",INT((INT(C478)-'01_Ficha_Dosis'!$C$14)/7)+1)</f>
        <v/>
      </c>
      <c r="J478" s="12" t="str">
        <f t="shared" si="2"/>
        <v/>
      </c>
      <c r="K478" s="12" t="str">
        <f>IF(J478="","",IF(AND(G478="OK",J478&gt;='01_Ficha_Dosis'!$C$23,F478&gt;='01_Ficha_Dosis'!$C$24,H478&gt;='01_Ficha_Dosis'!$C$14,H478&lt;='01_Ficha_Dosis'!$C$15),1,0))</f>
        <v/>
      </c>
      <c r="L478" s="12">
        <f t="shared" si="3"/>
        <v>0</v>
      </c>
    </row>
    <row r="479" ht="15.75" customHeight="1">
      <c r="A479" s="14"/>
      <c r="B479" s="14"/>
      <c r="C479" s="23"/>
      <c r="D479" s="23"/>
      <c r="E479" s="14"/>
      <c r="F479" s="14"/>
      <c r="G479" s="14"/>
      <c r="H479" s="24" t="str">
        <f t="shared" si="1"/>
        <v/>
      </c>
      <c r="I479" s="12" t="str">
        <f>IF(C479="","",INT((INT(C479)-'01_Ficha_Dosis'!$C$14)/7)+1)</f>
        <v/>
      </c>
      <c r="J479" s="12" t="str">
        <f t="shared" si="2"/>
        <v/>
      </c>
      <c r="K479" s="12" t="str">
        <f>IF(J479="","",IF(AND(G479="OK",J479&gt;='01_Ficha_Dosis'!$C$23,F479&gt;='01_Ficha_Dosis'!$C$24,H479&gt;='01_Ficha_Dosis'!$C$14,H479&lt;='01_Ficha_Dosis'!$C$15),1,0))</f>
        <v/>
      </c>
      <c r="L479" s="12">
        <f t="shared" si="3"/>
        <v>0</v>
      </c>
    </row>
    <row r="480" ht="15.75" customHeight="1">
      <c r="A480" s="14"/>
      <c r="B480" s="14"/>
      <c r="C480" s="23"/>
      <c r="D480" s="23"/>
      <c r="E480" s="14"/>
      <c r="F480" s="14"/>
      <c r="G480" s="14"/>
      <c r="H480" s="24" t="str">
        <f t="shared" si="1"/>
        <v/>
      </c>
      <c r="I480" s="12" t="str">
        <f>IF(C480="","",INT((INT(C480)-'01_Ficha_Dosis'!$C$14)/7)+1)</f>
        <v/>
      </c>
      <c r="J480" s="12" t="str">
        <f t="shared" si="2"/>
        <v/>
      </c>
      <c r="K480" s="12" t="str">
        <f>IF(J480="","",IF(AND(G480="OK",J480&gt;='01_Ficha_Dosis'!$C$23,F480&gt;='01_Ficha_Dosis'!$C$24,H480&gt;='01_Ficha_Dosis'!$C$14,H480&lt;='01_Ficha_Dosis'!$C$15),1,0))</f>
        <v/>
      </c>
      <c r="L480" s="12">
        <f t="shared" si="3"/>
        <v>0</v>
      </c>
    </row>
    <row r="481" ht="15.75" customHeight="1">
      <c r="A481" s="14"/>
      <c r="B481" s="14"/>
      <c r="C481" s="23"/>
      <c r="D481" s="23"/>
      <c r="E481" s="14"/>
      <c r="F481" s="14"/>
      <c r="G481" s="14"/>
      <c r="H481" s="24" t="str">
        <f t="shared" si="1"/>
        <v/>
      </c>
      <c r="I481" s="12" t="str">
        <f>IF(C481="","",INT((INT(C481)-'01_Ficha_Dosis'!$C$14)/7)+1)</f>
        <v/>
      </c>
      <c r="J481" s="12" t="str">
        <f t="shared" si="2"/>
        <v/>
      </c>
      <c r="K481" s="12" t="str">
        <f>IF(J481="","",IF(AND(G481="OK",J481&gt;='01_Ficha_Dosis'!$C$23,F481&gt;='01_Ficha_Dosis'!$C$24,H481&gt;='01_Ficha_Dosis'!$C$14,H481&lt;='01_Ficha_Dosis'!$C$15),1,0))</f>
        <v/>
      </c>
      <c r="L481" s="12">
        <f t="shared" si="3"/>
        <v>0</v>
      </c>
    </row>
    <row r="482" ht="15.75" customHeight="1">
      <c r="A482" s="14"/>
      <c r="B482" s="14"/>
      <c r="C482" s="23"/>
      <c r="D482" s="23"/>
      <c r="E482" s="14"/>
      <c r="F482" s="14"/>
      <c r="G482" s="14"/>
      <c r="H482" s="24" t="str">
        <f t="shared" si="1"/>
        <v/>
      </c>
      <c r="I482" s="12" t="str">
        <f>IF(C482="","",INT((INT(C482)-'01_Ficha_Dosis'!$C$14)/7)+1)</f>
        <v/>
      </c>
      <c r="J482" s="12" t="str">
        <f t="shared" si="2"/>
        <v/>
      </c>
      <c r="K482" s="12" t="str">
        <f>IF(J482="","",IF(AND(G482="OK",J482&gt;='01_Ficha_Dosis'!$C$23,F482&gt;='01_Ficha_Dosis'!$C$24,H482&gt;='01_Ficha_Dosis'!$C$14,H482&lt;='01_Ficha_Dosis'!$C$15),1,0))</f>
        <v/>
      </c>
      <c r="L482" s="12">
        <f t="shared" si="3"/>
        <v>0</v>
      </c>
    </row>
    <row r="483" ht="15.75" customHeight="1">
      <c r="A483" s="14"/>
      <c r="B483" s="14"/>
      <c r="C483" s="23"/>
      <c r="D483" s="23"/>
      <c r="E483" s="14"/>
      <c r="F483" s="14"/>
      <c r="G483" s="14"/>
      <c r="H483" s="24" t="str">
        <f t="shared" si="1"/>
        <v/>
      </c>
      <c r="I483" s="12" t="str">
        <f>IF(C483="","",INT((INT(C483)-'01_Ficha_Dosis'!$C$14)/7)+1)</f>
        <v/>
      </c>
      <c r="J483" s="12" t="str">
        <f t="shared" si="2"/>
        <v/>
      </c>
      <c r="K483" s="12" t="str">
        <f>IF(J483="","",IF(AND(G483="OK",J483&gt;='01_Ficha_Dosis'!$C$23,F483&gt;='01_Ficha_Dosis'!$C$24,H483&gt;='01_Ficha_Dosis'!$C$14,H483&lt;='01_Ficha_Dosis'!$C$15),1,0))</f>
        <v/>
      </c>
      <c r="L483" s="12">
        <f t="shared" si="3"/>
        <v>0</v>
      </c>
    </row>
    <row r="484" ht="15.75" customHeight="1">
      <c r="A484" s="14"/>
      <c r="B484" s="14"/>
      <c r="C484" s="23"/>
      <c r="D484" s="23"/>
      <c r="E484" s="14"/>
      <c r="F484" s="14"/>
      <c r="G484" s="14"/>
      <c r="H484" s="24" t="str">
        <f t="shared" si="1"/>
        <v/>
      </c>
      <c r="I484" s="12" t="str">
        <f>IF(C484="","",INT((INT(C484)-'01_Ficha_Dosis'!$C$14)/7)+1)</f>
        <v/>
      </c>
      <c r="J484" s="12" t="str">
        <f t="shared" si="2"/>
        <v/>
      </c>
      <c r="K484" s="12" t="str">
        <f>IF(J484="","",IF(AND(G484="OK",J484&gt;='01_Ficha_Dosis'!$C$23,F484&gt;='01_Ficha_Dosis'!$C$24,H484&gt;='01_Ficha_Dosis'!$C$14,H484&lt;='01_Ficha_Dosis'!$C$15),1,0))</f>
        <v/>
      </c>
      <c r="L484" s="12">
        <f t="shared" si="3"/>
        <v>0</v>
      </c>
    </row>
    <row r="485" ht="15.75" customHeight="1">
      <c r="A485" s="14"/>
      <c r="B485" s="14"/>
      <c r="C485" s="23"/>
      <c r="D485" s="23"/>
      <c r="E485" s="14"/>
      <c r="F485" s="14"/>
      <c r="G485" s="14"/>
      <c r="H485" s="24" t="str">
        <f t="shared" si="1"/>
        <v/>
      </c>
      <c r="I485" s="12" t="str">
        <f>IF(C485="","",INT((INT(C485)-'01_Ficha_Dosis'!$C$14)/7)+1)</f>
        <v/>
      </c>
      <c r="J485" s="12" t="str">
        <f t="shared" si="2"/>
        <v/>
      </c>
      <c r="K485" s="12" t="str">
        <f>IF(J485="","",IF(AND(G485="OK",J485&gt;='01_Ficha_Dosis'!$C$23,F485&gt;='01_Ficha_Dosis'!$C$24,H485&gt;='01_Ficha_Dosis'!$C$14,H485&lt;='01_Ficha_Dosis'!$C$15),1,0))</f>
        <v/>
      </c>
      <c r="L485" s="12">
        <f t="shared" si="3"/>
        <v>0</v>
      </c>
    </row>
    <row r="486" ht="15.75" customHeight="1">
      <c r="A486" s="14"/>
      <c r="B486" s="14"/>
      <c r="C486" s="23"/>
      <c r="D486" s="23"/>
      <c r="E486" s="14"/>
      <c r="F486" s="14"/>
      <c r="G486" s="14"/>
      <c r="H486" s="24" t="str">
        <f t="shared" si="1"/>
        <v/>
      </c>
      <c r="I486" s="12" t="str">
        <f>IF(C486="","",INT((INT(C486)-'01_Ficha_Dosis'!$C$14)/7)+1)</f>
        <v/>
      </c>
      <c r="J486" s="12" t="str">
        <f t="shared" si="2"/>
        <v/>
      </c>
      <c r="K486" s="12" t="str">
        <f>IF(J486="","",IF(AND(G486="OK",J486&gt;='01_Ficha_Dosis'!$C$23,F486&gt;='01_Ficha_Dosis'!$C$24,H486&gt;='01_Ficha_Dosis'!$C$14,H486&lt;='01_Ficha_Dosis'!$C$15),1,0))</f>
        <v/>
      </c>
      <c r="L486" s="12">
        <f t="shared" si="3"/>
        <v>0</v>
      </c>
    </row>
    <row r="487" ht="15.75" customHeight="1">
      <c r="A487" s="14"/>
      <c r="B487" s="14"/>
      <c r="C487" s="23"/>
      <c r="D487" s="23"/>
      <c r="E487" s="14"/>
      <c r="F487" s="14"/>
      <c r="G487" s="14"/>
      <c r="H487" s="24" t="str">
        <f t="shared" si="1"/>
        <v/>
      </c>
      <c r="I487" s="12" t="str">
        <f>IF(C487="","",INT((INT(C487)-'01_Ficha_Dosis'!$C$14)/7)+1)</f>
        <v/>
      </c>
      <c r="J487" s="12" t="str">
        <f t="shared" si="2"/>
        <v/>
      </c>
      <c r="K487" s="12" t="str">
        <f>IF(J487="","",IF(AND(G487="OK",J487&gt;='01_Ficha_Dosis'!$C$23,F487&gt;='01_Ficha_Dosis'!$C$24,H487&gt;='01_Ficha_Dosis'!$C$14,H487&lt;='01_Ficha_Dosis'!$C$15),1,0))</f>
        <v/>
      </c>
      <c r="L487" s="12">
        <f t="shared" si="3"/>
        <v>0</v>
      </c>
    </row>
    <row r="488" ht="15.75" customHeight="1">
      <c r="A488" s="14"/>
      <c r="B488" s="14"/>
      <c r="C488" s="23"/>
      <c r="D488" s="23"/>
      <c r="E488" s="14"/>
      <c r="F488" s="14"/>
      <c r="G488" s="14"/>
      <c r="H488" s="24" t="str">
        <f t="shared" si="1"/>
        <v/>
      </c>
      <c r="I488" s="12" t="str">
        <f>IF(C488="","",INT((INT(C488)-'01_Ficha_Dosis'!$C$14)/7)+1)</f>
        <v/>
      </c>
      <c r="J488" s="12" t="str">
        <f t="shared" si="2"/>
        <v/>
      </c>
      <c r="K488" s="12" t="str">
        <f>IF(J488="","",IF(AND(G488="OK",J488&gt;='01_Ficha_Dosis'!$C$23,F488&gt;='01_Ficha_Dosis'!$C$24,H488&gt;='01_Ficha_Dosis'!$C$14,H488&lt;='01_Ficha_Dosis'!$C$15),1,0))</f>
        <v/>
      </c>
      <c r="L488" s="12">
        <f t="shared" si="3"/>
        <v>0</v>
      </c>
    </row>
    <row r="489" ht="15.75" customHeight="1">
      <c r="A489" s="14"/>
      <c r="B489" s="14"/>
      <c r="C489" s="23"/>
      <c r="D489" s="23"/>
      <c r="E489" s="14"/>
      <c r="F489" s="14"/>
      <c r="G489" s="14"/>
      <c r="H489" s="24" t="str">
        <f t="shared" si="1"/>
        <v/>
      </c>
      <c r="I489" s="12" t="str">
        <f>IF(C489="","",INT((INT(C489)-'01_Ficha_Dosis'!$C$14)/7)+1)</f>
        <v/>
      </c>
      <c r="J489" s="12" t="str">
        <f t="shared" si="2"/>
        <v/>
      </c>
      <c r="K489" s="12" t="str">
        <f>IF(J489="","",IF(AND(G489="OK",J489&gt;='01_Ficha_Dosis'!$C$23,F489&gt;='01_Ficha_Dosis'!$C$24,H489&gt;='01_Ficha_Dosis'!$C$14,H489&lt;='01_Ficha_Dosis'!$C$15),1,0))</f>
        <v/>
      </c>
      <c r="L489" s="12">
        <f t="shared" si="3"/>
        <v>0</v>
      </c>
    </row>
    <row r="490" ht="15.75" customHeight="1">
      <c r="A490" s="14"/>
      <c r="B490" s="14"/>
      <c r="C490" s="23"/>
      <c r="D490" s="23"/>
      <c r="E490" s="14"/>
      <c r="F490" s="14"/>
      <c r="G490" s="14"/>
      <c r="H490" s="24" t="str">
        <f t="shared" si="1"/>
        <v/>
      </c>
      <c r="I490" s="12" t="str">
        <f>IF(C490="","",INT((INT(C490)-'01_Ficha_Dosis'!$C$14)/7)+1)</f>
        <v/>
      </c>
      <c r="J490" s="12" t="str">
        <f t="shared" si="2"/>
        <v/>
      </c>
      <c r="K490" s="12" t="str">
        <f>IF(J490="","",IF(AND(G490="OK",J490&gt;='01_Ficha_Dosis'!$C$23,F490&gt;='01_Ficha_Dosis'!$C$24,H490&gt;='01_Ficha_Dosis'!$C$14,H490&lt;='01_Ficha_Dosis'!$C$15),1,0))</f>
        <v/>
      </c>
      <c r="L490" s="12">
        <f t="shared" si="3"/>
        <v>0</v>
      </c>
    </row>
    <row r="491" ht="15.75" customHeight="1">
      <c r="A491" s="14"/>
      <c r="B491" s="14"/>
      <c r="C491" s="23"/>
      <c r="D491" s="23"/>
      <c r="E491" s="14"/>
      <c r="F491" s="14"/>
      <c r="G491" s="14"/>
      <c r="H491" s="24" t="str">
        <f t="shared" si="1"/>
        <v/>
      </c>
      <c r="I491" s="12" t="str">
        <f>IF(C491="","",INT((INT(C491)-'01_Ficha_Dosis'!$C$14)/7)+1)</f>
        <v/>
      </c>
      <c r="J491" s="12" t="str">
        <f t="shared" si="2"/>
        <v/>
      </c>
      <c r="K491" s="12" t="str">
        <f>IF(J491="","",IF(AND(G491="OK",J491&gt;='01_Ficha_Dosis'!$C$23,F491&gt;='01_Ficha_Dosis'!$C$24,H491&gt;='01_Ficha_Dosis'!$C$14,H491&lt;='01_Ficha_Dosis'!$C$15),1,0))</f>
        <v/>
      </c>
      <c r="L491" s="12">
        <f t="shared" si="3"/>
        <v>0</v>
      </c>
    </row>
    <row r="492" ht="15.75" customHeight="1">
      <c r="A492" s="14"/>
      <c r="B492" s="14"/>
      <c r="C492" s="23"/>
      <c r="D492" s="23"/>
      <c r="E492" s="14"/>
      <c r="F492" s="14"/>
      <c r="G492" s="14"/>
      <c r="H492" s="24" t="str">
        <f t="shared" si="1"/>
        <v/>
      </c>
      <c r="I492" s="12" t="str">
        <f>IF(C492="","",INT((INT(C492)-'01_Ficha_Dosis'!$C$14)/7)+1)</f>
        <v/>
      </c>
      <c r="J492" s="12" t="str">
        <f t="shared" si="2"/>
        <v/>
      </c>
      <c r="K492" s="12" t="str">
        <f>IF(J492="","",IF(AND(G492="OK",J492&gt;='01_Ficha_Dosis'!$C$23,F492&gt;='01_Ficha_Dosis'!$C$24,H492&gt;='01_Ficha_Dosis'!$C$14,H492&lt;='01_Ficha_Dosis'!$C$15),1,0))</f>
        <v/>
      </c>
      <c r="L492" s="12">
        <f t="shared" si="3"/>
        <v>0</v>
      </c>
    </row>
    <row r="493" ht="15.75" customHeight="1">
      <c r="A493" s="14"/>
      <c r="B493" s="14"/>
      <c r="C493" s="23"/>
      <c r="D493" s="23"/>
      <c r="E493" s="14"/>
      <c r="F493" s="14"/>
      <c r="G493" s="14"/>
      <c r="H493" s="24" t="str">
        <f t="shared" si="1"/>
        <v/>
      </c>
      <c r="I493" s="12" t="str">
        <f>IF(C493="","",INT((INT(C493)-'01_Ficha_Dosis'!$C$14)/7)+1)</f>
        <v/>
      </c>
      <c r="J493" s="12" t="str">
        <f t="shared" si="2"/>
        <v/>
      </c>
      <c r="K493" s="12" t="str">
        <f>IF(J493="","",IF(AND(G493="OK",J493&gt;='01_Ficha_Dosis'!$C$23,F493&gt;='01_Ficha_Dosis'!$C$24,H493&gt;='01_Ficha_Dosis'!$C$14,H493&lt;='01_Ficha_Dosis'!$C$15),1,0))</f>
        <v/>
      </c>
      <c r="L493" s="12">
        <f t="shared" si="3"/>
        <v>0</v>
      </c>
    </row>
    <row r="494" ht="15.75" customHeight="1">
      <c r="A494" s="14"/>
      <c r="B494" s="14"/>
      <c r="C494" s="23"/>
      <c r="D494" s="23"/>
      <c r="E494" s="14"/>
      <c r="F494" s="14"/>
      <c r="G494" s="14"/>
      <c r="H494" s="24" t="str">
        <f t="shared" si="1"/>
        <v/>
      </c>
      <c r="I494" s="12" t="str">
        <f>IF(C494="","",INT((INT(C494)-'01_Ficha_Dosis'!$C$14)/7)+1)</f>
        <v/>
      </c>
      <c r="J494" s="12" t="str">
        <f t="shared" si="2"/>
        <v/>
      </c>
      <c r="K494" s="12" t="str">
        <f>IF(J494="","",IF(AND(G494="OK",J494&gt;='01_Ficha_Dosis'!$C$23,F494&gt;='01_Ficha_Dosis'!$C$24,H494&gt;='01_Ficha_Dosis'!$C$14,H494&lt;='01_Ficha_Dosis'!$C$15),1,0))</f>
        <v/>
      </c>
      <c r="L494" s="12">
        <f t="shared" si="3"/>
        <v>0</v>
      </c>
    </row>
    <row r="495" ht="15.75" customHeight="1">
      <c r="A495" s="14"/>
      <c r="B495" s="14"/>
      <c r="C495" s="23"/>
      <c r="D495" s="23"/>
      <c r="E495" s="14"/>
      <c r="F495" s="14"/>
      <c r="G495" s="14"/>
      <c r="H495" s="24" t="str">
        <f t="shared" si="1"/>
        <v/>
      </c>
      <c r="I495" s="12" t="str">
        <f>IF(C495="","",INT((INT(C495)-'01_Ficha_Dosis'!$C$14)/7)+1)</f>
        <v/>
      </c>
      <c r="J495" s="12" t="str">
        <f t="shared" si="2"/>
        <v/>
      </c>
      <c r="K495" s="12" t="str">
        <f>IF(J495="","",IF(AND(G495="OK",J495&gt;='01_Ficha_Dosis'!$C$23,F495&gt;='01_Ficha_Dosis'!$C$24,H495&gt;='01_Ficha_Dosis'!$C$14,H495&lt;='01_Ficha_Dosis'!$C$15),1,0))</f>
        <v/>
      </c>
      <c r="L495" s="12">
        <f t="shared" si="3"/>
        <v>0</v>
      </c>
    </row>
    <row r="496" ht="15.75" customHeight="1">
      <c r="A496" s="14"/>
      <c r="B496" s="14"/>
      <c r="C496" s="23"/>
      <c r="D496" s="23"/>
      <c r="E496" s="14"/>
      <c r="F496" s="14"/>
      <c r="G496" s="14"/>
      <c r="H496" s="24" t="str">
        <f t="shared" si="1"/>
        <v/>
      </c>
      <c r="I496" s="12" t="str">
        <f>IF(C496="","",INT((INT(C496)-'01_Ficha_Dosis'!$C$14)/7)+1)</f>
        <v/>
      </c>
      <c r="J496" s="12" t="str">
        <f t="shared" si="2"/>
        <v/>
      </c>
      <c r="K496" s="12" t="str">
        <f>IF(J496="","",IF(AND(G496="OK",J496&gt;='01_Ficha_Dosis'!$C$23,F496&gt;='01_Ficha_Dosis'!$C$24,H496&gt;='01_Ficha_Dosis'!$C$14,H496&lt;='01_Ficha_Dosis'!$C$15),1,0))</f>
        <v/>
      </c>
      <c r="L496" s="12">
        <f t="shared" si="3"/>
        <v>0</v>
      </c>
    </row>
    <row r="497" ht="15.75" customHeight="1">
      <c r="A497" s="14"/>
      <c r="B497" s="14"/>
      <c r="C497" s="23"/>
      <c r="D497" s="23"/>
      <c r="E497" s="14"/>
      <c r="F497" s="14"/>
      <c r="G497" s="14"/>
      <c r="H497" s="24" t="str">
        <f t="shared" si="1"/>
        <v/>
      </c>
      <c r="I497" s="12" t="str">
        <f>IF(C497="","",INT((INT(C497)-'01_Ficha_Dosis'!$C$14)/7)+1)</f>
        <v/>
      </c>
      <c r="J497" s="12" t="str">
        <f t="shared" si="2"/>
        <v/>
      </c>
      <c r="K497" s="12" t="str">
        <f>IF(J497="","",IF(AND(G497="OK",J497&gt;='01_Ficha_Dosis'!$C$23,F497&gt;='01_Ficha_Dosis'!$C$24,H497&gt;='01_Ficha_Dosis'!$C$14,H497&lt;='01_Ficha_Dosis'!$C$15),1,0))</f>
        <v/>
      </c>
      <c r="L497" s="12">
        <f t="shared" si="3"/>
        <v>0</v>
      </c>
    </row>
    <row r="498" ht="15.75" customHeight="1">
      <c r="A498" s="14"/>
      <c r="B498" s="14"/>
      <c r="C498" s="23"/>
      <c r="D498" s="23"/>
      <c r="E498" s="14"/>
      <c r="F498" s="14"/>
      <c r="G498" s="14"/>
      <c r="H498" s="24" t="str">
        <f t="shared" si="1"/>
        <v/>
      </c>
      <c r="I498" s="12" t="str">
        <f>IF(C498="","",INT((INT(C498)-'01_Ficha_Dosis'!$C$14)/7)+1)</f>
        <v/>
      </c>
      <c r="J498" s="12" t="str">
        <f t="shared" si="2"/>
        <v/>
      </c>
      <c r="K498" s="12" t="str">
        <f>IF(J498="","",IF(AND(G498="OK",J498&gt;='01_Ficha_Dosis'!$C$23,F498&gt;='01_Ficha_Dosis'!$C$24,H498&gt;='01_Ficha_Dosis'!$C$14,H498&lt;='01_Ficha_Dosis'!$C$15),1,0))</f>
        <v/>
      </c>
      <c r="L498" s="12">
        <f t="shared" si="3"/>
        <v>0</v>
      </c>
    </row>
    <row r="499" ht="15.75" customHeight="1">
      <c r="A499" s="14"/>
      <c r="B499" s="14"/>
      <c r="C499" s="23"/>
      <c r="D499" s="23"/>
      <c r="E499" s="14"/>
      <c r="F499" s="14"/>
      <c r="G499" s="14"/>
      <c r="H499" s="24" t="str">
        <f t="shared" si="1"/>
        <v/>
      </c>
      <c r="I499" s="12" t="str">
        <f>IF(C499="","",INT((INT(C499)-'01_Ficha_Dosis'!$C$14)/7)+1)</f>
        <v/>
      </c>
      <c r="J499" s="12" t="str">
        <f t="shared" si="2"/>
        <v/>
      </c>
      <c r="K499" s="12" t="str">
        <f>IF(J499="","",IF(AND(G499="OK",J499&gt;='01_Ficha_Dosis'!$C$23,F499&gt;='01_Ficha_Dosis'!$C$24,H499&gt;='01_Ficha_Dosis'!$C$14,H499&lt;='01_Ficha_Dosis'!$C$15),1,0))</f>
        <v/>
      </c>
      <c r="L499" s="12">
        <f t="shared" si="3"/>
        <v>0</v>
      </c>
    </row>
    <row r="500" ht="15.75" customHeight="1">
      <c r="A500" s="14"/>
      <c r="B500" s="14"/>
      <c r="C500" s="23"/>
      <c r="D500" s="23"/>
      <c r="E500" s="14"/>
      <c r="F500" s="14"/>
      <c r="G500" s="14"/>
      <c r="H500" s="24" t="str">
        <f t="shared" si="1"/>
        <v/>
      </c>
      <c r="I500" s="12" t="str">
        <f>IF(C500="","",INT((INT(C500)-'01_Ficha_Dosis'!$C$14)/7)+1)</f>
        <v/>
      </c>
      <c r="J500" s="12" t="str">
        <f t="shared" si="2"/>
        <v/>
      </c>
      <c r="K500" s="12" t="str">
        <f>IF(J500="","",IF(AND(G500="OK",J500&gt;='01_Ficha_Dosis'!$C$23,F500&gt;='01_Ficha_Dosis'!$C$24,H500&gt;='01_Ficha_Dosis'!$C$14,H500&lt;='01_Ficha_Dosis'!$C$15),1,0))</f>
        <v/>
      </c>
      <c r="L500" s="12">
        <f t="shared" si="3"/>
        <v>0</v>
      </c>
    </row>
    <row r="501" ht="15.75" customHeight="1">
      <c r="A501" s="14"/>
      <c r="B501" s="14"/>
      <c r="C501" s="23"/>
      <c r="D501" s="23"/>
      <c r="E501" s="14"/>
      <c r="F501" s="14"/>
      <c r="G501" s="14"/>
      <c r="H501" s="24" t="str">
        <f t="shared" si="1"/>
        <v/>
      </c>
      <c r="I501" s="12" t="str">
        <f>IF(C501="","",INT((INT(C501)-'01_Ficha_Dosis'!$C$14)/7)+1)</f>
        <v/>
      </c>
      <c r="J501" s="12" t="str">
        <f t="shared" si="2"/>
        <v/>
      </c>
      <c r="K501" s="12" t="str">
        <f>IF(J501="","",IF(AND(G501="OK",J501&gt;='01_Ficha_Dosis'!$C$23,F501&gt;='01_Ficha_Dosis'!$C$24,H501&gt;='01_Ficha_Dosis'!$C$14,H501&lt;='01_Ficha_Dosis'!$C$15),1,0))</f>
        <v/>
      </c>
      <c r="L501" s="12">
        <f t="shared" si="3"/>
        <v>0</v>
      </c>
    </row>
    <row r="502" ht="15.75" customHeight="1">
      <c r="A502" s="14"/>
      <c r="B502" s="14"/>
      <c r="C502" s="23"/>
      <c r="D502" s="23"/>
      <c r="E502" s="14"/>
      <c r="F502" s="14"/>
      <c r="G502" s="14"/>
      <c r="H502" s="24" t="str">
        <f t="shared" si="1"/>
        <v/>
      </c>
      <c r="I502" s="12" t="str">
        <f>IF(C502="","",INT((INT(C502)-'01_Ficha_Dosis'!$C$14)/7)+1)</f>
        <v/>
      </c>
      <c r="J502" s="12" t="str">
        <f t="shared" si="2"/>
        <v/>
      </c>
      <c r="K502" s="12" t="str">
        <f>IF(J502="","",IF(AND(G502="OK",J502&gt;='01_Ficha_Dosis'!$C$23,F502&gt;='01_Ficha_Dosis'!$C$24,H502&gt;='01_Ficha_Dosis'!$C$14,H502&lt;='01_Ficha_Dosis'!$C$15),1,0))</f>
        <v/>
      </c>
      <c r="L502" s="12">
        <f t="shared" si="3"/>
        <v>0</v>
      </c>
    </row>
    <row r="503" ht="15.75" customHeight="1">
      <c r="A503" s="14"/>
      <c r="B503" s="14"/>
      <c r="C503" s="23"/>
      <c r="D503" s="23"/>
      <c r="E503" s="14"/>
      <c r="F503" s="14"/>
      <c r="G503" s="14"/>
      <c r="H503" s="24" t="str">
        <f t="shared" si="1"/>
        <v/>
      </c>
      <c r="I503" s="12" t="str">
        <f>IF(C503="","",INT((INT(C503)-'01_Ficha_Dosis'!$C$14)/7)+1)</f>
        <v/>
      </c>
      <c r="J503" s="12" t="str">
        <f t="shared" si="2"/>
        <v/>
      </c>
      <c r="K503" s="12" t="str">
        <f>IF(J503="","",IF(AND(G503="OK",J503&gt;='01_Ficha_Dosis'!$C$23,F503&gt;='01_Ficha_Dosis'!$C$24,H503&gt;='01_Ficha_Dosis'!$C$14,H503&lt;='01_Ficha_Dosis'!$C$15),1,0))</f>
        <v/>
      </c>
      <c r="L503" s="12">
        <f t="shared" si="3"/>
        <v>0</v>
      </c>
    </row>
    <row r="504" ht="15.75" customHeight="1">
      <c r="A504" s="14"/>
      <c r="B504" s="14"/>
      <c r="C504" s="23"/>
      <c r="D504" s="23"/>
      <c r="E504" s="14"/>
      <c r="F504" s="14"/>
      <c r="G504" s="14"/>
      <c r="H504" s="24" t="str">
        <f t="shared" si="1"/>
        <v/>
      </c>
      <c r="I504" s="12" t="str">
        <f>IF(C504="","",INT((INT(C504)-'01_Ficha_Dosis'!$C$14)/7)+1)</f>
        <v/>
      </c>
      <c r="J504" s="12" t="str">
        <f t="shared" si="2"/>
        <v/>
      </c>
      <c r="K504" s="12" t="str">
        <f>IF(J504="","",IF(AND(G504="OK",J504&gt;='01_Ficha_Dosis'!$C$23,F504&gt;='01_Ficha_Dosis'!$C$24,H504&gt;='01_Ficha_Dosis'!$C$14,H504&lt;='01_Ficha_Dosis'!$C$15),1,0))</f>
        <v/>
      </c>
      <c r="L504" s="12">
        <f t="shared" si="3"/>
        <v>0</v>
      </c>
    </row>
    <row r="505" ht="15.75" customHeight="1">
      <c r="A505" s="14"/>
      <c r="B505" s="14"/>
      <c r="C505" s="23"/>
      <c r="D505" s="23"/>
      <c r="E505" s="14"/>
      <c r="F505" s="14"/>
      <c r="G505" s="14"/>
      <c r="H505" s="24" t="str">
        <f t="shared" si="1"/>
        <v/>
      </c>
      <c r="I505" s="12" t="str">
        <f>IF(C505="","",INT((INT(C505)-'01_Ficha_Dosis'!$C$14)/7)+1)</f>
        <v/>
      </c>
      <c r="J505" s="12" t="str">
        <f t="shared" si="2"/>
        <v/>
      </c>
      <c r="K505" s="12" t="str">
        <f>IF(J505="","",IF(AND(G505="OK",J505&gt;='01_Ficha_Dosis'!$C$23,F505&gt;='01_Ficha_Dosis'!$C$24,H505&gt;='01_Ficha_Dosis'!$C$14,H505&lt;='01_Ficha_Dosis'!$C$15),1,0))</f>
        <v/>
      </c>
      <c r="L505" s="12">
        <f t="shared" si="3"/>
        <v>0</v>
      </c>
    </row>
    <row r="506" ht="15.75" customHeight="1">
      <c r="A506" s="14"/>
      <c r="B506" s="14"/>
      <c r="C506" s="23"/>
      <c r="D506" s="23"/>
      <c r="E506" s="14"/>
      <c r="F506" s="14"/>
      <c r="G506" s="14"/>
      <c r="H506" s="24" t="str">
        <f t="shared" si="1"/>
        <v/>
      </c>
      <c r="I506" s="12" t="str">
        <f>IF(C506="","",INT((INT(C506)-'01_Ficha_Dosis'!$C$14)/7)+1)</f>
        <v/>
      </c>
      <c r="J506" s="12" t="str">
        <f t="shared" si="2"/>
        <v/>
      </c>
      <c r="K506" s="12" t="str">
        <f>IF(J506="","",IF(AND(G506="OK",J506&gt;='01_Ficha_Dosis'!$C$23,F506&gt;='01_Ficha_Dosis'!$C$24,H506&gt;='01_Ficha_Dosis'!$C$14,H506&lt;='01_Ficha_Dosis'!$C$15),1,0))</f>
        <v/>
      </c>
      <c r="L506" s="12">
        <f t="shared" si="3"/>
        <v>0</v>
      </c>
    </row>
    <row r="507" ht="15.75" customHeight="1">
      <c r="A507" s="14"/>
      <c r="B507" s="14"/>
      <c r="C507" s="23"/>
      <c r="D507" s="23"/>
      <c r="E507" s="14"/>
      <c r="F507" s="14"/>
      <c r="G507" s="14"/>
      <c r="H507" s="24" t="str">
        <f t="shared" si="1"/>
        <v/>
      </c>
      <c r="I507" s="12" t="str">
        <f>IF(C507="","",INT((INT(C507)-'01_Ficha_Dosis'!$C$14)/7)+1)</f>
        <v/>
      </c>
      <c r="J507" s="12" t="str">
        <f t="shared" si="2"/>
        <v/>
      </c>
      <c r="K507" s="12" t="str">
        <f>IF(J507="","",IF(AND(G507="OK",J507&gt;='01_Ficha_Dosis'!$C$23,F507&gt;='01_Ficha_Dosis'!$C$24,H507&gt;='01_Ficha_Dosis'!$C$14,H507&lt;='01_Ficha_Dosis'!$C$15),1,0))</f>
        <v/>
      </c>
      <c r="L507" s="12">
        <f t="shared" si="3"/>
        <v>0</v>
      </c>
    </row>
    <row r="508" ht="15.75" customHeight="1">
      <c r="A508" s="14"/>
      <c r="B508" s="14"/>
      <c r="C508" s="23"/>
      <c r="D508" s="23"/>
      <c r="E508" s="14"/>
      <c r="F508" s="14"/>
      <c r="G508" s="14"/>
      <c r="H508" s="24" t="str">
        <f t="shared" si="1"/>
        <v/>
      </c>
      <c r="I508" s="12" t="str">
        <f>IF(C508="","",INT((INT(C508)-'01_Ficha_Dosis'!$C$14)/7)+1)</f>
        <v/>
      </c>
      <c r="J508" s="12" t="str">
        <f t="shared" si="2"/>
        <v/>
      </c>
      <c r="K508" s="12" t="str">
        <f>IF(J508="","",IF(AND(G508="OK",J508&gt;='01_Ficha_Dosis'!$C$23,F508&gt;='01_Ficha_Dosis'!$C$24,H508&gt;='01_Ficha_Dosis'!$C$14,H508&lt;='01_Ficha_Dosis'!$C$15),1,0))</f>
        <v/>
      </c>
      <c r="L508" s="12">
        <f t="shared" si="3"/>
        <v>0</v>
      </c>
    </row>
    <row r="509" ht="15.75" customHeight="1">
      <c r="A509" s="14"/>
      <c r="B509" s="14"/>
      <c r="C509" s="23"/>
      <c r="D509" s="23"/>
      <c r="E509" s="14"/>
      <c r="F509" s="14"/>
      <c r="G509" s="14"/>
      <c r="H509" s="24" t="str">
        <f t="shared" si="1"/>
        <v/>
      </c>
      <c r="I509" s="12" t="str">
        <f>IF(C509="","",INT((INT(C509)-'01_Ficha_Dosis'!$C$14)/7)+1)</f>
        <v/>
      </c>
      <c r="J509" s="12" t="str">
        <f t="shared" si="2"/>
        <v/>
      </c>
      <c r="K509" s="12" t="str">
        <f>IF(J509="","",IF(AND(G509="OK",J509&gt;='01_Ficha_Dosis'!$C$23,F509&gt;='01_Ficha_Dosis'!$C$24,H509&gt;='01_Ficha_Dosis'!$C$14,H509&lt;='01_Ficha_Dosis'!$C$15),1,0))</f>
        <v/>
      </c>
      <c r="L509" s="12">
        <f t="shared" si="3"/>
        <v>0</v>
      </c>
    </row>
    <row r="510" ht="15.75" customHeight="1">
      <c r="A510" s="14"/>
      <c r="B510" s="14"/>
      <c r="C510" s="23"/>
      <c r="D510" s="23"/>
      <c r="E510" s="14"/>
      <c r="F510" s="14"/>
      <c r="G510" s="14"/>
      <c r="H510" s="24" t="str">
        <f t="shared" si="1"/>
        <v/>
      </c>
      <c r="I510" s="12" t="str">
        <f>IF(C510="","",INT((INT(C510)-'01_Ficha_Dosis'!$C$14)/7)+1)</f>
        <v/>
      </c>
      <c r="J510" s="12" t="str">
        <f t="shared" si="2"/>
        <v/>
      </c>
      <c r="K510" s="12" t="str">
        <f>IF(J510="","",IF(AND(G510="OK",J510&gt;='01_Ficha_Dosis'!$C$23,F510&gt;='01_Ficha_Dosis'!$C$24,H510&gt;='01_Ficha_Dosis'!$C$14,H510&lt;='01_Ficha_Dosis'!$C$15),1,0))</f>
        <v/>
      </c>
      <c r="L510" s="12">
        <f t="shared" si="3"/>
        <v>0</v>
      </c>
    </row>
    <row r="511" ht="15.75" customHeight="1">
      <c r="A511" s="14"/>
      <c r="B511" s="14"/>
      <c r="C511" s="23"/>
      <c r="D511" s="23"/>
      <c r="E511" s="14"/>
      <c r="F511" s="14"/>
      <c r="G511" s="14"/>
      <c r="H511" s="24" t="str">
        <f t="shared" si="1"/>
        <v/>
      </c>
      <c r="I511" s="12" t="str">
        <f>IF(C511="","",INT((INT(C511)-'01_Ficha_Dosis'!$C$14)/7)+1)</f>
        <v/>
      </c>
      <c r="J511" s="12" t="str">
        <f t="shared" si="2"/>
        <v/>
      </c>
      <c r="K511" s="12" t="str">
        <f>IF(J511="","",IF(AND(G511="OK",J511&gt;='01_Ficha_Dosis'!$C$23,F511&gt;='01_Ficha_Dosis'!$C$24,H511&gt;='01_Ficha_Dosis'!$C$14,H511&lt;='01_Ficha_Dosis'!$C$15),1,0))</f>
        <v/>
      </c>
      <c r="L511" s="12">
        <f t="shared" si="3"/>
        <v>0</v>
      </c>
    </row>
    <row r="512" ht="15.75" customHeight="1">
      <c r="A512" s="14"/>
      <c r="B512" s="14"/>
      <c r="C512" s="23"/>
      <c r="D512" s="23"/>
      <c r="E512" s="14"/>
      <c r="F512" s="14"/>
      <c r="G512" s="14"/>
      <c r="H512" s="24" t="str">
        <f t="shared" si="1"/>
        <v/>
      </c>
      <c r="I512" s="12" t="str">
        <f>IF(C512="","",INT((INT(C512)-'01_Ficha_Dosis'!$C$14)/7)+1)</f>
        <v/>
      </c>
      <c r="J512" s="12" t="str">
        <f t="shared" si="2"/>
        <v/>
      </c>
      <c r="K512" s="12" t="str">
        <f>IF(J512="","",IF(AND(G512="OK",J512&gt;='01_Ficha_Dosis'!$C$23,F512&gt;='01_Ficha_Dosis'!$C$24,H512&gt;='01_Ficha_Dosis'!$C$14,H512&lt;='01_Ficha_Dosis'!$C$15),1,0))</f>
        <v/>
      </c>
      <c r="L512" s="12">
        <f t="shared" si="3"/>
        <v>0</v>
      </c>
    </row>
    <row r="513" ht="15.75" customHeight="1">
      <c r="A513" s="14"/>
      <c r="B513" s="14"/>
      <c r="C513" s="23"/>
      <c r="D513" s="23"/>
      <c r="E513" s="14"/>
      <c r="F513" s="14"/>
      <c r="G513" s="14"/>
      <c r="H513" s="24" t="str">
        <f t="shared" si="1"/>
        <v/>
      </c>
      <c r="I513" s="12" t="str">
        <f>IF(C513="","",INT((INT(C513)-'01_Ficha_Dosis'!$C$14)/7)+1)</f>
        <v/>
      </c>
      <c r="J513" s="12" t="str">
        <f t="shared" si="2"/>
        <v/>
      </c>
      <c r="K513" s="12" t="str">
        <f>IF(J513="","",IF(AND(G513="OK",J513&gt;='01_Ficha_Dosis'!$C$23,F513&gt;='01_Ficha_Dosis'!$C$24,H513&gt;='01_Ficha_Dosis'!$C$14,H513&lt;='01_Ficha_Dosis'!$C$15),1,0))</f>
        <v/>
      </c>
      <c r="L513" s="12">
        <f t="shared" si="3"/>
        <v>0</v>
      </c>
    </row>
    <row r="514" ht="15.75" customHeight="1">
      <c r="A514" s="14"/>
      <c r="B514" s="14"/>
      <c r="C514" s="23"/>
      <c r="D514" s="23"/>
      <c r="E514" s="14"/>
      <c r="F514" s="14"/>
      <c r="G514" s="14"/>
      <c r="H514" s="24" t="str">
        <f t="shared" si="1"/>
        <v/>
      </c>
      <c r="I514" s="12" t="str">
        <f>IF(C514="","",INT((INT(C514)-'01_Ficha_Dosis'!$C$14)/7)+1)</f>
        <v/>
      </c>
      <c r="J514" s="12" t="str">
        <f t="shared" si="2"/>
        <v/>
      </c>
      <c r="K514" s="12" t="str">
        <f>IF(J514="","",IF(AND(G514="OK",J514&gt;='01_Ficha_Dosis'!$C$23,F514&gt;='01_Ficha_Dosis'!$C$24,H514&gt;='01_Ficha_Dosis'!$C$14,H514&lt;='01_Ficha_Dosis'!$C$15),1,0))</f>
        <v/>
      </c>
      <c r="L514" s="12">
        <f t="shared" si="3"/>
        <v>0</v>
      </c>
    </row>
    <row r="515" ht="15.75" customHeight="1">
      <c r="A515" s="14"/>
      <c r="B515" s="14"/>
      <c r="C515" s="23"/>
      <c r="D515" s="23"/>
      <c r="E515" s="14"/>
      <c r="F515" s="14"/>
      <c r="G515" s="14"/>
      <c r="H515" s="24" t="str">
        <f t="shared" si="1"/>
        <v/>
      </c>
      <c r="I515" s="12" t="str">
        <f>IF(C515="","",INT((INT(C515)-'01_Ficha_Dosis'!$C$14)/7)+1)</f>
        <v/>
      </c>
      <c r="J515" s="12" t="str">
        <f t="shared" si="2"/>
        <v/>
      </c>
      <c r="K515" s="12" t="str">
        <f>IF(J515="","",IF(AND(G515="OK",J515&gt;='01_Ficha_Dosis'!$C$23,F515&gt;='01_Ficha_Dosis'!$C$24,H515&gt;='01_Ficha_Dosis'!$C$14,H515&lt;='01_Ficha_Dosis'!$C$15),1,0))</f>
        <v/>
      </c>
      <c r="L515" s="12">
        <f t="shared" si="3"/>
        <v>0</v>
      </c>
    </row>
    <row r="516" ht="15.75" customHeight="1">
      <c r="A516" s="14"/>
      <c r="B516" s="14"/>
      <c r="C516" s="23"/>
      <c r="D516" s="23"/>
      <c r="E516" s="14"/>
      <c r="F516" s="14"/>
      <c r="G516" s="14"/>
      <c r="H516" s="24" t="str">
        <f t="shared" si="1"/>
        <v/>
      </c>
      <c r="I516" s="12" t="str">
        <f>IF(C516="","",INT((INT(C516)-'01_Ficha_Dosis'!$C$14)/7)+1)</f>
        <v/>
      </c>
      <c r="J516" s="12" t="str">
        <f t="shared" si="2"/>
        <v/>
      </c>
      <c r="K516" s="12" t="str">
        <f>IF(J516="","",IF(AND(G516="OK",J516&gt;='01_Ficha_Dosis'!$C$23,F516&gt;='01_Ficha_Dosis'!$C$24,H516&gt;='01_Ficha_Dosis'!$C$14,H516&lt;='01_Ficha_Dosis'!$C$15),1,0))</f>
        <v/>
      </c>
      <c r="L516" s="12">
        <f t="shared" si="3"/>
        <v>0</v>
      </c>
    </row>
    <row r="517" ht="15.75" customHeight="1">
      <c r="A517" s="14"/>
      <c r="B517" s="14"/>
      <c r="C517" s="23"/>
      <c r="D517" s="23"/>
      <c r="E517" s="14"/>
      <c r="F517" s="14"/>
      <c r="G517" s="14"/>
      <c r="H517" s="24" t="str">
        <f t="shared" si="1"/>
        <v/>
      </c>
      <c r="I517" s="12" t="str">
        <f>IF(C517="","",INT((INT(C517)-'01_Ficha_Dosis'!$C$14)/7)+1)</f>
        <v/>
      </c>
      <c r="J517" s="12" t="str">
        <f t="shared" si="2"/>
        <v/>
      </c>
      <c r="K517" s="12" t="str">
        <f>IF(J517="","",IF(AND(G517="OK",J517&gt;='01_Ficha_Dosis'!$C$23,F517&gt;='01_Ficha_Dosis'!$C$24,H517&gt;='01_Ficha_Dosis'!$C$14,H517&lt;='01_Ficha_Dosis'!$C$15),1,0))</f>
        <v/>
      </c>
      <c r="L517" s="12">
        <f t="shared" si="3"/>
        <v>0</v>
      </c>
    </row>
    <row r="518" ht="15.75" customHeight="1">
      <c r="A518" s="14"/>
      <c r="B518" s="14"/>
      <c r="C518" s="23"/>
      <c r="D518" s="23"/>
      <c r="E518" s="14"/>
      <c r="F518" s="14"/>
      <c r="G518" s="14"/>
      <c r="H518" s="24" t="str">
        <f t="shared" si="1"/>
        <v/>
      </c>
      <c r="I518" s="12" t="str">
        <f>IF(C518="","",INT((INT(C518)-'01_Ficha_Dosis'!$C$14)/7)+1)</f>
        <v/>
      </c>
      <c r="J518" s="12" t="str">
        <f t="shared" si="2"/>
        <v/>
      </c>
      <c r="K518" s="12" t="str">
        <f>IF(J518="","",IF(AND(G518="OK",J518&gt;='01_Ficha_Dosis'!$C$23,F518&gt;='01_Ficha_Dosis'!$C$24,H518&gt;='01_Ficha_Dosis'!$C$14,H518&lt;='01_Ficha_Dosis'!$C$15),1,0))</f>
        <v/>
      </c>
      <c r="L518" s="12">
        <f t="shared" si="3"/>
        <v>0</v>
      </c>
    </row>
    <row r="519" ht="15.75" customHeight="1">
      <c r="A519" s="14"/>
      <c r="B519" s="14"/>
      <c r="C519" s="23"/>
      <c r="D519" s="23"/>
      <c r="E519" s="14"/>
      <c r="F519" s="14"/>
      <c r="G519" s="14"/>
      <c r="H519" s="24" t="str">
        <f t="shared" si="1"/>
        <v/>
      </c>
      <c r="I519" s="12" t="str">
        <f>IF(C519="","",INT((INT(C519)-'01_Ficha_Dosis'!$C$14)/7)+1)</f>
        <v/>
      </c>
      <c r="J519" s="12" t="str">
        <f t="shared" si="2"/>
        <v/>
      </c>
      <c r="K519" s="12" t="str">
        <f>IF(J519="","",IF(AND(G519="OK",J519&gt;='01_Ficha_Dosis'!$C$23,F519&gt;='01_Ficha_Dosis'!$C$24,H519&gt;='01_Ficha_Dosis'!$C$14,H519&lt;='01_Ficha_Dosis'!$C$15),1,0))</f>
        <v/>
      </c>
      <c r="L519" s="12">
        <f t="shared" si="3"/>
        <v>0</v>
      </c>
    </row>
    <row r="520" ht="15.75" customHeight="1">
      <c r="A520" s="14"/>
      <c r="B520" s="14"/>
      <c r="C520" s="23"/>
      <c r="D520" s="23"/>
      <c r="E520" s="14"/>
      <c r="F520" s="14"/>
      <c r="G520" s="14"/>
      <c r="H520" s="24" t="str">
        <f t="shared" si="1"/>
        <v/>
      </c>
      <c r="I520" s="12" t="str">
        <f>IF(C520="","",INT((INT(C520)-'01_Ficha_Dosis'!$C$14)/7)+1)</f>
        <v/>
      </c>
      <c r="J520" s="12" t="str">
        <f t="shared" si="2"/>
        <v/>
      </c>
      <c r="K520" s="12" t="str">
        <f>IF(J520="","",IF(AND(G520="OK",J520&gt;='01_Ficha_Dosis'!$C$23,F520&gt;='01_Ficha_Dosis'!$C$24,H520&gt;='01_Ficha_Dosis'!$C$14,H520&lt;='01_Ficha_Dosis'!$C$15),1,0))</f>
        <v/>
      </c>
      <c r="L520" s="12">
        <f t="shared" si="3"/>
        <v>0</v>
      </c>
    </row>
    <row r="521" ht="15.75" customHeight="1">
      <c r="A521" s="14"/>
      <c r="B521" s="14"/>
      <c r="C521" s="23"/>
      <c r="D521" s="23"/>
      <c r="E521" s="14"/>
      <c r="F521" s="14"/>
      <c r="G521" s="14"/>
      <c r="H521" s="24" t="str">
        <f t="shared" si="1"/>
        <v/>
      </c>
      <c r="I521" s="12" t="str">
        <f>IF(C521="","",INT((INT(C521)-'01_Ficha_Dosis'!$C$14)/7)+1)</f>
        <v/>
      </c>
      <c r="J521" s="12" t="str">
        <f t="shared" si="2"/>
        <v/>
      </c>
      <c r="K521" s="12" t="str">
        <f>IF(J521="","",IF(AND(G521="OK",J521&gt;='01_Ficha_Dosis'!$C$23,F521&gt;='01_Ficha_Dosis'!$C$24,H521&gt;='01_Ficha_Dosis'!$C$14,H521&lt;='01_Ficha_Dosis'!$C$15),1,0))</f>
        <v/>
      </c>
      <c r="L521" s="12">
        <f t="shared" si="3"/>
        <v>0</v>
      </c>
    </row>
    <row r="522" ht="15.75" customHeight="1">
      <c r="A522" s="14"/>
      <c r="B522" s="14"/>
      <c r="C522" s="23"/>
      <c r="D522" s="23"/>
      <c r="E522" s="14"/>
      <c r="F522" s="14"/>
      <c r="G522" s="14"/>
      <c r="H522" s="24" t="str">
        <f t="shared" si="1"/>
        <v/>
      </c>
      <c r="I522" s="12" t="str">
        <f>IF(C522="","",INT((INT(C522)-'01_Ficha_Dosis'!$C$14)/7)+1)</f>
        <v/>
      </c>
      <c r="J522" s="12" t="str">
        <f t="shared" si="2"/>
        <v/>
      </c>
      <c r="K522" s="12" t="str">
        <f>IF(J522="","",IF(AND(G522="OK",J522&gt;='01_Ficha_Dosis'!$C$23,F522&gt;='01_Ficha_Dosis'!$C$24,H522&gt;='01_Ficha_Dosis'!$C$14,H522&lt;='01_Ficha_Dosis'!$C$15),1,0))</f>
        <v/>
      </c>
      <c r="L522" s="12">
        <f t="shared" si="3"/>
        <v>0</v>
      </c>
    </row>
    <row r="523" ht="15.75" customHeight="1">
      <c r="A523" s="14"/>
      <c r="B523" s="14"/>
      <c r="C523" s="23"/>
      <c r="D523" s="23"/>
      <c r="E523" s="14"/>
      <c r="F523" s="14"/>
      <c r="G523" s="14"/>
      <c r="H523" s="24" t="str">
        <f t="shared" si="1"/>
        <v/>
      </c>
      <c r="I523" s="12" t="str">
        <f>IF(C523="","",INT((INT(C523)-'01_Ficha_Dosis'!$C$14)/7)+1)</f>
        <v/>
      </c>
      <c r="J523" s="12" t="str">
        <f t="shared" si="2"/>
        <v/>
      </c>
      <c r="K523" s="12" t="str">
        <f>IF(J523="","",IF(AND(G523="OK",J523&gt;='01_Ficha_Dosis'!$C$23,F523&gt;='01_Ficha_Dosis'!$C$24,H523&gt;='01_Ficha_Dosis'!$C$14,H523&lt;='01_Ficha_Dosis'!$C$15),1,0))</f>
        <v/>
      </c>
      <c r="L523" s="12">
        <f t="shared" si="3"/>
        <v>0</v>
      </c>
    </row>
    <row r="524" ht="15.75" customHeight="1">
      <c r="A524" s="14"/>
      <c r="B524" s="14"/>
      <c r="C524" s="23"/>
      <c r="D524" s="23"/>
      <c r="E524" s="14"/>
      <c r="F524" s="14"/>
      <c r="G524" s="14"/>
      <c r="H524" s="24" t="str">
        <f t="shared" si="1"/>
        <v/>
      </c>
      <c r="I524" s="12" t="str">
        <f>IF(C524="","",INT((INT(C524)-'01_Ficha_Dosis'!$C$14)/7)+1)</f>
        <v/>
      </c>
      <c r="J524" s="12" t="str">
        <f t="shared" si="2"/>
        <v/>
      </c>
      <c r="K524" s="12" t="str">
        <f>IF(J524="","",IF(AND(G524="OK",J524&gt;='01_Ficha_Dosis'!$C$23,F524&gt;='01_Ficha_Dosis'!$C$24,H524&gt;='01_Ficha_Dosis'!$C$14,H524&lt;='01_Ficha_Dosis'!$C$15),1,0))</f>
        <v/>
      </c>
      <c r="L524" s="12">
        <f t="shared" si="3"/>
        <v>0</v>
      </c>
    </row>
    <row r="525" ht="15.75" customHeight="1">
      <c r="A525" s="14"/>
      <c r="B525" s="14"/>
      <c r="C525" s="23"/>
      <c r="D525" s="23"/>
      <c r="E525" s="14"/>
      <c r="F525" s="14"/>
      <c r="G525" s="14"/>
      <c r="H525" s="24" t="str">
        <f t="shared" si="1"/>
        <v/>
      </c>
      <c r="I525" s="12" t="str">
        <f>IF(C525="","",INT((INT(C525)-'01_Ficha_Dosis'!$C$14)/7)+1)</f>
        <v/>
      </c>
      <c r="J525" s="12" t="str">
        <f t="shared" si="2"/>
        <v/>
      </c>
      <c r="K525" s="12" t="str">
        <f>IF(J525="","",IF(AND(G525="OK",J525&gt;='01_Ficha_Dosis'!$C$23,F525&gt;='01_Ficha_Dosis'!$C$24,H525&gt;='01_Ficha_Dosis'!$C$14,H525&lt;='01_Ficha_Dosis'!$C$15),1,0))</f>
        <v/>
      </c>
      <c r="L525" s="12">
        <f t="shared" si="3"/>
        <v>0</v>
      </c>
    </row>
    <row r="526" ht="15.75" customHeight="1">
      <c r="A526" s="14"/>
      <c r="B526" s="14"/>
      <c r="C526" s="23"/>
      <c r="D526" s="23"/>
      <c r="E526" s="14"/>
      <c r="F526" s="14"/>
      <c r="G526" s="14"/>
      <c r="H526" s="24" t="str">
        <f t="shared" si="1"/>
        <v/>
      </c>
      <c r="I526" s="12" t="str">
        <f>IF(C526="","",INT((INT(C526)-'01_Ficha_Dosis'!$C$14)/7)+1)</f>
        <v/>
      </c>
      <c r="J526" s="12" t="str">
        <f t="shared" si="2"/>
        <v/>
      </c>
      <c r="K526" s="12" t="str">
        <f>IF(J526="","",IF(AND(G526="OK",J526&gt;='01_Ficha_Dosis'!$C$23,F526&gt;='01_Ficha_Dosis'!$C$24,H526&gt;='01_Ficha_Dosis'!$C$14,H526&lt;='01_Ficha_Dosis'!$C$15),1,0))</f>
        <v/>
      </c>
      <c r="L526" s="12">
        <f t="shared" si="3"/>
        <v>0</v>
      </c>
    </row>
    <row r="527" ht="15.75" customHeight="1">
      <c r="A527" s="14"/>
      <c r="B527" s="14"/>
      <c r="C527" s="23"/>
      <c r="D527" s="23"/>
      <c r="E527" s="14"/>
      <c r="F527" s="14"/>
      <c r="G527" s="14"/>
      <c r="H527" s="24" t="str">
        <f t="shared" si="1"/>
        <v/>
      </c>
      <c r="I527" s="12" t="str">
        <f>IF(C527="","",INT((INT(C527)-'01_Ficha_Dosis'!$C$14)/7)+1)</f>
        <v/>
      </c>
      <c r="J527" s="12" t="str">
        <f t="shared" si="2"/>
        <v/>
      </c>
      <c r="K527" s="12" t="str">
        <f>IF(J527="","",IF(AND(G527="OK",J527&gt;='01_Ficha_Dosis'!$C$23,F527&gt;='01_Ficha_Dosis'!$C$24,H527&gt;='01_Ficha_Dosis'!$C$14,H527&lt;='01_Ficha_Dosis'!$C$15),1,0))</f>
        <v/>
      </c>
      <c r="L527" s="12">
        <f t="shared" si="3"/>
        <v>0</v>
      </c>
    </row>
    <row r="528" ht="15.75" customHeight="1">
      <c r="A528" s="14"/>
      <c r="B528" s="14"/>
      <c r="C528" s="23"/>
      <c r="D528" s="23"/>
      <c r="E528" s="14"/>
      <c r="F528" s="14"/>
      <c r="G528" s="14"/>
      <c r="H528" s="24" t="str">
        <f t="shared" si="1"/>
        <v/>
      </c>
      <c r="I528" s="12" t="str">
        <f>IF(C528="","",INT((INT(C528)-'01_Ficha_Dosis'!$C$14)/7)+1)</f>
        <v/>
      </c>
      <c r="J528" s="12" t="str">
        <f t="shared" si="2"/>
        <v/>
      </c>
      <c r="K528" s="12" t="str">
        <f>IF(J528="","",IF(AND(G528="OK",J528&gt;='01_Ficha_Dosis'!$C$23,F528&gt;='01_Ficha_Dosis'!$C$24,H528&gt;='01_Ficha_Dosis'!$C$14,H528&lt;='01_Ficha_Dosis'!$C$15),1,0))</f>
        <v/>
      </c>
      <c r="L528" s="12">
        <f t="shared" si="3"/>
        <v>0</v>
      </c>
    </row>
    <row r="529" ht="15.75" customHeight="1">
      <c r="A529" s="14"/>
      <c r="B529" s="14"/>
      <c r="C529" s="23"/>
      <c r="D529" s="23"/>
      <c r="E529" s="14"/>
      <c r="F529" s="14"/>
      <c r="G529" s="14"/>
      <c r="H529" s="24" t="str">
        <f t="shared" si="1"/>
        <v/>
      </c>
      <c r="I529" s="12" t="str">
        <f>IF(C529="","",INT((INT(C529)-'01_Ficha_Dosis'!$C$14)/7)+1)</f>
        <v/>
      </c>
      <c r="J529" s="12" t="str">
        <f t="shared" si="2"/>
        <v/>
      </c>
      <c r="K529" s="12" t="str">
        <f>IF(J529="","",IF(AND(G529="OK",J529&gt;='01_Ficha_Dosis'!$C$23,F529&gt;='01_Ficha_Dosis'!$C$24,H529&gt;='01_Ficha_Dosis'!$C$14,H529&lt;='01_Ficha_Dosis'!$C$15),1,0))</f>
        <v/>
      </c>
      <c r="L529" s="12">
        <f t="shared" si="3"/>
        <v>0</v>
      </c>
    </row>
    <row r="530" ht="15.75" customHeight="1">
      <c r="A530" s="14"/>
      <c r="B530" s="14"/>
      <c r="C530" s="23"/>
      <c r="D530" s="23"/>
      <c r="E530" s="14"/>
      <c r="F530" s="14"/>
      <c r="G530" s="14"/>
      <c r="H530" s="24" t="str">
        <f t="shared" si="1"/>
        <v/>
      </c>
      <c r="I530" s="12" t="str">
        <f>IF(C530="","",INT((INT(C530)-'01_Ficha_Dosis'!$C$14)/7)+1)</f>
        <v/>
      </c>
      <c r="J530" s="12" t="str">
        <f t="shared" si="2"/>
        <v/>
      </c>
      <c r="K530" s="12" t="str">
        <f>IF(J530="","",IF(AND(G530="OK",J530&gt;='01_Ficha_Dosis'!$C$23,F530&gt;='01_Ficha_Dosis'!$C$24,H530&gt;='01_Ficha_Dosis'!$C$14,H530&lt;='01_Ficha_Dosis'!$C$15),1,0))</f>
        <v/>
      </c>
      <c r="L530" s="12">
        <f t="shared" si="3"/>
        <v>0</v>
      </c>
    </row>
    <row r="531" ht="15.75" customHeight="1">
      <c r="A531" s="14"/>
      <c r="B531" s="14"/>
      <c r="C531" s="23"/>
      <c r="D531" s="23"/>
      <c r="E531" s="14"/>
      <c r="F531" s="14"/>
      <c r="G531" s="14"/>
      <c r="H531" s="24" t="str">
        <f t="shared" si="1"/>
        <v/>
      </c>
      <c r="I531" s="12" t="str">
        <f>IF(C531="","",INT((INT(C531)-'01_Ficha_Dosis'!$C$14)/7)+1)</f>
        <v/>
      </c>
      <c r="J531" s="12" t="str">
        <f t="shared" si="2"/>
        <v/>
      </c>
      <c r="K531" s="12" t="str">
        <f>IF(J531="","",IF(AND(G531="OK",J531&gt;='01_Ficha_Dosis'!$C$23,F531&gt;='01_Ficha_Dosis'!$C$24,H531&gt;='01_Ficha_Dosis'!$C$14,H531&lt;='01_Ficha_Dosis'!$C$15),1,0))</f>
        <v/>
      </c>
      <c r="L531" s="12">
        <f t="shared" si="3"/>
        <v>0</v>
      </c>
    </row>
    <row r="532" ht="15.75" customHeight="1">
      <c r="A532" s="14"/>
      <c r="B532" s="14"/>
      <c r="C532" s="23"/>
      <c r="D532" s="23"/>
      <c r="E532" s="14"/>
      <c r="F532" s="14"/>
      <c r="G532" s="14"/>
      <c r="H532" s="24" t="str">
        <f t="shared" si="1"/>
        <v/>
      </c>
      <c r="I532" s="12" t="str">
        <f>IF(C532="","",INT((INT(C532)-'01_Ficha_Dosis'!$C$14)/7)+1)</f>
        <v/>
      </c>
      <c r="J532" s="12" t="str">
        <f t="shared" si="2"/>
        <v/>
      </c>
      <c r="K532" s="12" t="str">
        <f>IF(J532="","",IF(AND(G532="OK",J532&gt;='01_Ficha_Dosis'!$C$23,F532&gt;='01_Ficha_Dosis'!$C$24,H532&gt;='01_Ficha_Dosis'!$C$14,H532&lt;='01_Ficha_Dosis'!$C$15),1,0))</f>
        <v/>
      </c>
      <c r="L532" s="12">
        <f t="shared" si="3"/>
        <v>0</v>
      </c>
    </row>
    <row r="533" ht="15.75" customHeight="1">
      <c r="A533" s="14"/>
      <c r="B533" s="14"/>
      <c r="C533" s="23"/>
      <c r="D533" s="23"/>
      <c r="E533" s="14"/>
      <c r="F533" s="14"/>
      <c r="G533" s="14"/>
      <c r="H533" s="24" t="str">
        <f t="shared" si="1"/>
        <v/>
      </c>
      <c r="I533" s="12" t="str">
        <f>IF(C533="","",INT((INT(C533)-'01_Ficha_Dosis'!$C$14)/7)+1)</f>
        <v/>
      </c>
      <c r="J533" s="12" t="str">
        <f t="shared" si="2"/>
        <v/>
      </c>
      <c r="K533" s="12" t="str">
        <f>IF(J533="","",IF(AND(G533="OK",J533&gt;='01_Ficha_Dosis'!$C$23,F533&gt;='01_Ficha_Dosis'!$C$24,H533&gt;='01_Ficha_Dosis'!$C$14,H533&lt;='01_Ficha_Dosis'!$C$15),1,0))</f>
        <v/>
      </c>
      <c r="L533" s="12">
        <f t="shared" si="3"/>
        <v>0</v>
      </c>
    </row>
    <row r="534" ht="15.75" customHeight="1">
      <c r="A534" s="14"/>
      <c r="B534" s="14"/>
      <c r="C534" s="23"/>
      <c r="D534" s="23"/>
      <c r="E534" s="14"/>
      <c r="F534" s="14"/>
      <c r="G534" s="14"/>
      <c r="H534" s="24" t="str">
        <f t="shared" si="1"/>
        <v/>
      </c>
      <c r="I534" s="12" t="str">
        <f>IF(C534="","",INT((INT(C534)-'01_Ficha_Dosis'!$C$14)/7)+1)</f>
        <v/>
      </c>
      <c r="J534" s="12" t="str">
        <f t="shared" si="2"/>
        <v/>
      </c>
      <c r="K534" s="12" t="str">
        <f>IF(J534="","",IF(AND(G534="OK",J534&gt;='01_Ficha_Dosis'!$C$23,F534&gt;='01_Ficha_Dosis'!$C$24,H534&gt;='01_Ficha_Dosis'!$C$14,H534&lt;='01_Ficha_Dosis'!$C$15),1,0))</f>
        <v/>
      </c>
      <c r="L534" s="12">
        <f t="shared" si="3"/>
        <v>0</v>
      </c>
    </row>
    <row r="535" ht="15.75" customHeight="1">
      <c r="A535" s="14"/>
      <c r="B535" s="14"/>
      <c r="C535" s="23"/>
      <c r="D535" s="23"/>
      <c r="E535" s="14"/>
      <c r="F535" s="14"/>
      <c r="G535" s="14"/>
      <c r="H535" s="24" t="str">
        <f t="shared" si="1"/>
        <v/>
      </c>
      <c r="I535" s="12" t="str">
        <f>IF(C535="","",INT((INT(C535)-'01_Ficha_Dosis'!$C$14)/7)+1)</f>
        <v/>
      </c>
      <c r="J535" s="12" t="str">
        <f t="shared" si="2"/>
        <v/>
      </c>
      <c r="K535" s="12" t="str">
        <f>IF(J535="","",IF(AND(G535="OK",J535&gt;='01_Ficha_Dosis'!$C$23,F535&gt;='01_Ficha_Dosis'!$C$24,H535&gt;='01_Ficha_Dosis'!$C$14,H535&lt;='01_Ficha_Dosis'!$C$15),1,0))</f>
        <v/>
      </c>
      <c r="L535" s="12">
        <f t="shared" si="3"/>
        <v>0</v>
      </c>
    </row>
    <row r="536" ht="15.75" customHeight="1">
      <c r="A536" s="14"/>
      <c r="B536" s="14"/>
      <c r="C536" s="23"/>
      <c r="D536" s="23"/>
      <c r="E536" s="14"/>
      <c r="F536" s="14"/>
      <c r="G536" s="14"/>
      <c r="H536" s="24" t="str">
        <f t="shared" si="1"/>
        <v/>
      </c>
      <c r="I536" s="12" t="str">
        <f>IF(C536="","",INT((INT(C536)-'01_Ficha_Dosis'!$C$14)/7)+1)</f>
        <v/>
      </c>
      <c r="J536" s="12" t="str">
        <f t="shared" si="2"/>
        <v/>
      </c>
      <c r="K536" s="12" t="str">
        <f>IF(J536="","",IF(AND(G536="OK",J536&gt;='01_Ficha_Dosis'!$C$23,F536&gt;='01_Ficha_Dosis'!$C$24,H536&gt;='01_Ficha_Dosis'!$C$14,H536&lt;='01_Ficha_Dosis'!$C$15),1,0))</f>
        <v/>
      </c>
      <c r="L536" s="12">
        <f t="shared" si="3"/>
        <v>0</v>
      </c>
    </row>
    <row r="537" ht="15.75" customHeight="1">
      <c r="A537" s="14"/>
      <c r="B537" s="14"/>
      <c r="C537" s="23"/>
      <c r="D537" s="23"/>
      <c r="E537" s="14"/>
      <c r="F537" s="14"/>
      <c r="G537" s="14"/>
      <c r="H537" s="24" t="str">
        <f t="shared" si="1"/>
        <v/>
      </c>
      <c r="I537" s="12" t="str">
        <f>IF(C537="","",INT((INT(C537)-'01_Ficha_Dosis'!$C$14)/7)+1)</f>
        <v/>
      </c>
      <c r="J537" s="12" t="str">
        <f t="shared" si="2"/>
        <v/>
      </c>
      <c r="K537" s="12" t="str">
        <f>IF(J537="","",IF(AND(G537="OK",J537&gt;='01_Ficha_Dosis'!$C$23,F537&gt;='01_Ficha_Dosis'!$C$24,H537&gt;='01_Ficha_Dosis'!$C$14,H537&lt;='01_Ficha_Dosis'!$C$15),1,0))</f>
        <v/>
      </c>
      <c r="L537" s="12">
        <f t="shared" si="3"/>
        <v>0</v>
      </c>
    </row>
    <row r="538" ht="15.75" customHeight="1">
      <c r="A538" s="14"/>
      <c r="B538" s="14"/>
      <c r="C538" s="23"/>
      <c r="D538" s="23"/>
      <c r="E538" s="14"/>
      <c r="F538" s="14"/>
      <c r="G538" s="14"/>
      <c r="H538" s="24" t="str">
        <f t="shared" si="1"/>
        <v/>
      </c>
      <c r="I538" s="12" t="str">
        <f>IF(C538="","",INT((INT(C538)-'01_Ficha_Dosis'!$C$14)/7)+1)</f>
        <v/>
      </c>
      <c r="J538" s="12" t="str">
        <f t="shared" si="2"/>
        <v/>
      </c>
      <c r="K538" s="12" t="str">
        <f>IF(J538="","",IF(AND(G538="OK",J538&gt;='01_Ficha_Dosis'!$C$23,F538&gt;='01_Ficha_Dosis'!$C$24,H538&gt;='01_Ficha_Dosis'!$C$14,H538&lt;='01_Ficha_Dosis'!$C$15),1,0))</f>
        <v/>
      </c>
      <c r="L538" s="12">
        <f t="shared" si="3"/>
        <v>0</v>
      </c>
    </row>
    <row r="539" ht="15.75" customHeight="1">
      <c r="A539" s="14"/>
      <c r="B539" s="14"/>
      <c r="C539" s="23"/>
      <c r="D539" s="23"/>
      <c r="E539" s="14"/>
      <c r="F539" s="14"/>
      <c r="G539" s="14"/>
      <c r="H539" s="24" t="str">
        <f t="shared" si="1"/>
        <v/>
      </c>
      <c r="I539" s="12" t="str">
        <f>IF(C539="","",INT((INT(C539)-'01_Ficha_Dosis'!$C$14)/7)+1)</f>
        <v/>
      </c>
      <c r="J539" s="12" t="str">
        <f t="shared" si="2"/>
        <v/>
      </c>
      <c r="K539" s="12" t="str">
        <f>IF(J539="","",IF(AND(G539="OK",J539&gt;='01_Ficha_Dosis'!$C$23,F539&gt;='01_Ficha_Dosis'!$C$24,H539&gt;='01_Ficha_Dosis'!$C$14,H539&lt;='01_Ficha_Dosis'!$C$15),1,0))</f>
        <v/>
      </c>
      <c r="L539" s="12">
        <f t="shared" si="3"/>
        <v>0</v>
      </c>
    </row>
    <row r="540" ht="15.75" customHeight="1">
      <c r="A540" s="14"/>
      <c r="B540" s="14"/>
      <c r="C540" s="23"/>
      <c r="D540" s="23"/>
      <c r="E540" s="14"/>
      <c r="F540" s="14"/>
      <c r="G540" s="14"/>
      <c r="H540" s="24" t="str">
        <f t="shared" si="1"/>
        <v/>
      </c>
      <c r="I540" s="12" t="str">
        <f>IF(C540="","",INT((INT(C540)-'01_Ficha_Dosis'!$C$14)/7)+1)</f>
        <v/>
      </c>
      <c r="J540" s="12" t="str">
        <f t="shared" si="2"/>
        <v/>
      </c>
      <c r="K540" s="12" t="str">
        <f>IF(J540="","",IF(AND(G540="OK",J540&gt;='01_Ficha_Dosis'!$C$23,F540&gt;='01_Ficha_Dosis'!$C$24,H540&gt;='01_Ficha_Dosis'!$C$14,H540&lt;='01_Ficha_Dosis'!$C$15),1,0))</f>
        <v/>
      </c>
      <c r="L540" s="12">
        <f t="shared" si="3"/>
        <v>0</v>
      </c>
    </row>
    <row r="541" ht="15.75" customHeight="1">
      <c r="A541" s="14"/>
      <c r="B541" s="14"/>
      <c r="C541" s="23"/>
      <c r="D541" s="23"/>
      <c r="E541" s="14"/>
      <c r="F541" s="14"/>
      <c r="G541" s="14"/>
      <c r="H541" s="24" t="str">
        <f t="shared" si="1"/>
        <v/>
      </c>
      <c r="I541" s="12" t="str">
        <f>IF(C541="","",INT((INT(C541)-'01_Ficha_Dosis'!$C$14)/7)+1)</f>
        <v/>
      </c>
      <c r="J541" s="12" t="str">
        <f t="shared" si="2"/>
        <v/>
      </c>
      <c r="K541" s="12" t="str">
        <f>IF(J541="","",IF(AND(G541="OK",J541&gt;='01_Ficha_Dosis'!$C$23,F541&gt;='01_Ficha_Dosis'!$C$24,H541&gt;='01_Ficha_Dosis'!$C$14,H541&lt;='01_Ficha_Dosis'!$C$15),1,0))</f>
        <v/>
      </c>
      <c r="L541" s="12">
        <f t="shared" si="3"/>
        <v>0</v>
      </c>
    </row>
    <row r="542" ht="15.75" customHeight="1">
      <c r="A542" s="14"/>
      <c r="B542" s="14"/>
      <c r="C542" s="23"/>
      <c r="D542" s="23"/>
      <c r="E542" s="14"/>
      <c r="F542" s="14"/>
      <c r="G542" s="14"/>
      <c r="H542" s="24" t="str">
        <f t="shared" si="1"/>
        <v/>
      </c>
      <c r="I542" s="12" t="str">
        <f>IF(C542="","",INT((INT(C542)-'01_Ficha_Dosis'!$C$14)/7)+1)</f>
        <v/>
      </c>
      <c r="J542" s="12" t="str">
        <f t="shared" si="2"/>
        <v/>
      </c>
      <c r="K542" s="12" t="str">
        <f>IF(J542="","",IF(AND(G542="OK",J542&gt;='01_Ficha_Dosis'!$C$23,F542&gt;='01_Ficha_Dosis'!$C$24,H542&gt;='01_Ficha_Dosis'!$C$14,H542&lt;='01_Ficha_Dosis'!$C$15),1,0))</f>
        <v/>
      </c>
      <c r="L542" s="12">
        <f t="shared" si="3"/>
        <v>0</v>
      </c>
    </row>
    <row r="543" ht="15.75" customHeight="1">
      <c r="A543" s="14"/>
      <c r="B543" s="14"/>
      <c r="C543" s="23"/>
      <c r="D543" s="23"/>
      <c r="E543" s="14"/>
      <c r="F543" s="14"/>
      <c r="G543" s="14"/>
      <c r="H543" s="24" t="str">
        <f t="shared" si="1"/>
        <v/>
      </c>
      <c r="I543" s="12" t="str">
        <f>IF(C543="","",INT((INT(C543)-'01_Ficha_Dosis'!$C$14)/7)+1)</f>
        <v/>
      </c>
      <c r="J543" s="12" t="str">
        <f t="shared" si="2"/>
        <v/>
      </c>
      <c r="K543" s="12" t="str">
        <f>IF(J543="","",IF(AND(G543="OK",J543&gt;='01_Ficha_Dosis'!$C$23,F543&gt;='01_Ficha_Dosis'!$C$24,H543&gt;='01_Ficha_Dosis'!$C$14,H543&lt;='01_Ficha_Dosis'!$C$15),1,0))</f>
        <v/>
      </c>
      <c r="L543" s="12">
        <f t="shared" si="3"/>
        <v>0</v>
      </c>
    </row>
    <row r="544" ht="15.75" customHeight="1">
      <c r="A544" s="14"/>
      <c r="B544" s="14"/>
      <c r="C544" s="23"/>
      <c r="D544" s="23"/>
      <c r="E544" s="14"/>
      <c r="F544" s="14"/>
      <c r="G544" s="14"/>
      <c r="H544" s="24" t="str">
        <f t="shared" si="1"/>
        <v/>
      </c>
      <c r="I544" s="12" t="str">
        <f>IF(C544="","",INT((INT(C544)-'01_Ficha_Dosis'!$C$14)/7)+1)</f>
        <v/>
      </c>
      <c r="J544" s="12" t="str">
        <f t="shared" si="2"/>
        <v/>
      </c>
      <c r="K544" s="12" t="str">
        <f>IF(J544="","",IF(AND(G544="OK",J544&gt;='01_Ficha_Dosis'!$C$23,F544&gt;='01_Ficha_Dosis'!$C$24,H544&gt;='01_Ficha_Dosis'!$C$14,H544&lt;='01_Ficha_Dosis'!$C$15),1,0))</f>
        <v/>
      </c>
      <c r="L544" s="12">
        <f t="shared" si="3"/>
        <v>0</v>
      </c>
    </row>
    <row r="545" ht="15.75" customHeight="1">
      <c r="A545" s="14"/>
      <c r="B545" s="14"/>
      <c r="C545" s="23"/>
      <c r="D545" s="23"/>
      <c r="E545" s="14"/>
      <c r="F545" s="14"/>
      <c r="G545" s="14"/>
      <c r="H545" s="24" t="str">
        <f t="shared" si="1"/>
        <v/>
      </c>
      <c r="I545" s="12" t="str">
        <f>IF(C545="","",INT((INT(C545)-'01_Ficha_Dosis'!$C$14)/7)+1)</f>
        <v/>
      </c>
      <c r="J545" s="12" t="str">
        <f t="shared" si="2"/>
        <v/>
      </c>
      <c r="K545" s="12" t="str">
        <f>IF(J545="","",IF(AND(G545="OK",J545&gt;='01_Ficha_Dosis'!$C$23,F545&gt;='01_Ficha_Dosis'!$C$24,H545&gt;='01_Ficha_Dosis'!$C$14,H545&lt;='01_Ficha_Dosis'!$C$15),1,0))</f>
        <v/>
      </c>
      <c r="L545" s="12">
        <f t="shared" si="3"/>
        <v>0</v>
      </c>
    </row>
    <row r="546" ht="15.75" customHeight="1">
      <c r="A546" s="14"/>
      <c r="B546" s="14"/>
      <c r="C546" s="23"/>
      <c r="D546" s="23"/>
      <c r="E546" s="14"/>
      <c r="F546" s="14"/>
      <c r="G546" s="14"/>
      <c r="H546" s="24" t="str">
        <f t="shared" si="1"/>
        <v/>
      </c>
      <c r="I546" s="12" t="str">
        <f>IF(C546="","",INT((INT(C546)-'01_Ficha_Dosis'!$C$14)/7)+1)</f>
        <v/>
      </c>
      <c r="J546" s="12" t="str">
        <f t="shared" si="2"/>
        <v/>
      </c>
      <c r="K546" s="12" t="str">
        <f>IF(J546="","",IF(AND(G546="OK",J546&gt;='01_Ficha_Dosis'!$C$23,F546&gt;='01_Ficha_Dosis'!$C$24,H546&gt;='01_Ficha_Dosis'!$C$14,H546&lt;='01_Ficha_Dosis'!$C$15),1,0))</f>
        <v/>
      </c>
      <c r="L546" s="12">
        <f t="shared" si="3"/>
        <v>0</v>
      </c>
    </row>
    <row r="547" ht="15.75" customHeight="1">
      <c r="A547" s="14"/>
      <c r="B547" s="14"/>
      <c r="C547" s="23"/>
      <c r="D547" s="23"/>
      <c r="E547" s="14"/>
      <c r="F547" s="14"/>
      <c r="G547" s="14"/>
      <c r="H547" s="24" t="str">
        <f t="shared" si="1"/>
        <v/>
      </c>
      <c r="I547" s="12" t="str">
        <f>IF(C547="","",INT((INT(C547)-'01_Ficha_Dosis'!$C$14)/7)+1)</f>
        <v/>
      </c>
      <c r="J547" s="12" t="str">
        <f t="shared" si="2"/>
        <v/>
      </c>
      <c r="K547" s="12" t="str">
        <f>IF(J547="","",IF(AND(G547="OK",J547&gt;='01_Ficha_Dosis'!$C$23,F547&gt;='01_Ficha_Dosis'!$C$24,H547&gt;='01_Ficha_Dosis'!$C$14,H547&lt;='01_Ficha_Dosis'!$C$15),1,0))</f>
        <v/>
      </c>
      <c r="L547" s="12">
        <f t="shared" si="3"/>
        <v>0</v>
      </c>
    </row>
    <row r="548" ht="15.75" customHeight="1">
      <c r="A548" s="14"/>
      <c r="B548" s="14"/>
      <c r="C548" s="23"/>
      <c r="D548" s="23"/>
      <c r="E548" s="14"/>
      <c r="F548" s="14"/>
      <c r="G548" s="14"/>
      <c r="H548" s="24" t="str">
        <f t="shared" si="1"/>
        <v/>
      </c>
      <c r="I548" s="12" t="str">
        <f>IF(C548="","",INT((INT(C548)-'01_Ficha_Dosis'!$C$14)/7)+1)</f>
        <v/>
      </c>
      <c r="J548" s="12" t="str">
        <f t="shared" si="2"/>
        <v/>
      </c>
      <c r="K548" s="12" t="str">
        <f>IF(J548="","",IF(AND(G548="OK",J548&gt;='01_Ficha_Dosis'!$C$23,F548&gt;='01_Ficha_Dosis'!$C$24,H548&gt;='01_Ficha_Dosis'!$C$14,H548&lt;='01_Ficha_Dosis'!$C$15),1,0))</f>
        <v/>
      </c>
      <c r="L548" s="12">
        <f t="shared" si="3"/>
        <v>0</v>
      </c>
    </row>
    <row r="549" ht="15.75" customHeight="1">
      <c r="A549" s="14"/>
      <c r="B549" s="14"/>
      <c r="C549" s="23"/>
      <c r="D549" s="23"/>
      <c r="E549" s="14"/>
      <c r="F549" s="14"/>
      <c r="G549" s="14"/>
      <c r="H549" s="24" t="str">
        <f t="shared" si="1"/>
        <v/>
      </c>
      <c r="I549" s="12" t="str">
        <f>IF(C549="","",INT((INT(C549)-'01_Ficha_Dosis'!$C$14)/7)+1)</f>
        <v/>
      </c>
      <c r="J549" s="12" t="str">
        <f t="shared" si="2"/>
        <v/>
      </c>
      <c r="K549" s="12" t="str">
        <f>IF(J549="","",IF(AND(G549="OK",J549&gt;='01_Ficha_Dosis'!$C$23,F549&gt;='01_Ficha_Dosis'!$C$24,H549&gt;='01_Ficha_Dosis'!$C$14,H549&lt;='01_Ficha_Dosis'!$C$15),1,0))</f>
        <v/>
      </c>
      <c r="L549" s="12">
        <f t="shared" si="3"/>
        <v>0</v>
      </c>
    </row>
    <row r="550" ht="15.75" customHeight="1">
      <c r="A550" s="14"/>
      <c r="B550" s="14"/>
      <c r="C550" s="23"/>
      <c r="D550" s="23"/>
      <c r="E550" s="14"/>
      <c r="F550" s="14"/>
      <c r="G550" s="14"/>
      <c r="H550" s="24" t="str">
        <f t="shared" si="1"/>
        <v/>
      </c>
      <c r="I550" s="12" t="str">
        <f>IF(C550="","",INT((INT(C550)-'01_Ficha_Dosis'!$C$14)/7)+1)</f>
        <v/>
      </c>
      <c r="J550" s="12" t="str">
        <f t="shared" si="2"/>
        <v/>
      </c>
      <c r="K550" s="12" t="str">
        <f>IF(J550="","",IF(AND(G550="OK",J550&gt;='01_Ficha_Dosis'!$C$23,F550&gt;='01_Ficha_Dosis'!$C$24,H550&gt;='01_Ficha_Dosis'!$C$14,H550&lt;='01_Ficha_Dosis'!$C$15),1,0))</f>
        <v/>
      </c>
      <c r="L550" s="12">
        <f t="shared" si="3"/>
        <v>0</v>
      </c>
    </row>
    <row r="551" ht="15.75" customHeight="1">
      <c r="A551" s="14"/>
      <c r="B551" s="14"/>
      <c r="C551" s="23"/>
      <c r="D551" s="23"/>
      <c r="E551" s="14"/>
      <c r="F551" s="14"/>
      <c r="G551" s="14"/>
      <c r="H551" s="24" t="str">
        <f t="shared" si="1"/>
        <v/>
      </c>
      <c r="I551" s="12" t="str">
        <f>IF(C551="","",INT((INT(C551)-'01_Ficha_Dosis'!$C$14)/7)+1)</f>
        <v/>
      </c>
      <c r="J551" s="12" t="str">
        <f t="shared" si="2"/>
        <v/>
      </c>
      <c r="K551" s="12" t="str">
        <f>IF(J551="","",IF(AND(G551="OK",J551&gt;='01_Ficha_Dosis'!$C$23,F551&gt;='01_Ficha_Dosis'!$C$24,H551&gt;='01_Ficha_Dosis'!$C$14,H551&lt;='01_Ficha_Dosis'!$C$15),1,0))</f>
        <v/>
      </c>
      <c r="L551" s="12">
        <f t="shared" si="3"/>
        <v>0</v>
      </c>
    </row>
    <row r="552" ht="15.75" customHeight="1">
      <c r="A552" s="14"/>
      <c r="B552" s="14"/>
      <c r="C552" s="23"/>
      <c r="D552" s="23"/>
      <c r="E552" s="14"/>
      <c r="F552" s="14"/>
      <c r="G552" s="14"/>
      <c r="H552" s="24" t="str">
        <f t="shared" si="1"/>
        <v/>
      </c>
      <c r="I552" s="12" t="str">
        <f>IF(C552="","",INT((INT(C552)-'01_Ficha_Dosis'!$C$14)/7)+1)</f>
        <v/>
      </c>
      <c r="J552" s="12" t="str">
        <f t="shared" si="2"/>
        <v/>
      </c>
      <c r="K552" s="12" t="str">
        <f>IF(J552="","",IF(AND(G552="OK",J552&gt;='01_Ficha_Dosis'!$C$23,F552&gt;='01_Ficha_Dosis'!$C$24,H552&gt;='01_Ficha_Dosis'!$C$14,H552&lt;='01_Ficha_Dosis'!$C$15),1,0))</f>
        <v/>
      </c>
      <c r="L552" s="12">
        <f t="shared" si="3"/>
        <v>0</v>
      </c>
    </row>
    <row r="553" ht="15.75" customHeight="1">
      <c r="A553" s="14"/>
      <c r="B553" s="14"/>
      <c r="C553" s="23"/>
      <c r="D553" s="23"/>
      <c r="E553" s="14"/>
      <c r="F553" s="14"/>
      <c r="G553" s="14"/>
      <c r="H553" s="24" t="str">
        <f t="shared" si="1"/>
        <v/>
      </c>
      <c r="I553" s="12" t="str">
        <f>IF(C553="","",INT((INT(C553)-'01_Ficha_Dosis'!$C$14)/7)+1)</f>
        <v/>
      </c>
      <c r="J553" s="12" t="str">
        <f t="shared" si="2"/>
        <v/>
      </c>
      <c r="K553" s="12" t="str">
        <f>IF(J553="","",IF(AND(G553="OK",J553&gt;='01_Ficha_Dosis'!$C$23,F553&gt;='01_Ficha_Dosis'!$C$24,H553&gt;='01_Ficha_Dosis'!$C$14,H553&lt;='01_Ficha_Dosis'!$C$15),1,0))</f>
        <v/>
      </c>
      <c r="L553" s="12">
        <f t="shared" si="3"/>
        <v>0</v>
      </c>
    </row>
    <row r="554" ht="15.75" customHeight="1">
      <c r="A554" s="14"/>
      <c r="B554" s="14"/>
      <c r="C554" s="23"/>
      <c r="D554" s="23"/>
      <c r="E554" s="14"/>
      <c r="F554" s="14"/>
      <c r="G554" s="14"/>
      <c r="H554" s="24" t="str">
        <f t="shared" si="1"/>
        <v/>
      </c>
      <c r="I554" s="12" t="str">
        <f>IF(C554="","",INT((INT(C554)-'01_Ficha_Dosis'!$C$14)/7)+1)</f>
        <v/>
      </c>
      <c r="J554" s="12" t="str">
        <f t="shared" si="2"/>
        <v/>
      </c>
      <c r="K554" s="12" t="str">
        <f>IF(J554="","",IF(AND(G554="OK",J554&gt;='01_Ficha_Dosis'!$C$23,F554&gt;='01_Ficha_Dosis'!$C$24,H554&gt;='01_Ficha_Dosis'!$C$14,H554&lt;='01_Ficha_Dosis'!$C$15),1,0))</f>
        <v/>
      </c>
      <c r="L554" s="12">
        <f t="shared" si="3"/>
        <v>0</v>
      </c>
    </row>
    <row r="555" ht="15.75" customHeight="1">
      <c r="A555" s="14"/>
      <c r="B555" s="14"/>
      <c r="C555" s="23"/>
      <c r="D555" s="23"/>
      <c r="E555" s="14"/>
      <c r="F555" s="14"/>
      <c r="G555" s="14"/>
      <c r="H555" s="24" t="str">
        <f t="shared" si="1"/>
        <v/>
      </c>
      <c r="I555" s="12" t="str">
        <f>IF(C555="","",INT((INT(C555)-'01_Ficha_Dosis'!$C$14)/7)+1)</f>
        <v/>
      </c>
      <c r="J555" s="12" t="str">
        <f t="shared" si="2"/>
        <v/>
      </c>
      <c r="K555" s="12" t="str">
        <f>IF(J555="","",IF(AND(G555="OK",J555&gt;='01_Ficha_Dosis'!$C$23,F555&gt;='01_Ficha_Dosis'!$C$24,H555&gt;='01_Ficha_Dosis'!$C$14,H555&lt;='01_Ficha_Dosis'!$C$15),1,0))</f>
        <v/>
      </c>
      <c r="L555" s="12">
        <f t="shared" si="3"/>
        <v>0</v>
      </c>
    </row>
    <row r="556" ht="15.75" customHeight="1">
      <c r="A556" s="14"/>
      <c r="B556" s="14"/>
      <c r="C556" s="23"/>
      <c r="D556" s="23"/>
      <c r="E556" s="14"/>
      <c r="F556" s="14"/>
      <c r="G556" s="14"/>
      <c r="H556" s="24" t="str">
        <f t="shared" si="1"/>
        <v/>
      </c>
      <c r="I556" s="12" t="str">
        <f>IF(C556="","",INT((INT(C556)-'01_Ficha_Dosis'!$C$14)/7)+1)</f>
        <v/>
      </c>
      <c r="J556" s="12" t="str">
        <f t="shared" si="2"/>
        <v/>
      </c>
      <c r="K556" s="12" t="str">
        <f>IF(J556="","",IF(AND(G556="OK",J556&gt;='01_Ficha_Dosis'!$C$23,F556&gt;='01_Ficha_Dosis'!$C$24,H556&gt;='01_Ficha_Dosis'!$C$14,H556&lt;='01_Ficha_Dosis'!$C$15),1,0))</f>
        <v/>
      </c>
      <c r="L556" s="12">
        <f t="shared" si="3"/>
        <v>0</v>
      </c>
    </row>
    <row r="557" ht="15.75" customHeight="1">
      <c r="A557" s="14"/>
      <c r="B557" s="14"/>
      <c r="C557" s="23"/>
      <c r="D557" s="23"/>
      <c r="E557" s="14"/>
      <c r="F557" s="14"/>
      <c r="G557" s="14"/>
      <c r="H557" s="24" t="str">
        <f t="shared" si="1"/>
        <v/>
      </c>
      <c r="I557" s="12" t="str">
        <f>IF(C557="","",INT((INT(C557)-'01_Ficha_Dosis'!$C$14)/7)+1)</f>
        <v/>
      </c>
      <c r="J557" s="12" t="str">
        <f t="shared" si="2"/>
        <v/>
      </c>
      <c r="K557" s="12" t="str">
        <f>IF(J557="","",IF(AND(G557="OK",J557&gt;='01_Ficha_Dosis'!$C$23,F557&gt;='01_Ficha_Dosis'!$C$24,H557&gt;='01_Ficha_Dosis'!$C$14,H557&lt;='01_Ficha_Dosis'!$C$15),1,0))</f>
        <v/>
      </c>
      <c r="L557" s="12">
        <f t="shared" si="3"/>
        <v>0</v>
      </c>
    </row>
    <row r="558" ht="15.75" customHeight="1">
      <c r="A558" s="14"/>
      <c r="B558" s="14"/>
      <c r="C558" s="23"/>
      <c r="D558" s="23"/>
      <c r="E558" s="14"/>
      <c r="F558" s="14"/>
      <c r="G558" s="14"/>
      <c r="H558" s="24" t="str">
        <f t="shared" si="1"/>
        <v/>
      </c>
      <c r="I558" s="12" t="str">
        <f>IF(C558="","",INT((INT(C558)-'01_Ficha_Dosis'!$C$14)/7)+1)</f>
        <v/>
      </c>
      <c r="J558" s="12" t="str">
        <f t="shared" si="2"/>
        <v/>
      </c>
      <c r="K558" s="12" t="str">
        <f>IF(J558="","",IF(AND(G558="OK",J558&gt;='01_Ficha_Dosis'!$C$23,F558&gt;='01_Ficha_Dosis'!$C$24,H558&gt;='01_Ficha_Dosis'!$C$14,H558&lt;='01_Ficha_Dosis'!$C$15),1,0))</f>
        <v/>
      </c>
      <c r="L558" s="12">
        <f t="shared" si="3"/>
        <v>0</v>
      </c>
    </row>
    <row r="559" ht="15.75" customHeight="1">
      <c r="A559" s="14"/>
      <c r="B559" s="14"/>
      <c r="C559" s="23"/>
      <c r="D559" s="23"/>
      <c r="E559" s="14"/>
      <c r="F559" s="14"/>
      <c r="G559" s="14"/>
      <c r="H559" s="24" t="str">
        <f t="shared" si="1"/>
        <v/>
      </c>
      <c r="I559" s="12" t="str">
        <f>IF(C559="","",INT((INT(C559)-'01_Ficha_Dosis'!$C$14)/7)+1)</f>
        <v/>
      </c>
      <c r="J559" s="12" t="str">
        <f t="shared" si="2"/>
        <v/>
      </c>
      <c r="K559" s="12" t="str">
        <f>IF(J559="","",IF(AND(G559="OK",J559&gt;='01_Ficha_Dosis'!$C$23,F559&gt;='01_Ficha_Dosis'!$C$24,H559&gt;='01_Ficha_Dosis'!$C$14,H559&lt;='01_Ficha_Dosis'!$C$15),1,0))</f>
        <v/>
      </c>
      <c r="L559" s="12">
        <f t="shared" si="3"/>
        <v>0</v>
      </c>
    </row>
    <row r="560" ht="15.75" customHeight="1">
      <c r="A560" s="14"/>
      <c r="B560" s="14"/>
      <c r="C560" s="23"/>
      <c r="D560" s="23"/>
      <c r="E560" s="14"/>
      <c r="F560" s="14"/>
      <c r="G560" s="14"/>
      <c r="H560" s="24" t="str">
        <f t="shared" si="1"/>
        <v/>
      </c>
      <c r="I560" s="12" t="str">
        <f>IF(C560="","",INT((INT(C560)-'01_Ficha_Dosis'!$C$14)/7)+1)</f>
        <v/>
      </c>
      <c r="J560" s="12" t="str">
        <f t="shared" si="2"/>
        <v/>
      </c>
      <c r="K560" s="12" t="str">
        <f>IF(J560="","",IF(AND(G560="OK",J560&gt;='01_Ficha_Dosis'!$C$23,F560&gt;='01_Ficha_Dosis'!$C$24,H560&gt;='01_Ficha_Dosis'!$C$14,H560&lt;='01_Ficha_Dosis'!$C$15),1,0))</f>
        <v/>
      </c>
      <c r="L560" s="12">
        <f t="shared" si="3"/>
        <v>0</v>
      </c>
    </row>
    <row r="561" ht="15.75" customHeight="1">
      <c r="A561" s="14"/>
      <c r="B561" s="14"/>
      <c r="C561" s="23"/>
      <c r="D561" s="23"/>
      <c r="E561" s="14"/>
      <c r="F561" s="14"/>
      <c r="G561" s="14"/>
      <c r="H561" s="24" t="str">
        <f t="shared" si="1"/>
        <v/>
      </c>
      <c r="I561" s="12" t="str">
        <f>IF(C561="","",INT((INT(C561)-'01_Ficha_Dosis'!$C$14)/7)+1)</f>
        <v/>
      </c>
      <c r="J561" s="12" t="str">
        <f t="shared" si="2"/>
        <v/>
      </c>
      <c r="K561" s="12" t="str">
        <f>IF(J561="","",IF(AND(G561="OK",J561&gt;='01_Ficha_Dosis'!$C$23,F561&gt;='01_Ficha_Dosis'!$C$24,H561&gt;='01_Ficha_Dosis'!$C$14,H561&lt;='01_Ficha_Dosis'!$C$15),1,0))</f>
        <v/>
      </c>
      <c r="L561" s="12">
        <f t="shared" si="3"/>
        <v>0</v>
      </c>
    </row>
    <row r="562" ht="15.75" customHeight="1">
      <c r="A562" s="14"/>
      <c r="B562" s="14"/>
      <c r="C562" s="23"/>
      <c r="D562" s="23"/>
      <c r="E562" s="14"/>
      <c r="F562" s="14"/>
      <c r="G562" s="14"/>
      <c r="H562" s="24" t="str">
        <f t="shared" si="1"/>
        <v/>
      </c>
      <c r="I562" s="12" t="str">
        <f>IF(C562="","",INT((INT(C562)-'01_Ficha_Dosis'!$C$14)/7)+1)</f>
        <v/>
      </c>
      <c r="J562" s="12" t="str">
        <f t="shared" si="2"/>
        <v/>
      </c>
      <c r="K562" s="12" t="str">
        <f>IF(J562="","",IF(AND(G562="OK",J562&gt;='01_Ficha_Dosis'!$C$23,F562&gt;='01_Ficha_Dosis'!$C$24,H562&gt;='01_Ficha_Dosis'!$C$14,H562&lt;='01_Ficha_Dosis'!$C$15),1,0))</f>
        <v/>
      </c>
      <c r="L562" s="12">
        <f t="shared" si="3"/>
        <v>0</v>
      </c>
    </row>
    <row r="563" ht="15.75" customHeight="1">
      <c r="A563" s="14"/>
      <c r="B563" s="14"/>
      <c r="C563" s="23"/>
      <c r="D563" s="23"/>
      <c r="E563" s="14"/>
      <c r="F563" s="14"/>
      <c r="G563" s="14"/>
      <c r="H563" s="24" t="str">
        <f t="shared" si="1"/>
        <v/>
      </c>
      <c r="I563" s="12" t="str">
        <f>IF(C563="","",INT((INT(C563)-'01_Ficha_Dosis'!$C$14)/7)+1)</f>
        <v/>
      </c>
      <c r="J563" s="12" t="str">
        <f t="shared" si="2"/>
        <v/>
      </c>
      <c r="K563" s="12" t="str">
        <f>IF(J563="","",IF(AND(G563="OK",J563&gt;='01_Ficha_Dosis'!$C$23,F563&gt;='01_Ficha_Dosis'!$C$24,H563&gt;='01_Ficha_Dosis'!$C$14,H563&lt;='01_Ficha_Dosis'!$C$15),1,0))</f>
        <v/>
      </c>
      <c r="L563" s="12">
        <f t="shared" si="3"/>
        <v>0</v>
      </c>
    </row>
    <row r="564" ht="15.75" customHeight="1">
      <c r="A564" s="14"/>
      <c r="B564" s="14"/>
      <c r="C564" s="23"/>
      <c r="D564" s="23"/>
      <c r="E564" s="14"/>
      <c r="F564" s="14"/>
      <c r="G564" s="14"/>
      <c r="H564" s="24" t="str">
        <f t="shared" si="1"/>
        <v/>
      </c>
      <c r="I564" s="12" t="str">
        <f>IF(C564="","",INT((INT(C564)-'01_Ficha_Dosis'!$C$14)/7)+1)</f>
        <v/>
      </c>
      <c r="J564" s="12" t="str">
        <f t="shared" si="2"/>
        <v/>
      </c>
      <c r="K564" s="12" t="str">
        <f>IF(J564="","",IF(AND(G564="OK",J564&gt;='01_Ficha_Dosis'!$C$23,F564&gt;='01_Ficha_Dosis'!$C$24,H564&gt;='01_Ficha_Dosis'!$C$14,H564&lt;='01_Ficha_Dosis'!$C$15),1,0))</f>
        <v/>
      </c>
      <c r="L564" s="12">
        <f t="shared" si="3"/>
        <v>0</v>
      </c>
    </row>
    <row r="565" ht="15.75" customHeight="1">
      <c r="A565" s="14"/>
      <c r="B565" s="14"/>
      <c r="C565" s="23"/>
      <c r="D565" s="23"/>
      <c r="E565" s="14"/>
      <c r="F565" s="14"/>
      <c r="G565" s="14"/>
      <c r="H565" s="24" t="str">
        <f t="shared" si="1"/>
        <v/>
      </c>
      <c r="I565" s="12" t="str">
        <f>IF(C565="","",INT((INT(C565)-'01_Ficha_Dosis'!$C$14)/7)+1)</f>
        <v/>
      </c>
      <c r="J565" s="12" t="str">
        <f t="shared" si="2"/>
        <v/>
      </c>
      <c r="K565" s="12" t="str">
        <f>IF(J565="","",IF(AND(G565="OK",J565&gt;='01_Ficha_Dosis'!$C$23,F565&gt;='01_Ficha_Dosis'!$C$24,H565&gt;='01_Ficha_Dosis'!$C$14,H565&lt;='01_Ficha_Dosis'!$C$15),1,0))</f>
        <v/>
      </c>
      <c r="L565" s="12">
        <f t="shared" si="3"/>
        <v>0</v>
      </c>
    </row>
    <row r="566" ht="15.75" customHeight="1">
      <c r="A566" s="14"/>
      <c r="B566" s="14"/>
      <c r="C566" s="23"/>
      <c r="D566" s="23"/>
      <c r="E566" s="14"/>
      <c r="F566" s="14"/>
      <c r="G566" s="14"/>
      <c r="H566" s="24" t="str">
        <f t="shared" si="1"/>
        <v/>
      </c>
      <c r="I566" s="12" t="str">
        <f>IF(C566="","",INT((INT(C566)-'01_Ficha_Dosis'!$C$14)/7)+1)</f>
        <v/>
      </c>
      <c r="J566" s="12" t="str">
        <f t="shared" si="2"/>
        <v/>
      </c>
      <c r="K566" s="12" t="str">
        <f>IF(J566="","",IF(AND(G566="OK",J566&gt;='01_Ficha_Dosis'!$C$23,F566&gt;='01_Ficha_Dosis'!$C$24,H566&gt;='01_Ficha_Dosis'!$C$14,H566&lt;='01_Ficha_Dosis'!$C$15),1,0))</f>
        <v/>
      </c>
      <c r="L566" s="12">
        <f t="shared" si="3"/>
        <v>0</v>
      </c>
    </row>
    <row r="567" ht="15.75" customHeight="1">
      <c r="A567" s="14"/>
      <c r="B567" s="14"/>
      <c r="C567" s="23"/>
      <c r="D567" s="23"/>
      <c r="E567" s="14"/>
      <c r="F567" s="14"/>
      <c r="G567" s="14"/>
      <c r="H567" s="24" t="str">
        <f t="shared" si="1"/>
        <v/>
      </c>
      <c r="I567" s="12" t="str">
        <f>IF(C567="","",INT((INT(C567)-'01_Ficha_Dosis'!$C$14)/7)+1)</f>
        <v/>
      </c>
      <c r="J567" s="12" t="str">
        <f t="shared" si="2"/>
        <v/>
      </c>
      <c r="K567" s="12" t="str">
        <f>IF(J567="","",IF(AND(G567="OK",J567&gt;='01_Ficha_Dosis'!$C$23,F567&gt;='01_Ficha_Dosis'!$C$24,H567&gt;='01_Ficha_Dosis'!$C$14,H567&lt;='01_Ficha_Dosis'!$C$15),1,0))</f>
        <v/>
      </c>
      <c r="L567" s="12">
        <f t="shared" si="3"/>
        <v>0</v>
      </c>
    </row>
    <row r="568" ht="15.75" customHeight="1">
      <c r="A568" s="14"/>
      <c r="B568" s="14"/>
      <c r="C568" s="23"/>
      <c r="D568" s="23"/>
      <c r="E568" s="14"/>
      <c r="F568" s="14"/>
      <c r="G568" s="14"/>
      <c r="H568" s="24" t="str">
        <f t="shared" si="1"/>
        <v/>
      </c>
      <c r="I568" s="12" t="str">
        <f>IF(C568="","",INT((INT(C568)-'01_Ficha_Dosis'!$C$14)/7)+1)</f>
        <v/>
      </c>
      <c r="J568" s="12" t="str">
        <f t="shared" si="2"/>
        <v/>
      </c>
      <c r="K568" s="12" t="str">
        <f>IF(J568="","",IF(AND(G568="OK",J568&gt;='01_Ficha_Dosis'!$C$23,F568&gt;='01_Ficha_Dosis'!$C$24,H568&gt;='01_Ficha_Dosis'!$C$14,H568&lt;='01_Ficha_Dosis'!$C$15),1,0))</f>
        <v/>
      </c>
      <c r="L568" s="12">
        <f t="shared" si="3"/>
        <v>0</v>
      </c>
    </row>
    <row r="569" ht="15.75" customHeight="1">
      <c r="A569" s="14"/>
      <c r="B569" s="14"/>
      <c r="C569" s="23"/>
      <c r="D569" s="23"/>
      <c r="E569" s="14"/>
      <c r="F569" s="14"/>
      <c r="G569" s="14"/>
      <c r="H569" s="24" t="str">
        <f t="shared" si="1"/>
        <v/>
      </c>
      <c r="I569" s="12" t="str">
        <f>IF(C569="","",INT((INT(C569)-'01_Ficha_Dosis'!$C$14)/7)+1)</f>
        <v/>
      </c>
      <c r="J569" s="12" t="str">
        <f t="shared" si="2"/>
        <v/>
      </c>
      <c r="K569" s="12" t="str">
        <f>IF(J569="","",IF(AND(G569="OK",J569&gt;='01_Ficha_Dosis'!$C$23,F569&gt;='01_Ficha_Dosis'!$C$24,H569&gt;='01_Ficha_Dosis'!$C$14,H569&lt;='01_Ficha_Dosis'!$C$15),1,0))</f>
        <v/>
      </c>
      <c r="L569" s="12">
        <f t="shared" si="3"/>
        <v>0</v>
      </c>
    </row>
    <row r="570" ht="15.75" customHeight="1">
      <c r="A570" s="14"/>
      <c r="B570" s="14"/>
      <c r="C570" s="23"/>
      <c r="D570" s="23"/>
      <c r="E570" s="14"/>
      <c r="F570" s="14"/>
      <c r="G570" s="14"/>
      <c r="H570" s="24" t="str">
        <f t="shared" si="1"/>
        <v/>
      </c>
      <c r="I570" s="12" t="str">
        <f>IF(C570="","",INT((INT(C570)-'01_Ficha_Dosis'!$C$14)/7)+1)</f>
        <v/>
      </c>
      <c r="J570" s="12" t="str">
        <f t="shared" si="2"/>
        <v/>
      </c>
      <c r="K570" s="12" t="str">
        <f>IF(J570="","",IF(AND(G570="OK",J570&gt;='01_Ficha_Dosis'!$C$23,F570&gt;='01_Ficha_Dosis'!$C$24,H570&gt;='01_Ficha_Dosis'!$C$14,H570&lt;='01_Ficha_Dosis'!$C$15),1,0))</f>
        <v/>
      </c>
      <c r="L570" s="12">
        <f t="shared" si="3"/>
        <v>0</v>
      </c>
    </row>
    <row r="571" ht="15.75" customHeight="1">
      <c r="A571" s="14"/>
      <c r="B571" s="14"/>
      <c r="C571" s="23"/>
      <c r="D571" s="23"/>
      <c r="E571" s="14"/>
      <c r="F571" s="14"/>
      <c r="G571" s="14"/>
      <c r="H571" s="24" t="str">
        <f t="shared" si="1"/>
        <v/>
      </c>
      <c r="I571" s="12" t="str">
        <f>IF(C571="","",INT((INT(C571)-'01_Ficha_Dosis'!$C$14)/7)+1)</f>
        <v/>
      </c>
      <c r="J571" s="12" t="str">
        <f t="shared" si="2"/>
        <v/>
      </c>
      <c r="K571" s="12" t="str">
        <f>IF(J571="","",IF(AND(G571="OK",J571&gt;='01_Ficha_Dosis'!$C$23,F571&gt;='01_Ficha_Dosis'!$C$24,H571&gt;='01_Ficha_Dosis'!$C$14,H571&lt;='01_Ficha_Dosis'!$C$15),1,0))</f>
        <v/>
      </c>
      <c r="L571" s="12">
        <f t="shared" si="3"/>
        <v>0</v>
      </c>
    </row>
    <row r="572" ht="15.75" customHeight="1">
      <c r="A572" s="14"/>
      <c r="B572" s="14"/>
      <c r="C572" s="23"/>
      <c r="D572" s="23"/>
      <c r="E572" s="14"/>
      <c r="F572" s="14"/>
      <c r="G572" s="14"/>
      <c r="H572" s="24" t="str">
        <f t="shared" si="1"/>
        <v/>
      </c>
      <c r="I572" s="12" t="str">
        <f>IF(C572="","",INT((INT(C572)-'01_Ficha_Dosis'!$C$14)/7)+1)</f>
        <v/>
      </c>
      <c r="J572" s="12" t="str">
        <f t="shared" si="2"/>
        <v/>
      </c>
      <c r="K572" s="12" t="str">
        <f>IF(J572="","",IF(AND(G572="OK",J572&gt;='01_Ficha_Dosis'!$C$23,F572&gt;='01_Ficha_Dosis'!$C$24,H572&gt;='01_Ficha_Dosis'!$C$14,H572&lt;='01_Ficha_Dosis'!$C$15),1,0))</f>
        <v/>
      </c>
      <c r="L572" s="12">
        <f t="shared" si="3"/>
        <v>0</v>
      </c>
    </row>
    <row r="573" ht="15.75" customHeight="1">
      <c r="A573" s="14"/>
      <c r="B573" s="14"/>
      <c r="C573" s="23"/>
      <c r="D573" s="23"/>
      <c r="E573" s="14"/>
      <c r="F573" s="14"/>
      <c r="G573" s="14"/>
      <c r="H573" s="24" t="str">
        <f t="shared" si="1"/>
        <v/>
      </c>
      <c r="I573" s="12" t="str">
        <f>IF(C573="","",INT((INT(C573)-'01_Ficha_Dosis'!$C$14)/7)+1)</f>
        <v/>
      </c>
      <c r="J573" s="12" t="str">
        <f t="shared" si="2"/>
        <v/>
      </c>
      <c r="K573" s="12" t="str">
        <f>IF(J573="","",IF(AND(G573="OK",J573&gt;='01_Ficha_Dosis'!$C$23,F573&gt;='01_Ficha_Dosis'!$C$24,H573&gt;='01_Ficha_Dosis'!$C$14,H573&lt;='01_Ficha_Dosis'!$C$15),1,0))</f>
        <v/>
      </c>
      <c r="L573" s="12">
        <f t="shared" si="3"/>
        <v>0</v>
      </c>
    </row>
    <row r="574" ht="15.75" customHeight="1">
      <c r="A574" s="14"/>
      <c r="B574" s="14"/>
      <c r="C574" s="23"/>
      <c r="D574" s="23"/>
      <c r="E574" s="14"/>
      <c r="F574" s="14"/>
      <c r="G574" s="14"/>
      <c r="H574" s="24" t="str">
        <f t="shared" si="1"/>
        <v/>
      </c>
      <c r="I574" s="12" t="str">
        <f>IF(C574="","",INT((INT(C574)-'01_Ficha_Dosis'!$C$14)/7)+1)</f>
        <v/>
      </c>
      <c r="J574" s="12" t="str">
        <f t="shared" si="2"/>
        <v/>
      </c>
      <c r="K574" s="12" t="str">
        <f>IF(J574="","",IF(AND(G574="OK",J574&gt;='01_Ficha_Dosis'!$C$23,F574&gt;='01_Ficha_Dosis'!$C$24,H574&gt;='01_Ficha_Dosis'!$C$14,H574&lt;='01_Ficha_Dosis'!$C$15),1,0))</f>
        <v/>
      </c>
      <c r="L574" s="12">
        <f t="shared" si="3"/>
        <v>0</v>
      </c>
    </row>
    <row r="575" ht="15.75" customHeight="1">
      <c r="A575" s="14"/>
      <c r="B575" s="14"/>
      <c r="C575" s="23"/>
      <c r="D575" s="23"/>
      <c r="E575" s="14"/>
      <c r="F575" s="14"/>
      <c r="G575" s="14"/>
      <c r="H575" s="24" t="str">
        <f t="shared" si="1"/>
        <v/>
      </c>
      <c r="I575" s="12" t="str">
        <f>IF(C575="","",INT((INT(C575)-'01_Ficha_Dosis'!$C$14)/7)+1)</f>
        <v/>
      </c>
      <c r="J575" s="12" t="str">
        <f t="shared" si="2"/>
        <v/>
      </c>
      <c r="K575" s="12" t="str">
        <f>IF(J575="","",IF(AND(G575="OK",J575&gt;='01_Ficha_Dosis'!$C$23,F575&gt;='01_Ficha_Dosis'!$C$24,H575&gt;='01_Ficha_Dosis'!$C$14,H575&lt;='01_Ficha_Dosis'!$C$15),1,0))</f>
        <v/>
      </c>
      <c r="L575" s="12">
        <f t="shared" si="3"/>
        <v>0</v>
      </c>
    </row>
    <row r="576" ht="15.75" customHeight="1">
      <c r="A576" s="14"/>
      <c r="B576" s="14"/>
      <c r="C576" s="23"/>
      <c r="D576" s="23"/>
      <c r="E576" s="14"/>
      <c r="F576" s="14"/>
      <c r="G576" s="14"/>
      <c r="H576" s="24" t="str">
        <f t="shared" si="1"/>
        <v/>
      </c>
      <c r="I576" s="12" t="str">
        <f>IF(C576="","",INT((INT(C576)-'01_Ficha_Dosis'!$C$14)/7)+1)</f>
        <v/>
      </c>
      <c r="J576" s="12" t="str">
        <f t="shared" si="2"/>
        <v/>
      </c>
      <c r="K576" s="12" t="str">
        <f>IF(J576="","",IF(AND(G576="OK",J576&gt;='01_Ficha_Dosis'!$C$23,F576&gt;='01_Ficha_Dosis'!$C$24,H576&gt;='01_Ficha_Dosis'!$C$14,H576&lt;='01_Ficha_Dosis'!$C$15),1,0))</f>
        <v/>
      </c>
      <c r="L576" s="12">
        <f t="shared" si="3"/>
        <v>0</v>
      </c>
    </row>
    <row r="577" ht="15.75" customHeight="1">
      <c r="A577" s="14"/>
      <c r="B577" s="14"/>
      <c r="C577" s="23"/>
      <c r="D577" s="23"/>
      <c r="E577" s="14"/>
      <c r="F577" s="14"/>
      <c r="G577" s="14"/>
      <c r="H577" s="24" t="str">
        <f t="shared" si="1"/>
        <v/>
      </c>
      <c r="I577" s="12" t="str">
        <f>IF(C577="","",INT((INT(C577)-'01_Ficha_Dosis'!$C$14)/7)+1)</f>
        <v/>
      </c>
      <c r="J577" s="12" t="str">
        <f t="shared" si="2"/>
        <v/>
      </c>
      <c r="K577" s="12" t="str">
        <f>IF(J577="","",IF(AND(G577="OK",J577&gt;='01_Ficha_Dosis'!$C$23,F577&gt;='01_Ficha_Dosis'!$C$24,H577&gt;='01_Ficha_Dosis'!$C$14,H577&lt;='01_Ficha_Dosis'!$C$15),1,0))</f>
        <v/>
      </c>
      <c r="L577" s="12">
        <f t="shared" si="3"/>
        <v>0</v>
      </c>
    </row>
    <row r="578" ht="15.75" customHeight="1">
      <c r="A578" s="14"/>
      <c r="B578" s="14"/>
      <c r="C578" s="23"/>
      <c r="D578" s="23"/>
      <c r="E578" s="14"/>
      <c r="F578" s="14"/>
      <c r="G578" s="14"/>
      <c r="H578" s="24" t="str">
        <f t="shared" si="1"/>
        <v/>
      </c>
      <c r="I578" s="12" t="str">
        <f>IF(C578="","",INT((INT(C578)-'01_Ficha_Dosis'!$C$14)/7)+1)</f>
        <v/>
      </c>
      <c r="J578" s="12" t="str">
        <f t="shared" si="2"/>
        <v/>
      </c>
      <c r="K578" s="12" t="str">
        <f>IF(J578="","",IF(AND(G578="OK",J578&gt;='01_Ficha_Dosis'!$C$23,F578&gt;='01_Ficha_Dosis'!$C$24,H578&gt;='01_Ficha_Dosis'!$C$14,H578&lt;='01_Ficha_Dosis'!$C$15),1,0))</f>
        <v/>
      </c>
      <c r="L578" s="12">
        <f t="shared" si="3"/>
        <v>0</v>
      </c>
    </row>
    <row r="579" ht="15.75" customHeight="1">
      <c r="A579" s="14"/>
      <c r="B579" s="14"/>
      <c r="C579" s="23"/>
      <c r="D579" s="23"/>
      <c r="E579" s="14"/>
      <c r="F579" s="14"/>
      <c r="G579" s="14"/>
      <c r="H579" s="24" t="str">
        <f t="shared" si="1"/>
        <v/>
      </c>
      <c r="I579" s="12" t="str">
        <f>IF(C579="","",INT((INT(C579)-'01_Ficha_Dosis'!$C$14)/7)+1)</f>
        <v/>
      </c>
      <c r="J579" s="12" t="str">
        <f t="shared" si="2"/>
        <v/>
      </c>
      <c r="K579" s="12" t="str">
        <f>IF(J579="","",IF(AND(G579="OK",J579&gt;='01_Ficha_Dosis'!$C$23,F579&gt;='01_Ficha_Dosis'!$C$24,H579&gt;='01_Ficha_Dosis'!$C$14,H579&lt;='01_Ficha_Dosis'!$C$15),1,0))</f>
        <v/>
      </c>
      <c r="L579" s="12">
        <f t="shared" si="3"/>
        <v>0</v>
      </c>
    </row>
    <row r="580" ht="15.75" customHeight="1">
      <c r="A580" s="14"/>
      <c r="B580" s="14"/>
      <c r="C580" s="23"/>
      <c r="D580" s="23"/>
      <c r="E580" s="14"/>
      <c r="F580" s="14"/>
      <c r="G580" s="14"/>
      <c r="H580" s="24" t="str">
        <f t="shared" si="1"/>
        <v/>
      </c>
      <c r="I580" s="12" t="str">
        <f>IF(C580="","",INT((INT(C580)-'01_Ficha_Dosis'!$C$14)/7)+1)</f>
        <v/>
      </c>
      <c r="J580" s="12" t="str">
        <f t="shared" si="2"/>
        <v/>
      </c>
      <c r="K580" s="12" t="str">
        <f>IF(J580="","",IF(AND(G580="OK",J580&gt;='01_Ficha_Dosis'!$C$23,F580&gt;='01_Ficha_Dosis'!$C$24,H580&gt;='01_Ficha_Dosis'!$C$14,H580&lt;='01_Ficha_Dosis'!$C$15),1,0))</f>
        <v/>
      </c>
      <c r="L580" s="12">
        <f t="shared" si="3"/>
        <v>0</v>
      </c>
    </row>
    <row r="581" ht="15.75" customHeight="1">
      <c r="A581" s="14"/>
      <c r="B581" s="14"/>
      <c r="C581" s="23"/>
      <c r="D581" s="23"/>
      <c r="E581" s="14"/>
      <c r="F581" s="14"/>
      <c r="G581" s="14"/>
      <c r="H581" s="24" t="str">
        <f t="shared" si="1"/>
        <v/>
      </c>
      <c r="I581" s="12" t="str">
        <f>IF(C581="","",INT((INT(C581)-'01_Ficha_Dosis'!$C$14)/7)+1)</f>
        <v/>
      </c>
      <c r="J581" s="12" t="str">
        <f t="shared" si="2"/>
        <v/>
      </c>
      <c r="K581" s="12" t="str">
        <f>IF(J581="","",IF(AND(G581="OK",J581&gt;='01_Ficha_Dosis'!$C$23,F581&gt;='01_Ficha_Dosis'!$C$24,H581&gt;='01_Ficha_Dosis'!$C$14,H581&lt;='01_Ficha_Dosis'!$C$15),1,0))</f>
        <v/>
      </c>
      <c r="L581" s="12">
        <f t="shared" si="3"/>
        <v>0</v>
      </c>
    </row>
    <row r="582" ht="15.75" customHeight="1">
      <c r="A582" s="14"/>
      <c r="B582" s="14"/>
      <c r="C582" s="23"/>
      <c r="D582" s="23"/>
      <c r="E582" s="14"/>
      <c r="F582" s="14"/>
      <c r="G582" s="14"/>
      <c r="H582" s="24" t="str">
        <f t="shared" si="1"/>
        <v/>
      </c>
      <c r="I582" s="12" t="str">
        <f>IF(C582="","",INT((INT(C582)-'01_Ficha_Dosis'!$C$14)/7)+1)</f>
        <v/>
      </c>
      <c r="J582" s="12" t="str">
        <f t="shared" si="2"/>
        <v/>
      </c>
      <c r="K582" s="12" t="str">
        <f>IF(J582="","",IF(AND(G582="OK",J582&gt;='01_Ficha_Dosis'!$C$23,F582&gt;='01_Ficha_Dosis'!$C$24,H582&gt;='01_Ficha_Dosis'!$C$14,H582&lt;='01_Ficha_Dosis'!$C$15),1,0))</f>
        <v/>
      </c>
      <c r="L582" s="12">
        <f t="shared" si="3"/>
        <v>0</v>
      </c>
    </row>
    <row r="583" ht="15.75" customHeight="1">
      <c r="A583" s="14"/>
      <c r="B583" s="14"/>
      <c r="C583" s="23"/>
      <c r="D583" s="23"/>
      <c r="E583" s="14"/>
      <c r="F583" s="14"/>
      <c r="G583" s="14"/>
      <c r="H583" s="24" t="str">
        <f t="shared" si="1"/>
        <v/>
      </c>
      <c r="I583" s="12" t="str">
        <f>IF(C583="","",INT((INT(C583)-'01_Ficha_Dosis'!$C$14)/7)+1)</f>
        <v/>
      </c>
      <c r="J583" s="12" t="str">
        <f t="shared" si="2"/>
        <v/>
      </c>
      <c r="K583" s="12" t="str">
        <f>IF(J583="","",IF(AND(G583="OK",J583&gt;='01_Ficha_Dosis'!$C$23,F583&gt;='01_Ficha_Dosis'!$C$24,H583&gt;='01_Ficha_Dosis'!$C$14,H583&lt;='01_Ficha_Dosis'!$C$15),1,0))</f>
        <v/>
      </c>
      <c r="L583" s="12">
        <f t="shared" si="3"/>
        <v>0</v>
      </c>
    </row>
    <row r="584" ht="15.75" customHeight="1">
      <c r="A584" s="14"/>
      <c r="B584" s="14"/>
      <c r="C584" s="23"/>
      <c r="D584" s="23"/>
      <c r="E584" s="14"/>
      <c r="F584" s="14"/>
      <c r="G584" s="14"/>
      <c r="H584" s="24" t="str">
        <f t="shared" si="1"/>
        <v/>
      </c>
      <c r="I584" s="12" t="str">
        <f>IF(C584="","",INT((INT(C584)-'01_Ficha_Dosis'!$C$14)/7)+1)</f>
        <v/>
      </c>
      <c r="J584" s="12" t="str">
        <f t="shared" si="2"/>
        <v/>
      </c>
      <c r="K584" s="12" t="str">
        <f>IF(J584="","",IF(AND(G584="OK",J584&gt;='01_Ficha_Dosis'!$C$23,F584&gt;='01_Ficha_Dosis'!$C$24,H584&gt;='01_Ficha_Dosis'!$C$14,H584&lt;='01_Ficha_Dosis'!$C$15),1,0))</f>
        <v/>
      </c>
      <c r="L584" s="12">
        <f t="shared" si="3"/>
        <v>0</v>
      </c>
    </row>
    <row r="585" ht="15.75" customHeight="1">
      <c r="A585" s="14"/>
      <c r="B585" s="14"/>
      <c r="C585" s="23"/>
      <c r="D585" s="23"/>
      <c r="E585" s="14"/>
      <c r="F585" s="14"/>
      <c r="G585" s="14"/>
      <c r="H585" s="24" t="str">
        <f t="shared" si="1"/>
        <v/>
      </c>
      <c r="I585" s="12" t="str">
        <f>IF(C585="","",INT((INT(C585)-'01_Ficha_Dosis'!$C$14)/7)+1)</f>
        <v/>
      </c>
      <c r="J585" s="12" t="str">
        <f t="shared" si="2"/>
        <v/>
      </c>
      <c r="K585" s="12" t="str">
        <f>IF(J585="","",IF(AND(G585="OK",J585&gt;='01_Ficha_Dosis'!$C$23,F585&gt;='01_Ficha_Dosis'!$C$24,H585&gt;='01_Ficha_Dosis'!$C$14,H585&lt;='01_Ficha_Dosis'!$C$15),1,0))</f>
        <v/>
      </c>
      <c r="L585" s="12">
        <f t="shared" si="3"/>
        <v>0</v>
      </c>
    </row>
    <row r="586" ht="15.75" customHeight="1">
      <c r="A586" s="14"/>
      <c r="B586" s="14"/>
      <c r="C586" s="23"/>
      <c r="D586" s="23"/>
      <c r="E586" s="14"/>
      <c r="F586" s="14"/>
      <c r="G586" s="14"/>
      <c r="H586" s="24" t="str">
        <f t="shared" si="1"/>
        <v/>
      </c>
      <c r="I586" s="12" t="str">
        <f>IF(C586="","",INT((INT(C586)-'01_Ficha_Dosis'!$C$14)/7)+1)</f>
        <v/>
      </c>
      <c r="J586" s="12" t="str">
        <f t="shared" si="2"/>
        <v/>
      </c>
      <c r="K586" s="12" t="str">
        <f>IF(J586="","",IF(AND(G586="OK",J586&gt;='01_Ficha_Dosis'!$C$23,F586&gt;='01_Ficha_Dosis'!$C$24,H586&gt;='01_Ficha_Dosis'!$C$14,H586&lt;='01_Ficha_Dosis'!$C$15),1,0))</f>
        <v/>
      </c>
      <c r="L586" s="12">
        <f t="shared" si="3"/>
        <v>0</v>
      </c>
    </row>
    <row r="587" ht="15.75" customHeight="1">
      <c r="A587" s="14"/>
      <c r="B587" s="14"/>
      <c r="C587" s="23"/>
      <c r="D587" s="23"/>
      <c r="E587" s="14"/>
      <c r="F587" s="14"/>
      <c r="G587" s="14"/>
      <c r="H587" s="24" t="str">
        <f t="shared" si="1"/>
        <v/>
      </c>
      <c r="I587" s="12" t="str">
        <f>IF(C587="","",INT((INT(C587)-'01_Ficha_Dosis'!$C$14)/7)+1)</f>
        <v/>
      </c>
      <c r="J587" s="12" t="str">
        <f t="shared" si="2"/>
        <v/>
      </c>
      <c r="K587" s="12" t="str">
        <f>IF(J587="","",IF(AND(G587="OK",J587&gt;='01_Ficha_Dosis'!$C$23,F587&gt;='01_Ficha_Dosis'!$C$24,H587&gt;='01_Ficha_Dosis'!$C$14,H587&lt;='01_Ficha_Dosis'!$C$15),1,0))</f>
        <v/>
      </c>
      <c r="L587" s="12">
        <f t="shared" si="3"/>
        <v>0</v>
      </c>
    </row>
    <row r="588" ht="15.75" customHeight="1">
      <c r="A588" s="14"/>
      <c r="B588" s="14"/>
      <c r="C588" s="23"/>
      <c r="D588" s="23"/>
      <c r="E588" s="14"/>
      <c r="F588" s="14"/>
      <c r="G588" s="14"/>
      <c r="H588" s="24" t="str">
        <f t="shared" si="1"/>
        <v/>
      </c>
      <c r="I588" s="12" t="str">
        <f>IF(C588="","",INT((INT(C588)-'01_Ficha_Dosis'!$C$14)/7)+1)</f>
        <v/>
      </c>
      <c r="J588" s="12" t="str">
        <f t="shared" si="2"/>
        <v/>
      </c>
      <c r="K588" s="12" t="str">
        <f>IF(J588="","",IF(AND(G588="OK",J588&gt;='01_Ficha_Dosis'!$C$23,F588&gt;='01_Ficha_Dosis'!$C$24,H588&gt;='01_Ficha_Dosis'!$C$14,H588&lt;='01_Ficha_Dosis'!$C$15),1,0))</f>
        <v/>
      </c>
      <c r="L588" s="12">
        <f t="shared" si="3"/>
        <v>0</v>
      </c>
    </row>
    <row r="589" ht="15.75" customHeight="1">
      <c r="A589" s="14"/>
      <c r="B589" s="14"/>
      <c r="C589" s="23"/>
      <c r="D589" s="23"/>
      <c r="E589" s="14"/>
      <c r="F589" s="14"/>
      <c r="G589" s="14"/>
      <c r="H589" s="24" t="str">
        <f t="shared" si="1"/>
        <v/>
      </c>
      <c r="I589" s="12" t="str">
        <f>IF(C589="","",INT((INT(C589)-'01_Ficha_Dosis'!$C$14)/7)+1)</f>
        <v/>
      </c>
      <c r="J589" s="12" t="str">
        <f t="shared" si="2"/>
        <v/>
      </c>
      <c r="K589" s="12" t="str">
        <f>IF(J589="","",IF(AND(G589="OK",J589&gt;='01_Ficha_Dosis'!$C$23,F589&gt;='01_Ficha_Dosis'!$C$24,H589&gt;='01_Ficha_Dosis'!$C$14,H589&lt;='01_Ficha_Dosis'!$C$15),1,0))</f>
        <v/>
      </c>
      <c r="L589" s="12">
        <f t="shared" si="3"/>
        <v>0</v>
      </c>
    </row>
    <row r="590" ht="15.75" customHeight="1">
      <c r="A590" s="14"/>
      <c r="B590" s="14"/>
      <c r="C590" s="23"/>
      <c r="D590" s="23"/>
      <c r="E590" s="14"/>
      <c r="F590" s="14"/>
      <c r="G590" s="14"/>
      <c r="H590" s="24" t="str">
        <f t="shared" si="1"/>
        <v/>
      </c>
      <c r="I590" s="12" t="str">
        <f>IF(C590="","",INT((INT(C590)-'01_Ficha_Dosis'!$C$14)/7)+1)</f>
        <v/>
      </c>
      <c r="J590" s="12" t="str">
        <f t="shared" si="2"/>
        <v/>
      </c>
      <c r="K590" s="12" t="str">
        <f>IF(J590="","",IF(AND(G590="OK",J590&gt;='01_Ficha_Dosis'!$C$23,F590&gt;='01_Ficha_Dosis'!$C$24,H590&gt;='01_Ficha_Dosis'!$C$14,H590&lt;='01_Ficha_Dosis'!$C$15),1,0))</f>
        <v/>
      </c>
      <c r="L590" s="12">
        <f t="shared" si="3"/>
        <v>0</v>
      </c>
    </row>
    <row r="591" ht="15.75" customHeight="1">
      <c r="A591" s="14"/>
      <c r="B591" s="14"/>
      <c r="C591" s="23"/>
      <c r="D591" s="23"/>
      <c r="E591" s="14"/>
      <c r="F591" s="14"/>
      <c r="G591" s="14"/>
      <c r="H591" s="24" t="str">
        <f t="shared" si="1"/>
        <v/>
      </c>
      <c r="I591" s="12" t="str">
        <f>IF(C591="","",INT((INT(C591)-'01_Ficha_Dosis'!$C$14)/7)+1)</f>
        <v/>
      </c>
      <c r="J591" s="12" t="str">
        <f t="shared" si="2"/>
        <v/>
      </c>
      <c r="K591" s="12" t="str">
        <f>IF(J591="","",IF(AND(G591="OK",J591&gt;='01_Ficha_Dosis'!$C$23,F591&gt;='01_Ficha_Dosis'!$C$24,H591&gt;='01_Ficha_Dosis'!$C$14,H591&lt;='01_Ficha_Dosis'!$C$15),1,0))</f>
        <v/>
      </c>
      <c r="L591" s="12">
        <f t="shared" si="3"/>
        <v>0</v>
      </c>
    </row>
    <row r="592" ht="15.75" customHeight="1">
      <c r="A592" s="14"/>
      <c r="B592" s="14"/>
      <c r="C592" s="23"/>
      <c r="D592" s="23"/>
      <c r="E592" s="14"/>
      <c r="F592" s="14"/>
      <c r="G592" s="14"/>
      <c r="H592" s="24" t="str">
        <f t="shared" si="1"/>
        <v/>
      </c>
      <c r="I592" s="12" t="str">
        <f>IF(C592="","",INT((INT(C592)-'01_Ficha_Dosis'!$C$14)/7)+1)</f>
        <v/>
      </c>
      <c r="J592" s="12" t="str">
        <f t="shared" si="2"/>
        <v/>
      </c>
      <c r="K592" s="12" t="str">
        <f>IF(J592="","",IF(AND(G592="OK",J592&gt;='01_Ficha_Dosis'!$C$23,F592&gt;='01_Ficha_Dosis'!$C$24,H592&gt;='01_Ficha_Dosis'!$C$14,H592&lt;='01_Ficha_Dosis'!$C$15),1,0))</f>
        <v/>
      </c>
      <c r="L592" s="12">
        <f t="shared" si="3"/>
        <v>0</v>
      </c>
    </row>
    <row r="593" ht="15.75" customHeight="1">
      <c r="A593" s="14"/>
      <c r="B593" s="14"/>
      <c r="C593" s="23"/>
      <c r="D593" s="23"/>
      <c r="E593" s="14"/>
      <c r="F593" s="14"/>
      <c r="G593" s="14"/>
      <c r="H593" s="24" t="str">
        <f t="shared" si="1"/>
        <v/>
      </c>
      <c r="I593" s="12" t="str">
        <f>IF(C593="","",INT((INT(C593)-'01_Ficha_Dosis'!$C$14)/7)+1)</f>
        <v/>
      </c>
      <c r="J593" s="12" t="str">
        <f t="shared" si="2"/>
        <v/>
      </c>
      <c r="K593" s="12" t="str">
        <f>IF(J593="","",IF(AND(G593="OK",J593&gt;='01_Ficha_Dosis'!$C$23,F593&gt;='01_Ficha_Dosis'!$C$24,H593&gt;='01_Ficha_Dosis'!$C$14,H593&lt;='01_Ficha_Dosis'!$C$15),1,0))</f>
        <v/>
      </c>
      <c r="L593" s="12">
        <f t="shared" si="3"/>
        <v>0</v>
      </c>
    </row>
    <row r="594" ht="15.75" customHeight="1">
      <c r="A594" s="14"/>
      <c r="B594" s="14"/>
      <c r="C594" s="23"/>
      <c r="D594" s="23"/>
      <c r="E594" s="14"/>
      <c r="F594" s="14"/>
      <c r="G594" s="14"/>
      <c r="H594" s="24" t="str">
        <f t="shared" si="1"/>
        <v/>
      </c>
      <c r="I594" s="12" t="str">
        <f>IF(C594="","",INT((INT(C594)-'01_Ficha_Dosis'!$C$14)/7)+1)</f>
        <v/>
      </c>
      <c r="J594" s="12" t="str">
        <f t="shared" si="2"/>
        <v/>
      </c>
      <c r="K594" s="12" t="str">
        <f>IF(J594="","",IF(AND(G594="OK",J594&gt;='01_Ficha_Dosis'!$C$23,F594&gt;='01_Ficha_Dosis'!$C$24,H594&gt;='01_Ficha_Dosis'!$C$14,H594&lt;='01_Ficha_Dosis'!$C$15),1,0))</f>
        <v/>
      </c>
      <c r="L594" s="12">
        <f t="shared" si="3"/>
        <v>0</v>
      </c>
    </row>
    <row r="595" ht="15.75" customHeight="1">
      <c r="A595" s="14"/>
      <c r="B595" s="14"/>
      <c r="C595" s="23"/>
      <c r="D595" s="23"/>
      <c r="E595" s="14"/>
      <c r="F595" s="14"/>
      <c r="G595" s="14"/>
      <c r="H595" s="24" t="str">
        <f t="shared" si="1"/>
        <v/>
      </c>
      <c r="I595" s="12" t="str">
        <f>IF(C595="","",INT((INT(C595)-'01_Ficha_Dosis'!$C$14)/7)+1)</f>
        <v/>
      </c>
      <c r="J595" s="12" t="str">
        <f t="shared" si="2"/>
        <v/>
      </c>
      <c r="K595" s="12" t="str">
        <f>IF(J595="","",IF(AND(G595="OK",J595&gt;='01_Ficha_Dosis'!$C$23,F595&gt;='01_Ficha_Dosis'!$C$24,H595&gt;='01_Ficha_Dosis'!$C$14,H595&lt;='01_Ficha_Dosis'!$C$15),1,0))</f>
        <v/>
      </c>
      <c r="L595" s="12">
        <f t="shared" si="3"/>
        <v>0</v>
      </c>
    </row>
    <row r="596" ht="15.75" customHeight="1">
      <c r="A596" s="14"/>
      <c r="B596" s="14"/>
      <c r="C596" s="23"/>
      <c r="D596" s="23"/>
      <c r="E596" s="14"/>
      <c r="F596" s="14"/>
      <c r="G596" s="14"/>
      <c r="H596" s="24" t="str">
        <f t="shared" si="1"/>
        <v/>
      </c>
      <c r="I596" s="12" t="str">
        <f>IF(C596="","",INT((INT(C596)-'01_Ficha_Dosis'!$C$14)/7)+1)</f>
        <v/>
      </c>
      <c r="J596" s="12" t="str">
        <f t="shared" si="2"/>
        <v/>
      </c>
      <c r="K596" s="12" t="str">
        <f>IF(J596="","",IF(AND(G596="OK",J596&gt;='01_Ficha_Dosis'!$C$23,F596&gt;='01_Ficha_Dosis'!$C$24,H596&gt;='01_Ficha_Dosis'!$C$14,H596&lt;='01_Ficha_Dosis'!$C$15),1,0))</f>
        <v/>
      </c>
      <c r="L596" s="12">
        <f t="shared" si="3"/>
        <v>0</v>
      </c>
    </row>
    <row r="597" ht="15.75" customHeight="1">
      <c r="A597" s="14"/>
      <c r="B597" s="14"/>
      <c r="C597" s="23"/>
      <c r="D597" s="23"/>
      <c r="E597" s="14"/>
      <c r="F597" s="14"/>
      <c r="G597" s="14"/>
      <c r="H597" s="24" t="str">
        <f t="shared" si="1"/>
        <v/>
      </c>
      <c r="I597" s="12" t="str">
        <f>IF(C597="","",INT((INT(C597)-'01_Ficha_Dosis'!$C$14)/7)+1)</f>
        <v/>
      </c>
      <c r="J597" s="12" t="str">
        <f t="shared" si="2"/>
        <v/>
      </c>
      <c r="K597" s="12" t="str">
        <f>IF(J597="","",IF(AND(G597="OK",J597&gt;='01_Ficha_Dosis'!$C$23,F597&gt;='01_Ficha_Dosis'!$C$24,H597&gt;='01_Ficha_Dosis'!$C$14,H597&lt;='01_Ficha_Dosis'!$C$15),1,0))</f>
        <v/>
      </c>
      <c r="L597" s="12">
        <f t="shared" si="3"/>
        <v>0</v>
      </c>
    </row>
    <row r="598" ht="15.75" customHeight="1">
      <c r="A598" s="14"/>
      <c r="B598" s="14"/>
      <c r="C598" s="23"/>
      <c r="D598" s="23"/>
      <c r="E598" s="14"/>
      <c r="F598" s="14"/>
      <c r="G598" s="14"/>
      <c r="H598" s="24" t="str">
        <f t="shared" si="1"/>
        <v/>
      </c>
      <c r="I598" s="12" t="str">
        <f>IF(C598="","",INT((INT(C598)-'01_Ficha_Dosis'!$C$14)/7)+1)</f>
        <v/>
      </c>
      <c r="J598" s="12" t="str">
        <f t="shared" si="2"/>
        <v/>
      </c>
      <c r="K598" s="12" t="str">
        <f>IF(J598="","",IF(AND(G598="OK",J598&gt;='01_Ficha_Dosis'!$C$23,F598&gt;='01_Ficha_Dosis'!$C$24,H598&gt;='01_Ficha_Dosis'!$C$14,H598&lt;='01_Ficha_Dosis'!$C$15),1,0))</f>
        <v/>
      </c>
      <c r="L598" s="12">
        <f t="shared" si="3"/>
        <v>0</v>
      </c>
    </row>
    <row r="599" ht="15.75" customHeight="1">
      <c r="A599" s="14"/>
      <c r="B599" s="14"/>
      <c r="C599" s="23"/>
      <c r="D599" s="23"/>
      <c r="E599" s="14"/>
      <c r="F599" s="14"/>
      <c r="G599" s="14"/>
      <c r="H599" s="24" t="str">
        <f t="shared" si="1"/>
        <v/>
      </c>
      <c r="I599" s="12" t="str">
        <f>IF(C599="","",INT((INT(C599)-'01_Ficha_Dosis'!$C$14)/7)+1)</f>
        <v/>
      </c>
      <c r="J599" s="12" t="str">
        <f t="shared" si="2"/>
        <v/>
      </c>
      <c r="K599" s="12" t="str">
        <f>IF(J599="","",IF(AND(G599="OK",J599&gt;='01_Ficha_Dosis'!$C$23,F599&gt;='01_Ficha_Dosis'!$C$24,H599&gt;='01_Ficha_Dosis'!$C$14,H599&lt;='01_Ficha_Dosis'!$C$15),1,0))</f>
        <v/>
      </c>
      <c r="L599" s="12">
        <f t="shared" si="3"/>
        <v>0</v>
      </c>
    </row>
    <row r="600" ht="15.75" customHeight="1">
      <c r="A600" s="14"/>
      <c r="B600" s="14"/>
      <c r="C600" s="23"/>
      <c r="D600" s="23"/>
      <c r="E600" s="14"/>
      <c r="F600" s="14"/>
      <c r="G600" s="14"/>
      <c r="H600" s="24" t="str">
        <f t="shared" si="1"/>
        <v/>
      </c>
      <c r="I600" s="12" t="str">
        <f>IF(C600="","",INT((INT(C600)-'01_Ficha_Dosis'!$C$14)/7)+1)</f>
        <v/>
      </c>
      <c r="J600" s="12" t="str">
        <f t="shared" si="2"/>
        <v/>
      </c>
      <c r="K600" s="12" t="str">
        <f>IF(J600="","",IF(AND(G600="OK",J600&gt;='01_Ficha_Dosis'!$C$23,F600&gt;='01_Ficha_Dosis'!$C$24,H600&gt;='01_Ficha_Dosis'!$C$14,H600&lt;='01_Ficha_Dosis'!$C$15),1,0))</f>
        <v/>
      </c>
      <c r="L600" s="12">
        <f t="shared" si="3"/>
        <v>0</v>
      </c>
    </row>
    <row r="601" ht="15.75" customHeight="1">
      <c r="A601" s="14"/>
      <c r="B601" s="14"/>
      <c r="C601" s="23"/>
      <c r="D601" s="23"/>
      <c r="E601" s="14"/>
      <c r="F601" s="14"/>
      <c r="G601" s="14"/>
      <c r="H601" s="24" t="str">
        <f t="shared" si="1"/>
        <v/>
      </c>
      <c r="I601" s="12" t="str">
        <f>IF(C601="","",INT((INT(C601)-'01_Ficha_Dosis'!$C$14)/7)+1)</f>
        <v/>
      </c>
      <c r="J601" s="12" t="str">
        <f t="shared" si="2"/>
        <v/>
      </c>
      <c r="K601" s="12" t="str">
        <f>IF(J601="","",IF(AND(G601="OK",J601&gt;='01_Ficha_Dosis'!$C$23,F601&gt;='01_Ficha_Dosis'!$C$24,H601&gt;='01_Ficha_Dosis'!$C$14,H601&lt;='01_Ficha_Dosis'!$C$15),1,0))</f>
        <v/>
      </c>
      <c r="L601" s="12">
        <f t="shared" si="3"/>
        <v>0</v>
      </c>
    </row>
    <row r="602" ht="15.75" customHeight="1">
      <c r="A602" s="14"/>
      <c r="B602" s="14"/>
      <c r="C602" s="23"/>
      <c r="D602" s="23"/>
      <c r="E602" s="14"/>
      <c r="F602" s="14"/>
      <c r="G602" s="14"/>
      <c r="H602" s="24" t="str">
        <f t="shared" si="1"/>
        <v/>
      </c>
      <c r="I602" s="12" t="str">
        <f>IF(C602="","",INT((INT(C602)-'01_Ficha_Dosis'!$C$14)/7)+1)</f>
        <v/>
      </c>
      <c r="J602" s="12" t="str">
        <f t="shared" si="2"/>
        <v/>
      </c>
      <c r="K602" s="12" t="str">
        <f>IF(J602="","",IF(AND(G602="OK",J602&gt;='01_Ficha_Dosis'!$C$23,F602&gt;='01_Ficha_Dosis'!$C$24,H602&gt;='01_Ficha_Dosis'!$C$14,H602&lt;='01_Ficha_Dosis'!$C$15),1,0))</f>
        <v/>
      </c>
      <c r="L602" s="12">
        <f t="shared" si="3"/>
        <v>0</v>
      </c>
    </row>
    <row r="603" ht="15.75" customHeight="1">
      <c r="A603" s="14"/>
      <c r="B603" s="14"/>
      <c r="C603" s="23"/>
      <c r="D603" s="23"/>
      <c r="E603" s="14"/>
      <c r="F603" s="14"/>
      <c r="G603" s="14"/>
      <c r="H603" s="24" t="str">
        <f t="shared" si="1"/>
        <v/>
      </c>
      <c r="I603" s="12" t="str">
        <f>IF(C603="","",INT((INT(C603)-'01_Ficha_Dosis'!$C$14)/7)+1)</f>
        <v/>
      </c>
      <c r="J603" s="12" t="str">
        <f t="shared" si="2"/>
        <v/>
      </c>
      <c r="K603" s="12" t="str">
        <f>IF(J603="","",IF(AND(G603="OK",J603&gt;='01_Ficha_Dosis'!$C$23,F603&gt;='01_Ficha_Dosis'!$C$24,H603&gt;='01_Ficha_Dosis'!$C$14,H603&lt;='01_Ficha_Dosis'!$C$15),1,0))</f>
        <v/>
      </c>
      <c r="L603" s="12">
        <f t="shared" si="3"/>
        <v>0</v>
      </c>
    </row>
    <row r="604" ht="15.75" customHeight="1">
      <c r="A604" s="14"/>
      <c r="B604" s="14"/>
      <c r="C604" s="23"/>
      <c r="D604" s="23"/>
      <c r="E604" s="14"/>
      <c r="F604" s="14"/>
      <c r="G604" s="14"/>
      <c r="H604" s="24" t="str">
        <f t="shared" si="1"/>
        <v/>
      </c>
      <c r="I604" s="12" t="str">
        <f>IF(C604="","",INT((INT(C604)-'01_Ficha_Dosis'!$C$14)/7)+1)</f>
        <v/>
      </c>
      <c r="J604" s="12" t="str">
        <f t="shared" si="2"/>
        <v/>
      </c>
      <c r="K604" s="12" t="str">
        <f>IF(J604="","",IF(AND(G604="OK",J604&gt;='01_Ficha_Dosis'!$C$23,F604&gt;='01_Ficha_Dosis'!$C$24,H604&gt;='01_Ficha_Dosis'!$C$14,H604&lt;='01_Ficha_Dosis'!$C$15),1,0))</f>
        <v/>
      </c>
      <c r="L604" s="12">
        <f t="shared" si="3"/>
        <v>0</v>
      </c>
    </row>
    <row r="605" ht="15.75" customHeight="1">
      <c r="A605" s="14"/>
      <c r="B605" s="14"/>
      <c r="C605" s="23"/>
      <c r="D605" s="23"/>
      <c r="E605" s="14"/>
      <c r="F605" s="14"/>
      <c r="G605" s="14"/>
      <c r="H605" s="24" t="str">
        <f t="shared" si="1"/>
        <v/>
      </c>
      <c r="I605" s="12" t="str">
        <f>IF(C605="","",INT((INT(C605)-'01_Ficha_Dosis'!$C$14)/7)+1)</f>
        <v/>
      </c>
      <c r="J605" s="12" t="str">
        <f t="shared" si="2"/>
        <v/>
      </c>
      <c r="K605" s="12" t="str">
        <f>IF(J605="","",IF(AND(G605="OK",J605&gt;='01_Ficha_Dosis'!$C$23,F605&gt;='01_Ficha_Dosis'!$C$24,H605&gt;='01_Ficha_Dosis'!$C$14,H605&lt;='01_Ficha_Dosis'!$C$15),1,0))</f>
        <v/>
      </c>
      <c r="L605" s="12">
        <f t="shared" si="3"/>
        <v>0</v>
      </c>
    </row>
    <row r="606" ht="15.75" customHeight="1">
      <c r="A606" s="14"/>
      <c r="B606" s="14"/>
      <c r="C606" s="23"/>
      <c r="D606" s="23"/>
      <c r="E606" s="14"/>
      <c r="F606" s="14"/>
      <c r="G606" s="14"/>
      <c r="H606" s="24" t="str">
        <f t="shared" si="1"/>
        <v/>
      </c>
      <c r="I606" s="12" t="str">
        <f>IF(C606="","",INT((INT(C606)-'01_Ficha_Dosis'!$C$14)/7)+1)</f>
        <v/>
      </c>
      <c r="J606" s="12" t="str">
        <f t="shared" si="2"/>
        <v/>
      </c>
      <c r="K606" s="12" t="str">
        <f>IF(J606="","",IF(AND(G606="OK",J606&gt;='01_Ficha_Dosis'!$C$23,F606&gt;='01_Ficha_Dosis'!$C$24,H606&gt;='01_Ficha_Dosis'!$C$14,H606&lt;='01_Ficha_Dosis'!$C$15),1,0))</f>
        <v/>
      </c>
      <c r="L606" s="12">
        <f t="shared" si="3"/>
        <v>0</v>
      </c>
    </row>
    <row r="607" ht="15.75" customHeight="1">
      <c r="A607" s="14"/>
      <c r="B607" s="14"/>
      <c r="C607" s="23"/>
      <c r="D607" s="23"/>
      <c r="E607" s="14"/>
      <c r="F607" s="14"/>
      <c r="G607" s="14"/>
      <c r="H607" s="24" t="str">
        <f t="shared" si="1"/>
        <v/>
      </c>
      <c r="I607" s="12" t="str">
        <f>IF(C607="","",INT((INT(C607)-'01_Ficha_Dosis'!$C$14)/7)+1)</f>
        <v/>
      </c>
      <c r="J607" s="12" t="str">
        <f t="shared" si="2"/>
        <v/>
      </c>
      <c r="K607" s="12" t="str">
        <f>IF(J607="","",IF(AND(G607="OK",J607&gt;='01_Ficha_Dosis'!$C$23,F607&gt;='01_Ficha_Dosis'!$C$24,H607&gt;='01_Ficha_Dosis'!$C$14,H607&lt;='01_Ficha_Dosis'!$C$15),1,0))</f>
        <v/>
      </c>
      <c r="L607" s="12">
        <f t="shared" si="3"/>
        <v>0</v>
      </c>
    </row>
    <row r="608" ht="15.75" customHeight="1">
      <c r="A608" s="14"/>
      <c r="B608" s="14"/>
      <c r="C608" s="23"/>
      <c r="D608" s="23"/>
      <c r="E608" s="14"/>
      <c r="F608" s="14"/>
      <c r="G608" s="14"/>
      <c r="H608" s="24" t="str">
        <f t="shared" si="1"/>
        <v/>
      </c>
      <c r="I608" s="12" t="str">
        <f>IF(C608="","",INT((INT(C608)-'01_Ficha_Dosis'!$C$14)/7)+1)</f>
        <v/>
      </c>
      <c r="J608" s="12" t="str">
        <f t="shared" si="2"/>
        <v/>
      </c>
      <c r="K608" s="12" t="str">
        <f>IF(J608="","",IF(AND(G608="OK",J608&gt;='01_Ficha_Dosis'!$C$23,F608&gt;='01_Ficha_Dosis'!$C$24,H608&gt;='01_Ficha_Dosis'!$C$14,H608&lt;='01_Ficha_Dosis'!$C$15),1,0))</f>
        <v/>
      </c>
      <c r="L608" s="12">
        <f t="shared" si="3"/>
        <v>0</v>
      </c>
    </row>
    <row r="609" ht="15.75" customHeight="1">
      <c r="A609" s="14"/>
      <c r="B609" s="14"/>
      <c r="C609" s="23"/>
      <c r="D609" s="23"/>
      <c r="E609" s="14"/>
      <c r="F609" s="14"/>
      <c r="G609" s="14"/>
      <c r="H609" s="24" t="str">
        <f t="shared" si="1"/>
        <v/>
      </c>
      <c r="I609" s="12" t="str">
        <f>IF(C609="","",INT((INT(C609)-'01_Ficha_Dosis'!$C$14)/7)+1)</f>
        <v/>
      </c>
      <c r="J609" s="12" t="str">
        <f t="shared" si="2"/>
        <v/>
      </c>
      <c r="K609" s="12" t="str">
        <f>IF(J609="","",IF(AND(G609="OK",J609&gt;='01_Ficha_Dosis'!$C$23,F609&gt;='01_Ficha_Dosis'!$C$24,H609&gt;='01_Ficha_Dosis'!$C$14,H609&lt;='01_Ficha_Dosis'!$C$15),1,0))</f>
        <v/>
      </c>
      <c r="L609" s="12">
        <f t="shared" si="3"/>
        <v>0</v>
      </c>
    </row>
    <row r="610" ht="15.75" customHeight="1">
      <c r="A610" s="14"/>
      <c r="B610" s="14"/>
      <c r="C610" s="23"/>
      <c r="D610" s="23"/>
      <c r="E610" s="14"/>
      <c r="F610" s="14"/>
      <c r="G610" s="14"/>
      <c r="H610" s="24" t="str">
        <f t="shared" si="1"/>
        <v/>
      </c>
      <c r="I610" s="12" t="str">
        <f>IF(C610="","",INT((INT(C610)-'01_Ficha_Dosis'!$C$14)/7)+1)</f>
        <v/>
      </c>
      <c r="J610" s="12" t="str">
        <f t="shared" si="2"/>
        <v/>
      </c>
      <c r="K610" s="12" t="str">
        <f>IF(J610="","",IF(AND(G610="OK",J610&gt;='01_Ficha_Dosis'!$C$23,F610&gt;='01_Ficha_Dosis'!$C$24,H610&gt;='01_Ficha_Dosis'!$C$14,H610&lt;='01_Ficha_Dosis'!$C$15),1,0))</f>
        <v/>
      </c>
      <c r="L610" s="12">
        <f t="shared" si="3"/>
        <v>0</v>
      </c>
    </row>
    <row r="611" ht="15.75" customHeight="1">
      <c r="A611" s="14"/>
      <c r="B611" s="14"/>
      <c r="C611" s="23"/>
      <c r="D611" s="23"/>
      <c r="E611" s="14"/>
      <c r="F611" s="14"/>
      <c r="G611" s="14"/>
      <c r="H611" s="24" t="str">
        <f t="shared" si="1"/>
        <v/>
      </c>
      <c r="I611" s="12" t="str">
        <f>IF(C611="","",INT((INT(C611)-'01_Ficha_Dosis'!$C$14)/7)+1)</f>
        <v/>
      </c>
      <c r="J611" s="12" t="str">
        <f t="shared" si="2"/>
        <v/>
      </c>
      <c r="K611" s="12" t="str">
        <f>IF(J611="","",IF(AND(G611="OK",J611&gt;='01_Ficha_Dosis'!$C$23,F611&gt;='01_Ficha_Dosis'!$C$24,H611&gt;='01_Ficha_Dosis'!$C$14,H611&lt;='01_Ficha_Dosis'!$C$15),1,0))</f>
        <v/>
      </c>
      <c r="L611" s="12">
        <f t="shared" si="3"/>
        <v>0</v>
      </c>
    </row>
    <row r="612" ht="15.75" customHeight="1">
      <c r="A612" s="14"/>
      <c r="B612" s="14"/>
      <c r="C612" s="23"/>
      <c r="D612" s="23"/>
      <c r="E612" s="14"/>
      <c r="F612" s="14"/>
      <c r="G612" s="14"/>
      <c r="H612" s="24" t="str">
        <f t="shared" si="1"/>
        <v/>
      </c>
      <c r="I612" s="12" t="str">
        <f>IF(C612="","",INT((INT(C612)-'01_Ficha_Dosis'!$C$14)/7)+1)</f>
        <v/>
      </c>
      <c r="J612" s="12" t="str">
        <f t="shared" si="2"/>
        <v/>
      </c>
      <c r="K612" s="12" t="str">
        <f>IF(J612="","",IF(AND(G612="OK",J612&gt;='01_Ficha_Dosis'!$C$23,F612&gt;='01_Ficha_Dosis'!$C$24,H612&gt;='01_Ficha_Dosis'!$C$14,H612&lt;='01_Ficha_Dosis'!$C$15),1,0))</f>
        <v/>
      </c>
      <c r="L612" s="12">
        <f t="shared" si="3"/>
        <v>0</v>
      </c>
    </row>
    <row r="613" ht="15.75" customHeight="1">
      <c r="A613" s="14"/>
      <c r="B613" s="14"/>
      <c r="C613" s="23"/>
      <c r="D613" s="23"/>
      <c r="E613" s="14"/>
      <c r="F613" s="14"/>
      <c r="G613" s="14"/>
      <c r="H613" s="24" t="str">
        <f t="shared" si="1"/>
        <v/>
      </c>
      <c r="I613" s="12" t="str">
        <f>IF(C613="","",INT((INT(C613)-'01_Ficha_Dosis'!$C$14)/7)+1)</f>
        <v/>
      </c>
      <c r="J613" s="12" t="str">
        <f t="shared" si="2"/>
        <v/>
      </c>
      <c r="K613" s="12" t="str">
        <f>IF(J613="","",IF(AND(G613="OK",J613&gt;='01_Ficha_Dosis'!$C$23,F613&gt;='01_Ficha_Dosis'!$C$24,H613&gt;='01_Ficha_Dosis'!$C$14,H613&lt;='01_Ficha_Dosis'!$C$15),1,0))</f>
        <v/>
      </c>
      <c r="L613" s="12">
        <f t="shared" si="3"/>
        <v>0</v>
      </c>
    </row>
    <row r="614" ht="15.75" customHeight="1">
      <c r="A614" s="14"/>
      <c r="B614" s="14"/>
      <c r="C614" s="23"/>
      <c r="D614" s="23"/>
      <c r="E614" s="14"/>
      <c r="F614" s="14"/>
      <c r="G614" s="14"/>
      <c r="H614" s="24" t="str">
        <f t="shared" si="1"/>
        <v/>
      </c>
      <c r="I614" s="12" t="str">
        <f>IF(C614="","",INT((INT(C614)-'01_Ficha_Dosis'!$C$14)/7)+1)</f>
        <v/>
      </c>
      <c r="J614" s="12" t="str">
        <f t="shared" si="2"/>
        <v/>
      </c>
      <c r="K614" s="12" t="str">
        <f>IF(J614="","",IF(AND(G614="OK",J614&gt;='01_Ficha_Dosis'!$C$23,F614&gt;='01_Ficha_Dosis'!$C$24,H614&gt;='01_Ficha_Dosis'!$C$14,H614&lt;='01_Ficha_Dosis'!$C$15),1,0))</f>
        <v/>
      </c>
      <c r="L614" s="12">
        <f t="shared" si="3"/>
        <v>0</v>
      </c>
    </row>
    <row r="615" ht="15.75" customHeight="1">
      <c r="A615" s="14"/>
      <c r="B615" s="14"/>
      <c r="C615" s="23"/>
      <c r="D615" s="23"/>
      <c r="E615" s="14"/>
      <c r="F615" s="14"/>
      <c r="G615" s="14"/>
      <c r="H615" s="24" t="str">
        <f t="shared" si="1"/>
        <v/>
      </c>
      <c r="I615" s="12" t="str">
        <f>IF(C615="","",INT((INT(C615)-'01_Ficha_Dosis'!$C$14)/7)+1)</f>
        <v/>
      </c>
      <c r="J615" s="12" t="str">
        <f t="shared" si="2"/>
        <v/>
      </c>
      <c r="K615" s="12" t="str">
        <f>IF(J615="","",IF(AND(G615="OK",J615&gt;='01_Ficha_Dosis'!$C$23,F615&gt;='01_Ficha_Dosis'!$C$24,H615&gt;='01_Ficha_Dosis'!$C$14,H615&lt;='01_Ficha_Dosis'!$C$15),1,0))</f>
        <v/>
      </c>
      <c r="L615" s="12">
        <f t="shared" si="3"/>
        <v>0</v>
      </c>
    </row>
    <row r="616" ht="15.75" customHeight="1">
      <c r="A616" s="14"/>
      <c r="B616" s="14"/>
      <c r="C616" s="23"/>
      <c r="D616" s="23"/>
      <c r="E616" s="14"/>
      <c r="F616" s="14"/>
      <c r="G616" s="14"/>
      <c r="H616" s="24" t="str">
        <f t="shared" si="1"/>
        <v/>
      </c>
      <c r="I616" s="12" t="str">
        <f>IF(C616="","",INT((INT(C616)-'01_Ficha_Dosis'!$C$14)/7)+1)</f>
        <v/>
      </c>
      <c r="J616" s="12" t="str">
        <f t="shared" si="2"/>
        <v/>
      </c>
      <c r="K616" s="12" t="str">
        <f>IF(J616="","",IF(AND(G616="OK",J616&gt;='01_Ficha_Dosis'!$C$23,F616&gt;='01_Ficha_Dosis'!$C$24,H616&gt;='01_Ficha_Dosis'!$C$14,H616&lt;='01_Ficha_Dosis'!$C$15),1,0))</f>
        <v/>
      </c>
      <c r="L616" s="12">
        <f t="shared" si="3"/>
        <v>0</v>
      </c>
    </row>
    <row r="617" ht="15.75" customHeight="1">
      <c r="A617" s="14"/>
      <c r="B617" s="14"/>
      <c r="C617" s="23"/>
      <c r="D617" s="23"/>
      <c r="E617" s="14"/>
      <c r="F617" s="14"/>
      <c r="G617" s="14"/>
      <c r="H617" s="24" t="str">
        <f t="shared" si="1"/>
        <v/>
      </c>
      <c r="I617" s="12" t="str">
        <f>IF(C617="","",INT((INT(C617)-'01_Ficha_Dosis'!$C$14)/7)+1)</f>
        <v/>
      </c>
      <c r="J617" s="12" t="str">
        <f t="shared" si="2"/>
        <v/>
      </c>
      <c r="K617" s="12" t="str">
        <f>IF(J617="","",IF(AND(G617="OK",J617&gt;='01_Ficha_Dosis'!$C$23,F617&gt;='01_Ficha_Dosis'!$C$24,H617&gt;='01_Ficha_Dosis'!$C$14,H617&lt;='01_Ficha_Dosis'!$C$15),1,0))</f>
        <v/>
      </c>
      <c r="L617" s="12">
        <f t="shared" si="3"/>
        <v>0</v>
      </c>
    </row>
    <row r="618" ht="15.75" customHeight="1">
      <c r="A618" s="14"/>
      <c r="B618" s="14"/>
      <c r="C618" s="23"/>
      <c r="D618" s="23"/>
      <c r="E618" s="14"/>
      <c r="F618" s="14"/>
      <c r="G618" s="14"/>
      <c r="H618" s="24" t="str">
        <f t="shared" si="1"/>
        <v/>
      </c>
      <c r="I618" s="12" t="str">
        <f>IF(C618="","",INT((INT(C618)-'01_Ficha_Dosis'!$C$14)/7)+1)</f>
        <v/>
      </c>
      <c r="J618" s="12" t="str">
        <f t="shared" si="2"/>
        <v/>
      </c>
      <c r="K618" s="12" t="str">
        <f>IF(J618="","",IF(AND(G618="OK",J618&gt;='01_Ficha_Dosis'!$C$23,F618&gt;='01_Ficha_Dosis'!$C$24,H618&gt;='01_Ficha_Dosis'!$C$14,H618&lt;='01_Ficha_Dosis'!$C$15),1,0))</f>
        <v/>
      </c>
      <c r="L618" s="12">
        <f t="shared" si="3"/>
        <v>0</v>
      </c>
    </row>
    <row r="619" ht="15.75" customHeight="1">
      <c r="A619" s="14"/>
      <c r="B619" s="14"/>
      <c r="C619" s="23"/>
      <c r="D619" s="23"/>
      <c r="E619" s="14"/>
      <c r="F619" s="14"/>
      <c r="G619" s="14"/>
      <c r="H619" s="24" t="str">
        <f t="shared" si="1"/>
        <v/>
      </c>
      <c r="I619" s="12" t="str">
        <f>IF(C619="","",INT((INT(C619)-'01_Ficha_Dosis'!$C$14)/7)+1)</f>
        <v/>
      </c>
      <c r="J619" s="12" t="str">
        <f t="shared" si="2"/>
        <v/>
      </c>
      <c r="K619" s="12" t="str">
        <f>IF(J619="","",IF(AND(G619="OK",J619&gt;='01_Ficha_Dosis'!$C$23,F619&gt;='01_Ficha_Dosis'!$C$24,H619&gt;='01_Ficha_Dosis'!$C$14,H619&lt;='01_Ficha_Dosis'!$C$15),1,0))</f>
        <v/>
      </c>
      <c r="L619" s="12">
        <f t="shared" si="3"/>
        <v>0</v>
      </c>
    </row>
    <row r="620" ht="15.75" customHeight="1">
      <c r="A620" s="14"/>
      <c r="B620" s="14"/>
      <c r="C620" s="23"/>
      <c r="D620" s="23"/>
      <c r="E620" s="14"/>
      <c r="F620" s="14"/>
      <c r="G620" s="14"/>
      <c r="H620" s="24" t="str">
        <f t="shared" si="1"/>
        <v/>
      </c>
      <c r="I620" s="12" t="str">
        <f>IF(C620="","",INT((INT(C620)-'01_Ficha_Dosis'!$C$14)/7)+1)</f>
        <v/>
      </c>
      <c r="J620" s="12" t="str">
        <f t="shared" si="2"/>
        <v/>
      </c>
      <c r="K620" s="12" t="str">
        <f>IF(J620="","",IF(AND(G620="OK",J620&gt;='01_Ficha_Dosis'!$C$23,F620&gt;='01_Ficha_Dosis'!$C$24,H620&gt;='01_Ficha_Dosis'!$C$14,H620&lt;='01_Ficha_Dosis'!$C$15),1,0))</f>
        <v/>
      </c>
      <c r="L620" s="12">
        <f t="shared" si="3"/>
        <v>0</v>
      </c>
    </row>
    <row r="621" ht="15.75" customHeight="1">
      <c r="A621" s="14"/>
      <c r="B621" s="14"/>
      <c r="C621" s="23"/>
      <c r="D621" s="23"/>
      <c r="E621" s="14"/>
      <c r="F621" s="14"/>
      <c r="G621" s="14"/>
      <c r="H621" s="24" t="str">
        <f t="shared" si="1"/>
        <v/>
      </c>
      <c r="I621" s="12" t="str">
        <f>IF(C621="","",INT((INT(C621)-'01_Ficha_Dosis'!$C$14)/7)+1)</f>
        <v/>
      </c>
      <c r="J621" s="12" t="str">
        <f t="shared" si="2"/>
        <v/>
      </c>
      <c r="K621" s="12" t="str">
        <f>IF(J621="","",IF(AND(G621="OK",J621&gt;='01_Ficha_Dosis'!$C$23,F621&gt;='01_Ficha_Dosis'!$C$24,H621&gt;='01_Ficha_Dosis'!$C$14,H621&lt;='01_Ficha_Dosis'!$C$15),1,0))</f>
        <v/>
      </c>
      <c r="L621" s="12">
        <f t="shared" si="3"/>
        <v>0</v>
      </c>
    </row>
    <row r="622" ht="15.75" customHeight="1">
      <c r="A622" s="14"/>
      <c r="B622" s="14"/>
      <c r="C622" s="23"/>
      <c r="D622" s="23"/>
      <c r="E622" s="14"/>
      <c r="F622" s="14"/>
      <c r="G622" s="14"/>
      <c r="H622" s="24" t="str">
        <f t="shared" si="1"/>
        <v/>
      </c>
      <c r="I622" s="12" t="str">
        <f>IF(C622="","",INT((INT(C622)-'01_Ficha_Dosis'!$C$14)/7)+1)</f>
        <v/>
      </c>
      <c r="J622" s="12" t="str">
        <f t="shared" si="2"/>
        <v/>
      </c>
      <c r="K622" s="12" t="str">
        <f>IF(J622="","",IF(AND(G622="OK",J622&gt;='01_Ficha_Dosis'!$C$23,F622&gt;='01_Ficha_Dosis'!$C$24,H622&gt;='01_Ficha_Dosis'!$C$14,H622&lt;='01_Ficha_Dosis'!$C$15),1,0))</f>
        <v/>
      </c>
      <c r="L622" s="12">
        <f t="shared" si="3"/>
        <v>0</v>
      </c>
    </row>
    <row r="623" ht="15.75" customHeight="1">
      <c r="A623" s="14"/>
      <c r="B623" s="14"/>
      <c r="C623" s="23"/>
      <c r="D623" s="23"/>
      <c r="E623" s="14"/>
      <c r="F623" s="14"/>
      <c r="G623" s="14"/>
      <c r="H623" s="24" t="str">
        <f t="shared" si="1"/>
        <v/>
      </c>
      <c r="I623" s="12" t="str">
        <f>IF(C623="","",INT((INT(C623)-'01_Ficha_Dosis'!$C$14)/7)+1)</f>
        <v/>
      </c>
      <c r="J623" s="12" t="str">
        <f t="shared" si="2"/>
        <v/>
      </c>
      <c r="K623" s="12" t="str">
        <f>IF(J623="","",IF(AND(G623="OK",J623&gt;='01_Ficha_Dosis'!$C$23,F623&gt;='01_Ficha_Dosis'!$C$24,H623&gt;='01_Ficha_Dosis'!$C$14,H623&lt;='01_Ficha_Dosis'!$C$15),1,0))</f>
        <v/>
      </c>
      <c r="L623" s="12">
        <f t="shared" si="3"/>
        <v>0</v>
      </c>
    </row>
    <row r="624" ht="15.75" customHeight="1">
      <c r="A624" s="14"/>
      <c r="B624" s="14"/>
      <c r="C624" s="23"/>
      <c r="D624" s="23"/>
      <c r="E624" s="14"/>
      <c r="F624" s="14"/>
      <c r="G624" s="14"/>
      <c r="H624" s="24" t="str">
        <f t="shared" si="1"/>
        <v/>
      </c>
      <c r="I624" s="12" t="str">
        <f>IF(C624="","",INT((INT(C624)-'01_Ficha_Dosis'!$C$14)/7)+1)</f>
        <v/>
      </c>
      <c r="J624" s="12" t="str">
        <f t="shared" si="2"/>
        <v/>
      </c>
      <c r="K624" s="12" t="str">
        <f>IF(J624="","",IF(AND(G624="OK",J624&gt;='01_Ficha_Dosis'!$C$23,F624&gt;='01_Ficha_Dosis'!$C$24,H624&gt;='01_Ficha_Dosis'!$C$14,H624&lt;='01_Ficha_Dosis'!$C$15),1,0))</f>
        <v/>
      </c>
      <c r="L624" s="12">
        <f t="shared" si="3"/>
        <v>0</v>
      </c>
    </row>
    <row r="625" ht="15.75" customHeight="1">
      <c r="A625" s="14"/>
      <c r="B625" s="14"/>
      <c r="C625" s="23"/>
      <c r="D625" s="23"/>
      <c r="E625" s="14"/>
      <c r="F625" s="14"/>
      <c r="G625" s="14"/>
      <c r="H625" s="24" t="str">
        <f t="shared" si="1"/>
        <v/>
      </c>
      <c r="I625" s="12" t="str">
        <f>IF(C625="","",INT((INT(C625)-'01_Ficha_Dosis'!$C$14)/7)+1)</f>
        <v/>
      </c>
      <c r="J625" s="12" t="str">
        <f t="shared" si="2"/>
        <v/>
      </c>
      <c r="K625" s="12" t="str">
        <f>IF(J625="","",IF(AND(G625="OK",J625&gt;='01_Ficha_Dosis'!$C$23,F625&gt;='01_Ficha_Dosis'!$C$24,H625&gt;='01_Ficha_Dosis'!$C$14,H625&lt;='01_Ficha_Dosis'!$C$15),1,0))</f>
        <v/>
      </c>
      <c r="L625" s="12">
        <f t="shared" si="3"/>
        <v>0</v>
      </c>
    </row>
    <row r="626" ht="15.75" customHeight="1">
      <c r="A626" s="14"/>
      <c r="B626" s="14"/>
      <c r="C626" s="23"/>
      <c r="D626" s="23"/>
      <c r="E626" s="14"/>
      <c r="F626" s="14"/>
      <c r="G626" s="14"/>
      <c r="H626" s="24" t="str">
        <f t="shared" si="1"/>
        <v/>
      </c>
      <c r="I626" s="12" t="str">
        <f>IF(C626="","",INT((INT(C626)-'01_Ficha_Dosis'!$C$14)/7)+1)</f>
        <v/>
      </c>
      <c r="J626" s="12" t="str">
        <f t="shared" si="2"/>
        <v/>
      </c>
      <c r="K626" s="12" t="str">
        <f>IF(J626="","",IF(AND(G626="OK",J626&gt;='01_Ficha_Dosis'!$C$23,F626&gt;='01_Ficha_Dosis'!$C$24,H626&gt;='01_Ficha_Dosis'!$C$14,H626&lt;='01_Ficha_Dosis'!$C$15),1,0))</f>
        <v/>
      </c>
      <c r="L626" s="12">
        <f t="shared" si="3"/>
        <v>0</v>
      </c>
    </row>
    <row r="627" ht="15.75" customHeight="1">
      <c r="A627" s="14"/>
      <c r="B627" s="14"/>
      <c r="C627" s="23"/>
      <c r="D627" s="23"/>
      <c r="E627" s="14"/>
      <c r="F627" s="14"/>
      <c r="G627" s="14"/>
      <c r="H627" s="24" t="str">
        <f t="shared" si="1"/>
        <v/>
      </c>
      <c r="I627" s="12" t="str">
        <f>IF(C627="","",INT((INT(C627)-'01_Ficha_Dosis'!$C$14)/7)+1)</f>
        <v/>
      </c>
      <c r="J627" s="12" t="str">
        <f t="shared" si="2"/>
        <v/>
      </c>
      <c r="K627" s="12" t="str">
        <f>IF(J627="","",IF(AND(G627="OK",J627&gt;='01_Ficha_Dosis'!$C$23,F627&gt;='01_Ficha_Dosis'!$C$24,H627&gt;='01_Ficha_Dosis'!$C$14,H627&lt;='01_Ficha_Dosis'!$C$15),1,0))</f>
        <v/>
      </c>
      <c r="L627" s="12">
        <f t="shared" si="3"/>
        <v>0</v>
      </c>
    </row>
    <row r="628" ht="15.75" customHeight="1">
      <c r="A628" s="14"/>
      <c r="B628" s="14"/>
      <c r="C628" s="23"/>
      <c r="D628" s="23"/>
      <c r="E628" s="14"/>
      <c r="F628" s="14"/>
      <c r="G628" s="14"/>
      <c r="H628" s="24" t="str">
        <f t="shared" si="1"/>
        <v/>
      </c>
      <c r="I628" s="12" t="str">
        <f>IF(C628="","",INT((INT(C628)-'01_Ficha_Dosis'!$C$14)/7)+1)</f>
        <v/>
      </c>
      <c r="J628" s="12" t="str">
        <f t="shared" si="2"/>
        <v/>
      </c>
      <c r="K628" s="12" t="str">
        <f>IF(J628="","",IF(AND(G628="OK",J628&gt;='01_Ficha_Dosis'!$C$23,F628&gt;='01_Ficha_Dosis'!$C$24,H628&gt;='01_Ficha_Dosis'!$C$14,H628&lt;='01_Ficha_Dosis'!$C$15),1,0))</f>
        <v/>
      </c>
      <c r="L628" s="12">
        <f t="shared" si="3"/>
        <v>0</v>
      </c>
    </row>
    <row r="629" ht="15.75" customHeight="1">
      <c r="A629" s="14"/>
      <c r="B629" s="14"/>
      <c r="C629" s="23"/>
      <c r="D629" s="23"/>
      <c r="E629" s="14"/>
      <c r="F629" s="14"/>
      <c r="G629" s="14"/>
      <c r="H629" s="24" t="str">
        <f t="shared" si="1"/>
        <v/>
      </c>
      <c r="I629" s="12" t="str">
        <f>IF(C629="","",INT((INT(C629)-'01_Ficha_Dosis'!$C$14)/7)+1)</f>
        <v/>
      </c>
      <c r="J629" s="12" t="str">
        <f t="shared" si="2"/>
        <v/>
      </c>
      <c r="K629" s="12" t="str">
        <f>IF(J629="","",IF(AND(G629="OK",J629&gt;='01_Ficha_Dosis'!$C$23,F629&gt;='01_Ficha_Dosis'!$C$24,H629&gt;='01_Ficha_Dosis'!$C$14,H629&lt;='01_Ficha_Dosis'!$C$15),1,0))</f>
        <v/>
      </c>
      <c r="L629" s="12">
        <f t="shared" si="3"/>
        <v>0</v>
      </c>
    </row>
    <row r="630" ht="15.75" customHeight="1">
      <c r="A630" s="14"/>
      <c r="B630" s="14"/>
      <c r="C630" s="23"/>
      <c r="D630" s="23"/>
      <c r="E630" s="14"/>
      <c r="F630" s="14"/>
      <c r="G630" s="14"/>
      <c r="H630" s="24" t="str">
        <f t="shared" si="1"/>
        <v/>
      </c>
      <c r="I630" s="12" t="str">
        <f>IF(C630="","",INT((INT(C630)-'01_Ficha_Dosis'!$C$14)/7)+1)</f>
        <v/>
      </c>
      <c r="J630" s="12" t="str">
        <f t="shared" si="2"/>
        <v/>
      </c>
      <c r="K630" s="12" t="str">
        <f>IF(J630="","",IF(AND(G630="OK",J630&gt;='01_Ficha_Dosis'!$C$23,F630&gt;='01_Ficha_Dosis'!$C$24,H630&gt;='01_Ficha_Dosis'!$C$14,H630&lt;='01_Ficha_Dosis'!$C$15),1,0))</f>
        <v/>
      </c>
      <c r="L630" s="12">
        <f t="shared" si="3"/>
        <v>0</v>
      </c>
    </row>
    <row r="631" ht="15.75" customHeight="1">
      <c r="A631" s="14"/>
      <c r="B631" s="14"/>
      <c r="C631" s="23"/>
      <c r="D631" s="23"/>
      <c r="E631" s="14"/>
      <c r="F631" s="14"/>
      <c r="G631" s="14"/>
      <c r="H631" s="24" t="str">
        <f t="shared" si="1"/>
        <v/>
      </c>
      <c r="I631" s="12" t="str">
        <f>IF(C631="","",INT((INT(C631)-'01_Ficha_Dosis'!$C$14)/7)+1)</f>
        <v/>
      </c>
      <c r="J631" s="12" t="str">
        <f t="shared" si="2"/>
        <v/>
      </c>
      <c r="K631" s="12" t="str">
        <f>IF(J631="","",IF(AND(G631="OK",J631&gt;='01_Ficha_Dosis'!$C$23,F631&gt;='01_Ficha_Dosis'!$C$24,H631&gt;='01_Ficha_Dosis'!$C$14,H631&lt;='01_Ficha_Dosis'!$C$15),1,0))</f>
        <v/>
      </c>
      <c r="L631" s="12">
        <f t="shared" si="3"/>
        <v>0</v>
      </c>
    </row>
    <row r="632" ht="15.75" customHeight="1">
      <c r="A632" s="14"/>
      <c r="B632" s="14"/>
      <c r="C632" s="23"/>
      <c r="D632" s="23"/>
      <c r="E632" s="14"/>
      <c r="F632" s="14"/>
      <c r="G632" s="14"/>
      <c r="H632" s="24" t="str">
        <f t="shared" si="1"/>
        <v/>
      </c>
      <c r="I632" s="12" t="str">
        <f>IF(C632="","",INT((INT(C632)-'01_Ficha_Dosis'!$C$14)/7)+1)</f>
        <v/>
      </c>
      <c r="J632" s="12" t="str">
        <f t="shared" si="2"/>
        <v/>
      </c>
      <c r="K632" s="12" t="str">
        <f>IF(J632="","",IF(AND(G632="OK",J632&gt;='01_Ficha_Dosis'!$C$23,F632&gt;='01_Ficha_Dosis'!$C$24,H632&gt;='01_Ficha_Dosis'!$C$14,H632&lt;='01_Ficha_Dosis'!$C$15),1,0))</f>
        <v/>
      </c>
      <c r="L632" s="12">
        <f t="shared" si="3"/>
        <v>0</v>
      </c>
    </row>
    <row r="633" ht="15.75" customHeight="1">
      <c r="A633" s="14"/>
      <c r="B633" s="14"/>
      <c r="C633" s="23"/>
      <c r="D633" s="23"/>
      <c r="E633" s="14"/>
      <c r="F633" s="14"/>
      <c r="G633" s="14"/>
      <c r="H633" s="24" t="str">
        <f t="shared" si="1"/>
        <v/>
      </c>
      <c r="I633" s="12" t="str">
        <f>IF(C633="","",INT((INT(C633)-'01_Ficha_Dosis'!$C$14)/7)+1)</f>
        <v/>
      </c>
      <c r="J633" s="12" t="str">
        <f t="shared" si="2"/>
        <v/>
      </c>
      <c r="K633" s="12" t="str">
        <f>IF(J633="","",IF(AND(G633="OK",J633&gt;='01_Ficha_Dosis'!$C$23,F633&gt;='01_Ficha_Dosis'!$C$24,H633&gt;='01_Ficha_Dosis'!$C$14,H633&lt;='01_Ficha_Dosis'!$C$15),1,0))</f>
        <v/>
      </c>
      <c r="L633" s="12">
        <f t="shared" si="3"/>
        <v>0</v>
      </c>
    </row>
    <row r="634" ht="15.75" customHeight="1">
      <c r="A634" s="14"/>
      <c r="B634" s="14"/>
      <c r="C634" s="23"/>
      <c r="D634" s="23"/>
      <c r="E634" s="14"/>
      <c r="F634" s="14"/>
      <c r="G634" s="14"/>
      <c r="H634" s="24" t="str">
        <f t="shared" si="1"/>
        <v/>
      </c>
      <c r="I634" s="12" t="str">
        <f>IF(C634="","",INT((INT(C634)-'01_Ficha_Dosis'!$C$14)/7)+1)</f>
        <v/>
      </c>
      <c r="J634" s="12" t="str">
        <f t="shared" si="2"/>
        <v/>
      </c>
      <c r="K634" s="12" t="str">
        <f>IF(J634="","",IF(AND(G634="OK",J634&gt;='01_Ficha_Dosis'!$C$23,F634&gt;='01_Ficha_Dosis'!$C$24,H634&gt;='01_Ficha_Dosis'!$C$14,H634&lt;='01_Ficha_Dosis'!$C$15),1,0))</f>
        <v/>
      </c>
      <c r="L634" s="12">
        <f t="shared" si="3"/>
        <v>0</v>
      </c>
    </row>
    <row r="635" ht="15.75" customHeight="1">
      <c r="A635" s="14"/>
      <c r="B635" s="14"/>
      <c r="C635" s="23"/>
      <c r="D635" s="23"/>
      <c r="E635" s="14"/>
      <c r="F635" s="14"/>
      <c r="G635" s="14"/>
      <c r="H635" s="24" t="str">
        <f t="shared" si="1"/>
        <v/>
      </c>
      <c r="I635" s="12" t="str">
        <f>IF(C635="","",INT((INT(C635)-'01_Ficha_Dosis'!$C$14)/7)+1)</f>
        <v/>
      </c>
      <c r="J635" s="12" t="str">
        <f t="shared" si="2"/>
        <v/>
      </c>
      <c r="K635" s="12" t="str">
        <f>IF(J635="","",IF(AND(G635="OK",J635&gt;='01_Ficha_Dosis'!$C$23,F635&gt;='01_Ficha_Dosis'!$C$24,H635&gt;='01_Ficha_Dosis'!$C$14,H635&lt;='01_Ficha_Dosis'!$C$15),1,0))</f>
        <v/>
      </c>
      <c r="L635" s="12">
        <f t="shared" si="3"/>
        <v>0</v>
      </c>
    </row>
    <row r="636" ht="15.75" customHeight="1">
      <c r="A636" s="14"/>
      <c r="B636" s="14"/>
      <c r="C636" s="23"/>
      <c r="D636" s="23"/>
      <c r="E636" s="14"/>
      <c r="F636" s="14"/>
      <c r="G636" s="14"/>
      <c r="H636" s="24" t="str">
        <f t="shared" si="1"/>
        <v/>
      </c>
      <c r="I636" s="12" t="str">
        <f>IF(C636="","",INT((INT(C636)-'01_Ficha_Dosis'!$C$14)/7)+1)</f>
        <v/>
      </c>
      <c r="J636" s="12" t="str">
        <f t="shared" si="2"/>
        <v/>
      </c>
      <c r="K636" s="12" t="str">
        <f>IF(J636="","",IF(AND(G636="OK",J636&gt;='01_Ficha_Dosis'!$C$23,F636&gt;='01_Ficha_Dosis'!$C$24,H636&gt;='01_Ficha_Dosis'!$C$14,H636&lt;='01_Ficha_Dosis'!$C$15),1,0))</f>
        <v/>
      </c>
      <c r="L636" s="12">
        <f t="shared" si="3"/>
        <v>0</v>
      </c>
    </row>
    <row r="637" ht="15.75" customHeight="1">
      <c r="A637" s="14"/>
      <c r="B637" s="14"/>
      <c r="C637" s="23"/>
      <c r="D637" s="23"/>
      <c r="E637" s="14"/>
      <c r="F637" s="14"/>
      <c r="G637" s="14"/>
      <c r="H637" s="24" t="str">
        <f t="shared" si="1"/>
        <v/>
      </c>
      <c r="I637" s="12" t="str">
        <f>IF(C637="","",INT((INT(C637)-'01_Ficha_Dosis'!$C$14)/7)+1)</f>
        <v/>
      </c>
      <c r="J637" s="12" t="str">
        <f t="shared" si="2"/>
        <v/>
      </c>
      <c r="K637" s="12" t="str">
        <f>IF(J637="","",IF(AND(G637="OK",J637&gt;='01_Ficha_Dosis'!$C$23,F637&gt;='01_Ficha_Dosis'!$C$24,H637&gt;='01_Ficha_Dosis'!$C$14,H637&lt;='01_Ficha_Dosis'!$C$15),1,0))</f>
        <v/>
      </c>
      <c r="L637" s="12">
        <f t="shared" si="3"/>
        <v>0</v>
      </c>
    </row>
    <row r="638" ht="15.75" customHeight="1">
      <c r="A638" s="14"/>
      <c r="B638" s="14"/>
      <c r="C638" s="23"/>
      <c r="D638" s="23"/>
      <c r="E638" s="14"/>
      <c r="F638" s="14"/>
      <c r="G638" s="14"/>
      <c r="H638" s="24" t="str">
        <f t="shared" si="1"/>
        <v/>
      </c>
      <c r="I638" s="12" t="str">
        <f>IF(C638="","",INT((INT(C638)-'01_Ficha_Dosis'!$C$14)/7)+1)</f>
        <v/>
      </c>
      <c r="J638" s="12" t="str">
        <f t="shared" si="2"/>
        <v/>
      </c>
      <c r="K638" s="12" t="str">
        <f>IF(J638="","",IF(AND(G638="OK",J638&gt;='01_Ficha_Dosis'!$C$23,F638&gt;='01_Ficha_Dosis'!$C$24,H638&gt;='01_Ficha_Dosis'!$C$14,H638&lt;='01_Ficha_Dosis'!$C$15),1,0))</f>
        <v/>
      </c>
      <c r="L638" s="12">
        <f t="shared" si="3"/>
        <v>0</v>
      </c>
    </row>
    <row r="639" ht="15.75" customHeight="1">
      <c r="A639" s="14"/>
      <c r="B639" s="14"/>
      <c r="C639" s="23"/>
      <c r="D639" s="23"/>
      <c r="E639" s="14"/>
      <c r="F639" s="14"/>
      <c r="G639" s="14"/>
      <c r="H639" s="24" t="str">
        <f t="shared" si="1"/>
        <v/>
      </c>
      <c r="I639" s="12" t="str">
        <f>IF(C639="","",INT((INT(C639)-'01_Ficha_Dosis'!$C$14)/7)+1)</f>
        <v/>
      </c>
      <c r="J639" s="12" t="str">
        <f t="shared" si="2"/>
        <v/>
      </c>
      <c r="K639" s="12" t="str">
        <f>IF(J639="","",IF(AND(G639="OK",J639&gt;='01_Ficha_Dosis'!$C$23,F639&gt;='01_Ficha_Dosis'!$C$24,H639&gt;='01_Ficha_Dosis'!$C$14,H639&lt;='01_Ficha_Dosis'!$C$15),1,0))</f>
        <v/>
      </c>
      <c r="L639" s="12">
        <f t="shared" si="3"/>
        <v>0</v>
      </c>
    </row>
    <row r="640" ht="15.75" customHeight="1">
      <c r="A640" s="14"/>
      <c r="B640" s="14"/>
      <c r="C640" s="23"/>
      <c r="D640" s="23"/>
      <c r="E640" s="14"/>
      <c r="F640" s="14"/>
      <c r="G640" s="14"/>
      <c r="H640" s="24" t="str">
        <f t="shared" si="1"/>
        <v/>
      </c>
      <c r="I640" s="12" t="str">
        <f>IF(C640="","",INT((INT(C640)-'01_Ficha_Dosis'!$C$14)/7)+1)</f>
        <v/>
      </c>
      <c r="J640" s="12" t="str">
        <f t="shared" si="2"/>
        <v/>
      </c>
      <c r="K640" s="12" t="str">
        <f>IF(J640="","",IF(AND(G640="OK",J640&gt;='01_Ficha_Dosis'!$C$23,F640&gt;='01_Ficha_Dosis'!$C$24,H640&gt;='01_Ficha_Dosis'!$C$14,H640&lt;='01_Ficha_Dosis'!$C$15),1,0))</f>
        <v/>
      </c>
      <c r="L640" s="12">
        <f t="shared" si="3"/>
        <v>0</v>
      </c>
    </row>
    <row r="641" ht="15.75" customHeight="1">
      <c r="A641" s="14"/>
      <c r="B641" s="14"/>
      <c r="C641" s="23"/>
      <c r="D641" s="23"/>
      <c r="E641" s="14"/>
      <c r="F641" s="14"/>
      <c r="G641" s="14"/>
      <c r="H641" s="24" t="str">
        <f t="shared" si="1"/>
        <v/>
      </c>
      <c r="I641" s="12" t="str">
        <f>IF(C641="","",INT((INT(C641)-'01_Ficha_Dosis'!$C$14)/7)+1)</f>
        <v/>
      </c>
      <c r="J641" s="12" t="str">
        <f t="shared" si="2"/>
        <v/>
      </c>
      <c r="K641" s="12" t="str">
        <f>IF(J641="","",IF(AND(G641="OK",J641&gt;='01_Ficha_Dosis'!$C$23,F641&gt;='01_Ficha_Dosis'!$C$24,H641&gt;='01_Ficha_Dosis'!$C$14,H641&lt;='01_Ficha_Dosis'!$C$15),1,0))</f>
        <v/>
      </c>
      <c r="L641" s="12">
        <f t="shared" si="3"/>
        <v>0</v>
      </c>
    </row>
    <row r="642" ht="15.75" customHeight="1">
      <c r="A642" s="14"/>
      <c r="B642" s="14"/>
      <c r="C642" s="23"/>
      <c r="D642" s="23"/>
      <c r="E642" s="14"/>
      <c r="F642" s="14"/>
      <c r="G642" s="14"/>
      <c r="H642" s="24" t="str">
        <f t="shared" si="1"/>
        <v/>
      </c>
      <c r="I642" s="12" t="str">
        <f>IF(C642="","",INT((INT(C642)-'01_Ficha_Dosis'!$C$14)/7)+1)</f>
        <v/>
      </c>
      <c r="J642" s="12" t="str">
        <f t="shared" si="2"/>
        <v/>
      </c>
      <c r="K642" s="12" t="str">
        <f>IF(J642="","",IF(AND(G642="OK",J642&gt;='01_Ficha_Dosis'!$C$23,F642&gt;='01_Ficha_Dosis'!$C$24,H642&gt;='01_Ficha_Dosis'!$C$14,H642&lt;='01_Ficha_Dosis'!$C$15),1,0))</f>
        <v/>
      </c>
      <c r="L642" s="12">
        <f t="shared" si="3"/>
        <v>0</v>
      </c>
    </row>
    <row r="643" ht="15.75" customHeight="1">
      <c r="A643" s="14"/>
      <c r="B643" s="14"/>
      <c r="C643" s="23"/>
      <c r="D643" s="23"/>
      <c r="E643" s="14"/>
      <c r="F643" s="14"/>
      <c r="G643" s="14"/>
      <c r="H643" s="24" t="str">
        <f t="shared" si="1"/>
        <v/>
      </c>
      <c r="I643" s="12" t="str">
        <f>IF(C643="","",INT((INT(C643)-'01_Ficha_Dosis'!$C$14)/7)+1)</f>
        <v/>
      </c>
      <c r="J643" s="12" t="str">
        <f t="shared" si="2"/>
        <v/>
      </c>
      <c r="K643" s="12" t="str">
        <f>IF(J643="","",IF(AND(G643="OK",J643&gt;='01_Ficha_Dosis'!$C$23,F643&gt;='01_Ficha_Dosis'!$C$24,H643&gt;='01_Ficha_Dosis'!$C$14,H643&lt;='01_Ficha_Dosis'!$C$15),1,0))</f>
        <v/>
      </c>
      <c r="L643" s="12">
        <f t="shared" si="3"/>
        <v>0</v>
      </c>
    </row>
    <row r="644" ht="15.75" customHeight="1">
      <c r="A644" s="14"/>
      <c r="B644" s="14"/>
      <c r="C644" s="23"/>
      <c r="D644" s="23"/>
      <c r="E644" s="14"/>
      <c r="F644" s="14"/>
      <c r="G644" s="14"/>
      <c r="H644" s="24" t="str">
        <f t="shared" si="1"/>
        <v/>
      </c>
      <c r="I644" s="12" t="str">
        <f>IF(C644="","",INT((INT(C644)-'01_Ficha_Dosis'!$C$14)/7)+1)</f>
        <v/>
      </c>
      <c r="J644" s="12" t="str">
        <f t="shared" si="2"/>
        <v/>
      </c>
      <c r="K644" s="12" t="str">
        <f>IF(J644="","",IF(AND(G644="OK",J644&gt;='01_Ficha_Dosis'!$C$23,F644&gt;='01_Ficha_Dosis'!$C$24,H644&gt;='01_Ficha_Dosis'!$C$14,H644&lt;='01_Ficha_Dosis'!$C$15),1,0))</f>
        <v/>
      </c>
      <c r="L644" s="12">
        <f t="shared" si="3"/>
        <v>0</v>
      </c>
    </row>
    <row r="645" ht="15.75" customHeight="1">
      <c r="A645" s="14"/>
      <c r="B645" s="14"/>
      <c r="C645" s="23"/>
      <c r="D645" s="23"/>
      <c r="E645" s="14"/>
      <c r="F645" s="14"/>
      <c r="G645" s="14"/>
      <c r="H645" s="24" t="str">
        <f t="shared" si="1"/>
        <v/>
      </c>
      <c r="I645" s="12" t="str">
        <f>IF(C645="","",INT((INT(C645)-'01_Ficha_Dosis'!$C$14)/7)+1)</f>
        <v/>
      </c>
      <c r="J645" s="12" t="str">
        <f t="shared" si="2"/>
        <v/>
      </c>
      <c r="K645" s="12" t="str">
        <f>IF(J645="","",IF(AND(G645="OK",J645&gt;='01_Ficha_Dosis'!$C$23,F645&gt;='01_Ficha_Dosis'!$C$24,H645&gt;='01_Ficha_Dosis'!$C$14,H645&lt;='01_Ficha_Dosis'!$C$15),1,0))</f>
        <v/>
      </c>
      <c r="L645" s="12">
        <f t="shared" si="3"/>
        <v>0</v>
      </c>
    </row>
    <row r="646" ht="15.75" customHeight="1">
      <c r="A646" s="14"/>
      <c r="B646" s="14"/>
      <c r="C646" s="23"/>
      <c r="D646" s="23"/>
      <c r="E646" s="14"/>
      <c r="F646" s="14"/>
      <c r="G646" s="14"/>
      <c r="H646" s="24" t="str">
        <f t="shared" si="1"/>
        <v/>
      </c>
      <c r="I646" s="12" t="str">
        <f>IF(C646="","",INT((INT(C646)-'01_Ficha_Dosis'!$C$14)/7)+1)</f>
        <v/>
      </c>
      <c r="J646" s="12" t="str">
        <f t="shared" si="2"/>
        <v/>
      </c>
      <c r="K646" s="12" t="str">
        <f>IF(J646="","",IF(AND(G646="OK",J646&gt;='01_Ficha_Dosis'!$C$23,F646&gt;='01_Ficha_Dosis'!$C$24,H646&gt;='01_Ficha_Dosis'!$C$14,H646&lt;='01_Ficha_Dosis'!$C$15),1,0))</f>
        <v/>
      </c>
      <c r="L646" s="12">
        <f t="shared" si="3"/>
        <v>0</v>
      </c>
    </row>
    <row r="647" ht="15.75" customHeight="1">
      <c r="A647" s="14"/>
      <c r="B647" s="14"/>
      <c r="C647" s="23"/>
      <c r="D647" s="23"/>
      <c r="E647" s="14"/>
      <c r="F647" s="14"/>
      <c r="G647" s="14"/>
      <c r="H647" s="24" t="str">
        <f t="shared" si="1"/>
        <v/>
      </c>
      <c r="I647" s="12" t="str">
        <f>IF(C647="","",INT((INT(C647)-'01_Ficha_Dosis'!$C$14)/7)+1)</f>
        <v/>
      </c>
      <c r="J647" s="12" t="str">
        <f t="shared" si="2"/>
        <v/>
      </c>
      <c r="K647" s="12" t="str">
        <f>IF(J647="","",IF(AND(G647="OK",J647&gt;='01_Ficha_Dosis'!$C$23,F647&gt;='01_Ficha_Dosis'!$C$24,H647&gt;='01_Ficha_Dosis'!$C$14,H647&lt;='01_Ficha_Dosis'!$C$15),1,0))</f>
        <v/>
      </c>
      <c r="L647" s="12">
        <f t="shared" si="3"/>
        <v>0</v>
      </c>
    </row>
    <row r="648" ht="15.75" customHeight="1">
      <c r="A648" s="14"/>
      <c r="B648" s="14"/>
      <c r="C648" s="23"/>
      <c r="D648" s="23"/>
      <c r="E648" s="14"/>
      <c r="F648" s="14"/>
      <c r="G648" s="14"/>
      <c r="H648" s="24" t="str">
        <f t="shared" si="1"/>
        <v/>
      </c>
      <c r="I648" s="12" t="str">
        <f>IF(C648="","",INT((INT(C648)-'01_Ficha_Dosis'!$C$14)/7)+1)</f>
        <v/>
      </c>
      <c r="J648" s="12" t="str">
        <f t="shared" si="2"/>
        <v/>
      </c>
      <c r="K648" s="12" t="str">
        <f>IF(J648="","",IF(AND(G648="OK",J648&gt;='01_Ficha_Dosis'!$C$23,F648&gt;='01_Ficha_Dosis'!$C$24,H648&gt;='01_Ficha_Dosis'!$C$14,H648&lt;='01_Ficha_Dosis'!$C$15),1,0))</f>
        <v/>
      </c>
      <c r="L648" s="12">
        <f t="shared" si="3"/>
        <v>0</v>
      </c>
    </row>
    <row r="649" ht="15.75" customHeight="1">
      <c r="A649" s="14"/>
      <c r="B649" s="14"/>
      <c r="C649" s="23"/>
      <c r="D649" s="23"/>
      <c r="E649" s="14"/>
      <c r="F649" s="14"/>
      <c r="G649" s="14"/>
      <c r="H649" s="24" t="str">
        <f t="shared" si="1"/>
        <v/>
      </c>
      <c r="I649" s="12" t="str">
        <f>IF(C649="","",INT((INT(C649)-'01_Ficha_Dosis'!$C$14)/7)+1)</f>
        <v/>
      </c>
      <c r="J649" s="12" t="str">
        <f t="shared" si="2"/>
        <v/>
      </c>
      <c r="K649" s="12" t="str">
        <f>IF(J649="","",IF(AND(G649="OK",J649&gt;='01_Ficha_Dosis'!$C$23,F649&gt;='01_Ficha_Dosis'!$C$24,H649&gt;='01_Ficha_Dosis'!$C$14,H649&lt;='01_Ficha_Dosis'!$C$15),1,0))</f>
        <v/>
      </c>
      <c r="L649" s="12">
        <f t="shared" si="3"/>
        <v>0</v>
      </c>
    </row>
    <row r="650" ht="15.75" customHeight="1">
      <c r="A650" s="14"/>
      <c r="B650" s="14"/>
      <c r="C650" s="23"/>
      <c r="D650" s="23"/>
      <c r="E650" s="14"/>
      <c r="F650" s="14"/>
      <c r="G650" s="14"/>
      <c r="H650" s="24" t="str">
        <f t="shared" si="1"/>
        <v/>
      </c>
      <c r="I650" s="12" t="str">
        <f>IF(C650="","",INT((INT(C650)-'01_Ficha_Dosis'!$C$14)/7)+1)</f>
        <v/>
      </c>
      <c r="J650" s="12" t="str">
        <f t="shared" si="2"/>
        <v/>
      </c>
      <c r="K650" s="12" t="str">
        <f>IF(J650="","",IF(AND(G650="OK",J650&gt;='01_Ficha_Dosis'!$C$23,F650&gt;='01_Ficha_Dosis'!$C$24,H650&gt;='01_Ficha_Dosis'!$C$14,H650&lt;='01_Ficha_Dosis'!$C$15),1,0))</f>
        <v/>
      </c>
      <c r="L650" s="12">
        <f t="shared" si="3"/>
        <v>0</v>
      </c>
    </row>
    <row r="651" ht="15.75" customHeight="1">
      <c r="A651" s="14"/>
      <c r="B651" s="14"/>
      <c r="C651" s="23"/>
      <c r="D651" s="23"/>
      <c r="E651" s="14"/>
      <c r="F651" s="14"/>
      <c r="G651" s="14"/>
      <c r="H651" s="24" t="str">
        <f t="shared" si="1"/>
        <v/>
      </c>
      <c r="I651" s="12" t="str">
        <f>IF(C651="","",INT((INT(C651)-'01_Ficha_Dosis'!$C$14)/7)+1)</f>
        <v/>
      </c>
      <c r="J651" s="12" t="str">
        <f t="shared" si="2"/>
        <v/>
      </c>
      <c r="K651" s="12" t="str">
        <f>IF(J651="","",IF(AND(G651="OK",J651&gt;='01_Ficha_Dosis'!$C$23,F651&gt;='01_Ficha_Dosis'!$C$24,H651&gt;='01_Ficha_Dosis'!$C$14,H651&lt;='01_Ficha_Dosis'!$C$15),1,0))</f>
        <v/>
      </c>
      <c r="L651" s="12">
        <f t="shared" si="3"/>
        <v>0</v>
      </c>
    </row>
    <row r="652" ht="15.75" customHeight="1">
      <c r="A652" s="14"/>
      <c r="B652" s="14"/>
      <c r="C652" s="23"/>
      <c r="D652" s="23"/>
      <c r="E652" s="14"/>
      <c r="F652" s="14"/>
      <c r="G652" s="14"/>
      <c r="H652" s="24" t="str">
        <f t="shared" si="1"/>
        <v/>
      </c>
      <c r="I652" s="12" t="str">
        <f>IF(C652="","",INT((INT(C652)-'01_Ficha_Dosis'!$C$14)/7)+1)</f>
        <v/>
      </c>
      <c r="J652" s="12" t="str">
        <f t="shared" si="2"/>
        <v/>
      </c>
      <c r="K652" s="12" t="str">
        <f>IF(J652="","",IF(AND(G652="OK",J652&gt;='01_Ficha_Dosis'!$C$23,F652&gt;='01_Ficha_Dosis'!$C$24,H652&gt;='01_Ficha_Dosis'!$C$14,H652&lt;='01_Ficha_Dosis'!$C$15),1,0))</f>
        <v/>
      </c>
      <c r="L652" s="12">
        <f t="shared" si="3"/>
        <v>0</v>
      </c>
    </row>
    <row r="653" ht="15.75" customHeight="1">
      <c r="A653" s="14"/>
      <c r="B653" s="14"/>
      <c r="C653" s="23"/>
      <c r="D653" s="23"/>
      <c r="E653" s="14"/>
      <c r="F653" s="14"/>
      <c r="G653" s="14"/>
      <c r="H653" s="24" t="str">
        <f t="shared" si="1"/>
        <v/>
      </c>
      <c r="I653" s="12" t="str">
        <f>IF(C653="","",INT((INT(C653)-'01_Ficha_Dosis'!$C$14)/7)+1)</f>
        <v/>
      </c>
      <c r="J653" s="12" t="str">
        <f t="shared" si="2"/>
        <v/>
      </c>
      <c r="K653" s="12" t="str">
        <f>IF(J653="","",IF(AND(G653="OK",J653&gt;='01_Ficha_Dosis'!$C$23,F653&gt;='01_Ficha_Dosis'!$C$24,H653&gt;='01_Ficha_Dosis'!$C$14,H653&lt;='01_Ficha_Dosis'!$C$15),1,0))</f>
        <v/>
      </c>
      <c r="L653" s="12">
        <f t="shared" si="3"/>
        <v>0</v>
      </c>
    </row>
    <row r="654" ht="15.75" customHeight="1">
      <c r="A654" s="14"/>
      <c r="B654" s="14"/>
      <c r="C654" s="23"/>
      <c r="D654" s="23"/>
      <c r="E654" s="14"/>
      <c r="F654" s="14"/>
      <c r="G654" s="14"/>
      <c r="H654" s="24" t="str">
        <f t="shared" si="1"/>
        <v/>
      </c>
      <c r="I654" s="12" t="str">
        <f>IF(C654="","",INT((INT(C654)-'01_Ficha_Dosis'!$C$14)/7)+1)</f>
        <v/>
      </c>
      <c r="J654" s="12" t="str">
        <f t="shared" si="2"/>
        <v/>
      </c>
      <c r="K654" s="12" t="str">
        <f>IF(J654="","",IF(AND(G654="OK",J654&gt;='01_Ficha_Dosis'!$C$23,F654&gt;='01_Ficha_Dosis'!$C$24,H654&gt;='01_Ficha_Dosis'!$C$14,H654&lt;='01_Ficha_Dosis'!$C$15),1,0))</f>
        <v/>
      </c>
      <c r="L654" s="12">
        <f t="shared" si="3"/>
        <v>0</v>
      </c>
    </row>
    <row r="655" ht="15.75" customHeight="1">
      <c r="A655" s="14"/>
      <c r="B655" s="14"/>
      <c r="C655" s="23"/>
      <c r="D655" s="23"/>
      <c r="E655" s="14"/>
      <c r="F655" s="14"/>
      <c r="G655" s="14"/>
      <c r="H655" s="24" t="str">
        <f t="shared" si="1"/>
        <v/>
      </c>
      <c r="I655" s="12" t="str">
        <f>IF(C655="","",INT((INT(C655)-'01_Ficha_Dosis'!$C$14)/7)+1)</f>
        <v/>
      </c>
      <c r="J655" s="12" t="str">
        <f t="shared" si="2"/>
        <v/>
      </c>
      <c r="K655" s="12" t="str">
        <f>IF(J655="","",IF(AND(G655="OK",J655&gt;='01_Ficha_Dosis'!$C$23,F655&gt;='01_Ficha_Dosis'!$C$24,H655&gt;='01_Ficha_Dosis'!$C$14,H655&lt;='01_Ficha_Dosis'!$C$15),1,0))</f>
        <v/>
      </c>
      <c r="L655" s="12">
        <f t="shared" si="3"/>
        <v>0</v>
      </c>
    </row>
    <row r="656" ht="15.75" customHeight="1">
      <c r="A656" s="14"/>
      <c r="B656" s="14"/>
      <c r="C656" s="23"/>
      <c r="D656" s="23"/>
      <c r="E656" s="14"/>
      <c r="F656" s="14"/>
      <c r="G656" s="14"/>
      <c r="H656" s="24" t="str">
        <f t="shared" si="1"/>
        <v/>
      </c>
      <c r="I656" s="12" t="str">
        <f>IF(C656="","",INT((INT(C656)-'01_Ficha_Dosis'!$C$14)/7)+1)</f>
        <v/>
      </c>
      <c r="J656" s="12" t="str">
        <f t="shared" si="2"/>
        <v/>
      </c>
      <c r="K656" s="12" t="str">
        <f>IF(J656="","",IF(AND(G656="OK",J656&gt;='01_Ficha_Dosis'!$C$23,F656&gt;='01_Ficha_Dosis'!$C$24,H656&gt;='01_Ficha_Dosis'!$C$14,H656&lt;='01_Ficha_Dosis'!$C$15),1,0))</f>
        <v/>
      </c>
      <c r="L656" s="12">
        <f t="shared" si="3"/>
        <v>0</v>
      </c>
    </row>
    <row r="657" ht="15.75" customHeight="1">
      <c r="A657" s="14"/>
      <c r="B657" s="14"/>
      <c r="C657" s="23"/>
      <c r="D657" s="23"/>
      <c r="E657" s="14"/>
      <c r="F657" s="14"/>
      <c r="G657" s="14"/>
      <c r="H657" s="24" t="str">
        <f t="shared" si="1"/>
        <v/>
      </c>
      <c r="I657" s="12" t="str">
        <f>IF(C657="","",INT((INT(C657)-'01_Ficha_Dosis'!$C$14)/7)+1)</f>
        <v/>
      </c>
      <c r="J657" s="12" t="str">
        <f t="shared" si="2"/>
        <v/>
      </c>
      <c r="K657" s="12" t="str">
        <f>IF(J657="","",IF(AND(G657="OK",J657&gt;='01_Ficha_Dosis'!$C$23,F657&gt;='01_Ficha_Dosis'!$C$24,H657&gt;='01_Ficha_Dosis'!$C$14,H657&lt;='01_Ficha_Dosis'!$C$15),1,0))</f>
        <v/>
      </c>
      <c r="L657" s="12">
        <f t="shared" si="3"/>
        <v>0</v>
      </c>
    </row>
    <row r="658" ht="15.75" customHeight="1">
      <c r="A658" s="14"/>
      <c r="B658" s="14"/>
      <c r="C658" s="23"/>
      <c r="D658" s="23"/>
      <c r="E658" s="14"/>
      <c r="F658" s="14"/>
      <c r="G658" s="14"/>
      <c r="H658" s="24" t="str">
        <f t="shared" si="1"/>
        <v/>
      </c>
      <c r="I658" s="12" t="str">
        <f>IF(C658="","",INT((INT(C658)-'01_Ficha_Dosis'!$C$14)/7)+1)</f>
        <v/>
      </c>
      <c r="J658" s="12" t="str">
        <f t="shared" si="2"/>
        <v/>
      </c>
      <c r="K658" s="12" t="str">
        <f>IF(J658="","",IF(AND(G658="OK",J658&gt;='01_Ficha_Dosis'!$C$23,F658&gt;='01_Ficha_Dosis'!$C$24,H658&gt;='01_Ficha_Dosis'!$C$14,H658&lt;='01_Ficha_Dosis'!$C$15),1,0))</f>
        <v/>
      </c>
      <c r="L658" s="12">
        <f t="shared" si="3"/>
        <v>0</v>
      </c>
    </row>
    <row r="659" ht="15.75" customHeight="1">
      <c r="A659" s="14"/>
      <c r="B659" s="14"/>
      <c r="C659" s="23"/>
      <c r="D659" s="23"/>
      <c r="E659" s="14"/>
      <c r="F659" s="14"/>
      <c r="G659" s="14"/>
      <c r="H659" s="24" t="str">
        <f t="shared" si="1"/>
        <v/>
      </c>
      <c r="I659" s="12" t="str">
        <f>IF(C659="","",INT((INT(C659)-'01_Ficha_Dosis'!$C$14)/7)+1)</f>
        <v/>
      </c>
      <c r="J659" s="12" t="str">
        <f t="shared" si="2"/>
        <v/>
      </c>
      <c r="K659" s="12" t="str">
        <f>IF(J659="","",IF(AND(G659="OK",J659&gt;='01_Ficha_Dosis'!$C$23,F659&gt;='01_Ficha_Dosis'!$C$24,H659&gt;='01_Ficha_Dosis'!$C$14,H659&lt;='01_Ficha_Dosis'!$C$15),1,0))</f>
        <v/>
      </c>
      <c r="L659" s="12">
        <f t="shared" si="3"/>
        <v>0</v>
      </c>
    </row>
    <row r="660" ht="15.75" customHeight="1">
      <c r="A660" s="14"/>
      <c r="B660" s="14"/>
      <c r="C660" s="23"/>
      <c r="D660" s="23"/>
      <c r="E660" s="14"/>
      <c r="F660" s="14"/>
      <c r="G660" s="14"/>
      <c r="H660" s="24" t="str">
        <f t="shared" si="1"/>
        <v/>
      </c>
      <c r="I660" s="12" t="str">
        <f>IF(C660="","",INT((INT(C660)-'01_Ficha_Dosis'!$C$14)/7)+1)</f>
        <v/>
      </c>
      <c r="J660" s="12" t="str">
        <f t="shared" si="2"/>
        <v/>
      </c>
      <c r="K660" s="12" t="str">
        <f>IF(J660="","",IF(AND(G660="OK",J660&gt;='01_Ficha_Dosis'!$C$23,F660&gt;='01_Ficha_Dosis'!$C$24,H660&gt;='01_Ficha_Dosis'!$C$14,H660&lt;='01_Ficha_Dosis'!$C$15),1,0))</f>
        <v/>
      </c>
      <c r="L660" s="12">
        <f t="shared" si="3"/>
        <v>0</v>
      </c>
    </row>
    <row r="661" ht="15.75" customHeight="1">
      <c r="A661" s="14"/>
      <c r="B661" s="14"/>
      <c r="C661" s="23"/>
      <c r="D661" s="23"/>
      <c r="E661" s="14"/>
      <c r="F661" s="14"/>
      <c r="G661" s="14"/>
      <c r="H661" s="24" t="str">
        <f t="shared" si="1"/>
        <v/>
      </c>
      <c r="I661" s="12" t="str">
        <f>IF(C661="","",INT((INT(C661)-'01_Ficha_Dosis'!$C$14)/7)+1)</f>
        <v/>
      </c>
      <c r="J661" s="12" t="str">
        <f t="shared" si="2"/>
        <v/>
      </c>
      <c r="K661" s="12" t="str">
        <f>IF(J661="","",IF(AND(G661="OK",J661&gt;='01_Ficha_Dosis'!$C$23,F661&gt;='01_Ficha_Dosis'!$C$24,H661&gt;='01_Ficha_Dosis'!$C$14,H661&lt;='01_Ficha_Dosis'!$C$15),1,0))</f>
        <v/>
      </c>
      <c r="L661" s="12">
        <f t="shared" si="3"/>
        <v>0</v>
      </c>
    </row>
    <row r="662" ht="15.75" customHeight="1">
      <c r="A662" s="14"/>
      <c r="B662" s="14"/>
      <c r="C662" s="23"/>
      <c r="D662" s="23"/>
      <c r="E662" s="14"/>
      <c r="F662" s="14"/>
      <c r="G662" s="14"/>
      <c r="H662" s="24" t="str">
        <f t="shared" si="1"/>
        <v/>
      </c>
      <c r="I662" s="12" t="str">
        <f>IF(C662="","",INT((INT(C662)-'01_Ficha_Dosis'!$C$14)/7)+1)</f>
        <v/>
      </c>
      <c r="J662" s="12" t="str">
        <f t="shared" si="2"/>
        <v/>
      </c>
      <c r="K662" s="12" t="str">
        <f>IF(J662="","",IF(AND(G662="OK",J662&gt;='01_Ficha_Dosis'!$C$23,F662&gt;='01_Ficha_Dosis'!$C$24,H662&gt;='01_Ficha_Dosis'!$C$14,H662&lt;='01_Ficha_Dosis'!$C$15),1,0))</f>
        <v/>
      </c>
      <c r="L662" s="12">
        <f t="shared" si="3"/>
        <v>0</v>
      </c>
    </row>
    <row r="663" ht="15.75" customHeight="1">
      <c r="A663" s="14"/>
      <c r="B663" s="14"/>
      <c r="C663" s="23"/>
      <c r="D663" s="23"/>
      <c r="E663" s="14"/>
      <c r="F663" s="14"/>
      <c r="G663" s="14"/>
      <c r="H663" s="24" t="str">
        <f t="shared" si="1"/>
        <v/>
      </c>
      <c r="I663" s="12" t="str">
        <f>IF(C663="","",INT((INT(C663)-'01_Ficha_Dosis'!$C$14)/7)+1)</f>
        <v/>
      </c>
      <c r="J663" s="12" t="str">
        <f t="shared" si="2"/>
        <v/>
      </c>
      <c r="K663" s="12" t="str">
        <f>IF(J663="","",IF(AND(G663="OK",J663&gt;='01_Ficha_Dosis'!$C$23,F663&gt;='01_Ficha_Dosis'!$C$24,H663&gt;='01_Ficha_Dosis'!$C$14,H663&lt;='01_Ficha_Dosis'!$C$15),1,0))</f>
        <v/>
      </c>
      <c r="L663" s="12">
        <f t="shared" si="3"/>
        <v>0</v>
      </c>
    </row>
    <row r="664" ht="15.75" customHeight="1">
      <c r="A664" s="14"/>
      <c r="B664" s="14"/>
      <c r="C664" s="23"/>
      <c r="D664" s="23"/>
      <c r="E664" s="14"/>
      <c r="F664" s="14"/>
      <c r="G664" s="14"/>
      <c r="H664" s="24" t="str">
        <f t="shared" si="1"/>
        <v/>
      </c>
      <c r="I664" s="12" t="str">
        <f>IF(C664="","",INT((INT(C664)-'01_Ficha_Dosis'!$C$14)/7)+1)</f>
        <v/>
      </c>
      <c r="J664" s="12" t="str">
        <f t="shared" si="2"/>
        <v/>
      </c>
      <c r="K664" s="12" t="str">
        <f>IF(J664="","",IF(AND(G664="OK",J664&gt;='01_Ficha_Dosis'!$C$23,F664&gt;='01_Ficha_Dosis'!$C$24,H664&gt;='01_Ficha_Dosis'!$C$14,H664&lt;='01_Ficha_Dosis'!$C$15),1,0))</f>
        <v/>
      </c>
      <c r="L664" s="12">
        <f t="shared" si="3"/>
        <v>0</v>
      </c>
    </row>
    <row r="665" ht="15.75" customHeight="1">
      <c r="A665" s="14"/>
      <c r="B665" s="14"/>
      <c r="C665" s="23"/>
      <c r="D665" s="23"/>
      <c r="E665" s="14"/>
      <c r="F665" s="14"/>
      <c r="G665" s="14"/>
      <c r="H665" s="24" t="str">
        <f t="shared" si="1"/>
        <v/>
      </c>
      <c r="I665" s="12" t="str">
        <f>IF(C665="","",INT((INT(C665)-'01_Ficha_Dosis'!$C$14)/7)+1)</f>
        <v/>
      </c>
      <c r="J665" s="12" t="str">
        <f t="shared" si="2"/>
        <v/>
      </c>
      <c r="K665" s="12" t="str">
        <f>IF(J665="","",IF(AND(G665="OK",J665&gt;='01_Ficha_Dosis'!$C$23,F665&gt;='01_Ficha_Dosis'!$C$24,H665&gt;='01_Ficha_Dosis'!$C$14,H665&lt;='01_Ficha_Dosis'!$C$15),1,0))</f>
        <v/>
      </c>
      <c r="L665" s="12">
        <f t="shared" si="3"/>
        <v>0</v>
      </c>
    </row>
    <row r="666" ht="15.75" customHeight="1">
      <c r="A666" s="14"/>
      <c r="B666" s="14"/>
      <c r="C666" s="23"/>
      <c r="D666" s="23"/>
      <c r="E666" s="14"/>
      <c r="F666" s="14"/>
      <c r="G666" s="14"/>
      <c r="H666" s="24" t="str">
        <f t="shared" si="1"/>
        <v/>
      </c>
      <c r="I666" s="12" t="str">
        <f>IF(C666="","",INT((INT(C666)-'01_Ficha_Dosis'!$C$14)/7)+1)</f>
        <v/>
      </c>
      <c r="J666" s="12" t="str">
        <f t="shared" si="2"/>
        <v/>
      </c>
      <c r="K666" s="12" t="str">
        <f>IF(J666="","",IF(AND(G666="OK",J666&gt;='01_Ficha_Dosis'!$C$23,F666&gt;='01_Ficha_Dosis'!$C$24,H666&gt;='01_Ficha_Dosis'!$C$14,H666&lt;='01_Ficha_Dosis'!$C$15),1,0))</f>
        <v/>
      </c>
      <c r="L666" s="12">
        <f t="shared" si="3"/>
        <v>0</v>
      </c>
    </row>
    <row r="667" ht="15.75" customHeight="1">
      <c r="A667" s="14"/>
      <c r="B667" s="14"/>
      <c r="C667" s="23"/>
      <c r="D667" s="23"/>
      <c r="E667" s="14"/>
      <c r="F667" s="14"/>
      <c r="G667" s="14"/>
      <c r="H667" s="24" t="str">
        <f t="shared" si="1"/>
        <v/>
      </c>
      <c r="I667" s="12" t="str">
        <f>IF(C667="","",INT((INT(C667)-'01_Ficha_Dosis'!$C$14)/7)+1)</f>
        <v/>
      </c>
      <c r="J667" s="12" t="str">
        <f t="shared" si="2"/>
        <v/>
      </c>
      <c r="K667" s="12" t="str">
        <f>IF(J667="","",IF(AND(G667="OK",J667&gt;='01_Ficha_Dosis'!$C$23,F667&gt;='01_Ficha_Dosis'!$C$24,H667&gt;='01_Ficha_Dosis'!$C$14,H667&lt;='01_Ficha_Dosis'!$C$15),1,0))</f>
        <v/>
      </c>
      <c r="L667" s="12">
        <f t="shared" si="3"/>
        <v>0</v>
      </c>
    </row>
    <row r="668" ht="15.75" customHeight="1">
      <c r="A668" s="14"/>
      <c r="B668" s="14"/>
      <c r="C668" s="23"/>
      <c r="D668" s="23"/>
      <c r="E668" s="14"/>
      <c r="F668" s="14"/>
      <c r="G668" s="14"/>
      <c r="H668" s="24" t="str">
        <f t="shared" si="1"/>
        <v/>
      </c>
      <c r="I668" s="12" t="str">
        <f>IF(C668="","",INT((INT(C668)-'01_Ficha_Dosis'!$C$14)/7)+1)</f>
        <v/>
      </c>
      <c r="J668" s="12" t="str">
        <f t="shared" si="2"/>
        <v/>
      </c>
      <c r="K668" s="12" t="str">
        <f>IF(J668="","",IF(AND(G668="OK",J668&gt;='01_Ficha_Dosis'!$C$23,F668&gt;='01_Ficha_Dosis'!$C$24,H668&gt;='01_Ficha_Dosis'!$C$14,H668&lt;='01_Ficha_Dosis'!$C$15),1,0))</f>
        <v/>
      </c>
      <c r="L668" s="12">
        <f t="shared" si="3"/>
        <v>0</v>
      </c>
    </row>
    <row r="669" ht="15.75" customHeight="1">
      <c r="A669" s="14"/>
      <c r="B669" s="14"/>
      <c r="C669" s="23"/>
      <c r="D669" s="23"/>
      <c r="E669" s="14"/>
      <c r="F669" s="14"/>
      <c r="G669" s="14"/>
      <c r="H669" s="24" t="str">
        <f t="shared" si="1"/>
        <v/>
      </c>
      <c r="I669" s="12" t="str">
        <f>IF(C669="","",INT((INT(C669)-'01_Ficha_Dosis'!$C$14)/7)+1)</f>
        <v/>
      </c>
      <c r="J669" s="12" t="str">
        <f t="shared" si="2"/>
        <v/>
      </c>
      <c r="K669" s="12" t="str">
        <f>IF(J669="","",IF(AND(G669="OK",J669&gt;='01_Ficha_Dosis'!$C$23,F669&gt;='01_Ficha_Dosis'!$C$24,H669&gt;='01_Ficha_Dosis'!$C$14,H669&lt;='01_Ficha_Dosis'!$C$15),1,0))</f>
        <v/>
      </c>
      <c r="L669" s="12">
        <f t="shared" si="3"/>
        <v>0</v>
      </c>
    </row>
    <row r="670" ht="15.75" customHeight="1">
      <c r="A670" s="14"/>
      <c r="B670" s="14"/>
      <c r="C670" s="23"/>
      <c r="D670" s="23"/>
      <c r="E670" s="14"/>
      <c r="F670" s="14"/>
      <c r="G670" s="14"/>
      <c r="H670" s="24" t="str">
        <f t="shared" si="1"/>
        <v/>
      </c>
      <c r="I670" s="12" t="str">
        <f>IF(C670="","",INT((INT(C670)-'01_Ficha_Dosis'!$C$14)/7)+1)</f>
        <v/>
      </c>
      <c r="J670" s="12" t="str">
        <f t="shared" si="2"/>
        <v/>
      </c>
      <c r="K670" s="12" t="str">
        <f>IF(J670="","",IF(AND(G670="OK",J670&gt;='01_Ficha_Dosis'!$C$23,F670&gt;='01_Ficha_Dosis'!$C$24,H670&gt;='01_Ficha_Dosis'!$C$14,H670&lt;='01_Ficha_Dosis'!$C$15),1,0))</f>
        <v/>
      </c>
      <c r="L670" s="12">
        <f t="shared" si="3"/>
        <v>0</v>
      </c>
    </row>
    <row r="671" ht="15.75" customHeight="1">
      <c r="A671" s="14"/>
      <c r="B671" s="14"/>
      <c r="C671" s="23"/>
      <c r="D671" s="23"/>
      <c r="E671" s="14"/>
      <c r="F671" s="14"/>
      <c r="G671" s="14"/>
      <c r="H671" s="24" t="str">
        <f t="shared" si="1"/>
        <v/>
      </c>
      <c r="I671" s="12" t="str">
        <f>IF(C671="","",INT((INT(C671)-'01_Ficha_Dosis'!$C$14)/7)+1)</f>
        <v/>
      </c>
      <c r="J671" s="12" t="str">
        <f t="shared" si="2"/>
        <v/>
      </c>
      <c r="K671" s="12" t="str">
        <f>IF(J671="","",IF(AND(G671="OK",J671&gt;='01_Ficha_Dosis'!$C$23,F671&gt;='01_Ficha_Dosis'!$C$24,H671&gt;='01_Ficha_Dosis'!$C$14,H671&lt;='01_Ficha_Dosis'!$C$15),1,0))</f>
        <v/>
      </c>
      <c r="L671" s="12">
        <f t="shared" si="3"/>
        <v>0</v>
      </c>
    </row>
    <row r="672" ht="15.75" customHeight="1">
      <c r="A672" s="14"/>
      <c r="B672" s="14"/>
      <c r="C672" s="23"/>
      <c r="D672" s="23"/>
      <c r="E672" s="14"/>
      <c r="F672" s="14"/>
      <c r="G672" s="14"/>
      <c r="H672" s="24" t="str">
        <f t="shared" si="1"/>
        <v/>
      </c>
      <c r="I672" s="12" t="str">
        <f>IF(C672="","",INT((INT(C672)-'01_Ficha_Dosis'!$C$14)/7)+1)</f>
        <v/>
      </c>
      <c r="J672" s="12" t="str">
        <f t="shared" si="2"/>
        <v/>
      </c>
      <c r="K672" s="12" t="str">
        <f>IF(J672="","",IF(AND(G672="OK",J672&gt;='01_Ficha_Dosis'!$C$23,F672&gt;='01_Ficha_Dosis'!$C$24,H672&gt;='01_Ficha_Dosis'!$C$14,H672&lt;='01_Ficha_Dosis'!$C$15),1,0))</f>
        <v/>
      </c>
      <c r="L672" s="12">
        <f t="shared" si="3"/>
        <v>0</v>
      </c>
    </row>
    <row r="673" ht="15.75" customHeight="1">
      <c r="A673" s="14"/>
      <c r="B673" s="14"/>
      <c r="C673" s="23"/>
      <c r="D673" s="23"/>
      <c r="E673" s="14"/>
      <c r="F673" s="14"/>
      <c r="G673" s="14"/>
      <c r="H673" s="24" t="str">
        <f t="shared" si="1"/>
        <v/>
      </c>
      <c r="I673" s="12" t="str">
        <f>IF(C673="","",INT((INT(C673)-'01_Ficha_Dosis'!$C$14)/7)+1)</f>
        <v/>
      </c>
      <c r="J673" s="12" t="str">
        <f t="shared" si="2"/>
        <v/>
      </c>
      <c r="K673" s="12" t="str">
        <f>IF(J673="","",IF(AND(G673="OK",J673&gt;='01_Ficha_Dosis'!$C$23,F673&gt;='01_Ficha_Dosis'!$C$24,H673&gt;='01_Ficha_Dosis'!$C$14,H673&lt;='01_Ficha_Dosis'!$C$15),1,0))</f>
        <v/>
      </c>
      <c r="L673" s="12">
        <f t="shared" si="3"/>
        <v>0</v>
      </c>
    </row>
    <row r="674" ht="15.75" customHeight="1">
      <c r="A674" s="14"/>
      <c r="B674" s="14"/>
      <c r="C674" s="23"/>
      <c r="D674" s="23"/>
      <c r="E674" s="14"/>
      <c r="F674" s="14"/>
      <c r="G674" s="14"/>
      <c r="H674" s="24" t="str">
        <f t="shared" si="1"/>
        <v/>
      </c>
      <c r="I674" s="12" t="str">
        <f>IF(C674="","",INT((INT(C674)-'01_Ficha_Dosis'!$C$14)/7)+1)</f>
        <v/>
      </c>
      <c r="J674" s="12" t="str">
        <f t="shared" si="2"/>
        <v/>
      </c>
      <c r="K674" s="12" t="str">
        <f>IF(J674="","",IF(AND(G674="OK",J674&gt;='01_Ficha_Dosis'!$C$23,F674&gt;='01_Ficha_Dosis'!$C$24,H674&gt;='01_Ficha_Dosis'!$C$14,H674&lt;='01_Ficha_Dosis'!$C$15),1,0))</f>
        <v/>
      </c>
      <c r="L674" s="12">
        <f t="shared" si="3"/>
        <v>0</v>
      </c>
    </row>
    <row r="675" ht="15.75" customHeight="1">
      <c r="A675" s="14"/>
      <c r="B675" s="14"/>
      <c r="C675" s="23"/>
      <c r="D675" s="23"/>
      <c r="E675" s="14"/>
      <c r="F675" s="14"/>
      <c r="G675" s="14"/>
      <c r="H675" s="24" t="str">
        <f t="shared" si="1"/>
        <v/>
      </c>
      <c r="I675" s="12" t="str">
        <f>IF(C675="","",INT((INT(C675)-'01_Ficha_Dosis'!$C$14)/7)+1)</f>
        <v/>
      </c>
      <c r="J675" s="12" t="str">
        <f t="shared" si="2"/>
        <v/>
      </c>
      <c r="K675" s="12" t="str">
        <f>IF(J675="","",IF(AND(G675="OK",J675&gt;='01_Ficha_Dosis'!$C$23,F675&gt;='01_Ficha_Dosis'!$C$24,H675&gt;='01_Ficha_Dosis'!$C$14,H675&lt;='01_Ficha_Dosis'!$C$15),1,0))</f>
        <v/>
      </c>
      <c r="L675" s="12">
        <f t="shared" si="3"/>
        <v>0</v>
      </c>
    </row>
    <row r="676" ht="15.75" customHeight="1">
      <c r="A676" s="14"/>
      <c r="B676" s="14"/>
      <c r="C676" s="23"/>
      <c r="D676" s="23"/>
      <c r="E676" s="14"/>
      <c r="F676" s="14"/>
      <c r="G676" s="14"/>
      <c r="H676" s="24" t="str">
        <f t="shared" si="1"/>
        <v/>
      </c>
      <c r="I676" s="12" t="str">
        <f>IF(C676="","",INT((INT(C676)-'01_Ficha_Dosis'!$C$14)/7)+1)</f>
        <v/>
      </c>
      <c r="J676" s="12" t="str">
        <f t="shared" si="2"/>
        <v/>
      </c>
      <c r="K676" s="12" t="str">
        <f>IF(J676="","",IF(AND(G676="OK",J676&gt;='01_Ficha_Dosis'!$C$23,F676&gt;='01_Ficha_Dosis'!$C$24,H676&gt;='01_Ficha_Dosis'!$C$14,H676&lt;='01_Ficha_Dosis'!$C$15),1,0))</f>
        <v/>
      </c>
      <c r="L676" s="12">
        <f t="shared" si="3"/>
        <v>0</v>
      </c>
    </row>
    <row r="677" ht="15.75" customHeight="1">
      <c r="A677" s="14"/>
      <c r="B677" s="14"/>
      <c r="C677" s="23"/>
      <c r="D677" s="23"/>
      <c r="E677" s="14"/>
      <c r="F677" s="14"/>
      <c r="G677" s="14"/>
      <c r="H677" s="24" t="str">
        <f t="shared" si="1"/>
        <v/>
      </c>
      <c r="I677" s="12" t="str">
        <f>IF(C677="","",INT((INT(C677)-'01_Ficha_Dosis'!$C$14)/7)+1)</f>
        <v/>
      </c>
      <c r="J677" s="12" t="str">
        <f t="shared" si="2"/>
        <v/>
      </c>
      <c r="K677" s="12" t="str">
        <f>IF(J677="","",IF(AND(G677="OK",J677&gt;='01_Ficha_Dosis'!$C$23,F677&gt;='01_Ficha_Dosis'!$C$24,H677&gt;='01_Ficha_Dosis'!$C$14,H677&lt;='01_Ficha_Dosis'!$C$15),1,0))</f>
        <v/>
      </c>
      <c r="L677" s="12">
        <f t="shared" si="3"/>
        <v>0</v>
      </c>
    </row>
    <row r="678" ht="15.75" customHeight="1">
      <c r="A678" s="14"/>
      <c r="B678" s="14"/>
      <c r="C678" s="23"/>
      <c r="D678" s="23"/>
      <c r="E678" s="14"/>
      <c r="F678" s="14"/>
      <c r="G678" s="14"/>
      <c r="H678" s="24" t="str">
        <f t="shared" si="1"/>
        <v/>
      </c>
      <c r="I678" s="12" t="str">
        <f>IF(C678="","",INT((INT(C678)-'01_Ficha_Dosis'!$C$14)/7)+1)</f>
        <v/>
      </c>
      <c r="J678" s="12" t="str">
        <f t="shared" si="2"/>
        <v/>
      </c>
      <c r="K678" s="12" t="str">
        <f>IF(J678="","",IF(AND(G678="OK",J678&gt;='01_Ficha_Dosis'!$C$23,F678&gt;='01_Ficha_Dosis'!$C$24,H678&gt;='01_Ficha_Dosis'!$C$14,H678&lt;='01_Ficha_Dosis'!$C$15),1,0))</f>
        <v/>
      </c>
      <c r="L678" s="12">
        <f t="shared" si="3"/>
        <v>0</v>
      </c>
    </row>
    <row r="679" ht="15.75" customHeight="1">
      <c r="A679" s="14"/>
      <c r="B679" s="14"/>
      <c r="C679" s="23"/>
      <c r="D679" s="23"/>
      <c r="E679" s="14"/>
      <c r="F679" s="14"/>
      <c r="G679" s="14"/>
      <c r="H679" s="24" t="str">
        <f t="shared" si="1"/>
        <v/>
      </c>
      <c r="I679" s="12" t="str">
        <f>IF(C679="","",INT((INT(C679)-'01_Ficha_Dosis'!$C$14)/7)+1)</f>
        <v/>
      </c>
      <c r="J679" s="12" t="str">
        <f t="shared" si="2"/>
        <v/>
      </c>
      <c r="K679" s="12" t="str">
        <f>IF(J679="","",IF(AND(G679="OK",J679&gt;='01_Ficha_Dosis'!$C$23,F679&gt;='01_Ficha_Dosis'!$C$24,H679&gt;='01_Ficha_Dosis'!$C$14,H679&lt;='01_Ficha_Dosis'!$C$15),1,0))</f>
        <v/>
      </c>
      <c r="L679" s="12">
        <f t="shared" si="3"/>
        <v>0</v>
      </c>
    </row>
    <row r="680" ht="15.75" customHeight="1">
      <c r="A680" s="14"/>
      <c r="B680" s="14"/>
      <c r="C680" s="23"/>
      <c r="D680" s="23"/>
      <c r="E680" s="14"/>
      <c r="F680" s="14"/>
      <c r="G680" s="14"/>
      <c r="H680" s="24" t="str">
        <f t="shared" si="1"/>
        <v/>
      </c>
      <c r="I680" s="12" t="str">
        <f>IF(C680="","",INT((INT(C680)-'01_Ficha_Dosis'!$C$14)/7)+1)</f>
        <v/>
      </c>
      <c r="J680" s="12" t="str">
        <f t="shared" si="2"/>
        <v/>
      </c>
      <c r="K680" s="12" t="str">
        <f>IF(J680="","",IF(AND(G680="OK",J680&gt;='01_Ficha_Dosis'!$C$23,F680&gt;='01_Ficha_Dosis'!$C$24,H680&gt;='01_Ficha_Dosis'!$C$14,H680&lt;='01_Ficha_Dosis'!$C$15),1,0))</f>
        <v/>
      </c>
      <c r="L680" s="12">
        <f t="shared" si="3"/>
        <v>0</v>
      </c>
    </row>
    <row r="681" ht="15.75" customHeight="1">
      <c r="A681" s="14"/>
      <c r="B681" s="14"/>
      <c r="C681" s="23"/>
      <c r="D681" s="23"/>
      <c r="E681" s="14"/>
      <c r="F681" s="14"/>
      <c r="G681" s="14"/>
      <c r="H681" s="24" t="str">
        <f t="shared" si="1"/>
        <v/>
      </c>
      <c r="I681" s="12" t="str">
        <f>IF(C681="","",INT((INT(C681)-'01_Ficha_Dosis'!$C$14)/7)+1)</f>
        <v/>
      </c>
      <c r="J681" s="12" t="str">
        <f t="shared" si="2"/>
        <v/>
      </c>
      <c r="K681" s="12" t="str">
        <f>IF(J681="","",IF(AND(G681="OK",J681&gt;='01_Ficha_Dosis'!$C$23,F681&gt;='01_Ficha_Dosis'!$C$24,H681&gt;='01_Ficha_Dosis'!$C$14,H681&lt;='01_Ficha_Dosis'!$C$15),1,0))</f>
        <v/>
      </c>
      <c r="L681" s="12">
        <f t="shared" si="3"/>
        <v>0</v>
      </c>
    </row>
    <row r="682" ht="15.75" customHeight="1">
      <c r="A682" s="14"/>
      <c r="B682" s="14"/>
      <c r="C682" s="23"/>
      <c r="D682" s="23"/>
      <c r="E682" s="14"/>
      <c r="F682" s="14"/>
      <c r="G682" s="14"/>
      <c r="H682" s="24" t="str">
        <f t="shared" si="1"/>
        <v/>
      </c>
      <c r="I682" s="12" t="str">
        <f>IF(C682="","",INT((INT(C682)-'01_Ficha_Dosis'!$C$14)/7)+1)</f>
        <v/>
      </c>
      <c r="J682" s="12" t="str">
        <f t="shared" si="2"/>
        <v/>
      </c>
      <c r="K682" s="12" t="str">
        <f>IF(J682="","",IF(AND(G682="OK",J682&gt;='01_Ficha_Dosis'!$C$23,F682&gt;='01_Ficha_Dosis'!$C$24,H682&gt;='01_Ficha_Dosis'!$C$14,H682&lt;='01_Ficha_Dosis'!$C$15),1,0))</f>
        <v/>
      </c>
      <c r="L682" s="12">
        <f t="shared" si="3"/>
        <v>0</v>
      </c>
    </row>
    <row r="683" ht="15.75" customHeight="1">
      <c r="A683" s="14"/>
      <c r="B683" s="14"/>
      <c r="C683" s="23"/>
      <c r="D683" s="23"/>
      <c r="E683" s="14"/>
      <c r="F683" s="14"/>
      <c r="G683" s="14"/>
      <c r="H683" s="24" t="str">
        <f t="shared" si="1"/>
        <v/>
      </c>
      <c r="I683" s="12" t="str">
        <f>IF(C683="","",INT((INT(C683)-'01_Ficha_Dosis'!$C$14)/7)+1)</f>
        <v/>
      </c>
      <c r="J683" s="12" t="str">
        <f t="shared" si="2"/>
        <v/>
      </c>
      <c r="K683" s="12" t="str">
        <f>IF(J683="","",IF(AND(G683="OK",J683&gt;='01_Ficha_Dosis'!$C$23,F683&gt;='01_Ficha_Dosis'!$C$24,H683&gt;='01_Ficha_Dosis'!$C$14,H683&lt;='01_Ficha_Dosis'!$C$15),1,0))</f>
        <v/>
      </c>
      <c r="L683" s="12">
        <f t="shared" si="3"/>
        <v>0</v>
      </c>
    </row>
    <row r="684" ht="15.75" customHeight="1">
      <c r="A684" s="14"/>
      <c r="B684" s="14"/>
      <c r="C684" s="23"/>
      <c r="D684" s="23"/>
      <c r="E684" s="14"/>
      <c r="F684" s="14"/>
      <c r="G684" s="14"/>
      <c r="H684" s="24" t="str">
        <f t="shared" si="1"/>
        <v/>
      </c>
      <c r="I684" s="12" t="str">
        <f>IF(C684="","",INT((INT(C684)-'01_Ficha_Dosis'!$C$14)/7)+1)</f>
        <v/>
      </c>
      <c r="J684" s="12" t="str">
        <f t="shared" si="2"/>
        <v/>
      </c>
      <c r="K684" s="12" t="str">
        <f>IF(J684="","",IF(AND(G684="OK",J684&gt;='01_Ficha_Dosis'!$C$23,F684&gt;='01_Ficha_Dosis'!$C$24,H684&gt;='01_Ficha_Dosis'!$C$14,H684&lt;='01_Ficha_Dosis'!$C$15),1,0))</f>
        <v/>
      </c>
      <c r="L684" s="12">
        <f t="shared" si="3"/>
        <v>0</v>
      </c>
    </row>
    <row r="685" ht="15.75" customHeight="1">
      <c r="A685" s="14"/>
      <c r="B685" s="14"/>
      <c r="C685" s="23"/>
      <c r="D685" s="23"/>
      <c r="E685" s="14"/>
      <c r="F685" s="14"/>
      <c r="G685" s="14"/>
      <c r="H685" s="24" t="str">
        <f t="shared" si="1"/>
        <v/>
      </c>
      <c r="I685" s="12" t="str">
        <f>IF(C685="","",INT((INT(C685)-'01_Ficha_Dosis'!$C$14)/7)+1)</f>
        <v/>
      </c>
      <c r="J685" s="12" t="str">
        <f t="shared" si="2"/>
        <v/>
      </c>
      <c r="K685" s="12" t="str">
        <f>IF(J685="","",IF(AND(G685="OK",J685&gt;='01_Ficha_Dosis'!$C$23,F685&gt;='01_Ficha_Dosis'!$C$24,H685&gt;='01_Ficha_Dosis'!$C$14,H685&lt;='01_Ficha_Dosis'!$C$15),1,0))</f>
        <v/>
      </c>
      <c r="L685" s="12">
        <f t="shared" si="3"/>
        <v>0</v>
      </c>
    </row>
    <row r="686" ht="15.75" customHeight="1">
      <c r="A686" s="14"/>
      <c r="B686" s="14"/>
      <c r="C686" s="23"/>
      <c r="D686" s="23"/>
      <c r="E686" s="14"/>
      <c r="F686" s="14"/>
      <c r="G686" s="14"/>
      <c r="H686" s="24" t="str">
        <f t="shared" si="1"/>
        <v/>
      </c>
      <c r="I686" s="12" t="str">
        <f>IF(C686="","",INT((INT(C686)-'01_Ficha_Dosis'!$C$14)/7)+1)</f>
        <v/>
      </c>
      <c r="J686" s="12" t="str">
        <f t="shared" si="2"/>
        <v/>
      </c>
      <c r="K686" s="12" t="str">
        <f>IF(J686="","",IF(AND(G686="OK",J686&gt;='01_Ficha_Dosis'!$C$23,F686&gt;='01_Ficha_Dosis'!$C$24,H686&gt;='01_Ficha_Dosis'!$C$14,H686&lt;='01_Ficha_Dosis'!$C$15),1,0))</f>
        <v/>
      </c>
      <c r="L686" s="12">
        <f t="shared" si="3"/>
        <v>0</v>
      </c>
    </row>
    <row r="687" ht="15.75" customHeight="1">
      <c r="A687" s="14"/>
      <c r="B687" s="14"/>
      <c r="C687" s="23"/>
      <c r="D687" s="23"/>
      <c r="E687" s="14"/>
      <c r="F687" s="14"/>
      <c r="G687" s="14"/>
      <c r="H687" s="24" t="str">
        <f t="shared" si="1"/>
        <v/>
      </c>
      <c r="I687" s="12" t="str">
        <f>IF(C687="","",INT((INT(C687)-'01_Ficha_Dosis'!$C$14)/7)+1)</f>
        <v/>
      </c>
      <c r="J687" s="12" t="str">
        <f t="shared" si="2"/>
        <v/>
      </c>
      <c r="K687" s="12" t="str">
        <f>IF(J687="","",IF(AND(G687="OK",J687&gt;='01_Ficha_Dosis'!$C$23,F687&gt;='01_Ficha_Dosis'!$C$24,H687&gt;='01_Ficha_Dosis'!$C$14,H687&lt;='01_Ficha_Dosis'!$C$15),1,0))</f>
        <v/>
      </c>
      <c r="L687" s="12">
        <f t="shared" si="3"/>
        <v>0</v>
      </c>
    </row>
    <row r="688" ht="15.75" customHeight="1">
      <c r="A688" s="14"/>
      <c r="B688" s="14"/>
      <c r="C688" s="23"/>
      <c r="D688" s="23"/>
      <c r="E688" s="14"/>
      <c r="F688" s="14"/>
      <c r="G688" s="14"/>
      <c r="H688" s="24" t="str">
        <f t="shared" si="1"/>
        <v/>
      </c>
      <c r="I688" s="12" t="str">
        <f>IF(C688="","",INT((INT(C688)-'01_Ficha_Dosis'!$C$14)/7)+1)</f>
        <v/>
      </c>
      <c r="J688" s="12" t="str">
        <f t="shared" si="2"/>
        <v/>
      </c>
      <c r="K688" s="12" t="str">
        <f>IF(J688="","",IF(AND(G688="OK",J688&gt;='01_Ficha_Dosis'!$C$23,F688&gt;='01_Ficha_Dosis'!$C$24,H688&gt;='01_Ficha_Dosis'!$C$14,H688&lt;='01_Ficha_Dosis'!$C$15),1,0))</f>
        <v/>
      </c>
      <c r="L688" s="12">
        <f t="shared" si="3"/>
        <v>0</v>
      </c>
    </row>
    <row r="689" ht="15.75" customHeight="1">
      <c r="A689" s="14"/>
      <c r="B689" s="14"/>
      <c r="C689" s="23"/>
      <c r="D689" s="23"/>
      <c r="E689" s="14"/>
      <c r="F689" s="14"/>
      <c r="G689" s="14"/>
      <c r="H689" s="24" t="str">
        <f t="shared" si="1"/>
        <v/>
      </c>
      <c r="I689" s="12" t="str">
        <f>IF(C689="","",INT((INT(C689)-'01_Ficha_Dosis'!$C$14)/7)+1)</f>
        <v/>
      </c>
      <c r="J689" s="12" t="str">
        <f t="shared" si="2"/>
        <v/>
      </c>
      <c r="K689" s="12" t="str">
        <f>IF(J689="","",IF(AND(G689="OK",J689&gt;='01_Ficha_Dosis'!$C$23,F689&gt;='01_Ficha_Dosis'!$C$24,H689&gt;='01_Ficha_Dosis'!$C$14,H689&lt;='01_Ficha_Dosis'!$C$15),1,0))</f>
        <v/>
      </c>
      <c r="L689" s="12">
        <f t="shared" si="3"/>
        <v>0</v>
      </c>
    </row>
    <row r="690" ht="15.75" customHeight="1">
      <c r="A690" s="14"/>
      <c r="B690" s="14"/>
      <c r="C690" s="23"/>
      <c r="D690" s="23"/>
      <c r="E690" s="14"/>
      <c r="F690" s="14"/>
      <c r="G690" s="14"/>
      <c r="H690" s="24" t="str">
        <f t="shared" si="1"/>
        <v/>
      </c>
      <c r="I690" s="12" t="str">
        <f>IF(C690="","",INT((INT(C690)-'01_Ficha_Dosis'!$C$14)/7)+1)</f>
        <v/>
      </c>
      <c r="J690" s="12" t="str">
        <f t="shared" si="2"/>
        <v/>
      </c>
      <c r="K690" s="12" t="str">
        <f>IF(J690="","",IF(AND(G690="OK",J690&gt;='01_Ficha_Dosis'!$C$23,F690&gt;='01_Ficha_Dosis'!$C$24,H690&gt;='01_Ficha_Dosis'!$C$14,H690&lt;='01_Ficha_Dosis'!$C$15),1,0))</f>
        <v/>
      </c>
      <c r="L690" s="12">
        <f t="shared" si="3"/>
        <v>0</v>
      </c>
    </row>
    <row r="691" ht="15.75" customHeight="1">
      <c r="A691" s="14"/>
      <c r="B691" s="14"/>
      <c r="C691" s="23"/>
      <c r="D691" s="23"/>
      <c r="E691" s="14"/>
      <c r="F691" s="14"/>
      <c r="G691" s="14"/>
      <c r="H691" s="24" t="str">
        <f t="shared" si="1"/>
        <v/>
      </c>
      <c r="I691" s="12" t="str">
        <f>IF(C691="","",INT((INT(C691)-'01_Ficha_Dosis'!$C$14)/7)+1)</f>
        <v/>
      </c>
      <c r="J691" s="12" t="str">
        <f t="shared" si="2"/>
        <v/>
      </c>
      <c r="K691" s="12" t="str">
        <f>IF(J691="","",IF(AND(G691="OK",J691&gt;='01_Ficha_Dosis'!$C$23,F691&gt;='01_Ficha_Dosis'!$C$24,H691&gt;='01_Ficha_Dosis'!$C$14,H691&lt;='01_Ficha_Dosis'!$C$15),1,0))</f>
        <v/>
      </c>
      <c r="L691" s="12">
        <f t="shared" si="3"/>
        <v>0</v>
      </c>
    </row>
    <row r="692" ht="15.75" customHeight="1">
      <c r="A692" s="14"/>
      <c r="B692" s="14"/>
      <c r="C692" s="23"/>
      <c r="D692" s="23"/>
      <c r="E692" s="14"/>
      <c r="F692" s="14"/>
      <c r="G692" s="14"/>
      <c r="H692" s="24" t="str">
        <f t="shared" si="1"/>
        <v/>
      </c>
      <c r="I692" s="12" t="str">
        <f>IF(C692="","",INT((INT(C692)-'01_Ficha_Dosis'!$C$14)/7)+1)</f>
        <v/>
      </c>
      <c r="J692" s="12" t="str">
        <f t="shared" si="2"/>
        <v/>
      </c>
      <c r="K692" s="12" t="str">
        <f>IF(J692="","",IF(AND(G692="OK",J692&gt;='01_Ficha_Dosis'!$C$23,F692&gt;='01_Ficha_Dosis'!$C$24,H692&gt;='01_Ficha_Dosis'!$C$14,H692&lt;='01_Ficha_Dosis'!$C$15),1,0))</f>
        <v/>
      </c>
      <c r="L692" s="12">
        <f t="shared" si="3"/>
        <v>0</v>
      </c>
    </row>
    <row r="693" ht="15.75" customHeight="1">
      <c r="A693" s="14"/>
      <c r="B693" s="14"/>
      <c r="C693" s="23"/>
      <c r="D693" s="23"/>
      <c r="E693" s="14"/>
      <c r="F693" s="14"/>
      <c r="G693" s="14"/>
      <c r="H693" s="24" t="str">
        <f t="shared" si="1"/>
        <v/>
      </c>
      <c r="I693" s="12" t="str">
        <f>IF(C693="","",INT((INT(C693)-'01_Ficha_Dosis'!$C$14)/7)+1)</f>
        <v/>
      </c>
      <c r="J693" s="12" t="str">
        <f t="shared" si="2"/>
        <v/>
      </c>
      <c r="K693" s="12" t="str">
        <f>IF(J693="","",IF(AND(G693="OK",J693&gt;='01_Ficha_Dosis'!$C$23,F693&gt;='01_Ficha_Dosis'!$C$24,H693&gt;='01_Ficha_Dosis'!$C$14,H693&lt;='01_Ficha_Dosis'!$C$15),1,0))</f>
        <v/>
      </c>
      <c r="L693" s="12">
        <f t="shared" si="3"/>
        <v>0</v>
      </c>
    </row>
    <row r="694" ht="15.75" customHeight="1">
      <c r="A694" s="14"/>
      <c r="B694" s="14"/>
      <c r="C694" s="23"/>
      <c r="D694" s="23"/>
      <c r="E694" s="14"/>
      <c r="F694" s="14"/>
      <c r="G694" s="14"/>
      <c r="H694" s="24" t="str">
        <f t="shared" si="1"/>
        <v/>
      </c>
      <c r="I694" s="12" t="str">
        <f>IF(C694="","",INT((INT(C694)-'01_Ficha_Dosis'!$C$14)/7)+1)</f>
        <v/>
      </c>
      <c r="J694" s="12" t="str">
        <f t="shared" si="2"/>
        <v/>
      </c>
      <c r="K694" s="12" t="str">
        <f>IF(J694="","",IF(AND(G694="OK",J694&gt;='01_Ficha_Dosis'!$C$23,F694&gt;='01_Ficha_Dosis'!$C$24,H694&gt;='01_Ficha_Dosis'!$C$14,H694&lt;='01_Ficha_Dosis'!$C$15),1,0))</f>
        <v/>
      </c>
      <c r="L694" s="12">
        <f t="shared" si="3"/>
        <v>0</v>
      </c>
    </row>
    <row r="695" ht="15.75" customHeight="1">
      <c r="A695" s="14"/>
      <c r="B695" s="14"/>
      <c r="C695" s="23"/>
      <c r="D695" s="23"/>
      <c r="E695" s="14"/>
      <c r="F695" s="14"/>
      <c r="G695" s="14"/>
      <c r="H695" s="24" t="str">
        <f t="shared" si="1"/>
        <v/>
      </c>
      <c r="I695" s="12" t="str">
        <f>IF(C695="","",INT((INT(C695)-'01_Ficha_Dosis'!$C$14)/7)+1)</f>
        <v/>
      </c>
      <c r="J695" s="12" t="str">
        <f t="shared" si="2"/>
        <v/>
      </c>
      <c r="K695" s="12" t="str">
        <f>IF(J695="","",IF(AND(G695="OK",J695&gt;='01_Ficha_Dosis'!$C$23,F695&gt;='01_Ficha_Dosis'!$C$24,H695&gt;='01_Ficha_Dosis'!$C$14,H695&lt;='01_Ficha_Dosis'!$C$15),1,0))</f>
        <v/>
      </c>
      <c r="L695" s="12">
        <f t="shared" si="3"/>
        <v>0</v>
      </c>
    </row>
    <row r="696" ht="15.75" customHeight="1">
      <c r="A696" s="14"/>
      <c r="B696" s="14"/>
      <c r="C696" s="23"/>
      <c r="D696" s="23"/>
      <c r="E696" s="14"/>
      <c r="F696" s="14"/>
      <c r="G696" s="14"/>
      <c r="H696" s="24" t="str">
        <f t="shared" si="1"/>
        <v/>
      </c>
      <c r="I696" s="12" t="str">
        <f>IF(C696="","",INT((INT(C696)-'01_Ficha_Dosis'!$C$14)/7)+1)</f>
        <v/>
      </c>
      <c r="J696" s="12" t="str">
        <f t="shared" si="2"/>
        <v/>
      </c>
      <c r="K696" s="12" t="str">
        <f>IF(J696="","",IF(AND(G696="OK",J696&gt;='01_Ficha_Dosis'!$C$23,F696&gt;='01_Ficha_Dosis'!$C$24,H696&gt;='01_Ficha_Dosis'!$C$14,H696&lt;='01_Ficha_Dosis'!$C$15),1,0))</f>
        <v/>
      </c>
      <c r="L696" s="12">
        <f t="shared" si="3"/>
        <v>0</v>
      </c>
    </row>
    <row r="697" ht="15.75" customHeight="1">
      <c r="A697" s="14"/>
      <c r="B697" s="14"/>
      <c r="C697" s="23"/>
      <c r="D697" s="23"/>
      <c r="E697" s="14"/>
      <c r="F697" s="14"/>
      <c r="G697" s="14"/>
      <c r="H697" s="24" t="str">
        <f t="shared" si="1"/>
        <v/>
      </c>
      <c r="I697" s="12" t="str">
        <f>IF(C697="","",INT((INT(C697)-'01_Ficha_Dosis'!$C$14)/7)+1)</f>
        <v/>
      </c>
      <c r="J697" s="12" t="str">
        <f t="shared" si="2"/>
        <v/>
      </c>
      <c r="K697" s="12" t="str">
        <f>IF(J697="","",IF(AND(G697="OK",J697&gt;='01_Ficha_Dosis'!$C$23,F697&gt;='01_Ficha_Dosis'!$C$24,H697&gt;='01_Ficha_Dosis'!$C$14,H697&lt;='01_Ficha_Dosis'!$C$15),1,0))</f>
        <v/>
      </c>
      <c r="L697" s="12">
        <f t="shared" si="3"/>
        <v>0</v>
      </c>
    </row>
    <row r="698" ht="15.75" customHeight="1">
      <c r="A698" s="14"/>
      <c r="B698" s="14"/>
      <c r="C698" s="23"/>
      <c r="D698" s="23"/>
      <c r="E698" s="14"/>
      <c r="F698" s="14"/>
      <c r="G698" s="14"/>
      <c r="H698" s="24" t="str">
        <f t="shared" si="1"/>
        <v/>
      </c>
      <c r="I698" s="12" t="str">
        <f>IF(C698="","",INT((INT(C698)-'01_Ficha_Dosis'!$C$14)/7)+1)</f>
        <v/>
      </c>
      <c r="J698" s="12" t="str">
        <f t="shared" si="2"/>
        <v/>
      </c>
      <c r="K698" s="12" t="str">
        <f>IF(J698="","",IF(AND(G698="OK",J698&gt;='01_Ficha_Dosis'!$C$23,F698&gt;='01_Ficha_Dosis'!$C$24,H698&gt;='01_Ficha_Dosis'!$C$14,H698&lt;='01_Ficha_Dosis'!$C$15),1,0))</f>
        <v/>
      </c>
      <c r="L698" s="12">
        <f t="shared" si="3"/>
        <v>0</v>
      </c>
    </row>
    <row r="699" ht="15.75" customHeight="1">
      <c r="A699" s="14"/>
      <c r="B699" s="14"/>
      <c r="C699" s="23"/>
      <c r="D699" s="23"/>
      <c r="E699" s="14"/>
      <c r="F699" s="14"/>
      <c r="G699" s="14"/>
      <c r="H699" s="24" t="str">
        <f t="shared" si="1"/>
        <v/>
      </c>
      <c r="I699" s="12" t="str">
        <f>IF(C699="","",INT((INT(C699)-'01_Ficha_Dosis'!$C$14)/7)+1)</f>
        <v/>
      </c>
      <c r="J699" s="12" t="str">
        <f t="shared" si="2"/>
        <v/>
      </c>
      <c r="K699" s="12" t="str">
        <f>IF(J699="","",IF(AND(G699="OK",J699&gt;='01_Ficha_Dosis'!$C$23,F699&gt;='01_Ficha_Dosis'!$C$24,H699&gt;='01_Ficha_Dosis'!$C$14,H699&lt;='01_Ficha_Dosis'!$C$15),1,0))</f>
        <v/>
      </c>
      <c r="L699" s="12">
        <f t="shared" si="3"/>
        <v>0</v>
      </c>
    </row>
    <row r="700" ht="15.75" customHeight="1">
      <c r="A700" s="14"/>
      <c r="B700" s="14"/>
      <c r="C700" s="23"/>
      <c r="D700" s="23"/>
      <c r="E700" s="14"/>
      <c r="F700" s="14"/>
      <c r="G700" s="14"/>
      <c r="H700" s="24" t="str">
        <f t="shared" si="1"/>
        <v/>
      </c>
      <c r="I700" s="12" t="str">
        <f>IF(C700="","",INT((INT(C700)-'01_Ficha_Dosis'!$C$14)/7)+1)</f>
        <v/>
      </c>
      <c r="J700" s="12" t="str">
        <f t="shared" si="2"/>
        <v/>
      </c>
      <c r="K700" s="12" t="str">
        <f>IF(J700="","",IF(AND(G700="OK",J700&gt;='01_Ficha_Dosis'!$C$23,F700&gt;='01_Ficha_Dosis'!$C$24,H700&gt;='01_Ficha_Dosis'!$C$14,H700&lt;='01_Ficha_Dosis'!$C$15),1,0))</f>
        <v/>
      </c>
      <c r="L700" s="12">
        <f t="shared" si="3"/>
        <v>0</v>
      </c>
    </row>
    <row r="701" ht="15.75" customHeight="1">
      <c r="A701" s="14"/>
      <c r="B701" s="14"/>
      <c r="C701" s="23"/>
      <c r="D701" s="23"/>
      <c r="E701" s="14"/>
      <c r="F701" s="14"/>
      <c r="G701" s="14"/>
      <c r="H701" s="24" t="str">
        <f t="shared" si="1"/>
        <v/>
      </c>
      <c r="I701" s="12" t="str">
        <f>IF(C701="","",INT((INT(C701)-'01_Ficha_Dosis'!$C$14)/7)+1)</f>
        <v/>
      </c>
      <c r="J701" s="12" t="str">
        <f t="shared" si="2"/>
        <v/>
      </c>
      <c r="K701" s="12" t="str">
        <f>IF(J701="","",IF(AND(G701="OK",J701&gt;='01_Ficha_Dosis'!$C$23,F701&gt;='01_Ficha_Dosis'!$C$24,H701&gt;='01_Ficha_Dosis'!$C$14,H701&lt;='01_Ficha_Dosis'!$C$15),1,0))</f>
        <v/>
      </c>
      <c r="L701" s="12">
        <f t="shared" si="3"/>
        <v>0</v>
      </c>
    </row>
    <row r="702" ht="15.75" customHeight="1">
      <c r="A702" s="14"/>
      <c r="B702" s="14"/>
      <c r="C702" s="23"/>
      <c r="D702" s="23"/>
      <c r="E702" s="14"/>
      <c r="F702" s="14"/>
      <c r="G702" s="14"/>
      <c r="H702" s="24" t="str">
        <f t="shared" si="1"/>
        <v/>
      </c>
      <c r="I702" s="12" t="str">
        <f>IF(C702="","",INT((INT(C702)-'01_Ficha_Dosis'!$C$14)/7)+1)</f>
        <v/>
      </c>
      <c r="J702" s="12" t="str">
        <f t="shared" si="2"/>
        <v/>
      </c>
      <c r="K702" s="12" t="str">
        <f>IF(J702="","",IF(AND(G702="OK",J702&gt;='01_Ficha_Dosis'!$C$23,F702&gt;='01_Ficha_Dosis'!$C$24,H702&gt;='01_Ficha_Dosis'!$C$14,H702&lt;='01_Ficha_Dosis'!$C$15),1,0))</f>
        <v/>
      </c>
      <c r="L702" s="12">
        <f t="shared" si="3"/>
        <v>0</v>
      </c>
    </row>
    <row r="703" ht="15.75" customHeight="1">
      <c r="A703" s="14"/>
      <c r="B703" s="14"/>
      <c r="C703" s="23"/>
      <c r="D703" s="23"/>
      <c r="E703" s="14"/>
      <c r="F703" s="14"/>
      <c r="G703" s="14"/>
      <c r="H703" s="24" t="str">
        <f t="shared" si="1"/>
        <v/>
      </c>
      <c r="I703" s="12" t="str">
        <f>IF(C703="","",INT((INT(C703)-'01_Ficha_Dosis'!$C$14)/7)+1)</f>
        <v/>
      </c>
      <c r="J703" s="12" t="str">
        <f t="shared" si="2"/>
        <v/>
      </c>
      <c r="K703" s="12" t="str">
        <f>IF(J703="","",IF(AND(G703="OK",J703&gt;='01_Ficha_Dosis'!$C$23,F703&gt;='01_Ficha_Dosis'!$C$24,H703&gt;='01_Ficha_Dosis'!$C$14,H703&lt;='01_Ficha_Dosis'!$C$15),1,0))</f>
        <v/>
      </c>
      <c r="L703" s="12">
        <f t="shared" si="3"/>
        <v>0</v>
      </c>
    </row>
    <row r="704" ht="15.75" customHeight="1">
      <c r="A704" s="14"/>
      <c r="B704" s="14"/>
      <c r="C704" s="23"/>
      <c r="D704" s="23"/>
      <c r="E704" s="14"/>
      <c r="F704" s="14"/>
      <c r="G704" s="14"/>
      <c r="H704" s="24" t="str">
        <f t="shared" si="1"/>
        <v/>
      </c>
      <c r="I704" s="12" t="str">
        <f>IF(C704="","",INT((INT(C704)-'01_Ficha_Dosis'!$C$14)/7)+1)</f>
        <v/>
      </c>
      <c r="J704" s="12" t="str">
        <f t="shared" si="2"/>
        <v/>
      </c>
      <c r="K704" s="12" t="str">
        <f>IF(J704="","",IF(AND(G704="OK",J704&gt;='01_Ficha_Dosis'!$C$23,F704&gt;='01_Ficha_Dosis'!$C$24,H704&gt;='01_Ficha_Dosis'!$C$14,H704&lt;='01_Ficha_Dosis'!$C$15),1,0))</f>
        <v/>
      </c>
      <c r="L704" s="12">
        <f t="shared" si="3"/>
        <v>0</v>
      </c>
    </row>
    <row r="705" ht="15.75" customHeight="1">
      <c r="A705" s="14"/>
      <c r="B705" s="14"/>
      <c r="C705" s="23"/>
      <c r="D705" s="23"/>
      <c r="E705" s="14"/>
      <c r="F705" s="14"/>
      <c r="G705" s="14"/>
      <c r="H705" s="24" t="str">
        <f t="shared" si="1"/>
        <v/>
      </c>
      <c r="I705" s="12" t="str">
        <f>IF(C705="","",INT((INT(C705)-'01_Ficha_Dosis'!$C$14)/7)+1)</f>
        <v/>
      </c>
      <c r="J705" s="12" t="str">
        <f t="shared" si="2"/>
        <v/>
      </c>
      <c r="K705" s="12" t="str">
        <f>IF(J705="","",IF(AND(G705="OK",J705&gt;='01_Ficha_Dosis'!$C$23,F705&gt;='01_Ficha_Dosis'!$C$24,H705&gt;='01_Ficha_Dosis'!$C$14,H705&lt;='01_Ficha_Dosis'!$C$15),1,0))</f>
        <v/>
      </c>
      <c r="L705" s="12">
        <f t="shared" si="3"/>
        <v>0</v>
      </c>
    </row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L$705"/>
  <conditionalFormatting sqref="K6:K705">
    <cfRule type="cellIs" dxfId="5" priority="1" operator="equal">
      <formula>0</formula>
    </cfRule>
  </conditionalFormatting>
  <dataValidations>
    <dataValidation type="list" allowBlank="1" sqref="G6:G705">
      <formula1>"OK,FALLA"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0.0"/>
    <col customWidth="1" min="2" max="10" width="8.0"/>
    <col customWidth="1" min="11" max="12" width="11.0"/>
    <col customWidth="1" min="13" max="13" width="12.0"/>
    <col customWidth="1" min="14" max="14" width="13.0"/>
    <col customWidth="1" min="15" max="15" width="16.0"/>
    <col customWidth="1" min="16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5.5" customHeight="1">
      <c r="A2" s="3" t="s">
        <v>144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4" t="s">
        <v>145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1.5" customHeight="1">
      <c r="A5" s="6" t="s">
        <v>16</v>
      </c>
      <c r="B5" s="6" t="s">
        <v>17</v>
      </c>
      <c r="C5" s="6" t="s">
        <v>146</v>
      </c>
      <c r="D5" s="6" t="s">
        <v>147</v>
      </c>
      <c r="E5" s="6" t="s">
        <v>148</v>
      </c>
      <c r="F5" s="6" t="s">
        <v>149</v>
      </c>
      <c r="G5" s="6" t="s">
        <v>150</v>
      </c>
      <c r="H5" s="6" t="s">
        <v>151</v>
      </c>
      <c r="I5" s="6" t="s">
        <v>152</v>
      </c>
      <c r="J5" s="6" t="s">
        <v>153</v>
      </c>
      <c r="K5" s="6" t="s">
        <v>154</v>
      </c>
      <c r="L5" s="6" t="s">
        <v>155</v>
      </c>
      <c r="M5" s="6" t="s">
        <v>156</v>
      </c>
      <c r="N5" s="6" t="s">
        <v>157</v>
      </c>
      <c r="O5" s="6" t="s">
        <v>19</v>
      </c>
    </row>
    <row r="6">
      <c r="A6" s="12" t="str">
        <f>IF('02_Participantes'!B6="","",'02_Participantes'!B6)</f>
        <v/>
      </c>
      <c r="B6" s="12" t="str">
        <f>IF(A6="","",'02_Participantes'!C6)</f>
        <v/>
      </c>
      <c r="C6" s="12" t="str">
        <f>IF(OR(A6="",1&gt;'01_Ficha_Dosis'!$C$16),"",COUNTIFS('04_Log_Accesos'!$B$6:$B$705,A6,'04_Log_Accesos'!$I$6:$I$705,1,'04_Log_Accesos'!$K$6:$K$705,1))</f>
        <v/>
      </c>
      <c r="D6" s="12" t="str">
        <f>IF(OR(A6="",2&gt;'01_Ficha_Dosis'!$C$16),"",COUNTIFS('04_Log_Accesos'!$B$6:$B$705,A6,'04_Log_Accesos'!$I$6:$I$705,2,'04_Log_Accesos'!$K$6:$K$705,1))</f>
        <v/>
      </c>
      <c r="E6" s="12" t="str">
        <f>IF(OR(A6="",3&gt;'01_Ficha_Dosis'!$C$16),"",COUNTIFS('04_Log_Accesos'!$B$6:$B$705,A6,'04_Log_Accesos'!$I$6:$I$705,3,'04_Log_Accesos'!$K$6:$K$705,1))</f>
        <v/>
      </c>
      <c r="F6" s="12" t="str">
        <f>IF(OR(A6="",4&gt;'01_Ficha_Dosis'!$C$16),"",COUNTIFS('04_Log_Accesos'!$B$6:$B$705,A6,'04_Log_Accesos'!$I$6:$I$705,4,'04_Log_Accesos'!$K$6:$K$705,1))</f>
        <v/>
      </c>
      <c r="G6" s="12" t="str">
        <f>IF(OR(A6="",5&gt;'01_Ficha_Dosis'!$C$16),"",COUNTIFS('04_Log_Accesos'!$B$6:$B$705,A6,'04_Log_Accesos'!$I$6:$I$705,5,'04_Log_Accesos'!$K$6:$K$705,1))</f>
        <v/>
      </c>
      <c r="H6" s="12" t="str">
        <f>IF(OR(A6="",6&gt;'01_Ficha_Dosis'!$C$16),"",COUNTIFS('04_Log_Accesos'!$B$6:$B$705,A6,'04_Log_Accesos'!$I$6:$I$705,6,'04_Log_Accesos'!$K$6:$K$705,1))</f>
        <v/>
      </c>
      <c r="I6" s="12" t="str">
        <f>IF(OR(A6="",7&gt;'01_Ficha_Dosis'!$C$16),"",COUNTIFS('04_Log_Accesos'!$B$6:$B$705,A6,'04_Log_Accesos'!$I$6:$I$705,7,'04_Log_Accesos'!$K$6:$K$705,1))</f>
        <v/>
      </c>
      <c r="J6" s="12" t="str">
        <f>IF(OR(A6="",8&gt;'01_Ficha_Dosis'!$C$16),"",COUNTIFS('04_Log_Accesos'!$B$6:$B$705,A6,'04_Log_Accesos'!$I$6:$I$705,8,'04_Log_Accesos'!$K$6:$K$705,1))</f>
        <v/>
      </c>
      <c r="K6" s="25" t="str">
        <f t="shared" ref="K6:K65" si="1">IF(A6="","",SUM(C6:J6))</f>
        <v/>
      </c>
      <c r="L6" s="25" t="str">
        <f>IF(A6="","",SUMIFS('04_Log_Accesos'!$L$6:$L$705,'04_Log_Accesos'!$B$6:$B$705,A6))</f>
        <v/>
      </c>
      <c r="M6" s="26" t="str">
        <f t="shared" ref="M6:M65" si="2">IF(OR(A6="",K6=0),"",L6/K6)</f>
        <v/>
      </c>
      <c r="N6" s="27" t="str">
        <f>IF(OR(A6="",B6&lt;&gt;"GE"),"",K6/'01_Ficha_Dosis'!$C$27)</f>
        <v/>
      </c>
      <c r="O6" s="25" t="str">
        <f>IF(N6="","",IF(N6&gt;='01_Ficha_Dosis'!$C$31,"Dosis completa","Bajo umbral"))</f>
        <v/>
      </c>
    </row>
    <row r="7">
      <c r="A7" s="12" t="str">
        <f>IF('02_Participantes'!B7="","",'02_Participantes'!B7)</f>
        <v/>
      </c>
      <c r="B7" s="12" t="str">
        <f>IF(A7="","",'02_Participantes'!C7)</f>
        <v/>
      </c>
      <c r="C7" s="12" t="str">
        <f>IF(OR(A7="",1&gt;'01_Ficha_Dosis'!$C$16),"",COUNTIFS('04_Log_Accesos'!$B$6:$B$705,A7,'04_Log_Accesos'!$I$6:$I$705,1,'04_Log_Accesos'!$K$6:$K$705,1))</f>
        <v/>
      </c>
      <c r="D7" s="12" t="str">
        <f>IF(OR(A7="",2&gt;'01_Ficha_Dosis'!$C$16),"",COUNTIFS('04_Log_Accesos'!$B$6:$B$705,A7,'04_Log_Accesos'!$I$6:$I$705,2,'04_Log_Accesos'!$K$6:$K$705,1))</f>
        <v/>
      </c>
      <c r="E7" s="12" t="str">
        <f>IF(OR(A7="",3&gt;'01_Ficha_Dosis'!$C$16),"",COUNTIFS('04_Log_Accesos'!$B$6:$B$705,A7,'04_Log_Accesos'!$I$6:$I$705,3,'04_Log_Accesos'!$K$6:$K$705,1))</f>
        <v/>
      </c>
      <c r="F7" s="12" t="str">
        <f>IF(OR(A7="",4&gt;'01_Ficha_Dosis'!$C$16),"",COUNTIFS('04_Log_Accesos'!$B$6:$B$705,A7,'04_Log_Accesos'!$I$6:$I$705,4,'04_Log_Accesos'!$K$6:$K$705,1))</f>
        <v/>
      </c>
      <c r="G7" s="12" t="str">
        <f>IF(OR(A7="",5&gt;'01_Ficha_Dosis'!$C$16),"",COUNTIFS('04_Log_Accesos'!$B$6:$B$705,A7,'04_Log_Accesos'!$I$6:$I$705,5,'04_Log_Accesos'!$K$6:$K$705,1))</f>
        <v/>
      </c>
      <c r="H7" s="12" t="str">
        <f>IF(OR(A7="",6&gt;'01_Ficha_Dosis'!$C$16),"",COUNTIFS('04_Log_Accesos'!$B$6:$B$705,A7,'04_Log_Accesos'!$I$6:$I$705,6,'04_Log_Accesos'!$K$6:$K$705,1))</f>
        <v/>
      </c>
      <c r="I7" s="12" t="str">
        <f>IF(OR(A7="",7&gt;'01_Ficha_Dosis'!$C$16),"",COUNTIFS('04_Log_Accesos'!$B$6:$B$705,A7,'04_Log_Accesos'!$I$6:$I$705,7,'04_Log_Accesos'!$K$6:$K$705,1))</f>
        <v/>
      </c>
      <c r="J7" s="12" t="str">
        <f>IF(OR(A7="",8&gt;'01_Ficha_Dosis'!$C$16),"",COUNTIFS('04_Log_Accesos'!$B$6:$B$705,A7,'04_Log_Accesos'!$I$6:$I$705,8,'04_Log_Accesos'!$K$6:$K$705,1))</f>
        <v/>
      </c>
      <c r="K7" s="25" t="str">
        <f t="shared" si="1"/>
        <v/>
      </c>
      <c r="L7" s="25" t="str">
        <f>IF(A7="","",SUMIFS('04_Log_Accesos'!$L$6:$L$705,'04_Log_Accesos'!$B$6:$B$705,A7))</f>
        <v/>
      </c>
      <c r="M7" s="26" t="str">
        <f t="shared" si="2"/>
        <v/>
      </c>
      <c r="N7" s="27" t="str">
        <f>IF(OR(A7="",B7&lt;&gt;"GE"),"",K7/'01_Ficha_Dosis'!$C$27)</f>
        <v/>
      </c>
      <c r="O7" s="25" t="str">
        <f>IF(N7="","",IF(N7&gt;='01_Ficha_Dosis'!$C$31,"Dosis completa","Bajo umbral"))</f>
        <v/>
      </c>
    </row>
    <row r="8">
      <c r="A8" s="12" t="str">
        <f>IF('02_Participantes'!B8="","",'02_Participantes'!B8)</f>
        <v/>
      </c>
      <c r="B8" s="12" t="str">
        <f>IF(A8="","",'02_Participantes'!C8)</f>
        <v/>
      </c>
      <c r="C8" s="12" t="str">
        <f>IF(OR(A8="",1&gt;'01_Ficha_Dosis'!$C$16),"",COUNTIFS('04_Log_Accesos'!$B$6:$B$705,A8,'04_Log_Accesos'!$I$6:$I$705,1,'04_Log_Accesos'!$K$6:$K$705,1))</f>
        <v/>
      </c>
      <c r="D8" s="12" t="str">
        <f>IF(OR(A8="",2&gt;'01_Ficha_Dosis'!$C$16),"",COUNTIFS('04_Log_Accesos'!$B$6:$B$705,A8,'04_Log_Accesos'!$I$6:$I$705,2,'04_Log_Accesos'!$K$6:$K$705,1))</f>
        <v/>
      </c>
      <c r="E8" s="12" t="str">
        <f>IF(OR(A8="",3&gt;'01_Ficha_Dosis'!$C$16),"",COUNTIFS('04_Log_Accesos'!$B$6:$B$705,A8,'04_Log_Accesos'!$I$6:$I$705,3,'04_Log_Accesos'!$K$6:$K$705,1))</f>
        <v/>
      </c>
      <c r="F8" s="12" t="str">
        <f>IF(OR(A8="",4&gt;'01_Ficha_Dosis'!$C$16),"",COUNTIFS('04_Log_Accesos'!$B$6:$B$705,A8,'04_Log_Accesos'!$I$6:$I$705,4,'04_Log_Accesos'!$K$6:$K$705,1))</f>
        <v/>
      </c>
      <c r="G8" s="12" t="str">
        <f>IF(OR(A8="",5&gt;'01_Ficha_Dosis'!$C$16),"",COUNTIFS('04_Log_Accesos'!$B$6:$B$705,A8,'04_Log_Accesos'!$I$6:$I$705,5,'04_Log_Accesos'!$K$6:$K$705,1))</f>
        <v/>
      </c>
      <c r="H8" s="12" t="str">
        <f>IF(OR(A8="",6&gt;'01_Ficha_Dosis'!$C$16),"",COUNTIFS('04_Log_Accesos'!$B$6:$B$705,A8,'04_Log_Accesos'!$I$6:$I$705,6,'04_Log_Accesos'!$K$6:$K$705,1))</f>
        <v/>
      </c>
      <c r="I8" s="12" t="str">
        <f>IF(OR(A8="",7&gt;'01_Ficha_Dosis'!$C$16),"",COUNTIFS('04_Log_Accesos'!$B$6:$B$705,A8,'04_Log_Accesos'!$I$6:$I$705,7,'04_Log_Accesos'!$K$6:$K$705,1))</f>
        <v/>
      </c>
      <c r="J8" s="12" t="str">
        <f>IF(OR(A8="",8&gt;'01_Ficha_Dosis'!$C$16),"",COUNTIFS('04_Log_Accesos'!$B$6:$B$705,A8,'04_Log_Accesos'!$I$6:$I$705,8,'04_Log_Accesos'!$K$6:$K$705,1))</f>
        <v/>
      </c>
      <c r="K8" s="25" t="str">
        <f t="shared" si="1"/>
        <v/>
      </c>
      <c r="L8" s="25" t="str">
        <f>IF(A8="","",SUMIFS('04_Log_Accesos'!$L$6:$L$705,'04_Log_Accesos'!$B$6:$B$705,A8))</f>
        <v/>
      </c>
      <c r="M8" s="26" t="str">
        <f t="shared" si="2"/>
        <v/>
      </c>
      <c r="N8" s="27" t="str">
        <f>IF(OR(A8="",B8&lt;&gt;"GE"),"",K8/'01_Ficha_Dosis'!$C$27)</f>
        <v/>
      </c>
      <c r="O8" s="25" t="str">
        <f>IF(N8="","",IF(N8&gt;='01_Ficha_Dosis'!$C$31,"Dosis completa","Bajo umbral"))</f>
        <v/>
      </c>
    </row>
    <row r="9">
      <c r="A9" s="12" t="str">
        <f>IF('02_Participantes'!B9="","",'02_Participantes'!B9)</f>
        <v/>
      </c>
      <c r="B9" s="12" t="str">
        <f>IF(A9="","",'02_Participantes'!C9)</f>
        <v/>
      </c>
      <c r="C9" s="12" t="str">
        <f>IF(OR(A9="",1&gt;'01_Ficha_Dosis'!$C$16),"",COUNTIFS('04_Log_Accesos'!$B$6:$B$705,A9,'04_Log_Accesos'!$I$6:$I$705,1,'04_Log_Accesos'!$K$6:$K$705,1))</f>
        <v/>
      </c>
      <c r="D9" s="12" t="str">
        <f>IF(OR(A9="",2&gt;'01_Ficha_Dosis'!$C$16),"",COUNTIFS('04_Log_Accesos'!$B$6:$B$705,A9,'04_Log_Accesos'!$I$6:$I$705,2,'04_Log_Accesos'!$K$6:$K$705,1))</f>
        <v/>
      </c>
      <c r="E9" s="12" t="str">
        <f>IF(OR(A9="",3&gt;'01_Ficha_Dosis'!$C$16),"",COUNTIFS('04_Log_Accesos'!$B$6:$B$705,A9,'04_Log_Accesos'!$I$6:$I$705,3,'04_Log_Accesos'!$K$6:$K$705,1))</f>
        <v/>
      </c>
      <c r="F9" s="12" t="str">
        <f>IF(OR(A9="",4&gt;'01_Ficha_Dosis'!$C$16),"",COUNTIFS('04_Log_Accesos'!$B$6:$B$705,A9,'04_Log_Accesos'!$I$6:$I$705,4,'04_Log_Accesos'!$K$6:$K$705,1))</f>
        <v/>
      </c>
      <c r="G9" s="12" t="str">
        <f>IF(OR(A9="",5&gt;'01_Ficha_Dosis'!$C$16),"",COUNTIFS('04_Log_Accesos'!$B$6:$B$705,A9,'04_Log_Accesos'!$I$6:$I$705,5,'04_Log_Accesos'!$K$6:$K$705,1))</f>
        <v/>
      </c>
      <c r="H9" s="12" t="str">
        <f>IF(OR(A9="",6&gt;'01_Ficha_Dosis'!$C$16),"",COUNTIFS('04_Log_Accesos'!$B$6:$B$705,A9,'04_Log_Accesos'!$I$6:$I$705,6,'04_Log_Accesos'!$K$6:$K$705,1))</f>
        <v/>
      </c>
      <c r="I9" s="12" t="str">
        <f>IF(OR(A9="",7&gt;'01_Ficha_Dosis'!$C$16),"",COUNTIFS('04_Log_Accesos'!$B$6:$B$705,A9,'04_Log_Accesos'!$I$6:$I$705,7,'04_Log_Accesos'!$K$6:$K$705,1))</f>
        <v/>
      </c>
      <c r="J9" s="12" t="str">
        <f>IF(OR(A9="",8&gt;'01_Ficha_Dosis'!$C$16),"",COUNTIFS('04_Log_Accesos'!$B$6:$B$705,A9,'04_Log_Accesos'!$I$6:$I$705,8,'04_Log_Accesos'!$K$6:$K$705,1))</f>
        <v/>
      </c>
      <c r="K9" s="25" t="str">
        <f t="shared" si="1"/>
        <v/>
      </c>
      <c r="L9" s="25" t="str">
        <f>IF(A9="","",SUMIFS('04_Log_Accesos'!$L$6:$L$705,'04_Log_Accesos'!$B$6:$B$705,A9))</f>
        <v/>
      </c>
      <c r="M9" s="26" t="str">
        <f t="shared" si="2"/>
        <v/>
      </c>
      <c r="N9" s="27" t="str">
        <f>IF(OR(A9="",B9&lt;&gt;"GE"),"",K9/'01_Ficha_Dosis'!$C$27)</f>
        <v/>
      </c>
      <c r="O9" s="25" t="str">
        <f>IF(N9="","",IF(N9&gt;='01_Ficha_Dosis'!$C$31,"Dosis completa","Bajo umbral"))</f>
        <v/>
      </c>
    </row>
    <row r="10">
      <c r="A10" s="12" t="str">
        <f>IF('02_Participantes'!B10="","",'02_Participantes'!B10)</f>
        <v/>
      </c>
      <c r="B10" s="12" t="str">
        <f>IF(A10="","",'02_Participantes'!C10)</f>
        <v/>
      </c>
      <c r="C10" s="12" t="str">
        <f>IF(OR(A10="",1&gt;'01_Ficha_Dosis'!$C$16),"",COUNTIFS('04_Log_Accesos'!$B$6:$B$705,A10,'04_Log_Accesos'!$I$6:$I$705,1,'04_Log_Accesos'!$K$6:$K$705,1))</f>
        <v/>
      </c>
      <c r="D10" s="12" t="str">
        <f>IF(OR(A10="",2&gt;'01_Ficha_Dosis'!$C$16),"",COUNTIFS('04_Log_Accesos'!$B$6:$B$705,A10,'04_Log_Accesos'!$I$6:$I$705,2,'04_Log_Accesos'!$K$6:$K$705,1))</f>
        <v/>
      </c>
      <c r="E10" s="12" t="str">
        <f>IF(OR(A10="",3&gt;'01_Ficha_Dosis'!$C$16),"",COUNTIFS('04_Log_Accesos'!$B$6:$B$705,A10,'04_Log_Accesos'!$I$6:$I$705,3,'04_Log_Accesos'!$K$6:$K$705,1))</f>
        <v/>
      </c>
      <c r="F10" s="12" t="str">
        <f>IF(OR(A10="",4&gt;'01_Ficha_Dosis'!$C$16),"",COUNTIFS('04_Log_Accesos'!$B$6:$B$705,A10,'04_Log_Accesos'!$I$6:$I$705,4,'04_Log_Accesos'!$K$6:$K$705,1))</f>
        <v/>
      </c>
      <c r="G10" s="12" t="str">
        <f>IF(OR(A10="",5&gt;'01_Ficha_Dosis'!$C$16),"",COUNTIFS('04_Log_Accesos'!$B$6:$B$705,A10,'04_Log_Accesos'!$I$6:$I$705,5,'04_Log_Accesos'!$K$6:$K$705,1))</f>
        <v/>
      </c>
      <c r="H10" s="12" t="str">
        <f>IF(OR(A10="",6&gt;'01_Ficha_Dosis'!$C$16),"",COUNTIFS('04_Log_Accesos'!$B$6:$B$705,A10,'04_Log_Accesos'!$I$6:$I$705,6,'04_Log_Accesos'!$K$6:$K$705,1))</f>
        <v/>
      </c>
      <c r="I10" s="12" t="str">
        <f>IF(OR(A10="",7&gt;'01_Ficha_Dosis'!$C$16),"",COUNTIFS('04_Log_Accesos'!$B$6:$B$705,A10,'04_Log_Accesos'!$I$6:$I$705,7,'04_Log_Accesos'!$K$6:$K$705,1))</f>
        <v/>
      </c>
      <c r="J10" s="12" t="str">
        <f>IF(OR(A10="",8&gt;'01_Ficha_Dosis'!$C$16),"",COUNTIFS('04_Log_Accesos'!$B$6:$B$705,A10,'04_Log_Accesos'!$I$6:$I$705,8,'04_Log_Accesos'!$K$6:$K$705,1))</f>
        <v/>
      </c>
      <c r="K10" s="25" t="str">
        <f t="shared" si="1"/>
        <v/>
      </c>
      <c r="L10" s="25" t="str">
        <f>IF(A10="","",SUMIFS('04_Log_Accesos'!$L$6:$L$705,'04_Log_Accesos'!$B$6:$B$705,A10))</f>
        <v/>
      </c>
      <c r="M10" s="26" t="str">
        <f t="shared" si="2"/>
        <v/>
      </c>
      <c r="N10" s="27" t="str">
        <f>IF(OR(A10="",B10&lt;&gt;"GE"),"",K10/'01_Ficha_Dosis'!$C$27)</f>
        <v/>
      </c>
      <c r="O10" s="25" t="str">
        <f>IF(N10="","",IF(N10&gt;='01_Ficha_Dosis'!$C$31,"Dosis completa","Bajo umbral"))</f>
        <v/>
      </c>
    </row>
    <row r="11">
      <c r="A11" s="12" t="str">
        <f>IF('02_Participantes'!B11="","",'02_Participantes'!B11)</f>
        <v/>
      </c>
      <c r="B11" s="12" t="str">
        <f>IF(A11="","",'02_Participantes'!C11)</f>
        <v/>
      </c>
      <c r="C11" s="12" t="str">
        <f>IF(OR(A11="",1&gt;'01_Ficha_Dosis'!$C$16),"",COUNTIFS('04_Log_Accesos'!$B$6:$B$705,A11,'04_Log_Accesos'!$I$6:$I$705,1,'04_Log_Accesos'!$K$6:$K$705,1))</f>
        <v/>
      </c>
      <c r="D11" s="12" t="str">
        <f>IF(OR(A11="",2&gt;'01_Ficha_Dosis'!$C$16),"",COUNTIFS('04_Log_Accesos'!$B$6:$B$705,A11,'04_Log_Accesos'!$I$6:$I$705,2,'04_Log_Accesos'!$K$6:$K$705,1))</f>
        <v/>
      </c>
      <c r="E11" s="12" t="str">
        <f>IF(OR(A11="",3&gt;'01_Ficha_Dosis'!$C$16),"",COUNTIFS('04_Log_Accesos'!$B$6:$B$705,A11,'04_Log_Accesos'!$I$6:$I$705,3,'04_Log_Accesos'!$K$6:$K$705,1))</f>
        <v/>
      </c>
      <c r="F11" s="12" t="str">
        <f>IF(OR(A11="",4&gt;'01_Ficha_Dosis'!$C$16),"",COUNTIFS('04_Log_Accesos'!$B$6:$B$705,A11,'04_Log_Accesos'!$I$6:$I$705,4,'04_Log_Accesos'!$K$6:$K$705,1))</f>
        <v/>
      </c>
      <c r="G11" s="12" t="str">
        <f>IF(OR(A11="",5&gt;'01_Ficha_Dosis'!$C$16),"",COUNTIFS('04_Log_Accesos'!$B$6:$B$705,A11,'04_Log_Accesos'!$I$6:$I$705,5,'04_Log_Accesos'!$K$6:$K$705,1))</f>
        <v/>
      </c>
      <c r="H11" s="12" t="str">
        <f>IF(OR(A11="",6&gt;'01_Ficha_Dosis'!$C$16),"",COUNTIFS('04_Log_Accesos'!$B$6:$B$705,A11,'04_Log_Accesos'!$I$6:$I$705,6,'04_Log_Accesos'!$K$6:$K$705,1))</f>
        <v/>
      </c>
      <c r="I11" s="12" t="str">
        <f>IF(OR(A11="",7&gt;'01_Ficha_Dosis'!$C$16),"",COUNTIFS('04_Log_Accesos'!$B$6:$B$705,A11,'04_Log_Accesos'!$I$6:$I$705,7,'04_Log_Accesos'!$K$6:$K$705,1))</f>
        <v/>
      </c>
      <c r="J11" s="12" t="str">
        <f>IF(OR(A11="",8&gt;'01_Ficha_Dosis'!$C$16),"",COUNTIFS('04_Log_Accesos'!$B$6:$B$705,A11,'04_Log_Accesos'!$I$6:$I$705,8,'04_Log_Accesos'!$K$6:$K$705,1))</f>
        <v/>
      </c>
      <c r="K11" s="25" t="str">
        <f t="shared" si="1"/>
        <v/>
      </c>
      <c r="L11" s="25" t="str">
        <f>IF(A11="","",SUMIFS('04_Log_Accesos'!$L$6:$L$705,'04_Log_Accesos'!$B$6:$B$705,A11))</f>
        <v/>
      </c>
      <c r="M11" s="26" t="str">
        <f t="shared" si="2"/>
        <v/>
      </c>
      <c r="N11" s="27" t="str">
        <f>IF(OR(A11="",B11&lt;&gt;"GE"),"",K11/'01_Ficha_Dosis'!$C$27)</f>
        <v/>
      </c>
      <c r="O11" s="25" t="str">
        <f>IF(N11="","",IF(N11&gt;='01_Ficha_Dosis'!$C$31,"Dosis completa","Bajo umbral"))</f>
        <v/>
      </c>
    </row>
    <row r="12">
      <c r="A12" s="12" t="str">
        <f>IF('02_Participantes'!B12="","",'02_Participantes'!B12)</f>
        <v/>
      </c>
      <c r="B12" s="12" t="str">
        <f>IF(A12="","",'02_Participantes'!C12)</f>
        <v/>
      </c>
      <c r="C12" s="12" t="str">
        <f>IF(OR(A12="",1&gt;'01_Ficha_Dosis'!$C$16),"",COUNTIFS('04_Log_Accesos'!$B$6:$B$705,A12,'04_Log_Accesos'!$I$6:$I$705,1,'04_Log_Accesos'!$K$6:$K$705,1))</f>
        <v/>
      </c>
      <c r="D12" s="12" t="str">
        <f>IF(OR(A12="",2&gt;'01_Ficha_Dosis'!$C$16),"",COUNTIFS('04_Log_Accesos'!$B$6:$B$705,A12,'04_Log_Accesos'!$I$6:$I$705,2,'04_Log_Accesos'!$K$6:$K$705,1))</f>
        <v/>
      </c>
      <c r="E12" s="12" t="str">
        <f>IF(OR(A12="",3&gt;'01_Ficha_Dosis'!$C$16),"",COUNTIFS('04_Log_Accesos'!$B$6:$B$705,A12,'04_Log_Accesos'!$I$6:$I$705,3,'04_Log_Accesos'!$K$6:$K$705,1))</f>
        <v/>
      </c>
      <c r="F12" s="12" t="str">
        <f>IF(OR(A12="",4&gt;'01_Ficha_Dosis'!$C$16),"",COUNTIFS('04_Log_Accesos'!$B$6:$B$705,A12,'04_Log_Accesos'!$I$6:$I$705,4,'04_Log_Accesos'!$K$6:$K$705,1))</f>
        <v/>
      </c>
      <c r="G12" s="12" t="str">
        <f>IF(OR(A12="",5&gt;'01_Ficha_Dosis'!$C$16),"",COUNTIFS('04_Log_Accesos'!$B$6:$B$705,A12,'04_Log_Accesos'!$I$6:$I$705,5,'04_Log_Accesos'!$K$6:$K$705,1))</f>
        <v/>
      </c>
      <c r="H12" s="12" t="str">
        <f>IF(OR(A12="",6&gt;'01_Ficha_Dosis'!$C$16),"",COUNTIFS('04_Log_Accesos'!$B$6:$B$705,A12,'04_Log_Accesos'!$I$6:$I$705,6,'04_Log_Accesos'!$K$6:$K$705,1))</f>
        <v/>
      </c>
      <c r="I12" s="12" t="str">
        <f>IF(OR(A12="",7&gt;'01_Ficha_Dosis'!$C$16),"",COUNTIFS('04_Log_Accesos'!$B$6:$B$705,A12,'04_Log_Accesos'!$I$6:$I$705,7,'04_Log_Accesos'!$K$6:$K$705,1))</f>
        <v/>
      </c>
      <c r="J12" s="12" t="str">
        <f>IF(OR(A12="",8&gt;'01_Ficha_Dosis'!$C$16),"",COUNTIFS('04_Log_Accesos'!$B$6:$B$705,A12,'04_Log_Accesos'!$I$6:$I$705,8,'04_Log_Accesos'!$K$6:$K$705,1))</f>
        <v/>
      </c>
      <c r="K12" s="25" t="str">
        <f t="shared" si="1"/>
        <v/>
      </c>
      <c r="L12" s="25" t="str">
        <f>IF(A12="","",SUMIFS('04_Log_Accesos'!$L$6:$L$705,'04_Log_Accesos'!$B$6:$B$705,A12))</f>
        <v/>
      </c>
      <c r="M12" s="26" t="str">
        <f t="shared" si="2"/>
        <v/>
      </c>
      <c r="N12" s="27" t="str">
        <f>IF(OR(A12="",B12&lt;&gt;"GE"),"",K12/'01_Ficha_Dosis'!$C$27)</f>
        <v/>
      </c>
      <c r="O12" s="25" t="str">
        <f>IF(N12="","",IF(N12&gt;='01_Ficha_Dosis'!$C$31,"Dosis completa","Bajo umbral"))</f>
        <v/>
      </c>
    </row>
    <row r="13">
      <c r="A13" s="12" t="str">
        <f>IF('02_Participantes'!B13="","",'02_Participantes'!B13)</f>
        <v/>
      </c>
      <c r="B13" s="12" t="str">
        <f>IF(A13="","",'02_Participantes'!C13)</f>
        <v/>
      </c>
      <c r="C13" s="12" t="str">
        <f>IF(OR(A13="",1&gt;'01_Ficha_Dosis'!$C$16),"",COUNTIFS('04_Log_Accesos'!$B$6:$B$705,A13,'04_Log_Accesos'!$I$6:$I$705,1,'04_Log_Accesos'!$K$6:$K$705,1))</f>
        <v/>
      </c>
      <c r="D13" s="12" t="str">
        <f>IF(OR(A13="",2&gt;'01_Ficha_Dosis'!$C$16),"",COUNTIFS('04_Log_Accesos'!$B$6:$B$705,A13,'04_Log_Accesos'!$I$6:$I$705,2,'04_Log_Accesos'!$K$6:$K$705,1))</f>
        <v/>
      </c>
      <c r="E13" s="12" t="str">
        <f>IF(OR(A13="",3&gt;'01_Ficha_Dosis'!$C$16),"",COUNTIFS('04_Log_Accesos'!$B$6:$B$705,A13,'04_Log_Accesos'!$I$6:$I$705,3,'04_Log_Accesos'!$K$6:$K$705,1))</f>
        <v/>
      </c>
      <c r="F13" s="12" t="str">
        <f>IF(OR(A13="",4&gt;'01_Ficha_Dosis'!$C$16),"",COUNTIFS('04_Log_Accesos'!$B$6:$B$705,A13,'04_Log_Accesos'!$I$6:$I$705,4,'04_Log_Accesos'!$K$6:$K$705,1))</f>
        <v/>
      </c>
      <c r="G13" s="12" t="str">
        <f>IF(OR(A13="",5&gt;'01_Ficha_Dosis'!$C$16),"",COUNTIFS('04_Log_Accesos'!$B$6:$B$705,A13,'04_Log_Accesos'!$I$6:$I$705,5,'04_Log_Accesos'!$K$6:$K$705,1))</f>
        <v/>
      </c>
      <c r="H13" s="12" t="str">
        <f>IF(OR(A13="",6&gt;'01_Ficha_Dosis'!$C$16),"",COUNTIFS('04_Log_Accesos'!$B$6:$B$705,A13,'04_Log_Accesos'!$I$6:$I$705,6,'04_Log_Accesos'!$K$6:$K$705,1))</f>
        <v/>
      </c>
      <c r="I13" s="12" t="str">
        <f>IF(OR(A13="",7&gt;'01_Ficha_Dosis'!$C$16),"",COUNTIFS('04_Log_Accesos'!$B$6:$B$705,A13,'04_Log_Accesos'!$I$6:$I$705,7,'04_Log_Accesos'!$K$6:$K$705,1))</f>
        <v/>
      </c>
      <c r="J13" s="12" t="str">
        <f>IF(OR(A13="",8&gt;'01_Ficha_Dosis'!$C$16),"",COUNTIFS('04_Log_Accesos'!$B$6:$B$705,A13,'04_Log_Accesos'!$I$6:$I$705,8,'04_Log_Accesos'!$K$6:$K$705,1))</f>
        <v/>
      </c>
      <c r="K13" s="25" t="str">
        <f t="shared" si="1"/>
        <v/>
      </c>
      <c r="L13" s="25" t="str">
        <f>IF(A13="","",SUMIFS('04_Log_Accesos'!$L$6:$L$705,'04_Log_Accesos'!$B$6:$B$705,A13))</f>
        <v/>
      </c>
      <c r="M13" s="26" t="str">
        <f t="shared" si="2"/>
        <v/>
      </c>
      <c r="N13" s="27" t="str">
        <f>IF(OR(A13="",B13&lt;&gt;"GE"),"",K13/'01_Ficha_Dosis'!$C$27)</f>
        <v/>
      </c>
      <c r="O13" s="25" t="str">
        <f>IF(N13="","",IF(N13&gt;='01_Ficha_Dosis'!$C$31,"Dosis completa","Bajo umbral"))</f>
        <v/>
      </c>
    </row>
    <row r="14">
      <c r="A14" s="12" t="str">
        <f>IF('02_Participantes'!B14="","",'02_Participantes'!B14)</f>
        <v/>
      </c>
      <c r="B14" s="12" t="str">
        <f>IF(A14="","",'02_Participantes'!C14)</f>
        <v/>
      </c>
      <c r="C14" s="12" t="str">
        <f>IF(OR(A14="",1&gt;'01_Ficha_Dosis'!$C$16),"",COUNTIFS('04_Log_Accesos'!$B$6:$B$705,A14,'04_Log_Accesos'!$I$6:$I$705,1,'04_Log_Accesos'!$K$6:$K$705,1))</f>
        <v/>
      </c>
      <c r="D14" s="12" t="str">
        <f>IF(OR(A14="",2&gt;'01_Ficha_Dosis'!$C$16),"",COUNTIFS('04_Log_Accesos'!$B$6:$B$705,A14,'04_Log_Accesos'!$I$6:$I$705,2,'04_Log_Accesos'!$K$6:$K$705,1))</f>
        <v/>
      </c>
      <c r="E14" s="12" t="str">
        <f>IF(OR(A14="",3&gt;'01_Ficha_Dosis'!$C$16),"",COUNTIFS('04_Log_Accesos'!$B$6:$B$705,A14,'04_Log_Accesos'!$I$6:$I$705,3,'04_Log_Accesos'!$K$6:$K$705,1))</f>
        <v/>
      </c>
      <c r="F14" s="12" t="str">
        <f>IF(OR(A14="",4&gt;'01_Ficha_Dosis'!$C$16),"",COUNTIFS('04_Log_Accesos'!$B$6:$B$705,A14,'04_Log_Accesos'!$I$6:$I$705,4,'04_Log_Accesos'!$K$6:$K$705,1))</f>
        <v/>
      </c>
      <c r="G14" s="12" t="str">
        <f>IF(OR(A14="",5&gt;'01_Ficha_Dosis'!$C$16),"",COUNTIFS('04_Log_Accesos'!$B$6:$B$705,A14,'04_Log_Accesos'!$I$6:$I$705,5,'04_Log_Accesos'!$K$6:$K$705,1))</f>
        <v/>
      </c>
      <c r="H14" s="12" t="str">
        <f>IF(OR(A14="",6&gt;'01_Ficha_Dosis'!$C$16),"",COUNTIFS('04_Log_Accesos'!$B$6:$B$705,A14,'04_Log_Accesos'!$I$6:$I$705,6,'04_Log_Accesos'!$K$6:$K$705,1))</f>
        <v/>
      </c>
      <c r="I14" s="12" t="str">
        <f>IF(OR(A14="",7&gt;'01_Ficha_Dosis'!$C$16),"",COUNTIFS('04_Log_Accesos'!$B$6:$B$705,A14,'04_Log_Accesos'!$I$6:$I$705,7,'04_Log_Accesos'!$K$6:$K$705,1))</f>
        <v/>
      </c>
      <c r="J14" s="12" t="str">
        <f>IF(OR(A14="",8&gt;'01_Ficha_Dosis'!$C$16),"",COUNTIFS('04_Log_Accesos'!$B$6:$B$705,A14,'04_Log_Accesos'!$I$6:$I$705,8,'04_Log_Accesos'!$K$6:$K$705,1))</f>
        <v/>
      </c>
      <c r="K14" s="25" t="str">
        <f t="shared" si="1"/>
        <v/>
      </c>
      <c r="L14" s="25" t="str">
        <f>IF(A14="","",SUMIFS('04_Log_Accesos'!$L$6:$L$705,'04_Log_Accesos'!$B$6:$B$705,A14))</f>
        <v/>
      </c>
      <c r="M14" s="26" t="str">
        <f t="shared" si="2"/>
        <v/>
      </c>
      <c r="N14" s="27" t="str">
        <f>IF(OR(A14="",B14&lt;&gt;"GE"),"",K14/'01_Ficha_Dosis'!$C$27)</f>
        <v/>
      </c>
      <c r="O14" s="25" t="str">
        <f>IF(N14="","",IF(N14&gt;='01_Ficha_Dosis'!$C$31,"Dosis completa","Bajo umbral"))</f>
        <v/>
      </c>
    </row>
    <row r="15">
      <c r="A15" s="12" t="str">
        <f>IF('02_Participantes'!B15="","",'02_Participantes'!B15)</f>
        <v/>
      </c>
      <c r="B15" s="12" t="str">
        <f>IF(A15="","",'02_Participantes'!C15)</f>
        <v/>
      </c>
      <c r="C15" s="12" t="str">
        <f>IF(OR(A15="",1&gt;'01_Ficha_Dosis'!$C$16),"",COUNTIFS('04_Log_Accesos'!$B$6:$B$705,A15,'04_Log_Accesos'!$I$6:$I$705,1,'04_Log_Accesos'!$K$6:$K$705,1))</f>
        <v/>
      </c>
      <c r="D15" s="12" t="str">
        <f>IF(OR(A15="",2&gt;'01_Ficha_Dosis'!$C$16),"",COUNTIFS('04_Log_Accesos'!$B$6:$B$705,A15,'04_Log_Accesos'!$I$6:$I$705,2,'04_Log_Accesos'!$K$6:$K$705,1))</f>
        <v/>
      </c>
      <c r="E15" s="12" t="str">
        <f>IF(OR(A15="",3&gt;'01_Ficha_Dosis'!$C$16),"",COUNTIFS('04_Log_Accesos'!$B$6:$B$705,A15,'04_Log_Accesos'!$I$6:$I$705,3,'04_Log_Accesos'!$K$6:$K$705,1))</f>
        <v/>
      </c>
      <c r="F15" s="12" t="str">
        <f>IF(OR(A15="",4&gt;'01_Ficha_Dosis'!$C$16),"",COUNTIFS('04_Log_Accesos'!$B$6:$B$705,A15,'04_Log_Accesos'!$I$6:$I$705,4,'04_Log_Accesos'!$K$6:$K$705,1))</f>
        <v/>
      </c>
      <c r="G15" s="12" t="str">
        <f>IF(OR(A15="",5&gt;'01_Ficha_Dosis'!$C$16),"",COUNTIFS('04_Log_Accesos'!$B$6:$B$705,A15,'04_Log_Accesos'!$I$6:$I$705,5,'04_Log_Accesos'!$K$6:$K$705,1))</f>
        <v/>
      </c>
      <c r="H15" s="12" t="str">
        <f>IF(OR(A15="",6&gt;'01_Ficha_Dosis'!$C$16),"",COUNTIFS('04_Log_Accesos'!$B$6:$B$705,A15,'04_Log_Accesos'!$I$6:$I$705,6,'04_Log_Accesos'!$K$6:$K$705,1))</f>
        <v/>
      </c>
      <c r="I15" s="12" t="str">
        <f>IF(OR(A15="",7&gt;'01_Ficha_Dosis'!$C$16),"",COUNTIFS('04_Log_Accesos'!$B$6:$B$705,A15,'04_Log_Accesos'!$I$6:$I$705,7,'04_Log_Accesos'!$K$6:$K$705,1))</f>
        <v/>
      </c>
      <c r="J15" s="12" t="str">
        <f>IF(OR(A15="",8&gt;'01_Ficha_Dosis'!$C$16),"",COUNTIFS('04_Log_Accesos'!$B$6:$B$705,A15,'04_Log_Accesos'!$I$6:$I$705,8,'04_Log_Accesos'!$K$6:$K$705,1))</f>
        <v/>
      </c>
      <c r="K15" s="25" t="str">
        <f t="shared" si="1"/>
        <v/>
      </c>
      <c r="L15" s="25" t="str">
        <f>IF(A15="","",SUMIFS('04_Log_Accesos'!$L$6:$L$705,'04_Log_Accesos'!$B$6:$B$705,A15))</f>
        <v/>
      </c>
      <c r="M15" s="26" t="str">
        <f t="shared" si="2"/>
        <v/>
      </c>
      <c r="N15" s="27" t="str">
        <f>IF(OR(A15="",B15&lt;&gt;"GE"),"",K15/'01_Ficha_Dosis'!$C$27)</f>
        <v/>
      </c>
      <c r="O15" s="25" t="str">
        <f>IF(N15="","",IF(N15&gt;='01_Ficha_Dosis'!$C$31,"Dosis completa","Bajo umbral"))</f>
        <v/>
      </c>
    </row>
    <row r="16">
      <c r="A16" s="12" t="str">
        <f>IF('02_Participantes'!B16="","",'02_Participantes'!B16)</f>
        <v/>
      </c>
      <c r="B16" s="12" t="str">
        <f>IF(A16="","",'02_Participantes'!C16)</f>
        <v/>
      </c>
      <c r="C16" s="12" t="str">
        <f>IF(OR(A16="",1&gt;'01_Ficha_Dosis'!$C$16),"",COUNTIFS('04_Log_Accesos'!$B$6:$B$705,A16,'04_Log_Accesos'!$I$6:$I$705,1,'04_Log_Accesos'!$K$6:$K$705,1))</f>
        <v/>
      </c>
      <c r="D16" s="12" t="str">
        <f>IF(OR(A16="",2&gt;'01_Ficha_Dosis'!$C$16),"",COUNTIFS('04_Log_Accesos'!$B$6:$B$705,A16,'04_Log_Accesos'!$I$6:$I$705,2,'04_Log_Accesos'!$K$6:$K$705,1))</f>
        <v/>
      </c>
      <c r="E16" s="12" t="str">
        <f>IF(OR(A16="",3&gt;'01_Ficha_Dosis'!$C$16),"",COUNTIFS('04_Log_Accesos'!$B$6:$B$705,A16,'04_Log_Accesos'!$I$6:$I$705,3,'04_Log_Accesos'!$K$6:$K$705,1))</f>
        <v/>
      </c>
      <c r="F16" s="12" t="str">
        <f>IF(OR(A16="",4&gt;'01_Ficha_Dosis'!$C$16),"",COUNTIFS('04_Log_Accesos'!$B$6:$B$705,A16,'04_Log_Accesos'!$I$6:$I$705,4,'04_Log_Accesos'!$K$6:$K$705,1))</f>
        <v/>
      </c>
      <c r="G16" s="12" t="str">
        <f>IF(OR(A16="",5&gt;'01_Ficha_Dosis'!$C$16),"",COUNTIFS('04_Log_Accesos'!$B$6:$B$705,A16,'04_Log_Accesos'!$I$6:$I$705,5,'04_Log_Accesos'!$K$6:$K$705,1))</f>
        <v/>
      </c>
      <c r="H16" s="12" t="str">
        <f>IF(OR(A16="",6&gt;'01_Ficha_Dosis'!$C$16),"",COUNTIFS('04_Log_Accesos'!$B$6:$B$705,A16,'04_Log_Accesos'!$I$6:$I$705,6,'04_Log_Accesos'!$K$6:$K$705,1))</f>
        <v/>
      </c>
      <c r="I16" s="12" t="str">
        <f>IF(OR(A16="",7&gt;'01_Ficha_Dosis'!$C$16),"",COUNTIFS('04_Log_Accesos'!$B$6:$B$705,A16,'04_Log_Accesos'!$I$6:$I$705,7,'04_Log_Accesos'!$K$6:$K$705,1))</f>
        <v/>
      </c>
      <c r="J16" s="12" t="str">
        <f>IF(OR(A16="",8&gt;'01_Ficha_Dosis'!$C$16),"",COUNTIFS('04_Log_Accesos'!$B$6:$B$705,A16,'04_Log_Accesos'!$I$6:$I$705,8,'04_Log_Accesos'!$K$6:$K$705,1))</f>
        <v/>
      </c>
      <c r="K16" s="25" t="str">
        <f t="shared" si="1"/>
        <v/>
      </c>
      <c r="L16" s="25" t="str">
        <f>IF(A16="","",SUMIFS('04_Log_Accesos'!$L$6:$L$705,'04_Log_Accesos'!$B$6:$B$705,A16))</f>
        <v/>
      </c>
      <c r="M16" s="26" t="str">
        <f t="shared" si="2"/>
        <v/>
      </c>
      <c r="N16" s="27" t="str">
        <f>IF(OR(A16="",B16&lt;&gt;"GE"),"",K16/'01_Ficha_Dosis'!$C$27)</f>
        <v/>
      </c>
      <c r="O16" s="25" t="str">
        <f>IF(N16="","",IF(N16&gt;='01_Ficha_Dosis'!$C$31,"Dosis completa","Bajo umbral"))</f>
        <v/>
      </c>
    </row>
    <row r="17">
      <c r="A17" s="12" t="str">
        <f>IF('02_Participantes'!B17="","",'02_Participantes'!B17)</f>
        <v/>
      </c>
      <c r="B17" s="12" t="str">
        <f>IF(A17="","",'02_Participantes'!C17)</f>
        <v/>
      </c>
      <c r="C17" s="12" t="str">
        <f>IF(OR(A17="",1&gt;'01_Ficha_Dosis'!$C$16),"",COUNTIFS('04_Log_Accesos'!$B$6:$B$705,A17,'04_Log_Accesos'!$I$6:$I$705,1,'04_Log_Accesos'!$K$6:$K$705,1))</f>
        <v/>
      </c>
      <c r="D17" s="12" t="str">
        <f>IF(OR(A17="",2&gt;'01_Ficha_Dosis'!$C$16),"",COUNTIFS('04_Log_Accesos'!$B$6:$B$705,A17,'04_Log_Accesos'!$I$6:$I$705,2,'04_Log_Accesos'!$K$6:$K$705,1))</f>
        <v/>
      </c>
      <c r="E17" s="12" t="str">
        <f>IF(OR(A17="",3&gt;'01_Ficha_Dosis'!$C$16),"",COUNTIFS('04_Log_Accesos'!$B$6:$B$705,A17,'04_Log_Accesos'!$I$6:$I$705,3,'04_Log_Accesos'!$K$6:$K$705,1))</f>
        <v/>
      </c>
      <c r="F17" s="12" t="str">
        <f>IF(OR(A17="",4&gt;'01_Ficha_Dosis'!$C$16),"",COUNTIFS('04_Log_Accesos'!$B$6:$B$705,A17,'04_Log_Accesos'!$I$6:$I$705,4,'04_Log_Accesos'!$K$6:$K$705,1))</f>
        <v/>
      </c>
      <c r="G17" s="12" t="str">
        <f>IF(OR(A17="",5&gt;'01_Ficha_Dosis'!$C$16),"",COUNTIFS('04_Log_Accesos'!$B$6:$B$705,A17,'04_Log_Accesos'!$I$6:$I$705,5,'04_Log_Accesos'!$K$6:$K$705,1))</f>
        <v/>
      </c>
      <c r="H17" s="12" t="str">
        <f>IF(OR(A17="",6&gt;'01_Ficha_Dosis'!$C$16),"",COUNTIFS('04_Log_Accesos'!$B$6:$B$705,A17,'04_Log_Accesos'!$I$6:$I$705,6,'04_Log_Accesos'!$K$6:$K$705,1))</f>
        <v/>
      </c>
      <c r="I17" s="12" t="str">
        <f>IF(OR(A17="",7&gt;'01_Ficha_Dosis'!$C$16),"",COUNTIFS('04_Log_Accesos'!$B$6:$B$705,A17,'04_Log_Accesos'!$I$6:$I$705,7,'04_Log_Accesos'!$K$6:$K$705,1))</f>
        <v/>
      </c>
      <c r="J17" s="12" t="str">
        <f>IF(OR(A17="",8&gt;'01_Ficha_Dosis'!$C$16),"",COUNTIFS('04_Log_Accesos'!$B$6:$B$705,A17,'04_Log_Accesos'!$I$6:$I$705,8,'04_Log_Accesos'!$K$6:$K$705,1))</f>
        <v/>
      </c>
      <c r="K17" s="25" t="str">
        <f t="shared" si="1"/>
        <v/>
      </c>
      <c r="L17" s="25" t="str">
        <f>IF(A17="","",SUMIFS('04_Log_Accesos'!$L$6:$L$705,'04_Log_Accesos'!$B$6:$B$705,A17))</f>
        <v/>
      </c>
      <c r="M17" s="26" t="str">
        <f t="shared" si="2"/>
        <v/>
      </c>
      <c r="N17" s="27" t="str">
        <f>IF(OR(A17="",B17&lt;&gt;"GE"),"",K17/'01_Ficha_Dosis'!$C$27)</f>
        <v/>
      </c>
      <c r="O17" s="25" t="str">
        <f>IF(N17="","",IF(N17&gt;='01_Ficha_Dosis'!$C$31,"Dosis completa","Bajo umbral"))</f>
        <v/>
      </c>
    </row>
    <row r="18">
      <c r="A18" s="12" t="str">
        <f>IF('02_Participantes'!B18="","",'02_Participantes'!B18)</f>
        <v/>
      </c>
      <c r="B18" s="12" t="str">
        <f>IF(A18="","",'02_Participantes'!C18)</f>
        <v/>
      </c>
      <c r="C18" s="12" t="str">
        <f>IF(OR(A18="",1&gt;'01_Ficha_Dosis'!$C$16),"",COUNTIFS('04_Log_Accesos'!$B$6:$B$705,A18,'04_Log_Accesos'!$I$6:$I$705,1,'04_Log_Accesos'!$K$6:$K$705,1))</f>
        <v/>
      </c>
      <c r="D18" s="12" t="str">
        <f>IF(OR(A18="",2&gt;'01_Ficha_Dosis'!$C$16),"",COUNTIFS('04_Log_Accesos'!$B$6:$B$705,A18,'04_Log_Accesos'!$I$6:$I$705,2,'04_Log_Accesos'!$K$6:$K$705,1))</f>
        <v/>
      </c>
      <c r="E18" s="12" t="str">
        <f>IF(OR(A18="",3&gt;'01_Ficha_Dosis'!$C$16),"",COUNTIFS('04_Log_Accesos'!$B$6:$B$705,A18,'04_Log_Accesos'!$I$6:$I$705,3,'04_Log_Accesos'!$K$6:$K$705,1))</f>
        <v/>
      </c>
      <c r="F18" s="12" t="str">
        <f>IF(OR(A18="",4&gt;'01_Ficha_Dosis'!$C$16),"",COUNTIFS('04_Log_Accesos'!$B$6:$B$705,A18,'04_Log_Accesos'!$I$6:$I$705,4,'04_Log_Accesos'!$K$6:$K$705,1))</f>
        <v/>
      </c>
      <c r="G18" s="12" t="str">
        <f>IF(OR(A18="",5&gt;'01_Ficha_Dosis'!$C$16),"",COUNTIFS('04_Log_Accesos'!$B$6:$B$705,A18,'04_Log_Accesos'!$I$6:$I$705,5,'04_Log_Accesos'!$K$6:$K$705,1))</f>
        <v/>
      </c>
      <c r="H18" s="12" t="str">
        <f>IF(OR(A18="",6&gt;'01_Ficha_Dosis'!$C$16),"",COUNTIFS('04_Log_Accesos'!$B$6:$B$705,A18,'04_Log_Accesos'!$I$6:$I$705,6,'04_Log_Accesos'!$K$6:$K$705,1))</f>
        <v/>
      </c>
      <c r="I18" s="12" t="str">
        <f>IF(OR(A18="",7&gt;'01_Ficha_Dosis'!$C$16),"",COUNTIFS('04_Log_Accesos'!$B$6:$B$705,A18,'04_Log_Accesos'!$I$6:$I$705,7,'04_Log_Accesos'!$K$6:$K$705,1))</f>
        <v/>
      </c>
      <c r="J18" s="12" t="str">
        <f>IF(OR(A18="",8&gt;'01_Ficha_Dosis'!$C$16),"",COUNTIFS('04_Log_Accesos'!$B$6:$B$705,A18,'04_Log_Accesos'!$I$6:$I$705,8,'04_Log_Accesos'!$K$6:$K$705,1))</f>
        <v/>
      </c>
      <c r="K18" s="25" t="str">
        <f t="shared" si="1"/>
        <v/>
      </c>
      <c r="L18" s="25" t="str">
        <f>IF(A18="","",SUMIFS('04_Log_Accesos'!$L$6:$L$705,'04_Log_Accesos'!$B$6:$B$705,A18))</f>
        <v/>
      </c>
      <c r="M18" s="26" t="str">
        <f t="shared" si="2"/>
        <v/>
      </c>
      <c r="N18" s="27" t="str">
        <f>IF(OR(A18="",B18&lt;&gt;"GE"),"",K18/'01_Ficha_Dosis'!$C$27)</f>
        <v/>
      </c>
      <c r="O18" s="25" t="str">
        <f>IF(N18="","",IF(N18&gt;='01_Ficha_Dosis'!$C$31,"Dosis completa","Bajo umbral"))</f>
        <v/>
      </c>
    </row>
    <row r="19">
      <c r="A19" s="12" t="str">
        <f>IF('02_Participantes'!B19="","",'02_Participantes'!B19)</f>
        <v/>
      </c>
      <c r="B19" s="12" t="str">
        <f>IF(A19="","",'02_Participantes'!C19)</f>
        <v/>
      </c>
      <c r="C19" s="12" t="str">
        <f>IF(OR(A19="",1&gt;'01_Ficha_Dosis'!$C$16),"",COUNTIFS('04_Log_Accesos'!$B$6:$B$705,A19,'04_Log_Accesos'!$I$6:$I$705,1,'04_Log_Accesos'!$K$6:$K$705,1))</f>
        <v/>
      </c>
      <c r="D19" s="12" t="str">
        <f>IF(OR(A19="",2&gt;'01_Ficha_Dosis'!$C$16),"",COUNTIFS('04_Log_Accesos'!$B$6:$B$705,A19,'04_Log_Accesos'!$I$6:$I$705,2,'04_Log_Accesos'!$K$6:$K$705,1))</f>
        <v/>
      </c>
      <c r="E19" s="12" t="str">
        <f>IF(OR(A19="",3&gt;'01_Ficha_Dosis'!$C$16),"",COUNTIFS('04_Log_Accesos'!$B$6:$B$705,A19,'04_Log_Accesos'!$I$6:$I$705,3,'04_Log_Accesos'!$K$6:$K$705,1))</f>
        <v/>
      </c>
      <c r="F19" s="12" t="str">
        <f>IF(OR(A19="",4&gt;'01_Ficha_Dosis'!$C$16),"",COUNTIFS('04_Log_Accesos'!$B$6:$B$705,A19,'04_Log_Accesos'!$I$6:$I$705,4,'04_Log_Accesos'!$K$6:$K$705,1))</f>
        <v/>
      </c>
      <c r="G19" s="12" t="str">
        <f>IF(OR(A19="",5&gt;'01_Ficha_Dosis'!$C$16),"",COUNTIFS('04_Log_Accesos'!$B$6:$B$705,A19,'04_Log_Accesos'!$I$6:$I$705,5,'04_Log_Accesos'!$K$6:$K$705,1))</f>
        <v/>
      </c>
      <c r="H19" s="12" t="str">
        <f>IF(OR(A19="",6&gt;'01_Ficha_Dosis'!$C$16),"",COUNTIFS('04_Log_Accesos'!$B$6:$B$705,A19,'04_Log_Accesos'!$I$6:$I$705,6,'04_Log_Accesos'!$K$6:$K$705,1))</f>
        <v/>
      </c>
      <c r="I19" s="12" t="str">
        <f>IF(OR(A19="",7&gt;'01_Ficha_Dosis'!$C$16),"",COUNTIFS('04_Log_Accesos'!$B$6:$B$705,A19,'04_Log_Accesos'!$I$6:$I$705,7,'04_Log_Accesos'!$K$6:$K$705,1))</f>
        <v/>
      </c>
      <c r="J19" s="12" t="str">
        <f>IF(OR(A19="",8&gt;'01_Ficha_Dosis'!$C$16),"",COUNTIFS('04_Log_Accesos'!$B$6:$B$705,A19,'04_Log_Accesos'!$I$6:$I$705,8,'04_Log_Accesos'!$K$6:$K$705,1))</f>
        <v/>
      </c>
      <c r="K19" s="25" t="str">
        <f t="shared" si="1"/>
        <v/>
      </c>
      <c r="L19" s="25" t="str">
        <f>IF(A19="","",SUMIFS('04_Log_Accesos'!$L$6:$L$705,'04_Log_Accesos'!$B$6:$B$705,A19))</f>
        <v/>
      </c>
      <c r="M19" s="26" t="str">
        <f t="shared" si="2"/>
        <v/>
      </c>
      <c r="N19" s="27" t="str">
        <f>IF(OR(A19="",B19&lt;&gt;"GE"),"",K19/'01_Ficha_Dosis'!$C$27)</f>
        <v/>
      </c>
      <c r="O19" s="25" t="str">
        <f>IF(N19="","",IF(N19&gt;='01_Ficha_Dosis'!$C$31,"Dosis completa","Bajo umbral"))</f>
        <v/>
      </c>
    </row>
    <row r="20">
      <c r="A20" s="12" t="str">
        <f>IF('02_Participantes'!B20="","",'02_Participantes'!B20)</f>
        <v/>
      </c>
      <c r="B20" s="12" t="str">
        <f>IF(A20="","",'02_Participantes'!C20)</f>
        <v/>
      </c>
      <c r="C20" s="12" t="str">
        <f>IF(OR(A20="",1&gt;'01_Ficha_Dosis'!$C$16),"",COUNTIFS('04_Log_Accesos'!$B$6:$B$705,A20,'04_Log_Accesos'!$I$6:$I$705,1,'04_Log_Accesos'!$K$6:$K$705,1))</f>
        <v/>
      </c>
      <c r="D20" s="12" t="str">
        <f>IF(OR(A20="",2&gt;'01_Ficha_Dosis'!$C$16),"",COUNTIFS('04_Log_Accesos'!$B$6:$B$705,A20,'04_Log_Accesos'!$I$6:$I$705,2,'04_Log_Accesos'!$K$6:$K$705,1))</f>
        <v/>
      </c>
      <c r="E20" s="12" t="str">
        <f>IF(OR(A20="",3&gt;'01_Ficha_Dosis'!$C$16),"",COUNTIFS('04_Log_Accesos'!$B$6:$B$705,A20,'04_Log_Accesos'!$I$6:$I$705,3,'04_Log_Accesos'!$K$6:$K$705,1))</f>
        <v/>
      </c>
      <c r="F20" s="12" t="str">
        <f>IF(OR(A20="",4&gt;'01_Ficha_Dosis'!$C$16),"",COUNTIFS('04_Log_Accesos'!$B$6:$B$705,A20,'04_Log_Accesos'!$I$6:$I$705,4,'04_Log_Accesos'!$K$6:$K$705,1))</f>
        <v/>
      </c>
      <c r="G20" s="12" t="str">
        <f>IF(OR(A20="",5&gt;'01_Ficha_Dosis'!$C$16),"",COUNTIFS('04_Log_Accesos'!$B$6:$B$705,A20,'04_Log_Accesos'!$I$6:$I$705,5,'04_Log_Accesos'!$K$6:$K$705,1))</f>
        <v/>
      </c>
      <c r="H20" s="12" t="str">
        <f>IF(OR(A20="",6&gt;'01_Ficha_Dosis'!$C$16),"",COUNTIFS('04_Log_Accesos'!$B$6:$B$705,A20,'04_Log_Accesos'!$I$6:$I$705,6,'04_Log_Accesos'!$K$6:$K$705,1))</f>
        <v/>
      </c>
      <c r="I20" s="12" t="str">
        <f>IF(OR(A20="",7&gt;'01_Ficha_Dosis'!$C$16),"",COUNTIFS('04_Log_Accesos'!$B$6:$B$705,A20,'04_Log_Accesos'!$I$6:$I$705,7,'04_Log_Accesos'!$K$6:$K$705,1))</f>
        <v/>
      </c>
      <c r="J20" s="12" t="str">
        <f>IF(OR(A20="",8&gt;'01_Ficha_Dosis'!$C$16),"",COUNTIFS('04_Log_Accesos'!$B$6:$B$705,A20,'04_Log_Accesos'!$I$6:$I$705,8,'04_Log_Accesos'!$K$6:$K$705,1))</f>
        <v/>
      </c>
      <c r="K20" s="25" t="str">
        <f t="shared" si="1"/>
        <v/>
      </c>
      <c r="L20" s="25" t="str">
        <f>IF(A20="","",SUMIFS('04_Log_Accesos'!$L$6:$L$705,'04_Log_Accesos'!$B$6:$B$705,A20))</f>
        <v/>
      </c>
      <c r="M20" s="26" t="str">
        <f t="shared" si="2"/>
        <v/>
      </c>
      <c r="N20" s="27" t="str">
        <f>IF(OR(A20="",B20&lt;&gt;"GE"),"",K20/'01_Ficha_Dosis'!$C$27)</f>
        <v/>
      </c>
      <c r="O20" s="25" t="str">
        <f>IF(N20="","",IF(N20&gt;='01_Ficha_Dosis'!$C$31,"Dosis completa","Bajo umbral"))</f>
        <v/>
      </c>
    </row>
    <row r="21" ht="15.75" customHeight="1">
      <c r="A21" s="12" t="str">
        <f>IF('02_Participantes'!B21="","",'02_Participantes'!B21)</f>
        <v/>
      </c>
      <c r="B21" s="12" t="str">
        <f>IF(A21="","",'02_Participantes'!C21)</f>
        <v/>
      </c>
      <c r="C21" s="12" t="str">
        <f>IF(OR(A21="",1&gt;'01_Ficha_Dosis'!$C$16),"",COUNTIFS('04_Log_Accesos'!$B$6:$B$705,A21,'04_Log_Accesos'!$I$6:$I$705,1,'04_Log_Accesos'!$K$6:$K$705,1))</f>
        <v/>
      </c>
      <c r="D21" s="12" t="str">
        <f>IF(OR(A21="",2&gt;'01_Ficha_Dosis'!$C$16),"",COUNTIFS('04_Log_Accesos'!$B$6:$B$705,A21,'04_Log_Accesos'!$I$6:$I$705,2,'04_Log_Accesos'!$K$6:$K$705,1))</f>
        <v/>
      </c>
      <c r="E21" s="12" t="str">
        <f>IF(OR(A21="",3&gt;'01_Ficha_Dosis'!$C$16),"",COUNTIFS('04_Log_Accesos'!$B$6:$B$705,A21,'04_Log_Accesos'!$I$6:$I$705,3,'04_Log_Accesos'!$K$6:$K$705,1))</f>
        <v/>
      </c>
      <c r="F21" s="12" t="str">
        <f>IF(OR(A21="",4&gt;'01_Ficha_Dosis'!$C$16),"",COUNTIFS('04_Log_Accesos'!$B$6:$B$705,A21,'04_Log_Accesos'!$I$6:$I$705,4,'04_Log_Accesos'!$K$6:$K$705,1))</f>
        <v/>
      </c>
      <c r="G21" s="12" t="str">
        <f>IF(OR(A21="",5&gt;'01_Ficha_Dosis'!$C$16),"",COUNTIFS('04_Log_Accesos'!$B$6:$B$705,A21,'04_Log_Accesos'!$I$6:$I$705,5,'04_Log_Accesos'!$K$6:$K$705,1))</f>
        <v/>
      </c>
      <c r="H21" s="12" t="str">
        <f>IF(OR(A21="",6&gt;'01_Ficha_Dosis'!$C$16),"",COUNTIFS('04_Log_Accesos'!$B$6:$B$705,A21,'04_Log_Accesos'!$I$6:$I$705,6,'04_Log_Accesos'!$K$6:$K$705,1))</f>
        <v/>
      </c>
      <c r="I21" s="12" t="str">
        <f>IF(OR(A21="",7&gt;'01_Ficha_Dosis'!$C$16),"",COUNTIFS('04_Log_Accesos'!$B$6:$B$705,A21,'04_Log_Accesos'!$I$6:$I$705,7,'04_Log_Accesos'!$K$6:$K$705,1))</f>
        <v/>
      </c>
      <c r="J21" s="12" t="str">
        <f>IF(OR(A21="",8&gt;'01_Ficha_Dosis'!$C$16),"",COUNTIFS('04_Log_Accesos'!$B$6:$B$705,A21,'04_Log_Accesos'!$I$6:$I$705,8,'04_Log_Accesos'!$K$6:$K$705,1))</f>
        <v/>
      </c>
      <c r="K21" s="25" t="str">
        <f t="shared" si="1"/>
        <v/>
      </c>
      <c r="L21" s="25" t="str">
        <f>IF(A21="","",SUMIFS('04_Log_Accesos'!$L$6:$L$705,'04_Log_Accesos'!$B$6:$B$705,A21))</f>
        <v/>
      </c>
      <c r="M21" s="26" t="str">
        <f t="shared" si="2"/>
        <v/>
      </c>
      <c r="N21" s="27" t="str">
        <f>IF(OR(A21="",B21&lt;&gt;"GE"),"",K21/'01_Ficha_Dosis'!$C$27)</f>
        <v/>
      </c>
      <c r="O21" s="25" t="str">
        <f>IF(N21="","",IF(N21&gt;='01_Ficha_Dosis'!$C$31,"Dosis completa","Bajo umbral"))</f>
        <v/>
      </c>
    </row>
    <row r="22" ht="15.75" customHeight="1">
      <c r="A22" s="12" t="str">
        <f>IF('02_Participantes'!B22="","",'02_Participantes'!B22)</f>
        <v/>
      </c>
      <c r="B22" s="12" t="str">
        <f>IF(A22="","",'02_Participantes'!C22)</f>
        <v/>
      </c>
      <c r="C22" s="12" t="str">
        <f>IF(OR(A22="",1&gt;'01_Ficha_Dosis'!$C$16),"",COUNTIFS('04_Log_Accesos'!$B$6:$B$705,A22,'04_Log_Accesos'!$I$6:$I$705,1,'04_Log_Accesos'!$K$6:$K$705,1))</f>
        <v/>
      </c>
      <c r="D22" s="12" t="str">
        <f>IF(OR(A22="",2&gt;'01_Ficha_Dosis'!$C$16),"",COUNTIFS('04_Log_Accesos'!$B$6:$B$705,A22,'04_Log_Accesos'!$I$6:$I$705,2,'04_Log_Accesos'!$K$6:$K$705,1))</f>
        <v/>
      </c>
      <c r="E22" s="12" t="str">
        <f>IF(OR(A22="",3&gt;'01_Ficha_Dosis'!$C$16),"",COUNTIFS('04_Log_Accesos'!$B$6:$B$705,A22,'04_Log_Accesos'!$I$6:$I$705,3,'04_Log_Accesos'!$K$6:$K$705,1))</f>
        <v/>
      </c>
      <c r="F22" s="12" t="str">
        <f>IF(OR(A22="",4&gt;'01_Ficha_Dosis'!$C$16),"",COUNTIFS('04_Log_Accesos'!$B$6:$B$705,A22,'04_Log_Accesos'!$I$6:$I$705,4,'04_Log_Accesos'!$K$6:$K$705,1))</f>
        <v/>
      </c>
      <c r="G22" s="12" t="str">
        <f>IF(OR(A22="",5&gt;'01_Ficha_Dosis'!$C$16),"",COUNTIFS('04_Log_Accesos'!$B$6:$B$705,A22,'04_Log_Accesos'!$I$6:$I$705,5,'04_Log_Accesos'!$K$6:$K$705,1))</f>
        <v/>
      </c>
      <c r="H22" s="12" t="str">
        <f>IF(OR(A22="",6&gt;'01_Ficha_Dosis'!$C$16),"",COUNTIFS('04_Log_Accesos'!$B$6:$B$705,A22,'04_Log_Accesos'!$I$6:$I$705,6,'04_Log_Accesos'!$K$6:$K$705,1))</f>
        <v/>
      </c>
      <c r="I22" s="12" t="str">
        <f>IF(OR(A22="",7&gt;'01_Ficha_Dosis'!$C$16),"",COUNTIFS('04_Log_Accesos'!$B$6:$B$705,A22,'04_Log_Accesos'!$I$6:$I$705,7,'04_Log_Accesos'!$K$6:$K$705,1))</f>
        <v/>
      </c>
      <c r="J22" s="12" t="str">
        <f>IF(OR(A22="",8&gt;'01_Ficha_Dosis'!$C$16),"",COUNTIFS('04_Log_Accesos'!$B$6:$B$705,A22,'04_Log_Accesos'!$I$6:$I$705,8,'04_Log_Accesos'!$K$6:$K$705,1))</f>
        <v/>
      </c>
      <c r="K22" s="25" t="str">
        <f t="shared" si="1"/>
        <v/>
      </c>
      <c r="L22" s="25" t="str">
        <f>IF(A22="","",SUMIFS('04_Log_Accesos'!$L$6:$L$705,'04_Log_Accesos'!$B$6:$B$705,A22))</f>
        <v/>
      </c>
      <c r="M22" s="26" t="str">
        <f t="shared" si="2"/>
        <v/>
      </c>
      <c r="N22" s="27" t="str">
        <f>IF(OR(A22="",B22&lt;&gt;"GE"),"",K22/'01_Ficha_Dosis'!$C$27)</f>
        <v/>
      </c>
      <c r="O22" s="25" t="str">
        <f>IF(N22="","",IF(N22&gt;='01_Ficha_Dosis'!$C$31,"Dosis completa","Bajo umbral"))</f>
        <v/>
      </c>
    </row>
    <row r="23" ht="15.75" customHeight="1">
      <c r="A23" s="12" t="str">
        <f>IF('02_Participantes'!B23="","",'02_Participantes'!B23)</f>
        <v/>
      </c>
      <c r="B23" s="12" t="str">
        <f>IF(A23="","",'02_Participantes'!C23)</f>
        <v/>
      </c>
      <c r="C23" s="12" t="str">
        <f>IF(OR(A23="",1&gt;'01_Ficha_Dosis'!$C$16),"",COUNTIFS('04_Log_Accesos'!$B$6:$B$705,A23,'04_Log_Accesos'!$I$6:$I$705,1,'04_Log_Accesos'!$K$6:$K$705,1))</f>
        <v/>
      </c>
      <c r="D23" s="12" t="str">
        <f>IF(OR(A23="",2&gt;'01_Ficha_Dosis'!$C$16),"",COUNTIFS('04_Log_Accesos'!$B$6:$B$705,A23,'04_Log_Accesos'!$I$6:$I$705,2,'04_Log_Accesos'!$K$6:$K$705,1))</f>
        <v/>
      </c>
      <c r="E23" s="12" t="str">
        <f>IF(OR(A23="",3&gt;'01_Ficha_Dosis'!$C$16),"",COUNTIFS('04_Log_Accesos'!$B$6:$B$705,A23,'04_Log_Accesos'!$I$6:$I$705,3,'04_Log_Accesos'!$K$6:$K$705,1))</f>
        <v/>
      </c>
      <c r="F23" s="12" t="str">
        <f>IF(OR(A23="",4&gt;'01_Ficha_Dosis'!$C$16),"",COUNTIFS('04_Log_Accesos'!$B$6:$B$705,A23,'04_Log_Accesos'!$I$6:$I$705,4,'04_Log_Accesos'!$K$6:$K$705,1))</f>
        <v/>
      </c>
      <c r="G23" s="12" t="str">
        <f>IF(OR(A23="",5&gt;'01_Ficha_Dosis'!$C$16),"",COUNTIFS('04_Log_Accesos'!$B$6:$B$705,A23,'04_Log_Accesos'!$I$6:$I$705,5,'04_Log_Accesos'!$K$6:$K$705,1))</f>
        <v/>
      </c>
      <c r="H23" s="12" t="str">
        <f>IF(OR(A23="",6&gt;'01_Ficha_Dosis'!$C$16),"",COUNTIFS('04_Log_Accesos'!$B$6:$B$705,A23,'04_Log_Accesos'!$I$6:$I$705,6,'04_Log_Accesos'!$K$6:$K$705,1))</f>
        <v/>
      </c>
      <c r="I23" s="12" t="str">
        <f>IF(OR(A23="",7&gt;'01_Ficha_Dosis'!$C$16),"",COUNTIFS('04_Log_Accesos'!$B$6:$B$705,A23,'04_Log_Accesos'!$I$6:$I$705,7,'04_Log_Accesos'!$K$6:$K$705,1))</f>
        <v/>
      </c>
      <c r="J23" s="12" t="str">
        <f>IF(OR(A23="",8&gt;'01_Ficha_Dosis'!$C$16),"",COUNTIFS('04_Log_Accesos'!$B$6:$B$705,A23,'04_Log_Accesos'!$I$6:$I$705,8,'04_Log_Accesos'!$K$6:$K$705,1))</f>
        <v/>
      </c>
      <c r="K23" s="25" t="str">
        <f t="shared" si="1"/>
        <v/>
      </c>
      <c r="L23" s="25" t="str">
        <f>IF(A23="","",SUMIFS('04_Log_Accesos'!$L$6:$L$705,'04_Log_Accesos'!$B$6:$B$705,A23))</f>
        <v/>
      </c>
      <c r="M23" s="26" t="str">
        <f t="shared" si="2"/>
        <v/>
      </c>
      <c r="N23" s="27" t="str">
        <f>IF(OR(A23="",B23&lt;&gt;"GE"),"",K23/'01_Ficha_Dosis'!$C$27)</f>
        <v/>
      </c>
      <c r="O23" s="25" t="str">
        <f>IF(N23="","",IF(N23&gt;='01_Ficha_Dosis'!$C$31,"Dosis completa","Bajo umbral"))</f>
        <v/>
      </c>
    </row>
    <row r="24" ht="15.75" customHeight="1">
      <c r="A24" s="12" t="str">
        <f>IF('02_Participantes'!B24="","",'02_Participantes'!B24)</f>
        <v/>
      </c>
      <c r="B24" s="12" t="str">
        <f>IF(A24="","",'02_Participantes'!C24)</f>
        <v/>
      </c>
      <c r="C24" s="12" t="str">
        <f>IF(OR(A24="",1&gt;'01_Ficha_Dosis'!$C$16),"",COUNTIFS('04_Log_Accesos'!$B$6:$B$705,A24,'04_Log_Accesos'!$I$6:$I$705,1,'04_Log_Accesos'!$K$6:$K$705,1))</f>
        <v/>
      </c>
      <c r="D24" s="12" t="str">
        <f>IF(OR(A24="",2&gt;'01_Ficha_Dosis'!$C$16),"",COUNTIFS('04_Log_Accesos'!$B$6:$B$705,A24,'04_Log_Accesos'!$I$6:$I$705,2,'04_Log_Accesos'!$K$6:$K$705,1))</f>
        <v/>
      </c>
      <c r="E24" s="12" t="str">
        <f>IF(OR(A24="",3&gt;'01_Ficha_Dosis'!$C$16),"",COUNTIFS('04_Log_Accesos'!$B$6:$B$705,A24,'04_Log_Accesos'!$I$6:$I$705,3,'04_Log_Accesos'!$K$6:$K$705,1))</f>
        <v/>
      </c>
      <c r="F24" s="12" t="str">
        <f>IF(OR(A24="",4&gt;'01_Ficha_Dosis'!$C$16),"",COUNTIFS('04_Log_Accesos'!$B$6:$B$705,A24,'04_Log_Accesos'!$I$6:$I$705,4,'04_Log_Accesos'!$K$6:$K$705,1))</f>
        <v/>
      </c>
      <c r="G24" s="12" t="str">
        <f>IF(OR(A24="",5&gt;'01_Ficha_Dosis'!$C$16),"",COUNTIFS('04_Log_Accesos'!$B$6:$B$705,A24,'04_Log_Accesos'!$I$6:$I$705,5,'04_Log_Accesos'!$K$6:$K$705,1))</f>
        <v/>
      </c>
      <c r="H24" s="12" t="str">
        <f>IF(OR(A24="",6&gt;'01_Ficha_Dosis'!$C$16),"",COUNTIFS('04_Log_Accesos'!$B$6:$B$705,A24,'04_Log_Accesos'!$I$6:$I$705,6,'04_Log_Accesos'!$K$6:$K$705,1))</f>
        <v/>
      </c>
      <c r="I24" s="12" t="str">
        <f>IF(OR(A24="",7&gt;'01_Ficha_Dosis'!$C$16),"",COUNTIFS('04_Log_Accesos'!$B$6:$B$705,A24,'04_Log_Accesos'!$I$6:$I$705,7,'04_Log_Accesos'!$K$6:$K$705,1))</f>
        <v/>
      </c>
      <c r="J24" s="12" t="str">
        <f>IF(OR(A24="",8&gt;'01_Ficha_Dosis'!$C$16),"",COUNTIFS('04_Log_Accesos'!$B$6:$B$705,A24,'04_Log_Accesos'!$I$6:$I$705,8,'04_Log_Accesos'!$K$6:$K$705,1))</f>
        <v/>
      </c>
      <c r="K24" s="25" t="str">
        <f t="shared" si="1"/>
        <v/>
      </c>
      <c r="L24" s="25" t="str">
        <f>IF(A24="","",SUMIFS('04_Log_Accesos'!$L$6:$L$705,'04_Log_Accesos'!$B$6:$B$705,A24))</f>
        <v/>
      </c>
      <c r="M24" s="26" t="str">
        <f t="shared" si="2"/>
        <v/>
      </c>
      <c r="N24" s="27" t="str">
        <f>IF(OR(A24="",B24&lt;&gt;"GE"),"",K24/'01_Ficha_Dosis'!$C$27)</f>
        <v/>
      </c>
      <c r="O24" s="25" t="str">
        <f>IF(N24="","",IF(N24&gt;='01_Ficha_Dosis'!$C$31,"Dosis completa","Bajo umbral"))</f>
        <v/>
      </c>
    </row>
    <row r="25" ht="15.75" customHeight="1">
      <c r="A25" s="12" t="str">
        <f>IF('02_Participantes'!B25="","",'02_Participantes'!B25)</f>
        <v/>
      </c>
      <c r="B25" s="12" t="str">
        <f>IF(A25="","",'02_Participantes'!C25)</f>
        <v/>
      </c>
      <c r="C25" s="12" t="str">
        <f>IF(OR(A25="",1&gt;'01_Ficha_Dosis'!$C$16),"",COUNTIFS('04_Log_Accesos'!$B$6:$B$705,A25,'04_Log_Accesos'!$I$6:$I$705,1,'04_Log_Accesos'!$K$6:$K$705,1))</f>
        <v/>
      </c>
      <c r="D25" s="12" t="str">
        <f>IF(OR(A25="",2&gt;'01_Ficha_Dosis'!$C$16),"",COUNTIFS('04_Log_Accesos'!$B$6:$B$705,A25,'04_Log_Accesos'!$I$6:$I$705,2,'04_Log_Accesos'!$K$6:$K$705,1))</f>
        <v/>
      </c>
      <c r="E25" s="12" t="str">
        <f>IF(OR(A25="",3&gt;'01_Ficha_Dosis'!$C$16),"",COUNTIFS('04_Log_Accesos'!$B$6:$B$705,A25,'04_Log_Accesos'!$I$6:$I$705,3,'04_Log_Accesos'!$K$6:$K$705,1))</f>
        <v/>
      </c>
      <c r="F25" s="12" t="str">
        <f>IF(OR(A25="",4&gt;'01_Ficha_Dosis'!$C$16),"",COUNTIFS('04_Log_Accesos'!$B$6:$B$705,A25,'04_Log_Accesos'!$I$6:$I$705,4,'04_Log_Accesos'!$K$6:$K$705,1))</f>
        <v/>
      </c>
      <c r="G25" s="12" t="str">
        <f>IF(OR(A25="",5&gt;'01_Ficha_Dosis'!$C$16),"",COUNTIFS('04_Log_Accesos'!$B$6:$B$705,A25,'04_Log_Accesos'!$I$6:$I$705,5,'04_Log_Accesos'!$K$6:$K$705,1))</f>
        <v/>
      </c>
      <c r="H25" s="12" t="str">
        <f>IF(OR(A25="",6&gt;'01_Ficha_Dosis'!$C$16),"",COUNTIFS('04_Log_Accesos'!$B$6:$B$705,A25,'04_Log_Accesos'!$I$6:$I$705,6,'04_Log_Accesos'!$K$6:$K$705,1))</f>
        <v/>
      </c>
      <c r="I25" s="12" t="str">
        <f>IF(OR(A25="",7&gt;'01_Ficha_Dosis'!$C$16),"",COUNTIFS('04_Log_Accesos'!$B$6:$B$705,A25,'04_Log_Accesos'!$I$6:$I$705,7,'04_Log_Accesos'!$K$6:$K$705,1))</f>
        <v/>
      </c>
      <c r="J25" s="12" t="str">
        <f>IF(OR(A25="",8&gt;'01_Ficha_Dosis'!$C$16),"",COUNTIFS('04_Log_Accesos'!$B$6:$B$705,A25,'04_Log_Accesos'!$I$6:$I$705,8,'04_Log_Accesos'!$K$6:$K$705,1))</f>
        <v/>
      </c>
      <c r="K25" s="25" t="str">
        <f t="shared" si="1"/>
        <v/>
      </c>
      <c r="L25" s="25" t="str">
        <f>IF(A25="","",SUMIFS('04_Log_Accesos'!$L$6:$L$705,'04_Log_Accesos'!$B$6:$B$705,A25))</f>
        <v/>
      </c>
      <c r="M25" s="26" t="str">
        <f t="shared" si="2"/>
        <v/>
      </c>
      <c r="N25" s="27" t="str">
        <f>IF(OR(A25="",B25&lt;&gt;"GE"),"",K25/'01_Ficha_Dosis'!$C$27)</f>
        <v/>
      </c>
      <c r="O25" s="25" t="str">
        <f>IF(N25="","",IF(N25&gt;='01_Ficha_Dosis'!$C$31,"Dosis completa","Bajo umbral"))</f>
        <v/>
      </c>
    </row>
    <row r="26" ht="15.75" customHeight="1">
      <c r="A26" s="12" t="str">
        <f>IF('02_Participantes'!B26="","",'02_Participantes'!B26)</f>
        <v/>
      </c>
      <c r="B26" s="12" t="str">
        <f>IF(A26="","",'02_Participantes'!C26)</f>
        <v/>
      </c>
      <c r="C26" s="12" t="str">
        <f>IF(OR(A26="",1&gt;'01_Ficha_Dosis'!$C$16),"",COUNTIFS('04_Log_Accesos'!$B$6:$B$705,A26,'04_Log_Accesos'!$I$6:$I$705,1,'04_Log_Accesos'!$K$6:$K$705,1))</f>
        <v/>
      </c>
      <c r="D26" s="12" t="str">
        <f>IF(OR(A26="",2&gt;'01_Ficha_Dosis'!$C$16),"",COUNTIFS('04_Log_Accesos'!$B$6:$B$705,A26,'04_Log_Accesos'!$I$6:$I$705,2,'04_Log_Accesos'!$K$6:$K$705,1))</f>
        <v/>
      </c>
      <c r="E26" s="12" t="str">
        <f>IF(OR(A26="",3&gt;'01_Ficha_Dosis'!$C$16),"",COUNTIFS('04_Log_Accesos'!$B$6:$B$705,A26,'04_Log_Accesos'!$I$6:$I$705,3,'04_Log_Accesos'!$K$6:$K$705,1))</f>
        <v/>
      </c>
      <c r="F26" s="12" t="str">
        <f>IF(OR(A26="",4&gt;'01_Ficha_Dosis'!$C$16),"",COUNTIFS('04_Log_Accesos'!$B$6:$B$705,A26,'04_Log_Accesos'!$I$6:$I$705,4,'04_Log_Accesos'!$K$6:$K$705,1))</f>
        <v/>
      </c>
      <c r="G26" s="12" t="str">
        <f>IF(OR(A26="",5&gt;'01_Ficha_Dosis'!$C$16),"",COUNTIFS('04_Log_Accesos'!$B$6:$B$705,A26,'04_Log_Accesos'!$I$6:$I$705,5,'04_Log_Accesos'!$K$6:$K$705,1))</f>
        <v/>
      </c>
      <c r="H26" s="12" t="str">
        <f>IF(OR(A26="",6&gt;'01_Ficha_Dosis'!$C$16),"",COUNTIFS('04_Log_Accesos'!$B$6:$B$705,A26,'04_Log_Accesos'!$I$6:$I$705,6,'04_Log_Accesos'!$K$6:$K$705,1))</f>
        <v/>
      </c>
      <c r="I26" s="12" t="str">
        <f>IF(OR(A26="",7&gt;'01_Ficha_Dosis'!$C$16),"",COUNTIFS('04_Log_Accesos'!$B$6:$B$705,A26,'04_Log_Accesos'!$I$6:$I$705,7,'04_Log_Accesos'!$K$6:$K$705,1))</f>
        <v/>
      </c>
      <c r="J26" s="12" t="str">
        <f>IF(OR(A26="",8&gt;'01_Ficha_Dosis'!$C$16),"",COUNTIFS('04_Log_Accesos'!$B$6:$B$705,A26,'04_Log_Accesos'!$I$6:$I$705,8,'04_Log_Accesos'!$K$6:$K$705,1))</f>
        <v/>
      </c>
      <c r="K26" s="25" t="str">
        <f t="shared" si="1"/>
        <v/>
      </c>
      <c r="L26" s="25" t="str">
        <f>IF(A26="","",SUMIFS('04_Log_Accesos'!$L$6:$L$705,'04_Log_Accesos'!$B$6:$B$705,A26))</f>
        <v/>
      </c>
      <c r="M26" s="26" t="str">
        <f t="shared" si="2"/>
        <v/>
      </c>
      <c r="N26" s="27" t="str">
        <f>IF(OR(A26="",B26&lt;&gt;"GE"),"",K26/'01_Ficha_Dosis'!$C$27)</f>
        <v/>
      </c>
      <c r="O26" s="25" t="str">
        <f>IF(N26="","",IF(N26&gt;='01_Ficha_Dosis'!$C$31,"Dosis completa","Bajo umbral"))</f>
        <v/>
      </c>
    </row>
    <row r="27" ht="15.75" customHeight="1">
      <c r="A27" s="12" t="str">
        <f>IF('02_Participantes'!B27="","",'02_Participantes'!B27)</f>
        <v/>
      </c>
      <c r="B27" s="12" t="str">
        <f>IF(A27="","",'02_Participantes'!C27)</f>
        <v/>
      </c>
      <c r="C27" s="12" t="str">
        <f>IF(OR(A27="",1&gt;'01_Ficha_Dosis'!$C$16),"",COUNTIFS('04_Log_Accesos'!$B$6:$B$705,A27,'04_Log_Accesos'!$I$6:$I$705,1,'04_Log_Accesos'!$K$6:$K$705,1))</f>
        <v/>
      </c>
      <c r="D27" s="12" t="str">
        <f>IF(OR(A27="",2&gt;'01_Ficha_Dosis'!$C$16),"",COUNTIFS('04_Log_Accesos'!$B$6:$B$705,A27,'04_Log_Accesos'!$I$6:$I$705,2,'04_Log_Accesos'!$K$6:$K$705,1))</f>
        <v/>
      </c>
      <c r="E27" s="12" t="str">
        <f>IF(OR(A27="",3&gt;'01_Ficha_Dosis'!$C$16),"",COUNTIFS('04_Log_Accesos'!$B$6:$B$705,A27,'04_Log_Accesos'!$I$6:$I$705,3,'04_Log_Accesos'!$K$6:$K$705,1))</f>
        <v/>
      </c>
      <c r="F27" s="12" t="str">
        <f>IF(OR(A27="",4&gt;'01_Ficha_Dosis'!$C$16),"",COUNTIFS('04_Log_Accesos'!$B$6:$B$705,A27,'04_Log_Accesos'!$I$6:$I$705,4,'04_Log_Accesos'!$K$6:$K$705,1))</f>
        <v/>
      </c>
      <c r="G27" s="12" t="str">
        <f>IF(OR(A27="",5&gt;'01_Ficha_Dosis'!$C$16),"",COUNTIFS('04_Log_Accesos'!$B$6:$B$705,A27,'04_Log_Accesos'!$I$6:$I$705,5,'04_Log_Accesos'!$K$6:$K$705,1))</f>
        <v/>
      </c>
      <c r="H27" s="12" t="str">
        <f>IF(OR(A27="",6&gt;'01_Ficha_Dosis'!$C$16),"",COUNTIFS('04_Log_Accesos'!$B$6:$B$705,A27,'04_Log_Accesos'!$I$6:$I$705,6,'04_Log_Accesos'!$K$6:$K$705,1))</f>
        <v/>
      </c>
      <c r="I27" s="12" t="str">
        <f>IF(OR(A27="",7&gt;'01_Ficha_Dosis'!$C$16),"",COUNTIFS('04_Log_Accesos'!$B$6:$B$705,A27,'04_Log_Accesos'!$I$6:$I$705,7,'04_Log_Accesos'!$K$6:$K$705,1))</f>
        <v/>
      </c>
      <c r="J27" s="12" t="str">
        <f>IF(OR(A27="",8&gt;'01_Ficha_Dosis'!$C$16),"",COUNTIFS('04_Log_Accesos'!$B$6:$B$705,A27,'04_Log_Accesos'!$I$6:$I$705,8,'04_Log_Accesos'!$K$6:$K$705,1))</f>
        <v/>
      </c>
      <c r="K27" s="25" t="str">
        <f t="shared" si="1"/>
        <v/>
      </c>
      <c r="L27" s="25" t="str">
        <f>IF(A27="","",SUMIFS('04_Log_Accesos'!$L$6:$L$705,'04_Log_Accesos'!$B$6:$B$705,A27))</f>
        <v/>
      </c>
      <c r="M27" s="26" t="str">
        <f t="shared" si="2"/>
        <v/>
      </c>
      <c r="N27" s="27" t="str">
        <f>IF(OR(A27="",B27&lt;&gt;"GE"),"",K27/'01_Ficha_Dosis'!$C$27)</f>
        <v/>
      </c>
      <c r="O27" s="25" t="str">
        <f>IF(N27="","",IF(N27&gt;='01_Ficha_Dosis'!$C$31,"Dosis completa","Bajo umbral"))</f>
        <v/>
      </c>
    </row>
    <row r="28" ht="15.75" customHeight="1">
      <c r="A28" s="12" t="str">
        <f>IF('02_Participantes'!B28="","",'02_Participantes'!B28)</f>
        <v/>
      </c>
      <c r="B28" s="12" t="str">
        <f>IF(A28="","",'02_Participantes'!C28)</f>
        <v/>
      </c>
      <c r="C28" s="12" t="str">
        <f>IF(OR(A28="",1&gt;'01_Ficha_Dosis'!$C$16),"",COUNTIFS('04_Log_Accesos'!$B$6:$B$705,A28,'04_Log_Accesos'!$I$6:$I$705,1,'04_Log_Accesos'!$K$6:$K$705,1))</f>
        <v/>
      </c>
      <c r="D28" s="12" t="str">
        <f>IF(OR(A28="",2&gt;'01_Ficha_Dosis'!$C$16),"",COUNTIFS('04_Log_Accesos'!$B$6:$B$705,A28,'04_Log_Accesos'!$I$6:$I$705,2,'04_Log_Accesos'!$K$6:$K$705,1))</f>
        <v/>
      </c>
      <c r="E28" s="12" t="str">
        <f>IF(OR(A28="",3&gt;'01_Ficha_Dosis'!$C$16),"",COUNTIFS('04_Log_Accesos'!$B$6:$B$705,A28,'04_Log_Accesos'!$I$6:$I$705,3,'04_Log_Accesos'!$K$6:$K$705,1))</f>
        <v/>
      </c>
      <c r="F28" s="12" t="str">
        <f>IF(OR(A28="",4&gt;'01_Ficha_Dosis'!$C$16),"",COUNTIFS('04_Log_Accesos'!$B$6:$B$705,A28,'04_Log_Accesos'!$I$6:$I$705,4,'04_Log_Accesos'!$K$6:$K$705,1))</f>
        <v/>
      </c>
      <c r="G28" s="12" t="str">
        <f>IF(OR(A28="",5&gt;'01_Ficha_Dosis'!$C$16),"",COUNTIFS('04_Log_Accesos'!$B$6:$B$705,A28,'04_Log_Accesos'!$I$6:$I$705,5,'04_Log_Accesos'!$K$6:$K$705,1))</f>
        <v/>
      </c>
      <c r="H28" s="12" t="str">
        <f>IF(OR(A28="",6&gt;'01_Ficha_Dosis'!$C$16),"",COUNTIFS('04_Log_Accesos'!$B$6:$B$705,A28,'04_Log_Accesos'!$I$6:$I$705,6,'04_Log_Accesos'!$K$6:$K$705,1))</f>
        <v/>
      </c>
      <c r="I28" s="12" t="str">
        <f>IF(OR(A28="",7&gt;'01_Ficha_Dosis'!$C$16),"",COUNTIFS('04_Log_Accesos'!$B$6:$B$705,A28,'04_Log_Accesos'!$I$6:$I$705,7,'04_Log_Accesos'!$K$6:$K$705,1))</f>
        <v/>
      </c>
      <c r="J28" s="12" t="str">
        <f>IF(OR(A28="",8&gt;'01_Ficha_Dosis'!$C$16),"",COUNTIFS('04_Log_Accesos'!$B$6:$B$705,A28,'04_Log_Accesos'!$I$6:$I$705,8,'04_Log_Accesos'!$K$6:$K$705,1))</f>
        <v/>
      </c>
      <c r="K28" s="25" t="str">
        <f t="shared" si="1"/>
        <v/>
      </c>
      <c r="L28" s="25" t="str">
        <f>IF(A28="","",SUMIFS('04_Log_Accesos'!$L$6:$L$705,'04_Log_Accesos'!$B$6:$B$705,A28))</f>
        <v/>
      </c>
      <c r="M28" s="26" t="str">
        <f t="shared" si="2"/>
        <v/>
      </c>
      <c r="N28" s="27" t="str">
        <f>IF(OR(A28="",B28&lt;&gt;"GE"),"",K28/'01_Ficha_Dosis'!$C$27)</f>
        <v/>
      </c>
      <c r="O28" s="25" t="str">
        <f>IF(N28="","",IF(N28&gt;='01_Ficha_Dosis'!$C$31,"Dosis completa","Bajo umbral"))</f>
        <v/>
      </c>
    </row>
    <row r="29" ht="15.75" customHeight="1">
      <c r="A29" s="12" t="str">
        <f>IF('02_Participantes'!B29="","",'02_Participantes'!B29)</f>
        <v/>
      </c>
      <c r="B29" s="12" t="str">
        <f>IF(A29="","",'02_Participantes'!C29)</f>
        <v/>
      </c>
      <c r="C29" s="12" t="str">
        <f>IF(OR(A29="",1&gt;'01_Ficha_Dosis'!$C$16),"",COUNTIFS('04_Log_Accesos'!$B$6:$B$705,A29,'04_Log_Accesos'!$I$6:$I$705,1,'04_Log_Accesos'!$K$6:$K$705,1))</f>
        <v/>
      </c>
      <c r="D29" s="12" t="str">
        <f>IF(OR(A29="",2&gt;'01_Ficha_Dosis'!$C$16),"",COUNTIFS('04_Log_Accesos'!$B$6:$B$705,A29,'04_Log_Accesos'!$I$6:$I$705,2,'04_Log_Accesos'!$K$6:$K$705,1))</f>
        <v/>
      </c>
      <c r="E29" s="12" t="str">
        <f>IF(OR(A29="",3&gt;'01_Ficha_Dosis'!$C$16),"",COUNTIFS('04_Log_Accesos'!$B$6:$B$705,A29,'04_Log_Accesos'!$I$6:$I$705,3,'04_Log_Accesos'!$K$6:$K$705,1))</f>
        <v/>
      </c>
      <c r="F29" s="12" t="str">
        <f>IF(OR(A29="",4&gt;'01_Ficha_Dosis'!$C$16),"",COUNTIFS('04_Log_Accesos'!$B$6:$B$705,A29,'04_Log_Accesos'!$I$6:$I$705,4,'04_Log_Accesos'!$K$6:$K$705,1))</f>
        <v/>
      </c>
      <c r="G29" s="12" t="str">
        <f>IF(OR(A29="",5&gt;'01_Ficha_Dosis'!$C$16),"",COUNTIFS('04_Log_Accesos'!$B$6:$B$705,A29,'04_Log_Accesos'!$I$6:$I$705,5,'04_Log_Accesos'!$K$6:$K$705,1))</f>
        <v/>
      </c>
      <c r="H29" s="12" t="str">
        <f>IF(OR(A29="",6&gt;'01_Ficha_Dosis'!$C$16),"",COUNTIFS('04_Log_Accesos'!$B$6:$B$705,A29,'04_Log_Accesos'!$I$6:$I$705,6,'04_Log_Accesos'!$K$6:$K$705,1))</f>
        <v/>
      </c>
      <c r="I29" s="12" t="str">
        <f>IF(OR(A29="",7&gt;'01_Ficha_Dosis'!$C$16),"",COUNTIFS('04_Log_Accesos'!$B$6:$B$705,A29,'04_Log_Accesos'!$I$6:$I$705,7,'04_Log_Accesos'!$K$6:$K$705,1))</f>
        <v/>
      </c>
      <c r="J29" s="12" t="str">
        <f>IF(OR(A29="",8&gt;'01_Ficha_Dosis'!$C$16),"",COUNTIFS('04_Log_Accesos'!$B$6:$B$705,A29,'04_Log_Accesos'!$I$6:$I$705,8,'04_Log_Accesos'!$K$6:$K$705,1))</f>
        <v/>
      </c>
      <c r="K29" s="25" t="str">
        <f t="shared" si="1"/>
        <v/>
      </c>
      <c r="L29" s="25" t="str">
        <f>IF(A29="","",SUMIFS('04_Log_Accesos'!$L$6:$L$705,'04_Log_Accesos'!$B$6:$B$705,A29))</f>
        <v/>
      </c>
      <c r="M29" s="26" t="str">
        <f t="shared" si="2"/>
        <v/>
      </c>
      <c r="N29" s="27" t="str">
        <f>IF(OR(A29="",B29&lt;&gt;"GE"),"",K29/'01_Ficha_Dosis'!$C$27)</f>
        <v/>
      </c>
      <c r="O29" s="25" t="str">
        <f>IF(N29="","",IF(N29&gt;='01_Ficha_Dosis'!$C$31,"Dosis completa","Bajo umbral"))</f>
        <v/>
      </c>
    </row>
    <row r="30" ht="15.75" customHeight="1">
      <c r="A30" s="12" t="str">
        <f>IF('02_Participantes'!B30="","",'02_Participantes'!B30)</f>
        <v/>
      </c>
      <c r="B30" s="12" t="str">
        <f>IF(A30="","",'02_Participantes'!C30)</f>
        <v/>
      </c>
      <c r="C30" s="12" t="str">
        <f>IF(OR(A30="",1&gt;'01_Ficha_Dosis'!$C$16),"",COUNTIFS('04_Log_Accesos'!$B$6:$B$705,A30,'04_Log_Accesos'!$I$6:$I$705,1,'04_Log_Accesos'!$K$6:$K$705,1))</f>
        <v/>
      </c>
      <c r="D30" s="12" t="str">
        <f>IF(OR(A30="",2&gt;'01_Ficha_Dosis'!$C$16),"",COUNTIFS('04_Log_Accesos'!$B$6:$B$705,A30,'04_Log_Accesos'!$I$6:$I$705,2,'04_Log_Accesos'!$K$6:$K$705,1))</f>
        <v/>
      </c>
      <c r="E30" s="12" t="str">
        <f>IF(OR(A30="",3&gt;'01_Ficha_Dosis'!$C$16),"",COUNTIFS('04_Log_Accesos'!$B$6:$B$705,A30,'04_Log_Accesos'!$I$6:$I$705,3,'04_Log_Accesos'!$K$6:$K$705,1))</f>
        <v/>
      </c>
      <c r="F30" s="12" t="str">
        <f>IF(OR(A30="",4&gt;'01_Ficha_Dosis'!$C$16),"",COUNTIFS('04_Log_Accesos'!$B$6:$B$705,A30,'04_Log_Accesos'!$I$6:$I$705,4,'04_Log_Accesos'!$K$6:$K$705,1))</f>
        <v/>
      </c>
      <c r="G30" s="12" t="str">
        <f>IF(OR(A30="",5&gt;'01_Ficha_Dosis'!$C$16),"",COUNTIFS('04_Log_Accesos'!$B$6:$B$705,A30,'04_Log_Accesos'!$I$6:$I$705,5,'04_Log_Accesos'!$K$6:$K$705,1))</f>
        <v/>
      </c>
      <c r="H30" s="12" t="str">
        <f>IF(OR(A30="",6&gt;'01_Ficha_Dosis'!$C$16),"",COUNTIFS('04_Log_Accesos'!$B$6:$B$705,A30,'04_Log_Accesos'!$I$6:$I$705,6,'04_Log_Accesos'!$K$6:$K$705,1))</f>
        <v/>
      </c>
      <c r="I30" s="12" t="str">
        <f>IF(OR(A30="",7&gt;'01_Ficha_Dosis'!$C$16),"",COUNTIFS('04_Log_Accesos'!$B$6:$B$705,A30,'04_Log_Accesos'!$I$6:$I$705,7,'04_Log_Accesos'!$K$6:$K$705,1))</f>
        <v/>
      </c>
      <c r="J30" s="12" t="str">
        <f>IF(OR(A30="",8&gt;'01_Ficha_Dosis'!$C$16),"",COUNTIFS('04_Log_Accesos'!$B$6:$B$705,A30,'04_Log_Accesos'!$I$6:$I$705,8,'04_Log_Accesos'!$K$6:$K$705,1))</f>
        <v/>
      </c>
      <c r="K30" s="25" t="str">
        <f t="shared" si="1"/>
        <v/>
      </c>
      <c r="L30" s="25" t="str">
        <f>IF(A30="","",SUMIFS('04_Log_Accesos'!$L$6:$L$705,'04_Log_Accesos'!$B$6:$B$705,A30))</f>
        <v/>
      </c>
      <c r="M30" s="26" t="str">
        <f t="shared" si="2"/>
        <v/>
      </c>
      <c r="N30" s="27" t="str">
        <f>IF(OR(A30="",B30&lt;&gt;"GE"),"",K30/'01_Ficha_Dosis'!$C$27)</f>
        <v/>
      </c>
      <c r="O30" s="25" t="str">
        <f>IF(N30="","",IF(N30&gt;='01_Ficha_Dosis'!$C$31,"Dosis completa","Bajo umbral"))</f>
        <v/>
      </c>
    </row>
    <row r="31" ht="15.75" customHeight="1">
      <c r="A31" s="12" t="str">
        <f>IF('02_Participantes'!B31="","",'02_Participantes'!B31)</f>
        <v/>
      </c>
      <c r="B31" s="12" t="str">
        <f>IF(A31="","",'02_Participantes'!C31)</f>
        <v/>
      </c>
      <c r="C31" s="12" t="str">
        <f>IF(OR(A31="",1&gt;'01_Ficha_Dosis'!$C$16),"",COUNTIFS('04_Log_Accesos'!$B$6:$B$705,A31,'04_Log_Accesos'!$I$6:$I$705,1,'04_Log_Accesos'!$K$6:$K$705,1))</f>
        <v/>
      </c>
      <c r="D31" s="12" t="str">
        <f>IF(OR(A31="",2&gt;'01_Ficha_Dosis'!$C$16),"",COUNTIFS('04_Log_Accesos'!$B$6:$B$705,A31,'04_Log_Accesos'!$I$6:$I$705,2,'04_Log_Accesos'!$K$6:$K$705,1))</f>
        <v/>
      </c>
      <c r="E31" s="12" t="str">
        <f>IF(OR(A31="",3&gt;'01_Ficha_Dosis'!$C$16),"",COUNTIFS('04_Log_Accesos'!$B$6:$B$705,A31,'04_Log_Accesos'!$I$6:$I$705,3,'04_Log_Accesos'!$K$6:$K$705,1))</f>
        <v/>
      </c>
      <c r="F31" s="12" t="str">
        <f>IF(OR(A31="",4&gt;'01_Ficha_Dosis'!$C$16),"",COUNTIFS('04_Log_Accesos'!$B$6:$B$705,A31,'04_Log_Accesos'!$I$6:$I$705,4,'04_Log_Accesos'!$K$6:$K$705,1))</f>
        <v/>
      </c>
      <c r="G31" s="12" t="str">
        <f>IF(OR(A31="",5&gt;'01_Ficha_Dosis'!$C$16),"",COUNTIFS('04_Log_Accesos'!$B$6:$B$705,A31,'04_Log_Accesos'!$I$6:$I$705,5,'04_Log_Accesos'!$K$6:$K$705,1))</f>
        <v/>
      </c>
      <c r="H31" s="12" t="str">
        <f>IF(OR(A31="",6&gt;'01_Ficha_Dosis'!$C$16),"",COUNTIFS('04_Log_Accesos'!$B$6:$B$705,A31,'04_Log_Accesos'!$I$6:$I$705,6,'04_Log_Accesos'!$K$6:$K$705,1))</f>
        <v/>
      </c>
      <c r="I31" s="12" t="str">
        <f>IF(OR(A31="",7&gt;'01_Ficha_Dosis'!$C$16),"",COUNTIFS('04_Log_Accesos'!$B$6:$B$705,A31,'04_Log_Accesos'!$I$6:$I$705,7,'04_Log_Accesos'!$K$6:$K$705,1))</f>
        <v/>
      </c>
      <c r="J31" s="12" t="str">
        <f>IF(OR(A31="",8&gt;'01_Ficha_Dosis'!$C$16),"",COUNTIFS('04_Log_Accesos'!$B$6:$B$705,A31,'04_Log_Accesos'!$I$6:$I$705,8,'04_Log_Accesos'!$K$6:$K$705,1))</f>
        <v/>
      </c>
      <c r="K31" s="25" t="str">
        <f t="shared" si="1"/>
        <v/>
      </c>
      <c r="L31" s="25" t="str">
        <f>IF(A31="","",SUMIFS('04_Log_Accesos'!$L$6:$L$705,'04_Log_Accesos'!$B$6:$B$705,A31))</f>
        <v/>
      </c>
      <c r="M31" s="26" t="str">
        <f t="shared" si="2"/>
        <v/>
      </c>
      <c r="N31" s="27" t="str">
        <f>IF(OR(A31="",B31&lt;&gt;"GE"),"",K31/'01_Ficha_Dosis'!$C$27)</f>
        <v/>
      </c>
      <c r="O31" s="25" t="str">
        <f>IF(N31="","",IF(N31&gt;='01_Ficha_Dosis'!$C$31,"Dosis completa","Bajo umbral"))</f>
        <v/>
      </c>
    </row>
    <row r="32" ht="15.75" customHeight="1">
      <c r="A32" s="12" t="str">
        <f>IF('02_Participantes'!B32="","",'02_Participantes'!B32)</f>
        <v/>
      </c>
      <c r="B32" s="12" t="str">
        <f>IF(A32="","",'02_Participantes'!C32)</f>
        <v/>
      </c>
      <c r="C32" s="12" t="str">
        <f>IF(OR(A32="",1&gt;'01_Ficha_Dosis'!$C$16),"",COUNTIFS('04_Log_Accesos'!$B$6:$B$705,A32,'04_Log_Accesos'!$I$6:$I$705,1,'04_Log_Accesos'!$K$6:$K$705,1))</f>
        <v/>
      </c>
      <c r="D32" s="12" t="str">
        <f>IF(OR(A32="",2&gt;'01_Ficha_Dosis'!$C$16),"",COUNTIFS('04_Log_Accesos'!$B$6:$B$705,A32,'04_Log_Accesos'!$I$6:$I$705,2,'04_Log_Accesos'!$K$6:$K$705,1))</f>
        <v/>
      </c>
      <c r="E32" s="12" t="str">
        <f>IF(OR(A32="",3&gt;'01_Ficha_Dosis'!$C$16),"",COUNTIFS('04_Log_Accesos'!$B$6:$B$705,A32,'04_Log_Accesos'!$I$6:$I$705,3,'04_Log_Accesos'!$K$6:$K$705,1))</f>
        <v/>
      </c>
      <c r="F32" s="12" t="str">
        <f>IF(OR(A32="",4&gt;'01_Ficha_Dosis'!$C$16),"",COUNTIFS('04_Log_Accesos'!$B$6:$B$705,A32,'04_Log_Accesos'!$I$6:$I$705,4,'04_Log_Accesos'!$K$6:$K$705,1))</f>
        <v/>
      </c>
      <c r="G32" s="12" t="str">
        <f>IF(OR(A32="",5&gt;'01_Ficha_Dosis'!$C$16),"",COUNTIFS('04_Log_Accesos'!$B$6:$B$705,A32,'04_Log_Accesos'!$I$6:$I$705,5,'04_Log_Accesos'!$K$6:$K$705,1))</f>
        <v/>
      </c>
      <c r="H32" s="12" t="str">
        <f>IF(OR(A32="",6&gt;'01_Ficha_Dosis'!$C$16),"",COUNTIFS('04_Log_Accesos'!$B$6:$B$705,A32,'04_Log_Accesos'!$I$6:$I$705,6,'04_Log_Accesos'!$K$6:$K$705,1))</f>
        <v/>
      </c>
      <c r="I32" s="12" t="str">
        <f>IF(OR(A32="",7&gt;'01_Ficha_Dosis'!$C$16),"",COUNTIFS('04_Log_Accesos'!$B$6:$B$705,A32,'04_Log_Accesos'!$I$6:$I$705,7,'04_Log_Accesos'!$K$6:$K$705,1))</f>
        <v/>
      </c>
      <c r="J32" s="12" t="str">
        <f>IF(OR(A32="",8&gt;'01_Ficha_Dosis'!$C$16),"",COUNTIFS('04_Log_Accesos'!$B$6:$B$705,A32,'04_Log_Accesos'!$I$6:$I$705,8,'04_Log_Accesos'!$K$6:$K$705,1))</f>
        <v/>
      </c>
      <c r="K32" s="25" t="str">
        <f t="shared" si="1"/>
        <v/>
      </c>
      <c r="L32" s="25" t="str">
        <f>IF(A32="","",SUMIFS('04_Log_Accesos'!$L$6:$L$705,'04_Log_Accesos'!$B$6:$B$705,A32))</f>
        <v/>
      </c>
      <c r="M32" s="26" t="str">
        <f t="shared" si="2"/>
        <v/>
      </c>
      <c r="N32" s="27" t="str">
        <f>IF(OR(A32="",B32&lt;&gt;"GE"),"",K32/'01_Ficha_Dosis'!$C$27)</f>
        <v/>
      </c>
      <c r="O32" s="25" t="str">
        <f>IF(N32="","",IF(N32&gt;='01_Ficha_Dosis'!$C$31,"Dosis completa","Bajo umbral"))</f>
        <v/>
      </c>
    </row>
    <row r="33" ht="15.75" customHeight="1">
      <c r="A33" s="12" t="str">
        <f>IF('02_Participantes'!B33="","",'02_Participantes'!B33)</f>
        <v/>
      </c>
      <c r="B33" s="12" t="str">
        <f>IF(A33="","",'02_Participantes'!C33)</f>
        <v/>
      </c>
      <c r="C33" s="12" t="str">
        <f>IF(OR(A33="",1&gt;'01_Ficha_Dosis'!$C$16),"",COUNTIFS('04_Log_Accesos'!$B$6:$B$705,A33,'04_Log_Accesos'!$I$6:$I$705,1,'04_Log_Accesos'!$K$6:$K$705,1))</f>
        <v/>
      </c>
      <c r="D33" s="12" t="str">
        <f>IF(OR(A33="",2&gt;'01_Ficha_Dosis'!$C$16),"",COUNTIFS('04_Log_Accesos'!$B$6:$B$705,A33,'04_Log_Accesos'!$I$6:$I$705,2,'04_Log_Accesos'!$K$6:$K$705,1))</f>
        <v/>
      </c>
      <c r="E33" s="12" t="str">
        <f>IF(OR(A33="",3&gt;'01_Ficha_Dosis'!$C$16),"",COUNTIFS('04_Log_Accesos'!$B$6:$B$705,A33,'04_Log_Accesos'!$I$6:$I$705,3,'04_Log_Accesos'!$K$6:$K$705,1))</f>
        <v/>
      </c>
      <c r="F33" s="12" t="str">
        <f>IF(OR(A33="",4&gt;'01_Ficha_Dosis'!$C$16),"",COUNTIFS('04_Log_Accesos'!$B$6:$B$705,A33,'04_Log_Accesos'!$I$6:$I$705,4,'04_Log_Accesos'!$K$6:$K$705,1))</f>
        <v/>
      </c>
      <c r="G33" s="12" t="str">
        <f>IF(OR(A33="",5&gt;'01_Ficha_Dosis'!$C$16),"",COUNTIFS('04_Log_Accesos'!$B$6:$B$705,A33,'04_Log_Accesos'!$I$6:$I$705,5,'04_Log_Accesos'!$K$6:$K$705,1))</f>
        <v/>
      </c>
      <c r="H33" s="12" t="str">
        <f>IF(OR(A33="",6&gt;'01_Ficha_Dosis'!$C$16),"",COUNTIFS('04_Log_Accesos'!$B$6:$B$705,A33,'04_Log_Accesos'!$I$6:$I$705,6,'04_Log_Accesos'!$K$6:$K$705,1))</f>
        <v/>
      </c>
      <c r="I33" s="12" t="str">
        <f>IF(OR(A33="",7&gt;'01_Ficha_Dosis'!$C$16),"",COUNTIFS('04_Log_Accesos'!$B$6:$B$705,A33,'04_Log_Accesos'!$I$6:$I$705,7,'04_Log_Accesos'!$K$6:$K$705,1))</f>
        <v/>
      </c>
      <c r="J33" s="12" t="str">
        <f>IF(OR(A33="",8&gt;'01_Ficha_Dosis'!$C$16),"",COUNTIFS('04_Log_Accesos'!$B$6:$B$705,A33,'04_Log_Accesos'!$I$6:$I$705,8,'04_Log_Accesos'!$K$6:$K$705,1))</f>
        <v/>
      </c>
      <c r="K33" s="25" t="str">
        <f t="shared" si="1"/>
        <v/>
      </c>
      <c r="L33" s="25" t="str">
        <f>IF(A33="","",SUMIFS('04_Log_Accesos'!$L$6:$L$705,'04_Log_Accesos'!$B$6:$B$705,A33))</f>
        <v/>
      </c>
      <c r="M33" s="26" t="str">
        <f t="shared" si="2"/>
        <v/>
      </c>
      <c r="N33" s="27" t="str">
        <f>IF(OR(A33="",B33&lt;&gt;"GE"),"",K33/'01_Ficha_Dosis'!$C$27)</f>
        <v/>
      </c>
      <c r="O33" s="25" t="str">
        <f>IF(N33="","",IF(N33&gt;='01_Ficha_Dosis'!$C$31,"Dosis completa","Bajo umbral"))</f>
        <v/>
      </c>
    </row>
    <row r="34" ht="15.75" customHeight="1">
      <c r="A34" s="12" t="str">
        <f>IF('02_Participantes'!B34="","",'02_Participantes'!B34)</f>
        <v/>
      </c>
      <c r="B34" s="12" t="str">
        <f>IF(A34="","",'02_Participantes'!C34)</f>
        <v/>
      </c>
      <c r="C34" s="12" t="str">
        <f>IF(OR(A34="",1&gt;'01_Ficha_Dosis'!$C$16),"",COUNTIFS('04_Log_Accesos'!$B$6:$B$705,A34,'04_Log_Accesos'!$I$6:$I$705,1,'04_Log_Accesos'!$K$6:$K$705,1))</f>
        <v/>
      </c>
      <c r="D34" s="12" t="str">
        <f>IF(OR(A34="",2&gt;'01_Ficha_Dosis'!$C$16),"",COUNTIFS('04_Log_Accesos'!$B$6:$B$705,A34,'04_Log_Accesos'!$I$6:$I$705,2,'04_Log_Accesos'!$K$6:$K$705,1))</f>
        <v/>
      </c>
      <c r="E34" s="12" t="str">
        <f>IF(OR(A34="",3&gt;'01_Ficha_Dosis'!$C$16),"",COUNTIFS('04_Log_Accesos'!$B$6:$B$705,A34,'04_Log_Accesos'!$I$6:$I$705,3,'04_Log_Accesos'!$K$6:$K$705,1))</f>
        <v/>
      </c>
      <c r="F34" s="12" t="str">
        <f>IF(OR(A34="",4&gt;'01_Ficha_Dosis'!$C$16),"",COUNTIFS('04_Log_Accesos'!$B$6:$B$705,A34,'04_Log_Accesos'!$I$6:$I$705,4,'04_Log_Accesos'!$K$6:$K$705,1))</f>
        <v/>
      </c>
      <c r="G34" s="12" t="str">
        <f>IF(OR(A34="",5&gt;'01_Ficha_Dosis'!$C$16),"",COUNTIFS('04_Log_Accesos'!$B$6:$B$705,A34,'04_Log_Accesos'!$I$6:$I$705,5,'04_Log_Accesos'!$K$6:$K$705,1))</f>
        <v/>
      </c>
      <c r="H34" s="12" t="str">
        <f>IF(OR(A34="",6&gt;'01_Ficha_Dosis'!$C$16),"",COUNTIFS('04_Log_Accesos'!$B$6:$B$705,A34,'04_Log_Accesos'!$I$6:$I$705,6,'04_Log_Accesos'!$K$6:$K$705,1))</f>
        <v/>
      </c>
      <c r="I34" s="12" t="str">
        <f>IF(OR(A34="",7&gt;'01_Ficha_Dosis'!$C$16),"",COUNTIFS('04_Log_Accesos'!$B$6:$B$705,A34,'04_Log_Accesos'!$I$6:$I$705,7,'04_Log_Accesos'!$K$6:$K$705,1))</f>
        <v/>
      </c>
      <c r="J34" s="12" t="str">
        <f>IF(OR(A34="",8&gt;'01_Ficha_Dosis'!$C$16),"",COUNTIFS('04_Log_Accesos'!$B$6:$B$705,A34,'04_Log_Accesos'!$I$6:$I$705,8,'04_Log_Accesos'!$K$6:$K$705,1))</f>
        <v/>
      </c>
      <c r="K34" s="25" t="str">
        <f t="shared" si="1"/>
        <v/>
      </c>
      <c r="L34" s="25" t="str">
        <f>IF(A34="","",SUMIFS('04_Log_Accesos'!$L$6:$L$705,'04_Log_Accesos'!$B$6:$B$705,A34))</f>
        <v/>
      </c>
      <c r="M34" s="26" t="str">
        <f t="shared" si="2"/>
        <v/>
      </c>
      <c r="N34" s="27" t="str">
        <f>IF(OR(A34="",B34&lt;&gt;"GE"),"",K34/'01_Ficha_Dosis'!$C$27)</f>
        <v/>
      </c>
      <c r="O34" s="25" t="str">
        <f>IF(N34="","",IF(N34&gt;='01_Ficha_Dosis'!$C$31,"Dosis completa","Bajo umbral"))</f>
        <v/>
      </c>
    </row>
    <row r="35" ht="15.75" customHeight="1">
      <c r="A35" s="12" t="str">
        <f>IF('02_Participantes'!B35="","",'02_Participantes'!B35)</f>
        <v/>
      </c>
      <c r="B35" s="12" t="str">
        <f>IF(A35="","",'02_Participantes'!C35)</f>
        <v/>
      </c>
      <c r="C35" s="12" t="str">
        <f>IF(OR(A35="",1&gt;'01_Ficha_Dosis'!$C$16),"",COUNTIFS('04_Log_Accesos'!$B$6:$B$705,A35,'04_Log_Accesos'!$I$6:$I$705,1,'04_Log_Accesos'!$K$6:$K$705,1))</f>
        <v/>
      </c>
      <c r="D35" s="12" t="str">
        <f>IF(OR(A35="",2&gt;'01_Ficha_Dosis'!$C$16),"",COUNTIFS('04_Log_Accesos'!$B$6:$B$705,A35,'04_Log_Accesos'!$I$6:$I$705,2,'04_Log_Accesos'!$K$6:$K$705,1))</f>
        <v/>
      </c>
      <c r="E35" s="12" t="str">
        <f>IF(OR(A35="",3&gt;'01_Ficha_Dosis'!$C$16),"",COUNTIFS('04_Log_Accesos'!$B$6:$B$705,A35,'04_Log_Accesos'!$I$6:$I$705,3,'04_Log_Accesos'!$K$6:$K$705,1))</f>
        <v/>
      </c>
      <c r="F35" s="12" t="str">
        <f>IF(OR(A35="",4&gt;'01_Ficha_Dosis'!$C$16),"",COUNTIFS('04_Log_Accesos'!$B$6:$B$705,A35,'04_Log_Accesos'!$I$6:$I$705,4,'04_Log_Accesos'!$K$6:$K$705,1))</f>
        <v/>
      </c>
      <c r="G35" s="12" t="str">
        <f>IF(OR(A35="",5&gt;'01_Ficha_Dosis'!$C$16),"",COUNTIFS('04_Log_Accesos'!$B$6:$B$705,A35,'04_Log_Accesos'!$I$6:$I$705,5,'04_Log_Accesos'!$K$6:$K$705,1))</f>
        <v/>
      </c>
      <c r="H35" s="12" t="str">
        <f>IF(OR(A35="",6&gt;'01_Ficha_Dosis'!$C$16),"",COUNTIFS('04_Log_Accesos'!$B$6:$B$705,A35,'04_Log_Accesos'!$I$6:$I$705,6,'04_Log_Accesos'!$K$6:$K$705,1))</f>
        <v/>
      </c>
      <c r="I35" s="12" t="str">
        <f>IF(OR(A35="",7&gt;'01_Ficha_Dosis'!$C$16),"",COUNTIFS('04_Log_Accesos'!$B$6:$B$705,A35,'04_Log_Accesos'!$I$6:$I$705,7,'04_Log_Accesos'!$K$6:$K$705,1))</f>
        <v/>
      </c>
      <c r="J35" s="12" t="str">
        <f>IF(OR(A35="",8&gt;'01_Ficha_Dosis'!$C$16),"",COUNTIFS('04_Log_Accesos'!$B$6:$B$705,A35,'04_Log_Accesos'!$I$6:$I$705,8,'04_Log_Accesos'!$K$6:$K$705,1))</f>
        <v/>
      </c>
      <c r="K35" s="25" t="str">
        <f t="shared" si="1"/>
        <v/>
      </c>
      <c r="L35" s="25" t="str">
        <f>IF(A35="","",SUMIFS('04_Log_Accesos'!$L$6:$L$705,'04_Log_Accesos'!$B$6:$B$705,A35))</f>
        <v/>
      </c>
      <c r="M35" s="26" t="str">
        <f t="shared" si="2"/>
        <v/>
      </c>
      <c r="N35" s="27" t="str">
        <f>IF(OR(A35="",B35&lt;&gt;"GE"),"",K35/'01_Ficha_Dosis'!$C$27)</f>
        <v/>
      </c>
      <c r="O35" s="25" t="str">
        <f>IF(N35="","",IF(N35&gt;='01_Ficha_Dosis'!$C$31,"Dosis completa","Bajo umbral"))</f>
        <v/>
      </c>
    </row>
    <row r="36" ht="15.75" customHeight="1">
      <c r="A36" s="12" t="str">
        <f>IF('02_Participantes'!B36="","",'02_Participantes'!B36)</f>
        <v/>
      </c>
      <c r="B36" s="12" t="str">
        <f>IF(A36="","",'02_Participantes'!C36)</f>
        <v/>
      </c>
      <c r="C36" s="12" t="str">
        <f>IF(OR(A36="",1&gt;'01_Ficha_Dosis'!$C$16),"",COUNTIFS('04_Log_Accesos'!$B$6:$B$705,A36,'04_Log_Accesos'!$I$6:$I$705,1,'04_Log_Accesos'!$K$6:$K$705,1))</f>
        <v/>
      </c>
      <c r="D36" s="12" t="str">
        <f>IF(OR(A36="",2&gt;'01_Ficha_Dosis'!$C$16),"",COUNTIFS('04_Log_Accesos'!$B$6:$B$705,A36,'04_Log_Accesos'!$I$6:$I$705,2,'04_Log_Accesos'!$K$6:$K$705,1))</f>
        <v/>
      </c>
      <c r="E36" s="12" t="str">
        <f>IF(OR(A36="",3&gt;'01_Ficha_Dosis'!$C$16),"",COUNTIFS('04_Log_Accesos'!$B$6:$B$705,A36,'04_Log_Accesos'!$I$6:$I$705,3,'04_Log_Accesos'!$K$6:$K$705,1))</f>
        <v/>
      </c>
      <c r="F36" s="12" t="str">
        <f>IF(OR(A36="",4&gt;'01_Ficha_Dosis'!$C$16),"",COUNTIFS('04_Log_Accesos'!$B$6:$B$705,A36,'04_Log_Accesos'!$I$6:$I$705,4,'04_Log_Accesos'!$K$6:$K$705,1))</f>
        <v/>
      </c>
      <c r="G36" s="12" t="str">
        <f>IF(OR(A36="",5&gt;'01_Ficha_Dosis'!$C$16),"",COUNTIFS('04_Log_Accesos'!$B$6:$B$705,A36,'04_Log_Accesos'!$I$6:$I$705,5,'04_Log_Accesos'!$K$6:$K$705,1))</f>
        <v/>
      </c>
      <c r="H36" s="12" t="str">
        <f>IF(OR(A36="",6&gt;'01_Ficha_Dosis'!$C$16),"",COUNTIFS('04_Log_Accesos'!$B$6:$B$705,A36,'04_Log_Accesos'!$I$6:$I$705,6,'04_Log_Accesos'!$K$6:$K$705,1))</f>
        <v/>
      </c>
      <c r="I36" s="12" t="str">
        <f>IF(OR(A36="",7&gt;'01_Ficha_Dosis'!$C$16),"",COUNTIFS('04_Log_Accesos'!$B$6:$B$705,A36,'04_Log_Accesos'!$I$6:$I$705,7,'04_Log_Accesos'!$K$6:$K$705,1))</f>
        <v/>
      </c>
      <c r="J36" s="12" t="str">
        <f>IF(OR(A36="",8&gt;'01_Ficha_Dosis'!$C$16),"",COUNTIFS('04_Log_Accesos'!$B$6:$B$705,A36,'04_Log_Accesos'!$I$6:$I$705,8,'04_Log_Accesos'!$K$6:$K$705,1))</f>
        <v/>
      </c>
      <c r="K36" s="25" t="str">
        <f t="shared" si="1"/>
        <v/>
      </c>
      <c r="L36" s="25" t="str">
        <f>IF(A36="","",SUMIFS('04_Log_Accesos'!$L$6:$L$705,'04_Log_Accesos'!$B$6:$B$705,A36))</f>
        <v/>
      </c>
      <c r="M36" s="26" t="str">
        <f t="shared" si="2"/>
        <v/>
      </c>
      <c r="N36" s="27" t="str">
        <f>IF(OR(A36="",B36&lt;&gt;"GE"),"",K36/'01_Ficha_Dosis'!$C$27)</f>
        <v/>
      </c>
      <c r="O36" s="25" t="str">
        <f>IF(N36="","",IF(N36&gt;='01_Ficha_Dosis'!$C$31,"Dosis completa","Bajo umbral"))</f>
        <v/>
      </c>
    </row>
    <row r="37" ht="15.75" customHeight="1">
      <c r="A37" s="12" t="str">
        <f>IF('02_Participantes'!B37="","",'02_Participantes'!B37)</f>
        <v/>
      </c>
      <c r="B37" s="12" t="str">
        <f>IF(A37="","",'02_Participantes'!C37)</f>
        <v/>
      </c>
      <c r="C37" s="12" t="str">
        <f>IF(OR(A37="",1&gt;'01_Ficha_Dosis'!$C$16),"",COUNTIFS('04_Log_Accesos'!$B$6:$B$705,A37,'04_Log_Accesos'!$I$6:$I$705,1,'04_Log_Accesos'!$K$6:$K$705,1))</f>
        <v/>
      </c>
      <c r="D37" s="12" t="str">
        <f>IF(OR(A37="",2&gt;'01_Ficha_Dosis'!$C$16),"",COUNTIFS('04_Log_Accesos'!$B$6:$B$705,A37,'04_Log_Accesos'!$I$6:$I$705,2,'04_Log_Accesos'!$K$6:$K$705,1))</f>
        <v/>
      </c>
      <c r="E37" s="12" t="str">
        <f>IF(OR(A37="",3&gt;'01_Ficha_Dosis'!$C$16),"",COUNTIFS('04_Log_Accesos'!$B$6:$B$705,A37,'04_Log_Accesos'!$I$6:$I$705,3,'04_Log_Accesos'!$K$6:$K$705,1))</f>
        <v/>
      </c>
      <c r="F37" s="12" t="str">
        <f>IF(OR(A37="",4&gt;'01_Ficha_Dosis'!$C$16),"",COUNTIFS('04_Log_Accesos'!$B$6:$B$705,A37,'04_Log_Accesos'!$I$6:$I$705,4,'04_Log_Accesos'!$K$6:$K$705,1))</f>
        <v/>
      </c>
      <c r="G37" s="12" t="str">
        <f>IF(OR(A37="",5&gt;'01_Ficha_Dosis'!$C$16),"",COUNTIFS('04_Log_Accesos'!$B$6:$B$705,A37,'04_Log_Accesos'!$I$6:$I$705,5,'04_Log_Accesos'!$K$6:$K$705,1))</f>
        <v/>
      </c>
      <c r="H37" s="12" t="str">
        <f>IF(OR(A37="",6&gt;'01_Ficha_Dosis'!$C$16),"",COUNTIFS('04_Log_Accesos'!$B$6:$B$705,A37,'04_Log_Accesos'!$I$6:$I$705,6,'04_Log_Accesos'!$K$6:$K$705,1))</f>
        <v/>
      </c>
      <c r="I37" s="12" t="str">
        <f>IF(OR(A37="",7&gt;'01_Ficha_Dosis'!$C$16),"",COUNTIFS('04_Log_Accesos'!$B$6:$B$705,A37,'04_Log_Accesos'!$I$6:$I$705,7,'04_Log_Accesos'!$K$6:$K$705,1))</f>
        <v/>
      </c>
      <c r="J37" s="12" t="str">
        <f>IF(OR(A37="",8&gt;'01_Ficha_Dosis'!$C$16),"",COUNTIFS('04_Log_Accesos'!$B$6:$B$705,A37,'04_Log_Accesos'!$I$6:$I$705,8,'04_Log_Accesos'!$K$6:$K$705,1))</f>
        <v/>
      </c>
      <c r="K37" s="25" t="str">
        <f t="shared" si="1"/>
        <v/>
      </c>
      <c r="L37" s="25" t="str">
        <f>IF(A37="","",SUMIFS('04_Log_Accesos'!$L$6:$L$705,'04_Log_Accesos'!$B$6:$B$705,A37))</f>
        <v/>
      </c>
      <c r="M37" s="26" t="str">
        <f t="shared" si="2"/>
        <v/>
      </c>
      <c r="N37" s="27" t="str">
        <f>IF(OR(A37="",B37&lt;&gt;"GE"),"",K37/'01_Ficha_Dosis'!$C$27)</f>
        <v/>
      </c>
      <c r="O37" s="25" t="str">
        <f>IF(N37="","",IF(N37&gt;='01_Ficha_Dosis'!$C$31,"Dosis completa","Bajo umbral"))</f>
        <v/>
      </c>
    </row>
    <row r="38" ht="15.75" customHeight="1">
      <c r="A38" s="12" t="str">
        <f>IF('02_Participantes'!B38="","",'02_Participantes'!B38)</f>
        <v/>
      </c>
      <c r="B38" s="12" t="str">
        <f>IF(A38="","",'02_Participantes'!C38)</f>
        <v/>
      </c>
      <c r="C38" s="12" t="str">
        <f>IF(OR(A38="",1&gt;'01_Ficha_Dosis'!$C$16),"",COUNTIFS('04_Log_Accesos'!$B$6:$B$705,A38,'04_Log_Accesos'!$I$6:$I$705,1,'04_Log_Accesos'!$K$6:$K$705,1))</f>
        <v/>
      </c>
      <c r="D38" s="12" t="str">
        <f>IF(OR(A38="",2&gt;'01_Ficha_Dosis'!$C$16),"",COUNTIFS('04_Log_Accesos'!$B$6:$B$705,A38,'04_Log_Accesos'!$I$6:$I$705,2,'04_Log_Accesos'!$K$6:$K$705,1))</f>
        <v/>
      </c>
      <c r="E38" s="12" t="str">
        <f>IF(OR(A38="",3&gt;'01_Ficha_Dosis'!$C$16),"",COUNTIFS('04_Log_Accesos'!$B$6:$B$705,A38,'04_Log_Accesos'!$I$6:$I$705,3,'04_Log_Accesos'!$K$6:$K$705,1))</f>
        <v/>
      </c>
      <c r="F38" s="12" t="str">
        <f>IF(OR(A38="",4&gt;'01_Ficha_Dosis'!$C$16),"",COUNTIFS('04_Log_Accesos'!$B$6:$B$705,A38,'04_Log_Accesos'!$I$6:$I$705,4,'04_Log_Accesos'!$K$6:$K$705,1))</f>
        <v/>
      </c>
      <c r="G38" s="12" t="str">
        <f>IF(OR(A38="",5&gt;'01_Ficha_Dosis'!$C$16),"",COUNTIFS('04_Log_Accesos'!$B$6:$B$705,A38,'04_Log_Accesos'!$I$6:$I$705,5,'04_Log_Accesos'!$K$6:$K$705,1))</f>
        <v/>
      </c>
      <c r="H38" s="12" t="str">
        <f>IF(OR(A38="",6&gt;'01_Ficha_Dosis'!$C$16),"",COUNTIFS('04_Log_Accesos'!$B$6:$B$705,A38,'04_Log_Accesos'!$I$6:$I$705,6,'04_Log_Accesos'!$K$6:$K$705,1))</f>
        <v/>
      </c>
      <c r="I38" s="12" t="str">
        <f>IF(OR(A38="",7&gt;'01_Ficha_Dosis'!$C$16),"",COUNTIFS('04_Log_Accesos'!$B$6:$B$705,A38,'04_Log_Accesos'!$I$6:$I$705,7,'04_Log_Accesos'!$K$6:$K$705,1))</f>
        <v/>
      </c>
      <c r="J38" s="12" t="str">
        <f>IF(OR(A38="",8&gt;'01_Ficha_Dosis'!$C$16),"",COUNTIFS('04_Log_Accesos'!$B$6:$B$705,A38,'04_Log_Accesos'!$I$6:$I$705,8,'04_Log_Accesos'!$K$6:$K$705,1))</f>
        <v/>
      </c>
      <c r="K38" s="25" t="str">
        <f t="shared" si="1"/>
        <v/>
      </c>
      <c r="L38" s="25" t="str">
        <f>IF(A38="","",SUMIFS('04_Log_Accesos'!$L$6:$L$705,'04_Log_Accesos'!$B$6:$B$705,A38))</f>
        <v/>
      </c>
      <c r="M38" s="26" t="str">
        <f t="shared" si="2"/>
        <v/>
      </c>
      <c r="N38" s="27" t="str">
        <f>IF(OR(A38="",B38&lt;&gt;"GE"),"",K38/'01_Ficha_Dosis'!$C$27)</f>
        <v/>
      </c>
      <c r="O38" s="25" t="str">
        <f>IF(N38="","",IF(N38&gt;='01_Ficha_Dosis'!$C$31,"Dosis completa","Bajo umbral"))</f>
        <v/>
      </c>
    </row>
    <row r="39" ht="15.75" customHeight="1">
      <c r="A39" s="12" t="str">
        <f>IF('02_Participantes'!B39="","",'02_Participantes'!B39)</f>
        <v/>
      </c>
      <c r="B39" s="12" t="str">
        <f>IF(A39="","",'02_Participantes'!C39)</f>
        <v/>
      </c>
      <c r="C39" s="12" t="str">
        <f>IF(OR(A39="",1&gt;'01_Ficha_Dosis'!$C$16),"",COUNTIFS('04_Log_Accesos'!$B$6:$B$705,A39,'04_Log_Accesos'!$I$6:$I$705,1,'04_Log_Accesos'!$K$6:$K$705,1))</f>
        <v/>
      </c>
      <c r="D39" s="12" t="str">
        <f>IF(OR(A39="",2&gt;'01_Ficha_Dosis'!$C$16),"",COUNTIFS('04_Log_Accesos'!$B$6:$B$705,A39,'04_Log_Accesos'!$I$6:$I$705,2,'04_Log_Accesos'!$K$6:$K$705,1))</f>
        <v/>
      </c>
      <c r="E39" s="12" t="str">
        <f>IF(OR(A39="",3&gt;'01_Ficha_Dosis'!$C$16),"",COUNTIFS('04_Log_Accesos'!$B$6:$B$705,A39,'04_Log_Accesos'!$I$6:$I$705,3,'04_Log_Accesos'!$K$6:$K$705,1))</f>
        <v/>
      </c>
      <c r="F39" s="12" t="str">
        <f>IF(OR(A39="",4&gt;'01_Ficha_Dosis'!$C$16),"",COUNTIFS('04_Log_Accesos'!$B$6:$B$705,A39,'04_Log_Accesos'!$I$6:$I$705,4,'04_Log_Accesos'!$K$6:$K$705,1))</f>
        <v/>
      </c>
      <c r="G39" s="12" t="str">
        <f>IF(OR(A39="",5&gt;'01_Ficha_Dosis'!$C$16),"",COUNTIFS('04_Log_Accesos'!$B$6:$B$705,A39,'04_Log_Accesos'!$I$6:$I$705,5,'04_Log_Accesos'!$K$6:$K$705,1))</f>
        <v/>
      </c>
      <c r="H39" s="12" t="str">
        <f>IF(OR(A39="",6&gt;'01_Ficha_Dosis'!$C$16),"",COUNTIFS('04_Log_Accesos'!$B$6:$B$705,A39,'04_Log_Accesos'!$I$6:$I$705,6,'04_Log_Accesos'!$K$6:$K$705,1))</f>
        <v/>
      </c>
      <c r="I39" s="12" t="str">
        <f>IF(OR(A39="",7&gt;'01_Ficha_Dosis'!$C$16),"",COUNTIFS('04_Log_Accesos'!$B$6:$B$705,A39,'04_Log_Accesos'!$I$6:$I$705,7,'04_Log_Accesos'!$K$6:$K$705,1))</f>
        <v/>
      </c>
      <c r="J39" s="12" t="str">
        <f>IF(OR(A39="",8&gt;'01_Ficha_Dosis'!$C$16),"",COUNTIFS('04_Log_Accesos'!$B$6:$B$705,A39,'04_Log_Accesos'!$I$6:$I$705,8,'04_Log_Accesos'!$K$6:$K$705,1))</f>
        <v/>
      </c>
      <c r="K39" s="25" t="str">
        <f t="shared" si="1"/>
        <v/>
      </c>
      <c r="L39" s="25" t="str">
        <f>IF(A39="","",SUMIFS('04_Log_Accesos'!$L$6:$L$705,'04_Log_Accesos'!$B$6:$B$705,A39))</f>
        <v/>
      </c>
      <c r="M39" s="26" t="str">
        <f t="shared" si="2"/>
        <v/>
      </c>
      <c r="N39" s="27" t="str">
        <f>IF(OR(A39="",B39&lt;&gt;"GE"),"",K39/'01_Ficha_Dosis'!$C$27)</f>
        <v/>
      </c>
      <c r="O39" s="25" t="str">
        <f>IF(N39="","",IF(N39&gt;='01_Ficha_Dosis'!$C$31,"Dosis completa","Bajo umbral"))</f>
        <v/>
      </c>
    </row>
    <row r="40" ht="15.75" customHeight="1">
      <c r="A40" s="12" t="str">
        <f>IF('02_Participantes'!B40="","",'02_Participantes'!B40)</f>
        <v/>
      </c>
      <c r="B40" s="12" t="str">
        <f>IF(A40="","",'02_Participantes'!C40)</f>
        <v/>
      </c>
      <c r="C40" s="12" t="str">
        <f>IF(OR(A40="",1&gt;'01_Ficha_Dosis'!$C$16),"",COUNTIFS('04_Log_Accesos'!$B$6:$B$705,A40,'04_Log_Accesos'!$I$6:$I$705,1,'04_Log_Accesos'!$K$6:$K$705,1))</f>
        <v/>
      </c>
      <c r="D40" s="12" t="str">
        <f>IF(OR(A40="",2&gt;'01_Ficha_Dosis'!$C$16),"",COUNTIFS('04_Log_Accesos'!$B$6:$B$705,A40,'04_Log_Accesos'!$I$6:$I$705,2,'04_Log_Accesos'!$K$6:$K$705,1))</f>
        <v/>
      </c>
      <c r="E40" s="12" t="str">
        <f>IF(OR(A40="",3&gt;'01_Ficha_Dosis'!$C$16),"",COUNTIFS('04_Log_Accesos'!$B$6:$B$705,A40,'04_Log_Accesos'!$I$6:$I$705,3,'04_Log_Accesos'!$K$6:$K$705,1))</f>
        <v/>
      </c>
      <c r="F40" s="12" t="str">
        <f>IF(OR(A40="",4&gt;'01_Ficha_Dosis'!$C$16),"",COUNTIFS('04_Log_Accesos'!$B$6:$B$705,A40,'04_Log_Accesos'!$I$6:$I$705,4,'04_Log_Accesos'!$K$6:$K$705,1))</f>
        <v/>
      </c>
      <c r="G40" s="12" t="str">
        <f>IF(OR(A40="",5&gt;'01_Ficha_Dosis'!$C$16),"",COUNTIFS('04_Log_Accesos'!$B$6:$B$705,A40,'04_Log_Accesos'!$I$6:$I$705,5,'04_Log_Accesos'!$K$6:$K$705,1))</f>
        <v/>
      </c>
      <c r="H40" s="12" t="str">
        <f>IF(OR(A40="",6&gt;'01_Ficha_Dosis'!$C$16),"",COUNTIFS('04_Log_Accesos'!$B$6:$B$705,A40,'04_Log_Accesos'!$I$6:$I$705,6,'04_Log_Accesos'!$K$6:$K$705,1))</f>
        <v/>
      </c>
      <c r="I40" s="12" t="str">
        <f>IF(OR(A40="",7&gt;'01_Ficha_Dosis'!$C$16),"",COUNTIFS('04_Log_Accesos'!$B$6:$B$705,A40,'04_Log_Accesos'!$I$6:$I$705,7,'04_Log_Accesos'!$K$6:$K$705,1))</f>
        <v/>
      </c>
      <c r="J40" s="12" t="str">
        <f>IF(OR(A40="",8&gt;'01_Ficha_Dosis'!$C$16),"",COUNTIFS('04_Log_Accesos'!$B$6:$B$705,A40,'04_Log_Accesos'!$I$6:$I$705,8,'04_Log_Accesos'!$K$6:$K$705,1))</f>
        <v/>
      </c>
      <c r="K40" s="25" t="str">
        <f t="shared" si="1"/>
        <v/>
      </c>
      <c r="L40" s="25" t="str">
        <f>IF(A40="","",SUMIFS('04_Log_Accesos'!$L$6:$L$705,'04_Log_Accesos'!$B$6:$B$705,A40))</f>
        <v/>
      </c>
      <c r="M40" s="26" t="str">
        <f t="shared" si="2"/>
        <v/>
      </c>
      <c r="N40" s="27" t="str">
        <f>IF(OR(A40="",B40&lt;&gt;"GE"),"",K40/'01_Ficha_Dosis'!$C$27)</f>
        <v/>
      </c>
      <c r="O40" s="25" t="str">
        <f>IF(N40="","",IF(N40&gt;='01_Ficha_Dosis'!$C$31,"Dosis completa","Bajo umbral"))</f>
        <v/>
      </c>
    </row>
    <row r="41" ht="15.75" customHeight="1">
      <c r="A41" s="12" t="str">
        <f>IF('02_Participantes'!B41="","",'02_Participantes'!B41)</f>
        <v/>
      </c>
      <c r="B41" s="12" t="str">
        <f>IF(A41="","",'02_Participantes'!C41)</f>
        <v/>
      </c>
      <c r="C41" s="12" t="str">
        <f>IF(OR(A41="",1&gt;'01_Ficha_Dosis'!$C$16),"",COUNTIFS('04_Log_Accesos'!$B$6:$B$705,A41,'04_Log_Accesos'!$I$6:$I$705,1,'04_Log_Accesos'!$K$6:$K$705,1))</f>
        <v/>
      </c>
      <c r="D41" s="12" t="str">
        <f>IF(OR(A41="",2&gt;'01_Ficha_Dosis'!$C$16),"",COUNTIFS('04_Log_Accesos'!$B$6:$B$705,A41,'04_Log_Accesos'!$I$6:$I$705,2,'04_Log_Accesos'!$K$6:$K$705,1))</f>
        <v/>
      </c>
      <c r="E41" s="12" t="str">
        <f>IF(OR(A41="",3&gt;'01_Ficha_Dosis'!$C$16),"",COUNTIFS('04_Log_Accesos'!$B$6:$B$705,A41,'04_Log_Accesos'!$I$6:$I$705,3,'04_Log_Accesos'!$K$6:$K$705,1))</f>
        <v/>
      </c>
      <c r="F41" s="12" t="str">
        <f>IF(OR(A41="",4&gt;'01_Ficha_Dosis'!$C$16),"",COUNTIFS('04_Log_Accesos'!$B$6:$B$705,A41,'04_Log_Accesos'!$I$6:$I$705,4,'04_Log_Accesos'!$K$6:$K$705,1))</f>
        <v/>
      </c>
      <c r="G41" s="12" t="str">
        <f>IF(OR(A41="",5&gt;'01_Ficha_Dosis'!$C$16),"",COUNTIFS('04_Log_Accesos'!$B$6:$B$705,A41,'04_Log_Accesos'!$I$6:$I$705,5,'04_Log_Accesos'!$K$6:$K$705,1))</f>
        <v/>
      </c>
      <c r="H41" s="12" t="str">
        <f>IF(OR(A41="",6&gt;'01_Ficha_Dosis'!$C$16),"",COUNTIFS('04_Log_Accesos'!$B$6:$B$705,A41,'04_Log_Accesos'!$I$6:$I$705,6,'04_Log_Accesos'!$K$6:$K$705,1))</f>
        <v/>
      </c>
      <c r="I41" s="12" t="str">
        <f>IF(OR(A41="",7&gt;'01_Ficha_Dosis'!$C$16),"",COUNTIFS('04_Log_Accesos'!$B$6:$B$705,A41,'04_Log_Accesos'!$I$6:$I$705,7,'04_Log_Accesos'!$K$6:$K$705,1))</f>
        <v/>
      </c>
      <c r="J41" s="12" t="str">
        <f>IF(OR(A41="",8&gt;'01_Ficha_Dosis'!$C$16),"",COUNTIFS('04_Log_Accesos'!$B$6:$B$705,A41,'04_Log_Accesos'!$I$6:$I$705,8,'04_Log_Accesos'!$K$6:$K$705,1))</f>
        <v/>
      </c>
      <c r="K41" s="25" t="str">
        <f t="shared" si="1"/>
        <v/>
      </c>
      <c r="L41" s="25" t="str">
        <f>IF(A41="","",SUMIFS('04_Log_Accesos'!$L$6:$L$705,'04_Log_Accesos'!$B$6:$B$705,A41))</f>
        <v/>
      </c>
      <c r="M41" s="26" t="str">
        <f t="shared" si="2"/>
        <v/>
      </c>
      <c r="N41" s="27" t="str">
        <f>IF(OR(A41="",B41&lt;&gt;"GE"),"",K41/'01_Ficha_Dosis'!$C$27)</f>
        <v/>
      </c>
      <c r="O41" s="25" t="str">
        <f>IF(N41="","",IF(N41&gt;='01_Ficha_Dosis'!$C$31,"Dosis completa","Bajo umbral"))</f>
        <v/>
      </c>
    </row>
    <row r="42" ht="15.75" customHeight="1">
      <c r="A42" s="12" t="str">
        <f>IF('02_Participantes'!B42="","",'02_Participantes'!B42)</f>
        <v/>
      </c>
      <c r="B42" s="12" t="str">
        <f>IF(A42="","",'02_Participantes'!C42)</f>
        <v/>
      </c>
      <c r="C42" s="12" t="str">
        <f>IF(OR(A42="",1&gt;'01_Ficha_Dosis'!$C$16),"",COUNTIFS('04_Log_Accesos'!$B$6:$B$705,A42,'04_Log_Accesos'!$I$6:$I$705,1,'04_Log_Accesos'!$K$6:$K$705,1))</f>
        <v/>
      </c>
      <c r="D42" s="12" t="str">
        <f>IF(OR(A42="",2&gt;'01_Ficha_Dosis'!$C$16),"",COUNTIFS('04_Log_Accesos'!$B$6:$B$705,A42,'04_Log_Accesos'!$I$6:$I$705,2,'04_Log_Accesos'!$K$6:$K$705,1))</f>
        <v/>
      </c>
      <c r="E42" s="12" t="str">
        <f>IF(OR(A42="",3&gt;'01_Ficha_Dosis'!$C$16),"",COUNTIFS('04_Log_Accesos'!$B$6:$B$705,A42,'04_Log_Accesos'!$I$6:$I$705,3,'04_Log_Accesos'!$K$6:$K$705,1))</f>
        <v/>
      </c>
      <c r="F42" s="12" t="str">
        <f>IF(OR(A42="",4&gt;'01_Ficha_Dosis'!$C$16),"",COUNTIFS('04_Log_Accesos'!$B$6:$B$705,A42,'04_Log_Accesos'!$I$6:$I$705,4,'04_Log_Accesos'!$K$6:$K$705,1))</f>
        <v/>
      </c>
      <c r="G42" s="12" t="str">
        <f>IF(OR(A42="",5&gt;'01_Ficha_Dosis'!$C$16),"",COUNTIFS('04_Log_Accesos'!$B$6:$B$705,A42,'04_Log_Accesos'!$I$6:$I$705,5,'04_Log_Accesos'!$K$6:$K$705,1))</f>
        <v/>
      </c>
      <c r="H42" s="12" t="str">
        <f>IF(OR(A42="",6&gt;'01_Ficha_Dosis'!$C$16),"",COUNTIFS('04_Log_Accesos'!$B$6:$B$705,A42,'04_Log_Accesos'!$I$6:$I$705,6,'04_Log_Accesos'!$K$6:$K$705,1))</f>
        <v/>
      </c>
      <c r="I42" s="12" t="str">
        <f>IF(OR(A42="",7&gt;'01_Ficha_Dosis'!$C$16),"",COUNTIFS('04_Log_Accesos'!$B$6:$B$705,A42,'04_Log_Accesos'!$I$6:$I$705,7,'04_Log_Accesos'!$K$6:$K$705,1))</f>
        <v/>
      </c>
      <c r="J42" s="12" t="str">
        <f>IF(OR(A42="",8&gt;'01_Ficha_Dosis'!$C$16),"",COUNTIFS('04_Log_Accesos'!$B$6:$B$705,A42,'04_Log_Accesos'!$I$6:$I$705,8,'04_Log_Accesos'!$K$6:$K$705,1))</f>
        <v/>
      </c>
      <c r="K42" s="25" t="str">
        <f t="shared" si="1"/>
        <v/>
      </c>
      <c r="L42" s="25" t="str">
        <f>IF(A42="","",SUMIFS('04_Log_Accesos'!$L$6:$L$705,'04_Log_Accesos'!$B$6:$B$705,A42))</f>
        <v/>
      </c>
      <c r="M42" s="26" t="str">
        <f t="shared" si="2"/>
        <v/>
      </c>
      <c r="N42" s="27" t="str">
        <f>IF(OR(A42="",B42&lt;&gt;"GE"),"",K42/'01_Ficha_Dosis'!$C$27)</f>
        <v/>
      </c>
      <c r="O42" s="25" t="str">
        <f>IF(N42="","",IF(N42&gt;='01_Ficha_Dosis'!$C$31,"Dosis completa","Bajo umbral"))</f>
        <v/>
      </c>
    </row>
    <row r="43" ht="15.75" customHeight="1">
      <c r="A43" s="12" t="str">
        <f>IF('02_Participantes'!B43="","",'02_Participantes'!B43)</f>
        <v/>
      </c>
      <c r="B43" s="12" t="str">
        <f>IF(A43="","",'02_Participantes'!C43)</f>
        <v/>
      </c>
      <c r="C43" s="12" t="str">
        <f>IF(OR(A43="",1&gt;'01_Ficha_Dosis'!$C$16),"",COUNTIFS('04_Log_Accesos'!$B$6:$B$705,A43,'04_Log_Accesos'!$I$6:$I$705,1,'04_Log_Accesos'!$K$6:$K$705,1))</f>
        <v/>
      </c>
      <c r="D43" s="12" t="str">
        <f>IF(OR(A43="",2&gt;'01_Ficha_Dosis'!$C$16),"",COUNTIFS('04_Log_Accesos'!$B$6:$B$705,A43,'04_Log_Accesos'!$I$6:$I$705,2,'04_Log_Accesos'!$K$6:$K$705,1))</f>
        <v/>
      </c>
      <c r="E43" s="12" t="str">
        <f>IF(OR(A43="",3&gt;'01_Ficha_Dosis'!$C$16),"",COUNTIFS('04_Log_Accesos'!$B$6:$B$705,A43,'04_Log_Accesos'!$I$6:$I$705,3,'04_Log_Accesos'!$K$6:$K$705,1))</f>
        <v/>
      </c>
      <c r="F43" s="12" t="str">
        <f>IF(OR(A43="",4&gt;'01_Ficha_Dosis'!$C$16),"",COUNTIFS('04_Log_Accesos'!$B$6:$B$705,A43,'04_Log_Accesos'!$I$6:$I$705,4,'04_Log_Accesos'!$K$6:$K$705,1))</f>
        <v/>
      </c>
      <c r="G43" s="12" t="str">
        <f>IF(OR(A43="",5&gt;'01_Ficha_Dosis'!$C$16),"",COUNTIFS('04_Log_Accesos'!$B$6:$B$705,A43,'04_Log_Accesos'!$I$6:$I$705,5,'04_Log_Accesos'!$K$6:$K$705,1))</f>
        <v/>
      </c>
      <c r="H43" s="12" t="str">
        <f>IF(OR(A43="",6&gt;'01_Ficha_Dosis'!$C$16),"",COUNTIFS('04_Log_Accesos'!$B$6:$B$705,A43,'04_Log_Accesos'!$I$6:$I$705,6,'04_Log_Accesos'!$K$6:$K$705,1))</f>
        <v/>
      </c>
      <c r="I43" s="12" t="str">
        <f>IF(OR(A43="",7&gt;'01_Ficha_Dosis'!$C$16),"",COUNTIFS('04_Log_Accesos'!$B$6:$B$705,A43,'04_Log_Accesos'!$I$6:$I$705,7,'04_Log_Accesos'!$K$6:$K$705,1))</f>
        <v/>
      </c>
      <c r="J43" s="12" t="str">
        <f>IF(OR(A43="",8&gt;'01_Ficha_Dosis'!$C$16),"",COUNTIFS('04_Log_Accesos'!$B$6:$B$705,A43,'04_Log_Accesos'!$I$6:$I$705,8,'04_Log_Accesos'!$K$6:$K$705,1))</f>
        <v/>
      </c>
      <c r="K43" s="25" t="str">
        <f t="shared" si="1"/>
        <v/>
      </c>
      <c r="L43" s="25" t="str">
        <f>IF(A43="","",SUMIFS('04_Log_Accesos'!$L$6:$L$705,'04_Log_Accesos'!$B$6:$B$705,A43))</f>
        <v/>
      </c>
      <c r="M43" s="26" t="str">
        <f t="shared" si="2"/>
        <v/>
      </c>
      <c r="N43" s="27" t="str">
        <f>IF(OR(A43="",B43&lt;&gt;"GE"),"",K43/'01_Ficha_Dosis'!$C$27)</f>
        <v/>
      </c>
      <c r="O43" s="25" t="str">
        <f>IF(N43="","",IF(N43&gt;='01_Ficha_Dosis'!$C$31,"Dosis completa","Bajo umbral"))</f>
        <v/>
      </c>
    </row>
    <row r="44" ht="15.75" customHeight="1">
      <c r="A44" s="12" t="str">
        <f>IF('02_Participantes'!B44="","",'02_Participantes'!B44)</f>
        <v/>
      </c>
      <c r="B44" s="12" t="str">
        <f>IF(A44="","",'02_Participantes'!C44)</f>
        <v/>
      </c>
      <c r="C44" s="12" t="str">
        <f>IF(OR(A44="",1&gt;'01_Ficha_Dosis'!$C$16),"",COUNTIFS('04_Log_Accesos'!$B$6:$B$705,A44,'04_Log_Accesos'!$I$6:$I$705,1,'04_Log_Accesos'!$K$6:$K$705,1))</f>
        <v/>
      </c>
      <c r="D44" s="12" t="str">
        <f>IF(OR(A44="",2&gt;'01_Ficha_Dosis'!$C$16),"",COUNTIFS('04_Log_Accesos'!$B$6:$B$705,A44,'04_Log_Accesos'!$I$6:$I$705,2,'04_Log_Accesos'!$K$6:$K$705,1))</f>
        <v/>
      </c>
      <c r="E44" s="12" t="str">
        <f>IF(OR(A44="",3&gt;'01_Ficha_Dosis'!$C$16),"",COUNTIFS('04_Log_Accesos'!$B$6:$B$705,A44,'04_Log_Accesos'!$I$6:$I$705,3,'04_Log_Accesos'!$K$6:$K$705,1))</f>
        <v/>
      </c>
      <c r="F44" s="12" t="str">
        <f>IF(OR(A44="",4&gt;'01_Ficha_Dosis'!$C$16),"",COUNTIFS('04_Log_Accesos'!$B$6:$B$705,A44,'04_Log_Accesos'!$I$6:$I$705,4,'04_Log_Accesos'!$K$6:$K$705,1))</f>
        <v/>
      </c>
      <c r="G44" s="12" t="str">
        <f>IF(OR(A44="",5&gt;'01_Ficha_Dosis'!$C$16),"",COUNTIFS('04_Log_Accesos'!$B$6:$B$705,A44,'04_Log_Accesos'!$I$6:$I$705,5,'04_Log_Accesos'!$K$6:$K$705,1))</f>
        <v/>
      </c>
      <c r="H44" s="12" t="str">
        <f>IF(OR(A44="",6&gt;'01_Ficha_Dosis'!$C$16),"",COUNTIFS('04_Log_Accesos'!$B$6:$B$705,A44,'04_Log_Accesos'!$I$6:$I$705,6,'04_Log_Accesos'!$K$6:$K$705,1))</f>
        <v/>
      </c>
      <c r="I44" s="12" t="str">
        <f>IF(OR(A44="",7&gt;'01_Ficha_Dosis'!$C$16),"",COUNTIFS('04_Log_Accesos'!$B$6:$B$705,A44,'04_Log_Accesos'!$I$6:$I$705,7,'04_Log_Accesos'!$K$6:$K$705,1))</f>
        <v/>
      </c>
      <c r="J44" s="12" t="str">
        <f>IF(OR(A44="",8&gt;'01_Ficha_Dosis'!$C$16),"",COUNTIFS('04_Log_Accesos'!$B$6:$B$705,A44,'04_Log_Accesos'!$I$6:$I$705,8,'04_Log_Accesos'!$K$6:$K$705,1))</f>
        <v/>
      </c>
      <c r="K44" s="25" t="str">
        <f t="shared" si="1"/>
        <v/>
      </c>
      <c r="L44" s="25" t="str">
        <f>IF(A44="","",SUMIFS('04_Log_Accesos'!$L$6:$L$705,'04_Log_Accesos'!$B$6:$B$705,A44))</f>
        <v/>
      </c>
      <c r="M44" s="26" t="str">
        <f t="shared" si="2"/>
        <v/>
      </c>
      <c r="N44" s="27" t="str">
        <f>IF(OR(A44="",B44&lt;&gt;"GE"),"",K44/'01_Ficha_Dosis'!$C$27)</f>
        <v/>
      </c>
      <c r="O44" s="25" t="str">
        <f>IF(N44="","",IF(N44&gt;='01_Ficha_Dosis'!$C$31,"Dosis completa","Bajo umbral"))</f>
        <v/>
      </c>
    </row>
    <row r="45" ht="15.75" customHeight="1">
      <c r="A45" s="12" t="str">
        <f>IF('02_Participantes'!B45="","",'02_Participantes'!B45)</f>
        <v/>
      </c>
      <c r="B45" s="12" t="str">
        <f>IF(A45="","",'02_Participantes'!C45)</f>
        <v/>
      </c>
      <c r="C45" s="12" t="str">
        <f>IF(OR(A45="",1&gt;'01_Ficha_Dosis'!$C$16),"",COUNTIFS('04_Log_Accesos'!$B$6:$B$705,A45,'04_Log_Accesos'!$I$6:$I$705,1,'04_Log_Accesos'!$K$6:$K$705,1))</f>
        <v/>
      </c>
      <c r="D45" s="12" t="str">
        <f>IF(OR(A45="",2&gt;'01_Ficha_Dosis'!$C$16),"",COUNTIFS('04_Log_Accesos'!$B$6:$B$705,A45,'04_Log_Accesos'!$I$6:$I$705,2,'04_Log_Accesos'!$K$6:$K$705,1))</f>
        <v/>
      </c>
      <c r="E45" s="12" t="str">
        <f>IF(OR(A45="",3&gt;'01_Ficha_Dosis'!$C$16),"",COUNTIFS('04_Log_Accesos'!$B$6:$B$705,A45,'04_Log_Accesos'!$I$6:$I$705,3,'04_Log_Accesos'!$K$6:$K$705,1))</f>
        <v/>
      </c>
      <c r="F45" s="12" t="str">
        <f>IF(OR(A45="",4&gt;'01_Ficha_Dosis'!$C$16),"",COUNTIFS('04_Log_Accesos'!$B$6:$B$705,A45,'04_Log_Accesos'!$I$6:$I$705,4,'04_Log_Accesos'!$K$6:$K$705,1))</f>
        <v/>
      </c>
      <c r="G45" s="12" t="str">
        <f>IF(OR(A45="",5&gt;'01_Ficha_Dosis'!$C$16),"",COUNTIFS('04_Log_Accesos'!$B$6:$B$705,A45,'04_Log_Accesos'!$I$6:$I$705,5,'04_Log_Accesos'!$K$6:$K$705,1))</f>
        <v/>
      </c>
      <c r="H45" s="12" t="str">
        <f>IF(OR(A45="",6&gt;'01_Ficha_Dosis'!$C$16),"",COUNTIFS('04_Log_Accesos'!$B$6:$B$705,A45,'04_Log_Accesos'!$I$6:$I$705,6,'04_Log_Accesos'!$K$6:$K$705,1))</f>
        <v/>
      </c>
      <c r="I45" s="12" t="str">
        <f>IF(OR(A45="",7&gt;'01_Ficha_Dosis'!$C$16),"",COUNTIFS('04_Log_Accesos'!$B$6:$B$705,A45,'04_Log_Accesos'!$I$6:$I$705,7,'04_Log_Accesos'!$K$6:$K$705,1))</f>
        <v/>
      </c>
      <c r="J45" s="12" t="str">
        <f>IF(OR(A45="",8&gt;'01_Ficha_Dosis'!$C$16),"",COUNTIFS('04_Log_Accesos'!$B$6:$B$705,A45,'04_Log_Accesos'!$I$6:$I$705,8,'04_Log_Accesos'!$K$6:$K$705,1))</f>
        <v/>
      </c>
      <c r="K45" s="25" t="str">
        <f t="shared" si="1"/>
        <v/>
      </c>
      <c r="L45" s="25" t="str">
        <f>IF(A45="","",SUMIFS('04_Log_Accesos'!$L$6:$L$705,'04_Log_Accesos'!$B$6:$B$705,A45))</f>
        <v/>
      </c>
      <c r="M45" s="26" t="str">
        <f t="shared" si="2"/>
        <v/>
      </c>
      <c r="N45" s="27" t="str">
        <f>IF(OR(A45="",B45&lt;&gt;"GE"),"",K45/'01_Ficha_Dosis'!$C$27)</f>
        <v/>
      </c>
      <c r="O45" s="25" t="str">
        <f>IF(N45="","",IF(N45&gt;='01_Ficha_Dosis'!$C$31,"Dosis completa","Bajo umbral"))</f>
        <v/>
      </c>
    </row>
    <row r="46" ht="15.75" customHeight="1">
      <c r="A46" s="12" t="str">
        <f>IF('02_Participantes'!B46="","",'02_Participantes'!B46)</f>
        <v/>
      </c>
      <c r="B46" s="12" t="str">
        <f>IF(A46="","",'02_Participantes'!C46)</f>
        <v/>
      </c>
      <c r="C46" s="12" t="str">
        <f>IF(OR(A46="",1&gt;'01_Ficha_Dosis'!$C$16),"",COUNTIFS('04_Log_Accesos'!$B$6:$B$705,A46,'04_Log_Accesos'!$I$6:$I$705,1,'04_Log_Accesos'!$K$6:$K$705,1))</f>
        <v/>
      </c>
      <c r="D46" s="12" t="str">
        <f>IF(OR(A46="",2&gt;'01_Ficha_Dosis'!$C$16),"",COUNTIFS('04_Log_Accesos'!$B$6:$B$705,A46,'04_Log_Accesos'!$I$6:$I$705,2,'04_Log_Accesos'!$K$6:$K$705,1))</f>
        <v/>
      </c>
      <c r="E46" s="12" t="str">
        <f>IF(OR(A46="",3&gt;'01_Ficha_Dosis'!$C$16),"",COUNTIFS('04_Log_Accesos'!$B$6:$B$705,A46,'04_Log_Accesos'!$I$6:$I$705,3,'04_Log_Accesos'!$K$6:$K$705,1))</f>
        <v/>
      </c>
      <c r="F46" s="12" t="str">
        <f>IF(OR(A46="",4&gt;'01_Ficha_Dosis'!$C$16),"",COUNTIFS('04_Log_Accesos'!$B$6:$B$705,A46,'04_Log_Accesos'!$I$6:$I$705,4,'04_Log_Accesos'!$K$6:$K$705,1))</f>
        <v/>
      </c>
      <c r="G46" s="12" t="str">
        <f>IF(OR(A46="",5&gt;'01_Ficha_Dosis'!$C$16),"",COUNTIFS('04_Log_Accesos'!$B$6:$B$705,A46,'04_Log_Accesos'!$I$6:$I$705,5,'04_Log_Accesos'!$K$6:$K$705,1))</f>
        <v/>
      </c>
      <c r="H46" s="12" t="str">
        <f>IF(OR(A46="",6&gt;'01_Ficha_Dosis'!$C$16),"",COUNTIFS('04_Log_Accesos'!$B$6:$B$705,A46,'04_Log_Accesos'!$I$6:$I$705,6,'04_Log_Accesos'!$K$6:$K$705,1))</f>
        <v/>
      </c>
      <c r="I46" s="12" t="str">
        <f>IF(OR(A46="",7&gt;'01_Ficha_Dosis'!$C$16),"",COUNTIFS('04_Log_Accesos'!$B$6:$B$705,A46,'04_Log_Accesos'!$I$6:$I$705,7,'04_Log_Accesos'!$K$6:$K$705,1))</f>
        <v/>
      </c>
      <c r="J46" s="12" t="str">
        <f>IF(OR(A46="",8&gt;'01_Ficha_Dosis'!$C$16),"",COUNTIFS('04_Log_Accesos'!$B$6:$B$705,A46,'04_Log_Accesos'!$I$6:$I$705,8,'04_Log_Accesos'!$K$6:$K$705,1))</f>
        <v/>
      </c>
      <c r="K46" s="25" t="str">
        <f t="shared" si="1"/>
        <v/>
      </c>
      <c r="L46" s="25" t="str">
        <f>IF(A46="","",SUMIFS('04_Log_Accesos'!$L$6:$L$705,'04_Log_Accesos'!$B$6:$B$705,A46))</f>
        <v/>
      </c>
      <c r="M46" s="26" t="str">
        <f t="shared" si="2"/>
        <v/>
      </c>
      <c r="N46" s="27" t="str">
        <f>IF(OR(A46="",B46&lt;&gt;"GE"),"",K46/'01_Ficha_Dosis'!$C$27)</f>
        <v/>
      </c>
      <c r="O46" s="25" t="str">
        <f>IF(N46="","",IF(N46&gt;='01_Ficha_Dosis'!$C$31,"Dosis completa","Bajo umbral"))</f>
        <v/>
      </c>
    </row>
    <row r="47" ht="15.75" customHeight="1">
      <c r="A47" s="12" t="str">
        <f>IF('02_Participantes'!B47="","",'02_Participantes'!B47)</f>
        <v/>
      </c>
      <c r="B47" s="12" t="str">
        <f>IF(A47="","",'02_Participantes'!C47)</f>
        <v/>
      </c>
      <c r="C47" s="12" t="str">
        <f>IF(OR(A47="",1&gt;'01_Ficha_Dosis'!$C$16),"",COUNTIFS('04_Log_Accesos'!$B$6:$B$705,A47,'04_Log_Accesos'!$I$6:$I$705,1,'04_Log_Accesos'!$K$6:$K$705,1))</f>
        <v/>
      </c>
      <c r="D47" s="12" t="str">
        <f>IF(OR(A47="",2&gt;'01_Ficha_Dosis'!$C$16),"",COUNTIFS('04_Log_Accesos'!$B$6:$B$705,A47,'04_Log_Accesos'!$I$6:$I$705,2,'04_Log_Accesos'!$K$6:$K$705,1))</f>
        <v/>
      </c>
      <c r="E47" s="12" t="str">
        <f>IF(OR(A47="",3&gt;'01_Ficha_Dosis'!$C$16),"",COUNTIFS('04_Log_Accesos'!$B$6:$B$705,A47,'04_Log_Accesos'!$I$6:$I$705,3,'04_Log_Accesos'!$K$6:$K$705,1))</f>
        <v/>
      </c>
      <c r="F47" s="12" t="str">
        <f>IF(OR(A47="",4&gt;'01_Ficha_Dosis'!$C$16),"",COUNTIFS('04_Log_Accesos'!$B$6:$B$705,A47,'04_Log_Accesos'!$I$6:$I$705,4,'04_Log_Accesos'!$K$6:$K$705,1))</f>
        <v/>
      </c>
      <c r="G47" s="12" t="str">
        <f>IF(OR(A47="",5&gt;'01_Ficha_Dosis'!$C$16),"",COUNTIFS('04_Log_Accesos'!$B$6:$B$705,A47,'04_Log_Accesos'!$I$6:$I$705,5,'04_Log_Accesos'!$K$6:$K$705,1))</f>
        <v/>
      </c>
      <c r="H47" s="12" t="str">
        <f>IF(OR(A47="",6&gt;'01_Ficha_Dosis'!$C$16),"",COUNTIFS('04_Log_Accesos'!$B$6:$B$705,A47,'04_Log_Accesos'!$I$6:$I$705,6,'04_Log_Accesos'!$K$6:$K$705,1))</f>
        <v/>
      </c>
      <c r="I47" s="12" t="str">
        <f>IF(OR(A47="",7&gt;'01_Ficha_Dosis'!$C$16),"",COUNTIFS('04_Log_Accesos'!$B$6:$B$705,A47,'04_Log_Accesos'!$I$6:$I$705,7,'04_Log_Accesos'!$K$6:$K$705,1))</f>
        <v/>
      </c>
      <c r="J47" s="12" t="str">
        <f>IF(OR(A47="",8&gt;'01_Ficha_Dosis'!$C$16),"",COUNTIFS('04_Log_Accesos'!$B$6:$B$705,A47,'04_Log_Accesos'!$I$6:$I$705,8,'04_Log_Accesos'!$K$6:$K$705,1))</f>
        <v/>
      </c>
      <c r="K47" s="25" t="str">
        <f t="shared" si="1"/>
        <v/>
      </c>
      <c r="L47" s="25" t="str">
        <f>IF(A47="","",SUMIFS('04_Log_Accesos'!$L$6:$L$705,'04_Log_Accesos'!$B$6:$B$705,A47))</f>
        <v/>
      </c>
      <c r="M47" s="26" t="str">
        <f t="shared" si="2"/>
        <v/>
      </c>
      <c r="N47" s="27" t="str">
        <f>IF(OR(A47="",B47&lt;&gt;"GE"),"",K47/'01_Ficha_Dosis'!$C$27)</f>
        <v/>
      </c>
      <c r="O47" s="25" t="str">
        <f>IF(N47="","",IF(N47&gt;='01_Ficha_Dosis'!$C$31,"Dosis completa","Bajo umbral"))</f>
        <v/>
      </c>
    </row>
    <row r="48" ht="15.75" customHeight="1">
      <c r="A48" s="12" t="str">
        <f>IF('02_Participantes'!B48="","",'02_Participantes'!B48)</f>
        <v/>
      </c>
      <c r="B48" s="12" t="str">
        <f>IF(A48="","",'02_Participantes'!C48)</f>
        <v/>
      </c>
      <c r="C48" s="12" t="str">
        <f>IF(OR(A48="",1&gt;'01_Ficha_Dosis'!$C$16),"",COUNTIFS('04_Log_Accesos'!$B$6:$B$705,A48,'04_Log_Accesos'!$I$6:$I$705,1,'04_Log_Accesos'!$K$6:$K$705,1))</f>
        <v/>
      </c>
      <c r="D48" s="12" t="str">
        <f>IF(OR(A48="",2&gt;'01_Ficha_Dosis'!$C$16),"",COUNTIFS('04_Log_Accesos'!$B$6:$B$705,A48,'04_Log_Accesos'!$I$6:$I$705,2,'04_Log_Accesos'!$K$6:$K$705,1))</f>
        <v/>
      </c>
      <c r="E48" s="12" t="str">
        <f>IF(OR(A48="",3&gt;'01_Ficha_Dosis'!$C$16),"",COUNTIFS('04_Log_Accesos'!$B$6:$B$705,A48,'04_Log_Accesos'!$I$6:$I$705,3,'04_Log_Accesos'!$K$6:$K$705,1))</f>
        <v/>
      </c>
      <c r="F48" s="12" t="str">
        <f>IF(OR(A48="",4&gt;'01_Ficha_Dosis'!$C$16),"",COUNTIFS('04_Log_Accesos'!$B$6:$B$705,A48,'04_Log_Accesos'!$I$6:$I$705,4,'04_Log_Accesos'!$K$6:$K$705,1))</f>
        <v/>
      </c>
      <c r="G48" s="12" t="str">
        <f>IF(OR(A48="",5&gt;'01_Ficha_Dosis'!$C$16),"",COUNTIFS('04_Log_Accesos'!$B$6:$B$705,A48,'04_Log_Accesos'!$I$6:$I$705,5,'04_Log_Accesos'!$K$6:$K$705,1))</f>
        <v/>
      </c>
      <c r="H48" s="12" t="str">
        <f>IF(OR(A48="",6&gt;'01_Ficha_Dosis'!$C$16),"",COUNTIFS('04_Log_Accesos'!$B$6:$B$705,A48,'04_Log_Accesos'!$I$6:$I$705,6,'04_Log_Accesos'!$K$6:$K$705,1))</f>
        <v/>
      </c>
      <c r="I48" s="12" t="str">
        <f>IF(OR(A48="",7&gt;'01_Ficha_Dosis'!$C$16),"",COUNTIFS('04_Log_Accesos'!$B$6:$B$705,A48,'04_Log_Accesos'!$I$6:$I$705,7,'04_Log_Accesos'!$K$6:$K$705,1))</f>
        <v/>
      </c>
      <c r="J48" s="12" t="str">
        <f>IF(OR(A48="",8&gt;'01_Ficha_Dosis'!$C$16),"",COUNTIFS('04_Log_Accesos'!$B$6:$B$705,A48,'04_Log_Accesos'!$I$6:$I$705,8,'04_Log_Accesos'!$K$6:$K$705,1))</f>
        <v/>
      </c>
      <c r="K48" s="25" t="str">
        <f t="shared" si="1"/>
        <v/>
      </c>
      <c r="L48" s="25" t="str">
        <f>IF(A48="","",SUMIFS('04_Log_Accesos'!$L$6:$L$705,'04_Log_Accesos'!$B$6:$B$705,A48))</f>
        <v/>
      </c>
      <c r="M48" s="26" t="str">
        <f t="shared" si="2"/>
        <v/>
      </c>
      <c r="N48" s="27" t="str">
        <f>IF(OR(A48="",B48&lt;&gt;"GE"),"",K48/'01_Ficha_Dosis'!$C$27)</f>
        <v/>
      </c>
      <c r="O48" s="25" t="str">
        <f>IF(N48="","",IF(N48&gt;='01_Ficha_Dosis'!$C$31,"Dosis completa","Bajo umbral"))</f>
        <v/>
      </c>
    </row>
    <row r="49" ht="15.75" customHeight="1">
      <c r="A49" s="12" t="str">
        <f>IF('02_Participantes'!B49="","",'02_Participantes'!B49)</f>
        <v/>
      </c>
      <c r="B49" s="12" t="str">
        <f>IF(A49="","",'02_Participantes'!C49)</f>
        <v/>
      </c>
      <c r="C49" s="12" t="str">
        <f>IF(OR(A49="",1&gt;'01_Ficha_Dosis'!$C$16),"",COUNTIFS('04_Log_Accesos'!$B$6:$B$705,A49,'04_Log_Accesos'!$I$6:$I$705,1,'04_Log_Accesos'!$K$6:$K$705,1))</f>
        <v/>
      </c>
      <c r="D49" s="12" t="str">
        <f>IF(OR(A49="",2&gt;'01_Ficha_Dosis'!$C$16),"",COUNTIFS('04_Log_Accesos'!$B$6:$B$705,A49,'04_Log_Accesos'!$I$6:$I$705,2,'04_Log_Accesos'!$K$6:$K$705,1))</f>
        <v/>
      </c>
      <c r="E49" s="12" t="str">
        <f>IF(OR(A49="",3&gt;'01_Ficha_Dosis'!$C$16),"",COUNTIFS('04_Log_Accesos'!$B$6:$B$705,A49,'04_Log_Accesos'!$I$6:$I$705,3,'04_Log_Accesos'!$K$6:$K$705,1))</f>
        <v/>
      </c>
      <c r="F49" s="12" t="str">
        <f>IF(OR(A49="",4&gt;'01_Ficha_Dosis'!$C$16),"",COUNTIFS('04_Log_Accesos'!$B$6:$B$705,A49,'04_Log_Accesos'!$I$6:$I$705,4,'04_Log_Accesos'!$K$6:$K$705,1))</f>
        <v/>
      </c>
      <c r="G49" s="12" t="str">
        <f>IF(OR(A49="",5&gt;'01_Ficha_Dosis'!$C$16),"",COUNTIFS('04_Log_Accesos'!$B$6:$B$705,A49,'04_Log_Accesos'!$I$6:$I$705,5,'04_Log_Accesos'!$K$6:$K$705,1))</f>
        <v/>
      </c>
      <c r="H49" s="12" t="str">
        <f>IF(OR(A49="",6&gt;'01_Ficha_Dosis'!$C$16),"",COUNTIFS('04_Log_Accesos'!$B$6:$B$705,A49,'04_Log_Accesos'!$I$6:$I$705,6,'04_Log_Accesos'!$K$6:$K$705,1))</f>
        <v/>
      </c>
      <c r="I49" s="12" t="str">
        <f>IF(OR(A49="",7&gt;'01_Ficha_Dosis'!$C$16),"",COUNTIFS('04_Log_Accesos'!$B$6:$B$705,A49,'04_Log_Accesos'!$I$6:$I$705,7,'04_Log_Accesos'!$K$6:$K$705,1))</f>
        <v/>
      </c>
      <c r="J49" s="12" t="str">
        <f>IF(OR(A49="",8&gt;'01_Ficha_Dosis'!$C$16),"",COUNTIFS('04_Log_Accesos'!$B$6:$B$705,A49,'04_Log_Accesos'!$I$6:$I$705,8,'04_Log_Accesos'!$K$6:$K$705,1))</f>
        <v/>
      </c>
      <c r="K49" s="25" t="str">
        <f t="shared" si="1"/>
        <v/>
      </c>
      <c r="L49" s="25" t="str">
        <f>IF(A49="","",SUMIFS('04_Log_Accesos'!$L$6:$L$705,'04_Log_Accesos'!$B$6:$B$705,A49))</f>
        <v/>
      </c>
      <c r="M49" s="26" t="str">
        <f t="shared" si="2"/>
        <v/>
      </c>
      <c r="N49" s="27" t="str">
        <f>IF(OR(A49="",B49&lt;&gt;"GE"),"",K49/'01_Ficha_Dosis'!$C$27)</f>
        <v/>
      </c>
      <c r="O49" s="25" t="str">
        <f>IF(N49="","",IF(N49&gt;='01_Ficha_Dosis'!$C$31,"Dosis completa","Bajo umbral"))</f>
        <v/>
      </c>
    </row>
    <row r="50" ht="15.75" customHeight="1">
      <c r="A50" s="12" t="str">
        <f>IF('02_Participantes'!B50="","",'02_Participantes'!B50)</f>
        <v/>
      </c>
      <c r="B50" s="12" t="str">
        <f>IF(A50="","",'02_Participantes'!C50)</f>
        <v/>
      </c>
      <c r="C50" s="12" t="str">
        <f>IF(OR(A50="",1&gt;'01_Ficha_Dosis'!$C$16),"",COUNTIFS('04_Log_Accesos'!$B$6:$B$705,A50,'04_Log_Accesos'!$I$6:$I$705,1,'04_Log_Accesos'!$K$6:$K$705,1))</f>
        <v/>
      </c>
      <c r="D50" s="12" t="str">
        <f>IF(OR(A50="",2&gt;'01_Ficha_Dosis'!$C$16),"",COUNTIFS('04_Log_Accesos'!$B$6:$B$705,A50,'04_Log_Accesos'!$I$6:$I$705,2,'04_Log_Accesos'!$K$6:$K$705,1))</f>
        <v/>
      </c>
      <c r="E50" s="12" t="str">
        <f>IF(OR(A50="",3&gt;'01_Ficha_Dosis'!$C$16),"",COUNTIFS('04_Log_Accesos'!$B$6:$B$705,A50,'04_Log_Accesos'!$I$6:$I$705,3,'04_Log_Accesos'!$K$6:$K$705,1))</f>
        <v/>
      </c>
      <c r="F50" s="12" t="str">
        <f>IF(OR(A50="",4&gt;'01_Ficha_Dosis'!$C$16),"",COUNTIFS('04_Log_Accesos'!$B$6:$B$705,A50,'04_Log_Accesos'!$I$6:$I$705,4,'04_Log_Accesos'!$K$6:$K$705,1))</f>
        <v/>
      </c>
      <c r="G50" s="12" t="str">
        <f>IF(OR(A50="",5&gt;'01_Ficha_Dosis'!$C$16),"",COUNTIFS('04_Log_Accesos'!$B$6:$B$705,A50,'04_Log_Accesos'!$I$6:$I$705,5,'04_Log_Accesos'!$K$6:$K$705,1))</f>
        <v/>
      </c>
      <c r="H50" s="12" t="str">
        <f>IF(OR(A50="",6&gt;'01_Ficha_Dosis'!$C$16),"",COUNTIFS('04_Log_Accesos'!$B$6:$B$705,A50,'04_Log_Accesos'!$I$6:$I$705,6,'04_Log_Accesos'!$K$6:$K$705,1))</f>
        <v/>
      </c>
      <c r="I50" s="12" t="str">
        <f>IF(OR(A50="",7&gt;'01_Ficha_Dosis'!$C$16),"",COUNTIFS('04_Log_Accesos'!$B$6:$B$705,A50,'04_Log_Accesos'!$I$6:$I$705,7,'04_Log_Accesos'!$K$6:$K$705,1))</f>
        <v/>
      </c>
      <c r="J50" s="12" t="str">
        <f>IF(OR(A50="",8&gt;'01_Ficha_Dosis'!$C$16),"",COUNTIFS('04_Log_Accesos'!$B$6:$B$705,A50,'04_Log_Accesos'!$I$6:$I$705,8,'04_Log_Accesos'!$K$6:$K$705,1))</f>
        <v/>
      </c>
      <c r="K50" s="25" t="str">
        <f t="shared" si="1"/>
        <v/>
      </c>
      <c r="L50" s="25" t="str">
        <f>IF(A50="","",SUMIFS('04_Log_Accesos'!$L$6:$L$705,'04_Log_Accesos'!$B$6:$B$705,A50))</f>
        <v/>
      </c>
      <c r="M50" s="26" t="str">
        <f t="shared" si="2"/>
        <v/>
      </c>
      <c r="N50" s="27" t="str">
        <f>IF(OR(A50="",B50&lt;&gt;"GE"),"",K50/'01_Ficha_Dosis'!$C$27)</f>
        <v/>
      </c>
      <c r="O50" s="25" t="str">
        <f>IF(N50="","",IF(N50&gt;='01_Ficha_Dosis'!$C$31,"Dosis completa","Bajo umbral"))</f>
        <v/>
      </c>
    </row>
    <row r="51" ht="15.75" customHeight="1">
      <c r="A51" s="12" t="str">
        <f>IF('02_Participantes'!B51="","",'02_Participantes'!B51)</f>
        <v/>
      </c>
      <c r="B51" s="12" t="str">
        <f>IF(A51="","",'02_Participantes'!C51)</f>
        <v/>
      </c>
      <c r="C51" s="12" t="str">
        <f>IF(OR(A51="",1&gt;'01_Ficha_Dosis'!$C$16),"",COUNTIFS('04_Log_Accesos'!$B$6:$B$705,A51,'04_Log_Accesos'!$I$6:$I$705,1,'04_Log_Accesos'!$K$6:$K$705,1))</f>
        <v/>
      </c>
      <c r="D51" s="12" t="str">
        <f>IF(OR(A51="",2&gt;'01_Ficha_Dosis'!$C$16),"",COUNTIFS('04_Log_Accesos'!$B$6:$B$705,A51,'04_Log_Accesos'!$I$6:$I$705,2,'04_Log_Accesos'!$K$6:$K$705,1))</f>
        <v/>
      </c>
      <c r="E51" s="12" t="str">
        <f>IF(OR(A51="",3&gt;'01_Ficha_Dosis'!$C$16),"",COUNTIFS('04_Log_Accesos'!$B$6:$B$705,A51,'04_Log_Accesos'!$I$6:$I$705,3,'04_Log_Accesos'!$K$6:$K$705,1))</f>
        <v/>
      </c>
      <c r="F51" s="12" t="str">
        <f>IF(OR(A51="",4&gt;'01_Ficha_Dosis'!$C$16),"",COUNTIFS('04_Log_Accesos'!$B$6:$B$705,A51,'04_Log_Accesos'!$I$6:$I$705,4,'04_Log_Accesos'!$K$6:$K$705,1))</f>
        <v/>
      </c>
      <c r="G51" s="12" t="str">
        <f>IF(OR(A51="",5&gt;'01_Ficha_Dosis'!$C$16),"",COUNTIFS('04_Log_Accesos'!$B$6:$B$705,A51,'04_Log_Accesos'!$I$6:$I$705,5,'04_Log_Accesos'!$K$6:$K$705,1))</f>
        <v/>
      </c>
      <c r="H51" s="12" t="str">
        <f>IF(OR(A51="",6&gt;'01_Ficha_Dosis'!$C$16),"",COUNTIFS('04_Log_Accesos'!$B$6:$B$705,A51,'04_Log_Accesos'!$I$6:$I$705,6,'04_Log_Accesos'!$K$6:$K$705,1))</f>
        <v/>
      </c>
      <c r="I51" s="12" t="str">
        <f>IF(OR(A51="",7&gt;'01_Ficha_Dosis'!$C$16),"",COUNTIFS('04_Log_Accesos'!$B$6:$B$705,A51,'04_Log_Accesos'!$I$6:$I$705,7,'04_Log_Accesos'!$K$6:$K$705,1))</f>
        <v/>
      </c>
      <c r="J51" s="12" t="str">
        <f>IF(OR(A51="",8&gt;'01_Ficha_Dosis'!$C$16),"",COUNTIFS('04_Log_Accesos'!$B$6:$B$705,A51,'04_Log_Accesos'!$I$6:$I$705,8,'04_Log_Accesos'!$K$6:$K$705,1))</f>
        <v/>
      </c>
      <c r="K51" s="25" t="str">
        <f t="shared" si="1"/>
        <v/>
      </c>
      <c r="L51" s="25" t="str">
        <f>IF(A51="","",SUMIFS('04_Log_Accesos'!$L$6:$L$705,'04_Log_Accesos'!$B$6:$B$705,A51))</f>
        <v/>
      </c>
      <c r="M51" s="26" t="str">
        <f t="shared" si="2"/>
        <v/>
      </c>
      <c r="N51" s="27" t="str">
        <f>IF(OR(A51="",B51&lt;&gt;"GE"),"",K51/'01_Ficha_Dosis'!$C$27)</f>
        <v/>
      </c>
      <c r="O51" s="25" t="str">
        <f>IF(N51="","",IF(N51&gt;='01_Ficha_Dosis'!$C$31,"Dosis completa","Bajo umbral"))</f>
        <v/>
      </c>
    </row>
    <row r="52" ht="15.75" customHeight="1">
      <c r="A52" s="12" t="str">
        <f>IF('02_Participantes'!B52="","",'02_Participantes'!B52)</f>
        <v/>
      </c>
      <c r="B52" s="12" t="str">
        <f>IF(A52="","",'02_Participantes'!C52)</f>
        <v/>
      </c>
      <c r="C52" s="12" t="str">
        <f>IF(OR(A52="",1&gt;'01_Ficha_Dosis'!$C$16),"",COUNTIFS('04_Log_Accesos'!$B$6:$B$705,A52,'04_Log_Accesos'!$I$6:$I$705,1,'04_Log_Accesos'!$K$6:$K$705,1))</f>
        <v/>
      </c>
      <c r="D52" s="12" t="str">
        <f>IF(OR(A52="",2&gt;'01_Ficha_Dosis'!$C$16),"",COUNTIFS('04_Log_Accesos'!$B$6:$B$705,A52,'04_Log_Accesos'!$I$6:$I$705,2,'04_Log_Accesos'!$K$6:$K$705,1))</f>
        <v/>
      </c>
      <c r="E52" s="12" t="str">
        <f>IF(OR(A52="",3&gt;'01_Ficha_Dosis'!$C$16),"",COUNTIFS('04_Log_Accesos'!$B$6:$B$705,A52,'04_Log_Accesos'!$I$6:$I$705,3,'04_Log_Accesos'!$K$6:$K$705,1))</f>
        <v/>
      </c>
      <c r="F52" s="12" t="str">
        <f>IF(OR(A52="",4&gt;'01_Ficha_Dosis'!$C$16),"",COUNTIFS('04_Log_Accesos'!$B$6:$B$705,A52,'04_Log_Accesos'!$I$6:$I$705,4,'04_Log_Accesos'!$K$6:$K$705,1))</f>
        <v/>
      </c>
      <c r="G52" s="12" t="str">
        <f>IF(OR(A52="",5&gt;'01_Ficha_Dosis'!$C$16),"",COUNTIFS('04_Log_Accesos'!$B$6:$B$705,A52,'04_Log_Accesos'!$I$6:$I$705,5,'04_Log_Accesos'!$K$6:$K$705,1))</f>
        <v/>
      </c>
      <c r="H52" s="12" t="str">
        <f>IF(OR(A52="",6&gt;'01_Ficha_Dosis'!$C$16),"",COUNTIFS('04_Log_Accesos'!$B$6:$B$705,A52,'04_Log_Accesos'!$I$6:$I$705,6,'04_Log_Accesos'!$K$6:$K$705,1))</f>
        <v/>
      </c>
      <c r="I52" s="12" t="str">
        <f>IF(OR(A52="",7&gt;'01_Ficha_Dosis'!$C$16),"",COUNTIFS('04_Log_Accesos'!$B$6:$B$705,A52,'04_Log_Accesos'!$I$6:$I$705,7,'04_Log_Accesos'!$K$6:$K$705,1))</f>
        <v/>
      </c>
      <c r="J52" s="12" t="str">
        <f>IF(OR(A52="",8&gt;'01_Ficha_Dosis'!$C$16),"",COUNTIFS('04_Log_Accesos'!$B$6:$B$705,A52,'04_Log_Accesos'!$I$6:$I$705,8,'04_Log_Accesos'!$K$6:$K$705,1))</f>
        <v/>
      </c>
      <c r="K52" s="25" t="str">
        <f t="shared" si="1"/>
        <v/>
      </c>
      <c r="L52" s="25" t="str">
        <f>IF(A52="","",SUMIFS('04_Log_Accesos'!$L$6:$L$705,'04_Log_Accesos'!$B$6:$B$705,A52))</f>
        <v/>
      </c>
      <c r="M52" s="26" t="str">
        <f t="shared" si="2"/>
        <v/>
      </c>
      <c r="N52" s="27" t="str">
        <f>IF(OR(A52="",B52&lt;&gt;"GE"),"",K52/'01_Ficha_Dosis'!$C$27)</f>
        <v/>
      </c>
      <c r="O52" s="25" t="str">
        <f>IF(N52="","",IF(N52&gt;='01_Ficha_Dosis'!$C$31,"Dosis completa","Bajo umbral"))</f>
        <v/>
      </c>
    </row>
    <row r="53" ht="15.75" customHeight="1">
      <c r="A53" s="12" t="str">
        <f>IF('02_Participantes'!B53="","",'02_Participantes'!B53)</f>
        <v/>
      </c>
      <c r="B53" s="12" t="str">
        <f>IF(A53="","",'02_Participantes'!C53)</f>
        <v/>
      </c>
      <c r="C53" s="12" t="str">
        <f>IF(OR(A53="",1&gt;'01_Ficha_Dosis'!$C$16),"",COUNTIFS('04_Log_Accesos'!$B$6:$B$705,A53,'04_Log_Accesos'!$I$6:$I$705,1,'04_Log_Accesos'!$K$6:$K$705,1))</f>
        <v/>
      </c>
      <c r="D53" s="12" t="str">
        <f>IF(OR(A53="",2&gt;'01_Ficha_Dosis'!$C$16),"",COUNTIFS('04_Log_Accesos'!$B$6:$B$705,A53,'04_Log_Accesos'!$I$6:$I$705,2,'04_Log_Accesos'!$K$6:$K$705,1))</f>
        <v/>
      </c>
      <c r="E53" s="12" t="str">
        <f>IF(OR(A53="",3&gt;'01_Ficha_Dosis'!$C$16),"",COUNTIFS('04_Log_Accesos'!$B$6:$B$705,A53,'04_Log_Accesos'!$I$6:$I$705,3,'04_Log_Accesos'!$K$6:$K$705,1))</f>
        <v/>
      </c>
      <c r="F53" s="12" t="str">
        <f>IF(OR(A53="",4&gt;'01_Ficha_Dosis'!$C$16),"",COUNTIFS('04_Log_Accesos'!$B$6:$B$705,A53,'04_Log_Accesos'!$I$6:$I$705,4,'04_Log_Accesos'!$K$6:$K$705,1))</f>
        <v/>
      </c>
      <c r="G53" s="12" t="str">
        <f>IF(OR(A53="",5&gt;'01_Ficha_Dosis'!$C$16),"",COUNTIFS('04_Log_Accesos'!$B$6:$B$705,A53,'04_Log_Accesos'!$I$6:$I$705,5,'04_Log_Accesos'!$K$6:$K$705,1))</f>
        <v/>
      </c>
      <c r="H53" s="12" t="str">
        <f>IF(OR(A53="",6&gt;'01_Ficha_Dosis'!$C$16),"",COUNTIFS('04_Log_Accesos'!$B$6:$B$705,A53,'04_Log_Accesos'!$I$6:$I$705,6,'04_Log_Accesos'!$K$6:$K$705,1))</f>
        <v/>
      </c>
      <c r="I53" s="12" t="str">
        <f>IF(OR(A53="",7&gt;'01_Ficha_Dosis'!$C$16),"",COUNTIFS('04_Log_Accesos'!$B$6:$B$705,A53,'04_Log_Accesos'!$I$6:$I$705,7,'04_Log_Accesos'!$K$6:$K$705,1))</f>
        <v/>
      </c>
      <c r="J53" s="12" t="str">
        <f>IF(OR(A53="",8&gt;'01_Ficha_Dosis'!$C$16),"",COUNTIFS('04_Log_Accesos'!$B$6:$B$705,A53,'04_Log_Accesos'!$I$6:$I$705,8,'04_Log_Accesos'!$K$6:$K$705,1))</f>
        <v/>
      </c>
      <c r="K53" s="25" t="str">
        <f t="shared" si="1"/>
        <v/>
      </c>
      <c r="L53" s="25" t="str">
        <f>IF(A53="","",SUMIFS('04_Log_Accesos'!$L$6:$L$705,'04_Log_Accesos'!$B$6:$B$705,A53))</f>
        <v/>
      </c>
      <c r="M53" s="26" t="str">
        <f t="shared" si="2"/>
        <v/>
      </c>
      <c r="N53" s="27" t="str">
        <f>IF(OR(A53="",B53&lt;&gt;"GE"),"",K53/'01_Ficha_Dosis'!$C$27)</f>
        <v/>
      </c>
      <c r="O53" s="25" t="str">
        <f>IF(N53="","",IF(N53&gt;='01_Ficha_Dosis'!$C$31,"Dosis completa","Bajo umbral"))</f>
        <v/>
      </c>
    </row>
    <row r="54" ht="15.75" customHeight="1">
      <c r="A54" s="12" t="str">
        <f>IF('02_Participantes'!B54="","",'02_Participantes'!B54)</f>
        <v/>
      </c>
      <c r="B54" s="12" t="str">
        <f>IF(A54="","",'02_Participantes'!C54)</f>
        <v/>
      </c>
      <c r="C54" s="12" t="str">
        <f>IF(OR(A54="",1&gt;'01_Ficha_Dosis'!$C$16),"",COUNTIFS('04_Log_Accesos'!$B$6:$B$705,A54,'04_Log_Accesos'!$I$6:$I$705,1,'04_Log_Accesos'!$K$6:$K$705,1))</f>
        <v/>
      </c>
      <c r="D54" s="12" t="str">
        <f>IF(OR(A54="",2&gt;'01_Ficha_Dosis'!$C$16),"",COUNTIFS('04_Log_Accesos'!$B$6:$B$705,A54,'04_Log_Accesos'!$I$6:$I$705,2,'04_Log_Accesos'!$K$6:$K$705,1))</f>
        <v/>
      </c>
      <c r="E54" s="12" t="str">
        <f>IF(OR(A54="",3&gt;'01_Ficha_Dosis'!$C$16),"",COUNTIFS('04_Log_Accesos'!$B$6:$B$705,A54,'04_Log_Accesos'!$I$6:$I$705,3,'04_Log_Accesos'!$K$6:$K$705,1))</f>
        <v/>
      </c>
      <c r="F54" s="12" t="str">
        <f>IF(OR(A54="",4&gt;'01_Ficha_Dosis'!$C$16),"",COUNTIFS('04_Log_Accesos'!$B$6:$B$705,A54,'04_Log_Accesos'!$I$6:$I$705,4,'04_Log_Accesos'!$K$6:$K$705,1))</f>
        <v/>
      </c>
      <c r="G54" s="12" t="str">
        <f>IF(OR(A54="",5&gt;'01_Ficha_Dosis'!$C$16),"",COUNTIFS('04_Log_Accesos'!$B$6:$B$705,A54,'04_Log_Accesos'!$I$6:$I$705,5,'04_Log_Accesos'!$K$6:$K$705,1))</f>
        <v/>
      </c>
      <c r="H54" s="12" t="str">
        <f>IF(OR(A54="",6&gt;'01_Ficha_Dosis'!$C$16),"",COUNTIFS('04_Log_Accesos'!$B$6:$B$705,A54,'04_Log_Accesos'!$I$6:$I$705,6,'04_Log_Accesos'!$K$6:$K$705,1))</f>
        <v/>
      </c>
      <c r="I54" s="12" t="str">
        <f>IF(OR(A54="",7&gt;'01_Ficha_Dosis'!$C$16),"",COUNTIFS('04_Log_Accesos'!$B$6:$B$705,A54,'04_Log_Accesos'!$I$6:$I$705,7,'04_Log_Accesos'!$K$6:$K$705,1))</f>
        <v/>
      </c>
      <c r="J54" s="12" t="str">
        <f>IF(OR(A54="",8&gt;'01_Ficha_Dosis'!$C$16),"",COUNTIFS('04_Log_Accesos'!$B$6:$B$705,A54,'04_Log_Accesos'!$I$6:$I$705,8,'04_Log_Accesos'!$K$6:$K$705,1))</f>
        <v/>
      </c>
      <c r="K54" s="25" t="str">
        <f t="shared" si="1"/>
        <v/>
      </c>
      <c r="L54" s="25" t="str">
        <f>IF(A54="","",SUMIFS('04_Log_Accesos'!$L$6:$L$705,'04_Log_Accesos'!$B$6:$B$705,A54))</f>
        <v/>
      </c>
      <c r="M54" s="26" t="str">
        <f t="shared" si="2"/>
        <v/>
      </c>
      <c r="N54" s="27" t="str">
        <f>IF(OR(A54="",B54&lt;&gt;"GE"),"",K54/'01_Ficha_Dosis'!$C$27)</f>
        <v/>
      </c>
      <c r="O54" s="25" t="str">
        <f>IF(N54="","",IF(N54&gt;='01_Ficha_Dosis'!$C$31,"Dosis completa","Bajo umbral"))</f>
        <v/>
      </c>
    </row>
    <row r="55" ht="15.75" customHeight="1">
      <c r="A55" s="12" t="str">
        <f>IF('02_Participantes'!B55="","",'02_Participantes'!B55)</f>
        <v/>
      </c>
      <c r="B55" s="12" t="str">
        <f>IF(A55="","",'02_Participantes'!C55)</f>
        <v/>
      </c>
      <c r="C55" s="12" t="str">
        <f>IF(OR(A55="",1&gt;'01_Ficha_Dosis'!$C$16),"",COUNTIFS('04_Log_Accesos'!$B$6:$B$705,A55,'04_Log_Accesos'!$I$6:$I$705,1,'04_Log_Accesos'!$K$6:$K$705,1))</f>
        <v/>
      </c>
      <c r="D55" s="12" t="str">
        <f>IF(OR(A55="",2&gt;'01_Ficha_Dosis'!$C$16),"",COUNTIFS('04_Log_Accesos'!$B$6:$B$705,A55,'04_Log_Accesos'!$I$6:$I$705,2,'04_Log_Accesos'!$K$6:$K$705,1))</f>
        <v/>
      </c>
      <c r="E55" s="12" t="str">
        <f>IF(OR(A55="",3&gt;'01_Ficha_Dosis'!$C$16),"",COUNTIFS('04_Log_Accesos'!$B$6:$B$705,A55,'04_Log_Accesos'!$I$6:$I$705,3,'04_Log_Accesos'!$K$6:$K$705,1))</f>
        <v/>
      </c>
      <c r="F55" s="12" t="str">
        <f>IF(OR(A55="",4&gt;'01_Ficha_Dosis'!$C$16),"",COUNTIFS('04_Log_Accesos'!$B$6:$B$705,A55,'04_Log_Accesos'!$I$6:$I$705,4,'04_Log_Accesos'!$K$6:$K$705,1))</f>
        <v/>
      </c>
      <c r="G55" s="12" t="str">
        <f>IF(OR(A55="",5&gt;'01_Ficha_Dosis'!$C$16),"",COUNTIFS('04_Log_Accesos'!$B$6:$B$705,A55,'04_Log_Accesos'!$I$6:$I$705,5,'04_Log_Accesos'!$K$6:$K$705,1))</f>
        <v/>
      </c>
      <c r="H55" s="12" t="str">
        <f>IF(OR(A55="",6&gt;'01_Ficha_Dosis'!$C$16),"",COUNTIFS('04_Log_Accesos'!$B$6:$B$705,A55,'04_Log_Accesos'!$I$6:$I$705,6,'04_Log_Accesos'!$K$6:$K$705,1))</f>
        <v/>
      </c>
      <c r="I55" s="12" t="str">
        <f>IF(OR(A55="",7&gt;'01_Ficha_Dosis'!$C$16),"",COUNTIFS('04_Log_Accesos'!$B$6:$B$705,A55,'04_Log_Accesos'!$I$6:$I$705,7,'04_Log_Accesos'!$K$6:$K$705,1))</f>
        <v/>
      </c>
      <c r="J55" s="12" t="str">
        <f>IF(OR(A55="",8&gt;'01_Ficha_Dosis'!$C$16),"",COUNTIFS('04_Log_Accesos'!$B$6:$B$705,A55,'04_Log_Accesos'!$I$6:$I$705,8,'04_Log_Accesos'!$K$6:$K$705,1))</f>
        <v/>
      </c>
      <c r="K55" s="25" t="str">
        <f t="shared" si="1"/>
        <v/>
      </c>
      <c r="L55" s="25" t="str">
        <f>IF(A55="","",SUMIFS('04_Log_Accesos'!$L$6:$L$705,'04_Log_Accesos'!$B$6:$B$705,A55))</f>
        <v/>
      </c>
      <c r="M55" s="26" t="str">
        <f t="shared" si="2"/>
        <v/>
      </c>
      <c r="N55" s="27" t="str">
        <f>IF(OR(A55="",B55&lt;&gt;"GE"),"",K55/'01_Ficha_Dosis'!$C$27)</f>
        <v/>
      </c>
      <c r="O55" s="25" t="str">
        <f>IF(N55="","",IF(N55&gt;='01_Ficha_Dosis'!$C$31,"Dosis completa","Bajo umbral"))</f>
        <v/>
      </c>
    </row>
    <row r="56" ht="15.75" customHeight="1">
      <c r="A56" s="12" t="str">
        <f>IF('02_Participantes'!B56="","",'02_Participantes'!B56)</f>
        <v/>
      </c>
      <c r="B56" s="12" t="str">
        <f>IF(A56="","",'02_Participantes'!C56)</f>
        <v/>
      </c>
      <c r="C56" s="12" t="str">
        <f>IF(OR(A56="",1&gt;'01_Ficha_Dosis'!$C$16),"",COUNTIFS('04_Log_Accesos'!$B$6:$B$705,A56,'04_Log_Accesos'!$I$6:$I$705,1,'04_Log_Accesos'!$K$6:$K$705,1))</f>
        <v/>
      </c>
      <c r="D56" s="12" t="str">
        <f>IF(OR(A56="",2&gt;'01_Ficha_Dosis'!$C$16),"",COUNTIFS('04_Log_Accesos'!$B$6:$B$705,A56,'04_Log_Accesos'!$I$6:$I$705,2,'04_Log_Accesos'!$K$6:$K$705,1))</f>
        <v/>
      </c>
      <c r="E56" s="12" t="str">
        <f>IF(OR(A56="",3&gt;'01_Ficha_Dosis'!$C$16),"",COUNTIFS('04_Log_Accesos'!$B$6:$B$705,A56,'04_Log_Accesos'!$I$6:$I$705,3,'04_Log_Accesos'!$K$6:$K$705,1))</f>
        <v/>
      </c>
      <c r="F56" s="12" t="str">
        <f>IF(OR(A56="",4&gt;'01_Ficha_Dosis'!$C$16),"",COUNTIFS('04_Log_Accesos'!$B$6:$B$705,A56,'04_Log_Accesos'!$I$6:$I$705,4,'04_Log_Accesos'!$K$6:$K$705,1))</f>
        <v/>
      </c>
      <c r="G56" s="12" t="str">
        <f>IF(OR(A56="",5&gt;'01_Ficha_Dosis'!$C$16),"",COUNTIFS('04_Log_Accesos'!$B$6:$B$705,A56,'04_Log_Accesos'!$I$6:$I$705,5,'04_Log_Accesos'!$K$6:$K$705,1))</f>
        <v/>
      </c>
      <c r="H56" s="12" t="str">
        <f>IF(OR(A56="",6&gt;'01_Ficha_Dosis'!$C$16),"",COUNTIFS('04_Log_Accesos'!$B$6:$B$705,A56,'04_Log_Accesos'!$I$6:$I$705,6,'04_Log_Accesos'!$K$6:$K$705,1))</f>
        <v/>
      </c>
      <c r="I56" s="12" t="str">
        <f>IF(OR(A56="",7&gt;'01_Ficha_Dosis'!$C$16),"",COUNTIFS('04_Log_Accesos'!$B$6:$B$705,A56,'04_Log_Accesos'!$I$6:$I$705,7,'04_Log_Accesos'!$K$6:$K$705,1))</f>
        <v/>
      </c>
      <c r="J56" s="12" t="str">
        <f>IF(OR(A56="",8&gt;'01_Ficha_Dosis'!$C$16),"",COUNTIFS('04_Log_Accesos'!$B$6:$B$705,A56,'04_Log_Accesos'!$I$6:$I$705,8,'04_Log_Accesos'!$K$6:$K$705,1))</f>
        <v/>
      </c>
      <c r="K56" s="25" t="str">
        <f t="shared" si="1"/>
        <v/>
      </c>
      <c r="L56" s="25" t="str">
        <f>IF(A56="","",SUMIFS('04_Log_Accesos'!$L$6:$L$705,'04_Log_Accesos'!$B$6:$B$705,A56))</f>
        <v/>
      </c>
      <c r="M56" s="26" t="str">
        <f t="shared" si="2"/>
        <v/>
      </c>
      <c r="N56" s="27" t="str">
        <f>IF(OR(A56="",B56&lt;&gt;"GE"),"",K56/'01_Ficha_Dosis'!$C$27)</f>
        <v/>
      </c>
      <c r="O56" s="25" t="str">
        <f>IF(N56="","",IF(N56&gt;='01_Ficha_Dosis'!$C$31,"Dosis completa","Bajo umbral"))</f>
        <v/>
      </c>
    </row>
    <row r="57" ht="15.75" customHeight="1">
      <c r="A57" s="12" t="str">
        <f>IF('02_Participantes'!B57="","",'02_Participantes'!B57)</f>
        <v/>
      </c>
      <c r="B57" s="12" t="str">
        <f>IF(A57="","",'02_Participantes'!C57)</f>
        <v/>
      </c>
      <c r="C57" s="12" t="str">
        <f>IF(OR(A57="",1&gt;'01_Ficha_Dosis'!$C$16),"",COUNTIFS('04_Log_Accesos'!$B$6:$B$705,A57,'04_Log_Accesos'!$I$6:$I$705,1,'04_Log_Accesos'!$K$6:$K$705,1))</f>
        <v/>
      </c>
      <c r="D57" s="12" t="str">
        <f>IF(OR(A57="",2&gt;'01_Ficha_Dosis'!$C$16),"",COUNTIFS('04_Log_Accesos'!$B$6:$B$705,A57,'04_Log_Accesos'!$I$6:$I$705,2,'04_Log_Accesos'!$K$6:$K$705,1))</f>
        <v/>
      </c>
      <c r="E57" s="12" t="str">
        <f>IF(OR(A57="",3&gt;'01_Ficha_Dosis'!$C$16),"",COUNTIFS('04_Log_Accesos'!$B$6:$B$705,A57,'04_Log_Accesos'!$I$6:$I$705,3,'04_Log_Accesos'!$K$6:$K$705,1))</f>
        <v/>
      </c>
      <c r="F57" s="12" t="str">
        <f>IF(OR(A57="",4&gt;'01_Ficha_Dosis'!$C$16),"",COUNTIFS('04_Log_Accesos'!$B$6:$B$705,A57,'04_Log_Accesos'!$I$6:$I$705,4,'04_Log_Accesos'!$K$6:$K$705,1))</f>
        <v/>
      </c>
      <c r="G57" s="12" t="str">
        <f>IF(OR(A57="",5&gt;'01_Ficha_Dosis'!$C$16),"",COUNTIFS('04_Log_Accesos'!$B$6:$B$705,A57,'04_Log_Accesos'!$I$6:$I$705,5,'04_Log_Accesos'!$K$6:$K$705,1))</f>
        <v/>
      </c>
      <c r="H57" s="12" t="str">
        <f>IF(OR(A57="",6&gt;'01_Ficha_Dosis'!$C$16),"",COUNTIFS('04_Log_Accesos'!$B$6:$B$705,A57,'04_Log_Accesos'!$I$6:$I$705,6,'04_Log_Accesos'!$K$6:$K$705,1))</f>
        <v/>
      </c>
      <c r="I57" s="12" t="str">
        <f>IF(OR(A57="",7&gt;'01_Ficha_Dosis'!$C$16),"",COUNTIFS('04_Log_Accesos'!$B$6:$B$705,A57,'04_Log_Accesos'!$I$6:$I$705,7,'04_Log_Accesos'!$K$6:$K$705,1))</f>
        <v/>
      </c>
      <c r="J57" s="12" t="str">
        <f>IF(OR(A57="",8&gt;'01_Ficha_Dosis'!$C$16),"",COUNTIFS('04_Log_Accesos'!$B$6:$B$705,A57,'04_Log_Accesos'!$I$6:$I$705,8,'04_Log_Accesos'!$K$6:$K$705,1))</f>
        <v/>
      </c>
      <c r="K57" s="25" t="str">
        <f t="shared" si="1"/>
        <v/>
      </c>
      <c r="L57" s="25" t="str">
        <f>IF(A57="","",SUMIFS('04_Log_Accesos'!$L$6:$L$705,'04_Log_Accesos'!$B$6:$B$705,A57))</f>
        <v/>
      </c>
      <c r="M57" s="26" t="str">
        <f t="shared" si="2"/>
        <v/>
      </c>
      <c r="N57" s="27" t="str">
        <f>IF(OR(A57="",B57&lt;&gt;"GE"),"",K57/'01_Ficha_Dosis'!$C$27)</f>
        <v/>
      </c>
      <c r="O57" s="25" t="str">
        <f>IF(N57="","",IF(N57&gt;='01_Ficha_Dosis'!$C$31,"Dosis completa","Bajo umbral"))</f>
        <v/>
      </c>
    </row>
    <row r="58" ht="15.75" customHeight="1">
      <c r="A58" s="12" t="str">
        <f>IF('02_Participantes'!B58="","",'02_Participantes'!B58)</f>
        <v/>
      </c>
      <c r="B58" s="12" t="str">
        <f>IF(A58="","",'02_Participantes'!C58)</f>
        <v/>
      </c>
      <c r="C58" s="12" t="str">
        <f>IF(OR(A58="",1&gt;'01_Ficha_Dosis'!$C$16),"",COUNTIFS('04_Log_Accesos'!$B$6:$B$705,A58,'04_Log_Accesos'!$I$6:$I$705,1,'04_Log_Accesos'!$K$6:$K$705,1))</f>
        <v/>
      </c>
      <c r="D58" s="12" t="str">
        <f>IF(OR(A58="",2&gt;'01_Ficha_Dosis'!$C$16),"",COUNTIFS('04_Log_Accesos'!$B$6:$B$705,A58,'04_Log_Accesos'!$I$6:$I$705,2,'04_Log_Accesos'!$K$6:$K$705,1))</f>
        <v/>
      </c>
      <c r="E58" s="12" t="str">
        <f>IF(OR(A58="",3&gt;'01_Ficha_Dosis'!$C$16),"",COUNTIFS('04_Log_Accesos'!$B$6:$B$705,A58,'04_Log_Accesos'!$I$6:$I$705,3,'04_Log_Accesos'!$K$6:$K$705,1))</f>
        <v/>
      </c>
      <c r="F58" s="12" t="str">
        <f>IF(OR(A58="",4&gt;'01_Ficha_Dosis'!$C$16),"",COUNTIFS('04_Log_Accesos'!$B$6:$B$705,A58,'04_Log_Accesos'!$I$6:$I$705,4,'04_Log_Accesos'!$K$6:$K$705,1))</f>
        <v/>
      </c>
      <c r="G58" s="12" t="str">
        <f>IF(OR(A58="",5&gt;'01_Ficha_Dosis'!$C$16),"",COUNTIFS('04_Log_Accesos'!$B$6:$B$705,A58,'04_Log_Accesos'!$I$6:$I$705,5,'04_Log_Accesos'!$K$6:$K$705,1))</f>
        <v/>
      </c>
      <c r="H58" s="12" t="str">
        <f>IF(OR(A58="",6&gt;'01_Ficha_Dosis'!$C$16),"",COUNTIFS('04_Log_Accesos'!$B$6:$B$705,A58,'04_Log_Accesos'!$I$6:$I$705,6,'04_Log_Accesos'!$K$6:$K$705,1))</f>
        <v/>
      </c>
      <c r="I58" s="12" t="str">
        <f>IF(OR(A58="",7&gt;'01_Ficha_Dosis'!$C$16),"",COUNTIFS('04_Log_Accesos'!$B$6:$B$705,A58,'04_Log_Accesos'!$I$6:$I$705,7,'04_Log_Accesos'!$K$6:$K$705,1))</f>
        <v/>
      </c>
      <c r="J58" s="12" t="str">
        <f>IF(OR(A58="",8&gt;'01_Ficha_Dosis'!$C$16),"",COUNTIFS('04_Log_Accesos'!$B$6:$B$705,A58,'04_Log_Accesos'!$I$6:$I$705,8,'04_Log_Accesos'!$K$6:$K$705,1))</f>
        <v/>
      </c>
      <c r="K58" s="25" t="str">
        <f t="shared" si="1"/>
        <v/>
      </c>
      <c r="L58" s="25" t="str">
        <f>IF(A58="","",SUMIFS('04_Log_Accesos'!$L$6:$L$705,'04_Log_Accesos'!$B$6:$B$705,A58))</f>
        <v/>
      </c>
      <c r="M58" s="26" t="str">
        <f t="shared" si="2"/>
        <v/>
      </c>
      <c r="N58" s="27" t="str">
        <f>IF(OR(A58="",B58&lt;&gt;"GE"),"",K58/'01_Ficha_Dosis'!$C$27)</f>
        <v/>
      </c>
      <c r="O58" s="25" t="str">
        <f>IF(N58="","",IF(N58&gt;='01_Ficha_Dosis'!$C$31,"Dosis completa","Bajo umbral"))</f>
        <v/>
      </c>
    </row>
    <row r="59" ht="15.75" customHeight="1">
      <c r="A59" s="12" t="str">
        <f>IF('02_Participantes'!B59="","",'02_Participantes'!B59)</f>
        <v/>
      </c>
      <c r="B59" s="12" t="str">
        <f>IF(A59="","",'02_Participantes'!C59)</f>
        <v/>
      </c>
      <c r="C59" s="12" t="str">
        <f>IF(OR(A59="",1&gt;'01_Ficha_Dosis'!$C$16),"",COUNTIFS('04_Log_Accesos'!$B$6:$B$705,A59,'04_Log_Accesos'!$I$6:$I$705,1,'04_Log_Accesos'!$K$6:$K$705,1))</f>
        <v/>
      </c>
      <c r="D59" s="12" t="str">
        <f>IF(OR(A59="",2&gt;'01_Ficha_Dosis'!$C$16),"",COUNTIFS('04_Log_Accesos'!$B$6:$B$705,A59,'04_Log_Accesos'!$I$6:$I$705,2,'04_Log_Accesos'!$K$6:$K$705,1))</f>
        <v/>
      </c>
      <c r="E59" s="12" t="str">
        <f>IF(OR(A59="",3&gt;'01_Ficha_Dosis'!$C$16),"",COUNTIFS('04_Log_Accesos'!$B$6:$B$705,A59,'04_Log_Accesos'!$I$6:$I$705,3,'04_Log_Accesos'!$K$6:$K$705,1))</f>
        <v/>
      </c>
      <c r="F59" s="12" t="str">
        <f>IF(OR(A59="",4&gt;'01_Ficha_Dosis'!$C$16),"",COUNTIFS('04_Log_Accesos'!$B$6:$B$705,A59,'04_Log_Accesos'!$I$6:$I$705,4,'04_Log_Accesos'!$K$6:$K$705,1))</f>
        <v/>
      </c>
      <c r="G59" s="12" t="str">
        <f>IF(OR(A59="",5&gt;'01_Ficha_Dosis'!$C$16),"",COUNTIFS('04_Log_Accesos'!$B$6:$B$705,A59,'04_Log_Accesos'!$I$6:$I$705,5,'04_Log_Accesos'!$K$6:$K$705,1))</f>
        <v/>
      </c>
      <c r="H59" s="12" t="str">
        <f>IF(OR(A59="",6&gt;'01_Ficha_Dosis'!$C$16),"",COUNTIFS('04_Log_Accesos'!$B$6:$B$705,A59,'04_Log_Accesos'!$I$6:$I$705,6,'04_Log_Accesos'!$K$6:$K$705,1))</f>
        <v/>
      </c>
      <c r="I59" s="12" t="str">
        <f>IF(OR(A59="",7&gt;'01_Ficha_Dosis'!$C$16),"",COUNTIFS('04_Log_Accesos'!$B$6:$B$705,A59,'04_Log_Accesos'!$I$6:$I$705,7,'04_Log_Accesos'!$K$6:$K$705,1))</f>
        <v/>
      </c>
      <c r="J59" s="12" t="str">
        <f>IF(OR(A59="",8&gt;'01_Ficha_Dosis'!$C$16),"",COUNTIFS('04_Log_Accesos'!$B$6:$B$705,A59,'04_Log_Accesos'!$I$6:$I$705,8,'04_Log_Accesos'!$K$6:$K$705,1))</f>
        <v/>
      </c>
      <c r="K59" s="25" t="str">
        <f t="shared" si="1"/>
        <v/>
      </c>
      <c r="L59" s="25" t="str">
        <f>IF(A59="","",SUMIFS('04_Log_Accesos'!$L$6:$L$705,'04_Log_Accesos'!$B$6:$B$705,A59))</f>
        <v/>
      </c>
      <c r="M59" s="26" t="str">
        <f t="shared" si="2"/>
        <v/>
      </c>
      <c r="N59" s="27" t="str">
        <f>IF(OR(A59="",B59&lt;&gt;"GE"),"",K59/'01_Ficha_Dosis'!$C$27)</f>
        <v/>
      </c>
      <c r="O59" s="25" t="str">
        <f>IF(N59="","",IF(N59&gt;='01_Ficha_Dosis'!$C$31,"Dosis completa","Bajo umbral"))</f>
        <v/>
      </c>
    </row>
    <row r="60" ht="15.75" customHeight="1">
      <c r="A60" s="12" t="str">
        <f>IF('02_Participantes'!B60="","",'02_Participantes'!B60)</f>
        <v/>
      </c>
      <c r="B60" s="12" t="str">
        <f>IF(A60="","",'02_Participantes'!C60)</f>
        <v/>
      </c>
      <c r="C60" s="12" t="str">
        <f>IF(OR(A60="",1&gt;'01_Ficha_Dosis'!$C$16),"",COUNTIFS('04_Log_Accesos'!$B$6:$B$705,A60,'04_Log_Accesos'!$I$6:$I$705,1,'04_Log_Accesos'!$K$6:$K$705,1))</f>
        <v/>
      </c>
      <c r="D60" s="12" t="str">
        <f>IF(OR(A60="",2&gt;'01_Ficha_Dosis'!$C$16),"",COUNTIFS('04_Log_Accesos'!$B$6:$B$705,A60,'04_Log_Accesos'!$I$6:$I$705,2,'04_Log_Accesos'!$K$6:$K$705,1))</f>
        <v/>
      </c>
      <c r="E60" s="12" t="str">
        <f>IF(OR(A60="",3&gt;'01_Ficha_Dosis'!$C$16),"",COUNTIFS('04_Log_Accesos'!$B$6:$B$705,A60,'04_Log_Accesos'!$I$6:$I$705,3,'04_Log_Accesos'!$K$6:$K$705,1))</f>
        <v/>
      </c>
      <c r="F60" s="12" t="str">
        <f>IF(OR(A60="",4&gt;'01_Ficha_Dosis'!$C$16),"",COUNTIFS('04_Log_Accesos'!$B$6:$B$705,A60,'04_Log_Accesos'!$I$6:$I$705,4,'04_Log_Accesos'!$K$6:$K$705,1))</f>
        <v/>
      </c>
      <c r="G60" s="12" t="str">
        <f>IF(OR(A60="",5&gt;'01_Ficha_Dosis'!$C$16),"",COUNTIFS('04_Log_Accesos'!$B$6:$B$705,A60,'04_Log_Accesos'!$I$6:$I$705,5,'04_Log_Accesos'!$K$6:$K$705,1))</f>
        <v/>
      </c>
      <c r="H60" s="12" t="str">
        <f>IF(OR(A60="",6&gt;'01_Ficha_Dosis'!$C$16),"",COUNTIFS('04_Log_Accesos'!$B$6:$B$705,A60,'04_Log_Accesos'!$I$6:$I$705,6,'04_Log_Accesos'!$K$6:$K$705,1))</f>
        <v/>
      </c>
      <c r="I60" s="12" t="str">
        <f>IF(OR(A60="",7&gt;'01_Ficha_Dosis'!$C$16),"",COUNTIFS('04_Log_Accesos'!$B$6:$B$705,A60,'04_Log_Accesos'!$I$6:$I$705,7,'04_Log_Accesos'!$K$6:$K$705,1))</f>
        <v/>
      </c>
      <c r="J60" s="12" t="str">
        <f>IF(OR(A60="",8&gt;'01_Ficha_Dosis'!$C$16),"",COUNTIFS('04_Log_Accesos'!$B$6:$B$705,A60,'04_Log_Accesos'!$I$6:$I$705,8,'04_Log_Accesos'!$K$6:$K$705,1))</f>
        <v/>
      </c>
      <c r="K60" s="25" t="str">
        <f t="shared" si="1"/>
        <v/>
      </c>
      <c r="L60" s="25" t="str">
        <f>IF(A60="","",SUMIFS('04_Log_Accesos'!$L$6:$L$705,'04_Log_Accesos'!$B$6:$B$705,A60))</f>
        <v/>
      </c>
      <c r="M60" s="26" t="str">
        <f t="shared" si="2"/>
        <v/>
      </c>
      <c r="N60" s="27" t="str">
        <f>IF(OR(A60="",B60&lt;&gt;"GE"),"",K60/'01_Ficha_Dosis'!$C$27)</f>
        <v/>
      </c>
      <c r="O60" s="25" t="str">
        <f>IF(N60="","",IF(N60&gt;='01_Ficha_Dosis'!$C$31,"Dosis completa","Bajo umbral"))</f>
        <v/>
      </c>
    </row>
    <row r="61" ht="15.75" customHeight="1">
      <c r="A61" s="12" t="str">
        <f>IF('02_Participantes'!B61="","",'02_Participantes'!B61)</f>
        <v/>
      </c>
      <c r="B61" s="12" t="str">
        <f>IF(A61="","",'02_Participantes'!C61)</f>
        <v/>
      </c>
      <c r="C61" s="12" t="str">
        <f>IF(OR(A61="",1&gt;'01_Ficha_Dosis'!$C$16),"",COUNTIFS('04_Log_Accesos'!$B$6:$B$705,A61,'04_Log_Accesos'!$I$6:$I$705,1,'04_Log_Accesos'!$K$6:$K$705,1))</f>
        <v/>
      </c>
      <c r="D61" s="12" t="str">
        <f>IF(OR(A61="",2&gt;'01_Ficha_Dosis'!$C$16),"",COUNTIFS('04_Log_Accesos'!$B$6:$B$705,A61,'04_Log_Accesos'!$I$6:$I$705,2,'04_Log_Accesos'!$K$6:$K$705,1))</f>
        <v/>
      </c>
      <c r="E61" s="12" t="str">
        <f>IF(OR(A61="",3&gt;'01_Ficha_Dosis'!$C$16),"",COUNTIFS('04_Log_Accesos'!$B$6:$B$705,A61,'04_Log_Accesos'!$I$6:$I$705,3,'04_Log_Accesos'!$K$6:$K$705,1))</f>
        <v/>
      </c>
      <c r="F61" s="12" t="str">
        <f>IF(OR(A61="",4&gt;'01_Ficha_Dosis'!$C$16),"",COUNTIFS('04_Log_Accesos'!$B$6:$B$705,A61,'04_Log_Accesos'!$I$6:$I$705,4,'04_Log_Accesos'!$K$6:$K$705,1))</f>
        <v/>
      </c>
      <c r="G61" s="12" t="str">
        <f>IF(OR(A61="",5&gt;'01_Ficha_Dosis'!$C$16),"",COUNTIFS('04_Log_Accesos'!$B$6:$B$705,A61,'04_Log_Accesos'!$I$6:$I$705,5,'04_Log_Accesos'!$K$6:$K$705,1))</f>
        <v/>
      </c>
      <c r="H61" s="12" t="str">
        <f>IF(OR(A61="",6&gt;'01_Ficha_Dosis'!$C$16),"",COUNTIFS('04_Log_Accesos'!$B$6:$B$705,A61,'04_Log_Accesos'!$I$6:$I$705,6,'04_Log_Accesos'!$K$6:$K$705,1))</f>
        <v/>
      </c>
      <c r="I61" s="12" t="str">
        <f>IF(OR(A61="",7&gt;'01_Ficha_Dosis'!$C$16),"",COUNTIFS('04_Log_Accesos'!$B$6:$B$705,A61,'04_Log_Accesos'!$I$6:$I$705,7,'04_Log_Accesos'!$K$6:$K$705,1))</f>
        <v/>
      </c>
      <c r="J61" s="12" t="str">
        <f>IF(OR(A61="",8&gt;'01_Ficha_Dosis'!$C$16),"",COUNTIFS('04_Log_Accesos'!$B$6:$B$705,A61,'04_Log_Accesos'!$I$6:$I$705,8,'04_Log_Accesos'!$K$6:$K$705,1))</f>
        <v/>
      </c>
      <c r="K61" s="25" t="str">
        <f t="shared" si="1"/>
        <v/>
      </c>
      <c r="L61" s="25" t="str">
        <f>IF(A61="","",SUMIFS('04_Log_Accesos'!$L$6:$L$705,'04_Log_Accesos'!$B$6:$B$705,A61))</f>
        <v/>
      </c>
      <c r="M61" s="26" t="str">
        <f t="shared" si="2"/>
        <v/>
      </c>
      <c r="N61" s="27" t="str">
        <f>IF(OR(A61="",B61&lt;&gt;"GE"),"",K61/'01_Ficha_Dosis'!$C$27)</f>
        <v/>
      </c>
      <c r="O61" s="25" t="str">
        <f>IF(N61="","",IF(N61&gt;='01_Ficha_Dosis'!$C$31,"Dosis completa","Bajo umbral"))</f>
        <v/>
      </c>
    </row>
    <row r="62" ht="15.75" customHeight="1">
      <c r="A62" s="12" t="str">
        <f>IF('02_Participantes'!B62="","",'02_Participantes'!B62)</f>
        <v/>
      </c>
      <c r="B62" s="12" t="str">
        <f>IF(A62="","",'02_Participantes'!C62)</f>
        <v/>
      </c>
      <c r="C62" s="12" t="str">
        <f>IF(OR(A62="",1&gt;'01_Ficha_Dosis'!$C$16),"",COUNTIFS('04_Log_Accesos'!$B$6:$B$705,A62,'04_Log_Accesos'!$I$6:$I$705,1,'04_Log_Accesos'!$K$6:$K$705,1))</f>
        <v/>
      </c>
      <c r="D62" s="12" t="str">
        <f>IF(OR(A62="",2&gt;'01_Ficha_Dosis'!$C$16),"",COUNTIFS('04_Log_Accesos'!$B$6:$B$705,A62,'04_Log_Accesos'!$I$6:$I$705,2,'04_Log_Accesos'!$K$6:$K$705,1))</f>
        <v/>
      </c>
      <c r="E62" s="12" t="str">
        <f>IF(OR(A62="",3&gt;'01_Ficha_Dosis'!$C$16),"",COUNTIFS('04_Log_Accesos'!$B$6:$B$705,A62,'04_Log_Accesos'!$I$6:$I$705,3,'04_Log_Accesos'!$K$6:$K$705,1))</f>
        <v/>
      </c>
      <c r="F62" s="12" t="str">
        <f>IF(OR(A62="",4&gt;'01_Ficha_Dosis'!$C$16),"",COUNTIFS('04_Log_Accesos'!$B$6:$B$705,A62,'04_Log_Accesos'!$I$6:$I$705,4,'04_Log_Accesos'!$K$6:$K$705,1))</f>
        <v/>
      </c>
      <c r="G62" s="12" t="str">
        <f>IF(OR(A62="",5&gt;'01_Ficha_Dosis'!$C$16),"",COUNTIFS('04_Log_Accesos'!$B$6:$B$705,A62,'04_Log_Accesos'!$I$6:$I$705,5,'04_Log_Accesos'!$K$6:$K$705,1))</f>
        <v/>
      </c>
      <c r="H62" s="12" t="str">
        <f>IF(OR(A62="",6&gt;'01_Ficha_Dosis'!$C$16),"",COUNTIFS('04_Log_Accesos'!$B$6:$B$705,A62,'04_Log_Accesos'!$I$6:$I$705,6,'04_Log_Accesos'!$K$6:$K$705,1))</f>
        <v/>
      </c>
      <c r="I62" s="12" t="str">
        <f>IF(OR(A62="",7&gt;'01_Ficha_Dosis'!$C$16),"",COUNTIFS('04_Log_Accesos'!$B$6:$B$705,A62,'04_Log_Accesos'!$I$6:$I$705,7,'04_Log_Accesos'!$K$6:$K$705,1))</f>
        <v/>
      </c>
      <c r="J62" s="12" t="str">
        <f>IF(OR(A62="",8&gt;'01_Ficha_Dosis'!$C$16),"",COUNTIFS('04_Log_Accesos'!$B$6:$B$705,A62,'04_Log_Accesos'!$I$6:$I$705,8,'04_Log_Accesos'!$K$6:$K$705,1))</f>
        <v/>
      </c>
      <c r="K62" s="25" t="str">
        <f t="shared" si="1"/>
        <v/>
      </c>
      <c r="L62" s="25" t="str">
        <f>IF(A62="","",SUMIFS('04_Log_Accesos'!$L$6:$L$705,'04_Log_Accesos'!$B$6:$B$705,A62))</f>
        <v/>
      </c>
      <c r="M62" s="26" t="str">
        <f t="shared" si="2"/>
        <v/>
      </c>
      <c r="N62" s="27" t="str">
        <f>IF(OR(A62="",B62&lt;&gt;"GE"),"",K62/'01_Ficha_Dosis'!$C$27)</f>
        <v/>
      </c>
      <c r="O62" s="25" t="str">
        <f>IF(N62="","",IF(N62&gt;='01_Ficha_Dosis'!$C$31,"Dosis completa","Bajo umbral"))</f>
        <v/>
      </c>
    </row>
    <row r="63" ht="15.75" customHeight="1">
      <c r="A63" s="12" t="str">
        <f>IF('02_Participantes'!B63="","",'02_Participantes'!B63)</f>
        <v/>
      </c>
      <c r="B63" s="12" t="str">
        <f>IF(A63="","",'02_Participantes'!C63)</f>
        <v/>
      </c>
      <c r="C63" s="12" t="str">
        <f>IF(OR(A63="",1&gt;'01_Ficha_Dosis'!$C$16),"",COUNTIFS('04_Log_Accesos'!$B$6:$B$705,A63,'04_Log_Accesos'!$I$6:$I$705,1,'04_Log_Accesos'!$K$6:$K$705,1))</f>
        <v/>
      </c>
      <c r="D63" s="12" t="str">
        <f>IF(OR(A63="",2&gt;'01_Ficha_Dosis'!$C$16),"",COUNTIFS('04_Log_Accesos'!$B$6:$B$705,A63,'04_Log_Accesos'!$I$6:$I$705,2,'04_Log_Accesos'!$K$6:$K$705,1))</f>
        <v/>
      </c>
      <c r="E63" s="12" t="str">
        <f>IF(OR(A63="",3&gt;'01_Ficha_Dosis'!$C$16),"",COUNTIFS('04_Log_Accesos'!$B$6:$B$705,A63,'04_Log_Accesos'!$I$6:$I$705,3,'04_Log_Accesos'!$K$6:$K$705,1))</f>
        <v/>
      </c>
      <c r="F63" s="12" t="str">
        <f>IF(OR(A63="",4&gt;'01_Ficha_Dosis'!$C$16),"",COUNTIFS('04_Log_Accesos'!$B$6:$B$705,A63,'04_Log_Accesos'!$I$6:$I$705,4,'04_Log_Accesos'!$K$6:$K$705,1))</f>
        <v/>
      </c>
      <c r="G63" s="12" t="str">
        <f>IF(OR(A63="",5&gt;'01_Ficha_Dosis'!$C$16),"",COUNTIFS('04_Log_Accesos'!$B$6:$B$705,A63,'04_Log_Accesos'!$I$6:$I$705,5,'04_Log_Accesos'!$K$6:$K$705,1))</f>
        <v/>
      </c>
      <c r="H63" s="12" t="str">
        <f>IF(OR(A63="",6&gt;'01_Ficha_Dosis'!$C$16),"",COUNTIFS('04_Log_Accesos'!$B$6:$B$705,A63,'04_Log_Accesos'!$I$6:$I$705,6,'04_Log_Accesos'!$K$6:$K$705,1))</f>
        <v/>
      </c>
      <c r="I63" s="12" t="str">
        <f>IF(OR(A63="",7&gt;'01_Ficha_Dosis'!$C$16),"",COUNTIFS('04_Log_Accesos'!$B$6:$B$705,A63,'04_Log_Accesos'!$I$6:$I$705,7,'04_Log_Accesos'!$K$6:$K$705,1))</f>
        <v/>
      </c>
      <c r="J63" s="12" t="str">
        <f>IF(OR(A63="",8&gt;'01_Ficha_Dosis'!$C$16),"",COUNTIFS('04_Log_Accesos'!$B$6:$B$705,A63,'04_Log_Accesos'!$I$6:$I$705,8,'04_Log_Accesos'!$K$6:$K$705,1))</f>
        <v/>
      </c>
      <c r="K63" s="25" t="str">
        <f t="shared" si="1"/>
        <v/>
      </c>
      <c r="L63" s="25" t="str">
        <f>IF(A63="","",SUMIFS('04_Log_Accesos'!$L$6:$L$705,'04_Log_Accesos'!$B$6:$B$705,A63))</f>
        <v/>
      </c>
      <c r="M63" s="26" t="str">
        <f t="shared" si="2"/>
        <v/>
      </c>
      <c r="N63" s="27" t="str">
        <f>IF(OR(A63="",B63&lt;&gt;"GE"),"",K63/'01_Ficha_Dosis'!$C$27)</f>
        <v/>
      </c>
      <c r="O63" s="25" t="str">
        <f>IF(N63="","",IF(N63&gt;='01_Ficha_Dosis'!$C$31,"Dosis completa","Bajo umbral"))</f>
        <v/>
      </c>
    </row>
    <row r="64" ht="15.75" customHeight="1">
      <c r="A64" s="12" t="str">
        <f>IF('02_Participantes'!B64="","",'02_Participantes'!B64)</f>
        <v/>
      </c>
      <c r="B64" s="12" t="str">
        <f>IF(A64="","",'02_Participantes'!C64)</f>
        <v/>
      </c>
      <c r="C64" s="12" t="str">
        <f>IF(OR(A64="",1&gt;'01_Ficha_Dosis'!$C$16),"",COUNTIFS('04_Log_Accesos'!$B$6:$B$705,A64,'04_Log_Accesos'!$I$6:$I$705,1,'04_Log_Accesos'!$K$6:$K$705,1))</f>
        <v/>
      </c>
      <c r="D64" s="12" t="str">
        <f>IF(OR(A64="",2&gt;'01_Ficha_Dosis'!$C$16),"",COUNTIFS('04_Log_Accesos'!$B$6:$B$705,A64,'04_Log_Accesos'!$I$6:$I$705,2,'04_Log_Accesos'!$K$6:$K$705,1))</f>
        <v/>
      </c>
      <c r="E64" s="12" t="str">
        <f>IF(OR(A64="",3&gt;'01_Ficha_Dosis'!$C$16),"",COUNTIFS('04_Log_Accesos'!$B$6:$B$705,A64,'04_Log_Accesos'!$I$6:$I$705,3,'04_Log_Accesos'!$K$6:$K$705,1))</f>
        <v/>
      </c>
      <c r="F64" s="12" t="str">
        <f>IF(OR(A64="",4&gt;'01_Ficha_Dosis'!$C$16),"",COUNTIFS('04_Log_Accesos'!$B$6:$B$705,A64,'04_Log_Accesos'!$I$6:$I$705,4,'04_Log_Accesos'!$K$6:$K$705,1))</f>
        <v/>
      </c>
      <c r="G64" s="12" t="str">
        <f>IF(OR(A64="",5&gt;'01_Ficha_Dosis'!$C$16),"",COUNTIFS('04_Log_Accesos'!$B$6:$B$705,A64,'04_Log_Accesos'!$I$6:$I$705,5,'04_Log_Accesos'!$K$6:$K$705,1))</f>
        <v/>
      </c>
      <c r="H64" s="12" t="str">
        <f>IF(OR(A64="",6&gt;'01_Ficha_Dosis'!$C$16),"",COUNTIFS('04_Log_Accesos'!$B$6:$B$705,A64,'04_Log_Accesos'!$I$6:$I$705,6,'04_Log_Accesos'!$K$6:$K$705,1))</f>
        <v/>
      </c>
      <c r="I64" s="12" t="str">
        <f>IF(OR(A64="",7&gt;'01_Ficha_Dosis'!$C$16),"",COUNTIFS('04_Log_Accesos'!$B$6:$B$705,A64,'04_Log_Accesos'!$I$6:$I$705,7,'04_Log_Accesos'!$K$6:$K$705,1))</f>
        <v/>
      </c>
      <c r="J64" s="12" t="str">
        <f>IF(OR(A64="",8&gt;'01_Ficha_Dosis'!$C$16),"",COUNTIFS('04_Log_Accesos'!$B$6:$B$705,A64,'04_Log_Accesos'!$I$6:$I$705,8,'04_Log_Accesos'!$K$6:$K$705,1))</f>
        <v/>
      </c>
      <c r="K64" s="25" t="str">
        <f t="shared" si="1"/>
        <v/>
      </c>
      <c r="L64" s="25" t="str">
        <f>IF(A64="","",SUMIFS('04_Log_Accesos'!$L$6:$L$705,'04_Log_Accesos'!$B$6:$B$705,A64))</f>
        <v/>
      </c>
      <c r="M64" s="26" t="str">
        <f t="shared" si="2"/>
        <v/>
      </c>
      <c r="N64" s="27" t="str">
        <f>IF(OR(A64="",B64&lt;&gt;"GE"),"",K64/'01_Ficha_Dosis'!$C$27)</f>
        <v/>
      </c>
      <c r="O64" s="25" t="str">
        <f>IF(N64="","",IF(N64&gt;='01_Ficha_Dosis'!$C$31,"Dosis completa","Bajo umbral"))</f>
        <v/>
      </c>
    </row>
    <row r="65" ht="15.75" customHeight="1">
      <c r="A65" s="12" t="str">
        <f>IF('02_Participantes'!B65="","",'02_Participantes'!B65)</f>
        <v/>
      </c>
      <c r="B65" s="12" t="str">
        <f>IF(A65="","",'02_Participantes'!C65)</f>
        <v/>
      </c>
      <c r="C65" s="12" t="str">
        <f>IF(OR(A65="",1&gt;'01_Ficha_Dosis'!$C$16),"",COUNTIFS('04_Log_Accesos'!$B$6:$B$705,A65,'04_Log_Accesos'!$I$6:$I$705,1,'04_Log_Accesos'!$K$6:$K$705,1))</f>
        <v/>
      </c>
      <c r="D65" s="12" t="str">
        <f>IF(OR(A65="",2&gt;'01_Ficha_Dosis'!$C$16),"",COUNTIFS('04_Log_Accesos'!$B$6:$B$705,A65,'04_Log_Accesos'!$I$6:$I$705,2,'04_Log_Accesos'!$K$6:$K$705,1))</f>
        <v/>
      </c>
      <c r="E65" s="12" t="str">
        <f>IF(OR(A65="",3&gt;'01_Ficha_Dosis'!$C$16),"",COUNTIFS('04_Log_Accesos'!$B$6:$B$705,A65,'04_Log_Accesos'!$I$6:$I$705,3,'04_Log_Accesos'!$K$6:$K$705,1))</f>
        <v/>
      </c>
      <c r="F65" s="12" t="str">
        <f>IF(OR(A65="",4&gt;'01_Ficha_Dosis'!$C$16),"",COUNTIFS('04_Log_Accesos'!$B$6:$B$705,A65,'04_Log_Accesos'!$I$6:$I$705,4,'04_Log_Accesos'!$K$6:$K$705,1))</f>
        <v/>
      </c>
      <c r="G65" s="12" t="str">
        <f>IF(OR(A65="",5&gt;'01_Ficha_Dosis'!$C$16),"",COUNTIFS('04_Log_Accesos'!$B$6:$B$705,A65,'04_Log_Accesos'!$I$6:$I$705,5,'04_Log_Accesos'!$K$6:$K$705,1))</f>
        <v/>
      </c>
      <c r="H65" s="12" t="str">
        <f>IF(OR(A65="",6&gt;'01_Ficha_Dosis'!$C$16),"",COUNTIFS('04_Log_Accesos'!$B$6:$B$705,A65,'04_Log_Accesos'!$I$6:$I$705,6,'04_Log_Accesos'!$K$6:$K$705,1))</f>
        <v/>
      </c>
      <c r="I65" s="12" t="str">
        <f>IF(OR(A65="",7&gt;'01_Ficha_Dosis'!$C$16),"",COUNTIFS('04_Log_Accesos'!$B$6:$B$705,A65,'04_Log_Accesos'!$I$6:$I$705,7,'04_Log_Accesos'!$K$6:$K$705,1))</f>
        <v/>
      </c>
      <c r="J65" s="12" t="str">
        <f>IF(OR(A65="",8&gt;'01_Ficha_Dosis'!$C$16),"",COUNTIFS('04_Log_Accesos'!$B$6:$B$705,A65,'04_Log_Accesos'!$I$6:$I$705,8,'04_Log_Accesos'!$K$6:$K$705,1))</f>
        <v/>
      </c>
      <c r="K65" s="25" t="str">
        <f t="shared" si="1"/>
        <v/>
      </c>
      <c r="L65" s="25" t="str">
        <f>IF(A65="","",SUMIFS('04_Log_Accesos'!$L$6:$L$705,'04_Log_Accesos'!$B$6:$B$705,A65))</f>
        <v/>
      </c>
      <c r="M65" s="26" t="str">
        <f t="shared" si="2"/>
        <v/>
      </c>
      <c r="N65" s="27" t="str">
        <f>IF(OR(A65="",B65&lt;&gt;"GE"),"",K65/'01_Ficha_Dosis'!$C$27)</f>
        <v/>
      </c>
      <c r="O65" s="25" t="str">
        <f>IF(N65="","",IF(N65&gt;='01_Ficha_Dosis'!$C$31,"Dosis completa","Bajo umbral"))</f>
        <v/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6:O65">
    <cfRule type="expression" dxfId="0" priority="1">
      <formula>O6="Bajo umbral"</formula>
    </cfRule>
  </conditionalFormatting>
  <conditionalFormatting sqref="O6:O65">
    <cfRule type="expression" dxfId="4" priority="2">
      <formula>O6="Dosis completa"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3.0"/>
    <col customWidth="1" min="2" max="2" width="8.0"/>
    <col customWidth="1" min="3" max="3" width="9.0"/>
    <col customWidth="1" min="4" max="4" width="18.0"/>
    <col customWidth="1" min="5" max="5" width="14.0"/>
    <col customWidth="1" min="6" max="6" width="42.0"/>
    <col customWidth="1" min="7" max="7" width="38.0"/>
    <col customWidth="1" min="8" max="8" width="16.0"/>
    <col customWidth="1" min="9" max="9" width="13.0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25.5" customHeight="1">
      <c r="A2" s="3" t="s">
        <v>158</v>
      </c>
      <c r="B2" s="2"/>
      <c r="C2" s="2"/>
      <c r="D2" s="2"/>
      <c r="E2" s="2"/>
      <c r="F2" s="2"/>
      <c r="G2" s="2"/>
      <c r="H2" s="2"/>
      <c r="I2" s="2"/>
    </row>
    <row r="3">
      <c r="A3" s="4" t="s">
        <v>159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1.5" customHeight="1">
      <c r="A5" s="6" t="s">
        <v>140</v>
      </c>
      <c r="B5" s="6" t="s">
        <v>160</v>
      </c>
      <c r="C5" s="6" t="s">
        <v>22</v>
      </c>
      <c r="D5" s="6" t="s">
        <v>161</v>
      </c>
      <c r="E5" s="6" t="s">
        <v>162</v>
      </c>
      <c r="F5" s="6" t="s">
        <v>163</v>
      </c>
      <c r="G5" s="6" t="s">
        <v>164</v>
      </c>
      <c r="H5" s="6" t="s">
        <v>165</v>
      </c>
      <c r="I5" s="6" t="s">
        <v>166</v>
      </c>
    </row>
    <row r="6">
      <c r="A6" s="16">
        <v>46293.0</v>
      </c>
      <c r="B6" s="14" t="s">
        <v>167</v>
      </c>
      <c r="C6" s="12">
        <f>IF(A6="","",INT((A6-'01_Ficha_Dosis'!$C$14)/7)+1)</f>
        <v>-2</v>
      </c>
      <c r="D6" s="14" t="s">
        <v>14</v>
      </c>
      <c r="E6" s="14" t="s">
        <v>168</v>
      </c>
      <c r="F6" s="14" t="s">
        <v>169</v>
      </c>
      <c r="G6" s="14" t="s">
        <v>170</v>
      </c>
      <c r="H6" s="14" t="s">
        <v>38</v>
      </c>
      <c r="I6" s="14" t="s">
        <v>171</v>
      </c>
    </row>
    <row r="7">
      <c r="A7" s="16">
        <v>46295.0</v>
      </c>
      <c r="B7" s="14" t="s">
        <v>172</v>
      </c>
      <c r="C7" s="12">
        <f>IF(A7="","",INT((A7-'01_Ficha_Dosis'!$C$14)/7)+1)</f>
        <v>-2</v>
      </c>
      <c r="D7" s="14" t="s">
        <v>173</v>
      </c>
      <c r="E7" s="14" t="s">
        <v>174</v>
      </c>
      <c r="F7" s="14" t="s">
        <v>175</v>
      </c>
      <c r="G7" s="14" t="s">
        <v>176</v>
      </c>
      <c r="H7" s="14" t="s">
        <v>38</v>
      </c>
      <c r="I7" s="14" t="s">
        <v>177</v>
      </c>
    </row>
    <row r="8">
      <c r="A8" s="16">
        <v>46300.0</v>
      </c>
      <c r="B8" s="14" t="s">
        <v>178</v>
      </c>
      <c r="C8" s="12">
        <f>IF(A8="","",INT((A8-'01_Ficha_Dosis'!$C$14)/7)+1)</f>
        <v>-1</v>
      </c>
      <c r="D8" s="14" t="s">
        <v>179</v>
      </c>
      <c r="E8" s="14" t="s">
        <v>42</v>
      </c>
      <c r="F8" s="14" t="s">
        <v>180</v>
      </c>
      <c r="G8" s="14" t="s">
        <v>181</v>
      </c>
      <c r="H8" s="14" t="s">
        <v>182</v>
      </c>
      <c r="I8" s="14" t="s">
        <v>183</v>
      </c>
    </row>
    <row r="9">
      <c r="A9" s="16">
        <v>46316.0</v>
      </c>
      <c r="B9" s="14" t="s">
        <v>184</v>
      </c>
      <c r="C9" s="12">
        <f>IF(A9="","",INT((A9-'01_Ficha_Dosis'!$C$14)/7)+1)</f>
        <v>1</v>
      </c>
      <c r="D9" s="14" t="s">
        <v>185</v>
      </c>
      <c r="E9" s="14" t="s">
        <v>168</v>
      </c>
      <c r="F9" s="14" t="s">
        <v>186</v>
      </c>
      <c r="G9" s="14" t="s">
        <v>187</v>
      </c>
      <c r="H9" s="14" t="s">
        <v>38</v>
      </c>
      <c r="I9" s="14" t="s">
        <v>188</v>
      </c>
    </row>
    <row r="10">
      <c r="A10" s="16">
        <v>46321.0</v>
      </c>
      <c r="B10" s="14" t="s">
        <v>189</v>
      </c>
      <c r="C10" s="12">
        <f>IF(A10="","",INT((A10-'01_Ficha_Dosis'!$C$14)/7)+1)</f>
        <v>2</v>
      </c>
      <c r="D10" s="14" t="s">
        <v>190</v>
      </c>
      <c r="E10" s="14" t="s">
        <v>191</v>
      </c>
      <c r="F10" s="14" t="s">
        <v>192</v>
      </c>
      <c r="G10" s="14" t="s">
        <v>193</v>
      </c>
      <c r="H10" s="14" t="s">
        <v>38</v>
      </c>
      <c r="I10" s="14" t="s">
        <v>194</v>
      </c>
    </row>
    <row r="11">
      <c r="A11" s="16"/>
      <c r="B11" s="14"/>
      <c r="C11" s="12" t="str">
        <f>IF(A11="","",INT((A11-'01_Ficha_Dosis'!$C$14)/7)+1)</f>
        <v/>
      </c>
      <c r="D11" s="14"/>
      <c r="E11" s="14"/>
      <c r="F11" s="14"/>
      <c r="G11" s="14"/>
      <c r="H11" s="14"/>
      <c r="I11" s="14"/>
    </row>
    <row r="12">
      <c r="A12" s="16"/>
      <c r="B12" s="14"/>
      <c r="C12" s="12" t="str">
        <f>IF(A12="","",INT((A12-'01_Ficha_Dosis'!$C$14)/7)+1)</f>
        <v/>
      </c>
      <c r="D12" s="14"/>
      <c r="E12" s="14"/>
      <c r="F12" s="14"/>
      <c r="G12" s="14"/>
      <c r="H12" s="14"/>
      <c r="I12" s="14"/>
    </row>
    <row r="13">
      <c r="A13" s="16"/>
      <c r="B13" s="14"/>
      <c r="C13" s="12" t="str">
        <f>IF(A13="","",INT((A13-'01_Ficha_Dosis'!$C$14)/7)+1)</f>
        <v/>
      </c>
      <c r="D13" s="14"/>
      <c r="E13" s="14"/>
      <c r="F13" s="14"/>
      <c r="G13" s="14"/>
      <c r="H13" s="14"/>
      <c r="I13" s="14"/>
    </row>
    <row r="14">
      <c r="A14" s="16"/>
      <c r="B14" s="14"/>
      <c r="C14" s="12" t="str">
        <f>IF(A14="","",INT((A14-'01_Ficha_Dosis'!$C$14)/7)+1)</f>
        <v/>
      </c>
      <c r="D14" s="14"/>
      <c r="E14" s="14"/>
      <c r="F14" s="14"/>
      <c r="G14" s="14"/>
      <c r="H14" s="14"/>
      <c r="I14" s="14"/>
    </row>
    <row r="15">
      <c r="A15" s="16"/>
      <c r="B15" s="14"/>
      <c r="C15" s="12" t="str">
        <f>IF(A15="","",INT((A15-'01_Ficha_Dosis'!$C$14)/7)+1)</f>
        <v/>
      </c>
      <c r="D15" s="14"/>
      <c r="E15" s="14"/>
      <c r="F15" s="14"/>
      <c r="G15" s="14"/>
      <c r="H15" s="14"/>
      <c r="I15" s="14"/>
    </row>
    <row r="16">
      <c r="A16" s="16"/>
      <c r="B16" s="14"/>
      <c r="C16" s="12" t="str">
        <f>IF(A16="","",INT((A16-'01_Ficha_Dosis'!$C$14)/7)+1)</f>
        <v/>
      </c>
      <c r="D16" s="14"/>
      <c r="E16" s="14"/>
      <c r="F16" s="14"/>
      <c r="G16" s="14"/>
      <c r="H16" s="14"/>
      <c r="I16" s="14"/>
    </row>
    <row r="17">
      <c r="A17" s="16"/>
      <c r="B17" s="14"/>
      <c r="C17" s="12" t="str">
        <f>IF(A17="","",INT((A17-'01_Ficha_Dosis'!$C$14)/7)+1)</f>
        <v/>
      </c>
      <c r="D17" s="14"/>
      <c r="E17" s="14"/>
      <c r="F17" s="14"/>
      <c r="G17" s="14"/>
      <c r="H17" s="14"/>
      <c r="I17" s="14"/>
    </row>
    <row r="18">
      <c r="A18" s="16"/>
      <c r="B18" s="14"/>
      <c r="C18" s="12" t="str">
        <f>IF(A18="","",INT((A18-'01_Ficha_Dosis'!$C$14)/7)+1)</f>
        <v/>
      </c>
      <c r="D18" s="14"/>
      <c r="E18" s="14"/>
      <c r="F18" s="14"/>
      <c r="G18" s="14"/>
      <c r="H18" s="14"/>
      <c r="I18" s="14"/>
    </row>
    <row r="19">
      <c r="A19" s="16"/>
      <c r="B19" s="14"/>
      <c r="C19" s="12" t="str">
        <f>IF(A19="","",INT((A19-'01_Ficha_Dosis'!$C$14)/7)+1)</f>
        <v/>
      </c>
      <c r="D19" s="14"/>
      <c r="E19" s="14"/>
      <c r="F19" s="14"/>
      <c r="G19" s="14"/>
      <c r="H19" s="14"/>
      <c r="I19" s="14"/>
    </row>
    <row r="20">
      <c r="A20" s="16"/>
      <c r="B20" s="14"/>
      <c r="C20" s="12" t="str">
        <f>IF(A20="","",INT((A20-'01_Ficha_Dosis'!$C$14)/7)+1)</f>
        <v/>
      </c>
      <c r="D20" s="14"/>
      <c r="E20" s="14"/>
      <c r="F20" s="14"/>
      <c r="G20" s="14"/>
      <c r="H20" s="14"/>
      <c r="I20" s="14"/>
    </row>
    <row r="21" ht="15.75" customHeight="1">
      <c r="A21" s="16"/>
      <c r="B21" s="14"/>
      <c r="C21" s="12" t="str">
        <f>IF(A21="","",INT((A21-'01_Ficha_Dosis'!$C$14)/7)+1)</f>
        <v/>
      </c>
      <c r="D21" s="14"/>
      <c r="E21" s="14"/>
      <c r="F21" s="14"/>
      <c r="G21" s="14"/>
      <c r="H21" s="14"/>
      <c r="I21" s="14"/>
    </row>
    <row r="22" ht="15.75" customHeight="1">
      <c r="A22" s="16"/>
      <c r="B22" s="14"/>
      <c r="C22" s="12" t="str">
        <f>IF(A22="","",INT((A22-'01_Ficha_Dosis'!$C$14)/7)+1)</f>
        <v/>
      </c>
      <c r="D22" s="14"/>
      <c r="E22" s="14"/>
      <c r="F22" s="14"/>
      <c r="G22" s="14"/>
      <c r="H22" s="14"/>
      <c r="I22" s="14"/>
    </row>
    <row r="23" ht="15.75" customHeight="1">
      <c r="A23" s="16"/>
      <c r="B23" s="14"/>
      <c r="C23" s="12" t="str">
        <f>IF(A23="","",INT((A23-'01_Ficha_Dosis'!$C$14)/7)+1)</f>
        <v/>
      </c>
      <c r="D23" s="14"/>
      <c r="E23" s="14"/>
      <c r="F23" s="14"/>
      <c r="G23" s="14"/>
      <c r="H23" s="14"/>
      <c r="I23" s="14"/>
    </row>
    <row r="24" ht="15.75" customHeight="1">
      <c r="A24" s="16"/>
      <c r="B24" s="14"/>
      <c r="C24" s="12" t="str">
        <f>IF(A24="","",INT((A24-'01_Ficha_Dosis'!$C$14)/7)+1)</f>
        <v/>
      </c>
      <c r="D24" s="14"/>
      <c r="E24" s="14"/>
      <c r="F24" s="14"/>
      <c r="G24" s="14"/>
      <c r="H24" s="14"/>
      <c r="I24" s="14"/>
    </row>
    <row r="25" ht="15.75" customHeight="1">
      <c r="A25" s="16"/>
      <c r="B25" s="14"/>
      <c r="C25" s="12" t="str">
        <f>IF(A25="","",INT((A25-'01_Ficha_Dosis'!$C$14)/7)+1)</f>
        <v/>
      </c>
      <c r="D25" s="14"/>
      <c r="E25" s="14"/>
      <c r="F25" s="14"/>
      <c r="G25" s="14"/>
      <c r="H25" s="14"/>
      <c r="I25" s="14"/>
    </row>
    <row r="26" ht="15.75" customHeight="1">
      <c r="A26" s="16"/>
      <c r="B26" s="14"/>
      <c r="C26" s="12" t="str">
        <f>IF(A26="","",INT((A26-'01_Ficha_Dosis'!$C$14)/7)+1)</f>
        <v/>
      </c>
      <c r="D26" s="14"/>
      <c r="E26" s="14"/>
      <c r="F26" s="14"/>
      <c r="G26" s="14"/>
      <c r="H26" s="14"/>
      <c r="I26" s="14"/>
    </row>
    <row r="27" ht="15.75" customHeight="1">
      <c r="A27" s="16"/>
      <c r="B27" s="14"/>
      <c r="C27" s="12" t="str">
        <f>IF(A27="","",INT((A27-'01_Ficha_Dosis'!$C$14)/7)+1)</f>
        <v/>
      </c>
      <c r="D27" s="14"/>
      <c r="E27" s="14"/>
      <c r="F27" s="14"/>
      <c r="G27" s="14"/>
      <c r="H27" s="14"/>
      <c r="I27" s="14"/>
    </row>
    <row r="28" ht="15.75" customHeight="1">
      <c r="A28" s="16"/>
      <c r="B28" s="14"/>
      <c r="C28" s="12" t="str">
        <f>IF(A28="","",INT((A28-'01_Ficha_Dosis'!$C$14)/7)+1)</f>
        <v/>
      </c>
      <c r="D28" s="14"/>
      <c r="E28" s="14"/>
      <c r="F28" s="14"/>
      <c r="G28" s="14"/>
      <c r="H28" s="14"/>
      <c r="I28" s="14"/>
    </row>
    <row r="29" ht="15.75" customHeight="1">
      <c r="A29" s="16"/>
      <c r="B29" s="14"/>
      <c r="C29" s="12" t="str">
        <f>IF(A29="","",INT((A29-'01_Ficha_Dosis'!$C$14)/7)+1)</f>
        <v/>
      </c>
      <c r="D29" s="14"/>
      <c r="E29" s="14"/>
      <c r="F29" s="14"/>
      <c r="G29" s="14"/>
      <c r="H29" s="14"/>
      <c r="I29" s="14"/>
    </row>
    <row r="30" ht="15.75" customHeight="1">
      <c r="A30" s="16"/>
      <c r="B30" s="14"/>
      <c r="C30" s="12" t="str">
        <f>IF(A30="","",INT((A30-'01_Ficha_Dosis'!$C$14)/7)+1)</f>
        <v/>
      </c>
      <c r="D30" s="14"/>
      <c r="E30" s="14"/>
      <c r="F30" s="14"/>
      <c r="G30" s="14"/>
      <c r="H30" s="14"/>
      <c r="I30" s="14"/>
    </row>
    <row r="31" ht="15.75" customHeight="1">
      <c r="A31" s="16"/>
      <c r="B31" s="14"/>
      <c r="C31" s="12" t="str">
        <f>IF(A31="","",INT((A31-'01_Ficha_Dosis'!$C$14)/7)+1)</f>
        <v/>
      </c>
      <c r="D31" s="14"/>
      <c r="E31" s="14"/>
      <c r="F31" s="14"/>
      <c r="G31" s="14"/>
      <c r="H31" s="14"/>
      <c r="I31" s="14"/>
    </row>
    <row r="32" ht="15.75" customHeight="1">
      <c r="A32" s="16"/>
      <c r="B32" s="14"/>
      <c r="C32" s="12" t="str">
        <f>IF(A32="","",INT((A32-'01_Ficha_Dosis'!$C$14)/7)+1)</f>
        <v/>
      </c>
      <c r="D32" s="14"/>
      <c r="E32" s="14"/>
      <c r="F32" s="14"/>
      <c r="G32" s="14"/>
      <c r="H32" s="14"/>
      <c r="I32" s="14"/>
    </row>
    <row r="33" ht="15.75" customHeight="1">
      <c r="A33" s="16"/>
      <c r="B33" s="14"/>
      <c r="C33" s="12" t="str">
        <f>IF(A33="","",INT((A33-'01_Ficha_Dosis'!$C$14)/7)+1)</f>
        <v/>
      </c>
      <c r="D33" s="14"/>
      <c r="E33" s="14"/>
      <c r="F33" s="14"/>
      <c r="G33" s="14"/>
      <c r="H33" s="14"/>
      <c r="I33" s="14"/>
    </row>
    <row r="34" ht="15.75" customHeight="1">
      <c r="A34" s="16"/>
      <c r="B34" s="14"/>
      <c r="C34" s="12" t="str">
        <f>IF(A34="","",INT((A34-'01_Ficha_Dosis'!$C$14)/7)+1)</f>
        <v/>
      </c>
      <c r="D34" s="14"/>
      <c r="E34" s="14"/>
      <c r="F34" s="14"/>
      <c r="G34" s="14"/>
      <c r="H34" s="14"/>
      <c r="I34" s="14"/>
    </row>
    <row r="35" ht="15.75" customHeight="1">
      <c r="A35" s="16"/>
      <c r="B35" s="14"/>
      <c r="C35" s="12" t="str">
        <f>IF(A35="","",INT((A35-'01_Ficha_Dosis'!$C$14)/7)+1)</f>
        <v/>
      </c>
      <c r="D35" s="14"/>
      <c r="E35" s="14"/>
      <c r="F35" s="14"/>
      <c r="G35" s="14"/>
      <c r="H35" s="14"/>
      <c r="I35" s="14"/>
    </row>
    <row r="36" ht="15.75" customHeight="1">
      <c r="A36" s="16"/>
      <c r="B36" s="14"/>
      <c r="C36" s="12" t="str">
        <f>IF(A36="","",INT((A36-'01_Ficha_Dosis'!$C$14)/7)+1)</f>
        <v/>
      </c>
      <c r="D36" s="14"/>
      <c r="E36" s="14"/>
      <c r="F36" s="14"/>
      <c r="G36" s="14"/>
      <c r="H36" s="14"/>
      <c r="I36" s="14"/>
    </row>
    <row r="37" ht="15.75" customHeight="1">
      <c r="A37" s="16"/>
      <c r="B37" s="14"/>
      <c r="C37" s="12" t="str">
        <f>IF(A37="","",INT((A37-'01_Ficha_Dosis'!$C$14)/7)+1)</f>
        <v/>
      </c>
      <c r="D37" s="14"/>
      <c r="E37" s="14"/>
      <c r="F37" s="14"/>
      <c r="G37" s="14"/>
      <c r="H37" s="14"/>
      <c r="I37" s="14"/>
    </row>
    <row r="38" ht="15.75" customHeight="1">
      <c r="A38" s="16"/>
      <c r="B38" s="14"/>
      <c r="C38" s="12" t="str">
        <f>IF(A38="","",INT((A38-'01_Ficha_Dosis'!$C$14)/7)+1)</f>
        <v/>
      </c>
      <c r="D38" s="14"/>
      <c r="E38" s="14"/>
      <c r="F38" s="14"/>
      <c r="G38" s="14"/>
      <c r="H38" s="14"/>
      <c r="I38" s="14"/>
    </row>
    <row r="39" ht="15.75" customHeight="1">
      <c r="A39" s="16"/>
      <c r="B39" s="14"/>
      <c r="C39" s="12" t="str">
        <f>IF(A39="","",INT((A39-'01_Ficha_Dosis'!$C$14)/7)+1)</f>
        <v/>
      </c>
      <c r="D39" s="14"/>
      <c r="E39" s="14"/>
      <c r="F39" s="14"/>
      <c r="G39" s="14"/>
      <c r="H39" s="14"/>
      <c r="I39" s="14"/>
    </row>
    <row r="40" ht="15.75" customHeight="1">
      <c r="A40" s="16"/>
      <c r="B40" s="14"/>
      <c r="C40" s="12" t="str">
        <f>IF(A40="","",INT((A40-'01_Ficha_Dosis'!$C$14)/7)+1)</f>
        <v/>
      </c>
      <c r="D40" s="14"/>
      <c r="E40" s="14"/>
      <c r="F40" s="14"/>
      <c r="G40" s="14"/>
      <c r="H40" s="14"/>
      <c r="I40" s="14"/>
    </row>
    <row r="41" ht="15.75" customHeight="1">
      <c r="A41" s="16"/>
      <c r="B41" s="14"/>
      <c r="C41" s="12" t="str">
        <f>IF(A41="","",INT((A41-'01_Ficha_Dosis'!$C$14)/7)+1)</f>
        <v/>
      </c>
      <c r="D41" s="14"/>
      <c r="E41" s="14"/>
      <c r="F41" s="14"/>
      <c r="G41" s="14"/>
      <c r="H41" s="14"/>
      <c r="I41" s="14"/>
    </row>
    <row r="42" ht="15.75" customHeight="1">
      <c r="A42" s="16"/>
      <c r="B42" s="14"/>
      <c r="C42" s="12" t="str">
        <f>IF(A42="","",INT((A42-'01_Ficha_Dosis'!$C$14)/7)+1)</f>
        <v/>
      </c>
      <c r="D42" s="14"/>
      <c r="E42" s="14"/>
      <c r="F42" s="14"/>
      <c r="G42" s="14"/>
      <c r="H42" s="14"/>
      <c r="I42" s="14"/>
    </row>
    <row r="43" ht="15.75" customHeight="1">
      <c r="A43" s="16"/>
      <c r="B43" s="14"/>
      <c r="C43" s="12" t="str">
        <f>IF(A43="","",INT((A43-'01_Ficha_Dosis'!$C$14)/7)+1)</f>
        <v/>
      </c>
      <c r="D43" s="14"/>
      <c r="E43" s="14"/>
      <c r="F43" s="14"/>
      <c r="G43" s="14"/>
      <c r="H43" s="14"/>
      <c r="I43" s="14"/>
    </row>
    <row r="44" ht="15.75" customHeight="1">
      <c r="A44" s="16"/>
      <c r="B44" s="14"/>
      <c r="C44" s="12" t="str">
        <f>IF(A44="","",INT((A44-'01_Ficha_Dosis'!$C$14)/7)+1)</f>
        <v/>
      </c>
      <c r="D44" s="14"/>
      <c r="E44" s="14"/>
      <c r="F44" s="14"/>
      <c r="G44" s="14"/>
      <c r="H44" s="14"/>
      <c r="I44" s="14"/>
    </row>
    <row r="45" ht="15.75" customHeight="1">
      <c r="A45" s="16"/>
      <c r="B45" s="14"/>
      <c r="C45" s="12" t="str">
        <f>IF(A45="","",INT((A45-'01_Ficha_Dosis'!$C$14)/7)+1)</f>
        <v/>
      </c>
      <c r="D45" s="14"/>
      <c r="E45" s="14"/>
      <c r="F45" s="14"/>
      <c r="G45" s="14"/>
      <c r="H45" s="14"/>
      <c r="I45" s="14"/>
    </row>
    <row r="46" ht="15.75" customHeight="1">
      <c r="A46" s="16"/>
      <c r="B46" s="14"/>
      <c r="C46" s="12" t="str">
        <f>IF(A46="","",INT((A46-'01_Ficha_Dosis'!$C$14)/7)+1)</f>
        <v/>
      </c>
      <c r="D46" s="14"/>
      <c r="E46" s="14"/>
      <c r="F46" s="14"/>
      <c r="G46" s="14"/>
      <c r="H46" s="14"/>
      <c r="I46" s="14"/>
    </row>
    <row r="47" ht="15.75" customHeight="1">
      <c r="A47" s="16"/>
      <c r="B47" s="14"/>
      <c r="C47" s="12" t="str">
        <f>IF(A47="","",INT((A47-'01_Ficha_Dosis'!$C$14)/7)+1)</f>
        <v/>
      </c>
      <c r="D47" s="14"/>
      <c r="E47" s="14"/>
      <c r="F47" s="14"/>
      <c r="G47" s="14"/>
      <c r="H47" s="14"/>
      <c r="I47" s="14"/>
    </row>
    <row r="48" ht="15.75" customHeight="1">
      <c r="A48" s="16"/>
      <c r="B48" s="14"/>
      <c r="C48" s="12" t="str">
        <f>IF(A48="","",INT((A48-'01_Ficha_Dosis'!$C$14)/7)+1)</f>
        <v/>
      </c>
      <c r="D48" s="14"/>
      <c r="E48" s="14"/>
      <c r="F48" s="14"/>
      <c r="G48" s="14"/>
      <c r="H48" s="14"/>
      <c r="I48" s="14"/>
    </row>
    <row r="49" ht="15.75" customHeight="1">
      <c r="A49" s="16"/>
      <c r="B49" s="14"/>
      <c r="C49" s="12" t="str">
        <f>IF(A49="","",INT((A49-'01_Ficha_Dosis'!$C$14)/7)+1)</f>
        <v/>
      </c>
      <c r="D49" s="14"/>
      <c r="E49" s="14"/>
      <c r="F49" s="14"/>
      <c r="G49" s="14"/>
      <c r="H49" s="14"/>
      <c r="I49" s="14"/>
    </row>
    <row r="50" ht="15.75" customHeight="1">
      <c r="A50" s="16"/>
      <c r="B50" s="14"/>
      <c r="C50" s="12" t="str">
        <f>IF(A50="","",INT((A50-'01_Ficha_Dosis'!$C$14)/7)+1)</f>
        <v/>
      </c>
      <c r="D50" s="14"/>
      <c r="E50" s="14"/>
      <c r="F50" s="14"/>
      <c r="G50" s="14"/>
      <c r="H50" s="14"/>
      <c r="I50" s="14"/>
    </row>
    <row r="51" ht="15.75" customHeight="1">
      <c r="A51" s="16"/>
      <c r="B51" s="14"/>
      <c r="C51" s="12" t="str">
        <f>IF(A51="","",INT((A51-'01_Ficha_Dosis'!$C$14)/7)+1)</f>
        <v/>
      </c>
      <c r="D51" s="14"/>
      <c r="E51" s="14"/>
      <c r="F51" s="14"/>
      <c r="G51" s="14"/>
      <c r="H51" s="14"/>
      <c r="I51" s="14"/>
    </row>
    <row r="52" ht="15.75" customHeight="1">
      <c r="A52" s="16"/>
      <c r="B52" s="14"/>
      <c r="C52" s="12" t="str">
        <f>IF(A52="","",INT((A52-'01_Ficha_Dosis'!$C$14)/7)+1)</f>
        <v/>
      </c>
      <c r="D52" s="14"/>
      <c r="E52" s="14"/>
      <c r="F52" s="14"/>
      <c r="G52" s="14"/>
      <c r="H52" s="14"/>
      <c r="I52" s="14"/>
    </row>
    <row r="53" ht="15.75" customHeight="1">
      <c r="A53" s="16"/>
      <c r="B53" s="14"/>
      <c r="C53" s="12" t="str">
        <f>IF(A53="","",INT((A53-'01_Ficha_Dosis'!$C$14)/7)+1)</f>
        <v/>
      </c>
      <c r="D53" s="14"/>
      <c r="E53" s="14"/>
      <c r="F53" s="14"/>
      <c r="G53" s="14"/>
      <c r="H53" s="14"/>
      <c r="I53" s="14"/>
    </row>
    <row r="54" ht="15.75" customHeight="1">
      <c r="A54" s="16"/>
      <c r="B54" s="14"/>
      <c r="C54" s="12" t="str">
        <f>IF(A54="","",INT((A54-'01_Ficha_Dosis'!$C$14)/7)+1)</f>
        <v/>
      </c>
      <c r="D54" s="14"/>
      <c r="E54" s="14"/>
      <c r="F54" s="14"/>
      <c r="G54" s="14"/>
      <c r="H54" s="14"/>
      <c r="I54" s="14"/>
    </row>
    <row r="55" ht="15.75" customHeight="1">
      <c r="A55" s="16"/>
      <c r="B55" s="14"/>
      <c r="C55" s="12" t="str">
        <f>IF(A55="","",INT((A55-'01_Ficha_Dosis'!$C$14)/7)+1)</f>
        <v/>
      </c>
      <c r="D55" s="14"/>
      <c r="E55" s="14"/>
      <c r="F55" s="14"/>
      <c r="G55" s="14"/>
      <c r="H55" s="14"/>
      <c r="I55" s="14"/>
    </row>
    <row r="56" ht="15.75" customHeight="1">
      <c r="A56" s="16"/>
      <c r="B56" s="14"/>
      <c r="C56" s="12" t="str">
        <f>IF(A56="","",INT((A56-'01_Ficha_Dosis'!$C$14)/7)+1)</f>
        <v/>
      </c>
      <c r="D56" s="14"/>
      <c r="E56" s="14"/>
      <c r="F56" s="14"/>
      <c r="G56" s="14"/>
      <c r="H56" s="14"/>
      <c r="I56" s="14"/>
    </row>
    <row r="57" ht="15.75" customHeight="1">
      <c r="A57" s="16"/>
      <c r="B57" s="14"/>
      <c r="C57" s="12" t="str">
        <f>IF(A57="","",INT((A57-'01_Ficha_Dosis'!$C$14)/7)+1)</f>
        <v/>
      </c>
      <c r="D57" s="14"/>
      <c r="E57" s="14"/>
      <c r="F57" s="14"/>
      <c r="G57" s="14"/>
      <c r="H57" s="14"/>
      <c r="I57" s="14"/>
    </row>
    <row r="58" ht="15.75" customHeight="1">
      <c r="A58" s="16"/>
      <c r="B58" s="14"/>
      <c r="C58" s="12" t="str">
        <f>IF(A58="","",INT((A58-'01_Ficha_Dosis'!$C$14)/7)+1)</f>
        <v/>
      </c>
      <c r="D58" s="14"/>
      <c r="E58" s="14"/>
      <c r="F58" s="14"/>
      <c r="G58" s="14"/>
      <c r="H58" s="14"/>
      <c r="I58" s="14"/>
    </row>
    <row r="59" ht="15.75" customHeight="1">
      <c r="A59" s="16"/>
      <c r="B59" s="14"/>
      <c r="C59" s="12" t="str">
        <f>IF(A59="","",INT((A59-'01_Ficha_Dosis'!$C$14)/7)+1)</f>
        <v/>
      </c>
      <c r="D59" s="14"/>
      <c r="E59" s="14"/>
      <c r="F59" s="14"/>
      <c r="G59" s="14"/>
      <c r="H59" s="14"/>
      <c r="I59" s="14"/>
    </row>
    <row r="60" ht="15.75" customHeight="1">
      <c r="A60" s="16"/>
      <c r="B60" s="14"/>
      <c r="C60" s="12" t="str">
        <f>IF(A60="","",INT((A60-'01_Ficha_Dosis'!$C$14)/7)+1)</f>
        <v/>
      </c>
      <c r="D60" s="14"/>
      <c r="E60" s="14"/>
      <c r="F60" s="14"/>
      <c r="G60" s="14"/>
      <c r="H60" s="14"/>
      <c r="I60" s="14"/>
    </row>
    <row r="61" ht="15.75" customHeight="1">
      <c r="A61" s="16"/>
      <c r="B61" s="14"/>
      <c r="C61" s="12" t="str">
        <f>IF(A61="","",INT((A61-'01_Ficha_Dosis'!$C$14)/7)+1)</f>
        <v/>
      </c>
      <c r="D61" s="14"/>
      <c r="E61" s="14"/>
      <c r="F61" s="14"/>
      <c r="G61" s="14"/>
      <c r="H61" s="14"/>
      <c r="I61" s="14"/>
    </row>
    <row r="62" ht="15.75" customHeight="1">
      <c r="A62" s="16"/>
      <c r="B62" s="14"/>
      <c r="C62" s="12" t="str">
        <f>IF(A62="","",INT((A62-'01_Ficha_Dosis'!$C$14)/7)+1)</f>
        <v/>
      </c>
      <c r="D62" s="14"/>
      <c r="E62" s="14"/>
      <c r="F62" s="14"/>
      <c r="G62" s="14"/>
      <c r="H62" s="14"/>
      <c r="I62" s="14"/>
    </row>
    <row r="63" ht="15.75" customHeight="1">
      <c r="A63" s="16"/>
      <c r="B63" s="14"/>
      <c r="C63" s="12" t="str">
        <f>IF(A63="","",INT((A63-'01_Ficha_Dosis'!$C$14)/7)+1)</f>
        <v/>
      </c>
      <c r="D63" s="14"/>
      <c r="E63" s="14"/>
      <c r="F63" s="14"/>
      <c r="G63" s="14"/>
      <c r="H63" s="14"/>
      <c r="I63" s="14"/>
    </row>
    <row r="64" ht="15.75" customHeight="1">
      <c r="A64" s="16"/>
      <c r="B64" s="14"/>
      <c r="C64" s="12" t="str">
        <f>IF(A64="","",INT((A64-'01_Ficha_Dosis'!$C$14)/7)+1)</f>
        <v/>
      </c>
      <c r="D64" s="14"/>
      <c r="E64" s="14"/>
      <c r="F64" s="14"/>
      <c r="G64" s="14"/>
      <c r="H64" s="14"/>
      <c r="I64" s="14"/>
    </row>
    <row r="65" ht="15.75" customHeight="1">
      <c r="A65" s="16"/>
      <c r="B65" s="14"/>
      <c r="C65" s="12" t="str">
        <f>IF(A65="","",INT((A65-'01_Ficha_Dosis'!$C$14)/7)+1)</f>
        <v/>
      </c>
      <c r="D65" s="14"/>
      <c r="E65" s="14"/>
      <c r="F65" s="14"/>
      <c r="G65" s="14"/>
      <c r="H65" s="14"/>
      <c r="I65" s="14"/>
    </row>
    <row r="66" ht="15.75" customHeight="1">
      <c r="A66" s="16"/>
      <c r="B66" s="14"/>
      <c r="C66" s="12" t="str">
        <f>IF(A66="","",INT((A66-'01_Ficha_Dosis'!$C$14)/7)+1)</f>
        <v/>
      </c>
      <c r="D66" s="14"/>
      <c r="E66" s="14"/>
      <c r="F66" s="14"/>
      <c r="G66" s="14"/>
      <c r="H66" s="14"/>
      <c r="I66" s="14"/>
    </row>
    <row r="67" ht="15.75" customHeight="1">
      <c r="A67" s="16"/>
      <c r="B67" s="14"/>
      <c r="C67" s="12" t="str">
        <f>IF(A67="","",INT((A67-'01_Ficha_Dosis'!$C$14)/7)+1)</f>
        <v/>
      </c>
      <c r="D67" s="14"/>
      <c r="E67" s="14"/>
      <c r="F67" s="14"/>
      <c r="G67" s="14"/>
      <c r="H67" s="14"/>
      <c r="I67" s="14"/>
    </row>
    <row r="68" ht="15.75" customHeight="1">
      <c r="A68" s="16"/>
      <c r="B68" s="14"/>
      <c r="C68" s="12" t="str">
        <f>IF(A68="","",INT((A68-'01_Ficha_Dosis'!$C$14)/7)+1)</f>
        <v/>
      </c>
      <c r="D68" s="14"/>
      <c r="E68" s="14"/>
      <c r="F68" s="14"/>
      <c r="G68" s="14"/>
      <c r="H68" s="14"/>
      <c r="I68" s="14"/>
    </row>
    <row r="69" ht="15.75" customHeight="1">
      <c r="A69" s="16"/>
      <c r="B69" s="14"/>
      <c r="C69" s="12" t="str">
        <f>IF(A69="","",INT((A69-'01_Ficha_Dosis'!$C$14)/7)+1)</f>
        <v/>
      </c>
      <c r="D69" s="14"/>
      <c r="E69" s="14"/>
      <c r="F69" s="14"/>
      <c r="G69" s="14"/>
      <c r="H69" s="14"/>
      <c r="I69" s="14"/>
    </row>
    <row r="70" ht="15.75" customHeight="1">
      <c r="A70" s="16"/>
      <c r="B70" s="14"/>
      <c r="C70" s="12" t="str">
        <f>IF(A70="","",INT((A70-'01_Ficha_Dosis'!$C$14)/7)+1)</f>
        <v/>
      </c>
      <c r="D70" s="14"/>
      <c r="E70" s="14"/>
      <c r="F70" s="14"/>
      <c r="G70" s="14"/>
      <c r="H70" s="14"/>
      <c r="I70" s="14"/>
    </row>
    <row r="71" ht="15.75" customHeight="1">
      <c r="A71" s="16"/>
      <c r="B71" s="14"/>
      <c r="C71" s="12" t="str">
        <f>IF(A71="","",INT((A71-'01_Ficha_Dosis'!$C$14)/7)+1)</f>
        <v/>
      </c>
      <c r="D71" s="14"/>
      <c r="E71" s="14"/>
      <c r="F71" s="14"/>
      <c r="G71" s="14"/>
      <c r="H71" s="14"/>
      <c r="I71" s="14"/>
    </row>
    <row r="72" ht="15.75" customHeight="1">
      <c r="A72" s="16"/>
      <c r="B72" s="14"/>
      <c r="C72" s="12" t="str">
        <f>IF(A72="","",INT((A72-'01_Ficha_Dosis'!$C$14)/7)+1)</f>
        <v/>
      </c>
      <c r="D72" s="14"/>
      <c r="E72" s="14"/>
      <c r="F72" s="14"/>
      <c r="G72" s="14"/>
      <c r="H72" s="14"/>
      <c r="I72" s="14"/>
    </row>
    <row r="73" ht="15.75" customHeight="1">
      <c r="A73" s="16"/>
      <c r="B73" s="14"/>
      <c r="C73" s="12" t="str">
        <f>IF(A73="","",INT((A73-'01_Ficha_Dosis'!$C$14)/7)+1)</f>
        <v/>
      </c>
      <c r="D73" s="14"/>
      <c r="E73" s="14"/>
      <c r="F73" s="14"/>
      <c r="G73" s="14"/>
      <c r="H73" s="14"/>
      <c r="I73" s="14"/>
    </row>
    <row r="74" ht="15.75" customHeight="1">
      <c r="A74" s="16"/>
      <c r="B74" s="14"/>
      <c r="C74" s="12" t="str">
        <f>IF(A74="","",INT((A74-'01_Ficha_Dosis'!$C$14)/7)+1)</f>
        <v/>
      </c>
      <c r="D74" s="14"/>
      <c r="E74" s="14"/>
      <c r="F74" s="14"/>
      <c r="G74" s="14"/>
      <c r="H74" s="14"/>
      <c r="I74" s="14"/>
    </row>
    <row r="75" ht="15.75" customHeight="1">
      <c r="A75" s="16"/>
      <c r="B75" s="14"/>
      <c r="C75" s="12" t="str">
        <f>IF(A75="","",INT((A75-'01_Ficha_Dosis'!$C$14)/7)+1)</f>
        <v/>
      </c>
      <c r="D75" s="14"/>
      <c r="E75" s="14"/>
      <c r="F75" s="14"/>
      <c r="G75" s="14"/>
      <c r="H75" s="14"/>
      <c r="I75" s="14"/>
    </row>
    <row r="76" ht="15.75" customHeight="1">
      <c r="A76" s="16"/>
      <c r="B76" s="14"/>
      <c r="C76" s="12" t="str">
        <f>IF(A76="","",INT((A76-'01_Ficha_Dosis'!$C$14)/7)+1)</f>
        <v/>
      </c>
      <c r="D76" s="14"/>
      <c r="E76" s="14"/>
      <c r="F76" s="14"/>
      <c r="G76" s="14"/>
      <c r="H76" s="14"/>
      <c r="I76" s="14"/>
    </row>
    <row r="77" ht="15.75" customHeight="1">
      <c r="A77" s="16"/>
      <c r="B77" s="14"/>
      <c r="C77" s="12" t="str">
        <f>IF(A77="","",INT((A77-'01_Ficha_Dosis'!$C$14)/7)+1)</f>
        <v/>
      </c>
      <c r="D77" s="14"/>
      <c r="E77" s="14"/>
      <c r="F77" s="14"/>
      <c r="G77" s="14"/>
      <c r="H77" s="14"/>
      <c r="I77" s="14"/>
    </row>
    <row r="78" ht="15.75" customHeight="1">
      <c r="A78" s="16"/>
      <c r="B78" s="14"/>
      <c r="C78" s="12" t="str">
        <f>IF(A78="","",INT((A78-'01_Ficha_Dosis'!$C$14)/7)+1)</f>
        <v/>
      </c>
      <c r="D78" s="14"/>
      <c r="E78" s="14"/>
      <c r="F78" s="14"/>
      <c r="G78" s="14"/>
      <c r="H78" s="14"/>
      <c r="I78" s="14"/>
    </row>
    <row r="79" ht="15.75" customHeight="1">
      <c r="A79" s="16"/>
      <c r="B79" s="14"/>
      <c r="C79" s="12" t="str">
        <f>IF(A79="","",INT((A79-'01_Ficha_Dosis'!$C$14)/7)+1)</f>
        <v/>
      </c>
      <c r="D79" s="14"/>
      <c r="E79" s="14"/>
      <c r="F79" s="14"/>
      <c r="G79" s="14"/>
      <c r="H79" s="14"/>
      <c r="I79" s="14"/>
    </row>
    <row r="80" ht="15.75" customHeight="1">
      <c r="A80" s="16"/>
      <c r="B80" s="14"/>
      <c r="C80" s="12" t="str">
        <f>IF(A80="","",INT((A80-'01_Ficha_Dosis'!$C$14)/7)+1)</f>
        <v/>
      </c>
      <c r="D80" s="14"/>
      <c r="E80" s="14"/>
      <c r="F80" s="14"/>
      <c r="G80" s="14"/>
      <c r="H80" s="14"/>
      <c r="I80" s="14"/>
    </row>
    <row r="81" ht="15.75" customHeight="1">
      <c r="A81" s="16"/>
      <c r="B81" s="14"/>
      <c r="C81" s="12" t="str">
        <f>IF(A81="","",INT((A81-'01_Ficha_Dosis'!$C$14)/7)+1)</f>
        <v/>
      </c>
      <c r="D81" s="14"/>
      <c r="E81" s="14"/>
      <c r="F81" s="14"/>
      <c r="G81" s="14"/>
      <c r="H81" s="14"/>
      <c r="I81" s="14"/>
    </row>
    <row r="82" ht="15.75" customHeight="1">
      <c r="A82" s="16"/>
      <c r="B82" s="14"/>
      <c r="C82" s="12" t="str">
        <f>IF(A82="","",INT((A82-'01_Ficha_Dosis'!$C$14)/7)+1)</f>
        <v/>
      </c>
      <c r="D82" s="14"/>
      <c r="E82" s="14"/>
      <c r="F82" s="14"/>
      <c r="G82" s="14"/>
      <c r="H82" s="14"/>
      <c r="I82" s="14"/>
    </row>
    <row r="83" ht="15.75" customHeight="1">
      <c r="A83" s="16"/>
      <c r="B83" s="14"/>
      <c r="C83" s="12" t="str">
        <f>IF(A83="","",INT((A83-'01_Ficha_Dosis'!$C$14)/7)+1)</f>
        <v/>
      </c>
      <c r="D83" s="14"/>
      <c r="E83" s="14"/>
      <c r="F83" s="14"/>
      <c r="G83" s="14"/>
      <c r="H83" s="14"/>
      <c r="I83" s="14"/>
    </row>
    <row r="84" ht="15.75" customHeight="1">
      <c r="A84" s="16"/>
      <c r="B84" s="14"/>
      <c r="C84" s="12" t="str">
        <f>IF(A84="","",INT((A84-'01_Ficha_Dosis'!$C$14)/7)+1)</f>
        <v/>
      </c>
      <c r="D84" s="14"/>
      <c r="E84" s="14"/>
      <c r="F84" s="14"/>
      <c r="G84" s="14"/>
      <c r="H84" s="14"/>
      <c r="I84" s="14"/>
    </row>
    <row r="85" ht="15.75" customHeight="1">
      <c r="A85" s="16"/>
      <c r="B85" s="14"/>
      <c r="C85" s="12" t="str">
        <f>IF(A85="","",INT((A85-'01_Ficha_Dosis'!$C$14)/7)+1)</f>
        <v/>
      </c>
      <c r="D85" s="14"/>
      <c r="E85" s="14"/>
      <c r="F85" s="14"/>
      <c r="G85" s="14"/>
      <c r="H85" s="14"/>
      <c r="I85" s="14"/>
    </row>
    <row r="86" ht="15.75" customHeight="1">
      <c r="A86" s="16"/>
      <c r="B86" s="14"/>
      <c r="C86" s="12" t="str">
        <f>IF(A86="","",INT((A86-'01_Ficha_Dosis'!$C$14)/7)+1)</f>
        <v/>
      </c>
      <c r="D86" s="14"/>
      <c r="E86" s="14"/>
      <c r="F86" s="14"/>
      <c r="G86" s="14"/>
      <c r="H86" s="14"/>
      <c r="I86" s="14"/>
    </row>
    <row r="87" ht="15.75" customHeight="1">
      <c r="A87" s="16"/>
      <c r="B87" s="14"/>
      <c r="C87" s="12" t="str">
        <f>IF(A87="","",INT((A87-'01_Ficha_Dosis'!$C$14)/7)+1)</f>
        <v/>
      </c>
      <c r="D87" s="14"/>
      <c r="E87" s="14"/>
      <c r="F87" s="14"/>
      <c r="G87" s="14"/>
      <c r="H87" s="14"/>
      <c r="I87" s="14"/>
    </row>
    <row r="88" ht="15.75" customHeight="1">
      <c r="A88" s="16"/>
      <c r="B88" s="14"/>
      <c r="C88" s="12" t="str">
        <f>IF(A88="","",INT((A88-'01_Ficha_Dosis'!$C$14)/7)+1)</f>
        <v/>
      </c>
      <c r="D88" s="14"/>
      <c r="E88" s="14"/>
      <c r="F88" s="14"/>
      <c r="G88" s="14"/>
      <c r="H88" s="14"/>
      <c r="I88" s="14"/>
    </row>
    <row r="89" ht="15.75" customHeight="1">
      <c r="A89" s="16"/>
      <c r="B89" s="14"/>
      <c r="C89" s="12" t="str">
        <f>IF(A89="","",INT((A89-'01_Ficha_Dosis'!$C$14)/7)+1)</f>
        <v/>
      </c>
      <c r="D89" s="14"/>
      <c r="E89" s="14"/>
      <c r="F89" s="14"/>
      <c r="G89" s="14"/>
      <c r="H89" s="14"/>
      <c r="I89" s="14"/>
    </row>
    <row r="90" ht="15.75" customHeight="1">
      <c r="A90" s="16"/>
      <c r="B90" s="14"/>
      <c r="C90" s="12" t="str">
        <f>IF(A90="","",INT((A90-'01_Ficha_Dosis'!$C$14)/7)+1)</f>
        <v/>
      </c>
      <c r="D90" s="14"/>
      <c r="E90" s="14"/>
      <c r="F90" s="14"/>
      <c r="G90" s="14"/>
      <c r="H90" s="14"/>
      <c r="I90" s="14"/>
    </row>
    <row r="91" ht="15.75" customHeight="1">
      <c r="A91" s="16"/>
      <c r="B91" s="14"/>
      <c r="C91" s="12" t="str">
        <f>IF(A91="","",INT((A91-'01_Ficha_Dosis'!$C$14)/7)+1)</f>
        <v/>
      </c>
      <c r="D91" s="14"/>
      <c r="E91" s="14"/>
      <c r="F91" s="14"/>
      <c r="G91" s="14"/>
      <c r="H91" s="14"/>
      <c r="I91" s="14"/>
    </row>
    <row r="92" ht="15.75" customHeight="1">
      <c r="A92" s="16"/>
      <c r="B92" s="14"/>
      <c r="C92" s="12" t="str">
        <f>IF(A92="","",INT((A92-'01_Ficha_Dosis'!$C$14)/7)+1)</f>
        <v/>
      </c>
      <c r="D92" s="14"/>
      <c r="E92" s="14"/>
      <c r="F92" s="14"/>
      <c r="G92" s="14"/>
      <c r="H92" s="14"/>
      <c r="I92" s="14"/>
    </row>
    <row r="93" ht="15.75" customHeight="1">
      <c r="A93" s="16"/>
      <c r="B93" s="14"/>
      <c r="C93" s="12" t="str">
        <f>IF(A93="","",INT((A93-'01_Ficha_Dosis'!$C$14)/7)+1)</f>
        <v/>
      </c>
      <c r="D93" s="14"/>
      <c r="E93" s="14"/>
      <c r="F93" s="14"/>
      <c r="G93" s="14"/>
      <c r="H93" s="14"/>
      <c r="I93" s="14"/>
    </row>
    <row r="94" ht="15.75" customHeight="1">
      <c r="A94" s="16"/>
      <c r="B94" s="14"/>
      <c r="C94" s="12" t="str">
        <f>IF(A94="","",INT((A94-'01_Ficha_Dosis'!$C$14)/7)+1)</f>
        <v/>
      </c>
      <c r="D94" s="14"/>
      <c r="E94" s="14"/>
      <c r="F94" s="14"/>
      <c r="G94" s="14"/>
      <c r="H94" s="14"/>
      <c r="I94" s="14"/>
    </row>
    <row r="95" ht="15.75" customHeight="1">
      <c r="A95" s="16"/>
      <c r="B95" s="14"/>
      <c r="C95" s="12" t="str">
        <f>IF(A95="","",INT((A95-'01_Ficha_Dosis'!$C$14)/7)+1)</f>
        <v/>
      </c>
      <c r="D95" s="14"/>
      <c r="E95" s="14"/>
      <c r="F95" s="14"/>
      <c r="G95" s="14"/>
      <c r="H95" s="14"/>
      <c r="I95" s="14"/>
    </row>
    <row r="96" ht="15.75" customHeight="1">
      <c r="A96" s="16"/>
      <c r="B96" s="14"/>
      <c r="C96" s="12" t="str">
        <f>IF(A96="","",INT((A96-'01_Ficha_Dosis'!$C$14)/7)+1)</f>
        <v/>
      </c>
      <c r="D96" s="14"/>
      <c r="E96" s="14"/>
      <c r="F96" s="14"/>
      <c r="G96" s="14"/>
      <c r="H96" s="14"/>
      <c r="I96" s="14"/>
    </row>
    <row r="97" ht="15.75" customHeight="1">
      <c r="A97" s="16"/>
      <c r="B97" s="14"/>
      <c r="C97" s="12" t="str">
        <f>IF(A97="","",INT((A97-'01_Ficha_Dosis'!$C$14)/7)+1)</f>
        <v/>
      </c>
      <c r="D97" s="14"/>
      <c r="E97" s="14"/>
      <c r="F97" s="14"/>
      <c r="G97" s="14"/>
      <c r="H97" s="14"/>
      <c r="I97" s="14"/>
    </row>
    <row r="98" ht="15.75" customHeight="1">
      <c r="A98" s="16"/>
      <c r="B98" s="14"/>
      <c r="C98" s="12" t="str">
        <f>IF(A98="","",INT((A98-'01_Ficha_Dosis'!$C$14)/7)+1)</f>
        <v/>
      </c>
      <c r="D98" s="14"/>
      <c r="E98" s="14"/>
      <c r="F98" s="14"/>
      <c r="G98" s="14"/>
      <c r="H98" s="14"/>
      <c r="I98" s="14"/>
    </row>
    <row r="99" ht="15.75" customHeight="1">
      <c r="A99" s="16"/>
      <c r="B99" s="14"/>
      <c r="C99" s="12" t="str">
        <f>IF(A99="","",INT((A99-'01_Ficha_Dosis'!$C$14)/7)+1)</f>
        <v/>
      </c>
      <c r="D99" s="14"/>
      <c r="E99" s="14"/>
      <c r="F99" s="14"/>
      <c r="G99" s="14"/>
      <c r="H99" s="14"/>
      <c r="I99" s="14"/>
    </row>
    <row r="100" ht="15.75" customHeight="1">
      <c r="A100" s="16"/>
      <c r="B100" s="14"/>
      <c r="C100" s="12" t="str">
        <f>IF(A100="","",INT((A100-'01_Ficha_Dosis'!$C$14)/7)+1)</f>
        <v/>
      </c>
      <c r="D100" s="14"/>
      <c r="E100" s="14"/>
      <c r="F100" s="14"/>
      <c r="G100" s="14"/>
      <c r="H100" s="14"/>
      <c r="I100" s="14"/>
    </row>
    <row r="101" ht="15.75" customHeight="1">
      <c r="A101" s="16"/>
      <c r="B101" s="14"/>
      <c r="C101" s="12" t="str">
        <f>IF(A101="","",INT((A101-'01_Ficha_Dosis'!$C$14)/7)+1)</f>
        <v/>
      </c>
      <c r="D101" s="14"/>
      <c r="E101" s="14"/>
      <c r="F101" s="14"/>
      <c r="G101" s="14"/>
      <c r="H101" s="14"/>
      <c r="I101" s="14"/>
    </row>
    <row r="102" ht="15.75" customHeight="1">
      <c r="A102" s="16"/>
      <c r="B102" s="14"/>
      <c r="C102" s="12" t="str">
        <f>IF(A102="","",INT((A102-'01_Ficha_Dosis'!$C$14)/7)+1)</f>
        <v/>
      </c>
      <c r="D102" s="14"/>
      <c r="E102" s="14"/>
      <c r="F102" s="14"/>
      <c r="G102" s="14"/>
      <c r="H102" s="14"/>
      <c r="I102" s="14"/>
    </row>
    <row r="103" ht="15.75" customHeight="1">
      <c r="A103" s="16"/>
      <c r="B103" s="14"/>
      <c r="C103" s="12" t="str">
        <f>IF(A103="","",INT((A103-'01_Ficha_Dosis'!$C$14)/7)+1)</f>
        <v/>
      </c>
      <c r="D103" s="14"/>
      <c r="E103" s="14"/>
      <c r="F103" s="14"/>
      <c r="G103" s="14"/>
      <c r="H103" s="14"/>
      <c r="I103" s="14"/>
    </row>
    <row r="104" ht="15.75" customHeight="1">
      <c r="A104" s="16"/>
      <c r="B104" s="14"/>
      <c r="C104" s="12" t="str">
        <f>IF(A104="","",INT((A104-'01_Ficha_Dosis'!$C$14)/7)+1)</f>
        <v/>
      </c>
      <c r="D104" s="14"/>
      <c r="E104" s="14"/>
      <c r="F104" s="14"/>
      <c r="G104" s="14"/>
      <c r="H104" s="14"/>
      <c r="I104" s="14"/>
    </row>
    <row r="105" ht="15.75" customHeight="1">
      <c r="A105" s="16"/>
      <c r="B105" s="14"/>
      <c r="C105" s="12" t="str">
        <f>IF(A105="","",INT((A105-'01_Ficha_Dosis'!$C$14)/7)+1)</f>
        <v/>
      </c>
      <c r="D105" s="14"/>
      <c r="E105" s="14"/>
      <c r="F105" s="14"/>
      <c r="G105" s="14"/>
      <c r="H105" s="14"/>
      <c r="I105" s="14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6:D105">
      <formula1>"Sesión,Consulta de usuario,Incidencia técnica,Seguimiento de participante,Reunión de seguimiento,Cambio de protocolo,Evento externo"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9.0"/>
    <col customWidth="1" min="2" max="2" width="17.0"/>
    <col customWidth="1" min="3" max="3" width="10.0"/>
    <col customWidth="1" min="4" max="4" width="7.0"/>
    <col customWidth="1" min="5" max="6" width="36.0"/>
    <col customWidth="1" min="7" max="7" width="17.0"/>
    <col customWidth="1" min="8" max="8" width="10.0"/>
    <col customWidth="1" min="9" max="9" width="9.0"/>
    <col customWidth="1" min="10" max="10" width="10.0"/>
    <col customWidth="1" min="11" max="11" width="11.0"/>
    <col customWidth="1" min="12" max="12" width="13.0"/>
    <col customWidth="1" min="13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5.5" customHeight="1">
      <c r="A2" s="3" t="s">
        <v>195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4" t="s">
        <v>196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31.5" customHeight="1">
      <c r="A5" s="6" t="s">
        <v>135</v>
      </c>
      <c r="B5" s="6" t="s">
        <v>197</v>
      </c>
      <c r="C5" s="6" t="s">
        <v>16</v>
      </c>
      <c r="D5" s="6" t="s">
        <v>198</v>
      </c>
      <c r="E5" s="6" t="s">
        <v>199</v>
      </c>
      <c r="F5" s="6" t="s">
        <v>200</v>
      </c>
      <c r="G5" s="6" t="s">
        <v>201</v>
      </c>
      <c r="H5" s="6" t="s">
        <v>202</v>
      </c>
      <c r="I5" s="6" t="s">
        <v>203</v>
      </c>
      <c r="J5" s="6" t="s">
        <v>204</v>
      </c>
      <c r="K5" s="6" t="s">
        <v>205</v>
      </c>
      <c r="L5" s="6" t="s">
        <v>206</v>
      </c>
    </row>
    <row r="6">
      <c r="A6" s="14" t="s">
        <v>207</v>
      </c>
      <c r="B6" s="23">
        <v>46293.6722222222</v>
      </c>
      <c r="C6" s="14" t="s">
        <v>208</v>
      </c>
      <c r="D6" s="14" t="s">
        <v>209</v>
      </c>
      <c r="E6" s="14" t="s">
        <v>210</v>
      </c>
      <c r="F6" s="14" t="s">
        <v>211</v>
      </c>
      <c r="G6" s="23">
        <v>46293.6770833333</v>
      </c>
      <c r="H6" s="28">
        <f t="shared" ref="H6:H65" si="1">IF(OR(B6="",G6=""),"",ROUND((G6-B6)*24,2))</f>
        <v>0.12</v>
      </c>
      <c r="I6" s="12">
        <f t="shared" ref="I6:I65" si="2">IF(D6="","",IF(D6="N1",0.5,IF(D6="N2",4,24)))</f>
        <v>0.5</v>
      </c>
      <c r="J6" s="12" t="str">
        <f t="shared" ref="J6:J65" si="3">IF(OR(H6="",I6=""),"",IF(H6&lt;=I6,"Sí","No"))</f>
        <v>Sí</v>
      </c>
      <c r="K6" s="14" t="s">
        <v>212</v>
      </c>
      <c r="L6" s="14" t="s">
        <v>213</v>
      </c>
    </row>
    <row r="7">
      <c r="A7" s="14" t="s">
        <v>214</v>
      </c>
      <c r="B7" s="23">
        <v>46297.6736111111</v>
      </c>
      <c r="C7" s="14" t="s">
        <v>215</v>
      </c>
      <c r="D7" s="14" t="s">
        <v>216</v>
      </c>
      <c r="E7" s="14" t="s">
        <v>217</v>
      </c>
      <c r="F7" s="14" t="s">
        <v>218</v>
      </c>
      <c r="G7" s="23">
        <v>46297.7361111111</v>
      </c>
      <c r="H7" s="28">
        <f t="shared" si="1"/>
        <v>1.5</v>
      </c>
      <c r="I7" s="12">
        <f t="shared" si="2"/>
        <v>4</v>
      </c>
      <c r="J7" s="12" t="str">
        <f t="shared" si="3"/>
        <v>Sí</v>
      </c>
      <c r="K7" s="14" t="s">
        <v>212</v>
      </c>
      <c r="L7" s="14" t="s">
        <v>213</v>
      </c>
    </row>
    <row r="8">
      <c r="A8" s="14" t="s">
        <v>219</v>
      </c>
      <c r="B8" s="23">
        <v>46316.6701388889</v>
      </c>
      <c r="C8" s="14" t="s">
        <v>220</v>
      </c>
      <c r="D8" s="14" t="s">
        <v>221</v>
      </c>
      <c r="E8" s="14" t="s">
        <v>222</v>
      </c>
      <c r="F8" s="14" t="s">
        <v>223</v>
      </c>
      <c r="G8" s="23">
        <v>46316.7534722222</v>
      </c>
      <c r="H8" s="28">
        <f t="shared" si="1"/>
        <v>2</v>
      </c>
      <c r="I8" s="12">
        <f t="shared" si="2"/>
        <v>24</v>
      </c>
      <c r="J8" s="12" t="str">
        <f t="shared" si="3"/>
        <v>Sí</v>
      </c>
      <c r="K8" s="14" t="s">
        <v>224</v>
      </c>
      <c r="L8" s="14" t="s">
        <v>224</v>
      </c>
    </row>
    <row r="9">
      <c r="A9" s="14" t="s">
        <v>225</v>
      </c>
      <c r="B9" s="23">
        <v>46323.6680555556</v>
      </c>
      <c r="C9" s="14" t="s">
        <v>226</v>
      </c>
      <c r="D9" s="14" t="s">
        <v>209</v>
      </c>
      <c r="E9" s="14" t="s">
        <v>227</v>
      </c>
      <c r="F9" s="14" t="s">
        <v>228</v>
      </c>
      <c r="G9" s="23">
        <v>46323.7013888889</v>
      </c>
      <c r="H9" s="28">
        <f t="shared" si="1"/>
        <v>0.8</v>
      </c>
      <c r="I9" s="12">
        <f t="shared" si="2"/>
        <v>0.5</v>
      </c>
      <c r="J9" s="12" t="str">
        <f t="shared" si="3"/>
        <v>No</v>
      </c>
      <c r="K9" s="14" t="s">
        <v>212</v>
      </c>
      <c r="L9" s="14" t="s">
        <v>213</v>
      </c>
    </row>
    <row r="10">
      <c r="A10" s="14"/>
      <c r="B10" s="23"/>
      <c r="C10" s="14"/>
      <c r="D10" s="14"/>
      <c r="E10" s="14"/>
      <c r="F10" s="14"/>
      <c r="G10" s="23"/>
      <c r="H10" s="28" t="str">
        <f t="shared" si="1"/>
        <v/>
      </c>
      <c r="I10" s="12" t="str">
        <f t="shared" si="2"/>
        <v/>
      </c>
      <c r="J10" s="12" t="str">
        <f t="shared" si="3"/>
        <v/>
      </c>
      <c r="K10" s="14"/>
      <c r="L10" s="14"/>
    </row>
    <row r="11">
      <c r="A11" s="14"/>
      <c r="B11" s="23"/>
      <c r="C11" s="14"/>
      <c r="D11" s="14"/>
      <c r="E11" s="14"/>
      <c r="F11" s="14"/>
      <c r="G11" s="23"/>
      <c r="H11" s="28" t="str">
        <f t="shared" si="1"/>
        <v/>
      </c>
      <c r="I11" s="12" t="str">
        <f t="shared" si="2"/>
        <v/>
      </c>
      <c r="J11" s="12" t="str">
        <f t="shared" si="3"/>
        <v/>
      </c>
      <c r="K11" s="14"/>
      <c r="L11" s="14"/>
    </row>
    <row r="12">
      <c r="A12" s="14"/>
      <c r="B12" s="23"/>
      <c r="C12" s="14"/>
      <c r="D12" s="14"/>
      <c r="E12" s="14"/>
      <c r="F12" s="14"/>
      <c r="G12" s="23"/>
      <c r="H12" s="28" t="str">
        <f t="shared" si="1"/>
        <v/>
      </c>
      <c r="I12" s="12" t="str">
        <f t="shared" si="2"/>
        <v/>
      </c>
      <c r="J12" s="12" t="str">
        <f t="shared" si="3"/>
        <v/>
      </c>
      <c r="K12" s="14"/>
      <c r="L12" s="14"/>
    </row>
    <row r="13">
      <c r="A13" s="14"/>
      <c r="B13" s="23"/>
      <c r="C13" s="14"/>
      <c r="D13" s="14"/>
      <c r="E13" s="14"/>
      <c r="F13" s="14"/>
      <c r="G13" s="23"/>
      <c r="H13" s="28" t="str">
        <f t="shared" si="1"/>
        <v/>
      </c>
      <c r="I13" s="12" t="str">
        <f t="shared" si="2"/>
        <v/>
      </c>
      <c r="J13" s="12" t="str">
        <f t="shared" si="3"/>
        <v/>
      </c>
      <c r="K13" s="14"/>
      <c r="L13" s="14"/>
    </row>
    <row r="14">
      <c r="A14" s="14"/>
      <c r="B14" s="23"/>
      <c r="C14" s="14"/>
      <c r="D14" s="14"/>
      <c r="E14" s="14"/>
      <c r="F14" s="14"/>
      <c r="G14" s="23"/>
      <c r="H14" s="28" t="str">
        <f t="shared" si="1"/>
        <v/>
      </c>
      <c r="I14" s="12" t="str">
        <f t="shared" si="2"/>
        <v/>
      </c>
      <c r="J14" s="12" t="str">
        <f t="shared" si="3"/>
        <v/>
      </c>
      <c r="K14" s="14"/>
      <c r="L14" s="14"/>
    </row>
    <row r="15">
      <c r="A15" s="14"/>
      <c r="B15" s="23"/>
      <c r="C15" s="14"/>
      <c r="D15" s="14"/>
      <c r="E15" s="14"/>
      <c r="F15" s="14"/>
      <c r="G15" s="23"/>
      <c r="H15" s="28" t="str">
        <f t="shared" si="1"/>
        <v/>
      </c>
      <c r="I15" s="12" t="str">
        <f t="shared" si="2"/>
        <v/>
      </c>
      <c r="J15" s="12" t="str">
        <f t="shared" si="3"/>
        <v/>
      </c>
      <c r="K15" s="14"/>
      <c r="L15" s="14"/>
    </row>
    <row r="16">
      <c r="A16" s="14"/>
      <c r="B16" s="23"/>
      <c r="C16" s="14"/>
      <c r="D16" s="14"/>
      <c r="E16" s="14"/>
      <c r="F16" s="14"/>
      <c r="G16" s="23"/>
      <c r="H16" s="28" t="str">
        <f t="shared" si="1"/>
        <v/>
      </c>
      <c r="I16" s="12" t="str">
        <f t="shared" si="2"/>
        <v/>
      </c>
      <c r="J16" s="12" t="str">
        <f t="shared" si="3"/>
        <v/>
      </c>
      <c r="K16" s="14"/>
      <c r="L16" s="14"/>
    </row>
    <row r="17">
      <c r="A17" s="14"/>
      <c r="B17" s="23"/>
      <c r="C17" s="14"/>
      <c r="D17" s="14"/>
      <c r="E17" s="14"/>
      <c r="F17" s="14"/>
      <c r="G17" s="23"/>
      <c r="H17" s="28" t="str">
        <f t="shared" si="1"/>
        <v/>
      </c>
      <c r="I17" s="12" t="str">
        <f t="shared" si="2"/>
        <v/>
      </c>
      <c r="J17" s="12" t="str">
        <f t="shared" si="3"/>
        <v/>
      </c>
      <c r="K17" s="14"/>
      <c r="L17" s="14"/>
    </row>
    <row r="18">
      <c r="A18" s="14"/>
      <c r="B18" s="23"/>
      <c r="C18" s="14"/>
      <c r="D18" s="14"/>
      <c r="E18" s="14"/>
      <c r="F18" s="14"/>
      <c r="G18" s="23"/>
      <c r="H18" s="28" t="str">
        <f t="shared" si="1"/>
        <v/>
      </c>
      <c r="I18" s="12" t="str">
        <f t="shared" si="2"/>
        <v/>
      </c>
      <c r="J18" s="12" t="str">
        <f t="shared" si="3"/>
        <v/>
      </c>
      <c r="K18" s="14"/>
      <c r="L18" s="14"/>
    </row>
    <row r="19">
      <c r="A19" s="14"/>
      <c r="B19" s="23"/>
      <c r="C19" s="14"/>
      <c r="D19" s="14"/>
      <c r="E19" s="14"/>
      <c r="F19" s="14"/>
      <c r="G19" s="23"/>
      <c r="H19" s="28" t="str">
        <f t="shared" si="1"/>
        <v/>
      </c>
      <c r="I19" s="12" t="str">
        <f t="shared" si="2"/>
        <v/>
      </c>
      <c r="J19" s="12" t="str">
        <f t="shared" si="3"/>
        <v/>
      </c>
      <c r="K19" s="14"/>
      <c r="L19" s="14"/>
    </row>
    <row r="20">
      <c r="A20" s="14"/>
      <c r="B20" s="23"/>
      <c r="C20" s="14"/>
      <c r="D20" s="14"/>
      <c r="E20" s="14"/>
      <c r="F20" s="14"/>
      <c r="G20" s="23"/>
      <c r="H20" s="28" t="str">
        <f t="shared" si="1"/>
        <v/>
      </c>
      <c r="I20" s="12" t="str">
        <f t="shared" si="2"/>
        <v/>
      </c>
      <c r="J20" s="12" t="str">
        <f t="shared" si="3"/>
        <v/>
      </c>
      <c r="K20" s="14"/>
      <c r="L20" s="14"/>
    </row>
    <row r="21" ht="15.75" customHeight="1">
      <c r="A21" s="14"/>
      <c r="B21" s="23"/>
      <c r="C21" s="14"/>
      <c r="D21" s="14"/>
      <c r="E21" s="14"/>
      <c r="F21" s="14"/>
      <c r="G21" s="23"/>
      <c r="H21" s="28" t="str">
        <f t="shared" si="1"/>
        <v/>
      </c>
      <c r="I21" s="12" t="str">
        <f t="shared" si="2"/>
        <v/>
      </c>
      <c r="J21" s="12" t="str">
        <f t="shared" si="3"/>
        <v/>
      </c>
      <c r="K21" s="14"/>
      <c r="L21" s="14"/>
    </row>
    <row r="22" ht="15.75" customHeight="1">
      <c r="A22" s="14"/>
      <c r="B22" s="23"/>
      <c r="C22" s="14"/>
      <c r="D22" s="14"/>
      <c r="E22" s="14"/>
      <c r="F22" s="14"/>
      <c r="G22" s="23"/>
      <c r="H22" s="28" t="str">
        <f t="shared" si="1"/>
        <v/>
      </c>
      <c r="I22" s="12" t="str">
        <f t="shared" si="2"/>
        <v/>
      </c>
      <c r="J22" s="12" t="str">
        <f t="shared" si="3"/>
        <v/>
      </c>
      <c r="K22" s="14"/>
      <c r="L22" s="14"/>
    </row>
    <row r="23" ht="15.75" customHeight="1">
      <c r="A23" s="14"/>
      <c r="B23" s="23"/>
      <c r="C23" s="14"/>
      <c r="D23" s="14"/>
      <c r="E23" s="14"/>
      <c r="F23" s="14"/>
      <c r="G23" s="23"/>
      <c r="H23" s="28" t="str">
        <f t="shared" si="1"/>
        <v/>
      </c>
      <c r="I23" s="12" t="str">
        <f t="shared" si="2"/>
        <v/>
      </c>
      <c r="J23" s="12" t="str">
        <f t="shared" si="3"/>
        <v/>
      </c>
      <c r="K23" s="14"/>
      <c r="L23" s="14"/>
    </row>
    <row r="24" ht="15.75" customHeight="1">
      <c r="A24" s="14"/>
      <c r="B24" s="23"/>
      <c r="C24" s="14"/>
      <c r="D24" s="14"/>
      <c r="E24" s="14"/>
      <c r="F24" s="14"/>
      <c r="G24" s="23"/>
      <c r="H24" s="28" t="str">
        <f t="shared" si="1"/>
        <v/>
      </c>
      <c r="I24" s="12" t="str">
        <f t="shared" si="2"/>
        <v/>
      </c>
      <c r="J24" s="12" t="str">
        <f t="shared" si="3"/>
        <v/>
      </c>
      <c r="K24" s="14"/>
      <c r="L24" s="14"/>
    </row>
    <row r="25" ht="15.75" customHeight="1">
      <c r="A25" s="14"/>
      <c r="B25" s="23"/>
      <c r="C25" s="14"/>
      <c r="D25" s="14"/>
      <c r="E25" s="14"/>
      <c r="F25" s="14"/>
      <c r="G25" s="23"/>
      <c r="H25" s="28" t="str">
        <f t="shared" si="1"/>
        <v/>
      </c>
      <c r="I25" s="12" t="str">
        <f t="shared" si="2"/>
        <v/>
      </c>
      <c r="J25" s="12" t="str">
        <f t="shared" si="3"/>
        <v/>
      </c>
      <c r="K25" s="14"/>
      <c r="L25" s="14"/>
    </row>
    <row r="26" ht="15.75" customHeight="1">
      <c r="A26" s="14"/>
      <c r="B26" s="23"/>
      <c r="C26" s="14"/>
      <c r="D26" s="14"/>
      <c r="E26" s="14"/>
      <c r="F26" s="14"/>
      <c r="G26" s="23"/>
      <c r="H26" s="28" t="str">
        <f t="shared" si="1"/>
        <v/>
      </c>
      <c r="I26" s="12" t="str">
        <f t="shared" si="2"/>
        <v/>
      </c>
      <c r="J26" s="12" t="str">
        <f t="shared" si="3"/>
        <v/>
      </c>
      <c r="K26" s="14"/>
      <c r="L26" s="14"/>
    </row>
    <row r="27" ht="15.75" customHeight="1">
      <c r="A27" s="14"/>
      <c r="B27" s="23"/>
      <c r="C27" s="14"/>
      <c r="D27" s="14"/>
      <c r="E27" s="14"/>
      <c r="F27" s="14"/>
      <c r="G27" s="23"/>
      <c r="H27" s="28" t="str">
        <f t="shared" si="1"/>
        <v/>
      </c>
      <c r="I27" s="12" t="str">
        <f t="shared" si="2"/>
        <v/>
      </c>
      <c r="J27" s="12" t="str">
        <f t="shared" si="3"/>
        <v/>
      </c>
      <c r="K27" s="14"/>
      <c r="L27" s="14"/>
    </row>
    <row r="28" ht="15.75" customHeight="1">
      <c r="A28" s="14"/>
      <c r="B28" s="23"/>
      <c r="C28" s="14"/>
      <c r="D28" s="14"/>
      <c r="E28" s="14"/>
      <c r="F28" s="14"/>
      <c r="G28" s="23"/>
      <c r="H28" s="28" t="str">
        <f t="shared" si="1"/>
        <v/>
      </c>
      <c r="I28" s="12" t="str">
        <f t="shared" si="2"/>
        <v/>
      </c>
      <c r="J28" s="12" t="str">
        <f t="shared" si="3"/>
        <v/>
      </c>
      <c r="K28" s="14"/>
      <c r="L28" s="14"/>
    </row>
    <row r="29" ht="15.75" customHeight="1">
      <c r="A29" s="14"/>
      <c r="B29" s="23"/>
      <c r="C29" s="14"/>
      <c r="D29" s="14"/>
      <c r="E29" s="14"/>
      <c r="F29" s="14"/>
      <c r="G29" s="23"/>
      <c r="H29" s="28" t="str">
        <f t="shared" si="1"/>
        <v/>
      </c>
      <c r="I29" s="12" t="str">
        <f t="shared" si="2"/>
        <v/>
      </c>
      <c r="J29" s="12" t="str">
        <f t="shared" si="3"/>
        <v/>
      </c>
      <c r="K29" s="14"/>
      <c r="L29" s="14"/>
    </row>
    <row r="30" ht="15.75" customHeight="1">
      <c r="A30" s="14"/>
      <c r="B30" s="23"/>
      <c r="C30" s="14"/>
      <c r="D30" s="14"/>
      <c r="E30" s="14"/>
      <c r="F30" s="14"/>
      <c r="G30" s="23"/>
      <c r="H30" s="28" t="str">
        <f t="shared" si="1"/>
        <v/>
      </c>
      <c r="I30" s="12" t="str">
        <f t="shared" si="2"/>
        <v/>
      </c>
      <c r="J30" s="12" t="str">
        <f t="shared" si="3"/>
        <v/>
      </c>
      <c r="K30" s="14"/>
      <c r="L30" s="14"/>
    </row>
    <row r="31" ht="15.75" customHeight="1">
      <c r="A31" s="14"/>
      <c r="B31" s="23"/>
      <c r="C31" s="14"/>
      <c r="D31" s="14"/>
      <c r="E31" s="14"/>
      <c r="F31" s="14"/>
      <c r="G31" s="23"/>
      <c r="H31" s="28" t="str">
        <f t="shared" si="1"/>
        <v/>
      </c>
      <c r="I31" s="12" t="str">
        <f t="shared" si="2"/>
        <v/>
      </c>
      <c r="J31" s="12" t="str">
        <f t="shared" si="3"/>
        <v/>
      </c>
      <c r="K31" s="14"/>
      <c r="L31" s="14"/>
    </row>
    <row r="32" ht="15.75" customHeight="1">
      <c r="A32" s="14"/>
      <c r="B32" s="23"/>
      <c r="C32" s="14"/>
      <c r="D32" s="14"/>
      <c r="E32" s="14"/>
      <c r="F32" s="14"/>
      <c r="G32" s="23"/>
      <c r="H32" s="28" t="str">
        <f t="shared" si="1"/>
        <v/>
      </c>
      <c r="I32" s="12" t="str">
        <f t="shared" si="2"/>
        <v/>
      </c>
      <c r="J32" s="12" t="str">
        <f t="shared" si="3"/>
        <v/>
      </c>
      <c r="K32" s="14"/>
      <c r="L32" s="14"/>
    </row>
    <row r="33" ht="15.75" customHeight="1">
      <c r="A33" s="14"/>
      <c r="B33" s="23"/>
      <c r="C33" s="14"/>
      <c r="D33" s="14"/>
      <c r="E33" s="14"/>
      <c r="F33" s="14"/>
      <c r="G33" s="23"/>
      <c r="H33" s="28" t="str">
        <f t="shared" si="1"/>
        <v/>
      </c>
      <c r="I33" s="12" t="str">
        <f t="shared" si="2"/>
        <v/>
      </c>
      <c r="J33" s="12" t="str">
        <f t="shared" si="3"/>
        <v/>
      </c>
      <c r="K33" s="14"/>
      <c r="L33" s="14"/>
    </row>
    <row r="34" ht="15.75" customHeight="1">
      <c r="A34" s="14"/>
      <c r="B34" s="23"/>
      <c r="C34" s="14"/>
      <c r="D34" s="14"/>
      <c r="E34" s="14"/>
      <c r="F34" s="14"/>
      <c r="G34" s="23"/>
      <c r="H34" s="28" t="str">
        <f t="shared" si="1"/>
        <v/>
      </c>
      <c r="I34" s="12" t="str">
        <f t="shared" si="2"/>
        <v/>
      </c>
      <c r="J34" s="12" t="str">
        <f t="shared" si="3"/>
        <v/>
      </c>
      <c r="K34" s="14"/>
      <c r="L34" s="14"/>
    </row>
    <row r="35" ht="15.75" customHeight="1">
      <c r="A35" s="14"/>
      <c r="B35" s="23"/>
      <c r="C35" s="14"/>
      <c r="D35" s="14"/>
      <c r="E35" s="14"/>
      <c r="F35" s="14"/>
      <c r="G35" s="23"/>
      <c r="H35" s="28" t="str">
        <f t="shared" si="1"/>
        <v/>
      </c>
      <c r="I35" s="12" t="str">
        <f t="shared" si="2"/>
        <v/>
      </c>
      <c r="J35" s="12" t="str">
        <f t="shared" si="3"/>
        <v/>
      </c>
      <c r="K35" s="14"/>
      <c r="L35" s="14"/>
    </row>
    <row r="36" ht="15.75" customHeight="1">
      <c r="A36" s="14"/>
      <c r="B36" s="23"/>
      <c r="C36" s="14"/>
      <c r="D36" s="14"/>
      <c r="E36" s="14"/>
      <c r="F36" s="14"/>
      <c r="G36" s="23"/>
      <c r="H36" s="28" t="str">
        <f t="shared" si="1"/>
        <v/>
      </c>
      <c r="I36" s="12" t="str">
        <f t="shared" si="2"/>
        <v/>
      </c>
      <c r="J36" s="12" t="str">
        <f t="shared" si="3"/>
        <v/>
      </c>
      <c r="K36" s="14"/>
      <c r="L36" s="14"/>
    </row>
    <row r="37" ht="15.75" customHeight="1">
      <c r="A37" s="14"/>
      <c r="B37" s="23"/>
      <c r="C37" s="14"/>
      <c r="D37" s="14"/>
      <c r="E37" s="14"/>
      <c r="F37" s="14"/>
      <c r="G37" s="23"/>
      <c r="H37" s="28" t="str">
        <f t="shared" si="1"/>
        <v/>
      </c>
      <c r="I37" s="12" t="str">
        <f t="shared" si="2"/>
        <v/>
      </c>
      <c r="J37" s="12" t="str">
        <f t="shared" si="3"/>
        <v/>
      </c>
      <c r="K37" s="14"/>
      <c r="L37" s="14"/>
    </row>
    <row r="38" ht="15.75" customHeight="1">
      <c r="A38" s="14"/>
      <c r="B38" s="23"/>
      <c r="C38" s="14"/>
      <c r="D38" s="14"/>
      <c r="E38" s="14"/>
      <c r="F38" s="14"/>
      <c r="G38" s="23"/>
      <c r="H38" s="28" t="str">
        <f t="shared" si="1"/>
        <v/>
      </c>
      <c r="I38" s="12" t="str">
        <f t="shared" si="2"/>
        <v/>
      </c>
      <c r="J38" s="12" t="str">
        <f t="shared" si="3"/>
        <v/>
      </c>
      <c r="K38" s="14"/>
      <c r="L38" s="14"/>
    </row>
    <row r="39" ht="15.75" customHeight="1">
      <c r="A39" s="14"/>
      <c r="B39" s="23"/>
      <c r="C39" s="14"/>
      <c r="D39" s="14"/>
      <c r="E39" s="14"/>
      <c r="F39" s="14"/>
      <c r="G39" s="23"/>
      <c r="H39" s="28" t="str">
        <f t="shared" si="1"/>
        <v/>
      </c>
      <c r="I39" s="12" t="str">
        <f t="shared" si="2"/>
        <v/>
      </c>
      <c r="J39" s="12" t="str">
        <f t="shared" si="3"/>
        <v/>
      </c>
      <c r="K39" s="14"/>
      <c r="L39" s="14"/>
    </row>
    <row r="40" ht="15.75" customHeight="1">
      <c r="A40" s="14"/>
      <c r="B40" s="23"/>
      <c r="C40" s="14"/>
      <c r="D40" s="14"/>
      <c r="E40" s="14"/>
      <c r="F40" s="14"/>
      <c r="G40" s="23"/>
      <c r="H40" s="28" t="str">
        <f t="shared" si="1"/>
        <v/>
      </c>
      <c r="I40" s="12" t="str">
        <f t="shared" si="2"/>
        <v/>
      </c>
      <c r="J40" s="12" t="str">
        <f t="shared" si="3"/>
        <v/>
      </c>
      <c r="K40" s="14"/>
      <c r="L40" s="14"/>
    </row>
    <row r="41" ht="15.75" customHeight="1">
      <c r="A41" s="14"/>
      <c r="B41" s="23"/>
      <c r="C41" s="14"/>
      <c r="D41" s="14"/>
      <c r="E41" s="14"/>
      <c r="F41" s="14"/>
      <c r="G41" s="23"/>
      <c r="H41" s="28" t="str">
        <f t="shared" si="1"/>
        <v/>
      </c>
      <c r="I41" s="12" t="str">
        <f t="shared" si="2"/>
        <v/>
      </c>
      <c r="J41" s="12" t="str">
        <f t="shared" si="3"/>
        <v/>
      </c>
      <c r="K41" s="14"/>
      <c r="L41" s="14"/>
    </row>
    <row r="42" ht="15.75" customHeight="1">
      <c r="A42" s="14"/>
      <c r="B42" s="23"/>
      <c r="C42" s="14"/>
      <c r="D42" s="14"/>
      <c r="E42" s="14"/>
      <c r="F42" s="14"/>
      <c r="G42" s="23"/>
      <c r="H42" s="28" t="str">
        <f t="shared" si="1"/>
        <v/>
      </c>
      <c r="I42" s="12" t="str">
        <f t="shared" si="2"/>
        <v/>
      </c>
      <c r="J42" s="12" t="str">
        <f t="shared" si="3"/>
        <v/>
      </c>
      <c r="K42" s="14"/>
      <c r="L42" s="14"/>
    </row>
    <row r="43" ht="15.75" customHeight="1">
      <c r="A43" s="14"/>
      <c r="B43" s="23"/>
      <c r="C43" s="14"/>
      <c r="D43" s="14"/>
      <c r="E43" s="14"/>
      <c r="F43" s="14"/>
      <c r="G43" s="23"/>
      <c r="H43" s="28" t="str">
        <f t="shared" si="1"/>
        <v/>
      </c>
      <c r="I43" s="12" t="str">
        <f t="shared" si="2"/>
        <v/>
      </c>
      <c r="J43" s="12" t="str">
        <f t="shared" si="3"/>
        <v/>
      </c>
      <c r="K43" s="14"/>
      <c r="L43" s="14"/>
    </row>
    <row r="44" ht="15.75" customHeight="1">
      <c r="A44" s="14"/>
      <c r="B44" s="23"/>
      <c r="C44" s="14"/>
      <c r="D44" s="14"/>
      <c r="E44" s="14"/>
      <c r="F44" s="14"/>
      <c r="G44" s="23"/>
      <c r="H44" s="28" t="str">
        <f t="shared" si="1"/>
        <v/>
      </c>
      <c r="I44" s="12" t="str">
        <f t="shared" si="2"/>
        <v/>
      </c>
      <c r="J44" s="12" t="str">
        <f t="shared" si="3"/>
        <v/>
      </c>
      <c r="K44" s="14"/>
      <c r="L44" s="14"/>
    </row>
    <row r="45" ht="15.75" customHeight="1">
      <c r="A45" s="14"/>
      <c r="B45" s="23"/>
      <c r="C45" s="14"/>
      <c r="D45" s="14"/>
      <c r="E45" s="14"/>
      <c r="F45" s="14"/>
      <c r="G45" s="23"/>
      <c r="H45" s="28" t="str">
        <f t="shared" si="1"/>
        <v/>
      </c>
      <c r="I45" s="12" t="str">
        <f t="shared" si="2"/>
        <v/>
      </c>
      <c r="J45" s="12" t="str">
        <f t="shared" si="3"/>
        <v/>
      </c>
      <c r="K45" s="14"/>
      <c r="L45" s="14"/>
    </row>
    <row r="46" ht="15.75" customHeight="1">
      <c r="A46" s="14"/>
      <c r="B46" s="23"/>
      <c r="C46" s="14"/>
      <c r="D46" s="14"/>
      <c r="E46" s="14"/>
      <c r="F46" s="14"/>
      <c r="G46" s="23"/>
      <c r="H46" s="28" t="str">
        <f t="shared" si="1"/>
        <v/>
      </c>
      <c r="I46" s="12" t="str">
        <f t="shared" si="2"/>
        <v/>
      </c>
      <c r="J46" s="12" t="str">
        <f t="shared" si="3"/>
        <v/>
      </c>
      <c r="K46" s="14"/>
      <c r="L46" s="14"/>
    </row>
    <row r="47" ht="15.75" customHeight="1">
      <c r="A47" s="14"/>
      <c r="B47" s="23"/>
      <c r="C47" s="14"/>
      <c r="D47" s="14"/>
      <c r="E47" s="14"/>
      <c r="F47" s="14"/>
      <c r="G47" s="23"/>
      <c r="H47" s="28" t="str">
        <f t="shared" si="1"/>
        <v/>
      </c>
      <c r="I47" s="12" t="str">
        <f t="shared" si="2"/>
        <v/>
      </c>
      <c r="J47" s="12" t="str">
        <f t="shared" si="3"/>
        <v/>
      </c>
      <c r="K47" s="14"/>
      <c r="L47" s="14"/>
    </row>
    <row r="48" ht="15.75" customHeight="1">
      <c r="A48" s="14"/>
      <c r="B48" s="23"/>
      <c r="C48" s="14"/>
      <c r="D48" s="14"/>
      <c r="E48" s="14"/>
      <c r="F48" s="14"/>
      <c r="G48" s="23"/>
      <c r="H48" s="28" t="str">
        <f t="shared" si="1"/>
        <v/>
      </c>
      <c r="I48" s="12" t="str">
        <f t="shared" si="2"/>
        <v/>
      </c>
      <c r="J48" s="12" t="str">
        <f t="shared" si="3"/>
        <v/>
      </c>
      <c r="K48" s="14"/>
      <c r="L48" s="14"/>
    </row>
    <row r="49" ht="15.75" customHeight="1">
      <c r="A49" s="14"/>
      <c r="B49" s="23"/>
      <c r="C49" s="14"/>
      <c r="D49" s="14"/>
      <c r="E49" s="14"/>
      <c r="F49" s="14"/>
      <c r="G49" s="23"/>
      <c r="H49" s="28" t="str">
        <f t="shared" si="1"/>
        <v/>
      </c>
      <c r="I49" s="12" t="str">
        <f t="shared" si="2"/>
        <v/>
      </c>
      <c r="J49" s="12" t="str">
        <f t="shared" si="3"/>
        <v/>
      </c>
      <c r="K49" s="14"/>
      <c r="L49" s="14"/>
    </row>
    <row r="50" ht="15.75" customHeight="1">
      <c r="A50" s="14"/>
      <c r="B50" s="23"/>
      <c r="C50" s="14"/>
      <c r="D50" s="14"/>
      <c r="E50" s="14"/>
      <c r="F50" s="14"/>
      <c r="G50" s="23"/>
      <c r="H50" s="28" t="str">
        <f t="shared" si="1"/>
        <v/>
      </c>
      <c r="I50" s="12" t="str">
        <f t="shared" si="2"/>
        <v/>
      </c>
      <c r="J50" s="12" t="str">
        <f t="shared" si="3"/>
        <v/>
      </c>
      <c r="K50" s="14"/>
      <c r="L50" s="14"/>
    </row>
    <row r="51" ht="15.75" customHeight="1">
      <c r="A51" s="14"/>
      <c r="B51" s="23"/>
      <c r="C51" s="14"/>
      <c r="D51" s="14"/>
      <c r="E51" s="14"/>
      <c r="F51" s="14"/>
      <c r="G51" s="23"/>
      <c r="H51" s="28" t="str">
        <f t="shared" si="1"/>
        <v/>
      </c>
      <c r="I51" s="12" t="str">
        <f t="shared" si="2"/>
        <v/>
      </c>
      <c r="J51" s="12" t="str">
        <f t="shared" si="3"/>
        <v/>
      </c>
      <c r="K51" s="14"/>
      <c r="L51" s="14"/>
    </row>
    <row r="52" ht="15.75" customHeight="1">
      <c r="A52" s="14"/>
      <c r="B52" s="23"/>
      <c r="C52" s="14"/>
      <c r="D52" s="14"/>
      <c r="E52" s="14"/>
      <c r="F52" s="14"/>
      <c r="G52" s="23"/>
      <c r="H52" s="28" t="str">
        <f t="shared" si="1"/>
        <v/>
      </c>
      <c r="I52" s="12" t="str">
        <f t="shared" si="2"/>
        <v/>
      </c>
      <c r="J52" s="12" t="str">
        <f t="shared" si="3"/>
        <v/>
      </c>
      <c r="K52" s="14"/>
      <c r="L52" s="14"/>
    </row>
    <row r="53" ht="15.75" customHeight="1">
      <c r="A53" s="14"/>
      <c r="B53" s="23"/>
      <c r="C53" s="14"/>
      <c r="D53" s="14"/>
      <c r="E53" s="14"/>
      <c r="F53" s="14"/>
      <c r="G53" s="23"/>
      <c r="H53" s="28" t="str">
        <f t="shared" si="1"/>
        <v/>
      </c>
      <c r="I53" s="12" t="str">
        <f t="shared" si="2"/>
        <v/>
      </c>
      <c r="J53" s="12" t="str">
        <f t="shared" si="3"/>
        <v/>
      </c>
      <c r="K53" s="14"/>
      <c r="L53" s="14"/>
    </row>
    <row r="54" ht="15.75" customHeight="1">
      <c r="A54" s="14"/>
      <c r="B54" s="23"/>
      <c r="C54" s="14"/>
      <c r="D54" s="14"/>
      <c r="E54" s="14"/>
      <c r="F54" s="14"/>
      <c r="G54" s="23"/>
      <c r="H54" s="28" t="str">
        <f t="shared" si="1"/>
        <v/>
      </c>
      <c r="I54" s="12" t="str">
        <f t="shared" si="2"/>
        <v/>
      </c>
      <c r="J54" s="12" t="str">
        <f t="shared" si="3"/>
        <v/>
      </c>
      <c r="K54" s="14"/>
      <c r="L54" s="14"/>
    </row>
    <row r="55" ht="15.75" customHeight="1">
      <c r="A55" s="14"/>
      <c r="B55" s="23"/>
      <c r="C55" s="14"/>
      <c r="D55" s="14"/>
      <c r="E55" s="14"/>
      <c r="F55" s="14"/>
      <c r="G55" s="23"/>
      <c r="H55" s="28" t="str">
        <f t="shared" si="1"/>
        <v/>
      </c>
      <c r="I55" s="12" t="str">
        <f t="shared" si="2"/>
        <v/>
      </c>
      <c r="J55" s="12" t="str">
        <f t="shared" si="3"/>
        <v/>
      </c>
      <c r="K55" s="14"/>
      <c r="L55" s="14"/>
    </row>
    <row r="56" ht="15.75" customHeight="1">
      <c r="A56" s="14"/>
      <c r="B56" s="23"/>
      <c r="C56" s="14"/>
      <c r="D56" s="14"/>
      <c r="E56" s="14"/>
      <c r="F56" s="14"/>
      <c r="G56" s="23"/>
      <c r="H56" s="28" t="str">
        <f t="shared" si="1"/>
        <v/>
      </c>
      <c r="I56" s="12" t="str">
        <f t="shared" si="2"/>
        <v/>
      </c>
      <c r="J56" s="12" t="str">
        <f t="shared" si="3"/>
        <v/>
      </c>
      <c r="K56" s="14"/>
      <c r="L56" s="14"/>
    </row>
    <row r="57" ht="15.75" customHeight="1">
      <c r="A57" s="14"/>
      <c r="B57" s="23"/>
      <c r="C57" s="14"/>
      <c r="D57" s="14"/>
      <c r="E57" s="14"/>
      <c r="F57" s="14"/>
      <c r="G57" s="23"/>
      <c r="H57" s="28" t="str">
        <f t="shared" si="1"/>
        <v/>
      </c>
      <c r="I57" s="12" t="str">
        <f t="shared" si="2"/>
        <v/>
      </c>
      <c r="J57" s="12" t="str">
        <f t="shared" si="3"/>
        <v/>
      </c>
      <c r="K57" s="14"/>
      <c r="L57" s="14"/>
    </row>
    <row r="58" ht="15.75" customHeight="1">
      <c r="A58" s="14"/>
      <c r="B58" s="23"/>
      <c r="C58" s="14"/>
      <c r="D58" s="14"/>
      <c r="E58" s="14"/>
      <c r="F58" s="14"/>
      <c r="G58" s="23"/>
      <c r="H58" s="28" t="str">
        <f t="shared" si="1"/>
        <v/>
      </c>
      <c r="I58" s="12" t="str">
        <f t="shared" si="2"/>
        <v/>
      </c>
      <c r="J58" s="12" t="str">
        <f t="shared" si="3"/>
        <v/>
      </c>
      <c r="K58" s="14"/>
      <c r="L58" s="14"/>
    </row>
    <row r="59" ht="15.75" customHeight="1">
      <c r="A59" s="14"/>
      <c r="B59" s="23"/>
      <c r="C59" s="14"/>
      <c r="D59" s="14"/>
      <c r="E59" s="14"/>
      <c r="F59" s="14"/>
      <c r="G59" s="23"/>
      <c r="H59" s="28" t="str">
        <f t="shared" si="1"/>
        <v/>
      </c>
      <c r="I59" s="12" t="str">
        <f t="shared" si="2"/>
        <v/>
      </c>
      <c r="J59" s="12" t="str">
        <f t="shared" si="3"/>
        <v/>
      </c>
      <c r="K59" s="14"/>
      <c r="L59" s="14"/>
    </row>
    <row r="60" ht="15.75" customHeight="1">
      <c r="A60" s="14"/>
      <c r="B60" s="23"/>
      <c r="C60" s="14"/>
      <c r="D60" s="14"/>
      <c r="E60" s="14"/>
      <c r="F60" s="14"/>
      <c r="G60" s="23"/>
      <c r="H60" s="28" t="str">
        <f t="shared" si="1"/>
        <v/>
      </c>
      <c r="I60" s="12" t="str">
        <f t="shared" si="2"/>
        <v/>
      </c>
      <c r="J60" s="12" t="str">
        <f t="shared" si="3"/>
        <v/>
      </c>
      <c r="K60" s="14"/>
      <c r="L60" s="14"/>
    </row>
    <row r="61" ht="15.75" customHeight="1">
      <c r="A61" s="14"/>
      <c r="B61" s="23"/>
      <c r="C61" s="14"/>
      <c r="D61" s="14"/>
      <c r="E61" s="14"/>
      <c r="F61" s="14"/>
      <c r="G61" s="23"/>
      <c r="H61" s="28" t="str">
        <f t="shared" si="1"/>
        <v/>
      </c>
      <c r="I61" s="12" t="str">
        <f t="shared" si="2"/>
        <v/>
      </c>
      <c r="J61" s="12" t="str">
        <f t="shared" si="3"/>
        <v/>
      </c>
      <c r="K61" s="14"/>
      <c r="L61" s="14"/>
    </row>
    <row r="62" ht="15.75" customHeight="1">
      <c r="A62" s="14"/>
      <c r="B62" s="23"/>
      <c r="C62" s="14"/>
      <c r="D62" s="14"/>
      <c r="E62" s="14"/>
      <c r="F62" s="14"/>
      <c r="G62" s="23"/>
      <c r="H62" s="28" t="str">
        <f t="shared" si="1"/>
        <v/>
      </c>
      <c r="I62" s="12" t="str">
        <f t="shared" si="2"/>
        <v/>
      </c>
      <c r="J62" s="12" t="str">
        <f t="shared" si="3"/>
        <v/>
      </c>
      <c r="K62" s="14"/>
      <c r="L62" s="14"/>
    </row>
    <row r="63" ht="15.75" customHeight="1">
      <c r="A63" s="14"/>
      <c r="B63" s="23"/>
      <c r="C63" s="14"/>
      <c r="D63" s="14"/>
      <c r="E63" s="14"/>
      <c r="F63" s="14"/>
      <c r="G63" s="23"/>
      <c r="H63" s="28" t="str">
        <f t="shared" si="1"/>
        <v/>
      </c>
      <c r="I63" s="12" t="str">
        <f t="shared" si="2"/>
        <v/>
      </c>
      <c r="J63" s="12" t="str">
        <f t="shared" si="3"/>
        <v/>
      </c>
      <c r="K63" s="14"/>
      <c r="L63" s="14"/>
    </row>
    <row r="64" ht="15.75" customHeight="1">
      <c r="A64" s="14"/>
      <c r="B64" s="23"/>
      <c r="C64" s="14"/>
      <c r="D64" s="14"/>
      <c r="E64" s="14"/>
      <c r="F64" s="14"/>
      <c r="G64" s="23"/>
      <c r="H64" s="28" t="str">
        <f t="shared" si="1"/>
        <v/>
      </c>
      <c r="I64" s="12" t="str">
        <f t="shared" si="2"/>
        <v/>
      </c>
      <c r="J64" s="12" t="str">
        <f t="shared" si="3"/>
        <v/>
      </c>
      <c r="K64" s="14"/>
      <c r="L64" s="14"/>
    </row>
    <row r="65" ht="15.75" customHeight="1">
      <c r="A65" s="14"/>
      <c r="B65" s="23"/>
      <c r="C65" s="14"/>
      <c r="D65" s="14"/>
      <c r="E65" s="14"/>
      <c r="F65" s="14"/>
      <c r="G65" s="23"/>
      <c r="H65" s="28" t="str">
        <f t="shared" si="1"/>
        <v/>
      </c>
      <c r="I65" s="12" t="str">
        <f t="shared" si="2"/>
        <v/>
      </c>
      <c r="J65" s="12" t="str">
        <f t="shared" si="3"/>
        <v/>
      </c>
      <c r="K65" s="14"/>
      <c r="L65" s="14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6:J65">
    <cfRule type="expression" dxfId="0" priority="1">
      <formula>J6="No"</formula>
    </cfRule>
  </conditionalFormatting>
  <dataValidations>
    <dataValidation type="list" allowBlank="1" sqref="D6:D65">
      <formula1>"N1,N2,N3"</formula1>
    </dataValidation>
    <dataValidation type="list" allowBlank="1" sqref="K6:K65">
      <formula1>"Sí,No"</formula1>
    </dataValidation>
    <dataValidation type="list" allowBlank="1" sqref="L6:L65">
      <formula1>"Sí,No,No aplica"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3.0"/>
    <col customWidth="1" min="2" max="2" width="9.0"/>
    <col customWidth="1" min="3" max="4" width="11.0"/>
    <col customWidth="1" min="5" max="5" width="12.0"/>
    <col customWidth="1" min="6" max="11" width="11.0"/>
    <col customWidth="1" min="12" max="12" width="34.0"/>
    <col customWidth="1" min="13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5.5" customHeight="1">
      <c r="A2" s="3" t="s">
        <v>229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4" t="s">
        <v>230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31.5" customHeight="1">
      <c r="A5" s="6" t="s">
        <v>140</v>
      </c>
      <c r="B5" s="6" t="s">
        <v>22</v>
      </c>
      <c r="C5" s="6" t="s">
        <v>231</v>
      </c>
      <c r="D5" s="6" t="s">
        <v>232</v>
      </c>
      <c r="E5" s="6" t="s">
        <v>233</v>
      </c>
      <c r="F5" s="6" t="s">
        <v>234</v>
      </c>
      <c r="G5" s="6" t="s">
        <v>235</v>
      </c>
      <c r="H5" s="6" t="s">
        <v>236</v>
      </c>
      <c r="I5" s="6" t="s">
        <v>237</v>
      </c>
      <c r="J5" s="6" t="s">
        <v>238</v>
      </c>
      <c r="K5" s="6" t="s">
        <v>239</v>
      </c>
      <c r="L5" s="6" t="s">
        <v>23</v>
      </c>
    </row>
    <row r="6">
      <c r="A6" s="16">
        <v>46293.0</v>
      </c>
      <c r="B6" s="12">
        <f>IF(A6="","",INT((A6-'01_Ficha_Dosis'!$C$14)/7)+1)</f>
        <v>-2</v>
      </c>
      <c r="C6" s="14">
        <v>15.0</v>
      </c>
      <c r="D6" s="14">
        <v>0.0</v>
      </c>
      <c r="E6" s="21">
        <f t="shared" ref="E6:E65" si="1">IF(OR(C6="",C6=0),"",(C6-D6)/C6)</f>
        <v>1</v>
      </c>
      <c r="F6" s="14" t="s">
        <v>224</v>
      </c>
      <c r="G6" s="14" t="s">
        <v>224</v>
      </c>
      <c r="H6" s="14" t="s">
        <v>224</v>
      </c>
      <c r="I6" s="14" t="s">
        <v>224</v>
      </c>
      <c r="J6" s="14" t="s">
        <v>224</v>
      </c>
      <c r="K6" s="14" t="s">
        <v>224</v>
      </c>
      <c r="L6" s="14"/>
    </row>
    <row r="7">
      <c r="A7" s="16">
        <v>46294.0</v>
      </c>
      <c r="B7" s="12">
        <f>IF(A7="","",INT((A7-'01_Ficha_Dosis'!$C$14)/7)+1)</f>
        <v>-2</v>
      </c>
      <c r="C7" s="14">
        <v>15.0</v>
      </c>
      <c r="D7" s="14">
        <v>0.0</v>
      </c>
      <c r="E7" s="21">
        <f t="shared" si="1"/>
        <v>1</v>
      </c>
      <c r="F7" s="14" t="s">
        <v>224</v>
      </c>
      <c r="G7" s="14" t="s">
        <v>224</v>
      </c>
      <c r="H7" s="14" t="s">
        <v>224</v>
      </c>
      <c r="I7" s="14" t="s">
        <v>224</v>
      </c>
      <c r="J7" s="14" t="s">
        <v>224</v>
      </c>
      <c r="K7" s="14" t="s">
        <v>224</v>
      </c>
      <c r="L7" s="14"/>
    </row>
    <row r="8">
      <c r="A8" s="16">
        <v>46295.0</v>
      </c>
      <c r="B8" s="12">
        <f>IF(A8="","",INT((A8-'01_Ficha_Dosis'!$C$14)/7)+1)</f>
        <v>-2</v>
      </c>
      <c r="C8" s="14">
        <v>15.0</v>
      </c>
      <c r="D8" s="14">
        <v>0.0</v>
      </c>
      <c r="E8" s="21">
        <f t="shared" si="1"/>
        <v>1</v>
      </c>
      <c r="F8" s="14" t="s">
        <v>224</v>
      </c>
      <c r="G8" s="14" t="s">
        <v>224</v>
      </c>
      <c r="H8" s="14" t="s">
        <v>224</v>
      </c>
      <c r="I8" s="14" t="s">
        <v>224</v>
      </c>
      <c r="J8" s="14" t="s">
        <v>224</v>
      </c>
      <c r="K8" s="14" t="s">
        <v>224</v>
      </c>
      <c r="L8" s="14"/>
    </row>
    <row r="9">
      <c r="A9" s="16">
        <v>46296.0</v>
      </c>
      <c r="B9" s="12">
        <f>IF(A9="","",INT((A9-'01_Ficha_Dosis'!$C$14)/7)+1)</f>
        <v>-2</v>
      </c>
      <c r="C9" s="14">
        <v>15.0</v>
      </c>
      <c r="D9" s="14">
        <v>0.0</v>
      </c>
      <c r="E9" s="21">
        <f t="shared" si="1"/>
        <v>1</v>
      </c>
      <c r="F9" s="14" t="s">
        <v>224</v>
      </c>
      <c r="G9" s="14" t="s">
        <v>224</v>
      </c>
      <c r="H9" s="14" t="s">
        <v>224</v>
      </c>
      <c r="I9" s="14" t="s">
        <v>224</v>
      </c>
      <c r="J9" s="14" t="s">
        <v>224</v>
      </c>
      <c r="K9" s="14" t="s">
        <v>224</v>
      </c>
      <c r="L9" s="14"/>
    </row>
    <row r="10">
      <c r="A10" s="16">
        <v>46297.0</v>
      </c>
      <c r="B10" s="12">
        <f>IF(A10="","",INT((A10-'01_Ficha_Dosis'!$C$14)/7)+1)</f>
        <v>-2</v>
      </c>
      <c r="C10" s="14">
        <v>15.0</v>
      </c>
      <c r="D10" s="14">
        <v>0.0</v>
      </c>
      <c r="E10" s="21">
        <f t="shared" si="1"/>
        <v>1</v>
      </c>
      <c r="F10" s="14" t="s">
        <v>224</v>
      </c>
      <c r="G10" s="14" t="s">
        <v>224</v>
      </c>
      <c r="H10" s="14" t="s">
        <v>224</v>
      </c>
      <c r="I10" s="14" t="s">
        <v>224</v>
      </c>
      <c r="J10" s="14" t="s">
        <v>224</v>
      </c>
      <c r="K10" s="14" t="s">
        <v>224</v>
      </c>
      <c r="L10" s="14"/>
    </row>
    <row r="11">
      <c r="A11" s="16">
        <v>46300.0</v>
      </c>
      <c r="B11" s="12">
        <f>IF(A11="","",INT((A11-'01_Ficha_Dosis'!$C$14)/7)+1)</f>
        <v>-1</v>
      </c>
      <c r="C11" s="14">
        <v>15.0</v>
      </c>
      <c r="D11" s="14">
        <v>0.0</v>
      </c>
      <c r="E11" s="21">
        <f t="shared" si="1"/>
        <v>1</v>
      </c>
      <c r="F11" s="14" t="s">
        <v>224</v>
      </c>
      <c r="G11" s="14" t="s">
        <v>224</v>
      </c>
      <c r="H11" s="14" t="s">
        <v>224</v>
      </c>
      <c r="I11" s="14" t="s">
        <v>224</v>
      </c>
      <c r="J11" s="14" t="s">
        <v>224</v>
      </c>
      <c r="K11" s="14" t="s">
        <v>224</v>
      </c>
      <c r="L11" s="14"/>
    </row>
    <row r="12">
      <c r="A12" s="16">
        <v>46301.0</v>
      </c>
      <c r="B12" s="12">
        <f>IF(A12="","",INT((A12-'01_Ficha_Dosis'!$C$14)/7)+1)</f>
        <v>-1</v>
      </c>
      <c r="C12" s="14">
        <v>15.0</v>
      </c>
      <c r="D12" s="14">
        <v>0.0</v>
      </c>
      <c r="E12" s="21">
        <f t="shared" si="1"/>
        <v>1</v>
      </c>
      <c r="F12" s="14" t="s">
        <v>224</v>
      </c>
      <c r="G12" s="14" t="s">
        <v>224</v>
      </c>
      <c r="H12" s="14" t="s">
        <v>224</v>
      </c>
      <c r="I12" s="14" t="s">
        <v>224</v>
      </c>
      <c r="J12" s="14" t="s">
        <v>224</v>
      </c>
      <c r="K12" s="14" t="s">
        <v>224</v>
      </c>
      <c r="L12" s="14"/>
    </row>
    <row r="13">
      <c r="A13" s="16">
        <v>46302.0</v>
      </c>
      <c r="B13" s="12">
        <f>IF(A13="","",INT((A13-'01_Ficha_Dosis'!$C$14)/7)+1)</f>
        <v>-1</v>
      </c>
      <c r="C13" s="14">
        <v>15.0</v>
      </c>
      <c r="D13" s="14">
        <v>0.0</v>
      </c>
      <c r="E13" s="21">
        <f t="shared" si="1"/>
        <v>1</v>
      </c>
      <c r="F13" s="14" t="s">
        <v>224</v>
      </c>
      <c r="G13" s="14" t="s">
        <v>224</v>
      </c>
      <c r="H13" s="14" t="s">
        <v>224</v>
      </c>
      <c r="I13" s="14" t="s">
        <v>224</v>
      </c>
      <c r="J13" s="14" t="s">
        <v>224</v>
      </c>
      <c r="K13" s="14" t="s">
        <v>224</v>
      </c>
      <c r="L13" s="14"/>
    </row>
    <row r="14">
      <c r="A14" s="16">
        <v>46303.0</v>
      </c>
      <c r="B14" s="12">
        <f>IF(A14="","",INT((A14-'01_Ficha_Dosis'!$C$14)/7)+1)</f>
        <v>-1</v>
      </c>
      <c r="C14" s="14">
        <v>15.0</v>
      </c>
      <c r="D14" s="14">
        <v>0.0</v>
      </c>
      <c r="E14" s="21">
        <f t="shared" si="1"/>
        <v>1</v>
      </c>
      <c r="F14" s="14" t="s">
        <v>224</v>
      </c>
      <c r="G14" s="14" t="s">
        <v>224</v>
      </c>
      <c r="H14" s="14" t="s">
        <v>224</v>
      </c>
      <c r="I14" s="14" t="s">
        <v>224</v>
      </c>
      <c r="J14" s="14" t="s">
        <v>224</v>
      </c>
      <c r="K14" s="14" t="s">
        <v>224</v>
      </c>
      <c r="L14" s="14"/>
    </row>
    <row r="15">
      <c r="A15" s="16">
        <v>46304.0</v>
      </c>
      <c r="B15" s="12">
        <f>IF(A15="","",INT((A15-'01_Ficha_Dosis'!$C$14)/7)+1)</f>
        <v>-1</v>
      </c>
      <c r="C15" s="14">
        <v>15.0</v>
      </c>
      <c r="D15" s="14">
        <v>0.0</v>
      </c>
      <c r="E15" s="21">
        <f t="shared" si="1"/>
        <v>1</v>
      </c>
      <c r="F15" s="14" t="s">
        <v>224</v>
      </c>
      <c r="G15" s="14" t="s">
        <v>224</v>
      </c>
      <c r="H15" s="14" t="s">
        <v>224</v>
      </c>
      <c r="I15" s="14" t="s">
        <v>224</v>
      </c>
      <c r="J15" s="14" t="s">
        <v>224</v>
      </c>
      <c r="K15" s="14" t="s">
        <v>224</v>
      </c>
      <c r="L15" s="14"/>
    </row>
    <row r="16">
      <c r="A16" s="16">
        <v>46307.0</v>
      </c>
      <c r="B16" s="12">
        <f>IF(A16="","",INT((A16-'01_Ficha_Dosis'!$C$14)/7)+1)</f>
        <v>0</v>
      </c>
      <c r="C16" s="14">
        <v>15.0</v>
      </c>
      <c r="D16" s="14">
        <v>0.0</v>
      </c>
      <c r="E16" s="21">
        <f t="shared" si="1"/>
        <v>1</v>
      </c>
      <c r="F16" s="14" t="s">
        <v>224</v>
      </c>
      <c r="G16" s="14" t="s">
        <v>224</v>
      </c>
      <c r="H16" s="14" t="s">
        <v>224</v>
      </c>
      <c r="I16" s="14" t="s">
        <v>224</v>
      </c>
      <c r="J16" s="14" t="s">
        <v>224</v>
      </c>
      <c r="K16" s="14" t="s">
        <v>224</v>
      </c>
      <c r="L16" s="14"/>
    </row>
    <row r="17">
      <c r="A17" s="16">
        <v>46308.0</v>
      </c>
      <c r="B17" s="12">
        <f>IF(A17="","",INT((A17-'01_Ficha_Dosis'!$C$14)/7)+1)</f>
        <v>0</v>
      </c>
      <c r="C17" s="14">
        <v>15.0</v>
      </c>
      <c r="D17" s="14">
        <v>0.0</v>
      </c>
      <c r="E17" s="21">
        <f t="shared" si="1"/>
        <v>1</v>
      </c>
      <c r="F17" s="14" t="s">
        <v>224</v>
      </c>
      <c r="G17" s="14" t="s">
        <v>224</v>
      </c>
      <c r="H17" s="14" t="s">
        <v>224</v>
      </c>
      <c r="I17" s="14" t="s">
        <v>224</v>
      </c>
      <c r="J17" s="14" t="s">
        <v>224</v>
      </c>
      <c r="K17" s="14" t="s">
        <v>224</v>
      </c>
      <c r="L17" s="14"/>
    </row>
    <row r="18">
      <c r="A18" s="16">
        <v>46309.0</v>
      </c>
      <c r="B18" s="12">
        <f>IF(A18="","",INT((A18-'01_Ficha_Dosis'!$C$14)/7)+1)</f>
        <v>0</v>
      </c>
      <c r="C18" s="14">
        <v>15.0</v>
      </c>
      <c r="D18" s="14">
        <v>0.0</v>
      </c>
      <c r="E18" s="21">
        <f t="shared" si="1"/>
        <v>1</v>
      </c>
      <c r="F18" s="14" t="s">
        <v>224</v>
      </c>
      <c r="G18" s="14" t="s">
        <v>224</v>
      </c>
      <c r="H18" s="14" t="s">
        <v>224</v>
      </c>
      <c r="I18" s="14" t="s">
        <v>224</v>
      </c>
      <c r="J18" s="14" t="s">
        <v>224</v>
      </c>
      <c r="K18" s="14" t="s">
        <v>224</v>
      </c>
      <c r="L18" s="14"/>
    </row>
    <row r="19">
      <c r="A19" s="16">
        <v>46310.0</v>
      </c>
      <c r="B19" s="12">
        <f>IF(A19="","",INT((A19-'01_Ficha_Dosis'!$C$14)/7)+1)</f>
        <v>0</v>
      </c>
      <c r="C19" s="14">
        <v>15.0</v>
      </c>
      <c r="D19" s="14">
        <v>0.0</v>
      </c>
      <c r="E19" s="21">
        <f t="shared" si="1"/>
        <v>1</v>
      </c>
      <c r="F19" s="14" t="s">
        <v>224</v>
      </c>
      <c r="G19" s="14" t="s">
        <v>224</v>
      </c>
      <c r="H19" s="14" t="s">
        <v>224</v>
      </c>
      <c r="I19" s="14" t="s">
        <v>224</v>
      </c>
      <c r="J19" s="14" t="s">
        <v>224</v>
      </c>
      <c r="K19" s="14" t="s">
        <v>224</v>
      </c>
      <c r="L19" s="14"/>
    </row>
    <row r="20">
      <c r="A20" s="16">
        <v>46311.0</v>
      </c>
      <c r="B20" s="12">
        <f>IF(A20="","",INT((A20-'01_Ficha_Dosis'!$C$14)/7)+1)</f>
        <v>0</v>
      </c>
      <c r="C20" s="14">
        <v>15.0</v>
      </c>
      <c r="D20" s="14">
        <v>0.0</v>
      </c>
      <c r="E20" s="21">
        <f t="shared" si="1"/>
        <v>1</v>
      </c>
      <c r="F20" s="14" t="s">
        <v>224</v>
      </c>
      <c r="G20" s="14" t="s">
        <v>224</v>
      </c>
      <c r="H20" s="14" t="s">
        <v>224</v>
      </c>
      <c r="I20" s="14" t="s">
        <v>224</v>
      </c>
      <c r="J20" s="14" t="s">
        <v>224</v>
      </c>
      <c r="K20" s="14" t="s">
        <v>224</v>
      </c>
      <c r="L20" s="14"/>
    </row>
    <row r="21" ht="15.75" customHeight="1">
      <c r="A21" s="16">
        <v>46314.0</v>
      </c>
      <c r="B21" s="12">
        <f>IF(A21="","",INT((A21-'01_Ficha_Dosis'!$C$14)/7)+1)</f>
        <v>1</v>
      </c>
      <c r="C21" s="14">
        <v>15.0</v>
      </c>
      <c r="D21" s="14">
        <v>0.0</v>
      </c>
      <c r="E21" s="21">
        <f t="shared" si="1"/>
        <v>1</v>
      </c>
      <c r="F21" s="14" t="s">
        <v>224</v>
      </c>
      <c r="G21" s="14" t="s">
        <v>224</v>
      </c>
      <c r="H21" s="14" t="s">
        <v>224</v>
      </c>
      <c r="I21" s="14" t="s">
        <v>224</v>
      </c>
      <c r="J21" s="14" t="s">
        <v>224</v>
      </c>
      <c r="K21" s="14" t="s">
        <v>224</v>
      </c>
      <c r="L21" s="14"/>
    </row>
    <row r="22" ht="15.75" customHeight="1">
      <c r="A22" s="16">
        <v>46315.0</v>
      </c>
      <c r="B22" s="12">
        <f>IF(A22="","",INT((A22-'01_Ficha_Dosis'!$C$14)/7)+1)</f>
        <v>1</v>
      </c>
      <c r="C22" s="14">
        <v>15.0</v>
      </c>
      <c r="D22" s="14">
        <v>0.0</v>
      </c>
      <c r="E22" s="21">
        <f t="shared" si="1"/>
        <v>1</v>
      </c>
      <c r="F22" s="14" t="s">
        <v>224</v>
      </c>
      <c r="G22" s="14" t="s">
        <v>224</v>
      </c>
      <c r="H22" s="14" t="s">
        <v>224</v>
      </c>
      <c r="I22" s="14" t="s">
        <v>224</v>
      </c>
      <c r="J22" s="14" t="s">
        <v>224</v>
      </c>
      <c r="K22" s="14" t="s">
        <v>224</v>
      </c>
      <c r="L22" s="14"/>
    </row>
    <row r="23" ht="15.75" customHeight="1">
      <c r="A23" s="16">
        <v>46316.0</v>
      </c>
      <c r="B23" s="12">
        <f>IF(A23="","",INT((A23-'01_Ficha_Dosis'!$C$14)/7)+1)</f>
        <v>1</v>
      </c>
      <c r="C23" s="14">
        <v>15.0</v>
      </c>
      <c r="D23" s="14">
        <v>2.0</v>
      </c>
      <c r="E23" s="21">
        <f t="shared" si="1"/>
        <v>0.8666666667</v>
      </c>
      <c r="F23" s="14" t="s">
        <v>212</v>
      </c>
      <c r="G23" s="14" t="s">
        <v>212</v>
      </c>
      <c r="H23" s="14" t="s">
        <v>212</v>
      </c>
      <c r="I23" s="14" t="s">
        <v>224</v>
      </c>
      <c r="J23" s="14" t="s">
        <v>224</v>
      </c>
      <c r="K23" s="14" t="s">
        <v>224</v>
      </c>
      <c r="L23" s="14" t="s">
        <v>240</v>
      </c>
    </row>
    <row r="24" ht="15.75" customHeight="1">
      <c r="A24" s="16">
        <v>46317.0</v>
      </c>
      <c r="B24" s="12">
        <f>IF(A24="","",INT((A24-'01_Ficha_Dosis'!$C$14)/7)+1)</f>
        <v>1</v>
      </c>
      <c r="C24" s="14">
        <v>15.0</v>
      </c>
      <c r="D24" s="14">
        <v>0.0</v>
      </c>
      <c r="E24" s="21">
        <f t="shared" si="1"/>
        <v>1</v>
      </c>
      <c r="F24" s="14" t="s">
        <v>224</v>
      </c>
      <c r="G24" s="14" t="s">
        <v>224</v>
      </c>
      <c r="H24" s="14" t="s">
        <v>224</v>
      </c>
      <c r="I24" s="14" t="s">
        <v>224</v>
      </c>
      <c r="J24" s="14" t="s">
        <v>224</v>
      </c>
      <c r="K24" s="14" t="s">
        <v>224</v>
      </c>
      <c r="L24" s="14"/>
    </row>
    <row r="25" ht="15.75" customHeight="1">
      <c r="A25" s="16">
        <v>46318.0</v>
      </c>
      <c r="B25" s="12">
        <f>IF(A25="","",INT((A25-'01_Ficha_Dosis'!$C$14)/7)+1)</f>
        <v>1</v>
      </c>
      <c r="C25" s="14">
        <v>15.0</v>
      </c>
      <c r="D25" s="14">
        <v>0.0</v>
      </c>
      <c r="E25" s="21">
        <f t="shared" si="1"/>
        <v>1</v>
      </c>
      <c r="F25" s="14" t="s">
        <v>224</v>
      </c>
      <c r="G25" s="14" t="s">
        <v>224</v>
      </c>
      <c r="H25" s="14" t="s">
        <v>224</v>
      </c>
      <c r="I25" s="14" t="s">
        <v>224</v>
      </c>
      <c r="J25" s="14" t="s">
        <v>224</v>
      </c>
      <c r="K25" s="14" t="s">
        <v>224</v>
      </c>
      <c r="L25" s="14"/>
    </row>
    <row r="26" ht="15.75" customHeight="1">
      <c r="A26" s="16">
        <v>46321.0</v>
      </c>
      <c r="B26" s="12">
        <f>IF(A26="","",INT((A26-'01_Ficha_Dosis'!$C$14)/7)+1)</f>
        <v>2</v>
      </c>
      <c r="C26" s="14">
        <v>15.0</v>
      </c>
      <c r="D26" s="14">
        <v>0.0</v>
      </c>
      <c r="E26" s="21">
        <f t="shared" si="1"/>
        <v>1</v>
      </c>
      <c r="F26" s="14" t="s">
        <v>224</v>
      </c>
      <c r="G26" s="14" t="s">
        <v>224</v>
      </c>
      <c r="H26" s="14" t="s">
        <v>224</v>
      </c>
      <c r="I26" s="14" t="s">
        <v>224</v>
      </c>
      <c r="J26" s="14" t="s">
        <v>224</v>
      </c>
      <c r="K26" s="14" t="s">
        <v>224</v>
      </c>
      <c r="L26" s="14"/>
    </row>
    <row r="27" ht="15.75" customHeight="1">
      <c r="A27" s="16">
        <v>46322.0</v>
      </c>
      <c r="B27" s="12">
        <f>IF(A27="","",INT((A27-'01_Ficha_Dosis'!$C$14)/7)+1)</f>
        <v>2</v>
      </c>
      <c r="C27" s="14">
        <v>15.0</v>
      </c>
      <c r="D27" s="14">
        <v>0.0</v>
      </c>
      <c r="E27" s="21">
        <f t="shared" si="1"/>
        <v>1</v>
      </c>
      <c r="F27" s="14" t="s">
        <v>224</v>
      </c>
      <c r="G27" s="14" t="s">
        <v>224</v>
      </c>
      <c r="H27" s="14" t="s">
        <v>224</v>
      </c>
      <c r="I27" s="14" t="s">
        <v>224</v>
      </c>
      <c r="J27" s="14" t="s">
        <v>224</v>
      </c>
      <c r="K27" s="14" t="s">
        <v>224</v>
      </c>
      <c r="L27" s="14"/>
    </row>
    <row r="28" ht="15.75" customHeight="1">
      <c r="A28" s="16">
        <v>46323.0</v>
      </c>
      <c r="B28" s="12">
        <f>IF(A28="","",INT((A28-'01_Ficha_Dosis'!$C$14)/7)+1)</f>
        <v>2</v>
      </c>
      <c r="C28" s="14">
        <v>15.0</v>
      </c>
      <c r="D28" s="14">
        <v>0.0</v>
      </c>
      <c r="E28" s="21">
        <f t="shared" si="1"/>
        <v>1</v>
      </c>
      <c r="F28" s="14" t="s">
        <v>224</v>
      </c>
      <c r="G28" s="14" t="s">
        <v>224</v>
      </c>
      <c r="H28" s="14" t="s">
        <v>224</v>
      </c>
      <c r="I28" s="14" t="s">
        <v>224</v>
      </c>
      <c r="J28" s="14" t="s">
        <v>224</v>
      </c>
      <c r="K28" s="14" t="s">
        <v>224</v>
      </c>
      <c r="L28" s="14"/>
    </row>
    <row r="29" ht="15.75" customHeight="1">
      <c r="A29" s="16">
        <v>46324.0</v>
      </c>
      <c r="B29" s="12">
        <f>IF(A29="","",INT((A29-'01_Ficha_Dosis'!$C$14)/7)+1)</f>
        <v>2</v>
      </c>
      <c r="C29" s="14">
        <v>15.0</v>
      </c>
      <c r="D29" s="14">
        <v>0.0</v>
      </c>
      <c r="E29" s="21">
        <f t="shared" si="1"/>
        <v>1</v>
      </c>
      <c r="F29" s="14" t="s">
        <v>224</v>
      </c>
      <c r="G29" s="14" t="s">
        <v>224</v>
      </c>
      <c r="H29" s="14" t="s">
        <v>224</v>
      </c>
      <c r="I29" s="14" t="s">
        <v>224</v>
      </c>
      <c r="J29" s="14" t="s">
        <v>224</v>
      </c>
      <c r="K29" s="14" t="s">
        <v>224</v>
      </c>
      <c r="L29" s="14"/>
    </row>
    <row r="30" ht="15.75" customHeight="1">
      <c r="A30" s="16">
        <v>46325.0</v>
      </c>
      <c r="B30" s="12">
        <f>IF(A30="","",INT((A30-'01_Ficha_Dosis'!$C$14)/7)+1)</f>
        <v>2</v>
      </c>
      <c r="C30" s="14">
        <v>15.0</v>
      </c>
      <c r="D30" s="14">
        <v>0.0</v>
      </c>
      <c r="E30" s="21">
        <f t="shared" si="1"/>
        <v>1</v>
      </c>
      <c r="F30" s="14" t="s">
        <v>224</v>
      </c>
      <c r="G30" s="14" t="s">
        <v>224</v>
      </c>
      <c r="H30" s="14" t="s">
        <v>224</v>
      </c>
      <c r="I30" s="14" t="s">
        <v>224</v>
      </c>
      <c r="J30" s="14" t="s">
        <v>224</v>
      </c>
      <c r="K30" s="14" t="s">
        <v>224</v>
      </c>
      <c r="L30" s="14"/>
    </row>
    <row r="31" ht="15.75" customHeight="1">
      <c r="A31" s="16">
        <v>46328.0</v>
      </c>
      <c r="B31" s="12">
        <f>IF(A31="","",INT((A31-'01_Ficha_Dosis'!$C$14)/7)+1)</f>
        <v>3</v>
      </c>
      <c r="C31" s="14">
        <v>15.0</v>
      </c>
      <c r="D31" s="14">
        <v>0.0</v>
      </c>
      <c r="E31" s="21">
        <f t="shared" si="1"/>
        <v>1</v>
      </c>
      <c r="F31" s="14" t="s">
        <v>224</v>
      </c>
      <c r="G31" s="14" t="s">
        <v>224</v>
      </c>
      <c r="H31" s="14" t="s">
        <v>224</v>
      </c>
      <c r="I31" s="14" t="s">
        <v>224</v>
      </c>
      <c r="J31" s="14" t="s">
        <v>224</v>
      </c>
      <c r="K31" s="14" t="s">
        <v>224</v>
      </c>
      <c r="L31" s="14"/>
    </row>
    <row r="32" ht="15.75" customHeight="1">
      <c r="A32" s="16">
        <v>46329.0</v>
      </c>
      <c r="B32" s="12">
        <f>IF(A32="","",INT((A32-'01_Ficha_Dosis'!$C$14)/7)+1)</f>
        <v>3</v>
      </c>
      <c r="C32" s="14">
        <v>15.0</v>
      </c>
      <c r="D32" s="14">
        <v>0.0</v>
      </c>
      <c r="E32" s="21">
        <f t="shared" si="1"/>
        <v>1</v>
      </c>
      <c r="F32" s="14" t="s">
        <v>224</v>
      </c>
      <c r="G32" s="14" t="s">
        <v>224</v>
      </c>
      <c r="H32" s="14" t="s">
        <v>224</v>
      </c>
      <c r="I32" s="14" t="s">
        <v>224</v>
      </c>
      <c r="J32" s="14" t="s">
        <v>224</v>
      </c>
      <c r="K32" s="14" t="s">
        <v>224</v>
      </c>
      <c r="L32" s="14"/>
    </row>
    <row r="33" ht="15.75" customHeight="1">
      <c r="A33" s="16">
        <v>46330.0</v>
      </c>
      <c r="B33" s="12">
        <f>IF(A33="","",INT((A33-'01_Ficha_Dosis'!$C$14)/7)+1)</f>
        <v>3</v>
      </c>
      <c r="C33" s="14">
        <v>15.0</v>
      </c>
      <c r="D33" s="14">
        <v>0.0</v>
      </c>
      <c r="E33" s="21">
        <f t="shared" si="1"/>
        <v>1</v>
      </c>
      <c r="F33" s="14" t="s">
        <v>224</v>
      </c>
      <c r="G33" s="14" t="s">
        <v>224</v>
      </c>
      <c r="H33" s="14" t="s">
        <v>224</v>
      </c>
      <c r="I33" s="14" t="s">
        <v>224</v>
      </c>
      <c r="J33" s="14" t="s">
        <v>224</v>
      </c>
      <c r="K33" s="14" t="s">
        <v>224</v>
      </c>
      <c r="L33" s="14"/>
    </row>
    <row r="34" ht="15.75" customHeight="1">
      <c r="A34" s="16">
        <v>46331.0</v>
      </c>
      <c r="B34" s="12">
        <f>IF(A34="","",INT((A34-'01_Ficha_Dosis'!$C$14)/7)+1)</f>
        <v>3</v>
      </c>
      <c r="C34" s="14">
        <v>15.0</v>
      </c>
      <c r="D34" s="14">
        <v>0.0</v>
      </c>
      <c r="E34" s="21">
        <f t="shared" si="1"/>
        <v>1</v>
      </c>
      <c r="F34" s="14" t="s">
        <v>224</v>
      </c>
      <c r="G34" s="14" t="s">
        <v>224</v>
      </c>
      <c r="H34" s="14" t="s">
        <v>224</v>
      </c>
      <c r="I34" s="14" t="s">
        <v>224</v>
      </c>
      <c r="J34" s="14" t="s">
        <v>224</v>
      </c>
      <c r="K34" s="14" t="s">
        <v>224</v>
      </c>
      <c r="L34" s="14"/>
    </row>
    <row r="35" ht="15.75" customHeight="1">
      <c r="A35" s="16">
        <v>46332.0</v>
      </c>
      <c r="B35" s="12">
        <f>IF(A35="","",INT((A35-'01_Ficha_Dosis'!$C$14)/7)+1)</f>
        <v>3</v>
      </c>
      <c r="C35" s="14">
        <v>15.0</v>
      </c>
      <c r="D35" s="14">
        <v>0.0</v>
      </c>
      <c r="E35" s="21">
        <f t="shared" si="1"/>
        <v>1</v>
      </c>
      <c r="F35" s="14" t="s">
        <v>224</v>
      </c>
      <c r="G35" s="14" t="s">
        <v>224</v>
      </c>
      <c r="H35" s="14" t="s">
        <v>224</v>
      </c>
      <c r="I35" s="14" t="s">
        <v>224</v>
      </c>
      <c r="J35" s="14" t="s">
        <v>224</v>
      </c>
      <c r="K35" s="14" t="s">
        <v>224</v>
      </c>
      <c r="L35" s="14"/>
    </row>
    <row r="36" ht="15.75" customHeight="1">
      <c r="A36" s="16"/>
      <c r="B36" s="12" t="str">
        <f>IF(A36="","",INT((A36-'01_Ficha_Dosis'!$C$14)/7)+1)</f>
        <v/>
      </c>
      <c r="C36" s="14"/>
      <c r="D36" s="14"/>
      <c r="E36" s="21" t="str">
        <f t="shared" si="1"/>
        <v/>
      </c>
      <c r="F36" s="14"/>
      <c r="G36" s="14"/>
      <c r="H36" s="14"/>
      <c r="I36" s="14"/>
      <c r="J36" s="14"/>
      <c r="K36" s="14"/>
      <c r="L36" s="14"/>
    </row>
    <row r="37" ht="15.75" customHeight="1">
      <c r="A37" s="16"/>
      <c r="B37" s="12" t="str">
        <f>IF(A37="","",INT((A37-'01_Ficha_Dosis'!$C$14)/7)+1)</f>
        <v/>
      </c>
      <c r="C37" s="14"/>
      <c r="D37" s="14"/>
      <c r="E37" s="21" t="str">
        <f t="shared" si="1"/>
        <v/>
      </c>
      <c r="F37" s="14"/>
      <c r="G37" s="14"/>
      <c r="H37" s="14"/>
      <c r="I37" s="14"/>
      <c r="J37" s="14"/>
      <c r="K37" s="14"/>
      <c r="L37" s="14"/>
    </row>
    <row r="38" ht="15.75" customHeight="1">
      <c r="A38" s="16"/>
      <c r="B38" s="12" t="str">
        <f>IF(A38="","",INT((A38-'01_Ficha_Dosis'!$C$14)/7)+1)</f>
        <v/>
      </c>
      <c r="C38" s="14"/>
      <c r="D38" s="14"/>
      <c r="E38" s="21" t="str">
        <f t="shared" si="1"/>
        <v/>
      </c>
      <c r="F38" s="14"/>
      <c r="G38" s="14"/>
      <c r="H38" s="14"/>
      <c r="I38" s="14"/>
      <c r="J38" s="14"/>
      <c r="K38" s="14"/>
      <c r="L38" s="14"/>
    </row>
    <row r="39" ht="15.75" customHeight="1">
      <c r="A39" s="16"/>
      <c r="B39" s="12" t="str">
        <f>IF(A39="","",INT((A39-'01_Ficha_Dosis'!$C$14)/7)+1)</f>
        <v/>
      </c>
      <c r="C39" s="14"/>
      <c r="D39" s="14"/>
      <c r="E39" s="21" t="str">
        <f t="shared" si="1"/>
        <v/>
      </c>
      <c r="F39" s="14"/>
      <c r="G39" s="14"/>
      <c r="H39" s="14"/>
      <c r="I39" s="14"/>
      <c r="J39" s="14"/>
      <c r="K39" s="14"/>
      <c r="L39" s="14"/>
    </row>
    <row r="40" ht="15.75" customHeight="1">
      <c r="A40" s="16"/>
      <c r="B40" s="12" t="str">
        <f>IF(A40="","",INT((A40-'01_Ficha_Dosis'!$C$14)/7)+1)</f>
        <v/>
      </c>
      <c r="C40" s="14"/>
      <c r="D40" s="14"/>
      <c r="E40" s="21" t="str">
        <f t="shared" si="1"/>
        <v/>
      </c>
      <c r="F40" s="14"/>
      <c r="G40" s="14"/>
      <c r="H40" s="14"/>
      <c r="I40" s="14"/>
      <c r="J40" s="14"/>
      <c r="K40" s="14"/>
      <c r="L40" s="14"/>
    </row>
    <row r="41" ht="15.75" customHeight="1">
      <c r="A41" s="16"/>
      <c r="B41" s="12" t="str">
        <f>IF(A41="","",INT((A41-'01_Ficha_Dosis'!$C$14)/7)+1)</f>
        <v/>
      </c>
      <c r="C41" s="14"/>
      <c r="D41" s="14"/>
      <c r="E41" s="21" t="str">
        <f t="shared" si="1"/>
        <v/>
      </c>
      <c r="F41" s="14"/>
      <c r="G41" s="14"/>
      <c r="H41" s="14"/>
      <c r="I41" s="14"/>
      <c r="J41" s="14"/>
      <c r="K41" s="14"/>
      <c r="L41" s="14"/>
    </row>
    <row r="42" ht="15.75" customHeight="1">
      <c r="A42" s="16"/>
      <c r="B42" s="12" t="str">
        <f>IF(A42="","",INT((A42-'01_Ficha_Dosis'!$C$14)/7)+1)</f>
        <v/>
      </c>
      <c r="C42" s="14"/>
      <c r="D42" s="14"/>
      <c r="E42" s="21" t="str">
        <f t="shared" si="1"/>
        <v/>
      </c>
      <c r="F42" s="14"/>
      <c r="G42" s="14"/>
      <c r="H42" s="14"/>
      <c r="I42" s="14"/>
      <c r="J42" s="14"/>
      <c r="K42" s="14"/>
      <c r="L42" s="14"/>
    </row>
    <row r="43" ht="15.75" customHeight="1">
      <c r="A43" s="16"/>
      <c r="B43" s="12" t="str">
        <f>IF(A43="","",INT((A43-'01_Ficha_Dosis'!$C$14)/7)+1)</f>
        <v/>
      </c>
      <c r="C43" s="14"/>
      <c r="D43" s="14"/>
      <c r="E43" s="21" t="str">
        <f t="shared" si="1"/>
        <v/>
      </c>
      <c r="F43" s="14"/>
      <c r="G43" s="14"/>
      <c r="H43" s="14"/>
      <c r="I43" s="14"/>
      <c r="J43" s="14"/>
      <c r="K43" s="14"/>
      <c r="L43" s="14"/>
    </row>
    <row r="44" ht="15.75" customHeight="1">
      <c r="A44" s="16"/>
      <c r="B44" s="12" t="str">
        <f>IF(A44="","",INT((A44-'01_Ficha_Dosis'!$C$14)/7)+1)</f>
        <v/>
      </c>
      <c r="C44" s="14"/>
      <c r="D44" s="14"/>
      <c r="E44" s="21" t="str">
        <f t="shared" si="1"/>
        <v/>
      </c>
      <c r="F44" s="14"/>
      <c r="G44" s="14"/>
      <c r="H44" s="14"/>
      <c r="I44" s="14"/>
      <c r="J44" s="14"/>
      <c r="K44" s="14"/>
      <c r="L44" s="14"/>
    </row>
    <row r="45" ht="15.75" customHeight="1">
      <c r="A45" s="16"/>
      <c r="B45" s="12" t="str">
        <f>IF(A45="","",INT((A45-'01_Ficha_Dosis'!$C$14)/7)+1)</f>
        <v/>
      </c>
      <c r="C45" s="14"/>
      <c r="D45" s="14"/>
      <c r="E45" s="21" t="str">
        <f t="shared" si="1"/>
        <v/>
      </c>
      <c r="F45" s="14"/>
      <c r="G45" s="14"/>
      <c r="H45" s="14"/>
      <c r="I45" s="14"/>
      <c r="J45" s="14"/>
      <c r="K45" s="14"/>
      <c r="L45" s="14"/>
    </row>
    <row r="46" ht="15.75" customHeight="1">
      <c r="A46" s="16"/>
      <c r="B46" s="12" t="str">
        <f>IF(A46="","",INT((A46-'01_Ficha_Dosis'!$C$14)/7)+1)</f>
        <v/>
      </c>
      <c r="C46" s="14"/>
      <c r="D46" s="14"/>
      <c r="E46" s="21" t="str">
        <f t="shared" si="1"/>
        <v/>
      </c>
      <c r="F46" s="14"/>
      <c r="G46" s="14"/>
      <c r="H46" s="14"/>
      <c r="I46" s="14"/>
      <c r="J46" s="14"/>
      <c r="K46" s="14"/>
      <c r="L46" s="14"/>
    </row>
    <row r="47" ht="15.75" customHeight="1">
      <c r="A47" s="16"/>
      <c r="B47" s="12" t="str">
        <f>IF(A47="","",INT((A47-'01_Ficha_Dosis'!$C$14)/7)+1)</f>
        <v/>
      </c>
      <c r="C47" s="14"/>
      <c r="D47" s="14"/>
      <c r="E47" s="21" t="str">
        <f t="shared" si="1"/>
        <v/>
      </c>
      <c r="F47" s="14"/>
      <c r="G47" s="14"/>
      <c r="H47" s="14"/>
      <c r="I47" s="14"/>
      <c r="J47" s="14"/>
      <c r="K47" s="14"/>
      <c r="L47" s="14"/>
    </row>
    <row r="48" ht="15.75" customHeight="1">
      <c r="A48" s="16"/>
      <c r="B48" s="12" t="str">
        <f>IF(A48="","",INT((A48-'01_Ficha_Dosis'!$C$14)/7)+1)</f>
        <v/>
      </c>
      <c r="C48" s="14"/>
      <c r="D48" s="14"/>
      <c r="E48" s="21" t="str">
        <f t="shared" si="1"/>
        <v/>
      </c>
      <c r="F48" s="14"/>
      <c r="G48" s="14"/>
      <c r="H48" s="14"/>
      <c r="I48" s="14"/>
      <c r="J48" s="14"/>
      <c r="K48" s="14"/>
      <c r="L48" s="14"/>
    </row>
    <row r="49" ht="15.75" customHeight="1">
      <c r="A49" s="16"/>
      <c r="B49" s="12" t="str">
        <f>IF(A49="","",INT((A49-'01_Ficha_Dosis'!$C$14)/7)+1)</f>
        <v/>
      </c>
      <c r="C49" s="14"/>
      <c r="D49" s="14"/>
      <c r="E49" s="21" t="str">
        <f t="shared" si="1"/>
        <v/>
      </c>
      <c r="F49" s="14"/>
      <c r="G49" s="14"/>
      <c r="H49" s="14"/>
      <c r="I49" s="14"/>
      <c r="J49" s="14"/>
      <c r="K49" s="14"/>
      <c r="L49" s="14"/>
    </row>
    <row r="50" ht="15.75" customHeight="1">
      <c r="A50" s="16"/>
      <c r="B50" s="12" t="str">
        <f>IF(A50="","",INT((A50-'01_Ficha_Dosis'!$C$14)/7)+1)</f>
        <v/>
      </c>
      <c r="C50" s="14"/>
      <c r="D50" s="14"/>
      <c r="E50" s="21" t="str">
        <f t="shared" si="1"/>
        <v/>
      </c>
      <c r="F50" s="14"/>
      <c r="G50" s="14"/>
      <c r="H50" s="14"/>
      <c r="I50" s="14"/>
      <c r="J50" s="14"/>
      <c r="K50" s="14"/>
      <c r="L50" s="14"/>
    </row>
    <row r="51" ht="15.75" customHeight="1">
      <c r="A51" s="16"/>
      <c r="B51" s="12" t="str">
        <f>IF(A51="","",INT((A51-'01_Ficha_Dosis'!$C$14)/7)+1)</f>
        <v/>
      </c>
      <c r="C51" s="14"/>
      <c r="D51" s="14"/>
      <c r="E51" s="21" t="str">
        <f t="shared" si="1"/>
        <v/>
      </c>
      <c r="F51" s="14"/>
      <c r="G51" s="14"/>
      <c r="H51" s="14"/>
      <c r="I51" s="14"/>
      <c r="J51" s="14"/>
      <c r="K51" s="14"/>
      <c r="L51" s="14"/>
    </row>
    <row r="52" ht="15.75" customHeight="1">
      <c r="A52" s="16"/>
      <c r="B52" s="12" t="str">
        <f>IF(A52="","",INT((A52-'01_Ficha_Dosis'!$C$14)/7)+1)</f>
        <v/>
      </c>
      <c r="C52" s="14"/>
      <c r="D52" s="14"/>
      <c r="E52" s="21" t="str">
        <f t="shared" si="1"/>
        <v/>
      </c>
      <c r="F52" s="14"/>
      <c r="G52" s="14"/>
      <c r="H52" s="14"/>
      <c r="I52" s="14"/>
      <c r="J52" s="14"/>
      <c r="K52" s="14"/>
      <c r="L52" s="14"/>
    </row>
    <row r="53" ht="15.75" customHeight="1">
      <c r="A53" s="16"/>
      <c r="B53" s="12" t="str">
        <f>IF(A53="","",INT((A53-'01_Ficha_Dosis'!$C$14)/7)+1)</f>
        <v/>
      </c>
      <c r="C53" s="14"/>
      <c r="D53" s="14"/>
      <c r="E53" s="21" t="str">
        <f t="shared" si="1"/>
        <v/>
      </c>
      <c r="F53" s="14"/>
      <c r="G53" s="14"/>
      <c r="H53" s="14"/>
      <c r="I53" s="14"/>
      <c r="J53" s="14"/>
      <c r="K53" s="14"/>
      <c r="L53" s="14"/>
    </row>
    <row r="54" ht="15.75" customHeight="1">
      <c r="A54" s="16"/>
      <c r="B54" s="12" t="str">
        <f>IF(A54="","",INT((A54-'01_Ficha_Dosis'!$C$14)/7)+1)</f>
        <v/>
      </c>
      <c r="C54" s="14"/>
      <c r="D54" s="14"/>
      <c r="E54" s="21" t="str">
        <f t="shared" si="1"/>
        <v/>
      </c>
      <c r="F54" s="14"/>
      <c r="G54" s="14"/>
      <c r="H54" s="14"/>
      <c r="I54" s="14"/>
      <c r="J54" s="14"/>
      <c r="K54" s="14"/>
      <c r="L54" s="14"/>
    </row>
    <row r="55" ht="15.75" customHeight="1">
      <c r="A55" s="16"/>
      <c r="B55" s="12" t="str">
        <f>IF(A55="","",INT((A55-'01_Ficha_Dosis'!$C$14)/7)+1)</f>
        <v/>
      </c>
      <c r="C55" s="14"/>
      <c r="D55" s="14"/>
      <c r="E55" s="21" t="str">
        <f t="shared" si="1"/>
        <v/>
      </c>
      <c r="F55" s="14"/>
      <c r="G55" s="14"/>
      <c r="H55" s="14"/>
      <c r="I55" s="14"/>
      <c r="J55" s="14"/>
      <c r="K55" s="14"/>
      <c r="L55" s="14"/>
    </row>
    <row r="56" ht="15.75" customHeight="1">
      <c r="A56" s="16"/>
      <c r="B56" s="12" t="str">
        <f>IF(A56="","",INT((A56-'01_Ficha_Dosis'!$C$14)/7)+1)</f>
        <v/>
      </c>
      <c r="C56" s="14"/>
      <c r="D56" s="14"/>
      <c r="E56" s="21" t="str">
        <f t="shared" si="1"/>
        <v/>
      </c>
      <c r="F56" s="14"/>
      <c r="G56" s="14"/>
      <c r="H56" s="14"/>
      <c r="I56" s="14"/>
      <c r="J56" s="14"/>
      <c r="K56" s="14"/>
      <c r="L56" s="14"/>
    </row>
    <row r="57" ht="15.75" customHeight="1">
      <c r="A57" s="16"/>
      <c r="B57" s="12" t="str">
        <f>IF(A57="","",INT((A57-'01_Ficha_Dosis'!$C$14)/7)+1)</f>
        <v/>
      </c>
      <c r="C57" s="14"/>
      <c r="D57" s="14"/>
      <c r="E57" s="21" t="str">
        <f t="shared" si="1"/>
        <v/>
      </c>
      <c r="F57" s="14"/>
      <c r="G57" s="14"/>
      <c r="H57" s="14"/>
      <c r="I57" s="14"/>
      <c r="J57" s="14"/>
      <c r="K57" s="14"/>
      <c r="L57" s="14"/>
    </row>
    <row r="58" ht="15.75" customHeight="1">
      <c r="A58" s="16"/>
      <c r="B58" s="12" t="str">
        <f>IF(A58="","",INT((A58-'01_Ficha_Dosis'!$C$14)/7)+1)</f>
        <v/>
      </c>
      <c r="C58" s="14"/>
      <c r="D58" s="14"/>
      <c r="E58" s="21" t="str">
        <f t="shared" si="1"/>
        <v/>
      </c>
      <c r="F58" s="14"/>
      <c r="G58" s="14"/>
      <c r="H58" s="14"/>
      <c r="I58" s="14"/>
      <c r="J58" s="14"/>
      <c r="K58" s="14"/>
      <c r="L58" s="14"/>
    </row>
    <row r="59" ht="15.75" customHeight="1">
      <c r="A59" s="16"/>
      <c r="B59" s="12" t="str">
        <f>IF(A59="","",INT((A59-'01_Ficha_Dosis'!$C$14)/7)+1)</f>
        <v/>
      </c>
      <c r="C59" s="14"/>
      <c r="D59" s="14"/>
      <c r="E59" s="21" t="str">
        <f t="shared" si="1"/>
        <v/>
      </c>
      <c r="F59" s="14"/>
      <c r="G59" s="14"/>
      <c r="H59" s="14"/>
      <c r="I59" s="14"/>
      <c r="J59" s="14"/>
      <c r="K59" s="14"/>
      <c r="L59" s="14"/>
    </row>
    <row r="60" ht="15.75" customHeight="1">
      <c r="A60" s="16"/>
      <c r="B60" s="12" t="str">
        <f>IF(A60="","",INT((A60-'01_Ficha_Dosis'!$C$14)/7)+1)</f>
        <v/>
      </c>
      <c r="C60" s="14"/>
      <c r="D60" s="14"/>
      <c r="E60" s="21" t="str">
        <f t="shared" si="1"/>
        <v/>
      </c>
      <c r="F60" s="14"/>
      <c r="G60" s="14"/>
      <c r="H60" s="14"/>
      <c r="I60" s="14"/>
      <c r="J60" s="14"/>
      <c r="K60" s="14"/>
      <c r="L60" s="14"/>
    </row>
    <row r="61" ht="15.75" customHeight="1">
      <c r="A61" s="16"/>
      <c r="B61" s="12" t="str">
        <f>IF(A61="","",INT((A61-'01_Ficha_Dosis'!$C$14)/7)+1)</f>
        <v/>
      </c>
      <c r="C61" s="14"/>
      <c r="D61" s="14"/>
      <c r="E61" s="21" t="str">
        <f t="shared" si="1"/>
        <v/>
      </c>
      <c r="F61" s="14"/>
      <c r="G61" s="14"/>
      <c r="H61" s="14"/>
      <c r="I61" s="14"/>
      <c r="J61" s="14"/>
      <c r="K61" s="14"/>
      <c r="L61" s="14"/>
    </row>
    <row r="62" ht="15.75" customHeight="1">
      <c r="A62" s="16"/>
      <c r="B62" s="12" t="str">
        <f>IF(A62="","",INT((A62-'01_Ficha_Dosis'!$C$14)/7)+1)</f>
        <v/>
      </c>
      <c r="C62" s="14"/>
      <c r="D62" s="14"/>
      <c r="E62" s="21" t="str">
        <f t="shared" si="1"/>
        <v/>
      </c>
      <c r="F62" s="14"/>
      <c r="G62" s="14"/>
      <c r="H62" s="14"/>
      <c r="I62" s="14"/>
      <c r="J62" s="14"/>
      <c r="K62" s="14"/>
      <c r="L62" s="14"/>
    </row>
    <row r="63" ht="15.75" customHeight="1">
      <c r="A63" s="16"/>
      <c r="B63" s="12" t="str">
        <f>IF(A63="","",INT((A63-'01_Ficha_Dosis'!$C$14)/7)+1)</f>
        <v/>
      </c>
      <c r="C63" s="14"/>
      <c r="D63" s="14"/>
      <c r="E63" s="21" t="str">
        <f t="shared" si="1"/>
        <v/>
      </c>
      <c r="F63" s="14"/>
      <c r="G63" s="14"/>
      <c r="H63" s="14"/>
      <c r="I63" s="14"/>
      <c r="J63" s="14"/>
      <c r="K63" s="14"/>
      <c r="L63" s="14"/>
    </row>
    <row r="64" ht="15.75" customHeight="1">
      <c r="A64" s="16"/>
      <c r="B64" s="12" t="str">
        <f>IF(A64="","",INT((A64-'01_Ficha_Dosis'!$C$14)/7)+1)</f>
        <v/>
      </c>
      <c r="C64" s="14"/>
      <c r="D64" s="14"/>
      <c r="E64" s="21" t="str">
        <f t="shared" si="1"/>
        <v/>
      </c>
      <c r="F64" s="14"/>
      <c r="G64" s="14"/>
      <c r="H64" s="14"/>
      <c r="I64" s="14"/>
      <c r="J64" s="14"/>
      <c r="K64" s="14"/>
      <c r="L64" s="14"/>
    </row>
    <row r="65" ht="15.75" customHeight="1">
      <c r="A65" s="16"/>
      <c r="B65" s="12" t="str">
        <f>IF(A65="","",INT((A65-'01_Ficha_Dosis'!$C$14)/7)+1)</f>
        <v/>
      </c>
      <c r="C65" s="14"/>
      <c r="D65" s="14"/>
      <c r="E65" s="21" t="str">
        <f t="shared" si="1"/>
        <v/>
      </c>
      <c r="F65" s="14"/>
      <c r="G65" s="14"/>
      <c r="H65" s="14"/>
      <c r="I65" s="14"/>
      <c r="J65" s="14"/>
      <c r="K65" s="14"/>
      <c r="L65" s="14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6:K65">
    <cfRule type="expression" dxfId="0" priority="1">
      <formula>F6="No"</formula>
    </cfRule>
  </conditionalFormatting>
  <dataValidations>
    <dataValidation type="list" allowBlank="1" sqref="F6:K65">
      <formula1>"Sí,No"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62.0"/>
    <col customWidth="1" min="3" max="3" width="12.0"/>
    <col customWidth="1" min="4" max="4" width="30.0"/>
    <col customWidth="1" min="5" max="5" width="40.0"/>
    <col customWidth="1" min="6" max="26" width="8.71"/>
  </cols>
  <sheetData>
    <row r="1">
      <c r="A1" s="1" t="s">
        <v>0</v>
      </c>
      <c r="B1" s="2"/>
      <c r="C1" s="2"/>
      <c r="D1" s="2"/>
      <c r="E1" s="2"/>
    </row>
    <row r="2" ht="25.5" customHeight="1">
      <c r="A2" s="3" t="s">
        <v>241</v>
      </c>
      <c r="B2" s="2"/>
      <c r="C2" s="2"/>
      <c r="D2" s="2"/>
      <c r="E2" s="2"/>
    </row>
    <row r="3">
      <c r="A3" s="4" t="s">
        <v>242</v>
      </c>
      <c r="B3" s="2"/>
      <c r="C3" s="2"/>
      <c r="D3" s="2"/>
      <c r="E3" s="2"/>
    </row>
    <row r="4">
      <c r="A4" s="29" t="s">
        <v>243</v>
      </c>
      <c r="B4" s="2"/>
      <c r="C4" s="30">
        <v>1.0</v>
      </c>
      <c r="D4" s="2"/>
      <c r="E4" s="2"/>
    </row>
    <row r="5" ht="31.5" customHeight="1">
      <c r="A5" s="6" t="s">
        <v>10</v>
      </c>
      <c r="B5" s="6" t="s">
        <v>244</v>
      </c>
      <c r="C5" s="6" t="s">
        <v>245</v>
      </c>
      <c r="D5" s="6" t="s">
        <v>246</v>
      </c>
      <c r="E5" s="6" t="s">
        <v>247</v>
      </c>
    </row>
    <row r="6">
      <c r="A6" s="12">
        <v>1.0</v>
      </c>
      <c r="B6" s="12" t="s">
        <v>248</v>
      </c>
      <c r="C6" s="14" t="s">
        <v>224</v>
      </c>
      <c r="D6" s="12" t="s">
        <v>249</v>
      </c>
      <c r="E6" s="14"/>
    </row>
    <row r="7">
      <c r="A7" s="12">
        <v>2.0</v>
      </c>
      <c r="B7" s="12" t="s">
        <v>250</v>
      </c>
      <c r="C7" s="14" t="s">
        <v>224</v>
      </c>
      <c r="D7" s="12" t="s">
        <v>60</v>
      </c>
      <c r="E7" s="14"/>
    </row>
    <row r="8">
      <c r="A8" s="12">
        <v>3.0</v>
      </c>
      <c r="B8" s="12" t="s">
        <v>251</v>
      </c>
      <c r="C8" s="14" t="s">
        <v>224</v>
      </c>
      <c r="D8" s="12" t="s">
        <v>55</v>
      </c>
      <c r="E8" s="14"/>
    </row>
    <row r="9">
      <c r="A9" s="12">
        <v>4.0</v>
      </c>
      <c r="B9" s="12" t="s">
        <v>252</v>
      </c>
      <c r="C9" s="14" t="s">
        <v>224</v>
      </c>
      <c r="D9" s="12" t="s">
        <v>47</v>
      </c>
      <c r="E9" s="14"/>
    </row>
    <row r="10">
      <c r="A10" s="12">
        <v>5.0</v>
      </c>
      <c r="B10" s="12" t="s">
        <v>253</v>
      </c>
      <c r="C10" s="14" t="s">
        <v>224</v>
      </c>
      <c r="D10" s="12" t="s">
        <v>68</v>
      </c>
      <c r="E10" s="14"/>
    </row>
    <row r="11">
      <c r="A11" s="12">
        <v>6.0</v>
      </c>
      <c r="B11" s="12" t="s">
        <v>254</v>
      </c>
      <c r="C11" s="14" t="s">
        <v>224</v>
      </c>
      <c r="D11" s="12" t="s">
        <v>74</v>
      </c>
      <c r="E11" s="14"/>
    </row>
    <row r="12">
      <c r="A12" s="12">
        <v>7.0</v>
      </c>
      <c r="B12" s="12" t="s">
        <v>255</v>
      </c>
      <c r="C12" s="14" t="s">
        <v>224</v>
      </c>
      <c r="D12" s="12" t="s">
        <v>71</v>
      </c>
      <c r="E12" s="14"/>
    </row>
    <row r="13">
      <c r="A13" s="12">
        <v>8.0</v>
      </c>
      <c r="B13" s="12" t="s">
        <v>256</v>
      </c>
      <c r="C13" s="14" t="s">
        <v>224</v>
      </c>
      <c r="D13" s="12" t="s">
        <v>257</v>
      </c>
      <c r="E13" s="14"/>
    </row>
    <row r="14">
      <c r="A14" s="12">
        <v>9.0</v>
      </c>
      <c r="B14" s="12" t="s">
        <v>258</v>
      </c>
      <c r="C14" s="14" t="s">
        <v>224</v>
      </c>
      <c r="D14" s="12" t="s">
        <v>87</v>
      </c>
      <c r="E14" s="14"/>
    </row>
    <row r="15">
      <c r="A15" s="12">
        <v>10.0</v>
      </c>
      <c r="B15" s="12" t="s">
        <v>259</v>
      </c>
      <c r="C15" s="14" t="s">
        <v>213</v>
      </c>
      <c r="D15" s="12" t="s">
        <v>260</v>
      </c>
      <c r="E15" s="14"/>
    </row>
    <row r="16">
      <c r="A16" s="2"/>
      <c r="B16" s="2"/>
      <c r="C16" s="2"/>
      <c r="D16" s="2"/>
      <c r="E16" s="2"/>
    </row>
    <row r="17">
      <c r="A17" s="2"/>
      <c r="B17" s="31" t="s">
        <v>261</v>
      </c>
      <c r="C17" s="32">
        <f>IFERROR(COUNTIF(C6:C15,"Sí")/(COUNTA(C6:C15)-COUNTIF(C6:C15,"No aplica")),"")</f>
        <v>1</v>
      </c>
      <c r="D17" s="2"/>
      <c r="E17" s="2"/>
    </row>
    <row r="18">
      <c r="A18" s="2"/>
      <c r="B18" s="2"/>
      <c r="C18" s="2"/>
      <c r="D18" s="2"/>
      <c r="E18" s="2"/>
    </row>
    <row r="19">
      <c r="A19" s="2"/>
      <c r="B19" s="9" t="s">
        <v>262</v>
      </c>
      <c r="C19" s="2"/>
      <c r="D19" s="2"/>
      <c r="E1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6:C15">
    <cfRule type="expression" dxfId="0" priority="1">
      <formula>C6="No"</formula>
    </cfRule>
  </conditionalFormatting>
  <dataValidations>
    <dataValidation type="list" allowBlank="1" sqref="C6:C15">
      <formula1>"Sí,No,No aplica"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40.0"/>
    <col customWidth="1" min="3" max="3" width="30.0"/>
    <col customWidth="1" min="4" max="4" width="26.0"/>
    <col customWidth="1" min="5" max="5" width="15.0"/>
    <col customWidth="1" min="6" max="6" width="10.0"/>
    <col customWidth="1" min="7" max="26" width="8.71"/>
  </cols>
  <sheetData>
    <row r="1">
      <c r="A1" s="1" t="s">
        <v>0</v>
      </c>
      <c r="B1" s="2"/>
      <c r="C1" s="2"/>
      <c r="D1" s="2"/>
      <c r="E1" s="2"/>
      <c r="F1" s="2"/>
    </row>
    <row r="2" ht="25.5" customHeight="1">
      <c r="A2" s="3" t="s">
        <v>263</v>
      </c>
      <c r="B2" s="2"/>
      <c r="C2" s="2"/>
      <c r="D2" s="2"/>
      <c r="E2" s="2"/>
      <c r="F2" s="2"/>
    </row>
    <row r="3">
      <c r="A3" s="4" t="s">
        <v>264</v>
      </c>
      <c r="B3" s="2"/>
      <c r="C3" s="2"/>
      <c r="D3" s="2"/>
      <c r="E3" s="2"/>
      <c r="F3" s="2"/>
    </row>
    <row r="4">
      <c r="A4" s="2"/>
      <c r="B4" s="2"/>
      <c r="C4" s="2"/>
      <c r="D4" s="2"/>
      <c r="E4" s="2"/>
      <c r="F4" s="2"/>
    </row>
    <row r="5" ht="31.5" customHeight="1">
      <c r="A5" s="6" t="s">
        <v>265</v>
      </c>
      <c r="B5" s="6" t="s">
        <v>266</v>
      </c>
      <c r="C5" s="6" t="s">
        <v>267</v>
      </c>
      <c r="D5" s="6" t="s">
        <v>268</v>
      </c>
      <c r="E5" s="6" t="s">
        <v>269</v>
      </c>
      <c r="F5" s="6" t="s">
        <v>270</v>
      </c>
    </row>
    <row r="6" ht="48.0" customHeight="1">
      <c r="A6" s="33" t="s">
        <v>271</v>
      </c>
      <c r="B6" s="12" t="s">
        <v>272</v>
      </c>
      <c r="C6" s="12" t="s">
        <v>273</v>
      </c>
      <c r="D6" s="12" t="s">
        <v>274</v>
      </c>
      <c r="E6" s="14"/>
      <c r="F6" s="12" t="str">
        <f t="shared" ref="F6:F9" si="1">IF(E6="Logrado",5,IF(E6="En proceso",3,IF(E6="Inicio",1,"")))</f>
        <v/>
      </c>
    </row>
    <row r="7" ht="48.0" customHeight="1">
      <c r="A7" s="33" t="s">
        <v>275</v>
      </c>
      <c r="B7" s="12" t="s">
        <v>276</v>
      </c>
      <c r="C7" s="12" t="s">
        <v>277</v>
      </c>
      <c r="D7" s="12" t="s">
        <v>278</v>
      </c>
      <c r="E7" s="14"/>
      <c r="F7" s="12" t="str">
        <f t="shared" si="1"/>
        <v/>
      </c>
    </row>
    <row r="8" ht="48.0" customHeight="1">
      <c r="A8" s="33" t="s">
        <v>279</v>
      </c>
      <c r="B8" s="12" t="s">
        <v>280</v>
      </c>
      <c r="C8" s="12" t="s">
        <v>281</v>
      </c>
      <c r="D8" s="12" t="s">
        <v>282</v>
      </c>
      <c r="E8" s="14"/>
      <c r="F8" s="12" t="str">
        <f t="shared" si="1"/>
        <v/>
      </c>
    </row>
    <row r="9" ht="48.0" customHeight="1">
      <c r="A9" s="33" t="s">
        <v>283</v>
      </c>
      <c r="B9" s="12" t="s">
        <v>284</v>
      </c>
      <c r="C9" s="12" t="s">
        <v>285</v>
      </c>
      <c r="D9" s="12" t="s">
        <v>286</v>
      </c>
      <c r="E9" s="14"/>
      <c r="F9" s="12" t="str">
        <f t="shared" si="1"/>
        <v/>
      </c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31" t="s">
        <v>287</v>
      </c>
      <c r="F11" s="34">
        <f>SUM(F6:F9)</f>
        <v>0</v>
      </c>
    </row>
    <row r="12">
      <c r="A12" s="2"/>
      <c r="B12" s="2"/>
      <c r="C12" s="2"/>
      <c r="D12" s="2"/>
      <c r="E12" s="2"/>
      <c r="F12" s="2"/>
    </row>
    <row r="13">
      <c r="A13" s="29" t="s">
        <v>288</v>
      </c>
      <c r="B13" s="35"/>
      <c r="C13" s="36"/>
      <c r="D13" s="36"/>
      <c r="E13" s="36"/>
      <c r="F13" s="37"/>
    </row>
    <row r="14">
      <c r="A14" s="2"/>
      <c r="B14" s="38"/>
      <c r="F14" s="39"/>
    </row>
    <row r="15">
      <c r="A15" s="2"/>
      <c r="B15" s="40"/>
      <c r="C15" s="41"/>
      <c r="D15" s="41"/>
      <c r="E15" s="41"/>
      <c r="F15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F15"/>
  </mergeCells>
  <dataValidations>
    <dataValidation type="list" allowBlank="1" sqref="E6:E9">
      <formula1>"Logrado,En proceso,Inicio"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0"/>
    <col customWidth="1" min="2" max="2" width="14.0"/>
    <col customWidth="1" min="3" max="3" width="44.0"/>
    <col customWidth="1" min="4" max="4" width="13.0"/>
    <col customWidth="1" min="5" max="5" width="18.0"/>
    <col customWidth="1" min="6" max="6" width="32.0"/>
    <col customWidth="1" min="7" max="7" width="14.0"/>
    <col customWidth="1" min="8" max="26" width="8.71"/>
  </cols>
  <sheetData>
    <row r="1">
      <c r="A1" s="1" t="s">
        <v>0</v>
      </c>
      <c r="B1" s="2"/>
      <c r="C1" s="2"/>
      <c r="D1" s="2"/>
      <c r="E1" s="2"/>
      <c r="F1" s="2"/>
      <c r="G1" s="2"/>
    </row>
    <row r="2" ht="25.5" customHeight="1">
      <c r="A2" s="3" t="s">
        <v>289</v>
      </c>
      <c r="B2" s="2"/>
      <c r="C2" s="2"/>
      <c r="D2" s="2"/>
      <c r="E2" s="2"/>
      <c r="F2" s="2"/>
      <c r="G2" s="2"/>
    </row>
    <row r="3">
      <c r="A3" s="4" t="s">
        <v>290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 ht="31.5" customHeight="1">
      <c r="A5" s="6" t="s">
        <v>16</v>
      </c>
      <c r="B5" s="6" t="s">
        <v>291</v>
      </c>
      <c r="C5" s="6" t="s">
        <v>292</v>
      </c>
      <c r="D5" s="6" t="s">
        <v>140</v>
      </c>
      <c r="E5" s="6" t="s">
        <v>293</v>
      </c>
      <c r="F5" s="6" t="s">
        <v>294</v>
      </c>
      <c r="G5" s="6" t="s">
        <v>295</v>
      </c>
    </row>
    <row r="6">
      <c r="A6" s="14" t="s">
        <v>171</v>
      </c>
      <c r="B6" s="14" t="s">
        <v>296</v>
      </c>
      <c r="C6" s="14" t="s">
        <v>297</v>
      </c>
      <c r="D6" s="16">
        <v>46293.0</v>
      </c>
      <c r="E6" s="14" t="s">
        <v>298</v>
      </c>
      <c r="F6" s="14" t="s">
        <v>299</v>
      </c>
      <c r="G6" s="14" t="s">
        <v>213</v>
      </c>
    </row>
    <row r="7">
      <c r="A7" s="14" t="s">
        <v>300</v>
      </c>
      <c r="B7" s="14" t="s">
        <v>301</v>
      </c>
      <c r="C7" s="14" t="s">
        <v>302</v>
      </c>
      <c r="D7" s="16">
        <v>46297.0</v>
      </c>
      <c r="E7" s="14" t="s">
        <v>303</v>
      </c>
      <c r="F7" s="14" t="s">
        <v>304</v>
      </c>
      <c r="G7" s="14" t="s">
        <v>213</v>
      </c>
    </row>
    <row r="8">
      <c r="A8" s="14" t="s">
        <v>177</v>
      </c>
      <c r="B8" s="14" t="s">
        <v>305</v>
      </c>
      <c r="C8" s="14" t="s">
        <v>306</v>
      </c>
      <c r="D8" s="16">
        <v>46295.0</v>
      </c>
      <c r="E8" s="14" t="s">
        <v>307</v>
      </c>
      <c r="F8" s="14" t="s">
        <v>308</v>
      </c>
      <c r="G8" s="14" t="s">
        <v>213</v>
      </c>
    </row>
    <row r="9">
      <c r="A9" s="14" t="s">
        <v>188</v>
      </c>
      <c r="B9" s="14" t="s">
        <v>305</v>
      </c>
      <c r="C9" s="14" t="s">
        <v>309</v>
      </c>
      <c r="D9" s="16">
        <v>46316.0</v>
      </c>
      <c r="E9" s="14" t="s">
        <v>310</v>
      </c>
      <c r="F9" s="14" t="s">
        <v>311</v>
      </c>
      <c r="G9" s="14" t="s">
        <v>213</v>
      </c>
    </row>
    <row r="10">
      <c r="A10" s="14" t="s">
        <v>312</v>
      </c>
      <c r="B10" s="14" t="s">
        <v>313</v>
      </c>
      <c r="C10" s="14" t="s">
        <v>314</v>
      </c>
      <c r="D10" s="16">
        <v>46302.0</v>
      </c>
      <c r="E10" s="14" t="s">
        <v>315</v>
      </c>
      <c r="F10" s="14" t="s">
        <v>316</v>
      </c>
      <c r="G10" s="14" t="s">
        <v>224</v>
      </c>
    </row>
    <row r="11">
      <c r="A11" s="14" t="s">
        <v>183</v>
      </c>
      <c r="B11" s="14" t="s">
        <v>296</v>
      </c>
      <c r="C11" s="14" t="s">
        <v>317</v>
      </c>
      <c r="D11" s="16">
        <v>46300.0</v>
      </c>
      <c r="E11" s="14" t="s">
        <v>307</v>
      </c>
      <c r="F11" s="14" t="s">
        <v>318</v>
      </c>
      <c r="G11" s="14" t="s">
        <v>213</v>
      </c>
    </row>
    <row r="12">
      <c r="A12" s="14"/>
      <c r="B12" s="14"/>
      <c r="C12" s="14"/>
      <c r="D12" s="16"/>
      <c r="E12" s="14"/>
      <c r="F12" s="14"/>
      <c r="G12" s="14"/>
    </row>
    <row r="13">
      <c r="A13" s="14"/>
      <c r="B13" s="14"/>
      <c r="C13" s="14"/>
      <c r="D13" s="16"/>
      <c r="E13" s="14"/>
      <c r="F13" s="14"/>
      <c r="G13" s="14"/>
    </row>
    <row r="14">
      <c r="A14" s="14"/>
      <c r="B14" s="14"/>
      <c r="C14" s="14"/>
      <c r="D14" s="16"/>
      <c r="E14" s="14"/>
      <c r="F14" s="14"/>
      <c r="G14" s="14"/>
    </row>
    <row r="15">
      <c r="A15" s="14"/>
      <c r="B15" s="14"/>
      <c r="C15" s="14"/>
      <c r="D15" s="16"/>
      <c r="E15" s="14"/>
      <c r="F15" s="14"/>
      <c r="G15" s="14"/>
    </row>
    <row r="16">
      <c r="A16" s="14"/>
      <c r="B16" s="14"/>
      <c r="C16" s="14"/>
      <c r="D16" s="16"/>
      <c r="E16" s="14"/>
      <c r="F16" s="14"/>
      <c r="G16" s="14"/>
    </row>
    <row r="17">
      <c r="A17" s="14"/>
      <c r="B17" s="14"/>
      <c r="C17" s="14"/>
      <c r="D17" s="16"/>
      <c r="E17" s="14"/>
      <c r="F17" s="14"/>
      <c r="G17" s="14"/>
    </row>
    <row r="18">
      <c r="A18" s="14"/>
      <c r="B18" s="14"/>
      <c r="C18" s="14"/>
      <c r="D18" s="16"/>
      <c r="E18" s="14"/>
      <c r="F18" s="14"/>
      <c r="G18" s="14"/>
    </row>
    <row r="19">
      <c r="A19" s="14"/>
      <c r="B19" s="14"/>
      <c r="C19" s="14"/>
      <c r="D19" s="16"/>
      <c r="E19" s="14"/>
      <c r="F19" s="14"/>
      <c r="G19" s="14"/>
    </row>
    <row r="20">
      <c r="A20" s="14"/>
      <c r="B20" s="14"/>
      <c r="C20" s="14"/>
      <c r="D20" s="16"/>
      <c r="E20" s="14"/>
      <c r="F20" s="14"/>
      <c r="G20" s="14"/>
    </row>
    <row r="21" ht="15.75" customHeight="1">
      <c r="A21" s="14"/>
      <c r="B21" s="14"/>
      <c r="C21" s="14"/>
      <c r="D21" s="16"/>
      <c r="E21" s="14"/>
      <c r="F21" s="14"/>
      <c r="G21" s="14"/>
    </row>
    <row r="22" ht="15.75" customHeight="1">
      <c r="A22" s="14"/>
      <c r="B22" s="14"/>
      <c r="C22" s="14"/>
      <c r="D22" s="16"/>
      <c r="E22" s="14"/>
      <c r="F22" s="14"/>
      <c r="G22" s="14"/>
    </row>
    <row r="23" ht="15.75" customHeight="1">
      <c r="A23" s="14"/>
      <c r="B23" s="14"/>
      <c r="C23" s="14"/>
      <c r="D23" s="16"/>
      <c r="E23" s="14"/>
      <c r="F23" s="14"/>
      <c r="G23" s="14"/>
    </row>
    <row r="24" ht="15.75" customHeight="1">
      <c r="A24" s="14"/>
      <c r="B24" s="14"/>
      <c r="C24" s="14"/>
      <c r="D24" s="16"/>
      <c r="E24" s="14"/>
      <c r="F24" s="14"/>
      <c r="G24" s="14"/>
    </row>
    <row r="25" ht="15.75" customHeight="1">
      <c r="A25" s="14"/>
      <c r="B25" s="14"/>
      <c r="C25" s="14"/>
      <c r="D25" s="16"/>
      <c r="E25" s="14"/>
      <c r="F25" s="14"/>
      <c r="G25" s="14"/>
    </row>
    <row r="26" ht="15.75" customHeight="1">
      <c r="A26" s="14"/>
      <c r="B26" s="14"/>
      <c r="C26" s="14"/>
      <c r="D26" s="16"/>
      <c r="E26" s="14"/>
      <c r="F26" s="14"/>
      <c r="G26" s="14"/>
    </row>
    <row r="27" ht="15.75" customHeight="1">
      <c r="A27" s="14"/>
      <c r="B27" s="14"/>
      <c r="C27" s="14"/>
      <c r="D27" s="16"/>
      <c r="E27" s="14"/>
      <c r="F27" s="14"/>
      <c r="G27" s="14"/>
    </row>
    <row r="28" ht="15.75" customHeight="1">
      <c r="A28" s="14"/>
      <c r="B28" s="14"/>
      <c r="C28" s="14"/>
      <c r="D28" s="16"/>
      <c r="E28" s="14"/>
      <c r="F28" s="14"/>
      <c r="G28" s="14"/>
    </row>
    <row r="29" ht="15.75" customHeight="1">
      <c r="A29" s="14"/>
      <c r="B29" s="14"/>
      <c r="C29" s="14"/>
      <c r="D29" s="16"/>
      <c r="E29" s="14"/>
      <c r="F29" s="14"/>
      <c r="G29" s="14"/>
    </row>
    <row r="30" ht="15.75" customHeight="1">
      <c r="A30" s="14"/>
      <c r="B30" s="14"/>
      <c r="C30" s="14"/>
      <c r="D30" s="16"/>
      <c r="E30" s="14"/>
      <c r="F30" s="14"/>
      <c r="G30" s="14"/>
    </row>
    <row r="31" ht="15.75" customHeight="1">
      <c r="A31" s="14"/>
      <c r="B31" s="14"/>
      <c r="C31" s="14"/>
      <c r="D31" s="16"/>
      <c r="E31" s="14"/>
      <c r="F31" s="14"/>
      <c r="G31" s="14"/>
    </row>
    <row r="32" ht="15.75" customHeight="1">
      <c r="A32" s="14"/>
      <c r="B32" s="14"/>
      <c r="C32" s="14"/>
      <c r="D32" s="16"/>
      <c r="E32" s="14"/>
      <c r="F32" s="14"/>
      <c r="G32" s="14"/>
    </row>
    <row r="33" ht="15.75" customHeight="1">
      <c r="A33" s="14"/>
      <c r="B33" s="14"/>
      <c r="C33" s="14"/>
      <c r="D33" s="16"/>
      <c r="E33" s="14"/>
      <c r="F33" s="14"/>
      <c r="G33" s="14"/>
    </row>
    <row r="34" ht="15.75" customHeight="1">
      <c r="A34" s="14"/>
      <c r="B34" s="14"/>
      <c r="C34" s="14"/>
      <c r="D34" s="16"/>
      <c r="E34" s="14"/>
      <c r="F34" s="14"/>
      <c r="G34" s="14"/>
    </row>
    <row r="35" ht="15.75" customHeight="1">
      <c r="A35" s="14"/>
      <c r="B35" s="14"/>
      <c r="C35" s="14"/>
      <c r="D35" s="16"/>
      <c r="E35" s="14"/>
      <c r="F35" s="14"/>
      <c r="G35" s="14"/>
    </row>
    <row r="36" ht="15.75" customHeight="1">
      <c r="A36" s="14"/>
      <c r="B36" s="14"/>
      <c r="C36" s="14"/>
      <c r="D36" s="16"/>
      <c r="E36" s="14"/>
      <c r="F36" s="14"/>
      <c r="G36" s="14"/>
    </row>
    <row r="37" ht="15.75" customHeight="1">
      <c r="A37" s="14"/>
      <c r="B37" s="14"/>
      <c r="C37" s="14"/>
      <c r="D37" s="16"/>
      <c r="E37" s="14"/>
      <c r="F37" s="14"/>
      <c r="G37" s="14"/>
    </row>
    <row r="38" ht="15.75" customHeight="1">
      <c r="A38" s="14"/>
      <c r="B38" s="14"/>
      <c r="C38" s="14"/>
      <c r="D38" s="16"/>
      <c r="E38" s="14"/>
      <c r="F38" s="14"/>
      <c r="G38" s="14"/>
    </row>
    <row r="39" ht="15.75" customHeight="1">
      <c r="A39" s="14"/>
      <c r="B39" s="14"/>
      <c r="C39" s="14"/>
      <c r="D39" s="16"/>
      <c r="E39" s="14"/>
      <c r="F39" s="14"/>
      <c r="G39" s="14"/>
    </row>
    <row r="40" ht="15.75" customHeight="1">
      <c r="A40" s="14"/>
      <c r="B40" s="14"/>
      <c r="C40" s="14"/>
      <c r="D40" s="16"/>
      <c r="E40" s="14"/>
      <c r="F40" s="14"/>
      <c r="G40" s="14"/>
    </row>
    <row r="41" ht="15.75" customHeight="1">
      <c r="A41" s="14"/>
      <c r="B41" s="14"/>
      <c r="C41" s="14"/>
      <c r="D41" s="16"/>
      <c r="E41" s="14"/>
      <c r="F41" s="14"/>
      <c r="G41" s="14"/>
    </row>
    <row r="42" ht="15.75" customHeight="1">
      <c r="A42" s="14"/>
      <c r="B42" s="14"/>
      <c r="C42" s="14"/>
      <c r="D42" s="16"/>
      <c r="E42" s="14"/>
      <c r="F42" s="14"/>
      <c r="G42" s="14"/>
    </row>
    <row r="43" ht="15.75" customHeight="1">
      <c r="A43" s="14"/>
      <c r="B43" s="14"/>
      <c r="C43" s="14"/>
      <c r="D43" s="16"/>
      <c r="E43" s="14"/>
      <c r="F43" s="14"/>
      <c r="G43" s="14"/>
    </row>
    <row r="44" ht="15.75" customHeight="1">
      <c r="A44" s="14"/>
      <c r="B44" s="14"/>
      <c r="C44" s="14"/>
      <c r="D44" s="16"/>
      <c r="E44" s="14"/>
      <c r="F44" s="14"/>
      <c r="G44" s="14"/>
    </row>
    <row r="45" ht="15.75" customHeight="1">
      <c r="A45" s="14"/>
      <c r="B45" s="14"/>
      <c r="C45" s="14"/>
      <c r="D45" s="16"/>
      <c r="E45" s="14"/>
      <c r="F45" s="14"/>
      <c r="G45" s="14"/>
    </row>
    <row r="46" ht="15.75" customHeight="1">
      <c r="A46" s="14"/>
      <c r="B46" s="14"/>
      <c r="C46" s="14"/>
      <c r="D46" s="16"/>
      <c r="E46" s="14"/>
      <c r="F46" s="14"/>
      <c r="G46" s="14"/>
    </row>
    <row r="47" ht="15.75" customHeight="1">
      <c r="A47" s="14"/>
      <c r="B47" s="14"/>
      <c r="C47" s="14"/>
      <c r="D47" s="16"/>
      <c r="E47" s="14"/>
      <c r="F47" s="14"/>
      <c r="G47" s="14"/>
    </row>
    <row r="48" ht="15.75" customHeight="1">
      <c r="A48" s="14"/>
      <c r="B48" s="14"/>
      <c r="C48" s="14"/>
      <c r="D48" s="16"/>
      <c r="E48" s="14"/>
      <c r="F48" s="14"/>
      <c r="G48" s="14"/>
    </row>
    <row r="49" ht="15.75" customHeight="1">
      <c r="A49" s="14"/>
      <c r="B49" s="14"/>
      <c r="C49" s="14"/>
      <c r="D49" s="16"/>
      <c r="E49" s="14"/>
      <c r="F49" s="14"/>
      <c r="G49" s="14"/>
    </row>
    <row r="50" ht="15.75" customHeight="1">
      <c r="A50" s="14"/>
      <c r="B50" s="14"/>
      <c r="C50" s="14"/>
      <c r="D50" s="16"/>
      <c r="E50" s="14"/>
      <c r="F50" s="14"/>
      <c r="G50" s="14"/>
    </row>
    <row r="51" ht="15.75" customHeight="1">
      <c r="A51" s="14"/>
      <c r="B51" s="14"/>
      <c r="C51" s="14"/>
      <c r="D51" s="16"/>
      <c r="E51" s="14"/>
      <c r="F51" s="14"/>
      <c r="G51" s="14"/>
    </row>
    <row r="52" ht="15.75" customHeight="1">
      <c r="A52" s="14"/>
      <c r="B52" s="14"/>
      <c r="C52" s="14"/>
      <c r="D52" s="16"/>
      <c r="E52" s="14"/>
      <c r="F52" s="14"/>
      <c r="G52" s="14"/>
    </row>
    <row r="53" ht="15.75" customHeight="1">
      <c r="A53" s="14"/>
      <c r="B53" s="14"/>
      <c r="C53" s="14"/>
      <c r="D53" s="16"/>
      <c r="E53" s="14"/>
      <c r="F53" s="14"/>
      <c r="G53" s="14"/>
    </row>
    <row r="54" ht="15.75" customHeight="1">
      <c r="A54" s="14"/>
      <c r="B54" s="14"/>
      <c r="C54" s="14"/>
      <c r="D54" s="16"/>
      <c r="E54" s="14"/>
      <c r="F54" s="14"/>
      <c r="G54" s="14"/>
    </row>
    <row r="55" ht="15.75" customHeight="1">
      <c r="A55" s="14"/>
      <c r="B55" s="14"/>
      <c r="C55" s="14"/>
      <c r="D55" s="16"/>
      <c r="E55" s="14"/>
      <c r="F55" s="14"/>
      <c r="G55" s="14"/>
    </row>
    <row r="56" ht="15.75" customHeight="1">
      <c r="A56" s="14"/>
      <c r="B56" s="14"/>
      <c r="C56" s="14"/>
      <c r="D56" s="16"/>
      <c r="E56" s="14"/>
      <c r="F56" s="14"/>
      <c r="G56" s="14"/>
    </row>
    <row r="57" ht="15.75" customHeight="1">
      <c r="A57" s="14"/>
      <c r="B57" s="14"/>
      <c r="C57" s="14"/>
      <c r="D57" s="16"/>
      <c r="E57" s="14"/>
      <c r="F57" s="14"/>
      <c r="G57" s="14"/>
    </row>
    <row r="58" ht="15.75" customHeight="1">
      <c r="A58" s="14"/>
      <c r="B58" s="14"/>
      <c r="C58" s="14"/>
      <c r="D58" s="16"/>
      <c r="E58" s="14"/>
      <c r="F58" s="14"/>
      <c r="G58" s="14"/>
    </row>
    <row r="59" ht="15.75" customHeight="1">
      <c r="A59" s="14"/>
      <c r="B59" s="14"/>
      <c r="C59" s="14"/>
      <c r="D59" s="16"/>
      <c r="E59" s="14"/>
      <c r="F59" s="14"/>
      <c r="G59" s="14"/>
    </row>
    <row r="60" ht="15.75" customHeight="1">
      <c r="A60" s="14"/>
      <c r="B60" s="14"/>
      <c r="C60" s="14"/>
      <c r="D60" s="16"/>
      <c r="E60" s="14"/>
      <c r="F60" s="14"/>
      <c r="G60" s="14"/>
    </row>
    <row r="61" ht="15.75" customHeight="1">
      <c r="A61" s="14"/>
      <c r="B61" s="14"/>
      <c r="C61" s="14"/>
      <c r="D61" s="16"/>
      <c r="E61" s="14"/>
      <c r="F61" s="14"/>
      <c r="G61" s="14"/>
    </row>
    <row r="62" ht="15.75" customHeight="1">
      <c r="A62" s="14"/>
      <c r="B62" s="14"/>
      <c r="C62" s="14"/>
      <c r="D62" s="16"/>
      <c r="E62" s="14"/>
      <c r="F62" s="14"/>
      <c r="G62" s="14"/>
    </row>
    <row r="63" ht="15.75" customHeight="1">
      <c r="A63" s="14"/>
      <c r="B63" s="14"/>
      <c r="C63" s="14"/>
      <c r="D63" s="16"/>
      <c r="E63" s="14"/>
      <c r="F63" s="14"/>
      <c r="G63" s="14"/>
    </row>
    <row r="64" ht="15.75" customHeight="1">
      <c r="A64" s="14"/>
      <c r="B64" s="14"/>
      <c r="C64" s="14"/>
      <c r="D64" s="16"/>
      <c r="E64" s="14"/>
      <c r="F64" s="14"/>
      <c r="G64" s="14"/>
    </row>
    <row r="65" ht="15.75" customHeight="1">
      <c r="A65" s="14"/>
      <c r="B65" s="14"/>
      <c r="C65" s="14"/>
      <c r="D65" s="16"/>
      <c r="E65" s="14"/>
      <c r="F65" s="14"/>
      <c r="G65" s="14"/>
    </row>
    <row r="66" ht="15.75" customHeight="1">
      <c r="A66" s="14"/>
      <c r="B66" s="14"/>
      <c r="C66" s="14"/>
      <c r="D66" s="16"/>
      <c r="E66" s="14"/>
      <c r="F66" s="14"/>
      <c r="G66" s="14"/>
    </row>
    <row r="67" ht="15.75" customHeight="1">
      <c r="A67" s="14"/>
      <c r="B67" s="14"/>
      <c r="C67" s="14"/>
      <c r="D67" s="16"/>
      <c r="E67" s="14"/>
      <c r="F67" s="14"/>
      <c r="G67" s="14"/>
    </row>
    <row r="68" ht="15.75" customHeight="1">
      <c r="A68" s="14"/>
      <c r="B68" s="14"/>
      <c r="C68" s="14"/>
      <c r="D68" s="16"/>
      <c r="E68" s="14"/>
      <c r="F68" s="14"/>
      <c r="G68" s="14"/>
    </row>
    <row r="69" ht="15.75" customHeight="1">
      <c r="A69" s="14"/>
      <c r="B69" s="14"/>
      <c r="C69" s="14"/>
      <c r="D69" s="16"/>
      <c r="E69" s="14"/>
      <c r="F69" s="14"/>
      <c r="G69" s="14"/>
    </row>
    <row r="70" ht="15.75" customHeight="1">
      <c r="A70" s="14"/>
      <c r="B70" s="14"/>
      <c r="C70" s="14"/>
      <c r="D70" s="16"/>
      <c r="E70" s="14"/>
      <c r="F70" s="14"/>
      <c r="G70" s="14"/>
    </row>
    <row r="71" ht="15.75" customHeight="1">
      <c r="A71" s="14"/>
      <c r="B71" s="14"/>
      <c r="C71" s="14"/>
      <c r="D71" s="16"/>
      <c r="E71" s="14"/>
      <c r="F71" s="14"/>
      <c r="G71" s="14"/>
    </row>
    <row r="72" ht="15.75" customHeight="1">
      <c r="A72" s="14"/>
      <c r="B72" s="14"/>
      <c r="C72" s="14"/>
      <c r="D72" s="16"/>
      <c r="E72" s="14"/>
      <c r="F72" s="14"/>
      <c r="G72" s="14"/>
    </row>
    <row r="73" ht="15.75" customHeight="1">
      <c r="A73" s="14"/>
      <c r="B73" s="14"/>
      <c r="C73" s="14"/>
      <c r="D73" s="16"/>
      <c r="E73" s="14"/>
      <c r="F73" s="14"/>
      <c r="G73" s="14"/>
    </row>
    <row r="74" ht="15.75" customHeight="1">
      <c r="A74" s="14"/>
      <c r="B74" s="14"/>
      <c r="C74" s="14"/>
      <c r="D74" s="16"/>
      <c r="E74" s="14"/>
      <c r="F74" s="14"/>
      <c r="G74" s="14"/>
    </row>
    <row r="75" ht="15.75" customHeight="1">
      <c r="A75" s="14"/>
      <c r="B75" s="14"/>
      <c r="C75" s="14"/>
      <c r="D75" s="16"/>
      <c r="E75" s="14"/>
      <c r="F75" s="14"/>
      <c r="G75" s="14"/>
    </row>
    <row r="76" ht="15.75" customHeight="1">
      <c r="A76" s="14"/>
      <c r="B76" s="14"/>
      <c r="C76" s="14"/>
      <c r="D76" s="16"/>
      <c r="E76" s="14"/>
      <c r="F76" s="14"/>
      <c r="G76" s="14"/>
    </row>
    <row r="77" ht="15.75" customHeight="1">
      <c r="A77" s="14"/>
      <c r="B77" s="14"/>
      <c r="C77" s="14"/>
      <c r="D77" s="16"/>
      <c r="E77" s="14"/>
      <c r="F77" s="14"/>
      <c r="G77" s="14"/>
    </row>
    <row r="78" ht="15.75" customHeight="1">
      <c r="A78" s="14"/>
      <c r="B78" s="14"/>
      <c r="C78" s="14"/>
      <c r="D78" s="16"/>
      <c r="E78" s="14"/>
      <c r="F78" s="14"/>
      <c r="G78" s="14"/>
    </row>
    <row r="79" ht="15.75" customHeight="1">
      <c r="A79" s="14"/>
      <c r="B79" s="14"/>
      <c r="C79" s="14"/>
      <c r="D79" s="16"/>
      <c r="E79" s="14"/>
      <c r="F79" s="14"/>
      <c r="G79" s="14"/>
    </row>
    <row r="80" ht="15.75" customHeight="1">
      <c r="A80" s="14"/>
      <c r="B80" s="14"/>
      <c r="C80" s="14"/>
      <c r="D80" s="16"/>
      <c r="E80" s="14"/>
      <c r="F80" s="14"/>
      <c r="G80" s="14"/>
    </row>
    <row r="81" ht="15.75" customHeight="1">
      <c r="A81" s="14"/>
      <c r="B81" s="14"/>
      <c r="C81" s="14"/>
      <c r="D81" s="16"/>
      <c r="E81" s="14"/>
      <c r="F81" s="14"/>
      <c r="G81" s="14"/>
    </row>
    <row r="82" ht="15.75" customHeight="1">
      <c r="A82" s="14"/>
      <c r="B82" s="14"/>
      <c r="C82" s="14"/>
      <c r="D82" s="16"/>
      <c r="E82" s="14"/>
      <c r="F82" s="14"/>
      <c r="G82" s="14"/>
    </row>
    <row r="83" ht="15.75" customHeight="1">
      <c r="A83" s="14"/>
      <c r="B83" s="14"/>
      <c r="C83" s="14"/>
      <c r="D83" s="16"/>
      <c r="E83" s="14"/>
      <c r="F83" s="14"/>
      <c r="G83" s="14"/>
    </row>
    <row r="84" ht="15.75" customHeight="1">
      <c r="A84" s="14"/>
      <c r="B84" s="14"/>
      <c r="C84" s="14"/>
      <c r="D84" s="16"/>
      <c r="E84" s="14"/>
      <c r="F84" s="14"/>
      <c r="G84" s="14"/>
    </row>
    <row r="85" ht="15.75" customHeight="1">
      <c r="A85" s="14"/>
      <c r="B85" s="14"/>
      <c r="C85" s="14"/>
      <c r="D85" s="16"/>
      <c r="E85" s="14"/>
      <c r="F85" s="14"/>
      <c r="G85" s="14"/>
    </row>
    <row r="86" ht="15.75" customHeight="1">
      <c r="A86" s="14"/>
      <c r="B86" s="14"/>
      <c r="C86" s="14"/>
      <c r="D86" s="16"/>
      <c r="E86" s="14"/>
      <c r="F86" s="14"/>
      <c r="G86" s="14"/>
    </row>
    <row r="87" ht="15.75" customHeight="1">
      <c r="A87" s="14"/>
      <c r="B87" s="14"/>
      <c r="C87" s="14"/>
      <c r="D87" s="16"/>
      <c r="E87" s="14"/>
      <c r="F87" s="14"/>
      <c r="G87" s="14"/>
    </row>
    <row r="88" ht="15.75" customHeight="1">
      <c r="A88" s="14"/>
      <c r="B88" s="14"/>
      <c r="C88" s="14"/>
      <c r="D88" s="16"/>
      <c r="E88" s="14"/>
      <c r="F88" s="14"/>
      <c r="G88" s="14"/>
    </row>
    <row r="89" ht="15.75" customHeight="1">
      <c r="A89" s="14"/>
      <c r="B89" s="14"/>
      <c r="C89" s="14"/>
      <c r="D89" s="16"/>
      <c r="E89" s="14"/>
      <c r="F89" s="14"/>
      <c r="G89" s="14"/>
    </row>
    <row r="90" ht="15.75" customHeight="1">
      <c r="A90" s="14"/>
      <c r="B90" s="14"/>
      <c r="C90" s="14"/>
      <c r="D90" s="16"/>
      <c r="E90" s="14"/>
      <c r="F90" s="14"/>
      <c r="G90" s="14"/>
    </row>
    <row r="91" ht="15.75" customHeight="1">
      <c r="A91" s="14"/>
      <c r="B91" s="14"/>
      <c r="C91" s="14"/>
      <c r="D91" s="16"/>
      <c r="E91" s="14"/>
      <c r="F91" s="14"/>
      <c r="G91" s="14"/>
    </row>
    <row r="92" ht="15.75" customHeight="1">
      <c r="A92" s="14"/>
      <c r="B92" s="14"/>
      <c r="C92" s="14"/>
      <c r="D92" s="16"/>
      <c r="E92" s="14"/>
      <c r="F92" s="14"/>
      <c r="G92" s="14"/>
    </row>
    <row r="93" ht="15.75" customHeight="1">
      <c r="A93" s="14"/>
      <c r="B93" s="14"/>
      <c r="C93" s="14"/>
      <c r="D93" s="16"/>
      <c r="E93" s="14"/>
      <c r="F93" s="14"/>
      <c r="G93" s="14"/>
    </row>
    <row r="94" ht="15.75" customHeight="1">
      <c r="A94" s="14"/>
      <c r="B94" s="14"/>
      <c r="C94" s="14"/>
      <c r="D94" s="16"/>
      <c r="E94" s="14"/>
      <c r="F94" s="14"/>
      <c r="G94" s="14"/>
    </row>
    <row r="95" ht="15.75" customHeight="1">
      <c r="A95" s="14"/>
      <c r="B95" s="14"/>
      <c r="C95" s="14"/>
      <c r="D95" s="16"/>
      <c r="E95" s="14"/>
      <c r="F95" s="14"/>
      <c r="G95" s="14"/>
    </row>
    <row r="96" ht="15.75" customHeight="1">
      <c r="A96" s="14"/>
      <c r="B96" s="14"/>
      <c r="C96" s="14"/>
      <c r="D96" s="16"/>
      <c r="E96" s="14"/>
      <c r="F96" s="14"/>
      <c r="G96" s="14"/>
    </row>
    <row r="97" ht="15.75" customHeight="1">
      <c r="A97" s="14"/>
      <c r="B97" s="14"/>
      <c r="C97" s="14"/>
      <c r="D97" s="16"/>
      <c r="E97" s="14"/>
      <c r="F97" s="14"/>
      <c r="G97" s="14"/>
    </row>
    <row r="98" ht="15.75" customHeight="1">
      <c r="A98" s="14"/>
      <c r="B98" s="14"/>
      <c r="C98" s="14"/>
      <c r="D98" s="16"/>
      <c r="E98" s="14"/>
      <c r="F98" s="14"/>
      <c r="G98" s="14"/>
    </row>
    <row r="99" ht="15.75" customHeight="1">
      <c r="A99" s="14"/>
      <c r="B99" s="14"/>
      <c r="C99" s="14"/>
      <c r="D99" s="16"/>
      <c r="E99" s="14"/>
      <c r="F99" s="14"/>
      <c r="G99" s="14"/>
    </row>
    <row r="100" ht="15.75" customHeight="1">
      <c r="A100" s="14"/>
      <c r="B100" s="14"/>
      <c r="C100" s="14"/>
      <c r="D100" s="16"/>
      <c r="E100" s="14"/>
      <c r="F100" s="14"/>
      <c r="G100" s="14"/>
    </row>
    <row r="101" ht="15.75" customHeight="1">
      <c r="A101" s="14"/>
      <c r="B101" s="14"/>
      <c r="C101" s="14"/>
      <c r="D101" s="16"/>
      <c r="E101" s="14"/>
      <c r="F101" s="14"/>
      <c r="G101" s="14"/>
    </row>
    <row r="102" ht="15.75" customHeight="1">
      <c r="A102" s="14"/>
      <c r="B102" s="14"/>
      <c r="C102" s="14"/>
      <c r="D102" s="16"/>
      <c r="E102" s="14"/>
      <c r="F102" s="14"/>
      <c r="G102" s="14"/>
    </row>
    <row r="103" ht="15.75" customHeight="1">
      <c r="A103" s="14"/>
      <c r="B103" s="14"/>
      <c r="C103" s="14"/>
      <c r="D103" s="16"/>
      <c r="E103" s="14"/>
      <c r="F103" s="14"/>
      <c r="G103" s="14"/>
    </row>
    <row r="104" ht="15.75" customHeight="1">
      <c r="A104" s="14"/>
      <c r="B104" s="14"/>
      <c r="C104" s="14"/>
      <c r="D104" s="16"/>
      <c r="E104" s="14"/>
      <c r="F104" s="14"/>
      <c r="G104" s="14"/>
    </row>
    <row r="105" ht="15.75" customHeight="1">
      <c r="A105" s="14"/>
      <c r="B105" s="14"/>
      <c r="C105" s="14"/>
      <c r="D105" s="16"/>
      <c r="E105" s="14"/>
      <c r="F105" s="14"/>
      <c r="G105" s="14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6:B105">
      <formula1>"Acta,Log,Captura,Foto,Video,Documento,Reporte"</formula1>
    </dataValidation>
    <dataValidation type="list" allowBlank="1" sqref="E6:E105">
      <formula1>"01_Protocolo,02_Registros,03_Bitacora,04_Soporte,05_Evidencias,06_Instrumentos"</formula1>
    </dataValidation>
    <dataValidation type="list" allowBlank="1" sqref="G6:G105">
      <formula1>"Sí,No,No aplica"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48.0"/>
    <col customWidth="1" min="3" max="3" width="14.0"/>
    <col customWidth="1" min="4" max="4" width="12.0"/>
    <col customWidth="1" min="5" max="5" width="14.0"/>
    <col customWidth="1" min="6" max="26" width="8.71"/>
  </cols>
  <sheetData>
    <row r="1">
      <c r="A1" s="1" t="s">
        <v>0</v>
      </c>
      <c r="B1" s="2"/>
      <c r="C1" s="2"/>
      <c r="D1" s="2"/>
      <c r="E1" s="2"/>
    </row>
    <row r="2" ht="25.5" customHeight="1">
      <c r="A2" s="3" t="s">
        <v>327</v>
      </c>
      <c r="B2" s="2"/>
      <c r="C2" s="2"/>
      <c r="D2" s="2"/>
      <c r="E2" s="2"/>
    </row>
    <row r="3">
      <c r="A3" s="4" t="s">
        <v>328</v>
      </c>
      <c r="B3" s="2"/>
      <c r="C3" s="2"/>
      <c r="D3" s="2"/>
      <c r="E3" s="2"/>
    </row>
    <row r="4">
      <c r="A4" s="2"/>
      <c r="B4" s="2"/>
      <c r="C4" s="2"/>
      <c r="D4" s="2"/>
      <c r="E4" s="2"/>
    </row>
    <row r="5" ht="31.5" customHeight="1">
      <c r="A5" s="6" t="s">
        <v>329</v>
      </c>
      <c r="B5" s="6" t="s">
        <v>330</v>
      </c>
      <c r="C5" s="6" t="s">
        <v>331</v>
      </c>
      <c r="D5" s="6" t="s">
        <v>332</v>
      </c>
      <c r="E5" s="6" t="s">
        <v>333</v>
      </c>
    </row>
    <row r="6" ht="30.0" customHeight="1">
      <c r="A6" s="12" t="s">
        <v>336</v>
      </c>
      <c r="B6" s="12" t="s">
        <v>339</v>
      </c>
      <c r="C6" s="47">
        <f>IFERROR(SUM('05_Registro_Uso'!$K$6:$K$65)/'01_Ficha_Dosis'!$C$29,0)</f>
        <v>0</v>
      </c>
      <c r="D6" s="21">
        <f>'01_Ficha_Dosis'!$C$32</f>
        <v>0.9</v>
      </c>
      <c r="E6" s="48" t="str">
        <f t="shared" ref="E6:E7" si="1">IF(C6&gt;=D6,"VERDE",IF(C6&gt;=D6-0.1,"ÁMBAR","ROJO"))</f>
        <v>ROJO</v>
      </c>
    </row>
    <row r="7" ht="30.0" customHeight="1">
      <c r="A7" s="12" t="s">
        <v>351</v>
      </c>
      <c r="B7" s="12" t="s">
        <v>352</v>
      </c>
      <c r="C7" s="47">
        <f>IFERROR(COUNTIF('05_Registro_Uso'!$N$6:$N$65,"&gt;="&amp;'01_Ficha_Dosis'!$C$31)/'01_Ficha_Dosis'!$C$26,0)</f>
        <v>0</v>
      </c>
      <c r="D7" s="21">
        <f>'01_Ficha_Dosis'!$C$33</f>
        <v>0.85</v>
      </c>
      <c r="E7" s="48" t="str">
        <f t="shared" si="1"/>
        <v>ROJO</v>
      </c>
    </row>
    <row r="8" ht="30.0" customHeight="1">
      <c r="A8" s="12" t="s">
        <v>353</v>
      </c>
      <c r="B8" s="12" t="s">
        <v>354</v>
      </c>
      <c r="C8" s="49">
        <f>IFERROR(SUM('05_Registro_Uso'!$L$6:$L$65)/SUM('05_Registro_Uso'!$K$6:$K$65),0)</f>
        <v>0</v>
      </c>
      <c r="D8" s="50" t="str">
        <f>'01_Ficha_Dosis'!$C$23</f>
        <v/>
      </c>
      <c r="E8" s="48" t="str">
        <f>IF(C8&gt;=D8,"VERDE",IF(C8&gt;=D8*0.9,"ÁMBAR","ROJO"))</f>
        <v>VERDE</v>
      </c>
    </row>
    <row r="9" ht="30.0" customHeight="1">
      <c r="A9" s="12" t="s">
        <v>348</v>
      </c>
      <c r="B9" s="12" t="s">
        <v>355</v>
      </c>
      <c r="C9" s="47">
        <f>IFERROR((SUM('08_Disponibilidad'!$C$6:$C$65)-SUM('08_Disponibilidad'!$D$6:$D$65))/SUM('08_Disponibilidad'!$C$6:$C$65),0)</f>
        <v>0.9955555556</v>
      </c>
      <c r="D9" s="21">
        <f>'01_Ficha_Dosis'!$C$34</f>
        <v>0.95</v>
      </c>
      <c r="E9" s="48" t="str">
        <f t="shared" ref="E9:E11" si="2">IF(C9&gt;=D9,"VERDE",IF(C9&gt;=D9-0.1,"ÁMBAR","ROJO"))</f>
        <v>VERDE</v>
      </c>
    </row>
    <row r="10" ht="30.0" customHeight="1">
      <c r="A10" s="12" t="s">
        <v>356</v>
      </c>
      <c r="B10" s="12" t="s">
        <v>357</v>
      </c>
      <c r="C10" s="47">
        <f>IFERROR(COUNTIF('07_Soporte'!$J$6:$J$65,"Sí")/COUNTA('07_Soporte'!$A$6:$A$65),0)</f>
        <v>0.75</v>
      </c>
      <c r="D10" s="21">
        <f>'01_Ficha_Dosis'!$C$35</f>
        <v>0.9</v>
      </c>
      <c r="E10" s="48" t="str">
        <f t="shared" si="2"/>
        <v>ROJO</v>
      </c>
    </row>
    <row r="11" ht="30.0" customHeight="1">
      <c r="A11" s="12" t="s">
        <v>358</v>
      </c>
      <c r="B11" s="12" t="s">
        <v>359</v>
      </c>
      <c r="C11" s="47">
        <f>IFERROR((COUNTIF('03_Cronograma'!$F$6:$F$45,"Realizada")+COUNTIF('03_Cronograma'!$F$6:$F$45,"Reprogramada"))/COUNT('03_Cronograma'!$C$6:$C$45),0)</f>
        <v>0</v>
      </c>
      <c r="D11" s="21">
        <f>'01_Ficha_Dosis'!$C$36</f>
        <v>1</v>
      </c>
      <c r="E11" s="48" t="str">
        <f t="shared" si="2"/>
        <v>ROJO</v>
      </c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5" t="s">
        <v>360</v>
      </c>
      <c r="B14" s="2"/>
      <c r="C14" s="2"/>
      <c r="D14" s="2"/>
      <c r="E14" s="2"/>
    </row>
    <row r="15" ht="31.5" customHeight="1">
      <c r="A15" s="6" t="s">
        <v>22</v>
      </c>
      <c r="B15" s="6" t="s">
        <v>361</v>
      </c>
      <c r="C15" s="6" t="s">
        <v>362</v>
      </c>
      <c r="D15" s="6" t="s">
        <v>363</v>
      </c>
      <c r="E15" s="51"/>
    </row>
    <row r="16">
      <c r="A16" s="12" t="s">
        <v>146</v>
      </c>
      <c r="B16" s="12">
        <f>IF(1&gt;'01_Ficha_Dosis'!$C$16,0,'01_Ficha_Dosis'!$C$26*'01_Ficha_Dosis'!$C$19)</f>
        <v>0</v>
      </c>
      <c r="C16" s="12">
        <f>COUNTIFS('04_Log_Accesos'!$I$6:$I$705,1,'04_Log_Accesos'!$K$6:$K$705,1)</f>
        <v>0</v>
      </c>
      <c r="D16" s="21" t="str">
        <f t="shared" ref="D16:D24" si="3">IF(B16=0,"",C16/B16)</f>
        <v/>
      </c>
      <c r="E16" s="2"/>
    </row>
    <row r="17">
      <c r="A17" s="12" t="s">
        <v>147</v>
      </c>
      <c r="B17" s="12">
        <f>IF(2&gt;'01_Ficha_Dosis'!$C$16,0,'01_Ficha_Dosis'!$C$26*'01_Ficha_Dosis'!$C$19)</f>
        <v>0</v>
      </c>
      <c r="C17" s="12">
        <f>COUNTIFS('04_Log_Accesos'!$I$6:$I$705,2,'04_Log_Accesos'!$K$6:$K$705,1)</f>
        <v>0</v>
      </c>
      <c r="D17" s="21" t="str">
        <f t="shared" si="3"/>
        <v/>
      </c>
      <c r="E17" s="2"/>
    </row>
    <row r="18">
      <c r="A18" s="12" t="s">
        <v>148</v>
      </c>
      <c r="B18" s="12">
        <f>IF(3&gt;'01_Ficha_Dosis'!$C$16,0,'01_Ficha_Dosis'!$C$26*'01_Ficha_Dosis'!$C$19)</f>
        <v>0</v>
      </c>
      <c r="C18" s="12">
        <f>COUNTIFS('04_Log_Accesos'!$I$6:$I$705,3,'04_Log_Accesos'!$K$6:$K$705,1)</f>
        <v>0</v>
      </c>
      <c r="D18" s="21" t="str">
        <f t="shared" si="3"/>
        <v/>
      </c>
      <c r="E18" s="2"/>
    </row>
    <row r="19">
      <c r="A19" s="12" t="s">
        <v>149</v>
      </c>
      <c r="B19" s="12">
        <f>IF(4&gt;'01_Ficha_Dosis'!$C$16,0,'01_Ficha_Dosis'!$C$26*'01_Ficha_Dosis'!$C$19)</f>
        <v>0</v>
      </c>
      <c r="C19" s="12">
        <f>COUNTIFS('04_Log_Accesos'!$I$6:$I$705,4,'04_Log_Accesos'!$K$6:$K$705,1)</f>
        <v>0</v>
      </c>
      <c r="D19" s="21" t="str">
        <f t="shared" si="3"/>
        <v/>
      </c>
      <c r="E19" s="2"/>
    </row>
    <row r="20">
      <c r="A20" s="12" t="s">
        <v>150</v>
      </c>
      <c r="B20" s="12">
        <f>IF(5&gt;'01_Ficha_Dosis'!$C$16,0,'01_Ficha_Dosis'!$C$26*'01_Ficha_Dosis'!$C$19)</f>
        <v>0</v>
      </c>
      <c r="C20" s="12">
        <f>COUNTIFS('04_Log_Accesos'!$I$6:$I$705,5,'04_Log_Accesos'!$K$6:$K$705,1)</f>
        <v>0</v>
      </c>
      <c r="D20" s="21" t="str">
        <f t="shared" si="3"/>
        <v/>
      </c>
      <c r="E20" s="2"/>
    </row>
    <row r="21" ht="15.75" customHeight="1">
      <c r="A21" s="12" t="s">
        <v>151</v>
      </c>
      <c r="B21" s="12">
        <f>IF(6&gt;'01_Ficha_Dosis'!$C$16,0,'01_Ficha_Dosis'!$C$26*'01_Ficha_Dosis'!$C$19)</f>
        <v>0</v>
      </c>
      <c r="C21" s="12">
        <f>COUNTIFS('04_Log_Accesos'!$I$6:$I$705,6,'04_Log_Accesos'!$K$6:$K$705,1)</f>
        <v>0</v>
      </c>
      <c r="D21" s="21" t="str">
        <f t="shared" si="3"/>
        <v/>
      </c>
      <c r="E21" s="2"/>
    </row>
    <row r="22" ht="15.75" customHeight="1">
      <c r="A22" s="12" t="s">
        <v>152</v>
      </c>
      <c r="B22" s="12">
        <f>IF(7&gt;'01_Ficha_Dosis'!$C$16,0,'01_Ficha_Dosis'!$C$26*'01_Ficha_Dosis'!$C$19)</f>
        <v>0</v>
      </c>
      <c r="C22" s="12">
        <f>COUNTIFS('04_Log_Accesos'!$I$6:$I$705,7,'04_Log_Accesos'!$K$6:$K$705,1)</f>
        <v>0</v>
      </c>
      <c r="D22" s="21" t="str">
        <f t="shared" si="3"/>
        <v/>
      </c>
      <c r="E22" s="2"/>
    </row>
    <row r="23" ht="15.75" customHeight="1">
      <c r="A23" s="12" t="s">
        <v>153</v>
      </c>
      <c r="B23" s="12">
        <f>IF(8&gt;'01_Ficha_Dosis'!$C$16,0,'01_Ficha_Dosis'!$C$26*'01_Ficha_Dosis'!$C$19)</f>
        <v>0</v>
      </c>
      <c r="C23" s="12">
        <f>COUNTIFS('04_Log_Accesos'!$I$6:$I$705,8,'04_Log_Accesos'!$K$6:$K$705,1)</f>
        <v>0</v>
      </c>
      <c r="D23" s="21" t="str">
        <f t="shared" si="3"/>
        <v/>
      </c>
      <c r="E23" s="2"/>
    </row>
    <row r="24" ht="15.75" customHeight="1">
      <c r="A24" s="20" t="s">
        <v>364</v>
      </c>
      <c r="B24" s="20">
        <f t="shared" ref="B24:C24" si="4">SUM(B16:B23)</f>
        <v>0</v>
      </c>
      <c r="C24" s="20">
        <f t="shared" si="4"/>
        <v>0</v>
      </c>
      <c r="D24" s="52" t="str">
        <f t="shared" si="3"/>
        <v/>
      </c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5" t="s">
        <v>365</v>
      </c>
      <c r="B27" s="2"/>
      <c r="C27" s="2"/>
      <c r="D27" s="2"/>
      <c r="E27" s="2"/>
    </row>
    <row r="28" ht="31.5" customHeight="1">
      <c r="A28" s="6" t="s">
        <v>366</v>
      </c>
      <c r="B28" s="6" t="s">
        <v>162</v>
      </c>
      <c r="C28" s="6" t="s">
        <v>367</v>
      </c>
      <c r="D28" s="51"/>
      <c r="E28" s="51"/>
    </row>
    <row r="29" ht="15.75" customHeight="1">
      <c r="A29" s="12" t="s">
        <v>368</v>
      </c>
      <c r="B29" s="12">
        <f>COUNTIF('05_Registro_Uso'!$N$6:$N$65,"&gt;=0.9")</f>
        <v>0</v>
      </c>
      <c r="C29" s="21">
        <f t="shared" ref="C29:C31" si="5">IFERROR(B29/SUM($B$29:$B$31),0)</f>
        <v>0</v>
      </c>
      <c r="D29" s="2"/>
      <c r="E29" s="2"/>
    </row>
    <row r="30" ht="15.75" customHeight="1">
      <c r="A30" s="12" t="s">
        <v>369</v>
      </c>
      <c r="B30" s="12">
        <f>COUNTIFS('05_Registro_Uso'!$N$6:$N$65,"&gt;=0.8",'05_Registro_Uso'!$N$6:$N$65,"&lt;0.9")</f>
        <v>0</v>
      </c>
      <c r="C30" s="21">
        <f t="shared" si="5"/>
        <v>0</v>
      </c>
      <c r="D30" s="2"/>
      <c r="E30" s="2"/>
    </row>
    <row r="31" ht="15.75" customHeight="1">
      <c r="A31" s="12" t="s">
        <v>370</v>
      </c>
      <c r="B31" s="12">
        <f>COUNTIFS('05_Registro_Uso'!$N$6:$N$65,"&lt;0.8",'05_Registro_Uso'!$N$6:$N$65,"&gt;=0")</f>
        <v>0</v>
      </c>
      <c r="C31" s="21">
        <f t="shared" si="5"/>
        <v>0</v>
      </c>
      <c r="D31" s="2"/>
      <c r="E31" s="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6:E11">
    <cfRule type="expression" dxfId="1" priority="1">
      <formula>E6="VERDE"</formula>
    </cfRule>
  </conditionalFormatting>
  <conditionalFormatting sqref="E6:E11">
    <cfRule type="expression" dxfId="2" priority="2">
      <formula>E6="ÁMBAR"</formula>
    </cfRule>
  </conditionalFormatting>
  <conditionalFormatting sqref="E6:E11">
    <cfRule type="expression" dxfId="3" priority="3">
      <formula>E6="ROJO"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3" width="60.0"/>
    <col customWidth="1" min="4" max="26" width="8.71"/>
  </cols>
  <sheetData>
    <row r="1">
      <c r="A1" s="1" t="s">
        <v>0</v>
      </c>
      <c r="B1" s="2"/>
      <c r="C1" s="2"/>
    </row>
    <row r="2" ht="25.5" customHeight="1">
      <c r="A2" s="3" t="s">
        <v>319</v>
      </c>
      <c r="B2" s="2"/>
      <c r="C2" s="2"/>
    </row>
    <row r="3">
      <c r="A3" s="4" t="s">
        <v>320</v>
      </c>
      <c r="B3" s="2"/>
      <c r="C3" s="2"/>
    </row>
    <row r="4">
      <c r="A4" s="2"/>
      <c r="B4" s="2"/>
      <c r="C4" s="2"/>
    </row>
    <row r="5">
      <c r="A5" s="2"/>
      <c r="B5" s="43" t="s">
        <v>321</v>
      </c>
      <c r="C5" s="44"/>
    </row>
    <row r="6" ht="24.0" customHeight="1">
      <c r="A6" s="2"/>
      <c r="B6" s="45" t="s">
        <v>33</v>
      </c>
      <c r="C6" s="14" t="str">
        <f>'01_Ficha_Dosis'!C7</f>
        <v>Influencia de una aplicación web móvil con asistente conversacional inteligente en la experiencia de usuario de lectores de Tu Diario Huánuco, 2026</v>
      </c>
    </row>
    <row r="7" ht="24.0" customHeight="1">
      <c r="A7" s="2"/>
      <c r="B7" s="45" t="s">
        <v>322</v>
      </c>
      <c r="C7" s="14"/>
    </row>
    <row r="8" ht="24.0" customHeight="1">
      <c r="A8" s="2"/>
      <c r="B8" s="45" t="s">
        <v>323</v>
      </c>
      <c r="C8" s="16">
        <f>'01_Ficha_Dosis'!C14</f>
        <v>46313</v>
      </c>
    </row>
    <row r="9" ht="24.0" customHeight="1">
      <c r="A9" s="2"/>
      <c r="B9" s="45" t="s">
        <v>324</v>
      </c>
      <c r="C9" s="14" t="str">
        <f>'01_Ficha_Dosis'!C11</f>
        <v>Aplicación web móvil con asistente conversacional inteligente</v>
      </c>
    </row>
    <row r="10" ht="24.0" customHeight="1">
      <c r="A10" s="2"/>
      <c r="B10" s="45" t="s">
        <v>325</v>
      </c>
      <c r="C10" s="14">
        <f>'01_Ficha_Dosis'!C26</f>
        <v>0</v>
      </c>
    </row>
    <row r="11" ht="24.0" customHeight="1">
      <c r="A11" s="2"/>
      <c r="B11" s="45" t="s">
        <v>326</v>
      </c>
      <c r="C11" s="14" t="str">
        <f>'01_Ficha_Dosis'!C16&amp;" semanas · "&amp;'01_Ficha_Dosis'!C19&amp;" sesiones/semana · "&amp;'01_Ficha_Dosis'!C22&amp;" min/sesión"</f>
        <v>6 semanas ·  sesiones/semana ·  min/sesión</v>
      </c>
    </row>
    <row r="12" ht="24.0" customHeight="1">
      <c r="A12" s="2"/>
      <c r="B12" s="45" t="s">
        <v>334</v>
      </c>
      <c r="C12" s="14" t="s">
        <v>335</v>
      </c>
    </row>
    <row r="13" ht="24.0" customHeight="1">
      <c r="A13" s="2"/>
      <c r="B13" s="45" t="s">
        <v>337</v>
      </c>
      <c r="C13" s="14" t="s">
        <v>338</v>
      </c>
    </row>
    <row r="14" ht="24.0" customHeight="1">
      <c r="A14" s="2"/>
      <c r="B14" s="45" t="s">
        <v>340</v>
      </c>
      <c r="C14" s="14"/>
    </row>
    <row r="15">
      <c r="A15" s="2"/>
      <c r="B15" s="2"/>
      <c r="C15" s="2"/>
    </row>
    <row r="16" ht="39.75" customHeight="1">
      <c r="A16" s="2"/>
      <c r="B16" s="46" t="s">
        <v>341</v>
      </c>
      <c r="C16" s="46" t="s">
        <v>342</v>
      </c>
    </row>
    <row r="17">
      <c r="A17" s="2"/>
      <c r="B17" s="2"/>
      <c r="C17" s="2"/>
    </row>
    <row r="18">
      <c r="A18" s="2"/>
      <c r="B18" s="43" t="s">
        <v>343</v>
      </c>
      <c r="C18" s="44"/>
    </row>
    <row r="19" ht="24.0" customHeight="1">
      <c r="A19" s="2"/>
      <c r="B19" s="45" t="s">
        <v>344</v>
      </c>
      <c r="C19" s="16">
        <f>'01_Ficha_Dosis'!C15</f>
        <v>46353</v>
      </c>
    </row>
    <row r="20" ht="24.0" customHeight="1">
      <c r="A20" s="2"/>
      <c r="B20" s="45" t="s">
        <v>345</v>
      </c>
      <c r="C20" s="14"/>
    </row>
    <row r="21" ht="24.0" customHeight="1">
      <c r="A21" s="2"/>
      <c r="B21" s="45" t="s">
        <v>346</v>
      </c>
      <c r="C21" s="14"/>
    </row>
    <row r="22" ht="24.0" customHeight="1">
      <c r="A22" s="2"/>
      <c r="B22" s="45" t="s">
        <v>347</v>
      </c>
      <c r="C22" s="14" t="str">
        <f>'01_Ficha_Dosis'!C29&amp;" / "&amp;SUM('05_Registro_Uso'!K6:K65)</f>
        <v>0 / 0</v>
      </c>
    </row>
    <row r="23" ht="24.0" customHeight="1">
      <c r="A23" s="2"/>
      <c r="B23" s="45" t="s">
        <v>336</v>
      </c>
      <c r="C23" s="14" t="str">
        <f>TEXT('12_Tablero'!C6,"0.0%")</f>
        <v>0.0%</v>
      </c>
    </row>
    <row r="24" ht="24.0" customHeight="1">
      <c r="A24" s="2"/>
      <c r="B24" s="45" t="s">
        <v>348</v>
      </c>
      <c r="C24" s="14" t="str">
        <f>TEXT('12_Tablero'!C9,"0.0%")</f>
        <v>99.6%</v>
      </c>
    </row>
    <row r="25" ht="24.0" customHeight="1">
      <c r="A25" s="2"/>
      <c r="B25" s="45" t="s">
        <v>349</v>
      </c>
      <c r="C25" s="14">
        <f>COUNTA('07_Soporte'!A6:A65)</f>
        <v>4</v>
      </c>
    </row>
    <row r="26" ht="24.0" customHeight="1">
      <c r="A26" s="2"/>
      <c r="B26" s="45" t="s">
        <v>350</v>
      </c>
      <c r="C26" s="14"/>
    </row>
    <row r="27" ht="24.0" customHeight="1">
      <c r="A27" s="2"/>
      <c r="B27" s="45" t="s">
        <v>340</v>
      </c>
      <c r="C27" s="14"/>
    </row>
    <row r="28" ht="15.75" customHeight="1">
      <c r="A28" s="2"/>
      <c r="B28" s="2"/>
      <c r="C28" s="2"/>
    </row>
    <row r="29" ht="39.75" customHeight="1">
      <c r="A29" s="2"/>
      <c r="B29" s="46" t="s">
        <v>341</v>
      </c>
      <c r="C29" s="46" t="s">
        <v>342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