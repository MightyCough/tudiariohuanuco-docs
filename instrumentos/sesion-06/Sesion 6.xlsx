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ciones" sheetId="1" state="visible" r:id="rId1"/>
    <sheet xmlns:r="http://schemas.openxmlformats.org/officeDocument/2006/relationships" name="1_Ficha_Monitoreo" sheetId="2" state="visible" r:id="rId2"/>
    <sheet xmlns:r="http://schemas.openxmlformats.org/officeDocument/2006/relationships" name="2_Registro_Incidencias" sheetId="3" state="visible" r:id="rId3"/>
    <sheet xmlns:r="http://schemas.openxmlformats.org/officeDocument/2006/relationships" name="3_Cotejo_Fidelidad" sheetId="4" state="visible" r:id="rId4"/>
    <sheet xmlns:r="http://schemas.openxmlformats.org/officeDocument/2006/relationships" name="4_Matriz_Variables" sheetId="5" state="visible" r:id="rId5"/>
    <sheet xmlns:r="http://schemas.openxmlformats.org/officeDocument/2006/relationships" name="5_Desviaciones" sheetId="6" state="visible" r:id="rId6"/>
    <sheet xmlns:r="http://schemas.openxmlformats.org/officeDocument/2006/relationships" name="6_Control_Cambios" sheetId="7" state="visible" r:id="rId7"/>
    <sheet xmlns:r="http://schemas.openxmlformats.org/officeDocument/2006/relationships" name="7_Rubrica" sheetId="8" state="visible" r:id="rId8"/>
    <sheet xmlns:r="http://schemas.openxmlformats.org/officeDocument/2006/relationships" name="8_Resumen" sheetId="9" state="visible" r:id="rId9"/>
    <sheet xmlns:r="http://schemas.openxmlformats.org/officeDocument/2006/relationships" name="Lista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/m/yyyy"/>
    <numFmt numFmtId="166" formatCode="0.0%"/>
    <numFmt numFmtId="167" formatCode="0.0"/>
  </numFmts>
  <fonts count="14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i val="1"/>
      <color rgb="FF002060"/>
      <sz val="10"/>
    </font>
    <font>
      <name val="Arial"/>
      <b val="1"/>
      <color rgb="FF002060"/>
      <sz val="12"/>
    </font>
    <font>
      <name val="Arial"/>
      <b val="1"/>
      <color rgb="FF000000"/>
      <sz val="11"/>
    </font>
    <font>
      <name val="Arial"/>
      <i val="1"/>
      <color rgb="FF002060"/>
      <sz val="11"/>
    </font>
    <font>
      <name val="Arial"/>
      <color rgb="FF0000FF"/>
      <sz val="11"/>
    </font>
    <font>
      <name val="Arial"/>
      <b val="1"/>
      <color rgb="FFFFFFFF"/>
      <sz val="11"/>
    </font>
    <font>
      <name val="Arial"/>
      <b val="1"/>
      <color rgb="FF002060"/>
      <sz val="11"/>
    </font>
    <font>
      <name val="Arial"/>
      <color rgb="FF000000"/>
      <sz val="11"/>
    </font>
    <font>
      <name val="Arial"/>
      <color theme="1"/>
      <sz val="11"/>
    </font>
    <font>
      <name val="Arial"/>
      <b val="1"/>
      <color rgb="FF0000FF"/>
      <sz val="11"/>
    </font>
    <font>
      <name val="Arial"/>
      <b val="1"/>
      <color theme="1"/>
      <sz val="11"/>
    </font>
  </fonts>
  <fills count="12">
    <fill>
      <patternFill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EAF4FB"/>
        <bgColor rgb="FFEAF4FB"/>
      </patternFill>
    </fill>
    <fill>
      <patternFill patternType="solid">
        <fgColor rgb="FFFFF9D6"/>
        <bgColor rgb="FFFFF9D6"/>
      </patternFill>
    </fill>
    <fill>
      <patternFill patternType="solid">
        <fgColor rgb="FF1E8449"/>
        <bgColor rgb="FF1E8449"/>
      </patternFill>
    </fill>
    <fill>
      <patternFill patternType="solid">
        <fgColor rgb="FFB9770E"/>
        <bgColor rgb="FFB9770E"/>
      </patternFill>
    </fill>
    <fill>
      <patternFill patternType="solid">
        <fgColor rgb="FFC00000"/>
        <bgColor rgb="FFC00000"/>
      </patternFill>
    </fill>
    <fill>
      <patternFill patternType="solid">
        <fgColor rgb="FFFF9999"/>
        <bgColor rgb="FFFF9999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C6EFCE"/>
        <bgColor rgb="FFC6EFCE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A6B4C3"/>
      </left>
      <right style="thin">
        <color rgb="FFA6B4C3"/>
      </right>
      <top style="thin">
        <color rgb="FFA6B4C3"/>
      </top>
      <bottom style="thin">
        <color rgb="FFA6B4C3"/>
      </bottom>
    </border>
    <border>
      <left style="thin">
        <color rgb="FFA6B4C3"/>
      </left>
      <top style="thin">
        <color rgb="FFA6B4C3"/>
      </top>
      <bottom style="thin">
        <color rgb="FFA6B4C3"/>
      </bottom>
    </border>
    <border>
      <top style="thin">
        <color rgb="FFA6B4C3"/>
      </top>
      <bottom style="thin">
        <color rgb="FFA6B4C3"/>
      </bottom>
    </border>
    <border>
      <right style="thin">
        <color rgb="FFA6B4C3"/>
      </right>
      <top style="thin">
        <color rgb="FFA6B4C3"/>
      </top>
      <bottom style="thin">
        <color rgb="FFA6B4C3"/>
      </bottom>
    </border>
    <border>
      <right/>
      <top style="thin">
        <color rgb="FFA6B4C3"/>
      </top>
      <bottom style="thin">
        <color rgb="FFA6B4C3"/>
      </bottom>
    </border>
    <border>
      <left/>
      <right/>
      <top/>
      <bottom/>
    </border>
    <border>
      <top style="thin">
        <color rgb="FFA6B4C3"/>
      </top>
    </border>
    <border>
      <right style="thin">
        <color rgb="FFA6B4C3"/>
      </right>
      <top style="thin">
        <color rgb="FFA6B4C3"/>
      </top>
    </border>
    <border>
      <left style="thin">
        <color rgb="FFA6B4C3"/>
      </left>
      <right/>
      <top style="thin">
        <color rgb="FFA6B4C3"/>
      </top>
      <bottom style="thin">
        <color rgb="FFA6B4C3"/>
      </bottom>
    </border>
  </borders>
  <cellStyleXfs count="1">
    <xf numFmtId="0" fontId="0" fillId="0" borderId="0"/>
  </cellStyleXfs>
  <cellXfs count="6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bottom"/>
    </xf>
    <xf numFmtId="0" fontId="5" fillId="3" borderId="4" applyAlignment="1" pivotButton="0" quotePrefix="0" xfId="0">
      <alignment horizontal="left" vertical="center" wrapText="1"/>
    </xf>
    <xf numFmtId="0" fontId="6" fillId="0" borderId="0" applyAlignment="1" pivotButton="0" quotePrefix="0" xfId="0">
      <alignment vertical="bottom"/>
    </xf>
    <xf numFmtId="0" fontId="7" fillId="4" borderId="5" applyAlignment="1" pivotButton="0" quotePrefix="0" xfId="0">
      <alignment horizontal="left" vertical="center" wrapText="1"/>
    </xf>
    <xf numFmtId="0" fontId="2" fillId="0" borderId="6" pivotButton="0" quotePrefix="0" xfId="0"/>
    <xf numFmtId="0" fontId="8" fillId="2" borderId="4" applyAlignment="1" pivotButton="0" quotePrefix="0" xfId="0">
      <alignment horizontal="center" vertical="center" wrapText="1"/>
    </xf>
    <xf numFmtId="0" fontId="2" fillId="0" borderId="7" pivotButton="0" quotePrefix="0" xfId="0"/>
    <xf numFmtId="0" fontId="9" fillId="0" borderId="4" applyAlignment="1" pivotButton="0" quotePrefix="0" xfId="0">
      <alignment horizontal="center" vertical="center" wrapText="1"/>
    </xf>
    <xf numFmtId="164" fontId="7" fillId="4" borderId="4" applyAlignment="1" pivotButton="0" quotePrefix="0" xfId="0">
      <alignment horizontal="center" vertical="center" wrapText="1"/>
    </xf>
    <xf numFmtId="0" fontId="7" fillId="4" borderId="4" applyAlignment="1" pivotButton="0" quotePrefix="0" xfId="0">
      <alignment horizontal="center" vertical="center" wrapText="1"/>
    </xf>
    <xf numFmtId="0" fontId="7" fillId="4" borderId="5" applyAlignment="1" pivotButton="0" quotePrefix="0" xfId="0">
      <alignment horizontal="left" vertical="center" wrapText="1"/>
    </xf>
    <xf numFmtId="165" fontId="7" fillId="4" borderId="5" applyAlignment="1" pivotButton="0" quotePrefix="0" xfId="0">
      <alignment horizontal="left" vertical="center" wrapText="1"/>
    </xf>
    <xf numFmtId="0" fontId="7" fillId="4" borderId="6" applyAlignment="1" pivotButton="0" quotePrefix="0" xfId="0">
      <alignment horizontal="left" vertical="center" wrapText="1"/>
    </xf>
    <xf numFmtId="0" fontId="7" fillId="4" borderId="7" applyAlignment="1" pivotButton="0" quotePrefix="0" xfId="0">
      <alignment horizontal="left" vertical="center" wrapText="1"/>
    </xf>
    <xf numFmtId="0" fontId="7" fillId="4" borderId="4" applyAlignment="1" pivotButton="0" quotePrefix="0" xfId="0">
      <alignment horizontal="left" vertical="center" wrapText="1"/>
    </xf>
    <xf numFmtId="0" fontId="8" fillId="2" borderId="5" applyAlignment="1" pivotButton="0" quotePrefix="0" xfId="0">
      <alignment horizontal="center" vertical="center" wrapText="1"/>
    </xf>
    <xf numFmtId="0" fontId="2" fillId="0" borderId="8" pivotButton="0" quotePrefix="0" xfId="0"/>
    <xf numFmtId="0" fontId="9" fillId="0" borderId="4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vertical="center" wrapText="1"/>
    </xf>
    <xf numFmtId="0" fontId="10" fillId="0" borderId="4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7" fillId="4" borderId="4" applyAlignment="1" pivotButton="0" quotePrefix="0" xfId="0">
      <alignment horizontal="left" vertical="center" wrapText="1"/>
    </xf>
    <xf numFmtId="0" fontId="7" fillId="4" borderId="4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left" vertical="center" wrapText="1"/>
    </xf>
    <xf numFmtId="9" fontId="10" fillId="0" borderId="4" applyAlignment="1" pivotButton="0" quotePrefix="0" xfId="0">
      <alignment horizontal="center" vertical="center" wrapText="1"/>
    </xf>
    <xf numFmtId="9" fontId="5" fillId="0" borderId="4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bottom"/>
    </xf>
    <xf numFmtId="0" fontId="8" fillId="2" borderId="4" applyAlignment="1" pivotButton="0" quotePrefix="0" xfId="0">
      <alignment horizontal="center" vertical="center" wrapText="1"/>
    </xf>
    <xf numFmtId="166" fontId="10" fillId="0" borderId="4" applyAlignment="1" pivotButton="0" quotePrefix="0" xfId="0">
      <alignment horizontal="center" vertical="center" wrapText="1"/>
    </xf>
    <xf numFmtId="9" fontId="7" fillId="4" borderId="4" applyAlignment="1" pivotButton="0" quotePrefix="0" xfId="0">
      <alignment horizontal="center" vertical="center" wrapText="1"/>
    </xf>
    <xf numFmtId="164" fontId="7" fillId="4" borderId="4" applyAlignment="1" pivotButton="0" quotePrefix="0" xfId="0">
      <alignment horizontal="center" vertical="center" wrapText="1"/>
    </xf>
    <xf numFmtId="164" fontId="10" fillId="0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167" fontId="5" fillId="3" borderId="4" applyAlignment="1" pivotButton="0" quotePrefix="0" xfId="0">
      <alignment horizontal="center" vertical="center" wrapText="1"/>
    </xf>
    <xf numFmtId="0" fontId="8" fillId="2" borderId="9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3" fillId="0" borderId="4" applyAlignment="1" pivotButton="0" quotePrefix="0" xfId="0">
      <alignment vertical="bottom"/>
    </xf>
    <xf numFmtId="0" fontId="11" fillId="0" borderId="4" applyAlignment="1" pivotButton="0" quotePrefix="0" xfId="0">
      <alignment vertical="bottom"/>
    </xf>
    <xf numFmtId="0" fontId="5" fillId="3" borderId="5" applyAlignment="1" pivotButton="0" quotePrefix="0" xfId="0">
      <alignment horizontal="left" vertical="center" wrapText="1"/>
    </xf>
    <xf numFmtId="1" fontId="5" fillId="3" borderId="4" applyAlignment="1" pivotButton="0" quotePrefix="0" xfId="0">
      <alignment horizontal="center" vertical="center" wrapText="1"/>
    </xf>
    <xf numFmtId="166" fontId="5" fillId="3" borderId="4" applyAlignment="1" pivotButton="0" quotePrefix="0" xfId="0">
      <alignment horizontal="center" vertical="center" wrapText="1"/>
    </xf>
    <xf numFmtId="9" fontId="5" fillId="3" borderId="4" applyAlignment="1" pivotButton="0" quotePrefix="0" xfId="0">
      <alignment horizontal="center" vertical="center" wrapText="1"/>
    </xf>
    <xf numFmtId="0" fontId="10" fillId="3" borderId="4" applyAlignment="1" pivotButton="0" quotePrefix="0" xfId="0">
      <alignment horizontal="left" vertical="center" wrapText="1"/>
    </xf>
    <xf numFmtId="0" fontId="5" fillId="8" borderId="4" applyAlignment="1" pivotButton="0" quotePrefix="0" xfId="0">
      <alignment horizontal="left" vertical="center" wrapText="1"/>
    </xf>
    <xf numFmtId="0" fontId="5" fillId="9" borderId="4" applyAlignment="1" pivotButton="0" quotePrefix="0" xfId="0">
      <alignment horizontal="left" vertical="center" wrapText="1"/>
    </xf>
    <xf numFmtId="0" fontId="5" fillId="10" borderId="4" applyAlignment="1" pivotButton="0" quotePrefix="0" xfId="0">
      <alignment horizontal="left" vertical="center" wrapText="1"/>
    </xf>
    <xf numFmtId="0" fontId="5" fillId="11" borderId="4" applyAlignment="1" pivotButton="0" quotePrefix="0" xfId="0">
      <alignment horizontal="left" vertical="center" wrapText="1"/>
    </xf>
    <xf numFmtId="166" fontId="5" fillId="0" borderId="4" applyAlignment="1" pivotButton="0" quotePrefix="0" xfId="0">
      <alignment horizontal="center" vertical="center" wrapText="1"/>
    </xf>
    <xf numFmtId="1" fontId="5" fillId="0" borderId="4" applyAlignment="1" pivotButton="0" quotePrefix="0" xfId="0">
      <alignment horizontal="center" vertical="center" wrapText="1"/>
    </xf>
    <xf numFmtId="167" fontId="5" fillId="0" borderId="4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9" applyAlignment="1" pivotButton="0" quotePrefix="0" xfId="0">
      <alignment horizontal="center" vertical="center"/>
    </xf>
    <xf numFmtId="0" fontId="3" fillId="3" borderId="9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8" fillId="2" borderId="12" applyAlignment="1" pivotButton="0" quotePrefix="0" xfId="0">
      <alignment horizontal="center" vertical="center" wrapText="1"/>
    </xf>
    <xf numFmtId="21" fontId="7" fillId="4" borderId="4" applyAlignment="1" pivotButton="0" quotePrefix="0" xfId="0">
      <alignment horizontal="center" vertical="center" wrapText="1"/>
    </xf>
  </cellXfs>
  <cellStyles count="1">
    <cellStyle name="Normal" xfId="0" builtinId="0"/>
  </cellStyles>
  <dxfs count="6"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FF9999"/>
          <bgColor rgb="FFFF9999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FFE699"/>
          <bgColor rgb="FFFFE6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Índice de Fidelidad semanal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'1_Ficha_Monitoreo'!$Q$5</f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'1_Ficha_Monitoreo'!$B$6:$B$13</f>
            </strRef>
          </cat>
          <val>
            <numRef>
              <f>'1_Ficha_Monitoreo'!$Q$6:$Q$13</f>
              <numCache/>
            </numRef>
          </val>
        </ser>
        <gapWidth val="150"/>
        <axId val="799561599"/>
        <axId val="106209115"/>
      </barChart>
      <catAx>
        <axId val="79956159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06209115"/>
        <lblOffset val="100"/>
      </catAx>
      <valAx>
        <axId val="106209115"/>
        <scaling>
          <orientation val="minMax"/>
        </scaling>
        <delete val="0"/>
        <axPos val="l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crossAx val="799561599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Transacciones programadas vs. reales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'1_Ficha_Monitoreo'!$K$5</f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'1_Ficha_Monitoreo'!$B$6:$B$13</f>
            </strRef>
          </cat>
          <val>
            <numRef>
              <f>'1_Ficha_Monitoreo'!$K$6:$K$13</f>
              <numCache/>
            </numRef>
          </val>
        </ser>
        <ser>
          <idx val="1"/>
          <order val="1"/>
          <tx>
            <strRef>
              <f>'1_Ficha_Monitoreo'!$L$5</f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'1_Ficha_Monitoreo'!$B$6:$B$13</f>
            </strRef>
          </cat>
          <val>
            <numRef>
              <f>'1_Ficha_Monitoreo'!$L$6:$L$13</f>
              <numCache/>
            </numRef>
          </val>
        </ser>
        <gapWidth val="150"/>
        <axId val="1591148640"/>
        <axId val="515501285"/>
      </barChart>
      <catAx>
        <axId val="159114864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515501285"/>
        <lblOffset val="100"/>
      </catAx>
      <valAx>
        <axId val="515501285"/>
        <scaling>
          <orientation val="minMax"/>
        </scaling>
        <delete val="0"/>
        <axPos val="l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crossAx val="1591148640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IF por dimensión</a:t>
            </a:r>
          </a:p>
        </rich>
      </tx>
      <overlay val="0"/>
    </title>
    <plotArea>
      <layout/>
      <barChart>
        <barDir val="bar"/>
        <grouping val="clustered"/>
        <varyColors val="0"/>
        <ser>
          <idx val="0"/>
          <order val="0"/>
          <tx>
            <v>IF por dimensión</v>
          </tx>
          <spPr>
            <a:solidFill xmlns:a="http://schemas.openxmlformats.org/drawingml/2006/main">
              <a:srgbClr val="4F81BD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'3_Cotejo_Fidelidad'!$E$17:$E$21</f>
            </strRef>
          </cat>
          <val>
            <numRef>
              <f>'3_Cotejo_Fidelidad'!$F$17:$F$21</f>
              <numCache/>
            </numRef>
          </val>
        </ser>
        <gapWidth val="150"/>
        <axId val="1730989448"/>
        <axId val="344389441"/>
      </barChart>
      <catAx>
        <axId val="1730989448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0%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44389441"/>
        <lblOffset val="100"/>
      </catAx>
      <valAx>
        <axId val="344389441"/>
        <scaling>
          <orientation val="minMax"/>
          <max val="1"/>
          <min val="0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730989448"/>
        <crosses val="max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Incidencias por severidad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N.° incidencias</v>
          </tx>
          <spPr>
            <a:solidFill xmlns:a="http://schemas.openxmlformats.org/drawingml/2006/main">
              <a:srgbClr val="4F81BD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'8_Resumen'!$D$5:$D$8</f>
            </strRef>
          </cat>
          <val>
            <numRef>
              <f>'8_Resumen'!$E$5:$E$8</f>
              <numCache/>
            </numRef>
          </val>
        </ser>
        <gapWidth val="150"/>
        <axId val="251639130"/>
        <axId val="951274060"/>
      </barChart>
      <catAx>
        <axId val="25163913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951274060"/>
        <lblOffset val="100"/>
      </catAx>
      <valAx>
        <axId val="95127406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5163913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Evolución del IF semanal</a:t>
            </a:r>
          </a:p>
        </rich>
      </tx>
      <overlay val="0"/>
    </title>
    <plotArea>
      <layout/>
      <lineChart>
        <grouping val="standard"/>
        <varyColors val="0"/>
        <axId val="1590784857"/>
        <axId val="284622096"/>
      </lineChart>
      <catAx>
        <axId val="159078485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84622096"/>
        <lblOffset val="100"/>
      </catAx>
      <valAx>
        <axId val="284622096"/>
        <scaling>
          <orientation val="minMax"/>
        </scaling>
        <delete val="0"/>
        <axPos val="l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crossAx val="1590784857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19</row>
      <rowOff>38100</rowOff>
    </from>
    <ext cx="5457825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9</col>
      <colOff>0</colOff>
      <row>19</row>
      <rowOff>38100</rowOff>
    </from>
    <ext cx="5476875" cy="30194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23</row>
      <rowOff>114300</rowOff>
    </from>
    <ext cx="4962525" cy="2638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13</row>
      <rowOff>0</rowOff>
    </from>
    <ext cx="4086225" cy="25241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0</col>
      <colOff>0</colOff>
      <row>24</row>
      <rowOff>0</rowOff>
    </from>
    <ext cx="4876800" cy="26384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2060"/>
    <outlinePr summaryBelow="1" summaryRight="1"/>
    <pageSetUpPr fitToPage="1"/>
  </sheetPr>
  <dimension ref="A1:F35"/>
  <sheetViews>
    <sheetView showGridLines="0" workbookViewId="0">
      <selection activeCell="A1" sqref="A1"/>
    </sheetView>
  </sheetViews>
  <sheetFormatPr baseColWidth="8" defaultColWidth="14.43" defaultRowHeight="15" customHeight="1"/>
  <cols>
    <col width="4" customWidth="1" style="62" min="1" max="1"/>
    <col width="30" customWidth="1" style="62" min="2" max="2"/>
    <col width="20" customWidth="1" style="62" min="3" max="5"/>
    <col width="30" customWidth="1" style="62" min="6" max="6"/>
    <col width="8.710000000000001" customWidth="1" style="62" min="7" max="26"/>
  </cols>
  <sheetData>
    <row r="1" ht="30" customHeight="1" s="62">
      <c r="A1" s="63" t="inlineStr">
        <is>
          <t>INSTRUMENTOS DE MONITOREO, FIDELIDAD Y CONTROL DE INCIDENCIAS</t>
        </is>
      </c>
    </row>
    <row r="2" ht="30" customHeight="1" s="62">
      <c r="A2" s="64" t="inlineStr">
        <is>
          <t>Universidad de Huánuco – Ingeniería de Sistemas e Informática – Seminario de Tesis III (2026-II) – MBA Jenny Reynoso Palpa</t>
        </is>
      </c>
    </row>
    <row r="4">
      <c r="B4" s="6" t="inlineStr">
        <is>
          <t>DATOS GENERALES DEL TESISTA</t>
        </is>
      </c>
    </row>
    <row r="5" ht="18" customHeight="1" s="62">
      <c r="B5" s="7" t="inlineStr">
        <is>
          <t>Apellidos y nombres</t>
        </is>
      </c>
      <c r="C5" s="30" t="inlineStr">
        <is>
          <t>Trujillo Avila, Marcel Alexander Javier; Godoy Condezo, Alejandro Jeanpier</t>
        </is>
      </c>
      <c r="D5" s="65" t="n"/>
      <c r="E5" s="66" t="n"/>
    </row>
    <row r="6" ht="18" customHeight="1" s="62">
      <c r="B6" s="7" t="inlineStr">
        <is>
          <t>Código de estudiante</t>
        </is>
      </c>
      <c r="C6" s="30" t="inlineStr">
        <is>
          <t>[PENDIENTE] Códigos de estudiante</t>
        </is>
      </c>
      <c r="D6" s="65" t="n"/>
      <c r="E6" s="66" t="n"/>
    </row>
    <row r="7" ht="30" customHeight="1" s="62">
      <c r="B7" s="7" t="inlineStr">
        <is>
          <t>Título de la tesis</t>
        </is>
      </c>
      <c r="C7" s="30" t="inlineStr">
        <is>
          <t>Influencia de una aplicación multiplataforma de búsqueda semántica conversacional en la experiencia de lectores de Tu Diario Huánuco, 2026</t>
        </is>
      </c>
      <c r="D7" s="65" t="n"/>
      <c r="E7" s="66" t="n"/>
    </row>
    <row r="8" ht="18" customHeight="1" s="62">
      <c r="B8" s="7" t="inlineStr">
        <is>
          <t>Variable independiente (VI)</t>
        </is>
      </c>
      <c r="C8" s="30" t="inlineStr">
        <is>
          <t>Aplicación multiplataforma de búsqueda semántica conversacional (PWA + RAG)</t>
        </is>
      </c>
      <c r="D8" s="65" t="n"/>
      <c r="E8" s="66" t="n"/>
    </row>
    <row r="9" ht="18" customHeight="1" s="62">
      <c r="B9" s="7" t="inlineStr">
        <is>
          <t>Variable dependiente (VD)</t>
        </is>
      </c>
      <c r="C9" s="30" t="inlineStr">
        <is>
          <t>Experiencia de lectores</t>
        </is>
      </c>
      <c r="D9" s="65" t="n"/>
      <c r="E9" s="66" t="n"/>
    </row>
    <row r="10" ht="18" customHeight="1" s="62">
      <c r="B10" s="7" t="inlineStr">
        <is>
          <t>Diseño</t>
        </is>
      </c>
      <c r="C10" s="30" t="inlineStr">
        <is>
          <t>Preexperimental: G O1 X O2</t>
        </is>
      </c>
      <c r="D10" s="65" t="n"/>
      <c r="E10" s="66" t="n"/>
    </row>
    <row r="11" ht="18" customHeight="1" s="62">
      <c r="B11" s="7" t="inlineStr">
        <is>
          <t>Tamaño de muestra (n)</t>
        </is>
      </c>
      <c r="C11" s="30" t="n">
        <v>108</v>
      </c>
      <c r="D11" s="65" t="n"/>
      <c r="E11" s="66" t="n"/>
    </row>
    <row r="12" ht="18" customHeight="1" s="62">
      <c r="B12" s="7" t="inlineStr">
        <is>
          <t>Inicio de la intervención</t>
        </is>
      </c>
      <c r="C12" s="17" t="n">
        <v>46322.375</v>
      </c>
      <c r="D12" s="18" t="n"/>
      <c r="E12" s="19" t="n"/>
    </row>
    <row r="13" ht="18" customHeight="1" s="62">
      <c r="B13" s="7" t="inlineStr">
        <is>
          <t>Fin de la intervención</t>
        </is>
      </c>
      <c r="C13" s="17" t="n">
        <v>46328.99930555555</v>
      </c>
      <c r="D13" s="18" t="n"/>
      <c r="E13" s="19" t="n"/>
    </row>
    <row r="14" ht="18" customHeight="1" s="62">
      <c r="B14" s="7" t="inlineStr">
        <is>
          <t>Asesor(a)</t>
        </is>
      </c>
      <c r="C14" s="30" t="inlineStr">
        <is>
          <t>[PENDIENTE] Asesor</t>
        </is>
      </c>
      <c r="D14" s="65" t="n"/>
      <c r="E14" s="66" t="n"/>
    </row>
    <row r="16">
      <c r="B16" s="6" t="inlineStr">
        <is>
          <t>CONTENIDO DEL LIBRO</t>
        </is>
      </c>
    </row>
    <row r="17" ht="15" customHeight="1" s="62">
      <c r="B17" s="36" t="inlineStr">
        <is>
          <t>Hoja</t>
        </is>
      </c>
      <c r="C17" s="67" t="inlineStr">
        <is>
          <t>Uso / instrumento del sílabo</t>
        </is>
      </c>
      <c r="D17" s="65" t="n"/>
      <c r="E17" s="65" t="n"/>
      <c r="F17" s="65" t="n"/>
    </row>
    <row r="18" ht="30" customHeight="1" s="62">
      <c r="B18" s="23" t="inlineStr">
        <is>
          <t>1_Ficha_Monitoreo</t>
        </is>
      </c>
      <c r="C18" s="26" t="inlineStr">
        <is>
          <t>Ficha de monitoreo semanal: programado vs. ejecutado e Índice de Fidelidad (IF) semanal.</t>
        </is>
      </c>
      <c r="D18" s="65" t="n"/>
      <c r="E18" s="65" t="n"/>
      <c r="F18" s="66" t="n"/>
    </row>
    <row r="19" ht="30" customHeight="1" s="62">
      <c r="B19" s="23" t="inlineStr">
        <is>
          <t>2_Registro_Incidencias</t>
        </is>
      </c>
      <c r="C19" s="26" t="inlineStr">
        <is>
          <t>Registro de incidencias: código, tipo, impacto, urgencia, severidad automática, acción y estado.</t>
        </is>
      </c>
      <c r="D19" s="65" t="n"/>
      <c r="E19" s="65" t="n"/>
      <c r="F19" s="66" t="n"/>
    </row>
    <row r="20" ht="30" customHeight="1" s="62">
      <c r="B20" s="23" t="inlineStr">
        <is>
          <t>3_Cotejo_Fidelidad</t>
        </is>
      </c>
      <c r="C20" s="26" t="inlineStr">
        <is>
          <t>Lista de cotejo de fidelidad por dimensión: IF global y nivel (alta, moderada, baja).</t>
        </is>
      </c>
      <c r="D20" s="65" t="n"/>
      <c r="E20" s="65" t="n"/>
      <c r="F20" s="66" t="n"/>
    </row>
    <row r="21" ht="30" customHeight="1" s="62">
      <c r="B21" s="23" t="inlineStr">
        <is>
          <t>4_Matriz_Variables</t>
        </is>
      </c>
      <c r="C21" s="26" t="inlineStr">
        <is>
          <t>Matriz de variables intervinientes: riesgo, estrategia de control y evidencia.</t>
        </is>
      </c>
      <c r="D21" s="65" t="n"/>
      <c r="E21" s="65" t="n"/>
      <c r="F21" s="66" t="n"/>
    </row>
    <row r="22" ht="30" customHeight="1" s="62">
      <c r="B22" s="23" t="inlineStr">
        <is>
          <t>5_Desviaciones</t>
        </is>
      </c>
      <c r="C22" s="26" t="inlineStr">
        <is>
          <t>Comparación planificado vs. real con clasificación automática de la desviación.</t>
        </is>
      </c>
      <c r="D22" s="65" t="n"/>
      <c r="E22" s="65" t="n"/>
      <c r="F22" s="66" t="n"/>
    </row>
    <row r="23" ht="30" customHeight="1" s="62">
      <c r="B23" s="23" t="inlineStr">
        <is>
          <t>6_Control_Cambios</t>
        </is>
      </c>
      <c r="C23" s="26" t="inlineStr">
        <is>
          <t>Registro de control de cambios aprobados por el asesor.</t>
        </is>
      </c>
      <c r="D23" s="65" t="n"/>
      <c r="E23" s="65" t="n"/>
      <c r="F23" s="66" t="n"/>
    </row>
    <row r="24" ht="30" customHeight="1" s="62">
      <c r="B24" s="23" t="inlineStr">
        <is>
          <t>7_Rubrica</t>
        </is>
      </c>
      <c r="C24" s="26" t="inlineStr">
        <is>
          <t>Rúbrica del informe de seguimiento (autoevaluación y evaluación docente).</t>
        </is>
      </c>
      <c r="D24" s="65" t="n"/>
      <c r="E24" s="65" t="n"/>
      <c r="F24" s="66" t="n"/>
    </row>
    <row r="25" ht="30" customHeight="1" s="62">
      <c r="B25" s="23" t="inlineStr">
        <is>
          <t>8_Resumen</t>
        </is>
      </c>
      <c r="C25" s="26" t="inlineStr">
        <is>
          <t>Tablero resumen con indicadores y gráficos para el informe de seguimiento.</t>
        </is>
      </c>
      <c r="D25" s="65" t="n"/>
      <c r="E25" s="65" t="n"/>
      <c r="F25" s="66" t="n"/>
    </row>
    <row r="26" ht="30" customHeight="1" s="62">
      <c r="B26" s="23" t="inlineStr">
        <is>
          <t>Listas</t>
        </is>
      </c>
      <c r="C26" s="26" t="inlineStr">
        <is>
          <t>Listas desplegables y matriz de prioridad (no modificar).</t>
        </is>
      </c>
      <c r="D26" s="65" t="n"/>
      <c r="E26" s="65" t="n"/>
      <c r="F26" s="66" t="n"/>
    </row>
    <row r="27" ht="15.75" customHeight="1" s="62"/>
    <row r="28" ht="15.75" customHeight="1" s="62">
      <c r="B28" s="6" t="inlineStr">
        <is>
          <t>LEYENDA Y REGLAS</t>
        </is>
      </c>
    </row>
    <row r="29" ht="15" customHeight="1" s="62">
      <c r="B29" s="30" t="inlineStr">
        <is>
          <t>Texto azul / fondo amarillo</t>
        </is>
      </c>
      <c r="C29" s="24" t="inlineStr">
        <is>
          <t>Celda de ingreso de datos (el tesista la llena).</t>
        </is>
      </c>
      <c r="D29" s="65" t="n"/>
      <c r="E29" s="65" t="n"/>
      <c r="F29" s="65" t="n"/>
    </row>
    <row r="30" ht="15" customHeight="1" s="62">
      <c r="B30" s="26" t="inlineStr">
        <is>
          <t>Texto negro / fondo blanco</t>
        </is>
      </c>
      <c r="C30" s="24" t="inlineStr">
        <is>
          <t>Fórmula automática: no la sobrescriba.</t>
        </is>
      </c>
      <c r="D30" s="65" t="n"/>
      <c r="E30" s="65" t="n"/>
      <c r="F30" s="65" t="n"/>
    </row>
    <row r="31" ht="30" customHeight="1" s="62">
      <c r="B31" s="27" t="inlineStr">
        <is>
          <t>• Los datos precargados son un CASO DE EJEMPLO: reemplácelos por los de su intervención.</t>
        </is>
      </c>
    </row>
    <row r="32" ht="30" customHeight="1" s="62">
      <c r="B32" s="27" t="inlineStr">
        <is>
          <t>• Registre las incidencias el mismo día en que ocurren, con código correlativo INC-001, INC-002, …</t>
        </is>
      </c>
    </row>
    <row r="33" ht="30" customHeight="1" s="62">
      <c r="B33" s="27" t="inlineStr">
        <is>
          <t>• Umbral de alta fidelidad: IF ≥ 80 % (Borrelli et al., 2005); 60–79 % moderada; &lt; 60 % baja.</t>
        </is>
      </c>
    </row>
    <row r="34" ht="30" customHeight="1" s="62">
      <c r="B34" s="27" t="inlineStr">
        <is>
          <t>• Cada código (FM, INC, CC) debe coincidir con la evidencia adjunta en el portafolio (trazabilidad).</t>
        </is>
      </c>
    </row>
    <row r="35" ht="30" customHeight="1" s="62">
      <c r="B35" s="27" t="inlineStr">
        <is>
          <t>• Adjunte este libro como anexo del informe de seguimiento y, luego, del informe final de tesis.</t>
        </is>
      </c>
    </row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27">
    <mergeCell ref="C17:F17"/>
    <mergeCell ref="C23:F23"/>
    <mergeCell ref="C9:E9"/>
    <mergeCell ref="B31:F31"/>
    <mergeCell ref="C19:F19"/>
    <mergeCell ref="A2:F2"/>
    <mergeCell ref="C18:F18"/>
    <mergeCell ref="C11:E11"/>
    <mergeCell ref="C8:E8"/>
    <mergeCell ref="C30:F30"/>
    <mergeCell ref="C7:E7"/>
    <mergeCell ref="C24:F24"/>
    <mergeCell ref="B34:F34"/>
    <mergeCell ref="C20:F20"/>
    <mergeCell ref="C26:F26"/>
    <mergeCell ref="C29:F29"/>
    <mergeCell ref="C25:F25"/>
    <mergeCell ref="C6:E6"/>
    <mergeCell ref="C22:F22"/>
    <mergeCell ref="C10:E10"/>
    <mergeCell ref="C14:E14"/>
    <mergeCell ref="C5:E5"/>
    <mergeCell ref="B33:F33"/>
    <mergeCell ref="A1:F1"/>
    <mergeCell ref="C21:F21"/>
    <mergeCell ref="B32:F32"/>
    <mergeCell ref="B35:F35"/>
  </mergeCells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18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9" customWidth="1" style="62" min="1" max="1"/>
    <col width="8" customWidth="1" style="62" min="2" max="2"/>
    <col width="12" customWidth="1" style="62" min="3" max="4"/>
    <col width="11" customWidth="1" style="62" min="5" max="6"/>
    <col width="12" customWidth="1" style="62" min="7" max="10"/>
    <col width="13" customWidth="1" style="62" min="11" max="12"/>
    <col width="12" customWidth="1" style="62" min="13" max="13"/>
    <col width="11" customWidth="1" style="62" min="14" max="15"/>
    <col width="13" customWidth="1" style="62" min="16" max="16"/>
    <col width="10" customWidth="1" style="62" min="17" max="17"/>
    <col width="11" customWidth="1" style="62" min="18" max="18"/>
    <col width="42" customWidth="1" style="62" min="19" max="19"/>
    <col width="8.710000000000001" customWidth="1" style="62" min="20" max="26"/>
  </cols>
  <sheetData>
    <row r="1" ht="30" customHeight="1" s="62">
      <c r="A1" s="63" t="inlineStr">
        <is>
          <t>INSTRUMENTO 1: FICHA DE MONITOREO SEMANAL</t>
        </is>
      </c>
    </row>
    <row r="2" ht="30" customHeight="1" s="62">
      <c r="A2" s="64" t="inlineStr">
        <is>
          <t>Seminario de Tesis III – Sesión 6: Monitoreo, fidelidad y control de incidencias | Celdas amarillas con texto azul = datos que ingresa el tesista; celdas blancas = fórmulas (no modificar)</t>
        </is>
      </c>
    </row>
    <row r="3">
      <c r="A3" s="35" t="inlineStr">
        <is>
          <t>Metas del protocolo (editables):</t>
        </is>
      </c>
      <c r="D3" s="7" t="inlineStr">
        <is>
          <t>Disponibilidad ≥</t>
        </is>
      </c>
      <c r="E3" s="38" t="n">
        <v>0.95</v>
      </c>
      <c r="F3" s="7" t="inlineStr">
        <is>
          <t>Participación ≥</t>
        </is>
      </c>
      <c r="G3" s="38" t="n">
        <v>0.8</v>
      </c>
      <c r="H3" s="7" t="inlineStr">
        <is>
          <t>Exposición ≥</t>
        </is>
      </c>
      <c r="I3" s="38" t="n">
        <v>0.8</v>
      </c>
      <c r="J3" s="7" t="inlineStr">
        <is>
          <t>Soporte atendido ≥</t>
        </is>
      </c>
      <c r="K3" s="38" t="n">
        <v>1</v>
      </c>
    </row>
    <row r="5" ht="45" customHeight="1" s="62">
      <c r="A5" s="36" t="inlineStr">
        <is>
          <t>Código FM</t>
        </is>
      </c>
      <c r="B5" s="36" t="inlineStr">
        <is>
          <t>Semana</t>
        </is>
      </c>
      <c r="C5" s="36" t="inlineStr">
        <is>
          <t>Fecha inicio</t>
        </is>
      </c>
      <c r="D5" s="36" t="inlineStr">
        <is>
          <t>Fecha fin</t>
        </is>
      </c>
      <c r="E5" s="36" t="inlineStr">
        <is>
          <t>Horas programadas</t>
        </is>
      </c>
      <c r="F5" s="36" t="inlineStr">
        <is>
          <t>Horas operativas</t>
        </is>
      </c>
      <c r="G5" s="36" t="inlineStr">
        <is>
          <t>% Disponibilidad</t>
        </is>
      </c>
      <c r="H5" s="36" t="inlineStr">
        <is>
          <t>Participantes previstos</t>
        </is>
      </c>
      <c r="I5" s="36" t="inlineStr">
        <is>
          <t>Participantes activos</t>
        </is>
      </c>
      <c r="J5" s="36" t="inlineStr">
        <is>
          <t>% Participación</t>
        </is>
      </c>
      <c r="K5" s="36" t="inlineStr">
        <is>
          <t>Transacciones programadas</t>
        </is>
      </c>
      <c r="L5" s="36" t="inlineStr">
        <is>
          <t>Transacciones reales</t>
        </is>
      </c>
      <c r="M5" s="36" t="inlineStr">
        <is>
          <t>% Exposición</t>
        </is>
      </c>
      <c r="N5" s="36" t="inlineStr">
        <is>
          <t>Solicitudes de soporte</t>
        </is>
      </c>
      <c r="O5" s="36" t="inlineStr">
        <is>
          <t>Soportes atendidos</t>
        </is>
      </c>
      <c r="P5" s="36" t="inlineStr">
        <is>
          <t>Uso del GC detectado (Sí/No)</t>
        </is>
      </c>
      <c r="Q5" s="36" t="inlineStr">
        <is>
          <t>IF semanal</t>
        </is>
      </c>
      <c r="R5" s="36" t="inlineStr">
        <is>
          <t>Nivel</t>
        </is>
      </c>
      <c r="S5" s="36" t="inlineStr">
        <is>
          <t>Incidencias / observaciones</t>
        </is>
      </c>
    </row>
    <row r="6" ht="21.75" customHeight="1" s="62">
      <c r="A6" s="13" t="inlineStr">
        <is>
          <t>FM-01</t>
        </is>
      </c>
      <c r="B6" s="28" t="inlineStr">
        <is>
          <t>S1</t>
        </is>
      </c>
      <c r="C6" s="39" t="n">
        <v>46322</v>
      </c>
      <c r="D6" s="40" t="n">
        <v>46328</v>
      </c>
      <c r="E6" s="31" t="n">
        <v>168</v>
      </c>
      <c r="F6" s="31" t="n">
        <v>167.5</v>
      </c>
      <c r="G6" s="37">
        <f>IF(OR(E6="",E6=0),"",F6/E6)</f>
        <v/>
      </c>
      <c r="H6" s="31" t="n">
        <v>108</v>
      </c>
      <c r="I6" s="31" t="n">
        <v>105</v>
      </c>
      <c r="J6" s="37">
        <f>IF(OR(H6="",H6=0),"",I6/H6)</f>
        <v/>
      </c>
      <c r="K6" s="31" t="n">
        <v>324</v>
      </c>
      <c r="L6" s="31" t="n">
        <v>367</v>
      </c>
      <c r="M6" s="37">
        <f>IF(OR(K6="",K6=0),"",L6/K6)</f>
        <v/>
      </c>
      <c r="N6" s="31" t="n"/>
      <c r="O6" s="31" t="n"/>
      <c r="P6" s="31" t="n"/>
      <c r="Q6" s="34">
        <f>IF(E6="","",((G6&gt;=$E$3)+(J6&gt;=$G$3)+(M6&gt;=$I$3)+(IF(N6=0,1,O6/N6)&gt;=$K$3)+(P6="No"))/5)</f>
        <v/>
      </c>
      <c r="R6" s="25">
        <f>IF(Q6="","",IF(Q6&gt;=0.8,"Alta",IF(Q6&gt;=0.6,"Moderada","Baja")))</f>
        <v/>
      </c>
      <c r="S6" s="30" t="n"/>
    </row>
    <row r="7" ht="21.75" customHeight="1" s="62">
      <c r="A7" s="13" t="inlineStr">
        <is>
          <t>FM-02</t>
        </is>
      </c>
      <c r="B7" s="28" t="inlineStr">
        <is>
          <t>S2</t>
        </is>
      </c>
      <c r="C7" s="39" t="n"/>
      <c r="D7" s="40">
        <f>IF(C7="","",C7+6)</f>
        <v/>
      </c>
      <c r="E7" s="31" t="n"/>
      <c r="F7" s="31" t="n"/>
      <c r="G7" s="37">
        <f>IF(OR(E7="",E7=0),"",F7/E7)</f>
        <v/>
      </c>
      <c r="H7" s="31" t="n"/>
      <c r="I7" s="31" t="n"/>
      <c r="J7" s="37">
        <f>IF(OR(H7="",H7=0),"",I7/H7)</f>
        <v/>
      </c>
      <c r="K7" s="31" t="n"/>
      <c r="L7" s="31" t="n"/>
      <c r="M7" s="37">
        <f>IF(OR(K7="",K7=0),"",L7/K7)</f>
        <v/>
      </c>
      <c r="N7" s="31" t="n"/>
      <c r="O7" s="31" t="n"/>
      <c r="P7" s="31" t="n"/>
      <c r="Q7" s="34">
        <f>IF(E7="","",((G7&gt;=$E$3)+(J7&gt;=$G$3)+(M7&gt;=$I$3)+(IF(N7=0,1,O7/N7)&gt;=$K$3)+(P7="No"))/5)</f>
        <v/>
      </c>
      <c r="R7" s="25">
        <f>IF(Q7="","",IF(Q7&gt;=0.8,"Alta",IF(Q7&gt;=0.6,"Moderada","Baja")))</f>
        <v/>
      </c>
      <c r="S7" s="30" t="n"/>
    </row>
    <row r="8" ht="21.75" customHeight="1" s="62">
      <c r="A8" s="13" t="inlineStr">
        <is>
          <t>FM-03</t>
        </is>
      </c>
      <c r="B8" s="28" t="inlineStr">
        <is>
          <t>S3</t>
        </is>
      </c>
      <c r="C8" s="39" t="n"/>
      <c r="D8" s="40">
        <f>IF(C8="","",C8+6)</f>
        <v/>
      </c>
      <c r="E8" s="31" t="n"/>
      <c r="F8" s="31" t="n"/>
      <c r="G8" s="37">
        <f>IF(OR(E8="",E8=0),"",F8/E8)</f>
        <v/>
      </c>
      <c r="H8" s="31" t="n"/>
      <c r="I8" s="31" t="n"/>
      <c r="J8" s="37">
        <f>IF(OR(H8="",H8=0),"",I8/H8)</f>
        <v/>
      </c>
      <c r="K8" s="31" t="n"/>
      <c r="L8" s="31" t="n"/>
      <c r="M8" s="37">
        <f>IF(OR(K8="",K8=0),"",L8/K8)</f>
        <v/>
      </c>
      <c r="N8" s="31" t="n"/>
      <c r="O8" s="31" t="n"/>
      <c r="P8" s="31" t="n"/>
      <c r="Q8" s="34">
        <f>IF(E8="","",((G8&gt;=$E$3)+(J8&gt;=$G$3)+(M8&gt;=$I$3)+(IF(N8=0,1,O8/N8)&gt;=$K$3)+(P8="No"))/5)</f>
        <v/>
      </c>
      <c r="R8" s="25">
        <f>IF(Q8="","",IF(Q8&gt;=0.8,"Alta",IF(Q8&gt;=0.6,"Moderada","Baja")))</f>
        <v/>
      </c>
      <c r="S8" s="30" t="n"/>
    </row>
    <row r="9" ht="21.75" customHeight="1" s="62">
      <c r="A9" s="13" t="inlineStr">
        <is>
          <t>FM-04</t>
        </is>
      </c>
      <c r="B9" s="28" t="inlineStr">
        <is>
          <t>S4</t>
        </is>
      </c>
      <c r="C9" s="39" t="n"/>
      <c r="D9" s="40">
        <f>IF(C9="","",C9+6)</f>
        <v/>
      </c>
      <c r="E9" s="31" t="n"/>
      <c r="F9" s="31" t="n"/>
      <c r="G9" s="37">
        <f>IF(OR(E9="",E9=0),"",F9/E9)</f>
        <v/>
      </c>
      <c r="H9" s="31" t="n"/>
      <c r="I9" s="31" t="n"/>
      <c r="J9" s="37">
        <f>IF(OR(H9="",H9=0),"",I9/H9)</f>
        <v/>
      </c>
      <c r="K9" s="31" t="n"/>
      <c r="L9" s="31" t="n"/>
      <c r="M9" s="37">
        <f>IF(OR(K9="",K9=0),"",L9/K9)</f>
        <v/>
      </c>
      <c r="N9" s="31" t="n"/>
      <c r="O9" s="31" t="n"/>
      <c r="P9" s="31" t="n"/>
      <c r="Q9" s="34">
        <f>IF(E9="","",((G9&gt;=$E$3)+(J9&gt;=$G$3)+(M9&gt;=$I$3)+(IF(N9=0,1,O9/N9)&gt;=$K$3)+(P9="No"))/5)</f>
        <v/>
      </c>
      <c r="R9" s="25">
        <f>IF(Q9="","",IF(Q9&gt;=0.8,"Alta",IF(Q9&gt;=0.6,"Moderada","Baja")))</f>
        <v/>
      </c>
      <c r="S9" s="30" t="n"/>
    </row>
    <row r="10" ht="21.75" customHeight="1" s="62">
      <c r="A10" s="13" t="inlineStr">
        <is>
          <t>FM-05</t>
        </is>
      </c>
      <c r="B10" s="28" t="inlineStr">
        <is>
          <t>S5</t>
        </is>
      </c>
      <c r="C10" s="39" t="n"/>
      <c r="D10" s="40">
        <f>IF(C10="","",C10+6)</f>
        <v/>
      </c>
      <c r="E10" s="31" t="n"/>
      <c r="F10" s="31" t="n"/>
      <c r="G10" s="37">
        <f>IF(OR(E10="",E10=0),"",F10/E10)</f>
        <v/>
      </c>
      <c r="H10" s="31" t="n"/>
      <c r="I10" s="31" t="n"/>
      <c r="J10" s="37">
        <f>IF(OR(H10="",H10=0),"",I10/H10)</f>
        <v/>
      </c>
      <c r="K10" s="31" t="n"/>
      <c r="L10" s="31" t="n"/>
      <c r="M10" s="37">
        <f>IF(OR(K10="",K10=0),"",L10/K10)</f>
        <v/>
      </c>
      <c r="N10" s="31" t="n"/>
      <c r="O10" s="31" t="n"/>
      <c r="P10" s="31" t="n"/>
      <c r="Q10" s="34">
        <f>IF(E10="","",((G10&gt;=$E$3)+(J10&gt;=$G$3)+(M10&gt;=$I$3)+(IF(N10=0,1,O10/N10)&gt;=$K$3)+(P10="No"))/5)</f>
        <v/>
      </c>
      <c r="R10" s="25">
        <f>IF(Q10="","",IF(Q10&gt;=0.8,"Alta",IF(Q10&gt;=0.6,"Moderada","Baja")))</f>
        <v/>
      </c>
      <c r="S10" s="30" t="n"/>
    </row>
    <row r="11" ht="21.75" customHeight="1" s="62">
      <c r="A11" s="13" t="inlineStr">
        <is>
          <t>FM-06</t>
        </is>
      </c>
      <c r="B11" s="28" t="inlineStr">
        <is>
          <t>S6</t>
        </is>
      </c>
      <c r="C11" s="39" t="n"/>
      <c r="D11" s="40">
        <f>IF(C11="","",C11+6)</f>
        <v/>
      </c>
      <c r="E11" s="31" t="n"/>
      <c r="F11" s="31" t="n"/>
      <c r="G11" s="37">
        <f>IF(OR(E11="",E11=0),"",F11/E11)</f>
        <v/>
      </c>
      <c r="H11" s="31" t="n"/>
      <c r="I11" s="31" t="n"/>
      <c r="J11" s="37">
        <f>IF(OR(H11="",H11=0),"",I11/H11)</f>
        <v/>
      </c>
      <c r="K11" s="31" t="n"/>
      <c r="L11" s="31" t="n"/>
      <c r="M11" s="37">
        <f>IF(OR(K11="",K11=0),"",L11/K11)</f>
        <v/>
      </c>
      <c r="N11" s="31" t="n"/>
      <c r="O11" s="31" t="n"/>
      <c r="P11" s="31" t="n"/>
      <c r="Q11" s="34">
        <f>IF(E11="","",((G11&gt;=$E$3)+(J11&gt;=$G$3)+(M11&gt;=$I$3)+(IF(N11=0,1,O11/N11)&gt;=$K$3)+(P11="No"))/5)</f>
        <v/>
      </c>
      <c r="R11" s="25">
        <f>IF(Q11="","",IF(Q11&gt;=0.8,"Alta",IF(Q11&gt;=0.6,"Moderada","Baja")))</f>
        <v/>
      </c>
      <c r="S11" s="30" t="n"/>
    </row>
    <row r="12" ht="21.75" customHeight="1" s="62">
      <c r="A12" s="13" t="inlineStr">
        <is>
          <t>FM-07</t>
        </is>
      </c>
      <c r="B12" s="28" t="inlineStr">
        <is>
          <t>S7</t>
        </is>
      </c>
      <c r="C12" s="39" t="n"/>
      <c r="D12" s="40">
        <f>IF(C12="","",C12+6)</f>
        <v/>
      </c>
      <c r="E12" s="31" t="n"/>
      <c r="F12" s="31" t="n"/>
      <c r="G12" s="37">
        <f>IF(OR(E12="",E12=0),"",F12/E12)</f>
        <v/>
      </c>
      <c r="H12" s="31" t="n"/>
      <c r="I12" s="31" t="n"/>
      <c r="J12" s="37">
        <f>IF(OR(H12="",H12=0),"",I12/H12)</f>
        <v/>
      </c>
      <c r="K12" s="31" t="n"/>
      <c r="L12" s="31" t="n"/>
      <c r="M12" s="37">
        <f>IF(OR(K12="",K12=0),"",L12/K12)</f>
        <v/>
      </c>
      <c r="N12" s="31" t="n"/>
      <c r="O12" s="31" t="n"/>
      <c r="P12" s="31" t="n"/>
      <c r="Q12" s="34">
        <f>IF(E12="","",((G12&gt;=$E$3)+(J12&gt;=$G$3)+(M12&gt;=$I$3)+(IF(N12=0,1,O12/N12)&gt;=$K$3)+(P12="No"))/5)</f>
        <v/>
      </c>
      <c r="R12" s="25">
        <f>IF(Q12="","",IF(Q12&gt;=0.8,"Alta",IF(Q12&gt;=0.6,"Moderada","Baja")))</f>
        <v/>
      </c>
      <c r="S12" s="30" t="n"/>
    </row>
    <row r="13" ht="21.75" customHeight="1" s="62">
      <c r="A13" s="13" t="inlineStr">
        <is>
          <t>FM-08</t>
        </is>
      </c>
      <c r="B13" s="28" t="inlineStr">
        <is>
          <t>S8</t>
        </is>
      </c>
      <c r="C13" s="39" t="n"/>
      <c r="D13" s="40">
        <f>IF(C13="","",C13+6)</f>
        <v/>
      </c>
      <c r="E13" s="31" t="n"/>
      <c r="F13" s="31" t="n"/>
      <c r="G13" s="37">
        <f>IF(OR(E13="",E13=0),"",F13/E13)</f>
        <v/>
      </c>
      <c r="H13" s="31" t="n"/>
      <c r="I13" s="31" t="n"/>
      <c r="J13" s="37">
        <f>IF(OR(H13="",H13=0),"",I13/H13)</f>
        <v/>
      </c>
      <c r="K13" s="31" t="n"/>
      <c r="L13" s="31" t="n"/>
      <c r="M13" s="37">
        <f>IF(OR(K13="",K13=0),"",L13/K13)</f>
        <v/>
      </c>
      <c r="N13" s="31" t="n"/>
      <c r="O13" s="31" t="n"/>
      <c r="P13" s="31" t="n"/>
      <c r="Q13" s="34">
        <f>IF(E13="","",((G13&gt;=$E$3)+(J13&gt;=$G$3)+(M13&gt;=$I$3)+(IF(N13=0,1,O13/N13)&gt;=$K$3)+(P13="No"))/5)</f>
        <v/>
      </c>
      <c r="R13" s="25">
        <f>IF(Q13="","",IF(Q13&gt;=0.8,"Alta",IF(Q13&gt;=0.6,"Moderada","Baja")))</f>
        <v/>
      </c>
      <c r="S13" s="30" t="n"/>
    </row>
    <row r="14" ht="21.75" customHeight="1" s="62">
      <c r="A14" s="13" t="inlineStr">
        <is>
          <t>FM-09</t>
        </is>
      </c>
      <c r="B14" s="28" t="inlineStr">
        <is>
          <t>S9</t>
        </is>
      </c>
      <c r="C14" s="39" t="n"/>
      <c r="D14" s="40">
        <f>IF(C14="","",C14+6)</f>
        <v/>
      </c>
      <c r="E14" s="31" t="n"/>
      <c r="F14" s="31" t="n"/>
      <c r="G14" s="37">
        <f>IF(OR(E14="",E14=0),"",F14/E14)</f>
        <v/>
      </c>
      <c r="H14" s="31" t="n"/>
      <c r="I14" s="31" t="n"/>
      <c r="J14" s="37">
        <f>IF(OR(H14="",H14=0),"",I14/H14)</f>
        <v/>
      </c>
      <c r="K14" s="31" t="n"/>
      <c r="L14" s="31" t="n"/>
      <c r="M14" s="37">
        <f>IF(OR(K14="",K14=0),"",L14/K14)</f>
        <v/>
      </c>
      <c r="N14" s="31" t="n"/>
      <c r="O14" s="31" t="n"/>
      <c r="P14" s="31" t="n"/>
      <c r="Q14" s="34">
        <f>IF(E14="","",((G14&gt;=$E$3)+(J14&gt;=$G$3)+(M14&gt;=$I$3)+(IF(N14=0,1,O14/N14)&gt;=$K$3)+(P14="No"))/5)</f>
        <v/>
      </c>
      <c r="R14" s="25">
        <f>IF(Q14="","",IF(Q14&gt;=0.8,"Alta",IF(Q14&gt;=0.6,"Moderada","Baja")))</f>
        <v/>
      </c>
      <c r="S14" s="30" t="n"/>
    </row>
    <row r="15" ht="21.75" customHeight="1" s="62">
      <c r="A15" s="13" t="inlineStr">
        <is>
          <t>FM-10</t>
        </is>
      </c>
      <c r="B15" s="28" t="inlineStr">
        <is>
          <t>S10</t>
        </is>
      </c>
      <c r="C15" s="39" t="n"/>
      <c r="D15" s="40">
        <f>IF(C15="","",C15+6)</f>
        <v/>
      </c>
      <c r="E15" s="31" t="n"/>
      <c r="F15" s="31" t="n"/>
      <c r="G15" s="37">
        <f>IF(OR(E15="",E15=0),"",F15/E15)</f>
        <v/>
      </c>
      <c r="H15" s="31" t="n"/>
      <c r="I15" s="31" t="n"/>
      <c r="J15" s="37">
        <f>IF(OR(H15="",H15=0),"",I15/H15)</f>
        <v/>
      </c>
      <c r="K15" s="31" t="n"/>
      <c r="L15" s="31" t="n"/>
      <c r="M15" s="37">
        <f>IF(OR(K15="",K15=0),"",L15/K15)</f>
        <v/>
      </c>
      <c r="N15" s="31" t="n"/>
      <c r="O15" s="31" t="n"/>
      <c r="P15" s="31" t="n"/>
      <c r="Q15" s="34">
        <f>IF(E15="","",((G15&gt;=$E$3)+(J15&gt;=$G$3)+(M15&gt;=$I$3)+(IF(N15=0,1,O15/N15)&gt;=$K$3)+(P15="No"))/5)</f>
        <v/>
      </c>
      <c r="R15" s="25">
        <f>IF(Q15="","",IF(Q15&gt;=0.8,"Alta",IF(Q15&gt;=0.6,"Moderada","Baja")))</f>
        <v/>
      </c>
      <c r="S15" s="30" t="n"/>
    </row>
    <row r="16" ht="21.75" customHeight="1" s="62">
      <c r="A16" s="13" t="inlineStr">
        <is>
          <t>FM-11</t>
        </is>
      </c>
      <c r="B16" s="28" t="inlineStr">
        <is>
          <t>S11</t>
        </is>
      </c>
      <c r="C16" s="39" t="n"/>
      <c r="D16" s="40">
        <f>IF(C16="","",C16+6)</f>
        <v/>
      </c>
      <c r="E16" s="31" t="n"/>
      <c r="F16" s="31" t="n"/>
      <c r="G16" s="37">
        <f>IF(OR(E16="",E16=0),"",F16/E16)</f>
        <v/>
      </c>
      <c r="H16" s="31" t="n"/>
      <c r="I16" s="31" t="n"/>
      <c r="J16" s="37">
        <f>IF(OR(H16="",H16=0),"",I16/H16)</f>
        <v/>
      </c>
      <c r="K16" s="31" t="n"/>
      <c r="L16" s="31" t="n"/>
      <c r="M16" s="37">
        <f>IF(OR(K16="",K16=0),"",L16/K16)</f>
        <v/>
      </c>
      <c r="N16" s="31" t="n"/>
      <c r="O16" s="31" t="n"/>
      <c r="P16" s="31" t="n"/>
      <c r="Q16" s="34">
        <f>IF(E16="","",((G16&gt;=$E$3)+(J16&gt;=$G$3)+(M16&gt;=$I$3)+(IF(N16=0,1,O16/N16)&gt;=$K$3)+(P16="No"))/5)</f>
        <v/>
      </c>
      <c r="R16" s="25">
        <f>IF(Q16="","",IF(Q16&gt;=0.8,"Alta",IF(Q16&gt;=0.6,"Moderada","Baja")))</f>
        <v/>
      </c>
      <c r="S16" s="30" t="n"/>
    </row>
    <row r="17" ht="21.75" customHeight="1" s="62">
      <c r="A17" s="13" t="inlineStr">
        <is>
          <t>FM-12</t>
        </is>
      </c>
      <c r="B17" s="28" t="inlineStr">
        <is>
          <t>S12</t>
        </is>
      </c>
      <c r="C17" s="39" t="n"/>
      <c r="D17" s="40">
        <f>IF(C17="","",C17+6)</f>
        <v/>
      </c>
      <c r="E17" s="31" t="n"/>
      <c r="F17" s="31" t="n"/>
      <c r="G17" s="37">
        <f>IF(OR(E17="",E17=0),"",F17/E17)</f>
        <v/>
      </c>
      <c r="H17" s="31" t="n"/>
      <c r="I17" s="31" t="n"/>
      <c r="J17" s="37">
        <f>IF(OR(H17="",H17=0),"",I17/H17)</f>
        <v/>
      </c>
      <c r="K17" s="31" t="n"/>
      <c r="L17" s="31" t="n"/>
      <c r="M17" s="37">
        <f>IF(OR(K17="",K17=0),"",L17/K17)</f>
        <v/>
      </c>
      <c r="N17" s="31" t="n"/>
      <c r="O17" s="31" t="n"/>
      <c r="P17" s="31" t="n"/>
      <c r="Q17" s="34">
        <f>IF(E17="","",((G17&gt;=$E$3)+(J17&gt;=$G$3)+(M17&gt;=$I$3)+(IF(N17=0,1,O17/N17)&gt;=$K$3)+(P17="No"))/5)</f>
        <v/>
      </c>
      <c r="R17" s="25">
        <f>IF(Q17="","",IF(Q17&gt;=0.8,"Alta",IF(Q17&gt;=0.6,"Moderada","Baja")))</f>
        <v/>
      </c>
      <c r="S17" s="30" t="n"/>
    </row>
    <row r="18" ht="45" customHeight="1" s="62">
      <c r="A18" s="7" t="inlineStr">
        <is>
          <t>TOTAL / PROMEDIO</t>
        </is>
      </c>
      <c r="B18" s="65" t="n"/>
      <c r="C18" s="65" t="n"/>
      <c r="D18" s="66" t="n"/>
      <c r="E18" s="51">
        <f>SUM(E6:E17)</f>
        <v/>
      </c>
      <c r="F18" s="51">
        <f>SUM(F6:F17)</f>
        <v/>
      </c>
      <c r="G18" s="52">
        <f>IF(E18=0,"",F18/E18)</f>
        <v/>
      </c>
      <c r="H18" s="45">
        <f>AVERAGE(H6:H17)</f>
        <v/>
      </c>
      <c r="I18" s="45">
        <f>AVERAGE(I6:I17)</f>
        <v/>
      </c>
      <c r="J18" s="52">
        <f>IFERROR(I18/H18,"")</f>
        <v/>
      </c>
      <c r="K18" s="51">
        <f>SUM(K6:K17)</f>
        <v/>
      </c>
      <c r="L18" s="51">
        <f>SUM(L6:L17)</f>
        <v/>
      </c>
      <c r="M18" s="52">
        <f>IF(K18=0,"",L18/K18)</f>
        <v/>
      </c>
      <c r="N18" s="51">
        <f>SUM(N6:N17)</f>
        <v/>
      </c>
      <c r="O18" s="51">
        <f>SUM(O6:O17)</f>
        <v/>
      </c>
      <c r="P18" s="44">
        <f>COUNTIF(P6:P17,"Sí")&amp;" sem. con uso GC"</f>
        <v/>
      </c>
      <c r="Q18" s="53">
        <f>IFERROR(AVERAGE(Q6:Q17),"")</f>
        <v/>
      </c>
      <c r="R18" s="44">
        <f>IF(Q18="","",IF(Q18&gt;=0.8,"Alta",IF(Q18&gt;=0.6,"Moderada","Baja")))</f>
        <v/>
      </c>
      <c r="S18" s="54" t="inlineStr">
        <is>
          <t>IF semanal = criterios cumplidos ÷ 5 (disponibilidad, participación, exposición, soporte, sin contaminación del GC)</t>
        </is>
      </c>
    </row>
    <row r="21" ht="15.75" customHeight="1" s="62"/>
    <row r="22" ht="15.75" customHeight="1" s="62"/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3">
    <mergeCell ref="A18:D18"/>
    <mergeCell ref="A2:S2"/>
    <mergeCell ref="A1:S1"/>
  </mergeCells>
  <conditionalFormatting sqref="R6:R18">
    <cfRule type="cellIs" priority="1" operator="equal" dxfId="0">
      <formula>"Alta"</formula>
    </cfRule>
    <cfRule type="cellIs" priority="2" operator="equal" dxfId="2">
      <formula>"Moderada"</formula>
    </cfRule>
    <cfRule type="cellIs" priority="3" operator="equal" dxfId="1">
      <formula>"Baja"</formula>
    </cfRule>
  </conditionalFormatting>
  <dataValidations count="1">
    <dataValidation sqref="P6:P17" showDropDown="0" showInputMessage="0" showErrorMessage="0" allowBlank="1" type="list">
      <formula1>Listas!$F$2:$F$3</formula1>
    </dataValidation>
  </dataValidations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10" customWidth="1" style="62" min="1" max="1"/>
    <col width="12" customWidth="1" style="62" min="2" max="2"/>
    <col width="8" customWidth="1" style="62" min="3" max="4"/>
    <col width="9" customWidth="1" style="62" min="5" max="5"/>
    <col width="40" customWidth="1" style="62" min="6" max="6"/>
    <col width="13" customWidth="1" style="62" min="7" max="7"/>
    <col width="10" customWidth="1" style="62" min="8" max="9"/>
    <col width="12" customWidth="1" style="62" min="10" max="10"/>
    <col width="22" customWidth="1" style="62" min="11" max="11"/>
    <col width="32" customWidth="1" style="62" min="12" max="12"/>
    <col width="36" customWidth="1" style="62" min="13" max="13"/>
    <col width="16" customWidth="1" style="62" min="14" max="14"/>
    <col width="12" customWidth="1" style="62" min="15" max="16"/>
    <col width="11" customWidth="1" style="62" min="17" max="18"/>
    <col width="26" customWidth="1" style="62" min="19" max="19"/>
    <col width="8.710000000000001" customWidth="1" style="62" min="20" max="26"/>
  </cols>
  <sheetData>
    <row r="1" ht="30" customHeight="1" s="62">
      <c r="A1" s="63" t="inlineStr">
        <is>
          <t>INSTRUMENTO 2: REGISTRO DE INCIDENCIAS</t>
        </is>
      </c>
    </row>
    <row r="2" ht="30" customHeight="1" s="62">
      <c r="A2" s="64" t="inlineStr">
        <is>
          <t>Seminario de Tesis III – Sesión 6: Monitoreo, fidelidad y control de incidencias | Celdas amarillas con texto azul = datos que ingresa el tesista; celdas blancas = fórmulas (no modificar)</t>
        </is>
      </c>
    </row>
    <row r="3">
      <c r="A3" s="8" t="inlineStr">
        <is>
          <t>La severidad se calcula con la matriz impacto × urgencia (hoja Listas). Describa hechos observables, no opiniones.</t>
        </is>
      </c>
    </row>
    <row r="4" ht="45" customHeight="1" s="62">
      <c r="A4" s="36" t="inlineStr">
        <is>
          <t>Código</t>
        </is>
      </c>
      <c r="B4" s="36" t="inlineStr">
        <is>
          <t>Fecha</t>
        </is>
      </c>
      <c r="C4" s="36" t="inlineStr">
        <is>
          <t>Hora</t>
        </is>
      </c>
      <c r="D4" s="36" t="inlineStr">
        <is>
          <t>Semana</t>
        </is>
      </c>
      <c r="E4" s="36" t="inlineStr">
        <is>
          <t>Grupo</t>
        </is>
      </c>
      <c r="F4" s="36" t="inlineStr">
        <is>
          <t>Descripción objetiva (hechos)</t>
        </is>
      </c>
      <c r="G4" s="36" t="inlineStr">
        <is>
          <t>Tipo</t>
        </is>
      </c>
      <c r="H4" s="36" t="inlineStr">
        <is>
          <t>Impacto</t>
        </is>
      </c>
      <c r="I4" s="36" t="inlineStr">
        <is>
          <t>Urgencia</t>
        </is>
      </c>
      <c r="J4" s="36" t="inlineStr">
        <is>
          <t>Severidad (auto)</t>
        </is>
      </c>
      <c r="K4" s="36" t="inlineStr">
        <is>
          <t>Amenaza a la validez</t>
        </is>
      </c>
      <c r="L4" s="36" t="inlineStr">
        <is>
          <t>Causa raíz (5 porqués / Ishikawa)</t>
        </is>
      </c>
      <c r="M4" s="36" t="inlineStr">
        <is>
          <t>Acción correctiva</t>
        </is>
      </c>
      <c r="N4" s="36" t="inlineStr">
        <is>
          <t>Responsable</t>
        </is>
      </c>
      <c r="O4" s="36" t="inlineStr">
        <is>
          <t>Plazo</t>
        </is>
      </c>
      <c r="P4" s="36" t="inlineStr">
        <is>
          <t>Fecha de cierre</t>
        </is>
      </c>
      <c r="Q4" s="36" t="inlineStr">
        <is>
          <t>Estado</t>
        </is>
      </c>
      <c r="R4" s="36" t="inlineStr">
        <is>
          <t>Días de resolución</t>
        </is>
      </c>
      <c r="S4" s="36" t="inlineStr">
        <is>
          <t>Evidencia (código / archivo)</t>
        </is>
      </c>
    </row>
    <row r="5" ht="31.5" customHeight="1" s="62">
      <c r="A5" s="13">
        <f>IF(B5="","","INC-"&amp;TEXT(ROW()-4,"000"))</f>
        <v/>
      </c>
      <c r="B5" s="39" t="n">
        <v>46321</v>
      </c>
      <c r="C5" s="68" t="n">
        <v>0.7986111111111112</v>
      </c>
      <c r="D5" s="31" t="inlineStr">
        <is>
          <t>S1</t>
        </is>
      </c>
      <c r="E5" s="31" t="inlineStr">
        <is>
          <t>GE</t>
        </is>
      </c>
      <c r="F5" s="30" t="inlineStr">
        <is>
          <t>GU-TDH-004: El service worker no cargaba la PWA.</t>
        </is>
      </c>
      <c r="G5" s="31" t="inlineStr">
        <is>
          <t>Técnica</t>
        </is>
      </c>
      <c r="H5" s="31" t="inlineStr">
        <is>
          <t>Baja</t>
        </is>
      </c>
      <c r="I5" s="31" t="inlineStr">
        <is>
          <t>Media</t>
        </is>
      </c>
      <c r="J5" s="25">
        <f t="array" ref="J5">IFERROR(INDEX(Listas!$L$3:$N$5,MATCH(H5,Listas!$K$3:$K$5,0),MATCH(I5,Listas!$L$2:$N$2,0)),"")</f>
        <v/>
      </c>
      <c r="K5" s="30" t="inlineStr">
        <is>
          <t>Instrumentación</t>
        </is>
      </c>
      <c r="L5" s="30" t="inlineStr">
        <is>
          <t>Hecho registrado en las sesiones 4 y 5; misma lista en ambas.</t>
        </is>
      </c>
      <c r="M5" s="30" t="inlineStr">
        <is>
          <t>Reinstalar la PWA.</t>
        </is>
      </c>
      <c r="N5" s="30" t="inlineStr">
        <is>
          <t>A. Godoy</t>
        </is>
      </c>
      <c r="O5" s="39" t="n">
        <v>46321</v>
      </c>
      <c r="P5" s="39" t="n">
        <v>46321</v>
      </c>
      <c r="Q5" s="31" t="inlineStr">
        <is>
          <t>Cerrada</t>
        </is>
      </c>
      <c r="R5" s="28">
        <f>IF(OR(B5="",P5=""),"",P5-B5)</f>
        <v/>
      </c>
      <c r="S5" s="30" t="inlineStr">
        <is>
          <t>S4-INC-01 / S5-INC-01</t>
        </is>
      </c>
    </row>
    <row r="6" ht="31.5" customHeight="1" s="62">
      <c r="A6" s="13">
        <f>IF(B6="","","INC-"&amp;TEXT(ROW()-4,"000"))</f>
        <v/>
      </c>
      <c r="B6" s="39" t="n">
        <v>46322</v>
      </c>
      <c r="C6" s="68" t="n">
        <v>0.4270833333333333</v>
      </c>
      <c r="D6" s="31" t="inlineStr">
        <is>
          <t>S1</t>
        </is>
      </c>
      <c r="E6" s="31" t="inlineStr">
        <is>
          <t>GE</t>
        </is>
      </c>
      <c r="F6" s="30" t="inlineStr">
        <is>
          <t>GU-TDH-010: Duda sobre cómo leer las citas del chat.</t>
        </is>
      </c>
      <c r="G6" s="31" t="inlineStr">
        <is>
          <t>Metodológica</t>
        </is>
      </c>
      <c r="H6" s="31" t="inlineStr">
        <is>
          <t>Baja</t>
        </is>
      </c>
      <c r="I6" s="31" t="inlineStr">
        <is>
          <t>Baja</t>
        </is>
      </c>
      <c r="J6" s="25">
        <f t="array" ref="J6">IFERROR(INDEX(Listas!$L$3:$N$5,MATCH(H6,Listas!$K$3:$K$5,0),MATCH(I6,Listas!$L$2:$N$2,0)),"")</f>
        <v/>
      </c>
      <c r="K6" s="30" t="inlineStr">
        <is>
          <t>Ninguna</t>
        </is>
      </c>
      <c r="L6" s="30" t="inlineStr">
        <is>
          <t>Hecho registrado en las sesiones 4 y 5; misma lista en ambas.</t>
        </is>
      </c>
      <c r="M6" s="30" t="inlineStr">
        <is>
          <t>Reenvío de la guía rápida.</t>
        </is>
      </c>
      <c r="N6" s="30" t="inlineStr">
        <is>
          <t>M. Trujillo</t>
        </is>
      </c>
      <c r="O6" s="39" t="n">
        <v>46322</v>
      </c>
      <c r="P6" s="39" t="n">
        <v>46322</v>
      </c>
      <c r="Q6" s="31" t="inlineStr">
        <is>
          <t>Cerrada</t>
        </is>
      </c>
      <c r="R6" s="28">
        <f>IF(OR(B6="",P6=""),"",P6-B6)</f>
        <v/>
      </c>
      <c r="S6" s="30" t="inlineStr">
        <is>
          <t>S4-INC-02 / S5-INC-02</t>
        </is>
      </c>
    </row>
    <row r="7" ht="31.5" customHeight="1" s="62">
      <c r="A7" s="13">
        <f>IF(B7="","","INC-"&amp;TEXT(ROW()-4,"000"))</f>
        <v/>
      </c>
      <c r="B7" s="39" t="n">
        <v>46322</v>
      </c>
      <c r="C7" s="68" t="n">
        <v>0.4305555555555556</v>
      </c>
      <c r="D7" s="31" t="inlineStr">
        <is>
          <t>S1</t>
        </is>
      </c>
      <c r="E7" s="31" t="inlineStr">
        <is>
          <t>GE</t>
        </is>
      </c>
      <c r="F7" s="30" t="inlineStr">
        <is>
          <t>GU-TDH-006: No abría el chat.</t>
        </is>
      </c>
      <c r="G7" s="31" t="inlineStr">
        <is>
          <t>Técnica</t>
        </is>
      </c>
      <c r="H7" s="31" t="inlineStr">
        <is>
          <t>Baja</t>
        </is>
      </c>
      <c r="I7" s="31" t="inlineStr">
        <is>
          <t>Baja</t>
        </is>
      </c>
      <c r="J7" s="25">
        <f t="array" ref="J7">IFERROR(INDEX(Listas!$L$3:$N$5,MATCH(H7,Listas!$K$3:$K$5,0),MATCH(I7,Listas!$L$2:$N$2,0)),"")</f>
        <v/>
      </c>
      <c r="K7" s="30" t="inlineStr">
        <is>
          <t>Instrumentación</t>
        </is>
      </c>
      <c r="L7" s="30" t="inlineStr">
        <is>
          <t>Hecho registrado en las sesiones 4 y 5; misma lista en ambas.</t>
        </is>
      </c>
      <c r="M7" s="30" t="inlineStr">
        <is>
          <t>Se envió el enlace directo.</t>
        </is>
      </c>
      <c r="N7" s="30" t="inlineStr">
        <is>
          <t>A. Godoy</t>
        </is>
      </c>
      <c r="O7" s="39" t="n">
        <v>46322</v>
      </c>
      <c r="P7" s="39" t="n">
        <v>46322</v>
      </c>
      <c r="Q7" s="31" t="inlineStr">
        <is>
          <t>Cerrada</t>
        </is>
      </c>
      <c r="R7" s="28">
        <f>IF(OR(B7="",P7=""),"",P7-B7)</f>
        <v/>
      </c>
      <c r="S7" s="30" t="inlineStr">
        <is>
          <t>S4-INC-03 / S5-INC-03</t>
        </is>
      </c>
    </row>
    <row r="8" ht="31.5" customHeight="1" s="62">
      <c r="A8" s="13">
        <f>IF(B8="","","INC-"&amp;TEXT(ROW()-4,"000"))</f>
        <v/>
      </c>
      <c r="B8" s="39" t="n">
        <v>46323</v>
      </c>
      <c r="C8" s="68" t="n">
        <v>0.6701388888888888</v>
      </c>
      <c r="D8" s="31" t="inlineStr">
        <is>
          <t>S1</t>
        </is>
      </c>
      <c r="E8" s="31" t="inlineStr">
        <is>
          <t>GE</t>
        </is>
      </c>
      <c r="F8" s="30" t="inlineStr">
        <is>
          <t>Latencia de Gemini mayor a 8 s.</t>
        </is>
      </c>
      <c r="G8" s="31" t="inlineStr">
        <is>
          <t>Técnica</t>
        </is>
      </c>
      <c r="H8" s="31" t="inlineStr">
        <is>
          <t>Alta</t>
        </is>
      </c>
      <c r="I8" s="31" t="inlineStr">
        <is>
          <t>Alta</t>
        </is>
      </c>
      <c r="J8" s="25">
        <f t="array" ref="J8">IFERROR(INDEX(Listas!$L$3:$N$5,MATCH(H8,Listas!$K$3:$K$5,0),MATCH(I8,Listas!$L$2:$N$2,0)),"")</f>
        <v/>
      </c>
      <c r="K8" s="30" t="inlineStr">
        <is>
          <t>Instrumentación</t>
        </is>
      </c>
      <c r="L8" s="30" t="inlineStr">
        <is>
          <t>Hecho registrado en las sesiones 4 y 5; misma lista en ambas.</t>
        </is>
      </c>
      <c r="M8" s="30" t="inlineStr">
        <is>
          <t>Se activó la caché de Redis.</t>
        </is>
      </c>
      <c r="N8" s="30" t="inlineStr">
        <is>
          <t>M. Trujillo</t>
        </is>
      </c>
      <c r="O8" s="39" t="n">
        <v>46323</v>
      </c>
      <c r="P8" s="39" t="n">
        <v>46323</v>
      </c>
      <c r="Q8" s="31" t="inlineStr">
        <is>
          <t>Cerrada</t>
        </is>
      </c>
      <c r="R8" s="28">
        <f>IF(OR(B8="",P8=""),"",P8-B8)</f>
        <v/>
      </c>
      <c r="S8" s="30" t="inlineStr">
        <is>
          <t>S4-INC-04 / S5-INC-04</t>
        </is>
      </c>
    </row>
    <row r="9" ht="31.5" customHeight="1" s="62">
      <c r="A9" s="13">
        <f>IF(B9="","","INC-"&amp;TEXT(ROW()-4,"000"))</f>
        <v/>
      </c>
      <c r="B9" s="39" t="n">
        <v>46324</v>
      </c>
      <c r="C9" s="68" t="n">
        <v>0.5</v>
      </c>
      <c r="D9" s="31" t="inlineStr">
        <is>
          <t>S1</t>
        </is>
      </c>
      <c r="E9" s="31" t="inlineStr">
        <is>
          <t>GE</t>
        </is>
      </c>
      <c r="F9" s="30" t="inlineStr">
        <is>
          <t>GU-TDH-015: Sin accesos después del inicio.</t>
        </is>
      </c>
      <c r="G9" s="31" t="inlineStr">
        <is>
          <t>Metodológica</t>
        </is>
      </c>
      <c r="H9" s="31" t="inlineStr">
        <is>
          <t>Media</t>
        </is>
      </c>
      <c r="I9" s="31" t="inlineStr">
        <is>
          <t>Baja</t>
        </is>
      </c>
      <c r="J9" s="25">
        <f t="array" ref="J9">IFERROR(INDEX(Listas!$L$3:$N$5,MATCH(H9,Listas!$K$3:$K$5,0),MATCH(I9,Listas!$L$2:$N$2,0)),"")</f>
        <v/>
      </c>
      <c r="K9" s="30" t="inlineStr">
        <is>
          <t>Mortalidad experimental</t>
        </is>
      </c>
      <c r="L9" s="30" t="inlineStr">
        <is>
          <t>Hecho registrado en las sesiones 4 y 5; misma lista en ambas.</t>
        </is>
      </c>
      <c r="M9" s="30" t="inlineStr">
        <is>
          <t>Recordatorio. Luego quedó como retiro.</t>
        </is>
      </c>
      <c r="N9" s="30" t="inlineStr">
        <is>
          <t>A. Godoy</t>
        </is>
      </c>
      <c r="O9" s="39" t="n">
        <v>46324</v>
      </c>
      <c r="P9" s="39" t="n">
        <v>46324</v>
      </c>
      <c r="Q9" s="31" t="inlineStr">
        <is>
          <t>Cerrada</t>
        </is>
      </c>
      <c r="R9" s="28">
        <f>IF(OR(B9="",P9=""),"",P9-B9)</f>
        <v/>
      </c>
      <c r="S9" s="30" t="inlineStr">
        <is>
          <t>S4-INC-05 / S5-INC-05</t>
        </is>
      </c>
    </row>
    <row r="10" ht="31.5" customHeight="1" s="62">
      <c r="A10" s="13">
        <f>IF(B10="","","INC-"&amp;TEXT(ROW()-4,"000"))</f>
        <v/>
      </c>
      <c r="B10" s="39" t="n">
        <v>46325</v>
      </c>
      <c r="C10" s="68" t="n">
        <v>0.4597222222222222</v>
      </c>
      <c r="D10" s="31" t="inlineStr">
        <is>
          <t>S1</t>
        </is>
      </c>
      <c r="E10" s="31" t="inlineStr">
        <is>
          <t>GE</t>
        </is>
      </c>
      <c r="F10" s="30" t="inlineStr">
        <is>
          <t>GU-TDH-020: Olvidó el código de acceso.</t>
        </is>
      </c>
      <c r="G10" s="31" t="inlineStr">
        <is>
          <t>Técnica</t>
        </is>
      </c>
      <c r="H10" s="31" t="inlineStr">
        <is>
          <t>Baja</t>
        </is>
      </c>
      <c r="I10" s="31" t="inlineStr">
        <is>
          <t>Baja</t>
        </is>
      </c>
      <c r="J10" s="25">
        <f t="array" ref="J10">IFERROR(INDEX(Listas!$L$3:$N$5,MATCH(H10,Listas!$K$3:$K$5,0),MATCH(I10,Listas!$L$2:$N$2,0)),"")</f>
        <v/>
      </c>
      <c r="K10" s="30" t="inlineStr">
        <is>
          <t>Ninguna</t>
        </is>
      </c>
      <c r="L10" s="30" t="inlineStr">
        <is>
          <t>Hecho registrado en las sesiones 4 y 5; misma lista en ambas.</t>
        </is>
      </c>
      <c r="M10" s="30" t="inlineStr">
        <is>
          <t>Reenvío del código por WhatsApp.</t>
        </is>
      </c>
      <c r="N10" s="30" t="inlineStr">
        <is>
          <t>A. Godoy</t>
        </is>
      </c>
      <c r="O10" s="39" t="n">
        <v>46325</v>
      </c>
      <c r="P10" s="39" t="n">
        <v>46325</v>
      </c>
      <c r="Q10" s="31" t="inlineStr">
        <is>
          <t>Cerrada</t>
        </is>
      </c>
      <c r="R10" s="28">
        <f>IF(OR(B10="",P10=""),"",P10-B10)</f>
        <v/>
      </c>
      <c r="S10" s="30" t="inlineStr">
        <is>
          <t>S4-INC-06 / S5-INC-06</t>
        </is>
      </c>
    </row>
    <row r="11" ht="31.5" customHeight="1" s="62">
      <c r="A11" s="13">
        <f>IF(B11="","","INC-"&amp;TEXT(ROW()-4,"000"))</f>
        <v/>
      </c>
      <c r="B11" s="39" t="n">
        <v>46327</v>
      </c>
      <c r="C11" s="68" t="n">
        <v>0.4097222222222222</v>
      </c>
      <c r="D11" s="31" t="inlineStr">
        <is>
          <t>S1</t>
        </is>
      </c>
      <c r="E11" s="31" t="inlineStr">
        <is>
          <t>GE</t>
        </is>
      </c>
      <c r="F11" s="30" t="inlineStr">
        <is>
          <t>GU-TDH-025: No lograba instalar la PWA en iOS.</t>
        </is>
      </c>
      <c r="G11" s="31" t="inlineStr">
        <is>
          <t>Técnica</t>
        </is>
      </c>
      <c r="H11" s="31" t="inlineStr">
        <is>
          <t>Baja</t>
        </is>
      </c>
      <c r="I11" s="31" t="inlineStr">
        <is>
          <t>Baja</t>
        </is>
      </c>
      <c r="J11" s="25">
        <f t="array" ref="J11">IFERROR(INDEX(Listas!$L$3:$N$5,MATCH(H11,Listas!$K$3:$K$5,0),MATCH(I11,Listas!$L$2:$N$2,0)),"")</f>
        <v/>
      </c>
      <c r="K11" s="30" t="inlineStr">
        <is>
          <t>Instrumentación</t>
        </is>
      </c>
      <c r="L11" s="30" t="inlineStr">
        <is>
          <t>Hecho registrado en las sesiones 4 y 5; misma lista en ambas.</t>
        </is>
      </c>
      <c r="M11" s="30" t="inlineStr">
        <is>
          <t>Mismo instructivo para todos.</t>
        </is>
      </c>
      <c r="N11" s="30" t="inlineStr">
        <is>
          <t>A. Godoy</t>
        </is>
      </c>
      <c r="O11" s="39" t="n">
        <v>46327</v>
      </c>
      <c r="P11" s="39" t="n">
        <v>46327</v>
      </c>
      <c r="Q11" s="31" t="inlineStr">
        <is>
          <t>Cerrada</t>
        </is>
      </c>
      <c r="R11" s="28">
        <f>IF(OR(B11="",P11=""),"",P11-B11)</f>
        <v/>
      </c>
      <c r="S11" s="30" t="inlineStr">
        <is>
          <t>S4-INC-07 / S5-INC-07</t>
        </is>
      </c>
    </row>
    <row r="12" ht="31.5" customHeight="1" s="62">
      <c r="A12" s="13">
        <f>IF(B12="","","INC-"&amp;TEXT(ROW()-1,"000"))</f>
        <v/>
      </c>
      <c r="B12" s="39" t="n"/>
      <c r="C12" s="31" t="n"/>
      <c r="D12" s="31" t="n"/>
      <c r="E12" s="31" t="n"/>
      <c r="F12" s="30" t="n"/>
      <c r="G12" s="31" t="n"/>
      <c r="H12" s="31" t="n"/>
      <c r="I12" s="31" t="n"/>
      <c r="J12" s="25">
        <f t="array" ref="J12">IFERROR(INDEX(Listas!$L$3:$N$5,MATCH(H12,Listas!$K$3:$K$5,0),MATCH(I12,Listas!$L$2:$N$2,0)),"")</f>
        <v/>
      </c>
      <c r="K12" s="30" t="n"/>
      <c r="L12" s="30" t="n"/>
      <c r="M12" s="30" t="n"/>
      <c r="N12" s="30" t="n"/>
      <c r="O12" s="39" t="n"/>
      <c r="P12" s="39" t="n"/>
      <c r="Q12" s="31" t="n"/>
      <c r="R12" s="28">
        <f>IF(OR(B12="",P12=""),"",P12-B12)</f>
        <v/>
      </c>
      <c r="S12" s="30" t="n"/>
    </row>
    <row r="13" ht="31.5" customHeight="1" s="62">
      <c r="A13" s="13">
        <f>IF(B13="","","INC-"&amp;TEXT(ROW()-1,"000"))</f>
        <v/>
      </c>
      <c r="B13" s="39" t="n"/>
      <c r="C13" s="31" t="n"/>
      <c r="D13" s="31" t="n"/>
      <c r="E13" s="31" t="n"/>
      <c r="F13" s="30" t="n"/>
      <c r="G13" s="31" t="n"/>
      <c r="H13" s="31" t="n"/>
      <c r="I13" s="31" t="n"/>
      <c r="J13" s="25">
        <f t="array" ref="J13">IFERROR(INDEX(Listas!$L$3:$N$5,MATCH(H13,Listas!$K$3:$K$5,0),MATCH(I13,Listas!$L$2:$N$2,0)),"")</f>
        <v/>
      </c>
      <c r="K13" s="30" t="n"/>
      <c r="L13" s="30" t="n"/>
      <c r="M13" s="30" t="n"/>
      <c r="N13" s="30" t="n"/>
      <c r="O13" s="39" t="n"/>
      <c r="P13" s="39" t="n"/>
      <c r="Q13" s="31" t="n"/>
      <c r="R13" s="28">
        <f>IF(OR(B13="",P13=""),"",P13-B13)</f>
        <v/>
      </c>
      <c r="S13" s="30" t="n"/>
    </row>
    <row r="14" ht="31.5" customHeight="1" s="62">
      <c r="A14" s="13">
        <f>IF(B14="","","INC-"&amp;TEXT(ROW()-1,"000"))</f>
        <v/>
      </c>
      <c r="B14" s="39" t="n"/>
      <c r="C14" s="31" t="n"/>
      <c r="D14" s="31" t="n"/>
      <c r="E14" s="31" t="n"/>
      <c r="F14" s="30" t="n"/>
      <c r="G14" s="31" t="n"/>
      <c r="H14" s="31" t="n"/>
      <c r="I14" s="31" t="n"/>
      <c r="J14" s="25">
        <f t="array" ref="J14">IFERROR(INDEX(Listas!$L$3:$N$5,MATCH(H14,Listas!$K$3:$K$5,0),MATCH(I14,Listas!$L$2:$N$2,0)),"")</f>
        <v/>
      </c>
      <c r="K14" s="30" t="n"/>
      <c r="L14" s="30" t="n"/>
      <c r="M14" s="30" t="n"/>
      <c r="N14" s="30" t="n"/>
      <c r="O14" s="39" t="n"/>
      <c r="P14" s="39" t="n"/>
      <c r="Q14" s="31" t="n"/>
      <c r="R14" s="28">
        <f>IF(OR(B14="",P14=""),"",P14-B14)</f>
        <v/>
      </c>
      <c r="S14" s="30" t="n"/>
    </row>
    <row r="15" ht="31.5" customHeight="1" s="62">
      <c r="A15" s="13">
        <f>IF(B15="","","INC-"&amp;TEXT(ROW()-1,"000"))</f>
        <v/>
      </c>
      <c r="B15" s="39" t="n"/>
      <c r="C15" s="31" t="n"/>
      <c r="D15" s="31" t="n"/>
      <c r="E15" s="31" t="n"/>
      <c r="F15" s="30" t="n"/>
      <c r="G15" s="31" t="n"/>
      <c r="H15" s="31" t="n"/>
      <c r="I15" s="31" t="n"/>
      <c r="J15" s="25">
        <f t="array" ref="J15">IFERROR(INDEX(Listas!$L$3:$N$5,MATCH(H15,Listas!$K$3:$K$5,0),MATCH(I15,Listas!$L$2:$N$2,0)),"")</f>
        <v/>
      </c>
      <c r="K15" s="30" t="n"/>
      <c r="L15" s="30" t="n"/>
      <c r="M15" s="30" t="n"/>
      <c r="N15" s="30" t="n"/>
      <c r="O15" s="39" t="n"/>
      <c r="P15" s="39" t="n"/>
      <c r="Q15" s="31" t="n"/>
      <c r="R15" s="28">
        <f>IF(OR(B15="",P15=""),"",P15-B15)</f>
        <v/>
      </c>
      <c r="S15" s="30" t="n"/>
    </row>
    <row r="16" ht="31.5" customHeight="1" s="62">
      <c r="A16" s="13">
        <f>IF(B16="","","INC-"&amp;TEXT(ROW()-1,"000"))</f>
        <v/>
      </c>
      <c r="B16" s="39" t="n"/>
      <c r="C16" s="31" t="n"/>
      <c r="D16" s="31" t="n"/>
      <c r="E16" s="31" t="n"/>
      <c r="F16" s="30" t="n"/>
      <c r="G16" s="31" t="n"/>
      <c r="H16" s="31" t="n"/>
      <c r="I16" s="31" t="n"/>
      <c r="J16" s="25">
        <f t="array" ref="J16">IFERROR(INDEX(Listas!$L$3:$N$5,MATCH(H16,Listas!$K$3:$K$5,0),MATCH(I16,Listas!$L$2:$N$2,0)),"")</f>
        <v/>
      </c>
      <c r="K16" s="30" t="n"/>
      <c r="L16" s="30" t="n"/>
      <c r="M16" s="30" t="n"/>
      <c r="N16" s="30" t="n"/>
      <c r="O16" s="39" t="n"/>
      <c r="P16" s="39" t="n"/>
      <c r="Q16" s="31" t="n"/>
      <c r="R16" s="28">
        <f>IF(OR(B16="",P16=""),"",P16-B16)</f>
        <v/>
      </c>
      <c r="S16" s="30" t="n"/>
    </row>
    <row r="17" ht="31.5" customHeight="1" s="62">
      <c r="A17" s="13">
        <f>IF(B17="","","INC-"&amp;TEXT(ROW()-1,"000"))</f>
        <v/>
      </c>
      <c r="B17" s="39" t="n"/>
      <c r="C17" s="31" t="n"/>
      <c r="D17" s="31" t="n"/>
      <c r="E17" s="31" t="n"/>
      <c r="F17" s="30" t="n"/>
      <c r="G17" s="31" t="n"/>
      <c r="H17" s="31" t="n"/>
      <c r="I17" s="31" t="n"/>
      <c r="J17" s="25">
        <f t="array" ref="J17">IFERROR(INDEX(Listas!$L$3:$N$5,MATCH(H17,Listas!$K$3:$K$5,0),MATCH(I17,Listas!$L$2:$N$2,0)),"")</f>
        <v/>
      </c>
      <c r="K17" s="30" t="n"/>
      <c r="L17" s="30" t="n"/>
      <c r="M17" s="30" t="n"/>
      <c r="N17" s="30" t="n"/>
      <c r="O17" s="39" t="n"/>
      <c r="P17" s="39" t="n"/>
      <c r="Q17" s="31" t="n"/>
      <c r="R17" s="28">
        <f>IF(OR(B17="",P17=""),"",P17-B17)</f>
        <v/>
      </c>
      <c r="S17" s="30" t="n"/>
    </row>
    <row r="18" ht="31.5" customHeight="1" s="62">
      <c r="A18" s="13">
        <f>IF(B18="","","INC-"&amp;TEXT(ROW()-1,"000"))</f>
        <v/>
      </c>
      <c r="B18" s="39" t="n"/>
      <c r="C18" s="31" t="n"/>
      <c r="D18" s="31" t="n"/>
      <c r="E18" s="31" t="n"/>
      <c r="F18" s="30" t="n"/>
      <c r="G18" s="31" t="n"/>
      <c r="H18" s="31" t="n"/>
      <c r="I18" s="31" t="n"/>
      <c r="J18" s="25">
        <f t="array" ref="J18">IFERROR(INDEX(Listas!$L$3:$N$5,MATCH(H18,Listas!$K$3:$K$5,0),MATCH(I18,Listas!$L$2:$N$2,0)),"")</f>
        <v/>
      </c>
      <c r="K18" s="30" t="n"/>
      <c r="L18" s="30" t="n"/>
      <c r="M18" s="30" t="n"/>
      <c r="N18" s="30" t="n"/>
      <c r="O18" s="39" t="n"/>
      <c r="P18" s="39" t="n"/>
      <c r="Q18" s="31" t="n"/>
      <c r="R18" s="28">
        <f>IF(OR(B18="",P18=""),"",P18-B18)</f>
        <v/>
      </c>
      <c r="S18" s="30" t="n"/>
    </row>
    <row r="19" ht="31.5" customHeight="1" s="62">
      <c r="A19" s="13">
        <f>IF(B19="","","INC-"&amp;TEXT(ROW()-1,"000"))</f>
        <v/>
      </c>
      <c r="B19" s="39" t="n"/>
      <c r="C19" s="31" t="n"/>
      <c r="D19" s="31" t="n"/>
      <c r="E19" s="31" t="n"/>
      <c r="F19" s="30" t="n"/>
      <c r="G19" s="31" t="n"/>
      <c r="H19" s="31" t="n"/>
      <c r="I19" s="31" t="n"/>
      <c r="J19" s="25">
        <f t="array" ref="J19">IFERROR(INDEX(Listas!$L$3:$N$5,MATCH(H19,Listas!$K$3:$K$5,0),MATCH(I19,Listas!$L$2:$N$2,0)),"")</f>
        <v/>
      </c>
      <c r="K19" s="30" t="n"/>
      <c r="L19" s="30" t="n"/>
      <c r="M19" s="30" t="n"/>
      <c r="N19" s="30" t="n"/>
      <c r="O19" s="39" t="n"/>
      <c r="P19" s="39" t="n"/>
      <c r="Q19" s="31" t="n"/>
      <c r="R19" s="28">
        <f>IF(OR(B19="",P19=""),"",P19-B19)</f>
        <v/>
      </c>
      <c r="S19" s="30" t="n"/>
    </row>
    <row r="20" ht="31.5" customHeight="1" s="62">
      <c r="A20" s="13">
        <f>IF(B20="","","INC-"&amp;TEXT(ROW()-1,"000"))</f>
        <v/>
      </c>
      <c r="B20" s="39" t="n"/>
      <c r="C20" s="31" t="n"/>
      <c r="D20" s="31" t="n"/>
      <c r="E20" s="31" t="n"/>
      <c r="F20" s="30" t="n"/>
      <c r="G20" s="31" t="n"/>
      <c r="H20" s="31" t="n"/>
      <c r="I20" s="31" t="n"/>
      <c r="J20" s="25">
        <f t="array" ref="J20">IFERROR(INDEX(Listas!$L$3:$N$5,MATCH(H20,Listas!$K$3:$K$5,0),MATCH(I20,Listas!$L$2:$N$2,0)),"")</f>
        <v/>
      </c>
      <c r="K20" s="30" t="n"/>
      <c r="L20" s="30" t="n"/>
      <c r="M20" s="30" t="n"/>
      <c r="N20" s="30" t="n"/>
      <c r="O20" s="39" t="n"/>
      <c r="P20" s="39" t="n"/>
      <c r="Q20" s="31" t="n"/>
      <c r="R20" s="28">
        <f>IF(OR(B20="",P20=""),"",P20-B20)</f>
        <v/>
      </c>
      <c r="S20" s="30" t="n"/>
    </row>
    <row r="21" ht="31.5" customHeight="1" s="62">
      <c r="A21" s="13">
        <f>IF(B21="","","INC-"&amp;TEXT(ROW()-1,"000"))</f>
        <v/>
      </c>
      <c r="B21" s="39" t="n"/>
      <c r="C21" s="31" t="n"/>
      <c r="D21" s="31" t="n"/>
      <c r="E21" s="31" t="n"/>
      <c r="F21" s="30" t="n"/>
      <c r="G21" s="31" t="n"/>
      <c r="H21" s="31" t="n"/>
      <c r="I21" s="31" t="n"/>
      <c r="J21" s="25">
        <f t="array" ref="J21">IFERROR(INDEX(Listas!$L$3:$N$5,MATCH(H21,Listas!$K$3:$K$5,0),MATCH(I21,Listas!$L$2:$N$2,0)),"")</f>
        <v/>
      </c>
      <c r="K21" s="30" t="n"/>
      <c r="L21" s="30" t="n"/>
      <c r="M21" s="30" t="n"/>
      <c r="N21" s="30" t="n"/>
      <c r="O21" s="39" t="n"/>
      <c r="P21" s="39" t="n"/>
      <c r="Q21" s="31" t="n"/>
      <c r="R21" s="28">
        <f>IF(OR(B21="",P21=""),"",P21-B21)</f>
        <v/>
      </c>
      <c r="S21" s="30" t="n"/>
    </row>
    <row r="22" ht="31.5" customHeight="1" s="62">
      <c r="A22" s="13">
        <f>IF(B22="","","INC-"&amp;TEXT(ROW()-1,"000"))</f>
        <v/>
      </c>
      <c r="B22" s="39" t="n"/>
      <c r="C22" s="31" t="n"/>
      <c r="D22" s="31" t="n"/>
      <c r="E22" s="31" t="n"/>
      <c r="F22" s="30" t="n"/>
      <c r="G22" s="31" t="n"/>
      <c r="H22" s="31" t="n"/>
      <c r="I22" s="31" t="n"/>
      <c r="J22" s="25">
        <f t="array" ref="J22">IFERROR(INDEX(Listas!$L$3:$N$5,MATCH(H22,Listas!$K$3:$K$5,0),MATCH(I22,Listas!$L$2:$N$2,0)),"")</f>
        <v/>
      </c>
      <c r="K22" s="30" t="n"/>
      <c r="L22" s="30" t="n"/>
      <c r="M22" s="30" t="n"/>
      <c r="N22" s="30" t="n"/>
      <c r="O22" s="39" t="n"/>
      <c r="P22" s="39" t="n"/>
      <c r="Q22" s="31" t="n"/>
      <c r="R22" s="28">
        <f>IF(OR(B22="",P22=""),"",P22-B22)</f>
        <v/>
      </c>
      <c r="S22" s="30" t="n"/>
    </row>
    <row r="23" ht="31.5" customHeight="1" s="62">
      <c r="A23" s="13">
        <f>IF(B23="","","INC-"&amp;TEXT(ROW()-1,"000"))</f>
        <v/>
      </c>
      <c r="B23" s="39" t="n"/>
      <c r="C23" s="31" t="n"/>
      <c r="D23" s="31" t="n"/>
      <c r="E23" s="31" t="n"/>
      <c r="F23" s="30" t="n"/>
      <c r="G23" s="31" t="n"/>
      <c r="H23" s="31" t="n"/>
      <c r="I23" s="31" t="n"/>
      <c r="J23" s="25">
        <f t="array" ref="J23">IFERROR(INDEX(Listas!$L$3:$N$5,MATCH(H23,Listas!$K$3:$K$5,0),MATCH(I23,Listas!$L$2:$N$2,0)),"")</f>
        <v/>
      </c>
      <c r="K23" s="30" t="n"/>
      <c r="L23" s="30" t="n"/>
      <c r="M23" s="30" t="n"/>
      <c r="N23" s="30" t="n"/>
      <c r="O23" s="39" t="n"/>
      <c r="P23" s="39" t="n"/>
      <c r="Q23" s="31" t="n"/>
      <c r="R23" s="28">
        <f>IF(OR(B23="",P23=""),"",P23-B23)</f>
        <v/>
      </c>
      <c r="S23" s="30" t="n"/>
    </row>
    <row r="24" ht="31.5" customHeight="1" s="62">
      <c r="A24" s="13">
        <f>IF(B24="","","INC-"&amp;TEXT(ROW()-1,"000"))</f>
        <v/>
      </c>
      <c r="B24" s="39" t="n"/>
      <c r="C24" s="31" t="n"/>
      <c r="D24" s="31" t="n"/>
      <c r="E24" s="31" t="n"/>
      <c r="F24" s="30" t="n"/>
      <c r="G24" s="31" t="n"/>
      <c r="H24" s="31" t="n"/>
      <c r="I24" s="31" t="n"/>
      <c r="J24" s="25">
        <f t="array" ref="J24">IFERROR(INDEX(Listas!$L$3:$N$5,MATCH(H24,Listas!$K$3:$K$5,0),MATCH(I24,Listas!$L$2:$N$2,0)),"")</f>
        <v/>
      </c>
      <c r="K24" s="30" t="n"/>
      <c r="L24" s="30" t="n"/>
      <c r="M24" s="30" t="n"/>
      <c r="N24" s="30" t="n"/>
      <c r="O24" s="39" t="n"/>
      <c r="P24" s="39" t="n"/>
      <c r="Q24" s="31" t="n"/>
      <c r="R24" s="28">
        <f>IF(OR(B24="",P24=""),"",P24-B24)</f>
        <v/>
      </c>
      <c r="S24" s="30" t="n"/>
    </row>
    <row r="25" ht="31.5" customHeight="1" s="62">
      <c r="A25" s="13">
        <f>IF(B25="","","INC-"&amp;TEXT(ROW()-1,"000"))</f>
        <v/>
      </c>
      <c r="B25" s="39" t="n"/>
      <c r="C25" s="31" t="n"/>
      <c r="D25" s="31" t="n"/>
      <c r="E25" s="31" t="n"/>
      <c r="F25" s="30" t="n"/>
      <c r="G25" s="31" t="n"/>
      <c r="H25" s="31" t="n"/>
      <c r="I25" s="31" t="n"/>
      <c r="J25" s="25">
        <f t="array" ref="J25">IFERROR(INDEX(Listas!$L$3:$N$5,MATCH(H25,Listas!$K$3:$K$5,0),MATCH(I25,Listas!$L$2:$N$2,0)),"")</f>
        <v/>
      </c>
      <c r="K25" s="30" t="n"/>
      <c r="L25" s="30" t="n"/>
      <c r="M25" s="30" t="n"/>
      <c r="N25" s="30" t="n"/>
      <c r="O25" s="39" t="n"/>
      <c r="P25" s="39" t="n"/>
      <c r="Q25" s="31" t="n"/>
      <c r="R25" s="28">
        <f>IF(OR(B25="",P25=""),"",P25-B25)</f>
        <v/>
      </c>
      <c r="S25" s="30" t="n"/>
    </row>
    <row r="26" ht="31.5" customHeight="1" s="62">
      <c r="A26" s="13">
        <f>IF(B26="","","INC-"&amp;TEXT(ROW()-1,"000"))</f>
        <v/>
      </c>
      <c r="B26" s="39" t="n"/>
      <c r="C26" s="31" t="n"/>
      <c r="D26" s="31" t="n"/>
      <c r="E26" s="31" t="n"/>
      <c r="F26" s="30" t="n"/>
      <c r="G26" s="31" t="n"/>
      <c r="H26" s="31" t="n"/>
      <c r="I26" s="31" t="n"/>
      <c r="J26" s="25">
        <f t="array" ref="J26">IFERROR(INDEX(Listas!$L$3:$N$5,MATCH(H26,Listas!$K$3:$K$5,0),MATCH(I26,Listas!$L$2:$N$2,0)),"")</f>
        <v/>
      </c>
      <c r="K26" s="30" t="n"/>
      <c r="L26" s="30" t="n"/>
      <c r="M26" s="30" t="n"/>
      <c r="N26" s="30" t="n"/>
      <c r="O26" s="39" t="n"/>
      <c r="P26" s="39" t="n"/>
      <c r="Q26" s="31" t="n"/>
      <c r="R26" s="28">
        <f>IF(OR(B26="",P26=""),"",P26-B26)</f>
        <v/>
      </c>
      <c r="S26" s="30" t="n"/>
    </row>
    <row r="27" ht="31.5" customHeight="1" s="62">
      <c r="A27" s="13">
        <f>IF(B27="","","INC-"&amp;TEXT(ROW()-1,"000"))</f>
        <v/>
      </c>
      <c r="B27" s="39" t="n"/>
      <c r="C27" s="31" t="n"/>
      <c r="D27" s="31" t="n"/>
      <c r="E27" s="31" t="n"/>
      <c r="F27" s="30" t="n"/>
      <c r="G27" s="31" t="n"/>
      <c r="H27" s="31" t="n"/>
      <c r="I27" s="31" t="n"/>
      <c r="J27" s="25">
        <f t="array" ref="J27">IFERROR(INDEX(Listas!$L$3:$N$5,MATCH(H27,Listas!$K$3:$K$5,0),MATCH(I27,Listas!$L$2:$N$2,0)),"")</f>
        <v/>
      </c>
      <c r="K27" s="30" t="n"/>
      <c r="L27" s="30" t="n"/>
      <c r="M27" s="30" t="n"/>
      <c r="N27" s="30" t="n"/>
      <c r="O27" s="39" t="n"/>
      <c r="P27" s="39" t="n"/>
      <c r="Q27" s="31" t="n"/>
      <c r="R27" s="28">
        <f>IF(OR(B27="",P27=""),"",P27-B27)</f>
        <v/>
      </c>
      <c r="S27" s="30" t="n"/>
    </row>
    <row r="28" ht="31.5" customHeight="1" s="62">
      <c r="A28" s="13">
        <f>IF(B28="","","INC-"&amp;TEXT(ROW()-1,"000"))</f>
        <v/>
      </c>
      <c r="B28" s="39" t="n"/>
      <c r="C28" s="31" t="n"/>
      <c r="D28" s="31" t="n"/>
      <c r="E28" s="31" t="n"/>
      <c r="F28" s="30" t="n"/>
      <c r="G28" s="31" t="n"/>
      <c r="H28" s="31" t="n"/>
      <c r="I28" s="31" t="n"/>
      <c r="J28" s="25">
        <f t="array" ref="J28">IFERROR(INDEX(Listas!$L$3:$N$5,MATCH(H28,Listas!$K$3:$K$5,0),MATCH(I28,Listas!$L$2:$N$2,0)),"")</f>
        <v/>
      </c>
      <c r="K28" s="30" t="n"/>
      <c r="L28" s="30" t="n"/>
      <c r="M28" s="30" t="n"/>
      <c r="N28" s="30" t="n"/>
      <c r="O28" s="39" t="n"/>
      <c r="P28" s="39" t="n"/>
      <c r="Q28" s="31" t="n"/>
      <c r="R28" s="28">
        <f>IF(OR(B28="",P28=""),"",P28-B28)</f>
        <v/>
      </c>
      <c r="S28" s="30" t="n"/>
    </row>
    <row r="29" ht="31.5" customHeight="1" s="62">
      <c r="A29" s="13">
        <f>IF(B29="","","INC-"&amp;TEXT(ROW()-1,"000"))</f>
        <v/>
      </c>
      <c r="B29" s="39" t="n"/>
      <c r="C29" s="31" t="n"/>
      <c r="D29" s="31" t="n"/>
      <c r="E29" s="31" t="n"/>
      <c r="F29" s="30" t="n"/>
      <c r="G29" s="31" t="n"/>
      <c r="H29" s="31" t="n"/>
      <c r="I29" s="31" t="n"/>
      <c r="J29" s="25">
        <f t="array" ref="J29">IFERROR(INDEX(Listas!$L$3:$N$5,MATCH(H29,Listas!$K$3:$K$5,0),MATCH(I29,Listas!$L$2:$N$2,0)),"")</f>
        <v/>
      </c>
      <c r="K29" s="30" t="n"/>
      <c r="L29" s="30" t="n"/>
      <c r="M29" s="30" t="n"/>
      <c r="N29" s="30" t="n"/>
      <c r="O29" s="39" t="n"/>
      <c r="P29" s="39" t="n"/>
      <c r="Q29" s="31" t="n"/>
      <c r="R29" s="28">
        <f>IF(OR(B29="",P29=""),"",P29-B29)</f>
        <v/>
      </c>
      <c r="S29" s="30" t="n"/>
    </row>
    <row r="30" ht="31.5" customHeight="1" s="62">
      <c r="A30" s="13">
        <f>IF(B30="","","INC-"&amp;TEXT(ROW()-1,"000"))</f>
        <v/>
      </c>
      <c r="B30" s="39" t="n"/>
      <c r="C30" s="31" t="n"/>
      <c r="D30" s="31" t="n"/>
      <c r="E30" s="31" t="n"/>
      <c r="F30" s="30" t="n"/>
      <c r="G30" s="31" t="n"/>
      <c r="H30" s="31" t="n"/>
      <c r="I30" s="31" t="n"/>
      <c r="J30" s="25">
        <f t="array" ref="J30">IFERROR(INDEX(Listas!$L$3:$N$5,MATCH(H30,Listas!$K$3:$K$5,0),MATCH(I30,Listas!$L$2:$N$2,0)),"")</f>
        <v/>
      </c>
      <c r="K30" s="30" t="n"/>
      <c r="L30" s="30" t="n"/>
      <c r="M30" s="30" t="n"/>
      <c r="N30" s="30" t="n"/>
      <c r="O30" s="39" t="n"/>
      <c r="P30" s="39" t="n"/>
      <c r="Q30" s="31" t="n"/>
      <c r="R30" s="28">
        <f>IF(OR(B30="",P30=""),"",P30-B30)</f>
        <v/>
      </c>
      <c r="S30" s="30" t="n"/>
    </row>
    <row r="31" ht="31.5" customHeight="1" s="62">
      <c r="A31" s="13">
        <f>IF(B31="","","INC-"&amp;TEXT(ROW()-1,"000"))</f>
        <v/>
      </c>
      <c r="B31" s="39" t="n"/>
      <c r="C31" s="31" t="n"/>
      <c r="D31" s="31" t="n"/>
      <c r="E31" s="31" t="n"/>
      <c r="F31" s="30" t="n"/>
      <c r="G31" s="31" t="n"/>
      <c r="H31" s="31" t="n"/>
      <c r="I31" s="31" t="n"/>
      <c r="J31" s="25">
        <f t="array" ref="J31">IFERROR(INDEX(Listas!$L$3:$N$5,MATCH(H31,Listas!$K$3:$K$5,0),MATCH(I31,Listas!$L$2:$N$2,0)),"")</f>
        <v/>
      </c>
      <c r="K31" s="30" t="n"/>
      <c r="L31" s="30" t="n"/>
      <c r="M31" s="30" t="n"/>
      <c r="N31" s="30" t="n"/>
      <c r="O31" s="39" t="n"/>
      <c r="P31" s="39" t="n"/>
      <c r="Q31" s="31" t="n"/>
      <c r="R31" s="28">
        <f>IF(OR(B31="",P31=""),"",P31-B31)</f>
        <v/>
      </c>
      <c r="S31" s="30" t="n"/>
    </row>
    <row r="32" ht="31.5" customHeight="1" s="62">
      <c r="A32" s="13">
        <f>IF(B32="","","INC-"&amp;TEXT(ROW()-1,"000"))</f>
        <v/>
      </c>
      <c r="B32" s="39" t="n"/>
      <c r="C32" s="31" t="n"/>
      <c r="D32" s="31" t="n"/>
      <c r="E32" s="31" t="n"/>
      <c r="F32" s="30" t="n"/>
      <c r="G32" s="31" t="n"/>
      <c r="H32" s="31" t="n"/>
      <c r="I32" s="31" t="n"/>
      <c r="J32" s="25">
        <f t="array" ref="J32">IFERROR(INDEX(Listas!$L$3:$N$5,MATCH(H32,Listas!$K$3:$K$5,0),MATCH(I32,Listas!$L$2:$N$2,0)),"")</f>
        <v/>
      </c>
      <c r="K32" s="30" t="n"/>
      <c r="L32" s="30" t="n"/>
      <c r="M32" s="30" t="n"/>
      <c r="N32" s="30" t="n"/>
      <c r="O32" s="39" t="n"/>
      <c r="P32" s="39" t="n"/>
      <c r="Q32" s="31" t="n"/>
      <c r="R32" s="28">
        <f>IF(OR(B32="",P32=""),"",P32-B32)</f>
        <v/>
      </c>
      <c r="S32" s="30" t="n"/>
    </row>
    <row r="33" ht="31.5" customHeight="1" s="62">
      <c r="A33" s="13">
        <f>IF(B33="","","INC-"&amp;TEXT(ROW()-1,"000"))</f>
        <v/>
      </c>
      <c r="B33" s="39" t="n"/>
      <c r="C33" s="31" t="n"/>
      <c r="D33" s="31" t="n"/>
      <c r="E33" s="31" t="n"/>
      <c r="F33" s="30" t="n"/>
      <c r="G33" s="31" t="n"/>
      <c r="H33" s="31" t="n"/>
      <c r="I33" s="31" t="n"/>
      <c r="J33" s="25">
        <f t="array" ref="J33">IFERROR(INDEX(Listas!$L$3:$N$5,MATCH(H33,Listas!$K$3:$K$5,0),MATCH(I33,Listas!$L$2:$N$2,0)),"")</f>
        <v/>
      </c>
      <c r="K33" s="30" t="n"/>
      <c r="L33" s="30" t="n"/>
      <c r="M33" s="30" t="n"/>
      <c r="N33" s="30" t="n"/>
      <c r="O33" s="39" t="n"/>
      <c r="P33" s="39" t="n"/>
      <c r="Q33" s="31" t="n"/>
      <c r="R33" s="28">
        <f>IF(OR(B33="",P33=""),"",P33-B33)</f>
        <v/>
      </c>
      <c r="S33" s="30" t="n"/>
    </row>
    <row r="34" ht="31.5" customHeight="1" s="62">
      <c r="A34" s="13">
        <f>IF(B34="","","INC-"&amp;TEXT(ROW()-1,"000"))</f>
        <v/>
      </c>
      <c r="B34" s="39" t="n"/>
      <c r="C34" s="31" t="n"/>
      <c r="D34" s="31" t="n"/>
      <c r="E34" s="31" t="n"/>
      <c r="F34" s="30" t="n"/>
      <c r="G34" s="31" t="n"/>
      <c r="H34" s="31" t="n"/>
      <c r="I34" s="31" t="n"/>
      <c r="J34" s="25">
        <f t="array" ref="J34">IFERROR(INDEX(Listas!$L$3:$N$5,MATCH(H34,Listas!$K$3:$K$5,0),MATCH(I34,Listas!$L$2:$N$2,0)),"")</f>
        <v/>
      </c>
      <c r="K34" s="30" t="n"/>
      <c r="L34" s="30" t="n"/>
      <c r="M34" s="30" t="n"/>
      <c r="N34" s="30" t="n"/>
      <c r="O34" s="39" t="n"/>
      <c r="P34" s="39" t="n"/>
      <c r="Q34" s="31" t="n"/>
      <c r="R34" s="28">
        <f>IF(OR(B34="",P34=""),"",P34-B34)</f>
        <v/>
      </c>
      <c r="S34" s="30" t="n"/>
    </row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2">
    <mergeCell ref="A2:S2"/>
    <mergeCell ref="A1:S1"/>
  </mergeCells>
  <conditionalFormatting sqref="J5:J34">
    <cfRule type="cellIs" priority="1" operator="equal" dxfId="3">
      <formula>"Crítica"</formula>
    </cfRule>
    <cfRule type="cellIs" priority="2" operator="equal" dxfId="4">
      <formula>"Alta"</formula>
    </cfRule>
    <cfRule type="cellIs" priority="3" operator="equal" dxfId="5">
      <formula>"Media"</formula>
    </cfRule>
    <cfRule type="cellIs" priority="4" operator="equal" dxfId="0">
      <formula>"Baja"</formula>
    </cfRule>
  </conditionalFormatting>
  <conditionalFormatting sqref="Q5:Q34">
    <cfRule type="cellIs" priority="5" operator="equal" dxfId="1">
      <formula>"Abierta"</formula>
    </cfRule>
    <cfRule type="cellIs" priority="6" operator="equal" dxfId="2">
      <formula>"En curso"</formula>
    </cfRule>
    <cfRule type="cellIs" priority="7" operator="equal" dxfId="0">
      <formula>"Cerrada"</formula>
    </cfRule>
  </conditionalFormatting>
  <dataValidations count="5">
    <dataValidation sqref="G5:G34" showDropDown="0" showInputMessage="0" showErrorMessage="0" allowBlank="1" type="list">
      <formula1>Listas!$A$2:$A$3</formula1>
    </dataValidation>
    <dataValidation sqref="Q5:Q34" showDropDown="0" showInputMessage="0" showErrorMessage="0" allowBlank="1" type="list">
      <formula1>Listas!$C$2:$C$4</formula1>
    </dataValidation>
    <dataValidation sqref="K5:K34" showDropDown="0" showInputMessage="0" showErrorMessage="0" allowBlank="1" type="list">
      <formula1>Listas!$D$2:$D$11</formula1>
    </dataValidation>
    <dataValidation sqref="H5:I34" showDropDown="0" showInputMessage="0" showErrorMessage="0" allowBlank="1" type="list">
      <formula1>Listas!$B$2:$B$4</formula1>
    </dataValidation>
    <dataValidation sqref="E5:E34" showDropDown="0" showInputMessage="0" showErrorMessage="0" allowBlank="1" type="list">
      <formula1>Listas!$H$2:$H$4</formula1>
    </dataValidation>
  </dataValidations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selection activeCell="A1" sqref="A1"/>
    </sheetView>
  </sheetViews>
  <sheetFormatPr baseColWidth="8" defaultColWidth="14.43" defaultRowHeight="15" customHeight="1"/>
  <cols>
    <col width="6" customWidth="1" style="62" min="1" max="1"/>
    <col width="18" customWidth="1" style="62" min="2" max="2"/>
    <col width="55" customWidth="1" style="62" min="3" max="3"/>
    <col width="16" customWidth="1" style="62" min="4" max="4"/>
    <col width="30" customWidth="1" style="62" min="5" max="6"/>
    <col width="8.710000000000001" customWidth="1" style="62" min="7" max="26"/>
  </cols>
  <sheetData>
    <row r="1" ht="30" customHeight="1" s="62">
      <c r="A1" s="63" t="inlineStr">
        <is>
          <t>INSTRUMENTO 3: LISTA DE COTEJO DE FIDELIDAD</t>
        </is>
      </c>
    </row>
    <row r="2" ht="30" customHeight="1" s="62">
      <c r="A2" s="64" t="inlineStr">
        <is>
          <t>Seminario de Tesis III – Sesión 6: Monitoreo, fidelidad y control de incidencias | Celdas amarillas con texto azul = datos que ingresa el tesista; celdas blancas = fórmulas (no modificar)</t>
        </is>
      </c>
    </row>
    <row r="4">
      <c r="A4" s="36" t="inlineStr">
        <is>
          <t>N.°</t>
        </is>
      </c>
      <c r="B4" s="36" t="inlineStr">
        <is>
          <t>Dimensión</t>
        </is>
      </c>
      <c r="C4" s="36" t="inlineStr">
        <is>
          <t>Criterio de fidelidad</t>
        </is>
      </c>
      <c r="D4" s="36" t="inlineStr">
        <is>
          <t>¿Cumple? (Sí/No)</t>
        </is>
      </c>
      <c r="E4" s="36" t="inlineStr">
        <is>
          <t>Evidencia</t>
        </is>
      </c>
      <c r="F4" s="36" t="inlineStr">
        <is>
          <t>Observación</t>
        </is>
      </c>
    </row>
    <row r="5" ht="30" customHeight="1" s="62">
      <c r="A5" s="25" t="n">
        <v>1</v>
      </c>
      <c r="B5" s="30" t="inlineStr">
        <is>
          <t>Adherencia</t>
        </is>
      </c>
      <c r="C5" s="30" t="inlineStr">
        <is>
          <t>La intervención se ejecutó durante el periodo programado</t>
        </is>
      </c>
      <c r="D5" s="29" t="inlineStr">
        <is>
          <t>Sí</t>
        </is>
      </c>
      <c r="E5" s="30" t="inlineStr">
        <is>
          <t>Cronograma de campo y FM-01 (27/10 al 02/11, una semana)</t>
        </is>
      </c>
      <c r="F5" s="30" t="n"/>
    </row>
    <row r="6" ht="30" customHeight="1" s="62">
      <c r="A6" s="25" t="n">
        <v>2</v>
      </c>
      <c r="B6" s="30" t="inlineStr">
        <is>
          <t>Exposición</t>
        </is>
      </c>
      <c r="C6" s="30" t="inlineStr">
        <is>
          <t>Se cumplió la frecuencia de uso establecida</t>
        </is>
      </c>
      <c r="D6" s="29" t="inlineStr">
        <is>
          <t>Sí</t>
        </is>
      </c>
      <c r="E6" s="30" t="inlineStr">
        <is>
          <t>FM-01 y log de accesos de la sesión 5</t>
        </is>
      </c>
      <c r="F6" s="30" t="n"/>
    </row>
    <row r="7" ht="30" customHeight="1" s="62">
      <c r="A7" s="25" t="n">
        <v>3</v>
      </c>
      <c r="B7" s="30" t="inlineStr">
        <is>
          <t>Adherencia</t>
        </is>
      </c>
      <c r="C7" s="30" t="inlineStr">
        <is>
          <t>Se usaron todos los módulos definidos en el protocolo</t>
        </is>
      </c>
      <c r="D7" s="29" t="inlineStr">
        <is>
          <t>Sí</t>
        </is>
      </c>
      <c r="E7" s="30" t="inlineStr">
        <is>
          <t>Logs de auditoría</t>
        </is>
      </c>
      <c r="F7" s="30" t="n"/>
    </row>
    <row r="8" ht="30" customHeight="1" s="62">
      <c r="A8" s="25" t="n">
        <v>4</v>
      </c>
      <c r="B8" s="30" t="inlineStr">
        <is>
          <t>Calidad</t>
        </is>
      </c>
      <c r="C8" s="30" t="inlineStr">
        <is>
          <t>Todos los participantes recibieron la misma capacitación</t>
        </is>
      </c>
      <c r="D8" s="29" t="inlineStr">
        <is>
          <t>Sí</t>
        </is>
      </c>
      <c r="E8" s="30" t="inlineStr">
        <is>
          <t>Sesión 4: 108 de 108 capacitados el 25/10</t>
        </is>
      </c>
      <c r="F8" s="30" t="n"/>
    </row>
    <row r="9" ht="30" customHeight="1" s="62">
      <c r="A9" s="25" t="n">
        <v>5</v>
      </c>
      <c r="B9" s="30" t="inlineStr">
        <is>
          <t>Calidad</t>
        </is>
      </c>
      <c r="C9" s="30" t="inlineStr">
        <is>
          <t>El sistema tuvo una disponibilidad ≥ 95 %</t>
        </is>
      </c>
      <c r="D9" s="29" t="inlineStr">
        <is>
          <t>Sí</t>
        </is>
      </c>
      <c r="E9" s="30" t="inlineStr">
        <is>
          <t>Hoja 1: % disponibilidad</t>
        </is>
      </c>
      <c r="F9" s="30" t="n"/>
    </row>
    <row r="10" ht="30" customHeight="1" s="62">
      <c r="A10" s="25" t="n">
        <v>6</v>
      </c>
      <c r="B10" s="30" t="inlineStr">
        <is>
          <t>Respuesta</t>
        </is>
      </c>
      <c r="C10" s="30" t="inlineStr">
        <is>
          <t>≥ 80 % de los participantes usaron la solución</t>
        </is>
      </c>
      <c r="D10" s="29" t="inlineStr">
        <is>
          <t>Sí</t>
        </is>
      </c>
      <c r="E10" s="30" t="inlineStr">
        <is>
          <t>Hoja 1: % participación</t>
        </is>
      </c>
      <c r="F10" s="30" t="n"/>
    </row>
    <row r="11" ht="30" customHeight="1" s="62">
      <c r="A11" s="25" t="n">
        <v>7</v>
      </c>
      <c r="B11" s="30" t="inlineStr">
        <is>
          <t>Diferenciación</t>
        </is>
      </c>
      <c r="C11" s="30" t="inlineStr">
        <is>
          <t>El grupo de comparación no accedió a la solución</t>
        </is>
      </c>
      <c r="D11" s="29" t="inlineStr">
        <is>
          <t>No aplica</t>
        </is>
      </c>
      <c r="E11" s="30" t="inlineStr">
        <is>
          <t>Logs de acceso</t>
        </is>
      </c>
      <c r="F11" s="30" t="inlineStr">
        <is>
          <t>No aplica: diseño preexperimental de grupo único, sin grupo de comparación (PDT §3.3)</t>
        </is>
      </c>
    </row>
    <row r="12" ht="30" customHeight="1" s="62">
      <c r="A12" s="25" t="n">
        <v>8</v>
      </c>
      <c r="B12" s="30" t="inlineStr">
        <is>
          <t>Calidad</t>
        </is>
      </c>
      <c r="C12" s="30" t="inlineStr">
        <is>
          <t>Toda incidencia fue registrada, clasificada y atendida</t>
        </is>
      </c>
      <c r="D12" s="29" t="inlineStr">
        <is>
          <t>Sí</t>
        </is>
      </c>
      <c r="E12" s="30" t="inlineStr">
        <is>
          <t>Hoja 2</t>
        </is>
      </c>
      <c r="F12" s="30" t="n"/>
    </row>
    <row r="13" ht="30" customHeight="1" s="62">
      <c r="A13" s="25" t="n">
        <v>9</v>
      </c>
      <c r="B13" s="30" t="inlineStr">
        <is>
          <t>Adherencia</t>
        </is>
      </c>
      <c r="C13" s="30" t="inlineStr">
        <is>
          <t>Los cambios cuentan con aprobación documentada</t>
        </is>
      </c>
      <c r="D13" s="29" t="inlineStr">
        <is>
          <t>No</t>
        </is>
      </c>
      <c r="E13" s="30" t="inlineStr">
        <is>
          <t>Hoja 6</t>
        </is>
      </c>
      <c r="F13" s="30" t="inlineStr">
        <is>
          <t>La duración de 7 días ya está en el PDT. La firma del asesor sigue pendiente, así que no hay aprobación documentada.</t>
        </is>
      </c>
    </row>
    <row r="14" ht="30" customHeight="1" s="62">
      <c r="A14" s="25" t="n">
        <v>10</v>
      </c>
      <c r="B14" s="30" t="inlineStr">
        <is>
          <t>Calidad</t>
        </is>
      </c>
      <c r="C14" s="30" t="inlineStr">
        <is>
          <t>Existen evidencias trazables (logs, actas, capturas)</t>
        </is>
      </c>
      <c r="D14" s="29" t="inlineStr">
        <is>
          <t>Sí</t>
        </is>
      </c>
      <c r="E14" s="30" t="inlineStr">
        <is>
          <t>Portafolio de evidencias</t>
        </is>
      </c>
      <c r="F14" s="30" t="n"/>
    </row>
    <row r="16">
      <c r="B16" s="7" t="inlineStr">
        <is>
          <t>Criterios cumplidos</t>
        </is>
      </c>
      <c r="C16" s="25">
        <f>COUNTIF(D5:D14,"Sí")</f>
        <v/>
      </c>
      <c r="E16" s="36" t="inlineStr">
        <is>
          <t>Dimensión</t>
        </is>
      </c>
      <c r="F16" s="36" t="inlineStr">
        <is>
          <t>IF por dimensión</t>
        </is>
      </c>
    </row>
    <row r="17">
      <c r="B17" s="7" t="inlineStr">
        <is>
          <t>Criterios aplicables</t>
        </is>
      </c>
      <c r="C17" s="25">
        <f>COUNTA(D5:D14)</f>
        <v/>
      </c>
      <c r="E17" s="32" t="inlineStr">
        <is>
          <t>Adherencia</t>
        </is>
      </c>
      <c r="F17" s="33">
        <f>IF(COUNTIF($B$5:$B$14,E17)=0,"",COUNTIFS($B$5:$B$14,E17,$D$5:$D$14,"Sí")/COUNTIF($B$5:$B$14,E17))</f>
        <v/>
      </c>
    </row>
    <row r="18">
      <c r="B18" s="7" t="inlineStr">
        <is>
          <t>IF global</t>
        </is>
      </c>
      <c r="C18" s="34">
        <f>IF(C17=0,"",C16/C17)</f>
        <v/>
      </c>
      <c r="E18" s="32" t="inlineStr">
        <is>
          <t>Exposición</t>
        </is>
      </c>
      <c r="F18" s="33">
        <f>IF(COUNTIF($B$5:$B$14,E18)=0,"",COUNTIFS($B$5:$B$14,E18,$D$5:$D$14,"Sí")/COUNTIF($B$5:$B$14,E18))</f>
        <v/>
      </c>
    </row>
    <row r="19">
      <c r="B19" s="7" t="inlineStr">
        <is>
          <t>Nivel de fidelidad</t>
        </is>
      </c>
      <c r="C19" s="25">
        <f>IF(C18="","",IF(C18&gt;=0.8,"Alta",IF(C18&gt;=0.6,"Moderada","Baja")))</f>
        <v/>
      </c>
      <c r="E19" s="32" t="inlineStr">
        <is>
          <t>Calidad</t>
        </is>
      </c>
      <c r="F19" s="33">
        <f>IF(COUNTIF($B$5:$B$14,E19)=0,"",COUNTIFS($B$5:$B$14,E19,$D$5:$D$14,"Sí")/COUNTIF($B$5:$B$14,E19))</f>
        <v/>
      </c>
    </row>
    <row r="20" ht="31.5" customHeight="1" s="62">
      <c r="B20" s="7" t="inlineStr">
        <is>
          <t>Interpretación</t>
        </is>
      </c>
      <c r="C20" s="26">
        <f>IF(C19="Alta","Fidelidad aceptable: el efecto puede atribuirse a la solución.",IF(C19="Moderada","Aplicar acciones correctivas antes del postest.","Compromete la validez interna: reportar en limitaciones."))</f>
        <v/>
      </c>
      <c r="E20" s="32" t="inlineStr">
        <is>
          <t>Respuesta</t>
        </is>
      </c>
      <c r="F20" s="33">
        <f>IF(COUNTIF($B$5:$B$14,E20)=0,"",COUNTIFS($B$5:$B$14,E20,$D$5:$D$14,"Sí")/COUNTIF($B$5:$B$14,E20))</f>
        <v/>
      </c>
    </row>
    <row r="21" ht="15.75" customHeight="1" s="62">
      <c r="E21" s="32" t="inlineStr">
        <is>
          <t>Diferenciación</t>
        </is>
      </c>
      <c r="F21" s="33">
        <f>IF(COUNTIF($B$5:$B$14,E21)=0,"",COUNTIFS($B$5:$B$14,E21,$D$5:$D$14,"Sí")/COUNTIF($B$5:$B$14,E21))</f>
        <v/>
      </c>
    </row>
    <row r="22" ht="15.75" customHeight="1" s="62"/>
    <row r="23" ht="15.75" customHeight="1" s="62">
      <c r="A23" s="8" t="inlineStr">
        <is>
          <t>Umbral de alta fidelidad: ≥ 80 % (Borrelli et al., 2005). Dimensiones según Dane y Schneider (1998) y Carroll et al. (2007).</t>
        </is>
      </c>
    </row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2">
    <mergeCell ref="A2:F2"/>
    <mergeCell ref="A1:F1"/>
  </mergeCells>
  <conditionalFormatting sqref="D5:D14">
    <cfRule type="cellIs" priority="1" operator="equal" dxfId="0">
      <formula>"Sí"</formula>
    </cfRule>
    <cfRule type="cellIs" priority="2" operator="equal" dxfId="1">
      <formula>"No"</formula>
    </cfRule>
  </conditionalFormatting>
  <conditionalFormatting sqref="C19">
    <cfRule type="cellIs" priority="3" operator="equal" dxfId="0">
      <formula>"Alta"</formula>
    </cfRule>
    <cfRule type="cellIs" priority="4" operator="equal" dxfId="2">
      <formula>"Moderada"</formula>
    </cfRule>
    <cfRule type="cellIs" priority="5" operator="equal" dxfId="1">
      <formula>"Baja"</formula>
    </cfRule>
  </conditionalFormatting>
  <dataValidations count="2">
    <dataValidation sqref="B5:B14" showDropDown="0" showInputMessage="0" showErrorMessage="0" allowBlank="1" type="list">
      <formula1>"Adherencia,Exposición,Calidad,Respuesta,Diferenciación"</formula1>
    </dataValidation>
    <dataValidation sqref="D5:D14" showDropDown="0" showInputMessage="0" showErrorMessage="0" allowBlank="1" type="list">
      <formula1>Listas!$F$2:$F$3</formula1>
    </dataValidation>
  </dataValidations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5" customWidth="1" style="62" min="1" max="1"/>
    <col width="26" customWidth="1" style="62" min="2" max="2"/>
    <col width="18" customWidth="1" style="62" min="3" max="3"/>
    <col width="34" customWidth="1" style="62" min="4" max="4"/>
    <col width="12" customWidth="1" style="62" min="5" max="5"/>
    <col width="11" customWidth="1" style="62" min="6" max="6"/>
    <col width="13" customWidth="1" style="62" min="7" max="7"/>
    <col width="40" customWidth="1" style="62" min="8" max="8"/>
    <col width="20" customWidth="1" style="62" min="9" max="10"/>
    <col width="22" customWidth="1" style="62" min="11" max="11"/>
    <col width="8.710000000000001" customWidth="1" style="62" min="12" max="26"/>
  </cols>
  <sheetData>
    <row r="1" ht="30" customHeight="1" s="62">
      <c r="A1" s="63" t="inlineStr">
        <is>
          <t>INSTRUMENTO 4: MATRIZ DE VARIABLES INTERVINIENTES</t>
        </is>
      </c>
    </row>
    <row r="2" ht="30" customHeight="1" s="62">
      <c r="A2" s="64" t="inlineStr">
        <is>
          <t>Seminario de Tesis III – Sesión 6: Monitoreo, fidelidad y control de incidencias | Celdas amarillas con texto azul = datos que ingresa el tesista; celdas blancas = fórmulas (no modificar)</t>
        </is>
      </c>
    </row>
    <row r="4" ht="39.75" customHeight="1" s="62">
      <c r="A4" s="36" t="inlineStr">
        <is>
          <t>N.°</t>
        </is>
      </c>
      <c r="B4" s="36" t="inlineStr">
        <is>
          <t>Variable interviniente</t>
        </is>
      </c>
      <c r="C4" s="36" t="inlineStr">
        <is>
          <t>Tipo</t>
        </is>
      </c>
      <c r="D4" s="36" t="inlineStr">
        <is>
          <t>Posible efecto sobre la VD</t>
        </is>
      </c>
      <c r="E4" s="36" t="inlineStr">
        <is>
          <t>Probabilidad (1–3)</t>
        </is>
      </c>
      <c r="F4" s="36" t="inlineStr">
        <is>
          <t>Impacto (1–3)</t>
        </is>
      </c>
      <c r="G4" s="36" t="inlineStr">
        <is>
          <t>Nivel de riesgo (auto)</t>
        </is>
      </c>
      <c r="H4" s="36" t="inlineStr">
        <is>
          <t>Estrategia de control</t>
        </is>
      </c>
      <c r="I4" s="36" t="inlineStr">
        <is>
          <t>Evidencia</t>
        </is>
      </c>
      <c r="J4" s="36" t="inlineStr">
        <is>
          <t>Estado de control</t>
        </is>
      </c>
      <c r="K4" s="36" t="inlineStr">
        <is>
          <t>Amenaza asociada</t>
        </is>
      </c>
    </row>
    <row r="5" ht="33.75" customHeight="1" s="62">
      <c r="A5" s="25" t="n">
        <v>1</v>
      </c>
      <c r="B5" s="30" t="inlineStr">
        <is>
          <t>Conectividad móvil (3G/4G/5G)</t>
        </is>
      </c>
      <c r="C5" s="30" t="inlineStr">
        <is>
          <t>Tecnológica</t>
        </is>
      </c>
      <c r="D5" s="30" t="inlineStr">
        <is>
          <t>La latencia y los cortes de red alteran el tiempo de búsqueda percibido en el postest</t>
        </is>
      </c>
      <c r="E5" s="31" t="n">
        <v>3</v>
      </c>
      <c r="F5" s="31" t="n">
        <v>2</v>
      </c>
      <c r="G5" s="25">
        <f>IF(OR(E5="",F5=""),"",IF(E5*F5&gt;=6,"Alto",IF(E5*F5&gt;=3,"Medio","Bajo")))</f>
        <v/>
      </c>
      <c r="H5" s="30" t="inlineStr">
        <is>
          <t>Registrar por separado la latencia del servidor y el tiempo de red percibido por el navegador</t>
        </is>
      </c>
      <c r="I5" s="30" t="inlineStr">
        <is>
          <t>Logs de telemetría del sistema</t>
        </is>
      </c>
      <c r="J5" s="30" t="inlineStr">
        <is>
          <t>Parcialmente controlada</t>
        </is>
      </c>
      <c r="K5" s="30" t="inlineStr">
        <is>
          <t>Instrumentación</t>
        </is>
      </c>
    </row>
    <row r="6" ht="33.75" customHeight="1" s="62">
      <c r="A6" s="25" t="n">
        <v>2</v>
      </c>
      <c r="B6" s="30" t="inlineStr">
        <is>
          <t>Sesgo de selección por afinidad digital</t>
        </is>
      </c>
      <c r="C6" s="30" t="inlineStr">
        <is>
          <t>Del participante</t>
        </is>
      </c>
      <c r="D6" s="30" t="inlineStr">
        <is>
          <t>Lectores jóvenes con mayor afinidad digital podrían mejorar más rápido que el resto</t>
        </is>
      </c>
      <c r="E6" s="31" t="n">
        <v>2</v>
      </c>
      <c r="F6" s="31" t="n">
        <v>2</v>
      </c>
      <c r="G6" s="25">
        <f>IF(OR(E6="",F6=""),"",IF(E6*F6&gt;=6,"Alto",IF(E6*F6&gt;=3,"Medio","Bajo")))</f>
        <v/>
      </c>
      <c r="H6" s="30" t="inlineStr">
        <is>
          <t>Diversificar canales de invitación (diario impreso y banners rotativos) y caracterizar demográficamente la muestra</t>
        </is>
      </c>
      <c r="I6" s="30" t="inlineStr">
        <is>
          <t>Ficha de perfil demográfico</t>
        </is>
      </c>
      <c r="J6" s="30" t="inlineStr">
        <is>
          <t>Parcialmente controlada</t>
        </is>
      </c>
      <c r="K6" s="30" t="inlineStr">
        <is>
          <t>Selección</t>
        </is>
      </c>
    </row>
    <row r="7" ht="33.75" customHeight="1" s="62">
      <c r="A7" s="25" t="n">
        <v>3</v>
      </c>
      <c r="B7" s="30" t="inlineStr">
        <is>
          <t>Experiencia previa con asistentes conversacionales</t>
        </is>
      </c>
      <c r="C7" s="30" t="inlineStr">
        <is>
          <t>Del participante</t>
        </is>
      </c>
      <c r="D7" s="30" t="inlineStr">
        <is>
          <t>Usuarios con más práctica usan el chat con mayor rapidez y puntúan mejor la usabilidad</t>
        </is>
      </c>
      <c r="E7" s="31" t="n">
        <v>2</v>
      </c>
      <c r="F7" s="31" t="n">
        <v>2</v>
      </c>
      <c r="G7" s="25">
        <f>IF(OR(E7="",F7=""),"",IF(E7*F7&gt;=6,"Alto",IF(E7*F7&gt;=3,"Medio","Bajo")))</f>
        <v/>
      </c>
      <c r="H7" s="30" t="inlineStr">
        <is>
          <t>Registrar el nivel de experiencia previa en la ficha de perfil y considerarlo en el análisis</t>
        </is>
      </c>
      <c r="I7" s="30" t="inlineStr">
        <is>
          <t>Ficha de perfil</t>
        </is>
      </c>
      <c r="J7" s="30" t="inlineStr">
        <is>
          <t>Controlada</t>
        </is>
      </c>
      <c r="K7" s="30" t="inlineStr">
        <is>
          <t>Selección</t>
        </is>
      </c>
    </row>
    <row r="8" ht="33.75" customHeight="1" s="62">
      <c r="A8" s="25" t="n">
        <v>4</v>
      </c>
      <c r="B8" s="30" t="inlineStr">
        <is>
          <t>Eventos coyunturales locales</t>
        </is>
      </c>
      <c r="C8" s="30" t="inlineStr">
        <is>
          <t>Externa / temporal</t>
        </is>
      </c>
      <c r="D8" s="30" t="inlineStr">
        <is>
          <t>Eventos locales atípicos elevan el interés por las noticias y alteran la motivación del lector</t>
        </is>
      </c>
      <c r="E8" s="31" t="n">
        <v>2</v>
      </c>
      <c r="F8" s="31" t="n">
        <v>3</v>
      </c>
      <c r="G8" s="25">
        <f>IF(OR(E8="",F8=""),"",IF(E8*F8&gt;=6,"Alto",IF(E8*F8&gt;=3,"Medio","Bajo")))</f>
        <v/>
      </c>
      <c r="H8" s="30" t="inlineStr">
        <is>
          <t>Estandarizar las tareas de búsqueda y evitar aplicar las pruebas en periodos de alta volatilidad social o política</t>
        </is>
      </c>
      <c r="I8" s="30" t="inlineStr">
        <is>
          <t>Bitácora de eventos locales</t>
        </is>
      </c>
      <c r="J8" s="30" t="inlineStr">
        <is>
          <t>Parcialmente controlada</t>
        </is>
      </c>
      <c r="K8" s="30" t="inlineStr">
        <is>
          <t>Historia</t>
        </is>
      </c>
    </row>
    <row r="9" ht="33.75" customHeight="1" s="62">
      <c r="A9" s="25" t="n">
        <v>5</v>
      </c>
      <c r="B9" s="30" t="inlineStr">
        <is>
          <t>Efecto clic cero (zero-click)</t>
        </is>
      </c>
      <c r="C9" s="30" t="inlineStr">
        <is>
          <t>Tecnológica</t>
        </is>
      </c>
      <c r="D9" s="30" t="inlineStr">
        <is>
          <t>Las respuestas resumidas reducen la navegación a los artículos y pueden sesgar la satisfacción</t>
        </is>
      </c>
      <c r="E9" s="31" t="n">
        <v>2</v>
      </c>
      <c r="F9" s="31" t="n">
        <v>2</v>
      </c>
      <c r="G9" s="25">
        <f>IF(OR(E9="",F9=""),"",IF(E9*F9&gt;=6,"Alto",IF(E9*F9&gt;=3,"Medio","Bajo")))</f>
        <v/>
      </c>
      <c r="H9" s="30" t="inlineStr">
        <is>
          <t>Hipervínculos inline obligatorios en cada cita y acordeón de fuentes en la interfaz</t>
        </is>
      </c>
      <c r="I9" s="30" t="inlineStr">
        <is>
          <t>Logs de clics hacia los artículos fuente</t>
        </is>
      </c>
      <c r="J9" s="30" t="inlineStr">
        <is>
          <t>Controlada</t>
        </is>
      </c>
      <c r="K9" s="30" t="inlineStr">
        <is>
          <t>Instrumentación</t>
        </is>
      </c>
    </row>
    <row r="10" ht="33.75" customHeight="1" s="62">
      <c r="A10" s="25" t="n">
        <v>6</v>
      </c>
      <c r="B10" s="30" t="inlineStr">
        <is>
          <t>Cuotas gratuitas (free tier) de APIs y base de datos</t>
        </is>
      </c>
      <c r="C10" s="30" t="inlineStr">
        <is>
          <t>Tecnológica</t>
        </is>
      </c>
      <c r="D10" s="30" t="inlineStr">
        <is>
          <t>Los límites de consumo pueden degradar o interrumpir el asistente durante la exposición</t>
        </is>
      </c>
      <c r="E10" s="31" t="n">
        <v>2</v>
      </c>
      <c r="F10" s="31" t="n">
        <v>3</v>
      </c>
      <c r="G10" s="25">
        <f>IF(OR(E10="",F10=""),"",IF(E10*F10&gt;=6,"Alto",IF(E10*F10&gt;=3,"Medio","Bajo")))</f>
        <v/>
      </c>
      <c r="H10" s="30" t="inlineStr">
        <is>
          <t>Caché de vectores y de peticiones; limitar las consultas repetitivas al modelo de lenguaje</t>
        </is>
      </c>
      <c r="I10" s="30" t="inlineStr">
        <is>
          <t>Logs de disponibilidad y consumo de API</t>
        </is>
      </c>
      <c r="J10" s="30" t="inlineStr">
        <is>
          <t>Parcialmente controlada</t>
        </is>
      </c>
      <c r="K10" s="30" t="inlineStr">
        <is>
          <t>Dosis baja (fidelidad)</t>
        </is>
      </c>
    </row>
    <row r="11" ht="33.75" customHeight="1" s="62">
      <c r="A11" s="25" t="n">
        <v>7</v>
      </c>
      <c r="B11" s="30" t="inlineStr">
        <is>
          <t>Doble rol del investigador (desarrollador del diario)</t>
        </is>
      </c>
      <c r="C11" s="30" t="inlineStr">
        <is>
          <t>Del investigador</t>
        </is>
      </c>
      <c r="D11" s="30" t="inlineStr">
        <is>
          <t>Posible sesgo al asistir a los participantes o al registrar las mediciones</t>
        </is>
      </c>
      <c r="E11" s="31" t="n">
        <v>1</v>
      </c>
      <c r="F11" s="31" t="n">
        <v>2</v>
      </c>
      <c r="G11" s="25">
        <f>IF(OR(E11="",F11=""),"",IF(E11*F11&gt;=6,"Alto",IF(E11*F11&gt;=3,"Medio","Bajo")))</f>
        <v/>
      </c>
      <c r="H11" s="30" t="inlineStr">
        <is>
          <t>Medición automática con logs y tareas de búsqueda estandarizadas, sin intervención del investigador</t>
        </is>
      </c>
      <c r="I11" s="30" t="inlineStr">
        <is>
          <t>Ficha de registro de tiempos y clics (telemetría)</t>
        </is>
      </c>
      <c r="J11" s="30" t="inlineStr">
        <is>
          <t>Controlada</t>
        </is>
      </c>
      <c r="K11" s="30" t="inlineStr">
        <is>
          <t>Instrumentación</t>
        </is>
      </c>
    </row>
    <row r="12" ht="33.75" customHeight="1" s="62">
      <c r="A12" s="25" t="n">
        <v>8</v>
      </c>
      <c r="B12" s="30" t="inlineStr">
        <is>
          <t>Abandono de participantes (pretest o postest incompleto)</t>
        </is>
      </c>
      <c r="C12" s="30" t="inlineStr">
        <is>
          <t>Del participante</t>
        </is>
      </c>
      <c r="D12" s="30" t="inlineStr">
        <is>
          <t>La pérdida de casos reduce el tamaño de muestra y la potencia del contraste</t>
        </is>
      </c>
      <c r="E12" s="31" t="n">
        <v>2</v>
      </c>
      <c r="F12" s="31" t="n">
        <v>2</v>
      </c>
      <c r="G12" s="25">
        <f>IF(OR(E12="",F12=""),"",IF(E12*F12&gt;=6,"Alto",IF(E12*F12&gt;=3,"Medio","Bajo")))</f>
        <v/>
      </c>
      <c r="H12" s="30" t="inlineStr">
        <is>
          <t>Seguimiento de participantes y reemplazo hasta completar la cuota de 108 con instrumentos completos</t>
        </is>
      </c>
      <c r="I12" s="30" t="inlineStr">
        <is>
          <t>Registro de participantes</t>
        </is>
      </c>
      <c r="J12" s="30" t="inlineStr">
        <is>
          <t>Parcialmente controlada</t>
        </is>
      </c>
      <c r="K12" s="30" t="inlineStr">
        <is>
          <t>Mortalidad experimental</t>
        </is>
      </c>
    </row>
    <row r="13" ht="33.75" customHeight="1" s="62">
      <c r="A13" s="25" t="n">
        <v>9</v>
      </c>
      <c r="B13" s="30" t="n"/>
      <c r="C13" s="30" t="n"/>
      <c r="D13" s="30" t="n"/>
      <c r="E13" s="31" t="n"/>
      <c r="F13" s="31" t="n"/>
      <c r="G13" s="25">
        <f>IF(OR(E13="",F13=""),"",IF(E13*F13&gt;=6,"Alto",IF(E13*F13&gt;=3,"Medio","Bajo")))</f>
        <v/>
      </c>
      <c r="H13" s="30" t="n"/>
      <c r="I13" s="30" t="n"/>
      <c r="J13" s="30" t="n"/>
      <c r="K13" s="30" t="n"/>
    </row>
    <row r="14" ht="33.75" customHeight="1" s="62">
      <c r="A14" s="25" t="n">
        <v>10</v>
      </c>
      <c r="B14" s="30" t="n"/>
      <c r="C14" s="30" t="n"/>
      <c r="D14" s="30" t="n"/>
      <c r="E14" s="31" t="n"/>
      <c r="F14" s="31" t="n"/>
      <c r="G14" s="25">
        <f>IF(OR(E14="",F14=""),"",IF(E14*F14&gt;=6,"Alto",IF(E14*F14&gt;=3,"Medio","Bajo")))</f>
        <v/>
      </c>
      <c r="H14" s="30" t="n"/>
      <c r="I14" s="30" t="n"/>
      <c r="J14" s="30" t="n"/>
      <c r="K14" s="30" t="n"/>
    </row>
    <row r="15" ht="33.75" customHeight="1" s="62">
      <c r="A15" s="25" t="n">
        <v>11</v>
      </c>
      <c r="B15" s="30" t="n"/>
      <c r="C15" s="30" t="n"/>
      <c r="D15" s="30" t="n"/>
      <c r="E15" s="31" t="n"/>
      <c r="F15" s="31" t="n"/>
      <c r="G15" s="25">
        <f>IF(OR(E15="",F15=""),"",IF(E15*F15&gt;=6,"Alto",IF(E15*F15&gt;=3,"Medio","Bajo")))</f>
        <v/>
      </c>
      <c r="H15" s="30" t="n"/>
      <c r="I15" s="30" t="n"/>
      <c r="J15" s="30" t="n"/>
      <c r="K15" s="30" t="n"/>
    </row>
    <row r="16" ht="33.75" customHeight="1" s="62">
      <c r="A16" s="25" t="n">
        <v>12</v>
      </c>
      <c r="B16" s="30" t="n"/>
      <c r="C16" s="30" t="n"/>
      <c r="D16" s="30" t="n"/>
      <c r="E16" s="31" t="n"/>
      <c r="F16" s="31" t="n"/>
      <c r="G16" s="25">
        <f>IF(OR(E16="",F16=""),"",IF(E16*F16&gt;=6,"Alto",IF(E16*F16&gt;=3,"Medio","Bajo")))</f>
        <v/>
      </c>
      <c r="H16" s="30" t="n"/>
      <c r="I16" s="30" t="n"/>
      <c r="J16" s="30" t="n"/>
      <c r="K16" s="30" t="n"/>
    </row>
    <row r="18">
      <c r="A18" s="8" t="inlineStr">
        <is>
          <t>Nivel de riesgo = Probabilidad × Impacto: ≥ 6 Alto; 3–5 Medio; 1–2 Bajo. Toda variable debe tener una estrategia de control y una evidencia verificable.</t>
        </is>
      </c>
    </row>
    <row r="21" ht="15.75" customHeight="1" s="62"/>
    <row r="22" ht="15.75" customHeight="1" s="62"/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2">
    <mergeCell ref="A2:K2"/>
    <mergeCell ref="A1:K1"/>
  </mergeCells>
  <conditionalFormatting sqref="G5:G16">
    <cfRule type="cellIs" priority="1" operator="equal" dxfId="1">
      <formula>"Alto"</formula>
    </cfRule>
    <cfRule type="cellIs" priority="2" operator="equal" dxfId="2">
      <formula>"Medio"</formula>
    </cfRule>
    <cfRule type="cellIs" priority="3" operator="equal" dxfId="0">
      <formula>"Bajo"</formula>
    </cfRule>
  </conditionalFormatting>
  <dataValidations count="4">
    <dataValidation sqref="E5:F16" showDropDown="0" showInputMessage="0" showErrorMessage="0" allowBlank="1" type="decimal">
      <formula1>1.0</formula1>
      <formula2>3.0</formula2>
    </dataValidation>
    <dataValidation sqref="K5:K16" showDropDown="0" showInputMessage="0" showErrorMessage="0" allowBlank="1" type="list">
      <formula1>Listas!$D$2:$D$11</formula1>
    </dataValidation>
    <dataValidation sqref="J5:J16" showDropDown="0" showInputMessage="0" showErrorMessage="0" allowBlank="1" type="list">
      <formula1>Listas!$I$2:$I$4</formula1>
    </dataValidation>
    <dataValidation sqref="C5:C16" showDropDown="0" showInputMessage="0" showErrorMessage="0" allowBlank="1" type="list">
      <formula1>Listas!$E$2:$E$6</formula1>
    </dataValidation>
  </dataValidations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62" min="1" max="1"/>
    <col width="32" customWidth="1" style="62" min="2" max="2"/>
    <col width="12" customWidth="1" style="62" min="3" max="4"/>
    <col width="18" customWidth="1" style="62" min="5" max="5"/>
    <col width="14" customWidth="1" style="62" min="6" max="6"/>
    <col width="20" customWidth="1" style="62" min="7" max="7"/>
    <col width="16" customWidth="1" style="62" min="8" max="8"/>
    <col width="46" customWidth="1" style="62" min="9" max="9"/>
    <col width="22" customWidth="1" style="62" min="10" max="10"/>
    <col width="8.710000000000001" customWidth="1" style="62" min="11" max="26"/>
  </cols>
  <sheetData>
    <row r="1" ht="30" customHeight="1" s="62">
      <c r="A1" s="63" t="inlineStr">
        <is>
          <t>COMPARACIÓN PLANIFICADO VS. REAL (DESVIACIONES DEL PROTOCOLO)</t>
        </is>
      </c>
    </row>
    <row r="2" ht="30" customHeight="1" s="62">
      <c r="A2" s="64" t="inlineStr">
        <is>
          <t>Seminario de Tesis III – Sesión 6: Monitoreo, fidelidad y control de incidencias | Celdas amarillas con texto azul = datos que ingresa el tesista; celdas blancas = fórmulas (no modificar)</t>
        </is>
      </c>
    </row>
    <row r="3">
      <c r="A3" s="35" t="inlineStr">
        <is>
          <t>Regla: la desviación es MAYOR si afecta la dosis, a los participantes o la medición de la VD; si no, es MENOR.</t>
        </is>
      </c>
    </row>
    <row r="5" ht="45" customHeight="1" s="62">
      <c r="A5" s="36" t="inlineStr">
        <is>
          <t>N.°</t>
        </is>
      </c>
      <c r="B5" s="36" t="inlineStr">
        <is>
          <t>Elemento del protocolo</t>
        </is>
      </c>
      <c r="C5" s="36" t="inlineStr">
        <is>
          <t>Planificado</t>
        </is>
      </c>
      <c r="D5" s="36" t="inlineStr">
        <is>
          <t>Real</t>
        </is>
      </c>
      <c r="E5" s="36" t="inlineStr">
        <is>
          <t>Unidad</t>
        </is>
      </c>
      <c r="F5" s="36" t="inlineStr">
        <is>
          <t>Desviación (%)</t>
        </is>
      </c>
      <c r="G5" s="36" t="inlineStr">
        <is>
          <t>¿Afecta dosis, participantes o medición?</t>
        </is>
      </c>
      <c r="H5" s="36" t="inlineStr">
        <is>
          <t>Tipo (auto)</t>
        </is>
      </c>
      <c r="I5" s="36" t="inlineStr">
        <is>
          <t>Acción correctiva / justificación</t>
        </is>
      </c>
      <c r="J5" s="36" t="inlineStr">
        <is>
          <t>Evidencia</t>
        </is>
      </c>
    </row>
    <row r="6" ht="27.75" customHeight="1" s="62">
      <c r="A6" s="25" t="n">
        <v>1</v>
      </c>
      <c r="B6" s="30" t="inlineStr">
        <is>
          <t>Duración de la intervención (27/10 al 02/11/2026)</t>
        </is>
      </c>
      <c r="C6" s="31" t="n">
        <v>7</v>
      </c>
      <c r="D6" s="31" t="n">
        <v>7</v>
      </c>
      <c r="E6" s="31" t="inlineStr">
        <is>
          <t>días</t>
        </is>
      </c>
      <c r="F6" s="37">
        <f>IF(OR(C6="",D6="",C6=0),"",(D6-C6)/C6)</f>
        <v/>
      </c>
      <c r="G6" s="31" t="inlineStr">
        <is>
          <t>No</t>
        </is>
      </c>
      <c r="H6" s="25">
        <f>IF(F6="","",IF(F6=0,"Sin desviación",IF(G6="Sí","Mayor","Menor")))</f>
        <v/>
      </c>
      <c r="I6" s="30" t="inlineStr">
        <is>
          <t>Coincide con el cronograma de la sesión 1.</t>
        </is>
      </c>
      <c r="J6" s="30" t="n"/>
    </row>
    <row r="7" ht="27.75" customHeight="1" s="62">
      <c r="A7" s="25" t="n">
        <v>2</v>
      </c>
      <c r="B7" s="30" t="inlineStr">
        <is>
          <t>Tamaño de muestra con pretest y postest completos</t>
        </is>
      </c>
      <c r="C7" s="31" t="n">
        <v>108</v>
      </c>
      <c r="D7" s="31" t="n">
        <v>105</v>
      </c>
      <c r="E7" s="31" t="inlineStr">
        <is>
          <t>lectores</t>
        </is>
      </c>
      <c r="F7" s="37">
        <f>IF(OR(C7="",D7="",C7=0),"",(D7-C7)/C7)</f>
        <v/>
      </c>
      <c r="G7" s="31" t="inlineStr">
        <is>
          <t>Sí</t>
        </is>
      </c>
      <c r="H7" s="25">
        <f>IF(F7="","",IF(F7=0,"Sin desviación",IF(G7="Sí","Mayor","Menor")))</f>
        <v/>
      </c>
      <c r="I7" s="30" t="inlineStr">
        <is>
          <t>Tres retiros (GU-TDH-015, 033 y 053). Quedan 105 pares. No se reemplazó a nadie.</t>
        </is>
      </c>
      <c r="J7" s="30" t="inlineStr">
        <is>
          <t>Sesión 5, hoja de participantes, y sesión 7.</t>
        </is>
      </c>
    </row>
    <row r="8" ht="27.75" customHeight="1" s="62">
      <c r="A8" s="25" t="n">
        <v>3</v>
      </c>
      <c r="B8" s="30" t="inlineStr">
        <is>
          <t>Tareas de búsqueda por participante</t>
        </is>
      </c>
      <c r="C8" s="31" t="n">
        <v>2</v>
      </c>
      <c r="D8" s="31" t="n">
        <v>2</v>
      </c>
      <c r="E8" s="31" t="inlineStr">
        <is>
          <t>tareas</t>
        </is>
      </c>
      <c r="F8" s="37">
        <f>IF(OR(C8="",D8="",C8=0),"",(D8-C8)/C8)</f>
        <v/>
      </c>
      <c r="G8" s="31" t="inlineStr">
        <is>
          <t>No</t>
        </is>
      </c>
      <c r="H8" s="25">
        <f>IF(F8="","",IF(F8=0,"Sin desviación",IF(G8="Sí","Mayor","Menor")))</f>
        <v/>
      </c>
      <c r="I8" s="30" t="n"/>
      <c r="J8" s="30" t="n"/>
    </row>
    <row r="9" ht="27.75" customHeight="1" s="62">
      <c r="A9" s="25" t="n">
        <v>4</v>
      </c>
      <c r="B9" s="30" t="inlineStr">
        <is>
          <t>Tiempo máximo por tarea de búsqueda</t>
        </is>
      </c>
      <c r="C9" s="31" t="n">
        <v>300</v>
      </c>
      <c r="D9" s="31" t="n">
        <v>300</v>
      </c>
      <c r="E9" s="31" t="inlineStr">
        <is>
          <t>segundos</t>
        </is>
      </c>
      <c r="F9" s="37">
        <f>IF(OR(C9="",D9="",C9=0),"",(D9-C9)/C9)</f>
        <v/>
      </c>
      <c r="G9" s="31" t="inlineStr">
        <is>
          <t>No</t>
        </is>
      </c>
      <c r="H9" s="25">
        <f>IF(F9="","",IF(F9=0,"Sin desviación",IF(G9="Sí","Mayor","Menor")))</f>
        <v/>
      </c>
      <c r="I9" s="30" t="n"/>
      <c r="J9" s="30" t="n"/>
    </row>
    <row r="10" ht="27.75" customHeight="1" s="62">
      <c r="A10" s="25" t="n">
        <v>5</v>
      </c>
      <c r="B10" s="30" t="inlineStr">
        <is>
          <t>Ventana de aplicación del postest (03/11 al 08/11/2026)</t>
        </is>
      </c>
      <c r="C10" s="31" t="n">
        <v>6</v>
      </c>
      <c r="D10" s="31" t="n">
        <v>6</v>
      </c>
      <c r="E10" s="31" t="inlineStr">
        <is>
          <t>días</t>
        </is>
      </c>
      <c r="F10" s="37">
        <f>IF(OR(C10="",D10="",C10=0),"",(D10-C10)/C10)</f>
        <v/>
      </c>
      <c r="G10" s="31" t="inlineStr">
        <is>
          <t>No</t>
        </is>
      </c>
      <c r="H10" s="25">
        <f>IF(F10="","",IF(F10=0,"Sin desviación",IF(G10="Sí","Mayor","Menor")))</f>
        <v/>
      </c>
      <c r="I10" s="30" t="inlineStr">
        <is>
          <t>Misma ventana de la actividad 12 del cronograma.</t>
        </is>
      </c>
      <c r="J10" s="30" t="n"/>
    </row>
    <row r="11" ht="27.75" customHeight="1" s="62">
      <c r="A11" s="25" t="n">
        <v>6</v>
      </c>
      <c r="B11" s="30" t="n"/>
      <c r="C11" s="31" t="n"/>
      <c r="D11" s="31" t="n"/>
      <c r="E11" s="31" t="n"/>
      <c r="F11" s="37">
        <f>IF(OR(C11="",D11="",C11=0),"",(D11-C11)/C11)</f>
        <v/>
      </c>
      <c r="G11" s="31" t="n"/>
      <c r="H11" s="25">
        <f>IF(F11="","",IF(F11=0,"Sin desviación",IF(G11="Sí","Mayor","Menor")))</f>
        <v/>
      </c>
      <c r="I11" s="30" t="n"/>
      <c r="J11" s="30" t="n"/>
    </row>
    <row r="12" ht="27.75" customHeight="1" s="62">
      <c r="A12" s="25" t="n">
        <v>7</v>
      </c>
      <c r="B12" s="30" t="n"/>
      <c r="C12" s="31" t="n"/>
      <c r="D12" s="31" t="n"/>
      <c r="E12" s="31" t="n"/>
      <c r="F12" s="37">
        <f>IF(OR(C12="",D12="",C12=0),"",(D12-C12)/C12)</f>
        <v/>
      </c>
      <c r="G12" s="31" t="n"/>
      <c r="H12" s="25">
        <f>IF(F12="","",IF(F12=0,"Sin desviación",IF(G12="Sí","Mayor","Menor")))</f>
        <v/>
      </c>
      <c r="I12" s="30" t="n"/>
      <c r="J12" s="30" t="n"/>
    </row>
    <row r="13" ht="27.75" customHeight="1" s="62">
      <c r="A13" s="25" t="n">
        <v>8</v>
      </c>
      <c r="B13" s="30" t="n"/>
      <c r="C13" s="31" t="n"/>
      <c r="D13" s="31" t="n"/>
      <c r="E13" s="31" t="n"/>
      <c r="F13" s="37">
        <f>IF(OR(C13="",D13="",C13=0),"",(D13-C13)/C13)</f>
        <v/>
      </c>
      <c r="G13" s="31" t="n"/>
      <c r="H13" s="25">
        <f>IF(F13="","",IF(F13=0,"Sin desviación",IF(G13="Sí","Mayor","Menor")))</f>
        <v/>
      </c>
      <c r="I13" s="30" t="n"/>
      <c r="J13" s="30" t="n"/>
    </row>
    <row r="14" ht="27.75" customHeight="1" s="62">
      <c r="A14" s="25" t="n">
        <v>9</v>
      </c>
      <c r="B14" s="30" t="n"/>
      <c r="C14" s="31" t="n"/>
      <c r="D14" s="31" t="n"/>
      <c r="E14" s="31" t="n"/>
      <c r="F14" s="37">
        <f>IF(OR(C14="",D14="",C14=0),"",(D14-C14)/C14)</f>
        <v/>
      </c>
      <c r="G14" s="31" t="n"/>
      <c r="H14" s="25">
        <f>IF(F14="","",IF(F14=0,"Sin desviación",IF(G14="Sí","Mayor","Menor")))</f>
        <v/>
      </c>
      <c r="I14" s="30" t="n"/>
      <c r="J14" s="30" t="n"/>
    </row>
    <row r="15" ht="27.75" customHeight="1" s="62">
      <c r="A15" s="25" t="n">
        <v>10</v>
      </c>
      <c r="B15" s="30" t="n"/>
      <c r="C15" s="31" t="n"/>
      <c r="D15" s="31" t="n"/>
      <c r="E15" s="31" t="n"/>
      <c r="F15" s="37">
        <f>IF(OR(C15="",D15="",C15=0),"",(D15-C15)/C15)</f>
        <v/>
      </c>
      <c r="G15" s="31" t="n"/>
      <c r="H15" s="25">
        <f>IF(F15="","",IF(F15=0,"Sin desviación",IF(G15="Sí","Mayor","Menor")))</f>
        <v/>
      </c>
      <c r="I15" s="30" t="n"/>
      <c r="J15" s="30" t="n"/>
    </row>
    <row r="17">
      <c r="B17" s="7" t="inlineStr">
        <is>
          <t>Desviaciones mayores</t>
        </is>
      </c>
      <c r="C17" s="25">
        <f>COUNTIF(H6:H15,"Mayor")</f>
        <v/>
      </c>
    </row>
    <row r="18">
      <c r="B18" s="7" t="inlineStr">
        <is>
          <t>Desviaciones menores</t>
        </is>
      </c>
      <c r="C18" s="25">
        <f>COUNTIF(H6:H15,"Menor")</f>
        <v/>
      </c>
    </row>
    <row r="20">
      <c r="A20" s="8" t="inlineStr">
        <is>
          <t>Mayor: afecta dosis, participantes o medición → acción correctiva, aviso al asesor y reporte en limitaciones. Menor: se corrige y registra.</t>
        </is>
      </c>
    </row>
    <row r="21" ht="15.75" customHeight="1" s="62"/>
    <row r="22" ht="15.75" customHeight="1" s="62"/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2">
    <mergeCell ref="A1:J1"/>
    <mergeCell ref="A2:J2"/>
  </mergeCells>
  <conditionalFormatting sqref="H6:H15">
    <cfRule type="cellIs" priority="1" operator="equal" dxfId="1">
      <formula>"Mayor"</formula>
    </cfRule>
    <cfRule type="cellIs" priority="2" operator="equal" dxfId="2">
      <formula>"Menor"</formula>
    </cfRule>
    <cfRule type="cellIs" priority="3" operator="equal" dxfId="0">
      <formula>"Sin desviación"</formula>
    </cfRule>
  </conditionalFormatting>
  <dataValidations count="1">
    <dataValidation sqref="G6:G15" showDropDown="0" showInputMessage="0" showErrorMessage="0" allowBlank="1" type="list">
      <formula1>Listas!$F$2:$F$3</formula1>
    </dataValidation>
  </dataValidations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1"/>
  <sheetViews>
    <sheetView showGridLines="0" workbookViewId="0">
      <selection activeCell="A1" sqref="A1"/>
    </sheetView>
  </sheetViews>
  <sheetFormatPr baseColWidth="8" defaultColWidth="14.43" defaultRowHeight="15" customHeight="1"/>
  <cols>
    <col width="9" customWidth="1" style="62" min="1" max="1"/>
    <col width="12" customWidth="1" style="62" min="2" max="2"/>
    <col width="28" customWidth="1" style="62" min="3" max="3"/>
    <col width="22" customWidth="1" style="62" min="4" max="4"/>
    <col width="26" customWidth="1" style="62" min="5" max="6"/>
    <col width="12" customWidth="1" style="62" min="7" max="7"/>
    <col width="14" customWidth="1" style="62" min="8" max="8"/>
    <col width="13" customWidth="1" style="62" min="9" max="9"/>
    <col width="28" customWidth="1" style="62" min="10" max="10"/>
    <col width="18" customWidth="1" style="62" min="11" max="11"/>
    <col width="8.710000000000001" customWidth="1" style="62" min="12" max="26"/>
  </cols>
  <sheetData>
    <row r="1" ht="30" customHeight="1" s="62">
      <c r="A1" s="63" t="inlineStr">
        <is>
          <t>REGISTRO DE CONTROL DE CAMBIOS</t>
        </is>
      </c>
    </row>
    <row r="2" ht="30" customHeight="1" s="62">
      <c r="A2" s="64" t="inlineStr">
        <is>
          <t>Seminario de Tesis III – Sesión 6: Monitoreo, fidelidad y control de incidencias | Celdas amarillas con texto azul = datos que ingresa el tesista; celdas blancas = fórmulas (no modificar)</t>
        </is>
      </c>
    </row>
    <row r="4" ht="39.75" customHeight="1" s="62">
      <c r="A4" s="36" t="inlineStr">
        <is>
          <t>Código</t>
        </is>
      </c>
      <c r="B4" s="36" t="inlineStr">
        <is>
          <t>Fecha</t>
        </is>
      </c>
      <c r="C4" s="36" t="inlineStr">
        <is>
          <t>Elemento modificado</t>
        </is>
      </c>
      <c r="D4" s="36" t="inlineStr">
        <is>
          <t>Versión / condición anterior</t>
        </is>
      </c>
      <c r="E4" s="36" t="inlineStr">
        <is>
          <t>Versión / condición nueva</t>
        </is>
      </c>
      <c r="F4" s="36" t="inlineStr">
        <is>
          <t>Motivo</t>
        </is>
      </c>
      <c r="G4" s="36" t="inlineStr">
        <is>
          <t>INC relacionada</t>
        </is>
      </c>
      <c r="H4" s="36" t="inlineStr">
        <is>
          <t>Aprobado por</t>
        </is>
      </c>
      <c r="I4" s="36" t="inlineStr">
        <is>
          <t>Fecha de aprobación</t>
        </is>
      </c>
      <c r="J4" s="36" t="inlineStr">
        <is>
          <t>Impacto esperado en la VD</t>
        </is>
      </c>
      <c r="K4" s="36" t="inlineStr">
        <is>
          <t>Evidencia</t>
        </is>
      </c>
    </row>
    <row r="5" ht="30" customHeight="1" s="62">
      <c r="A5" s="31" t="inlineStr">
        <is>
          <t>CC-01</t>
        </is>
      </c>
      <c r="B5" s="39" t="n">
        <v>46321</v>
      </c>
      <c r="C5" s="30" t="inlineStr">
        <is>
          <t>Duración de la intervención</t>
        </is>
      </c>
      <c r="D5" s="30" t="inlineStr">
        <is>
          <t>Ejemplo de clase: 6 semanas</t>
        </is>
      </c>
      <c r="E5" s="30" t="inlineStr">
        <is>
          <t>7 días (27/10/2026 al 02/11/2026), al menos 3 sesiones</t>
        </is>
      </c>
      <c r="F5" s="30" t="inlineStr">
        <is>
          <t>Coherencia con el PDT y con el cronograma de la sesión 1</t>
        </is>
      </c>
      <c r="G5" s="31" t="n"/>
      <c r="H5" s="30" t="inlineStr">
        <is>
          <t>[PENDIENTE] Firma del asesor</t>
        </is>
      </c>
      <c r="I5" s="39" t="n"/>
      <c r="J5" s="30" t="inlineStr">
        <is>
          <t>Ninguno: el PDT ya fijaba 7 días</t>
        </is>
      </c>
      <c r="K5" s="30" t="inlineStr">
        <is>
          <t>Cronograma de campo, sesión 1, actividad 11</t>
        </is>
      </c>
    </row>
    <row r="6" ht="30" customHeight="1" s="62">
      <c r="A6" s="31" t="n"/>
      <c r="B6" s="39" t="n"/>
      <c r="C6" s="30" t="n"/>
      <c r="D6" s="30" t="n"/>
      <c r="E6" s="30" t="n"/>
      <c r="F6" s="30" t="n"/>
      <c r="G6" s="31" t="n"/>
      <c r="H6" s="30" t="n"/>
      <c r="I6" s="39" t="n"/>
      <c r="J6" s="30" t="n"/>
      <c r="K6" s="30" t="n"/>
    </row>
    <row r="7" ht="30" customHeight="1" s="62">
      <c r="A7" s="31" t="n"/>
      <c r="B7" s="39" t="n"/>
      <c r="C7" s="30" t="n"/>
      <c r="D7" s="30" t="n"/>
      <c r="E7" s="30" t="n"/>
      <c r="F7" s="30" t="n"/>
      <c r="G7" s="31" t="n"/>
      <c r="H7" s="30" t="n"/>
      <c r="I7" s="39" t="n"/>
      <c r="J7" s="30" t="n"/>
      <c r="K7" s="30" t="n"/>
    </row>
    <row r="8" ht="30" customHeight="1" s="62">
      <c r="A8" s="31" t="n"/>
      <c r="B8" s="39" t="n"/>
      <c r="C8" s="30" t="n"/>
      <c r="D8" s="30" t="n"/>
      <c r="E8" s="30" t="n"/>
      <c r="F8" s="30" t="n"/>
      <c r="G8" s="31" t="n"/>
      <c r="H8" s="30" t="n"/>
      <c r="I8" s="39" t="n"/>
      <c r="J8" s="30" t="n"/>
      <c r="K8" s="30" t="n"/>
    </row>
    <row r="9" ht="30" customHeight="1" s="62">
      <c r="A9" s="31" t="n"/>
      <c r="B9" s="39" t="n"/>
      <c r="C9" s="30" t="n"/>
      <c r="D9" s="30" t="n"/>
      <c r="E9" s="30" t="n"/>
      <c r="F9" s="30" t="n"/>
      <c r="G9" s="31" t="n"/>
      <c r="H9" s="30" t="n"/>
      <c r="I9" s="39" t="n"/>
      <c r="J9" s="30" t="n"/>
      <c r="K9" s="30" t="n"/>
    </row>
    <row r="10" ht="30" customHeight="1" s="62">
      <c r="A10" s="31" t="n"/>
      <c r="B10" s="39" t="n"/>
      <c r="C10" s="30" t="n"/>
      <c r="D10" s="30" t="n"/>
      <c r="E10" s="30" t="n"/>
      <c r="F10" s="30" t="n"/>
      <c r="G10" s="31" t="n"/>
      <c r="H10" s="30" t="n"/>
      <c r="I10" s="39" t="n"/>
      <c r="J10" s="30" t="n"/>
      <c r="K10" s="30" t="n"/>
    </row>
    <row r="11" ht="30" customHeight="1" s="62">
      <c r="A11" s="31" t="n"/>
      <c r="B11" s="39" t="n"/>
      <c r="C11" s="30" t="n"/>
      <c r="D11" s="30" t="n"/>
      <c r="E11" s="30" t="n"/>
      <c r="F11" s="30" t="n"/>
      <c r="G11" s="31" t="n"/>
      <c r="H11" s="30" t="n"/>
      <c r="I11" s="39" t="n"/>
      <c r="J11" s="30" t="n"/>
      <c r="K11" s="30" t="n"/>
    </row>
    <row r="12" ht="30" customHeight="1" s="62">
      <c r="A12" s="31" t="n"/>
      <c r="B12" s="39" t="n"/>
      <c r="C12" s="30" t="n"/>
      <c r="D12" s="30" t="n"/>
      <c r="E12" s="30" t="n"/>
      <c r="F12" s="30" t="n"/>
      <c r="G12" s="31" t="n"/>
      <c r="H12" s="30" t="n"/>
      <c r="I12" s="39" t="n"/>
      <c r="J12" s="30" t="n"/>
      <c r="K12" s="30" t="n"/>
    </row>
    <row r="13" ht="30" customHeight="1" s="62">
      <c r="A13" s="31" t="n"/>
      <c r="B13" s="39" t="n"/>
      <c r="C13" s="30" t="n"/>
      <c r="D13" s="30" t="n"/>
      <c r="E13" s="30" t="n"/>
      <c r="F13" s="30" t="n"/>
      <c r="G13" s="31" t="n"/>
      <c r="H13" s="30" t="n"/>
      <c r="I13" s="39" t="n"/>
      <c r="J13" s="30" t="n"/>
      <c r="K13" s="30" t="n"/>
    </row>
    <row r="14" ht="30" customHeight="1" s="62">
      <c r="A14" s="31" t="n"/>
      <c r="B14" s="39" t="n"/>
      <c r="C14" s="30" t="n"/>
      <c r="D14" s="30" t="n"/>
      <c r="E14" s="30" t="n"/>
      <c r="F14" s="30" t="n"/>
      <c r="G14" s="31" t="n"/>
      <c r="H14" s="30" t="n"/>
      <c r="I14" s="39" t="n"/>
      <c r="J14" s="30" t="n"/>
      <c r="K14" s="30" t="n"/>
    </row>
    <row r="15" ht="30" customHeight="1" s="62">
      <c r="A15" s="31" t="n"/>
      <c r="B15" s="39" t="n"/>
      <c r="C15" s="30" t="n"/>
      <c r="D15" s="30" t="n"/>
      <c r="E15" s="30" t="n"/>
      <c r="F15" s="30" t="n"/>
      <c r="G15" s="31" t="n"/>
      <c r="H15" s="30" t="n"/>
      <c r="I15" s="39" t="n"/>
      <c r="J15" s="30" t="n"/>
      <c r="K15" s="30" t="n"/>
    </row>
    <row r="16" ht="30" customHeight="1" s="62">
      <c r="A16" s="31" t="n"/>
      <c r="B16" s="39" t="n"/>
      <c r="C16" s="30" t="n"/>
      <c r="D16" s="30" t="n"/>
      <c r="E16" s="30" t="n"/>
      <c r="F16" s="30" t="n"/>
      <c r="G16" s="31" t="n"/>
      <c r="H16" s="30" t="n"/>
      <c r="I16" s="39" t="n"/>
      <c r="J16" s="30" t="n"/>
      <c r="K16" s="30" t="n"/>
    </row>
    <row r="17" ht="30" customHeight="1" s="62">
      <c r="A17" s="31" t="n"/>
      <c r="B17" s="39" t="n"/>
      <c r="C17" s="30" t="n"/>
      <c r="D17" s="30" t="n"/>
      <c r="E17" s="30" t="n"/>
      <c r="F17" s="30" t="n"/>
      <c r="G17" s="31" t="n"/>
      <c r="H17" s="30" t="n"/>
      <c r="I17" s="39" t="n"/>
      <c r="J17" s="30" t="n"/>
      <c r="K17" s="30" t="n"/>
    </row>
    <row r="18" ht="30" customHeight="1" s="62">
      <c r="A18" s="31" t="n"/>
      <c r="B18" s="39" t="n"/>
      <c r="C18" s="30" t="n"/>
      <c r="D18" s="30" t="n"/>
      <c r="E18" s="30" t="n"/>
      <c r="F18" s="30" t="n"/>
      <c r="G18" s="31" t="n"/>
      <c r="H18" s="30" t="n"/>
      <c r="I18" s="39" t="n"/>
      <c r="J18" s="30" t="n"/>
      <c r="K18" s="30" t="n"/>
    </row>
    <row r="19" ht="30" customHeight="1" s="62">
      <c r="A19" s="31" t="n"/>
      <c r="B19" s="39" t="n"/>
      <c r="C19" s="30" t="n"/>
      <c r="D19" s="30" t="n"/>
      <c r="E19" s="30" t="n"/>
      <c r="F19" s="30" t="n"/>
      <c r="G19" s="31" t="n"/>
      <c r="H19" s="30" t="n"/>
      <c r="I19" s="39" t="n"/>
      <c r="J19" s="30" t="n"/>
      <c r="K19" s="30" t="n"/>
    </row>
    <row r="21" ht="15.75" customHeight="1" s="62">
      <c r="A21" s="8" t="inlineStr">
        <is>
          <t>Celdas de aprobación resaltadas en ámbar = cambio sin aprobación documentada (resolver antes del postest).</t>
        </is>
      </c>
    </row>
    <row r="22" ht="15.75" customHeight="1" s="62"/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2">
    <mergeCell ref="A2:K2"/>
    <mergeCell ref="A1:K1"/>
  </mergeCells>
  <conditionalFormatting sqref="I5:I19">
    <cfRule type="expression" priority="1" dxfId="2">
      <formula>AND($A5&lt;&gt;"",$I5="")</formula>
    </cfRule>
  </conditionalFormatting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selection activeCell="A1" sqref="A1"/>
    </sheetView>
  </sheetViews>
  <sheetFormatPr baseColWidth="8" defaultColWidth="14.43" defaultRowHeight="15" customHeight="1"/>
  <cols>
    <col width="30" customWidth="1" style="62" min="1" max="1"/>
    <col width="32" customWidth="1" style="62" min="2" max="2"/>
    <col width="28" customWidth="1" style="62" min="3" max="3"/>
    <col width="24" customWidth="1" style="62" min="4" max="4"/>
    <col width="15" customWidth="1" style="62" min="5" max="6"/>
    <col width="36" customWidth="1" style="62" min="7" max="7"/>
    <col width="8.710000000000001" customWidth="1" style="62" min="8" max="26"/>
  </cols>
  <sheetData>
    <row r="1" ht="30" customHeight="1" s="62">
      <c r="A1" s="63" t="inlineStr">
        <is>
          <t>INSTRUMENTO 5: RÚBRICA DEL INFORME DE SEGUIMIENTO</t>
        </is>
      </c>
    </row>
    <row r="2" ht="30" customHeight="1" s="62">
      <c r="A2" s="64" t="inlineStr">
        <is>
          <t>Seminario de Tesis III – Sesión 6: Monitoreo, fidelidad y control de incidencias | Celdas amarillas con texto azul = datos que ingresa el tesista; celdas blancas = fórmulas (no modificar)</t>
        </is>
      </c>
    </row>
    <row r="4">
      <c r="A4" s="36" t="inlineStr">
        <is>
          <t>Criterio</t>
        </is>
      </c>
      <c r="B4" s="41" t="inlineStr">
        <is>
          <t>Eficiente (5)</t>
        </is>
      </c>
      <c r="C4" s="42" t="inlineStr">
        <is>
          <t>Regular (3)</t>
        </is>
      </c>
      <c r="D4" s="43" t="inlineStr">
        <is>
          <t>Deficiente (0)</t>
        </is>
      </c>
      <c r="E4" s="36" t="inlineStr">
        <is>
          <t>Autoevaluación</t>
        </is>
      </c>
      <c r="F4" s="36" t="inlineStr">
        <is>
          <t>Evaluación docente</t>
        </is>
      </c>
      <c r="G4" s="36" t="inlineStr">
        <is>
          <t>Retroalimentación</t>
        </is>
      </c>
    </row>
    <row r="5" ht="33.75" customHeight="1" s="62">
      <c r="A5" s="23" t="inlineStr">
        <is>
          <t>Registros de monitoreo</t>
        </is>
      </c>
      <c r="B5" s="26" t="inlineStr">
        <is>
          <t>Completos, semanales y con evidencias</t>
        </is>
      </c>
      <c r="C5" s="26" t="inlineStr">
        <is>
          <t>Incompletos o sin evidencias</t>
        </is>
      </c>
      <c r="D5" s="26" t="inlineStr">
        <is>
          <t>Inexistentes</t>
        </is>
      </c>
      <c r="E5" s="31" t="n"/>
      <c r="F5" s="31" t="n"/>
      <c r="G5" s="30" t="n"/>
    </row>
    <row r="6" ht="33.75" customHeight="1" s="62">
      <c r="A6" s="23" t="inlineStr">
        <is>
          <t>Fidelidad de la intervención</t>
        </is>
      </c>
      <c r="B6" s="26" t="inlineStr">
        <is>
          <t>IF calculado por dimensión y semana</t>
        </is>
      </c>
      <c r="C6" s="26" t="inlineStr">
        <is>
          <t>IF global sin detalle</t>
        </is>
      </c>
      <c r="D6" s="26" t="inlineStr">
        <is>
          <t>No se evalúa</t>
        </is>
      </c>
      <c r="E6" s="31" t="n"/>
      <c r="F6" s="31" t="n"/>
      <c r="G6" s="30" t="n"/>
    </row>
    <row r="7" ht="33.75" customHeight="1" s="62">
      <c r="A7" s="23" t="inlineStr">
        <is>
          <t>Incidencias</t>
        </is>
      </c>
      <c r="B7" s="26" t="inlineStr">
        <is>
          <t>Codificadas, clasificadas y cerradas</t>
        </is>
      </c>
      <c r="C7" s="26" t="inlineStr">
        <is>
          <t>Registradas sin clasificar</t>
        </is>
      </c>
      <c r="D7" s="26" t="inlineStr">
        <is>
          <t>No se registran</t>
        </is>
      </c>
      <c r="E7" s="31" t="n"/>
      <c r="F7" s="31" t="n"/>
      <c r="G7" s="30" t="n"/>
    </row>
    <row r="8" ht="33.75" customHeight="1" s="62">
      <c r="A8" s="23" t="inlineStr">
        <is>
          <t>Variables intervinientes</t>
        </is>
      </c>
      <c r="B8" s="26" t="inlineStr">
        <is>
          <t>Matriz con control y evidencia</t>
        </is>
      </c>
      <c r="C8" s="26" t="inlineStr">
        <is>
          <t>Listadas sin control</t>
        </is>
      </c>
      <c r="D8" s="26" t="inlineStr">
        <is>
          <t>No identificadas</t>
        </is>
      </c>
      <c r="E8" s="31" t="n"/>
      <c r="F8" s="31" t="n"/>
      <c r="G8" s="30" t="n"/>
    </row>
    <row r="9" ht="33.75" customHeight="1" s="62">
      <c r="A9" s="23" t="inlineStr">
        <is>
          <t>Acciones correctivas y cambios</t>
        </is>
      </c>
      <c r="B9" s="26" t="inlineStr">
        <is>
          <t>Verificadas y aprobadas</t>
        </is>
      </c>
      <c r="C9" s="26" t="inlineStr">
        <is>
          <t>Sin verificación</t>
        </is>
      </c>
      <c r="D9" s="26" t="inlineStr">
        <is>
          <t>Cambios no documentados</t>
        </is>
      </c>
      <c r="E9" s="31" t="n"/>
      <c r="F9" s="31" t="n"/>
      <c r="G9" s="30" t="n"/>
    </row>
    <row r="10" ht="33.75" customHeight="1" s="62">
      <c r="A10" s="23" t="inlineStr">
        <is>
          <t>Trazabilidad y redacción</t>
        </is>
      </c>
      <c r="B10" s="26" t="inlineStr">
        <is>
          <t>Códigos cruzados y APA 7</t>
        </is>
      </c>
      <c r="C10" s="26" t="inlineStr">
        <is>
          <t>Trazabilidad parcial</t>
        </is>
      </c>
      <c r="D10" s="26" t="inlineStr">
        <is>
          <t>Sin trazabilidad</t>
        </is>
      </c>
      <c r="E10" s="31" t="n"/>
      <c r="F10" s="31" t="n"/>
      <c r="G10" s="30" t="n"/>
    </row>
    <row r="11">
      <c r="A11" s="7" t="inlineStr">
        <is>
          <t>PUNTAJE (máx. 30)</t>
        </is>
      </c>
      <c r="E11" s="44">
        <f>SUM(E5:E10)</f>
        <v/>
      </c>
      <c r="F11" s="44">
        <f>SUM(F5:F10)</f>
        <v/>
      </c>
    </row>
    <row r="12">
      <c r="A12" s="7" t="inlineStr">
        <is>
          <t>NOTA VIGESIMAL (0–20)</t>
        </is>
      </c>
      <c r="E12" s="45">
        <f>ROUND(E11/30*20,1)</f>
        <v/>
      </c>
      <c r="F12" s="45">
        <f>IF(COUNT(F5:F10)=0,"",ROUND(F11/30*20,1))</f>
        <v/>
      </c>
    </row>
    <row r="14">
      <c r="A14" s="8" t="inlineStr">
        <is>
          <t>La nota vigesimal se integra al Promedio de Tareas Académicas (PTA). NF = (PTA + EMC + EF) / 3.</t>
        </is>
      </c>
    </row>
    <row r="21" ht="15.75" customHeight="1" s="62"/>
    <row r="22" ht="15.75" customHeight="1" s="62"/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2">
    <mergeCell ref="A2:G2"/>
    <mergeCell ref="A1:G1"/>
  </mergeCells>
  <dataValidations count="1">
    <dataValidation sqref="E5:F10" showDropDown="0" showInputMessage="0" showErrorMessage="0" allowBlank="1" type="list">
      <formula1>Listas!$G$2:$G$4</formula1>
    </dataValidation>
  </dataValidations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FF1E8449"/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ColWidth="14.43" defaultRowHeight="15" customHeight="1"/>
  <cols>
    <col width="42" customWidth="1" style="62" min="1" max="1"/>
    <col width="30" customWidth="1" style="62" min="2" max="2"/>
    <col width="3" customWidth="1" style="62" min="3" max="3"/>
    <col width="16" customWidth="1" style="62" min="4" max="5"/>
    <col width="3" customWidth="1" style="62" min="6" max="6"/>
    <col width="8.710000000000001" customWidth="1" style="62" min="7" max="26"/>
  </cols>
  <sheetData>
    <row r="1" ht="30" customHeight="1" s="62">
      <c r="A1" s="63" t="inlineStr">
        <is>
          <t>TABLERO RESUMEN DEL MONITOREO</t>
        </is>
      </c>
    </row>
    <row r="2" ht="30" customHeight="1" s="62">
      <c r="A2" s="64" t="inlineStr">
        <is>
          <t>Se actualiza automáticamente con las hojas 1 a 7. Úselo como base de la sección de resultados del informe de seguimiento.</t>
        </is>
      </c>
    </row>
    <row r="4">
      <c r="A4" s="36" t="inlineStr">
        <is>
          <t>Indicador</t>
        </is>
      </c>
      <c r="B4" s="36" t="inlineStr">
        <is>
          <t>Valor</t>
        </is>
      </c>
      <c r="D4" s="36" t="inlineStr">
        <is>
          <t>Severidad</t>
        </is>
      </c>
      <c r="E4" s="36" t="inlineStr">
        <is>
          <t>N.° incidencias</t>
        </is>
      </c>
    </row>
    <row r="5" ht="19.5" customHeight="1" s="62">
      <c r="A5" s="7" t="inlineStr">
        <is>
          <t>Tesista</t>
        </is>
      </c>
      <c r="B5" s="25">
        <f>Instrucciones!C5</f>
        <v/>
      </c>
      <c r="D5" s="55" t="inlineStr">
        <is>
          <t>Crítica</t>
        </is>
      </c>
      <c r="E5" s="28">
        <f>COUNTIF('2_Registro_Incidencias'!J5:J34,D5)</f>
        <v/>
      </c>
    </row>
    <row r="6" ht="19.5" customHeight="1" s="62">
      <c r="A6" s="32" t="inlineStr">
        <is>
          <t>Diseño</t>
        </is>
      </c>
      <c r="B6" s="25">
        <f>Instrucciones!C10</f>
        <v/>
      </c>
      <c r="D6" s="56" t="inlineStr">
        <is>
          <t>Alta</t>
        </is>
      </c>
      <c r="E6" s="28">
        <f>COUNTIF('2_Registro_Incidencias'!J5:J34,D6)</f>
        <v/>
      </c>
    </row>
    <row r="7" ht="19.5" customHeight="1" s="62">
      <c r="A7" s="7" t="inlineStr">
        <is>
          <t>IF semanal promedio (hoja 1)</t>
        </is>
      </c>
      <c r="B7" s="34">
        <f>'1_Ficha_Monitoreo'!Q18</f>
        <v/>
      </c>
      <c r="D7" s="57" t="inlineStr">
        <is>
          <t>Media</t>
        </is>
      </c>
      <c r="E7" s="28">
        <f>COUNTIF('2_Registro_Incidencias'!J5:J34,D7)</f>
        <v/>
      </c>
    </row>
    <row r="8" ht="19.5" customHeight="1" s="62">
      <c r="A8" s="32" t="inlineStr">
        <is>
          <t>Nivel (hoja 1)</t>
        </is>
      </c>
      <c r="B8" s="25">
        <f>'1_Ficha_Monitoreo'!R18</f>
        <v/>
      </c>
      <c r="D8" s="58" t="inlineStr">
        <is>
          <t>Baja</t>
        </is>
      </c>
      <c r="E8" s="28">
        <f>COUNTIF('2_Registro_Incidencias'!J5:J34,D8)</f>
        <v/>
      </c>
    </row>
    <row r="9" ht="19.5" customHeight="1" s="62">
      <c r="A9" s="7" t="inlineStr">
        <is>
          <t>IF global lista de cotejo (hoja 3)</t>
        </is>
      </c>
      <c r="B9" s="34">
        <f>'3_Cotejo_Fidelidad'!C18</f>
        <v/>
      </c>
    </row>
    <row r="10" ht="19.5" customHeight="1" s="62">
      <c r="A10" s="32" t="inlineStr">
        <is>
          <t>Nivel (hoja 3)</t>
        </is>
      </c>
      <c r="B10" s="25">
        <f>'3_Cotejo_Fidelidad'!C19</f>
        <v/>
      </c>
      <c r="D10" s="36" t="inlineStr">
        <is>
          <t>Tipo</t>
        </is>
      </c>
      <c r="E10" s="36" t="inlineStr">
        <is>
          <t>N.° incidencias</t>
        </is>
      </c>
    </row>
    <row r="11" ht="19.5" customHeight="1" s="62">
      <c r="A11" s="7" t="inlineStr">
        <is>
          <t>Disponibilidad global del sistema</t>
        </is>
      </c>
      <c r="B11" s="59">
        <f>'1_Ficha_Monitoreo'!G18</f>
        <v/>
      </c>
      <c r="D11" s="32" t="inlineStr">
        <is>
          <t>Técnica</t>
        </is>
      </c>
      <c r="E11" s="28">
        <f>COUNTIF('2_Registro_Incidencias'!G5:G34,D11)</f>
        <v/>
      </c>
    </row>
    <row r="12" ht="19.5" customHeight="1" s="62">
      <c r="A12" s="32" t="inlineStr">
        <is>
          <t>Exposición global (transacciones)</t>
        </is>
      </c>
      <c r="B12" s="59">
        <f>'1_Ficha_Monitoreo'!M18</f>
        <v/>
      </c>
      <c r="D12" s="32" t="inlineStr">
        <is>
          <t>Metodológica</t>
        </is>
      </c>
      <c r="E12" s="28">
        <f>COUNTIF('2_Registro_Incidencias'!G5:G34,D12)</f>
        <v/>
      </c>
    </row>
    <row r="13" ht="19.5" customHeight="1" s="62">
      <c r="A13" s="7" t="inlineStr">
        <is>
          <t>Participación promedio</t>
        </is>
      </c>
      <c r="B13" s="59">
        <f>'1_Ficha_Monitoreo'!J18</f>
        <v/>
      </c>
    </row>
    <row r="14" ht="19.5" customHeight="1" s="62">
      <c r="A14" s="32" t="inlineStr">
        <is>
          <t>Participantes iniciales</t>
        </is>
      </c>
      <c r="B14" s="60" t="n">
        <v>108</v>
      </c>
    </row>
    <row r="15" ht="19.5" customHeight="1" s="62">
      <c r="A15" s="7" t="inlineStr">
        <is>
          <t>Participantes finales (última semana registrada)</t>
        </is>
      </c>
      <c r="B15" s="60">
        <f>LOOKUP(2,1/('1_Ficha_Monitoreo'!I6:I17&lt;&gt;""),'1_Ficha_Monitoreo'!I6:I17)</f>
        <v/>
      </c>
    </row>
    <row r="16" ht="19.5" customHeight="1" s="62">
      <c r="A16" s="32" t="inlineStr">
        <is>
          <t>Mortalidad experimental</t>
        </is>
      </c>
      <c r="B16" s="59">
        <f>IF(B14=0,"",(B14-B15)/B14)</f>
        <v/>
      </c>
    </row>
    <row r="17" ht="19.5" customHeight="1" s="62">
      <c r="A17" s="7" t="inlineStr">
        <is>
          <t>Total de incidencias</t>
        </is>
      </c>
      <c r="B17" s="60">
        <f>COUNTA('2_Registro_Incidencias'!F5:F34)</f>
        <v/>
      </c>
    </row>
    <row r="18" ht="19.5" customHeight="1" s="62">
      <c r="A18" s="32" t="inlineStr">
        <is>
          <t>Incidencias abiertas o en curso</t>
        </is>
      </c>
      <c r="B18" s="60">
        <f>COUNTIF('2_Registro_Incidencias'!Q5:Q34,"Abierta")+COUNTIF('2_Registro_Incidencias'!Q5:Q34,"En curso")</f>
        <v/>
      </c>
    </row>
    <row r="19" ht="19.5" customHeight="1" s="62">
      <c r="A19" s="7" t="inlineStr">
        <is>
          <t>Desviaciones mayores</t>
        </is>
      </c>
      <c r="B19" s="60">
        <f>'5_Desviaciones'!C17</f>
        <v/>
      </c>
    </row>
    <row r="20" ht="19.5" customHeight="1" s="62">
      <c r="A20" s="32" t="inlineStr">
        <is>
          <t>Cambios registrados</t>
        </is>
      </c>
      <c r="B20" s="60">
        <f>COUNTA('6_Control_Cambios'!A5:A19)</f>
        <v/>
      </c>
    </row>
    <row r="21" ht="19.5" customHeight="1" s="62">
      <c r="A21" s="7" t="inlineStr">
        <is>
          <t>Variables de riesgo alto</t>
        </is>
      </c>
      <c r="B21" s="60">
        <f>COUNTIF('4_Matriz_Variables'!G5:G16,"Alto")</f>
        <v/>
      </c>
    </row>
    <row r="22" ht="19.5" customHeight="1" s="62">
      <c r="A22" s="32" t="inlineStr">
        <is>
          <t>Nota del informe (autoevaluación)</t>
        </is>
      </c>
      <c r="B22" s="61">
        <f>'7_Rubrica'!E12</f>
        <v/>
      </c>
    </row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2">
    <mergeCell ref="A2:F2"/>
    <mergeCell ref="A1:F1"/>
  </mergeCells>
  <conditionalFormatting sqref="B8:B10">
    <cfRule type="cellIs" priority="1" operator="equal" dxfId="0">
      <formula>"Alta"</formula>
    </cfRule>
    <cfRule type="cellIs" priority="2" operator="equal" dxfId="2">
      <formula>"Moderada"</formula>
    </cfRule>
    <cfRule type="cellIs" priority="3" operator="equal" dxfId="1">
      <formula>"Baja"</formula>
    </cfRule>
  </conditionalFormatting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999999"/>
    <outlinePr summaryBelow="1" summaryRight="1"/>
    <pageSetUpPr fitToPage="1"/>
  </sheetPr>
  <dimension ref="A1:N11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62" min="1" max="9"/>
    <col width="8.710000000000001" customWidth="1" style="62" min="10" max="10"/>
    <col width="20" customWidth="1" style="62" min="11" max="11"/>
    <col width="8.710000000000001" customWidth="1" style="62" min="12" max="26"/>
  </cols>
  <sheetData>
    <row r="1">
      <c r="A1" s="46" t="inlineStr">
        <is>
          <t>Tipo_incidencia</t>
        </is>
      </c>
      <c r="B1" s="46" t="inlineStr">
        <is>
          <t>Nivel</t>
        </is>
      </c>
      <c r="C1" s="46" t="inlineStr">
        <is>
          <t>Estado</t>
        </is>
      </c>
      <c r="D1" s="46" t="inlineStr">
        <is>
          <t>Amenaza</t>
        </is>
      </c>
      <c r="E1" s="46" t="inlineStr">
        <is>
          <t>Tipo_variable</t>
        </is>
      </c>
      <c r="F1" s="46" t="inlineStr">
        <is>
          <t>SiNo</t>
        </is>
      </c>
      <c r="G1" s="46" t="inlineStr">
        <is>
          <t>Puntaje</t>
        </is>
      </c>
      <c r="H1" s="46" t="inlineStr">
        <is>
          <t>Grupo</t>
        </is>
      </c>
      <c r="I1" s="46" t="inlineStr">
        <is>
          <t>Estado_control</t>
        </is>
      </c>
      <c r="K1" s="35" t="inlineStr">
        <is>
          <t>Matriz de prioridad (ITIL 4, adaptada)</t>
        </is>
      </c>
    </row>
    <row r="2">
      <c r="A2" s="47" t="inlineStr">
        <is>
          <t>Técnica</t>
        </is>
      </c>
      <c r="B2" s="47" t="inlineStr">
        <is>
          <t>Alta</t>
        </is>
      </c>
      <c r="C2" s="47" t="inlineStr">
        <is>
          <t>Abierta</t>
        </is>
      </c>
      <c r="D2" s="47" t="inlineStr">
        <is>
          <t>Ninguna</t>
        </is>
      </c>
      <c r="E2" s="47" t="inlineStr">
        <is>
          <t>Del participante</t>
        </is>
      </c>
      <c r="F2" s="47" t="inlineStr">
        <is>
          <t>Sí</t>
        </is>
      </c>
      <c r="G2" s="47" t="n">
        <v>5</v>
      </c>
      <c r="H2" s="47" t="inlineStr">
        <is>
          <t>GE</t>
        </is>
      </c>
      <c r="I2" s="47" t="inlineStr">
        <is>
          <t>Controlada</t>
        </is>
      </c>
      <c r="K2" s="48" t="inlineStr">
        <is>
          <t>Impacto \ Urgencia</t>
        </is>
      </c>
      <c r="L2" s="48" t="inlineStr">
        <is>
          <t>Alta</t>
        </is>
      </c>
      <c r="M2" s="48" t="inlineStr">
        <is>
          <t>Media</t>
        </is>
      </c>
      <c r="N2" s="48" t="inlineStr">
        <is>
          <t>Baja</t>
        </is>
      </c>
    </row>
    <row r="3">
      <c r="A3" s="47" t="inlineStr">
        <is>
          <t>Metodológica</t>
        </is>
      </c>
      <c r="B3" s="47" t="inlineStr">
        <is>
          <t>Media</t>
        </is>
      </c>
      <c r="C3" s="47" t="inlineStr">
        <is>
          <t>En curso</t>
        </is>
      </c>
      <c r="D3" s="47" t="inlineStr">
        <is>
          <t>Historia</t>
        </is>
      </c>
      <c r="E3" s="47" t="inlineStr">
        <is>
          <t>Organizacional</t>
        </is>
      </c>
      <c r="F3" s="47" t="inlineStr">
        <is>
          <t>No</t>
        </is>
      </c>
      <c r="G3" s="47" t="n">
        <v>3</v>
      </c>
      <c r="H3" s="47" t="inlineStr">
        <is>
          <t>GC</t>
        </is>
      </c>
      <c r="I3" s="47" t="inlineStr">
        <is>
          <t>Parcialmente controlada</t>
        </is>
      </c>
      <c r="K3" s="48" t="inlineStr">
        <is>
          <t>Alta</t>
        </is>
      </c>
      <c r="L3" s="49" t="inlineStr">
        <is>
          <t>Crítica</t>
        </is>
      </c>
      <c r="M3" s="49" t="inlineStr">
        <is>
          <t>Alta</t>
        </is>
      </c>
      <c r="N3" s="49" t="inlineStr">
        <is>
          <t>Media</t>
        </is>
      </c>
    </row>
    <row r="4">
      <c r="B4" s="47" t="inlineStr">
        <is>
          <t>Baja</t>
        </is>
      </c>
      <c r="C4" s="47" t="inlineStr">
        <is>
          <t>Cerrada</t>
        </is>
      </c>
      <c r="D4" s="47" t="inlineStr">
        <is>
          <t>Maduración</t>
        </is>
      </c>
      <c r="E4" s="47" t="inlineStr">
        <is>
          <t>Tecnológica</t>
        </is>
      </c>
      <c r="G4" s="47" t="n">
        <v>0</v>
      </c>
      <c r="H4" s="47" t="inlineStr">
        <is>
          <t>Único (preexperimental)</t>
        </is>
      </c>
      <c r="I4" s="47" t="inlineStr">
        <is>
          <t>No controlada</t>
        </is>
      </c>
      <c r="K4" s="48" t="inlineStr">
        <is>
          <t>Media</t>
        </is>
      </c>
      <c r="L4" s="49" t="inlineStr">
        <is>
          <t>Alta</t>
        </is>
      </c>
      <c r="M4" s="49" t="inlineStr">
        <is>
          <t>Media</t>
        </is>
      </c>
      <c r="N4" s="49" t="inlineStr">
        <is>
          <t>Baja</t>
        </is>
      </c>
    </row>
    <row r="5">
      <c r="D5" s="47" t="inlineStr">
        <is>
          <t>Administración de pruebas</t>
        </is>
      </c>
      <c r="E5" s="47" t="inlineStr">
        <is>
          <t>Del investigador</t>
        </is>
      </c>
      <c r="K5" s="48" t="inlineStr">
        <is>
          <t>Baja</t>
        </is>
      </c>
      <c r="L5" s="49" t="inlineStr">
        <is>
          <t>Media</t>
        </is>
      </c>
      <c r="M5" s="49" t="inlineStr">
        <is>
          <t>Baja</t>
        </is>
      </c>
      <c r="N5" s="49" t="inlineStr">
        <is>
          <t>Baja</t>
        </is>
      </c>
    </row>
    <row r="6">
      <c r="D6" s="47" t="inlineStr">
        <is>
          <t>Instrumentación</t>
        </is>
      </c>
      <c r="E6" s="47" t="inlineStr">
        <is>
          <t>Externa / temporal</t>
        </is>
      </c>
    </row>
    <row r="7">
      <c r="D7" s="47" t="inlineStr">
        <is>
          <t>Regresión estadística</t>
        </is>
      </c>
    </row>
    <row r="8">
      <c r="D8" s="47" t="inlineStr">
        <is>
          <t>Selección</t>
        </is>
      </c>
    </row>
    <row r="9">
      <c r="D9" s="47" t="inlineStr">
        <is>
          <t>Mortalidad experimental</t>
        </is>
      </c>
    </row>
    <row r="10">
      <c r="D10" s="47" t="inlineStr">
        <is>
          <t>Difusión / contaminación</t>
        </is>
      </c>
    </row>
    <row r="11">
      <c r="D11" s="47" t="inlineStr">
        <is>
          <t>Dosis baja (fidelidad)</t>
        </is>
      </c>
    </row>
    <row r="21" ht="15.75" customHeight="1" s="62"/>
    <row r="22" ht="15.75" customHeight="1" s="62"/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2026-10-26T23:13:53Z</dcterms:created>
  <dcterms:modified xmlns:dcterms="http://purl.org/dc/terms/" xmlns:xsi="http://www.w3.org/2001/XMLSchema-instance" xsi:type="dcterms:W3CDTF">2026-10-26T23:40:09Z</dcterms:modified>
</cp:coreProperties>
</file>