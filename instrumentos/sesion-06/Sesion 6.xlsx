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1_Ficha_Monitoreo" sheetId="2" r:id="rId6"/>
    <sheet state="visible" name="2_Registro_Incidencias" sheetId="3" r:id="rId7"/>
    <sheet state="visible" name="3_Cotejo_Fidelidad" sheetId="4" r:id="rId8"/>
    <sheet state="visible" name="4_Matriz_Variables" sheetId="5" r:id="rId9"/>
    <sheet state="visible" name="5_Desviaciones" sheetId="6" r:id="rId10"/>
    <sheet state="visible" name="6_Control_Cambios" sheetId="7" r:id="rId11"/>
    <sheet state="visible" name="7_Rubrica" sheetId="8" r:id="rId12"/>
    <sheet state="visible" name="8_Resumen" sheetId="9" r:id="rId13"/>
    <sheet state="visible" name="Listas" sheetId="10" r:id="rId14"/>
  </sheets>
  <definedNames/>
  <calcPr/>
</workbook>
</file>

<file path=xl/sharedStrings.xml><?xml version="1.0" encoding="utf-8"?>
<sst xmlns="http://schemas.openxmlformats.org/spreadsheetml/2006/main" count="411" uniqueCount="333">
  <si>
    <t>INSTRUMENTO 2: REGISTRO DE INCIDENCIAS</t>
  </si>
  <si>
    <t>INSTRUMENTOS DE MONITOREO, FIDELIDAD Y CONTROL DE INCIDENCIAS</t>
  </si>
  <si>
    <t>Universidad de Huánuco – Ingeniería de Sistemas e Informática – Seminario de Tesis III (2026-II) – MBA Jenny Reynoso Palpa</t>
  </si>
  <si>
    <t>Seminario de Tesis III – Sesión 6: Monitoreo, fidelidad y control de incidencias | Celdas amarillas con texto azul = datos que ingresa el tesista; celdas blancas = fórmulas (no modificar)</t>
  </si>
  <si>
    <t>DATOS GENERALES DEL TESISTA</t>
  </si>
  <si>
    <t>Apellidos y nombres</t>
  </si>
  <si>
    <t>Trujillo Avila, Marcel Alexander Javier; Godoy Condezo, Alejandro Jeanpier</t>
  </si>
  <si>
    <t>La severidad se calcula con la matriz impacto × urgencia (hoja Listas). Describa hechos observables, no opiniones.</t>
  </si>
  <si>
    <t>Código</t>
  </si>
  <si>
    <t>Fecha</t>
  </si>
  <si>
    <t>Hora</t>
  </si>
  <si>
    <t>Semana</t>
  </si>
  <si>
    <t>Código de estudiante</t>
  </si>
  <si>
    <t>Grupo</t>
  </si>
  <si>
    <t>Descripción objetiva (hechos)</t>
  </si>
  <si>
    <t>Tipo</t>
  </si>
  <si>
    <t>Impacto</t>
  </si>
  <si>
    <t>Urgencia</t>
  </si>
  <si>
    <t>Severidad (auto)</t>
  </si>
  <si>
    <t>Amenaza a la validez</t>
  </si>
  <si>
    <t>Causa raíz (5 porqués / Ishikawa)</t>
  </si>
  <si>
    <t>Título de la tesis</t>
  </si>
  <si>
    <t>Acción correctiva</t>
  </si>
  <si>
    <t>Responsable</t>
  </si>
  <si>
    <t>Influencia de una aplicación web móvil con asistente conversacional inteligente en la experiencia de usuario de lectores de Tu Diario Huánuco, 2026</t>
  </si>
  <si>
    <t>Plazo</t>
  </si>
  <si>
    <t>Fecha de cierre</t>
  </si>
  <si>
    <t>Estado</t>
  </si>
  <si>
    <t>Días de resolución</t>
  </si>
  <si>
    <t>Evidencia (código / archivo)</t>
  </si>
  <si>
    <t>Variable independiente (VI)</t>
  </si>
  <si>
    <t>Aplicación web con asistente conversacional</t>
  </si>
  <si>
    <t>Variable dependiente (VD)</t>
  </si>
  <si>
    <t>Experiencia de lectores</t>
  </si>
  <si>
    <t>Diseño</t>
  </si>
  <si>
    <t>Preexperimental: G O1 X O2</t>
  </si>
  <si>
    <t>Tamaño de muestra (n)</t>
  </si>
  <si>
    <t>Inicio de la intervención</t>
  </si>
  <si>
    <t>Fin de la intervención</t>
  </si>
  <si>
    <t>Asesor(a)</t>
  </si>
  <si>
    <t>Mg. …</t>
  </si>
  <si>
    <t>CONTENIDO DEL LIBRO</t>
  </si>
  <si>
    <t>Hoja</t>
  </si>
  <si>
    <t>Uso / instrumento del sílabo</t>
  </si>
  <si>
    <t>1_Ficha_Monitoreo</t>
  </si>
  <si>
    <t>Ficha de monitoreo semanal: programado vs. ejecutado e Índice de Fidelidad (IF) semanal.</t>
  </si>
  <si>
    <t>2_Registro_Incidencias</t>
  </si>
  <si>
    <t>Registro de incidencias: código, tipo, impacto, urgencia, severidad automática, acción y estado.</t>
  </si>
  <si>
    <t>3_Cotejo_Fidelidad</t>
  </si>
  <si>
    <t>Lista de cotejo de fidelidad por dimensión: IF global y nivel (alta, moderada, baja).</t>
  </si>
  <si>
    <t>4_Matriz_Variables</t>
  </si>
  <si>
    <t>Matriz de variables intervinientes: riesgo, estrategia de control y evidencia.</t>
  </si>
  <si>
    <t>5_Desviaciones</t>
  </si>
  <si>
    <t>Comparación planificado vs. real con clasificación automática de la desviación.</t>
  </si>
  <si>
    <t>6_Control_Cambios</t>
  </si>
  <si>
    <t>Registro de control de cambios aprobados por el asesor.</t>
  </si>
  <si>
    <t>7_Rubrica</t>
  </si>
  <si>
    <t>Rúbrica del informe de seguimiento (autoevaluación y evaluación docente).</t>
  </si>
  <si>
    <t>8_Resumen</t>
  </si>
  <si>
    <t>Tablero resumen con indicadores y gráficos para el informe de seguimiento.</t>
  </si>
  <si>
    <t>Listas</t>
  </si>
  <si>
    <t>Listas desplegables y matriz de prioridad (no modificar).</t>
  </si>
  <si>
    <t>LEYENDA Y REGLAS</t>
  </si>
  <si>
    <t>Texto azul / fondo amarillo</t>
  </si>
  <si>
    <t>Celda de ingreso de datos (el tesista la llena).</t>
  </si>
  <si>
    <t>Texto negro / fondo blanco</t>
  </si>
  <si>
    <t>Fórmula automática: no la sobrescriba.</t>
  </si>
  <si>
    <t>• Los datos precargados son un CASO DE EJEMPLO: reemplácelos por los de su intervención.</t>
  </si>
  <si>
    <t>• Registre las incidencias el mismo día en que ocurren, con código correlativo INC-001, INC-002, …</t>
  </si>
  <si>
    <t>• Umbral de alta fidelidad: IF ≥ 80 % (Borrelli et al., 2005); 60–79 % moderada; &lt; 60 % baja.</t>
  </si>
  <si>
    <t>• Cada código (FM, INC, CC) debe coincidir con la evidencia adjunta en el portafolio (trazabilidad).</t>
  </si>
  <si>
    <t>• Adjunte este libro como anexo del informe de seguimiento y, luego, del informe final de tesis.</t>
  </si>
  <si>
    <t>INSTRUMENTO 3: LISTA DE COTEJO DE FIDELIDAD</t>
  </si>
  <si>
    <t>N.°</t>
  </si>
  <si>
    <t>Dimensión</t>
  </si>
  <si>
    <t>Criterio de fidelidad</t>
  </si>
  <si>
    <t>¿Cumple? (Sí/No)</t>
  </si>
  <si>
    <t>Evidencia</t>
  </si>
  <si>
    <t>Observación</t>
  </si>
  <si>
    <t>INSTRUMENTO 4: MATRIZ DE VARIABLES INTERVINIENTES</t>
  </si>
  <si>
    <t>Adherencia</t>
  </si>
  <si>
    <t>La intervención se ejecutó durante el periodo programado</t>
  </si>
  <si>
    <t>Variable interviniente</t>
  </si>
  <si>
    <t>Posible efecto sobre la VD</t>
  </si>
  <si>
    <t>Probabilidad (1–3)</t>
  </si>
  <si>
    <t>Impacto (1–3)</t>
  </si>
  <si>
    <t>Nivel de riesgo (auto)</t>
  </si>
  <si>
    <t>Estrategia de control</t>
  </si>
  <si>
    <t>Cronograma de campo y FM-01 a FM-06</t>
  </si>
  <si>
    <t>Estado de control</t>
  </si>
  <si>
    <t>Amenaza asociada</t>
  </si>
  <si>
    <t>Conectividad móvil (3G/4G/5G)</t>
  </si>
  <si>
    <t>Exposición</t>
  </si>
  <si>
    <t>Se cumplió la frecuencia de uso establecida</t>
  </si>
  <si>
    <t>FM-01 a FM-06</t>
  </si>
  <si>
    <t>Se usaron todos los módulos definidos en el protocolo</t>
  </si>
  <si>
    <t>Logs de auditoría</t>
  </si>
  <si>
    <t>Tecnológica</t>
  </si>
  <si>
    <t>Calidad</t>
  </si>
  <si>
    <t>La latencia y los cortes de red alteran el tiempo de búsqueda percibido en el postest</t>
  </si>
  <si>
    <t>Todos los participantes recibieron la misma capacitación</t>
  </si>
  <si>
    <t>Lista de asistencia</t>
  </si>
  <si>
    <t>El sistema tuvo una disponibilidad ≥ 95 %</t>
  </si>
  <si>
    <t>Hoja 1: % disponibilidad</t>
  </si>
  <si>
    <t>Respuesta</t>
  </si>
  <si>
    <t>≥ 80 % de los participantes usaron la solución</t>
  </si>
  <si>
    <t>Hoja 1: % participación</t>
  </si>
  <si>
    <t>Diferenciación</t>
  </si>
  <si>
    <t>El grupo de comparación no accedió a la solución</t>
  </si>
  <si>
    <t>Logs de acceso</t>
  </si>
  <si>
    <t>No aplica: diseño preexperimental de grupo único, sin grupo de comparación (PDT §3.3)</t>
  </si>
  <si>
    <t>Toda incidencia fue registrada, clasificada y atendida</t>
  </si>
  <si>
    <t>Hoja 2</t>
  </si>
  <si>
    <t>Los cambios cuentan con aprobación documentada</t>
  </si>
  <si>
    <t>Hoja 6: control de cambios</t>
  </si>
  <si>
    <t>Existen evidencias trazables (logs, actas, capturas)</t>
  </si>
  <si>
    <t>Portafolio de evidencias</t>
  </si>
  <si>
    <t>Criterios cumplidos</t>
  </si>
  <si>
    <t>Registrar por separado la latencia del servidor y el tiempo de red percibido por el navegador</t>
  </si>
  <si>
    <t>Logs de telemetría del sistema</t>
  </si>
  <si>
    <t>IF por dimensión</t>
  </si>
  <si>
    <t>Criterios aplicables</t>
  </si>
  <si>
    <t>Parcialmente controlada</t>
  </si>
  <si>
    <t>Instrumentación</t>
  </si>
  <si>
    <t>Sesgo de selección por afinidad digital</t>
  </si>
  <si>
    <t>Del participante</t>
  </si>
  <si>
    <t>Lectores jóvenes con mayor afinidad digital podrían mejorar más rápido que el resto</t>
  </si>
  <si>
    <t>Diversificar canales de invitación (diario impreso y banners rotativos) y caracterizar demográficamente la muestra</t>
  </si>
  <si>
    <t>Ficha de perfil demográfico</t>
  </si>
  <si>
    <t>Selección</t>
  </si>
  <si>
    <t>Experiencia previa con asistentes conversacionales</t>
  </si>
  <si>
    <t>Usuarios con más práctica usan el chat con mayor rapidez y puntúan mejor la usabilidad</t>
  </si>
  <si>
    <t>Registrar el nivel de experiencia previa en la ficha de perfil y considerarlo en el análisis</t>
  </si>
  <si>
    <t>Ficha de perfil</t>
  </si>
  <si>
    <t>Controlada</t>
  </si>
  <si>
    <t>Eventos coyunturales locales</t>
  </si>
  <si>
    <t>Externa / temporal</t>
  </si>
  <si>
    <t>Eventos locales atípicos elevan el interés por las noticias y alteran la motivación del lector</t>
  </si>
  <si>
    <t>IF global</t>
  </si>
  <si>
    <t>Estandarizar las tareas de búsqueda y evitar aplicar las pruebas en periodos de alta volatilidad social o política</t>
  </si>
  <si>
    <t>Bitácora de eventos locales</t>
  </si>
  <si>
    <t>Historia</t>
  </si>
  <si>
    <t>Efecto clic cero (zero-click)</t>
  </si>
  <si>
    <t>Las respuestas resumidas reducen la navegación a los artículos y pueden sesgar la satisfacción</t>
  </si>
  <si>
    <t>Hipervínculos inline obligatorios en cada cita y acordeón de fuentes en la interfaz</t>
  </si>
  <si>
    <t>Logs de clics hacia los artículos fuente</t>
  </si>
  <si>
    <t>Cuotas gratuitas (free tier) de APIs y base de datos</t>
  </si>
  <si>
    <t>Los límites de consumo pueden degradar o interrumpir el asistente durante la exposición</t>
  </si>
  <si>
    <t>Nivel de fidelidad</t>
  </si>
  <si>
    <t>Caché de vectores y de peticiones; limitar las consultas repetitivas al modelo de lenguaje</t>
  </si>
  <si>
    <t>Logs de disponibilidad y consumo de API</t>
  </si>
  <si>
    <t>Dosis baja (fidelidad)</t>
  </si>
  <si>
    <t>Doble rol del investigador (desarrollador del diario)</t>
  </si>
  <si>
    <t>Del investigador</t>
  </si>
  <si>
    <t>Posible sesgo al asistir a los participantes o al registrar las mediciones</t>
  </si>
  <si>
    <t>Medición automática con logs y tareas de búsqueda estandarizadas, sin intervención del investigador</t>
  </si>
  <si>
    <t>Ficha de registro de tiempos y clics (telemetría)</t>
  </si>
  <si>
    <t>Abandono de participantes (pretest o postest incompleto)</t>
  </si>
  <si>
    <t>La pérdida de casos reduce el tamaño de muestra y la potencia del contraste</t>
  </si>
  <si>
    <t>Interpretación</t>
  </si>
  <si>
    <t>Seguimiento de participantes y reemplazo hasta completar la cuota de 108 con instrumentos completos</t>
  </si>
  <si>
    <t>Registro de participantes</t>
  </si>
  <si>
    <t>Mortalidad experimental</t>
  </si>
  <si>
    <t>Umbral de alta fidelidad: ≥ 80 % (Borrelli et al., 2005). Dimensiones según Dane y Schneider (1998) y Carroll et al. (2007).</t>
  </si>
  <si>
    <t>Nivel de riesgo = Probabilidad × Impacto: ≥ 6 Alto; 3–5 Medio; 1–2 Bajo. Toda variable debe tener una estrategia de control y una evidencia verificable.</t>
  </si>
  <si>
    <t>COMPARACIÓN PLANIFICADO VS. REAL (DESVIACIONES DEL PROTOCOLO)</t>
  </si>
  <si>
    <t>Regla: la desviación es MAYOR si afecta la dosis, a los participantes o la medición de la VD; si no, es MENOR.</t>
  </si>
  <si>
    <t>Elemento del protocolo</t>
  </si>
  <si>
    <t>Planificado</t>
  </si>
  <si>
    <t>Real</t>
  </si>
  <si>
    <t>Unidad</t>
  </si>
  <si>
    <t>Desviación (%)</t>
  </si>
  <si>
    <t>¿Afecta dosis, participantes o medición?</t>
  </si>
  <si>
    <t>Tipo (auto)</t>
  </si>
  <si>
    <t>Acción correctiva / justificación</t>
  </si>
  <si>
    <t>Duración de la intervención (18/10 al 27/11/2026)</t>
  </si>
  <si>
    <t>semanas</t>
  </si>
  <si>
    <t>Tamaño de muestra con pretest y postest completos</t>
  </si>
  <si>
    <t>lectores</t>
  </si>
  <si>
    <t>Tareas de búsqueda por participante</t>
  </si>
  <si>
    <t>tareas</t>
  </si>
  <si>
    <t>Tiempo máximo por tarea de búsqueda</t>
  </si>
  <si>
    <t>segundos</t>
  </si>
  <si>
    <t>Ventana de aplicación del postest (28/11 al 05/12/2026)</t>
  </si>
  <si>
    <t>días</t>
  </si>
  <si>
    <t>Desviaciones mayores</t>
  </si>
  <si>
    <t>REGISTRO DE CONTROL DE CAMBIOS</t>
  </si>
  <si>
    <t>Desviaciones menores</t>
  </si>
  <si>
    <t>Mayor: afecta dosis, participantes o medición → acción correctiva, aviso al asesor y reporte en limitaciones. Menor: se corrige y registra.</t>
  </si>
  <si>
    <t>Elemento modificado</t>
  </si>
  <si>
    <t>Versión / condición anterior</t>
  </si>
  <si>
    <t>Versión / condición nueva</t>
  </si>
  <si>
    <t>Motivo</t>
  </si>
  <si>
    <t>INC relacionada</t>
  </si>
  <si>
    <t>Aprobado por</t>
  </si>
  <si>
    <t>Fecha de aprobación</t>
  </si>
  <si>
    <t>Impacto esperado en la VD</t>
  </si>
  <si>
    <t>INSTRUMENTO 1: FICHA DE MONITOREO SEMANAL</t>
  </si>
  <si>
    <t>Celdas de aprobación resaltadas en ámbar = cambio sin aprobación documentada (resolver antes del postest).</t>
  </si>
  <si>
    <t>Metas del protocolo (editables):</t>
  </si>
  <si>
    <t>Disponibilidad ≥</t>
  </si>
  <si>
    <t>Participación ≥</t>
  </si>
  <si>
    <t>Exposición ≥</t>
  </si>
  <si>
    <t>Soporte atendido ≥</t>
  </si>
  <si>
    <t>Código FM</t>
  </si>
  <si>
    <t>Fecha inicio</t>
  </si>
  <si>
    <t>Fecha fin</t>
  </si>
  <si>
    <t>Horas programadas</t>
  </si>
  <si>
    <t>Horas operativas</t>
  </si>
  <si>
    <t>% Disponibilidad</t>
  </si>
  <si>
    <t>Participantes previstos</t>
  </si>
  <si>
    <t>Participantes activos</t>
  </si>
  <si>
    <t>% Participación</t>
  </si>
  <si>
    <t>Transacciones programadas</t>
  </si>
  <si>
    <t>Transacciones reales</t>
  </si>
  <si>
    <t>% Exposición</t>
  </si>
  <si>
    <t>Solicitudes de soporte</t>
  </si>
  <si>
    <t>Soportes atendidos</t>
  </si>
  <si>
    <t>Uso del GC detectado (Sí/No)</t>
  </si>
  <si>
    <t>IF semanal</t>
  </si>
  <si>
    <t>Nivel</t>
  </si>
  <si>
    <t>Incidencias / observaciones</t>
  </si>
  <si>
    <t>FM-01</t>
  </si>
  <si>
    <t>S1</t>
  </si>
  <si>
    <t>FM-02</t>
  </si>
  <si>
    <t>S2</t>
  </si>
  <si>
    <t>INSTRUMENTO 5: RÚBRICA DEL INFORME DE SEGUIMIENTO</t>
  </si>
  <si>
    <t>Criterio</t>
  </si>
  <si>
    <t>Eficiente (5)</t>
  </si>
  <si>
    <t>Regular (3)</t>
  </si>
  <si>
    <t>Deficiente (0)</t>
  </si>
  <si>
    <t>Autoevaluación</t>
  </si>
  <si>
    <t>Evaluación docente</t>
  </si>
  <si>
    <t>Retroalimentación</t>
  </si>
  <si>
    <t>FM-03</t>
  </si>
  <si>
    <t>S3</t>
  </si>
  <si>
    <t>Registros de monitoreo</t>
  </si>
  <si>
    <t>Completos, semanales y con evidencias</t>
  </si>
  <si>
    <t>Incompletos o sin evidencias</t>
  </si>
  <si>
    <t>Inexistentes</t>
  </si>
  <si>
    <t>Fidelidad de la intervención</t>
  </si>
  <si>
    <t>IF calculado por dimensión y semana</t>
  </si>
  <si>
    <t>IF global sin detalle</t>
  </si>
  <si>
    <t>No se evalúa</t>
  </si>
  <si>
    <t>Incidencias</t>
  </si>
  <si>
    <t>Codificadas, clasificadas y cerradas</t>
  </si>
  <si>
    <t>Registradas sin clasificar</t>
  </si>
  <si>
    <t>FM-04</t>
  </si>
  <si>
    <t>No se registran</t>
  </si>
  <si>
    <t>S4</t>
  </si>
  <si>
    <t>Variables intervinientes</t>
  </si>
  <si>
    <t>Matriz con control y evidencia</t>
  </si>
  <si>
    <t>Listadas sin control</t>
  </si>
  <si>
    <t>No identificadas</t>
  </si>
  <si>
    <t>Acciones correctivas y cambios</t>
  </si>
  <si>
    <t>Verificadas y aprobadas</t>
  </si>
  <si>
    <t>Sin verificación</t>
  </si>
  <si>
    <t>Cambios no documentados</t>
  </si>
  <si>
    <t>Trazabilidad y redacción</t>
  </si>
  <si>
    <t>Códigos cruzados y APA 7</t>
  </si>
  <si>
    <t>Trazabilidad parcial</t>
  </si>
  <si>
    <t>Sin trazabilidad</t>
  </si>
  <si>
    <t>PUNTAJE (máx. 30)</t>
  </si>
  <si>
    <t>FM-05</t>
  </si>
  <si>
    <t>S5</t>
  </si>
  <si>
    <t>NOTA VIGESIMAL (0–20)</t>
  </si>
  <si>
    <t>FM-06</t>
  </si>
  <si>
    <t>S6</t>
  </si>
  <si>
    <t>La nota vigesimal se integra al Promedio de Tareas Académicas (PTA). NF = (PTA + EMC + EF) / 3.</t>
  </si>
  <si>
    <t>FM-07</t>
  </si>
  <si>
    <t>S7</t>
  </si>
  <si>
    <t>FM-08</t>
  </si>
  <si>
    <t>S8</t>
  </si>
  <si>
    <t>FM-09</t>
  </si>
  <si>
    <t>S9</t>
  </si>
  <si>
    <t>FM-10</t>
  </si>
  <si>
    <t>S10</t>
  </si>
  <si>
    <t>Tipo_incidencia</t>
  </si>
  <si>
    <t>Amenaza</t>
  </si>
  <si>
    <t>Tipo_variable</t>
  </si>
  <si>
    <t>SiNo</t>
  </si>
  <si>
    <t>Puntaje</t>
  </si>
  <si>
    <t>Estado_control</t>
  </si>
  <si>
    <t>Matriz de prioridad (ITIL 4, adaptada)</t>
  </si>
  <si>
    <t>FM-11</t>
  </si>
  <si>
    <t>S11</t>
  </si>
  <si>
    <t>Técnica</t>
  </si>
  <si>
    <t>Alta</t>
  </si>
  <si>
    <t>Abierta</t>
  </si>
  <si>
    <t>Ninguna</t>
  </si>
  <si>
    <t>Sí</t>
  </si>
  <si>
    <t>GE</t>
  </si>
  <si>
    <t>Impacto \ Urgencia</t>
  </si>
  <si>
    <t>Media</t>
  </si>
  <si>
    <t>Baja</t>
  </si>
  <si>
    <t>Metodológica</t>
  </si>
  <si>
    <t>En curso</t>
  </si>
  <si>
    <t>Organizacional</t>
  </si>
  <si>
    <t>No</t>
  </si>
  <si>
    <t>GC</t>
  </si>
  <si>
    <t>Crítica</t>
  </si>
  <si>
    <t>FM-12</t>
  </si>
  <si>
    <t>Cerrada</t>
  </si>
  <si>
    <t>Maduración</t>
  </si>
  <si>
    <t>S12</t>
  </si>
  <si>
    <t>Único (preexperimental)</t>
  </si>
  <si>
    <t>No controlada</t>
  </si>
  <si>
    <t>Administración de pruebas</t>
  </si>
  <si>
    <t>Regresión estadística</t>
  </si>
  <si>
    <t>Difusión / contaminación</t>
  </si>
  <si>
    <t>TOTAL / PROMEDIO</t>
  </si>
  <si>
    <t>IF semanal = criterios cumplidos ÷ 5 (disponibilidad, participación, exposición, soporte, sin contaminación del GC)</t>
  </si>
  <si>
    <t>TABLERO RESUMEN DEL MONITOREO</t>
  </si>
  <si>
    <t>Se actualiza automáticamente con las hojas 1 a 7. Úselo como base de la sección de resultados del informe de seguimiento.</t>
  </si>
  <si>
    <t>Indicador</t>
  </si>
  <si>
    <t>Valor</t>
  </si>
  <si>
    <t>Severidad</t>
  </si>
  <si>
    <t>N.° incidencias</t>
  </si>
  <si>
    <t>Tesista</t>
  </si>
  <si>
    <t>IF semanal promedio (hoja 1)</t>
  </si>
  <si>
    <t>Nivel (hoja 1)</t>
  </si>
  <si>
    <t>IF global lista de cotejo (hoja 3)</t>
  </si>
  <si>
    <t>Nivel (hoja 3)</t>
  </si>
  <si>
    <t>Disponibilidad global del sistema</t>
  </si>
  <si>
    <t>Exposición global (transacciones)</t>
  </si>
  <si>
    <t>Participación promedio</t>
  </si>
  <si>
    <t>Participantes iniciales</t>
  </si>
  <si>
    <t>Participantes finales (última semana registrada)</t>
  </si>
  <si>
    <t>Total de incidencias</t>
  </si>
  <si>
    <t>Incidencias abiertas o en curso</t>
  </si>
  <si>
    <t>Cambios registrados</t>
  </si>
  <si>
    <t>Variables de riesgo alto</t>
  </si>
  <si>
    <t>Nota del informe (autoevaluación)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</si>
</sst>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0.0%"/>
    <numFmt numFmtId="167" formatCode="0.0"/>
  </numFmts>
  <fonts count="14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002060"/>
      <name val="Arial"/>
    </font>
    <font>
      <b/>
      <sz val="12.0"/>
      <color rgb="FF002060"/>
      <name val="Arial"/>
    </font>
    <font>
      <b/>
      <sz val="11.0"/>
      <color rgb="FF000000"/>
      <name val="Arial"/>
    </font>
    <font>
      <i/>
      <sz val="11.0"/>
      <color rgb="FF002060"/>
      <name val="Arial"/>
    </font>
    <font>
      <sz val="11.0"/>
      <color rgb="FF0000FF"/>
      <name val="Arial"/>
    </font>
    <font>
      <b/>
      <sz val="11.0"/>
      <color rgb="FFFFFFFF"/>
      <name val="Arial"/>
    </font>
    <font>
      <b/>
      <sz val="11.0"/>
      <color rgb="FF002060"/>
      <name val="Arial"/>
    </font>
    <font>
      <sz val="11.0"/>
      <color rgb="FF000000"/>
      <name val="Arial"/>
    </font>
    <font>
      <sz val="11.0"/>
      <color theme="1"/>
      <name val="Arial"/>
    </font>
    <font>
      <b/>
      <sz val="11.0"/>
      <color rgb="FF0000FF"/>
      <name val="Arial"/>
    </font>
    <font>
      <b/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EAF4FB"/>
        <bgColor rgb="FFEAF4FB"/>
      </patternFill>
    </fill>
    <fill>
      <patternFill patternType="solid">
        <fgColor rgb="FFFFF9D6"/>
        <bgColor rgb="FFFFF9D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C00000"/>
        <bgColor rgb="FFC00000"/>
      </patternFill>
    </fill>
    <fill>
      <patternFill patternType="solid">
        <fgColor rgb="FFFF9999"/>
        <bgColor rgb="FFFF9999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A6B4C3"/>
      </left>
      <right style="thin">
        <color rgb="FFA6B4C3"/>
      </right>
      <top style="thin">
        <color rgb="FFA6B4C3"/>
      </top>
      <bottom style="thin">
        <color rgb="FFA6B4C3"/>
      </bottom>
    </border>
    <border>
      <left style="thin">
        <color rgb="FFA6B4C3"/>
      </left>
      <top style="thin">
        <color rgb="FFA6B4C3"/>
      </top>
      <bottom style="thin">
        <color rgb="FFA6B4C3"/>
      </bottom>
    </border>
    <border>
      <top style="thin">
        <color rgb="FFA6B4C3"/>
      </top>
      <bottom style="thin">
        <color rgb="FFA6B4C3"/>
      </bottom>
    </border>
    <border>
      <right style="thin">
        <color rgb="FFA6B4C3"/>
      </right>
      <top style="thin">
        <color rgb="FFA6B4C3"/>
      </top>
      <bottom style="thin">
        <color rgb="FFA6B4C3"/>
      </bottom>
    </border>
    <border>
      <right/>
      <top style="thin">
        <color rgb="FFA6B4C3"/>
      </top>
      <bottom style="thin">
        <color rgb="FFA6B4C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shrinkToFit="0" vertical="bottom" wrapText="0"/>
    </xf>
    <xf borderId="5" fillId="4" fontId="7" numFmtId="0" xfId="0" applyAlignment="1" applyBorder="1" applyFill="1" applyFont="1">
      <alignment horizontal="left" readingOrder="0" shrinkToFit="0" vertical="center" wrapText="1"/>
    </xf>
    <xf borderId="6" fillId="0" fontId="2" numFmtId="0" xfId="0" applyBorder="1" applyFont="1"/>
    <xf borderId="4" fillId="2" fontId="8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4" fillId="0" fontId="9" numFmtId="0" xfId="0" applyAlignment="1" applyBorder="1" applyFont="1">
      <alignment horizontal="center" shrinkToFit="0" vertical="center" wrapText="1"/>
    </xf>
    <xf borderId="4" fillId="4" fontId="7" numFmtId="164" xfId="0" applyAlignment="1" applyBorder="1" applyFill="1" applyFont="1" applyNumberForma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ill="1" applyFont="1">
      <alignment horizontal="left" shrinkToFit="0" vertical="center" wrapText="1"/>
    </xf>
    <xf borderId="5" fillId="4" fontId="7" numFmtId="165" xfId="0" applyAlignment="1" applyBorder="1" applyFill="1" applyFont="1" applyNumberFormat="1">
      <alignment horizontal="left" readingOrder="0" shrinkToFit="0" vertical="center" wrapText="1"/>
    </xf>
    <xf borderId="6" fillId="4" fontId="7" numFmtId="0" xfId="0" applyAlignment="1" applyBorder="1" applyFill="1" applyFont="1">
      <alignment horizontal="left" shrinkToFit="0" vertical="center" wrapText="1"/>
    </xf>
    <xf borderId="7" fillId="4" fontId="7" numFmtId="0" xfId="0" applyAlignment="1" applyBorder="1" applyFill="1" applyFont="1">
      <alignment horizontal="left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5" fillId="2" fontId="8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4" fillId="0" fontId="9" numFmtId="0" xfId="0" applyAlignment="1" applyBorder="1" applyFont="1">
      <alignment horizontal="left" shrinkToFit="0" vertical="center" wrapText="1"/>
    </xf>
    <xf borderId="5" fillId="0" fontId="10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4" fontId="12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left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10" numFmtId="9" xfId="0" applyAlignment="1" applyBorder="1" applyFont="1" applyNumberFormat="1">
      <alignment horizontal="center" shrinkToFit="0" vertical="center" wrapText="1"/>
    </xf>
    <xf borderId="4" fillId="0" fontId="5" numFmtId="9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4" fillId="2" fontId="8" numFmtId="0" xfId="0" applyAlignment="1" applyBorder="1" applyFill="1" applyFont="1">
      <alignment horizontal="center" readingOrder="0" shrinkToFit="0" vertical="center" wrapText="1"/>
    </xf>
    <xf borderId="4" fillId="0" fontId="10" numFmtId="166" xfId="0" applyAlignment="1" applyBorder="1" applyFont="1" applyNumberFormat="1">
      <alignment horizontal="center" shrinkToFit="0" vertical="center" wrapText="1"/>
    </xf>
    <xf borderId="4" fillId="4" fontId="7" numFmtId="9" xfId="0" applyAlignment="1" applyBorder="1" applyFill="1" applyFont="1" applyNumberFormat="1">
      <alignment horizontal="center" shrinkToFit="0" vertical="center" wrapText="1"/>
    </xf>
    <xf borderId="4" fillId="4" fontId="7" numFmtId="164" xfId="0" applyAlignment="1" applyBorder="1" applyFill="1" applyFont="1" applyNumberFormat="1">
      <alignment horizontal="center" readingOrder="0" shrinkToFit="0" vertical="center" wrapText="1"/>
    </xf>
    <xf borderId="4" fillId="0" fontId="10" numFmtId="164" xfId="0" applyAlignment="1" applyBorder="1" applyFont="1" applyNumberFormat="1">
      <alignment horizontal="center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3" fontId="5" numFmtId="167" xfId="0" applyAlignment="1" applyBorder="1" applyFill="1" applyFont="1" applyNumberFormat="1">
      <alignment horizontal="center" shrinkToFit="0" vertical="center" wrapText="1"/>
    </xf>
    <xf borderId="9" fillId="2" fontId="8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4" fillId="0" fontId="13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shrinkToFit="0" vertical="bottom" wrapText="0"/>
    </xf>
    <xf borderId="5" fillId="3" fontId="5" numFmtId="0" xfId="0" applyAlignment="1" applyBorder="1" applyFill="1" applyFont="1">
      <alignment horizontal="left" shrinkToFit="0" vertical="center" wrapText="1"/>
    </xf>
    <xf borderId="4" fillId="3" fontId="5" numFmtId="1" xfId="0" applyAlignment="1" applyBorder="1" applyFill="1" applyFont="1" applyNumberFormat="1">
      <alignment horizontal="center" shrinkToFit="0" vertical="center" wrapText="1"/>
    </xf>
    <xf borderId="4" fillId="3" fontId="5" numFmtId="166" xfId="0" applyAlignment="1" applyBorder="1" applyFill="1" applyFont="1" applyNumberFormat="1">
      <alignment horizontal="center" shrinkToFit="0" vertical="center" wrapText="1"/>
    </xf>
    <xf borderId="4" fillId="3" fontId="5" numFmtId="9" xfId="0" applyAlignment="1" applyBorder="1" applyFill="1" applyFont="1" applyNumberFormat="1">
      <alignment horizontal="center" shrinkToFit="0" vertical="center" wrapText="1"/>
    </xf>
    <xf borderId="4" fillId="3" fontId="10" numFmtId="0" xfId="0" applyAlignment="1" applyBorder="1" applyFill="1" applyFont="1">
      <alignment horizontal="left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9" fontId="5" numFmtId="0" xfId="0" applyAlignment="1" applyBorder="1" applyFill="1" applyFont="1">
      <alignment horizontal="left" shrinkToFit="0" vertical="center" wrapText="1"/>
    </xf>
    <xf borderId="4" fillId="10" fontId="5" numFmtId="0" xfId="0" applyAlignment="1" applyBorder="1" applyFill="1" applyFont="1">
      <alignment horizontal="left" shrinkToFit="0" vertical="center" wrapText="1"/>
    </xf>
    <xf borderId="4" fillId="11" fontId="5" numFmtId="0" xfId="0" applyAlignment="1" applyBorder="1" applyFill="1" applyFont="1">
      <alignment horizontal="left" shrinkToFit="0" vertical="center" wrapText="1"/>
    </xf>
    <xf borderId="4" fillId="0" fontId="5" numFmtId="166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4" fillId="0" fontId="5" numFmtId="167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Índice de Fidelidad semanal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'1_Ficha_Monitoreo'!$Q$5</c:f>
            </c:strRef>
          </c:tx>
          <c:invertIfNegative val="0"/>
          <c:cat>
            <c:strRef>
              <c:f>'1_Ficha_Monitoreo'!$B$6:$B$13</c:f>
            </c:strRef>
          </c:cat>
          <c:val>
            <c:numRef>
              <c:f>'1_Ficha_Monitoreo'!$Q$6:$Q$13</c:f>
              <c:numCache/>
            </c:numRef>
          </c:val>
        </c:ser>
        <c:axId val="799561599"/>
        <c:axId val="106209115"/>
      </c:barChart>
      <c:catAx>
        <c:axId val="799561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6209115"/>
      </c:catAx>
      <c:valAx>
        <c:axId val="1062091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99561599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Transacciones programadas vs. reales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'1_Ficha_Monitoreo'!$K$5</c:f>
            </c:strRef>
          </c:tx>
          <c:invertIfNegative val="0"/>
          <c:cat>
            <c:strRef>
              <c:f>'1_Ficha_Monitoreo'!$B$6:$B$13</c:f>
            </c:strRef>
          </c:cat>
          <c:val>
            <c:numRef>
              <c:f>'1_Ficha_Monitoreo'!$K$6:$K$13</c:f>
              <c:numCache/>
            </c:numRef>
          </c:val>
        </c:ser>
        <c:ser>
          <c:idx val="1"/>
          <c:order val="1"/>
          <c:tx>
            <c:strRef>
              <c:f>'1_Ficha_Monitoreo'!$L$5</c:f>
            </c:strRef>
          </c:tx>
          <c:invertIfNegative val="0"/>
          <c:cat>
            <c:strRef>
              <c:f>'1_Ficha_Monitoreo'!$B$6:$B$13</c:f>
            </c:strRef>
          </c:cat>
          <c:val>
            <c:numRef>
              <c:f>'1_Ficha_Monitoreo'!$L$6:$L$13</c:f>
              <c:numCache/>
            </c:numRef>
          </c:val>
        </c:ser>
        <c:axId val="1591148640"/>
        <c:axId val="515501285"/>
      </c:barChart>
      <c:catAx>
        <c:axId val="159114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5501285"/>
      </c:catAx>
      <c:valAx>
        <c:axId val="51550128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9114864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IF por dimensión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IF por dimensión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'3_Cotejo_Fidelidad'!$E$17:$E$21</c:f>
            </c:strRef>
          </c:cat>
          <c:val>
            <c:numRef>
              <c:f>'3_Cotejo_Fidelidad'!$F$17:$F$21</c:f>
              <c:numCache/>
            </c:numRef>
          </c:val>
        </c:ser>
        <c:axId val="1730989448"/>
        <c:axId val="344389441"/>
      </c:barChart>
      <c:catAx>
        <c:axId val="17309894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4389441"/>
      </c:catAx>
      <c:valAx>
        <c:axId val="344389441"/>
        <c:scaling>
          <c:orientation val="minMax"/>
          <c:max val="1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30989448"/>
        <c:crosses val="max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Incidencias por severidad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N.° incidencias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'8_Resumen'!$D$5:$D$8</c:f>
            </c:strRef>
          </c:cat>
          <c:val>
            <c:numRef>
              <c:f>'8_Resumen'!$E$5:$E$8</c:f>
              <c:numCache/>
            </c:numRef>
          </c:val>
        </c:ser>
        <c:axId val="251639130"/>
        <c:axId val="951274060"/>
      </c:barChart>
      <c:catAx>
        <c:axId val="251639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1274060"/>
      </c:catAx>
      <c:valAx>
        <c:axId val="951274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51639130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Evolución del IF semanal</a:t>
            </a:r>
          </a:p>
        </c:rich>
      </c:tx>
      <c:overlay val="0"/>
    </c:title>
    <c:plotArea>
      <c:layout/>
      <c:lineChart>
        <c:varyColors val="0"/>
        <c:axId val="1590784857"/>
        <c:axId val="284622096"/>
      </c:lineChart>
      <c:catAx>
        <c:axId val="1590784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84622096"/>
      </c:catAx>
      <c:valAx>
        <c:axId val="28462209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90784857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1419225" cy="7143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38100</xdr:rowOff>
    </xdr:from>
    <xdr:ext cx="5457825" cy="3019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19</xdr:row>
      <xdr:rowOff>38100</xdr:rowOff>
    </xdr:from>
    <xdr:ext cx="5476875" cy="3019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23</xdr:row>
      <xdr:rowOff>114300</xdr:rowOff>
    </xdr:from>
    <xdr:ext cx="4962525" cy="2638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13</xdr:row>
      <xdr:rowOff>0</xdr:rowOff>
    </xdr:from>
    <xdr:ext cx="4086225" cy="25241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0</xdr:rowOff>
    </xdr:from>
    <xdr:ext cx="4876800" cy="2638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5" width="20.0"/>
    <col customWidth="1" min="6" max="6" width="30.0"/>
    <col customWidth="1" min="7" max="26" width="8.71"/>
  </cols>
  <sheetData>
    <row r="1" ht="30.0" customHeight="1">
      <c r="A1" s="2" t="s">
        <v>1</v>
      </c>
      <c r="B1" s="3"/>
      <c r="C1" s="3"/>
      <c r="D1" s="3"/>
      <c r="E1" s="3"/>
      <c r="F1" s="4"/>
    </row>
    <row r="2" ht="30.0" customHeight="1">
      <c r="A2" s="5" t="s">
        <v>2</v>
      </c>
      <c r="B2" s="3"/>
      <c r="C2" s="3"/>
      <c r="D2" s="3"/>
      <c r="E2" s="3"/>
      <c r="F2" s="4"/>
    </row>
    <row r="4">
      <c r="B4" s="6" t="s">
        <v>4</v>
      </c>
    </row>
    <row r="5" ht="18.0" customHeight="1">
      <c r="B5" s="7" t="s">
        <v>5</v>
      </c>
      <c r="C5" s="9" t="s">
        <v>6</v>
      </c>
      <c r="D5" s="10"/>
      <c r="E5" s="12"/>
    </row>
    <row r="6" ht="18.0" customHeight="1">
      <c r="B6" s="7" t="s">
        <v>12</v>
      </c>
      <c r="C6" s="9"/>
      <c r="D6" s="10"/>
      <c r="E6" s="12"/>
    </row>
    <row r="7" ht="30.0" customHeight="1">
      <c r="B7" s="7" t="s">
        <v>21</v>
      </c>
      <c r="C7" s="9" t="s">
        <v>24</v>
      </c>
      <c r="D7" s="10"/>
      <c r="E7" s="12"/>
    </row>
    <row r="8" ht="18.0" customHeight="1">
      <c r="B8" s="7" t="s">
        <v>30</v>
      </c>
      <c r="C8" s="9" t="s">
        <v>31</v>
      </c>
      <c r="D8" s="10"/>
      <c r="E8" s="12"/>
    </row>
    <row r="9" ht="18.0" customHeight="1">
      <c r="B9" s="7" t="s">
        <v>32</v>
      </c>
      <c r="C9" s="9" t="s">
        <v>33</v>
      </c>
      <c r="D9" s="10"/>
      <c r="E9" s="12"/>
    </row>
    <row r="10" ht="18.0" customHeight="1">
      <c r="B10" s="7" t="s">
        <v>34</v>
      </c>
      <c r="C10" s="16" t="s">
        <v>35</v>
      </c>
      <c r="D10" s="10"/>
      <c r="E10" s="12"/>
    </row>
    <row r="11" ht="18.0" customHeight="1">
      <c r="B11" s="7" t="s">
        <v>36</v>
      </c>
      <c r="C11" s="9">
        <v>108.0</v>
      </c>
      <c r="D11" s="10"/>
      <c r="E11" s="12"/>
    </row>
    <row r="12" ht="18.0" customHeight="1">
      <c r="B12" s="7" t="s">
        <v>37</v>
      </c>
      <c r="C12" s="17">
        <v>46313.0</v>
      </c>
      <c r="D12" s="18"/>
      <c r="E12" s="19"/>
    </row>
    <row r="13" ht="18.0" customHeight="1">
      <c r="B13" s="7" t="s">
        <v>38</v>
      </c>
      <c r="C13" s="17">
        <v>46353.0</v>
      </c>
      <c r="D13" s="18"/>
      <c r="E13" s="19"/>
    </row>
    <row r="14" ht="18.0" customHeight="1">
      <c r="B14" s="7" t="s">
        <v>39</v>
      </c>
      <c r="C14" s="16" t="s">
        <v>40</v>
      </c>
      <c r="D14" s="10"/>
      <c r="E14" s="12"/>
    </row>
    <row r="16">
      <c r="B16" s="6" t="s">
        <v>41</v>
      </c>
    </row>
    <row r="17" ht="15.0" customHeight="1">
      <c r="B17" s="11" t="s">
        <v>42</v>
      </c>
      <c r="C17" s="21" t="s">
        <v>43</v>
      </c>
      <c r="D17" s="10"/>
      <c r="E17" s="10"/>
      <c r="F17" s="22"/>
    </row>
    <row r="18" ht="30.0" customHeight="1">
      <c r="B18" s="23" t="s">
        <v>44</v>
      </c>
      <c r="C18" s="24" t="s">
        <v>45</v>
      </c>
      <c r="D18" s="10"/>
      <c r="E18" s="10"/>
      <c r="F18" s="12"/>
    </row>
    <row r="19" ht="30.0" customHeight="1">
      <c r="B19" s="23" t="s">
        <v>46</v>
      </c>
      <c r="C19" s="24" t="s">
        <v>47</v>
      </c>
      <c r="D19" s="10"/>
      <c r="E19" s="10"/>
      <c r="F19" s="12"/>
    </row>
    <row r="20" ht="30.0" customHeight="1">
      <c r="B20" s="23" t="s">
        <v>48</v>
      </c>
      <c r="C20" s="24" t="s">
        <v>49</v>
      </c>
      <c r="D20" s="10"/>
      <c r="E20" s="10"/>
      <c r="F20" s="12"/>
    </row>
    <row r="21" ht="30.0" customHeight="1">
      <c r="B21" s="23" t="s">
        <v>50</v>
      </c>
      <c r="C21" s="24" t="s">
        <v>51</v>
      </c>
      <c r="D21" s="10"/>
      <c r="E21" s="10"/>
      <c r="F21" s="12"/>
    </row>
    <row r="22" ht="30.0" customHeight="1">
      <c r="B22" s="23" t="s">
        <v>52</v>
      </c>
      <c r="C22" s="24" t="s">
        <v>53</v>
      </c>
      <c r="D22" s="10"/>
      <c r="E22" s="10"/>
      <c r="F22" s="12"/>
    </row>
    <row r="23" ht="30.0" customHeight="1">
      <c r="B23" s="23" t="s">
        <v>54</v>
      </c>
      <c r="C23" s="24" t="s">
        <v>55</v>
      </c>
      <c r="D23" s="10"/>
      <c r="E23" s="10"/>
      <c r="F23" s="12"/>
    </row>
    <row r="24" ht="30.0" customHeight="1">
      <c r="B24" s="23" t="s">
        <v>56</v>
      </c>
      <c r="C24" s="24" t="s">
        <v>57</v>
      </c>
      <c r="D24" s="10"/>
      <c r="E24" s="10"/>
      <c r="F24" s="12"/>
    </row>
    <row r="25" ht="30.0" customHeight="1">
      <c r="B25" s="23" t="s">
        <v>58</v>
      </c>
      <c r="C25" s="24" t="s">
        <v>59</v>
      </c>
      <c r="D25" s="10"/>
      <c r="E25" s="10"/>
      <c r="F25" s="12"/>
    </row>
    <row r="26" ht="30.0" customHeight="1">
      <c r="B26" s="23" t="s">
        <v>60</v>
      </c>
      <c r="C26" s="24" t="s">
        <v>61</v>
      </c>
      <c r="D26" s="10"/>
      <c r="E26" s="10"/>
      <c r="F26" s="12"/>
    </row>
    <row r="27" ht="15.75" customHeight="1"/>
    <row r="28" ht="15.75" customHeight="1">
      <c r="B28" s="6" t="s">
        <v>62</v>
      </c>
    </row>
    <row r="29" ht="15.0" customHeight="1">
      <c r="B29" s="20" t="s">
        <v>63</v>
      </c>
      <c r="C29" s="24" t="s">
        <v>64</v>
      </c>
      <c r="D29" s="10"/>
      <c r="E29" s="10"/>
      <c r="F29" s="10"/>
    </row>
    <row r="30" ht="15.0" customHeight="1">
      <c r="B30" s="26" t="s">
        <v>65</v>
      </c>
      <c r="C30" s="24" t="s">
        <v>66</v>
      </c>
      <c r="D30" s="10"/>
      <c r="E30" s="10"/>
      <c r="F30" s="10"/>
    </row>
    <row r="31" ht="30.0" customHeight="1">
      <c r="B31" s="27" t="s">
        <v>67</v>
      </c>
    </row>
    <row r="32" ht="30.0" customHeight="1">
      <c r="B32" s="27" t="s">
        <v>68</v>
      </c>
    </row>
    <row r="33" ht="30.0" customHeight="1">
      <c r="B33" s="27" t="s">
        <v>69</v>
      </c>
    </row>
    <row r="34" ht="30.0" customHeight="1">
      <c r="B34" s="27" t="s">
        <v>70</v>
      </c>
    </row>
    <row r="35" ht="30.0" customHeight="1">
      <c r="B35" s="27" t="s">
        <v>71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2:F2"/>
    <mergeCell ref="C5:E5"/>
    <mergeCell ref="C6:E6"/>
    <mergeCell ref="C7:E7"/>
    <mergeCell ref="C8:E8"/>
    <mergeCell ref="C9:E9"/>
    <mergeCell ref="C10:E10"/>
    <mergeCell ref="C11:E11"/>
    <mergeCell ref="C14:E14"/>
    <mergeCell ref="C17:F17"/>
    <mergeCell ref="C18:F18"/>
    <mergeCell ref="C19:F19"/>
    <mergeCell ref="C20:F20"/>
    <mergeCell ref="C30:F30"/>
    <mergeCell ref="B31:F31"/>
    <mergeCell ref="B32:F32"/>
    <mergeCell ref="B33:F33"/>
    <mergeCell ref="B34:F34"/>
    <mergeCell ref="B35:F35"/>
    <mergeCell ref="C21:F21"/>
    <mergeCell ref="C22:F22"/>
    <mergeCell ref="C23:F23"/>
    <mergeCell ref="C24:F24"/>
    <mergeCell ref="C25:F25"/>
    <mergeCell ref="C26:F26"/>
    <mergeCell ref="C29:F29"/>
  </mergeCells>
  <printOptions/>
  <pageMargins bottom="1.0" footer="0.0" header="0.0" left="0.75" right="0.75" top="1.0"/>
  <pageSetup fitToHeight="0" orientation="landscape"/>
  <headerFooter>
    <oddFooter>&amp;CSeminario de Tesis III – Sesión 6 – MBA Jenny Reynoso Palpa&amp;RPág.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9.0"/>
    <col customWidth="1" min="2" max="2" width="8.0"/>
    <col customWidth="1" min="3" max="4" width="12.0"/>
    <col customWidth="1" min="5" max="6" width="11.0"/>
    <col customWidth="1" min="7" max="10" width="12.0"/>
    <col customWidth="1" min="11" max="12" width="13.0"/>
    <col customWidth="1" min="13" max="13" width="12.0"/>
    <col customWidth="1" min="14" max="15" width="11.0"/>
    <col customWidth="1" min="16" max="16" width="13.0"/>
    <col customWidth="1" min="17" max="17" width="10.0"/>
    <col customWidth="1" min="18" max="18" width="11.0"/>
    <col customWidth="1" min="19" max="19" width="42.0"/>
    <col customWidth="1" min="20" max="26" width="8.71"/>
  </cols>
  <sheetData>
    <row r="1" ht="30.0" customHeight="1">
      <c r="A1" s="1" t="s">
        <v>197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30.0" customHeight="1">
      <c r="A2" s="5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>
      <c r="A3" s="35" t="s">
        <v>199</v>
      </c>
      <c r="D3" s="7" t="s">
        <v>200</v>
      </c>
      <c r="E3" s="38">
        <v>0.95</v>
      </c>
      <c r="F3" s="7" t="s">
        <v>201</v>
      </c>
      <c r="G3" s="38">
        <v>0.8</v>
      </c>
      <c r="H3" s="7" t="s">
        <v>202</v>
      </c>
      <c r="I3" s="38">
        <v>0.8</v>
      </c>
      <c r="J3" s="7" t="s">
        <v>203</v>
      </c>
      <c r="K3" s="38">
        <v>1.0</v>
      </c>
    </row>
    <row r="5" ht="45.0" customHeight="1">
      <c r="A5" s="11" t="s">
        <v>204</v>
      </c>
      <c r="B5" s="11" t="s">
        <v>11</v>
      </c>
      <c r="C5" s="11" t="s">
        <v>205</v>
      </c>
      <c r="D5" s="11" t="s">
        <v>206</v>
      </c>
      <c r="E5" s="11" t="s">
        <v>207</v>
      </c>
      <c r="F5" s="11" t="s">
        <v>208</v>
      </c>
      <c r="G5" s="11" t="s">
        <v>209</v>
      </c>
      <c r="H5" s="11" t="s">
        <v>210</v>
      </c>
      <c r="I5" s="11" t="s">
        <v>211</v>
      </c>
      <c r="J5" s="11" t="s">
        <v>212</v>
      </c>
      <c r="K5" s="11" t="s">
        <v>213</v>
      </c>
      <c r="L5" s="11" t="s">
        <v>214</v>
      </c>
      <c r="M5" s="11" t="s">
        <v>215</v>
      </c>
      <c r="N5" s="11" t="s">
        <v>216</v>
      </c>
      <c r="O5" s="11" t="s">
        <v>217</v>
      </c>
      <c r="P5" s="11" t="s">
        <v>218</v>
      </c>
      <c r="Q5" s="11" t="s">
        <v>219</v>
      </c>
      <c r="R5" s="11" t="s">
        <v>220</v>
      </c>
      <c r="S5" s="11" t="s">
        <v>221</v>
      </c>
    </row>
    <row r="6" ht="21.75" customHeight="1">
      <c r="A6" s="13" t="s">
        <v>222</v>
      </c>
      <c r="B6" s="28" t="s">
        <v>223</v>
      </c>
      <c r="C6" s="39">
        <v>46313.0</v>
      </c>
      <c r="D6" s="40">
        <f t="shared" ref="D6:D17" si="1">IF(C6="","",C6+6)</f>
        <v>46319</v>
      </c>
      <c r="E6" s="15"/>
      <c r="F6" s="15"/>
      <c r="G6" s="37" t="str">
        <f t="shared" ref="G6:G17" si="2">IF(OR(E6="",E6=0),"",F6/E6)</f>
        <v/>
      </c>
      <c r="H6" s="31">
        <v>108.0</v>
      </c>
      <c r="I6" s="15"/>
      <c r="J6" s="37">
        <f t="shared" ref="J6:J17" si="3">IF(OR(H6="",H6=0),"",I6/H6)</f>
        <v>0</v>
      </c>
      <c r="K6" s="15"/>
      <c r="L6" s="15"/>
      <c r="M6" s="37" t="str">
        <f t="shared" ref="M6:M17" si="4">IF(OR(K6="",K6=0),"",L6/K6)</f>
        <v/>
      </c>
      <c r="N6" s="15"/>
      <c r="O6" s="15"/>
      <c r="P6" s="15"/>
      <c r="Q6" s="34" t="str">
        <f t="shared" ref="Q6:Q17" si="5">IF(E6="","",((G6&gt;=$E$3)+(J6&gt;=$G$3)+(M6&gt;=$I$3)+(IF(N6=0,1,O6/N6)&gt;=$K$3)+(P6="No"))/5)</f>
        <v/>
      </c>
      <c r="R6" s="25" t="str">
        <f t="shared" ref="R6:R18" si="6">IF(Q6="","",IF(Q6&gt;=0.8,"Alta",IF(Q6&gt;=0.6,"Moderada","Baja")))</f>
        <v/>
      </c>
      <c r="S6" s="20"/>
    </row>
    <row r="7" ht="21.75" customHeight="1">
      <c r="A7" s="13" t="s">
        <v>224</v>
      </c>
      <c r="B7" s="28" t="s">
        <v>225</v>
      </c>
      <c r="C7" s="39">
        <v>46320.0</v>
      </c>
      <c r="D7" s="40">
        <f t="shared" si="1"/>
        <v>46326</v>
      </c>
      <c r="E7" s="15"/>
      <c r="F7" s="15"/>
      <c r="G7" s="37" t="str">
        <f t="shared" si="2"/>
        <v/>
      </c>
      <c r="H7" s="31">
        <v>108.0</v>
      </c>
      <c r="I7" s="15"/>
      <c r="J7" s="37">
        <f t="shared" si="3"/>
        <v>0</v>
      </c>
      <c r="K7" s="15"/>
      <c r="L7" s="15"/>
      <c r="M7" s="37" t="str">
        <f t="shared" si="4"/>
        <v/>
      </c>
      <c r="N7" s="15"/>
      <c r="O7" s="15"/>
      <c r="P7" s="15"/>
      <c r="Q7" s="34" t="str">
        <f t="shared" si="5"/>
        <v/>
      </c>
      <c r="R7" s="25" t="str">
        <f t="shared" si="6"/>
        <v/>
      </c>
      <c r="S7" s="20"/>
    </row>
    <row r="8" ht="21.75" customHeight="1">
      <c r="A8" s="13" t="s">
        <v>234</v>
      </c>
      <c r="B8" s="28" t="s">
        <v>235</v>
      </c>
      <c r="C8" s="39">
        <v>46327.0</v>
      </c>
      <c r="D8" s="40">
        <f t="shared" si="1"/>
        <v>46333</v>
      </c>
      <c r="E8" s="15"/>
      <c r="F8" s="15"/>
      <c r="G8" s="37" t="str">
        <f t="shared" si="2"/>
        <v/>
      </c>
      <c r="H8" s="31">
        <v>108.0</v>
      </c>
      <c r="I8" s="15"/>
      <c r="J8" s="37">
        <f t="shared" si="3"/>
        <v>0</v>
      </c>
      <c r="K8" s="15"/>
      <c r="L8" s="15"/>
      <c r="M8" s="37" t="str">
        <f t="shared" si="4"/>
        <v/>
      </c>
      <c r="N8" s="15"/>
      <c r="O8" s="15"/>
      <c r="P8" s="15"/>
      <c r="Q8" s="34" t="str">
        <f t="shared" si="5"/>
        <v/>
      </c>
      <c r="R8" s="25" t="str">
        <f t="shared" si="6"/>
        <v/>
      </c>
      <c r="S8" s="20"/>
    </row>
    <row r="9" ht="21.75" customHeight="1">
      <c r="A9" s="13" t="s">
        <v>247</v>
      </c>
      <c r="B9" s="28" t="s">
        <v>249</v>
      </c>
      <c r="C9" s="39">
        <v>46334.0</v>
      </c>
      <c r="D9" s="40">
        <f t="shared" si="1"/>
        <v>46340</v>
      </c>
      <c r="E9" s="15"/>
      <c r="F9" s="15"/>
      <c r="G9" s="37" t="str">
        <f t="shared" si="2"/>
        <v/>
      </c>
      <c r="H9" s="31">
        <v>108.0</v>
      </c>
      <c r="I9" s="15"/>
      <c r="J9" s="37">
        <f t="shared" si="3"/>
        <v>0</v>
      </c>
      <c r="K9" s="15"/>
      <c r="L9" s="15"/>
      <c r="M9" s="37" t="str">
        <f t="shared" si="4"/>
        <v/>
      </c>
      <c r="N9" s="15"/>
      <c r="O9" s="15"/>
      <c r="P9" s="15"/>
      <c r="Q9" s="34" t="str">
        <f t="shared" si="5"/>
        <v/>
      </c>
      <c r="R9" s="25" t="str">
        <f t="shared" si="6"/>
        <v/>
      </c>
      <c r="S9" s="20"/>
    </row>
    <row r="10" ht="21.75" customHeight="1">
      <c r="A10" s="13" t="s">
        <v>263</v>
      </c>
      <c r="B10" s="28" t="s">
        <v>264</v>
      </c>
      <c r="C10" s="39">
        <v>46341.0</v>
      </c>
      <c r="D10" s="40">
        <f t="shared" si="1"/>
        <v>46347</v>
      </c>
      <c r="E10" s="15"/>
      <c r="F10" s="15"/>
      <c r="G10" s="37" t="str">
        <f t="shared" si="2"/>
        <v/>
      </c>
      <c r="H10" s="31">
        <v>108.0</v>
      </c>
      <c r="I10" s="15"/>
      <c r="J10" s="37">
        <f t="shared" si="3"/>
        <v>0</v>
      </c>
      <c r="K10" s="15"/>
      <c r="L10" s="15"/>
      <c r="M10" s="37" t="str">
        <f t="shared" si="4"/>
        <v/>
      </c>
      <c r="N10" s="15"/>
      <c r="O10" s="15"/>
      <c r="P10" s="15"/>
      <c r="Q10" s="34" t="str">
        <f t="shared" si="5"/>
        <v/>
      </c>
      <c r="R10" s="25" t="str">
        <f t="shared" si="6"/>
        <v/>
      </c>
      <c r="S10" s="20"/>
    </row>
    <row r="11" ht="21.75" customHeight="1">
      <c r="A11" s="13" t="s">
        <v>266</v>
      </c>
      <c r="B11" s="28" t="s">
        <v>267</v>
      </c>
      <c r="C11" s="39">
        <v>46348.0</v>
      </c>
      <c r="D11" s="40">
        <f t="shared" si="1"/>
        <v>46354</v>
      </c>
      <c r="E11" s="15"/>
      <c r="F11" s="15"/>
      <c r="G11" s="37" t="str">
        <f t="shared" si="2"/>
        <v/>
      </c>
      <c r="H11" s="31">
        <v>108.0</v>
      </c>
      <c r="I11" s="15"/>
      <c r="J11" s="37">
        <f t="shared" si="3"/>
        <v>0</v>
      </c>
      <c r="K11" s="15"/>
      <c r="L11" s="15"/>
      <c r="M11" s="37" t="str">
        <f t="shared" si="4"/>
        <v/>
      </c>
      <c r="N11" s="15"/>
      <c r="O11" s="15"/>
      <c r="P11" s="15"/>
      <c r="Q11" s="34" t="str">
        <f t="shared" si="5"/>
        <v/>
      </c>
      <c r="R11" s="25" t="str">
        <f t="shared" si="6"/>
        <v/>
      </c>
      <c r="S11" s="20"/>
    </row>
    <row r="12" ht="21.75" customHeight="1">
      <c r="A12" s="13" t="s">
        <v>269</v>
      </c>
      <c r="B12" s="28" t="s">
        <v>270</v>
      </c>
      <c r="C12" s="14"/>
      <c r="D12" s="40" t="str">
        <f t="shared" si="1"/>
        <v/>
      </c>
      <c r="E12" s="15"/>
      <c r="F12" s="15"/>
      <c r="G12" s="37" t="str">
        <f t="shared" si="2"/>
        <v/>
      </c>
      <c r="H12" s="15"/>
      <c r="I12" s="15"/>
      <c r="J12" s="37" t="str">
        <f t="shared" si="3"/>
        <v/>
      </c>
      <c r="K12" s="15"/>
      <c r="L12" s="15"/>
      <c r="M12" s="37" t="str">
        <f t="shared" si="4"/>
        <v/>
      </c>
      <c r="N12" s="15"/>
      <c r="O12" s="15"/>
      <c r="P12" s="15"/>
      <c r="Q12" s="34" t="str">
        <f t="shared" si="5"/>
        <v/>
      </c>
      <c r="R12" s="25" t="str">
        <f t="shared" si="6"/>
        <v/>
      </c>
      <c r="S12" s="20"/>
    </row>
    <row r="13" ht="21.75" customHeight="1">
      <c r="A13" s="13" t="s">
        <v>271</v>
      </c>
      <c r="B13" s="28" t="s">
        <v>272</v>
      </c>
      <c r="C13" s="14"/>
      <c r="D13" s="40" t="str">
        <f t="shared" si="1"/>
        <v/>
      </c>
      <c r="E13" s="15"/>
      <c r="F13" s="15"/>
      <c r="G13" s="37" t="str">
        <f t="shared" si="2"/>
        <v/>
      </c>
      <c r="H13" s="15"/>
      <c r="I13" s="15"/>
      <c r="J13" s="37" t="str">
        <f t="shared" si="3"/>
        <v/>
      </c>
      <c r="K13" s="15"/>
      <c r="L13" s="15"/>
      <c r="M13" s="37" t="str">
        <f t="shared" si="4"/>
        <v/>
      </c>
      <c r="N13" s="15"/>
      <c r="O13" s="15"/>
      <c r="P13" s="15"/>
      <c r="Q13" s="34" t="str">
        <f t="shared" si="5"/>
        <v/>
      </c>
      <c r="R13" s="25" t="str">
        <f t="shared" si="6"/>
        <v/>
      </c>
      <c r="S13" s="20"/>
    </row>
    <row r="14" ht="21.75" customHeight="1">
      <c r="A14" s="13" t="s">
        <v>273</v>
      </c>
      <c r="B14" s="28" t="s">
        <v>274</v>
      </c>
      <c r="C14" s="14"/>
      <c r="D14" s="40" t="str">
        <f t="shared" si="1"/>
        <v/>
      </c>
      <c r="E14" s="15"/>
      <c r="F14" s="15"/>
      <c r="G14" s="37" t="str">
        <f t="shared" si="2"/>
        <v/>
      </c>
      <c r="H14" s="15"/>
      <c r="I14" s="15"/>
      <c r="J14" s="37" t="str">
        <f t="shared" si="3"/>
        <v/>
      </c>
      <c r="K14" s="15"/>
      <c r="L14" s="15"/>
      <c r="M14" s="37" t="str">
        <f t="shared" si="4"/>
        <v/>
      </c>
      <c r="N14" s="15"/>
      <c r="O14" s="15"/>
      <c r="P14" s="15"/>
      <c r="Q14" s="34" t="str">
        <f t="shared" si="5"/>
        <v/>
      </c>
      <c r="R14" s="25" t="str">
        <f t="shared" si="6"/>
        <v/>
      </c>
      <c r="S14" s="20"/>
    </row>
    <row r="15" ht="21.75" customHeight="1">
      <c r="A15" s="13" t="s">
        <v>275</v>
      </c>
      <c r="B15" s="28" t="s">
        <v>276</v>
      </c>
      <c r="C15" s="14"/>
      <c r="D15" s="40" t="str">
        <f t="shared" si="1"/>
        <v/>
      </c>
      <c r="E15" s="15"/>
      <c r="F15" s="15"/>
      <c r="G15" s="37" t="str">
        <f t="shared" si="2"/>
        <v/>
      </c>
      <c r="H15" s="15"/>
      <c r="I15" s="15"/>
      <c r="J15" s="37" t="str">
        <f t="shared" si="3"/>
        <v/>
      </c>
      <c r="K15" s="15"/>
      <c r="L15" s="15"/>
      <c r="M15" s="37" t="str">
        <f t="shared" si="4"/>
        <v/>
      </c>
      <c r="N15" s="15"/>
      <c r="O15" s="15"/>
      <c r="P15" s="15"/>
      <c r="Q15" s="34" t="str">
        <f t="shared" si="5"/>
        <v/>
      </c>
      <c r="R15" s="25" t="str">
        <f t="shared" si="6"/>
        <v/>
      </c>
      <c r="S15" s="20"/>
    </row>
    <row r="16" ht="21.75" customHeight="1">
      <c r="A16" s="13" t="s">
        <v>284</v>
      </c>
      <c r="B16" s="28" t="s">
        <v>285</v>
      </c>
      <c r="C16" s="14"/>
      <c r="D16" s="40" t="str">
        <f t="shared" si="1"/>
        <v/>
      </c>
      <c r="E16" s="15"/>
      <c r="F16" s="15"/>
      <c r="G16" s="37" t="str">
        <f t="shared" si="2"/>
        <v/>
      </c>
      <c r="H16" s="15"/>
      <c r="I16" s="15"/>
      <c r="J16" s="37" t="str">
        <f t="shared" si="3"/>
        <v/>
      </c>
      <c r="K16" s="15"/>
      <c r="L16" s="15"/>
      <c r="M16" s="37" t="str">
        <f t="shared" si="4"/>
        <v/>
      </c>
      <c r="N16" s="15"/>
      <c r="O16" s="15"/>
      <c r="P16" s="15"/>
      <c r="Q16" s="34" t="str">
        <f t="shared" si="5"/>
        <v/>
      </c>
      <c r="R16" s="25" t="str">
        <f t="shared" si="6"/>
        <v/>
      </c>
      <c r="S16" s="20"/>
    </row>
    <row r="17" ht="21.75" customHeight="1">
      <c r="A17" s="13" t="s">
        <v>301</v>
      </c>
      <c r="B17" s="28" t="s">
        <v>304</v>
      </c>
      <c r="C17" s="14"/>
      <c r="D17" s="40" t="str">
        <f t="shared" si="1"/>
        <v/>
      </c>
      <c r="E17" s="15"/>
      <c r="F17" s="15"/>
      <c r="G17" s="37" t="str">
        <f t="shared" si="2"/>
        <v/>
      </c>
      <c r="H17" s="15"/>
      <c r="I17" s="15"/>
      <c r="J17" s="37" t="str">
        <f t="shared" si="3"/>
        <v/>
      </c>
      <c r="K17" s="15"/>
      <c r="L17" s="15"/>
      <c r="M17" s="37" t="str">
        <f t="shared" si="4"/>
        <v/>
      </c>
      <c r="N17" s="15"/>
      <c r="O17" s="15"/>
      <c r="P17" s="15"/>
      <c r="Q17" s="34" t="str">
        <f t="shared" si="5"/>
        <v/>
      </c>
      <c r="R17" s="25" t="str">
        <f t="shared" si="6"/>
        <v/>
      </c>
      <c r="S17" s="20"/>
    </row>
    <row r="18" ht="45.0" customHeight="1">
      <c r="A18" s="50" t="s">
        <v>310</v>
      </c>
      <c r="B18" s="10"/>
      <c r="C18" s="10"/>
      <c r="D18" s="12"/>
      <c r="E18" s="51">
        <f t="shared" ref="E18:F18" si="7">SUM(E6:E17)</f>
        <v>0</v>
      </c>
      <c r="F18" s="51">
        <f t="shared" si="7"/>
        <v>0</v>
      </c>
      <c r="G18" s="52" t="str">
        <f>IF(E18=0,"",F18/E18)</f>
        <v/>
      </c>
      <c r="H18" s="45">
        <f t="shared" ref="H18:I18" si="8">AVERAGE(H6:H17)</f>
        <v>108</v>
      </c>
      <c r="I18" s="45" t="str">
        <f t="shared" si="8"/>
        <v>#DIV/0!</v>
      </c>
      <c r="J18" s="52" t="str">
        <f>IFERROR(I18/H18,"")</f>
        <v/>
      </c>
      <c r="K18" s="51">
        <f t="shared" ref="K18:L18" si="9">SUM(K6:K17)</f>
        <v>0</v>
      </c>
      <c r="L18" s="51">
        <f t="shared" si="9"/>
        <v>0</v>
      </c>
      <c r="M18" s="52" t="str">
        <f>IF(K18=0,"",L18/K18)</f>
        <v/>
      </c>
      <c r="N18" s="51">
        <f t="shared" ref="N18:O18" si="10">SUM(N6:N17)</f>
        <v>0</v>
      </c>
      <c r="O18" s="51">
        <f t="shared" si="10"/>
        <v>0</v>
      </c>
      <c r="P18" s="44" t="str">
        <f>COUNTIF(P6:P17,"Sí")&amp;" sem. con uso GC"</f>
        <v>0 sem. con uso GC</v>
      </c>
      <c r="Q18" s="53" t="str">
        <f>IFERROR(AVERAGE(Q6:Q17),"")</f>
        <v/>
      </c>
      <c r="R18" s="44" t="str">
        <f t="shared" si="6"/>
        <v/>
      </c>
      <c r="S18" s="54" t="s">
        <v>311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A2:S2"/>
    <mergeCell ref="A18:D18"/>
  </mergeCells>
  <conditionalFormatting sqref="R6:R18">
    <cfRule type="cellIs" dxfId="0" priority="1" operator="equal">
      <formula>"Alta"</formula>
    </cfRule>
  </conditionalFormatting>
  <conditionalFormatting sqref="R6:R18">
    <cfRule type="cellIs" dxfId="2" priority="2" operator="equal">
      <formula>"Moderada"</formula>
    </cfRule>
  </conditionalFormatting>
  <conditionalFormatting sqref="R6:R18">
    <cfRule type="cellIs" dxfId="1" priority="3" operator="equal">
      <formula>"Baja"</formula>
    </cfRule>
  </conditionalFormatting>
  <dataValidations>
    <dataValidation type="list" allowBlank="1" sqref="P6:P17">
      <formula1>Listas!$F$2:$F$3</formula1>
    </dataValidation>
  </dataValidations>
  <printOptions/>
  <pageMargins bottom="1.0" footer="0.0" header="0.0" left="0.75" right="0.75" top="1.0"/>
  <pageSetup fitToHeight="0" orientation="landscape"/>
  <headerFooter>
    <oddFooter>&amp;CSeminario de Tesis III – Sesión 6 – MBA Jenny Reynoso Palpa&amp;RPág.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4" width="8.0"/>
    <col customWidth="1" min="5" max="5" width="9.0"/>
    <col customWidth="1" min="6" max="6" width="40.0"/>
    <col customWidth="1" min="7" max="7" width="13.0"/>
    <col customWidth="1" min="8" max="9" width="10.0"/>
    <col customWidth="1" min="10" max="10" width="12.0"/>
    <col customWidth="1" min="11" max="11" width="22.0"/>
    <col customWidth="1" min="12" max="12" width="32.0"/>
    <col customWidth="1" min="13" max="13" width="36.0"/>
    <col customWidth="1" min="14" max="14" width="16.0"/>
    <col customWidth="1" min="15" max="16" width="12.0"/>
    <col customWidth="1" min="17" max="18" width="11.0"/>
    <col customWidth="1" min="19" max="19" width="26.0"/>
    <col customWidth="1" min="20" max="26" width="8.71"/>
  </cols>
  <sheetData>
    <row r="1" ht="30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30.0" customHeight="1">
      <c r="A2" s="5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>
      <c r="A3" s="8" t="s">
        <v>7</v>
      </c>
    </row>
    <row r="4" ht="45.0" customHeight="1">
      <c r="A4" s="11" t="s">
        <v>8</v>
      </c>
      <c r="B4" s="11" t="s">
        <v>9</v>
      </c>
      <c r="C4" s="11" t="s">
        <v>10</v>
      </c>
      <c r="D4" s="11" t="s">
        <v>11</v>
      </c>
      <c r="E4" s="11" t="s">
        <v>13</v>
      </c>
      <c r="F4" s="11" t="s">
        <v>14</v>
      </c>
      <c r="G4" s="11" t="s">
        <v>15</v>
      </c>
      <c r="H4" s="11" t="s">
        <v>16</v>
      </c>
      <c r="I4" s="11" t="s">
        <v>17</v>
      </c>
      <c r="J4" s="11" t="s">
        <v>18</v>
      </c>
      <c r="K4" s="11" t="s">
        <v>19</v>
      </c>
      <c r="L4" s="11" t="s">
        <v>20</v>
      </c>
      <c r="M4" s="11" t="s">
        <v>22</v>
      </c>
      <c r="N4" s="11" t="s">
        <v>23</v>
      </c>
      <c r="O4" s="11" t="s">
        <v>25</v>
      </c>
      <c r="P4" s="11" t="s">
        <v>26</v>
      </c>
      <c r="Q4" s="11" t="s">
        <v>27</v>
      </c>
      <c r="R4" s="11" t="s">
        <v>28</v>
      </c>
      <c r="S4" s="11" t="s">
        <v>29</v>
      </c>
    </row>
    <row r="5" ht="31.5" customHeight="1">
      <c r="A5" s="13"/>
      <c r="B5" s="14"/>
      <c r="C5" s="15"/>
      <c r="D5" s="15"/>
      <c r="E5" s="15"/>
      <c r="F5" s="20"/>
      <c r="G5" s="15"/>
      <c r="H5" s="15"/>
      <c r="I5" s="15"/>
      <c r="J5" s="25" t="str">
        <f t="array" ref="J5">IFERROR(INDEX(Listas!$L$3:$N$5,MATCH(H5,Listas!$K$3:$K$5,0),MATCH(I5,Listas!$L$2:$N$2,0)),"")</f>
        <v/>
      </c>
      <c r="K5" s="20"/>
      <c r="L5" s="20"/>
      <c r="M5" s="20"/>
      <c r="N5" s="20"/>
      <c r="O5" s="14"/>
      <c r="P5" s="14"/>
      <c r="Q5" s="15"/>
      <c r="R5" s="28" t="str">
        <f t="shared" ref="R5:R34" si="1">IF(OR(B5="",P5=""),"",P5-B5)</f>
        <v/>
      </c>
      <c r="S5" s="20"/>
    </row>
    <row r="6" ht="31.5" customHeight="1">
      <c r="A6" s="13"/>
      <c r="B6" s="14"/>
      <c r="C6" s="15"/>
      <c r="D6" s="15"/>
      <c r="E6" s="15"/>
      <c r="F6" s="20"/>
      <c r="G6" s="15"/>
      <c r="H6" s="15"/>
      <c r="I6" s="15"/>
      <c r="J6" s="25" t="str">
        <f t="array" ref="J6">IFERROR(INDEX(Listas!$L$3:$N$5,MATCH(H6,Listas!$K$3:$K$5,0),MATCH(I6,Listas!$L$2:$N$2,0)),"")</f>
        <v/>
      </c>
      <c r="K6" s="20"/>
      <c r="L6" s="20"/>
      <c r="M6" s="20"/>
      <c r="N6" s="20"/>
      <c r="O6" s="14"/>
      <c r="P6" s="14"/>
      <c r="Q6" s="15"/>
      <c r="R6" s="28" t="str">
        <f t="shared" si="1"/>
        <v/>
      </c>
      <c r="S6" s="20"/>
    </row>
    <row r="7" ht="31.5" customHeight="1">
      <c r="A7" s="13"/>
      <c r="B7" s="14"/>
      <c r="C7" s="15"/>
      <c r="D7" s="15"/>
      <c r="E7" s="15"/>
      <c r="F7" s="20"/>
      <c r="G7" s="15"/>
      <c r="H7" s="15"/>
      <c r="I7" s="15"/>
      <c r="J7" s="25" t="str">
        <f t="array" ref="J7">IFERROR(INDEX(Listas!$L$3:$N$5,MATCH(H7,Listas!$K$3:$K$5,0),MATCH(I7,Listas!$L$2:$N$2,0)),"")</f>
        <v/>
      </c>
      <c r="K7" s="20"/>
      <c r="L7" s="20"/>
      <c r="M7" s="20"/>
      <c r="N7" s="20"/>
      <c r="O7" s="14"/>
      <c r="P7" s="14"/>
      <c r="Q7" s="15"/>
      <c r="R7" s="28" t="str">
        <f t="shared" si="1"/>
        <v/>
      </c>
      <c r="S7" s="20"/>
    </row>
    <row r="8" ht="31.5" customHeight="1">
      <c r="A8" s="13"/>
      <c r="B8" s="14"/>
      <c r="C8" s="15"/>
      <c r="D8" s="15"/>
      <c r="E8" s="15"/>
      <c r="F8" s="20"/>
      <c r="G8" s="15"/>
      <c r="H8" s="15"/>
      <c r="I8" s="15"/>
      <c r="J8" s="25" t="str">
        <f t="array" ref="J8">IFERROR(INDEX(Listas!$L$3:$N$5,MATCH(H8,Listas!$K$3:$K$5,0),MATCH(I8,Listas!$L$2:$N$2,0)),"")</f>
        <v/>
      </c>
      <c r="K8" s="20"/>
      <c r="L8" s="20"/>
      <c r="M8" s="20"/>
      <c r="N8" s="20"/>
      <c r="O8" s="14"/>
      <c r="P8" s="14"/>
      <c r="Q8" s="15"/>
      <c r="R8" s="28" t="str">
        <f t="shared" si="1"/>
        <v/>
      </c>
      <c r="S8" s="20"/>
    </row>
    <row r="9" ht="31.5" customHeight="1">
      <c r="A9" s="13" t="str">
        <f t="shared" ref="A9:A34" si="2">IF(B9="","","INC-"&amp;TEXT(ROW()-1,"000"))</f>
        <v/>
      </c>
      <c r="B9" s="14"/>
      <c r="C9" s="15"/>
      <c r="D9" s="15"/>
      <c r="E9" s="15"/>
      <c r="F9" s="20"/>
      <c r="G9" s="15"/>
      <c r="H9" s="15"/>
      <c r="I9" s="15"/>
      <c r="J9" s="25" t="str">
        <f t="array" ref="J9">IFERROR(INDEX(Listas!$L$3:$N$5,MATCH(H9,Listas!$K$3:$K$5,0),MATCH(I9,Listas!$L$2:$N$2,0)),"")</f>
        <v/>
      </c>
      <c r="K9" s="20"/>
      <c r="L9" s="20"/>
      <c r="M9" s="20"/>
      <c r="N9" s="20"/>
      <c r="O9" s="14"/>
      <c r="P9" s="14"/>
      <c r="Q9" s="15"/>
      <c r="R9" s="28" t="str">
        <f t="shared" si="1"/>
        <v/>
      </c>
      <c r="S9" s="20"/>
    </row>
    <row r="10" ht="31.5" customHeight="1">
      <c r="A10" s="13" t="str">
        <f t="shared" si="2"/>
        <v/>
      </c>
      <c r="B10" s="14"/>
      <c r="C10" s="15"/>
      <c r="D10" s="15"/>
      <c r="E10" s="15"/>
      <c r="F10" s="20"/>
      <c r="G10" s="15"/>
      <c r="H10" s="15"/>
      <c r="I10" s="15"/>
      <c r="J10" s="25" t="str">
        <f t="array" ref="J10">IFERROR(INDEX(Listas!$L$3:$N$5,MATCH(H10,Listas!$K$3:$K$5,0),MATCH(I10,Listas!$L$2:$N$2,0)),"")</f>
        <v/>
      </c>
      <c r="K10" s="20"/>
      <c r="L10" s="20"/>
      <c r="M10" s="20"/>
      <c r="N10" s="20"/>
      <c r="O10" s="14"/>
      <c r="P10" s="14"/>
      <c r="Q10" s="15"/>
      <c r="R10" s="28" t="str">
        <f t="shared" si="1"/>
        <v/>
      </c>
      <c r="S10" s="20"/>
    </row>
    <row r="11" ht="31.5" customHeight="1">
      <c r="A11" s="13" t="str">
        <f t="shared" si="2"/>
        <v/>
      </c>
      <c r="B11" s="14"/>
      <c r="C11" s="15"/>
      <c r="D11" s="15"/>
      <c r="E11" s="15"/>
      <c r="F11" s="20"/>
      <c r="G11" s="15"/>
      <c r="H11" s="15"/>
      <c r="I11" s="15"/>
      <c r="J11" s="25" t="str">
        <f t="array" ref="J11">IFERROR(INDEX(Listas!$L$3:$N$5,MATCH(H11,Listas!$K$3:$K$5,0),MATCH(I11,Listas!$L$2:$N$2,0)),"")</f>
        <v/>
      </c>
      <c r="K11" s="20"/>
      <c r="L11" s="20"/>
      <c r="M11" s="20"/>
      <c r="N11" s="20"/>
      <c r="O11" s="14"/>
      <c r="P11" s="14"/>
      <c r="Q11" s="15"/>
      <c r="R11" s="28" t="str">
        <f t="shared" si="1"/>
        <v/>
      </c>
      <c r="S11" s="20"/>
    </row>
    <row r="12" ht="31.5" customHeight="1">
      <c r="A12" s="13" t="str">
        <f t="shared" si="2"/>
        <v/>
      </c>
      <c r="B12" s="14"/>
      <c r="C12" s="15"/>
      <c r="D12" s="15"/>
      <c r="E12" s="15"/>
      <c r="F12" s="20"/>
      <c r="G12" s="15"/>
      <c r="H12" s="15"/>
      <c r="I12" s="15"/>
      <c r="J12" s="25" t="str">
        <f t="array" ref="J12">IFERROR(INDEX(Listas!$L$3:$N$5,MATCH(H12,Listas!$K$3:$K$5,0),MATCH(I12,Listas!$L$2:$N$2,0)),"")</f>
        <v/>
      </c>
      <c r="K12" s="20"/>
      <c r="L12" s="20"/>
      <c r="M12" s="20"/>
      <c r="N12" s="20"/>
      <c r="O12" s="14"/>
      <c r="P12" s="14"/>
      <c r="Q12" s="15"/>
      <c r="R12" s="28" t="str">
        <f t="shared" si="1"/>
        <v/>
      </c>
      <c r="S12" s="20"/>
    </row>
    <row r="13" ht="31.5" customHeight="1">
      <c r="A13" s="13" t="str">
        <f t="shared" si="2"/>
        <v/>
      </c>
      <c r="B13" s="14"/>
      <c r="C13" s="15"/>
      <c r="D13" s="15"/>
      <c r="E13" s="15"/>
      <c r="F13" s="20"/>
      <c r="G13" s="15"/>
      <c r="H13" s="15"/>
      <c r="I13" s="15"/>
      <c r="J13" s="25" t="str">
        <f t="array" ref="J13">IFERROR(INDEX(Listas!$L$3:$N$5,MATCH(H13,Listas!$K$3:$K$5,0),MATCH(I13,Listas!$L$2:$N$2,0)),"")</f>
        <v/>
      </c>
      <c r="K13" s="20"/>
      <c r="L13" s="20"/>
      <c r="M13" s="20"/>
      <c r="N13" s="20"/>
      <c r="O13" s="14"/>
      <c r="P13" s="14"/>
      <c r="Q13" s="15"/>
      <c r="R13" s="28" t="str">
        <f t="shared" si="1"/>
        <v/>
      </c>
      <c r="S13" s="20"/>
    </row>
    <row r="14" ht="31.5" customHeight="1">
      <c r="A14" s="13" t="str">
        <f t="shared" si="2"/>
        <v/>
      </c>
      <c r="B14" s="14"/>
      <c r="C14" s="15"/>
      <c r="D14" s="15"/>
      <c r="E14" s="15"/>
      <c r="F14" s="20"/>
      <c r="G14" s="15"/>
      <c r="H14" s="15"/>
      <c r="I14" s="15"/>
      <c r="J14" s="25" t="str">
        <f t="array" ref="J14">IFERROR(INDEX(Listas!$L$3:$N$5,MATCH(H14,Listas!$K$3:$K$5,0),MATCH(I14,Listas!$L$2:$N$2,0)),"")</f>
        <v/>
      </c>
      <c r="K14" s="20"/>
      <c r="L14" s="20"/>
      <c r="M14" s="20"/>
      <c r="N14" s="20"/>
      <c r="O14" s="14"/>
      <c r="P14" s="14"/>
      <c r="Q14" s="15"/>
      <c r="R14" s="28" t="str">
        <f t="shared" si="1"/>
        <v/>
      </c>
      <c r="S14" s="20"/>
    </row>
    <row r="15" ht="31.5" customHeight="1">
      <c r="A15" s="13" t="str">
        <f t="shared" si="2"/>
        <v/>
      </c>
      <c r="B15" s="14"/>
      <c r="C15" s="15"/>
      <c r="D15" s="15"/>
      <c r="E15" s="15"/>
      <c r="F15" s="20"/>
      <c r="G15" s="15"/>
      <c r="H15" s="15"/>
      <c r="I15" s="15"/>
      <c r="J15" s="25" t="str">
        <f t="array" ref="J15">IFERROR(INDEX(Listas!$L$3:$N$5,MATCH(H15,Listas!$K$3:$K$5,0),MATCH(I15,Listas!$L$2:$N$2,0)),"")</f>
        <v/>
      </c>
      <c r="K15" s="20"/>
      <c r="L15" s="20"/>
      <c r="M15" s="20"/>
      <c r="N15" s="20"/>
      <c r="O15" s="14"/>
      <c r="P15" s="14"/>
      <c r="Q15" s="15"/>
      <c r="R15" s="28" t="str">
        <f t="shared" si="1"/>
        <v/>
      </c>
      <c r="S15" s="20"/>
    </row>
    <row r="16" ht="31.5" customHeight="1">
      <c r="A16" s="13" t="str">
        <f t="shared" si="2"/>
        <v/>
      </c>
      <c r="B16" s="14"/>
      <c r="C16" s="15"/>
      <c r="D16" s="15"/>
      <c r="E16" s="15"/>
      <c r="F16" s="20"/>
      <c r="G16" s="15"/>
      <c r="H16" s="15"/>
      <c r="I16" s="15"/>
      <c r="J16" s="25" t="str">
        <f t="array" ref="J16">IFERROR(INDEX(Listas!$L$3:$N$5,MATCH(H16,Listas!$K$3:$K$5,0),MATCH(I16,Listas!$L$2:$N$2,0)),"")</f>
        <v/>
      </c>
      <c r="K16" s="20"/>
      <c r="L16" s="20"/>
      <c r="M16" s="20"/>
      <c r="N16" s="20"/>
      <c r="O16" s="14"/>
      <c r="P16" s="14"/>
      <c r="Q16" s="15"/>
      <c r="R16" s="28" t="str">
        <f t="shared" si="1"/>
        <v/>
      </c>
      <c r="S16" s="20"/>
    </row>
    <row r="17" ht="31.5" customHeight="1">
      <c r="A17" s="13" t="str">
        <f t="shared" si="2"/>
        <v/>
      </c>
      <c r="B17" s="14"/>
      <c r="C17" s="15"/>
      <c r="D17" s="15"/>
      <c r="E17" s="15"/>
      <c r="F17" s="20"/>
      <c r="G17" s="15"/>
      <c r="H17" s="15"/>
      <c r="I17" s="15"/>
      <c r="J17" s="25" t="str">
        <f t="array" ref="J17">IFERROR(INDEX(Listas!$L$3:$N$5,MATCH(H17,Listas!$K$3:$K$5,0),MATCH(I17,Listas!$L$2:$N$2,0)),"")</f>
        <v/>
      </c>
      <c r="K17" s="20"/>
      <c r="L17" s="20"/>
      <c r="M17" s="20"/>
      <c r="N17" s="20"/>
      <c r="O17" s="14"/>
      <c r="P17" s="14"/>
      <c r="Q17" s="15"/>
      <c r="R17" s="28" t="str">
        <f t="shared" si="1"/>
        <v/>
      </c>
      <c r="S17" s="20"/>
    </row>
    <row r="18" ht="31.5" customHeight="1">
      <c r="A18" s="13" t="str">
        <f t="shared" si="2"/>
        <v/>
      </c>
      <c r="B18" s="14"/>
      <c r="C18" s="15"/>
      <c r="D18" s="15"/>
      <c r="E18" s="15"/>
      <c r="F18" s="20"/>
      <c r="G18" s="15"/>
      <c r="H18" s="15"/>
      <c r="I18" s="15"/>
      <c r="J18" s="25" t="str">
        <f t="array" ref="J18">IFERROR(INDEX(Listas!$L$3:$N$5,MATCH(H18,Listas!$K$3:$K$5,0),MATCH(I18,Listas!$L$2:$N$2,0)),"")</f>
        <v/>
      </c>
      <c r="K18" s="20"/>
      <c r="L18" s="20"/>
      <c r="M18" s="20"/>
      <c r="N18" s="20"/>
      <c r="O18" s="14"/>
      <c r="P18" s="14"/>
      <c r="Q18" s="15"/>
      <c r="R18" s="28" t="str">
        <f t="shared" si="1"/>
        <v/>
      </c>
      <c r="S18" s="20"/>
    </row>
    <row r="19" ht="31.5" customHeight="1">
      <c r="A19" s="13" t="str">
        <f t="shared" si="2"/>
        <v/>
      </c>
      <c r="B19" s="14"/>
      <c r="C19" s="15"/>
      <c r="D19" s="15"/>
      <c r="E19" s="15"/>
      <c r="F19" s="20"/>
      <c r="G19" s="15"/>
      <c r="H19" s="15"/>
      <c r="I19" s="15"/>
      <c r="J19" s="25" t="str">
        <f t="array" ref="J19">IFERROR(INDEX(Listas!$L$3:$N$5,MATCH(H19,Listas!$K$3:$K$5,0),MATCH(I19,Listas!$L$2:$N$2,0)),"")</f>
        <v/>
      </c>
      <c r="K19" s="20"/>
      <c r="L19" s="20"/>
      <c r="M19" s="20"/>
      <c r="N19" s="20"/>
      <c r="O19" s="14"/>
      <c r="P19" s="14"/>
      <c r="Q19" s="15"/>
      <c r="R19" s="28" t="str">
        <f t="shared" si="1"/>
        <v/>
      </c>
      <c r="S19" s="20"/>
    </row>
    <row r="20" ht="31.5" customHeight="1">
      <c r="A20" s="13" t="str">
        <f t="shared" si="2"/>
        <v/>
      </c>
      <c r="B20" s="14"/>
      <c r="C20" s="15"/>
      <c r="D20" s="15"/>
      <c r="E20" s="15"/>
      <c r="F20" s="20"/>
      <c r="G20" s="15"/>
      <c r="H20" s="15"/>
      <c r="I20" s="15"/>
      <c r="J20" s="25" t="str">
        <f t="array" ref="J20">IFERROR(INDEX(Listas!$L$3:$N$5,MATCH(H20,Listas!$K$3:$K$5,0),MATCH(I20,Listas!$L$2:$N$2,0)),"")</f>
        <v/>
      </c>
      <c r="K20" s="20"/>
      <c r="L20" s="20"/>
      <c r="M20" s="20"/>
      <c r="N20" s="20"/>
      <c r="O20" s="14"/>
      <c r="P20" s="14"/>
      <c r="Q20" s="15"/>
      <c r="R20" s="28" t="str">
        <f t="shared" si="1"/>
        <v/>
      </c>
      <c r="S20" s="20"/>
    </row>
    <row r="21" ht="31.5" customHeight="1">
      <c r="A21" s="13" t="str">
        <f t="shared" si="2"/>
        <v/>
      </c>
      <c r="B21" s="14"/>
      <c r="C21" s="15"/>
      <c r="D21" s="15"/>
      <c r="E21" s="15"/>
      <c r="F21" s="20"/>
      <c r="G21" s="15"/>
      <c r="H21" s="15"/>
      <c r="I21" s="15"/>
      <c r="J21" s="25" t="str">
        <f t="array" ref="J21">IFERROR(INDEX(Listas!$L$3:$N$5,MATCH(H21,Listas!$K$3:$K$5,0),MATCH(I21,Listas!$L$2:$N$2,0)),"")</f>
        <v/>
      </c>
      <c r="K21" s="20"/>
      <c r="L21" s="20"/>
      <c r="M21" s="20"/>
      <c r="N21" s="20"/>
      <c r="O21" s="14"/>
      <c r="P21" s="14"/>
      <c r="Q21" s="15"/>
      <c r="R21" s="28" t="str">
        <f t="shared" si="1"/>
        <v/>
      </c>
      <c r="S21" s="20"/>
    </row>
    <row r="22" ht="31.5" customHeight="1">
      <c r="A22" s="13" t="str">
        <f t="shared" si="2"/>
        <v/>
      </c>
      <c r="B22" s="14"/>
      <c r="C22" s="15"/>
      <c r="D22" s="15"/>
      <c r="E22" s="15"/>
      <c r="F22" s="20"/>
      <c r="G22" s="15"/>
      <c r="H22" s="15"/>
      <c r="I22" s="15"/>
      <c r="J22" s="25" t="str">
        <f t="array" ref="J22">IFERROR(INDEX(Listas!$L$3:$N$5,MATCH(H22,Listas!$K$3:$K$5,0),MATCH(I22,Listas!$L$2:$N$2,0)),"")</f>
        <v/>
      </c>
      <c r="K22" s="20"/>
      <c r="L22" s="20"/>
      <c r="M22" s="20"/>
      <c r="N22" s="20"/>
      <c r="O22" s="14"/>
      <c r="P22" s="14"/>
      <c r="Q22" s="15"/>
      <c r="R22" s="28" t="str">
        <f t="shared" si="1"/>
        <v/>
      </c>
      <c r="S22" s="20"/>
    </row>
    <row r="23" ht="31.5" customHeight="1">
      <c r="A23" s="13" t="str">
        <f t="shared" si="2"/>
        <v/>
      </c>
      <c r="B23" s="14"/>
      <c r="C23" s="15"/>
      <c r="D23" s="15"/>
      <c r="E23" s="15"/>
      <c r="F23" s="20"/>
      <c r="G23" s="15"/>
      <c r="H23" s="15"/>
      <c r="I23" s="15"/>
      <c r="J23" s="25" t="str">
        <f t="array" ref="J23">IFERROR(INDEX(Listas!$L$3:$N$5,MATCH(H23,Listas!$K$3:$K$5,0),MATCH(I23,Listas!$L$2:$N$2,0)),"")</f>
        <v/>
      </c>
      <c r="K23" s="20"/>
      <c r="L23" s="20"/>
      <c r="M23" s="20"/>
      <c r="N23" s="20"/>
      <c r="O23" s="14"/>
      <c r="P23" s="14"/>
      <c r="Q23" s="15"/>
      <c r="R23" s="28" t="str">
        <f t="shared" si="1"/>
        <v/>
      </c>
      <c r="S23" s="20"/>
    </row>
    <row r="24" ht="31.5" customHeight="1">
      <c r="A24" s="13" t="str">
        <f t="shared" si="2"/>
        <v/>
      </c>
      <c r="B24" s="14"/>
      <c r="C24" s="15"/>
      <c r="D24" s="15"/>
      <c r="E24" s="15"/>
      <c r="F24" s="20"/>
      <c r="G24" s="15"/>
      <c r="H24" s="15"/>
      <c r="I24" s="15"/>
      <c r="J24" s="25" t="str">
        <f t="array" ref="J24">IFERROR(INDEX(Listas!$L$3:$N$5,MATCH(H24,Listas!$K$3:$K$5,0),MATCH(I24,Listas!$L$2:$N$2,0)),"")</f>
        <v/>
      </c>
      <c r="K24" s="20"/>
      <c r="L24" s="20"/>
      <c r="M24" s="20"/>
      <c r="N24" s="20"/>
      <c r="O24" s="14"/>
      <c r="P24" s="14"/>
      <c r="Q24" s="15"/>
      <c r="R24" s="28" t="str">
        <f t="shared" si="1"/>
        <v/>
      </c>
      <c r="S24" s="20"/>
    </row>
    <row r="25" ht="31.5" customHeight="1">
      <c r="A25" s="13" t="str">
        <f t="shared" si="2"/>
        <v/>
      </c>
      <c r="B25" s="14"/>
      <c r="C25" s="15"/>
      <c r="D25" s="15"/>
      <c r="E25" s="15"/>
      <c r="F25" s="20"/>
      <c r="G25" s="15"/>
      <c r="H25" s="15"/>
      <c r="I25" s="15"/>
      <c r="J25" s="25" t="str">
        <f t="array" ref="J25">IFERROR(INDEX(Listas!$L$3:$N$5,MATCH(H25,Listas!$K$3:$K$5,0),MATCH(I25,Listas!$L$2:$N$2,0)),"")</f>
        <v/>
      </c>
      <c r="K25" s="20"/>
      <c r="L25" s="20"/>
      <c r="M25" s="20"/>
      <c r="N25" s="20"/>
      <c r="O25" s="14"/>
      <c r="P25" s="14"/>
      <c r="Q25" s="15"/>
      <c r="R25" s="28" t="str">
        <f t="shared" si="1"/>
        <v/>
      </c>
      <c r="S25" s="20"/>
    </row>
    <row r="26" ht="31.5" customHeight="1">
      <c r="A26" s="13" t="str">
        <f t="shared" si="2"/>
        <v/>
      </c>
      <c r="B26" s="14"/>
      <c r="C26" s="15"/>
      <c r="D26" s="15"/>
      <c r="E26" s="15"/>
      <c r="F26" s="20"/>
      <c r="G26" s="15"/>
      <c r="H26" s="15"/>
      <c r="I26" s="15"/>
      <c r="J26" s="25" t="str">
        <f t="array" ref="J26">IFERROR(INDEX(Listas!$L$3:$N$5,MATCH(H26,Listas!$K$3:$K$5,0),MATCH(I26,Listas!$L$2:$N$2,0)),"")</f>
        <v/>
      </c>
      <c r="K26" s="20"/>
      <c r="L26" s="20"/>
      <c r="M26" s="20"/>
      <c r="N26" s="20"/>
      <c r="O26" s="14"/>
      <c r="P26" s="14"/>
      <c r="Q26" s="15"/>
      <c r="R26" s="28" t="str">
        <f t="shared" si="1"/>
        <v/>
      </c>
      <c r="S26" s="20"/>
    </row>
    <row r="27" ht="31.5" customHeight="1">
      <c r="A27" s="13" t="str">
        <f t="shared" si="2"/>
        <v/>
      </c>
      <c r="B27" s="14"/>
      <c r="C27" s="15"/>
      <c r="D27" s="15"/>
      <c r="E27" s="15"/>
      <c r="F27" s="20"/>
      <c r="G27" s="15"/>
      <c r="H27" s="15"/>
      <c r="I27" s="15"/>
      <c r="J27" s="25" t="str">
        <f t="array" ref="J27">IFERROR(INDEX(Listas!$L$3:$N$5,MATCH(H27,Listas!$K$3:$K$5,0),MATCH(I27,Listas!$L$2:$N$2,0)),"")</f>
        <v/>
      </c>
      <c r="K27" s="20"/>
      <c r="L27" s="20"/>
      <c r="M27" s="20"/>
      <c r="N27" s="20"/>
      <c r="O27" s="14"/>
      <c r="P27" s="14"/>
      <c r="Q27" s="15"/>
      <c r="R27" s="28" t="str">
        <f t="shared" si="1"/>
        <v/>
      </c>
      <c r="S27" s="20"/>
    </row>
    <row r="28" ht="31.5" customHeight="1">
      <c r="A28" s="13" t="str">
        <f t="shared" si="2"/>
        <v/>
      </c>
      <c r="B28" s="14"/>
      <c r="C28" s="15"/>
      <c r="D28" s="15"/>
      <c r="E28" s="15"/>
      <c r="F28" s="20"/>
      <c r="G28" s="15"/>
      <c r="H28" s="15"/>
      <c r="I28" s="15"/>
      <c r="J28" s="25" t="str">
        <f t="array" ref="J28">IFERROR(INDEX(Listas!$L$3:$N$5,MATCH(H28,Listas!$K$3:$K$5,0),MATCH(I28,Listas!$L$2:$N$2,0)),"")</f>
        <v/>
      </c>
      <c r="K28" s="20"/>
      <c r="L28" s="20"/>
      <c r="M28" s="20"/>
      <c r="N28" s="20"/>
      <c r="O28" s="14"/>
      <c r="P28" s="14"/>
      <c r="Q28" s="15"/>
      <c r="R28" s="28" t="str">
        <f t="shared" si="1"/>
        <v/>
      </c>
      <c r="S28" s="20"/>
    </row>
    <row r="29" ht="31.5" customHeight="1">
      <c r="A29" s="13" t="str">
        <f t="shared" si="2"/>
        <v/>
      </c>
      <c r="B29" s="14"/>
      <c r="C29" s="15"/>
      <c r="D29" s="15"/>
      <c r="E29" s="15"/>
      <c r="F29" s="20"/>
      <c r="G29" s="15"/>
      <c r="H29" s="15"/>
      <c r="I29" s="15"/>
      <c r="J29" s="25" t="str">
        <f t="array" ref="J29">IFERROR(INDEX(Listas!$L$3:$N$5,MATCH(H29,Listas!$K$3:$K$5,0),MATCH(I29,Listas!$L$2:$N$2,0)),"")</f>
        <v/>
      </c>
      <c r="K29" s="20"/>
      <c r="L29" s="20"/>
      <c r="M29" s="20"/>
      <c r="N29" s="20"/>
      <c r="O29" s="14"/>
      <c r="P29" s="14"/>
      <c r="Q29" s="15"/>
      <c r="R29" s="28" t="str">
        <f t="shared" si="1"/>
        <v/>
      </c>
      <c r="S29" s="20"/>
    </row>
    <row r="30" ht="31.5" customHeight="1">
      <c r="A30" s="13" t="str">
        <f t="shared" si="2"/>
        <v/>
      </c>
      <c r="B30" s="14"/>
      <c r="C30" s="15"/>
      <c r="D30" s="15"/>
      <c r="E30" s="15"/>
      <c r="F30" s="20"/>
      <c r="G30" s="15"/>
      <c r="H30" s="15"/>
      <c r="I30" s="15"/>
      <c r="J30" s="25" t="str">
        <f t="array" ref="J30">IFERROR(INDEX(Listas!$L$3:$N$5,MATCH(H30,Listas!$K$3:$K$5,0),MATCH(I30,Listas!$L$2:$N$2,0)),"")</f>
        <v/>
      </c>
      <c r="K30" s="20"/>
      <c r="L30" s="20"/>
      <c r="M30" s="20"/>
      <c r="N30" s="20"/>
      <c r="O30" s="14"/>
      <c r="P30" s="14"/>
      <c r="Q30" s="15"/>
      <c r="R30" s="28" t="str">
        <f t="shared" si="1"/>
        <v/>
      </c>
      <c r="S30" s="20"/>
    </row>
    <row r="31" ht="31.5" customHeight="1">
      <c r="A31" s="13" t="str">
        <f t="shared" si="2"/>
        <v/>
      </c>
      <c r="B31" s="14"/>
      <c r="C31" s="15"/>
      <c r="D31" s="15"/>
      <c r="E31" s="15"/>
      <c r="F31" s="20"/>
      <c r="G31" s="15"/>
      <c r="H31" s="15"/>
      <c r="I31" s="15"/>
      <c r="J31" s="25" t="str">
        <f t="array" ref="J31">IFERROR(INDEX(Listas!$L$3:$N$5,MATCH(H31,Listas!$K$3:$K$5,0),MATCH(I31,Listas!$L$2:$N$2,0)),"")</f>
        <v/>
      </c>
      <c r="K31" s="20"/>
      <c r="L31" s="20"/>
      <c r="M31" s="20"/>
      <c r="N31" s="20"/>
      <c r="O31" s="14"/>
      <c r="P31" s="14"/>
      <c r="Q31" s="15"/>
      <c r="R31" s="28" t="str">
        <f t="shared" si="1"/>
        <v/>
      </c>
      <c r="S31" s="20"/>
    </row>
    <row r="32" ht="31.5" customHeight="1">
      <c r="A32" s="13" t="str">
        <f t="shared" si="2"/>
        <v/>
      </c>
      <c r="B32" s="14"/>
      <c r="C32" s="15"/>
      <c r="D32" s="15"/>
      <c r="E32" s="15"/>
      <c r="F32" s="20"/>
      <c r="G32" s="15"/>
      <c r="H32" s="15"/>
      <c r="I32" s="15"/>
      <c r="J32" s="25" t="str">
        <f t="array" ref="J32">IFERROR(INDEX(Listas!$L$3:$N$5,MATCH(H32,Listas!$K$3:$K$5,0),MATCH(I32,Listas!$L$2:$N$2,0)),"")</f>
        <v/>
      </c>
      <c r="K32" s="20"/>
      <c r="L32" s="20"/>
      <c r="M32" s="20"/>
      <c r="N32" s="20"/>
      <c r="O32" s="14"/>
      <c r="P32" s="14"/>
      <c r="Q32" s="15"/>
      <c r="R32" s="28" t="str">
        <f t="shared" si="1"/>
        <v/>
      </c>
      <c r="S32" s="20"/>
    </row>
    <row r="33" ht="31.5" customHeight="1">
      <c r="A33" s="13" t="str">
        <f t="shared" si="2"/>
        <v/>
      </c>
      <c r="B33" s="14"/>
      <c r="C33" s="15"/>
      <c r="D33" s="15"/>
      <c r="E33" s="15"/>
      <c r="F33" s="20"/>
      <c r="G33" s="15"/>
      <c r="H33" s="15"/>
      <c r="I33" s="15"/>
      <c r="J33" s="25" t="str">
        <f t="array" ref="J33">IFERROR(INDEX(Listas!$L$3:$N$5,MATCH(H33,Listas!$K$3:$K$5,0),MATCH(I33,Listas!$L$2:$N$2,0)),"")</f>
        <v/>
      </c>
      <c r="K33" s="20"/>
      <c r="L33" s="20"/>
      <c r="M33" s="20"/>
      <c r="N33" s="20"/>
      <c r="O33" s="14"/>
      <c r="P33" s="14"/>
      <c r="Q33" s="15"/>
      <c r="R33" s="28" t="str">
        <f t="shared" si="1"/>
        <v/>
      </c>
      <c r="S33" s="20"/>
    </row>
    <row r="34" ht="31.5" customHeight="1">
      <c r="A34" s="13" t="str">
        <f t="shared" si="2"/>
        <v/>
      </c>
      <c r="B34" s="14"/>
      <c r="C34" s="15"/>
      <c r="D34" s="15"/>
      <c r="E34" s="15"/>
      <c r="F34" s="20"/>
      <c r="G34" s="15"/>
      <c r="H34" s="15"/>
      <c r="I34" s="15"/>
      <c r="J34" s="25" t="str">
        <f t="array" ref="J34">IFERROR(INDEX(Listas!$L$3:$N$5,MATCH(H34,Listas!$K$3:$K$5,0),MATCH(I34,Listas!$L$2:$N$2,0)),"")</f>
        <v/>
      </c>
      <c r="K34" s="20"/>
      <c r="L34" s="20"/>
      <c r="M34" s="20"/>
      <c r="N34" s="20"/>
      <c r="O34" s="14"/>
      <c r="P34" s="14"/>
      <c r="Q34" s="15"/>
      <c r="R34" s="28" t="str">
        <f t="shared" si="1"/>
        <v/>
      </c>
      <c r="S34" s="2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2"/>
  </mergeCells>
  <conditionalFormatting sqref="J5:J34">
    <cfRule type="cellIs" dxfId="3" priority="1" operator="equal">
      <formula>"Crítica"</formula>
    </cfRule>
  </conditionalFormatting>
  <conditionalFormatting sqref="J5:J34">
    <cfRule type="cellIs" dxfId="4" priority="2" operator="equal">
      <formula>"Alta"</formula>
    </cfRule>
  </conditionalFormatting>
  <conditionalFormatting sqref="J5:J34">
    <cfRule type="cellIs" dxfId="5" priority="3" operator="equal">
      <formula>"Media"</formula>
    </cfRule>
  </conditionalFormatting>
  <conditionalFormatting sqref="J5:J34">
    <cfRule type="cellIs" dxfId="0" priority="4" operator="equal">
      <formula>"Baja"</formula>
    </cfRule>
  </conditionalFormatting>
  <conditionalFormatting sqref="Q5:Q34">
    <cfRule type="cellIs" dxfId="1" priority="5" operator="equal">
      <formula>"Abierta"</formula>
    </cfRule>
  </conditionalFormatting>
  <conditionalFormatting sqref="Q5:Q34">
    <cfRule type="cellIs" dxfId="2" priority="6" operator="equal">
      <formula>"En curso"</formula>
    </cfRule>
  </conditionalFormatting>
  <conditionalFormatting sqref="Q5:Q34">
    <cfRule type="cellIs" dxfId="0" priority="7" operator="equal">
      <formula>"Cerrada"</formula>
    </cfRule>
  </conditionalFormatting>
  <dataValidations>
    <dataValidation type="list" allowBlank="1" sqref="G5:G34">
      <formula1>Listas!$A$2:$A$3</formula1>
    </dataValidation>
    <dataValidation type="list" allowBlank="1" sqref="Q5:Q34">
      <formula1>Listas!$C$2:$C$4</formula1>
    </dataValidation>
    <dataValidation type="list" allowBlank="1" sqref="K5:K34">
      <formula1>Listas!$D$2:$D$11</formula1>
    </dataValidation>
    <dataValidation type="list" allowBlank="1" sqref="H5:I34">
      <formula1>Listas!$B$2:$B$4</formula1>
    </dataValidation>
    <dataValidation type="list" allowBlank="1" sqref="E5:E34">
      <formula1>Listas!$H$2:$H$4</formula1>
    </dataValidation>
  </dataValidations>
  <printOptions/>
  <pageMargins bottom="1.0" footer="0.0" header="0.0" left="0.75" right="0.75" top="1.0"/>
  <pageSetup fitToHeight="0" orientation="landscape"/>
  <headerFooter>
    <oddFooter>&amp;CSeminario de Tesis III – Sesión 6 – MBA Jenny Reynoso Palpa&amp;RPág.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8.0"/>
    <col customWidth="1" min="3" max="3" width="55.0"/>
    <col customWidth="1" min="4" max="4" width="16.0"/>
    <col customWidth="1" min="5" max="6" width="30.0"/>
    <col customWidth="1" min="7" max="26" width="8.71"/>
  </cols>
  <sheetData>
    <row r="1" ht="30.0" customHeight="1">
      <c r="A1" s="1" t="s">
        <v>72</v>
      </c>
      <c r="B1" s="3"/>
      <c r="C1" s="3"/>
      <c r="D1" s="3"/>
      <c r="E1" s="3"/>
      <c r="F1" s="4"/>
    </row>
    <row r="2" ht="30.0" customHeight="1">
      <c r="A2" s="5" t="s">
        <v>3</v>
      </c>
      <c r="B2" s="3"/>
      <c r="C2" s="3"/>
      <c r="D2" s="3"/>
      <c r="E2" s="3"/>
      <c r="F2" s="4"/>
    </row>
    <row r="4">
      <c r="A4" s="11" t="s">
        <v>73</v>
      </c>
      <c r="B4" s="11" t="s">
        <v>74</v>
      </c>
      <c r="C4" s="11" t="s">
        <v>75</v>
      </c>
      <c r="D4" s="11" t="s">
        <v>76</v>
      </c>
      <c r="E4" s="11" t="s">
        <v>77</v>
      </c>
      <c r="F4" s="11" t="s">
        <v>78</v>
      </c>
    </row>
    <row r="5" ht="30.0" customHeight="1">
      <c r="A5" s="25">
        <v>1.0</v>
      </c>
      <c r="B5" s="20" t="s">
        <v>80</v>
      </c>
      <c r="C5" s="20" t="s">
        <v>81</v>
      </c>
      <c r="D5" s="29"/>
      <c r="E5" s="30" t="s">
        <v>88</v>
      </c>
      <c r="F5" s="20"/>
    </row>
    <row r="6" ht="30.0" customHeight="1">
      <c r="A6" s="25">
        <v>2.0</v>
      </c>
      <c r="B6" s="20" t="s">
        <v>92</v>
      </c>
      <c r="C6" s="20" t="s">
        <v>93</v>
      </c>
      <c r="D6" s="29"/>
      <c r="E6" s="30" t="s">
        <v>94</v>
      </c>
      <c r="F6" s="20"/>
    </row>
    <row r="7" ht="30.0" customHeight="1">
      <c r="A7" s="25">
        <v>3.0</v>
      </c>
      <c r="B7" s="20" t="s">
        <v>80</v>
      </c>
      <c r="C7" s="20" t="s">
        <v>95</v>
      </c>
      <c r="D7" s="29"/>
      <c r="E7" s="20" t="s">
        <v>96</v>
      </c>
      <c r="F7" s="20"/>
    </row>
    <row r="8" ht="30.0" customHeight="1">
      <c r="A8" s="25">
        <v>4.0</v>
      </c>
      <c r="B8" s="20" t="s">
        <v>98</v>
      </c>
      <c r="C8" s="20" t="s">
        <v>100</v>
      </c>
      <c r="D8" s="29"/>
      <c r="E8" s="20" t="s">
        <v>101</v>
      </c>
      <c r="F8" s="20"/>
    </row>
    <row r="9" ht="30.0" customHeight="1">
      <c r="A9" s="25">
        <v>5.0</v>
      </c>
      <c r="B9" s="20" t="s">
        <v>98</v>
      </c>
      <c r="C9" s="20" t="s">
        <v>102</v>
      </c>
      <c r="D9" s="29"/>
      <c r="E9" s="20" t="s">
        <v>103</v>
      </c>
      <c r="F9" s="20"/>
    </row>
    <row r="10" ht="30.0" customHeight="1">
      <c r="A10" s="25">
        <v>6.0</v>
      </c>
      <c r="B10" s="20" t="s">
        <v>104</v>
      </c>
      <c r="C10" s="20" t="s">
        <v>105</v>
      </c>
      <c r="D10" s="29"/>
      <c r="E10" s="20" t="s">
        <v>106</v>
      </c>
      <c r="F10" s="20"/>
    </row>
    <row r="11" ht="30.0" customHeight="1">
      <c r="A11" s="25">
        <v>7.0</v>
      </c>
      <c r="B11" s="20" t="s">
        <v>107</v>
      </c>
      <c r="C11" s="20" t="s">
        <v>108</v>
      </c>
      <c r="D11" s="29"/>
      <c r="E11" s="30" t="s">
        <v>109</v>
      </c>
      <c r="F11" s="30" t="s">
        <v>110</v>
      </c>
    </row>
    <row r="12" ht="30.0" customHeight="1">
      <c r="A12" s="25">
        <v>8.0</v>
      </c>
      <c r="B12" s="20" t="s">
        <v>98</v>
      </c>
      <c r="C12" s="20" t="s">
        <v>111</v>
      </c>
      <c r="D12" s="29"/>
      <c r="E12" s="20" t="s">
        <v>112</v>
      </c>
      <c r="F12" s="20"/>
    </row>
    <row r="13" ht="30.0" customHeight="1">
      <c r="A13" s="25">
        <v>9.0</v>
      </c>
      <c r="B13" s="20" t="s">
        <v>80</v>
      </c>
      <c r="C13" s="20" t="s">
        <v>113</v>
      </c>
      <c r="D13" s="29"/>
      <c r="E13" s="30" t="s">
        <v>114</v>
      </c>
      <c r="F13" s="20"/>
    </row>
    <row r="14" ht="30.0" customHeight="1">
      <c r="A14" s="25">
        <v>10.0</v>
      </c>
      <c r="B14" s="20" t="s">
        <v>98</v>
      </c>
      <c r="C14" s="20" t="s">
        <v>115</v>
      </c>
      <c r="D14" s="29"/>
      <c r="E14" s="20" t="s">
        <v>116</v>
      </c>
      <c r="F14" s="20"/>
    </row>
    <row r="16">
      <c r="B16" s="7" t="s">
        <v>117</v>
      </c>
      <c r="C16" s="25">
        <f>COUNTIF(D5:D14,"Sí")</f>
        <v>0</v>
      </c>
      <c r="E16" s="11" t="s">
        <v>74</v>
      </c>
      <c r="F16" s="11" t="s">
        <v>120</v>
      </c>
    </row>
    <row r="17">
      <c r="B17" s="7" t="s">
        <v>121</v>
      </c>
      <c r="C17" s="25">
        <f>COUNTA(D5:D14)</f>
        <v>0</v>
      </c>
      <c r="E17" s="32" t="s">
        <v>80</v>
      </c>
      <c r="F17" s="33">
        <f t="shared" ref="F17:F21" si="1">IF(COUNTIF($B$5:$B$14,E17)=0,"",COUNTIFS($B$5:$B$14,E17,$D$5:$D$14,"Sí")/COUNTIF($B$5:$B$14,E17))</f>
        <v>0</v>
      </c>
    </row>
    <row r="18">
      <c r="B18" s="7" t="s">
        <v>138</v>
      </c>
      <c r="C18" s="34" t="str">
        <f>IF(C17=0,"",C16/C17)</f>
        <v/>
      </c>
      <c r="E18" s="32" t="s">
        <v>92</v>
      </c>
      <c r="F18" s="33">
        <f t="shared" si="1"/>
        <v>0</v>
      </c>
    </row>
    <row r="19">
      <c r="B19" s="7" t="s">
        <v>148</v>
      </c>
      <c r="C19" s="25" t="str">
        <f>IF(C18="","",IF(C18&gt;=0.8,"Alta",IF(C18&gt;=0.6,"Moderada","Baja")))</f>
        <v/>
      </c>
      <c r="E19" s="32" t="s">
        <v>98</v>
      </c>
      <c r="F19" s="33">
        <f t="shared" si="1"/>
        <v>0</v>
      </c>
    </row>
    <row r="20" ht="31.5" customHeight="1">
      <c r="B20" s="7" t="s">
        <v>159</v>
      </c>
      <c r="C20" s="26" t="str">
        <f>IF(C19="Alta","Fidelidad aceptable: el efecto puede atribuirse a la solución.",IF(C19="Moderada","Aplicar acciones correctivas antes del postest.","Compromete la validez interna: reportar en limitaciones."))</f>
        <v>Compromete la validez interna: reportar en limitaciones.</v>
      </c>
      <c r="E20" s="32" t="s">
        <v>104</v>
      </c>
      <c r="F20" s="33">
        <f t="shared" si="1"/>
        <v>0</v>
      </c>
    </row>
    <row r="21" ht="15.75" customHeight="1">
      <c r="E21" s="32" t="s">
        <v>107</v>
      </c>
      <c r="F21" s="33">
        <f t="shared" si="1"/>
        <v>0</v>
      </c>
    </row>
    <row r="22" ht="15.75" customHeight="1"/>
    <row r="23" ht="15.75" customHeight="1">
      <c r="A23" s="8" t="s">
        <v>163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D5:D14">
    <cfRule type="cellIs" dxfId="0" priority="1" operator="equal">
      <formula>"Sí"</formula>
    </cfRule>
  </conditionalFormatting>
  <conditionalFormatting sqref="D5:D14">
    <cfRule type="cellIs" dxfId="1" priority="2" operator="equal">
      <formula>"No"</formula>
    </cfRule>
  </conditionalFormatting>
  <conditionalFormatting sqref="C19">
    <cfRule type="cellIs" dxfId="0" priority="3" operator="equal">
      <formula>"Alta"</formula>
    </cfRule>
  </conditionalFormatting>
  <conditionalFormatting sqref="C19">
    <cfRule type="cellIs" dxfId="2" priority="4" operator="equal">
      <formula>"Moderada"</formula>
    </cfRule>
  </conditionalFormatting>
  <conditionalFormatting sqref="C19">
    <cfRule type="cellIs" dxfId="1" priority="5" operator="equal">
      <formula>"Baja"</formula>
    </cfRule>
  </conditionalFormatting>
  <dataValidations>
    <dataValidation type="list" allowBlank="1" sqref="B5:B14">
      <formula1>"Adherencia,Exposición,Calidad,Respuesta,Diferenciación"</formula1>
    </dataValidation>
    <dataValidation type="list" allowBlank="1" sqref="D5:D14">
      <formula1>Listas!$F$2:$F$3</formula1>
    </dataValidation>
  </dataValidations>
  <printOptions/>
  <pageMargins bottom="1.0" footer="0.0" header="0.0" left="0.75" right="0.75" top="1.0"/>
  <pageSetup fitToHeight="0" orientation="landscape"/>
  <headerFooter>
    <oddFooter>&amp;CSeminario de Tesis III – Sesión 6 – MBA Jenny Reynoso Palpa&amp;RPág.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18.0"/>
    <col customWidth="1" min="4" max="4" width="34.0"/>
    <col customWidth="1" min="5" max="5" width="12.0"/>
    <col customWidth="1" min="6" max="6" width="11.0"/>
    <col customWidth="1" min="7" max="7" width="13.0"/>
    <col customWidth="1" min="8" max="8" width="40.0"/>
    <col customWidth="1" min="9" max="10" width="20.0"/>
    <col customWidth="1" min="11" max="11" width="22.0"/>
    <col customWidth="1" min="12" max="26" width="8.71"/>
  </cols>
  <sheetData>
    <row r="1" ht="30.0" customHeight="1">
      <c r="A1" s="1" t="s">
        <v>79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30.0" customHeight="1">
      <c r="A2" s="5" t="s">
        <v>3</v>
      </c>
      <c r="B2" s="3"/>
      <c r="C2" s="3"/>
      <c r="D2" s="3"/>
      <c r="E2" s="3"/>
      <c r="F2" s="3"/>
      <c r="G2" s="3"/>
      <c r="H2" s="3"/>
      <c r="I2" s="3"/>
      <c r="J2" s="3"/>
      <c r="K2" s="4"/>
    </row>
    <row r="4" ht="39.75" customHeight="1">
      <c r="A4" s="11" t="s">
        <v>73</v>
      </c>
      <c r="B4" s="11" t="s">
        <v>82</v>
      </c>
      <c r="C4" s="11" t="s">
        <v>15</v>
      </c>
      <c r="D4" s="11" t="s">
        <v>83</v>
      </c>
      <c r="E4" s="11" t="s">
        <v>84</v>
      </c>
      <c r="F4" s="11" t="s">
        <v>85</v>
      </c>
      <c r="G4" s="11" t="s">
        <v>86</v>
      </c>
      <c r="H4" s="11" t="s">
        <v>87</v>
      </c>
      <c r="I4" s="11" t="s">
        <v>77</v>
      </c>
      <c r="J4" s="11" t="s">
        <v>89</v>
      </c>
      <c r="K4" s="11" t="s">
        <v>90</v>
      </c>
    </row>
    <row r="5" ht="33.75" customHeight="1">
      <c r="A5" s="25">
        <v>1.0</v>
      </c>
      <c r="B5" s="30" t="s">
        <v>91</v>
      </c>
      <c r="C5" s="30" t="s">
        <v>97</v>
      </c>
      <c r="D5" s="30" t="s">
        <v>99</v>
      </c>
      <c r="E5" s="31">
        <v>3.0</v>
      </c>
      <c r="F5" s="31">
        <v>2.0</v>
      </c>
      <c r="G5" s="25" t="str">
        <f t="shared" ref="G5:G16" si="1">IF(OR(E5="",F5=""),"",IF(E5*F5&gt;=6,"Alto",IF(E5*F5&gt;=3,"Medio","Bajo")))</f>
        <v>Alto</v>
      </c>
      <c r="H5" s="30" t="s">
        <v>118</v>
      </c>
      <c r="I5" s="30" t="s">
        <v>119</v>
      </c>
      <c r="J5" s="30" t="s">
        <v>122</v>
      </c>
      <c r="K5" s="30" t="s">
        <v>123</v>
      </c>
    </row>
    <row r="6" ht="33.75" customHeight="1">
      <c r="A6" s="25">
        <v>2.0</v>
      </c>
      <c r="B6" s="30" t="s">
        <v>124</v>
      </c>
      <c r="C6" s="30" t="s">
        <v>125</v>
      </c>
      <c r="D6" s="30" t="s">
        <v>126</v>
      </c>
      <c r="E6" s="31">
        <v>2.0</v>
      </c>
      <c r="F6" s="31">
        <v>2.0</v>
      </c>
      <c r="G6" s="25" t="str">
        <f t="shared" si="1"/>
        <v>Medio</v>
      </c>
      <c r="H6" s="30" t="s">
        <v>127</v>
      </c>
      <c r="I6" s="30" t="s">
        <v>128</v>
      </c>
      <c r="J6" s="30" t="s">
        <v>122</v>
      </c>
      <c r="K6" s="30" t="s">
        <v>129</v>
      </c>
    </row>
    <row r="7" ht="33.75" customHeight="1">
      <c r="A7" s="25">
        <v>3.0</v>
      </c>
      <c r="B7" s="30" t="s">
        <v>130</v>
      </c>
      <c r="C7" s="30" t="s">
        <v>125</v>
      </c>
      <c r="D7" s="30" t="s">
        <v>131</v>
      </c>
      <c r="E7" s="31">
        <v>2.0</v>
      </c>
      <c r="F7" s="31">
        <v>2.0</v>
      </c>
      <c r="G7" s="25" t="str">
        <f t="shared" si="1"/>
        <v>Medio</v>
      </c>
      <c r="H7" s="30" t="s">
        <v>132</v>
      </c>
      <c r="I7" s="30" t="s">
        <v>133</v>
      </c>
      <c r="J7" s="30" t="s">
        <v>134</v>
      </c>
      <c r="K7" s="30" t="s">
        <v>129</v>
      </c>
    </row>
    <row r="8" ht="33.75" customHeight="1">
      <c r="A8" s="25">
        <v>4.0</v>
      </c>
      <c r="B8" s="30" t="s">
        <v>135</v>
      </c>
      <c r="C8" s="30" t="s">
        <v>136</v>
      </c>
      <c r="D8" s="30" t="s">
        <v>137</v>
      </c>
      <c r="E8" s="31">
        <v>2.0</v>
      </c>
      <c r="F8" s="31">
        <v>3.0</v>
      </c>
      <c r="G8" s="25" t="str">
        <f t="shared" si="1"/>
        <v>Alto</v>
      </c>
      <c r="H8" s="30" t="s">
        <v>139</v>
      </c>
      <c r="I8" s="30" t="s">
        <v>140</v>
      </c>
      <c r="J8" s="30" t="s">
        <v>122</v>
      </c>
      <c r="K8" s="30" t="s">
        <v>141</v>
      </c>
    </row>
    <row r="9" ht="33.75" customHeight="1">
      <c r="A9" s="25">
        <v>5.0</v>
      </c>
      <c r="B9" s="30" t="s">
        <v>142</v>
      </c>
      <c r="C9" s="30" t="s">
        <v>97</v>
      </c>
      <c r="D9" s="30" t="s">
        <v>143</v>
      </c>
      <c r="E9" s="31">
        <v>2.0</v>
      </c>
      <c r="F9" s="31">
        <v>2.0</v>
      </c>
      <c r="G9" s="25" t="str">
        <f t="shared" si="1"/>
        <v>Medio</v>
      </c>
      <c r="H9" s="30" t="s">
        <v>144</v>
      </c>
      <c r="I9" s="30" t="s">
        <v>145</v>
      </c>
      <c r="J9" s="30" t="s">
        <v>134</v>
      </c>
      <c r="K9" s="30" t="s">
        <v>123</v>
      </c>
    </row>
    <row r="10" ht="33.75" customHeight="1">
      <c r="A10" s="25">
        <v>6.0</v>
      </c>
      <c r="B10" s="30" t="s">
        <v>146</v>
      </c>
      <c r="C10" s="30" t="s">
        <v>97</v>
      </c>
      <c r="D10" s="30" t="s">
        <v>147</v>
      </c>
      <c r="E10" s="31">
        <v>2.0</v>
      </c>
      <c r="F10" s="31">
        <v>3.0</v>
      </c>
      <c r="G10" s="25" t="str">
        <f t="shared" si="1"/>
        <v>Alto</v>
      </c>
      <c r="H10" s="30" t="s">
        <v>149</v>
      </c>
      <c r="I10" s="30" t="s">
        <v>150</v>
      </c>
      <c r="J10" s="30" t="s">
        <v>122</v>
      </c>
      <c r="K10" s="30" t="s">
        <v>151</v>
      </c>
    </row>
    <row r="11" ht="33.75" customHeight="1">
      <c r="A11" s="25">
        <v>7.0</v>
      </c>
      <c r="B11" s="30" t="s">
        <v>152</v>
      </c>
      <c r="C11" s="30" t="s">
        <v>153</v>
      </c>
      <c r="D11" s="30" t="s">
        <v>154</v>
      </c>
      <c r="E11" s="31">
        <v>1.0</v>
      </c>
      <c r="F11" s="31">
        <v>2.0</v>
      </c>
      <c r="G11" s="25" t="str">
        <f t="shared" si="1"/>
        <v>Bajo</v>
      </c>
      <c r="H11" s="30" t="s">
        <v>155</v>
      </c>
      <c r="I11" s="30" t="s">
        <v>156</v>
      </c>
      <c r="J11" s="30" t="s">
        <v>134</v>
      </c>
      <c r="K11" s="30" t="s">
        <v>123</v>
      </c>
    </row>
    <row r="12" ht="33.75" customHeight="1">
      <c r="A12" s="25">
        <v>8.0</v>
      </c>
      <c r="B12" s="30" t="s">
        <v>157</v>
      </c>
      <c r="C12" s="30" t="s">
        <v>125</v>
      </c>
      <c r="D12" s="30" t="s">
        <v>158</v>
      </c>
      <c r="E12" s="31">
        <v>2.0</v>
      </c>
      <c r="F12" s="31">
        <v>2.0</v>
      </c>
      <c r="G12" s="25" t="str">
        <f t="shared" si="1"/>
        <v>Medio</v>
      </c>
      <c r="H12" s="30" t="s">
        <v>160</v>
      </c>
      <c r="I12" s="30" t="s">
        <v>161</v>
      </c>
      <c r="J12" s="30" t="s">
        <v>122</v>
      </c>
      <c r="K12" s="30" t="s">
        <v>162</v>
      </c>
    </row>
    <row r="13" ht="33.75" customHeight="1">
      <c r="A13" s="25">
        <v>9.0</v>
      </c>
      <c r="B13" s="20"/>
      <c r="C13" s="20"/>
      <c r="D13" s="20"/>
      <c r="E13" s="15"/>
      <c r="F13" s="15"/>
      <c r="G13" s="25" t="str">
        <f t="shared" si="1"/>
        <v/>
      </c>
      <c r="H13" s="20"/>
      <c r="I13" s="20"/>
      <c r="J13" s="20"/>
      <c r="K13" s="20"/>
    </row>
    <row r="14" ht="33.75" customHeight="1">
      <c r="A14" s="25">
        <v>10.0</v>
      </c>
      <c r="B14" s="20"/>
      <c r="C14" s="20"/>
      <c r="D14" s="20"/>
      <c r="E14" s="15"/>
      <c r="F14" s="15"/>
      <c r="G14" s="25" t="str">
        <f t="shared" si="1"/>
        <v/>
      </c>
      <c r="H14" s="20"/>
      <c r="I14" s="20"/>
      <c r="J14" s="20"/>
      <c r="K14" s="20"/>
    </row>
    <row r="15" ht="33.75" customHeight="1">
      <c r="A15" s="25">
        <v>11.0</v>
      </c>
      <c r="B15" s="20"/>
      <c r="C15" s="20"/>
      <c r="D15" s="20"/>
      <c r="E15" s="15"/>
      <c r="F15" s="15"/>
      <c r="G15" s="25" t="str">
        <f t="shared" si="1"/>
        <v/>
      </c>
      <c r="H15" s="20"/>
      <c r="I15" s="20"/>
      <c r="J15" s="20"/>
      <c r="K15" s="20"/>
    </row>
    <row r="16" ht="33.75" customHeight="1">
      <c r="A16" s="25">
        <v>12.0</v>
      </c>
      <c r="B16" s="20"/>
      <c r="C16" s="20"/>
      <c r="D16" s="20"/>
      <c r="E16" s="15"/>
      <c r="F16" s="15"/>
      <c r="G16" s="25" t="str">
        <f t="shared" si="1"/>
        <v/>
      </c>
      <c r="H16" s="20"/>
      <c r="I16" s="20"/>
      <c r="J16" s="20"/>
      <c r="K16" s="20"/>
    </row>
    <row r="18">
      <c r="A18" s="8" t="s">
        <v>164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G5:G16">
    <cfRule type="cellIs" dxfId="1" priority="1" operator="equal">
      <formula>"Alto"</formula>
    </cfRule>
  </conditionalFormatting>
  <conditionalFormatting sqref="G5:G16">
    <cfRule type="cellIs" dxfId="2" priority="2" operator="equal">
      <formula>"Medio"</formula>
    </cfRule>
  </conditionalFormatting>
  <conditionalFormatting sqref="G5:G16">
    <cfRule type="cellIs" dxfId="0" priority="3" operator="equal">
      <formula>"Bajo"</formula>
    </cfRule>
  </conditionalFormatting>
  <dataValidations>
    <dataValidation type="decimal" allowBlank="1" sqref="E5:F16">
      <formula1>1.0</formula1>
      <formula2>3.0</formula2>
    </dataValidation>
    <dataValidation type="list" allowBlank="1" sqref="K5:K16">
      <formula1>Listas!$D$2:$D$11</formula1>
    </dataValidation>
    <dataValidation type="list" allowBlank="1" sqref="J5:J16">
      <formula1>Listas!$I$2:$I$4</formula1>
    </dataValidation>
    <dataValidation type="list" allowBlank="1" sqref="C5:C16">
      <formula1>Listas!$E$2:$E$6</formula1>
    </dataValidation>
  </dataValidations>
  <printOptions/>
  <pageMargins bottom="1.0" footer="0.0" header="0.0" left="0.75" right="0.75" top="1.0"/>
  <pageSetup fitToHeight="0" orientation="landscape"/>
  <headerFooter>
    <oddFooter>&amp;CSeminario de Tesis III – Sesión 6 – MBA Jenny Reynoso Palpa&amp;RPág.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2.0"/>
    <col customWidth="1" min="3" max="4" width="12.0"/>
    <col customWidth="1" min="5" max="5" width="18.0"/>
    <col customWidth="1" min="6" max="6" width="14.0"/>
    <col customWidth="1" min="7" max="7" width="20.0"/>
    <col customWidth="1" min="8" max="8" width="16.0"/>
    <col customWidth="1" min="9" max="9" width="46.0"/>
    <col customWidth="1" min="10" max="10" width="22.0"/>
    <col customWidth="1" min="11" max="26" width="8.71"/>
  </cols>
  <sheetData>
    <row r="1" ht="30.0" customHeight="1">
      <c r="A1" s="1" t="s">
        <v>165</v>
      </c>
      <c r="B1" s="3"/>
      <c r="C1" s="3"/>
      <c r="D1" s="3"/>
      <c r="E1" s="3"/>
      <c r="F1" s="3"/>
      <c r="G1" s="3"/>
      <c r="H1" s="3"/>
      <c r="I1" s="3"/>
      <c r="J1" s="4"/>
    </row>
    <row r="2" ht="30.0" customHeight="1">
      <c r="A2" s="5" t="s">
        <v>3</v>
      </c>
      <c r="B2" s="3"/>
      <c r="C2" s="3"/>
      <c r="D2" s="3"/>
      <c r="E2" s="3"/>
      <c r="F2" s="3"/>
      <c r="G2" s="3"/>
      <c r="H2" s="3"/>
      <c r="I2" s="3"/>
      <c r="J2" s="4"/>
    </row>
    <row r="3">
      <c r="A3" s="35" t="s">
        <v>166</v>
      </c>
    </row>
    <row r="5" ht="45.0" customHeight="1">
      <c r="A5" s="11" t="s">
        <v>73</v>
      </c>
      <c r="B5" s="36" t="s">
        <v>167</v>
      </c>
      <c r="C5" s="36" t="s">
        <v>168</v>
      </c>
      <c r="D5" s="36" t="s">
        <v>169</v>
      </c>
      <c r="E5" s="36" t="s">
        <v>170</v>
      </c>
      <c r="F5" s="11" t="s">
        <v>171</v>
      </c>
      <c r="G5" s="36" t="s">
        <v>172</v>
      </c>
      <c r="H5" s="11" t="s">
        <v>173</v>
      </c>
      <c r="I5" s="36" t="s">
        <v>174</v>
      </c>
      <c r="J5" s="36" t="s">
        <v>77</v>
      </c>
    </row>
    <row r="6" ht="27.75" customHeight="1">
      <c r="A6" s="25">
        <v>1.0</v>
      </c>
      <c r="B6" s="30" t="s">
        <v>175</v>
      </c>
      <c r="C6" s="31">
        <v>6.0</v>
      </c>
      <c r="D6" s="15"/>
      <c r="E6" s="31" t="s">
        <v>176</v>
      </c>
      <c r="F6" s="37" t="str">
        <f t="shared" ref="F6:F15" si="1">IF(OR(C6="",D6="",C6=0),"",(D6-C6)/C6)</f>
        <v/>
      </c>
      <c r="G6" s="15"/>
      <c r="H6" s="25" t="str">
        <f t="shared" ref="H6:H15" si="2">IF(F6="","",IF(F6=0,"Sin desviación",IF(G6="Sí","Mayor","Menor")))</f>
        <v/>
      </c>
      <c r="I6" s="20"/>
      <c r="J6" s="20"/>
    </row>
    <row r="7" ht="27.75" customHeight="1">
      <c r="A7" s="25">
        <v>2.0</v>
      </c>
      <c r="B7" s="30" t="s">
        <v>177</v>
      </c>
      <c r="C7" s="31">
        <v>108.0</v>
      </c>
      <c r="D7" s="15"/>
      <c r="E7" s="31" t="s">
        <v>178</v>
      </c>
      <c r="F7" s="37" t="str">
        <f t="shared" si="1"/>
        <v/>
      </c>
      <c r="G7" s="15"/>
      <c r="H7" s="25" t="str">
        <f t="shared" si="2"/>
        <v/>
      </c>
      <c r="I7" s="20"/>
      <c r="J7" s="20"/>
    </row>
    <row r="8" ht="27.75" customHeight="1">
      <c r="A8" s="25">
        <v>3.0</v>
      </c>
      <c r="B8" s="30" t="s">
        <v>179</v>
      </c>
      <c r="C8" s="31">
        <v>2.0</v>
      </c>
      <c r="D8" s="15"/>
      <c r="E8" s="31" t="s">
        <v>180</v>
      </c>
      <c r="F8" s="37" t="str">
        <f t="shared" si="1"/>
        <v/>
      </c>
      <c r="G8" s="15"/>
      <c r="H8" s="25" t="str">
        <f t="shared" si="2"/>
        <v/>
      </c>
      <c r="I8" s="20"/>
      <c r="J8" s="20"/>
    </row>
    <row r="9" ht="27.75" customHeight="1">
      <c r="A9" s="25">
        <v>4.0</v>
      </c>
      <c r="B9" s="30" t="s">
        <v>181</v>
      </c>
      <c r="C9" s="31">
        <v>300.0</v>
      </c>
      <c r="D9" s="15"/>
      <c r="E9" s="31" t="s">
        <v>182</v>
      </c>
      <c r="F9" s="37" t="str">
        <f t="shared" si="1"/>
        <v/>
      </c>
      <c r="G9" s="15"/>
      <c r="H9" s="25" t="str">
        <f t="shared" si="2"/>
        <v/>
      </c>
      <c r="I9" s="20"/>
      <c r="J9" s="20"/>
    </row>
    <row r="10" ht="27.75" customHeight="1">
      <c r="A10" s="25">
        <v>5.0</v>
      </c>
      <c r="B10" s="30" t="s">
        <v>183</v>
      </c>
      <c r="C10" s="31">
        <v>8.0</v>
      </c>
      <c r="D10" s="15"/>
      <c r="E10" s="31" t="s">
        <v>184</v>
      </c>
      <c r="F10" s="37" t="str">
        <f t="shared" si="1"/>
        <v/>
      </c>
      <c r="G10" s="15"/>
      <c r="H10" s="25" t="str">
        <f t="shared" si="2"/>
        <v/>
      </c>
      <c r="I10" s="20"/>
      <c r="J10" s="20"/>
    </row>
    <row r="11" ht="27.75" customHeight="1">
      <c r="A11" s="25">
        <v>6.0</v>
      </c>
      <c r="B11" s="20"/>
      <c r="C11" s="15"/>
      <c r="D11" s="15"/>
      <c r="E11" s="15"/>
      <c r="F11" s="37" t="str">
        <f t="shared" si="1"/>
        <v/>
      </c>
      <c r="G11" s="15"/>
      <c r="H11" s="25" t="str">
        <f t="shared" si="2"/>
        <v/>
      </c>
      <c r="I11" s="20"/>
      <c r="J11" s="20"/>
    </row>
    <row r="12" ht="27.75" customHeight="1">
      <c r="A12" s="25">
        <v>7.0</v>
      </c>
      <c r="B12" s="20"/>
      <c r="C12" s="15"/>
      <c r="D12" s="15"/>
      <c r="E12" s="15"/>
      <c r="F12" s="37" t="str">
        <f t="shared" si="1"/>
        <v/>
      </c>
      <c r="G12" s="15"/>
      <c r="H12" s="25" t="str">
        <f t="shared" si="2"/>
        <v/>
      </c>
      <c r="I12" s="20"/>
      <c r="J12" s="20"/>
    </row>
    <row r="13" ht="27.75" customHeight="1">
      <c r="A13" s="25">
        <v>8.0</v>
      </c>
      <c r="B13" s="20"/>
      <c r="C13" s="15"/>
      <c r="D13" s="15"/>
      <c r="E13" s="15"/>
      <c r="F13" s="37" t="str">
        <f t="shared" si="1"/>
        <v/>
      </c>
      <c r="G13" s="15"/>
      <c r="H13" s="25" t="str">
        <f t="shared" si="2"/>
        <v/>
      </c>
      <c r="I13" s="20"/>
      <c r="J13" s="20"/>
    </row>
    <row r="14" ht="27.75" customHeight="1">
      <c r="A14" s="25">
        <v>9.0</v>
      </c>
      <c r="B14" s="20"/>
      <c r="C14" s="15"/>
      <c r="D14" s="15"/>
      <c r="E14" s="15"/>
      <c r="F14" s="37" t="str">
        <f t="shared" si="1"/>
        <v/>
      </c>
      <c r="G14" s="15"/>
      <c r="H14" s="25" t="str">
        <f t="shared" si="2"/>
        <v/>
      </c>
      <c r="I14" s="20"/>
      <c r="J14" s="20"/>
    </row>
    <row r="15" ht="27.75" customHeight="1">
      <c r="A15" s="25">
        <v>10.0</v>
      </c>
      <c r="B15" s="20"/>
      <c r="C15" s="15"/>
      <c r="D15" s="15"/>
      <c r="E15" s="15"/>
      <c r="F15" s="37" t="str">
        <f t="shared" si="1"/>
        <v/>
      </c>
      <c r="G15" s="15"/>
      <c r="H15" s="25" t="str">
        <f t="shared" si="2"/>
        <v/>
      </c>
      <c r="I15" s="20"/>
      <c r="J15" s="20"/>
    </row>
    <row r="17">
      <c r="B17" s="7" t="s">
        <v>185</v>
      </c>
      <c r="C17" s="25">
        <f>COUNTIF(H6:H15,"Mayor")</f>
        <v>0</v>
      </c>
    </row>
    <row r="18">
      <c r="B18" s="7" t="s">
        <v>187</v>
      </c>
      <c r="C18" s="25">
        <f>COUNTIF(H6:H15,"Menor")</f>
        <v>0</v>
      </c>
    </row>
    <row r="20">
      <c r="A20" s="8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conditionalFormatting sqref="H6:H15">
    <cfRule type="cellIs" dxfId="1" priority="1" operator="equal">
      <formula>"Mayor"</formula>
    </cfRule>
  </conditionalFormatting>
  <conditionalFormatting sqref="H6:H15">
    <cfRule type="cellIs" dxfId="2" priority="2" operator="equal">
      <formula>"Menor"</formula>
    </cfRule>
  </conditionalFormatting>
  <conditionalFormatting sqref="H6:H15">
    <cfRule type="cellIs" dxfId="0" priority="3" operator="equal">
      <formula>"Sin desviación"</formula>
    </cfRule>
  </conditionalFormatting>
  <dataValidations>
    <dataValidation type="list" allowBlank="1" sqref="G6:G15">
      <formula1>Listas!$F$2:$F$3</formula1>
    </dataValidation>
  </dataValidations>
  <printOptions/>
  <pageMargins bottom="1.0" footer="0.0" header="0.0" left="0.75" right="0.75" top="1.0"/>
  <pageSetup fitToHeight="0" orientation="landscape"/>
  <headerFooter>
    <oddFooter>&amp;CSeminario de Tesis III – Sesión 6 – MBA Jenny Reynoso Palpa&amp;RPág.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12.0"/>
    <col customWidth="1" min="3" max="3" width="28.0"/>
    <col customWidth="1" min="4" max="4" width="22.0"/>
    <col customWidth="1" min="5" max="6" width="26.0"/>
    <col customWidth="1" min="7" max="7" width="12.0"/>
    <col customWidth="1" min="8" max="8" width="14.0"/>
    <col customWidth="1" min="9" max="9" width="13.0"/>
    <col customWidth="1" min="10" max="10" width="28.0"/>
    <col customWidth="1" min="11" max="11" width="18.0"/>
    <col customWidth="1" min="12" max="26" width="8.71"/>
  </cols>
  <sheetData>
    <row r="1" ht="30.0" customHeight="1">
      <c r="A1" s="1" t="s">
        <v>186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30.0" customHeight="1">
      <c r="A2" s="5" t="s">
        <v>3</v>
      </c>
      <c r="B2" s="3"/>
      <c r="C2" s="3"/>
      <c r="D2" s="3"/>
      <c r="E2" s="3"/>
      <c r="F2" s="3"/>
      <c r="G2" s="3"/>
      <c r="H2" s="3"/>
      <c r="I2" s="3"/>
      <c r="J2" s="3"/>
      <c r="K2" s="4"/>
    </row>
    <row r="4" ht="39.75" customHeight="1">
      <c r="A4" s="11" t="s">
        <v>8</v>
      </c>
      <c r="B4" s="11" t="s">
        <v>9</v>
      </c>
      <c r="C4" s="11" t="s">
        <v>189</v>
      </c>
      <c r="D4" s="11" t="s">
        <v>190</v>
      </c>
      <c r="E4" s="11" t="s">
        <v>191</v>
      </c>
      <c r="F4" s="11" t="s">
        <v>192</v>
      </c>
      <c r="G4" s="11" t="s">
        <v>193</v>
      </c>
      <c r="H4" s="11" t="s">
        <v>194</v>
      </c>
      <c r="I4" s="11" t="s">
        <v>195</v>
      </c>
      <c r="J4" s="11" t="s">
        <v>196</v>
      </c>
      <c r="K4" s="11" t="s">
        <v>77</v>
      </c>
    </row>
    <row r="5" ht="30.0" customHeight="1">
      <c r="A5" s="15"/>
      <c r="B5" s="14"/>
      <c r="C5" s="20"/>
      <c r="D5" s="20"/>
      <c r="E5" s="20"/>
      <c r="F5" s="20"/>
      <c r="G5" s="15"/>
      <c r="H5" s="20"/>
      <c r="I5" s="14"/>
      <c r="J5" s="20"/>
      <c r="K5" s="20"/>
    </row>
    <row r="6" ht="30.0" customHeight="1">
      <c r="A6" s="15"/>
      <c r="B6" s="14"/>
      <c r="C6" s="20"/>
      <c r="D6" s="20"/>
      <c r="E6" s="20"/>
      <c r="F6" s="20"/>
      <c r="G6" s="15"/>
      <c r="H6" s="20"/>
      <c r="I6" s="14"/>
      <c r="J6" s="20"/>
      <c r="K6" s="20"/>
    </row>
    <row r="7" ht="30.0" customHeight="1">
      <c r="A7" s="15"/>
      <c r="B7" s="14"/>
      <c r="C7" s="20"/>
      <c r="D7" s="20"/>
      <c r="E7" s="20"/>
      <c r="F7" s="20"/>
      <c r="G7" s="15"/>
      <c r="H7" s="20"/>
      <c r="I7" s="14"/>
      <c r="J7" s="20"/>
      <c r="K7" s="20"/>
    </row>
    <row r="8" ht="30.0" customHeight="1">
      <c r="A8" s="15"/>
      <c r="B8" s="14"/>
      <c r="C8" s="20"/>
      <c r="D8" s="20"/>
      <c r="E8" s="20"/>
      <c r="F8" s="20"/>
      <c r="G8" s="15"/>
      <c r="H8" s="20"/>
      <c r="I8" s="14"/>
      <c r="J8" s="20"/>
      <c r="K8" s="20"/>
    </row>
    <row r="9" ht="30.0" customHeight="1">
      <c r="A9" s="15"/>
      <c r="B9" s="14"/>
      <c r="C9" s="20"/>
      <c r="D9" s="20"/>
      <c r="E9" s="20"/>
      <c r="F9" s="20"/>
      <c r="G9" s="15"/>
      <c r="H9" s="20"/>
      <c r="I9" s="14"/>
      <c r="J9" s="20"/>
      <c r="K9" s="20"/>
    </row>
    <row r="10" ht="30.0" customHeight="1">
      <c r="A10" s="15"/>
      <c r="B10" s="14"/>
      <c r="C10" s="20"/>
      <c r="D10" s="20"/>
      <c r="E10" s="20"/>
      <c r="F10" s="20"/>
      <c r="G10" s="15"/>
      <c r="H10" s="20"/>
      <c r="I10" s="14"/>
      <c r="J10" s="20"/>
      <c r="K10" s="20"/>
    </row>
    <row r="11" ht="30.0" customHeight="1">
      <c r="A11" s="15"/>
      <c r="B11" s="14"/>
      <c r="C11" s="20"/>
      <c r="D11" s="20"/>
      <c r="E11" s="20"/>
      <c r="F11" s="20"/>
      <c r="G11" s="15"/>
      <c r="H11" s="20"/>
      <c r="I11" s="14"/>
      <c r="J11" s="20"/>
      <c r="K11" s="20"/>
    </row>
    <row r="12" ht="30.0" customHeight="1">
      <c r="A12" s="15"/>
      <c r="B12" s="14"/>
      <c r="C12" s="20"/>
      <c r="D12" s="20"/>
      <c r="E12" s="20"/>
      <c r="F12" s="20"/>
      <c r="G12" s="15"/>
      <c r="H12" s="20"/>
      <c r="I12" s="14"/>
      <c r="J12" s="20"/>
      <c r="K12" s="20"/>
    </row>
    <row r="13" ht="30.0" customHeight="1">
      <c r="A13" s="15"/>
      <c r="B13" s="14"/>
      <c r="C13" s="20"/>
      <c r="D13" s="20"/>
      <c r="E13" s="20"/>
      <c r="F13" s="20"/>
      <c r="G13" s="15"/>
      <c r="H13" s="20"/>
      <c r="I13" s="14"/>
      <c r="J13" s="20"/>
      <c r="K13" s="20"/>
    </row>
    <row r="14" ht="30.0" customHeight="1">
      <c r="A14" s="15"/>
      <c r="B14" s="14"/>
      <c r="C14" s="20"/>
      <c r="D14" s="20"/>
      <c r="E14" s="20"/>
      <c r="F14" s="20"/>
      <c r="G14" s="15"/>
      <c r="H14" s="20"/>
      <c r="I14" s="14"/>
      <c r="J14" s="20"/>
      <c r="K14" s="20"/>
    </row>
    <row r="15" ht="30.0" customHeight="1">
      <c r="A15" s="15"/>
      <c r="B15" s="14"/>
      <c r="C15" s="20"/>
      <c r="D15" s="20"/>
      <c r="E15" s="20"/>
      <c r="F15" s="20"/>
      <c r="G15" s="15"/>
      <c r="H15" s="20"/>
      <c r="I15" s="14"/>
      <c r="J15" s="20"/>
      <c r="K15" s="20"/>
    </row>
    <row r="16" ht="30.0" customHeight="1">
      <c r="A16" s="15"/>
      <c r="B16" s="14"/>
      <c r="C16" s="20"/>
      <c r="D16" s="20"/>
      <c r="E16" s="20"/>
      <c r="F16" s="20"/>
      <c r="G16" s="15"/>
      <c r="H16" s="20"/>
      <c r="I16" s="14"/>
      <c r="J16" s="20"/>
      <c r="K16" s="20"/>
    </row>
    <row r="17" ht="30.0" customHeight="1">
      <c r="A17" s="15"/>
      <c r="B17" s="14"/>
      <c r="C17" s="20"/>
      <c r="D17" s="20"/>
      <c r="E17" s="20"/>
      <c r="F17" s="20"/>
      <c r="G17" s="15"/>
      <c r="H17" s="20"/>
      <c r="I17" s="14"/>
      <c r="J17" s="20"/>
      <c r="K17" s="20"/>
    </row>
    <row r="18" ht="30.0" customHeight="1">
      <c r="A18" s="15"/>
      <c r="B18" s="14"/>
      <c r="C18" s="20"/>
      <c r="D18" s="20"/>
      <c r="E18" s="20"/>
      <c r="F18" s="20"/>
      <c r="G18" s="15"/>
      <c r="H18" s="20"/>
      <c r="I18" s="14"/>
      <c r="J18" s="20"/>
      <c r="K18" s="20"/>
    </row>
    <row r="19" ht="30.0" customHeight="1">
      <c r="A19" s="15"/>
      <c r="B19" s="14"/>
      <c r="C19" s="20"/>
      <c r="D19" s="20"/>
      <c r="E19" s="20"/>
      <c r="F19" s="20"/>
      <c r="G19" s="15"/>
      <c r="H19" s="20"/>
      <c r="I19" s="14"/>
      <c r="J19" s="20"/>
      <c r="K19" s="20"/>
    </row>
    <row r="21" ht="15.75" customHeight="1">
      <c r="A21" s="8" t="s">
        <v>198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I5:I19">
    <cfRule type="expression" dxfId="2" priority="1">
      <formula>AND($A5&lt;&gt;"",$I5="")</formula>
    </cfRule>
  </conditionalFormatting>
  <printOptions/>
  <pageMargins bottom="1.0" footer="0.0" header="0.0" left="0.75" right="0.75" top="1.0"/>
  <pageSetup fitToHeight="0" orientation="landscape"/>
  <headerFooter>
    <oddFooter>&amp;CSeminario de Tesis III – Sesión 6 – MBA Jenny Reynoso Palpa&amp;RPág.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32.0"/>
    <col customWidth="1" min="3" max="3" width="28.0"/>
    <col customWidth="1" min="4" max="4" width="24.0"/>
    <col customWidth="1" min="5" max="6" width="15.0"/>
    <col customWidth="1" min="7" max="7" width="36.0"/>
    <col customWidth="1" min="8" max="26" width="8.71"/>
  </cols>
  <sheetData>
    <row r="1" ht="30.0" customHeight="1">
      <c r="A1" s="1" t="s">
        <v>226</v>
      </c>
      <c r="B1" s="3"/>
      <c r="C1" s="3"/>
      <c r="D1" s="3"/>
      <c r="E1" s="3"/>
      <c r="F1" s="3"/>
      <c r="G1" s="4"/>
    </row>
    <row r="2" ht="30.0" customHeight="1">
      <c r="A2" s="5" t="s">
        <v>3</v>
      </c>
      <c r="B2" s="3"/>
      <c r="C2" s="3"/>
      <c r="D2" s="3"/>
      <c r="E2" s="3"/>
      <c r="F2" s="3"/>
      <c r="G2" s="4"/>
    </row>
    <row r="4">
      <c r="A4" s="11" t="s">
        <v>227</v>
      </c>
      <c r="B4" s="41" t="s">
        <v>228</v>
      </c>
      <c r="C4" s="42" t="s">
        <v>229</v>
      </c>
      <c r="D4" s="43" t="s">
        <v>230</v>
      </c>
      <c r="E4" s="11" t="s">
        <v>231</v>
      </c>
      <c r="F4" s="11" t="s">
        <v>232</v>
      </c>
      <c r="G4" s="11" t="s">
        <v>233</v>
      </c>
    </row>
    <row r="5" ht="33.75" customHeight="1">
      <c r="A5" s="23" t="s">
        <v>236</v>
      </c>
      <c r="B5" s="26" t="s">
        <v>237</v>
      </c>
      <c r="C5" s="26" t="s">
        <v>238</v>
      </c>
      <c r="D5" s="26" t="s">
        <v>239</v>
      </c>
      <c r="E5" s="15"/>
      <c r="F5" s="15"/>
      <c r="G5" s="20"/>
    </row>
    <row r="6" ht="33.75" customHeight="1">
      <c r="A6" s="23" t="s">
        <v>240</v>
      </c>
      <c r="B6" s="26" t="s">
        <v>241</v>
      </c>
      <c r="C6" s="26" t="s">
        <v>242</v>
      </c>
      <c r="D6" s="26" t="s">
        <v>243</v>
      </c>
      <c r="E6" s="15"/>
      <c r="F6" s="15"/>
      <c r="G6" s="20"/>
    </row>
    <row r="7" ht="33.75" customHeight="1">
      <c r="A7" s="23" t="s">
        <v>244</v>
      </c>
      <c r="B7" s="26" t="s">
        <v>245</v>
      </c>
      <c r="C7" s="26" t="s">
        <v>246</v>
      </c>
      <c r="D7" s="26" t="s">
        <v>248</v>
      </c>
      <c r="E7" s="15"/>
      <c r="F7" s="15"/>
      <c r="G7" s="20"/>
    </row>
    <row r="8" ht="33.75" customHeight="1">
      <c r="A8" s="23" t="s">
        <v>250</v>
      </c>
      <c r="B8" s="26" t="s">
        <v>251</v>
      </c>
      <c r="C8" s="26" t="s">
        <v>252</v>
      </c>
      <c r="D8" s="26" t="s">
        <v>253</v>
      </c>
      <c r="E8" s="15"/>
      <c r="F8" s="15"/>
      <c r="G8" s="20"/>
    </row>
    <row r="9" ht="33.75" customHeight="1">
      <c r="A9" s="23" t="s">
        <v>254</v>
      </c>
      <c r="B9" s="26" t="s">
        <v>255</v>
      </c>
      <c r="C9" s="26" t="s">
        <v>256</v>
      </c>
      <c r="D9" s="26" t="s">
        <v>257</v>
      </c>
      <c r="E9" s="15"/>
      <c r="F9" s="15"/>
      <c r="G9" s="20"/>
    </row>
    <row r="10" ht="33.75" customHeight="1">
      <c r="A10" s="23" t="s">
        <v>258</v>
      </c>
      <c r="B10" s="26" t="s">
        <v>259</v>
      </c>
      <c r="C10" s="26" t="s">
        <v>260</v>
      </c>
      <c r="D10" s="26" t="s">
        <v>261</v>
      </c>
      <c r="E10" s="15"/>
      <c r="F10" s="15"/>
      <c r="G10" s="20"/>
    </row>
    <row r="11">
      <c r="A11" s="7" t="s">
        <v>262</v>
      </c>
      <c r="E11" s="44">
        <f t="shared" ref="E11:F11" si="1">SUM(E5:E10)</f>
        <v>0</v>
      </c>
      <c r="F11" s="44">
        <f t="shared" si="1"/>
        <v>0</v>
      </c>
    </row>
    <row r="12">
      <c r="A12" s="7" t="s">
        <v>265</v>
      </c>
      <c r="E12" s="45">
        <f>ROUND(E11/30*20,1)</f>
        <v>0</v>
      </c>
      <c r="F12" s="45" t="str">
        <f>IF(COUNT(F5:F10)=0,"",ROUND(F11/30*20,1))</f>
        <v/>
      </c>
    </row>
    <row r="14">
      <c r="A14" s="8" t="s">
        <v>268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dataValidations>
    <dataValidation type="list" allowBlank="1" sqref="E5:F10">
      <formula1>Listas!$G$2:$G$4</formula1>
    </dataValidation>
  </dataValidations>
  <printOptions/>
  <pageMargins bottom="1.0" footer="0.0" header="0.0" left="0.75" right="0.75" top="1.0"/>
  <pageSetup fitToHeight="0" orientation="landscape"/>
  <headerFooter>
    <oddFooter>&amp;CSeminario de Tesis III – Sesión 6 – MBA Jenny Reynoso Palpa&amp;RPág.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9"/>
    <pageSetUpPr fitToPage="1"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30.0"/>
    <col customWidth="1" min="3" max="3" width="3.0"/>
    <col customWidth="1" min="4" max="5" width="16.0"/>
    <col customWidth="1" min="6" max="6" width="3.0"/>
    <col customWidth="1" min="7" max="26" width="8.71"/>
  </cols>
  <sheetData>
    <row r="1" ht="30.0" customHeight="1">
      <c r="A1" s="1" t="s">
        <v>312</v>
      </c>
      <c r="B1" s="3"/>
      <c r="C1" s="3"/>
      <c r="D1" s="3"/>
      <c r="E1" s="3"/>
      <c r="F1" s="4"/>
    </row>
    <row r="2" ht="30.0" customHeight="1">
      <c r="A2" s="5" t="s">
        <v>313</v>
      </c>
      <c r="B2" s="3"/>
      <c r="C2" s="3"/>
      <c r="D2" s="3"/>
      <c r="E2" s="3"/>
      <c r="F2" s="4"/>
    </row>
    <row r="4">
      <c r="A4" s="11" t="s">
        <v>314</v>
      </c>
      <c r="B4" s="11" t="s">
        <v>315</v>
      </c>
      <c r="D4" s="11" t="s">
        <v>316</v>
      </c>
      <c r="E4" s="11" t="s">
        <v>317</v>
      </c>
    </row>
    <row r="5" ht="19.5" customHeight="1">
      <c r="A5" s="7" t="s">
        <v>318</v>
      </c>
      <c r="B5" s="25" t="str">
        <f>Instrucciones!C5</f>
        <v>Trujillo Avila, Marcel Alexander Javier; Godoy Condezo, Alejandro Jeanpier</v>
      </c>
      <c r="D5" s="55" t="s">
        <v>300</v>
      </c>
      <c r="E5" s="28">
        <f>COUNTIF('2_Registro_Incidencias'!J5:J34,D5)</f>
        <v>0</v>
      </c>
    </row>
    <row r="6" ht="19.5" customHeight="1">
      <c r="A6" s="32" t="s">
        <v>34</v>
      </c>
      <c r="B6" s="25" t="str">
        <f>Instrucciones!C10</f>
        <v>Preexperimental: G O1 X O2</v>
      </c>
      <c r="D6" s="56" t="s">
        <v>287</v>
      </c>
      <c r="E6" s="28">
        <f>COUNTIF('2_Registro_Incidencias'!J5:J34,D6)</f>
        <v>0</v>
      </c>
    </row>
    <row r="7" ht="19.5" customHeight="1">
      <c r="A7" s="7" t="s">
        <v>319</v>
      </c>
      <c r="B7" s="34" t="str">
        <f>'1_Ficha_Monitoreo'!Q18</f>
        <v/>
      </c>
      <c r="D7" s="57" t="s">
        <v>293</v>
      </c>
      <c r="E7" s="28">
        <f>COUNTIF('2_Registro_Incidencias'!J5:J34,D7)</f>
        <v>0</v>
      </c>
    </row>
    <row r="8" ht="19.5" customHeight="1">
      <c r="A8" s="32" t="s">
        <v>320</v>
      </c>
      <c r="B8" s="25" t="str">
        <f>'1_Ficha_Monitoreo'!R18</f>
        <v/>
      </c>
      <c r="D8" s="58" t="s">
        <v>294</v>
      </c>
      <c r="E8" s="28">
        <f>COUNTIF('2_Registro_Incidencias'!J5:J34,D8)</f>
        <v>0</v>
      </c>
    </row>
    <row r="9" ht="19.5" customHeight="1">
      <c r="A9" s="7" t="s">
        <v>321</v>
      </c>
      <c r="B9" s="34" t="str">
        <f>'3_Cotejo_Fidelidad'!C18</f>
        <v/>
      </c>
    </row>
    <row r="10" ht="19.5" customHeight="1">
      <c r="A10" s="32" t="s">
        <v>322</v>
      </c>
      <c r="B10" s="25" t="str">
        <f>'3_Cotejo_Fidelidad'!C19</f>
        <v/>
      </c>
      <c r="D10" s="11" t="s">
        <v>15</v>
      </c>
      <c r="E10" s="11" t="s">
        <v>317</v>
      </c>
    </row>
    <row r="11" ht="19.5" customHeight="1">
      <c r="A11" s="7" t="s">
        <v>323</v>
      </c>
      <c r="B11" s="59" t="str">
        <f>'1_Ficha_Monitoreo'!G18</f>
        <v/>
      </c>
      <c r="D11" s="32" t="s">
        <v>286</v>
      </c>
      <c r="E11" s="28">
        <f>COUNTIF('2_Registro_Incidencias'!G5:G34,D11)</f>
        <v>0</v>
      </c>
    </row>
    <row r="12" ht="19.5" customHeight="1">
      <c r="A12" s="32" t="s">
        <v>324</v>
      </c>
      <c r="B12" s="59" t="str">
        <f>'1_Ficha_Monitoreo'!M18</f>
        <v/>
      </c>
      <c r="D12" s="32" t="s">
        <v>295</v>
      </c>
      <c r="E12" s="28">
        <f>COUNTIF('2_Registro_Incidencias'!G5:G34,D12)</f>
        <v>0</v>
      </c>
    </row>
    <row r="13" ht="19.5" customHeight="1">
      <c r="A13" s="7" t="s">
        <v>325</v>
      </c>
      <c r="B13" s="59" t="str">
        <f>'1_Ficha_Monitoreo'!J18</f>
        <v/>
      </c>
    </row>
    <row r="14" ht="19.5" customHeight="1">
      <c r="A14" s="32" t="s">
        <v>326</v>
      </c>
      <c r="B14" s="60">
        <f>'1_Ficha_Monitoreo'!H6</f>
        <v>108</v>
      </c>
    </row>
    <row r="15" ht="19.5" customHeight="1">
      <c r="A15" s="7" t="s">
        <v>327</v>
      </c>
      <c r="B15" s="60" t="str">
        <f>LOOKUP(2,1/('1_Ficha_Monitoreo'!H6:H17&lt;&gt;""),'1_Ficha_Monitoreo'!H6:H17)</f>
        <v>#N/A</v>
      </c>
    </row>
    <row r="16" ht="19.5" customHeight="1">
      <c r="A16" s="32" t="s">
        <v>162</v>
      </c>
      <c r="B16" s="59" t="str">
        <f>IF(B14=0,"",(B14-B15)/B14)</f>
        <v>#N/A</v>
      </c>
    </row>
    <row r="17" ht="19.5" customHeight="1">
      <c r="A17" s="7" t="s">
        <v>328</v>
      </c>
      <c r="B17" s="60">
        <f>COUNTA('2_Registro_Incidencias'!F5:F34)</f>
        <v>0</v>
      </c>
    </row>
    <row r="18" ht="19.5" customHeight="1">
      <c r="A18" s="32" t="s">
        <v>329</v>
      </c>
      <c r="B18" s="60">
        <f>COUNTIF('2_Registro_Incidencias'!Q5:Q34,"Abierta")+COUNTIF('2_Registro_Incidencias'!Q5:Q34,"En curso")</f>
        <v>0</v>
      </c>
    </row>
    <row r="19" ht="19.5" customHeight="1">
      <c r="A19" s="7" t="s">
        <v>185</v>
      </c>
      <c r="B19" s="60">
        <f>'5_Desviaciones'!C17</f>
        <v>0</v>
      </c>
    </row>
    <row r="20" ht="19.5" customHeight="1">
      <c r="A20" s="32" t="s">
        <v>330</v>
      </c>
      <c r="B20" s="60">
        <f>COUNTA('6_Control_Cambios'!A5:A19)</f>
        <v>0</v>
      </c>
    </row>
    <row r="21" ht="19.5" customHeight="1">
      <c r="A21" s="7" t="s">
        <v>331</v>
      </c>
      <c r="B21" s="60">
        <f>COUNTIF('4_Matriz_Variables'!G5:G16,"Alto")</f>
        <v>3</v>
      </c>
    </row>
    <row r="22" ht="19.5" customHeight="1">
      <c r="A22" s="32" t="s">
        <v>332</v>
      </c>
      <c r="B22" s="61">
        <f>'7_Rubrica'!E12</f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B8:B10">
    <cfRule type="cellIs" dxfId="0" priority="1" operator="equal">
      <formula>"Alta"</formula>
    </cfRule>
  </conditionalFormatting>
  <conditionalFormatting sqref="B8:B10">
    <cfRule type="cellIs" dxfId="2" priority="2" operator="equal">
      <formula>"Moderada"</formula>
    </cfRule>
  </conditionalFormatting>
  <conditionalFormatting sqref="B8:B10">
    <cfRule type="cellIs" dxfId="1" priority="3" operator="equal">
      <formula>"Baja"</formula>
    </cfRule>
  </conditionalFormatting>
  <printOptions/>
  <pageMargins bottom="1.0" footer="0.0" header="0.0" left="0.75" right="0.75" top="1.0"/>
  <pageSetup fitToHeight="0" orientation="landscape"/>
  <headerFooter>
    <oddFooter>&amp;CSeminario de Tesis III – Sesión 6 – MBA Jenny Reynoso Palpa&amp;RPág.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 fitToPage="1"/>
  </sheetPr>
  <sheetViews>
    <sheetView workbookViewId="0"/>
  </sheetViews>
  <sheetFormatPr customHeight="1" defaultColWidth="14.43" defaultRowHeight="15.0"/>
  <cols>
    <col customWidth="1" min="1" max="9" width="26.0"/>
    <col customWidth="1" min="10" max="10" width="8.71"/>
    <col customWidth="1" min="11" max="11" width="20.0"/>
    <col customWidth="1" min="12" max="26" width="8.71"/>
  </cols>
  <sheetData>
    <row r="1">
      <c r="A1" s="46" t="s">
        <v>277</v>
      </c>
      <c r="B1" s="46" t="s">
        <v>220</v>
      </c>
      <c r="C1" s="46" t="s">
        <v>27</v>
      </c>
      <c r="D1" s="46" t="s">
        <v>278</v>
      </c>
      <c r="E1" s="46" t="s">
        <v>279</v>
      </c>
      <c r="F1" s="46" t="s">
        <v>280</v>
      </c>
      <c r="G1" s="46" t="s">
        <v>281</v>
      </c>
      <c r="H1" s="46" t="s">
        <v>13</v>
      </c>
      <c r="I1" s="46" t="s">
        <v>282</v>
      </c>
      <c r="K1" s="35" t="s">
        <v>283</v>
      </c>
    </row>
    <row r="2">
      <c r="A2" s="47" t="s">
        <v>286</v>
      </c>
      <c r="B2" s="47" t="s">
        <v>287</v>
      </c>
      <c r="C2" s="47" t="s">
        <v>288</v>
      </c>
      <c r="D2" s="47" t="s">
        <v>289</v>
      </c>
      <c r="E2" s="47" t="s">
        <v>125</v>
      </c>
      <c r="F2" s="47" t="s">
        <v>290</v>
      </c>
      <c r="G2" s="47">
        <v>5.0</v>
      </c>
      <c r="H2" s="47" t="s">
        <v>291</v>
      </c>
      <c r="I2" s="47" t="s">
        <v>134</v>
      </c>
      <c r="K2" s="48" t="s">
        <v>292</v>
      </c>
      <c r="L2" s="48" t="s">
        <v>287</v>
      </c>
      <c r="M2" s="48" t="s">
        <v>293</v>
      </c>
      <c r="N2" s="48" t="s">
        <v>294</v>
      </c>
    </row>
    <row r="3">
      <c r="A3" s="47" t="s">
        <v>295</v>
      </c>
      <c r="B3" s="47" t="s">
        <v>293</v>
      </c>
      <c r="C3" s="47" t="s">
        <v>296</v>
      </c>
      <c r="D3" s="47" t="s">
        <v>141</v>
      </c>
      <c r="E3" s="47" t="s">
        <v>297</v>
      </c>
      <c r="F3" s="47" t="s">
        <v>298</v>
      </c>
      <c r="G3" s="47">
        <v>3.0</v>
      </c>
      <c r="H3" s="47" t="s">
        <v>299</v>
      </c>
      <c r="I3" s="47" t="s">
        <v>122</v>
      </c>
      <c r="K3" s="48" t="s">
        <v>287</v>
      </c>
      <c r="L3" s="49" t="s">
        <v>300</v>
      </c>
      <c r="M3" s="49" t="s">
        <v>287</v>
      </c>
      <c r="N3" s="49" t="s">
        <v>293</v>
      </c>
    </row>
    <row r="4">
      <c r="B4" s="47" t="s">
        <v>294</v>
      </c>
      <c r="C4" s="47" t="s">
        <v>302</v>
      </c>
      <c r="D4" s="47" t="s">
        <v>303</v>
      </c>
      <c r="E4" s="47" t="s">
        <v>97</v>
      </c>
      <c r="G4" s="47">
        <v>0.0</v>
      </c>
      <c r="H4" s="47" t="s">
        <v>305</v>
      </c>
      <c r="I4" s="47" t="s">
        <v>306</v>
      </c>
      <c r="K4" s="48" t="s">
        <v>293</v>
      </c>
      <c r="L4" s="49" t="s">
        <v>287</v>
      </c>
      <c r="M4" s="49" t="s">
        <v>293</v>
      </c>
      <c r="N4" s="49" t="s">
        <v>294</v>
      </c>
    </row>
    <row r="5">
      <c r="D5" s="47" t="s">
        <v>307</v>
      </c>
      <c r="E5" s="47" t="s">
        <v>153</v>
      </c>
      <c r="K5" s="48" t="s">
        <v>294</v>
      </c>
      <c r="L5" s="49" t="s">
        <v>293</v>
      </c>
      <c r="M5" s="49" t="s">
        <v>294</v>
      </c>
      <c r="N5" s="49" t="s">
        <v>294</v>
      </c>
    </row>
    <row r="6">
      <c r="D6" s="47" t="s">
        <v>123</v>
      </c>
      <c r="E6" s="47" t="s">
        <v>136</v>
      </c>
    </row>
    <row r="7">
      <c r="D7" s="47" t="s">
        <v>308</v>
      </c>
    </row>
    <row r="8">
      <c r="D8" s="47" t="s">
        <v>129</v>
      </c>
    </row>
    <row r="9">
      <c r="D9" s="47" t="s">
        <v>162</v>
      </c>
    </row>
    <row r="10">
      <c r="D10" s="47" t="s">
        <v>309</v>
      </c>
    </row>
    <row r="11">
      <c r="D11" s="47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headerFooter>
    <oddFooter>&amp;CSeminario de Tesis III – Sesión 6 – MBA Jenny Reynoso Palpa&amp;RPág. &amp;P</oddFooter>
  </headerFooter>
  <drawing r:id="rId1"/>
</worksheet>
</file>