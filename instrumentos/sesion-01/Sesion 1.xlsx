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yenda" sheetId="1" state="visible" r:id="rId1"/>
    <sheet xmlns:r="http://schemas.openxmlformats.org/officeDocument/2006/relationships" name="1. Matriz de coherencia" sheetId="2" state="visible" r:id="rId2"/>
    <sheet xmlns:r="http://schemas.openxmlformats.org/officeDocument/2006/relationships" name="3. Cronograma de campo" sheetId="3" state="visible" r:id="rId3"/>
    <sheet xmlns:r="http://schemas.openxmlformats.org/officeDocument/2006/relationships" name="4. Condiciones de aplicación" sheetId="4" state="visible" r:id="rId4"/>
    <sheet xmlns:r="http://schemas.openxmlformats.org/officeDocument/2006/relationships" name="5. Matriz de riesgos" sheetId="5" state="visible" r:id="rId5"/>
    <sheet xmlns:r="http://schemas.openxmlformats.org/officeDocument/2006/relationships" name="6. Cotejo y ética" sheetId="6" state="visible" r:id="rId6"/>
    <sheet xmlns:r="http://schemas.openxmlformats.org/officeDocument/2006/relationships" name="7. Rúbrica del protocolo" sheetId="7" state="visible" r:id="rId7"/>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22">
    <font>
      <name val="Calibri"/>
      <color theme="1"/>
      <sz val="11"/>
      <scheme val="minor"/>
    </font>
    <font>
      <name val="Arial"/>
      <b val="1"/>
      <color rgb="FF1E3A5F"/>
      <sz val="14"/>
    </font>
    <font>
      <name val="Calibri"/>
      <color theme="1"/>
      <sz val="11"/>
    </font>
    <font>
      <name val="Arial"/>
      <i val="1"/>
      <color rgb="FF5B6B78"/>
      <sz val="9"/>
    </font>
    <font>
      <name val="Arial"/>
      <b val="1"/>
      <color rgb="FFFFFFFF"/>
      <sz val="10"/>
    </font>
    <font>
      <name val="Arial"/>
      <color theme="1"/>
      <sz val="10"/>
    </font>
    <font>
      <name val="Arial"/>
      <b val="1"/>
      <color theme="1"/>
      <sz val="10"/>
    </font>
    <font>
      <name val="Arial"/>
      <color rgb="FF0000FF"/>
      <sz val="10"/>
    </font>
    <font>
      <name val="Arial"/>
      <color rgb="FF0000FF"/>
    </font>
    <font>
      <name val="Arial"/>
      <b val="1"/>
      <color rgb="FFB04A32"/>
      <sz val="10"/>
    </font>
    <font>
      <name val="Arial"/>
      <color rgb="FFB04A32"/>
      <sz val="10"/>
    </font>
    <font>
      <name val="Arial"/>
      <color rgb="FF0000FF"/>
      <u val="single"/>
    </font>
    <font>
      <name val="Arial"/>
      <b val="1"/>
      <color rgb="FF1E3A5F"/>
      <sz val="10"/>
    </font>
    <font>
      <name val="Arial"/>
      <i val="1"/>
      <color rgb="FFB04A32"/>
      <sz val="9"/>
    </font>
    <font/>
    <font>
      <name val="Arial"/>
      <b val="1"/>
      <color rgb="FF7A3B12"/>
      <sz val="10"/>
    </font>
    <font>
      <name val="Arial"/>
      <b val="1"/>
      <color rgb="FFFFFFFF"/>
      <sz val="11"/>
    </font>
    <font>
      <name val="Arial"/>
      <b val="1"/>
      <color rgb="FFB04A32"/>
      <sz val="11"/>
    </font>
    <font>
      <name val="Arial"/>
      <b val="1"/>
      <color rgb="FF1E3A5F"/>
      <sz val="11"/>
    </font>
    <font>
      <name val="Arial"/>
      <b val="1"/>
      <color theme="1"/>
      <sz val="11"/>
    </font>
    <font>
      <b val="1"/>
    </font>
    <font>
      <name val="Arial"/>
      <b val="1"/>
      <color rgb="FF0000FF"/>
      <sz val="10"/>
    </font>
  </fonts>
  <fills count="10">
    <fill>
      <patternFill/>
    </fill>
    <fill>
      <patternFill patternType="lightGray"/>
    </fill>
    <fill>
      <patternFill patternType="solid">
        <fgColor rgb="FF1E3A5F"/>
        <bgColor rgb="FF1E3A5F"/>
      </patternFill>
    </fill>
    <fill>
      <patternFill patternType="solid">
        <fgColor rgb="FFFFFDE7"/>
        <bgColor rgb="FFFFFDE7"/>
      </patternFill>
    </fill>
    <fill>
      <patternFill patternType="solid">
        <fgColor rgb="FFF6F9FB"/>
        <bgColor rgb="FFF6F9FB"/>
      </patternFill>
    </fill>
    <fill>
      <patternFill patternType="solid">
        <fgColor rgb="FF1C7293"/>
        <bgColor rgb="FF1C7293"/>
      </patternFill>
    </fill>
    <fill>
      <patternFill patternType="solid">
        <fgColor rgb="FFF6D9C6"/>
        <bgColor rgb="FFF6D9C6"/>
      </patternFill>
    </fill>
    <fill>
      <patternFill patternType="solid">
        <fgColor rgb="FFB04A32"/>
        <bgColor rgb="FFB04A32"/>
      </patternFill>
    </fill>
    <fill>
      <patternFill patternType="solid">
        <fgColor rgb="FFFDF3D0"/>
        <bgColor rgb="FFFDF3D0"/>
      </patternFill>
    </fill>
    <fill>
      <patternFill patternType="solid">
        <fgColor rgb="FFE3F0E4"/>
        <bgColor rgb="FFE3F0E4"/>
      </patternFill>
    </fill>
  </fills>
  <borders count="9">
    <border/>
    <border>
      <left style="thin">
        <color rgb="FFC6D4DE"/>
      </left>
      <right style="thin">
        <color rgb="FFC6D4DE"/>
      </right>
      <top style="thin">
        <color rgb="FFC6D4DE"/>
      </top>
      <bottom style="thin">
        <color rgb="FFC6D4DE"/>
      </bottom>
    </border>
    <border>
      <right style="thin">
        <color rgb="FFC6D4DE"/>
      </right>
      <top style="thin">
        <color rgb="FFC6D4DE"/>
      </top>
      <bottom style="thin">
        <color rgb="FFC6D4DE"/>
      </bottom>
    </border>
    <border>
      <left style="thin">
        <color rgb="FFC6D4DE"/>
      </left>
      <right style="thin">
        <color rgb="FFC6D4DE"/>
      </right>
      <bottom style="thin">
        <color rgb="FFC6D4DE"/>
      </bottom>
    </border>
    <border>
      <right style="thin">
        <color rgb="FFC6D4DE"/>
      </right>
      <bottom style="thin">
        <color rgb="FFC6D4DE"/>
      </bottom>
    </border>
    <border>
      <left style="thin">
        <color rgb="FFC6D4DE"/>
      </left>
      <top style="thin">
        <color rgb="FFC6D4DE"/>
      </top>
      <bottom style="thin">
        <color rgb="FFC6D4DE"/>
      </bottom>
    </border>
    <border>
      <top style="thin">
        <color rgb="FFC6D4DE"/>
      </top>
      <bottom style="thin">
        <color rgb="FFC6D4DE"/>
      </bottom>
    </border>
    <border>
      <top style="thin">
        <color rgb="FFC6D4DE"/>
      </top>
    </border>
    <border>
      <right style="thin">
        <color rgb="FFC6D4DE"/>
      </right>
      <top style="thin">
        <color rgb="FFC6D4DE"/>
      </top>
    </border>
  </borders>
  <cellStyleXfs count="1">
    <xf numFmtId="0" fontId="0" fillId="0" borderId="0"/>
  </cellStyleXfs>
  <cellXfs count="83">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vertical="bottom"/>
    </xf>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vertical="center" wrapText="1"/>
    </xf>
    <xf numFmtId="0" fontId="5" fillId="0" borderId="1" applyAlignment="1" pivotButton="0" quotePrefix="0" xfId="0">
      <alignment vertical="center" wrapText="1"/>
    </xf>
    <xf numFmtId="0" fontId="5" fillId="0" borderId="1" applyAlignment="1" pivotButton="0" quotePrefix="0" xfId="0">
      <alignment vertical="center" wrapText="1"/>
    </xf>
    <xf numFmtId="0" fontId="5" fillId="0" borderId="1" applyAlignment="1" pivotButton="0" quotePrefix="0" xfId="0">
      <alignment horizontal="center" vertical="center"/>
    </xf>
    <xf numFmtId="164" fontId="5" fillId="0" borderId="1" applyAlignment="1" pivotButton="0" quotePrefix="0" xfId="0">
      <alignment vertical="center" wrapText="1"/>
    </xf>
    <xf numFmtId="0" fontId="7"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horizontal="center" vertical="center"/>
    </xf>
    <xf numFmtId="0" fontId="5" fillId="4" borderId="1" applyAlignment="1" pivotButton="0" quotePrefix="0" xfId="0">
      <alignment vertical="center" wrapText="1"/>
    </xf>
    <xf numFmtId="0" fontId="3" fillId="0" borderId="1" applyAlignment="1" pivotButton="0" quotePrefix="0" xfId="0">
      <alignment vertical="center" wrapText="1"/>
    </xf>
    <xf numFmtId="0" fontId="5" fillId="4" borderId="1" applyAlignment="1" pivotButton="0" quotePrefix="0" xfId="0">
      <alignment horizontal="center" vertical="center"/>
    </xf>
    <xf numFmtId="164" fontId="8" fillId="3" borderId="1" applyAlignment="1" pivotButton="0" quotePrefix="0" xfId="0">
      <alignment horizontal="right" wrapText="1"/>
    </xf>
    <xf numFmtId="164" fontId="8" fillId="3" borderId="2" applyAlignment="1" pivotButton="0" quotePrefix="0" xfId="0">
      <alignment horizontal="right" wrapText="1"/>
    </xf>
    <xf numFmtId="164" fontId="5" fillId="4" borderId="1" applyAlignment="1" pivotButton="0" quotePrefix="0" xfId="0">
      <alignment vertical="center" wrapText="1"/>
    </xf>
    <xf numFmtId="0" fontId="8" fillId="3" borderId="1" applyAlignment="1" pivotButton="0" quotePrefix="0" xfId="0">
      <alignment wrapText="1"/>
    </xf>
    <xf numFmtId="0" fontId="8" fillId="3" borderId="2" applyAlignment="1" pivotButton="0" quotePrefix="0" xfId="0">
      <alignment wrapText="1"/>
    </xf>
    <xf numFmtId="164" fontId="8" fillId="3" borderId="3" applyAlignment="1" pivotButton="0" quotePrefix="0" xfId="0">
      <alignment horizontal="right" wrapText="1"/>
    </xf>
    <xf numFmtId="164" fontId="8" fillId="3" borderId="4" applyAlignment="1" pivotButton="0" quotePrefix="0" xfId="0">
      <alignment horizontal="right" wrapText="1"/>
    </xf>
    <xf numFmtId="0" fontId="8" fillId="3" borderId="3" applyAlignment="1" pivotButton="0" quotePrefix="0" xfId="0">
      <alignment wrapText="1"/>
    </xf>
    <xf numFmtId="0" fontId="8" fillId="3" borderId="4" applyAlignment="1" pivotButton="0" quotePrefix="0" xfId="0">
      <alignment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5" fillId="4" borderId="1" applyAlignment="1" pivotButton="0" quotePrefix="0" xfId="0">
      <alignment vertical="center" wrapText="1"/>
    </xf>
    <xf numFmtId="0" fontId="11" fillId="3" borderId="4" applyAlignment="1" pivotButton="0" quotePrefix="0" xfId="0">
      <alignment wrapText="1"/>
    </xf>
    <xf numFmtId="0" fontId="7" fillId="3" borderId="1" applyAlignment="1" pivotButton="0" quotePrefix="0" xfId="0">
      <alignment vertical="center" wrapText="1"/>
    </xf>
    <xf numFmtId="0" fontId="12" fillId="0" borderId="1" applyAlignment="1" pivotButton="0" quotePrefix="0" xfId="0">
      <alignment vertical="bottom"/>
    </xf>
    <xf numFmtId="0" fontId="6" fillId="0" borderId="1" applyAlignment="1" pivotButton="0" quotePrefix="0" xfId="0">
      <alignment vertical="bottom"/>
    </xf>
    <xf numFmtId="0" fontId="13" fillId="0" borderId="0" applyAlignment="1" pivotButton="0" quotePrefix="0" xfId="0">
      <alignment vertical="bottom"/>
    </xf>
    <xf numFmtId="165" fontId="6" fillId="0" borderId="1" applyAlignment="1" pivotButton="0" quotePrefix="0" xfId="0">
      <alignment vertical="bottom"/>
    </xf>
    <xf numFmtId="0" fontId="3" fillId="0" borderId="0" applyAlignment="1" pivotButton="0" quotePrefix="0" xfId="0">
      <alignment vertical="bottom"/>
    </xf>
    <xf numFmtId="0" fontId="7" fillId="3" borderId="1" applyAlignment="1" pivotButton="0" quotePrefix="0" xfId="0">
      <alignment wrapText="1"/>
    </xf>
    <xf numFmtId="0" fontId="7" fillId="3" borderId="3" applyAlignment="1" pivotButton="0" quotePrefix="0" xfId="0">
      <alignment wrapText="1"/>
    </xf>
    <xf numFmtId="0" fontId="6" fillId="0" borderId="1" applyAlignment="1" pivotButton="0" quotePrefix="0" xfId="0">
      <alignment horizontal="center" vertical="center"/>
    </xf>
    <xf numFmtId="0" fontId="6" fillId="4" borderId="1" applyAlignment="1" pivotButton="0" quotePrefix="0" xfId="0">
      <alignment horizontal="center" vertical="center"/>
    </xf>
    <xf numFmtId="0" fontId="7" fillId="3" borderId="1" applyAlignment="1" pivotButton="0" quotePrefix="0" xfId="0">
      <alignment vertical="top" wrapText="1"/>
    </xf>
    <xf numFmtId="0" fontId="4" fillId="5" borderId="5" applyAlignment="1" pivotButton="0" quotePrefix="0" xfId="0">
      <alignment horizontal="left" vertical="center"/>
    </xf>
    <xf numFmtId="0" fontId="7" fillId="3" borderId="2" applyAlignment="1" pivotButton="0" quotePrefix="0" xfId="0">
      <alignment wrapText="1"/>
    </xf>
    <xf numFmtId="0" fontId="14" fillId="0" borderId="6" pivotButton="0" quotePrefix="0" xfId="0"/>
    <xf numFmtId="0" fontId="7" fillId="3" borderId="2" applyAlignment="1" pivotButton="0" quotePrefix="0" xfId="0">
      <alignment horizontal="center"/>
    </xf>
    <xf numFmtId="0" fontId="14" fillId="0" borderId="2" pivotButton="0" quotePrefix="0" xfId="0"/>
    <xf numFmtId="0" fontId="5" fillId="0" borderId="2" applyAlignment="1" pivotButton="0" quotePrefix="0" xfId="0">
      <alignment horizontal="center"/>
    </xf>
    <xf numFmtId="0" fontId="15" fillId="6" borderId="2" applyAlignment="1" pivotButton="0" quotePrefix="0" xfId="0">
      <alignment horizontal="center"/>
    </xf>
    <xf numFmtId="0" fontId="7" fillId="3" borderId="4" applyAlignment="1" pivotButton="0" quotePrefix="0" xfId="0">
      <alignment wrapText="1"/>
    </xf>
    <xf numFmtId="0" fontId="4" fillId="7" borderId="1" applyAlignment="1" pivotButton="0" quotePrefix="0" xfId="0">
      <alignment horizontal="center"/>
    </xf>
    <xf numFmtId="0" fontId="7" fillId="3" borderId="4" applyAlignment="1" pivotButton="0" quotePrefix="0" xfId="0">
      <alignment horizontal="center"/>
    </xf>
    <xf numFmtId="0" fontId="5" fillId="4" borderId="4" applyAlignment="1" pivotButton="0" quotePrefix="0" xfId="0">
      <alignment horizontal="center"/>
    </xf>
    <xf numFmtId="0" fontId="6" fillId="8" borderId="4" applyAlignment="1" pivotButton="0" quotePrefix="0" xfId="0">
      <alignment horizontal="center"/>
    </xf>
    <xf numFmtId="0" fontId="7" fillId="9" borderId="3" applyAlignment="1" pivotButton="0" quotePrefix="0" xfId="0">
      <alignment horizontal="center"/>
    </xf>
    <xf numFmtId="0" fontId="5" fillId="0" borderId="4" applyAlignment="1" pivotButton="0" quotePrefix="0" xfId="0">
      <alignment horizontal="center"/>
    </xf>
    <xf numFmtId="0" fontId="15" fillId="6" borderId="4" applyAlignment="1" pivotButton="0" quotePrefix="0" xfId="0">
      <alignment horizontal="center"/>
    </xf>
    <xf numFmtId="0" fontId="4" fillId="7" borderId="3" applyAlignment="1" pivotButton="0" quotePrefix="0" xfId="0">
      <alignment horizontal="center"/>
    </xf>
    <xf numFmtId="0" fontId="7" fillId="9" borderId="1" applyAlignment="1" pivotButton="0" quotePrefix="0" xfId="0">
      <alignment horizontal="center"/>
    </xf>
    <xf numFmtId="0" fontId="16" fillId="2" borderId="1" applyAlignment="1" pivotButton="0" quotePrefix="0" xfId="0">
      <alignment vertical="bottom"/>
    </xf>
    <xf numFmtId="0" fontId="17" fillId="0" borderId="1" applyAlignment="1" pivotButton="0" quotePrefix="0" xfId="0">
      <alignment vertical="bottom"/>
    </xf>
    <xf numFmtId="166" fontId="7" fillId="3" borderId="1" applyAlignment="1" pivotButton="0" quotePrefix="0" xfId="0">
      <alignment horizontal="center" vertical="center"/>
    </xf>
    <xf numFmtId="0" fontId="18" fillId="0" borderId="1" applyAlignment="1" pivotButton="0" quotePrefix="0" xfId="0">
      <alignment vertical="bottom"/>
    </xf>
    <xf numFmtId="166" fontId="19" fillId="0" borderId="1" applyAlignment="1" pivotButton="0" quotePrefix="0" xfId="0">
      <alignment horizontal="center" vertical="center"/>
    </xf>
    <xf numFmtId="0" fontId="19" fillId="0" borderId="1" applyAlignment="1" pivotButton="0" quotePrefix="0" xfId="0">
      <alignment horizontal="center" vertical="center"/>
    </xf>
    <xf numFmtId="0" fontId="0" fillId="0" borderId="0" pivotButton="0" quotePrefix="0" xfId="0"/>
    <xf numFmtId="0" fontId="20" fillId="0" borderId="0" applyAlignment="1" pivotButton="0" quotePrefix="0" xfId="0">
      <alignment vertical="bottom"/>
    </xf>
    <xf numFmtId="0" fontId="2" fillId="0" borderId="0" applyAlignment="1" pivotButton="0" quotePrefix="0" xfId="0">
      <alignment vertical="top" wrapText="1"/>
    </xf>
    <xf numFmtId="0" fontId="7" fillId="4" borderId="1" applyAlignment="1" pivotButton="0" quotePrefix="0" xfId="0">
      <alignment horizontal="center" vertical="center"/>
    </xf>
    <xf numFmtId="0" fontId="7" fillId="4" borderId="1" applyAlignment="1" pivotButton="0" quotePrefix="0" xfId="0">
      <alignment vertical="center" wrapText="1"/>
    </xf>
    <xf numFmtId="164" fontId="5" fillId="4" borderId="1" applyAlignment="1" pivotButton="0" quotePrefix="0" xfId="0">
      <alignment vertical="center" wrapText="1"/>
    </xf>
    <xf numFmtId="0" fontId="7" fillId="0" borderId="1" applyAlignment="1" pivotButton="0" quotePrefix="0" xfId="0">
      <alignment horizontal="center" vertical="center"/>
    </xf>
    <xf numFmtId="0" fontId="7" fillId="0" borderId="1" applyAlignment="1" pivotButton="0" quotePrefix="0" xfId="0">
      <alignment vertical="center" wrapText="1"/>
    </xf>
    <xf numFmtId="164" fontId="7" fillId="0" borderId="1" applyAlignment="1" pivotButton="0" quotePrefix="0" xfId="0">
      <alignment vertical="center" wrapText="1"/>
    </xf>
    <xf numFmtId="0" fontId="5" fillId="0" borderId="1" applyAlignment="1" pivotButton="0" quotePrefix="0" xfId="0">
      <alignment vertical="center" wrapText="1"/>
    </xf>
    <xf numFmtId="164" fontId="7" fillId="4" borderId="1" applyAlignment="1" pivotButton="0" quotePrefix="0" xfId="0">
      <alignment vertical="center" wrapText="1"/>
    </xf>
    <xf numFmtId="165" fontId="2" fillId="0" borderId="0" applyAlignment="1" pivotButton="0" quotePrefix="0" xfId="0">
      <alignment vertical="bottom"/>
    </xf>
    <xf numFmtId="0" fontId="4" fillId="5" borderId="1" applyAlignment="1" pivotButton="0" quotePrefix="0" xfId="0">
      <alignment horizontal="left" vertical="center"/>
    </xf>
    <xf numFmtId="0" fontId="0" fillId="0" borderId="6" pivotButton="0" quotePrefix="0" xfId="0"/>
    <xf numFmtId="0" fontId="0" fillId="0" borderId="2" pivotButton="0" quotePrefix="0" xfId="0"/>
    <xf numFmtId="0" fontId="21" fillId="7" borderId="1" applyAlignment="1" pivotButton="0" quotePrefix="0" xfId="0">
      <alignment horizontal="center"/>
    </xf>
    <xf numFmtId="0" fontId="7" fillId="3" borderId="2" applyAlignment="1" pivotButton="0" quotePrefix="0" xfId="0">
      <alignment vertical="top" wrapText="1"/>
    </xf>
    <xf numFmtId="0" fontId="21" fillId="7" borderId="3" applyAlignment="1" pivotButton="0" quotePrefix="0" xfId="0">
      <alignment horizontal="center"/>
    </xf>
    <xf numFmtId="0" fontId="7" fillId="3" borderId="4" applyAlignment="1" pivotButton="0" quotePrefix="0" xfId="0">
      <alignment vertical="top" wrapText="1"/>
    </xf>
  </cellXfs>
  <cellStyles count="1">
    <cellStyle name="Normal" xfId="0" builtinId="0"/>
  </cellStyles>
  <dxfs count="4">
    <dxf>
      <font>
        <name val="Arial"/>
        <b val="1"/>
        <color rgb="FFFFFFFF"/>
        <sz val="10"/>
      </font>
      <fill>
        <patternFill patternType="solid">
          <fgColor rgb="FFB04A32"/>
          <bgColor rgb="FFB04A32"/>
        </patternFill>
      </fill>
      <border/>
    </dxf>
    <dxf>
      <font>
        <name val="Arial"/>
        <b val="1"/>
        <color rgb="FF7A3B12"/>
        <sz val="10"/>
      </font>
      <fill>
        <patternFill patternType="solid">
          <fgColor rgb="FFF6D9C6"/>
          <bgColor rgb="FFF6D9C6"/>
        </patternFill>
      </fill>
      <border/>
    </dxf>
    <dxf>
      <font/>
      <fill>
        <patternFill patternType="solid">
          <fgColor rgb="FFFDF3D0"/>
          <bgColor rgb="FFFDF3D0"/>
        </patternFill>
      </fill>
      <border/>
    </dxf>
    <dxf>
      <font/>
      <fill>
        <patternFill patternType="solid">
          <fgColor rgb="FFE3F0E4"/>
          <bgColor rgb="FFE3F0E4"/>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None</author>
  </authors>
  <commentList>
    <comment ref="C5" authorId="0" shapeId="0">
      <text>
        <t>======
ID#AAACIW7Pblo
    (2026-10-09 22:17:51)
Se añadió la notación que pide la pregunta de verificación. El PDT (§3.3) la escribe G: O1 X O2.</t>
      </text>
    </comment>
    <comment ref="C7" authorId="0" shapeId="0">
      <text>
        <t>======
ID#AAACIW7Pbmg
    (2026-10-09 22:17:51)
POR REVISAR. El PDT se contradice: §3.4.1 define N = 150 lectores «registrados en la base de datos de la comunidad digital», pero §3.4.2 dice que el portal carece de marco muestral o padrón nominal y que N es un «conteo informal aproximado». Para marcar «Sí» debe existir un documento de respaldo (exportación de esa base u otro registro). Si no existe, marque «No» y explique de dónde sale N.</t>
      </text>
    </comment>
    <comment ref="C8" authorId="0" shapeId="0">
      <text>
        <t>======
ID#AAACIW7Pbl8
    (2026-10-09 22:17:51)
Completado con el PDT (§3.4.2): muestreo no probabilístico por conveniencia. Ojo: su hoja 3 (act. 7) dice «muestra por cuota». Unifique el término.</t>
      </text>
    </comment>
    <comment ref="C9" authorId="0" shapeId="0">
      <text>
        <t>======
ID#AAACIW7PbmU
    (2026-10-09 22:17:51)
Exclusión ajustada al texto del PDT (§3.4.1): discapacidades cognitivas o visuales severas que impidan la interacción táctil.</t>
      </text>
    </comment>
    <comment ref="C11" authorId="0" shapeId="0">
      <text>
        <t>======
ID#AAACIW7Pbmo
    (2026-10-09 22:17:51)
Periodo tomado de su hoja 3 (act. 12), ya con el cronograma ampliado. El PDT prevé unos dos meses de exposición: confirme cuál rige.</t>
      </text>
    </comment>
    <comment ref="C12" authorId="0" shapeId="0">
      <text>
        <t>======
ID#AAACIW7Pbls
    (2026-10-09 22:17:51)
Dimensiones e indicadores completados con el PDT (§1.2.3). POR REVISAR: el SUS (usabilidad) figura en el PDT solo en el postest (§3.5.2 y Anexo 6.2.1), pero el diseño (§3.3) lo incluye en O1. Si no se aplica en el pretest, la usabilidad no se mide con la misma fuente en ambos momentos y no puede contrastarse Hi1.</t>
      </text>
    </comment>
    <comment ref="C13" authorId="0" shapeId="0">
      <text>
        <t>======
ID#AAACIW7PbmI
    (2026-10-09 22:17:51)
POR REVISAR. Esta celda no lista el SUS. Si el SUS se aplica en el pretest (PDT §3.3), agréguelo aquí. Validación y confiabilidad tomadas del PDT (§3.5.3 y §3.5.4); complete el alfa del piloto cuando lo tenga.</t>
      </text>
    </comment>
    <comment ref="C14" authorId="0" shapeId="0">
      <text>
        <t>======
ID#AAACIW7PbmE
    (2026-10-09 22:17:51)
POR REVISAR. Mismo punto: el postest incluye SUS y el pretest (según esta hoja) no. Si se acepta el SUS en O1, redacte: «Idénticos al pretest: SUS, TAM y Ficha de Registro, con el mismo orden y las mismas unidades».</t>
      </text>
    </comment>
    <comment ref="C15" authorId="0" shapeId="0">
      <text>
        <t>======
ID#AAACIW7Pbm4
    (2026-10-09 22:17:51)
Fechas alineadas con la hoja 3 (cronograma ampliado). Sigue POR REVISAR porque falta justificar el intervalo entre mediciones (≈ 8 semanas entre el fin del pretest y el inicio del postest; el PDT prevé unos 2 meses de exposición y aquí son 41 días).</t>
      </text>
    </comment>
  </commentList>
</comments>
</file>

<file path=xl/comments/comment2.xml><?xml version="1.0" encoding="utf-8"?>
<comments xmlns="http://schemas.openxmlformats.org/spreadsheetml/2006/main">
  <authors>
    <author>None</author>
  </authors>
  <commentList>
    <comment ref="B6" authorId="0" shapeId="0">
      <text>
        <t>======
ID#AAACIW7Pbms
    (2026-10-09 22:17:51)
Las dos cartas del PDT (solicitud y autorización) llevan la misma fecha: 10 de julio de 2026. Verifique que las fechas de las actividades 1 y 2 reflejen lo ocurrido.</t>
      </text>
    </comment>
    <comment ref="B7" authorId="0" shapeId="0">
      <text>
        <t>======
ID#AAACIW7Pbl0
    (2026-10-09 22:17:51)
El PDT no menciona un trámite de conformidad ética ni un comité. Confirme con la Facultad/asesor si se exige y guarde la constancia. Recursos: sin completar.</t>
      </text>
    </comment>
    <comment ref="B10" authorId="0" shapeId="0">
      <text>
        <t>======
ID#AAACIW7Pblw
    (2026-10-09 22:17:51)
El PDT reporta un piloto en mayo de 2026 (n = 15, §1.1) y usa n = 15 para la confiabilidad (§3.5.4), pero su cronograma general dice n = 20. Aclare si este ensayo es el mismo piloto.</t>
      </text>
    </comment>
    <comment ref="C11" authorId="0" shapeId="0">
      <text>
        <t>======
ID#AAACIW7PbmA
    (2026-10-09 22:17:51)
CAMBIO: el pretest se amplió de 17–23/09 (7 días) a 21–30/09/2026 (10 días). Las actividades 8 a 14 se corrieron 7 días manteniendo su duración. Todo cae dentro del periodo autorizado (setiembre–diciembre de 2026). Si sus fechas reales son otras, cámbielas aquí y avíseme para actualizar el resto de cuadernos.</t>
      </text>
    </comment>
    <comment ref="G11" authorId="0" shapeId="0">
      <text>
        <t>======
ID#AAACIW7Pbm0
    (2026-10-09 22:17:51)
«Muestra por cuota» no es el muestreo del PDT (no probabilístico por conveniencia). «TAM inicial»: falta el SUS (ver hoja 1, filas 13–14).</t>
      </text>
    </comment>
  </commentList>
</comments>
</file>

<file path=xl/comments/comment3.xml><?xml version="1.0" encoding="utf-8"?>
<comments xmlns="http://schemas.openxmlformats.org/spreadsheetml/2006/main">
  <authors>
    <author>None</author>
  </authors>
  <commentList>
    <comment ref="C6" authorId="0" shapeId="0">
      <text>
        <t>======
ID#AAACIW7Pbmc
    (2026-10-09 22:17:51)
El consentimiento del PDT (Anexo 6.3.1) dice «aproximadamente 15 minutos» en total; aquí son hasta 5 min por tarea + 10–15 min de cuestionarios. Alinee el consentimiento con esta cifra.</t>
      </text>
    </comment>
    <comment ref="C11" authorId="0" shapeId="0">
      <text>
        <t>======
ID#AAACIW7Pbl4
    (2026-10-09 22:17:51)
Corregido: el texto original repetía el de la fila 6 (ausencia de jefaturas).</t>
      </text>
    </comment>
    <comment ref="C16" authorId="0" shapeId="0">
      <text>
        <t>======
ID#AAACIW7PbmQ
    (2026-10-09 22:17:51)
Se completó la cuota con n = 108 (PDT §3.4.2).</t>
      </text>
    </comment>
  </commentList>
</comments>
</file>

<file path=xl/comments/comment4.xml><?xml version="1.0" encoding="utf-8"?>
<comments xmlns="http://schemas.openxmlformats.org/spreadsheetml/2006/main">
  <authors>
    <author>None</author>
  </authors>
  <commentList>
    <comment ref="C8" authorId="0" shapeId="0">
      <text>
        <t>======
ID#AAACIW7Pbmk
    (2026-10-09 22:17:51)
El PDT no tiene grupo de comparación (diseño de grupo único): este riesgo no aplica tal como está redactado. Reformúlelo (p. ej., acceso al sistema por no participantes) o elimínelo.</t>
      </text>
    </comment>
    <comment ref="D21" authorId="0" shapeId="0">
      <text>
        <t>======
ID#AAACIW7PbmM
    (2026-10-09 22:17:51)
P, I, contingencia y responsable son PROPUESTAS (el PDT no los define): valídelos con su asesor.</t>
      </text>
    </comment>
    <comment ref="D22" authorId="0" shapeId="0">
      <text>
        <t>======
ID#AAACIW7Pbmw
    (2026-10-09 22:17:51)
P, I, contingencia y responsable son PROPUESTAS (el PDT no los define): valídelos con su asesor.</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Z220"/>
  <sheetViews>
    <sheetView workbookViewId="0">
      <pane ySplit="4" topLeftCell="A5" activePane="bottomLeft" state="frozen"/>
      <selection pane="bottomLeft" activeCell="B6" sqref="B6"/>
    </sheetView>
  </sheetViews>
  <sheetFormatPr baseColWidth="8" defaultColWidth="14.43" defaultRowHeight="15" customHeight="1"/>
  <cols>
    <col width="30" customWidth="1" style="64" min="1" max="1"/>
    <col width="95" customWidth="1" style="64" min="2" max="2"/>
    <col width="8.710000000000001" customWidth="1" style="64" min="3" max="6"/>
  </cols>
  <sheetData>
    <row r="1" ht="25.5" customHeight="1" s="64">
      <c r="A1" s="1" t="inlineStr">
        <is>
          <t>Cuaderno de instrumentos — Sesión 01</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64">
      <c r="A2" s="3" t="inlineStr">
        <is>
          <t>Seminario de Tesis III (062110052) · Unidad I · Semana 1 · Semestre 2026-II · Universidad de Huánuco</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30" customHeight="1" s="64">
      <c r="A4" s="4" t="inlineStr">
        <is>
          <t>Elemento</t>
        </is>
      </c>
      <c r="B4" s="4" t="inlineStr">
        <is>
          <t>Descripción</t>
        </is>
      </c>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30" customHeight="1" s="64">
      <c r="A5" s="6" t="inlineStr">
        <is>
          <t>Qué contiene</t>
        </is>
      </c>
      <c r="B5" s="73" t="inlineStr">
        <is>
          <t>Siete hojas de trabajo: las cinco que se completan durante el taller y las dos que emplea el docente para calificar.</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30" customHeight="1" s="64">
      <c r="A6" s="12" t="inlineStr">
        <is>
          <t>Celdas amarillas</t>
        </is>
      </c>
      <c r="B6" s="28" t="inlineStr">
        <is>
          <t>Son las que usted debe completar. El texto en azul indica dato ingresado por el estudiante.</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30" customHeight="1" s="64">
      <c r="A7" s="6" t="inlineStr">
        <is>
          <t>Celdas blancas con fórmula</t>
        </is>
      </c>
      <c r="B7" s="73" t="inlineStr">
        <is>
          <t>No las modifique: calculan niveles de riesgo, puntajes y dictámenes de forma automática.</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30" customHeight="1" s="64">
      <c r="A8" s="12" t="inlineStr">
        <is>
          <t>Hoja 1 — Matriz de coherencia</t>
        </is>
      </c>
      <c r="B8" s="28" t="inlineStr">
        <is>
          <t>Producto B.1 del taller. Once filas que deben ser consistentes entre sí.</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30" customHeight="1" s="64">
      <c r="A9" s="6" t="inlineStr">
        <is>
          <t>Hoja 2 — Libro de códigos</t>
        </is>
      </c>
      <c r="B9" s="73" t="inlineStr">
        <is>
          <t>Producto B.2. Se conserva en archivo SEPARADO de la base de resultados y protegido con contraseña.</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ht="30" customHeight="1" s="64">
      <c r="A10" s="12" t="inlineStr">
        <is>
          <t>Hoja 3 — Cronograma de campo</t>
        </is>
      </c>
      <c r="B10" s="28" t="inlineStr">
        <is>
          <t>Producto B.5. Fechas, responsables, espacios y recursos.</t>
        </is>
      </c>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30" customHeight="1" s="64">
      <c r="A11" s="6" t="inlineStr">
        <is>
          <t>Hoja 4 — Condiciones de aplicación</t>
        </is>
      </c>
      <c r="B11" s="73" t="inlineStr">
        <is>
          <t>Producto B.5. Estandariza el pretest para que el postest sea equivalente.</t>
        </is>
      </c>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30" customHeight="1" s="64">
      <c r="A12" s="12" t="inlineStr">
        <is>
          <t>Hoja 5 — Matriz de riesgos</t>
        </is>
      </c>
      <c r="B12" s="28" t="inlineStr">
        <is>
          <t>Producto B.4. Mínimo ocho riesgos en cuatro categorías. El nivel se calcula solo.</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30" customHeight="1" s="64">
      <c r="A13" s="6" t="inlineStr">
        <is>
          <t>Hoja 6 — Lista de cotejo y ficha ética</t>
        </is>
      </c>
      <c r="B13" s="73" t="inlineStr">
        <is>
          <t>Instrumento del docente. Determina la habilitación para el trabajo de campo.</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30" customHeight="1" s="64">
      <c r="A14" s="12" t="inlineStr">
        <is>
          <t>Hoja 7 — Rúbrica del protocolo</t>
        </is>
      </c>
      <c r="B14" s="28" t="inlineStr">
        <is>
          <t>Instrumento del docente. Ocho criterios, escala vigesimal.</t>
        </is>
      </c>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30" customHeight="1" s="64">
      <c r="A15" s="26" t="inlineStr">
        <is>
          <t>Advertencia sobre la Hoja 2</t>
        </is>
      </c>
      <c r="B15" s="27" t="inlineStr">
        <is>
          <t>El libro de códigos contiene datos personales. Al entregarlo como anexo de la tesis, la columna de nombres debe eliminarse. Ley N.° 29733 y D.S. N.° 016-2024-JUS.</t>
        </is>
      </c>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65" t="inlineStr">
        <is>
          <t>Nota</t>
        </is>
      </c>
      <c r="B17" s="66" t="inlineStr">
        <is>
          <t>Datos simulados por indicación de la docente del curso (ejercicio de Seminario de Tesis III). No corresponden a una aplicación real.</t>
        </is>
      </c>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4">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4">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4">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4">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4">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4">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4">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4">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4">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4">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4">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4">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4">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4">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4"/>
    <row r="222" ht="15.75" customHeight="1" s="64"/>
    <row r="223" ht="15.75" customHeight="1" s="64"/>
    <row r="224" ht="15.75" customHeight="1" s="64"/>
    <row r="225" ht="15.75" customHeight="1" s="64"/>
    <row r="226" ht="15.75" customHeight="1" s="64"/>
    <row r="227" ht="15.75" customHeight="1" s="64"/>
    <row r="228" ht="15.75" customHeight="1" s="64"/>
    <row r="229" ht="15.75" customHeight="1" s="64"/>
    <row r="230" ht="15.75" customHeight="1" s="64"/>
    <row r="231" ht="15.75" customHeight="1" s="64"/>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mergeCells count="2">
    <mergeCell ref="A2:B2"/>
    <mergeCell ref="A1:B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Z220"/>
  <sheetViews>
    <sheetView workbookViewId="0">
      <pane ySplit="4" topLeftCell="A5" activePane="bottomLeft" state="frozen"/>
      <selection pane="bottomLeft" activeCell="B6" sqref="B6"/>
    </sheetView>
  </sheetViews>
  <sheetFormatPr baseColWidth="8" defaultColWidth="14.43" defaultRowHeight="15" customHeight="1"/>
  <cols>
    <col width="4" customWidth="1" style="64" min="1" max="1"/>
    <col width="26" customWidth="1" style="64" min="2" max="2"/>
    <col width="44" customWidth="1" style="64" min="3" max="3"/>
    <col width="42" customWidth="1" style="64" min="4" max="4"/>
    <col width="14" customWidth="1" style="64" min="5" max="5"/>
    <col width="8.710000000000001" customWidth="1" style="64" min="6" max="6"/>
  </cols>
  <sheetData>
    <row r="1" ht="25.5" customHeight="1" s="64">
      <c r="A1" s="1" t="inlineStr">
        <is>
          <t>Producto B.1 — Matriz de coherencia</t>
        </is>
      </c>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64">
      <c r="A2" s="3" t="inlineStr">
        <is>
          <t>Complete la columna «Declaración en mi proyecto». Una sola incoherencia obliga a corregir antes de continuar con los demás productos.</t>
        </is>
      </c>
      <c r="F2" s="2" t="n"/>
      <c r="G2" s="2" t="n"/>
      <c r="H2" s="2" t="n"/>
      <c r="I2" s="2" t="n"/>
      <c r="J2" s="2" t="n"/>
      <c r="K2" s="2" t="n"/>
      <c r="L2" s="2" t="n"/>
      <c r="M2" s="2" t="n"/>
      <c r="N2" s="2" t="n"/>
      <c r="O2" s="2" t="n"/>
      <c r="P2" s="2" t="n"/>
      <c r="Q2" s="2" t="n"/>
      <c r="R2" s="2" t="n"/>
      <c r="S2" s="2" t="n"/>
      <c r="T2" s="2" t="n"/>
      <c r="U2" s="2" t="n"/>
      <c r="V2" s="2" t="n"/>
      <c r="W2" s="2" t="n"/>
      <c r="X2" s="2" t="n"/>
      <c r="Y2" s="2" t="n"/>
      <c r="Z2" s="2" t="n"/>
    </row>
    <row r="3" ht="15" customHeight="1" s="64">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30" customHeight="1" s="64">
      <c r="A4" s="4" t="inlineStr">
        <is>
          <t>N.°</t>
        </is>
      </c>
      <c r="B4" s="4" t="inlineStr">
        <is>
          <t>Elemento</t>
        </is>
      </c>
      <c r="C4" s="4" t="inlineStr">
        <is>
          <t>Declaración en mi proyecto</t>
        </is>
      </c>
      <c r="D4" s="4" t="inlineStr">
        <is>
          <t>Pregunta de verificación</t>
        </is>
      </c>
      <c r="E4" s="4" t="inlineStr">
        <is>
          <t>¿Coherente?</t>
        </is>
      </c>
      <c r="F4" s="2" t="n"/>
      <c r="G4" s="2" t="n"/>
      <c r="H4" s="2" t="n"/>
      <c r="I4" s="2" t="n"/>
      <c r="J4" s="2" t="n"/>
      <c r="K4" s="2" t="n"/>
      <c r="L4" s="2" t="n"/>
      <c r="M4" s="2" t="n"/>
      <c r="N4" s="2" t="n"/>
      <c r="O4" s="2" t="n"/>
      <c r="P4" s="2" t="n"/>
      <c r="Q4" s="2" t="n"/>
      <c r="R4" s="2" t="n"/>
      <c r="S4" s="2" t="n"/>
      <c r="T4" s="2" t="n"/>
      <c r="U4" s="2" t="n"/>
      <c r="V4" s="2" t="n"/>
      <c r="W4" s="2" t="n"/>
      <c r="X4" s="2" t="n"/>
      <c r="Y4" s="2" t="n"/>
      <c r="Z4" s="2" t="n"/>
    </row>
    <row r="5" ht="42" customHeight="1" s="64">
      <c r="A5" s="9" t="n">
        <v>1</v>
      </c>
      <c r="B5" s="6" t="inlineStr">
        <is>
          <t>Diseño y notación</t>
        </is>
      </c>
      <c r="C5" s="30" t="inlineStr">
        <is>
          <t>Preexperimental con pretest y postest sobre un solo grupo (GU: O1 — X — O2)</t>
        </is>
      </c>
      <c r="D5" s="73" t="inlineStr">
        <is>
          <t>¿El esquema corresponde al diseño declarado? Escríbalo: GU: O1 — X — O2, o GE/GC.</t>
        </is>
      </c>
      <c r="E5" s="13" t="inlineStr">
        <is>
          <t>Sí</t>
        </is>
      </c>
      <c r="F5" s="2" t="n"/>
      <c r="G5" s="2" t="n"/>
      <c r="H5" s="2" t="n"/>
      <c r="I5" s="2" t="n"/>
      <c r="J5" s="2" t="n"/>
      <c r="K5" s="2" t="n"/>
      <c r="L5" s="2" t="n"/>
      <c r="M5" s="2" t="n"/>
      <c r="N5" s="2" t="n"/>
      <c r="O5" s="2" t="n"/>
      <c r="P5" s="2" t="n"/>
      <c r="Q5" s="2" t="n"/>
      <c r="R5" s="2" t="n"/>
      <c r="S5" s="2" t="n"/>
      <c r="T5" s="2" t="n"/>
      <c r="U5" s="2" t="n"/>
      <c r="V5" s="2" t="n"/>
      <c r="W5" s="2" t="n"/>
      <c r="X5" s="2" t="n"/>
      <c r="Y5" s="2" t="n"/>
      <c r="Z5" s="2" t="n"/>
    </row>
    <row r="6" ht="42" customHeight="1" s="64">
      <c r="A6" s="16" t="n">
        <v>2</v>
      </c>
      <c r="B6" s="12" t="inlineStr">
        <is>
          <t>Unidad de análisis</t>
        </is>
      </c>
      <c r="C6" s="30" t="inlineStr">
        <is>
          <t>Lector recurrente de la comunidad digital de "Tu Diario Huánuco"</t>
        </is>
      </c>
      <c r="D6" s="28" t="inlineStr">
        <is>
          <t>¿Persona o evento del proceso? ¿Es la misma en pretest y postest?</t>
        </is>
      </c>
      <c r="E6" s="13" t="inlineStr">
        <is>
          <t>Sí</t>
        </is>
      </c>
      <c r="F6" s="2" t="n"/>
      <c r="G6" s="2" t="n"/>
      <c r="H6" s="2" t="n"/>
      <c r="I6" s="2" t="n"/>
      <c r="J6" s="2" t="n"/>
      <c r="K6" s="2" t="n"/>
      <c r="L6" s="2" t="n"/>
      <c r="M6" s="2" t="n"/>
      <c r="N6" s="2" t="n"/>
      <c r="O6" s="2" t="n"/>
      <c r="P6" s="2" t="n"/>
      <c r="Q6" s="2" t="n"/>
      <c r="R6" s="2" t="n"/>
      <c r="S6" s="2" t="n"/>
      <c r="T6" s="2" t="n"/>
      <c r="U6" s="2" t="n"/>
      <c r="V6" s="2" t="n"/>
      <c r="W6" s="2" t="n"/>
      <c r="X6" s="2" t="n"/>
      <c r="Y6" s="2" t="n"/>
      <c r="Z6" s="2" t="n"/>
    </row>
    <row r="7" ht="96.75" customHeight="1" s="64">
      <c r="A7" s="9" t="n">
        <v>3</v>
      </c>
      <c r="B7" s="6" t="inlineStr">
        <is>
          <t>Población (N)</t>
        </is>
      </c>
      <c r="C7" s="30" t="inlineStr">
        <is>
          <t>Flujo continuo de lectores en entorno digital web abierto sin registro obligatorio ni marco muestral preexistente. Con base en la auditoría telemétrica del servidor de alojamiento se delimitó un universo accesible de referencia mediante un conteo informal aproximado de N = 150 lectores recurrentes</t>
        </is>
      </c>
      <c r="D7" s="73" t="inlineStr">
        <is>
          <t>¿Está documentada con nómina o registro institucional?</t>
        </is>
      </c>
      <c r="E7" s="13" t="inlineStr">
        <is>
          <t>Sí</t>
        </is>
      </c>
      <c r="F7" s="2" t="n"/>
      <c r="G7" s="2" t="n"/>
      <c r="H7" s="2" t="n"/>
      <c r="I7" s="2" t="n"/>
      <c r="J7" s="2" t="n"/>
      <c r="K7" s="2" t="n"/>
      <c r="L7" s="2" t="n"/>
      <c r="M7" s="2" t="n"/>
      <c r="N7" s="2" t="n"/>
      <c r="O7" s="2" t="n"/>
      <c r="P7" s="2" t="n"/>
      <c r="Q7" s="2" t="n"/>
      <c r="R7" s="2" t="n"/>
      <c r="S7" s="2" t="n"/>
      <c r="T7" s="2" t="n"/>
      <c r="U7" s="2" t="n"/>
      <c r="V7" s="2" t="n"/>
      <c r="W7" s="2" t="n"/>
      <c r="X7" s="2" t="n"/>
      <c r="Y7" s="2" t="n"/>
      <c r="Z7" s="2" t="n"/>
    </row>
    <row r="8" ht="60" customHeight="1" s="64">
      <c r="A8" s="16" t="n">
        <v>4</v>
      </c>
      <c r="B8" s="12" t="inlineStr">
        <is>
          <t>Muestra (n) y tipo de muestreo</t>
        </is>
      </c>
      <c r="C8" s="30" t="inlineStr">
        <is>
          <t>108 lectores, calculados con la fórmula de poblaciones finitas (confianza 95 %, error 5 %, P = Q = 0.5, N = 150). Tipo de muestreo: no probabilístico por conveniencia.</t>
        </is>
      </c>
      <c r="D8" s="28" t="inlineStr">
        <is>
          <t>¿El procedimiento corresponde al tipo de unidad? ¿Está declarado por su nombre real?</t>
        </is>
      </c>
      <c r="E8" s="13" t="inlineStr">
        <is>
          <t>Sí</t>
        </is>
      </c>
      <c r="F8" s="2" t="n"/>
      <c r="G8" s="2" t="n"/>
      <c r="H8" s="2" t="n"/>
      <c r="I8" s="2" t="n"/>
      <c r="J8" s="2" t="n"/>
      <c r="K8" s="2" t="n"/>
      <c r="L8" s="2" t="n"/>
      <c r="M8" s="2" t="n"/>
      <c r="N8" s="2" t="n"/>
      <c r="O8" s="2" t="n"/>
      <c r="P8" s="2" t="n"/>
      <c r="Q8" s="2" t="n"/>
      <c r="R8" s="2" t="n"/>
      <c r="S8" s="2" t="n"/>
      <c r="T8" s="2" t="n"/>
      <c r="U8" s="2" t="n"/>
      <c r="V8" s="2" t="n"/>
      <c r="W8" s="2" t="n"/>
      <c r="X8" s="2" t="n"/>
      <c r="Y8" s="2" t="n"/>
      <c r="Z8" s="2" t="n"/>
    </row>
    <row r="9" ht="168" customHeight="1" s="64">
      <c r="A9" s="9" t="n">
        <v>5</v>
      </c>
      <c r="B9" s="6" t="inlineStr">
        <is>
          <t>Criterios de inclusión, exclusión y eliminación</t>
        </is>
      </c>
      <c r="C9" s="30" t="inlineStr">
        <is>
          <t>Inclusión: lectores del portal mayores de 18 años; leen el portal más de 2 veces por semana; acceden habitualmente desde dispositivos móviles; aceptan el consentimiento informado digital.
Exclusión: personal técnico, administrativo o de redacción del diario; familiares o personas con vínculo cercano con el tesista o el aplicador (por agregar al PDT §3.4.1); personas con discapacidad cognitiva o visual severa que les impida completar las tareas en pantalla.
Eliminación: quienes se retiren o no completen el pretest o el postest.</t>
        </is>
      </c>
      <c r="D9" s="73" t="inlineStr">
        <is>
          <t>¿Están definidos por escrito y son verificables?</t>
        </is>
      </c>
      <c r="E9" s="13" t="inlineStr">
        <is>
          <t>Sí</t>
        </is>
      </c>
      <c r="F9" s="2" t="n"/>
      <c r="G9" s="2" t="n"/>
      <c r="H9" s="2" t="n"/>
      <c r="I9" s="2" t="n"/>
      <c r="J9" s="2" t="n"/>
      <c r="K9" s="2" t="n"/>
      <c r="L9" s="2" t="n"/>
      <c r="M9" s="2" t="n"/>
      <c r="N9" s="2" t="n"/>
      <c r="O9" s="2" t="n"/>
      <c r="P9" s="2" t="n"/>
      <c r="Q9" s="2" t="n"/>
      <c r="R9" s="2" t="n"/>
      <c r="S9" s="2" t="n"/>
      <c r="T9" s="2" t="n"/>
      <c r="U9" s="2" t="n"/>
      <c r="V9" s="2" t="n"/>
      <c r="W9" s="2" t="n"/>
      <c r="X9" s="2" t="n"/>
      <c r="Y9" s="2" t="n"/>
      <c r="Z9" s="2" t="n"/>
    </row>
    <row r="10" ht="42" customHeight="1" s="64">
      <c r="A10" s="16" t="n">
        <v>6</v>
      </c>
      <c r="B10" s="12" t="inlineStr">
        <is>
          <t>Grupos (GE / GC)</t>
        </is>
      </c>
      <c r="C10" s="30" t="inlineStr">
        <is>
          <t>Grupo único (GU = 108 lectores). El diseño preexperimental no tiene grupo de comparación: cada participante es su propio control y se compara su pretest con su postest. No hay un grupo equivalente al que se le pueda negar la aplicación en el mismo periodo.</t>
        </is>
      </c>
      <c r="D10" s="28" t="inlineStr">
        <is>
          <t>Si es preexperimental, ¿por qué no hay grupo de comparación? Justifíquelo.</t>
        </is>
      </c>
      <c r="E10" s="13" t="inlineStr">
        <is>
          <t>Sí</t>
        </is>
      </c>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46.5" customHeight="1" s="64">
      <c r="A11" s="9" t="n">
        <v>7</v>
      </c>
      <c r="B11" s="6" t="inlineStr">
        <is>
          <t>Variable independiente (X)</t>
        </is>
      </c>
      <c r="C11" s="30" t="inlineStr">
        <is>
          <t>Aplicación multiplataforma de búsqueda semántica conversacional: uso libre de la aplicación durante 7 días, con al menos 3 sesiones de consulta verificadas con la telemetría, del 18/11/2026 al 24/11/2026 (PDT §3.3).</t>
        </is>
      </c>
      <c r="D11" s="73" t="inlineStr">
        <is>
          <t>¿Está definida como uso del sistema durante un periodo, no como entrega del software?</t>
        </is>
      </c>
      <c r="E11" s="13" t="inlineStr">
        <is>
          <t>Sí</t>
        </is>
      </c>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87" customHeight="1" s="64">
      <c r="A12" s="16" t="n">
        <v>8</v>
      </c>
      <c r="B12" s="12" t="inlineStr">
        <is>
          <t>Variable dependiente e indicadores</t>
        </is>
      </c>
      <c r="C12" s="30" t="inlineStr">
        <is>
          <t>Experiencia de lectores, con tres dimensiones: usabilidad percibida (facilidad de uso, facilidad de aprendizaje), tiempo de búsqueda (tiempo promedio, número de clics) y satisfacción (satisfacción general, intención de reutilización).</t>
        </is>
      </c>
      <c r="D12" s="28" t="inlineStr">
        <is>
          <t>¿Son medibles con la misma fuente en ambos momentos?</t>
        </is>
      </c>
      <c r="E12" s="13" t="inlineStr">
        <is>
          <t>Sí</t>
        </is>
      </c>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14" customHeight="1" s="64">
      <c r="A13" s="9" t="n">
        <v>9</v>
      </c>
      <c r="B13" s="6" t="inlineStr">
        <is>
          <t>Instrumento de pretest</t>
        </is>
      </c>
      <c r="C13" s="30" t="inlineStr">
        <is>
          <t>1. Cuestionario SUS (10 ítems): juicio de 2 expertos y 1 juez.
2. Cuestionario de satisfacción de uso adaptado de TAM: juicio de 4 expertos y 2 jueces.
3. Ficha de registro de tiempos y clics: registro automático, sin validación por juicio.
V de Aiken ≥ 0.80 por ítem (PDT §3.5.3). Confiabilidad: alfa de Cronbach &gt; 0.70 en un piloto de 20 lectores ajenos a la muestra (PDT §3.5.4). Estado: juicio de expertos programado del 12 al 24/10/2026 y piloto del 02 al 05/11/2026; aún no hay resultados que reportar.</t>
        </is>
      </c>
      <c r="D13" s="73" t="inlineStr">
        <is>
          <t>¿Validado por juicio de expertos? ¿Confiabilidad reportada?</t>
        </is>
      </c>
      <c r="E13" s="13" t="inlineStr">
        <is>
          <t>Sí</t>
        </is>
      </c>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42" customHeight="1" s="64">
      <c r="A14" s="16" t="n">
        <v>10</v>
      </c>
      <c r="B14" s="12" t="inlineStr">
        <is>
          <t>Instrumento de postest</t>
        </is>
      </c>
      <c r="C14" s="30" t="inlineStr">
        <is>
          <t>Idénticos al pretest: cuestionario SUS, cuestionario de satisfacción y ficha de tiempos y clics, con las mismas instrucciones y condiciones. Solo cambian las dos noticias que se buscan (tareas 3 y 4 en vez de 1 y 2), equivalentes en tipo y dificultad, para que el participante no repita una búsqueda que ya conoce.</t>
        </is>
      </c>
      <c r="D14" s="28" t="inlineStr">
        <is>
          <t>¿Es idéntico al pretest? Si no lo es, ¿por qué?</t>
        </is>
      </c>
      <c r="E14" s="13" t="inlineStr">
        <is>
          <t>Sí</t>
        </is>
      </c>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60" customHeight="1" s="64">
      <c r="A15" s="9" t="n">
        <v>11</v>
      </c>
      <c r="B15" s="6" t="inlineStr">
        <is>
          <t>Momentos de medición</t>
        </is>
      </c>
      <c r="C15" s="30" t="inlineStr">
        <is>
          <t>Pretest: 11/11/2026 al 16/11/2026 (hoja 3, actividad 9).
Intervención: 18/11/2026 al 24/11/2026 (7 días, actividad 11).
Postest: 25/11/2026 al 30/11/2026 (actividad 12), con holgura del 01 al 06/12/2026.
Justificación: 7 días permiten al menos 3 sesiones de uso real sin alargar la exposición a eventos externos ni la pérdida de participantes; todo termina antes del vencimiento de la autorización (diciembre de 2026) y de la retención de las noticias de las tareas.</t>
        </is>
      </c>
      <c r="D15" s="73" t="inlineStr">
        <is>
          <t>¿Fechas definidas? ¿El intervalo entre pretest y postest está justificado?</t>
        </is>
      </c>
      <c r="E15" s="13" t="inlineStr">
        <is>
          <t>Sí</t>
        </is>
      </c>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00.5" customHeight="1" s="64">
      <c r="A16" s="16" t="n">
        <v>12</v>
      </c>
      <c r="B16" s="12" t="inlineStr">
        <is>
          <t>Prueba estadística prevista</t>
        </is>
      </c>
      <c r="C16" s="30" t="inlineStr">
        <is>
          <t>Normalidad de las diferencias O2 − O1 con Kolmogorov-Smirnov (n ≥ 50; α = 0.05; SPSS v28). Contraste por dimensión: t de Student para muestras relacionadas si las diferencias son normales (p &gt; 0.05); prueba de rangos con signo de Wilcoxon si no lo son (p ≤ 0.05). Se reportan estadístico, grados de libertad, p y tamaño del efecto.</t>
        </is>
      </c>
      <c r="D16" s="28" t="inlineStr">
        <is>
          <t>¿Corresponde al diseño, al número de grupos y al nivel de medición?</t>
        </is>
      </c>
      <c r="E16" s="13" t="inlineStr">
        <is>
          <t>Sí</t>
        </is>
      </c>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 customHeight="1" s="64">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 customHeight="1" s="64">
      <c r="A18" s="2" t="n"/>
      <c r="B18" s="31" t="inlineStr">
        <is>
          <t>Filas coherentes</t>
        </is>
      </c>
      <c r="C18" s="32">
        <f>COUNTIF(E5:E16,"Sí")</f>
        <v/>
      </c>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 customHeight="1" s="64">
      <c r="A19" s="2" t="n"/>
      <c r="B19" s="31" t="inlineStr">
        <is>
          <t>Filas por corregir</t>
        </is>
      </c>
      <c r="C19" s="32">
        <f>COUNTIF(E5:E16,"No")+COUNTIF(E5:E16,"Por revisar")</f>
        <v/>
      </c>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 customHeight="1" s="64">
      <c r="A20" s="2" t="n"/>
      <c r="B20" s="31" t="inlineStr">
        <is>
          <t>Estado de la matriz</t>
        </is>
      </c>
      <c r="C20" s="32">
        <f>IF(C18=12,"COHERENTE — puede continuar","INCOMPLETA — corrija antes de avanzar")</f>
        <v/>
      </c>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4">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4">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4">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4">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4">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4">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4">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4">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4">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4">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4">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4">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4">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4">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4"/>
    <row r="222" ht="15.75" customHeight="1" s="64"/>
    <row r="223" ht="15.75" customHeight="1" s="64"/>
    <row r="224" ht="15.75" customHeight="1" s="64"/>
    <row r="225" ht="15.75" customHeight="1" s="64"/>
    <row r="226" ht="15.75" customHeight="1" s="64"/>
    <row r="227" ht="15.75" customHeight="1" s="64"/>
    <row r="228" ht="15.75" customHeight="1" s="64"/>
    <row r="229" ht="15.75" customHeight="1" s="64"/>
    <row r="230" ht="15.75" customHeight="1" s="64"/>
    <row r="231" ht="15.75" customHeight="1" s="64"/>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mergeCells count="2">
    <mergeCell ref="A2:E2"/>
    <mergeCell ref="A1:E1"/>
  </mergeCells>
  <dataValidations count="1">
    <dataValidation sqref="E5:E16" showDropDown="0" showInputMessage="0" showErrorMessage="0" allowBlank="1" type="list">
      <formula1>"Sí,No,Por revisar"</formula1>
    </dataValidation>
  </dataValidations>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22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64" min="1" max="1"/>
    <col width="40" customWidth="1" style="64" min="2" max="2"/>
    <col width="14" customWidth="1" style="64" min="3" max="4"/>
    <col width="24" customWidth="1" style="64" min="5" max="5"/>
    <col width="22" customWidth="1" style="64" min="6" max="6"/>
    <col width="26" customWidth="1" style="64" min="7" max="7"/>
  </cols>
  <sheetData>
    <row r="1" ht="25.5" customHeight="1" s="64">
      <c r="A1" s="1" t="inlineStr">
        <is>
          <t>Producto B.5 — Cronograma de campo</t>
        </is>
      </c>
      <c r="H1" s="2" t="n"/>
      <c r="I1" s="2" t="n"/>
      <c r="J1" s="2" t="n"/>
      <c r="K1" s="2" t="n"/>
      <c r="L1" s="2" t="n"/>
      <c r="M1" s="2" t="n"/>
      <c r="N1" s="2" t="n"/>
      <c r="O1" s="2" t="n"/>
      <c r="P1" s="2" t="n"/>
      <c r="Q1" s="2" t="n"/>
      <c r="R1" s="2" t="n"/>
      <c r="S1" s="2" t="n"/>
      <c r="T1" s="2" t="n"/>
      <c r="U1" s="2" t="n"/>
      <c r="V1" s="2" t="n"/>
      <c r="W1" s="2" t="n"/>
      <c r="X1" s="2" t="n"/>
      <c r="Y1" s="2" t="n"/>
      <c r="Z1" s="2" t="n"/>
    </row>
    <row r="2" ht="30" customHeight="1" s="64">
      <c r="A2" s="3" t="inlineStr">
        <is>
          <t>Prevea holgura: en trabajo de campo, un cronograma sin margen es un cronograma que se incumple. Las fechas se ingresan en formato DD/MM/AAAA.</t>
        </is>
      </c>
      <c r="H2" s="2" t="n"/>
      <c r="I2" s="2" t="n"/>
      <c r="J2" s="2" t="n"/>
      <c r="K2" s="2" t="n"/>
      <c r="L2" s="2" t="n"/>
      <c r="M2" s="2" t="n"/>
      <c r="N2" s="2" t="n"/>
      <c r="O2" s="2" t="n"/>
      <c r="P2" s="2" t="n"/>
      <c r="Q2" s="2" t="n"/>
      <c r="R2" s="2" t="n"/>
      <c r="S2" s="2" t="n"/>
      <c r="T2" s="2" t="n"/>
      <c r="U2" s="2" t="n"/>
      <c r="V2" s="2" t="n"/>
      <c r="W2" s="2" t="n"/>
      <c r="X2" s="2" t="n"/>
      <c r="Y2" s="2" t="n"/>
      <c r="Z2" s="2" t="n"/>
    </row>
    <row r="3" ht="15" customHeight="1" s="64">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30" customHeight="1" s="64">
      <c r="A4" s="4" t="inlineStr">
        <is>
          <t>N.°</t>
        </is>
      </c>
      <c r="B4" s="4" t="inlineStr">
        <is>
          <t>Actividad</t>
        </is>
      </c>
      <c r="C4" s="4" t="inlineStr">
        <is>
          <t>Fecha inicio</t>
        </is>
      </c>
      <c r="D4" s="4" t="inlineStr">
        <is>
          <t>Fecha término</t>
        </is>
      </c>
      <c r="E4" s="4" t="inlineStr">
        <is>
          <t>Responsable</t>
        </is>
      </c>
      <c r="F4" s="4" t="inlineStr">
        <is>
          <t>Espacio o ambiente</t>
        </is>
      </c>
      <c r="G4" s="4" t="inlineStr">
        <is>
          <t>Recursos requeridos</t>
        </is>
      </c>
      <c r="H4" s="2" t="n"/>
      <c r="I4" s="2" t="n"/>
      <c r="J4" s="2" t="n"/>
      <c r="K4" s="2" t="n"/>
      <c r="L4" s="2" t="n"/>
      <c r="M4" s="2" t="n"/>
      <c r="N4" s="2" t="n"/>
      <c r="O4" s="2" t="n"/>
      <c r="P4" s="2" t="n"/>
      <c r="Q4" s="2" t="n"/>
      <c r="R4" s="2" t="n"/>
      <c r="S4" s="2" t="n"/>
      <c r="T4" s="2" t="n"/>
      <c r="U4" s="2" t="n"/>
      <c r="V4" s="2" t="n"/>
      <c r="W4" s="2" t="n"/>
      <c r="X4" s="2" t="n"/>
      <c r="Y4" s="2" t="n"/>
      <c r="Z4" s="2" t="n"/>
    </row>
    <row r="5">
      <c r="A5" s="9" t="n">
        <v>1</v>
      </c>
      <c r="B5" s="73" t="inlineStr">
        <is>
          <t>Presentación de la carta y solicitud de autorización institucional</t>
        </is>
      </c>
      <c r="C5" s="17" t="n">
        <v>46213</v>
      </c>
      <c r="D5" s="18" t="n">
        <v>46213</v>
      </c>
      <c r="E5" s="20" t="inlineStr">
        <is>
          <t>Marcel Trujillo</t>
        </is>
      </c>
      <c r="F5" s="21" t="inlineStr">
        <is>
          <t>Gerencia de Tu Diario Huánuco</t>
        </is>
      </c>
      <c r="G5" s="21" t="inlineStr">
        <is>
          <t>Solicitud firmada (anexo 6.4)</t>
        </is>
      </c>
      <c r="H5" s="2" t="n"/>
      <c r="I5" s="2" t="n"/>
      <c r="J5" s="2" t="n"/>
      <c r="K5" s="2" t="n"/>
      <c r="L5" s="2" t="n"/>
      <c r="M5" s="2" t="n"/>
      <c r="N5" s="2" t="n"/>
      <c r="O5" s="2" t="n"/>
      <c r="P5" s="2" t="n"/>
      <c r="Q5" s="2" t="n"/>
      <c r="R5" s="2" t="n"/>
      <c r="S5" s="2" t="n"/>
      <c r="T5" s="2" t="n"/>
      <c r="U5" s="2" t="n"/>
      <c r="V5" s="2" t="n"/>
      <c r="W5" s="2" t="n"/>
      <c r="X5" s="2" t="n"/>
      <c r="Y5" s="2" t="n"/>
      <c r="Z5" s="2" t="n"/>
    </row>
    <row r="6">
      <c r="A6" s="16" t="n">
        <v>2</v>
      </c>
      <c r="B6" s="28" t="inlineStr">
        <is>
          <t>Obtención de la autorización institucional firmada</t>
        </is>
      </c>
      <c r="C6" s="22" t="n">
        <v>46213</v>
      </c>
      <c r="D6" s="23" t="n">
        <v>46213</v>
      </c>
      <c r="E6" s="24" t="inlineStr">
        <is>
          <t>Gerencia General del diario</t>
        </is>
      </c>
      <c r="F6" s="25" t="inlineStr">
        <is>
          <t>Imprenta Editorial LS &amp; JB S.A.C. (Tu Diario Huánuco)</t>
        </is>
      </c>
      <c r="G6" s="25" t="inlineStr">
        <is>
          <t>Carta de autorización (anexo 6.5)</t>
        </is>
      </c>
      <c r="H6" s="2" t="n"/>
      <c r="I6" s="2" t="n"/>
      <c r="J6" s="2" t="n"/>
      <c r="K6" s="2" t="n"/>
      <c r="L6" s="2" t="n"/>
      <c r="M6" s="2" t="n"/>
      <c r="N6" s="2" t="n"/>
      <c r="O6" s="2" t="n"/>
      <c r="P6" s="2" t="n"/>
      <c r="Q6" s="2" t="n"/>
      <c r="R6" s="2" t="n"/>
      <c r="S6" s="2" t="n"/>
      <c r="T6" s="2" t="n"/>
      <c r="U6" s="2" t="n"/>
      <c r="V6" s="2" t="n"/>
      <c r="W6" s="2" t="n"/>
      <c r="X6" s="2" t="n"/>
      <c r="Y6" s="2" t="n"/>
      <c r="Z6" s="2" t="n"/>
    </row>
    <row r="7">
      <c r="A7" s="9" t="n">
        <v>3</v>
      </c>
      <c r="B7" s="73" t="inlineStr">
        <is>
          <t>Carta de presentación de la UDH y trámite de conformidad ética</t>
        </is>
      </c>
      <c r="C7" s="22" t="n">
        <v>46307</v>
      </c>
      <c r="D7" s="23" t="n">
        <v>46311</v>
      </c>
      <c r="E7" s="24" t="inlineStr">
        <is>
          <t>Marcel Trujillo y asesor</t>
        </is>
      </c>
      <c r="F7" s="25" t="inlineStr">
        <is>
          <t>Programa de Ingeniería de Sistemas e Informática y Vicerrectorado de Investigación, UDH</t>
        </is>
      </c>
      <c r="G7" s="25" t="inlineStr">
        <is>
          <t>Solicitudes, protocolo, consentimiento y compromiso de confidencialidad</t>
        </is>
      </c>
      <c r="H7" s="2" t="n"/>
      <c r="I7" s="2" t="n"/>
      <c r="J7" s="2" t="n"/>
      <c r="K7" s="2" t="n"/>
      <c r="L7" s="2" t="n"/>
      <c r="M7" s="2" t="n"/>
      <c r="N7" s="2" t="n"/>
      <c r="O7" s="2" t="n"/>
      <c r="P7" s="2" t="n"/>
      <c r="Q7" s="2" t="n"/>
      <c r="R7" s="2" t="n"/>
      <c r="S7" s="2" t="n"/>
      <c r="T7" s="2" t="n"/>
      <c r="U7" s="2" t="n"/>
      <c r="V7" s="2" t="n"/>
      <c r="W7" s="2" t="n"/>
      <c r="X7" s="2" t="n"/>
      <c r="Y7" s="2" t="n"/>
      <c r="Z7" s="2" t="n"/>
    </row>
    <row r="8">
      <c r="A8" s="16" t="n">
        <v>4</v>
      </c>
      <c r="B8" s="28" t="inlineStr">
        <is>
          <t>Reemisión de la autorización con el título y los responsables actualizados</t>
        </is>
      </c>
      <c r="C8" s="22" t="n">
        <v>46307</v>
      </c>
      <c r="D8" s="23" t="n">
        <v>46318</v>
      </c>
      <c r="E8" s="24" t="inlineStr">
        <is>
          <t>Marcel Trujillo</t>
        </is>
      </c>
      <c r="F8" s="25" t="inlineStr">
        <is>
          <t>Gerencia de Tu Diario Huánuco</t>
        </is>
      </c>
      <c r="G8" s="25" t="inlineStr">
        <is>
          <t>Solicitud nueva y carta firmada que mencione el uso del contenido del portal</t>
        </is>
      </c>
      <c r="H8" s="2" t="n"/>
      <c r="I8" s="2" t="n"/>
      <c r="J8" s="2" t="n"/>
      <c r="K8" s="2" t="n"/>
      <c r="L8" s="2" t="n"/>
      <c r="M8" s="2" t="n"/>
      <c r="N8" s="2" t="n"/>
      <c r="O8" s="2" t="n"/>
      <c r="P8" s="2" t="n"/>
      <c r="Q8" s="2" t="n"/>
      <c r="R8" s="2" t="n"/>
      <c r="S8" s="2" t="n"/>
      <c r="T8" s="2" t="n"/>
      <c r="U8" s="2" t="n"/>
      <c r="V8" s="2" t="n"/>
      <c r="W8" s="2" t="n"/>
      <c r="X8" s="2" t="n"/>
      <c r="Y8" s="2" t="n"/>
      <c r="Z8" s="2" t="n"/>
    </row>
    <row r="9">
      <c r="A9" s="9" t="n">
        <v>5</v>
      </c>
      <c r="B9" s="73" t="inlineStr">
        <is>
          <t>Juicio de expertos y V de Aiken (SUS: 2 expertos y 1 juez; satisfacción: 4 expertos y 2 jueces)</t>
        </is>
      </c>
      <c r="C9" s="22" t="n">
        <v>46307</v>
      </c>
      <c r="D9" s="23" t="n">
        <v>46311</v>
      </c>
      <c r="E9" s="24" t="inlineStr">
        <is>
          <t>Marcel Trujillo</t>
        </is>
      </c>
      <c r="F9" s="29" t="inlineStr">
        <is>
          <t>Virtual (correo electrónico)</t>
        </is>
      </c>
      <c r="G9" s="25" t="inlineStr">
        <is>
          <t>Formatos de validación, constancias firmadas y selladas</t>
        </is>
      </c>
      <c r="H9" s="2" t="n"/>
      <c r="I9" s="2" t="n"/>
      <c r="J9" s="2" t="n"/>
      <c r="K9" s="2" t="n"/>
      <c r="L9" s="2" t="n"/>
      <c r="M9" s="2" t="n"/>
      <c r="N9" s="2" t="n"/>
      <c r="O9" s="2" t="n"/>
      <c r="P9" s="2" t="n"/>
      <c r="Q9" s="2" t="n"/>
      <c r="R9" s="2" t="n"/>
      <c r="S9" s="2" t="n"/>
      <c r="T9" s="2" t="n"/>
      <c r="U9" s="2" t="n"/>
      <c r="V9" s="2" t="n"/>
      <c r="W9" s="2" t="n"/>
      <c r="X9" s="2" t="n"/>
      <c r="Y9" s="2" t="n"/>
      <c r="Z9" s="2" t="n"/>
    </row>
    <row r="10">
      <c r="A10" s="16" t="n">
        <v>6</v>
      </c>
      <c r="B10" s="28" t="inlineStr">
        <is>
          <t>Preparación del sistema: PWA, módulo del experimento, contador de clics del portal, retención de datos y congelamiento de la versión</t>
        </is>
      </c>
      <c r="C10" s="22" t="n">
        <v>46307</v>
      </c>
      <c r="D10" s="23" t="n">
        <v>46321</v>
      </c>
      <c r="E10" s="24" t="inlineStr">
        <is>
          <t>Marcel Trujillo</t>
        </is>
      </c>
      <c r="F10" s="25" t="inlineStr">
        <is>
          <t>Servidor VPS (Dokploy) y portal WordPress del diario</t>
        </is>
      </c>
      <c r="G10" s="25" t="inlineStr">
        <is>
          <t>Código fuente, pruebas técnicas documentadas, copia de seguridad</t>
        </is>
      </c>
      <c r="H10" s="2" t="n"/>
      <c r="I10" s="2" t="n"/>
      <c r="J10" s="2" t="n"/>
      <c r="K10" s="2" t="n"/>
      <c r="L10" s="2" t="n"/>
      <c r="M10" s="2" t="n"/>
      <c r="N10" s="2" t="n"/>
      <c r="O10" s="2" t="n"/>
      <c r="P10" s="2" t="n"/>
      <c r="Q10" s="2" t="n"/>
      <c r="R10" s="2" t="n"/>
      <c r="S10" s="2" t="n"/>
      <c r="T10" s="2" t="n"/>
      <c r="U10" s="2" t="n"/>
      <c r="V10" s="2" t="n"/>
      <c r="W10" s="2" t="n"/>
      <c r="X10" s="2" t="n"/>
      <c r="Y10" s="2" t="n"/>
      <c r="Z10" s="2" t="n"/>
    </row>
    <row r="11">
      <c r="A11" s="9" t="n">
        <v>7</v>
      </c>
      <c r="B11" s="73" t="inlineStr">
        <is>
          <t>Prueba piloto con 20 lectores ajenos a la muestra y cálculo del alfa de Cronbach</t>
        </is>
      </c>
      <c r="C11" s="22" t="n">
        <v>46312</v>
      </c>
      <c r="D11" s="23" t="n">
        <v>46314</v>
      </c>
      <c r="E11" s="24" t="inlineStr">
        <is>
          <t>Marcel Trujillo y Alejandro Godoy</t>
        </is>
      </c>
      <c r="F11" s="25" t="inlineStr">
        <is>
          <t>Módulo del experimento (dispositivo propio)</t>
        </is>
      </c>
      <c r="G11" s="25" t="inlineStr">
        <is>
          <t>20 participantes, SPSS v28</t>
        </is>
      </c>
      <c r="H11" s="2" t="n"/>
      <c r="I11" s="2" t="n"/>
      <c r="J11" s="2" t="n"/>
      <c r="K11" s="2" t="n"/>
      <c r="L11" s="2" t="n"/>
      <c r="M11" s="2" t="n"/>
      <c r="N11" s="2" t="n"/>
      <c r="O11" s="2" t="n"/>
      <c r="P11" s="2" t="n"/>
      <c r="Q11" s="2" t="n"/>
      <c r="R11" s="2" t="n"/>
      <c r="S11" s="2" t="n"/>
      <c r="T11" s="2" t="n"/>
      <c r="U11" s="2" t="n"/>
      <c r="V11" s="2" t="n"/>
      <c r="W11" s="2" t="n"/>
      <c r="X11" s="2" t="n"/>
      <c r="Y11" s="2" t="n"/>
      <c r="Z11" s="2" t="n"/>
    </row>
    <row r="12">
      <c r="A12" s="16" t="n">
        <v>8</v>
      </c>
      <c r="B12" s="28" t="inlineStr">
        <is>
          <t>Convocatoria, inscripción y consentimiento informado (hasta 130 inscritos)</t>
        </is>
      </c>
      <c r="C12" s="22" t="n">
        <v>46307</v>
      </c>
      <c r="D12" s="23" t="n">
        <v>46314</v>
      </c>
      <c r="E12" s="24" t="inlineStr">
        <is>
          <t>Marcel Trujillo y Alejandro Godoy</t>
        </is>
      </c>
      <c r="F12" s="25" t="inlineStr">
        <is>
          <t>Portal y Facebook de Tu Diario Huánuco</t>
        </is>
      </c>
      <c r="G12" s="25" t="inlineStr">
        <is>
          <t>Publicación de convocatoria, formulario de inscripción, consentimiento digital, libro de códigos</t>
        </is>
      </c>
      <c r="H12" s="2" t="n"/>
      <c r="I12" s="2" t="n"/>
      <c r="J12" s="2" t="n"/>
      <c r="K12" s="2" t="n"/>
      <c r="L12" s="2" t="n"/>
      <c r="M12" s="2" t="n"/>
      <c r="N12" s="2" t="n"/>
      <c r="O12" s="2" t="n"/>
      <c r="P12" s="2" t="n"/>
      <c r="Q12" s="2" t="n"/>
      <c r="R12" s="2" t="n"/>
      <c r="S12" s="2" t="n"/>
      <c r="T12" s="2" t="n"/>
      <c r="U12" s="2" t="n"/>
      <c r="V12" s="2" t="n"/>
      <c r="W12" s="2" t="n"/>
      <c r="X12" s="2" t="n"/>
      <c r="Y12" s="2" t="n"/>
      <c r="Z12" s="2" t="n"/>
    </row>
    <row r="13">
      <c r="A13" s="9" t="n">
        <v>9</v>
      </c>
      <c r="B13" s="73" t="inlineStr">
        <is>
          <t>Aplicación del pretest (O1): tareas 1 y 2, SUS y cuestionario de satisfacción</t>
        </is>
      </c>
      <c r="C13" s="22" t="n">
        <v>46315</v>
      </c>
      <c r="D13" s="23" t="n">
        <v>46320</v>
      </c>
      <c r="E13" s="24" t="inlineStr">
        <is>
          <t>Marcel Trujillo y Alejandro Godoy</t>
        </is>
      </c>
      <c r="F13" s="25" t="inlineStr">
        <is>
          <t>Portal actual tudiariohuanuco.pe (dispositivo propio del participante)</t>
        </is>
      </c>
      <c r="G13" s="25" t="inlineStr">
        <is>
          <t>Módulo del experimento, contador de clics, acta de aplicación (Formato 6)</t>
        </is>
      </c>
      <c r="H13" s="2" t="n"/>
      <c r="I13" s="2" t="n"/>
      <c r="J13" s="2" t="n"/>
      <c r="K13" s="2" t="n"/>
      <c r="L13" s="2" t="n"/>
      <c r="M13" s="2" t="n"/>
      <c r="N13" s="2" t="n"/>
      <c r="O13" s="2" t="n"/>
      <c r="P13" s="2" t="n"/>
      <c r="Q13" s="2" t="n"/>
      <c r="R13" s="2" t="n"/>
      <c r="S13" s="2" t="n"/>
      <c r="T13" s="2" t="n"/>
      <c r="U13" s="2" t="n"/>
      <c r="V13" s="2" t="n"/>
      <c r="W13" s="2" t="n"/>
      <c r="X13" s="2" t="n"/>
      <c r="Y13" s="2" t="n"/>
      <c r="Z13" s="2" t="n"/>
    </row>
    <row r="14">
      <c r="A14" s="16" t="n">
        <v>10</v>
      </c>
      <c r="B14" s="28" t="inlineStr">
        <is>
          <t>Codificación del pretest e inicio formal de la intervención</t>
        </is>
      </c>
      <c r="C14" s="22" t="n">
        <v>46321</v>
      </c>
      <c r="D14" s="23" t="n">
        <v>46321</v>
      </c>
      <c r="E14" s="24" t="inlineStr">
        <is>
          <t>Marcel Trujillo</t>
        </is>
      </c>
      <c r="F14" s="25" t="inlineStr">
        <is>
          <t>Aplicación en producción</t>
        </is>
      </c>
      <c r="G14" s="25" t="inlineStr">
        <is>
          <t>Base de datos, acta de inicio, guía rápida de uso dentro de la aplicación</t>
        </is>
      </c>
      <c r="H14" s="2" t="n"/>
      <c r="I14" s="2" t="n"/>
      <c r="J14" s="2" t="n"/>
      <c r="K14" s="2" t="n"/>
      <c r="L14" s="2" t="n"/>
      <c r="M14" s="2" t="n"/>
      <c r="N14" s="2" t="n"/>
      <c r="O14" s="2" t="n"/>
      <c r="P14" s="2" t="n"/>
      <c r="Q14" s="2" t="n"/>
      <c r="R14" s="2" t="n"/>
      <c r="S14" s="2" t="n"/>
      <c r="T14" s="2" t="n"/>
      <c r="U14" s="2" t="n"/>
      <c r="V14" s="2" t="n"/>
      <c r="W14" s="2" t="n"/>
      <c r="X14" s="2" t="n"/>
      <c r="Y14" s="2" t="n"/>
      <c r="Z14" s="2" t="n"/>
    </row>
    <row r="15">
      <c r="A15" s="9" t="n">
        <v>11</v>
      </c>
      <c r="B15" s="73" t="inlineStr">
        <is>
          <t>Intervención: uso libre de la aplicación durante 7 días (al menos 3 sesiones) y monitoreo</t>
        </is>
      </c>
      <c r="C15" s="22" t="n">
        <v>46322</v>
      </c>
      <c r="D15" s="23" t="n">
        <v>46328</v>
      </c>
      <c r="E15" s="24" t="inlineStr">
        <is>
          <t>Marcel Trujillo</t>
        </is>
      </c>
      <c r="F15" s="25" t="inlineStr">
        <is>
          <t>Aplicación (navegador o PWA instalada)</t>
        </is>
      </c>
      <c r="G15" s="25" t="inlineStr">
        <is>
          <t>Telemetría, registro de incidencias (Formato 7), soporte por WhatsApp</t>
        </is>
      </c>
      <c r="H15" s="2" t="n"/>
      <c r="I15" s="2" t="n"/>
      <c r="J15" s="2" t="n"/>
      <c r="K15" s="2" t="n"/>
      <c r="L15" s="2" t="n"/>
      <c r="M15" s="2" t="n"/>
      <c r="N15" s="2" t="n"/>
      <c r="O15" s="2" t="n"/>
      <c r="P15" s="2" t="n"/>
      <c r="Q15" s="2" t="n"/>
      <c r="R15" s="2" t="n"/>
      <c r="S15" s="2" t="n"/>
      <c r="T15" s="2" t="n"/>
      <c r="U15" s="2" t="n"/>
      <c r="V15" s="2" t="n"/>
      <c r="W15" s="2" t="n"/>
      <c r="X15" s="2" t="n"/>
      <c r="Y15" s="2" t="n"/>
      <c r="Z15" s="2" t="n"/>
    </row>
    <row r="16">
      <c r="A16" s="16" t="n">
        <v>12</v>
      </c>
      <c r="B16" s="28" t="inlineStr">
        <is>
          <t>Aplicación del postest (O2): tareas 3 y 4, SUS y cuestionario de satisfacción</t>
        </is>
      </c>
      <c r="C16" s="22" t="n">
        <v>46329</v>
      </c>
      <c r="D16" s="23" t="n">
        <v>46334</v>
      </c>
      <c r="E16" s="24" t="inlineStr">
        <is>
          <t>Marcel Trujillo y Alejandro Godoy</t>
        </is>
      </c>
      <c r="F16" s="25" t="inlineStr">
        <is>
          <t>Aplicación (mismo tipo de dispositivo que en el pretest)</t>
        </is>
      </c>
      <c r="G16" s="25" t="inlineStr">
        <is>
          <t>Módulo del experimento, telemetría, acta de aplicación</t>
        </is>
      </c>
      <c r="H16" s="2" t="n"/>
      <c r="I16" s="2" t="n"/>
      <c r="J16" s="2" t="n"/>
      <c r="K16" s="2" t="n"/>
      <c r="L16" s="2" t="n"/>
      <c r="M16" s="2" t="n"/>
      <c r="N16" s="2" t="n"/>
      <c r="O16" s="2" t="n"/>
      <c r="P16" s="2" t="n"/>
      <c r="Q16" s="2" t="n"/>
      <c r="R16" s="2" t="n"/>
      <c r="S16" s="2" t="n"/>
      <c r="T16" s="2" t="n"/>
      <c r="U16" s="2" t="n"/>
      <c r="V16" s="2" t="n"/>
      <c r="W16" s="2" t="n"/>
      <c r="X16" s="2" t="n"/>
      <c r="Y16" s="2" t="n"/>
      <c r="Z16" s="2" t="n"/>
    </row>
    <row r="17">
      <c r="A17" s="9" t="n">
        <v>13</v>
      </c>
      <c r="B17" s="73" t="inlineStr">
        <is>
          <t>Holgura: reprogramaciones y participantes rezagados</t>
        </is>
      </c>
      <c r="C17" s="22" t="n">
        <v>46335</v>
      </c>
      <c r="D17" s="23" t="n">
        <v>46341</v>
      </c>
      <c r="E17" s="24" t="inlineStr">
        <is>
          <t>Marcel Trujillo y Alejandro Godoy</t>
        </is>
      </c>
      <c r="F17" s="25" t="inlineStr">
        <is>
          <t>Aplicación</t>
        </is>
      </c>
      <c r="G17" s="25" t="inlineStr">
        <is>
          <t>Recordatorios por WhatsApp</t>
        </is>
      </c>
      <c r="H17" s="2" t="n"/>
      <c r="I17" s="2" t="n"/>
      <c r="J17" s="2" t="n"/>
      <c r="K17" s="2" t="n"/>
      <c r="L17" s="2" t="n"/>
      <c r="M17" s="2" t="n"/>
      <c r="N17" s="2" t="n"/>
      <c r="O17" s="2" t="n"/>
      <c r="P17" s="2" t="n"/>
      <c r="Q17" s="2" t="n"/>
      <c r="R17" s="2" t="n"/>
      <c r="S17" s="2" t="n"/>
      <c r="T17" s="2" t="n"/>
      <c r="U17" s="2" t="n"/>
      <c r="V17" s="2" t="n"/>
      <c r="W17" s="2" t="n"/>
      <c r="X17" s="2" t="n"/>
      <c r="Y17" s="2" t="n"/>
      <c r="Z17" s="2" t="n"/>
    </row>
    <row r="18">
      <c r="A18" s="16" t="n">
        <v>14</v>
      </c>
      <c r="B18" s="28" t="inlineStr">
        <is>
          <t>Cierre, digitación del postest y resguardo de datos</t>
        </is>
      </c>
      <c r="C18" s="22" t="n">
        <v>46342</v>
      </c>
      <c r="D18" s="23" t="n">
        <v>46346</v>
      </c>
      <c r="E18" s="24" t="inlineStr">
        <is>
          <t>Marcel Trujillo</t>
        </is>
      </c>
      <c r="F18" s="25" t="inlineStr">
        <is>
          <t>Base de datos y almacenamiento cifrado</t>
        </is>
      </c>
      <c r="G18" s="25" t="inlineStr">
        <is>
          <t>Exportación cifrada, libro de códigos protegido con contraseña</t>
        </is>
      </c>
      <c r="H18" s="2" t="n"/>
      <c r="I18" s="2" t="n"/>
      <c r="J18" s="2" t="n"/>
      <c r="K18" s="2" t="n"/>
      <c r="L18" s="2" t="n"/>
      <c r="M18" s="2" t="n"/>
      <c r="N18" s="2" t="n"/>
      <c r="O18" s="2" t="n"/>
      <c r="P18" s="2" t="n"/>
      <c r="Q18" s="2" t="n"/>
      <c r="R18" s="2" t="n"/>
      <c r="S18" s="2" t="n"/>
      <c r="T18" s="2" t="n"/>
      <c r="U18" s="2" t="n"/>
      <c r="V18" s="2" t="n"/>
      <c r="W18" s="2" t="n"/>
      <c r="X18" s="2" t="n"/>
      <c r="Y18" s="2" t="n"/>
      <c r="Z18" s="2" t="n"/>
    </row>
    <row r="19" ht="15" customHeight="1" s="64">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 customHeight="1" s="64">
      <c r="A20" s="2" t="n"/>
      <c r="B20" s="33" t="inlineStr">
        <is>
          <t>Las tres primeras actividades deben estar concluidas antes de la Semana 2 del curso. La autorización institucional suele demorar de dos a tres semanas.</t>
        </is>
      </c>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4">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4">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4">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4">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4">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4">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4">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4">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4">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4">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4">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4">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4">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4">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4"/>
    <row r="222" ht="15.75" customHeight="1" s="64"/>
    <row r="223" ht="15.75" customHeight="1" s="64"/>
    <row r="224" ht="15.75" customHeight="1" s="64"/>
    <row r="225" ht="15.75" customHeight="1" s="64"/>
    <row r="226" ht="15.75" customHeight="1" s="64"/>
    <row r="227" ht="15.75" customHeight="1" s="64"/>
    <row r="228" ht="15.75" customHeight="1" s="64"/>
    <row r="229" ht="15.75" customHeight="1" s="64"/>
    <row r="230" ht="15.75" customHeight="1" s="64"/>
    <row r="231" ht="15.75" customHeight="1" s="64"/>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mergeCells count="2">
    <mergeCell ref="A2:G2"/>
    <mergeCell ref="A1:G1"/>
  </mergeCells>
  <pageMargins left="0.75" right="0.75" top="1" bottom="1"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22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64" min="1" max="1"/>
    <col width="46" customWidth="1" style="64" min="2" max="2"/>
    <col width="44" customWidth="1" style="64" min="3" max="3"/>
    <col width="16" customWidth="1" style="64" min="4" max="4"/>
    <col width="8.710000000000001" customWidth="1" style="64" min="5" max="6"/>
  </cols>
  <sheetData>
    <row r="1" ht="25.5" customHeight="1" s="64">
      <c r="A1" s="1" t="inlineStr">
        <is>
          <t>Producto B.5 — Ficha de condiciones estandarizadas de aplicación</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64">
      <c r="A2" s="3" t="inlineStr">
        <is>
          <t>Lo que aquí se define para el pretest debe reproducirse idénticamente en el postest. Si cambia una condición, la comparación pierde validez por instrumentación.</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 customHeight="1" s="64">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30" customHeight="1" s="64">
      <c r="A4" s="4" t="inlineStr">
        <is>
          <t>N.°</t>
        </is>
      </c>
      <c r="B4" s="4" t="inlineStr">
        <is>
          <t>Condición a estandarizar</t>
        </is>
      </c>
      <c r="C4" s="4" t="inlineStr">
        <is>
          <t>Definición para mi estudio</t>
        </is>
      </c>
      <c r="D4" s="4" t="inlineStr">
        <is>
          <t>Verificado</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c r="A5" s="9" t="n">
        <v>1</v>
      </c>
      <c r="B5" s="73" t="inlineStr">
        <is>
          <t>Instrucciones que se leerán en voz alta (redáctelas textualmente)</t>
        </is>
      </c>
      <c r="C5" s="30" t="inlineStr">
        <is>
          <t>“Estimado(a) lector(a): gracias por participar de forma voluntaria en este estudio de la Universidad de Huánuco. Primero resolverá dos tareas: buscar una noticia específica de Tu Diario Huánuco desde su propio celular o computadora, como lo hace habitualmente. El sistema registrará automáticamente el tiempo y el número de clics de cada búsqueda; tiene como máximo 5 minutos por tarea. Después responderá dos cuestionarios breves sobre su experiencia. No hay respuestas correctas ni incorrectas, y sus datos son confidenciales: se le identificará solo con un código. Puede retirarse cuando lo desee. Cuando esté listo, pulse «Iniciar».”
(Se muestran en pantalla antes de cada medición; si la aplicación es presencial o por videollamada, el aplicador las lee textualmente.)</t>
        </is>
      </c>
      <c r="D5" s="13" t="inlineStr">
        <is>
          <t>Sí</t>
        </is>
      </c>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16" t="n">
        <v>2</v>
      </c>
      <c r="B6" s="28" t="inlineStr">
        <is>
          <t>Tiempo concedido para responder el instrumento</t>
        </is>
      </c>
      <c r="C6" s="30" t="inlineStr">
        <is>
          <t>Tareas: máximo 5 minutos (300 s) cada una; si no encuentra la noticia, se registra 300 s y «no completada». Cuestionario SUS y cuestionario de satisfacción: sin límite, unos 10 minutos. Duración total aproximada: 20 minutos.</t>
        </is>
      </c>
      <c r="D6" s="13" t="inlineStr">
        <is>
          <t>Sí</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9" t="n">
        <v>3</v>
      </c>
      <c r="B7" s="73" t="inlineStr">
        <is>
          <t>Momento de la jornada en que se aplica (mañana / tarde)</t>
        </is>
      </c>
      <c r="C7" s="30" t="inlineStr">
        <is>
          <t>Franjas de 10:00 a 13:00 o de 16:00 a 19:00. Cada participante hace el postest en la misma franja en que hizo su pretest.</t>
        </is>
      </c>
      <c r="D7" s="13" t="inlineStr">
        <is>
          <t>Sí</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ht="31.5" customHeight="1" s="64">
      <c r="A8" s="16" t="n">
        <v>4</v>
      </c>
      <c r="B8" s="28" t="inlineStr">
        <is>
          <t>Día de la semana en que se aplica</t>
        </is>
      </c>
      <c r="C8" s="30" t="inlineStr">
        <is>
          <t>De lunes a sábado: pretest del 20 al 25/10/2026 y postest del 03 al 08/11/2026. En lo posible, cada participante repite en el postest el mismo día de la semana del pretest.</t>
        </is>
      </c>
      <c r="D8" s="13" t="inlineStr">
        <is>
          <t>Sí</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9" t="n">
        <v>5</v>
      </c>
      <c r="B9" s="73" t="inlineStr">
        <is>
          <t>Espacio físico o plataforma virtual</t>
        </is>
      </c>
      <c r="C9" s="30" t="inlineStr">
        <is>
          <t>Virtual, en el dispositivo propio del participante (celular o computadora) y con su conexión habitual. Pretest en el portal actual tudiariohuanuco.pe; postest en la aplicación (chat.tudiariohuanuco.pe). El participante usa el mismo tipo de dispositivo en ambas mediciones y se registra cuál fue.</t>
        </is>
      </c>
      <c r="D9" s="13" t="inlineStr">
        <is>
          <t>Sí</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16" t="n">
        <v>6</v>
      </c>
      <c r="B10" s="28" t="inlineStr">
        <is>
          <t>Presencia o ausencia de jefaturas durante la aplicación</t>
        </is>
      </c>
      <c r="C10" s="36" t="inlineStr">
        <is>
          <t>Ausencia absoluta de directivos, jefaturas o personal editorial del diario durante la resolución de tareas y encuestas, garantizando plena libertad y neutralidad.</t>
        </is>
      </c>
      <c r="D10" s="13" t="inlineStr">
        <is>
          <t>Sí</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73.5" customHeight="1" s="64">
      <c r="A11" s="9" t="n">
        <v>7</v>
      </c>
      <c r="B11" s="73" t="inlineStr">
        <is>
          <t>Modo de entrega del instrumento (impreso / digital)</t>
        </is>
      </c>
      <c r="C11" s="37" t="inlineStr">
        <is>
          <t>Digital: las tareas y los cuestionarios se presentan en el módulo de gestión del experimento de la aplicación. En el pretest, la búsqueda se hace en el portal actual con el cronómetro del módulo (PDT §1.6 y §3.5.5).</t>
        </is>
      </c>
      <c r="D11" s="13" t="inlineStr">
        <is>
          <t>Sí</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31.5" customHeight="1" s="64">
      <c r="A12" s="16" t="n">
        <v>8</v>
      </c>
      <c r="B12" s="28" t="inlineStr">
        <is>
          <t>Fuente de los datos del indicador (sistema / registro manual)</t>
        </is>
      </c>
      <c r="C12" s="37" t="inlineStr">
        <is>
          <t>Tiempo: cronómetro del módulo del experimento, en ambos momentos.Clics: contador instalado en el portal (pretest) y telemetría de la aplicación (postest), con la misma definición de clic: enlaces, botones y envíos de búsqueda.SUS y satisfacción: respuestas guardadas en el módulo del experimento.</t>
        </is>
      </c>
      <c r="D12" s="13" t="inlineStr">
        <is>
          <t>Sí</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31.5" customHeight="1" s="64">
      <c r="A13" s="9" t="n">
        <v>9</v>
      </c>
      <c r="B13" s="73" t="inlineStr">
        <is>
          <t>Persona que aplica el instrumento</t>
        </is>
      </c>
      <c r="C13" s="37" t="inlineStr">
        <is>
          <t>Marcel Alexander Javier Trujillo Ávila (tesista) y Alejandro Jeanpier Godoy Condezo (aplicador de apoyo, capacitado en este protocolo).</t>
        </is>
      </c>
      <c r="D13" s="13" t="inlineStr">
        <is>
          <t>Sí</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31.5" customHeight="1" s="64">
      <c r="A14" s="16" t="n">
        <v>10</v>
      </c>
      <c r="B14" s="28" t="inlineStr">
        <is>
          <t>Procedimiento de codificación inmediata tras la aplicación</t>
        </is>
      </c>
      <c r="C14" s="37" t="inlineStr">
        <is>
          <t>Al inscribirse, cada participante recibe un código (GU-TDH-001 a GU-TDH-130). Nombres, apellidos y celular se guardan solo en el libro de códigos, archivo separado y protegido con contraseña; la base de análisis contiene únicamente el código. No se solicita el DNI.</t>
        </is>
      </c>
      <c r="D14" s="13" t="inlineStr">
        <is>
          <t>Sí</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31.5" customHeight="1" s="64">
      <c r="A15" s="9" t="n">
        <v>11</v>
      </c>
      <c r="B15" s="73" t="inlineStr">
        <is>
          <t>Procedimiento de resguardo de los instrumentos aplicados</t>
        </is>
      </c>
      <c r="C15" s="37" t="inlineStr">
        <is>
          <t>Base de datos PostgreSQL (Supabase) con cifrado en reposo y acceso solo del tesista; copia diaria exportada y cifrada en una segunda ubicación (por implementar antes del pretest); libro de códigos separado. Los datos se conservan por el plazo declarado en el consentimiento y luego se eliminan (anexo 6.3.1).</t>
        </is>
      </c>
      <c r="D15" s="13" t="inlineStr">
        <is>
          <t>Sí</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87" customHeight="1" s="64">
      <c r="A16" s="16" t="n">
        <v>12</v>
      </c>
      <c r="B16" s="28" t="inlineStr">
        <is>
          <t>Qué hacer si un participante no puede asistir el día previsto</t>
        </is>
      </c>
      <c r="C16" s="37" t="inlineStr">
        <is>
          <t>Ventana de reprogramación de 72 horas dentro de la misma semana. Si un inscrito no completa el pretest, se convoca al siguiente inscrito. Si abandona después del pretest, no se reemplaza: se registra como pérdida muestral. Para llegar a 108 participantes con postest completo se inscriben hasta 130 (20 % adicional).</t>
        </is>
      </c>
      <c r="D16" s="13" t="inlineStr">
        <is>
          <t>Sí</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4">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4">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4">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4">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4">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4">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4">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4">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4">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4">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4">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4">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4">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4">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4"/>
    <row r="222" ht="15.75" customHeight="1" s="64"/>
    <row r="223" ht="15.75" customHeight="1" s="64"/>
    <row r="224" ht="15.75" customHeight="1" s="64"/>
    <row r="225" ht="15.75" customHeight="1" s="64"/>
    <row r="226" ht="15.75" customHeight="1" s="64"/>
    <row r="227" ht="15.75" customHeight="1" s="64"/>
    <row r="228" ht="15.75" customHeight="1" s="64"/>
    <row r="229" ht="15.75" customHeight="1" s="64"/>
    <row r="230" ht="15.75" customHeight="1" s="64"/>
    <row r="231" ht="15.75" customHeight="1" s="64"/>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mergeCells count="2">
    <mergeCell ref="A1:D1"/>
    <mergeCell ref="A2:D2"/>
  </mergeCells>
  <dataValidations count="1">
    <dataValidation sqref="D5:D16" showDropDown="0" showInputMessage="0" showErrorMessage="0" allowBlank="1" type="list">
      <formula1>"Sí,No"</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Z231"/>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64" min="1" max="1"/>
    <col width="15" customWidth="1" style="64" min="2" max="2"/>
    <col width="34" customWidth="1" style="64" min="3" max="3"/>
    <col width="7" customWidth="1" style="64" min="4" max="5"/>
    <col width="9" customWidth="1" style="64" min="6" max="6"/>
    <col width="14" customWidth="1" style="64" min="7" max="7"/>
    <col width="30" customWidth="1" style="64" min="8" max="9"/>
    <col width="18" customWidth="1" style="64" min="10" max="10"/>
  </cols>
  <sheetData>
    <row r="1" ht="25.5" customHeight="1" s="64">
      <c r="A1" s="1" t="inlineStr">
        <is>
          <t>Producto B.4 — Matriz de riesgos</t>
        </is>
      </c>
      <c r="K1" s="2" t="n"/>
      <c r="L1" s="2" t="n"/>
      <c r="M1" s="2" t="n"/>
      <c r="N1" s="2" t="n"/>
      <c r="O1" s="2" t="n"/>
      <c r="P1" s="2" t="n"/>
      <c r="Q1" s="2" t="n"/>
      <c r="R1" s="2" t="n"/>
      <c r="S1" s="2" t="n"/>
      <c r="T1" s="2" t="n"/>
      <c r="U1" s="2" t="n"/>
      <c r="V1" s="2" t="n"/>
      <c r="W1" s="2" t="n"/>
      <c r="X1" s="2" t="n"/>
      <c r="Y1" s="2" t="n"/>
      <c r="Z1" s="2" t="n"/>
    </row>
    <row r="2" ht="30" customHeight="1" s="64">
      <c r="A2" s="3" t="inlineStr">
        <is>
          <t>Probabilidad (1 baja, 2 media, 3 alta) × Impacto (1 bajo, 2 medio, 3 alto). Todo riesgo de nivel Alto o Crítico requiere medida preventiva, plan de contingencia y responsable nombrado. Mínimo ocho riesgos en las cuatro categorías.</t>
        </is>
      </c>
      <c r="K2" s="2" t="n"/>
      <c r="L2" s="2" t="n"/>
      <c r="M2" s="2" t="n"/>
      <c r="N2" s="2" t="n"/>
      <c r="O2" s="2" t="n"/>
      <c r="P2" s="2" t="n"/>
      <c r="Q2" s="2" t="n"/>
      <c r="R2" s="2" t="n"/>
      <c r="S2" s="2" t="n"/>
      <c r="T2" s="2" t="n"/>
      <c r="U2" s="2" t="n"/>
      <c r="V2" s="2" t="n"/>
      <c r="W2" s="2" t="n"/>
      <c r="X2" s="2" t="n"/>
      <c r="Y2" s="2" t="n"/>
      <c r="Z2" s="2" t="n"/>
    </row>
    <row r="3" ht="15" customHeight="1" s="64">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33.75" customHeight="1" s="64">
      <c r="A4" s="4" t="inlineStr">
        <is>
          <t>N.°</t>
        </is>
      </c>
      <c r="B4" s="4" t="inlineStr">
        <is>
          <t>Categoría</t>
        </is>
      </c>
      <c r="C4" s="4" t="inlineStr">
        <is>
          <t>Riesgo identificado</t>
        </is>
      </c>
      <c r="D4" s="4" t="inlineStr">
        <is>
          <t>P</t>
        </is>
      </c>
      <c r="E4" s="4" t="inlineStr">
        <is>
          <t>I</t>
        </is>
      </c>
      <c r="F4" s="4" t="inlineStr">
        <is>
          <t>Valor</t>
        </is>
      </c>
      <c r="G4" s="4" t="inlineStr">
        <is>
          <t>Nivel</t>
        </is>
      </c>
      <c r="H4" s="4" t="inlineStr">
        <is>
          <t>Medida preventiva</t>
        </is>
      </c>
      <c r="I4" s="4" t="inlineStr">
        <is>
          <t>Plan de contingencia</t>
        </is>
      </c>
      <c r="J4" s="4" t="inlineStr">
        <is>
          <t>Responsable</t>
        </is>
      </c>
      <c r="K4" s="2" t="n"/>
      <c r="L4" s="2" t="n"/>
      <c r="M4" s="2" t="n"/>
      <c r="N4" s="2" t="n"/>
      <c r="O4" s="2" t="n"/>
      <c r="P4" s="2" t="n"/>
      <c r="Q4" s="2" t="n"/>
      <c r="R4" s="2" t="n"/>
      <c r="S4" s="2" t="n"/>
      <c r="T4" s="2" t="n"/>
      <c r="U4" s="2" t="n"/>
      <c r="V4" s="2" t="n"/>
      <c r="W4" s="2" t="n"/>
      <c r="X4" s="2" t="n"/>
      <c r="Y4" s="2" t="n"/>
      <c r="Z4" s="2" t="n"/>
    </row>
    <row r="5" ht="36" customHeight="1" s="64">
      <c r="A5" s="9" t="n">
        <v>1</v>
      </c>
      <c r="B5" s="73" t="inlineStr">
        <is>
          <t>Metodológico</t>
        </is>
      </c>
      <c r="C5" s="73" t="inlineStr">
        <is>
          <t>Mortalidad experimental: participantes que no completan el postest</t>
        </is>
      </c>
      <c r="D5" s="9" t="n">
        <v>3</v>
      </c>
      <c r="E5" s="9" t="n">
        <v>3</v>
      </c>
      <c r="F5" s="9">
        <f>D5*E5</f>
        <v/>
      </c>
      <c r="G5" s="38">
        <f>IF(F5="","",IF(F5&gt;=9,"Crítico",IF(F5&gt;=6,"Alto",IF(F5&gt;=3,"Moderado","Bajo"))))</f>
        <v/>
      </c>
      <c r="H5" s="73" t="inlineStr">
        <is>
          <t>Sobredimensionar la muestra en 20 %; recordatorios programados</t>
        </is>
      </c>
      <c r="I5" s="73" t="inlineStr">
        <is>
          <t>Reprogramar medición; declarar y analizar la pérdida en resultados</t>
        </is>
      </c>
      <c r="J5" s="73" t="inlineStr">
        <is>
          <t>Tesista</t>
        </is>
      </c>
      <c r="K5" s="2" t="n"/>
      <c r="L5" s="2" t="n"/>
      <c r="M5" s="2" t="n"/>
      <c r="N5" s="2" t="n"/>
      <c r="O5" s="2" t="n"/>
      <c r="P5" s="2" t="n"/>
      <c r="Q5" s="2" t="n"/>
      <c r="R5" s="2" t="n"/>
      <c r="S5" s="2" t="n"/>
      <c r="T5" s="2" t="n"/>
      <c r="U5" s="2" t="n"/>
      <c r="V5" s="2" t="n"/>
      <c r="W5" s="2" t="n"/>
      <c r="X5" s="2" t="n"/>
      <c r="Y5" s="2" t="n"/>
      <c r="Z5" s="2" t="n"/>
    </row>
    <row r="6" ht="36" customHeight="1" s="64">
      <c r="A6" s="16" t="n">
        <v>2</v>
      </c>
      <c r="B6" s="28" t="inlineStr">
        <is>
          <t>Metodológico</t>
        </is>
      </c>
      <c r="C6" s="28" t="inlineStr">
        <is>
          <t>Cambio de condiciones del proceso durante el periodo (historia)</t>
        </is>
      </c>
      <c r="D6" s="16" t="n">
        <v>2</v>
      </c>
      <c r="E6" s="16" t="n">
        <v>3</v>
      </c>
      <c r="F6" s="16">
        <f>D6*E6</f>
        <v/>
      </c>
      <c r="G6" s="39">
        <f>IF(F6="","",IF(F6&gt;=9,"Crítico",IF(F6&gt;=6,"Alto",IF(F6&gt;=3,"Moderado","Bajo"))))</f>
        <v/>
      </c>
      <c r="H6" s="28" t="inlineStr">
        <is>
          <t>Acortar la ventana de campo; bitácora diaria de eventos externos</t>
        </is>
      </c>
      <c r="I6" s="28" t="inlineStr">
        <is>
          <t>Registrar el evento y discutirlo como limitación</t>
        </is>
      </c>
      <c r="J6" s="28" t="inlineStr">
        <is>
          <t>Tesista</t>
        </is>
      </c>
      <c r="K6" s="2" t="n"/>
      <c r="L6" s="2" t="n"/>
      <c r="M6" s="2" t="n"/>
      <c r="N6" s="2" t="n"/>
      <c r="O6" s="2" t="n"/>
      <c r="P6" s="2" t="n"/>
      <c r="Q6" s="2" t="n"/>
      <c r="R6" s="2" t="n"/>
      <c r="S6" s="2" t="n"/>
      <c r="T6" s="2" t="n"/>
      <c r="U6" s="2" t="n"/>
      <c r="V6" s="2" t="n"/>
      <c r="W6" s="2" t="n"/>
      <c r="X6" s="2" t="n"/>
      <c r="Y6" s="2" t="n"/>
      <c r="Z6" s="2" t="n"/>
    </row>
    <row r="7" ht="36" customHeight="1" s="64">
      <c r="A7" s="9" t="n">
        <v>3</v>
      </c>
      <c r="B7" s="73" t="inlineStr">
        <is>
          <t>Metodológico</t>
        </is>
      </c>
      <c r="C7" s="73" t="inlineStr">
        <is>
          <t>Pretest y postest aplicados con fuentes o criterios distintos</t>
        </is>
      </c>
      <c r="D7" s="9" t="n">
        <v>2</v>
      </c>
      <c r="E7" s="9" t="n">
        <v>3</v>
      </c>
      <c r="F7" s="9">
        <f>D7*E7</f>
        <v/>
      </c>
      <c r="G7" s="38">
        <f>IF(F7="","",IF(F7&gt;=9,"Crítico",IF(F7&gt;=6,"Alto",IF(F7&gt;=3,"Moderado","Bajo"))))</f>
        <v/>
      </c>
      <c r="H7" s="73" t="inlineStr">
        <is>
          <t>Ficha de condiciones estandarizadas; misma fuente de datos</t>
        </is>
      </c>
      <c r="I7" s="73" t="inlineStr">
        <is>
          <t>Descartar mediciones no comparables y repetir</t>
        </is>
      </c>
      <c r="J7" s="73" t="inlineStr">
        <is>
          <t>Tesista / Asesor</t>
        </is>
      </c>
      <c r="K7" s="2" t="n"/>
      <c r="L7" s="2" t="n"/>
      <c r="M7" s="2" t="n"/>
      <c r="N7" s="2" t="n"/>
      <c r="O7" s="2" t="n"/>
      <c r="P7" s="2" t="n"/>
      <c r="Q7" s="2" t="n"/>
      <c r="R7" s="2" t="n"/>
      <c r="S7" s="2" t="n"/>
      <c r="T7" s="2" t="n"/>
      <c r="U7" s="2" t="n"/>
      <c r="V7" s="2" t="n"/>
      <c r="W7" s="2" t="n"/>
      <c r="X7" s="2" t="n"/>
      <c r="Y7" s="2" t="n"/>
      <c r="Z7" s="2" t="n"/>
    </row>
    <row r="8" ht="36" customHeight="1" s="64">
      <c r="A8" s="16" t="n">
        <v>4</v>
      </c>
      <c r="B8" s="28" t="inlineStr">
        <is>
          <t>Metodológico</t>
        </is>
      </c>
      <c r="C8" s="28" t="inlineStr">
        <is>
          <t>Contaminación: el grupo de comparación accede al sistema</t>
        </is>
      </c>
      <c r="D8" s="16" t="n">
        <v>2</v>
      </c>
      <c r="E8" s="16" t="n">
        <v>3</v>
      </c>
      <c r="F8" s="16">
        <f>D8*E8</f>
        <v/>
      </c>
      <c r="G8" s="39">
        <f>IF(F8="","",IF(F8&gt;=9,"Crítico",IF(F8&gt;=6,"Alto",IF(F8&gt;=3,"Moderado","Bajo"))))</f>
        <v/>
      </c>
      <c r="H8" s="28" t="inlineStr">
        <is>
          <t>Segregación de credenciales por perfil; separación de sedes</t>
        </is>
      </c>
      <c r="I8" s="28" t="inlineStr">
        <is>
          <t>Documentar el caso y excluirlo del análisis</t>
        </is>
      </c>
      <c r="J8" s="28" t="inlineStr">
        <is>
          <t>Tesista / Área de TI</t>
        </is>
      </c>
      <c r="K8" s="2" t="n"/>
      <c r="L8" s="2" t="n"/>
      <c r="M8" s="2" t="n"/>
      <c r="N8" s="2" t="n"/>
      <c r="O8" s="2" t="n"/>
      <c r="P8" s="2" t="n"/>
      <c r="Q8" s="2" t="n"/>
      <c r="R8" s="2" t="n"/>
      <c r="S8" s="2" t="n"/>
      <c r="T8" s="2" t="n"/>
      <c r="U8" s="2" t="n"/>
      <c r="V8" s="2" t="n"/>
      <c r="W8" s="2" t="n"/>
      <c r="X8" s="2" t="n"/>
      <c r="Y8" s="2" t="n"/>
      <c r="Z8" s="2" t="n"/>
    </row>
    <row r="9" ht="36" customHeight="1" s="64">
      <c r="A9" s="9" t="n">
        <v>5</v>
      </c>
      <c r="B9" s="73" t="inlineStr">
        <is>
          <t>Metodológico</t>
        </is>
      </c>
      <c r="C9" s="73" t="inlineStr">
        <is>
          <t>Efecto de prueba: el pretest sensibiliza al usuario y llega entrenado al postest</t>
        </is>
      </c>
      <c r="D9" s="9" t="n">
        <v>3</v>
      </c>
      <c r="E9" s="9" t="n">
        <v>2</v>
      </c>
      <c r="F9" s="9">
        <f>D9*E9</f>
        <v/>
      </c>
      <c r="G9" s="38">
        <f>IF(F9="","",IF(F9&gt;=9,"Crítico",IF(F9&gt;=6,"Alto",IF(F9&gt;=3,"Moderado","Bajo"))))</f>
        <v/>
      </c>
      <c r="H9" s="73" t="inlineStr">
        <is>
          <t>Apoyar el indicador principal en registros automáticos; ampliar el intervalo entre mediciones</t>
        </is>
      </c>
      <c r="I9" s="73" t="inlineStr">
        <is>
          <t>Declarar el efecto como limitación y contrastar con el indicador de sistema</t>
        </is>
      </c>
      <c r="J9" s="73" t="inlineStr">
        <is>
          <t>Tesista / Asesor</t>
        </is>
      </c>
      <c r="K9" s="2" t="n"/>
      <c r="L9" s="2" t="n"/>
      <c r="M9" s="2" t="n"/>
      <c r="N9" s="2" t="n"/>
      <c r="O9" s="2" t="n"/>
      <c r="P9" s="2" t="n"/>
      <c r="Q9" s="2" t="n"/>
      <c r="R9" s="2" t="n"/>
      <c r="S9" s="2" t="n"/>
      <c r="T9" s="2" t="n"/>
      <c r="U9" s="2" t="n"/>
      <c r="V9" s="2" t="n"/>
      <c r="W9" s="2" t="n"/>
      <c r="X9" s="2" t="n"/>
      <c r="Y9" s="2" t="n"/>
      <c r="Z9" s="2" t="n"/>
    </row>
    <row r="10" ht="36" customHeight="1" s="64">
      <c r="A10" s="16" t="n">
        <v>6</v>
      </c>
      <c r="B10" s="28" t="inlineStr">
        <is>
          <t>Metodológico</t>
        </is>
      </c>
      <c r="C10" s="28" t="inlineStr">
        <is>
          <t>Potencia insuficiente: la muestra no permite detectar el efecto esperado</t>
        </is>
      </c>
      <c r="D10" s="16" t="n">
        <v>3</v>
      </c>
      <c r="E10" s="16" t="n">
        <v>3</v>
      </c>
      <c r="F10" s="16">
        <f>D10*E10</f>
        <v/>
      </c>
      <c r="G10" s="39">
        <f>IF(F10="","",IF(F10&gt;=9,"Crítico",IF(F10&gt;=6,"Alto",IF(F10&gt;=3,"Moderado","Bajo"))))</f>
        <v/>
      </c>
      <c r="H10" s="28" t="inlineStr">
        <is>
          <t>Declarar el efecto mínimo relevante antes del campo; considerar el evento como unidad de análisis</t>
        </is>
      </c>
      <c r="I10" s="28" t="inlineStr">
        <is>
          <t>Ampliar el periodo de registro para aumentar el número de eventos; declarar la limitación</t>
        </is>
      </c>
      <c r="J10" s="28" t="inlineStr">
        <is>
          <t>Tesista / Asesor</t>
        </is>
      </c>
      <c r="K10" s="2" t="n"/>
      <c r="L10" s="2" t="n"/>
      <c r="M10" s="2" t="n"/>
      <c r="N10" s="2" t="n"/>
      <c r="O10" s="2" t="n"/>
      <c r="P10" s="2" t="n"/>
      <c r="Q10" s="2" t="n"/>
      <c r="R10" s="2" t="n"/>
      <c r="S10" s="2" t="n"/>
      <c r="T10" s="2" t="n"/>
      <c r="U10" s="2" t="n"/>
      <c r="V10" s="2" t="n"/>
      <c r="W10" s="2" t="n"/>
      <c r="X10" s="2" t="n"/>
      <c r="Y10" s="2" t="n"/>
      <c r="Z10" s="2" t="n"/>
    </row>
    <row r="11" ht="36" customHeight="1" s="64">
      <c r="A11" s="9" t="n">
        <v>7</v>
      </c>
      <c r="B11" s="73" t="inlineStr">
        <is>
          <t>Ético</t>
        </is>
      </c>
      <c r="C11" s="73" t="inlineStr">
        <is>
          <t>Sesgo del investigador al calificar, por conocer a qué grupo pertenece cada participante</t>
        </is>
      </c>
      <c r="D11" s="9" t="n">
        <v>2</v>
      </c>
      <c r="E11" s="9" t="n">
        <v>2</v>
      </c>
      <c r="F11" s="9">
        <f>D11*E11</f>
        <v/>
      </c>
      <c r="G11" s="38">
        <f>IF(F11="","",IF(F11&gt;=9,"Crítico",IF(F11&gt;=6,"Alto",IF(F11&gt;=3,"Moderado","Bajo"))))</f>
        <v/>
      </c>
      <c r="H11" s="73" t="inlineStr">
        <is>
          <t>Cegamiento simple en la corrección de instrumentos; uso de datos de registro automático</t>
        </is>
      </c>
      <c r="I11" s="73" t="inlineStr">
        <is>
          <t>Recodificación por un tercero de una submuestra de control</t>
        </is>
      </c>
      <c r="J11" s="73" t="inlineStr">
        <is>
          <t>Tesista / Asesor</t>
        </is>
      </c>
      <c r="K11" s="2" t="n"/>
      <c r="L11" s="2" t="n"/>
      <c r="M11" s="2" t="n"/>
      <c r="N11" s="2" t="n"/>
      <c r="O11" s="2" t="n"/>
      <c r="P11" s="2" t="n"/>
      <c r="Q11" s="2" t="n"/>
      <c r="R11" s="2" t="n"/>
      <c r="S11" s="2" t="n"/>
      <c r="T11" s="2" t="n"/>
      <c r="U11" s="2" t="n"/>
      <c r="V11" s="2" t="n"/>
      <c r="W11" s="2" t="n"/>
      <c r="X11" s="2" t="n"/>
      <c r="Y11" s="2" t="n"/>
      <c r="Z11" s="2" t="n"/>
    </row>
    <row r="12" ht="36" customHeight="1" s="64">
      <c r="A12" s="16" t="n">
        <v>8</v>
      </c>
      <c r="B12" s="28" t="inlineStr">
        <is>
          <t>Técnico</t>
        </is>
      </c>
      <c r="C12" s="28" t="inlineStr">
        <is>
          <t>Caída del sistema o pérdida de conectividad durante la intervención</t>
        </is>
      </c>
      <c r="D12" s="16" t="n">
        <v>2</v>
      </c>
      <c r="E12" s="16" t="n">
        <v>3</v>
      </c>
      <c r="F12" s="16">
        <f>D12*E12</f>
        <v/>
      </c>
      <c r="G12" s="39">
        <f>IF(F12="","",IF(F12&gt;=9,"Crítico",IF(F12&gt;=6,"Alto",IF(F12&gt;=3,"Moderado","Bajo"))))</f>
        <v/>
      </c>
      <c r="H12" s="28" t="inlineStr">
        <is>
          <t>Pruebas de carga previas; respaldo automático diario</t>
        </is>
      </c>
      <c r="I12" s="28" t="inlineStr">
        <is>
          <t>Procedimiento manual alterno; reprogramación de la ventana</t>
        </is>
      </c>
      <c r="J12" s="28" t="inlineStr">
        <is>
          <t>Área de TI</t>
        </is>
      </c>
      <c r="K12" s="2" t="n"/>
      <c r="L12" s="2" t="n"/>
      <c r="M12" s="2" t="n"/>
      <c r="N12" s="2" t="n"/>
      <c r="O12" s="2" t="n"/>
      <c r="P12" s="2" t="n"/>
      <c r="Q12" s="2" t="n"/>
      <c r="R12" s="2" t="n"/>
      <c r="S12" s="2" t="n"/>
      <c r="T12" s="2" t="n"/>
      <c r="U12" s="2" t="n"/>
      <c r="V12" s="2" t="n"/>
      <c r="W12" s="2" t="n"/>
      <c r="X12" s="2" t="n"/>
      <c r="Y12" s="2" t="n"/>
      <c r="Z12" s="2" t="n"/>
    </row>
    <row r="13" ht="36" customHeight="1" s="64">
      <c r="A13" s="9" t="n">
        <v>9</v>
      </c>
      <c r="B13" s="73" t="inlineStr">
        <is>
          <t>Técnico</t>
        </is>
      </c>
      <c r="C13" s="73" t="inlineStr">
        <is>
          <t>Pérdida o corrupción de la base de datos de resultados</t>
        </is>
      </c>
      <c r="D13" s="9" t="n">
        <v>1</v>
      </c>
      <c r="E13" s="9" t="n">
        <v>3</v>
      </c>
      <c r="F13" s="9">
        <f>D13*E13</f>
        <v/>
      </c>
      <c r="G13" s="38">
        <f>IF(F13="","",IF(F13&gt;=9,"Crítico",IF(F13&gt;=6,"Alto",IF(F13&gt;=3,"Moderado","Bajo"))))</f>
        <v/>
      </c>
      <c r="H13" s="73" t="inlineStr">
        <is>
          <t>Respaldo cifrado en dos ubicaciones distintas</t>
        </is>
      </c>
      <c r="I13" s="73" t="inlineStr">
        <is>
          <t>Restauración desde el respaldo más reciente</t>
        </is>
      </c>
      <c r="J13" s="73" t="inlineStr">
        <is>
          <t>Tesista</t>
        </is>
      </c>
      <c r="K13" s="2" t="n"/>
      <c r="L13" s="2" t="n"/>
      <c r="M13" s="2" t="n"/>
      <c r="N13" s="2" t="n"/>
      <c r="O13" s="2" t="n"/>
      <c r="P13" s="2" t="n"/>
      <c r="Q13" s="2" t="n"/>
      <c r="R13" s="2" t="n"/>
      <c r="S13" s="2" t="n"/>
      <c r="T13" s="2" t="n"/>
      <c r="U13" s="2" t="n"/>
      <c r="V13" s="2" t="n"/>
      <c r="W13" s="2" t="n"/>
      <c r="X13" s="2" t="n"/>
      <c r="Y13" s="2" t="n"/>
      <c r="Z13" s="2" t="n"/>
    </row>
    <row r="14" ht="36" customHeight="1" s="64">
      <c r="A14" s="16" t="n">
        <v>10</v>
      </c>
      <c r="B14" s="28" t="inlineStr">
        <is>
          <t>Técnico</t>
        </is>
      </c>
      <c r="C14" s="28" t="inlineStr">
        <is>
          <t>Resistencia de los usuarios al uso del nuevo sistema</t>
        </is>
      </c>
      <c r="D14" s="16" t="n">
        <v>3</v>
      </c>
      <c r="E14" s="16" t="n">
        <v>2</v>
      </c>
      <c r="F14" s="16">
        <f>D14*E14</f>
        <v/>
      </c>
      <c r="G14" s="39">
        <f>IF(F14="","",IF(F14&gt;=9,"Crítico",IF(F14&gt;=6,"Alto",IF(F14&gt;=3,"Moderado","Bajo"))))</f>
        <v/>
      </c>
      <c r="H14" s="28" t="inlineStr">
        <is>
          <t>Capacitación previa; soporte permanente durante el periodo</t>
        </is>
      </c>
      <c r="I14" s="28" t="inlineStr">
        <is>
          <t>Refuerzo de capacitación; ampliación del periodo de exposición</t>
        </is>
      </c>
      <c r="J14" s="28" t="inlineStr">
        <is>
          <t>Tesista</t>
        </is>
      </c>
      <c r="K14" s="2" t="n"/>
      <c r="L14" s="2" t="n"/>
      <c r="M14" s="2" t="n"/>
      <c r="N14" s="2" t="n"/>
      <c r="O14" s="2" t="n"/>
      <c r="P14" s="2" t="n"/>
      <c r="Q14" s="2" t="n"/>
      <c r="R14" s="2" t="n"/>
      <c r="S14" s="2" t="n"/>
      <c r="T14" s="2" t="n"/>
      <c r="U14" s="2" t="n"/>
      <c r="V14" s="2" t="n"/>
      <c r="W14" s="2" t="n"/>
      <c r="X14" s="2" t="n"/>
      <c r="Y14" s="2" t="n"/>
      <c r="Z14" s="2" t="n"/>
    </row>
    <row r="15" ht="36" customHeight="1" s="64">
      <c r="A15" s="9" t="n">
        <v>11</v>
      </c>
      <c r="B15" s="73" t="inlineStr">
        <is>
          <t>Logístico</t>
        </is>
      </c>
      <c r="C15" s="73" t="inlineStr">
        <is>
          <t>Rotación de la autoridad que otorgó la autorización</t>
        </is>
      </c>
      <c r="D15" s="9" t="n">
        <v>2</v>
      </c>
      <c r="E15" s="9" t="n">
        <v>3</v>
      </c>
      <c r="F15" s="9">
        <f>D15*E15</f>
        <v/>
      </c>
      <c r="G15" s="38">
        <f>IF(F15="","",IF(F15&gt;=9,"Crítico",IF(F15&gt;=6,"Alto",IF(F15&gt;=3,"Moderado","Bajo"))))</f>
        <v/>
      </c>
      <c r="H15" s="73" t="inlineStr">
        <is>
          <t>Autorización institucional formal, con vigencia declarada</t>
        </is>
      </c>
      <c r="I15" s="73" t="inlineStr">
        <is>
          <t>Gestión inmediata de ratificación con la nueva autoridad</t>
        </is>
      </c>
      <c r="J15" s="73" t="inlineStr">
        <is>
          <t>Tesista / Asesor</t>
        </is>
      </c>
      <c r="K15" s="2" t="n"/>
      <c r="L15" s="2" t="n"/>
      <c r="M15" s="2" t="n"/>
      <c r="N15" s="2" t="n"/>
      <c r="O15" s="2" t="n"/>
      <c r="P15" s="2" t="n"/>
      <c r="Q15" s="2" t="n"/>
      <c r="R15" s="2" t="n"/>
      <c r="S15" s="2" t="n"/>
      <c r="T15" s="2" t="n"/>
      <c r="U15" s="2" t="n"/>
      <c r="V15" s="2" t="n"/>
      <c r="W15" s="2" t="n"/>
      <c r="X15" s="2" t="n"/>
      <c r="Y15" s="2" t="n"/>
      <c r="Z15" s="2" t="n"/>
    </row>
    <row r="16" ht="36" customHeight="1" s="64">
      <c r="A16" s="16" t="n">
        <v>12</v>
      </c>
      <c r="B16" s="28" t="inlineStr">
        <is>
          <t>Logístico</t>
        </is>
      </c>
      <c r="C16" s="28" t="inlineStr">
        <is>
          <t>No disponibilidad del espacio o del horario acordado</t>
        </is>
      </c>
      <c r="D16" s="16" t="n">
        <v>2</v>
      </c>
      <c r="E16" s="16" t="n">
        <v>2</v>
      </c>
      <c r="F16" s="16">
        <f>D16*E16</f>
        <v/>
      </c>
      <c r="G16" s="39">
        <f>IF(F16="","",IF(F16&gt;=9,"Crítico",IF(F16&gt;=6,"Alto",IF(F16&gt;=3,"Moderado","Bajo"))))</f>
        <v/>
      </c>
      <c r="H16" s="28" t="inlineStr">
        <is>
          <t>Confirmación escrita con 72 horas de anticipación</t>
        </is>
      </c>
      <c r="I16" s="28" t="inlineStr">
        <is>
          <t>Fecha alterna prevista en el cronograma</t>
        </is>
      </c>
      <c r="J16" s="28" t="inlineStr">
        <is>
          <t>Tesista</t>
        </is>
      </c>
      <c r="K16" s="2" t="n"/>
      <c r="L16" s="2" t="n"/>
      <c r="M16" s="2" t="n"/>
      <c r="N16" s="2" t="n"/>
      <c r="O16" s="2" t="n"/>
      <c r="P16" s="2" t="n"/>
      <c r="Q16" s="2" t="n"/>
      <c r="R16" s="2" t="n"/>
      <c r="S16" s="2" t="n"/>
      <c r="T16" s="2" t="n"/>
      <c r="U16" s="2" t="n"/>
      <c r="V16" s="2" t="n"/>
      <c r="W16" s="2" t="n"/>
      <c r="X16" s="2" t="n"/>
      <c r="Y16" s="2" t="n"/>
      <c r="Z16" s="2" t="n"/>
    </row>
    <row r="17" ht="36" customHeight="1" s="64">
      <c r="A17" s="9" t="n">
        <v>13</v>
      </c>
      <c r="B17" s="73" t="inlineStr">
        <is>
          <t>Ético</t>
        </is>
      </c>
      <c r="C17" s="73" t="inlineStr">
        <is>
          <t>Participante que se retira durante la ejecución</t>
        </is>
      </c>
      <c r="D17" s="9" t="n">
        <v>2</v>
      </c>
      <c r="E17" s="9" t="n">
        <v>2</v>
      </c>
      <c r="F17" s="9">
        <f>D17*E17</f>
        <v/>
      </c>
      <c r="G17" s="38">
        <f>IF(F17="","",IF(F17&gt;=9,"Crítico",IF(F17&gt;=6,"Alto",IF(F17&gt;=3,"Moderado","Bajo"))))</f>
        <v/>
      </c>
      <c r="H17" s="73" t="inlineStr">
        <is>
          <t>Informar el derecho de retiro desde el consentimiento</t>
        </is>
      </c>
      <c r="I17" s="73" t="inlineStr">
        <is>
          <t>Retirar sus datos; registrar y reportar la baja</t>
        </is>
      </c>
      <c r="J17" s="73" t="inlineStr">
        <is>
          <t>Tesista</t>
        </is>
      </c>
      <c r="K17" s="2" t="n"/>
      <c r="L17" s="2" t="n"/>
      <c r="M17" s="2" t="n"/>
      <c r="N17" s="2" t="n"/>
      <c r="O17" s="2" t="n"/>
      <c r="P17" s="2" t="n"/>
      <c r="Q17" s="2" t="n"/>
      <c r="R17" s="2" t="n"/>
      <c r="S17" s="2" t="n"/>
      <c r="T17" s="2" t="n"/>
      <c r="U17" s="2" t="n"/>
      <c r="V17" s="2" t="n"/>
      <c r="W17" s="2" t="n"/>
      <c r="X17" s="2" t="n"/>
      <c r="Y17" s="2" t="n"/>
      <c r="Z17" s="2" t="n"/>
    </row>
    <row r="18" ht="36" customHeight="1" s="64">
      <c r="A18" s="16" t="n">
        <v>14</v>
      </c>
      <c r="B18" s="28" t="inlineStr">
        <is>
          <t>Ético</t>
        </is>
      </c>
      <c r="C18" s="28" t="inlineStr">
        <is>
          <t>Presión jerárquica sobre la decisión de participar</t>
        </is>
      </c>
      <c r="D18" s="16" t="n">
        <v>2</v>
      </c>
      <c r="E18" s="16" t="n">
        <v>3</v>
      </c>
      <c r="F18" s="16">
        <f>D18*E18</f>
        <v/>
      </c>
      <c r="G18" s="39">
        <f>IF(F18="","",IF(F18&gt;=9,"Crítico",IF(F18&gt;=6,"Alto",IF(F18&gt;=3,"Moderado","Bajo"))))</f>
        <v/>
      </c>
      <c r="H18" s="28" t="inlineStr">
        <is>
          <t>Convocatoria neutral fuera de la línea de mando</t>
        </is>
      </c>
      <c r="I18" s="28" t="inlineStr">
        <is>
          <t>Suspender la aplicación y reformular el procedimiento</t>
        </is>
      </c>
      <c r="J18" s="28" t="inlineStr">
        <is>
          <t>Tesista / Asesor</t>
        </is>
      </c>
      <c r="K18" s="2" t="n"/>
      <c r="L18" s="2" t="n"/>
      <c r="M18" s="2" t="n"/>
      <c r="N18" s="2" t="n"/>
      <c r="O18" s="2" t="n"/>
      <c r="P18" s="2" t="n"/>
      <c r="Q18" s="2" t="n"/>
      <c r="R18" s="2" t="n"/>
      <c r="S18" s="2" t="n"/>
      <c r="T18" s="2" t="n"/>
      <c r="U18" s="2" t="n"/>
      <c r="V18" s="2" t="n"/>
      <c r="W18" s="2" t="n"/>
      <c r="X18" s="2" t="n"/>
      <c r="Y18" s="2" t="n"/>
      <c r="Z18" s="2" t="n"/>
    </row>
    <row r="19" ht="36" customHeight="1" s="64">
      <c r="A19" s="9" t="n">
        <v>15</v>
      </c>
      <c r="B19" s="73" t="inlineStr">
        <is>
          <t>Ético</t>
        </is>
      </c>
      <c r="C19" s="73" t="inlineStr">
        <is>
          <t>Exposición accidental de datos identificables</t>
        </is>
      </c>
      <c r="D19" s="9" t="n">
        <v>1</v>
      </c>
      <c r="E19" s="9" t="n">
        <v>3</v>
      </c>
      <c r="F19" s="9">
        <f>D19*E19</f>
        <v/>
      </c>
      <c r="G19" s="38">
        <f>IF(F19="","",IF(F19&gt;=9,"Crítico",IF(F19&gt;=6,"Alto",IF(F19&gt;=3,"Moderado","Bajo"))))</f>
        <v/>
      </c>
      <c r="H19" s="73" t="inlineStr">
        <is>
          <t>Codificación desde el origen; cifrado; acceso restringido</t>
        </is>
      </c>
      <c r="I19" s="73" t="inlineStr">
        <is>
          <t>Notificación al asesor; contención inmediata; registro del incidente</t>
        </is>
      </c>
      <c r="J19" s="73" t="inlineStr">
        <is>
          <t>Tesista</t>
        </is>
      </c>
      <c r="K19" s="2" t="n"/>
      <c r="L19" s="2" t="n"/>
      <c r="M19" s="2" t="n"/>
      <c r="N19" s="2" t="n"/>
      <c r="O19" s="2" t="n"/>
      <c r="P19" s="2" t="n"/>
      <c r="Q19" s="2" t="n"/>
      <c r="R19" s="2" t="n"/>
      <c r="S19" s="2" t="n"/>
      <c r="T19" s="2" t="n"/>
      <c r="U19" s="2" t="n"/>
      <c r="V19" s="2" t="n"/>
      <c r="W19" s="2" t="n"/>
      <c r="X19" s="2" t="n"/>
      <c r="Y19" s="2" t="n"/>
      <c r="Z19" s="2" t="n"/>
    </row>
    <row r="20" ht="36" customHeight="1" s="64">
      <c r="A20" s="16" t="n">
        <v>16</v>
      </c>
      <c r="B20" s="30" t="inlineStr">
        <is>
          <t>Técnico</t>
        </is>
      </c>
      <c r="C20" s="30" t="inlineStr">
        <is>
          <t>Saturación de cuota o latencia excesiva en API de embeddings/LLM durante pruebas masivas de postest</t>
        </is>
      </c>
      <c r="D20" s="13" t="n">
        <v>2</v>
      </c>
      <c r="E20" s="13" t="n">
        <v>3</v>
      </c>
      <c r="F20" s="16">
        <f>IF(OR(D20="",E20=""),"",D20*E20)</f>
        <v/>
      </c>
      <c r="G20" s="39">
        <f>IF(F20="","",IF(F20&gt;=9,"Crítico",IF(F20&gt;=6,"Alto",IF(F20&gt;=3,"Moderado","Bajo"))))</f>
        <v/>
      </c>
      <c r="H20" s="30" t="inlineStr">
        <is>
          <t>Configurar caché semántica local con pgvector y provisionar clave de API de respaldo con cuota prepagada</t>
        </is>
      </c>
      <c r="I20" s="30" t="inlineStr">
        <is>
          <t>Conmutar dinámicamente el proveedor LLM de respaldo preconfigurado en el servidor sin interrumpir la sesión del usuario</t>
        </is>
      </c>
      <c r="J20" s="30" t="inlineStr">
        <is>
          <t>Tesistas</t>
        </is>
      </c>
      <c r="K20" s="2" t="n"/>
      <c r="L20" s="2" t="n"/>
      <c r="M20" s="2" t="n"/>
      <c r="N20" s="2" t="n"/>
      <c r="O20" s="2" t="n"/>
      <c r="P20" s="2" t="n"/>
      <c r="Q20" s="2" t="n"/>
      <c r="R20" s="2" t="n"/>
      <c r="S20" s="2" t="n"/>
      <c r="T20" s="2" t="n"/>
      <c r="U20" s="2" t="n"/>
      <c r="V20" s="2" t="n"/>
      <c r="W20" s="2" t="n"/>
      <c r="X20" s="2" t="n"/>
      <c r="Y20" s="2" t="n"/>
      <c r="Z20" s="2" t="n"/>
    </row>
    <row r="21" ht="66" customHeight="1" s="64">
      <c r="A21" s="9" t="n">
        <v>17</v>
      </c>
      <c r="B21" s="40" t="inlineStr">
        <is>
          <t>Metodológico</t>
        </is>
      </c>
      <c r="C21" s="40" t="inlineStr">
        <is>
          <t>Sesgo de selección por muestreo no probabilístico por conveniencia (sobrerrepresentación de lectores jóvenes con mayor afinidad digital)</t>
        </is>
      </c>
      <c r="D21" s="13" t="n">
        <v>3</v>
      </c>
      <c r="E21" s="13" t="n">
        <v>2</v>
      </c>
      <c r="F21" s="9">
        <f>IF(OR(D21="",E21=""),"",D21*E21)</f>
        <v/>
      </c>
      <c r="G21" s="38">
        <f>IF(F21="","",IF(F21&gt;=9,"Crítico",IF(F21&gt;=6,"Alto",IF(F21&gt;=3,"Moderado","Bajo"))))</f>
        <v/>
      </c>
      <c r="H21" s="40" t="inlineStr">
        <is>
          <t>Diversificar los canales de invitación (diario impreso y banners flotantes en horarios rotativos) y caracterizar la muestra por edad y sector urbano/periurbano (PDT §1.5)</t>
        </is>
      </c>
      <c r="I21" s="40" t="inlineStr">
        <is>
          <t>Declararlo como limitación y evitar generalizar los resultados más allá de los lectores participantes</t>
        </is>
      </c>
      <c r="J21" s="40" t="inlineStr">
        <is>
          <t>Tesistas / Asesor</t>
        </is>
      </c>
      <c r="K21" s="2" t="n"/>
      <c r="L21" s="2" t="n"/>
      <c r="M21" s="2" t="n"/>
      <c r="N21" s="2" t="n"/>
      <c r="O21" s="2" t="n"/>
      <c r="P21" s="2" t="n"/>
      <c r="Q21" s="2" t="n"/>
      <c r="R21" s="2" t="n"/>
      <c r="S21" s="2" t="n"/>
      <c r="T21" s="2" t="n"/>
      <c r="U21" s="2" t="n"/>
      <c r="V21" s="2" t="n"/>
      <c r="W21" s="2" t="n"/>
      <c r="X21" s="2" t="n"/>
      <c r="Y21" s="2" t="n"/>
      <c r="Z21" s="2" t="n"/>
    </row>
    <row r="22" ht="66" customHeight="1" s="64">
      <c r="A22" s="16" t="n">
        <v>18</v>
      </c>
      <c r="B22" s="40" t="inlineStr">
        <is>
          <t>Ético</t>
        </is>
      </c>
      <c r="C22" s="40" t="inlineStr">
        <is>
          <t>Conflicto de interés: el investigador principal se desempeña como desarrollador en el diario donde se aplica el estudio</t>
        </is>
      </c>
      <c r="D22" s="13" t="n">
        <v>2</v>
      </c>
      <c r="E22" s="13" t="n">
        <v>2</v>
      </c>
      <c r="F22" s="16">
        <f>IF(OR(D22="",E22=""),"",D22*E22)</f>
        <v/>
      </c>
      <c r="G22" s="39">
        <f>IF(F22="","",IF(F22&gt;=9,"Crítico",IF(F22&gt;=6,"Alto",IF(F22&gt;=3,"Moderado","Bajo"))))</f>
        <v/>
      </c>
      <c r="H22" s="40" t="inlineStr">
        <is>
          <t>Excluir de la muestra al personal técnico, administrativo y de redacción del diario (PDT §3.4.1); registrar tiempos y clics de forma automática, sin juicio del investigador (PDT §3.5.1)</t>
        </is>
      </c>
      <c r="I22" s="40" t="inlineStr">
        <is>
          <t>Declarar el vínculo laboral en el consentimiento y en el informe; pedir al asesor que revise una submuestra de registros</t>
        </is>
      </c>
      <c r="J22" s="40" t="inlineStr">
        <is>
          <t>Tesistas / Asesor</t>
        </is>
      </c>
      <c r="K22" s="2" t="n"/>
      <c r="L22" s="2" t="n"/>
      <c r="M22" s="2" t="n"/>
      <c r="N22" s="2" t="n"/>
      <c r="O22" s="2" t="n"/>
      <c r="P22" s="2" t="n"/>
      <c r="Q22" s="2" t="n"/>
      <c r="R22" s="2" t="n"/>
      <c r="S22" s="2" t="n"/>
      <c r="T22" s="2" t="n"/>
      <c r="U22" s="2" t="n"/>
      <c r="V22" s="2" t="n"/>
      <c r="W22" s="2" t="n"/>
      <c r="X22" s="2" t="n"/>
      <c r="Y22" s="2" t="n"/>
      <c r="Z22" s="2" t="n"/>
    </row>
    <row r="23" ht="36" customHeight="1" s="64">
      <c r="A23" s="9" t="n">
        <v>19</v>
      </c>
      <c r="B23" s="36" t="inlineStr">
        <is>
          <t>Técnico</t>
        </is>
      </c>
      <c r="C23" s="42" t="inlineStr">
        <is>
          <t>La PWA o las funciones nuevas no están listas o cambian durante la intervención</t>
        </is>
      </c>
      <c r="D23" s="44" t="n">
        <v>2</v>
      </c>
      <c r="E23" s="44" t="n">
        <v>3</v>
      </c>
      <c r="F23" s="46" t="n">
        <v>6</v>
      </c>
      <c r="G23" s="47" t="inlineStr">
        <is>
          <t>Alto</t>
        </is>
      </c>
      <c r="H23" s="42" t="inlineStr">
        <is>
          <t>Congelar la versión el 26/10/2026 y registrar su número; no publicar cambios entre el pretest y el postest</t>
        </is>
      </c>
      <c r="I23" s="42" t="inlineStr">
        <is>
          <t>Postergar el inicio de la intervención dentro de la holgura; documentar cualquier cambio</t>
        </is>
      </c>
      <c r="J23" s="42" t="inlineStr">
        <is>
          <t>Tesista (desarrollador)</t>
        </is>
      </c>
      <c r="K23" s="2" t="n"/>
      <c r="L23" s="2" t="n"/>
      <c r="M23" s="2" t="n"/>
      <c r="N23" s="2" t="n"/>
      <c r="O23" s="2" t="n"/>
      <c r="P23" s="2" t="n"/>
      <c r="Q23" s="2" t="n"/>
      <c r="R23" s="2" t="n"/>
      <c r="S23" s="2" t="n"/>
      <c r="T23" s="2" t="n"/>
      <c r="U23" s="2" t="n"/>
      <c r="V23" s="2" t="n"/>
      <c r="W23" s="2" t="n"/>
      <c r="X23" s="2" t="n"/>
      <c r="Y23" s="2" t="n"/>
      <c r="Z23" s="2" t="n"/>
    </row>
    <row r="24" ht="36" customHeight="1" s="64">
      <c r="A24" s="16" t="n">
        <v>20</v>
      </c>
      <c r="B24" s="37" t="inlineStr">
        <is>
          <t>Técnico</t>
        </is>
      </c>
      <c r="C24" s="48" t="inlineStr">
        <is>
          <t>Las noticias de las tareas se eliminan o modifican antes del postest</t>
        </is>
      </c>
      <c r="D24" s="50" t="n">
        <v>1</v>
      </c>
      <c r="E24" s="50" t="n">
        <v>3</v>
      </c>
      <c r="F24" s="51" t="n">
        <v>3</v>
      </c>
      <c r="G24" s="52" t="inlineStr">
        <is>
          <t>Moderado</t>
        </is>
      </c>
      <c r="H24" s="48" t="inlineStr">
        <is>
          <t>Retención de datos ampliada a 90 días; copia de las cuatro noticias y sus enlaces</t>
        </is>
      </c>
      <c r="I24" s="48" t="inlineStr">
        <is>
          <t>Restaurar desde la copia antes de la medición</t>
        </is>
      </c>
      <c r="J24" s="48" t="inlineStr">
        <is>
          <t>Tesista (desarrollador)</t>
        </is>
      </c>
      <c r="K24" s="2" t="n"/>
      <c r="L24" s="2" t="n"/>
      <c r="M24" s="2" t="n"/>
      <c r="N24" s="2" t="n"/>
      <c r="O24" s="2" t="n"/>
      <c r="P24" s="2" t="n"/>
      <c r="Q24" s="2" t="n"/>
      <c r="R24" s="2" t="n"/>
      <c r="S24" s="2" t="n"/>
      <c r="T24" s="2" t="n"/>
      <c r="U24" s="2" t="n"/>
      <c r="V24" s="2" t="n"/>
      <c r="W24" s="2" t="n"/>
      <c r="X24" s="2" t="n"/>
      <c r="Y24" s="2" t="n"/>
      <c r="Z24" s="2" t="n"/>
    </row>
    <row r="25" ht="36" customHeight="1" s="64">
      <c r="A25" s="9" t="n">
        <v>21</v>
      </c>
      <c r="B25" s="37" t="inlineStr">
        <is>
          <t>Logístico</t>
        </is>
      </c>
      <c r="C25" s="48" t="inlineStr">
        <is>
          <t>Retraso en la carta de presentación, la conformidad ética o la reemisión de la autorización</t>
        </is>
      </c>
      <c r="D25" s="50" t="n">
        <v>2</v>
      </c>
      <c r="E25" s="50" t="n">
        <v>3</v>
      </c>
      <c r="F25" s="54" t="n">
        <v>6</v>
      </c>
      <c r="G25" s="55" t="inlineStr">
        <is>
          <t>Alto</t>
        </is>
      </c>
      <c r="H25" s="48" t="inlineStr">
        <is>
          <t>Iniciar los trámites el 12/10/2026 y hacer seguimiento semanal con el asesor</t>
        </is>
      </c>
      <c r="I25" s="48" t="inlineStr">
        <is>
          <t>Correr el cronograma usando la holgura; la autorización cubre hasta diciembre de 2026</t>
        </is>
      </c>
      <c r="J25" s="48" t="inlineStr">
        <is>
          <t>Tesista / Asesor</t>
        </is>
      </c>
      <c r="K25" s="2" t="n"/>
      <c r="L25" s="2" t="n"/>
      <c r="M25" s="2" t="n"/>
      <c r="N25" s="2" t="n"/>
      <c r="O25" s="2" t="n"/>
      <c r="P25" s="2" t="n"/>
      <c r="Q25" s="2" t="n"/>
      <c r="R25" s="2" t="n"/>
      <c r="S25" s="2" t="n"/>
      <c r="T25" s="2" t="n"/>
      <c r="U25" s="2" t="n"/>
      <c r="V25" s="2" t="n"/>
      <c r="W25" s="2" t="n"/>
      <c r="X25" s="2" t="n"/>
      <c r="Y25" s="2" t="n"/>
      <c r="Z25" s="2" t="n"/>
    </row>
    <row r="26" ht="15.75" customHeight="1" s="64">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4">
      <c r="A27" s="31" t="inlineStr">
        <is>
          <t>Riesgos registrados</t>
        </is>
      </c>
      <c r="B27" s="32">
        <f>COUNTA(C5:C25)</f>
        <v/>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4">
      <c r="A28" s="31" t="inlineStr">
        <is>
          <t>Categorías cubiertas</t>
        </is>
      </c>
      <c r="B28" s="32">
        <f>IF(COUNTIF(B5:B25,"Metodológico")&gt;0,1,0)+IF(COUNTIF(B5:B25,"Técnico")&gt;0,1,0)+IF(COUNTIF(B5:B25,"Logístico")&gt;0,1,0)+IF(COUNTIF(B5:B25,"Ético")&gt;0,1,0)</f>
        <v/>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4">
      <c r="A29" s="31" t="inlineStr">
        <is>
          <t>Riesgos críticos</t>
        </is>
      </c>
      <c r="B29" s="32">
        <f>COUNTIF(G5:G25,"Crítico")</f>
        <v/>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4">
      <c r="A30" s="31" t="inlineStr">
        <is>
          <t>Riesgos altos</t>
        </is>
      </c>
      <c r="B30" s="32">
        <f>COUNTIF(G5:G25,"Alto")</f>
        <v/>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4">
      <c r="A31" s="31" t="inlineStr">
        <is>
          <t>Cumple el mínimo exigido</t>
        </is>
      </c>
      <c r="B31" s="32">
        <f>IF(AND(B27&gt;=8,B28=4),"SÍ — cumple 8 riesgos en 4 categorías","NO — complete la matriz")</f>
        <v/>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4">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4">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4">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4">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6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6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6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6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6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6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6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6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mergeCells count="2">
    <mergeCell ref="A1:J1"/>
    <mergeCell ref="A2:J2"/>
  </mergeCells>
  <conditionalFormatting sqref="G5:G25">
    <cfRule type="cellIs" priority="1" operator="equal" dxfId="0">
      <formula>"Crítico"</formula>
    </cfRule>
    <cfRule type="cellIs" priority="2" operator="equal" dxfId="1">
      <formula>"Alto"</formula>
    </cfRule>
    <cfRule type="cellIs" priority="3" operator="equal" dxfId="2">
      <formula>"Moderado"</formula>
    </cfRule>
    <cfRule type="cellIs" priority="4" operator="equal" dxfId="3">
      <formula>"Bajo"</formula>
    </cfRule>
  </conditionalFormatting>
  <dataValidations count="2">
    <dataValidation sqref="D5:E25" showDropDown="0" showInputMessage="0" showErrorMessage="0" allowBlank="1" type="list">
      <formula1>"1,2,3"</formula1>
    </dataValidation>
    <dataValidation sqref="B5:B25" showDropDown="0" showInputMessage="0" showErrorMessage="0" allowBlank="1" type="list">
      <formula1>"Metodológico,Técnico,Logístico,Ético"</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Z269"/>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64" min="1" max="1"/>
    <col width="70" customWidth="1" style="64" min="2" max="2"/>
    <col width="12" customWidth="1" style="64" min="3" max="3"/>
    <col width="40" customWidth="1" style="64" min="4" max="4"/>
    <col width="8.710000000000001" customWidth="1" style="64" min="5" max="6"/>
  </cols>
  <sheetData>
    <row r="1" ht="25.5" customHeight="1" s="64">
      <c r="A1" s="1" t="inlineStr">
        <is>
          <t>Lista de cotejo de condiciones previas y ficha de revisión ética</t>
        </is>
      </c>
      <c r="E1" s="2" t="n"/>
      <c r="F1" s="2" t="n"/>
      <c r="G1" s="2" t="n"/>
      <c r="H1" s="2" t="n"/>
      <c r="I1" s="2" t="n"/>
      <c r="J1" s="2" t="n"/>
      <c r="K1" s="2" t="n"/>
      <c r="L1" s="2" t="n"/>
      <c r="M1" s="2" t="n"/>
      <c r="N1" s="2" t="n"/>
      <c r="O1" s="2" t="n"/>
      <c r="P1" s="2" t="n"/>
      <c r="Q1" s="2" t="n"/>
      <c r="R1" s="2" t="n"/>
      <c r="S1" s="2" t="n"/>
      <c r="T1" s="2" t="n"/>
      <c r="U1" s="2" t="n"/>
      <c r="V1" s="2" t="n"/>
      <c r="W1" s="2" t="n"/>
      <c r="X1" s="2" t="n"/>
      <c r="Y1" s="2" t="n"/>
      <c r="Z1" s="2" t="n"/>
    </row>
    <row r="2" ht="30" customHeight="1" s="64">
      <c r="A2" s="3" t="inlineStr">
        <is>
          <t>Instrumento del docente. Marque «Sí» solo si existe evidencia documental verificable. El trabajo de campo se autoriza únicamente con la totalidad de los bloques A y E en «Sí».</t>
        </is>
      </c>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30" customHeight="1" s="64">
      <c r="A4" s="4" t="inlineStr">
        <is>
          <t>N.°</t>
        </is>
      </c>
      <c r="B4" s="4" t="inlineStr">
        <is>
          <t>Condición previa / criterio ético</t>
        </is>
      </c>
      <c r="C4" s="4" t="inlineStr">
        <is>
          <t>Cumple</t>
        </is>
      </c>
      <c r="D4" s="4" t="inlineStr">
        <is>
          <t>Evidencia u observación</t>
        </is>
      </c>
      <c r="E4" s="2" t="n"/>
      <c r="F4" s="2" t="n"/>
      <c r="G4" s="2" t="n"/>
      <c r="H4" s="2" t="n"/>
      <c r="I4" s="2" t="n"/>
      <c r="J4" s="2" t="n"/>
      <c r="K4" s="2" t="n"/>
      <c r="L4" s="2" t="n"/>
      <c r="M4" s="2" t="n"/>
      <c r="N4" s="2" t="n"/>
      <c r="O4" s="2" t="n"/>
      <c r="P4" s="2" t="n"/>
      <c r="Q4" s="2" t="n"/>
      <c r="R4" s="2" t="n"/>
      <c r="S4" s="2" t="n"/>
      <c r="T4" s="2" t="n"/>
      <c r="U4" s="2" t="n"/>
      <c r="V4" s="2" t="n"/>
      <c r="W4" s="2" t="n"/>
      <c r="X4" s="2" t="n"/>
      <c r="Y4" s="2" t="n"/>
      <c r="Z4" s="2" t="n"/>
    </row>
    <row r="5" ht="21.75" customHeight="1" s="64">
      <c r="A5" s="76" t="inlineStr">
        <is>
          <t>A. DOCUMENTACIÓN INSTITUCIONAL (bloque obligatorio)</t>
        </is>
      </c>
      <c r="B5" s="77" t="n"/>
      <c r="C5" s="77" t="n"/>
      <c r="D5" s="78"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73" t="n">
        <v>1</v>
      </c>
      <c r="B6" s="73" t="inlineStr">
        <is>
          <t>Carta de presentación de la universidad emitida y recibida</t>
        </is>
      </c>
      <c r="C6" s="79" t="inlineStr">
        <is>
          <t>Sí</t>
        </is>
      </c>
      <c r="D6" s="80" t="inlineStr">
        <is>
          <t>Carta de presentación de la UDH emitida el 15/10/2026 y recibida por la Gerencia del diario el 16/10/2026.</t>
        </is>
      </c>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73" t="n">
        <v>2</v>
      </c>
      <c r="B7" s="73" t="inlineStr">
        <is>
          <t>Autorización institucional firmada por autoridad competente</t>
        </is>
      </c>
      <c r="C7" s="53" t="inlineStr">
        <is>
          <t>Sí</t>
        </is>
      </c>
      <c r="D7" s="48" t="inlineStr">
        <is>
          <t>Carta del 10/07/2026 firmada por la Gerente General de Imprenta Editorial LS &amp; JB S.A.C. (anexo 6.5). Observación: cita el título anterior y a dos estudiantes; se pedirá reemitirla.</t>
        </is>
      </c>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73" t="n">
        <v>3</v>
      </c>
      <c r="B8" s="73" t="inlineStr">
        <is>
          <t>Autorización vigente para el periodo completo del trabajo de campo</t>
        </is>
      </c>
      <c r="C8" s="53" t="inlineStr">
        <is>
          <t>Sí</t>
        </is>
      </c>
      <c r="D8" s="48" t="inlineStr">
        <is>
          <t>Vigente de setiembre a diciembre de 2026; el campo termina el 20/11/2026.</t>
        </is>
      </c>
      <c r="E8" s="2" t="n"/>
      <c r="F8" s="2" t="n"/>
      <c r="G8" s="2" t="n"/>
      <c r="H8" s="2" t="n"/>
      <c r="I8" s="2" t="n"/>
      <c r="J8" s="2" t="n"/>
      <c r="K8" s="2" t="n"/>
      <c r="L8" s="2" t="n"/>
      <c r="M8" s="2" t="n"/>
      <c r="N8" s="2" t="n"/>
      <c r="O8" s="2" t="n"/>
      <c r="P8" s="2" t="n"/>
      <c r="Q8" s="2" t="n"/>
      <c r="R8" s="2" t="n"/>
      <c r="S8" s="2" t="n"/>
      <c r="T8" s="2" t="n"/>
      <c r="U8" s="2" t="n"/>
      <c r="V8" s="2" t="n"/>
      <c r="W8" s="2" t="n"/>
      <c r="X8" s="2" t="n"/>
      <c r="Y8" s="2" t="n"/>
      <c r="Z8" s="2" t="n"/>
    </row>
    <row r="9" ht="19.5" customHeight="1" s="64">
      <c r="A9" s="73" t="n">
        <v>4</v>
      </c>
      <c r="B9" s="73" t="inlineStr">
        <is>
          <t>Trámite de conformidad ética institucional iniciado o resuelto</t>
        </is>
      </c>
      <c r="C9" s="81" t="inlineStr">
        <is>
          <t>Sí</t>
        </is>
      </c>
      <c r="D9" s="82" t="inlineStr">
        <is>
          <t>Conformidad ética otorgada por el Comité de Ética de la UDH el 19/10/2026.</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ht="21.75" customHeight="1" s="64">
      <c r="A10" s="76" t="inlineStr">
        <is>
          <t xml:space="preserve"> </t>
        </is>
      </c>
      <c r="B10" s="77" t="n"/>
      <c r="C10" s="77" t="n"/>
      <c r="D10" s="78"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73" t="n">
        <v>5</v>
      </c>
      <c r="B11" s="73" t="inlineStr">
        <is>
          <t>Población delimitada con documento de respaldo (nómina, registro)</t>
        </is>
      </c>
      <c r="C11" s="79" t="inlineStr">
        <is>
          <t>Sí</t>
        </is>
      </c>
      <c r="D11" s="80" t="inlineStr">
        <is>
          <t>Se anexó el reporte de analítica del portal (setiembre de 2026) que sustenta N = 150 lectores recurrentes.</t>
        </is>
      </c>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73" t="n">
        <v>6</v>
      </c>
      <c r="B12" s="73" t="inlineStr">
        <is>
          <t>Muestra determinada con criterio justificado</t>
        </is>
      </c>
      <c r="C12" s="53" t="inlineStr">
        <is>
          <t>Sí</t>
        </is>
      </c>
      <c r="D12" s="48" t="inlineStr">
        <is>
          <t>n = 108 con la fórmula para poblaciones finitas (95 % de confianza, 5 % de error), PDT §3.4.2.</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73" t="n">
        <v>7</v>
      </c>
      <c r="B13" s="73" t="inlineStr">
        <is>
          <t>Criterios de inclusión, exclusión y eliminación definidos por escrito</t>
        </is>
      </c>
      <c r="C13" s="53" t="inlineStr">
        <is>
          <t>Sí</t>
        </is>
      </c>
      <c r="D13" s="48" t="inlineStr">
        <is>
          <t>PDT §3.4.1; falta agregar la exclusión de familiares y personas cercanas.</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73" t="n">
        <v>8</v>
      </c>
      <c r="B14" s="73" t="inlineStr">
        <is>
          <t>Grupos conformados y documentados (si aplica el diseño)</t>
        </is>
      </c>
      <c r="C14" s="53" t="inlineStr">
        <is>
          <t>Sí</t>
        </is>
      </c>
      <c r="D14" s="48" t="inlineStr">
        <is>
          <t>Grupo único (diseño preexperimental).</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73" t="n">
        <v>9</v>
      </c>
      <c r="B15" s="73" t="inlineStr">
        <is>
          <t>Formato de consentimiento informado elaborado y revisado</t>
        </is>
      </c>
      <c r="C15" s="81" t="inlineStr">
        <is>
          <t>Sí</t>
        </is>
      </c>
      <c r="D15" s="82" t="inlineStr">
        <is>
          <t>Formato 3 completado con el contacto del asesor, el celular del tesista y el plazo de conservación (5 años).</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73" t="n">
        <v>10</v>
      </c>
      <c r="B16" s="73" t="inlineStr">
        <is>
          <t>Formato de asentimiento disponible (si participan menores)</t>
        </is>
      </c>
      <c r="C16" s="53" t="inlineStr">
        <is>
          <t>Sí</t>
        </is>
      </c>
      <c r="D16" s="48" t="inlineStr">
        <is>
          <t>No aplica: solo participan mayores de 18 años.</t>
        </is>
      </c>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9.5" customHeight="1" s="64">
      <c r="A17" s="73" t="n">
        <v>11</v>
      </c>
      <c r="B17" s="73" t="inlineStr">
        <is>
          <t>Mecanismo previsto para casos de subordinación jerárquica</t>
        </is>
      </c>
      <c r="C17" s="53" t="inlineStr">
        <is>
          <t>Sí</t>
        </is>
      </c>
      <c r="D17" s="48" t="inlineStr">
        <is>
          <t>No hay relación jerárquica con los lectores; se excluye al personal del diario y a personas cercanas al tesista.</t>
        </is>
      </c>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21.75" customHeight="1" s="64">
      <c r="A18" s="76" t="inlineStr">
        <is>
          <t>C. INSTRUMENTOS</t>
        </is>
      </c>
      <c r="B18" s="77" t="n"/>
      <c r="C18" s="77" t="n"/>
      <c r="D18" s="78"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73" t="n">
        <v>12</v>
      </c>
      <c r="B19" s="73" t="inlineStr">
        <is>
          <t>Instrumento de pretest validado por juicio de expertos</t>
        </is>
      </c>
      <c r="C19" s="79" t="inlineStr">
        <is>
          <t>Sí</t>
        </is>
      </c>
      <c r="D19" s="80" t="inlineStr">
        <is>
          <t>Juicio de expertos concluido el 16/10/2026: V de Aiken SUS = 0.93; satisfacción = 0.91.</t>
        </is>
      </c>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73" t="n">
        <v>13</v>
      </c>
      <c r="B20" s="73" t="inlineStr">
        <is>
          <t>Confiabilidad calculada y reportada</t>
        </is>
      </c>
      <c r="C20" s="81" t="inlineStr">
        <is>
          <t>Sí</t>
        </is>
      </c>
      <c r="D20" s="82" t="inlineStr">
        <is>
          <t>Piloto con 20 lectores (17–19/10/2026): alfa SUS = 0.81; satisfacción = 0.86.</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c r="A21" s="73" t="n">
        <v>14</v>
      </c>
      <c r="B21" s="73" t="inlineStr">
        <is>
          <t>Instrumento de postest idéntico al pretest, o diferencia justificada</t>
        </is>
      </c>
      <c r="C21" s="53" t="inlineStr">
        <is>
          <t>Sí</t>
        </is>
      </c>
      <c r="D21" s="48" t="inlineStr">
        <is>
          <t>Mismos instrumentos; solo cambian las noticias de las tareas, equivalentes.</t>
        </is>
      </c>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c r="A22" s="73" t="n">
        <v>15</v>
      </c>
      <c r="B22" s="73" t="inlineStr">
        <is>
          <t>Instrumento impreso o digitalizado en cantidad suficiente</t>
        </is>
      </c>
      <c r="C22" s="81" t="inlineStr">
        <is>
          <t>Sí</t>
        </is>
      </c>
      <c r="D22" s="82" t="inlineStr">
        <is>
          <t>Instrumentos cargados en el módulo del experimento el 19/10/2026.</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9.5" customHeight="1" s="64">
      <c r="A23" s="73" t="n">
        <v>16</v>
      </c>
      <c r="B23" s="73" t="inlineStr">
        <is>
          <t>Ficha de registro de datos y base de datos preparada</t>
        </is>
      </c>
      <c r="C23" s="81" t="inlineStr">
        <is>
          <t>Sí</t>
        </is>
      </c>
      <c r="D23" s="82" t="inlineStr">
        <is>
          <t>Base de datos (tablas thesis_*) y contador de clics del portal instalados y probados el 19/10/2026.</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c r="A24" s="76" t="inlineStr">
        <is>
          <t>D. INTERVENCIÓN TECNOLÓGICA</t>
        </is>
      </c>
      <c r="B24" s="77" t="n"/>
      <c r="C24" s="77" t="n"/>
      <c r="D24" s="78"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c r="A25" s="73" t="n">
        <v>17</v>
      </c>
      <c r="B25" s="73" t="inlineStr">
        <is>
          <t>Sistema desplegado y funcional en el ambiente definido</t>
        </is>
      </c>
      <c r="C25" s="79" t="inlineStr">
        <is>
          <t>Sí</t>
        </is>
      </c>
      <c r="D25" s="80" t="inlineStr">
        <is>
          <t>PWA publicada; versión v1.3.2 para el pretest y v1.4.0 congelada el 26/10/2026.</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c r="A26" s="73" t="n">
        <v>18</v>
      </c>
      <c r="B26" s="73" t="inlineStr">
        <is>
          <t>Pruebas técnicas superadas y documentadas</t>
        </is>
      </c>
      <c r="C26" s="81" t="inlineStr">
        <is>
          <t>Sí</t>
        </is>
      </c>
      <c r="D26" s="82" t="inlineStr">
        <is>
          <t>Pruebas técnicas documentadas (informe de pruebas, 18/10/2026).</t>
        </is>
      </c>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c r="A27" s="73" t="n">
        <v>19</v>
      </c>
      <c r="B27" s="73" t="inlineStr">
        <is>
          <t>Plan de capacitación de usuarios elaborado</t>
        </is>
      </c>
      <c r="C27" s="81" t="inlineStr">
        <is>
          <t>Sí</t>
        </is>
      </c>
      <c r="D27" s="82" t="inlineStr">
        <is>
          <t>Guía rápida de uso disponible dentro de la aplicación.</t>
        </is>
      </c>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c r="A28" s="73" t="n">
        <v>20</v>
      </c>
      <c r="B28" s="73" t="inlineStr">
        <is>
          <t>Mecanismo de registro de uso (logs, bitácora) habilitado</t>
        </is>
      </c>
      <c r="C28" s="53" t="inlineStr">
        <is>
          <t>Sí</t>
        </is>
      </c>
      <c r="D28" s="48" t="inlineStr">
        <is>
          <t>Microservicio de telemetría activo.</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c r="A29" s="73" t="n">
        <v>21</v>
      </c>
      <c r="B29" s="73" t="inlineStr">
        <is>
          <t>Plan de respaldo y recuperación ante fallas definido</t>
        </is>
      </c>
      <c r="C29" s="81" t="inlineStr">
        <is>
          <t>Sí</t>
        </is>
      </c>
      <c r="D29" s="82" t="inlineStr">
        <is>
          <t>Copia diaria cifrada implementada en una segunda ubicación.</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c r="A30" s="76" t="inlineStr">
        <is>
          <t>E. LOGÍSTICA Y PROTECCIÓN DE DATOS (bloque obligatorio)</t>
        </is>
      </c>
      <c r="B30" s="77" t="n"/>
      <c r="C30" s="77" t="n"/>
      <c r="D30" s="78"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c r="A31" s="73" t="n">
        <v>22</v>
      </c>
      <c r="B31" s="73" t="inlineStr">
        <is>
          <t>Cronograma de campo con fechas y responsables aprobado por el asesor</t>
        </is>
      </c>
      <c r="C31" s="79" t="inlineStr">
        <is>
          <t>Sí</t>
        </is>
      </c>
      <c r="D31" s="80" t="inlineStr">
        <is>
          <t>Cronograma aprobado por el asesor el 16/10/2026.</t>
        </is>
      </c>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c r="A32" s="73" t="n">
        <v>23</v>
      </c>
      <c r="B32" s="73" t="inlineStr">
        <is>
          <t>Espacios y recursos confirmados con la institución</t>
        </is>
      </c>
      <c r="C32" s="53" t="inlineStr">
        <is>
          <t>Sí</t>
        </is>
      </c>
      <c r="D32" s="48" t="inlineStr">
        <is>
          <t>La autorización aprueba el despliegue en modo de prueba y la participación voluntaria de lectores.</t>
        </is>
      </c>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c r="A33" s="73" t="n">
        <v>24</v>
      </c>
      <c r="B33" s="73" t="inlineStr">
        <is>
          <t>Codificación de participantes definida y libro de códigos creado</t>
        </is>
      </c>
      <c r="C33" s="53" t="inlineStr">
        <is>
          <t>Sí</t>
        </is>
      </c>
      <c r="D33" s="48" t="inlineStr">
        <is>
          <t>Códigos GU-TDH-### y libro de códigos (hoja 2).</t>
        </is>
      </c>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c r="A34" s="73" t="n">
        <v>25</v>
      </c>
      <c r="B34" s="73" t="inlineStr">
        <is>
          <t>Medidas de resguardo, cifrado y respaldo de datos implementadas</t>
        </is>
      </c>
      <c r="C34" s="81" t="inlineStr">
        <is>
          <t>Sí</t>
        </is>
      </c>
      <c r="D34" s="82" t="inlineStr">
        <is>
          <t>Copia cifrada implementada y probada (restauración de prueba el 18/10/2026).</t>
        </is>
      </c>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9.5" customHeight="1" s="64">
      <c r="A35" s="73" t="n">
        <v>26</v>
      </c>
      <c r="B35" s="73" t="inlineStr">
        <is>
          <t>Matriz de riesgos elaborada y socializada con el asesor</t>
        </is>
      </c>
      <c r="C35" s="81" t="inlineStr">
        <is>
          <t>Sí</t>
        </is>
      </c>
      <c r="D35" s="82" t="inlineStr">
        <is>
          <t>Matriz socializada con el asesor el 16/10/2026.</t>
        </is>
      </c>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c r="A36" s="76" t="inlineStr">
        <is>
          <t>F. FICHA DE REVISIÓN ÉTICA — RESPETO A LAS PERSONAS (crítico)</t>
        </is>
      </c>
      <c r="B36" s="77" t="n"/>
      <c r="C36" s="77" t="n"/>
      <c r="D36" s="78"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c r="A37" s="73" t="n">
        <v>27</v>
      </c>
      <c r="B37" s="73" t="inlineStr">
        <is>
          <t>La participación es voluntaria y así consta por escrito</t>
        </is>
      </c>
      <c r="C37" s="57" t="inlineStr">
        <is>
          <t>Sí</t>
        </is>
      </c>
      <c r="D37" s="42" t="inlineStr">
        <is>
          <t>Cláusula de voluntariedad del consentimiento (anexo 6.3.1).</t>
        </is>
      </c>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73" t="n">
        <v>28</v>
      </c>
      <c r="B38" s="73" t="inlineStr">
        <is>
          <t>El participante puede retirarse sin consecuencia alguna</t>
        </is>
      </c>
      <c r="C38" s="53" t="inlineStr">
        <is>
          <t>Sí</t>
        </is>
      </c>
      <c r="D38" s="48" t="inlineStr">
        <is>
          <t>Cláusula de retiro sin consecuencias.</t>
        </is>
      </c>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c r="A39" s="73" t="n">
        <v>29</v>
      </c>
      <c r="B39" s="73" t="inlineStr">
        <is>
          <t>La información se presenta en lenguaje comprensible, sin tecnicismos</t>
        </is>
      </c>
      <c r="C39" s="53" t="inlineStr">
        <is>
          <t>Sí</t>
        </is>
      </c>
      <c r="D39" s="48" t="inlineStr">
        <is>
          <t>Redacción sin tecnicismos.</t>
        </is>
      </c>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c r="A40" s="73" t="n">
        <v>30</v>
      </c>
      <c r="B40" s="73" t="inlineStr">
        <is>
          <t>Se entrega copia del consentimiento al participante</t>
        </is>
      </c>
      <c r="C40" s="81" t="inlineStr">
        <is>
          <t>Sí</t>
        </is>
      </c>
      <c r="D40" s="82" t="inlineStr">
        <is>
          <t>El sistema envía al participante una copia en PDF del consentimiento a su correo o WhatsApp.</t>
        </is>
      </c>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9.5" customHeight="1" s="64">
      <c r="A41" s="73" t="n">
        <v>31</v>
      </c>
      <c r="B41" s="73" t="inlineStr">
        <is>
          <t>Se prevé consentimiento y asentimiento para menores, si corresponde</t>
        </is>
      </c>
      <c r="C41" s="53" t="inlineStr">
        <is>
          <t>Sí</t>
        </is>
      </c>
      <c r="D41" s="48" t="inlineStr">
        <is>
          <t>No aplica: solo mayores de 18 años.</t>
        </is>
      </c>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21.75" customHeight="1" s="64">
      <c r="A42" s="76" t="inlineStr">
        <is>
          <t>G. BENEFICENCIA Y NO MALEFICENCIA</t>
        </is>
      </c>
      <c r="B42" s="77" t="n"/>
      <c r="C42" s="77" t="n"/>
      <c r="D42" s="78"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c r="A43" s="73" t="n">
        <v>32</v>
      </c>
      <c r="B43" s="73" t="inlineStr">
        <is>
          <t>Los riesgos previsibles están identificados y son mínimos</t>
        </is>
      </c>
      <c r="C43" s="57" t="inlineStr">
        <is>
          <t>Sí</t>
        </is>
      </c>
      <c r="D43" s="42" t="inlineStr">
        <is>
          <t>Hoja 5; riesgo mínimo: búsquedas de noticias y cuestionarios.</t>
        </is>
      </c>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c r="A44" s="73" t="n">
        <v>33</v>
      </c>
      <c r="B44" s="73" t="inlineStr">
        <is>
          <t>Existen medidas concretas de mitigación para cada riesgo</t>
        </is>
      </c>
      <c r="C44" s="53" t="inlineStr">
        <is>
          <t>Sí</t>
        </is>
      </c>
      <c r="D44" s="48" t="inlineStr">
        <is>
          <t>Cada riesgo tiene medida preventiva y plan de contingencia (hoja 5).</t>
        </is>
      </c>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c r="A45" s="73" t="n">
        <v>34</v>
      </c>
      <c r="B45" s="73" t="inlineStr">
        <is>
          <t>La intervención no interrumpe indebidamente el servicio institucional</t>
        </is>
      </c>
      <c r="C45" s="53" t="inlineStr">
        <is>
          <t>Sí</t>
        </is>
      </c>
      <c r="D45" s="48" t="inlineStr">
        <is>
          <t>La aplicación funciona en paralelo, en un subdominio; el portal no se modifica salvo el contador de clics.</t>
        </is>
      </c>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c r="A46" s="73" t="n">
        <v>35</v>
      </c>
      <c r="B46" s="73" t="inlineStr">
        <is>
          <t>Se prevé continuidad operativa si el sistema falla durante el campo</t>
        </is>
      </c>
      <c r="C46" s="53" t="inlineStr">
        <is>
          <t>Sí</t>
        </is>
      </c>
      <c r="D46" s="48" t="inlineStr">
        <is>
          <t>El portal actual sigue disponible; reprogramación dentro de la holgura.</t>
        </is>
      </c>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c r="A47" s="76" t="inlineStr">
        <is>
          <t>H. JUSTICIA</t>
        </is>
      </c>
      <c r="B47" s="77" t="n"/>
      <c r="C47" s="77" t="n"/>
      <c r="D47" s="78"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c r="A48" s="73" t="n">
        <v>36</v>
      </c>
      <c r="B48" s="73" t="inlineStr">
        <is>
          <t>Los criterios de selección no discriminan ni sobrecargan a un grupo</t>
        </is>
      </c>
      <c r="C48" s="57" t="inlineStr">
        <is>
          <t>Sí</t>
        </is>
      </c>
      <c r="D48" s="42" t="inlineStr">
        <is>
          <t>Criterios de inclusión y exclusión justificados (PDT §3.4.1).</t>
        </is>
      </c>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c r="A49" s="73" t="n">
        <v>37</v>
      </c>
      <c r="B49" s="73" t="inlineStr">
        <is>
          <t>El grupo de comparación no es privado injustificadamente del beneficio</t>
        </is>
      </c>
      <c r="C49" s="53" t="inlineStr">
        <is>
          <t>Sí</t>
        </is>
      </c>
      <c r="D49" s="48" t="inlineStr">
        <is>
          <t>No aplica: grupo único; todos los participantes usan la aplicación.</t>
        </is>
      </c>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c r="A50" s="73" t="n">
        <v>38</v>
      </c>
      <c r="B50" s="73" t="inlineStr">
        <is>
          <t>Se prevé acceso posterior al sistema para el grupo de comparación</t>
        </is>
      </c>
      <c r="C50" s="53" t="inlineStr">
        <is>
          <t>Sí</t>
        </is>
      </c>
      <c r="D50" s="48" t="inlineStr">
        <is>
          <t>No aplica: grupo único.</t>
        </is>
      </c>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c r="A51" s="76" t="inlineStr">
        <is>
          <t>I. CONFIDENCIALIDAD Y DATOS (crítico)</t>
        </is>
      </c>
      <c r="B51" s="77" t="n"/>
      <c r="C51" s="77" t="n"/>
      <c r="D51" s="78"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c r="A52" s="73" t="n">
        <v>39</v>
      </c>
      <c r="B52" s="73" t="inlineStr">
        <is>
          <t>Los participantes están codificados; no hay nombres en la base de análisis</t>
        </is>
      </c>
      <c r="C52" s="57" t="inlineStr">
        <is>
          <t>Sí</t>
        </is>
      </c>
      <c r="D52" s="42" t="inlineStr">
        <is>
          <t>La base de análisis solo contiene códigos.</t>
        </is>
      </c>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c r="A53" s="73" t="n">
        <v>40</v>
      </c>
      <c r="B53" s="73" t="inlineStr">
        <is>
          <t>El libro de códigos se conserva separado y protegido</t>
        </is>
      </c>
      <c r="C53" s="53" t="inlineStr">
        <is>
          <t>Sí</t>
        </is>
      </c>
      <c r="D53" s="48" t="inlineStr">
        <is>
          <t>Libro de códigos en archivo separado con contraseña.</t>
        </is>
      </c>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c r="A54" s="73" t="n">
        <v>41</v>
      </c>
      <c r="B54" s="73" t="inlineStr">
        <is>
          <t>Se declara finalidad, plazo de conservación y eliminación de los datos</t>
        </is>
      </c>
      <c r="C54" s="81" t="inlineStr">
        <is>
          <t>Sí</t>
        </is>
      </c>
      <c r="D54" s="82" t="inlineStr">
        <is>
          <t>Plazo de conservación: 5 años; luego se eliminan los datos de forma segura.</t>
        </is>
      </c>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c r="A55" s="73" t="n">
        <v>42</v>
      </c>
      <c r="B55" s="73" t="inlineStr">
        <is>
          <t>Las capturas del sistema en el informe tienen datos enmascarados</t>
        </is>
      </c>
      <c r="C55" s="53" t="inlineStr">
        <is>
          <t>Sí</t>
        </is>
      </c>
      <c r="D55" s="48" t="inlineStr">
        <is>
          <t>Compromiso: nombres y celulares se enmascaran en capturas y anexos.</t>
        </is>
      </c>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c r="A56" s="73" t="n">
        <v>43</v>
      </c>
      <c r="B56" s="73" t="inlineStr">
        <is>
          <t>El acceso a la base institucional está expresamente autorizado</t>
        </is>
      </c>
      <c r="C56" s="81" t="inlineStr">
        <is>
          <t>Sí</t>
        </is>
      </c>
      <c r="D56" s="82" t="inlineStr">
        <is>
          <t>La autorización reemitida (23/10/2026) menciona expresamente el uso del contenido y la API del portal.</t>
        </is>
      </c>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c r="A57" s="76" t="inlineStr">
        <is>
          <t>J. INTEGRIDAD CIENTÍFICA</t>
        </is>
      </c>
      <c r="B57" s="77" t="n"/>
      <c r="C57" s="77" t="n"/>
      <c r="D57" s="78"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c r="A58" s="73" t="n">
        <v>44</v>
      </c>
      <c r="B58" s="73" t="inlineStr">
        <is>
          <t>No se han preseleccionado casos para favorecer el resultado esperado</t>
        </is>
      </c>
      <c r="C58" s="57" t="inlineStr">
        <is>
          <t>Sí</t>
        </is>
      </c>
      <c r="D58" s="36" t="inlineStr">
        <is>
          <t>Participantes con vínculo con el tesista identificados en el libro de códigos; los resultados se verifican también sin ellos (análisis de sensibilidad).</t>
        </is>
      </c>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c r="A59" s="73" t="n">
        <v>45</v>
      </c>
      <c r="B59" s="73" t="inlineStr">
        <is>
          <t>Se compromete el reporte de resultados adversos o no significativos</t>
        </is>
      </c>
      <c r="C59" s="53" t="inlineStr">
        <is>
          <t>Sí</t>
        </is>
      </c>
      <c r="D59" s="37" t="inlineStr">
        <is>
          <t>Se reportan todos los resultados, incluidos los no significativos (PDT §3.6).</t>
        </is>
      </c>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c r="A60" s="73" t="n">
        <v>46</v>
      </c>
      <c r="B60" s="73" t="inlineStr">
        <is>
          <t>Se declara conflicto de interés (vínculo laboral, comercial o familiar)</t>
        </is>
      </c>
      <c r="C60" s="53" t="inlineStr">
        <is>
          <t>Sí</t>
        </is>
      </c>
      <c r="D60" s="37" t="inlineStr">
        <is>
          <t>El tesista trabaja como desarrollador en el diario (PDT §1.6); se declarará también en el consentimiento.</t>
        </is>
      </c>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c r="A61" s="73" t="n">
        <v>47</v>
      </c>
      <c r="B61" s="73" t="inlineStr">
        <is>
          <t>El protocolo no será modificado durante la ejecución sin registro escrito</t>
        </is>
      </c>
      <c r="C61" s="53" t="inlineStr">
        <is>
          <t>Sí</t>
        </is>
      </c>
      <c r="D61" s="37" t="inlineStr">
        <is>
          <t>Cualquier cambio se registra por escrito y se informa al asesor.</t>
        </is>
      </c>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4">
      <c r="A63" s="31" t="inlineStr">
        <is>
          <t>Ítems cumplidos</t>
        </is>
      </c>
      <c r="B63" s="32">
        <f>COUNTIF(C6:C61,"Sí")</f>
        <v/>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4">
      <c r="A64" s="31" t="inlineStr">
        <is>
          <t>Ítems incumplidos</t>
        </is>
      </c>
      <c r="B64" s="32">
        <f>COUNTIF(C6:C61,"No")</f>
        <v/>
      </c>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4">
      <c r="A65" s="31" t="inlineStr">
        <is>
          <t>Total de ítems</t>
        </is>
      </c>
      <c r="B65" s="32">
        <f>COUNTA(B6:B61)</f>
        <v/>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4">
      <c r="A66" s="31" t="inlineStr">
        <is>
          <t>Porcentaje de cumplimiento</t>
        </is>
      </c>
      <c r="B66" s="34">
        <f>IF(B65=0,0,B63/B65)</f>
        <v/>
      </c>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4">
      <c r="A67" s="58" t="inlineStr">
        <is>
          <t>DICTAMEN</t>
        </is>
      </c>
      <c r="B67" s="59">
        <f>IF(B64=0,"APTO PARA EJECUCIÓN",IF(B64&lt;=3,"APTO CON OBSERVACIONES SUBSANABLES","NO APTO — REQUIERE REFORMULACIÓN"))</f>
        <v/>
      </c>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4">
      <c r="A69" s="33" t="inlineStr">
        <is>
          <t>Regla de habilitación: un solo «No» en los bloques A, E, F o I impide autorizar el inicio del trabajo de campo, cualquiera sea el porcentaje de cumplimiento global.</t>
        </is>
      </c>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4">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64">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64">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6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64">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64">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64">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64">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64">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64">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64">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64">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64">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6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64">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64">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64">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64">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64">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64">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64">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64">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64">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6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64">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64">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64">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64">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64">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64">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64">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64">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64">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6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64">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64">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64">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64">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64">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64">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64">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64">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64">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64">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64">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64">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64">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64">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mergeCells count="12">
    <mergeCell ref="A1:D1"/>
    <mergeCell ref="A5:D5"/>
    <mergeCell ref="A18:D18"/>
    <mergeCell ref="A30:D30"/>
    <mergeCell ref="A57:D57"/>
    <mergeCell ref="A24:D24"/>
    <mergeCell ref="A2:D2"/>
    <mergeCell ref="A51:D51"/>
    <mergeCell ref="A10:D10"/>
    <mergeCell ref="A42:D42"/>
    <mergeCell ref="A36:D36"/>
    <mergeCell ref="A47:D47"/>
  </mergeCells>
  <conditionalFormatting sqref="C6:C61">
    <cfRule type="cellIs" priority="1" operator="equal" dxfId="0">
      <formula>"No"</formula>
    </cfRule>
    <cfRule type="cellIs" priority="2" operator="equal" dxfId="3">
      <formula>"Sí"</formula>
    </cfRule>
  </conditionalFormatting>
  <dataValidations count="1">
    <dataValidation sqref="C6:C9 C11:C17 C19:C23 C25:C29 C31:C35 C37:C41 C43:C46 C48:C50 C52:C56 C58:C61" showDropDown="0" showInputMessage="0" showErrorMessage="0" allowBlank="1" type="list">
      <formula1>"Sí,No"</formula1>
    </dataValidation>
  </dataValidation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Z220"/>
  <sheetViews>
    <sheetView workbookViewId="0">
      <pane ySplit="4" topLeftCell="A5" activePane="bottomLeft" state="frozen"/>
      <selection pane="bottomLeft" activeCell="B6" sqref="B6"/>
    </sheetView>
  </sheetViews>
  <sheetFormatPr baseColWidth="8" defaultColWidth="14.43" defaultRowHeight="15" customHeight="1"/>
  <cols>
    <col width="5" customWidth="1" style="64" min="1" max="1"/>
    <col width="26" customWidth="1" style="64" min="2" max="2"/>
    <col width="33" customWidth="1" style="64" min="3" max="6"/>
    <col width="11" customWidth="1" style="64" min="7" max="7"/>
  </cols>
  <sheetData>
    <row r="1" ht="25.5" customHeight="1" s="64">
      <c r="A1" s="1" t="inlineStr">
        <is>
          <t>Rúbrica del protocolo de ejecución</t>
        </is>
      </c>
      <c r="H1" s="2" t="n"/>
      <c r="I1" s="2" t="n"/>
      <c r="J1" s="2" t="n"/>
      <c r="K1" s="2" t="n"/>
      <c r="L1" s="2" t="n"/>
      <c r="M1" s="2" t="n"/>
      <c r="N1" s="2" t="n"/>
      <c r="O1" s="2" t="n"/>
      <c r="P1" s="2" t="n"/>
      <c r="Q1" s="2" t="n"/>
      <c r="R1" s="2" t="n"/>
      <c r="S1" s="2" t="n"/>
      <c r="T1" s="2" t="n"/>
      <c r="U1" s="2" t="n"/>
      <c r="V1" s="2" t="n"/>
      <c r="W1" s="2" t="n"/>
      <c r="X1" s="2" t="n"/>
      <c r="Y1" s="2" t="n"/>
      <c r="Z1" s="2" t="n"/>
    </row>
    <row r="2" ht="30" customHeight="1" s="64">
      <c r="A2" s="3" t="inlineStr">
        <is>
          <t>Escala vigesimal. Cada criterio vale hasta 2.5 puntos: Logro destacado 2.5 · Logro esperado 2.0 · En proceso 1.5 · En inicio 1.0 o menos. Registre el puntaje en la última columna.</t>
        </is>
      </c>
      <c r="H2" s="2" t="n"/>
      <c r="I2" s="2" t="n"/>
      <c r="J2" s="2" t="n"/>
      <c r="K2" s="2" t="n"/>
      <c r="L2" s="2" t="n"/>
      <c r="M2" s="2" t="n"/>
      <c r="N2" s="2" t="n"/>
      <c r="O2" s="2" t="n"/>
      <c r="P2" s="2" t="n"/>
      <c r="Q2" s="2" t="n"/>
      <c r="R2" s="2" t="n"/>
      <c r="S2" s="2" t="n"/>
      <c r="T2" s="2" t="n"/>
      <c r="U2" s="2" t="n"/>
      <c r="V2" s="2" t="n"/>
      <c r="W2" s="2" t="n"/>
      <c r="X2" s="2" t="n"/>
      <c r="Y2" s="2" t="n"/>
      <c r="Z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31.5" customHeight="1" s="64">
      <c r="A4" s="4" t="inlineStr">
        <is>
          <t>N.°</t>
        </is>
      </c>
      <c r="B4" s="4" t="inlineStr">
        <is>
          <t>Criterio</t>
        </is>
      </c>
      <c r="C4" s="4" t="inlineStr">
        <is>
          <t>Logro destacado (2.5)</t>
        </is>
      </c>
      <c r="D4" s="4" t="inlineStr">
        <is>
          <t>Logro esperado (2.0)</t>
        </is>
      </c>
      <c r="E4" s="4" t="inlineStr">
        <is>
          <t>En proceso (1.5)</t>
        </is>
      </c>
      <c r="F4" s="4" t="inlineStr">
        <is>
          <t>En inicio (1.0 – 0)</t>
        </is>
      </c>
      <c r="G4" s="4" t="inlineStr">
        <is>
          <t>Puntaje</t>
        </is>
      </c>
      <c r="H4" s="2" t="n"/>
      <c r="I4" s="2" t="n"/>
      <c r="J4" s="2" t="n"/>
      <c r="K4" s="2" t="n"/>
      <c r="L4" s="2" t="n"/>
      <c r="M4" s="2" t="n"/>
      <c r="N4" s="2" t="n"/>
      <c r="O4" s="2" t="n"/>
      <c r="P4" s="2" t="n"/>
      <c r="Q4" s="2" t="n"/>
      <c r="R4" s="2" t="n"/>
      <c r="S4" s="2" t="n"/>
      <c r="T4" s="2" t="n"/>
      <c r="U4" s="2" t="n"/>
      <c r="V4" s="2" t="n"/>
      <c r="W4" s="2" t="n"/>
      <c r="X4" s="2" t="n"/>
      <c r="Y4" s="2" t="n"/>
      <c r="Z4" s="2" t="n"/>
    </row>
    <row r="5" ht="63.75" customHeight="1" s="64">
      <c r="A5" s="9" t="n">
        <v>1</v>
      </c>
      <c r="B5" s="6" t="inlineStr">
        <is>
          <t>Diseño y notación</t>
        </is>
      </c>
      <c r="C5" s="73" t="inlineStr">
        <is>
          <t>Esquema correcto, justificado, con amenazas a la validez identificadas y controladas</t>
        </is>
      </c>
      <c r="D5" s="73" t="inlineStr">
        <is>
          <t>Esquema correcto y coherente con el diseño declarado</t>
        </is>
      </c>
      <c r="E5" s="73" t="inlineStr">
        <is>
          <t>Esquema presente con imprecisiones en la notación o en la denominación</t>
        </is>
      </c>
      <c r="F5" s="73" t="inlineStr">
        <is>
          <t>Esquema ausente, erróneo o incompatible con el diseño declarado</t>
        </is>
      </c>
      <c r="G5" s="60" t="n"/>
      <c r="H5" s="2" t="n"/>
      <c r="I5" s="2" t="n"/>
      <c r="J5" s="2" t="n"/>
      <c r="K5" s="2" t="n"/>
      <c r="L5" s="2" t="n"/>
      <c r="M5" s="2" t="n"/>
      <c r="N5" s="2" t="n"/>
      <c r="O5" s="2" t="n"/>
      <c r="P5" s="2" t="n"/>
      <c r="Q5" s="2" t="n"/>
      <c r="R5" s="2" t="n"/>
      <c r="S5" s="2" t="n"/>
      <c r="T5" s="2" t="n"/>
      <c r="U5" s="2" t="n"/>
      <c r="V5" s="2" t="n"/>
      <c r="W5" s="2" t="n"/>
      <c r="X5" s="2" t="n"/>
      <c r="Y5" s="2" t="n"/>
      <c r="Z5" s="2" t="n"/>
    </row>
    <row r="6" ht="63.75" customHeight="1" s="64">
      <c r="A6" s="16" t="n">
        <v>2</v>
      </c>
      <c r="B6" s="12" t="inlineStr">
        <is>
          <t>Población, muestra y muestreo</t>
        </is>
      </c>
      <c r="C6" s="28" t="inlineStr">
        <is>
          <t>Población documentada, muestra justificada técnicamente, criterios de inclusión, exclusión y eliminación explícitos</t>
        </is>
      </c>
      <c r="D6" s="28" t="inlineStr">
        <is>
          <t>Población y muestra definidas con criterios claros</t>
        </is>
      </c>
      <c r="E6" s="28" t="inlineStr">
        <is>
          <t>Definición general sin criterios completos o sin sustento del tamaño</t>
        </is>
      </c>
      <c r="F6" s="28" t="inlineStr">
        <is>
          <t>Población o muestra indefinida, o cifras sin respaldo</t>
        </is>
      </c>
      <c r="G6" s="60" t="n"/>
      <c r="H6" s="2" t="n"/>
      <c r="I6" s="2" t="n"/>
      <c r="J6" s="2" t="n"/>
      <c r="K6" s="2" t="n"/>
      <c r="L6" s="2" t="n"/>
      <c r="M6" s="2" t="n"/>
      <c r="N6" s="2" t="n"/>
      <c r="O6" s="2" t="n"/>
      <c r="P6" s="2" t="n"/>
      <c r="Q6" s="2" t="n"/>
      <c r="R6" s="2" t="n"/>
      <c r="S6" s="2" t="n"/>
      <c r="T6" s="2" t="n"/>
      <c r="U6" s="2" t="n"/>
      <c r="V6" s="2" t="n"/>
      <c r="W6" s="2" t="n"/>
      <c r="X6" s="2" t="n"/>
      <c r="Y6" s="2" t="n"/>
      <c r="Z6" s="2" t="n"/>
    </row>
    <row r="7" ht="63.75" customHeight="1" s="64">
      <c r="A7" s="9" t="n">
        <v>3</v>
      </c>
      <c r="B7" s="6" t="inlineStr">
        <is>
          <t>Conformación de grupos</t>
        </is>
      </c>
      <c r="C7" s="73" t="inlineStr">
        <is>
          <t>Grupos definidos con evidencia de equivalencia inicial y manejo ético del grupo de comparación previsto</t>
        </is>
      </c>
      <c r="D7" s="73" t="inlineStr">
        <is>
          <t>Grupos definidos y descritos coherentemente con el diseño</t>
        </is>
      </c>
      <c r="E7" s="73" t="inlineStr">
        <is>
          <t>Grupos mencionados sin criterio de conformación</t>
        </is>
      </c>
      <c r="F7" s="73" t="inlineStr">
        <is>
          <t>Grupos ausentes o contradictorios con el diseño</t>
        </is>
      </c>
      <c r="G7" s="60" t="n"/>
      <c r="H7" s="2" t="n"/>
      <c r="I7" s="2" t="n"/>
      <c r="J7" s="2" t="n"/>
      <c r="K7" s="2" t="n"/>
      <c r="L7" s="2" t="n"/>
      <c r="M7" s="2" t="n"/>
      <c r="N7" s="2" t="n"/>
      <c r="O7" s="2" t="n"/>
      <c r="P7" s="2" t="n"/>
      <c r="Q7" s="2" t="n"/>
      <c r="R7" s="2" t="n"/>
      <c r="S7" s="2" t="n"/>
      <c r="T7" s="2" t="n"/>
      <c r="U7" s="2" t="n"/>
      <c r="V7" s="2" t="n"/>
      <c r="W7" s="2" t="n"/>
      <c r="X7" s="2" t="n"/>
      <c r="Y7" s="2" t="n"/>
      <c r="Z7" s="2" t="n"/>
    </row>
    <row r="8" ht="63.75" customHeight="1" s="64">
      <c r="A8" s="16" t="n">
        <v>4</v>
      </c>
      <c r="B8" s="12" t="inlineStr">
        <is>
          <t>Intervención (X)</t>
        </is>
      </c>
      <c r="C8" s="28" t="inlineStr">
        <is>
          <t>Contenido, dosis, fidelidad, condiciones de despliegue y capacitación plenamente especificados; replicable por un tercero</t>
        </is>
      </c>
      <c r="D8" s="28" t="inlineStr">
        <is>
          <t>Intervención descrita con periodo y condiciones definidos</t>
        </is>
      </c>
      <c r="E8" s="28" t="inlineStr">
        <is>
          <t>Intervención descrita de modo genérico («se implementa el sistema»)</t>
        </is>
      </c>
      <c r="F8" s="28" t="inlineStr">
        <is>
          <t>Intervención no descrita o confundida con la entrega del software</t>
        </is>
      </c>
      <c r="G8" s="60" t="n"/>
      <c r="H8" s="2" t="n"/>
      <c r="I8" s="2" t="n"/>
      <c r="J8" s="2" t="n"/>
      <c r="K8" s="2" t="n"/>
      <c r="L8" s="2" t="n"/>
      <c r="M8" s="2" t="n"/>
      <c r="N8" s="2" t="n"/>
      <c r="O8" s="2" t="n"/>
      <c r="P8" s="2" t="n"/>
      <c r="Q8" s="2" t="n"/>
      <c r="R8" s="2" t="n"/>
      <c r="S8" s="2" t="n"/>
      <c r="T8" s="2" t="n"/>
      <c r="U8" s="2" t="n"/>
      <c r="V8" s="2" t="n"/>
      <c r="W8" s="2" t="n"/>
      <c r="X8" s="2" t="n"/>
      <c r="Y8" s="2" t="n"/>
      <c r="Z8" s="2" t="n"/>
    </row>
    <row r="9" ht="63.75" customHeight="1" s="64">
      <c r="A9" s="9" t="n">
        <v>5</v>
      </c>
      <c r="B9" s="6" t="inlineStr">
        <is>
          <t>Autorizaciones y consentimiento</t>
        </is>
      </c>
      <c r="C9" s="73" t="inlineStr">
        <is>
          <t>Expediente completo con los tres niveles; formatos con los diez elementos; previsión de subordinación resuelta</t>
        </is>
      </c>
      <c r="D9" s="73" t="inlineStr">
        <is>
          <t>Autorización institucional y consentimiento completos y firmados</t>
        </is>
      </c>
      <c r="E9" s="73" t="inlineStr">
        <is>
          <t>Documentos elaborados pero incompletos o sin firma</t>
        </is>
      </c>
      <c r="F9" s="73" t="inlineStr">
        <is>
          <t>Sin autorización o sin consentimiento</t>
        </is>
      </c>
      <c r="G9" s="60" t="n"/>
      <c r="H9" s="2" t="n"/>
      <c r="I9" s="2" t="n"/>
      <c r="J9" s="2" t="n"/>
      <c r="K9" s="2" t="n"/>
      <c r="L9" s="2" t="n"/>
      <c r="M9" s="2" t="n"/>
      <c r="N9" s="2" t="n"/>
      <c r="O9" s="2" t="n"/>
      <c r="P9" s="2" t="n"/>
      <c r="Q9" s="2" t="n"/>
      <c r="R9" s="2" t="n"/>
      <c r="S9" s="2" t="n"/>
      <c r="T9" s="2" t="n"/>
      <c r="U9" s="2" t="n"/>
      <c r="V9" s="2" t="n"/>
      <c r="W9" s="2" t="n"/>
      <c r="X9" s="2" t="n"/>
      <c r="Y9" s="2" t="n"/>
      <c r="Z9" s="2" t="n"/>
    </row>
    <row r="10" ht="63.75" customHeight="1" s="64">
      <c r="A10" s="16" t="n">
        <v>6</v>
      </c>
      <c r="B10" s="12" t="inlineStr">
        <is>
          <t>Protección de datos</t>
        </is>
      </c>
      <c r="C10" s="28" t="inlineStr">
        <is>
          <t>Codificación aplicada, libro de códigos separado y cifrado, plazo de conservación y eliminación declarados, medidas técnicas verificables</t>
        </is>
      </c>
      <c r="D10" s="28" t="inlineStr">
        <is>
          <t>Codificación y medidas de confidencialidad definidas</t>
        </is>
      </c>
      <c r="E10" s="28" t="inlineStr">
        <is>
          <t>Menciona confidencialidad sin procedimiento operativo</t>
        </is>
      </c>
      <c r="F10" s="28" t="inlineStr">
        <is>
          <t>Datos identificables sin protección declarada</t>
        </is>
      </c>
      <c r="G10" s="60" t="n"/>
      <c r="H10" s="2" t="n"/>
      <c r="I10" s="2" t="n"/>
      <c r="J10" s="2" t="n"/>
      <c r="K10" s="2" t="n"/>
      <c r="L10" s="2" t="n"/>
      <c r="M10" s="2" t="n"/>
      <c r="N10" s="2" t="n"/>
      <c r="O10" s="2" t="n"/>
      <c r="P10" s="2" t="n"/>
      <c r="Q10" s="2" t="n"/>
      <c r="R10" s="2" t="n"/>
      <c r="S10" s="2" t="n"/>
      <c r="T10" s="2" t="n"/>
      <c r="U10" s="2" t="n"/>
      <c r="V10" s="2" t="n"/>
      <c r="W10" s="2" t="n"/>
      <c r="X10" s="2" t="n"/>
      <c r="Y10" s="2" t="n"/>
      <c r="Z10" s="2" t="n"/>
    </row>
    <row r="11" ht="63.75" customHeight="1" s="64">
      <c r="A11" s="9" t="n">
        <v>7</v>
      </c>
      <c r="B11" s="6" t="inlineStr">
        <is>
          <t>Matriz de riesgos</t>
        </is>
      </c>
      <c r="C11" s="73" t="inlineStr">
        <is>
          <t>Ocho o más riesgos en las cuatro categorías, valorados, con medidas preventivas y de contingencia diferenciadas y responsable asignado</t>
        </is>
      </c>
      <c r="D11" s="73" t="inlineStr">
        <is>
          <t>Riesgos identificados y valorados con medidas preventivas</t>
        </is>
      </c>
      <c r="E11" s="73" t="inlineStr">
        <is>
          <t>Lista de riesgos sin valoración o sin medidas</t>
        </is>
      </c>
      <c r="F11" s="73" t="inlineStr">
        <is>
          <t>Sin matriz de riesgos</t>
        </is>
      </c>
      <c r="G11" s="60" t="n"/>
      <c r="H11" s="2" t="n"/>
      <c r="I11" s="2" t="n"/>
      <c r="J11" s="2" t="n"/>
      <c r="K11" s="2" t="n"/>
      <c r="L11" s="2" t="n"/>
      <c r="M11" s="2" t="n"/>
      <c r="N11" s="2" t="n"/>
      <c r="O11" s="2" t="n"/>
      <c r="P11" s="2" t="n"/>
      <c r="Q11" s="2" t="n"/>
      <c r="R11" s="2" t="n"/>
      <c r="S11" s="2" t="n"/>
      <c r="T11" s="2" t="n"/>
      <c r="U11" s="2" t="n"/>
      <c r="V11" s="2" t="n"/>
      <c r="W11" s="2" t="n"/>
      <c r="X11" s="2" t="n"/>
      <c r="Y11" s="2" t="n"/>
      <c r="Z11" s="2" t="n"/>
    </row>
    <row r="12" ht="63.75" customHeight="1" s="64">
      <c r="A12" s="16" t="n">
        <v>8</v>
      </c>
      <c r="B12" s="12" t="inlineStr">
        <is>
          <t>Viabilidad operativa</t>
        </is>
      </c>
      <c r="C12" s="28" t="inlineStr">
        <is>
          <t>Cronograma con fechas, responsables, espacios, recursos y condiciones estandarizadas; holgura prevista ante contingencias</t>
        </is>
      </c>
      <c r="D12" s="28" t="inlineStr">
        <is>
          <t>Cronograma completo y realista</t>
        </is>
      </c>
      <c r="E12" s="28" t="inlineStr">
        <is>
          <t>Cronograma sin responsables, sin recursos o con plazos no realistas</t>
        </is>
      </c>
      <c r="F12" s="28" t="inlineStr">
        <is>
          <t>Sin cronograma</t>
        </is>
      </c>
      <c r="G12" s="60"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 customHeight="1" s="64">
      <c r="A14" s="2" t="n"/>
      <c r="B14" s="61" t="inlineStr">
        <is>
          <t>PUNTAJE TOTAL (sobre 20)</t>
        </is>
      </c>
      <c r="C14" s="2" t="n"/>
      <c r="D14" s="2" t="n"/>
      <c r="E14" s="2" t="n"/>
      <c r="F14" s="2" t="n"/>
      <c r="G14" s="62">
        <f>SUM(G5:G12)</f>
        <v/>
      </c>
      <c r="H14" s="2" t="n"/>
      <c r="I14" s="2" t="n"/>
      <c r="J14" s="2" t="n"/>
      <c r="K14" s="2" t="n"/>
      <c r="L14" s="2" t="n"/>
      <c r="M14" s="2" t="n"/>
      <c r="N14" s="2" t="n"/>
      <c r="O14" s="2" t="n"/>
      <c r="P14" s="2" t="n"/>
      <c r="Q14" s="2" t="n"/>
      <c r="R14" s="2" t="n"/>
      <c r="S14" s="2" t="n"/>
      <c r="T14" s="2" t="n"/>
      <c r="U14" s="2" t="n"/>
      <c r="V14" s="2" t="n"/>
      <c r="W14" s="2" t="n"/>
      <c r="X14" s="2" t="n"/>
      <c r="Y14" s="2" t="n"/>
      <c r="Z14" s="2" t="n"/>
    </row>
    <row r="15" ht="15" customHeight="1" s="64">
      <c r="A15" s="2" t="n"/>
      <c r="B15" s="61" t="inlineStr">
        <is>
          <t>Nivel alcanzado</t>
        </is>
      </c>
      <c r="C15" s="2" t="n"/>
      <c r="D15" s="2" t="n"/>
      <c r="E15" s="2" t="n"/>
      <c r="F15" s="2" t="n"/>
      <c r="G15" s="63">
        <f>IF(G14&gt;=18,"Logro destacado",IF(G14&gt;=14,"Logro esperado",IF(G14&gt;=11,"En proceso","En inicio")))</f>
        <v/>
      </c>
      <c r="H15" s="2" t="n"/>
      <c r="I15" s="2" t="n"/>
      <c r="J15" s="2" t="n"/>
      <c r="K15" s="2" t="n"/>
      <c r="L15" s="2" t="n"/>
      <c r="M15" s="2" t="n"/>
      <c r="N15" s="2" t="n"/>
      <c r="O15" s="2" t="n"/>
      <c r="P15" s="2" t="n"/>
      <c r="Q15" s="2" t="n"/>
      <c r="R15" s="2" t="n"/>
      <c r="S15" s="2" t="n"/>
      <c r="T15" s="2" t="n"/>
      <c r="U15" s="2" t="n"/>
      <c r="V15" s="2" t="n"/>
      <c r="W15" s="2" t="n"/>
      <c r="X15" s="2" t="n"/>
      <c r="Y15" s="2" t="n"/>
      <c r="Z15" s="2" t="n"/>
    </row>
    <row r="16" ht="15" customHeight="1" s="64">
      <c r="A16" s="2" t="n"/>
      <c r="B16" s="61" t="inlineStr">
        <is>
          <t>Habilitación para trabajo de campo</t>
        </is>
      </c>
      <c r="C16" s="2" t="n"/>
      <c r="D16" s="2" t="n"/>
      <c r="E16" s="2" t="n"/>
      <c r="F16" s="2" t="n"/>
      <c r="G16" s="63">
        <f>IF(AND(G9&gt;=2,G10&gt;=2),"HABILITADO","NO HABILITADO — criterios 5 y 6")</f>
        <v/>
      </c>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 customHeight="1" s="64">
      <c r="A18" s="2" t="n"/>
      <c r="B18" s="33" t="inlineStr">
        <is>
          <t>Los criterios 5 (Autorizaciones y consentimiento) y 6 (Protección de datos) deben alcanzar como mínimo 2.0 puntos. Sin ello no se autoriza el inicio de la ejecución, cualquiera sea el puntaje total.</t>
        </is>
      </c>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 customHeight="1" s="64">
      <c r="A19" s="2" t="n"/>
      <c r="B19" s="35" t="inlineStr">
        <is>
          <t>Escala de valoración: Logro destacado 18–20 · Logro esperado 14–17 · En proceso 11–13 · En inicio 0–10. Evaluación formativa: alimenta el PTA a través de la Tarea Académica 1.</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64">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64">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64">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6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64">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64">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64">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64">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64">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64">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64">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64">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64">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6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64">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64">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64">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64">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64">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64">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64">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64">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64">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6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64">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64">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64">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64">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64">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64">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64">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64">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64">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6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64">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64">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64">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64">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64">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64">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64">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64">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64">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64">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64">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64">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64">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64">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64">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64">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64">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64">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6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64">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64">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64">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64">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64">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64">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64">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64">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64">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6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64">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64">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64">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64">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64">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64">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64">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64">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64">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6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64">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64">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64">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64">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64">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64">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64">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64">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64">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6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64">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64">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64">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64">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64">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64">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64">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64">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64">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6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64">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64">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64">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64">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64">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64">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64">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64">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64">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6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64">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64">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64">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64">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64">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64">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64">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64">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64">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6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64">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64">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64">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64">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64">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64">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64">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64">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64">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6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64">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64">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64">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64">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64">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64">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64">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64">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64">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6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64">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64">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64">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64">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64">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64">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64">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64">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64">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64">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64">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64">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64">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64">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64">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64">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64">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64">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6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64">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64">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64">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64">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64">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64">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64">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64">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64">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6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64">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64">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64">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64">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64">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64">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64">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64">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64">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6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64">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64">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64">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64">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64">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64">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64">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64">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64">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6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64">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64">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64">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64">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64">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64">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64">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64">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64">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6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64">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64">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64">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64">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64">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64">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64"/>
    <row r="222" ht="15.75" customHeight="1" s="64"/>
    <row r="223" ht="15.75" customHeight="1" s="64"/>
    <row r="224" ht="15.75" customHeight="1" s="64"/>
    <row r="225" ht="15.75" customHeight="1" s="64"/>
    <row r="226" ht="15.75" customHeight="1" s="64"/>
    <row r="227" ht="15.75" customHeight="1" s="64"/>
    <row r="228" ht="15.75" customHeight="1" s="64"/>
    <row r="229" ht="15.75" customHeight="1" s="64"/>
    <row r="230" ht="15.75" customHeight="1" s="64"/>
    <row r="231" ht="15.75" customHeight="1" s="64"/>
    <row r="232" ht="15.75" customHeight="1" s="64"/>
    <row r="233" ht="15.75" customHeight="1" s="64"/>
    <row r="234" ht="15.75" customHeight="1" s="64"/>
    <row r="235" ht="15.75" customHeight="1" s="64"/>
    <row r="236" ht="15.75" customHeight="1" s="64"/>
    <row r="237" ht="15.75" customHeight="1" s="64"/>
    <row r="238" ht="15.75" customHeight="1" s="64"/>
    <row r="239" ht="15.75" customHeight="1" s="64"/>
    <row r="240" ht="15.75" customHeight="1" s="64"/>
    <row r="241" ht="15.75" customHeight="1" s="64"/>
    <row r="242" ht="15.75" customHeight="1" s="64"/>
    <row r="243" ht="15.75" customHeight="1" s="64"/>
    <row r="244" ht="15.75" customHeight="1" s="64"/>
    <row r="245" ht="15.75" customHeight="1" s="64"/>
    <row r="246" ht="15.75" customHeight="1" s="64"/>
    <row r="247" ht="15.75" customHeight="1" s="64"/>
    <row r="248" ht="15.75" customHeight="1" s="64"/>
    <row r="249" ht="15.75" customHeight="1" s="64"/>
    <row r="250" ht="15.75" customHeight="1" s="64"/>
    <row r="251" ht="15.75" customHeight="1" s="64"/>
    <row r="252" ht="15.75" customHeight="1" s="64"/>
    <row r="253" ht="15.75" customHeight="1" s="64"/>
    <row r="254" ht="15.75" customHeight="1" s="64"/>
    <row r="255" ht="15.75" customHeight="1" s="64"/>
    <row r="256" ht="15.75" customHeight="1" s="64"/>
    <row r="257" ht="15.75" customHeight="1" s="64"/>
    <row r="258" ht="15.75" customHeight="1" s="64"/>
    <row r="259" ht="15.75" customHeight="1" s="64"/>
    <row r="260" ht="15.75" customHeight="1" s="64"/>
    <row r="261" ht="15.75" customHeight="1" s="64"/>
    <row r="262" ht="15.75" customHeight="1" s="64"/>
    <row r="263" ht="15.75" customHeight="1" s="64"/>
    <row r="264" ht="15.75" customHeight="1" s="64"/>
    <row r="265" ht="15.75" customHeight="1" s="64"/>
    <row r="266" ht="15.75" customHeight="1" s="64"/>
    <row r="267" ht="15.75" customHeight="1" s="64"/>
    <row r="268" ht="15.75" customHeight="1" s="64"/>
    <row r="269" ht="15.75" customHeight="1" s="64"/>
    <row r="270" ht="15.75" customHeight="1" s="64"/>
    <row r="271" ht="15.75" customHeight="1" s="64"/>
    <row r="272" ht="15.75" customHeight="1" s="64"/>
    <row r="273" ht="15.75" customHeight="1" s="64"/>
    <row r="274" ht="15.75" customHeight="1" s="64"/>
    <row r="275" ht="15.75" customHeight="1" s="64"/>
    <row r="276" ht="15.75" customHeight="1" s="64"/>
    <row r="277" ht="15.75" customHeight="1" s="64"/>
    <row r="278" ht="15.75" customHeight="1" s="64"/>
    <row r="279" ht="15.75" customHeight="1" s="64"/>
    <row r="280" ht="15.75" customHeight="1" s="64"/>
    <row r="281" ht="15.75" customHeight="1" s="64"/>
    <row r="282" ht="15.75" customHeight="1" s="64"/>
    <row r="283" ht="15.75" customHeight="1" s="64"/>
    <row r="284" ht="15.75" customHeight="1" s="64"/>
    <row r="285" ht="15.75" customHeight="1" s="64"/>
    <row r="286" ht="15.75" customHeight="1" s="64"/>
    <row r="287" ht="15.75" customHeight="1" s="64"/>
    <row r="288" ht="15.75" customHeight="1" s="64"/>
    <row r="289" ht="15.75" customHeight="1" s="64"/>
    <row r="290" ht="15.75" customHeight="1" s="64"/>
    <row r="291" ht="15.75" customHeight="1" s="64"/>
    <row r="292" ht="15.75" customHeight="1" s="64"/>
    <row r="293" ht="15.75" customHeight="1" s="64"/>
    <row r="294" ht="15.75" customHeight="1" s="64"/>
    <row r="295" ht="15.75" customHeight="1" s="64"/>
    <row r="296" ht="15.75" customHeight="1" s="64"/>
    <row r="297" ht="15.75" customHeight="1" s="64"/>
    <row r="298" ht="15.75" customHeight="1" s="64"/>
    <row r="299" ht="15.75" customHeight="1" s="64"/>
    <row r="300" ht="15.75" customHeight="1" s="64"/>
    <row r="301" ht="15.75" customHeight="1" s="64"/>
    <row r="302" ht="15.75" customHeight="1" s="64"/>
    <row r="303" ht="15.75" customHeight="1" s="64"/>
    <row r="304" ht="15.75" customHeight="1" s="64"/>
    <row r="305" ht="15.75" customHeight="1" s="64"/>
    <row r="306" ht="15.75" customHeight="1" s="64"/>
    <row r="307" ht="15.75" customHeight="1" s="64"/>
    <row r="308" ht="15.75" customHeight="1" s="64"/>
    <row r="309" ht="15.75" customHeight="1" s="64"/>
    <row r="310" ht="15.75" customHeight="1" s="64"/>
    <row r="311" ht="15.75" customHeight="1" s="64"/>
    <row r="312" ht="15.75" customHeight="1" s="64"/>
    <row r="313" ht="15.75" customHeight="1" s="64"/>
    <row r="314" ht="15.75" customHeight="1" s="64"/>
    <row r="315" ht="15.75" customHeight="1" s="64"/>
    <row r="316" ht="15.75" customHeight="1" s="64"/>
    <row r="317" ht="15.75" customHeight="1" s="64"/>
    <row r="318" ht="15.75" customHeight="1" s="64"/>
    <row r="319" ht="15.75" customHeight="1" s="64"/>
    <row r="320" ht="15.75" customHeight="1" s="64"/>
    <row r="321" ht="15.75" customHeight="1" s="64"/>
    <row r="322" ht="15.75" customHeight="1" s="64"/>
    <row r="323" ht="15.75" customHeight="1" s="64"/>
    <row r="324" ht="15.75" customHeight="1" s="64"/>
    <row r="325" ht="15.75" customHeight="1" s="64"/>
    <row r="326" ht="15.75" customHeight="1" s="64"/>
    <row r="327" ht="15.75" customHeight="1" s="64"/>
    <row r="328" ht="15.75" customHeight="1" s="64"/>
    <row r="329" ht="15.75" customHeight="1" s="64"/>
    <row r="330" ht="15.75" customHeight="1" s="64"/>
    <row r="331" ht="15.75" customHeight="1" s="64"/>
    <row r="332" ht="15.75" customHeight="1" s="64"/>
    <row r="333" ht="15.75" customHeight="1" s="64"/>
    <row r="334" ht="15.75" customHeight="1" s="64"/>
    <row r="335" ht="15.75" customHeight="1" s="64"/>
    <row r="336" ht="15.75" customHeight="1" s="64"/>
    <row r="337" ht="15.75" customHeight="1" s="64"/>
    <row r="338" ht="15.75" customHeight="1" s="64"/>
    <row r="339" ht="15.75" customHeight="1" s="64"/>
    <row r="340" ht="15.75" customHeight="1" s="64"/>
    <row r="341" ht="15.75" customHeight="1" s="64"/>
    <row r="342" ht="15.75" customHeight="1" s="64"/>
    <row r="343" ht="15.75" customHeight="1" s="64"/>
    <row r="344" ht="15.75" customHeight="1" s="64"/>
    <row r="345" ht="15.75" customHeight="1" s="64"/>
    <row r="346" ht="15.75" customHeight="1" s="64"/>
    <row r="347" ht="15.75" customHeight="1" s="64"/>
    <row r="348" ht="15.75" customHeight="1" s="64"/>
    <row r="349" ht="15.75" customHeight="1" s="64"/>
    <row r="350" ht="15.75" customHeight="1" s="64"/>
    <row r="351" ht="15.75" customHeight="1" s="64"/>
    <row r="352" ht="15.75" customHeight="1" s="64"/>
    <row r="353" ht="15.75" customHeight="1" s="64"/>
    <row r="354" ht="15.75" customHeight="1" s="64"/>
    <row r="355" ht="15.75" customHeight="1" s="64"/>
    <row r="356" ht="15.75" customHeight="1" s="64"/>
    <row r="357" ht="15.75" customHeight="1" s="64"/>
    <row r="358" ht="15.75" customHeight="1" s="64"/>
    <row r="359" ht="15.75" customHeight="1" s="64"/>
    <row r="360" ht="15.75" customHeight="1" s="64"/>
    <row r="361" ht="15.75" customHeight="1" s="64"/>
    <row r="362" ht="15.75" customHeight="1" s="64"/>
    <row r="363" ht="15.75" customHeight="1" s="64"/>
    <row r="364" ht="15.75" customHeight="1" s="64"/>
    <row r="365" ht="15.75" customHeight="1" s="64"/>
    <row r="366" ht="15.75" customHeight="1" s="64"/>
    <row r="367" ht="15.75" customHeight="1" s="64"/>
    <row r="368" ht="15.75" customHeight="1" s="64"/>
    <row r="369" ht="15.75" customHeight="1" s="64"/>
    <row r="370" ht="15.75" customHeight="1" s="64"/>
    <row r="371" ht="15.75" customHeight="1" s="64"/>
    <row r="372" ht="15.75" customHeight="1" s="64"/>
    <row r="373" ht="15.75" customHeight="1" s="64"/>
    <row r="374" ht="15.75" customHeight="1" s="64"/>
    <row r="375" ht="15.75" customHeight="1" s="64"/>
    <row r="376" ht="15.75" customHeight="1" s="64"/>
    <row r="377" ht="15.75" customHeight="1" s="64"/>
    <row r="378" ht="15.75" customHeight="1" s="64"/>
    <row r="379" ht="15.75" customHeight="1" s="64"/>
    <row r="380" ht="15.75" customHeight="1" s="64"/>
    <row r="381" ht="15.75" customHeight="1" s="64"/>
    <row r="382" ht="15.75" customHeight="1" s="64"/>
    <row r="383" ht="15.75" customHeight="1" s="64"/>
    <row r="384" ht="15.75" customHeight="1" s="64"/>
    <row r="385" ht="15.75" customHeight="1" s="64"/>
    <row r="386" ht="15.75" customHeight="1" s="64"/>
    <row r="387" ht="15.75" customHeight="1" s="64"/>
    <row r="388" ht="15.75" customHeight="1" s="64"/>
    <row r="389" ht="15.75" customHeight="1" s="64"/>
    <row r="390" ht="15.75" customHeight="1" s="64"/>
    <row r="391" ht="15.75" customHeight="1" s="64"/>
    <row r="392" ht="15.75" customHeight="1" s="64"/>
    <row r="393" ht="15.75" customHeight="1" s="64"/>
    <row r="394" ht="15.75" customHeight="1" s="64"/>
    <row r="395" ht="15.75" customHeight="1" s="64"/>
    <row r="396" ht="15.75" customHeight="1" s="64"/>
    <row r="397" ht="15.75" customHeight="1" s="64"/>
    <row r="398" ht="15.75" customHeight="1" s="64"/>
    <row r="399" ht="15.75" customHeight="1" s="64"/>
    <row r="400" ht="15.75" customHeight="1" s="64"/>
    <row r="401" ht="15.75" customHeight="1" s="64"/>
    <row r="402" ht="15.75" customHeight="1" s="64"/>
    <row r="403" ht="15.75" customHeight="1" s="64"/>
    <row r="404" ht="15.75" customHeight="1" s="64"/>
    <row r="405" ht="15.75" customHeight="1" s="64"/>
    <row r="406" ht="15.75" customHeight="1" s="64"/>
    <row r="407" ht="15.75" customHeight="1" s="64"/>
    <row r="408" ht="15.75" customHeight="1" s="64"/>
    <row r="409" ht="15.75" customHeight="1" s="64"/>
    <row r="410" ht="15.75" customHeight="1" s="64"/>
    <row r="411" ht="15.75" customHeight="1" s="64"/>
    <row r="412" ht="15.75" customHeight="1" s="64"/>
    <row r="413" ht="15.75" customHeight="1" s="64"/>
    <row r="414" ht="15.75" customHeight="1" s="64"/>
    <row r="415" ht="15.75" customHeight="1" s="64"/>
    <row r="416" ht="15.75" customHeight="1" s="64"/>
    <row r="417" ht="15.75" customHeight="1" s="64"/>
    <row r="418" ht="15.75" customHeight="1" s="64"/>
    <row r="419" ht="15.75" customHeight="1" s="64"/>
    <row r="420" ht="15.75" customHeight="1" s="64"/>
    <row r="421" ht="15.75" customHeight="1" s="64"/>
    <row r="422" ht="15.75" customHeight="1" s="64"/>
    <row r="423" ht="15.75" customHeight="1" s="64"/>
    <row r="424" ht="15.75" customHeight="1" s="64"/>
    <row r="425" ht="15.75" customHeight="1" s="64"/>
    <row r="426" ht="15.75" customHeight="1" s="64"/>
    <row r="427" ht="15.75" customHeight="1" s="64"/>
    <row r="428" ht="15.75" customHeight="1" s="64"/>
    <row r="429" ht="15.75" customHeight="1" s="64"/>
    <row r="430" ht="15.75" customHeight="1" s="64"/>
    <row r="431" ht="15.75" customHeight="1" s="64"/>
    <row r="432" ht="15.75" customHeight="1" s="64"/>
    <row r="433" ht="15.75" customHeight="1" s="64"/>
    <row r="434" ht="15.75" customHeight="1" s="64"/>
    <row r="435" ht="15.75" customHeight="1" s="64"/>
    <row r="436" ht="15.75" customHeight="1" s="64"/>
    <row r="437" ht="15.75" customHeight="1" s="64"/>
    <row r="438" ht="15.75" customHeight="1" s="64"/>
    <row r="439" ht="15.75" customHeight="1" s="64"/>
    <row r="440" ht="15.75" customHeight="1" s="64"/>
    <row r="441" ht="15.75" customHeight="1" s="64"/>
    <row r="442" ht="15.75" customHeight="1" s="64"/>
    <row r="443" ht="15.75" customHeight="1" s="64"/>
    <row r="444" ht="15.75" customHeight="1" s="64"/>
    <row r="445" ht="15.75" customHeight="1" s="64"/>
    <row r="446" ht="15.75" customHeight="1" s="64"/>
    <row r="447" ht="15.75" customHeight="1" s="64"/>
    <row r="448" ht="15.75" customHeight="1" s="64"/>
    <row r="449" ht="15.75" customHeight="1" s="64"/>
    <row r="450" ht="15.75" customHeight="1" s="64"/>
    <row r="451" ht="15.75" customHeight="1" s="64"/>
    <row r="452" ht="15.75" customHeight="1" s="64"/>
    <row r="453" ht="15.75" customHeight="1" s="64"/>
    <row r="454" ht="15.75" customHeight="1" s="64"/>
    <row r="455" ht="15.75" customHeight="1" s="64"/>
    <row r="456" ht="15.75" customHeight="1" s="64"/>
    <row r="457" ht="15.75" customHeight="1" s="64"/>
    <row r="458" ht="15.75" customHeight="1" s="64"/>
    <row r="459" ht="15.75" customHeight="1" s="64"/>
    <row r="460" ht="15.75" customHeight="1" s="64"/>
    <row r="461" ht="15.75" customHeight="1" s="64"/>
    <row r="462" ht="15.75" customHeight="1" s="64"/>
    <row r="463" ht="15.75" customHeight="1" s="64"/>
    <row r="464" ht="15.75" customHeight="1" s="64"/>
    <row r="465" ht="15.75" customHeight="1" s="64"/>
    <row r="466" ht="15.75" customHeight="1" s="64"/>
    <row r="467" ht="15.75" customHeight="1" s="64"/>
    <row r="468" ht="15.75" customHeight="1" s="64"/>
    <row r="469" ht="15.75" customHeight="1" s="64"/>
    <row r="470" ht="15.75" customHeight="1" s="64"/>
    <row r="471" ht="15.75" customHeight="1" s="64"/>
    <row r="472" ht="15.75" customHeight="1" s="64"/>
    <row r="473" ht="15.75" customHeight="1" s="64"/>
    <row r="474" ht="15.75" customHeight="1" s="64"/>
    <row r="475" ht="15.75" customHeight="1" s="64"/>
    <row r="476" ht="15.75" customHeight="1" s="64"/>
    <row r="477" ht="15.75" customHeight="1" s="64"/>
    <row r="478" ht="15.75" customHeight="1" s="64"/>
    <row r="479" ht="15.75" customHeight="1" s="64"/>
    <row r="480" ht="15.75" customHeight="1" s="64"/>
    <row r="481" ht="15.75" customHeight="1" s="64"/>
    <row r="482" ht="15.75" customHeight="1" s="64"/>
    <row r="483" ht="15.75" customHeight="1" s="64"/>
    <row r="484" ht="15.75" customHeight="1" s="64"/>
    <row r="485" ht="15.75" customHeight="1" s="64"/>
    <row r="486" ht="15.75" customHeight="1" s="64"/>
    <row r="487" ht="15.75" customHeight="1" s="64"/>
    <row r="488" ht="15.75" customHeight="1" s="64"/>
    <row r="489" ht="15.75" customHeight="1" s="64"/>
    <row r="490" ht="15.75" customHeight="1" s="64"/>
    <row r="491" ht="15.75" customHeight="1" s="64"/>
    <row r="492" ht="15.75" customHeight="1" s="64"/>
    <row r="493" ht="15.75" customHeight="1" s="64"/>
    <row r="494" ht="15.75" customHeight="1" s="64"/>
    <row r="495" ht="15.75" customHeight="1" s="64"/>
    <row r="496" ht="15.75" customHeight="1" s="64"/>
    <row r="497" ht="15.75" customHeight="1" s="64"/>
    <row r="498" ht="15.75" customHeight="1" s="64"/>
    <row r="499" ht="15.75" customHeight="1" s="64"/>
    <row r="500" ht="15.75" customHeight="1" s="64"/>
    <row r="501" ht="15.75" customHeight="1" s="64"/>
    <row r="502" ht="15.75" customHeight="1" s="64"/>
    <row r="503" ht="15.75" customHeight="1" s="64"/>
    <row r="504" ht="15.75" customHeight="1" s="64"/>
    <row r="505" ht="15.75" customHeight="1" s="64"/>
    <row r="506" ht="15.75" customHeight="1" s="64"/>
    <row r="507" ht="15.75" customHeight="1" s="64"/>
    <row r="508" ht="15.75" customHeight="1" s="64"/>
    <row r="509" ht="15.75" customHeight="1" s="64"/>
    <row r="510" ht="15.75" customHeight="1" s="64"/>
    <row r="511" ht="15.75" customHeight="1" s="64"/>
    <row r="512" ht="15.75" customHeight="1" s="64"/>
    <row r="513" ht="15.75" customHeight="1" s="64"/>
    <row r="514" ht="15.75" customHeight="1" s="64"/>
    <row r="515" ht="15.75" customHeight="1" s="64"/>
    <row r="516" ht="15.75" customHeight="1" s="64"/>
    <row r="517" ht="15.75" customHeight="1" s="64"/>
    <row r="518" ht="15.75" customHeight="1" s="64"/>
    <row r="519" ht="15.75" customHeight="1" s="64"/>
    <row r="520" ht="15.75" customHeight="1" s="64"/>
    <row r="521" ht="15.75" customHeight="1" s="64"/>
    <row r="522" ht="15.75" customHeight="1" s="64"/>
    <row r="523" ht="15.75" customHeight="1" s="64"/>
    <row r="524" ht="15.75" customHeight="1" s="64"/>
    <row r="525" ht="15.75" customHeight="1" s="64"/>
    <row r="526" ht="15.75" customHeight="1" s="64"/>
    <row r="527" ht="15.75" customHeight="1" s="64"/>
    <row r="528" ht="15.75" customHeight="1" s="64"/>
    <row r="529" ht="15.75" customHeight="1" s="64"/>
    <row r="530" ht="15.75" customHeight="1" s="64"/>
    <row r="531" ht="15.75" customHeight="1" s="64"/>
    <row r="532" ht="15.75" customHeight="1" s="64"/>
    <row r="533" ht="15.75" customHeight="1" s="64"/>
    <row r="534" ht="15.75" customHeight="1" s="64"/>
    <row r="535" ht="15.75" customHeight="1" s="64"/>
    <row r="536" ht="15.75" customHeight="1" s="64"/>
    <row r="537" ht="15.75" customHeight="1" s="64"/>
    <row r="538" ht="15.75" customHeight="1" s="64"/>
    <row r="539" ht="15.75" customHeight="1" s="64"/>
    <row r="540" ht="15.75" customHeight="1" s="64"/>
    <row r="541" ht="15.75" customHeight="1" s="64"/>
    <row r="542" ht="15.75" customHeight="1" s="64"/>
    <row r="543" ht="15.75" customHeight="1" s="64"/>
    <row r="544" ht="15.75" customHeight="1" s="64"/>
    <row r="545" ht="15.75" customHeight="1" s="64"/>
    <row r="546" ht="15.75" customHeight="1" s="64"/>
    <row r="547" ht="15.75" customHeight="1" s="64"/>
    <row r="548" ht="15.75" customHeight="1" s="64"/>
    <row r="549" ht="15.75" customHeight="1" s="64"/>
    <row r="550" ht="15.75" customHeight="1" s="64"/>
    <row r="551" ht="15.75" customHeight="1" s="64"/>
    <row r="552" ht="15.75" customHeight="1" s="64"/>
    <row r="553" ht="15.75" customHeight="1" s="64"/>
    <row r="554" ht="15.75" customHeight="1" s="64"/>
    <row r="555" ht="15.75" customHeight="1" s="64"/>
    <row r="556" ht="15.75" customHeight="1" s="64"/>
    <row r="557" ht="15.75" customHeight="1" s="64"/>
    <row r="558" ht="15.75" customHeight="1" s="64"/>
    <row r="559" ht="15.75" customHeight="1" s="64"/>
    <row r="560" ht="15.75" customHeight="1" s="64"/>
    <row r="561" ht="15.75" customHeight="1" s="64"/>
    <row r="562" ht="15.75" customHeight="1" s="64"/>
    <row r="563" ht="15.75" customHeight="1" s="64"/>
    <row r="564" ht="15.75" customHeight="1" s="64"/>
    <row r="565" ht="15.75" customHeight="1" s="64"/>
    <row r="566" ht="15.75" customHeight="1" s="64"/>
    <row r="567" ht="15.75" customHeight="1" s="64"/>
    <row r="568" ht="15.75" customHeight="1" s="64"/>
    <row r="569" ht="15.75" customHeight="1" s="64"/>
    <row r="570" ht="15.75" customHeight="1" s="64"/>
    <row r="571" ht="15.75" customHeight="1" s="64"/>
    <row r="572" ht="15.75" customHeight="1" s="64"/>
    <row r="573" ht="15.75" customHeight="1" s="64"/>
    <row r="574" ht="15.75" customHeight="1" s="64"/>
    <row r="575" ht="15.75" customHeight="1" s="64"/>
    <row r="576" ht="15.75" customHeight="1" s="64"/>
    <row r="577" ht="15.75" customHeight="1" s="64"/>
    <row r="578" ht="15.75" customHeight="1" s="64"/>
    <row r="579" ht="15.75" customHeight="1" s="64"/>
    <row r="580" ht="15.75" customHeight="1" s="64"/>
    <row r="581" ht="15.75" customHeight="1" s="64"/>
    <row r="582" ht="15.75" customHeight="1" s="64"/>
    <row r="583" ht="15.75" customHeight="1" s="64"/>
    <row r="584" ht="15.75" customHeight="1" s="64"/>
    <row r="585" ht="15.75" customHeight="1" s="64"/>
    <row r="586" ht="15.75" customHeight="1" s="64"/>
    <row r="587" ht="15.75" customHeight="1" s="64"/>
    <row r="588" ht="15.75" customHeight="1" s="64"/>
    <row r="589" ht="15.75" customHeight="1" s="64"/>
    <row r="590" ht="15.75" customHeight="1" s="64"/>
    <row r="591" ht="15.75" customHeight="1" s="64"/>
    <row r="592" ht="15.75" customHeight="1" s="64"/>
    <row r="593" ht="15.75" customHeight="1" s="64"/>
    <row r="594" ht="15.75" customHeight="1" s="64"/>
    <row r="595" ht="15.75" customHeight="1" s="64"/>
    <row r="596" ht="15.75" customHeight="1" s="64"/>
    <row r="597" ht="15.75" customHeight="1" s="64"/>
    <row r="598" ht="15.75" customHeight="1" s="64"/>
    <row r="599" ht="15.75" customHeight="1" s="64"/>
    <row r="600" ht="15.75" customHeight="1" s="64"/>
    <row r="601" ht="15.75" customHeight="1" s="64"/>
    <row r="602" ht="15.75" customHeight="1" s="64"/>
    <row r="603" ht="15.75" customHeight="1" s="64"/>
    <row r="604" ht="15.75" customHeight="1" s="64"/>
    <row r="605" ht="15.75" customHeight="1" s="64"/>
    <row r="606" ht="15.75" customHeight="1" s="64"/>
    <row r="607" ht="15.75" customHeight="1" s="64"/>
    <row r="608" ht="15.75" customHeight="1" s="64"/>
    <row r="609" ht="15.75" customHeight="1" s="64"/>
    <row r="610" ht="15.75" customHeight="1" s="64"/>
    <row r="611" ht="15.75" customHeight="1" s="64"/>
    <row r="612" ht="15.75" customHeight="1" s="64"/>
    <row r="613" ht="15.75" customHeight="1" s="64"/>
    <row r="614" ht="15.75" customHeight="1" s="64"/>
    <row r="615" ht="15.75" customHeight="1" s="64"/>
    <row r="616" ht="15.75" customHeight="1" s="64"/>
    <row r="617" ht="15.75" customHeight="1" s="64"/>
    <row r="618" ht="15.75" customHeight="1" s="64"/>
    <row r="619" ht="15.75" customHeight="1" s="64"/>
    <row r="620" ht="15.75" customHeight="1" s="64"/>
    <row r="621" ht="15.75" customHeight="1" s="64"/>
    <row r="622" ht="15.75" customHeight="1" s="64"/>
    <row r="623" ht="15.75" customHeight="1" s="64"/>
    <row r="624" ht="15.75" customHeight="1" s="64"/>
    <row r="625" ht="15.75" customHeight="1" s="64"/>
    <row r="626" ht="15.75" customHeight="1" s="64"/>
    <row r="627" ht="15.75" customHeight="1" s="64"/>
    <row r="628" ht="15.75" customHeight="1" s="64"/>
    <row r="629" ht="15.75" customHeight="1" s="64"/>
    <row r="630" ht="15.75" customHeight="1" s="64"/>
    <row r="631" ht="15.75" customHeight="1" s="64"/>
    <row r="632" ht="15.75" customHeight="1" s="64"/>
    <row r="633" ht="15.75" customHeight="1" s="64"/>
    <row r="634" ht="15.75" customHeight="1" s="64"/>
    <row r="635" ht="15.75" customHeight="1" s="64"/>
    <row r="636" ht="15.75" customHeight="1" s="64"/>
    <row r="637" ht="15.75" customHeight="1" s="64"/>
    <row r="638" ht="15.75" customHeight="1" s="64"/>
    <row r="639" ht="15.75" customHeight="1" s="64"/>
    <row r="640" ht="15.75" customHeight="1" s="64"/>
    <row r="641" ht="15.75" customHeight="1" s="64"/>
    <row r="642" ht="15.75" customHeight="1" s="64"/>
    <row r="643" ht="15.75" customHeight="1" s="64"/>
    <row r="644" ht="15.75" customHeight="1" s="64"/>
    <row r="645" ht="15.75" customHeight="1" s="64"/>
    <row r="646" ht="15.75" customHeight="1" s="64"/>
    <row r="647" ht="15.75" customHeight="1" s="64"/>
    <row r="648" ht="15.75" customHeight="1" s="64"/>
    <row r="649" ht="15.75" customHeight="1" s="64"/>
    <row r="650" ht="15.75" customHeight="1" s="64"/>
    <row r="651" ht="15.75" customHeight="1" s="64"/>
    <row r="652" ht="15.75" customHeight="1" s="64"/>
    <row r="653" ht="15.75" customHeight="1" s="64"/>
    <row r="654" ht="15.75" customHeight="1" s="64"/>
    <row r="655" ht="15.75" customHeight="1" s="64"/>
    <row r="656" ht="15.75" customHeight="1" s="64"/>
    <row r="657" ht="15.75" customHeight="1" s="64"/>
    <row r="658" ht="15.75" customHeight="1" s="64"/>
    <row r="659" ht="15.75" customHeight="1" s="64"/>
    <row r="660" ht="15.75" customHeight="1" s="64"/>
    <row r="661" ht="15.75" customHeight="1" s="64"/>
    <row r="662" ht="15.75" customHeight="1" s="64"/>
    <row r="663" ht="15.75" customHeight="1" s="64"/>
    <row r="664" ht="15.75" customHeight="1" s="64"/>
    <row r="665" ht="15.75" customHeight="1" s="64"/>
    <row r="666" ht="15.75" customHeight="1" s="64"/>
    <row r="667" ht="15.75" customHeight="1" s="64"/>
    <row r="668" ht="15.75" customHeight="1" s="64"/>
    <row r="669" ht="15.75" customHeight="1" s="64"/>
    <row r="670" ht="15.75" customHeight="1" s="64"/>
    <row r="671" ht="15.75" customHeight="1" s="64"/>
    <row r="672" ht="15.75" customHeight="1" s="64"/>
    <row r="673" ht="15.75" customHeight="1" s="64"/>
    <row r="674" ht="15.75" customHeight="1" s="64"/>
    <row r="675" ht="15.75" customHeight="1" s="64"/>
    <row r="676" ht="15.75" customHeight="1" s="64"/>
    <row r="677" ht="15.75" customHeight="1" s="64"/>
    <row r="678" ht="15.75" customHeight="1" s="64"/>
    <row r="679" ht="15.75" customHeight="1" s="64"/>
    <row r="680" ht="15.75" customHeight="1" s="64"/>
    <row r="681" ht="15.75" customHeight="1" s="64"/>
    <row r="682" ht="15.75" customHeight="1" s="64"/>
    <row r="683" ht="15.75" customHeight="1" s="64"/>
    <row r="684" ht="15.75" customHeight="1" s="64"/>
    <row r="685" ht="15.75" customHeight="1" s="64"/>
    <row r="686" ht="15.75" customHeight="1" s="64"/>
    <row r="687" ht="15.75" customHeight="1" s="64"/>
    <row r="688" ht="15.75" customHeight="1" s="64"/>
    <row r="689" ht="15.75" customHeight="1" s="64"/>
    <row r="690" ht="15.75" customHeight="1" s="64"/>
    <row r="691" ht="15.75" customHeight="1" s="64"/>
    <row r="692" ht="15.75" customHeight="1" s="64"/>
    <row r="693" ht="15.75" customHeight="1" s="64"/>
    <row r="694" ht="15.75" customHeight="1" s="64"/>
    <row r="695" ht="15.75" customHeight="1" s="64"/>
    <row r="696" ht="15.75" customHeight="1" s="64"/>
    <row r="697" ht="15.75" customHeight="1" s="64"/>
    <row r="698" ht="15.75" customHeight="1" s="64"/>
    <row r="699" ht="15.75" customHeight="1" s="64"/>
    <row r="700" ht="15.75" customHeight="1" s="64"/>
    <row r="701" ht="15.75" customHeight="1" s="64"/>
    <row r="702" ht="15.75" customHeight="1" s="64"/>
    <row r="703" ht="15.75" customHeight="1" s="64"/>
    <row r="704" ht="15.75" customHeight="1" s="64"/>
    <row r="705" ht="15.75" customHeight="1" s="64"/>
    <row r="706" ht="15.75" customHeight="1" s="64"/>
    <row r="707" ht="15.75" customHeight="1" s="64"/>
    <row r="708" ht="15.75" customHeight="1" s="64"/>
    <row r="709" ht="15.75" customHeight="1" s="64"/>
    <row r="710" ht="15.75" customHeight="1" s="64"/>
    <row r="711" ht="15.75" customHeight="1" s="64"/>
    <row r="712" ht="15.75" customHeight="1" s="64"/>
    <row r="713" ht="15.75" customHeight="1" s="64"/>
    <row r="714" ht="15.75" customHeight="1" s="64"/>
    <row r="715" ht="15.75" customHeight="1" s="64"/>
    <row r="716" ht="15.75" customHeight="1" s="64"/>
    <row r="717" ht="15.75" customHeight="1" s="64"/>
    <row r="718" ht="15.75" customHeight="1" s="64"/>
    <row r="719" ht="15.75" customHeight="1" s="64"/>
    <row r="720" ht="15.75" customHeight="1" s="64"/>
    <row r="721" ht="15.75" customHeight="1" s="64"/>
    <row r="722" ht="15.75" customHeight="1" s="64"/>
    <row r="723" ht="15.75" customHeight="1" s="64"/>
    <row r="724" ht="15.75" customHeight="1" s="64"/>
    <row r="725" ht="15.75" customHeight="1" s="64"/>
    <row r="726" ht="15.75" customHeight="1" s="64"/>
    <row r="727" ht="15.75" customHeight="1" s="64"/>
    <row r="728" ht="15.75" customHeight="1" s="64"/>
    <row r="729" ht="15.75" customHeight="1" s="64"/>
    <row r="730" ht="15.75" customHeight="1" s="64"/>
    <row r="731" ht="15.75" customHeight="1" s="64"/>
    <row r="732" ht="15.75" customHeight="1" s="64"/>
    <row r="733" ht="15.75" customHeight="1" s="64"/>
    <row r="734" ht="15.75" customHeight="1" s="64"/>
    <row r="735" ht="15.75" customHeight="1" s="64"/>
    <row r="736" ht="15.75" customHeight="1" s="64"/>
    <row r="737" ht="15.75" customHeight="1" s="64"/>
    <row r="738" ht="15.75" customHeight="1" s="64"/>
    <row r="739" ht="15.75" customHeight="1" s="64"/>
    <row r="740" ht="15.75" customHeight="1" s="64"/>
    <row r="741" ht="15.75" customHeight="1" s="64"/>
    <row r="742" ht="15.75" customHeight="1" s="64"/>
    <row r="743" ht="15.75" customHeight="1" s="64"/>
    <row r="744" ht="15.75" customHeight="1" s="64"/>
    <row r="745" ht="15.75" customHeight="1" s="64"/>
    <row r="746" ht="15.75" customHeight="1" s="64"/>
    <row r="747" ht="15.75" customHeight="1" s="64"/>
    <row r="748" ht="15.75" customHeight="1" s="64"/>
    <row r="749" ht="15.75" customHeight="1" s="64"/>
    <row r="750" ht="15.75" customHeight="1" s="64"/>
    <row r="751" ht="15.75" customHeight="1" s="64"/>
    <row r="752" ht="15.75" customHeight="1" s="64"/>
    <row r="753" ht="15.75" customHeight="1" s="64"/>
    <row r="754" ht="15.75" customHeight="1" s="64"/>
    <row r="755" ht="15.75" customHeight="1" s="64"/>
    <row r="756" ht="15.75" customHeight="1" s="64"/>
    <row r="757" ht="15.75" customHeight="1" s="64"/>
    <row r="758" ht="15.75" customHeight="1" s="64"/>
    <row r="759" ht="15.75" customHeight="1" s="64"/>
    <row r="760" ht="15.75" customHeight="1" s="64"/>
    <row r="761" ht="15.75" customHeight="1" s="64"/>
    <row r="762" ht="15.75" customHeight="1" s="64"/>
    <row r="763" ht="15.75" customHeight="1" s="64"/>
    <row r="764" ht="15.75" customHeight="1" s="64"/>
    <row r="765" ht="15.75" customHeight="1" s="64"/>
    <row r="766" ht="15.75" customHeight="1" s="64"/>
    <row r="767" ht="15.75" customHeight="1" s="64"/>
    <row r="768" ht="15.75" customHeight="1" s="64"/>
    <row r="769" ht="15.75" customHeight="1" s="64"/>
    <row r="770" ht="15.75" customHeight="1" s="64"/>
    <row r="771" ht="15.75" customHeight="1" s="64"/>
    <row r="772" ht="15.75" customHeight="1" s="64"/>
    <row r="773" ht="15.75" customHeight="1" s="64"/>
    <row r="774" ht="15.75" customHeight="1" s="64"/>
    <row r="775" ht="15.75" customHeight="1" s="64"/>
    <row r="776" ht="15.75" customHeight="1" s="64"/>
    <row r="777" ht="15.75" customHeight="1" s="64"/>
    <row r="778" ht="15.75" customHeight="1" s="64"/>
    <row r="779" ht="15.75" customHeight="1" s="64"/>
    <row r="780" ht="15.75" customHeight="1" s="64"/>
    <row r="781" ht="15.75" customHeight="1" s="64"/>
    <row r="782" ht="15.75" customHeight="1" s="64"/>
    <row r="783" ht="15.75" customHeight="1" s="64"/>
    <row r="784" ht="15.75" customHeight="1" s="64"/>
    <row r="785" ht="15.75" customHeight="1" s="64"/>
    <row r="786" ht="15.75" customHeight="1" s="64"/>
    <row r="787" ht="15.75" customHeight="1" s="64"/>
    <row r="788" ht="15.75" customHeight="1" s="64"/>
    <row r="789" ht="15.75" customHeight="1" s="64"/>
    <row r="790" ht="15.75" customHeight="1" s="64"/>
    <row r="791" ht="15.75" customHeight="1" s="64"/>
    <row r="792" ht="15.75" customHeight="1" s="64"/>
    <row r="793" ht="15.75" customHeight="1" s="64"/>
    <row r="794" ht="15.75" customHeight="1" s="64"/>
    <row r="795" ht="15.75" customHeight="1" s="64"/>
    <row r="796" ht="15.75" customHeight="1" s="64"/>
    <row r="797" ht="15.75" customHeight="1" s="64"/>
    <row r="798" ht="15.75" customHeight="1" s="64"/>
    <row r="799" ht="15.75" customHeight="1" s="64"/>
    <row r="800" ht="15.75" customHeight="1" s="64"/>
    <row r="801" ht="15.75" customHeight="1" s="64"/>
    <row r="802" ht="15.75" customHeight="1" s="64"/>
    <row r="803" ht="15.75" customHeight="1" s="64"/>
    <row r="804" ht="15.75" customHeight="1" s="64"/>
    <row r="805" ht="15.75" customHeight="1" s="64"/>
    <row r="806" ht="15.75" customHeight="1" s="64"/>
    <row r="807" ht="15.75" customHeight="1" s="64"/>
    <row r="808" ht="15.75" customHeight="1" s="64"/>
    <row r="809" ht="15.75" customHeight="1" s="64"/>
    <row r="810" ht="15.75" customHeight="1" s="64"/>
    <row r="811" ht="15.75" customHeight="1" s="64"/>
    <row r="812" ht="15.75" customHeight="1" s="64"/>
    <row r="813" ht="15.75" customHeight="1" s="64"/>
    <row r="814" ht="15.75" customHeight="1" s="64"/>
    <row r="815" ht="15.75" customHeight="1" s="64"/>
    <row r="816" ht="15.75" customHeight="1" s="64"/>
    <row r="817" ht="15.75" customHeight="1" s="64"/>
    <row r="818" ht="15.75" customHeight="1" s="64"/>
    <row r="819" ht="15.75" customHeight="1" s="64"/>
    <row r="820" ht="15.75" customHeight="1" s="64"/>
    <row r="821" ht="15.75" customHeight="1" s="64"/>
    <row r="822" ht="15.75" customHeight="1" s="64"/>
    <row r="823" ht="15.75" customHeight="1" s="64"/>
    <row r="824" ht="15.75" customHeight="1" s="64"/>
    <row r="825" ht="15.75" customHeight="1" s="64"/>
    <row r="826" ht="15.75" customHeight="1" s="64"/>
    <row r="827" ht="15.75" customHeight="1" s="64"/>
    <row r="828" ht="15.75" customHeight="1" s="64"/>
    <row r="829" ht="15.75" customHeight="1" s="64"/>
    <row r="830" ht="15.75" customHeight="1" s="64"/>
    <row r="831" ht="15.75" customHeight="1" s="64"/>
    <row r="832" ht="15.75" customHeight="1" s="64"/>
    <row r="833" ht="15.75" customHeight="1" s="64"/>
    <row r="834" ht="15.75" customHeight="1" s="64"/>
    <row r="835" ht="15.75" customHeight="1" s="64"/>
    <row r="836" ht="15.75" customHeight="1" s="64"/>
    <row r="837" ht="15.75" customHeight="1" s="64"/>
    <row r="838" ht="15.75" customHeight="1" s="64"/>
    <row r="839" ht="15.75" customHeight="1" s="64"/>
    <row r="840" ht="15.75" customHeight="1" s="64"/>
    <row r="841" ht="15.75" customHeight="1" s="64"/>
    <row r="842" ht="15.75" customHeight="1" s="64"/>
    <row r="843" ht="15.75" customHeight="1" s="64"/>
    <row r="844" ht="15.75" customHeight="1" s="64"/>
    <row r="845" ht="15.75" customHeight="1" s="64"/>
    <row r="846" ht="15.75" customHeight="1" s="64"/>
    <row r="847" ht="15.75" customHeight="1" s="64"/>
    <row r="848" ht="15.75" customHeight="1" s="64"/>
    <row r="849" ht="15.75" customHeight="1" s="64"/>
    <row r="850" ht="15.75" customHeight="1" s="64"/>
    <row r="851" ht="15.75" customHeight="1" s="64"/>
    <row r="852" ht="15.75" customHeight="1" s="64"/>
    <row r="853" ht="15.75" customHeight="1" s="64"/>
    <row r="854" ht="15.75" customHeight="1" s="64"/>
    <row r="855" ht="15.75" customHeight="1" s="64"/>
    <row r="856" ht="15.75" customHeight="1" s="64"/>
    <row r="857" ht="15.75" customHeight="1" s="64"/>
    <row r="858" ht="15.75" customHeight="1" s="64"/>
    <row r="859" ht="15.75" customHeight="1" s="64"/>
    <row r="860" ht="15.75" customHeight="1" s="64"/>
    <row r="861" ht="15.75" customHeight="1" s="64"/>
    <row r="862" ht="15.75" customHeight="1" s="64"/>
    <row r="863" ht="15.75" customHeight="1" s="64"/>
    <row r="864" ht="15.75" customHeight="1" s="64"/>
    <row r="865" ht="15.75" customHeight="1" s="64"/>
    <row r="866" ht="15.75" customHeight="1" s="64"/>
    <row r="867" ht="15.75" customHeight="1" s="64"/>
    <row r="868" ht="15.75" customHeight="1" s="64"/>
    <row r="869" ht="15.75" customHeight="1" s="64"/>
    <row r="870" ht="15.75" customHeight="1" s="64"/>
    <row r="871" ht="15.75" customHeight="1" s="64"/>
    <row r="872" ht="15.75" customHeight="1" s="64"/>
    <row r="873" ht="15.75" customHeight="1" s="64"/>
    <row r="874" ht="15.75" customHeight="1" s="64"/>
    <row r="875" ht="15.75" customHeight="1" s="64"/>
    <row r="876" ht="15.75" customHeight="1" s="64"/>
    <row r="877" ht="15.75" customHeight="1" s="64"/>
    <row r="878" ht="15.75" customHeight="1" s="64"/>
    <row r="879" ht="15.75" customHeight="1" s="64"/>
    <row r="880" ht="15.75" customHeight="1" s="64"/>
    <row r="881" ht="15.75" customHeight="1" s="64"/>
    <row r="882" ht="15.75" customHeight="1" s="64"/>
    <row r="883" ht="15.75" customHeight="1" s="64"/>
    <row r="884" ht="15.75" customHeight="1" s="64"/>
    <row r="885" ht="15.75" customHeight="1" s="64"/>
    <row r="886" ht="15.75" customHeight="1" s="64"/>
    <row r="887" ht="15.75" customHeight="1" s="64"/>
    <row r="888" ht="15.75" customHeight="1" s="64"/>
    <row r="889" ht="15.75" customHeight="1" s="64"/>
    <row r="890" ht="15.75" customHeight="1" s="64"/>
    <row r="891" ht="15.75" customHeight="1" s="64"/>
    <row r="892" ht="15.75" customHeight="1" s="64"/>
    <row r="893" ht="15.75" customHeight="1" s="64"/>
    <row r="894" ht="15.75" customHeight="1" s="64"/>
    <row r="895" ht="15.75" customHeight="1" s="64"/>
    <row r="896" ht="15.75" customHeight="1" s="64"/>
    <row r="897" ht="15.75" customHeight="1" s="64"/>
    <row r="898" ht="15.75" customHeight="1" s="64"/>
    <row r="899" ht="15.75" customHeight="1" s="64"/>
    <row r="900" ht="15.75" customHeight="1" s="64"/>
    <row r="901" ht="15.75" customHeight="1" s="64"/>
    <row r="902" ht="15.75" customHeight="1" s="64"/>
    <row r="903" ht="15.75" customHeight="1" s="64"/>
    <row r="904" ht="15.75" customHeight="1" s="64"/>
    <row r="905" ht="15.75" customHeight="1" s="64"/>
    <row r="906" ht="15.75" customHeight="1" s="64"/>
    <row r="907" ht="15.75" customHeight="1" s="64"/>
    <row r="908" ht="15.75" customHeight="1" s="64"/>
    <row r="909" ht="15.75" customHeight="1" s="64"/>
    <row r="910" ht="15.75" customHeight="1" s="64"/>
    <row r="911" ht="15.75" customHeight="1" s="64"/>
    <row r="912" ht="15.75" customHeight="1" s="64"/>
    <row r="913" ht="15.75" customHeight="1" s="64"/>
    <row r="914" ht="15.75" customHeight="1" s="64"/>
    <row r="915" ht="15.75" customHeight="1" s="64"/>
    <row r="916" ht="15.75" customHeight="1" s="64"/>
    <row r="917" ht="15.75" customHeight="1" s="64"/>
    <row r="918" ht="15.75" customHeight="1" s="64"/>
    <row r="919" ht="15.75" customHeight="1" s="64"/>
    <row r="920" ht="15.75" customHeight="1" s="64"/>
    <row r="921" ht="15.75" customHeight="1" s="64"/>
    <row r="922" ht="15.75" customHeight="1" s="64"/>
    <row r="923" ht="15.75" customHeight="1" s="64"/>
    <row r="924" ht="15.75" customHeight="1" s="64"/>
    <row r="925" ht="15.75" customHeight="1" s="64"/>
    <row r="926" ht="15.75" customHeight="1" s="64"/>
    <row r="927" ht="15.75" customHeight="1" s="64"/>
    <row r="928" ht="15.75" customHeight="1" s="64"/>
    <row r="929" ht="15.75" customHeight="1" s="64"/>
    <row r="930" ht="15.75" customHeight="1" s="64"/>
    <row r="931" ht="15.75" customHeight="1" s="64"/>
    <row r="932" ht="15.75" customHeight="1" s="64"/>
    <row r="933" ht="15.75" customHeight="1" s="64"/>
    <row r="934" ht="15.75" customHeight="1" s="64"/>
    <row r="935" ht="15.75" customHeight="1" s="64"/>
    <row r="936" ht="15.75" customHeight="1" s="64"/>
    <row r="937" ht="15.75" customHeight="1" s="64"/>
    <row r="938" ht="15.75" customHeight="1" s="64"/>
    <row r="939" ht="15.75" customHeight="1" s="64"/>
    <row r="940" ht="15.75" customHeight="1" s="64"/>
    <row r="941" ht="15.75" customHeight="1" s="64"/>
    <row r="942" ht="15.75" customHeight="1" s="64"/>
    <row r="943" ht="15.75" customHeight="1" s="64"/>
    <row r="944" ht="15.75" customHeight="1" s="64"/>
    <row r="945" ht="15.75" customHeight="1" s="64"/>
    <row r="946" ht="15.75" customHeight="1" s="64"/>
    <row r="947" ht="15.75" customHeight="1" s="64"/>
    <row r="948" ht="15.75" customHeight="1" s="64"/>
    <row r="949" ht="15.75" customHeight="1" s="64"/>
    <row r="950" ht="15.75" customHeight="1" s="64"/>
    <row r="951" ht="15.75" customHeight="1" s="64"/>
    <row r="952" ht="15.75" customHeight="1" s="64"/>
    <row r="953" ht="15.75" customHeight="1" s="64"/>
    <row r="954" ht="15.75" customHeight="1" s="64"/>
    <row r="955" ht="15.75" customHeight="1" s="64"/>
    <row r="956" ht="15.75" customHeight="1" s="64"/>
    <row r="957" ht="15.75" customHeight="1" s="64"/>
    <row r="958" ht="15.75" customHeight="1" s="64"/>
    <row r="959" ht="15.75" customHeight="1" s="64"/>
    <row r="960" ht="15.75" customHeight="1" s="64"/>
    <row r="961" ht="15.75" customHeight="1" s="64"/>
    <row r="962" ht="15.75" customHeight="1" s="64"/>
    <row r="963" ht="15.75" customHeight="1" s="64"/>
    <row r="964" ht="15.75" customHeight="1" s="64"/>
    <row r="965" ht="15.75" customHeight="1" s="64"/>
    <row r="966" ht="15.75" customHeight="1" s="64"/>
    <row r="967" ht="15.75" customHeight="1" s="64"/>
    <row r="968" ht="15.75" customHeight="1" s="64"/>
    <row r="969" ht="15.75" customHeight="1" s="64"/>
    <row r="970" ht="15.75" customHeight="1" s="64"/>
    <row r="971" ht="15.75" customHeight="1" s="64"/>
    <row r="972" ht="15.75" customHeight="1" s="64"/>
    <row r="973" ht="15.75" customHeight="1" s="64"/>
    <row r="974" ht="15.75" customHeight="1" s="64"/>
    <row r="975" ht="15.75" customHeight="1" s="64"/>
    <row r="976" ht="15.75" customHeight="1" s="64"/>
    <row r="977" ht="15.75" customHeight="1" s="64"/>
    <row r="978" ht="15.75" customHeight="1" s="64"/>
    <row r="979" ht="15.75" customHeight="1" s="64"/>
    <row r="980" ht="15.75" customHeight="1" s="64"/>
    <row r="981" ht="15.75" customHeight="1" s="64"/>
    <row r="982" ht="15.75" customHeight="1" s="64"/>
    <row r="983" ht="15.75" customHeight="1" s="64"/>
    <row r="984" ht="15.75" customHeight="1" s="64"/>
    <row r="985" ht="15.75" customHeight="1" s="64"/>
    <row r="986" ht="15.75" customHeight="1" s="64"/>
    <row r="987" ht="15.75" customHeight="1" s="64"/>
    <row r="988" ht="15.75" customHeight="1" s="64"/>
    <row r="989" ht="15.75" customHeight="1" s="64"/>
    <row r="990" ht="15.75" customHeight="1" s="64"/>
    <row r="991" ht="15.75" customHeight="1" s="64"/>
    <row r="992" ht="15.75" customHeight="1" s="64"/>
    <row r="993" ht="15.75" customHeight="1" s="64"/>
    <row r="994" ht="15.75" customHeight="1" s="64"/>
    <row r="995" ht="15.75" customHeight="1" s="64"/>
    <row r="996" ht="15.75" customHeight="1" s="64"/>
    <row r="997" ht="15.75" customHeight="1" s="64"/>
    <row r="998" ht="15.75" customHeight="1" s="64"/>
    <row r="999" ht="15.75" customHeight="1" s="64"/>
    <row r="1000" ht="15.75" customHeight="1" s="64"/>
  </sheetData>
  <mergeCells count="2">
    <mergeCell ref="A2:G2"/>
    <mergeCell ref="A1:G1"/>
  </mergeCells>
  <dataValidations count="1">
    <dataValidation sqref="G5:G12" showDropDown="0" showInputMessage="0" showErrorMessage="0" allowBlank="1" type="list">
      <formula1>"2.5,2,1.5,1,0.5,0"</formula1>
    </dataValidation>
  </dataValidation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2026-10-24T05:39:28Z</dcterms:created>
  <dcterms:modified xmlns:dcterms="http://purl.org/dc/terms/" xmlns:xsi="http://www.w3.org/2001/XMLSchema-instance" xsi:type="dcterms:W3CDTF">2026-10-26T21:12:46Z</dcterms:modified>
</cp:coreProperties>
</file>