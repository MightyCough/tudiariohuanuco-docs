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1_Periodo" sheetId="2" state="visible" r:id="rId2"/>
    <sheet xmlns:r="http://schemas.openxmlformats.org/officeDocument/2006/relationships" name="2_Participantes" sheetId="3" state="visible" r:id="rId3"/>
    <sheet xmlns:r="http://schemas.openxmlformats.org/officeDocument/2006/relationships" name="3_Mortalidad" sheetId="4" state="visible" r:id="rId4"/>
    <sheet xmlns:r="http://schemas.openxmlformats.org/officeDocument/2006/relationships" name="4_Equivalencia" sheetId="5" state="visible" r:id="rId5"/>
    <sheet xmlns:r="http://schemas.openxmlformats.org/officeDocument/2006/relationships" name="5_Incidencias" sheetId="6" state="visible" r:id="rId6"/>
    <sheet xmlns:r="http://schemas.openxmlformats.org/officeDocument/2006/relationships" name="6_Base_Postest" sheetId="7" state="visible" r:id="rId7"/>
    <sheet xmlns:r="http://schemas.openxmlformats.org/officeDocument/2006/relationships" name="7_ListaCotejo" sheetId="8" state="visible" r:id="rId8"/>
    <sheet xmlns:r="http://schemas.openxmlformats.org/officeDocument/2006/relationships" name="8_Acta" sheetId="9" state="visible" r:id="rId9"/>
    <sheet xmlns:r="http://schemas.openxmlformats.org/officeDocument/2006/relationships" name="Diccionario" sheetId="10" state="visible" r:id="rId10"/>
    <sheet xmlns:r="http://schemas.openxmlformats.org/officeDocument/2006/relationships" name="Listas" sheetId="11" state="hidden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0.0%"/>
    <numFmt numFmtId="167" formatCode="hh:mm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82154"/>
      <sz val="14"/>
    </font>
    <font>
      <name val="Arial"/>
      <charset val="1"/>
      <family val="0"/>
      <color rgb="FF5B677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82154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B6770"/>
      <sz val="9"/>
    </font>
    <font>
      <name val="Arial"/>
      <charset val="1"/>
      <family val="0"/>
      <color rgb="FF222222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22222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2583C5"/>
        <bgColor rgb="FF3366FF"/>
      </patternFill>
    </fill>
    <fill>
      <patternFill patternType="solid">
        <fgColor rgb="FFEAF3FB"/>
        <bgColor rgb="FFF1F3F5"/>
      </patternFill>
    </fill>
    <fill>
      <patternFill patternType="solid">
        <fgColor rgb="FFFFF2CC"/>
        <bgColor rgb="FFF1F3F5"/>
      </patternFill>
    </fill>
    <fill>
      <patternFill patternType="solid">
        <fgColor rgb="FF082154"/>
        <bgColor rgb="FF222222"/>
      </patternFill>
    </fill>
    <fill>
      <patternFill patternType="solid">
        <fgColor rgb="FFF1F3F5"/>
        <bgColor rgb="FFEAF3FB"/>
      </patternFill>
    </fill>
  </fills>
  <borders count="6">
    <border>
      <left/>
      <right/>
      <top/>
      <bottom/>
      <diagonal/>
    </border>
    <border>
      <left style="thin">
        <color rgb="FFC9D6E2"/>
      </left>
      <right style="thin">
        <color rgb="FFC9D6E2"/>
      </right>
      <top style="thin">
        <color rgb="FFC9D6E2"/>
      </top>
      <bottom style="thin">
        <color rgb="FFC9D6E2"/>
      </bottom>
      <diagonal/>
    </border>
    <border>
      <left/>
      <right/>
      <top style="thin">
        <color rgb="FFC9D6E2"/>
      </top>
      <bottom/>
      <diagonal/>
    </border>
    <border>
      <left/>
      <right style="thin">
        <color rgb="FFC9D6E2"/>
      </right>
      <top style="thin">
        <color rgb="FFC9D6E2"/>
      </top>
      <bottom/>
      <diagonal/>
    </border>
    <border>
      <left/>
      <right/>
      <top style="thin">
        <color rgb="FFC9D6E2"/>
      </top>
      <bottom style="thin">
        <color rgb="FFC9D6E2"/>
      </bottom>
      <diagonal/>
    </border>
    <border>
      <left/>
      <right style="thin">
        <color rgb="FFC9D6E2"/>
      </right>
      <top style="thin">
        <color rgb="FFC9D6E2"/>
      </top>
      <bottom style="thin">
        <color rgb="FFC9D6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9" fontId="8" fillId="4" borderId="1" applyAlignment="1" pivotButton="0" quotePrefix="0" xfId="0">
      <alignment horizontal="center" vertical="center" wrapText="1"/>
    </xf>
    <xf numFmtId="1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" fontId="13" fillId="0" borderId="1" applyAlignment="1" pivotButton="0" quotePrefix="0" xfId="0">
      <alignment horizontal="center" vertical="center" wrapText="1"/>
    </xf>
    <xf numFmtId="1" fontId="10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167" fontId="8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9" fontId="8" fillId="4" borderId="1" applyAlignment="1" pivotButton="0" quotePrefix="0" xfId="0">
      <alignment horizontal="center" vertical="center" wrapText="1"/>
    </xf>
    <xf numFmtId="1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" fontId="13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center" vertical="center" wrapText="1"/>
    </xf>
    <xf numFmtId="1" fontId="8" fillId="4" borderId="1" applyAlignment="1" pivotButton="0" quotePrefix="0" xfId="0">
      <alignment horizontal="center" vertical="center" wrapText="1"/>
    </xf>
    <xf numFmtId="1" fontId="10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167" fontId="8" fillId="4" borderId="1" applyAlignment="1" pivotButton="0" quotePrefix="0" xfId="0">
      <alignment horizontal="center" vertical="center" wrapText="1"/>
    </xf>
    <xf numFmtId="167" fontId="8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164" fontId="8" fillId="4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2" fontId="1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EAF3FB"/>
      <rgbColor rgb="FF660066"/>
      <rgbColor rgb="FFFF8080"/>
      <rgbColor rgb="FF2583C5"/>
      <rgbColor rgb="FFC9D6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F5"/>
      <rgbColor rgb="FFF9F9F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770"/>
      <rgbColor rgb="FF7A8CA6"/>
      <rgbColor rgb="FF082154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Adherencia semanal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"Adherencia"</f>
              <strCache>
                <ptCount val="1"/>
                <pt idx="0">
                  <v>Adherencia</v>
                </pt>
              </strCache>
            </strRef>
          </tx>
          <spPr>
            <a:solidFill xmlns:a="http://schemas.openxmlformats.org/drawingml/2006/main">
              <a:srgbClr val="2583c5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1_Periodo!$B$18:$B$25</f>
              <strCache>
                <ptCount val="8"/>
                <pt idx="0">
                  <v>Semana 1</v>
                </pt>
                <pt idx="1">
                  <v>Semana 2</v>
                </pt>
                <pt idx="2">
                  <v>Semana 3</v>
                </pt>
                <pt idx="3">
                  <v>Semana 4</v>
                </pt>
                <pt idx="4">
                  <v>Semana 5</v>
                </pt>
                <pt idx="5">
                  <v>Semana 6</v>
                </pt>
                <pt idx="6">
                  <v>Semana 7</v>
                </pt>
                <pt idx="7">
                  <v>Semana 8</v>
                </pt>
              </strCache>
            </strRef>
          </cat>
          <val>
            <numRef>
              <f>1_Periodo!$E$18:$E$25</f>
              <numCache>
                <formatCode>0.0%</formatCode>
                <ptCount val="8"/>
                <pt idx="0">
                  <v>0.933333333333333</v>
                </pt>
                <pt idx="1">
                  <v>0.833333333333333</v>
                </pt>
                <pt idx="2">
                  <v>0.816666666666667</v>
                </pt>
                <pt idx="3">
                  <v>0.875</v>
                </pt>
                <pt idx="4">
                  <v>0.9</v>
                </pt>
                <pt idx="5">
                  <v>0.8916666666666671</v>
                </pt>
              </numCache>
            </numRef>
          </val>
        </ser>
        <gapWidth val="150"/>
        <overlap val="0"/>
        <axId val="62994043"/>
        <axId val="11163087"/>
      </barChart>
      <catAx>
        <axId val="629940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1163087"/>
        <crosses val="autoZero"/>
        <auto val="1"/>
        <lblAlgn val="ctr"/>
        <lblOffset val="100"/>
        <noMultiLvlLbl val="0"/>
      </catAx>
      <valAx>
        <axId val="11163087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Adherencia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2994043"/>
        <crosses val="autoZero"/>
        <crossBetween val="between"/>
        <majorUnit val="0.2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Participantes evaluados por grupo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3_Mortalidad!M5</f>
              <strCache>
                <ptCount val="1"/>
                <pt idx="0">
                  <v>Pretest (n)</v>
                </pt>
              </strCache>
            </strRef>
          </tx>
          <spPr>
            <a:solidFill xmlns:a="http://schemas.openxmlformats.org/drawingml/2006/main">
              <a:srgbClr val="7a8ca6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3_Mortalidad!$L$6:$L$7</f>
              <strCache>
                <ptCount val="2"/>
                <pt idx="0">
                  <v>GE</v>
                </pt>
                <pt idx="1">
                  <v>GC</v>
                </pt>
              </strCache>
            </strRef>
          </cat>
          <val>
            <numRef>
              <f>3_Mortalidad!$M$6:$M$7</f>
              <numCache>
                <formatCode>0</formatCode>
                <ptCount val="2"/>
                <pt idx="0">
                  <v>24</v>
                </pt>
                <pt idx="1">
                  <v>22</v>
                </pt>
              </numCache>
            </numRef>
          </val>
        </ser>
        <ser>
          <idx val="1"/>
          <order val="1"/>
          <tx>
            <strRef>
              <f>3_Mortalidad!N5</f>
              <strCache>
                <ptCount val="1"/>
                <pt idx="0">
                  <v>Postest (n)</v>
                </pt>
              </strCache>
            </strRef>
          </tx>
          <spPr>
            <a:solidFill xmlns:a="http://schemas.openxmlformats.org/drawingml/2006/main">
              <a:srgbClr val="2583c5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3_Mortalidad!$L$6:$L$7</f>
              <strCache>
                <ptCount val="2"/>
                <pt idx="0">
                  <v>GE</v>
                </pt>
                <pt idx="1">
                  <v>GC</v>
                </pt>
              </strCache>
            </strRef>
          </cat>
          <val>
            <numRef>
              <f>3_Mortalidad!$N$6:$N$7</f>
              <numCache>
                <formatCode>0</formatCode>
                <ptCount val="2"/>
                <pt idx="0">
                  <v>21</v>
                </pt>
                <pt idx="1">
                  <v>20</v>
                </pt>
              </numCache>
            </numRef>
          </val>
        </ser>
        <gapWidth val="150"/>
        <overlap val="0"/>
        <axId val="62972609"/>
        <axId val="99469899"/>
      </barChart>
      <catAx>
        <axId val="629726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9469899"/>
        <crosses val="autoZero"/>
        <auto val="1"/>
        <lblAlgn val="ctr"/>
        <lblOffset val="100"/>
        <noMultiLvlLbl val="0"/>
      </catAx>
      <valAx>
        <axId val="99469899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29726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12</row>
      <rowOff>204480</rowOff>
    </from>
    <to>
      <col>14</col>
      <colOff>398880</colOff>
      <row>24</row>
      <rowOff>23760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11</col>
      <colOff>0</colOff>
      <row>7</row>
      <rowOff>160560</rowOff>
    </from>
    <to>
      <col>17</col>
      <colOff>88920</colOff>
      <row>18</row>
      <rowOff>298080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41" min="1" max="1"/>
    <col width="38" customWidth="1" style="41" min="2" max="2"/>
    <col width="16" customWidth="1" style="41" min="3" max="3"/>
    <col width="30" customWidth="1" style="41" min="4" max="4"/>
    <col width="20" customWidth="1" style="41" min="5" max="5"/>
    <col width="30" customWidth="1" style="41" min="6" max="6"/>
  </cols>
  <sheetData>
    <row r="1" ht="17.35" customHeight="1" s="42">
      <c r="A1" s="43" t="inlineStr">
        <is>
          <t>Cuaderno de registros · Sesión 7 · Cierre de la intervención y aplicación del postest</t>
        </is>
      </c>
    </row>
    <row r="2" ht="15" customHeight="1" s="42">
      <c r="A2" s="44" t="inlineStr">
        <is>
          <t>Seminario de Tesis III · 2026-II · Programa Académico de Ingeniería de Sistemas e Informática · Universidad de Huánuco</t>
        </is>
      </c>
    </row>
    <row r="4" ht="21.75" customHeight="1" s="42">
      <c r="A4" s="45" t="inlineStr">
        <is>
          <t>Datos de la tesis (complete las celdas amarillas)</t>
        </is>
      </c>
    </row>
    <row r="5" ht="30" customHeight="1" s="42">
      <c r="B5" s="46" t="inlineStr">
        <is>
          <t>Título de la tesis</t>
        </is>
      </c>
      <c r="C5" s="47" t="inlineStr">
        <is>
          <t>Influencia de una aplicación multiplataforma de búsqueda semántica conversacional en la experiencia de lectores de Tu Diario Huánuco, 2026</t>
        </is>
      </c>
      <c r="D5" s="48" t="n"/>
      <c r="E5" s="48" t="n"/>
      <c r="F5" s="49" t="n"/>
    </row>
    <row r="6" ht="19.5" customHeight="1" s="42">
      <c r="B6" s="46" t="inlineStr">
        <is>
          <t>Tesista</t>
        </is>
      </c>
      <c r="C6" s="47" t="inlineStr">
        <is>
          <t>Trujillo Avila, Marcel Alexander Javier; Godoy Condezo, Alejandro Jeanpier</t>
        </is>
      </c>
      <c r="D6" s="48" t="n"/>
      <c r="E6" s="48" t="n"/>
      <c r="F6" s="49" t="n"/>
    </row>
    <row r="7" ht="19.5" customHeight="1" s="42">
      <c r="B7" s="46" t="inlineStr">
        <is>
          <t>Asesor(a) de tesis</t>
        </is>
      </c>
      <c r="C7" s="47" t="inlineStr">
        <is>
          <t>[PENDIENTE] Asesor</t>
        </is>
      </c>
      <c r="D7" s="48" t="n"/>
      <c r="E7" s="48" t="n"/>
      <c r="F7" s="49" t="n"/>
    </row>
    <row r="8" ht="19.5" customHeight="1" s="42">
      <c r="B8" s="46" t="inlineStr">
        <is>
          <t>Institución donde se ejecuta</t>
        </is>
      </c>
      <c r="C8" s="47" t="inlineStr">
        <is>
          <t>Tu Diario Huánuco (medio de comunicación digital), Huánuco</t>
        </is>
      </c>
      <c r="D8" s="48" t="n"/>
      <c r="E8" s="48" t="n"/>
      <c r="F8" s="49" t="n"/>
    </row>
    <row r="9" ht="19.5" customHeight="1" s="42">
      <c r="B9" s="46" t="inlineStr">
        <is>
          <t>Diseño de investigación</t>
        </is>
      </c>
      <c r="C9" s="47" t="inlineStr">
        <is>
          <t>Preexperimental: G O1 X O2 (grupo único, sin grupo de comparación)</t>
        </is>
      </c>
      <c r="D9" s="48" t="n"/>
      <c r="E9" s="48" t="n"/>
      <c r="F9" s="49" t="n"/>
    </row>
    <row r="10" ht="19.5" customHeight="1" s="42">
      <c r="B10" s="46" t="inlineStr">
        <is>
          <t>Variable dependiente e indicador</t>
        </is>
      </c>
      <c r="C10" s="47" t="inlineStr">
        <is>
          <t>Experiencia de lectores. En esta base el indicador es el puntaje SUS (0-100). TAM, tiempos y clics siguen en la base del pretest; el postest usa el mismo instrumento con las tareas 3 y 4.</t>
        </is>
      </c>
      <c r="D10" s="48" t="n"/>
      <c r="E10" s="48" t="n"/>
      <c r="F10" s="49" t="n"/>
    </row>
    <row r="11" ht="19.5" customHeight="1" s="42">
      <c r="B11" s="46" t="inlineStr">
        <is>
          <t>Unidad de medida de la VD</t>
        </is>
      </c>
      <c r="C11" s="47" t="inlineStr">
        <is>
          <t>Puntos SUS (0-100)</t>
        </is>
      </c>
      <c r="D11" s="48" t="n"/>
      <c r="E11" s="48" t="n"/>
      <c r="F11" s="49" t="n"/>
    </row>
    <row r="12" ht="19.5" customHeight="1" s="42">
      <c r="B12" s="46" t="inlineStr">
        <is>
          <t>Instrumento de medición y versión</t>
        </is>
      </c>
      <c r="C12" s="47" t="inlineStr">
        <is>
          <t>SUS, misma versión que el pretest; tareas 3 y 4</t>
        </is>
      </c>
      <c r="D12" s="48" t="n"/>
      <c r="E12" s="48" t="n"/>
      <c r="F12" s="49" t="n"/>
    </row>
    <row r="14" ht="21.75" customHeight="1" s="42">
      <c r="A14" s="45" t="inlineStr">
        <is>
          <t>Parámetros del protocolo</t>
        </is>
      </c>
    </row>
    <row r="15" ht="15" customHeight="1" s="42">
      <c r="B15" s="46" t="inlineStr">
        <is>
          <t>Umbral mínimo de adherencia</t>
        </is>
      </c>
      <c r="C15" s="50" t="n">
        <v>0.8</v>
      </c>
    </row>
    <row r="16" ht="15" customHeight="1" s="42">
      <c r="B16" s="46" t="inlineStr">
        <is>
          <t>Umbral mínimo de fidelidad</t>
        </is>
      </c>
      <c r="C16" s="50" t="n">
        <v>0.8</v>
      </c>
    </row>
    <row r="17" ht="23.85" customHeight="1" s="42">
      <c r="B17" s="46" t="inlineStr">
        <is>
          <t>Ventana del postest (días hábiles tras el cierre)</t>
        </is>
      </c>
      <c r="C17" s="51" t="n">
        <v>6</v>
      </c>
    </row>
    <row r="18" ht="15" customHeight="1" s="42">
      <c r="B18" s="46" t="inlineStr">
        <is>
          <t>Rango válido de la VD: valor mínimo</t>
        </is>
      </c>
      <c r="C18" s="52" t="n">
        <v>0</v>
      </c>
    </row>
    <row r="19" ht="15" customHeight="1" s="42">
      <c r="B19" s="46" t="inlineStr">
        <is>
          <t>Rango válido de la VD: valor máximo</t>
        </is>
      </c>
      <c r="C19" s="52" t="n">
        <v>100</v>
      </c>
    </row>
    <row r="20" ht="15" customHeight="1" s="42">
      <c r="B20" s="46" t="inlineStr">
        <is>
          <t>Fecha de inicio prevista del postest</t>
        </is>
      </c>
      <c r="C20" s="53" t="n">
        <v>46329</v>
      </c>
    </row>
    <row r="21" ht="15" customHeight="1" s="42">
      <c r="B21" s="46" t="inlineStr">
        <is>
          <t>Fecha de fin prevista del postest</t>
        </is>
      </c>
      <c r="C21" s="53" t="n">
        <v>46334</v>
      </c>
    </row>
    <row r="22" ht="32.8" customHeight="1" s="42">
      <c r="B22" s="54" t="inlineStr">
        <is>
          <t>Los umbrales provienen del protocolo de ejecución de cada tesis (semana 1); los valores cargados son los del caso de la sesión.</t>
        </is>
      </c>
    </row>
    <row r="24" ht="21.75" customHeight="1" s="42">
      <c r="A24" s="45" t="inlineStr">
        <is>
          <t>Leyenda</t>
        </is>
      </c>
    </row>
    <row r="25" ht="23.85" customHeight="1" s="42">
      <c r="B25" s="55" t="inlineStr">
        <is>
          <t>Celda amarilla con texto azul</t>
        </is>
      </c>
      <c r="C25" s="56" t="inlineStr">
        <is>
          <t>Dato que completa el tesista.</t>
        </is>
      </c>
    </row>
    <row r="26" ht="23.85" customHeight="1" s="42">
      <c r="B26" s="57" t="inlineStr">
        <is>
          <t>Texto negro sobre fondo blanco</t>
        </is>
      </c>
      <c r="C26" s="56" t="inlineStr">
        <is>
          <t>Fórmula: no editar (se recalcula sola).</t>
        </is>
      </c>
    </row>
    <row r="27" ht="23.85" customHeight="1" s="42">
      <c r="B27" s="58" t="inlineStr">
        <is>
          <t>Texto verde</t>
        </is>
      </c>
      <c r="C27" s="56" t="inlineStr">
        <is>
          <t>Enlace a otra hoja del cuaderno.</t>
        </is>
      </c>
    </row>
    <row r="28" ht="43.25" customHeight="1" s="42">
      <c r="B28" s="54" t="inlineStr">
        <is>
          <t>Los registros contienen los datos del caso de la sesión (GE n = 24, GC n = 22) como ejemplo de llenado: reemplácelos por los de su tesis. Solo códigos: nunca nombres ni DNI.</t>
        </is>
      </c>
    </row>
    <row r="30" ht="21.75" customHeight="1" s="42">
      <c r="A30" s="45" t="inlineStr">
        <is>
          <t>Hojas del cuaderno y paso del protocolo al que corresponden</t>
        </is>
      </c>
    </row>
    <row r="31" ht="30" customHeight="1" s="42">
      <c r="B31" s="59" t="inlineStr">
        <is>
          <t>Hoja</t>
        </is>
      </c>
      <c r="C31" s="59" t="inlineStr">
        <is>
          <t>Paso</t>
        </is>
      </c>
      <c r="D31" s="59" t="inlineStr">
        <is>
          <t>Qué registra o calcula</t>
        </is>
      </c>
    </row>
    <row r="32" ht="30" customHeight="1" s="42">
      <c r="B32" s="60" t="inlineStr">
        <is>
          <t>1_Periodo</t>
        </is>
      </c>
      <c r="C32" s="61" t="inlineStr">
        <is>
          <t>Paso 1</t>
        </is>
      </c>
      <c r="D32" s="56" t="inlineStr">
        <is>
          <t>Programado frente a ejecutado; adherencia acumulada y semanal (con gráfico); fidelidad; decisión de cierre.</t>
        </is>
      </c>
      <c r="E32" s="48" t="n"/>
      <c r="F32" s="49" t="n"/>
    </row>
    <row r="33" ht="30" customHeight="1" s="42">
      <c r="B33" s="60" t="inlineStr">
        <is>
          <t>2_Participantes</t>
        </is>
      </c>
      <c r="C33" s="61" t="inlineStr">
        <is>
          <t>Pasos 2 y 5</t>
        </is>
      </c>
      <c r="D33" s="56" t="inlineStr">
        <is>
          <t>Registro de control de participantes: pretest, estado al cierre, convocatoria, confirmación y postest por código.</t>
        </is>
      </c>
      <c r="E33" s="48" t="n"/>
      <c r="F33" s="49" t="n"/>
    </row>
    <row r="34" ht="30" customHeight="1" s="42">
      <c r="B34" s="60" t="inlineStr">
        <is>
          <t>3_Mortalidad</t>
        </is>
      </c>
      <c r="C34" s="61" t="inlineStr">
        <is>
          <t>Paso 5</t>
        </is>
      </c>
      <c r="D34" s="56" t="inlineStr">
        <is>
          <t>Mortalidad experimental por grupo, pérdida total, diferencial GE–GC, motivos y flujo de participantes (con gráfico).</t>
        </is>
      </c>
      <c r="E34" s="48" t="n"/>
      <c r="F34" s="49" t="n"/>
    </row>
    <row r="35" ht="30" customHeight="1" s="42">
      <c r="B35" s="60" t="inlineStr">
        <is>
          <t>4_Equivalencia</t>
        </is>
      </c>
      <c r="C35" s="61" t="inlineStr">
        <is>
          <t>Paso 3</t>
        </is>
      </c>
      <c r="D35" s="56" t="inlineStr">
        <is>
          <t>Lista de cotejo de equivalencia de condiciones pretest–postest (12 condiciones).</t>
        </is>
      </c>
      <c r="E35" s="48" t="n"/>
      <c r="F35" s="49" t="n"/>
    </row>
    <row r="36" ht="30" customHeight="1" s="42">
      <c r="B36" s="60" t="inlineStr">
        <is>
          <t>5_Incidencias</t>
        </is>
      </c>
      <c r="C36" s="61" t="inlineStr">
        <is>
          <t>Paso 5</t>
        </is>
      </c>
      <c r="D36" s="56" t="inlineStr">
        <is>
          <t>Registro de incidencias del cierre y del postest, con resumen por tipo y estado.</t>
        </is>
      </c>
      <c r="E36" s="48" t="n"/>
      <c r="F36" s="49" t="n"/>
    </row>
    <row r="37" ht="30" customHeight="1" s="42">
      <c r="B37" s="60" t="inlineStr">
        <is>
          <t>6_Base_Postest</t>
        </is>
      </c>
      <c r="C37" s="61" t="inlineStr">
        <is>
          <t>Paso 6</t>
        </is>
      </c>
      <c r="D37" s="56" t="inlineStr">
        <is>
          <t>Base consolidada pretest–postest por código, verificación de correspondencia, calidad y descriptivos.</t>
        </is>
      </c>
      <c r="E37" s="48" t="n"/>
      <c r="F37" s="49" t="n"/>
    </row>
    <row r="38" ht="30" customHeight="1" s="42">
      <c r="B38" s="60" t="inlineStr">
        <is>
          <t>7_ListaCotejo</t>
        </is>
      </c>
      <c r="C38" s="61" t="inlineStr">
        <is>
          <t>Paso 4</t>
        </is>
      </c>
      <c r="D38" s="56" t="inlineStr">
        <is>
          <t>Lista de cotejo de aplicación del postest (12 ítems) con resultado automático.</t>
        </is>
      </c>
      <c r="E38" s="48" t="n"/>
      <c r="F38" s="49" t="n"/>
    </row>
    <row r="39" ht="30" customHeight="1" s="42">
      <c r="B39" s="60" t="inlineStr">
        <is>
          <t>8_Acta</t>
        </is>
      </c>
      <c r="C39" s="61" t="inlineStr">
        <is>
          <t>Paso 6</t>
        </is>
      </c>
      <c r="D39" s="56" t="inlineStr">
        <is>
          <t>Acta de cierre de la intervención, con los datos calculados en las demás hojas.</t>
        </is>
      </c>
      <c r="E39" s="48" t="n"/>
      <c r="F39" s="49" t="n"/>
    </row>
    <row r="40" ht="30" customHeight="1" s="42">
      <c r="B40" s="60" t="inlineStr">
        <is>
          <t>Diccionario</t>
        </is>
      </c>
      <c r="C40" s="61" t="inlineStr">
        <is>
          <t>Paso 6</t>
        </is>
      </c>
      <c r="D40" s="56" t="inlineStr">
        <is>
          <t>Diccionario de variables de la base consolidada.</t>
        </is>
      </c>
      <c r="E40" s="48" t="n"/>
      <c r="F40" s="49" t="n"/>
    </row>
  </sheetData>
  <mergeCells count="21">
    <mergeCell ref="C8:F8"/>
    <mergeCell ref="D32:F32"/>
    <mergeCell ref="C7:F7"/>
    <mergeCell ref="D37:F37"/>
    <mergeCell ref="A14:F14"/>
    <mergeCell ref="C6:F6"/>
    <mergeCell ref="A4:F4"/>
    <mergeCell ref="D39:F39"/>
    <mergeCell ref="C5:F5"/>
    <mergeCell ref="D33:F33"/>
    <mergeCell ref="D38:F38"/>
    <mergeCell ref="D35:F35"/>
    <mergeCell ref="C10:F10"/>
    <mergeCell ref="A30:F30"/>
    <mergeCell ref="D34:F34"/>
    <mergeCell ref="A24:F24"/>
    <mergeCell ref="C9:F9"/>
    <mergeCell ref="C12:F12"/>
    <mergeCell ref="D40:F40"/>
    <mergeCell ref="D36:F36"/>
    <mergeCell ref="C11:F11"/>
  </mergeCells>
  <dataValidations count="1">
    <dataValidation sqref="C9" showDropDown="0" showInputMessage="0" showErrorMessage="1" allowBlank="1" errorTitle="Valor no válido" error="Elija un valor de la lista." type="list" errorStyle="stop" operator="between">
      <formula1>Listas!$I$2:$I$3</formula1>
      <formula2>0</formula2>
    </dataValidation>
  </dataValidations>
  <printOptions horizontalCentered="1" verticalCentered="0" headings="0" gridLines="0" gridLinesSet="1"/>
  <pageMargins left="0.5" right="0.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" customWidth="1" style="41" min="1" max="1"/>
    <col width="44" customWidth="1" style="41" min="2" max="2"/>
    <col width="16" customWidth="1" style="41" min="3" max="3"/>
    <col width="18" customWidth="1" style="41" min="4" max="4"/>
    <col width="14" customWidth="1" style="41" min="5" max="5"/>
    <col width="52" customWidth="1" style="41" min="6" max="6"/>
  </cols>
  <sheetData>
    <row r="1" ht="17.35" customHeight="1" s="42">
      <c r="A1" s="43" t="inlineStr">
        <is>
          <t>Paso 1 · Verificación del cumplimiento del periodo de intervención</t>
        </is>
      </c>
    </row>
    <row r="2" ht="15" customHeight="1" s="42">
      <c r="A2" s="44" t="inlineStr">
        <is>
          <t>Compare lo programado en el protocolo con lo ejecutado según la bitácora y los registros de uso. Celdas amarillas: datos de su tesis.</t>
        </is>
      </c>
    </row>
    <row r="4" ht="21.75" customHeight="1" s="42">
      <c r="A4" s="45" t="inlineStr">
        <is>
          <t>Periodo y dosis: programado frente a ejecutado</t>
        </is>
      </c>
    </row>
    <row r="5" ht="30" customHeight="1" s="42">
      <c r="B5" s="59" t="inlineStr">
        <is>
          <t>Parámetro</t>
        </is>
      </c>
      <c r="C5" s="59" t="inlineStr">
        <is>
          <t>Programado</t>
        </is>
      </c>
      <c r="D5" s="59" t="inlineStr">
        <is>
          <t>Ejecutado</t>
        </is>
      </c>
      <c r="E5" s="59" t="inlineStr">
        <is>
          <t>Cumple</t>
        </is>
      </c>
      <c r="F5" s="59" t="inlineStr">
        <is>
          <t>Fuente de verificación</t>
        </is>
      </c>
    </row>
    <row r="6" ht="15" customHeight="1" s="42">
      <c r="B6" s="46" t="inlineStr">
        <is>
          <t>Fecha de inicio</t>
        </is>
      </c>
      <c r="C6" s="53" t="n">
        <v>46322</v>
      </c>
      <c r="D6" s="53" t="n">
        <v>46322</v>
      </c>
      <c r="E6" s="61">
        <f>IF(D6="","",IF(D6&lt;=C6,"Sí","No"))</f>
        <v/>
      </c>
      <c r="F6" s="56" t="inlineStr">
        <is>
          <t>Acta de inicio (semana 4)</t>
        </is>
      </c>
    </row>
    <row r="7" ht="15" customHeight="1" s="42">
      <c r="B7" s="46" t="inlineStr">
        <is>
          <t>Fecha de cierre</t>
        </is>
      </c>
      <c r="C7" s="53" t="n">
        <v>46328</v>
      </c>
      <c r="D7" s="53" t="n">
        <v>46328</v>
      </c>
      <c r="E7" s="61">
        <f>IF(D7="","",IF(D7&gt;=C7,"Sí","No"))</f>
        <v/>
      </c>
      <c r="F7" s="56" t="inlineStr">
        <is>
          <t>Acta de cierre</t>
        </is>
      </c>
    </row>
    <row r="8" ht="15" customHeight="1" s="42">
      <c r="B8" s="46" t="inlineStr">
        <is>
          <t>Semanas de intervención</t>
        </is>
      </c>
      <c r="C8" s="62">
        <f>IF(OR(C6="",C7=""),"",ROUNDUP((C7-C6+1)/7,0))</f>
        <v/>
      </c>
      <c r="D8" s="62">
        <f>IF(OR(D6="",D7=""),"",ROUNDUP((D7-D6+1)/7,0))</f>
        <v/>
      </c>
      <c r="E8" s="61">
        <f>IF(D8="","",IF(D8&gt;=C8,"Sí","No"))</f>
        <v/>
      </c>
      <c r="F8" s="56" t="inlineStr">
        <is>
          <t>Protocolo y bitácora</t>
        </is>
      </c>
    </row>
    <row r="9" ht="15" customHeight="1" s="42">
      <c r="B9" s="46" t="inlineStr">
        <is>
          <t>Usuarios de la solución (n)</t>
        </is>
      </c>
      <c r="C9" s="51" t="n">
        <v>108</v>
      </c>
      <c r="D9" s="62">
        <f>C9</f>
        <v/>
      </c>
      <c r="E9" s="61" t="inlineStr">
        <is>
          <t>—</t>
        </is>
      </c>
      <c r="F9" s="56" t="inlineStr">
        <is>
          <t>Registro de usuarios</t>
        </is>
      </c>
    </row>
    <row r="10" ht="23.85" customHeight="1" s="42">
      <c r="B10" s="46" t="inlineStr">
        <is>
          <t>Días de uso por semana</t>
        </is>
      </c>
      <c r="C10" s="51" t="n">
        <v>3</v>
      </c>
      <c r="D10" s="63">
        <f>IF(OR(D11="",D9=0,D8=""),"",D11/D9/D8)</f>
        <v/>
      </c>
      <c r="E10" s="61">
        <f>IF(D10="","",IF(D10&gt;=C10,"Sí","Parcial"))</f>
        <v/>
      </c>
      <c r="F10" s="56" t="inlineStr">
        <is>
          <t>Frecuencia promedio = días-usuario ejecutados ÷ usuarios ÷ semanas</t>
        </is>
      </c>
    </row>
    <row r="11" ht="23.85" customHeight="1" s="42">
      <c r="B11" s="46" t="inlineStr">
        <is>
          <t>Días-usuario</t>
        </is>
      </c>
      <c r="C11" s="62">
        <f>IF(OR(C8="",C9="",C10=""),"",C8*C9*C10)</f>
        <v/>
      </c>
      <c r="D11" s="62">
        <f>IF(COUNT(D18:D25)=0,"",SUM(D18:D25))</f>
        <v/>
      </c>
      <c r="E11" s="61" t="inlineStr">
        <is>
          <t>—</t>
        </is>
      </c>
      <c r="F11" s="56" t="inlineStr">
        <is>
          <t>Programados = semanas × usuarios × días; ejecutados = suma de la tabla semanal</t>
        </is>
      </c>
    </row>
    <row r="12" ht="23.85" customHeight="1" s="42">
      <c r="B12" s="46" t="inlineStr">
        <is>
          <t>Intensidad: % de operaciones registradas en la solución</t>
        </is>
      </c>
      <c r="C12" s="50" t="n">
        <v>0.95</v>
      </c>
      <c r="D12" s="50" t="n">
        <v>0.99</v>
      </c>
      <c r="E12" s="61">
        <f>IF(D12="","",IF(D12&gt;=C12,"Sí","Parcial"))</f>
        <v/>
      </c>
      <c r="F12" s="56" t="inlineStr">
        <is>
          <t>Reportes del sistema frente a registros manuales</t>
        </is>
      </c>
    </row>
    <row r="13" ht="23.85" customHeight="1" s="42">
      <c r="B13" s="46" t="inlineStr">
        <is>
          <t>Adherencia acumulada</t>
        </is>
      </c>
      <c r="C13" s="64">
        <f>Inicio!C15</f>
        <v/>
      </c>
      <c r="D13" s="65">
        <f>IF(OR(D11="",C11="",C11=0),"",D11/C11)</f>
        <v/>
      </c>
      <c r="E13" s="61">
        <f>IF(D13="","",IF(D13&gt;=C13,"Sí","No"))</f>
        <v/>
      </c>
      <c r="F13" s="56" t="inlineStr">
        <is>
          <t>Adherencia = días-usuario con uso efectivo ÷ programados × 100</t>
        </is>
      </c>
    </row>
    <row r="14" ht="22.35" customHeight="1" s="42">
      <c r="B14" s="54" t="inlineStr">
        <is>
          <t>El umbral de adherencia se toma de la hoja Inicio (parámetros del protocolo).</t>
        </is>
      </c>
    </row>
    <row r="16" ht="21.75" customHeight="1" s="42">
      <c r="A16" s="45" t="inlineStr">
        <is>
          <t>Adherencia semanal (días-usuario)</t>
        </is>
      </c>
    </row>
    <row r="17" ht="30" customHeight="1" s="42">
      <c r="B17" s="59" t="inlineStr">
        <is>
          <t>Semana</t>
        </is>
      </c>
      <c r="C17" s="59" t="inlineStr">
        <is>
          <t>Programados</t>
        </is>
      </c>
      <c r="D17" s="59" t="inlineStr">
        <is>
          <t>Con uso efectivo</t>
        </is>
      </c>
      <c r="E17" s="59" t="inlineStr">
        <is>
          <t>Adherencia</t>
        </is>
      </c>
      <c r="F17" s="59" t="inlineStr">
        <is>
          <t>Observación de la bitácora</t>
        </is>
      </c>
    </row>
    <row r="18" ht="15" customHeight="1" s="42">
      <c r="B18" s="61" t="inlineStr">
        <is>
          <t>Semana 1</t>
        </is>
      </c>
      <c r="C18" s="62">
        <f>IF(D18="","",$C$9*$C$10)</f>
        <v/>
      </c>
      <c r="D18" s="51" t="n">
        <v>367</v>
      </c>
      <c r="E18" s="66">
        <f>IF(OR(D18="",C18=""),"",D18/C18)</f>
        <v/>
      </c>
      <c r="F18" s="47" t="inlineStr">
        <is>
          <t>Una sola semana: 27/10 al 02/11. 105 de 108 cumplieron al menos 3 sesiones.</t>
        </is>
      </c>
    </row>
    <row r="19" ht="15" customHeight="1" s="42">
      <c r="B19" s="61" t="inlineStr">
        <is>
          <t>Semana 2</t>
        </is>
      </c>
      <c r="C19" s="62">
        <f>IF(D19="","",$C$9*$C$10)</f>
        <v/>
      </c>
      <c r="D19" s="51" t="n"/>
      <c r="E19" s="66">
        <f>IF(OR(D19="",C19=""),"",D19/C19)</f>
        <v/>
      </c>
      <c r="F19" s="47" t="n"/>
    </row>
    <row r="20" ht="23.85" customHeight="1" s="42">
      <c r="B20" s="61" t="inlineStr">
        <is>
          <t>Semana 3</t>
        </is>
      </c>
      <c r="C20" s="62">
        <f>IF(D20="","",$C$9*$C$10)</f>
        <v/>
      </c>
      <c r="D20" s="51" t="n"/>
      <c r="E20" s="66">
        <f>IF(OR(D20="",C20=""),"",D20/C20)</f>
        <v/>
      </c>
      <c r="F20" s="47" t="n"/>
    </row>
    <row r="21" ht="15" customHeight="1" s="42">
      <c r="B21" s="61" t="inlineStr">
        <is>
          <t>Semana 4</t>
        </is>
      </c>
      <c r="C21" s="62">
        <f>IF(D21="","",$C$9*$C$10)</f>
        <v/>
      </c>
      <c r="D21" s="51" t="n"/>
      <c r="E21" s="66">
        <f>IF(OR(D21="",C21=""),"",D21/C21)</f>
        <v/>
      </c>
      <c r="F21" s="47" t="n"/>
    </row>
    <row r="22" ht="15" customHeight="1" s="42">
      <c r="B22" s="61" t="inlineStr">
        <is>
          <t>Semana 5</t>
        </is>
      </c>
      <c r="C22" s="62">
        <f>IF(D22="","",$C$9*$C$10)</f>
        <v/>
      </c>
      <c r="D22" s="51" t="n"/>
      <c r="E22" s="66">
        <f>IF(OR(D22="",C22=""),"",D22/C22)</f>
        <v/>
      </c>
      <c r="F22" s="47" t="n"/>
    </row>
    <row r="23" ht="15" customHeight="1" s="42">
      <c r="B23" s="61" t="inlineStr">
        <is>
          <t>Semana 6</t>
        </is>
      </c>
      <c r="C23" s="62">
        <f>IF(D23="","",$C$9*$C$10)</f>
        <v/>
      </c>
      <c r="D23" s="51" t="n"/>
      <c r="E23" s="66">
        <f>IF(OR(D23="",C23=""),"",D23/C23)</f>
        <v/>
      </c>
      <c r="F23" s="47" t="n"/>
    </row>
    <row r="24" ht="15" customHeight="1" s="42">
      <c r="B24" s="61" t="inlineStr">
        <is>
          <t>Semana 7</t>
        </is>
      </c>
      <c r="C24" s="62">
        <f>IF(D24="","",$C$9*$C$10)</f>
        <v/>
      </c>
      <c r="D24" s="51" t="n"/>
      <c r="E24" s="66">
        <f>IF(OR(D24="",C24=""),"",D24/C24)</f>
        <v/>
      </c>
      <c r="F24" s="47" t="n"/>
    </row>
    <row r="25" ht="15" customHeight="1" s="42">
      <c r="B25" s="61" t="inlineStr">
        <is>
          <t>Semana 8</t>
        </is>
      </c>
      <c r="C25" s="62">
        <f>IF(D25="","",$C$9*$C$10)</f>
        <v/>
      </c>
      <c r="D25" s="51" t="n"/>
      <c r="E25" s="66">
        <f>IF(OR(D25="",C25=""),"",D25/C25)</f>
        <v/>
      </c>
      <c r="F25" s="47" t="n"/>
    </row>
    <row r="26" ht="32.8" customHeight="1" s="42">
      <c r="B26" s="54" t="inlineStr">
        <is>
          <t>Complete solo las semanas ejecutadas; las filas vacías no cuentan. Programados por semana = usuarios × días de uso.</t>
        </is>
      </c>
    </row>
    <row r="28" ht="21.75" customHeight="1" s="42">
      <c r="A28" s="45" t="inlineStr">
        <is>
          <t>Fidelidad de implementación</t>
        </is>
      </c>
    </row>
    <row r="29" ht="30" customHeight="1" s="42">
      <c r="B29" s="59" t="inlineStr">
        <is>
          <t>Componente del protocolo</t>
        </is>
      </c>
      <c r="C29" s="59" t="inlineStr">
        <is>
          <t>¿Se cumple?</t>
        </is>
      </c>
      <c r="D29" s="59" t="inlineStr">
        <is>
          <t>Evidencia</t>
        </is>
      </c>
      <c r="E29" s="48" t="n"/>
      <c r="F29" s="49" t="n"/>
    </row>
    <row r="30" ht="15" customHeight="1" s="42">
      <c r="B30" s="47" t="inlineStr">
        <is>
          <t>Capacitación completa de todos los usuarios</t>
        </is>
      </c>
      <c r="C30" s="67" t="inlineStr">
        <is>
          <t>Sí</t>
        </is>
      </c>
      <c r="D30" s="47" t="inlineStr">
        <is>
          <t>Sesión 4: registro de capacitación, 108 de 108.</t>
        </is>
      </c>
      <c r="E30" s="48" t="n"/>
      <c r="F30" s="49" t="n"/>
    </row>
    <row r="31" ht="15" customHeight="1" s="42">
      <c r="B31" s="47" t="inlineStr">
        <is>
          <t>Uso con la frecuencia programada</t>
        </is>
      </c>
      <c r="C31" s="67" t="inlineStr">
        <is>
          <t>Sí</t>
        </is>
      </c>
      <c r="D31" s="47" t="inlineStr">
        <is>
          <t>Sesión 5: 105 participantes con 3 o más sesiones válidas.</t>
        </is>
      </c>
      <c r="E31" s="48" t="n"/>
      <c r="F31" s="49" t="n"/>
    </row>
    <row r="32" ht="15" customHeight="1" s="42">
      <c r="B32" s="47" t="inlineStr">
        <is>
          <t>Uso con la intensidad programada</t>
        </is>
      </c>
      <c r="C32" s="67" t="inlineStr">
        <is>
          <t>Sí</t>
        </is>
      </c>
      <c r="D32" s="47" t="inlineStr">
        <is>
          <t>Sesiones válidas de al menos 10 minutos en el log de la sesión 5.</t>
        </is>
      </c>
      <c r="E32" s="48" t="n"/>
      <c r="F32" s="49" t="n"/>
    </row>
    <row r="33" ht="15" customHeight="1" s="42">
      <c r="B33" s="47" t="inlineStr">
        <is>
          <t>Soporte técnico disponible y registrado</t>
        </is>
      </c>
      <c r="C33" s="67" t="inlineStr">
        <is>
          <t>Sí</t>
        </is>
      </c>
      <c r="D33" s="47" t="inlineStr">
        <is>
          <t>La misma lista de 7 incidencias en las sesiones 4, 5 y 6.</t>
        </is>
      </c>
      <c r="E33" s="48" t="n"/>
      <c r="F33" s="49" t="n"/>
    </row>
    <row r="34" ht="15" customHeight="1" s="42">
      <c r="B34" s="47" t="inlineStr">
        <is>
          <t>Registros de uso e incidencias al día</t>
        </is>
      </c>
      <c r="C34" s="67" t="inlineStr">
        <is>
          <t>Sí</t>
        </is>
      </c>
      <c r="D34" s="47" t="inlineStr">
        <is>
          <t>Bitácora de la sesión 5 y registro de la sesión 6.</t>
        </is>
      </c>
      <c r="E34" s="48" t="n"/>
      <c r="F34" s="49" t="n"/>
    </row>
    <row r="35" ht="15" customHeight="1" s="42">
      <c r="B35" s="47" t="n"/>
      <c r="C35" s="67" t="n"/>
      <c r="D35" s="47" t="n"/>
      <c r="E35" s="48" t="n"/>
      <c r="F35" s="49" t="n"/>
    </row>
    <row r="36" ht="15" customHeight="1" s="42">
      <c r="B36" s="47" t="n"/>
      <c r="C36" s="67" t="n"/>
      <c r="D36" s="47" t="n"/>
      <c r="E36" s="48" t="n"/>
      <c r="F36" s="49" t="n"/>
    </row>
    <row r="38" ht="15" customHeight="1" s="42">
      <c r="B38" s="46" t="inlineStr">
        <is>
          <t>Fidelidad de implementación</t>
        </is>
      </c>
      <c r="C38" s="65">
        <f>IF(COUNTA(B30:B36)=0,"",COUNTIF(C30:C36,"Sí")/COUNTA(B30:B36))</f>
        <v/>
      </c>
    </row>
    <row r="39" ht="15" customHeight="1" s="42">
      <c r="B39" s="46" t="inlineStr">
        <is>
          <t>Umbral mínimo de fidelidad</t>
        </is>
      </c>
      <c r="C39" s="64">
        <f>Inicio!C16</f>
        <v/>
      </c>
    </row>
    <row r="40" ht="15" customHeight="1" s="42">
      <c r="B40" s="46" t="inlineStr">
        <is>
          <t>Cumple</t>
        </is>
      </c>
      <c r="C40" s="61">
        <f>IF(C38="","",IF(C38&gt;=C39,"Sí","No"))</f>
        <v/>
      </c>
    </row>
    <row r="42" ht="21.75" customHeight="1" s="42">
      <c r="A42" s="45" t="inlineStr">
        <is>
          <t>Decisión de cierre</t>
        </is>
      </c>
    </row>
    <row r="43" ht="15" customHeight="1" s="42">
      <c r="B43" s="46" t="inlineStr">
        <is>
          <t>¿Se cumplió el periodo programado?</t>
        </is>
      </c>
      <c r="C43" s="61">
        <f>IF(E7="","",E7)</f>
        <v/>
      </c>
    </row>
    <row r="44" ht="15" customHeight="1" s="42">
      <c r="B44" s="46" t="inlineStr">
        <is>
          <t>¿Adherencia ≥ umbral?</t>
        </is>
      </c>
      <c r="C44" s="61">
        <f>IF(E13="","",E13)</f>
        <v/>
      </c>
    </row>
    <row r="45" ht="15" customHeight="1" s="42">
      <c r="B45" s="46" t="inlineStr">
        <is>
          <t>¿Fidelidad ≥ umbral?</t>
        </is>
      </c>
      <c r="C45" s="61">
        <f>IF(C40="","",C40)</f>
        <v/>
      </c>
    </row>
    <row r="46" ht="36" customHeight="1" s="42">
      <c r="B46" s="46" t="inlineStr">
        <is>
          <t>Decisión</t>
        </is>
      </c>
      <c r="C46" s="68">
        <f>IF(OR(C43="",C44="",C45=""),"Complete los datos",IF(C43="No","No medir todavía: completar el periodo o documentar la fuerza mayor con el asesor",IF(AND(C44="Sí",C45="Sí"),"Cerrar la intervención y aplicar el postest dentro de la ventana","Registrar la desviación y decidir con el asesor (prórroga documentada o cierre con limitación declarada)")))</f>
        <v/>
      </c>
      <c r="D46" s="48" t="n"/>
      <c r="E46" s="48" t="n"/>
      <c r="F46" s="49" t="n"/>
    </row>
    <row r="47" ht="22.35" customHeight="1" s="42">
      <c r="B47" s="54" t="inlineStr">
        <is>
          <t>El postest nunca se adelanta para cumplir el cronograma del curso: se adelanta la gestión, no la medición.</t>
        </is>
      </c>
    </row>
  </sheetData>
  <mergeCells count="13">
    <mergeCell ref="A16:F16"/>
    <mergeCell ref="A28:F28"/>
    <mergeCell ref="D29:F29"/>
    <mergeCell ref="A42:F42"/>
    <mergeCell ref="D31:F31"/>
    <mergeCell ref="D32:F32"/>
    <mergeCell ref="D35:F35"/>
    <mergeCell ref="D36:F36"/>
    <mergeCell ref="C46:F46"/>
    <mergeCell ref="A4:F4"/>
    <mergeCell ref="D30:F30"/>
    <mergeCell ref="D33:F33"/>
    <mergeCell ref="D34:F34"/>
  </mergeCells>
  <dataValidations count="1">
    <dataValidation sqref="C30:C36" showDropDown="0" showInputMessage="0" showErrorMessage="1" allowBlank="1" errorTitle="Valor no válido" error="Elija un valor de la lista." type="list" errorStyle="stop" operator="between">
      <formula1>Listas!$B$2:$B$3</formula1>
      <formula2>0</formula2>
    </dataValidation>
  </dataValidations>
  <printOptions horizontalCentered="1" verticalCentered="0" headings="0" gridLines="0" gridLinesSet="1"/>
  <pageMargins left="0.5" right="0.5" top="1" bottom="1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N3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1" min="1" max="1"/>
    <col width="8" customWidth="1" style="41" min="2" max="2"/>
    <col width="10" customWidth="1" style="41" min="3" max="3"/>
    <col width="13" customWidth="1" style="41" min="4" max="6"/>
    <col width="14" customWidth="1" style="41" min="7" max="7"/>
    <col width="24" customWidth="1" style="41" min="8" max="8"/>
    <col width="13" customWidth="1" style="41" min="9" max="9"/>
    <col width="16" customWidth="1" style="41" min="10" max="10"/>
    <col width="10" customWidth="1" style="41" min="11" max="11"/>
    <col width="13" customWidth="1" style="41" min="12" max="12"/>
    <col width="12" customWidth="1" style="41" min="13" max="13"/>
    <col width="44" customWidth="1" style="41" min="14" max="14"/>
  </cols>
  <sheetData>
    <row r="1" ht="17.35" customHeight="1" s="42">
      <c r="A1" s="43" t="inlineStr">
        <is>
          <t>Pasos 2 y 5 · Registro de control de participantes</t>
        </is>
      </c>
    </row>
    <row r="2" ht="15" customHeight="1" s="42">
      <c r="A2" s="44" t="inlineStr">
        <is>
          <t>Un participante por fila, solo códigos. Estado al cierre: Activo / Retirado / Excluido. Confirmación: Confirmado / Reprogramado / Pérdida muestral.</t>
        </is>
      </c>
    </row>
    <row r="3" ht="23.85" customHeight="1" s="42">
      <c r="A3" s="46" t="inlineStr">
        <is>
          <t>Registrados</t>
        </is>
      </c>
      <c r="B3" s="69">
        <f>COUNTA(A6:A305)</f>
        <v/>
      </c>
      <c r="C3" s="46" t="inlineStr">
        <is>
          <t>Con pretest</t>
        </is>
      </c>
      <c r="D3" s="69">
        <f>COUNTIF(C6:C305,"Sí")</f>
        <v/>
      </c>
      <c r="E3" s="46" t="inlineStr">
        <is>
          <t>Con postest</t>
        </is>
      </c>
      <c r="F3" s="69">
        <f>COUNTIF(K6:K305,"Sí")</f>
        <v/>
      </c>
      <c r="G3" s="46" t="inlineStr">
        <is>
          <t>Pares analizados</t>
        </is>
      </c>
      <c r="H3" s="69">
        <f>SUM(M6:M305)</f>
        <v/>
      </c>
      <c r="I3" s="46" t="inlineStr">
        <is>
          <t>Retirados</t>
        </is>
      </c>
      <c r="J3" s="69">
        <f>COUNTIF(F6:F305,"Retirado")</f>
        <v/>
      </c>
      <c r="K3" s="46" t="inlineStr">
        <is>
          <t>Excluidos</t>
        </is>
      </c>
      <c r="L3" s="69">
        <f>COUNTIF(F6:F305,"Excluido")</f>
        <v/>
      </c>
    </row>
    <row r="5" ht="42" customHeight="1" s="42">
      <c r="A5" s="59" t="inlineStr">
        <is>
          <t>Código</t>
        </is>
      </c>
      <c r="B5" s="59" t="inlineStr">
        <is>
          <t>Grupo</t>
        </is>
      </c>
      <c r="C5" s="59" t="inlineStr">
        <is>
          <t>Pretest rendido</t>
        </is>
      </c>
      <c r="D5" s="59" t="inlineStr">
        <is>
          <t>Fecha del pretest</t>
        </is>
      </c>
      <c r="E5" s="59" t="inlineStr">
        <is>
          <t>Adherencia individual (%)</t>
        </is>
      </c>
      <c r="F5" s="59" t="inlineStr">
        <is>
          <t>Estado al cierre</t>
        </is>
      </c>
      <c r="G5" s="59" t="inlineStr">
        <is>
          <t>Fecha de retiro o exclusión</t>
        </is>
      </c>
      <c r="H5" s="59" t="inlineStr">
        <is>
          <t>Motivo</t>
        </is>
      </c>
      <c r="I5" s="59" t="inlineStr">
        <is>
          <t>Convocatoria (fecha)</t>
        </is>
      </c>
      <c r="J5" s="59" t="inlineStr">
        <is>
          <t>Confirmación</t>
        </is>
      </c>
      <c r="K5" s="59" t="inlineStr">
        <is>
          <t>Postest rendido</t>
        </is>
      </c>
      <c r="L5" s="59" t="inlineStr">
        <is>
          <t>Fecha del postest</t>
        </is>
      </c>
      <c r="M5" s="59" t="inlineStr">
        <is>
          <t>Par pretest–postest</t>
        </is>
      </c>
      <c r="N5" s="59" t="inlineStr">
        <is>
          <t>Observaciones</t>
        </is>
      </c>
    </row>
    <row r="6" ht="15" customHeight="1" s="42">
      <c r="A6" s="70" t="inlineStr">
        <is>
          <t>GU-TDH-002</t>
        </is>
      </c>
      <c r="B6" s="71" t="inlineStr">
        <is>
          <t>GE</t>
        </is>
      </c>
      <c r="C6" s="71" t="inlineStr">
        <is>
          <t>Sí</t>
        </is>
      </c>
      <c r="D6" s="72" t="n">
        <v>46315</v>
      </c>
      <c r="E6" s="73" t="n">
        <v>100</v>
      </c>
      <c r="F6" s="71" t="inlineStr">
        <is>
          <t>Activo</t>
        </is>
      </c>
      <c r="G6" s="53" t="n"/>
      <c r="H6" s="47" t="n"/>
      <c r="I6" s="72" t="n">
        <v>46328</v>
      </c>
      <c r="J6" s="71" t="inlineStr">
        <is>
          <t>Confirmado</t>
        </is>
      </c>
      <c r="K6" s="71" t="inlineStr">
        <is>
          <t>Sí</t>
        </is>
      </c>
      <c r="L6" s="72" t="n">
        <v>46329</v>
      </c>
      <c r="M6" s="74">
        <f>IF(A6="","",IF(AND(C6="Sí",K6="Sí",F6&lt;&gt;"Excluido"),1,0))</f>
        <v/>
      </c>
      <c r="N6" t="inlineStr">
        <is>
          <t>Simulación de seminario, no es campo real. Los 108 códigos son los del pretest (sesiones 2 y 3). En las plantillas 4, 5 y 7 el grupo único se registra como GE; no hay GC. La fecha de pretest se reparte en la ventana 20–25/10 del cronograma.</t>
        </is>
      </c>
    </row>
    <row r="7" ht="15" customHeight="1" s="42">
      <c r="A7" s="70" t="inlineStr">
        <is>
          <t>GU-TDH-003</t>
        </is>
      </c>
      <c r="B7" s="71" t="inlineStr">
        <is>
          <t>GE</t>
        </is>
      </c>
      <c r="C7" s="71" t="inlineStr">
        <is>
          <t>Sí</t>
        </is>
      </c>
      <c r="D7" s="72" t="n">
        <v>46316</v>
      </c>
      <c r="E7" s="73" t="n">
        <v>100</v>
      </c>
      <c r="F7" s="71" t="inlineStr">
        <is>
          <t>Activo</t>
        </is>
      </c>
      <c r="G7" s="53" t="n"/>
      <c r="H7" s="47" t="n"/>
      <c r="I7" s="72" t="n">
        <v>46328</v>
      </c>
      <c r="J7" s="71" t="inlineStr">
        <is>
          <t>Confirmado</t>
        </is>
      </c>
      <c r="K7" s="71" t="inlineStr">
        <is>
          <t>Sí</t>
        </is>
      </c>
      <c r="L7" s="72" t="n">
        <v>46330</v>
      </c>
      <c r="M7" s="74">
        <f>IF(A7="","",IF(AND(C7="Sí",K7="Sí",F7&lt;&gt;"Excluido"),1,0))</f>
        <v/>
      </c>
    </row>
    <row r="8" ht="15" customHeight="1" s="42">
      <c r="A8" s="70" t="inlineStr">
        <is>
          <t>GU-TDH-004</t>
        </is>
      </c>
      <c r="B8" s="71" t="inlineStr">
        <is>
          <t>GE</t>
        </is>
      </c>
      <c r="C8" s="71" t="inlineStr">
        <is>
          <t>Sí</t>
        </is>
      </c>
      <c r="D8" s="72" t="n">
        <v>46317</v>
      </c>
      <c r="E8" s="73" t="n">
        <v>100</v>
      </c>
      <c r="F8" s="71" t="inlineStr">
        <is>
          <t>Activo</t>
        </is>
      </c>
      <c r="G8" s="53" t="n"/>
      <c r="H8" s="47" t="n"/>
      <c r="I8" s="72" t="n">
        <v>46328</v>
      </c>
      <c r="J8" s="71" t="inlineStr">
        <is>
          <t>Confirmado</t>
        </is>
      </c>
      <c r="K8" s="71" t="inlineStr">
        <is>
          <t>Sí</t>
        </is>
      </c>
      <c r="L8" s="72" t="n">
        <v>46331</v>
      </c>
      <c r="M8" s="74">
        <f>IF(A8="","",IF(AND(C8="Sí",K8="Sí",F8&lt;&gt;"Excluido"),1,0))</f>
        <v/>
      </c>
    </row>
    <row r="9" ht="15" customHeight="1" s="42">
      <c r="A9" s="70" t="inlineStr">
        <is>
          <t>GU-TDH-006</t>
        </is>
      </c>
      <c r="B9" s="71" t="inlineStr">
        <is>
          <t>GE</t>
        </is>
      </c>
      <c r="C9" s="71" t="inlineStr">
        <is>
          <t>Sí</t>
        </is>
      </c>
      <c r="D9" s="72" t="n">
        <v>46318</v>
      </c>
      <c r="E9" s="73" t="n">
        <v>100</v>
      </c>
      <c r="F9" s="71" t="inlineStr">
        <is>
          <t>Activo</t>
        </is>
      </c>
      <c r="G9" s="53" t="n"/>
      <c r="H9" s="47" t="n"/>
      <c r="I9" s="72" t="n">
        <v>46328</v>
      </c>
      <c r="J9" s="71" t="inlineStr">
        <is>
          <t>Confirmado</t>
        </is>
      </c>
      <c r="K9" s="71" t="inlineStr">
        <is>
          <t>Sí</t>
        </is>
      </c>
      <c r="L9" s="72" t="n">
        <v>46332</v>
      </c>
      <c r="M9" s="74">
        <f>IF(A9="","",IF(AND(C9="Sí",K9="Sí",F9&lt;&gt;"Excluido"),1,0))</f>
        <v/>
      </c>
    </row>
    <row r="10" ht="15" customHeight="1" s="42">
      <c r="A10" s="70" t="inlineStr">
        <is>
          <t>GU-TDH-007</t>
        </is>
      </c>
      <c r="B10" s="71" t="inlineStr">
        <is>
          <t>GE</t>
        </is>
      </c>
      <c r="C10" s="71" t="inlineStr">
        <is>
          <t>Sí</t>
        </is>
      </c>
      <c r="D10" s="72" t="n">
        <v>46319</v>
      </c>
      <c r="E10" s="73" t="n">
        <v>100</v>
      </c>
      <c r="F10" s="71" t="inlineStr">
        <is>
          <t>Activo</t>
        </is>
      </c>
      <c r="G10" s="53" t="n"/>
      <c r="H10" s="47" t="n"/>
      <c r="I10" s="72" t="n">
        <v>46328</v>
      </c>
      <c r="J10" s="71" t="inlineStr">
        <is>
          <t>Confirmado</t>
        </is>
      </c>
      <c r="K10" s="71" t="inlineStr">
        <is>
          <t>Sí</t>
        </is>
      </c>
      <c r="L10" s="72" t="n">
        <v>46333</v>
      </c>
      <c r="M10" s="74">
        <f>IF(A10="","",IF(AND(C10="Sí",K10="Sí",F10&lt;&gt;"Excluido"),1,0))</f>
        <v/>
      </c>
    </row>
    <row r="11" ht="15" customHeight="1" s="42">
      <c r="A11" s="70" t="inlineStr">
        <is>
          <t>GU-TDH-008</t>
        </is>
      </c>
      <c r="B11" s="71" t="inlineStr">
        <is>
          <t>GE</t>
        </is>
      </c>
      <c r="C11" s="71" t="inlineStr">
        <is>
          <t>Sí</t>
        </is>
      </c>
      <c r="D11" s="72" t="n">
        <v>46320</v>
      </c>
      <c r="E11" s="73" t="n">
        <v>100</v>
      </c>
      <c r="F11" s="71" t="inlineStr">
        <is>
          <t>Activo</t>
        </is>
      </c>
      <c r="G11" s="53" t="n"/>
      <c r="H11" s="47" t="n"/>
      <c r="I11" s="72" t="n">
        <v>46328</v>
      </c>
      <c r="J11" s="71" t="inlineStr">
        <is>
          <t>Confirmado</t>
        </is>
      </c>
      <c r="K11" s="71" t="inlineStr">
        <is>
          <t>Sí</t>
        </is>
      </c>
      <c r="L11" s="72" t="n">
        <v>46334</v>
      </c>
      <c r="M11" s="74">
        <f>IF(A11="","",IF(AND(C11="Sí",K11="Sí",F11&lt;&gt;"Excluido"),1,0))</f>
        <v/>
      </c>
    </row>
    <row r="12" ht="15" customHeight="1" s="42">
      <c r="A12" s="70" t="inlineStr">
        <is>
          <t>GU-TDH-009</t>
        </is>
      </c>
      <c r="B12" s="71" t="inlineStr">
        <is>
          <t>GE</t>
        </is>
      </c>
      <c r="C12" s="71" t="inlineStr">
        <is>
          <t>Sí</t>
        </is>
      </c>
      <c r="D12" s="72" t="n">
        <v>46315</v>
      </c>
      <c r="E12" s="73" t="n">
        <v>100</v>
      </c>
      <c r="F12" s="71" t="inlineStr">
        <is>
          <t>Activo</t>
        </is>
      </c>
      <c r="G12" s="53" t="n"/>
      <c r="H12" s="47" t="n"/>
      <c r="I12" s="72" t="n">
        <v>46328</v>
      </c>
      <c r="J12" s="71" t="inlineStr">
        <is>
          <t>Confirmado</t>
        </is>
      </c>
      <c r="K12" s="71" t="inlineStr">
        <is>
          <t>Sí</t>
        </is>
      </c>
      <c r="L12" s="72" t="n">
        <v>46329</v>
      </c>
      <c r="M12" s="74">
        <f>IF(A12="","",IF(AND(C12="Sí",K12="Sí",F12&lt;&gt;"Excluido"),1,0))</f>
        <v/>
      </c>
    </row>
    <row r="13" ht="15" customHeight="1" s="42">
      <c r="A13" s="70" t="inlineStr">
        <is>
          <t>GU-TDH-010</t>
        </is>
      </c>
      <c r="B13" s="71" t="inlineStr">
        <is>
          <t>GE</t>
        </is>
      </c>
      <c r="C13" s="71" t="inlineStr">
        <is>
          <t>Sí</t>
        </is>
      </c>
      <c r="D13" s="72" t="n">
        <v>46316</v>
      </c>
      <c r="E13" s="73" t="n">
        <v>100</v>
      </c>
      <c r="F13" s="71" t="inlineStr">
        <is>
          <t>Activo</t>
        </is>
      </c>
      <c r="G13" s="53" t="n"/>
      <c r="H13" s="47" t="n"/>
      <c r="I13" s="72" t="n">
        <v>46328</v>
      </c>
      <c r="J13" s="71" t="inlineStr">
        <is>
          <t>Confirmado</t>
        </is>
      </c>
      <c r="K13" s="71" t="inlineStr">
        <is>
          <t>Sí</t>
        </is>
      </c>
      <c r="L13" s="72" t="n">
        <v>46330</v>
      </c>
      <c r="M13" s="74">
        <f>IF(A13="","",IF(AND(C13="Sí",K13="Sí",F13&lt;&gt;"Excluido"),1,0))</f>
        <v/>
      </c>
    </row>
    <row r="14" ht="15" customHeight="1" s="42">
      <c r="A14" s="70" t="inlineStr">
        <is>
          <t>GU-TDH-011</t>
        </is>
      </c>
      <c r="B14" s="71" t="inlineStr">
        <is>
          <t>GE</t>
        </is>
      </c>
      <c r="C14" s="71" t="inlineStr">
        <is>
          <t>Sí</t>
        </is>
      </c>
      <c r="D14" s="72" t="n">
        <v>46317</v>
      </c>
      <c r="E14" s="73" t="n">
        <v>100</v>
      </c>
      <c r="F14" s="71" t="inlineStr">
        <is>
          <t>Activo</t>
        </is>
      </c>
      <c r="G14" s="53" t="n"/>
      <c r="H14" s="47" t="n"/>
      <c r="I14" s="72" t="n">
        <v>46328</v>
      </c>
      <c r="J14" s="71" t="inlineStr">
        <is>
          <t>Confirmado</t>
        </is>
      </c>
      <c r="K14" s="71" t="inlineStr">
        <is>
          <t>Sí</t>
        </is>
      </c>
      <c r="L14" s="72" t="n">
        <v>46331</v>
      </c>
      <c r="M14" s="74">
        <f>IF(A14="","",IF(AND(C14="Sí",K14="Sí",F14&lt;&gt;"Excluido"),1,0))</f>
        <v/>
      </c>
    </row>
    <row r="15" ht="15" customHeight="1" s="42">
      <c r="A15" s="70" t="inlineStr">
        <is>
          <t>GU-TDH-012</t>
        </is>
      </c>
      <c r="B15" s="71" t="inlineStr">
        <is>
          <t>GE</t>
        </is>
      </c>
      <c r="C15" s="71" t="inlineStr">
        <is>
          <t>Sí</t>
        </is>
      </c>
      <c r="D15" s="72" t="n">
        <v>46318</v>
      </c>
      <c r="E15" s="73" t="n">
        <v>100</v>
      </c>
      <c r="F15" s="71" t="inlineStr">
        <is>
          <t>Activo</t>
        </is>
      </c>
      <c r="G15" s="53" t="n"/>
      <c r="H15" s="47" t="n"/>
      <c r="I15" s="72" t="n">
        <v>46328</v>
      </c>
      <c r="J15" s="71" t="inlineStr">
        <is>
          <t>Confirmado</t>
        </is>
      </c>
      <c r="K15" s="71" t="inlineStr">
        <is>
          <t>Sí</t>
        </is>
      </c>
      <c r="L15" s="72" t="n">
        <v>46332</v>
      </c>
      <c r="M15" s="74">
        <f>IF(A15="","",IF(AND(C15="Sí",K15="Sí",F15&lt;&gt;"Excluido"),1,0))</f>
        <v/>
      </c>
    </row>
    <row r="16" ht="15" customHeight="1" s="42">
      <c r="A16" s="70" t="inlineStr">
        <is>
          <t>GU-TDH-014</t>
        </is>
      </c>
      <c r="B16" s="71" t="inlineStr">
        <is>
          <t>GE</t>
        </is>
      </c>
      <c r="C16" s="71" t="inlineStr">
        <is>
          <t>Sí</t>
        </is>
      </c>
      <c r="D16" s="72" t="n">
        <v>46319</v>
      </c>
      <c r="E16" s="73" t="n">
        <v>100</v>
      </c>
      <c r="F16" s="71" t="inlineStr">
        <is>
          <t>Activo</t>
        </is>
      </c>
      <c r="G16" s="53" t="n"/>
      <c r="H16" s="47" t="n"/>
      <c r="I16" s="72" t="n">
        <v>46328</v>
      </c>
      <c r="J16" s="71" t="inlineStr">
        <is>
          <t>Confirmado</t>
        </is>
      </c>
      <c r="K16" s="71" t="inlineStr">
        <is>
          <t>Sí</t>
        </is>
      </c>
      <c r="L16" s="72" t="n">
        <v>46333</v>
      </c>
      <c r="M16" s="74">
        <f>IF(A16="","",IF(AND(C16="Sí",K16="Sí",F16&lt;&gt;"Excluido"),1,0))</f>
        <v/>
      </c>
    </row>
    <row r="17" ht="15" customHeight="1" s="42">
      <c r="A17" s="70" t="inlineStr">
        <is>
          <t>GU-TDH-015</t>
        </is>
      </c>
      <c r="B17" s="71" t="inlineStr">
        <is>
          <t>GE</t>
        </is>
      </c>
      <c r="C17" s="71" t="inlineStr">
        <is>
          <t>Sí</t>
        </is>
      </c>
      <c r="D17" s="72" t="n">
        <v>46320</v>
      </c>
      <c r="E17" s="73" t="n">
        <v>0</v>
      </c>
      <c r="F17" s="71" t="inlineStr">
        <is>
          <t>Retirado</t>
        </is>
      </c>
      <c r="G17" s="72" t="n">
        <v>46324</v>
      </c>
      <c r="H17" s="70" t="inlineStr">
        <is>
          <t>Otro</t>
        </is>
      </c>
      <c r="I17" s="72" t="n">
        <v>46328</v>
      </c>
      <c r="J17" s="71" t="inlineStr">
        <is>
          <t>Pérdida muestral</t>
        </is>
      </c>
      <c r="K17" s="71" t="inlineStr">
        <is>
          <t>No</t>
        </is>
      </c>
      <c r="L17" s="53" t="n"/>
      <c r="M17" s="74">
        <f>IF(A17="","",IF(AND(C17="Sí",K17="Sí",F17&lt;&gt;"Excluido"),1,0))</f>
        <v/>
      </c>
    </row>
    <row r="18" ht="15" customHeight="1" s="42">
      <c r="A18" s="70" t="inlineStr">
        <is>
          <t>GU-TDH-016</t>
        </is>
      </c>
      <c r="B18" s="71" t="inlineStr">
        <is>
          <t>GE</t>
        </is>
      </c>
      <c r="C18" s="71" t="inlineStr">
        <is>
          <t>Sí</t>
        </is>
      </c>
      <c r="D18" s="72" t="n">
        <v>46315</v>
      </c>
      <c r="E18" s="73" t="n">
        <v>100</v>
      </c>
      <c r="F18" s="71" t="inlineStr">
        <is>
          <t>Activo</t>
        </is>
      </c>
      <c r="G18" s="53" t="n"/>
      <c r="H18" s="47" t="n"/>
      <c r="I18" s="72" t="n">
        <v>46328</v>
      </c>
      <c r="J18" s="71" t="inlineStr">
        <is>
          <t>Confirmado</t>
        </is>
      </c>
      <c r="K18" s="71" t="inlineStr">
        <is>
          <t>Sí</t>
        </is>
      </c>
      <c r="L18" s="72" t="n">
        <v>46329</v>
      </c>
      <c r="M18" s="74">
        <f>IF(A18="","",IF(AND(C18="Sí",K18="Sí",F18&lt;&gt;"Excluido"),1,0))</f>
        <v/>
      </c>
    </row>
    <row r="19" ht="15" customHeight="1" s="42">
      <c r="A19" s="70" t="inlineStr">
        <is>
          <t>GU-TDH-017</t>
        </is>
      </c>
      <c r="B19" s="71" t="inlineStr">
        <is>
          <t>GE</t>
        </is>
      </c>
      <c r="C19" s="71" t="inlineStr">
        <is>
          <t>Sí</t>
        </is>
      </c>
      <c r="D19" s="72" t="n">
        <v>46316</v>
      </c>
      <c r="E19" s="73" t="n">
        <v>100</v>
      </c>
      <c r="F19" s="71" t="inlineStr">
        <is>
          <t>Activo</t>
        </is>
      </c>
      <c r="G19" s="53" t="n"/>
      <c r="H19" s="47" t="n"/>
      <c r="I19" s="72" t="n">
        <v>46328</v>
      </c>
      <c r="J19" s="71" t="inlineStr">
        <is>
          <t>Confirmado</t>
        </is>
      </c>
      <c r="K19" s="71" t="inlineStr">
        <is>
          <t>Sí</t>
        </is>
      </c>
      <c r="L19" s="72" t="n">
        <v>46330</v>
      </c>
      <c r="M19" s="74">
        <f>IF(A19="","",IF(AND(C19="Sí",K19="Sí",F19&lt;&gt;"Excluido"),1,0))</f>
        <v/>
      </c>
    </row>
    <row r="20" ht="15" customHeight="1" s="42">
      <c r="A20" s="70" t="inlineStr">
        <is>
          <t>GU-TDH-019</t>
        </is>
      </c>
      <c r="B20" s="71" t="inlineStr">
        <is>
          <t>GE</t>
        </is>
      </c>
      <c r="C20" s="71" t="inlineStr">
        <is>
          <t>Sí</t>
        </is>
      </c>
      <c r="D20" s="72" t="n">
        <v>46317</v>
      </c>
      <c r="E20" s="73" t="n">
        <v>100</v>
      </c>
      <c r="F20" s="71" t="inlineStr">
        <is>
          <t>Activo</t>
        </is>
      </c>
      <c r="G20" s="53" t="n"/>
      <c r="H20" s="47" t="n"/>
      <c r="I20" s="72" t="n">
        <v>46328</v>
      </c>
      <c r="J20" s="71" t="inlineStr">
        <is>
          <t>Confirmado</t>
        </is>
      </c>
      <c r="K20" s="71" t="inlineStr">
        <is>
          <t>Sí</t>
        </is>
      </c>
      <c r="L20" s="72" t="n">
        <v>46331</v>
      </c>
      <c r="M20" s="74">
        <f>IF(A20="","",IF(AND(C20="Sí",K20="Sí",F20&lt;&gt;"Excluido"),1,0))</f>
        <v/>
      </c>
    </row>
    <row r="21" ht="15" customHeight="1" s="42">
      <c r="A21" s="70" t="inlineStr">
        <is>
          <t>GU-TDH-020</t>
        </is>
      </c>
      <c r="B21" s="71" t="inlineStr">
        <is>
          <t>GE</t>
        </is>
      </c>
      <c r="C21" s="71" t="inlineStr">
        <is>
          <t>Sí</t>
        </is>
      </c>
      <c r="D21" s="72" t="n">
        <v>46318</v>
      </c>
      <c r="E21" s="73" t="n">
        <v>100</v>
      </c>
      <c r="F21" s="71" t="inlineStr">
        <is>
          <t>Activo</t>
        </is>
      </c>
      <c r="G21" s="53" t="n"/>
      <c r="H21" s="47" t="n"/>
      <c r="I21" s="72" t="n">
        <v>46328</v>
      </c>
      <c r="J21" s="71" t="inlineStr">
        <is>
          <t>Confirmado</t>
        </is>
      </c>
      <c r="K21" s="71" t="inlineStr">
        <is>
          <t>Sí</t>
        </is>
      </c>
      <c r="L21" s="72" t="n">
        <v>46332</v>
      </c>
      <c r="M21" s="74">
        <f>IF(A21="","",IF(AND(C21="Sí",K21="Sí",F21&lt;&gt;"Excluido"),1,0))</f>
        <v/>
      </c>
    </row>
    <row r="22" ht="15" customHeight="1" s="42">
      <c r="A22" s="70" t="inlineStr">
        <is>
          <t>GU-TDH-021</t>
        </is>
      </c>
      <c r="B22" s="71" t="inlineStr">
        <is>
          <t>GE</t>
        </is>
      </c>
      <c r="C22" s="71" t="inlineStr">
        <is>
          <t>Sí</t>
        </is>
      </c>
      <c r="D22" s="72" t="n">
        <v>46319</v>
      </c>
      <c r="E22" s="73" t="n">
        <v>100</v>
      </c>
      <c r="F22" s="71" t="inlineStr">
        <is>
          <t>Activo</t>
        </is>
      </c>
      <c r="G22" s="53" t="n"/>
      <c r="H22" s="47" t="n"/>
      <c r="I22" s="72" t="n">
        <v>46328</v>
      </c>
      <c r="J22" s="71" t="inlineStr">
        <is>
          <t>Confirmado</t>
        </is>
      </c>
      <c r="K22" s="71" t="inlineStr">
        <is>
          <t>Sí</t>
        </is>
      </c>
      <c r="L22" s="72" t="n">
        <v>46333</v>
      </c>
      <c r="M22" s="74">
        <f>IF(A22="","",IF(AND(C22="Sí",K22="Sí",F22&lt;&gt;"Excluido"),1,0))</f>
        <v/>
      </c>
    </row>
    <row r="23" ht="15" customHeight="1" s="42">
      <c r="A23" s="70" t="inlineStr">
        <is>
          <t>GU-TDH-022</t>
        </is>
      </c>
      <c r="B23" s="71" t="inlineStr">
        <is>
          <t>GE</t>
        </is>
      </c>
      <c r="C23" s="71" t="inlineStr">
        <is>
          <t>Sí</t>
        </is>
      </c>
      <c r="D23" s="72" t="n">
        <v>46320</v>
      </c>
      <c r="E23" s="73" t="n">
        <v>100</v>
      </c>
      <c r="F23" s="71" t="inlineStr">
        <is>
          <t>Activo</t>
        </is>
      </c>
      <c r="G23" s="53" t="n"/>
      <c r="H23" s="47" t="n"/>
      <c r="I23" s="72" t="n">
        <v>46328</v>
      </c>
      <c r="J23" s="71" t="inlineStr">
        <is>
          <t>Confirmado</t>
        </is>
      </c>
      <c r="K23" s="71" t="inlineStr">
        <is>
          <t>Sí</t>
        </is>
      </c>
      <c r="L23" s="72" t="n">
        <v>46334</v>
      </c>
      <c r="M23" s="74">
        <f>IF(A23="","",IF(AND(C23="Sí",K23="Sí",F23&lt;&gt;"Excluido"),1,0))</f>
        <v/>
      </c>
    </row>
    <row r="24" ht="15" customHeight="1" s="42">
      <c r="A24" s="70" t="inlineStr">
        <is>
          <t>GU-TDH-023</t>
        </is>
      </c>
      <c r="B24" s="71" t="inlineStr">
        <is>
          <t>GE</t>
        </is>
      </c>
      <c r="C24" s="71" t="inlineStr">
        <is>
          <t>Sí</t>
        </is>
      </c>
      <c r="D24" s="72" t="n">
        <v>46315</v>
      </c>
      <c r="E24" s="73" t="n">
        <v>100</v>
      </c>
      <c r="F24" s="71" t="inlineStr">
        <is>
          <t>Activo</t>
        </is>
      </c>
      <c r="G24" s="53" t="n"/>
      <c r="H24" s="47" t="n"/>
      <c r="I24" s="72" t="n">
        <v>46328</v>
      </c>
      <c r="J24" s="71" t="inlineStr">
        <is>
          <t>Confirmado</t>
        </is>
      </c>
      <c r="K24" s="71" t="inlineStr">
        <is>
          <t>Sí</t>
        </is>
      </c>
      <c r="L24" s="72" t="n">
        <v>46329</v>
      </c>
      <c r="M24" s="74">
        <f>IF(A24="","",IF(AND(C24="Sí",K24="Sí",F24&lt;&gt;"Excluido"),1,0))</f>
        <v/>
      </c>
    </row>
    <row r="25" ht="15" customHeight="1" s="42">
      <c r="A25" s="70" t="inlineStr">
        <is>
          <t>GU-TDH-024</t>
        </is>
      </c>
      <c r="B25" s="71" t="inlineStr">
        <is>
          <t>GE</t>
        </is>
      </c>
      <c r="C25" s="71" t="inlineStr">
        <is>
          <t>Sí</t>
        </is>
      </c>
      <c r="D25" s="72" t="n">
        <v>46316</v>
      </c>
      <c r="E25" s="73" t="n">
        <v>100</v>
      </c>
      <c r="F25" s="71" t="inlineStr">
        <is>
          <t>Activo</t>
        </is>
      </c>
      <c r="G25" s="53" t="n"/>
      <c r="H25" s="47" t="n"/>
      <c r="I25" s="72" t="n">
        <v>46328</v>
      </c>
      <c r="J25" s="71" t="inlineStr">
        <is>
          <t>Confirmado</t>
        </is>
      </c>
      <c r="K25" s="71" t="inlineStr">
        <is>
          <t>Sí</t>
        </is>
      </c>
      <c r="L25" s="72" t="n">
        <v>46330</v>
      </c>
      <c r="M25" s="74">
        <f>IF(A25="","",IF(AND(C25="Sí",K25="Sí",F25&lt;&gt;"Excluido"),1,0))</f>
        <v/>
      </c>
    </row>
    <row r="26" ht="15" customHeight="1" s="42">
      <c r="A26" s="70" t="inlineStr">
        <is>
          <t>GU-TDH-025</t>
        </is>
      </c>
      <c r="B26" s="71" t="inlineStr">
        <is>
          <t>GE</t>
        </is>
      </c>
      <c r="C26" s="71" t="inlineStr">
        <is>
          <t>Sí</t>
        </is>
      </c>
      <c r="D26" s="72" t="n">
        <v>46317</v>
      </c>
      <c r="E26" s="73" t="n">
        <v>100</v>
      </c>
      <c r="F26" s="71" t="inlineStr">
        <is>
          <t>Activo</t>
        </is>
      </c>
      <c r="G26" s="53" t="n"/>
      <c r="H26" s="47" t="n"/>
      <c r="I26" s="72" t="n">
        <v>46328</v>
      </c>
      <c r="J26" s="71" t="inlineStr">
        <is>
          <t>Confirmado</t>
        </is>
      </c>
      <c r="K26" s="71" t="inlineStr">
        <is>
          <t>Sí</t>
        </is>
      </c>
      <c r="L26" s="72" t="n">
        <v>46331</v>
      </c>
      <c r="M26" s="74">
        <f>IF(A26="","",IF(AND(C26="Sí",K26="Sí",F26&lt;&gt;"Excluido"),1,0))</f>
        <v/>
      </c>
    </row>
    <row r="27" ht="15" customHeight="1" s="42">
      <c r="A27" s="70" t="inlineStr">
        <is>
          <t>GU-TDH-026</t>
        </is>
      </c>
      <c r="B27" s="71" t="inlineStr">
        <is>
          <t>GE</t>
        </is>
      </c>
      <c r="C27" s="71" t="inlineStr">
        <is>
          <t>Sí</t>
        </is>
      </c>
      <c r="D27" s="72" t="n">
        <v>46318</v>
      </c>
      <c r="E27" s="73" t="n">
        <v>100</v>
      </c>
      <c r="F27" s="71" t="inlineStr">
        <is>
          <t>Activo</t>
        </is>
      </c>
      <c r="G27" s="53" t="n"/>
      <c r="H27" s="47" t="n"/>
      <c r="I27" s="72" t="n">
        <v>46328</v>
      </c>
      <c r="J27" s="71" t="inlineStr">
        <is>
          <t>Confirmado</t>
        </is>
      </c>
      <c r="K27" s="71" t="inlineStr">
        <is>
          <t>Sí</t>
        </is>
      </c>
      <c r="L27" s="72" t="n">
        <v>46332</v>
      </c>
      <c r="M27" s="74">
        <f>IF(A27="","",IF(AND(C27="Sí",K27="Sí",F27&lt;&gt;"Excluido"),1,0))</f>
        <v/>
      </c>
    </row>
    <row r="28" ht="15" customHeight="1" s="42">
      <c r="A28" s="70" t="inlineStr">
        <is>
          <t>GU-TDH-027</t>
        </is>
      </c>
      <c r="B28" s="71" t="inlineStr">
        <is>
          <t>GE</t>
        </is>
      </c>
      <c r="C28" s="71" t="inlineStr">
        <is>
          <t>Sí</t>
        </is>
      </c>
      <c r="D28" s="72" t="n">
        <v>46319</v>
      </c>
      <c r="E28" s="73" t="n">
        <v>100</v>
      </c>
      <c r="F28" s="71" t="inlineStr">
        <is>
          <t>Activo</t>
        </is>
      </c>
      <c r="G28" s="53" t="n"/>
      <c r="H28" s="47" t="n"/>
      <c r="I28" s="72" t="n">
        <v>46328</v>
      </c>
      <c r="J28" s="71" t="inlineStr">
        <is>
          <t>Confirmado</t>
        </is>
      </c>
      <c r="K28" s="71" t="inlineStr">
        <is>
          <t>Sí</t>
        </is>
      </c>
      <c r="L28" s="72" t="n">
        <v>46333</v>
      </c>
      <c r="M28" s="74">
        <f>IF(A28="","",IF(AND(C28="Sí",K28="Sí",F28&lt;&gt;"Excluido"),1,0))</f>
        <v/>
      </c>
    </row>
    <row r="29" ht="15" customHeight="1" s="42">
      <c r="A29" s="70" t="inlineStr">
        <is>
          <t>GU-TDH-028</t>
        </is>
      </c>
      <c r="B29" s="71" t="inlineStr">
        <is>
          <t>GE</t>
        </is>
      </c>
      <c r="C29" s="71" t="inlineStr">
        <is>
          <t>Sí</t>
        </is>
      </c>
      <c r="D29" s="72" t="n">
        <v>46320</v>
      </c>
      <c r="E29" s="73" t="n">
        <v>100</v>
      </c>
      <c r="F29" s="71" t="inlineStr">
        <is>
          <t>Activo</t>
        </is>
      </c>
      <c r="G29" s="53" t="n"/>
      <c r="H29" s="47" t="n"/>
      <c r="I29" s="72" t="n">
        <v>46328</v>
      </c>
      <c r="J29" s="71" t="inlineStr">
        <is>
          <t>Confirmado</t>
        </is>
      </c>
      <c r="K29" s="71" t="inlineStr">
        <is>
          <t>Sí</t>
        </is>
      </c>
      <c r="L29" s="72" t="n">
        <v>46334</v>
      </c>
      <c r="M29" s="74">
        <f>IF(A29="","",IF(AND(C29="Sí",K29="Sí",F29&lt;&gt;"Excluido"),1,0))</f>
        <v/>
      </c>
    </row>
    <row r="30" ht="15" customHeight="1" s="42">
      <c r="A30" s="70" t="inlineStr">
        <is>
          <t>GU-TDH-029</t>
        </is>
      </c>
      <c r="B30" s="71" t="inlineStr">
        <is>
          <t>GE</t>
        </is>
      </c>
      <c r="C30" s="71" t="inlineStr">
        <is>
          <t>Sí</t>
        </is>
      </c>
      <c r="D30" s="72" t="n">
        <v>46315</v>
      </c>
      <c r="E30" s="73" t="n">
        <v>100</v>
      </c>
      <c r="F30" s="71" t="inlineStr">
        <is>
          <t>Activo</t>
        </is>
      </c>
      <c r="G30" s="53" t="n"/>
      <c r="H30" s="47" t="n"/>
      <c r="I30" s="72" t="n">
        <v>46328</v>
      </c>
      <c r="J30" s="71" t="inlineStr">
        <is>
          <t>Confirmado</t>
        </is>
      </c>
      <c r="K30" s="71" t="inlineStr">
        <is>
          <t>Sí</t>
        </is>
      </c>
      <c r="L30" s="72" t="n">
        <v>46329</v>
      </c>
      <c r="M30" s="74">
        <f>IF(A30="","",IF(AND(C30="Sí",K30="Sí",F30&lt;&gt;"Excluido"),1,0))</f>
        <v/>
      </c>
    </row>
    <row r="31" ht="15" customHeight="1" s="42">
      <c r="A31" s="70" t="inlineStr">
        <is>
          <t>GU-TDH-030</t>
        </is>
      </c>
      <c r="B31" s="71" t="inlineStr">
        <is>
          <t>GE</t>
        </is>
      </c>
      <c r="C31" s="71" t="inlineStr">
        <is>
          <t>Sí</t>
        </is>
      </c>
      <c r="D31" s="72" t="n">
        <v>46316</v>
      </c>
      <c r="E31" s="73" t="n">
        <v>100</v>
      </c>
      <c r="F31" s="71" t="inlineStr">
        <is>
          <t>Activo</t>
        </is>
      </c>
      <c r="G31" s="53" t="n"/>
      <c r="H31" s="47" t="n"/>
      <c r="I31" s="72" t="n">
        <v>46328</v>
      </c>
      <c r="J31" s="71" t="inlineStr">
        <is>
          <t>Confirmado</t>
        </is>
      </c>
      <c r="K31" s="71" t="inlineStr">
        <is>
          <t>Sí</t>
        </is>
      </c>
      <c r="L31" s="72" t="n">
        <v>46330</v>
      </c>
      <c r="M31" s="74">
        <f>IF(A31="","",IF(AND(C31="Sí",K31="Sí",F31&lt;&gt;"Excluido"),1,0))</f>
        <v/>
      </c>
    </row>
    <row r="32" ht="15" customHeight="1" s="42">
      <c r="A32" s="70" t="inlineStr">
        <is>
          <t>GU-TDH-032</t>
        </is>
      </c>
      <c r="B32" s="71" t="inlineStr">
        <is>
          <t>GE</t>
        </is>
      </c>
      <c r="C32" s="71" t="inlineStr">
        <is>
          <t>Sí</t>
        </is>
      </c>
      <c r="D32" s="72" t="n">
        <v>46317</v>
      </c>
      <c r="E32" s="73" t="n">
        <v>100</v>
      </c>
      <c r="F32" s="71" t="inlineStr">
        <is>
          <t>Activo</t>
        </is>
      </c>
      <c r="G32" s="53" t="n"/>
      <c r="H32" s="47" t="n"/>
      <c r="I32" s="72" t="n">
        <v>46328</v>
      </c>
      <c r="J32" s="71" t="inlineStr">
        <is>
          <t>Confirmado</t>
        </is>
      </c>
      <c r="K32" s="71" t="inlineStr">
        <is>
          <t>Sí</t>
        </is>
      </c>
      <c r="L32" s="72" t="n">
        <v>46331</v>
      </c>
      <c r="M32" s="74">
        <f>IF(A32="","",IF(AND(C32="Sí",K32="Sí",F32&lt;&gt;"Excluido"),1,0))</f>
        <v/>
      </c>
    </row>
    <row r="33" ht="15" customHeight="1" s="42">
      <c r="A33" s="70" t="inlineStr">
        <is>
          <t>GU-TDH-033</t>
        </is>
      </c>
      <c r="B33" s="71" t="inlineStr">
        <is>
          <t>GE</t>
        </is>
      </c>
      <c r="C33" s="71" t="inlineStr">
        <is>
          <t>Sí</t>
        </is>
      </c>
      <c r="D33" s="72" t="n">
        <v>46318</v>
      </c>
      <c r="E33" s="73" t="n">
        <v>0</v>
      </c>
      <c r="F33" s="71" t="inlineStr">
        <is>
          <t>Retirado</t>
        </is>
      </c>
      <c r="G33" s="72" t="n">
        <v>46324</v>
      </c>
      <c r="H33" s="70" t="inlineStr">
        <is>
          <t>Otro</t>
        </is>
      </c>
      <c r="I33" s="72" t="n">
        <v>46328</v>
      </c>
      <c r="J33" s="71" t="inlineStr">
        <is>
          <t>Pérdida muestral</t>
        </is>
      </c>
      <c r="K33" s="71" t="inlineStr">
        <is>
          <t>No</t>
        </is>
      </c>
      <c r="L33" s="53" t="n"/>
      <c r="M33" s="74">
        <f>IF(A33="","",IF(AND(C33="Sí",K33="Sí",F33&lt;&gt;"Excluido"),1,0))</f>
        <v/>
      </c>
    </row>
    <row r="34" ht="15" customHeight="1" s="42">
      <c r="A34" s="70" t="inlineStr">
        <is>
          <t>GU-TDH-034</t>
        </is>
      </c>
      <c r="B34" s="71" t="inlineStr">
        <is>
          <t>GE</t>
        </is>
      </c>
      <c r="C34" s="71" t="inlineStr">
        <is>
          <t>Sí</t>
        </is>
      </c>
      <c r="D34" s="72" t="n">
        <v>46319</v>
      </c>
      <c r="E34" s="73" t="n">
        <v>100</v>
      </c>
      <c r="F34" s="71" t="inlineStr">
        <is>
          <t>Activo</t>
        </is>
      </c>
      <c r="G34" s="53" t="n"/>
      <c r="H34" s="47" t="n"/>
      <c r="I34" s="72" t="n">
        <v>46328</v>
      </c>
      <c r="J34" s="71" t="inlineStr">
        <is>
          <t>Confirmado</t>
        </is>
      </c>
      <c r="K34" s="71" t="inlineStr">
        <is>
          <t>Sí</t>
        </is>
      </c>
      <c r="L34" s="72" t="n">
        <v>46333</v>
      </c>
      <c r="M34" s="74">
        <f>IF(A34="","",IF(AND(C34="Sí",K34="Sí",F34&lt;&gt;"Excluido"),1,0))</f>
        <v/>
      </c>
    </row>
    <row r="35" ht="15" customHeight="1" s="42">
      <c r="A35" s="70" t="inlineStr">
        <is>
          <t>GU-TDH-035</t>
        </is>
      </c>
      <c r="B35" s="71" t="inlineStr">
        <is>
          <t>GE</t>
        </is>
      </c>
      <c r="C35" s="71" t="inlineStr">
        <is>
          <t>Sí</t>
        </is>
      </c>
      <c r="D35" s="72" t="n">
        <v>46320</v>
      </c>
      <c r="E35" s="73" t="n">
        <v>100</v>
      </c>
      <c r="F35" s="71" t="inlineStr">
        <is>
          <t>Activo</t>
        </is>
      </c>
      <c r="G35" s="53" t="n"/>
      <c r="H35" s="47" t="n"/>
      <c r="I35" s="72" t="n">
        <v>46328</v>
      </c>
      <c r="J35" s="71" t="inlineStr">
        <is>
          <t>Confirmado</t>
        </is>
      </c>
      <c r="K35" s="71" t="inlineStr">
        <is>
          <t>Sí</t>
        </is>
      </c>
      <c r="L35" s="72" t="n">
        <v>46334</v>
      </c>
      <c r="M35" s="74">
        <f>IF(A35="","",IF(AND(C35="Sí",K35="Sí",F35&lt;&gt;"Excluido"),1,0))</f>
        <v/>
      </c>
    </row>
    <row r="36" ht="15" customHeight="1" s="42">
      <c r="A36" s="70" t="inlineStr">
        <is>
          <t>GU-TDH-036</t>
        </is>
      </c>
      <c r="B36" s="71" t="inlineStr">
        <is>
          <t>GE</t>
        </is>
      </c>
      <c r="C36" s="71" t="inlineStr">
        <is>
          <t>Sí</t>
        </is>
      </c>
      <c r="D36" s="72" t="n">
        <v>46315</v>
      </c>
      <c r="E36" s="73" t="n">
        <v>100</v>
      </c>
      <c r="F36" s="71" t="inlineStr">
        <is>
          <t>Activo</t>
        </is>
      </c>
      <c r="G36" s="53" t="n"/>
      <c r="H36" s="47" t="n"/>
      <c r="I36" s="72" t="n">
        <v>46328</v>
      </c>
      <c r="J36" s="71" t="inlineStr">
        <is>
          <t>Confirmado</t>
        </is>
      </c>
      <c r="K36" s="71" t="inlineStr">
        <is>
          <t>Sí</t>
        </is>
      </c>
      <c r="L36" s="72" t="n">
        <v>46329</v>
      </c>
      <c r="M36" s="74">
        <f>IF(A36="","",IF(AND(C36="Sí",K36="Sí",F36&lt;&gt;"Excluido"),1,0))</f>
        <v/>
      </c>
    </row>
    <row r="37" ht="15" customHeight="1" s="42">
      <c r="A37" s="70" t="inlineStr">
        <is>
          <t>GU-TDH-038</t>
        </is>
      </c>
      <c r="B37" s="71" t="inlineStr">
        <is>
          <t>GE</t>
        </is>
      </c>
      <c r="C37" s="71" t="inlineStr">
        <is>
          <t>Sí</t>
        </is>
      </c>
      <c r="D37" s="72" t="n">
        <v>46316</v>
      </c>
      <c r="E37" s="73" t="n">
        <v>100</v>
      </c>
      <c r="F37" s="71" t="inlineStr">
        <is>
          <t>Activo</t>
        </is>
      </c>
      <c r="G37" s="53" t="n"/>
      <c r="H37" s="47" t="n"/>
      <c r="I37" s="72" t="n">
        <v>46328</v>
      </c>
      <c r="J37" s="71" t="inlineStr">
        <is>
          <t>Confirmado</t>
        </is>
      </c>
      <c r="K37" s="71" t="inlineStr">
        <is>
          <t>Sí</t>
        </is>
      </c>
      <c r="L37" s="72" t="n">
        <v>46330</v>
      </c>
      <c r="M37" s="74">
        <f>IF(A37="","",IF(AND(C37="Sí",K37="Sí",F37&lt;&gt;"Excluido"),1,0))</f>
        <v/>
      </c>
    </row>
    <row r="38" ht="15" customHeight="1" s="42">
      <c r="A38" s="70" t="inlineStr">
        <is>
          <t>GU-TDH-039</t>
        </is>
      </c>
      <c r="B38" s="71" t="inlineStr">
        <is>
          <t>GE</t>
        </is>
      </c>
      <c r="C38" s="71" t="inlineStr">
        <is>
          <t>Sí</t>
        </is>
      </c>
      <c r="D38" s="72" t="n">
        <v>46317</v>
      </c>
      <c r="E38" s="73" t="n">
        <v>100</v>
      </c>
      <c r="F38" s="71" t="inlineStr">
        <is>
          <t>Activo</t>
        </is>
      </c>
      <c r="G38" s="53" t="n"/>
      <c r="H38" s="47" t="n"/>
      <c r="I38" s="72" t="n">
        <v>46328</v>
      </c>
      <c r="J38" s="71" t="inlineStr">
        <is>
          <t>Confirmado</t>
        </is>
      </c>
      <c r="K38" s="71" t="inlineStr">
        <is>
          <t>Sí</t>
        </is>
      </c>
      <c r="L38" s="72" t="n">
        <v>46331</v>
      </c>
      <c r="M38" s="74">
        <f>IF(A38="","",IF(AND(C38="Sí",K38="Sí",F38&lt;&gt;"Excluido"),1,0))</f>
        <v/>
      </c>
    </row>
    <row r="39" ht="15" customHeight="1" s="42">
      <c r="A39" s="70" t="inlineStr">
        <is>
          <t>GU-TDH-040</t>
        </is>
      </c>
      <c r="B39" s="71" t="inlineStr">
        <is>
          <t>GE</t>
        </is>
      </c>
      <c r="C39" s="71" t="inlineStr">
        <is>
          <t>Sí</t>
        </is>
      </c>
      <c r="D39" s="72" t="n">
        <v>46318</v>
      </c>
      <c r="E39" s="73" t="n">
        <v>100</v>
      </c>
      <c r="F39" s="71" t="inlineStr">
        <is>
          <t>Activo</t>
        </is>
      </c>
      <c r="G39" s="53" t="n"/>
      <c r="H39" s="47" t="n"/>
      <c r="I39" s="72" t="n">
        <v>46328</v>
      </c>
      <c r="J39" s="71" t="inlineStr">
        <is>
          <t>Confirmado</t>
        </is>
      </c>
      <c r="K39" s="71" t="inlineStr">
        <is>
          <t>Sí</t>
        </is>
      </c>
      <c r="L39" s="72" t="n">
        <v>46332</v>
      </c>
      <c r="M39" s="74">
        <f>IF(A39="","",IF(AND(C39="Sí",K39="Sí",F39&lt;&gt;"Excluido"),1,0))</f>
        <v/>
      </c>
    </row>
    <row r="40" ht="15" customHeight="1" s="42">
      <c r="A40" s="70" t="inlineStr">
        <is>
          <t>GU-TDH-041</t>
        </is>
      </c>
      <c r="B40" s="71" t="inlineStr">
        <is>
          <t>GE</t>
        </is>
      </c>
      <c r="C40" s="71" t="inlineStr">
        <is>
          <t>Sí</t>
        </is>
      </c>
      <c r="D40" s="72" t="n">
        <v>46319</v>
      </c>
      <c r="E40" s="73" t="n">
        <v>100</v>
      </c>
      <c r="F40" s="71" t="inlineStr">
        <is>
          <t>Activo</t>
        </is>
      </c>
      <c r="G40" s="53" t="n"/>
      <c r="H40" s="47" t="n"/>
      <c r="I40" s="72" t="n">
        <v>46328</v>
      </c>
      <c r="J40" s="71" t="inlineStr">
        <is>
          <t>Confirmado</t>
        </is>
      </c>
      <c r="K40" s="71" t="inlineStr">
        <is>
          <t>Sí</t>
        </is>
      </c>
      <c r="L40" s="72" t="n">
        <v>46333</v>
      </c>
      <c r="M40" s="74">
        <f>IF(A40="","",IF(AND(C40="Sí",K40="Sí",F40&lt;&gt;"Excluido"),1,0))</f>
        <v/>
      </c>
    </row>
    <row r="41" ht="15" customHeight="1" s="42">
      <c r="A41" s="70" t="inlineStr">
        <is>
          <t>GU-TDH-042</t>
        </is>
      </c>
      <c r="B41" s="71" t="inlineStr">
        <is>
          <t>GE</t>
        </is>
      </c>
      <c r="C41" s="71" t="inlineStr">
        <is>
          <t>Sí</t>
        </is>
      </c>
      <c r="D41" s="72" t="n">
        <v>46320</v>
      </c>
      <c r="E41" s="73" t="n">
        <v>100</v>
      </c>
      <c r="F41" s="71" t="inlineStr">
        <is>
          <t>Activo</t>
        </is>
      </c>
      <c r="G41" s="53" t="n"/>
      <c r="H41" s="47" t="n"/>
      <c r="I41" s="72" t="n">
        <v>46328</v>
      </c>
      <c r="J41" s="71" t="inlineStr">
        <is>
          <t>Confirmado</t>
        </is>
      </c>
      <c r="K41" s="71" t="inlineStr">
        <is>
          <t>Sí</t>
        </is>
      </c>
      <c r="L41" s="72" t="n">
        <v>46334</v>
      </c>
      <c r="M41" s="74">
        <f>IF(A41="","",IF(AND(C41="Sí",K41="Sí",F41&lt;&gt;"Excluido"),1,0))</f>
        <v/>
      </c>
    </row>
    <row r="42" ht="15" customHeight="1" s="42">
      <c r="A42" s="70" t="inlineStr">
        <is>
          <t>GU-TDH-043</t>
        </is>
      </c>
      <c r="B42" s="71" t="inlineStr">
        <is>
          <t>GE</t>
        </is>
      </c>
      <c r="C42" s="71" t="inlineStr">
        <is>
          <t>Sí</t>
        </is>
      </c>
      <c r="D42" s="72" t="n">
        <v>46315</v>
      </c>
      <c r="E42" s="73" t="n">
        <v>100</v>
      </c>
      <c r="F42" s="71" t="inlineStr">
        <is>
          <t>Activo</t>
        </is>
      </c>
      <c r="G42" s="53" t="n"/>
      <c r="H42" s="47" t="n"/>
      <c r="I42" s="72" t="n">
        <v>46328</v>
      </c>
      <c r="J42" s="71" t="inlineStr">
        <is>
          <t>Confirmado</t>
        </is>
      </c>
      <c r="K42" s="71" t="inlineStr">
        <is>
          <t>Sí</t>
        </is>
      </c>
      <c r="L42" s="72" t="n">
        <v>46329</v>
      </c>
      <c r="M42" s="74">
        <f>IF(A42="","",IF(AND(C42="Sí",K42="Sí",F42&lt;&gt;"Excluido"),1,0))</f>
        <v/>
      </c>
    </row>
    <row r="43" ht="15" customHeight="1" s="42">
      <c r="A43" s="70" t="inlineStr">
        <is>
          <t>GU-TDH-045</t>
        </is>
      </c>
      <c r="B43" s="71" t="inlineStr">
        <is>
          <t>GE</t>
        </is>
      </c>
      <c r="C43" s="71" t="inlineStr">
        <is>
          <t>Sí</t>
        </is>
      </c>
      <c r="D43" s="72" t="n">
        <v>46316</v>
      </c>
      <c r="E43" s="73" t="n">
        <v>100</v>
      </c>
      <c r="F43" s="71" t="inlineStr">
        <is>
          <t>Activo</t>
        </is>
      </c>
      <c r="G43" s="53" t="n"/>
      <c r="H43" s="47" t="n"/>
      <c r="I43" s="72" t="n">
        <v>46328</v>
      </c>
      <c r="J43" s="71" t="inlineStr">
        <is>
          <t>Confirmado</t>
        </is>
      </c>
      <c r="K43" s="71" t="inlineStr">
        <is>
          <t>Sí</t>
        </is>
      </c>
      <c r="L43" s="72" t="n">
        <v>46330</v>
      </c>
      <c r="M43" s="74">
        <f>IF(A43="","",IF(AND(C43="Sí",K43="Sí",F43&lt;&gt;"Excluido"),1,0))</f>
        <v/>
      </c>
    </row>
    <row r="44" ht="15" customHeight="1" s="42">
      <c r="A44" s="70" t="inlineStr">
        <is>
          <t>GU-TDH-047</t>
        </is>
      </c>
      <c r="B44" s="71" t="inlineStr">
        <is>
          <t>GE</t>
        </is>
      </c>
      <c r="C44" s="71" t="inlineStr">
        <is>
          <t>Sí</t>
        </is>
      </c>
      <c r="D44" s="72" t="n">
        <v>46317</v>
      </c>
      <c r="E44" s="73" t="n">
        <v>100</v>
      </c>
      <c r="F44" s="71" t="inlineStr">
        <is>
          <t>Activo</t>
        </is>
      </c>
      <c r="G44" s="53" t="n"/>
      <c r="H44" s="47" t="n"/>
      <c r="I44" s="72" t="n">
        <v>46328</v>
      </c>
      <c r="J44" s="71" t="inlineStr">
        <is>
          <t>Confirmado</t>
        </is>
      </c>
      <c r="K44" s="71" t="inlineStr">
        <is>
          <t>Sí</t>
        </is>
      </c>
      <c r="L44" s="72" t="n">
        <v>46331</v>
      </c>
      <c r="M44" s="74">
        <f>IF(A44="","",IF(AND(C44="Sí",K44="Sí",F44&lt;&gt;"Excluido"),1,0))</f>
        <v/>
      </c>
    </row>
    <row r="45" ht="15" customHeight="1" s="42">
      <c r="A45" s="70" t="inlineStr">
        <is>
          <t>GU-TDH-048</t>
        </is>
      </c>
      <c r="B45" s="71" t="inlineStr">
        <is>
          <t>GE</t>
        </is>
      </c>
      <c r="C45" s="71" t="inlineStr">
        <is>
          <t>Sí</t>
        </is>
      </c>
      <c r="D45" s="72" t="n">
        <v>46318</v>
      </c>
      <c r="E45" s="73" t="n">
        <v>100</v>
      </c>
      <c r="F45" s="71" t="inlineStr">
        <is>
          <t>Activo</t>
        </is>
      </c>
      <c r="G45" s="53" t="n"/>
      <c r="H45" s="47" t="n"/>
      <c r="I45" s="72" t="n">
        <v>46328</v>
      </c>
      <c r="J45" s="71" t="inlineStr">
        <is>
          <t>Confirmado</t>
        </is>
      </c>
      <c r="K45" s="71" t="inlineStr">
        <is>
          <t>Sí</t>
        </is>
      </c>
      <c r="L45" s="72" t="n">
        <v>46332</v>
      </c>
      <c r="M45" s="74">
        <f>IF(A45="","",IF(AND(C45="Sí",K45="Sí",F45&lt;&gt;"Excluido"),1,0))</f>
        <v/>
      </c>
    </row>
    <row r="46" ht="15" customHeight="1" s="42">
      <c r="A46" s="70" t="inlineStr">
        <is>
          <t>GU-TDH-049</t>
        </is>
      </c>
      <c r="B46" s="71" t="inlineStr">
        <is>
          <t>GE</t>
        </is>
      </c>
      <c r="C46" s="71" t="inlineStr">
        <is>
          <t>Sí</t>
        </is>
      </c>
      <c r="D46" s="72" t="n">
        <v>46319</v>
      </c>
      <c r="E46" s="73" t="n">
        <v>100</v>
      </c>
      <c r="F46" s="71" t="inlineStr">
        <is>
          <t>Activo</t>
        </is>
      </c>
      <c r="G46" s="53" t="n"/>
      <c r="H46" s="47" t="n"/>
      <c r="I46" s="72" t="n">
        <v>46328</v>
      </c>
      <c r="J46" s="71" t="inlineStr">
        <is>
          <t>Confirmado</t>
        </is>
      </c>
      <c r="K46" s="71" t="inlineStr">
        <is>
          <t>Sí</t>
        </is>
      </c>
      <c r="L46" s="72" t="n">
        <v>46333</v>
      </c>
      <c r="M46" s="74">
        <f>IF(A46="","",IF(AND(C46="Sí",K46="Sí",F46&lt;&gt;"Excluido"),1,0))</f>
        <v/>
      </c>
    </row>
    <row r="47" ht="15" customHeight="1" s="42">
      <c r="A47" s="70" t="inlineStr">
        <is>
          <t>GU-TDH-050</t>
        </is>
      </c>
      <c r="B47" s="71" t="inlineStr">
        <is>
          <t>GE</t>
        </is>
      </c>
      <c r="C47" s="71" t="inlineStr">
        <is>
          <t>Sí</t>
        </is>
      </c>
      <c r="D47" s="72" t="n">
        <v>46320</v>
      </c>
      <c r="E47" s="73" t="n">
        <v>100</v>
      </c>
      <c r="F47" s="71" t="inlineStr">
        <is>
          <t>Activo</t>
        </is>
      </c>
      <c r="G47" s="53" t="n"/>
      <c r="H47" s="47" t="n"/>
      <c r="I47" s="72" t="n">
        <v>46328</v>
      </c>
      <c r="J47" s="71" t="inlineStr">
        <is>
          <t>Confirmado</t>
        </is>
      </c>
      <c r="K47" s="71" t="inlineStr">
        <is>
          <t>Sí</t>
        </is>
      </c>
      <c r="L47" s="72" t="n">
        <v>46334</v>
      </c>
      <c r="M47" s="74">
        <f>IF(A47="","",IF(AND(C47="Sí",K47="Sí",F47&lt;&gt;"Excluido"),1,0))</f>
        <v/>
      </c>
    </row>
    <row r="48" ht="15" customHeight="1" s="42">
      <c r="A48" s="70" t="inlineStr">
        <is>
          <t>GU-TDH-051</t>
        </is>
      </c>
      <c r="B48" s="71" t="inlineStr">
        <is>
          <t>GE</t>
        </is>
      </c>
      <c r="C48" s="71" t="inlineStr">
        <is>
          <t>Sí</t>
        </is>
      </c>
      <c r="D48" s="72" t="n">
        <v>46315</v>
      </c>
      <c r="E48" s="73" t="n">
        <v>100</v>
      </c>
      <c r="F48" s="71" t="inlineStr">
        <is>
          <t>Activo</t>
        </is>
      </c>
      <c r="G48" s="53" t="n"/>
      <c r="H48" s="47" t="n"/>
      <c r="I48" s="72" t="n">
        <v>46328</v>
      </c>
      <c r="J48" s="71" t="inlineStr">
        <is>
          <t>Confirmado</t>
        </is>
      </c>
      <c r="K48" s="71" t="inlineStr">
        <is>
          <t>Sí</t>
        </is>
      </c>
      <c r="L48" s="72" t="n">
        <v>46329</v>
      </c>
      <c r="M48" s="74">
        <f>IF(A48="","",IF(AND(C48="Sí",K48="Sí",F48&lt;&gt;"Excluido"),1,0))</f>
        <v/>
      </c>
    </row>
    <row r="49" ht="15" customHeight="1" s="42">
      <c r="A49" s="70" t="inlineStr">
        <is>
          <t>GU-TDH-052</t>
        </is>
      </c>
      <c r="B49" s="71" t="inlineStr">
        <is>
          <t>GE</t>
        </is>
      </c>
      <c r="C49" s="71" t="inlineStr">
        <is>
          <t>Sí</t>
        </is>
      </c>
      <c r="D49" s="72" t="n">
        <v>46316</v>
      </c>
      <c r="E49" s="73" t="n">
        <v>100</v>
      </c>
      <c r="F49" s="71" t="inlineStr">
        <is>
          <t>Activo</t>
        </is>
      </c>
      <c r="G49" s="53" t="n"/>
      <c r="H49" s="47" t="n"/>
      <c r="I49" s="72" t="n">
        <v>46328</v>
      </c>
      <c r="J49" s="71" t="inlineStr">
        <is>
          <t>Confirmado</t>
        </is>
      </c>
      <c r="K49" s="71" t="inlineStr">
        <is>
          <t>Sí</t>
        </is>
      </c>
      <c r="L49" s="72" t="n">
        <v>46330</v>
      </c>
      <c r="M49" s="74">
        <f>IF(A49="","",IF(AND(C49="Sí",K49="Sí",F49&lt;&gt;"Excluido"),1,0))</f>
        <v/>
      </c>
    </row>
    <row r="50" ht="15" customHeight="1" s="42">
      <c r="A50" s="70" t="inlineStr">
        <is>
          <t>GU-TDH-053</t>
        </is>
      </c>
      <c r="B50" s="71" t="inlineStr">
        <is>
          <t>GE</t>
        </is>
      </c>
      <c r="C50" s="71" t="inlineStr">
        <is>
          <t>Sí</t>
        </is>
      </c>
      <c r="D50" s="72" t="n">
        <v>46317</v>
      </c>
      <c r="E50" s="73" t="n">
        <v>0</v>
      </c>
      <c r="F50" s="71" t="inlineStr">
        <is>
          <t>Retirado</t>
        </is>
      </c>
      <c r="G50" s="72" t="n">
        <v>46324</v>
      </c>
      <c r="H50" s="70" t="inlineStr">
        <is>
          <t>Otro</t>
        </is>
      </c>
      <c r="I50" s="72" t="n">
        <v>46328</v>
      </c>
      <c r="J50" s="71" t="inlineStr">
        <is>
          <t>Pérdida muestral</t>
        </is>
      </c>
      <c r="K50" s="71" t="inlineStr">
        <is>
          <t>No</t>
        </is>
      </c>
      <c r="L50" s="53" t="n"/>
      <c r="M50" s="74">
        <f>IF(A50="","",IF(AND(C50="Sí",K50="Sí",F50&lt;&gt;"Excluido"),1,0))</f>
        <v/>
      </c>
    </row>
    <row r="51" ht="15" customHeight="1" s="42">
      <c r="A51" s="70" t="inlineStr">
        <is>
          <t>GU-TDH-054</t>
        </is>
      </c>
      <c r="B51" s="71" t="inlineStr">
        <is>
          <t>GE</t>
        </is>
      </c>
      <c r="C51" s="71" t="inlineStr">
        <is>
          <t>Sí</t>
        </is>
      </c>
      <c r="D51" s="72" t="n">
        <v>46318</v>
      </c>
      <c r="E51" s="73" t="n">
        <v>100</v>
      </c>
      <c r="F51" s="71" t="inlineStr">
        <is>
          <t>Activo</t>
        </is>
      </c>
      <c r="G51" s="53" t="n"/>
      <c r="H51" s="47" t="n"/>
      <c r="I51" s="72" t="n">
        <v>46328</v>
      </c>
      <c r="J51" s="71" t="inlineStr">
        <is>
          <t>Confirmado</t>
        </is>
      </c>
      <c r="K51" s="71" t="inlineStr">
        <is>
          <t>Sí</t>
        </is>
      </c>
      <c r="L51" s="72" t="n">
        <v>46332</v>
      </c>
      <c r="M51" s="74">
        <f>IF(A51="","",IF(AND(C51="Sí",K51="Sí",F51&lt;&gt;"Excluido"),1,0))</f>
        <v/>
      </c>
    </row>
    <row r="52" ht="15" customHeight="1" s="42">
      <c r="A52" s="70" t="inlineStr">
        <is>
          <t>GU-TDH-056</t>
        </is>
      </c>
      <c r="B52" s="71" t="inlineStr">
        <is>
          <t>GE</t>
        </is>
      </c>
      <c r="C52" s="71" t="inlineStr">
        <is>
          <t>Sí</t>
        </is>
      </c>
      <c r="D52" s="72" t="n">
        <v>46319</v>
      </c>
      <c r="E52" s="73" t="n">
        <v>100</v>
      </c>
      <c r="F52" s="71" t="inlineStr">
        <is>
          <t>Activo</t>
        </is>
      </c>
      <c r="G52" s="53" t="n"/>
      <c r="H52" s="47" t="n"/>
      <c r="I52" s="72" t="n">
        <v>46328</v>
      </c>
      <c r="J52" s="71" t="inlineStr">
        <is>
          <t>Confirmado</t>
        </is>
      </c>
      <c r="K52" s="71" t="inlineStr">
        <is>
          <t>Sí</t>
        </is>
      </c>
      <c r="L52" s="72" t="n">
        <v>46333</v>
      </c>
      <c r="M52" s="74">
        <f>IF(A52="","",IF(AND(C52="Sí",K52="Sí",F52&lt;&gt;"Excluido"),1,0))</f>
        <v/>
      </c>
    </row>
    <row r="53" ht="15" customHeight="1" s="42">
      <c r="A53" s="70" t="inlineStr">
        <is>
          <t>GU-TDH-057</t>
        </is>
      </c>
      <c r="B53" s="71" t="inlineStr">
        <is>
          <t>GE</t>
        </is>
      </c>
      <c r="C53" s="71" t="inlineStr">
        <is>
          <t>Sí</t>
        </is>
      </c>
      <c r="D53" s="72" t="n">
        <v>46320</v>
      </c>
      <c r="E53" s="73" t="n">
        <v>100</v>
      </c>
      <c r="F53" s="71" t="inlineStr">
        <is>
          <t>Activo</t>
        </is>
      </c>
      <c r="G53" s="53" t="n"/>
      <c r="H53" s="47" t="n"/>
      <c r="I53" s="72" t="n">
        <v>46328</v>
      </c>
      <c r="J53" s="71" t="inlineStr">
        <is>
          <t>Confirmado</t>
        </is>
      </c>
      <c r="K53" s="71" t="inlineStr">
        <is>
          <t>Sí</t>
        </is>
      </c>
      <c r="L53" s="72" t="n">
        <v>46334</v>
      </c>
      <c r="M53" s="74">
        <f>IF(A53="","",IF(AND(C53="Sí",K53="Sí",F53&lt;&gt;"Excluido"),1,0))</f>
        <v/>
      </c>
    </row>
    <row r="54" ht="15" customHeight="1" s="42">
      <c r="A54" s="70" t="inlineStr">
        <is>
          <t>GU-TDH-058</t>
        </is>
      </c>
      <c r="B54" s="71" t="inlineStr">
        <is>
          <t>GE</t>
        </is>
      </c>
      <c r="C54" s="71" t="inlineStr">
        <is>
          <t>Sí</t>
        </is>
      </c>
      <c r="D54" s="72" t="n">
        <v>46315</v>
      </c>
      <c r="E54" s="73" t="n">
        <v>100</v>
      </c>
      <c r="F54" s="71" t="inlineStr">
        <is>
          <t>Activo</t>
        </is>
      </c>
      <c r="G54" s="53" t="n"/>
      <c r="H54" s="47" t="n"/>
      <c r="I54" s="72" t="n">
        <v>46328</v>
      </c>
      <c r="J54" s="71" t="inlineStr">
        <is>
          <t>Confirmado</t>
        </is>
      </c>
      <c r="K54" s="71" t="inlineStr">
        <is>
          <t>Sí</t>
        </is>
      </c>
      <c r="L54" s="72" t="n">
        <v>46329</v>
      </c>
      <c r="M54" s="74">
        <f>IF(A54="","",IF(AND(C54="Sí",K54="Sí",F54&lt;&gt;"Excluido"),1,0))</f>
        <v/>
      </c>
    </row>
    <row r="55" ht="15" customHeight="1" s="42">
      <c r="A55" s="70" t="inlineStr">
        <is>
          <t>GU-TDH-060</t>
        </is>
      </c>
      <c r="B55" s="71" t="inlineStr">
        <is>
          <t>GE</t>
        </is>
      </c>
      <c r="C55" s="71" t="inlineStr">
        <is>
          <t>Sí</t>
        </is>
      </c>
      <c r="D55" s="72" t="n">
        <v>46316</v>
      </c>
      <c r="E55" s="73" t="n">
        <v>100</v>
      </c>
      <c r="F55" s="71" t="inlineStr">
        <is>
          <t>Activo</t>
        </is>
      </c>
      <c r="G55" s="53" t="n"/>
      <c r="H55" s="47" t="n"/>
      <c r="I55" s="72" t="n">
        <v>46328</v>
      </c>
      <c r="J55" s="71" t="inlineStr">
        <is>
          <t>Confirmado</t>
        </is>
      </c>
      <c r="K55" s="71" t="inlineStr">
        <is>
          <t>Sí</t>
        </is>
      </c>
      <c r="L55" s="72" t="n">
        <v>46330</v>
      </c>
      <c r="M55" s="74">
        <f>IF(A55="","",IF(AND(C55="Sí",K55="Sí",F55&lt;&gt;"Excluido"),1,0))</f>
        <v/>
      </c>
    </row>
    <row r="56" ht="15" customHeight="1" s="42">
      <c r="A56" s="70" t="inlineStr">
        <is>
          <t>GU-TDH-061</t>
        </is>
      </c>
      <c r="B56" s="71" t="inlineStr">
        <is>
          <t>GE</t>
        </is>
      </c>
      <c r="C56" s="71" t="inlineStr">
        <is>
          <t>Sí</t>
        </is>
      </c>
      <c r="D56" s="72" t="n">
        <v>46317</v>
      </c>
      <c r="E56" s="73" t="n">
        <v>100</v>
      </c>
      <c r="F56" s="71" t="inlineStr">
        <is>
          <t>Activo</t>
        </is>
      </c>
      <c r="G56" s="53" t="n"/>
      <c r="H56" s="47" t="n"/>
      <c r="I56" s="72" t="n">
        <v>46328</v>
      </c>
      <c r="J56" s="71" t="inlineStr">
        <is>
          <t>Confirmado</t>
        </is>
      </c>
      <c r="K56" s="71" t="inlineStr">
        <is>
          <t>Sí</t>
        </is>
      </c>
      <c r="L56" s="72" t="n">
        <v>46331</v>
      </c>
      <c r="M56" s="74">
        <f>IF(A56="","",IF(AND(C56="Sí",K56="Sí",F56&lt;&gt;"Excluido"),1,0))</f>
        <v/>
      </c>
    </row>
    <row r="57" ht="15" customHeight="1" s="42">
      <c r="A57" s="70" t="inlineStr">
        <is>
          <t>GU-TDH-062</t>
        </is>
      </c>
      <c r="B57" s="71" t="inlineStr">
        <is>
          <t>GE</t>
        </is>
      </c>
      <c r="C57" s="71" t="inlineStr">
        <is>
          <t>Sí</t>
        </is>
      </c>
      <c r="D57" s="72" t="n">
        <v>46318</v>
      </c>
      <c r="E57" s="73" t="n">
        <v>100</v>
      </c>
      <c r="F57" s="71" t="inlineStr">
        <is>
          <t>Activo</t>
        </is>
      </c>
      <c r="G57" s="53" t="n"/>
      <c r="H57" s="47" t="n"/>
      <c r="I57" s="72" t="n">
        <v>46328</v>
      </c>
      <c r="J57" s="71" t="inlineStr">
        <is>
          <t>Confirmado</t>
        </is>
      </c>
      <c r="K57" s="71" t="inlineStr">
        <is>
          <t>Sí</t>
        </is>
      </c>
      <c r="L57" s="72" t="n">
        <v>46332</v>
      </c>
      <c r="M57" s="74">
        <f>IF(A57="","",IF(AND(C57="Sí",K57="Sí",F57&lt;&gt;"Excluido"),1,0))</f>
        <v/>
      </c>
    </row>
    <row r="58" ht="15" customHeight="1" s="42">
      <c r="A58" s="70" t="inlineStr">
        <is>
          <t>GU-TDH-063</t>
        </is>
      </c>
      <c r="B58" s="71" t="inlineStr">
        <is>
          <t>GE</t>
        </is>
      </c>
      <c r="C58" s="71" t="inlineStr">
        <is>
          <t>Sí</t>
        </is>
      </c>
      <c r="D58" s="72" t="n">
        <v>46319</v>
      </c>
      <c r="E58" s="73" t="n">
        <v>100</v>
      </c>
      <c r="F58" s="71" t="inlineStr">
        <is>
          <t>Activo</t>
        </is>
      </c>
      <c r="G58" s="53" t="n"/>
      <c r="H58" s="47" t="n"/>
      <c r="I58" s="72" t="n">
        <v>46328</v>
      </c>
      <c r="J58" s="71" t="inlineStr">
        <is>
          <t>Confirmado</t>
        </is>
      </c>
      <c r="K58" s="71" t="inlineStr">
        <is>
          <t>Sí</t>
        </is>
      </c>
      <c r="L58" s="72" t="n">
        <v>46333</v>
      </c>
      <c r="M58" s="74">
        <f>IF(A58="","",IF(AND(C58="Sí",K58="Sí",F58&lt;&gt;"Excluido"),1,0))</f>
        <v/>
      </c>
    </row>
    <row r="59" ht="15" customHeight="1" s="42">
      <c r="A59" s="70" t="inlineStr">
        <is>
          <t>GU-TDH-064</t>
        </is>
      </c>
      <c r="B59" s="71" t="inlineStr">
        <is>
          <t>GE</t>
        </is>
      </c>
      <c r="C59" s="71" t="inlineStr">
        <is>
          <t>Sí</t>
        </is>
      </c>
      <c r="D59" s="72" t="n">
        <v>46320</v>
      </c>
      <c r="E59" s="73" t="n">
        <v>100</v>
      </c>
      <c r="F59" s="71" t="inlineStr">
        <is>
          <t>Activo</t>
        </is>
      </c>
      <c r="G59" s="53" t="n"/>
      <c r="H59" s="47" t="n"/>
      <c r="I59" s="72" t="n">
        <v>46328</v>
      </c>
      <c r="J59" s="71" t="inlineStr">
        <is>
          <t>Confirmado</t>
        </is>
      </c>
      <c r="K59" s="71" t="inlineStr">
        <is>
          <t>Sí</t>
        </is>
      </c>
      <c r="L59" s="72" t="n">
        <v>46334</v>
      </c>
      <c r="M59" s="74">
        <f>IF(A59="","",IF(AND(C59="Sí",K59="Sí",F59&lt;&gt;"Excluido"),1,0))</f>
        <v/>
      </c>
    </row>
    <row r="60" ht="15" customHeight="1" s="42">
      <c r="A60" s="70" t="inlineStr">
        <is>
          <t>GU-TDH-065</t>
        </is>
      </c>
      <c r="B60" s="71" t="inlineStr">
        <is>
          <t>GE</t>
        </is>
      </c>
      <c r="C60" s="71" t="inlineStr">
        <is>
          <t>Sí</t>
        </is>
      </c>
      <c r="D60" s="72" t="n">
        <v>46315</v>
      </c>
      <c r="E60" s="73" t="n">
        <v>100</v>
      </c>
      <c r="F60" s="71" t="inlineStr">
        <is>
          <t>Activo</t>
        </is>
      </c>
      <c r="G60" s="53" t="n"/>
      <c r="H60" s="47" t="n"/>
      <c r="I60" s="72" t="n">
        <v>46328</v>
      </c>
      <c r="J60" s="71" t="inlineStr">
        <is>
          <t>Confirmado</t>
        </is>
      </c>
      <c r="K60" s="71" t="inlineStr">
        <is>
          <t>Sí</t>
        </is>
      </c>
      <c r="L60" s="72" t="n">
        <v>46329</v>
      </c>
      <c r="M60" s="74">
        <f>IF(A60="","",IF(AND(C60="Sí",K60="Sí",F60&lt;&gt;"Excluido"),1,0))</f>
        <v/>
      </c>
    </row>
    <row r="61" ht="15" customHeight="1" s="42">
      <c r="A61" s="70" t="inlineStr">
        <is>
          <t>GU-TDH-066</t>
        </is>
      </c>
      <c r="B61" s="71" t="inlineStr">
        <is>
          <t>GE</t>
        </is>
      </c>
      <c r="C61" s="71" t="inlineStr">
        <is>
          <t>Sí</t>
        </is>
      </c>
      <c r="D61" s="72" t="n">
        <v>46316</v>
      </c>
      <c r="E61" s="73" t="n">
        <v>100</v>
      </c>
      <c r="F61" s="71" t="inlineStr">
        <is>
          <t>Activo</t>
        </is>
      </c>
      <c r="G61" s="53" t="n"/>
      <c r="H61" s="47" t="n"/>
      <c r="I61" s="72" t="n">
        <v>46328</v>
      </c>
      <c r="J61" s="71" t="inlineStr">
        <is>
          <t>Confirmado</t>
        </is>
      </c>
      <c r="K61" s="71" t="inlineStr">
        <is>
          <t>Sí</t>
        </is>
      </c>
      <c r="L61" s="72" t="n">
        <v>46330</v>
      </c>
      <c r="M61" s="74">
        <f>IF(A61="","",IF(AND(C61="Sí",K61="Sí",F61&lt;&gt;"Excluido"),1,0))</f>
        <v/>
      </c>
    </row>
    <row r="62" ht="15" customHeight="1" s="42">
      <c r="A62" s="70" t="inlineStr">
        <is>
          <t>GU-TDH-067</t>
        </is>
      </c>
      <c r="B62" s="71" t="inlineStr">
        <is>
          <t>GE</t>
        </is>
      </c>
      <c r="C62" s="71" t="inlineStr">
        <is>
          <t>Sí</t>
        </is>
      </c>
      <c r="D62" s="72" t="n">
        <v>46317</v>
      </c>
      <c r="E62" s="73" t="n">
        <v>100</v>
      </c>
      <c r="F62" s="71" t="inlineStr">
        <is>
          <t>Activo</t>
        </is>
      </c>
      <c r="G62" s="53" t="n"/>
      <c r="H62" s="47" t="n"/>
      <c r="I62" s="72" t="n">
        <v>46328</v>
      </c>
      <c r="J62" s="71" t="inlineStr">
        <is>
          <t>Confirmado</t>
        </is>
      </c>
      <c r="K62" s="71" t="inlineStr">
        <is>
          <t>Sí</t>
        </is>
      </c>
      <c r="L62" s="72" t="n">
        <v>46331</v>
      </c>
      <c r="M62" s="74">
        <f>IF(A62="","",IF(AND(C62="Sí",K62="Sí",F62&lt;&gt;"Excluido"),1,0))</f>
        <v/>
      </c>
    </row>
    <row r="63" ht="15" customHeight="1" s="42">
      <c r="A63" s="70" t="inlineStr">
        <is>
          <t>GU-TDH-069</t>
        </is>
      </c>
      <c r="B63" s="71" t="inlineStr">
        <is>
          <t>GE</t>
        </is>
      </c>
      <c r="C63" s="71" t="inlineStr">
        <is>
          <t>Sí</t>
        </is>
      </c>
      <c r="D63" s="72" t="n">
        <v>46318</v>
      </c>
      <c r="E63" s="73" t="n">
        <v>100</v>
      </c>
      <c r="F63" s="71" t="inlineStr">
        <is>
          <t>Activo</t>
        </is>
      </c>
      <c r="G63" s="53" t="n"/>
      <c r="H63" s="47" t="n"/>
      <c r="I63" s="72" t="n">
        <v>46328</v>
      </c>
      <c r="J63" s="71" t="inlineStr">
        <is>
          <t>Confirmado</t>
        </is>
      </c>
      <c r="K63" s="71" t="inlineStr">
        <is>
          <t>Sí</t>
        </is>
      </c>
      <c r="L63" s="72" t="n">
        <v>46332</v>
      </c>
      <c r="M63" s="74">
        <f>IF(A63="","",IF(AND(C63="Sí",K63="Sí",F63&lt;&gt;"Excluido"),1,0))</f>
        <v/>
      </c>
    </row>
    <row r="64" ht="15" customHeight="1" s="42">
      <c r="A64" s="70" t="inlineStr">
        <is>
          <t>GU-TDH-070</t>
        </is>
      </c>
      <c r="B64" s="71" t="inlineStr">
        <is>
          <t>GE</t>
        </is>
      </c>
      <c r="C64" s="71" t="inlineStr">
        <is>
          <t>Sí</t>
        </is>
      </c>
      <c r="D64" s="72" t="n">
        <v>46319</v>
      </c>
      <c r="E64" s="73" t="n">
        <v>100</v>
      </c>
      <c r="F64" s="71" t="inlineStr">
        <is>
          <t>Activo</t>
        </is>
      </c>
      <c r="G64" s="53" t="n"/>
      <c r="H64" s="47" t="n"/>
      <c r="I64" s="72" t="n">
        <v>46328</v>
      </c>
      <c r="J64" s="71" t="inlineStr">
        <is>
          <t>Confirmado</t>
        </is>
      </c>
      <c r="K64" s="71" t="inlineStr">
        <is>
          <t>Sí</t>
        </is>
      </c>
      <c r="L64" s="72" t="n">
        <v>46333</v>
      </c>
      <c r="M64" s="74">
        <f>IF(A64="","",IF(AND(C64="Sí",K64="Sí",F64&lt;&gt;"Excluido"),1,0))</f>
        <v/>
      </c>
    </row>
    <row r="65" ht="15" customHeight="1" s="42">
      <c r="A65" s="70" t="inlineStr">
        <is>
          <t>GU-TDH-071</t>
        </is>
      </c>
      <c r="B65" s="71" t="inlineStr">
        <is>
          <t>GE</t>
        </is>
      </c>
      <c r="C65" s="71" t="inlineStr">
        <is>
          <t>Sí</t>
        </is>
      </c>
      <c r="D65" s="72" t="n">
        <v>46320</v>
      </c>
      <c r="E65" s="73" t="n">
        <v>100</v>
      </c>
      <c r="F65" s="71" t="inlineStr">
        <is>
          <t>Activo</t>
        </is>
      </c>
      <c r="G65" s="53" t="n"/>
      <c r="H65" s="47" t="n"/>
      <c r="I65" s="72" t="n">
        <v>46328</v>
      </c>
      <c r="J65" s="71" t="inlineStr">
        <is>
          <t>Confirmado</t>
        </is>
      </c>
      <c r="K65" s="71" t="inlineStr">
        <is>
          <t>Sí</t>
        </is>
      </c>
      <c r="L65" s="72" t="n">
        <v>46334</v>
      </c>
      <c r="M65" s="74">
        <f>IF(A65="","",IF(AND(C65="Sí",K65="Sí",F65&lt;&gt;"Excluido"),1,0))</f>
        <v/>
      </c>
    </row>
    <row r="66" ht="15" customHeight="1" s="42">
      <c r="A66" s="70" t="inlineStr">
        <is>
          <t>GU-TDH-072</t>
        </is>
      </c>
      <c r="B66" s="71" t="inlineStr">
        <is>
          <t>GE</t>
        </is>
      </c>
      <c r="C66" s="71" t="inlineStr">
        <is>
          <t>Sí</t>
        </is>
      </c>
      <c r="D66" s="72" t="n">
        <v>46315</v>
      </c>
      <c r="E66" s="73" t="n">
        <v>100</v>
      </c>
      <c r="F66" s="71" t="inlineStr">
        <is>
          <t>Activo</t>
        </is>
      </c>
      <c r="G66" s="53" t="n"/>
      <c r="H66" s="47" t="n"/>
      <c r="I66" s="72" t="n">
        <v>46328</v>
      </c>
      <c r="J66" s="71" t="inlineStr">
        <is>
          <t>Confirmado</t>
        </is>
      </c>
      <c r="K66" s="71" t="inlineStr">
        <is>
          <t>Sí</t>
        </is>
      </c>
      <c r="L66" s="72" t="n">
        <v>46329</v>
      </c>
      <c r="M66" s="74">
        <f>IF(A66="","",IF(AND(C66="Sí",K66="Sí",F66&lt;&gt;"Excluido"),1,0))</f>
        <v/>
      </c>
    </row>
    <row r="67" ht="15" customHeight="1" s="42">
      <c r="A67" s="70" t="inlineStr">
        <is>
          <t>GU-TDH-073</t>
        </is>
      </c>
      <c r="B67" s="71" t="inlineStr">
        <is>
          <t>GE</t>
        </is>
      </c>
      <c r="C67" s="71" t="inlineStr">
        <is>
          <t>Sí</t>
        </is>
      </c>
      <c r="D67" s="72" t="n">
        <v>46316</v>
      </c>
      <c r="E67" s="73" t="n">
        <v>100</v>
      </c>
      <c r="F67" s="71" t="inlineStr">
        <is>
          <t>Activo</t>
        </is>
      </c>
      <c r="G67" s="53" t="n"/>
      <c r="H67" s="47" t="n"/>
      <c r="I67" s="72" t="n">
        <v>46328</v>
      </c>
      <c r="J67" s="71" t="inlineStr">
        <is>
          <t>Confirmado</t>
        </is>
      </c>
      <c r="K67" s="71" t="inlineStr">
        <is>
          <t>Sí</t>
        </is>
      </c>
      <c r="L67" s="72" t="n">
        <v>46330</v>
      </c>
      <c r="M67" s="74">
        <f>IF(A67="","",IF(AND(C67="Sí",K67="Sí",F67&lt;&gt;"Excluido"),1,0))</f>
        <v/>
      </c>
    </row>
    <row r="68" ht="15" customHeight="1" s="42">
      <c r="A68" s="70" t="inlineStr">
        <is>
          <t>GU-TDH-074</t>
        </is>
      </c>
      <c r="B68" s="71" t="inlineStr">
        <is>
          <t>GE</t>
        </is>
      </c>
      <c r="C68" s="71" t="inlineStr">
        <is>
          <t>Sí</t>
        </is>
      </c>
      <c r="D68" s="72" t="n">
        <v>46317</v>
      </c>
      <c r="E68" s="73" t="n">
        <v>100</v>
      </c>
      <c r="F68" s="71" t="inlineStr">
        <is>
          <t>Activo</t>
        </is>
      </c>
      <c r="G68" s="53" t="n"/>
      <c r="H68" s="47" t="n"/>
      <c r="I68" s="72" t="n">
        <v>46328</v>
      </c>
      <c r="J68" s="71" t="inlineStr">
        <is>
          <t>Confirmado</t>
        </is>
      </c>
      <c r="K68" s="71" t="inlineStr">
        <is>
          <t>Sí</t>
        </is>
      </c>
      <c r="L68" s="72" t="n">
        <v>46331</v>
      </c>
      <c r="M68" s="74">
        <f>IF(A68="","",IF(AND(C68="Sí",K68="Sí",F68&lt;&gt;"Excluido"),1,0))</f>
        <v/>
      </c>
    </row>
    <row r="69" ht="15" customHeight="1" s="42">
      <c r="A69" s="70" t="inlineStr">
        <is>
          <t>GU-TDH-075</t>
        </is>
      </c>
      <c r="B69" s="71" t="inlineStr">
        <is>
          <t>GE</t>
        </is>
      </c>
      <c r="C69" s="71" t="inlineStr">
        <is>
          <t>Sí</t>
        </is>
      </c>
      <c r="D69" s="72" t="n">
        <v>46318</v>
      </c>
      <c r="E69" s="73" t="n">
        <v>100</v>
      </c>
      <c r="F69" s="71" t="inlineStr">
        <is>
          <t>Activo</t>
        </is>
      </c>
      <c r="G69" s="53" t="n"/>
      <c r="H69" s="47" t="n"/>
      <c r="I69" s="72" t="n">
        <v>46328</v>
      </c>
      <c r="J69" s="71" t="inlineStr">
        <is>
          <t>Confirmado</t>
        </is>
      </c>
      <c r="K69" s="71" t="inlineStr">
        <is>
          <t>Sí</t>
        </is>
      </c>
      <c r="L69" s="72" t="n">
        <v>46332</v>
      </c>
      <c r="M69" s="74">
        <f>IF(A69="","",IF(AND(C69="Sí",K69="Sí",F69&lt;&gt;"Excluido"),1,0))</f>
        <v/>
      </c>
    </row>
    <row r="70" ht="15" customHeight="1" s="42">
      <c r="A70" s="70" t="inlineStr">
        <is>
          <t>GU-TDH-076</t>
        </is>
      </c>
      <c r="B70" s="71" t="inlineStr">
        <is>
          <t>GE</t>
        </is>
      </c>
      <c r="C70" s="71" t="inlineStr">
        <is>
          <t>Sí</t>
        </is>
      </c>
      <c r="D70" s="72" t="n">
        <v>46319</v>
      </c>
      <c r="E70" s="73" t="n">
        <v>100</v>
      </c>
      <c r="F70" s="71" t="inlineStr">
        <is>
          <t>Activo</t>
        </is>
      </c>
      <c r="G70" s="53" t="n"/>
      <c r="H70" s="47" t="n"/>
      <c r="I70" s="72" t="n">
        <v>46328</v>
      </c>
      <c r="J70" s="71" t="inlineStr">
        <is>
          <t>Confirmado</t>
        </is>
      </c>
      <c r="K70" s="71" t="inlineStr">
        <is>
          <t>Sí</t>
        </is>
      </c>
      <c r="L70" s="72" t="n">
        <v>46333</v>
      </c>
      <c r="M70" s="74">
        <f>IF(A70="","",IF(AND(C70="Sí",K70="Sí",F70&lt;&gt;"Excluido"),1,0))</f>
        <v/>
      </c>
    </row>
    <row r="71" ht="15" customHeight="1" s="42">
      <c r="A71" s="70" t="inlineStr">
        <is>
          <t>GU-TDH-077</t>
        </is>
      </c>
      <c r="B71" s="71" t="inlineStr">
        <is>
          <t>GE</t>
        </is>
      </c>
      <c r="C71" s="71" t="inlineStr">
        <is>
          <t>Sí</t>
        </is>
      </c>
      <c r="D71" s="72" t="n">
        <v>46320</v>
      </c>
      <c r="E71" s="73" t="n">
        <v>100</v>
      </c>
      <c r="F71" s="71" t="inlineStr">
        <is>
          <t>Activo</t>
        </is>
      </c>
      <c r="G71" s="53" t="n"/>
      <c r="H71" s="47" t="n"/>
      <c r="I71" s="72" t="n">
        <v>46328</v>
      </c>
      <c r="J71" s="71" t="inlineStr">
        <is>
          <t>Confirmado</t>
        </is>
      </c>
      <c r="K71" s="71" t="inlineStr">
        <is>
          <t>Sí</t>
        </is>
      </c>
      <c r="L71" s="72" t="n">
        <v>46334</v>
      </c>
      <c r="M71" s="74">
        <f>IF(A71="","",IF(AND(C71="Sí",K71="Sí",F71&lt;&gt;"Excluido"),1,0))</f>
        <v/>
      </c>
    </row>
    <row r="72" ht="15" customHeight="1" s="42">
      <c r="A72" s="70" t="inlineStr">
        <is>
          <t>GU-TDH-078</t>
        </is>
      </c>
      <c r="B72" s="71" t="inlineStr">
        <is>
          <t>GE</t>
        </is>
      </c>
      <c r="C72" s="71" t="inlineStr">
        <is>
          <t>Sí</t>
        </is>
      </c>
      <c r="D72" s="72" t="n">
        <v>46315</v>
      </c>
      <c r="E72" s="73" t="n">
        <v>100</v>
      </c>
      <c r="F72" s="71" t="inlineStr">
        <is>
          <t>Activo</t>
        </is>
      </c>
      <c r="G72" s="53" t="n"/>
      <c r="H72" s="47" t="n"/>
      <c r="I72" s="72" t="n">
        <v>46328</v>
      </c>
      <c r="J72" s="71" t="inlineStr">
        <is>
          <t>Confirmado</t>
        </is>
      </c>
      <c r="K72" s="71" t="inlineStr">
        <is>
          <t>Sí</t>
        </is>
      </c>
      <c r="L72" s="72" t="n">
        <v>46329</v>
      </c>
      <c r="M72" s="74">
        <f>IF(A72="","",IF(AND(C72="Sí",K72="Sí",F72&lt;&gt;"Excluido"),1,0))</f>
        <v/>
      </c>
    </row>
    <row r="73" ht="15" customHeight="1" s="42">
      <c r="A73" s="70" t="inlineStr">
        <is>
          <t>GU-TDH-079</t>
        </is>
      </c>
      <c r="B73" s="71" t="inlineStr">
        <is>
          <t>GE</t>
        </is>
      </c>
      <c r="C73" s="71" t="inlineStr">
        <is>
          <t>Sí</t>
        </is>
      </c>
      <c r="D73" s="72" t="n">
        <v>46316</v>
      </c>
      <c r="E73" s="73" t="n">
        <v>100</v>
      </c>
      <c r="F73" s="71" t="inlineStr">
        <is>
          <t>Activo</t>
        </is>
      </c>
      <c r="G73" s="53" t="n"/>
      <c r="H73" s="47" t="n"/>
      <c r="I73" s="72" t="n">
        <v>46328</v>
      </c>
      <c r="J73" s="71" t="inlineStr">
        <is>
          <t>Confirmado</t>
        </is>
      </c>
      <c r="K73" s="71" t="inlineStr">
        <is>
          <t>Sí</t>
        </is>
      </c>
      <c r="L73" s="72" t="n">
        <v>46330</v>
      </c>
      <c r="M73" s="74">
        <f>IF(A73="","",IF(AND(C73="Sí",K73="Sí",F73&lt;&gt;"Excluido"),1,0))</f>
        <v/>
      </c>
    </row>
    <row r="74" ht="15" customHeight="1" s="42">
      <c r="A74" s="70" t="inlineStr">
        <is>
          <t>GU-TDH-080</t>
        </is>
      </c>
      <c r="B74" s="71" t="inlineStr">
        <is>
          <t>GE</t>
        </is>
      </c>
      <c r="C74" s="71" t="inlineStr">
        <is>
          <t>Sí</t>
        </is>
      </c>
      <c r="D74" s="72" t="n">
        <v>46317</v>
      </c>
      <c r="E74" s="73" t="n">
        <v>100</v>
      </c>
      <c r="F74" s="71" t="inlineStr">
        <is>
          <t>Activo</t>
        </is>
      </c>
      <c r="G74" s="53" t="n"/>
      <c r="H74" s="47" t="n"/>
      <c r="I74" s="72" t="n">
        <v>46328</v>
      </c>
      <c r="J74" s="71" t="inlineStr">
        <is>
          <t>Confirmado</t>
        </is>
      </c>
      <c r="K74" s="71" t="inlineStr">
        <is>
          <t>Sí</t>
        </is>
      </c>
      <c r="L74" s="72" t="n">
        <v>46331</v>
      </c>
      <c r="M74" s="74">
        <f>IF(A74="","",IF(AND(C74="Sí",K74="Sí",F74&lt;&gt;"Excluido"),1,0))</f>
        <v/>
      </c>
    </row>
    <row r="75" ht="15" customHeight="1" s="42">
      <c r="A75" s="70" t="inlineStr">
        <is>
          <t>GU-TDH-081</t>
        </is>
      </c>
      <c r="B75" s="71" t="inlineStr">
        <is>
          <t>GE</t>
        </is>
      </c>
      <c r="C75" s="71" t="inlineStr">
        <is>
          <t>Sí</t>
        </is>
      </c>
      <c r="D75" s="72" t="n">
        <v>46318</v>
      </c>
      <c r="E75" s="73" t="n">
        <v>100</v>
      </c>
      <c r="F75" s="71" t="inlineStr">
        <is>
          <t>Activo</t>
        </is>
      </c>
      <c r="G75" s="53" t="n"/>
      <c r="H75" s="47" t="n"/>
      <c r="I75" s="72" t="n">
        <v>46328</v>
      </c>
      <c r="J75" s="71" t="inlineStr">
        <is>
          <t>Confirmado</t>
        </is>
      </c>
      <c r="K75" s="71" t="inlineStr">
        <is>
          <t>Sí</t>
        </is>
      </c>
      <c r="L75" s="72" t="n">
        <v>46332</v>
      </c>
      <c r="M75" s="74">
        <f>IF(A75="","",IF(AND(C75="Sí",K75="Sí",F75&lt;&gt;"Excluido"),1,0))</f>
        <v/>
      </c>
    </row>
    <row r="76" ht="15" customHeight="1" s="42">
      <c r="A76" s="70" t="inlineStr">
        <is>
          <t>GU-TDH-082</t>
        </is>
      </c>
      <c r="B76" s="71" t="inlineStr">
        <is>
          <t>GE</t>
        </is>
      </c>
      <c r="C76" s="71" t="inlineStr">
        <is>
          <t>Sí</t>
        </is>
      </c>
      <c r="D76" s="72" t="n">
        <v>46319</v>
      </c>
      <c r="E76" s="73" t="n">
        <v>100</v>
      </c>
      <c r="F76" s="71" t="inlineStr">
        <is>
          <t>Activo</t>
        </is>
      </c>
      <c r="G76" s="53" t="n"/>
      <c r="H76" s="47" t="n"/>
      <c r="I76" s="72" t="n">
        <v>46328</v>
      </c>
      <c r="J76" s="71" t="inlineStr">
        <is>
          <t>Confirmado</t>
        </is>
      </c>
      <c r="K76" s="71" t="inlineStr">
        <is>
          <t>Sí</t>
        </is>
      </c>
      <c r="L76" s="72" t="n">
        <v>46333</v>
      </c>
      <c r="M76" s="74">
        <f>IF(A76="","",IF(AND(C76="Sí",K76="Sí",F76&lt;&gt;"Excluido"),1,0))</f>
        <v/>
      </c>
    </row>
    <row r="77" ht="15" customHeight="1" s="42">
      <c r="A77" s="70" t="inlineStr">
        <is>
          <t>GU-TDH-083</t>
        </is>
      </c>
      <c r="B77" s="71" t="inlineStr">
        <is>
          <t>GE</t>
        </is>
      </c>
      <c r="C77" s="71" t="inlineStr">
        <is>
          <t>Sí</t>
        </is>
      </c>
      <c r="D77" s="72" t="n">
        <v>46320</v>
      </c>
      <c r="E77" s="73" t="n">
        <v>100</v>
      </c>
      <c r="F77" s="71" t="inlineStr">
        <is>
          <t>Activo</t>
        </is>
      </c>
      <c r="G77" s="53" t="n"/>
      <c r="H77" s="47" t="n"/>
      <c r="I77" s="72" t="n">
        <v>46328</v>
      </c>
      <c r="J77" s="71" t="inlineStr">
        <is>
          <t>Confirmado</t>
        </is>
      </c>
      <c r="K77" s="71" t="inlineStr">
        <is>
          <t>Sí</t>
        </is>
      </c>
      <c r="L77" s="72" t="n">
        <v>46334</v>
      </c>
      <c r="M77" s="74">
        <f>IF(A77="","",IF(AND(C77="Sí",K77="Sí",F77&lt;&gt;"Excluido"),1,0))</f>
        <v/>
      </c>
    </row>
    <row r="78" ht="15" customHeight="1" s="42">
      <c r="A78" s="70" t="inlineStr">
        <is>
          <t>GU-TDH-084</t>
        </is>
      </c>
      <c r="B78" s="71" t="inlineStr">
        <is>
          <t>GE</t>
        </is>
      </c>
      <c r="C78" s="71" t="inlineStr">
        <is>
          <t>Sí</t>
        </is>
      </c>
      <c r="D78" s="72" t="n">
        <v>46315</v>
      </c>
      <c r="E78" s="73" t="n">
        <v>100</v>
      </c>
      <c r="F78" s="71" t="inlineStr">
        <is>
          <t>Activo</t>
        </is>
      </c>
      <c r="G78" s="53" t="n"/>
      <c r="H78" s="47" t="n"/>
      <c r="I78" s="72" t="n">
        <v>46328</v>
      </c>
      <c r="J78" s="71" t="inlineStr">
        <is>
          <t>Confirmado</t>
        </is>
      </c>
      <c r="K78" s="71" t="inlineStr">
        <is>
          <t>Sí</t>
        </is>
      </c>
      <c r="L78" s="72" t="n">
        <v>46329</v>
      </c>
      <c r="M78" s="74">
        <f>IF(A78="","",IF(AND(C78="Sí",K78="Sí",F78&lt;&gt;"Excluido"),1,0))</f>
        <v/>
      </c>
    </row>
    <row r="79" ht="15" customHeight="1" s="42">
      <c r="A79" s="70" t="inlineStr">
        <is>
          <t>GU-TDH-085</t>
        </is>
      </c>
      <c r="B79" s="71" t="inlineStr">
        <is>
          <t>GE</t>
        </is>
      </c>
      <c r="C79" s="71" t="inlineStr">
        <is>
          <t>Sí</t>
        </is>
      </c>
      <c r="D79" s="72" t="n">
        <v>46316</v>
      </c>
      <c r="E79" s="73" t="n">
        <v>100</v>
      </c>
      <c r="F79" s="71" t="inlineStr">
        <is>
          <t>Activo</t>
        </is>
      </c>
      <c r="G79" s="53" t="n"/>
      <c r="H79" s="47" t="n"/>
      <c r="I79" s="72" t="n">
        <v>46328</v>
      </c>
      <c r="J79" s="71" t="inlineStr">
        <is>
          <t>Confirmado</t>
        </is>
      </c>
      <c r="K79" s="71" t="inlineStr">
        <is>
          <t>Sí</t>
        </is>
      </c>
      <c r="L79" s="72" t="n">
        <v>46330</v>
      </c>
      <c r="M79" s="74">
        <f>IF(A79="","",IF(AND(C79="Sí",K79="Sí",F79&lt;&gt;"Excluido"),1,0))</f>
        <v/>
      </c>
    </row>
    <row r="80" ht="15" customHeight="1" s="42">
      <c r="A80" s="70" t="inlineStr">
        <is>
          <t>GU-TDH-086</t>
        </is>
      </c>
      <c r="B80" s="71" t="inlineStr">
        <is>
          <t>GE</t>
        </is>
      </c>
      <c r="C80" s="71" t="inlineStr">
        <is>
          <t>Sí</t>
        </is>
      </c>
      <c r="D80" s="72" t="n">
        <v>46317</v>
      </c>
      <c r="E80" s="73" t="n">
        <v>100</v>
      </c>
      <c r="F80" s="71" t="inlineStr">
        <is>
          <t>Activo</t>
        </is>
      </c>
      <c r="G80" s="53" t="n"/>
      <c r="H80" s="47" t="n"/>
      <c r="I80" s="72" t="n">
        <v>46328</v>
      </c>
      <c r="J80" s="71" t="inlineStr">
        <is>
          <t>Confirmado</t>
        </is>
      </c>
      <c r="K80" s="71" t="inlineStr">
        <is>
          <t>Sí</t>
        </is>
      </c>
      <c r="L80" s="72" t="n">
        <v>46331</v>
      </c>
      <c r="M80" s="74">
        <f>IF(A80="","",IF(AND(C80="Sí",K80="Sí",F80&lt;&gt;"Excluido"),1,0))</f>
        <v/>
      </c>
    </row>
    <row r="81" ht="15" customHeight="1" s="42">
      <c r="A81" s="70" t="inlineStr">
        <is>
          <t>GU-TDH-087</t>
        </is>
      </c>
      <c r="B81" s="71" t="inlineStr">
        <is>
          <t>GE</t>
        </is>
      </c>
      <c r="C81" s="71" t="inlineStr">
        <is>
          <t>Sí</t>
        </is>
      </c>
      <c r="D81" s="72" t="n">
        <v>46318</v>
      </c>
      <c r="E81" s="73" t="n">
        <v>100</v>
      </c>
      <c r="F81" s="71" t="inlineStr">
        <is>
          <t>Activo</t>
        </is>
      </c>
      <c r="G81" s="53" t="n"/>
      <c r="H81" s="47" t="n"/>
      <c r="I81" s="72" t="n">
        <v>46328</v>
      </c>
      <c r="J81" s="71" t="inlineStr">
        <is>
          <t>Confirmado</t>
        </is>
      </c>
      <c r="K81" s="71" t="inlineStr">
        <is>
          <t>Sí</t>
        </is>
      </c>
      <c r="L81" s="72" t="n">
        <v>46332</v>
      </c>
      <c r="M81" s="74">
        <f>IF(A81="","",IF(AND(C81="Sí",K81="Sí",F81&lt;&gt;"Excluido"),1,0))</f>
        <v/>
      </c>
    </row>
    <row r="82" ht="15" customHeight="1" s="42">
      <c r="A82" s="70" t="inlineStr">
        <is>
          <t>GU-TDH-088</t>
        </is>
      </c>
      <c r="B82" s="71" t="inlineStr">
        <is>
          <t>GE</t>
        </is>
      </c>
      <c r="C82" s="71" t="inlineStr">
        <is>
          <t>Sí</t>
        </is>
      </c>
      <c r="D82" s="72" t="n">
        <v>46319</v>
      </c>
      <c r="E82" s="73" t="n">
        <v>100</v>
      </c>
      <c r="F82" s="71" t="inlineStr">
        <is>
          <t>Activo</t>
        </is>
      </c>
      <c r="G82" s="53" t="n"/>
      <c r="H82" s="47" t="n"/>
      <c r="I82" s="72" t="n">
        <v>46328</v>
      </c>
      <c r="J82" s="71" t="inlineStr">
        <is>
          <t>Confirmado</t>
        </is>
      </c>
      <c r="K82" s="71" t="inlineStr">
        <is>
          <t>Sí</t>
        </is>
      </c>
      <c r="L82" s="72" t="n">
        <v>46333</v>
      </c>
      <c r="M82" s="74">
        <f>IF(A82="","",IF(AND(C82="Sí",K82="Sí",F82&lt;&gt;"Excluido"),1,0))</f>
        <v/>
      </c>
    </row>
    <row r="83" ht="15" customHeight="1" s="42">
      <c r="A83" s="70" t="inlineStr">
        <is>
          <t>GU-TDH-089</t>
        </is>
      </c>
      <c r="B83" s="71" t="inlineStr">
        <is>
          <t>GE</t>
        </is>
      </c>
      <c r="C83" s="71" t="inlineStr">
        <is>
          <t>Sí</t>
        </is>
      </c>
      <c r="D83" s="72" t="n">
        <v>46320</v>
      </c>
      <c r="E83" s="73" t="n">
        <v>100</v>
      </c>
      <c r="F83" s="71" t="inlineStr">
        <is>
          <t>Activo</t>
        </is>
      </c>
      <c r="G83" s="53" t="n"/>
      <c r="H83" s="47" t="n"/>
      <c r="I83" s="72" t="n">
        <v>46328</v>
      </c>
      <c r="J83" s="71" t="inlineStr">
        <is>
          <t>Confirmado</t>
        </is>
      </c>
      <c r="K83" s="71" t="inlineStr">
        <is>
          <t>Sí</t>
        </is>
      </c>
      <c r="L83" s="72" t="n">
        <v>46334</v>
      </c>
      <c r="M83" s="74">
        <f>IF(A83="","",IF(AND(C83="Sí",K83="Sí",F83&lt;&gt;"Excluido"),1,0))</f>
        <v/>
      </c>
    </row>
    <row r="84" ht="15" customHeight="1" s="42">
      <c r="A84" s="70" t="inlineStr">
        <is>
          <t>GU-TDH-090</t>
        </is>
      </c>
      <c r="B84" s="71" t="inlineStr">
        <is>
          <t>GE</t>
        </is>
      </c>
      <c r="C84" s="71" t="inlineStr">
        <is>
          <t>Sí</t>
        </is>
      </c>
      <c r="D84" s="72" t="n">
        <v>46315</v>
      </c>
      <c r="E84" s="73" t="n">
        <v>100</v>
      </c>
      <c r="F84" s="71" t="inlineStr">
        <is>
          <t>Activo</t>
        </is>
      </c>
      <c r="G84" s="53" t="n"/>
      <c r="H84" s="47" t="n"/>
      <c r="I84" s="72" t="n">
        <v>46328</v>
      </c>
      <c r="J84" s="71" t="inlineStr">
        <is>
          <t>Confirmado</t>
        </is>
      </c>
      <c r="K84" s="71" t="inlineStr">
        <is>
          <t>Sí</t>
        </is>
      </c>
      <c r="L84" s="72" t="n">
        <v>46329</v>
      </c>
      <c r="M84" s="74">
        <f>IF(A84="","",IF(AND(C84="Sí",K84="Sí",F84&lt;&gt;"Excluido"),1,0))</f>
        <v/>
      </c>
    </row>
    <row r="85" ht="15" customHeight="1" s="42">
      <c r="A85" s="70" t="inlineStr">
        <is>
          <t>GU-TDH-091</t>
        </is>
      </c>
      <c r="B85" s="71" t="inlineStr">
        <is>
          <t>GE</t>
        </is>
      </c>
      <c r="C85" s="71" t="inlineStr">
        <is>
          <t>Sí</t>
        </is>
      </c>
      <c r="D85" s="72" t="n">
        <v>46316</v>
      </c>
      <c r="E85" s="73" t="n">
        <v>100</v>
      </c>
      <c r="F85" s="71" t="inlineStr">
        <is>
          <t>Activo</t>
        </is>
      </c>
      <c r="G85" s="53" t="n"/>
      <c r="H85" s="47" t="n"/>
      <c r="I85" s="72" t="n">
        <v>46328</v>
      </c>
      <c r="J85" s="71" t="inlineStr">
        <is>
          <t>Confirmado</t>
        </is>
      </c>
      <c r="K85" s="71" t="inlineStr">
        <is>
          <t>Sí</t>
        </is>
      </c>
      <c r="L85" s="72" t="n">
        <v>46330</v>
      </c>
      <c r="M85" s="74">
        <f>IF(A85="","",IF(AND(C85="Sí",K85="Sí",F85&lt;&gt;"Excluido"),1,0))</f>
        <v/>
      </c>
    </row>
    <row r="86" ht="15" customHeight="1" s="42">
      <c r="A86" s="70" t="inlineStr">
        <is>
          <t>GU-TDH-092</t>
        </is>
      </c>
      <c r="B86" s="71" t="inlineStr">
        <is>
          <t>GE</t>
        </is>
      </c>
      <c r="C86" s="71" t="inlineStr">
        <is>
          <t>Sí</t>
        </is>
      </c>
      <c r="D86" s="72" t="n">
        <v>46317</v>
      </c>
      <c r="E86" s="73" t="n">
        <v>100</v>
      </c>
      <c r="F86" s="71" t="inlineStr">
        <is>
          <t>Activo</t>
        </is>
      </c>
      <c r="G86" s="53" t="n"/>
      <c r="H86" s="47" t="n"/>
      <c r="I86" s="72" t="n">
        <v>46328</v>
      </c>
      <c r="J86" s="71" t="inlineStr">
        <is>
          <t>Confirmado</t>
        </is>
      </c>
      <c r="K86" s="71" t="inlineStr">
        <is>
          <t>Sí</t>
        </is>
      </c>
      <c r="L86" s="72" t="n">
        <v>46331</v>
      </c>
      <c r="M86" s="74">
        <f>IF(A86="","",IF(AND(C86="Sí",K86="Sí",F86&lt;&gt;"Excluido"),1,0))</f>
        <v/>
      </c>
    </row>
    <row r="87" ht="15" customHeight="1" s="42">
      <c r="A87" s="70" t="inlineStr">
        <is>
          <t>GU-TDH-093</t>
        </is>
      </c>
      <c r="B87" s="71" t="inlineStr">
        <is>
          <t>GE</t>
        </is>
      </c>
      <c r="C87" s="71" t="inlineStr">
        <is>
          <t>Sí</t>
        </is>
      </c>
      <c r="D87" s="72" t="n">
        <v>46318</v>
      </c>
      <c r="E87" s="73" t="n">
        <v>100</v>
      </c>
      <c r="F87" s="71" t="inlineStr">
        <is>
          <t>Activo</t>
        </is>
      </c>
      <c r="G87" s="53" t="n"/>
      <c r="H87" s="47" t="n"/>
      <c r="I87" s="72" t="n">
        <v>46328</v>
      </c>
      <c r="J87" s="71" t="inlineStr">
        <is>
          <t>Confirmado</t>
        </is>
      </c>
      <c r="K87" s="71" t="inlineStr">
        <is>
          <t>Sí</t>
        </is>
      </c>
      <c r="L87" s="72" t="n">
        <v>46332</v>
      </c>
      <c r="M87" s="74">
        <f>IF(A87="","",IF(AND(C87="Sí",K87="Sí",F87&lt;&gt;"Excluido"),1,0))</f>
        <v/>
      </c>
    </row>
    <row r="88" ht="15" customHeight="1" s="42">
      <c r="A88" s="70" t="inlineStr">
        <is>
          <t>GU-TDH-095</t>
        </is>
      </c>
      <c r="B88" s="71" t="inlineStr">
        <is>
          <t>GE</t>
        </is>
      </c>
      <c r="C88" s="71" t="inlineStr">
        <is>
          <t>Sí</t>
        </is>
      </c>
      <c r="D88" s="72" t="n">
        <v>46319</v>
      </c>
      <c r="E88" s="73" t="n">
        <v>100</v>
      </c>
      <c r="F88" s="71" t="inlineStr">
        <is>
          <t>Activo</t>
        </is>
      </c>
      <c r="G88" s="53" t="n"/>
      <c r="H88" s="47" t="n"/>
      <c r="I88" s="72" t="n">
        <v>46328</v>
      </c>
      <c r="J88" s="71" t="inlineStr">
        <is>
          <t>Confirmado</t>
        </is>
      </c>
      <c r="K88" s="71" t="inlineStr">
        <is>
          <t>Sí</t>
        </is>
      </c>
      <c r="L88" s="72" t="n">
        <v>46333</v>
      </c>
      <c r="M88" s="74">
        <f>IF(A88="","",IF(AND(C88="Sí",K88="Sí",F88&lt;&gt;"Excluido"),1,0))</f>
        <v/>
      </c>
    </row>
    <row r="89" ht="15" customHeight="1" s="42">
      <c r="A89" s="70" t="inlineStr">
        <is>
          <t>GU-TDH-097</t>
        </is>
      </c>
      <c r="B89" s="71" t="inlineStr">
        <is>
          <t>GE</t>
        </is>
      </c>
      <c r="C89" s="71" t="inlineStr">
        <is>
          <t>Sí</t>
        </is>
      </c>
      <c r="D89" s="72" t="n">
        <v>46320</v>
      </c>
      <c r="E89" s="73" t="n">
        <v>100</v>
      </c>
      <c r="F89" s="71" t="inlineStr">
        <is>
          <t>Activo</t>
        </is>
      </c>
      <c r="G89" s="53" t="n"/>
      <c r="H89" s="47" t="n"/>
      <c r="I89" s="72" t="n">
        <v>46328</v>
      </c>
      <c r="J89" s="71" t="inlineStr">
        <is>
          <t>Confirmado</t>
        </is>
      </c>
      <c r="K89" s="71" t="inlineStr">
        <is>
          <t>Sí</t>
        </is>
      </c>
      <c r="L89" s="72" t="n">
        <v>46334</v>
      </c>
      <c r="M89" s="74">
        <f>IF(A89="","",IF(AND(C89="Sí",K89="Sí",F89&lt;&gt;"Excluido"),1,0))</f>
        <v/>
      </c>
    </row>
    <row r="90" ht="15" customHeight="1" s="42">
      <c r="A90" s="70" t="inlineStr">
        <is>
          <t>GU-TDH-098</t>
        </is>
      </c>
      <c r="B90" s="71" t="inlineStr">
        <is>
          <t>GE</t>
        </is>
      </c>
      <c r="C90" s="71" t="inlineStr">
        <is>
          <t>Sí</t>
        </is>
      </c>
      <c r="D90" s="72" t="n">
        <v>46315</v>
      </c>
      <c r="E90" s="73" t="n">
        <v>100</v>
      </c>
      <c r="F90" s="71" t="inlineStr">
        <is>
          <t>Activo</t>
        </is>
      </c>
      <c r="G90" s="53" t="n"/>
      <c r="H90" s="47" t="n"/>
      <c r="I90" s="72" t="n">
        <v>46328</v>
      </c>
      <c r="J90" s="71" t="inlineStr">
        <is>
          <t>Confirmado</t>
        </is>
      </c>
      <c r="K90" s="71" t="inlineStr">
        <is>
          <t>Sí</t>
        </is>
      </c>
      <c r="L90" s="72" t="n">
        <v>46329</v>
      </c>
      <c r="M90" s="74">
        <f>IF(A90="","",IF(AND(C90="Sí",K90="Sí",F90&lt;&gt;"Excluido"),1,0))</f>
        <v/>
      </c>
    </row>
    <row r="91" ht="15" customHeight="1" s="42">
      <c r="A91" s="70" t="inlineStr">
        <is>
          <t>GU-TDH-099</t>
        </is>
      </c>
      <c r="B91" s="71" t="inlineStr">
        <is>
          <t>GE</t>
        </is>
      </c>
      <c r="C91" s="71" t="inlineStr">
        <is>
          <t>Sí</t>
        </is>
      </c>
      <c r="D91" s="72" t="n">
        <v>46316</v>
      </c>
      <c r="E91" s="73" t="n">
        <v>100</v>
      </c>
      <c r="F91" s="71" t="inlineStr">
        <is>
          <t>Activo</t>
        </is>
      </c>
      <c r="G91" s="53" t="n"/>
      <c r="H91" s="47" t="n"/>
      <c r="I91" s="72" t="n">
        <v>46328</v>
      </c>
      <c r="J91" s="71" t="inlineStr">
        <is>
          <t>Confirmado</t>
        </is>
      </c>
      <c r="K91" s="71" t="inlineStr">
        <is>
          <t>Sí</t>
        </is>
      </c>
      <c r="L91" s="72" t="n">
        <v>46330</v>
      </c>
      <c r="M91" s="74">
        <f>IF(A91="","",IF(AND(C91="Sí",K91="Sí",F91&lt;&gt;"Excluido"),1,0))</f>
        <v/>
      </c>
    </row>
    <row r="92" ht="15" customHeight="1" s="42">
      <c r="A92" s="70" t="inlineStr">
        <is>
          <t>GU-TDH-100</t>
        </is>
      </c>
      <c r="B92" s="71" t="inlineStr">
        <is>
          <t>GE</t>
        </is>
      </c>
      <c r="C92" s="71" t="inlineStr">
        <is>
          <t>Sí</t>
        </is>
      </c>
      <c r="D92" s="72" t="n">
        <v>46317</v>
      </c>
      <c r="E92" s="73" t="n">
        <v>100</v>
      </c>
      <c r="F92" s="71" t="inlineStr">
        <is>
          <t>Activo</t>
        </is>
      </c>
      <c r="G92" s="53" t="n"/>
      <c r="H92" s="47" t="n"/>
      <c r="I92" s="72" t="n">
        <v>46328</v>
      </c>
      <c r="J92" s="71" t="inlineStr">
        <is>
          <t>Confirmado</t>
        </is>
      </c>
      <c r="K92" s="71" t="inlineStr">
        <is>
          <t>Sí</t>
        </is>
      </c>
      <c r="L92" s="72" t="n">
        <v>46331</v>
      </c>
      <c r="M92" s="74">
        <f>IF(A92="","",IF(AND(C92="Sí",K92="Sí",F92&lt;&gt;"Excluido"),1,0))</f>
        <v/>
      </c>
    </row>
    <row r="93" ht="15" customHeight="1" s="42">
      <c r="A93" s="70" t="inlineStr">
        <is>
          <t>GU-TDH-101</t>
        </is>
      </c>
      <c r="B93" s="71" t="inlineStr">
        <is>
          <t>GE</t>
        </is>
      </c>
      <c r="C93" s="71" t="inlineStr">
        <is>
          <t>Sí</t>
        </is>
      </c>
      <c r="D93" s="72" t="n">
        <v>46318</v>
      </c>
      <c r="E93" s="73" t="n">
        <v>100</v>
      </c>
      <c r="F93" s="71" t="inlineStr">
        <is>
          <t>Activo</t>
        </is>
      </c>
      <c r="G93" s="53" t="n"/>
      <c r="H93" s="47" t="n"/>
      <c r="I93" s="72" t="n">
        <v>46328</v>
      </c>
      <c r="J93" s="71" t="inlineStr">
        <is>
          <t>Confirmado</t>
        </is>
      </c>
      <c r="K93" s="71" t="inlineStr">
        <is>
          <t>Sí</t>
        </is>
      </c>
      <c r="L93" s="72" t="n">
        <v>46332</v>
      </c>
      <c r="M93" s="74">
        <f>IF(A93="","",IF(AND(C93="Sí",K93="Sí",F93&lt;&gt;"Excluido"),1,0))</f>
        <v/>
      </c>
    </row>
    <row r="94" ht="15" customHeight="1" s="42">
      <c r="A94" s="70" t="inlineStr">
        <is>
          <t>GU-TDH-102</t>
        </is>
      </c>
      <c r="B94" s="71" t="inlineStr">
        <is>
          <t>GE</t>
        </is>
      </c>
      <c r="C94" s="71" t="inlineStr">
        <is>
          <t>Sí</t>
        </is>
      </c>
      <c r="D94" s="72" t="n">
        <v>46319</v>
      </c>
      <c r="E94" s="73" t="n">
        <v>100</v>
      </c>
      <c r="F94" s="71" t="inlineStr">
        <is>
          <t>Activo</t>
        </is>
      </c>
      <c r="G94" s="53" t="n"/>
      <c r="H94" s="47" t="n"/>
      <c r="I94" s="72" t="n">
        <v>46328</v>
      </c>
      <c r="J94" s="71" t="inlineStr">
        <is>
          <t>Confirmado</t>
        </is>
      </c>
      <c r="K94" s="71" t="inlineStr">
        <is>
          <t>Sí</t>
        </is>
      </c>
      <c r="L94" s="72" t="n">
        <v>46333</v>
      </c>
      <c r="M94" s="74">
        <f>IF(A94="","",IF(AND(C94="Sí",K94="Sí",F94&lt;&gt;"Excluido"),1,0))</f>
        <v/>
      </c>
    </row>
    <row r="95" ht="15" customHeight="1" s="42">
      <c r="A95" s="70" t="inlineStr">
        <is>
          <t>GU-TDH-103</t>
        </is>
      </c>
      <c r="B95" s="71" t="inlineStr">
        <is>
          <t>GE</t>
        </is>
      </c>
      <c r="C95" s="71" t="inlineStr">
        <is>
          <t>Sí</t>
        </is>
      </c>
      <c r="D95" s="72" t="n">
        <v>46320</v>
      </c>
      <c r="E95" s="73" t="n">
        <v>100</v>
      </c>
      <c r="F95" s="71" t="inlineStr">
        <is>
          <t>Activo</t>
        </is>
      </c>
      <c r="G95" s="53" t="n"/>
      <c r="H95" s="47" t="n"/>
      <c r="I95" s="72" t="n">
        <v>46328</v>
      </c>
      <c r="J95" s="71" t="inlineStr">
        <is>
          <t>Confirmado</t>
        </is>
      </c>
      <c r="K95" s="71" t="inlineStr">
        <is>
          <t>Sí</t>
        </is>
      </c>
      <c r="L95" s="72" t="n">
        <v>46334</v>
      </c>
      <c r="M95" s="74">
        <f>IF(A95="","",IF(AND(C95="Sí",K95="Sí",F95&lt;&gt;"Excluido"),1,0))</f>
        <v/>
      </c>
    </row>
    <row r="96" ht="15" customHeight="1" s="42">
      <c r="A96" s="70" t="inlineStr">
        <is>
          <t>GU-TDH-104</t>
        </is>
      </c>
      <c r="B96" s="71" t="inlineStr">
        <is>
          <t>GE</t>
        </is>
      </c>
      <c r="C96" s="71" t="inlineStr">
        <is>
          <t>Sí</t>
        </is>
      </c>
      <c r="D96" s="72" t="n">
        <v>46315</v>
      </c>
      <c r="E96" s="73" t="n">
        <v>100</v>
      </c>
      <c r="F96" s="71" t="inlineStr">
        <is>
          <t>Activo</t>
        </is>
      </c>
      <c r="G96" s="53" t="n"/>
      <c r="H96" s="47" t="n"/>
      <c r="I96" s="72" t="n">
        <v>46328</v>
      </c>
      <c r="J96" s="71" t="inlineStr">
        <is>
          <t>Confirmado</t>
        </is>
      </c>
      <c r="K96" s="71" t="inlineStr">
        <is>
          <t>Sí</t>
        </is>
      </c>
      <c r="L96" s="72" t="n">
        <v>46329</v>
      </c>
      <c r="M96" s="74">
        <f>IF(A96="","",IF(AND(C96="Sí",K96="Sí",F96&lt;&gt;"Excluido"),1,0))</f>
        <v/>
      </c>
    </row>
    <row r="97" ht="15" customHeight="1" s="42">
      <c r="A97" s="70" t="inlineStr">
        <is>
          <t>GU-TDH-106</t>
        </is>
      </c>
      <c r="B97" s="71" t="inlineStr">
        <is>
          <t>GE</t>
        </is>
      </c>
      <c r="C97" s="71" t="inlineStr">
        <is>
          <t>Sí</t>
        </is>
      </c>
      <c r="D97" s="72" t="n">
        <v>46316</v>
      </c>
      <c r="E97" s="73" t="n">
        <v>100</v>
      </c>
      <c r="F97" s="71" t="inlineStr">
        <is>
          <t>Activo</t>
        </is>
      </c>
      <c r="G97" s="53" t="n"/>
      <c r="H97" s="47" t="n"/>
      <c r="I97" s="72" t="n">
        <v>46328</v>
      </c>
      <c r="J97" s="71" t="inlineStr">
        <is>
          <t>Confirmado</t>
        </is>
      </c>
      <c r="K97" s="71" t="inlineStr">
        <is>
          <t>Sí</t>
        </is>
      </c>
      <c r="L97" s="72" t="n">
        <v>46330</v>
      </c>
      <c r="M97" s="74">
        <f>IF(A97="","",IF(AND(C97="Sí",K97="Sí",F97&lt;&gt;"Excluido"),1,0))</f>
        <v/>
      </c>
    </row>
    <row r="98" ht="15" customHeight="1" s="42">
      <c r="A98" s="70" t="inlineStr">
        <is>
          <t>GU-TDH-108</t>
        </is>
      </c>
      <c r="B98" s="71" t="inlineStr">
        <is>
          <t>GE</t>
        </is>
      </c>
      <c r="C98" s="71" t="inlineStr">
        <is>
          <t>Sí</t>
        </is>
      </c>
      <c r="D98" s="72" t="n">
        <v>46317</v>
      </c>
      <c r="E98" s="73" t="n">
        <v>100</v>
      </c>
      <c r="F98" s="71" t="inlineStr">
        <is>
          <t>Activo</t>
        </is>
      </c>
      <c r="G98" s="53" t="n"/>
      <c r="H98" s="47" t="n"/>
      <c r="I98" s="72" t="n">
        <v>46328</v>
      </c>
      <c r="J98" s="71" t="inlineStr">
        <is>
          <t>Confirmado</t>
        </is>
      </c>
      <c r="K98" s="71" t="inlineStr">
        <is>
          <t>Sí</t>
        </is>
      </c>
      <c r="L98" s="72" t="n">
        <v>46331</v>
      </c>
      <c r="M98" s="74">
        <f>IF(A98="","",IF(AND(C98="Sí",K98="Sí",F98&lt;&gt;"Excluido"),1,0))</f>
        <v/>
      </c>
    </row>
    <row r="99" ht="15" customHeight="1" s="42">
      <c r="A99" s="70" t="inlineStr">
        <is>
          <t>GU-TDH-109</t>
        </is>
      </c>
      <c r="B99" s="71" t="inlineStr">
        <is>
          <t>GE</t>
        </is>
      </c>
      <c r="C99" s="71" t="inlineStr">
        <is>
          <t>Sí</t>
        </is>
      </c>
      <c r="D99" s="72" t="n">
        <v>46318</v>
      </c>
      <c r="E99" s="73" t="n">
        <v>100</v>
      </c>
      <c r="F99" s="71" t="inlineStr">
        <is>
          <t>Activo</t>
        </is>
      </c>
      <c r="G99" s="53" t="n"/>
      <c r="H99" s="47" t="n"/>
      <c r="I99" s="72" t="n">
        <v>46328</v>
      </c>
      <c r="J99" s="71" t="inlineStr">
        <is>
          <t>Confirmado</t>
        </is>
      </c>
      <c r="K99" s="71" t="inlineStr">
        <is>
          <t>Sí</t>
        </is>
      </c>
      <c r="L99" s="72" t="n">
        <v>46332</v>
      </c>
      <c r="M99" s="74">
        <f>IF(A99="","",IF(AND(C99="Sí",K99="Sí",F99&lt;&gt;"Excluido"),1,0))</f>
        <v/>
      </c>
    </row>
    <row r="100" ht="15" customHeight="1" s="42">
      <c r="A100" s="70" t="inlineStr">
        <is>
          <t>GU-TDH-110</t>
        </is>
      </c>
      <c r="B100" s="71" t="inlineStr">
        <is>
          <t>GE</t>
        </is>
      </c>
      <c r="C100" s="71" t="inlineStr">
        <is>
          <t>Sí</t>
        </is>
      </c>
      <c r="D100" s="72" t="n">
        <v>46319</v>
      </c>
      <c r="E100" s="73" t="n">
        <v>100</v>
      </c>
      <c r="F100" s="71" t="inlineStr">
        <is>
          <t>Activo</t>
        </is>
      </c>
      <c r="G100" s="53" t="n"/>
      <c r="H100" s="47" t="n"/>
      <c r="I100" s="72" t="n">
        <v>46328</v>
      </c>
      <c r="J100" s="71" t="inlineStr">
        <is>
          <t>Confirmado</t>
        </is>
      </c>
      <c r="K100" s="71" t="inlineStr">
        <is>
          <t>Sí</t>
        </is>
      </c>
      <c r="L100" s="72" t="n">
        <v>46333</v>
      </c>
      <c r="M100" s="74">
        <f>IF(A100="","",IF(AND(C100="Sí",K100="Sí",F100&lt;&gt;"Excluido"),1,0))</f>
        <v/>
      </c>
    </row>
    <row r="101" ht="15" customHeight="1" s="42">
      <c r="A101" s="70" t="inlineStr">
        <is>
          <t>GU-TDH-111</t>
        </is>
      </c>
      <c r="B101" s="71" t="inlineStr">
        <is>
          <t>GE</t>
        </is>
      </c>
      <c r="C101" s="71" t="inlineStr">
        <is>
          <t>Sí</t>
        </is>
      </c>
      <c r="D101" s="72" t="n">
        <v>46320</v>
      </c>
      <c r="E101" s="73" t="n">
        <v>100</v>
      </c>
      <c r="F101" s="71" t="inlineStr">
        <is>
          <t>Activo</t>
        </is>
      </c>
      <c r="G101" s="53" t="n"/>
      <c r="H101" s="47" t="n"/>
      <c r="I101" s="72" t="n">
        <v>46328</v>
      </c>
      <c r="J101" s="71" t="inlineStr">
        <is>
          <t>Confirmado</t>
        </is>
      </c>
      <c r="K101" s="71" t="inlineStr">
        <is>
          <t>Sí</t>
        </is>
      </c>
      <c r="L101" s="72" t="n">
        <v>46334</v>
      </c>
      <c r="M101" s="74">
        <f>IF(A101="","",IF(AND(C101="Sí",K101="Sí",F101&lt;&gt;"Excluido"),1,0))</f>
        <v/>
      </c>
    </row>
    <row r="102" ht="15" customHeight="1" s="42">
      <c r="A102" s="70" t="inlineStr">
        <is>
          <t>GU-TDH-113</t>
        </is>
      </c>
      <c r="B102" s="71" t="inlineStr">
        <is>
          <t>GE</t>
        </is>
      </c>
      <c r="C102" s="71" t="inlineStr">
        <is>
          <t>Sí</t>
        </is>
      </c>
      <c r="D102" s="72" t="n">
        <v>46315</v>
      </c>
      <c r="E102" s="73" t="n">
        <v>100</v>
      </c>
      <c r="F102" s="71" t="inlineStr">
        <is>
          <t>Activo</t>
        </is>
      </c>
      <c r="G102" s="53" t="n"/>
      <c r="H102" s="47" t="n"/>
      <c r="I102" s="72" t="n">
        <v>46328</v>
      </c>
      <c r="J102" s="71" t="inlineStr">
        <is>
          <t>Confirmado</t>
        </is>
      </c>
      <c r="K102" s="71" t="inlineStr">
        <is>
          <t>Sí</t>
        </is>
      </c>
      <c r="L102" s="72" t="n">
        <v>46329</v>
      </c>
      <c r="M102" s="74">
        <f>IF(A102="","",IF(AND(C102="Sí",K102="Sí",F102&lt;&gt;"Excluido"),1,0))</f>
        <v/>
      </c>
    </row>
    <row r="103" ht="15" customHeight="1" s="42">
      <c r="A103" s="70" t="inlineStr">
        <is>
          <t>GU-TDH-114</t>
        </is>
      </c>
      <c r="B103" s="71" t="inlineStr">
        <is>
          <t>GE</t>
        </is>
      </c>
      <c r="C103" s="71" t="inlineStr">
        <is>
          <t>Sí</t>
        </is>
      </c>
      <c r="D103" s="72" t="n">
        <v>46316</v>
      </c>
      <c r="E103" s="73" t="n">
        <v>100</v>
      </c>
      <c r="F103" s="71" t="inlineStr">
        <is>
          <t>Activo</t>
        </is>
      </c>
      <c r="G103" s="53" t="n"/>
      <c r="H103" s="47" t="n"/>
      <c r="I103" s="72" t="n">
        <v>46328</v>
      </c>
      <c r="J103" s="71" t="inlineStr">
        <is>
          <t>Confirmado</t>
        </is>
      </c>
      <c r="K103" s="71" t="inlineStr">
        <is>
          <t>Sí</t>
        </is>
      </c>
      <c r="L103" s="72" t="n">
        <v>46330</v>
      </c>
      <c r="M103" s="74">
        <f>IF(A103="","",IF(AND(C103="Sí",K103="Sí",F103&lt;&gt;"Excluido"),1,0))</f>
        <v/>
      </c>
    </row>
    <row r="104" ht="15" customHeight="1" s="42">
      <c r="A104" s="70" t="inlineStr">
        <is>
          <t>GU-TDH-115</t>
        </is>
      </c>
      <c r="B104" s="71" t="inlineStr">
        <is>
          <t>GE</t>
        </is>
      </c>
      <c r="C104" s="71" t="inlineStr">
        <is>
          <t>Sí</t>
        </is>
      </c>
      <c r="D104" s="72" t="n">
        <v>46317</v>
      </c>
      <c r="E104" s="73" t="n">
        <v>100</v>
      </c>
      <c r="F104" s="71" t="inlineStr">
        <is>
          <t>Activo</t>
        </is>
      </c>
      <c r="G104" s="53" t="n"/>
      <c r="H104" s="47" t="n"/>
      <c r="I104" s="72" t="n">
        <v>46328</v>
      </c>
      <c r="J104" s="71" t="inlineStr">
        <is>
          <t>Confirmado</t>
        </is>
      </c>
      <c r="K104" s="71" t="inlineStr">
        <is>
          <t>Sí</t>
        </is>
      </c>
      <c r="L104" s="72" t="n">
        <v>46331</v>
      </c>
      <c r="M104" s="74">
        <f>IF(A104="","",IF(AND(C104="Sí",K104="Sí",F104&lt;&gt;"Excluido"),1,0))</f>
        <v/>
      </c>
    </row>
    <row r="105" ht="15" customHeight="1" s="42">
      <c r="A105" s="70" t="inlineStr">
        <is>
          <t>GU-TDH-116</t>
        </is>
      </c>
      <c r="B105" s="71" t="inlineStr">
        <is>
          <t>GE</t>
        </is>
      </c>
      <c r="C105" s="71" t="inlineStr">
        <is>
          <t>Sí</t>
        </is>
      </c>
      <c r="D105" s="72" t="n">
        <v>46318</v>
      </c>
      <c r="E105" s="73" t="n">
        <v>100</v>
      </c>
      <c r="F105" s="71" t="inlineStr">
        <is>
          <t>Activo</t>
        </is>
      </c>
      <c r="G105" s="53" t="n"/>
      <c r="H105" s="47" t="n"/>
      <c r="I105" s="72" t="n">
        <v>46328</v>
      </c>
      <c r="J105" s="71" t="inlineStr">
        <is>
          <t>Confirmado</t>
        </is>
      </c>
      <c r="K105" s="71" t="inlineStr">
        <is>
          <t>Sí</t>
        </is>
      </c>
      <c r="L105" s="72" t="n">
        <v>46332</v>
      </c>
      <c r="M105" s="74">
        <f>IF(A105="","",IF(AND(C105="Sí",K105="Sí",F105&lt;&gt;"Excluido"),1,0))</f>
        <v/>
      </c>
    </row>
    <row r="106" ht="15" customHeight="1" s="42">
      <c r="A106" s="70" t="inlineStr">
        <is>
          <t>GU-TDH-117</t>
        </is>
      </c>
      <c r="B106" s="71" t="inlineStr">
        <is>
          <t>GE</t>
        </is>
      </c>
      <c r="C106" s="71" t="inlineStr">
        <is>
          <t>Sí</t>
        </is>
      </c>
      <c r="D106" s="72" t="n">
        <v>46319</v>
      </c>
      <c r="E106" s="73" t="n">
        <v>100</v>
      </c>
      <c r="F106" s="71" t="inlineStr">
        <is>
          <t>Activo</t>
        </is>
      </c>
      <c r="G106" s="53" t="n"/>
      <c r="H106" s="47" t="n"/>
      <c r="I106" s="72" t="n">
        <v>46328</v>
      </c>
      <c r="J106" s="71" t="inlineStr">
        <is>
          <t>Confirmado</t>
        </is>
      </c>
      <c r="K106" s="71" t="inlineStr">
        <is>
          <t>Sí</t>
        </is>
      </c>
      <c r="L106" s="72" t="n">
        <v>46333</v>
      </c>
      <c r="M106" s="74">
        <f>IF(A106="","",IF(AND(C106="Sí",K106="Sí",F106&lt;&gt;"Excluido"),1,0))</f>
        <v/>
      </c>
    </row>
    <row r="107" ht="15" customHeight="1" s="42">
      <c r="A107" s="70" t="inlineStr">
        <is>
          <t>GU-TDH-118</t>
        </is>
      </c>
      <c r="B107" s="71" t="inlineStr">
        <is>
          <t>GE</t>
        </is>
      </c>
      <c r="C107" s="71" t="inlineStr">
        <is>
          <t>Sí</t>
        </is>
      </c>
      <c r="D107" s="72" t="n">
        <v>46320</v>
      </c>
      <c r="E107" s="73" t="n">
        <v>100</v>
      </c>
      <c r="F107" s="71" t="inlineStr">
        <is>
          <t>Activo</t>
        </is>
      </c>
      <c r="G107" s="53" t="n"/>
      <c r="H107" s="47" t="n"/>
      <c r="I107" s="72" t="n">
        <v>46328</v>
      </c>
      <c r="J107" s="71" t="inlineStr">
        <is>
          <t>Confirmado</t>
        </is>
      </c>
      <c r="K107" s="71" t="inlineStr">
        <is>
          <t>Sí</t>
        </is>
      </c>
      <c r="L107" s="72" t="n">
        <v>46334</v>
      </c>
      <c r="M107" s="74">
        <f>IF(A107="","",IF(AND(C107="Sí",K107="Sí",F107&lt;&gt;"Excluido"),1,0))</f>
        <v/>
      </c>
    </row>
    <row r="108" ht="15" customHeight="1" s="42">
      <c r="A108" s="70" t="inlineStr">
        <is>
          <t>GU-TDH-119</t>
        </is>
      </c>
      <c r="B108" s="71" t="inlineStr">
        <is>
          <t>GE</t>
        </is>
      </c>
      <c r="C108" s="71" t="inlineStr">
        <is>
          <t>Sí</t>
        </is>
      </c>
      <c r="D108" s="72" t="n">
        <v>46315</v>
      </c>
      <c r="E108" s="73" t="n">
        <v>100</v>
      </c>
      <c r="F108" s="71" t="inlineStr">
        <is>
          <t>Activo</t>
        </is>
      </c>
      <c r="G108" s="53" t="n"/>
      <c r="H108" s="47" t="n"/>
      <c r="I108" s="72" t="n">
        <v>46328</v>
      </c>
      <c r="J108" s="71" t="inlineStr">
        <is>
          <t>Confirmado</t>
        </is>
      </c>
      <c r="K108" s="71" t="inlineStr">
        <is>
          <t>Sí</t>
        </is>
      </c>
      <c r="L108" s="72" t="n">
        <v>46329</v>
      </c>
      <c r="M108" s="74">
        <f>IF(A108="","",IF(AND(C108="Sí",K108="Sí",F108&lt;&gt;"Excluido"),1,0))</f>
        <v/>
      </c>
    </row>
    <row r="109" ht="15" customHeight="1" s="42">
      <c r="A109" s="70" t="inlineStr">
        <is>
          <t>GU-TDH-120</t>
        </is>
      </c>
      <c r="B109" s="71" t="inlineStr">
        <is>
          <t>GE</t>
        </is>
      </c>
      <c r="C109" s="71" t="inlineStr">
        <is>
          <t>Sí</t>
        </is>
      </c>
      <c r="D109" s="72" t="n">
        <v>46316</v>
      </c>
      <c r="E109" s="73" t="n">
        <v>100</v>
      </c>
      <c r="F109" s="71" t="inlineStr">
        <is>
          <t>Activo</t>
        </is>
      </c>
      <c r="G109" s="53" t="n"/>
      <c r="H109" s="47" t="n"/>
      <c r="I109" s="72" t="n">
        <v>46328</v>
      </c>
      <c r="J109" s="71" t="inlineStr">
        <is>
          <t>Confirmado</t>
        </is>
      </c>
      <c r="K109" s="71" t="inlineStr">
        <is>
          <t>Sí</t>
        </is>
      </c>
      <c r="L109" s="72" t="n">
        <v>46330</v>
      </c>
      <c r="M109" s="74">
        <f>IF(A109="","",IF(AND(C109="Sí",K109="Sí",F109&lt;&gt;"Excluido"),1,0))</f>
        <v/>
      </c>
    </row>
    <row r="110" ht="15" customHeight="1" s="42">
      <c r="A110" s="70" t="inlineStr">
        <is>
          <t>GU-TDH-121</t>
        </is>
      </c>
      <c r="B110" s="71" t="inlineStr">
        <is>
          <t>GE</t>
        </is>
      </c>
      <c r="C110" s="71" t="inlineStr">
        <is>
          <t>Sí</t>
        </is>
      </c>
      <c r="D110" s="72" t="n">
        <v>46317</v>
      </c>
      <c r="E110" s="73" t="n">
        <v>100</v>
      </c>
      <c r="F110" s="71" t="inlineStr">
        <is>
          <t>Activo</t>
        </is>
      </c>
      <c r="G110" s="53" t="n"/>
      <c r="H110" s="47" t="n"/>
      <c r="I110" s="72" t="n">
        <v>46328</v>
      </c>
      <c r="J110" s="71" t="inlineStr">
        <is>
          <t>Confirmado</t>
        </is>
      </c>
      <c r="K110" s="71" t="inlineStr">
        <is>
          <t>Sí</t>
        </is>
      </c>
      <c r="L110" s="72" t="n">
        <v>46331</v>
      </c>
      <c r="M110" s="74">
        <f>IF(A110="","",IF(AND(C110="Sí",K110="Sí",F110&lt;&gt;"Excluido"),1,0))</f>
        <v/>
      </c>
    </row>
    <row r="111" ht="15" customHeight="1" s="42">
      <c r="A111" s="70" t="inlineStr">
        <is>
          <t>GU-TDH-122</t>
        </is>
      </c>
      <c r="B111" s="71" t="inlineStr">
        <is>
          <t>GE</t>
        </is>
      </c>
      <c r="C111" s="71" t="inlineStr">
        <is>
          <t>Sí</t>
        </is>
      </c>
      <c r="D111" s="72" t="n">
        <v>46318</v>
      </c>
      <c r="E111" s="73" t="n">
        <v>100</v>
      </c>
      <c r="F111" s="71" t="inlineStr">
        <is>
          <t>Activo</t>
        </is>
      </c>
      <c r="G111" s="53" t="n"/>
      <c r="H111" s="47" t="n"/>
      <c r="I111" s="72" t="n">
        <v>46328</v>
      </c>
      <c r="J111" s="71" t="inlineStr">
        <is>
          <t>Confirmado</t>
        </is>
      </c>
      <c r="K111" s="71" t="inlineStr">
        <is>
          <t>Sí</t>
        </is>
      </c>
      <c r="L111" s="72" t="n">
        <v>46332</v>
      </c>
      <c r="M111" s="74">
        <f>IF(A111="","",IF(AND(C111="Sí",K111="Sí",F111&lt;&gt;"Excluido"),1,0))</f>
        <v/>
      </c>
    </row>
    <row r="112" ht="15" customHeight="1" s="42">
      <c r="A112" s="70" t="inlineStr">
        <is>
          <t>GU-TDH-124</t>
        </is>
      </c>
      <c r="B112" s="71" t="inlineStr">
        <is>
          <t>GE</t>
        </is>
      </c>
      <c r="C112" s="71" t="inlineStr">
        <is>
          <t>Sí</t>
        </is>
      </c>
      <c r="D112" s="72" t="n">
        <v>46319</v>
      </c>
      <c r="E112" s="73" t="n">
        <v>100</v>
      </c>
      <c r="F112" s="71" t="inlineStr">
        <is>
          <t>Activo</t>
        </is>
      </c>
      <c r="G112" s="53" t="n"/>
      <c r="H112" s="47" t="n"/>
      <c r="I112" s="72" t="n">
        <v>46328</v>
      </c>
      <c r="J112" s="71" t="inlineStr">
        <is>
          <t>Confirmado</t>
        </is>
      </c>
      <c r="K112" s="71" t="inlineStr">
        <is>
          <t>Sí</t>
        </is>
      </c>
      <c r="L112" s="72" t="n">
        <v>46333</v>
      </c>
      <c r="M112" s="74">
        <f>IF(A112="","",IF(AND(C112="Sí",K112="Sí",F112&lt;&gt;"Excluido"),1,0))</f>
        <v/>
      </c>
    </row>
    <row r="113" ht="15" customHeight="1" s="42">
      <c r="A113" s="70" t="inlineStr">
        <is>
          <t>GU-TDH-125</t>
        </is>
      </c>
      <c r="B113" s="71" t="inlineStr">
        <is>
          <t>GE</t>
        </is>
      </c>
      <c r="C113" s="71" t="inlineStr">
        <is>
          <t>Sí</t>
        </is>
      </c>
      <c r="D113" s="72" t="n">
        <v>46320</v>
      </c>
      <c r="E113" s="73" t="n">
        <v>100</v>
      </c>
      <c r="F113" s="71" t="inlineStr">
        <is>
          <t>Activo</t>
        </is>
      </c>
      <c r="G113" s="53" t="n"/>
      <c r="H113" s="47" t="n"/>
      <c r="I113" s="72" t="n">
        <v>46328</v>
      </c>
      <c r="J113" s="71" t="inlineStr">
        <is>
          <t>Confirmado</t>
        </is>
      </c>
      <c r="K113" s="71" t="inlineStr">
        <is>
          <t>Sí</t>
        </is>
      </c>
      <c r="L113" s="72" t="n">
        <v>46334</v>
      </c>
      <c r="M113" s="74">
        <f>IF(A113="","",IF(AND(C113="Sí",K113="Sí",F113&lt;&gt;"Excluido"),1,0))</f>
        <v/>
      </c>
    </row>
    <row r="114" ht="15" customHeight="1" s="42">
      <c r="A114" s="47" t="n"/>
      <c r="B114" s="67" t="n"/>
      <c r="C114" s="67" t="n"/>
      <c r="D114" s="53" t="n"/>
      <c r="E114" s="51" t="n"/>
      <c r="F114" s="67" t="n"/>
      <c r="G114" s="53" t="n"/>
      <c r="H114" s="47" t="n"/>
      <c r="I114" s="53" t="n"/>
      <c r="J114" s="67" t="n"/>
      <c r="K114" s="67" t="n"/>
      <c r="L114" s="53" t="n"/>
      <c r="M114" s="74">
        <f>IF(A114="","",IF(AND(C114="Sí",K114="Sí",F114&lt;&gt;"Excluido"),1,0))</f>
        <v/>
      </c>
    </row>
    <row r="115" ht="15" customHeight="1" s="42">
      <c r="A115" s="47" t="n"/>
      <c r="B115" s="67" t="n"/>
      <c r="C115" s="67" t="n"/>
      <c r="D115" s="53" t="n"/>
      <c r="E115" s="51" t="n"/>
      <c r="F115" s="67" t="n"/>
      <c r="G115" s="53" t="n"/>
      <c r="H115" s="47" t="n"/>
      <c r="I115" s="53" t="n"/>
      <c r="J115" s="67" t="n"/>
      <c r="K115" s="67" t="n"/>
      <c r="L115" s="53" t="n"/>
      <c r="M115" s="74">
        <f>IF(A115="","",IF(AND(C115="Sí",K115="Sí",F115&lt;&gt;"Excluido"),1,0))</f>
        <v/>
      </c>
    </row>
    <row r="116" ht="15" customHeight="1" s="42">
      <c r="A116" s="47" t="n"/>
      <c r="B116" s="67" t="n"/>
      <c r="C116" s="67" t="n"/>
      <c r="D116" s="53" t="n"/>
      <c r="E116" s="51" t="n"/>
      <c r="F116" s="67" t="n"/>
      <c r="G116" s="53" t="n"/>
      <c r="H116" s="47" t="n"/>
      <c r="I116" s="53" t="n"/>
      <c r="J116" s="67" t="n"/>
      <c r="K116" s="67" t="n"/>
      <c r="L116" s="53" t="n"/>
      <c r="M116" s="74">
        <f>IF(A116="","",IF(AND(C116="Sí",K116="Sí",F116&lt;&gt;"Excluido"),1,0))</f>
        <v/>
      </c>
    </row>
    <row r="117" ht="15" customHeight="1" s="42">
      <c r="A117" s="47" t="n"/>
      <c r="B117" s="67" t="n"/>
      <c r="C117" s="67" t="n"/>
      <c r="D117" s="53" t="n"/>
      <c r="E117" s="51" t="n"/>
      <c r="F117" s="67" t="n"/>
      <c r="G117" s="53" t="n"/>
      <c r="H117" s="47" t="n"/>
      <c r="I117" s="53" t="n"/>
      <c r="J117" s="67" t="n"/>
      <c r="K117" s="67" t="n"/>
      <c r="L117" s="53" t="n"/>
      <c r="M117" s="74">
        <f>IF(A117="","",IF(AND(C117="Sí",K117="Sí",F117&lt;&gt;"Excluido"),1,0))</f>
        <v/>
      </c>
    </row>
    <row r="118" ht="15" customHeight="1" s="42">
      <c r="A118" s="47" t="n"/>
      <c r="B118" s="67" t="n"/>
      <c r="C118" s="67" t="n"/>
      <c r="D118" s="53" t="n"/>
      <c r="E118" s="51" t="n"/>
      <c r="F118" s="67" t="n"/>
      <c r="G118" s="53" t="n"/>
      <c r="H118" s="47" t="n"/>
      <c r="I118" s="53" t="n"/>
      <c r="J118" s="67" t="n"/>
      <c r="K118" s="67" t="n"/>
      <c r="L118" s="53" t="n"/>
      <c r="M118" s="74">
        <f>IF(A118="","",IF(AND(C118="Sí",K118="Sí",F118&lt;&gt;"Excluido"),1,0))</f>
        <v/>
      </c>
    </row>
    <row r="119" ht="15" customHeight="1" s="42">
      <c r="A119" s="47" t="n"/>
      <c r="B119" s="67" t="n"/>
      <c r="C119" s="67" t="n"/>
      <c r="D119" s="53" t="n"/>
      <c r="E119" s="51" t="n"/>
      <c r="F119" s="67" t="n"/>
      <c r="G119" s="53" t="n"/>
      <c r="H119" s="47" t="n"/>
      <c r="I119" s="53" t="n"/>
      <c r="J119" s="67" t="n"/>
      <c r="K119" s="67" t="n"/>
      <c r="L119" s="53" t="n"/>
      <c r="M119" s="74">
        <f>IF(A119="","",IF(AND(C119="Sí",K119="Sí",F119&lt;&gt;"Excluido"),1,0))</f>
        <v/>
      </c>
    </row>
    <row r="120" ht="15" customHeight="1" s="42">
      <c r="A120" s="47" t="n"/>
      <c r="B120" s="67" t="n"/>
      <c r="C120" s="67" t="n"/>
      <c r="D120" s="53" t="n"/>
      <c r="E120" s="51" t="n"/>
      <c r="F120" s="67" t="n"/>
      <c r="G120" s="53" t="n"/>
      <c r="H120" s="47" t="n"/>
      <c r="I120" s="53" t="n"/>
      <c r="J120" s="67" t="n"/>
      <c r="K120" s="67" t="n"/>
      <c r="L120" s="53" t="n"/>
      <c r="M120" s="74">
        <f>IF(A120="","",IF(AND(C120="Sí",K120="Sí",F120&lt;&gt;"Excluido"),1,0))</f>
        <v/>
      </c>
    </row>
    <row r="121" ht="15" customHeight="1" s="42">
      <c r="A121" s="47" t="n"/>
      <c r="B121" s="67" t="n"/>
      <c r="C121" s="67" t="n"/>
      <c r="D121" s="53" t="n"/>
      <c r="E121" s="51" t="n"/>
      <c r="F121" s="67" t="n"/>
      <c r="G121" s="53" t="n"/>
      <c r="H121" s="47" t="n"/>
      <c r="I121" s="53" t="n"/>
      <c r="J121" s="67" t="n"/>
      <c r="K121" s="67" t="n"/>
      <c r="L121" s="53" t="n"/>
      <c r="M121" s="74">
        <f>IF(A121="","",IF(AND(C121="Sí",K121="Sí",F121&lt;&gt;"Excluido"),1,0))</f>
        <v/>
      </c>
    </row>
    <row r="122" ht="15" customHeight="1" s="42">
      <c r="A122" s="47" t="n"/>
      <c r="B122" s="67" t="n"/>
      <c r="C122" s="67" t="n"/>
      <c r="D122" s="53" t="n"/>
      <c r="E122" s="51" t="n"/>
      <c r="F122" s="67" t="n"/>
      <c r="G122" s="53" t="n"/>
      <c r="H122" s="47" t="n"/>
      <c r="I122" s="53" t="n"/>
      <c r="J122" s="67" t="n"/>
      <c r="K122" s="67" t="n"/>
      <c r="L122" s="53" t="n"/>
      <c r="M122" s="74">
        <f>IF(A122="","",IF(AND(C122="Sí",K122="Sí",F122&lt;&gt;"Excluido"),1,0))</f>
        <v/>
      </c>
    </row>
    <row r="123" ht="15" customHeight="1" s="42">
      <c r="A123" s="47" t="n"/>
      <c r="B123" s="67" t="n"/>
      <c r="C123" s="67" t="n"/>
      <c r="D123" s="53" t="n"/>
      <c r="E123" s="51" t="n"/>
      <c r="F123" s="67" t="n"/>
      <c r="G123" s="53" t="n"/>
      <c r="H123" s="47" t="n"/>
      <c r="I123" s="53" t="n"/>
      <c r="J123" s="67" t="n"/>
      <c r="K123" s="67" t="n"/>
      <c r="L123" s="53" t="n"/>
      <c r="M123" s="74">
        <f>IF(A123="","",IF(AND(C123="Sí",K123="Sí",F123&lt;&gt;"Excluido"),1,0))</f>
        <v/>
      </c>
    </row>
    <row r="124" ht="15" customHeight="1" s="42">
      <c r="A124" s="47" t="n"/>
      <c r="B124" s="67" t="n"/>
      <c r="C124" s="67" t="n"/>
      <c r="D124" s="53" t="n"/>
      <c r="E124" s="51" t="n"/>
      <c r="F124" s="67" t="n"/>
      <c r="G124" s="53" t="n"/>
      <c r="H124" s="47" t="n"/>
      <c r="I124" s="53" t="n"/>
      <c r="J124" s="67" t="n"/>
      <c r="K124" s="67" t="n"/>
      <c r="L124" s="53" t="n"/>
      <c r="M124" s="74">
        <f>IF(A124="","",IF(AND(C124="Sí",K124="Sí",F124&lt;&gt;"Excluido"),1,0))</f>
        <v/>
      </c>
    </row>
    <row r="125" ht="15" customHeight="1" s="42">
      <c r="A125" s="47" t="n"/>
      <c r="B125" s="67" t="n"/>
      <c r="C125" s="67" t="n"/>
      <c r="D125" s="53" t="n"/>
      <c r="E125" s="51" t="n"/>
      <c r="F125" s="67" t="n"/>
      <c r="G125" s="53" t="n"/>
      <c r="H125" s="47" t="n"/>
      <c r="I125" s="53" t="n"/>
      <c r="J125" s="67" t="n"/>
      <c r="K125" s="67" t="n"/>
      <c r="L125" s="53" t="n"/>
      <c r="M125" s="74">
        <f>IF(A125="","",IF(AND(C125="Sí",K125="Sí",F125&lt;&gt;"Excluido"),1,0))</f>
        <v/>
      </c>
    </row>
    <row r="126" ht="15" customHeight="1" s="42">
      <c r="A126" s="47" t="n"/>
      <c r="B126" s="67" t="n"/>
      <c r="C126" s="67" t="n"/>
      <c r="D126" s="53" t="n"/>
      <c r="E126" s="51" t="n"/>
      <c r="F126" s="67" t="n"/>
      <c r="G126" s="53" t="n"/>
      <c r="H126" s="47" t="n"/>
      <c r="I126" s="53" t="n"/>
      <c r="J126" s="67" t="n"/>
      <c r="K126" s="67" t="n"/>
      <c r="L126" s="53" t="n"/>
      <c r="M126" s="74">
        <f>IF(A126="","",IF(AND(C126="Sí",K126="Sí",F126&lt;&gt;"Excluido"),1,0))</f>
        <v/>
      </c>
    </row>
    <row r="127" ht="15" customHeight="1" s="42">
      <c r="A127" s="47" t="n"/>
      <c r="B127" s="67" t="n"/>
      <c r="C127" s="67" t="n"/>
      <c r="D127" s="53" t="n"/>
      <c r="E127" s="51" t="n"/>
      <c r="F127" s="67" t="n"/>
      <c r="G127" s="53" t="n"/>
      <c r="H127" s="47" t="n"/>
      <c r="I127" s="53" t="n"/>
      <c r="J127" s="67" t="n"/>
      <c r="K127" s="67" t="n"/>
      <c r="L127" s="53" t="n"/>
      <c r="M127" s="74">
        <f>IF(A127="","",IF(AND(C127="Sí",K127="Sí",F127&lt;&gt;"Excluido"),1,0))</f>
        <v/>
      </c>
    </row>
    <row r="128" ht="15" customHeight="1" s="42">
      <c r="A128" s="47" t="n"/>
      <c r="B128" s="67" t="n"/>
      <c r="C128" s="67" t="n"/>
      <c r="D128" s="53" t="n"/>
      <c r="E128" s="51" t="n"/>
      <c r="F128" s="67" t="n"/>
      <c r="G128" s="53" t="n"/>
      <c r="H128" s="47" t="n"/>
      <c r="I128" s="53" t="n"/>
      <c r="J128" s="67" t="n"/>
      <c r="K128" s="67" t="n"/>
      <c r="L128" s="53" t="n"/>
      <c r="M128" s="74">
        <f>IF(A128="","",IF(AND(C128="Sí",K128="Sí",F128&lt;&gt;"Excluido"),1,0))</f>
        <v/>
      </c>
    </row>
    <row r="129" ht="15" customHeight="1" s="42">
      <c r="A129" s="47" t="n"/>
      <c r="B129" s="67" t="n"/>
      <c r="C129" s="67" t="n"/>
      <c r="D129" s="53" t="n"/>
      <c r="E129" s="51" t="n"/>
      <c r="F129" s="67" t="n"/>
      <c r="G129" s="53" t="n"/>
      <c r="H129" s="47" t="n"/>
      <c r="I129" s="53" t="n"/>
      <c r="J129" s="67" t="n"/>
      <c r="K129" s="67" t="n"/>
      <c r="L129" s="53" t="n"/>
      <c r="M129" s="74">
        <f>IF(A129="","",IF(AND(C129="Sí",K129="Sí",F129&lt;&gt;"Excluido"),1,0))</f>
        <v/>
      </c>
    </row>
    <row r="130" ht="15" customHeight="1" s="42">
      <c r="A130" s="47" t="n"/>
      <c r="B130" s="67" t="n"/>
      <c r="C130" s="67" t="n"/>
      <c r="D130" s="53" t="n"/>
      <c r="E130" s="51" t="n"/>
      <c r="F130" s="67" t="n"/>
      <c r="G130" s="53" t="n"/>
      <c r="H130" s="47" t="n"/>
      <c r="I130" s="53" t="n"/>
      <c r="J130" s="67" t="n"/>
      <c r="K130" s="67" t="n"/>
      <c r="L130" s="53" t="n"/>
      <c r="M130" s="74">
        <f>IF(A130="","",IF(AND(C130="Sí",K130="Sí",F130&lt;&gt;"Excluido"),1,0))</f>
        <v/>
      </c>
    </row>
    <row r="131" ht="15" customHeight="1" s="42">
      <c r="A131" s="47" t="n"/>
      <c r="B131" s="67" t="n"/>
      <c r="C131" s="67" t="n"/>
      <c r="D131" s="53" t="n"/>
      <c r="E131" s="51" t="n"/>
      <c r="F131" s="67" t="n"/>
      <c r="G131" s="53" t="n"/>
      <c r="H131" s="47" t="n"/>
      <c r="I131" s="53" t="n"/>
      <c r="J131" s="67" t="n"/>
      <c r="K131" s="67" t="n"/>
      <c r="L131" s="53" t="n"/>
      <c r="M131" s="74">
        <f>IF(A131="","",IF(AND(C131="Sí",K131="Sí",F131&lt;&gt;"Excluido"),1,0))</f>
        <v/>
      </c>
    </row>
    <row r="132" ht="15" customHeight="1" s="42">
      <c r="A132" s="47" t="n"/>
      <c r="B132" s="67" t="n"/>
      <c r="C132" s="67" t="n"/>
      <c r="D132" s="53" t="n"/>
      <c r="E132" s="51" t="n"/>
      <c r="F132" s="67" t="n"/>
      <c r="G132" s="53" t="n"/>
      <c r="H132" s="47" t="n"/>
      <c r="I132" s="53" t="n"/>
      <c r="J132" s="67" t="n"/>
      <c r="K132" s="67" t="n"/>
      <c r="L132" s="53" t="n"/>
      <c r="M132" s="74">
        <f>IF(A132="","",IF(AND(C132="Sí",K132="Sí",F132&lt;&gt;"Excluido"),1,0))</f>
        <v/>
      </c>
    </row>
    <row r="133" ht="15" customHeight="1" s="42">
      <c r="A133" s="47" t="n"/>
      <c r="B133" s="67" t="n"/>
      <c r="C133" s="67" t="n"/>
      <c r="D133" s="53" t="n"/>
      <c r="E133" s="51" t="n"/>
      <c r="F133" s="67" t="n"/>
      <c r="G133" s="53" t="n"/>
      <c r="H133" s="47" t="n"/>
      <c r="I133" s="53" t="n"/>
      <c r="J133" s="67" t="n"/>
      <c r="K133" s="67" t="n"/>
      <c r="L133" s="53" t="n"/>
      <c r="M133" s="74">
        <f>IF(A133="","",IF(AND(C133="Sí",K133="Sí",F133&lt;&gt;"Excluido"),1,0))</f>
        <v/>
      </c>
    </row>
    <row r="134" ht="15" customHeight="1" s="42">
      <c r="A134" s="47" t="n"/>
      <c r="B134" s="67" t="n"/>
      <c r="C134" s="67" t="n"/>
      <c r="D134" s="53" t="n"/>
      <c r="E134" s="51" t="n"/>
      <c r="F134" s="67" t="n"/>
      <c r="G134" s="53" t="n"/>
      <c r="H134" s="47" t="n"/>
      <c r="I134" s="53" t="n"/>
      <c r="J134" s="67" t="n"/>
      <c r="K134" s="67" t="n"/>
      <c r="L134" s="53" t="n"/>
      <c r="M134" s="74">
        <f>IF(A134="","",IF(AND(C134="Sí",K134="Sí",F134&lt;&gt;"Excluido"),1,0))</f>
        <v/>
      </c>
    </row>
    <row r="135" ht="15" customHeight="1" s="42">
      <c r="A135" s="47" t="n"/>
      <c r="B135" s="67" t="n"/>
      <c r="C135" s="67" t="n"/>
      <c r="D135" s="53" t="n"/>
      <c r="E135" s="51" t="n"/>
      <c r="F135" s="67" t="n"/>
      <c r="G135" s="53" t="n"/>
      <c r="H135" s="47" t="n"/>
      <c r="I135" s="53" t="n"/>
      <c r="J135" s="67" t="n"/>
      <c r="K135" s="67" t="n"/>
      <c r="L135" s="53" t="n"/>
      <c r="M135" s="74">
        <f>IF(A135="","",IF(AND(C135="Sí",K135="Sí",F135&lt;&gt;"Excluido"),1,0))</f>
        <v/>
      </c>
    </row>
    <row r="136" ht="15" customHeight="1" s="42">
      <c r="A136" s="47" t="n"/>
      <c r="B136" s="67" t="n"/>
      <c r="C136" s="67" t="n"/>
      <c r="D136" s="53" t="n"/>
      <c r="E136" s="51" t="n"/>
      <c r="F136" s="67" t="n"/>
      <c r="G136" s="53" t="n"/>
      <c r="H136" s="47" t="n"/>
      <c r="I136" s="53" t="n"/>
      <c r="J136" s="67" t="n"/>
      <c r="K136" s="67" t="n"/>
      <c r="L136" s="53" t="n"/>
      <c r="M136" s="74">
        <f>IF(A136="","",IF(AND(C136="Sí",K136="Sí",F136&lt;&gt;"Excluido"),1,0))</f>
        <v/>
      </c>
    </row>
    <row r="137" ht="15" customHeight="1" s="42">
      <c r="A137" s="47" t="n"/>
      <c r="B137" s="67" t="n"/>
      <c r="C137" s="67" t="n"/>
      <c r="D137" s="53" t="n"/>
      <c r="E137" s="51" t="n"/>
      <c r="F137" s="67" t="n"/>
      <c r="G137" s="53" t="n"/>
      <c r="H137" s="47" t="n"/>
      <c r="I137" s="53" t="n"/>
      <c r="J137" s="67" t="n"/>
      <c r="K137" s="67" t="n"/>
      <c r="L137" s="53" t="n"/>
      <c r="M137" s="74">
        <f>IF(A137="","",IF(AND(C137="Sí",K137="Sí",F137&lt;&gt;"Excluido"),1,0))</f>
        <v/>
      </c>
    </row>
    <row r="138" ht="15" customHeight="1" s="42">
      <c r="A138" s="47" t="n"/>
      <c r="B138" s="67" t="n"/>
      <c r="C138" s="67" t="n"/>
      <c r="D138" s="53" t="n"/>
      <c r="E138" s="51" t="n"/>
      <c r="F138" s="67" t="n"/>
      <c r="G138" s="53" t="n"/>
      <c r="H138" s="47" t="n"/>
      <c r="I138" s="53" t="n"/>
      <c r="J138" s="67" t="n"/>
      <c r="K138" s="67" t="n"/>
      <c r="L138" s="53" t="n"/>
      <c r="M138" s="74">
        <f>IF(A138="","",IF(AND(C138="Sí",K138="Sí",F138&lt;&gt;"Excluido"),1,0))</f>
        <v/>
      </c>
    </row>
    <row r="139" ht="15" customHeight="1" s="42">
      <c r="A139" s="47" t="n"/>
      <c r="B139" s="67" t="n"/>
      <c r="C139" s="67" t="n"/>
      <c r="D139" s="53" t="n"/>
      <c r="E139" s="51" t="n"/>
      <c r="F139" s="67" t="n"/>
      <c r="G139" s="53" t="n"/>
      <c r="H139" s="47" t="n"/>
      <c r="I139" s="53" t="n"/>
      <c r="J139" s="67" t="n"/>
      <c r="K139" s="67" t="n"/>
      <c r="L139" s="53" t="n"/>
      <c r="M139" s="74">
        <f>IF(A139="","",IF(AND(C139="Sí",K139="Sí",F139&lt;&gt;"Excluido"),1,0))</f>
        <v/>
      </c>
    </row>
    <row r="140" ht="15" customHeight="1" s="42">
      <c r="A140" s="47" t="n"/>
      <c r="B140" s="67" t="n"/>
      <c r="C140" s="67" t="n"/>
      <c r="D140" s="53" t="n"/>
      <c r="E140" s="51" t="n"/>
      <c r="F140" s="67" t="n"/>
      <c r="G140" s="53" t="n"/>
      <c r="H140" s="47" t="n"/>
      <c r="I140" s="53" t="n"/>
      <c r="J140" s="67" t="n"/>
      <c r="K140" s="67" t="n"/>
      <c r="L140" s="53" t="n"/>
      <c r="M140" s="74">
        <f>IF(A140="","",IF(AND(C140="Sí",K140="Sí",F140&lt;&gt;"Excluido"),1,0))</f>
        <v/>
      </c>
    </row>
    <row r="141" ht="15" customHeight="1" s="42">
      <c r="A141" s="47" t="n"/>
      <c r="B141" s="67" t="n"/>
      <c r="C141" s="67" t="n"/>
      <c r="D141" s="53" t="n"/>
      <c r="E141" s="51" t="n"/>
      <c r="F141" s="67" t="n"/>
      <c r="G141" s="53" t="n"/>
      <c r="H141" s="47" t="n"/>
      <c r="I141" s="53" t="n"/>
      <c r="J141" s="67" t="n"/>
      <c r="K141" s="67" t="n"/>
      <c r="L141" s="53" t="n"/>
      <c r="M141" s="74">
        <f>IF(A141="","",IF(AND(C141="Sí",K141="Sí",F141&lt;&gt;"Excluido"),1,0))</f>
        <v/>
      </c>
    </row>
    <row r="142" ht="15" customHeight="1" s="42">
      <c r="A142" s="47" t="n"/>
      <c r="B142" s="67" t="n"/>
      <c r="C142" s="67" t="n"/>
      <c r="D142" s="53" t="n"/>
      <c r="E142" s="51" t="n"/>
      <c r="F142" s="67" t="n"/>
      <c r="G142" s="53" t="n"/>
      <c r="H142" s="47" t="n"/>
      <c r="I142" s="53" t="n"/>
      <c r="J142" s="67" t="n"/>
      <c r="K142" s="67" t="n"/>
      <c r="L142" s="53" t="n"/>
      <c r="M142" s="74">
        <f>IF(A142="","",IF(AND(C142="Sí",K142="Sí",F142&lt;&gt;"Excluido"),1,0))</f>
        <v/>
      </c>
    </row>
    <row r="143" ht="15" customHeight="1" s="42">
      <c r="A143" s="47" t="n"/>
      <c r="B143" s="67" t="n"/>
      <c r="C143" s="67" t="n"/>
      <c r="D143" s="53" t="n"/>
      <c r="E143" s="51" t="n"/>
      <c r="F143" s="67" t="n"/>
      <c r="G143" s="53" t="n"/>
      <c r="H143" s="47" t="n"/>
      <c r="I143" s="53" t="n"/>
      <c r="J143" s="67" t="n"/>
      <c r="K143" s="67" t="n"/>
      <c r="L143" s="53" t="n"/>
      <c r="M143" s="74">
        <f>IF(A143="","",IF(AND(C143="Sí",K143="Sí",F143&lt;&gt;"Excluido"),1,0))</f>
        <v/>
      </c>
    </row>
    <row r="144" ht="15" customHeight="1" s="42">
      <c r="A144" s="47" t="n"/>
      <c r="B144" s="67" t="n"/>
      <c r="C144" s="67" t="n"/>
      <c r="D144" s="53" t="n"/>
      <c r="E144" s="51" t="n"/>
      <c r="F144" s="67" t="n"/>
      <c r="G144" s="53" t="n"/>
      <c r="H144" s="47" t="n"/>
      <c r="I144" s="53" t="n"/>
      <c r="J144" s="67" t="n"/>
      <c r="K144" s="67" t="n"/>
      <c r="L144" s="53" t="n"/>
      <c r="M144" s="74">
        <f>IF(A144="","",IF(AND(C144="Sí",K144="Sí",F144&lt;&gt;"Excluido"),1,0))</f>
        <v/>
      </c>
    </row>
    <row r="145" ht="15" customHeight="1" s="42">
      <c r="A145" s="47" t="n"/>
      <c r="B145" s="67" t="n"/>
      <c r="C145" s="67" t="n"/>
      <c r="D145" s="53" t="n"/>
      <c r="E145" s="51" t="n"/>
      <c r="F145" s="67" t="n"/>
      <c r="G145" s="53" t="n"/>
      <c r="H145" s="47" t="n"/>
      <c r="I145" s="53" t="n"/>
      <c r="J145" s="67" t="n"/>
      <c r="K145" s="67" t="n"/>
      <c r="L145" s="53" t="n"/>
      <c r="M145" s="74">
        <f>IF(A145="","",IF(AND(C145="Sí",K145="Sí",F145&lt;&gt;"Excluido"),1,0))</f>
        <v/>
      </c>
    </row>
    <row r="146" ht="15" customHeight="1" s="42">
      <c r="A146" s="47" t="n"/>
      <c r="B146" s="67" t="n"/>
      <c r="C146" s="67" t="n"/>
      <c r="D146" s="53" t="n"/>
      <c r="E146" s="51" t="n"/>
      <c r="F146" s="67" t="n"/>
      <c r="G146" s="53" t="n"/>
      <c r="H146" s="47" t="n"/>
      <c r="I146" s="53" t="n"/>
      <c r="J146" s="67" t="n"/>
      <c r="K146" s="67" t="n"/>
      <c r="L146" s="53" t="n"/>
      <c r="M146" s="74">
        <f>IF(A146="","",IF(AND(C146="Sí",K146="Sí",F146&lt;&gt;"Excluido"),1,0))</f>
        <v/>
      </c>
    </row>
    <row r="147" ht="15" customHeight="1" s="42">
      <c r="A147" s="47" t="n"/>
      <c r="B147" s="67" t="n"/>
      <c r="C147" s="67" t="n"/>
      <c r="D147" s="53" t="n"/>
      <c r="E147" s="51" t="n"/>
      <c r="F147" s="67" t="n"/>
      <c r="G147" s="53" t="n"/>
      <c r="H147" s="47" t="n"/>
      <c r="I147" s="53" t="n"/>
      <c r="J147" s="67" t="n"/>
      <c r="K147" s="67" t="n"/>
      <c r="L147" s="53" t="n"/>
      <c r="M147" s="74">
        <f>IF(A147="","",IF(AND(C147="Sí",K147="Sí",F147&lt;&gt;"Excluido"),1,0))</f>
        <v/>
      </c>
    </row>
    <row r="148" ht="15" customHeight="1" s="42">
      <c r="A148" s="47" t="n"/>
      <c r="B148" s="67" t="n"/>
      <c r="C148" s="67" t="n"/>
      <c r="D148" s="53" t="n"/>
      <c r="E148" s="51" t="n"/>
      <c r="F148" s="67" t="n"/>
      <c r="G148" s="53" t="n"/>
      <c r="H148" s="47" t="n"/>
      <c r="I148" s="53" t="n"/>
      <c r="J148" s="67" t="n"/>
      <c r="K148" s="67" t="n"/>
      <c r="L148" s="53" t="n"/>
      <c r="M148" s="74">
        <f>IF(A148="","",IF(AND(C148="Sí",K148="Sí",F148&lt;&gt;"Excluido"),1,0))</f>
        <v/>
      </c>
    </row>
    <row r="149" ht="15" customHeight="1" s="42">
      <c r="A149" s="47" t="n"/>
      <c r="B149" s="67" t="n"/>
      <c r="C149" s="67" t="n"/>
      <c r="D149" s="53" t="n"/>
      <c r="E149" s="51" t="n"/>
      <c r="F149" s="67" t="n"/>
      <c r="G149" s="53" t="n"/>
      <c r="H149" s="47" t="n"/>
      <c r="I149" s="53" t="n"/>
      <c r="J149" s="67" t="n"/>
      <c r="K149" s="67" t="n"/>
      <c r="L149" s="53" t="n"/>
      <c r="M149" s="74">
        <f>IF(A149="","",IF(AND(C149="Sí",K149="Sí",F149&lt;&gt;"Excluido"),1,0))</f>
        <v/>
      </c>
    </row>
    <row r="150" ht="15" customHeight="1" s="42">
      <c r="A150" s="47" t="n"/>
      <c r="B150" s="67" t="n"/>
      <c r="C150" s="67" t="n"/>
      <c r="D150" s="53" t="n"/>
      <c r="E150" s="51" t="n"/>
      <c r="F150" s="67" t="n"/>
      <c r="G150" s="53" t="n"/>
      <c r="H150" s="47" t="n"/>
      <c r="I150" s="53" t="n"/>
      <c r="J150" s="67" t="n"/>
      <c r="K150" s="67" t="n"/>
      <c r="L150" s="53" t="n"/>
      <c r="M150" s="74">
        <f>IF(A150="","",IF(AND(C150="Sí",K150="Sí",F150&lt;&gt;"Excluido"),1,0))</f>
        <v/>
      </c>
    </row>
    <row r="151" ht="15" customHeight="1" s="42">
      <c r="A151" s="47" t="n"/>
      <c r="B151" s="67" t="n"/>
      <c r="C151" s="67" t="n"/>
      <c r="D151" s="53" t="n"/>
      <c r="E151" s="51" t="n"/>
      <c r="F151" s="67" t="n"/>
      <c r="G151" s="53" t="n"/>
      <c r="H151" s="47" t="n"/>
      <c r="I151" s="53" t="n"/>
      <c r="J151" s="67" t="n"/>
      <c r="K151" s="67" t="n"/>
      <c r="L151" s="53" t="n"/>
      <c r="M151" s="74">
        <f>IF(A151="","",IF(AND(C151="Sí",K151="Sí",F151&lt;&gt;"Excluido"),1,0))</f>
        <v/>
      </c>
    </row>
    <row r="152" ht="15" customHeight="1" s="42">
      <c r="A152" s="47" t="n"/>
      <c r="B152" s="67" t="n"/>
      <c r="C152" s="67" t="n"/>
      <c r="D152" s="53" t="n"/>
      <c r="E152" s="51" t="n"/>
      <c r="F152" s="67" t="n"/>
      <c r="G152" s="53" t="n"/>
      <c r="H152" s="47" t="n"/>
      <c r="I152" s="53" t="n"/>
      <c r="J152" s="67" t="n"/>
      <c r="K152" s="67" t="n"/>
      <c r="L152" s="53" t="n"/>
      <c r="M152" s="74">
        <f>IF(A152="","",IF(AND(C152="Sí",K152="Sí",F152&lt;&gt;"Excluido"),1,0))</f>
        <v/>
      </c>
    </row>
    <row r="153" ht="15" customHeight="1" s="42">
      <c r="A153" s="47" t="n"/>
      <c r="B153" s="67" t="n"/>
      <c r="C153" s="67" t="n"/>
      <c r="D153" s="53" t="n"/>
      <c r="E153" s="51" t="n"/>
      <c r="F153" s="67" t="n"/>
      <c r="G153" s="53" t="n"/>
      <c r="H153" s="47" t="n"/>
      <c r="I153" s="53" t="n"/>
      <c r="J153" s="67" t="n"/>
      <c r="K153" s="67" t="n"/>
      <c r="L153" s="53" t="n"/>
      <c r="M153" s="74">
        <f>IF(A153="","",IF(AND(C153="Sí",K153="Sí",F153&lt;&gt;"Excluido"),1,0))</f>
        <v/>
      </c>
    </row>
    <row r="154" ht="15" customHeight="1" s="42">
      <c r="A154" s="47" t="n"/>
      <c r="B154" s="67" t="n"/>
      <c r="C154" s="67" t="n"/>
      <c r="D154" s="53" t="n"/>
      <c r="E154" s="51" t="n"/>
      <c r="F154" s="67" t="n"/>
      <c r="G154" s="53" t="n"/>
      <c r="H154" s="47" t="n"/>
      <c r="I154" s="53" t="n"/>
      <c r="J154" s="67" t="n"/>
      <c r="K154" s="67" t="n"/>
      <c r="L154" s="53" t="n"/>
      <c r="M154" s="74">
        <f>IF(A154="","",IF(AND(C154="Sí",K154="Sí",F154&lt;&gt;"Excluido"),1,0))</f>
        <v/>
      </c>
    </row>
    <row r="155" ht="15" customHeight="1" s="42">
      <c r="A155" s="47" t="n"/>
      <c r="B155" s="67" t="n"/>
      <c r="C155" s="67" t="n"/>
      <c r="D155" s="53" t="n"/>
      <c r="E155" s="51" t="n"/>
      <c r="F155" s="67" t="n"/>
      <c r="G155" s="53" t="n"/>
      <c r="H155" s="47" t="n"/>
      <c r="I155" s="53" t="n"/>
      <c r="J155" s="67" t="n"/>
      <c r="K155" s="67" t="n"/>
      <c r="L155" s="53" t="n"/>
      <c r="M155" s="74">
        <f>IF(A155="","",IF(AND(C155="Sí",K155="Sí",F155&lt;&gt;"Excluido"),1,0))</f>
        <v/>
      </c>
    </row>
    <row r="156" ht="15" customHeight="1" s="42">
      <c r="A156" s="47" t="n"/>
      <c r="B156" s="67" t="n"/>
      <c r="C156" s="67" t="n"/>
      <c r="D156" s="53" t="n"/>
      <c r="E156" s="51" t="n"/>
      <c r="F156" s="67" t="n"/>
      <c r="G156" s="53" t="n"/>
      <c r="H156" s="47" t="n"/>
      <c r="I156" s="53" t="n"/>
      <c r="J156" s="67" t="n"/>
      <c r="K156" s="67" t="n"/>
      <c r="L156" s="53" t="n"/>
      <c r="M156" s="74">
        <f>IF(A156="","",IF(AND(C156="Sí",K156="Sí",F156&lt;&gt;"Excluido"),1,0))</f>
        <v/>
      </c>
    </row>
    <row r="157" ht="15" customHeight="1" s="42">
      <c r="A157" s="47" t="n"/>
      <c r="B157" s="67" t="n"/>
      <c r="C157" s="67" t="n"/>
      <c r="D157" s="53" t="n"/>
      <c r="E157" s="51" t="n"/>
      <c r="F157" s="67" t="n"/>
      <c r="G157" s="53" t="n"/>
      <c r="H157" s="47" t="n"/>
      <c r="I157" s="53" t="n"/>
      <c r="J157" s="67" t="n"/>
      <c r="K157" s="67" t="n"/>
      <c r="L157" s="53" t="n"/>
      <c r="M157" s="74">
        <f>IF(A157="","",IF(AND(C157="Sí",K157="Sí",F157&lt;&gt;"Excluido"),1,0))</f>
        <v/>
      </c>
    </row>
    <row r="158" ht="15" customHeight="1" s="42">
      <c r="A158" s="47" t="n"/>
      <c r="B158" s="67" t="n"/>
      <c r="C158" s="67" t="n"/>
      <c r="D158" s="53" t="n"/>
      <c r="E158" s="51" t="n"/>
      <c r="F158" s="67" t="n"/>
      <c r="G158" s="53" t="n"/>
      <c r="H158" s="47" t="n"/>
      <c r="I158" s="53" t="n"/>
      <c r="J158" s="67" t="n"/>
      <c r="K158" s="67" t="n"/>
      <c r="L158" s="53" t="n"/>
      <c r="M158" s="74">
        <f>IF(A158="","",IF(AND(C158="Sí",K158="Sí",F158&lt;&gt;"Excluido"),1,0))</f>
        <v/>
      </c>
    </row>
    <row r="159" ht="15" customHeight="1" s="42">
      <c r="A159" s="47" t="n"/>
      <c r="B159" s="67" t="n"/>
      <c r="C159" s="67" t="n"/>
      <c r="D159" s="53" t="n"/>
      <c r="E159" s="51" t="n"/>
      <c r="F159" s="67" t="n"/>
      <c r="G159" s="53" t="n"/>
      <c r="H159" s="47" t="n"/>
      <c r="I159" s="53" t="n"/>
      <c r="J159" s="67" t="n"/>
      <c r="K159" s="67" t="n"/>
      <c r="L159" s="53" t="n"/>
      <c r="M159" s="74">
        <f>IF(A159="","",IF(AND(C159="Sí",K159="Sí",F159&lt;&gt;"Excluido"),1,0))</f>
        <v/>
      </c>
    </row>
    <row r="160" ht="15" customHeight="1" s="42">
      <c r="A160" s="47" t="n"/>
      <c r="B160" s="67" t="n"/>
      <c r="C160" s="67" t="n"/>
      <c r="D160" s="53" t="n"/>
      <c r="E160" s="51" t="n"/>
      <c r="F160" s="67" t="n"/>
      <c r="G160" s="53" t="n"/>
      <c r="H160" s="47" t="n"/>
      <c r="I160" s="53" t="n"/>
      <c r="J160" s="67" t="n"/>
      <c r="K160" s="67" t="n"/>
      <c r="L160" s="53" t="n"/>
      <c r="M160" s="74">
        <f>IF(A160="","",IF(AND(C160="Sí",K160="Sí",F160&lt;&gt;"Excluido"),1,0))</f>
        <v/>
      </c>
    </row>
    <row r="161" ht="15" customHeight="1" s="42">
      <c r="A161" s="47" t="n"/>
      <c r="B161" s="67" t="n"/>
      <c r="C161" s="67" t="n"/>
      <c r="D161" s="53" t="n"/>
      <c r="E161" s="51" t="n"/>
      <c r="F161" s="67" t="n"/>
      <c r="G161" s="53" t="n"/>
      <c r="H161" s="47" t="n"/>
      <c r="I161" s="53" t="n"/>
      <c r="J161" s="67" t="n"/>
      <c r="K161" s="67" t="n"/>
      <c r="L161" s="53" t="n"/>
      <c r="M161" s="74">
        <f>IF(A161="","",IF(AND(C161="Sí",K161="Sí",F161&lt;&gt;"Excluido"),1,0))</f>
        <v/>
      </c>
    </row>
    <row r="162" ht="15" customHeight="1" s="42">
      <c r="A162" s="47" t="n"/>
      <c r="B162" s="67" t="n"/>
      <c r="C162" s="67" t="n"/>
      <c r="D162" s="53" t="n"/>
      <c r="E162" s="51" t="n"/>
      <c r="F162" s="67" t="n"/>
      <c r="G162" s="53" t="n"/>
      <c r="H162" s="47" t="n"/>
      <c r="I162" s="53" t="n"/>
      <c r="J162" s="67" t="n"/>
      <c r="K162" s="67" t="n"/>
      <c r="L162" s="53" t="n"/>
      <c r="M162" s="74">
        <f>IF(A162="","",IF(AND(C162="Sí",K162="Sí",F162&lt;&gt;"Excluido"),1,0))</f>
        <v/>
      </c>
    </row>
    <row r="163" ht="15" customHeight="1" s="42">
      <c r="A163" s="47" t="n"/>
      <c r="B163" s="67" t="n"/>
      <c r="C163" s="67" t="n"/>
      <c r="D163" s="53" t="n"/>
      <c r="E163" s="51" t="n"/>
      <c r="F163" s="67" t="n"/>
      <c r="G163" s="53" t="n"/>
      <c r="H163" s="47" t="n"/>
      <c r="I163" s="53" t="n"/>
      <c r="J163" s="67" t="n"/>
      <c r="K163" s="67" t="n"/>
      <c r="L163" s="53" t="n"/>
      <c r="M163" s="74">
        <f>IF(A163="","",IF(AND(C163="Sí",K163="Sí",F163&lt;&gt;"Excluido"),1,0))</f>
        <v/>
      </c>
    </row>
    <row r="164" ht="15" customHeight="1" s="42">
      <c r="A164" s="47" t="n"/>
      <c r="B164" s="67" t="n"/>
      <c r="C164" s="67" t="n"/>
      <c r="D164" s="53" t="n"/>
      <c r="E164" s="51" t="n"/>
      <c r="F164" s="67" t="n"/>
      <c r="G164" s="53" t="n"/>
      <c r="H164" s="47" t="n"/>
      <c r="I164" s="53" t="n"/>
      <c r="J164" s="67" t="n"/>
      <c r="K164" s="67" t="n"/>
      <c r="L164" s="53" t="n"/>
      <c r="M164" s="74">
        <f>IF(A164="","",IF(AND(C164="Sí",K164="Sí",F164&lt;&gt;"Excluido"),1,0))</f>
        <v/>
      </c>
    </row>
    <row r="165" ht="15" customHeight="1" s="42">
      <c r="A165" s="47" t="n"/>
      <c r="B165" s="67" t="n"/>
      <c r="C165" s="67" t="n"/>
      <c r="D165" s="53" t="n"/>
      <c r="E165" s="51" t="n"/>
      <c r="F165" s="67" t="n"/>
      <c r="G165" s="53" t="n"/>
      <c r="H165" s="47" t="n"/>
      <c r="I165" s="53" t="n"/>
      <c r="J165" s="67" t="n"/>
      <c r="K165" s="67" t="n"/>
      <c r="L165" s="53" t="n"/>
      <c r="M165" s="74">
        <f>IF(A165="","",IF(AND(C165="Sí",K165="Sí",F165&lt;&gt;"Excluido"),1,0))</f>
        <v/>
      </c>
    </row>
    <row r="166" ht="15" customHeight="1" s="42">
      <c r="A166" s="47" t="n"/>
      <c r="B166" s="67" t="n"/>
      <c r="C166" s="67" t="n"/>
      <c r="D166" s="53" t="n"/>
      <c r="E166" s="51" t="n"/>
      <c r="F166" s="67" t="n"/>
      <c r="G166" s="53" t="n"/>
      <c r="H166" s="47" t="n"/>
      <c r="I166" s="53" t="n"/>
      <c r="J166" s="67" t="n"/>
      <c r="K166" s="67" t="n"/>
      <c r="L166" s="53" t="n"/>
      <c r="M166" s="74">
        <f>IF(A166="","",IF(AND(C166="Sí",K166="Sí",F166&lt;&gt;"Excluido"),1,0))</f>
        <v/>
      </c>
    </row>
    <row r="167" ht="15" customHeight="1" s="42">
      <c r="A167" s="47" t="n"/>
      <c r="B167" s="67" t="n"/>
      <c r="C167" s="67" t="n"/>
      <c r="D167" s="53" t="n"/>
      <c r="E167" s="51" t="n"/>
      <c r="F167" s="67" t="n"/>
      <c r="G167" s="53" t="n"/>
      <c r="H167" s="47" t="n"/>
      <c r="I167" s="53" t="n"/>
      <c r="J167" s="67" t="n"/>
      <c r="K167" s="67" t="n"/>
      <c r="L167" s="53" t="n"/>
      <c r="M167" s="74">
        <f>IF(A167="","",IF(AND(C167="Sí",K167="Sí",F167&lt;&gt;"Excluido"),1,0))</f>
        <v/>
      </c>
    </row>
    <row r="168" ht="15" customHeight="1" s="42">
      <c r="A168" s="47" t="n"/>
      <c r="B168" s="67" t="n"/>
      <c r="C168" s="67" t="n"/>
      <c r="D168" s="53" t="n"/>
      <c r="E168" s="51" t="n"/>
      <c r="F168" s="67" t="n"/>
      <c r="G168" s="53" t="n"/>
      <c r="H168" s="47" t="n"/>
      <c r="I168" s="53" t="n"/>
      <c r="J168" s="67" t="n"/>
      <c r="K168" s="67" t="n"/>
      <c r="L168" s="53" t="n"/>
      <c r="M168" s="74">
        <f>IF(A168="","",IF(AND(C168="Sí",K168="Sí",F168&lt;&gt;"Excluido"),1,0))</f>
        <v/>
      </c>
    </row>
    <row r="169" ht="15" customHeight="1" s="42">
      <c r="A169" s="47" t="n"/>
      <c r="B169" s="67" t="n"/>
      <c r="C169" s="67" t="n"/>
      <c r="D169" s="53" t="n"/>
      <c r="E169" s="51" t="n"/>
      <c r="F169" s="67" t="n"/>
      <c r="G169" s="53" t="n"/>
      <c r="H169" s="47" t="n"/>
      <c r="I169" s="53" t="n"/>
      <c r="J169" s="67" t="n"/>
      <c r="K169" s="67" t="n"/>
      <c r="L169" s="53" t="n"/>
      <c r="M169" s="74">
        <f>IF(A169="","",IF(AND(C169="Sí",K169="Sí",F169&lt;&gt;"Excluido"),1,0))</f>
        <v/>
      </c>
    </row>
    <row r="170" ht="15" customHeight="1" s="42">
      <c r="A170" s="47" t="n"/>
      <c r="B170" s="67" t="n"/>
      <c r="C170" s="67" t="n"/>
      <c r="D170" s="53" t="n"/>
      <c r="E170" s="51" t="n"/>
      <c r="F170" s="67" t="n"/>
      <c r="G170" s="53" t="n"/>
      <c r="H170" s="47" t="n"/>
      <c r="I170" s="53" t="n"/>
      <c r="J170" s="67" t="n"/>
      <c r="K170" s="67" t="n"/>
      <c r="L170" s="53" t="n"/>
      <c r="M170" s="74">
        <f>IF(A170="","",IF(AND(C170="Sí",K170="Sí",F170&lt;&gt;"Excluido"),1,0))</f>
        <v/>
      </c>
    </row>
    <row r="171" ht="15" customHeight="1" s="42">
      <c r="A171" s="47" t="n"/>
      <c r="B171" s="67" t="n"/>
      <c r="C171" s="67" t="n"/>
      <c r="D171" s="53" t="n"/>
      <c r="E171" s="51" t="n"/>
      <c r="F171" s="67" t="n"/>
      <c r="G171" s="53" t="n"/>
      <c r="H171" s="47" t="n"/>
      <c r="I171" s="53" t="n"/>
      <c r="J171" s="67" t="n"/>
      <c r="K171" s="67" t="n"/>
      <c r="L171" s="53" t="n"/>
      <c r="M171" s="74">
        <f>IF(A171="","",IF(AND(C171="Sí",K171="Sí",F171&lt;&gt;"Excluido"),1,0))</f>
        <v/>
      </c>
    </row>
    <row r="172" ht="15" customHeight="1" s="42">
      <c r="A172" s="47" t="n"/>
      <c r="B172" s="67" t="n"/>
      <c r="C172" s="67" t="n"/>
      <c r="D172" s="53" t="n"/>
      <c r="E172" s="51" t="n"/>
      <c r="F172" s="67" t="n"/>
      <c r="G172" s="53" t="n"/>
      <c r="H172" s="47" t="n"/>
      <c r="I172" s="53" t="n"/>
      <c r="J172" s="67" t="n"/>
      <c r="K172" s="67" t="n"/>
      <c r="L172" s="53" t="n"/>
      <c r="M172" s="74">
        <f>IF(A172="","",IF(AND(C172="Sí",K172="Sí",F172&lt;&gt;"Excluido"),1,0))</f>
        <v/>
      </c>
    </row>
    <row r="173" ht="15" customHeight="1" s="42">
      <c r="A173" s="47" t="n"/>
      <c r="B173" s="67" t="n"/>
      <c r="C173" s="67" t="n"/>
      <c r="D173" s="53" t="n"/>
      <c r="E173" s="51" t="n"/>
      <c r="F173" s="67" t="n"/>
      <c r="G173" s="53" t="n"/>
      <c r="H173" s="47" t="n"/>
      <c r="I173" s="53" t="n"/>
      <c r="J173" s="67" t="n"/>
      <c r="K173" s="67" t="n"/>
      <c r="L173" s="53" t="n"/>
      <c r="M173" s="74">
        <f>IF(A173="","",IF(AND(C173="Sí",K173="Sí",F173&lt;&gt;"Excluido"),1,0))</f>
        <v/>
      </c>
    </row>
    <row r="174" ht="15" customHeight="1" s="42">
      <c r="A174" s="47" t="n"/>
      <c r="B174" s="67" t="n"/>
      <c r="C174" s="67" t="n"/>
      <c r="D174" s="53" t="n"/>
      <c r="E174" s="51" t="n"/>
      <c r="F174" s="67" t="n"/>
      <c r="G174" s="53" t="n"/>
      <c r="H174" s="47" t="n"/>
      <c r="I174" s="53" t="n"/>
      <c r="J174" s="67" t="n"/>
      <c r="K174" s="67" t="n"/>
      <c r="L174" s="53" t="n"/>
      <c r="M174" s="74">
        <f>IF(A174="","",IF(AND(C174="Sí",K174="Sí",F174&lt;&gt;"Excluido"),1,0))</f>
        <v/>
      </c>
    </row>
    <row r="175" ht="15" customHeight="1" s="42">
      <c r="A175" s="47" t="n"/>
      <c r="B175" s="67" t="n"/>
      <c r="C175" s="67" t="n"/>
      <c r="D175" s="53" t="n"/>
      <c r="E175" s="51" t="n"/>
      <c r="F175" s="67" t="n"/>
      <c r="G175" s="53" t="n"/>
      <c r="H175" s="47" t="n"/>
      <c r="I175" s="53" t="n"/>
      <c r="J175" s="67" t="n"/>
      <c r="K175" s="67" t="n"/>
      <c r="L175" s="53" t="n"/>
      <c r="M175" s="74">
        <f>IF(A175="","",IF(AND(C175="Sí",K175="Sí",F175&lt;&gt;"Excluido"),1,0))</f>
        <v/>
      </c>
    </row>
    <row r="176" ht="15" customHeight="1" s="42">
      <c r="A176" s="47" t="n"/>
      <c r="B176" s="67" t="n"/>
      <c r="C176" s="67" t="n"/>
      <c r="D176" s="53" t="n"/>
      <c r="E176" s="51" t="n"/>
      <c r="F176" s="67" t="n"/>
      <c r="G176" s="53" t="n"/>
      <c r="H176" s="47" t="n"/>
      <c r="I176" s="53" t="n"/>
      <c r="J176" s="67" t="n"/>
      <c r="K176" s="67" t="n"/>
      <c r="L176" s="53" t="n"/>
      <c r="M176" s="74">
        <f>IF(A176="","",IF(AND(C176="Sí",K176="Sí",F176&lt;&gt;"Excluido"),1,0))</f>
        <v/>
      </c>
    </row>
    <row r="177" ht="15" customHeight="1" s="42">
      <c r="A177" s="47" t="n"/>
      <c r="B177" s="67" t="n"/>
      <c r="C177" s="67" t="n"/>
      <c r="D177" s="53" t="n"/>
      <c r="E177" s="51" t="n"/>
      <c r="F177" s="67" t="n"/>
      <c r="G177" s="53" t="n"/>
      <c r="H177" s="47" t="n"/>
      <c r="I177" s="53" t="n"/>
      <c r="J177" s="67" t="n"/>
      <c r="K177" s="67" t="n"/>
      <c r="L177" s="53" t="n"/>
      <c r="M177" s="74">
        <f>IF(A177="","",IF(AND(C177="Sí",K177="Sí",F177&lt;&gt;"Excluido"),1,0))</f>
        <v/>
      </c>
    </row>
    <row r="178" ht="15" customHeight="1" s="42">
      <c r="A178" s="47" t="n"/>
      <c r="B178" s="67" t="n"/>
      <c r="C178" s="67" t="n"/>
      <c r="D178" s="53" t="n"/>
      <c r="E178" s="51" t="n"/>
      <c r="F178" s="67" t="n"/>
      <c r="G178" s="53" t="n"/>
      <c r="H178" s="47" t="n"/>
      <c r="I178" s="53" t="n"/>
      <c r="J178" s="67" t="n"/>
      <c r="K178" s="67" t="n"/>
      <c r="L178" s="53" t="n"/>
      <c r="M178" s="74">
        <f>IF(A178="","",IF(AND(C178="Sí",K178="Sí",F178&lt;&gt;"Excluido"),1,0))</f>
        <v/>
      </c>
    </row>
    <row r="179" ht="15" customHeight="1" s="42">
      <c r="A179" s="47" t="n"/>
      <c r="B179" s="67" t="n"/>
      <c r="C179" s="67" t="n"/>
      <c r="D179" s="53" t="n"/>
      <c r="E179" s="51" t="n"/>
      <c r="F179" s="67" t="n"/>
      <c r="G179" s="53" t="n"/>
      <c r="H179" s="47" t="n"/>
      <c r="I179" s="53" t="n"/>
      <c r="J179" s="67" t="n"/>
      <c r="K179" s="67" t="n"/>
      <c r="L179" s="53" t="n"/>
      <c r="M179" s="74">
        <f>IF(A179="","",IF(AND(C179="Sí",K179="Sí",F179&lt;&gt;"Excluido"),1,0))</f>
        <v/>
      </c>
    </row>
    <row r="180" ht="15" customHeight="1" s="42">
      <c r="A180" s="47" t="n"/>
      <c r="B180" s="67" t="n"/>
      <c r="C180" s="67" t="n"/>
      <c r="D180" s="53" t="n"/>
      <c r="E180" s="51" t="n"/>
      <c r="F180" s="67" t="n"/>
      <c r="G180" s="53" t="n"/>
      <c r="H180" s="47" t="n"/>
      <c r="I180" s="53" t="n"/>
      <c r="J180" s="67" t="n"/>
      <c r="K180" s="67" t="n"/>
      <c r="L180" s="53" t="n"/>
      <c r="M180" s="74">
        <f>IF(A180="","",IF(AND(C180="Sí",K180="Sí",F180&lt;&gt;"Excluido"),1,0))</f>
        <v/>
      </c>
    </row>
    <row r="181" ht="15" customHeight="1" s="42">
      <c r="A181" s="47" t="n"/>
      <c r="B181" s="67" t="n"/>
      <c r="C181" s="67" t="n"/>
      <c r="D181" s="53" t="n"/>
      <c r="E181" s="51" t="n"/>
      <c r="F181" s="67" t="n"/>
      <c r="G181" s="53" t="n"/>
      <c r="H181" s="47" t="n"/>
      <c r="I181" s="53" t="n"/>
      <c r="J181" s="67" t="n"/>
      <c r="K181" s="67" t="n"/>
      <c r="L181" s="53" t="n"/>
      <c r="M181" s="74">
        <f>IF(A181="","",IF(AND(C181="Sí",K181="Sí",F181&lt;&gt;"Excluido"),1,0))</f>
        <v/>
      </c>
    </row>
    <row r="182" ht="15" customHeight="1" s="42">
      <c r="A182" s="47" t="n"/>
      <c r="B182" s="67" t="n"/>
      <c r="C182" s="67" t="n"/>
      <c r="D182" s="53" t="n"/>
      <c r="E182" s="51" t="n"/>
      <c r="F182" s="67" t="n"/>
      <c r="G182" s="53" t="n"/>
      <c r="H182" s="47" t="n"/>
      <c r="I182" s="53" t="n"/>
      <c r="J182" s="67" t="n"/>
      <c r="K182" s="67" t="n"/>
      <c r="L182" s="53" t="n"/>
      <c r="M182" s="74">
        <f>IF(A182="","",IF(AND(C182="Sí",K182="Sí",F182&lt;&gt;"Excluido"),1,0))</f>
        <v/>
      </c>
    </row>
    <row r="183" ht="15" customHeight="1" s="42">
      <c r="A183" s="47" t="n"/>
      <c r="B183" s="67" t="n"/>
      <c r="C183" s="67" t="n"/>
      <c r="D183" s="53" t="n"/>
      <c r="E183" s="51" t="n"/>
      <c r="F183" s="67" t="n"/>
      <c r="G183" s="53" t="n"/>
      <c r="H183" s="47" t="n"/>
      <c r="I183" s="53" t="n"/>
      <c r="J183" s="67" t="n"/>
      <c r="K183" s="67" t="n"/>
      <c r="L183" s="53" t="n"/>
      <c r="M183" s="74">
        <f>IF(A183="","",IF(AND(C183="Sí",K183="Sí",F183&lt;&gt;"Excluido"),1,0))</f>
        <v/>
      </c>
    </row>
    <row r="184" ht="15" customHeight="1" s="42">
      <c r="A184" s="47" t="n"/>
      <c r="B184" s="67" t="n"/>
      <c r="C184" s="67" t="n"/>
      <c r="D184" s="53" t="n"/>
      <c r="E184" s="51" t="n"/>
      <c r="F184" s="67" t="n"/>
      <c r="G184" s="53" t="n"/>
      <c r="H184" s="47" t="n"/>
      <c r="I184" s="53" t="n"/>
      <c r="J184" s="67" t="n"/>
      <c r="K184" s="67" t="n"/>
      <c r="L184" s="53" t="n"/>
      <c r="M184" s="74">
        <f>IF(A184="","",IF(AND(C184="Sí",K184="Sí",F184&lt;&gt;"Excluido"),1,0))</f>
        <v/>
      </c>
    </row>
    <row r="185" ht="15" customHeight="1" s="42">
      <c r="A185" s="47" t="n"/>
      <c r="B185" s="67" t="n"/>
      <c r="C185" s="67" t="n"/>
      <c r="D185" s="53" t="n"/>
      <c r="E185" s="51" t="n"/>
      <c r="F185" s="67" t="n"/>
      <c r="G185" s="53" t="n"/>
      <c r="H185" s="47" t="n"/>
      <c r="I185" s="53" t="n"/>
      <c r="J185" s="67" t="n"/>
      <c r="K185" s="67" t="n"/>
      <c r="L185" s="53" t="n"/>
      <c r="M185" s="74">
        <f>IF(A185="","",IF(AND(C185="Sí",K185="Sí",F185&lt;&gt;"Excluido"),1,0))</f>
        <v/>
      </c>
    </row>
    <row r="186" ht="15" customHeight="1" s="42">
      <c r="A186" s="47" t="n"/>
      <c r="B186" s="67" t="n"/>
      <c r="C186" s="67" t="n"/>
      <c r="D186" s="53" t="n"/>
      <c r="E186" s="51" t="n"/>
      <c r="F186" s="67" t="n"/>
      <c r="G186" s="53" t="n"/>
      <c r="H186" s="47" t="n"/>
      <c r="I186" s="53" t="n"/>
      <c r="J186" s="67" t="n"/>
      <c r="K186" s="67" t="n"/>
      <c r="L186" s="53" t="n"/>
      <c r="M186" s="74">
        <f>IF(A186="","",IF(AND(C186="Sí",K186="Sí",F186&lt;&gt;"Excluido"),1,0))</f>
        <v/>
      </c>
    </row>
    <row r="187" ht="15" customHeight="1" s="42">
      <c r="A187" s="47" t="n"/>
      <c r="B187" s="67" t="n"/>
      <c r="C187" s="67" t="n"/>
      <c r="D187" s="53" t="n"/>
      <c r="E187" s="51" t="n"/>
      <c r="F187" s="67" t="n"/>
      <c r="G187" s="53" t="n"/>
      <c r="H187" s="47" t="n"/>
      <c r="I187" s="53" t="n"/>
      <c r="J187" s="67" t="n"/>
      <c r="K187" s="67" t="n"/>
      <c r="L187" s="53" t="n"/>
      <c r="M187" s="74">
        <f>IF(A187="","",IF(AND(C187="Sí",K187="Sí",F187&lt;&gt;"Excluido"),1,0))</f>
        <v/>
      </c>
    </row>
    <row r="188" ht="15" customHeight="1" s="42">
      <c r="A188" s="47" t="n"/>
      <c r="B188" s="67" t="n"/>
      <c r="C188" s="67" t="n"/>
      <c r="D188" s="53" t="n"/>
      <c r="E188" s="51" t="n"/>
      <c r="F188" s="67" t="n"/>
      <c r="G188" s="53" t="n"/>
      <c r="H188" s="47" t="n"/>
      <c r="I188" s="53" t="n"/>
      <c r="J188" s="67" t="n"/>
      <c r="K188" s="67" t="n"/>
      <c r="L188" s="53" t="n"/>
      <c r="M188" s="74">
        <f>IF(A188="","",IF(AND(C188="Sí",K188="Sí",F188&lt;&gt;"Excluido"),1,0))</f>
        <v/>
      </c>
    </row>
    <row r="189" ht="15" customHeight="1" s="42">
      <c r="A189" s="47" t="n"/>
      <c r="B189" s="67" t="n"/>
      <c r="C189" s="67" t="n"/>
      <c r="D189" s="53" t="n"/>
      <c r="E189" s="51" t="n"/>
      <c r="F189" s="67" t="n"/>
      <c r="G189" s="53" t="n"/>
      <c r="H189" s="47" t="n"/>
      <c r="I189" s="53" t="n"/>
      <c r="J189" s="67" t="n"/>
      <c r="K189" s="67" t="n"/>
      <c r="L189" s="53" t="n"/>
      <c r="M189" s="74">
        <f>IF(A189="","",IF(AND(C189="Sí",K189="Sí",F189&lt;&gt;"Excluido"),1,0))</f>
        <v/>
      </c>
    </row>
    <row r="190" ht="15" customHeight="1" s="42">
      <c r="A190" s="47" t="n"/>
      <c r="B190" s="67" t="n"/>
      <c r="C190" s="67" t="n"/>
      <c r="D190" s="53" t="n"/>
      <c r="E190" s="51" t="n"/>
      <c r="F190" s="67" t="n"/>
      <c r="G190" s="53" t="n"/>
      <c r="H190" s="47" t="n"/>
      <c r="I190" s="53" t="n"/>
      <c r="J190" s="67" t="n"/>
      <c r="K190" s="67" t="n"/>
      <c r="L190" s="53" t="n"/>
      <c r="M190" s="74">
        <f>IF(A190="","",IF(AND(C190="Sí",K190="Sí",F190&lt;&gt;"Excluido"),1,0))</f>
        <v/>
      </c>
    </row>
    <row r="191" ht="15" customHeight="1" s="42">
      <c r="A191" s="47" t="n"/>
      <c r="B191" s="67" t="n"/>
      <c r="C191" s="67" t="n"/>
      <c r="D191" s="53" t="n"/>
      <c r="E191" s="51" t="n"/>
      <c r="F191" s="67" t="n"/>
      <c r="G191" s="53" t="n"/>
      <c r="H191" s="47" t="n"/>
      <c r="I191" s="53" t="n"/>
      <c r="J191" s="67" t="n"/>
      <c r="K191" s="67" t="n"/>
      <c r="L191" s="53" t="n"/>
      <c r="M191" s="74">
        <f>IF(A191="","",IF(AND(C191="Sí",K191="Sí",F191&lt;&gt;"Excluido"),1,0))</f>
        <v/>
      </c>
    </row>
    <row r="192" ht="15" customHeight="1" s="42">
      <c r="A192" s="47" t="n"/>
      <c r="B192" s="67" t="n"/>
      <c r="C192" s="67" t="n"/>
      <c r="D192" s="53" t="n"/>
      <c r="E192" s="51" t="n"/>
      <c r="F192" s="67" t="n"/>
      <c r="G192" s="53" t="n"/>
      <c r="H192" s="47" t="n"/>
      <c r="I192" s="53" t="n"/>
      <c r="J192" s="67" t="n"/>
      <c r="K192" s="67" t="n"/>
      <c r="L192" s="53" t="n"/>
      <c r="M192" s="74">
        <f>IF(A192="","",IF(AND(C192="Sí",K192="Sí",F192&lt;&gt;"Excluido"),1,0))</f>
        <v/>
      </c>
    </row>
    <row r="193" ht="15" customHeight="1" s="42">
      <c r="A193" s="47" t="n"/>
      <c r="B193" s="67" t="n"/>
      <c r="C193" s="67" t="n"/>
      <c r="D193" s="53" t="n"/>
      <c r="E193" s="51" t="n"/>
      <c r="F193" s="67" t="n"/>
      <c r="G193" s="53" t="n"/>
      <c r="H193" s="47" t="n"/>
      <c r="I193" s="53" t="n"/>
      <c r="J193" s="67" t="n"/>
      <c r="K193" s="67" t="n"/>
      <c r="L193" s="53" t="n"/>
      <c r="M193" s="74">
        <f>IF(A193="","",IF(AND(C193="Sí",K193="Sí",F193&lt;&gt;"Excluido"),1,0))</f>
        <v/>
      </c>
    </row>
    <row r="194" ht="15" customHeight="1" s="42">
      <c r="A194" s="47" t="n"/>
      <c r="B194" s="67" t="n"/>
      <c r="C194" s="67" t="n"/>
      <c r="D194" s="53" t="n"/>
      <c r="E194" s="51" t="n"/>
      <c r="F194" s="67" t="n"/>
      <c r="G194" s="53" t="n"/>
      <c r="H194" s="47" t="n"/>
      <c r="I194" s="53" t="n"/>
      <c r="J194" s="67" t="n"/>
      <c r="K194" s="67" t="n"/>
      <c r="L194" s="53" t="n"/>
      <c r="M194" s="74">
        <f>IF(A194="","",IF(AND(C194="Sí",K194="Sí",F194&lt;&gt;"Excluido"),1,0))</f>
        <v/>
      </c>
    </row>
    <row r="195" ht="15" customHeight="1" s="42">
      <c r="A195" s="47" t="n"/>
      <c r="B195" s="67" t="n"/>
      <c r="C195" s="67" t="n"/>
      <c r="D195" s="53" t="n"/>
      <c r="E195" s="51" t="n"/>
      <c r="F195" s="67" t="n"/>
      <c r="G195" s="53" t="n"/>
      <c r="H195" s="47" t="n"/>
      <c r="I195" s="53" t="n"/>
      <c r="J195" s="67" t="n"/>
      <c r="K195" s="67" t="n"/>
      <c r="L195" s="53" t="n"/>
      <c r="M195" s="74">
        <f>IF(A195="","",IF(AND(C195="Sí",K195="Sí",F195&lt;&gt;"Excluido"),1,0))</f>
        <v/>
      </c>
    </row>
    <row r="196" ht="15" customHeight="1" s="42">
      <c r="A196" s="47" t="n"/>
      <c r="B196" s="67" t="n"/>
      <c r="C196" s="67" t="n"/>
      <c r="D196" s="53" t="n"/>
      <c r="E196" s="51" t="n"/>
      <c r="F196" s="67" t="n"/>
      <c r="G196" s="53" t="n"/>
      <c r="H196" s="47" t="n"/>
      <c r="I196" s="53" t="n"/>
      <c r="J196" s="67" t="n"/>
      <c r="K196" s="67" t="n"/>
      <c r="L196" s="53" t="n"/>
      <c r="M196" s="74">
        <f>IF(A196="","",IF(AND(C196="Sí",K196="Sí",F196&lt;&gt;"Excluido"),1,0))</f>
        <v/>
      </c>
    </row>
    <row r="197" ht="15" customHeight="1" s="42">
      <c r="A197" s="47" t="n"/>
      <c r="B197" s="67" t="n"/>
      <c r="C197" s="67" t="n"/>
      <c r="D197" s="53" t="n"/>
      <c r="E197" s="51" t="n"/>
      <c r="F197" s="67" t="n"/>
      <c r="G197" s="53" t="n"/>
      <c r="H197" s="47" t="n"/>
      <c r="I197" s="53" t="n"/>
      <c r="J197" s="67" t="n"/>
      <c r="K197" s="67" t="n"/>
      <c r="L197" s="53" t="n"/>
      <c r="M197" s="74">
        <f>IF(A197="","",IF(AND(C197="Sí",K197="Sí",F197&lt;&gt;"Excluido"),1,0))</f>
        <v/>
      </c>
    </row>
    <row r="198" ht="15" customHeight="1" s="42">
      <c r="A198" s="47" t="n"/>
      <c r="B198" s="67" t="n"/>
      <c r="C198" s="67" t="n"/>
      <c r="D198" s="53" t="n"/>
      <c r="E198" s="51" t="n"/>
      <c r="F198" s="67" t="n"/>
      <c r="G198" s="53" t="n"/>
      <c r="H198" s="47" t="n"/>
      <c r="I198" s="53" t="n"/>
      <c r="J198" s="67" t="n"/>
      <c r="K198" s="67" t="n"/>
      <c r="L198" s="53" t="n"/>
      <c r="M198" s="74">
        <f>IF(A198="","",IF(AND(C198="Sí",K198="Sí",F198&lt;&gt;"Excluido"),1,0))</f>
        <v/>
      </c>
    </row>
    <row r="199" ht="15" customHeight="1" s="42">
      <c r="A199" s="47" t="n"/>
      <c r="B199" s="67" t="n"/>
      <c r="C199" s="67" t="n"/>
      <c r="D199" s="53" t="n"/>
      <c r="E199" s="51" t="n"/>
      <c r="F199" s="67" t="n"/>
      <c r="G199" s="53" t="n"/>
      <c r="H199" s="47" t="n"/>
      <c r="I199" s="53" t="n"/>
      <c r="J199" s="67" t="n"/>
      <c r="K199" s="67" t="n"/>
      <c r="L199" s="53" t="n"/>
      <c r="M199" s="74">
        <f>IF(A199="","",IF(AND(C199="Sí",K199="Sí",F199&lt;&gt;"Excluido"),1,0))</f>
        <v/>
      </c>
    </row>
    <row r="200" ht="15" customHeight="1" s="42">
      <c r="A200" s="47" t="n"/>
      <c r="B200" s="67" t="n"/>
      <c r="C200" s="67" t="n"/>
      <c r="D200" s="53" t="n"/>
      <c r="E200" s="51" t="n"/>
      <c r="F200" s="67" t="n"/>
      <c r="G200" s="53" t="n"/>
      <c r="H200" s="47" t="n"/>
      <c r="I200" s="53" t="n"/>
      <c r="J200" s="67" t="n"/>
      <c r="K200" s="67" t="n"/>
      <c r="L200" s="53" t="n"/>
      <c r="M200" s="74">
        <f>IF(A200="","",IF(AND(C200="Sí",K200="Sí",F200&lt;&gt;"Excluido"),1,0))</f>
        <v/>
      </c>
    </row>
    <row r="201" ht="15" customHeight="1" s="42">
      <c r="A201" s="47" t="n"/>
      <c r="B201" s="67" t="n"/>
      <c r="C201" s="67" t="n"/>
      <c r="D201" s="53" t="n"/>
      <c r="E201" s="51" t="n"/>
      <c r="F201" s="67" t="n"/>
      <c r="G201" s="53" t="n"/>
      <c r="H201" s="47" t="n"/>
      <c r="I201" s="53" t="n"/>
      <c r="J201" s="67" t="n"/>
      <c r="K201" s="67" t="n"/>
      <c r="L201" s="53" t="n"/>
      <c r="M201" s="74">
        <f>IF(A201="","",IF(AND(C201="Sí",K201="Sí",F201&lt;&gt;"Excluido"),1,0))</f>
        <v/>
      </c>
    </row>
    <row r="202" ht="15" customHeight="1" s="42">
      <c r="A202" s="47" t="n"/>
      <c r="B202" s="67" t="n"/>
      <c r="C202" s="67" t="n"/>
      <c r="D202" s="53" t="n"/>
      <c r="E202" s="51" t="n"/>
      <c r="F202" s="67" t="n"/>
      <c r="G202" s="53" t="n"/>
      <c r="H202" s="47" t="n"/>
      <c r="I202" s="53" t="n"/>
      <c r="J202" s="67" t="n"/>
      <c r="K202" s="67" t="n"/>
      <c r="L202" s="53" t="n"/>
      <c r="M202" s="74">
        <f>IF(A202="","",IF(AND(C202="Sí",K202="Sí",F202&lt;&gt;"Excluido"),1,0))</f>
        <v/>
      </c>
    </row>
    <row r="203" ht="15" customHeight="1" s="42">
      <c r="A203" s="47" t="n"/>
      <c r="B203" s="67" t="n"/>
      <c r="C203" s="67" t="n"/>
      <c r="D203" s="53" t="n"/>
      <c r="E203" s="51" t="n"/>
      <c r="F203" s="67" t="n"/>
      <c r="G203" s="53" t="n"/>
      <c r="H203" s="47" t="n"/>
      <c r="I203" s="53" t="n"/>
      <c r="J203" s="67" t="n"/>
      <c r="K203" s="67" t="n"/>
      <c r="L203" s="53" t="n"/>
      <c r="M203" s="74">
        <f>IF(A203="","",IF(AND(C203="Sí",K203="Sí",F203&lt;&gt;"Excluido"),1,0))</f>
        <v/>
      </c>
    </row>
    <row r="204" ht="15" customHeight="1" s="42">
      <c r="A204" s="47" t="n"/>
      <c r="B204" s="67" t="n"/>
      <c r="C204" s="67" t="n"/>
      <c r="D204" s="53" t="n"/>
      <c r="E204" s="51" t="n"/>
      <c r="F204" s="67" t="n"/>
      <c r="G204" s="53" t="n"/>
      <c r="H204" s="47" t="n"/>
      <c r="I204" s="53" t="n"/>
      <c r="J204" s="67" t="n"/>
      <c r="K204" s="67" t="n"/>
      <c r="L204" s="53" t="n"/>
      <c r="M204" s="74">
        <f>IF(A204="","",IF(AND(C204="Sí",K204="Sí",F204&lt;&gt;"Excluido"),1,0))</f>
        <v/>
      </c>
    </row>
    <row r="205" ht="15" customHeight="1" s="42">
      <c r="A205" s="47" t="n"/>
      <c r="B205" s="67" t="n"/>
      <c r="C205" s="67" t="n"/>
      <c r="D205" s="53" t="n"/>
      <c r="E205" s="51" t="n"/>
      <c r="F205" s="67" t="n"/>
      <c r="G205" s="53" t="n"/>
      <c r="H205" s="47" t="n"/>
      <c r="I205" s="53" t="n"/>
      <c r="J205" s="67" t="n"/>
      <c r="K205" s="67" t="n"/>
      <c r="L205" s="53" t="n"/>
      <c r="M205" s="74">
        <f>IF(A205="","",IF(AND(C205="Sí",K205="Sí",F205&lt;&gt;"Excluido"),1,0))</f>
        <v/>
      </c>
    </row>
    <row r="206" ht="15" customHeight="1" s="42">
      <c r="A206" s="47" t="n"/>
      <c r="B206" s="67" t="n"/>
      <c r="C206" s="67" t="n"/>
      <c r="D206" s="53" t="n"/>
      <c r="E206" s="51" t="n"/>
      <c r="F206" s="67" t="n"/>
      <c r="G206" s="53" t="n"/>
      <c r="H206" s="47" t="n"/>
      <c r="I206" s="53" t="n"/>
      <c r="J206" s="67" t="n"/>
      <c r="K206" s="67" t="n"/>
      <c r="L206" s="53" t="n"/>
      <c r="M206" s="74">
        <f>IF(A206="","",IF(AND(C206="Sí",K206="Sí",F206&lt;&gt;"Excluido"),1,0))</f>
        <v/>
      </c>
    </row>
    <row r="207" ht="15" customHeight="1" s="42">
      <c r="A207" s="47" t="n"/>
      <c r="B207" s="67" t="n"/>
      <c r="C207" s="67" t="n"/>
      <c r="D207" s="53" t="n"/>
      <c r="E207" s="51" t="n"/>
      <c r="F207" s="67" t="n"/>
      <c r="G207" s="53" t="n"/>
      <c r="H207" s="47" t="n"/>
      <c r="I207" s="53" t="n"/>
      <c r="J207" s="67" t="n"/>
      <c r="K207" s="67" t="n"/>
      <c r="L207" s="53" t="n"/>
      <c r="M207" s="74">
        <f>IF(A207="","",IF(AND(C207="Sí",K207="Sí",F207&lt;&gt;"Excluido"),1,0))</f>
        <v/>
      </c>
    </row>
    <row r="208" ht="15" customHeight="1" s="42">
      <c r="A208" s="47" t="n"/>
      <c r="B208" s="67" t="n"/>
      <c r="C208" s="67" t="n"/>
      <c r="D208" s="53" t="n"/>
      <c r="E208" s="51" t="n"/>
      <c r="F208" s="67" t="n"/>
      <c r="G208" s="53" t="n"/>
      <c r="H208" s="47" t="n"/>
      <c r="I208" s="53" t="n"/>
      <c r="J208" s="67" t="n"/>
      <c r="K208" s="67" t="n"/>
      <c r="L208" s="53" t="n"/>
      <c r="M208" s="74">
        <f>IF(A208="","",IF(AND(C208="Sí",K208="Sí",F208&lt;&gt;"Excluido"),1,0))</f>
        <v/>
      </c>
    </row>
    <row r="209" ht="15" customHeight="1" s="42">
      <c r="A209" s="47" t="n"/>
      <c r="B209" s="67" t="n"/>
      <c r="C209" s="67" t="n"/>
      <c r="D209" s="53" t="n"/>
      <c r="E209" s="51" t="n"/>
      <c r="F209" s="67" t="n"/>
      <c r="G209" s="53" t="n"/>
      <c r="H209" s="47" t="n"/>
      <c r="I209" s="53" t="n"/>
      <c r="J209" s="67" t="n"/>
      <c r="K209" s="67" t="n"/>
      <c r="L209" s="53" t="n"/>
      <c r="M209" s="74">
        <f>IF(A209="","",IF(AND(C209="Sí",K209="Sí",F209&lt;&gt;"Excluido"),1,0))</f>
        <v/>
      </c>
    </row>
    <row r="210" ht="15" customHeight="1" s="42">
      <c r="A210" s="47" t="n"/>
      <c r="B210" s="67" t="n"/>
      <c r="C210" s="67" t="n"/>
      <c r="D210" s="53" t="n"/>
      <c r="E210" s="51" t="n"/>
      <c r="F210" s="67" t="n"/>
      <c r="G210" s="53" t="n"/>
      <c r="H210" s="47" t="n"/>
      <c r="I210" s="53" t="n"/>
      <c r="J210" s="67" t="n"/>
      <c r="K210" s="67" t="n"/>
      <c r="L210" s="53" t="n"/>
      <c r="M210" s="74">
        <f>IF(A210="","",IF(AND(C210="Sí",K210="Sí",F210&lt;&gt;"Excluido"),1,0))</f>
        <v/>
      </c>
    </row>
    <row r="211" ht="15" customHeight="1" s="42">
      <c r="A211" s="47" t="n"/>
      <c r="B211" s="67" t="n"/>
      <c r="C211" s="67" t="n"/>
      <c r="D211" s="53" t="n"/>
      <c r="E211" s="51" t="n"/>
      <c r="F211" s="67" t="n"/>
      <c r="G211" s="53" t="n"/>
      <c r="H211" s="47" t="n"/>
      <c r="I211" s="53" t="n"/>
      <c r="J211" s="67" t="n"/>
      <c r="K211" s="67" t="n"/>
      <c r="L211" s="53" t="n"/>
      <c r="M211" s="74">
        <f>IF(A211="","",IF(AND(C211="Sí",K211="Sí",F211&lt;&gt;"Excluido"),1,0))</f>
        <v/>
      </c>
    </row>
    <row r="212" ht="15" customHeight="1" s="42">
      <c r="A212" s="47" t="n"/>
      <c r="B212" s="67" t="n"/>
      <c r="C212" s="67" t="n"/>
      <c r="D212" s="53" t="n"/>
      <c r="E212" s="51" t="n"/>
      <c r="F212" s="67" t="n"/>
      <c r="G212" s="53" t="n"/>
      <c r="H212" s="47" t="n"/>
      <c r="I212" s="53" t="n"/>
      <c r="J212" s="67" t="n"/>
      <c r="K212" s="67" t="n"/>
      <c r="L212" s="53" t="n"/>
      <c r="M212" s="74">
        <f>IF(A212="","",IF(AND(C212="Sí",K212="Sí",F212&lt;&gt;"Excluido"),1,0))</f>
        <v/>
      </c>
    </row>
    <row r="213" ht="15" customHeight="1" s="42">
      <c r="A213" s="47" t="n"/>
      <c r="B213" s="67" t="n"/>
      <c r="C213" s="67" t="n"/>
      <c r="D213" s="53" t="n"/>
      <c r="E213" s="51" t="n"/>
      <c r="F213" s="67" t="n"/>
      <c r="G213" s="53" t="n"/>
      <c r="H213" s="47" t="n"/>
      <c r="I213" s="53" t="n"/>
      <c r="J213" s="67" t="n"/>
      <c r="K213" s="67" t="n"/>
      <c r="L213" s="53" t="n"/>
      <c r="M213" s="74">
        <f>IF(A213="","",IF(AND(C213="Sí",K213="Sí",F213&lt;&gt;"Excluido"),1,0))</f>
        <v/>
      </c>
    </row>
    <row r="214" ht="15" customHeight="1" s="42">
      <c r="A214" s="47" t="n"/>
      <c r="B214" s="67" t="n"/>
      <c r="C214" s="67" t="n"/>
      <c r="D214" s="53" t="n"/>
      <c r="E214" s="51" t="n"/>
      <c r="F214" s="67" t="n"/>
      <c r="G214" s="53" t="n"/>
      <c r="H214" s="47" t="n"/>
      <c r="I214" s="53" t="n"/>
      <c r="J214" s="67" t="n"/>
      <c r="K214" s="67" t="n"/>
      <c r="L214" s="53" t="n"/>
      <c r="M214" s="74">
        <f>IF(A214="","",IF(AND(C214="Sí",K214="Sí",F214&lt;&gt;"Excluido"),1,0))</f>
        <v/>
      </c>
    </row>
    <row r="215" ht="15" customHeight="1" s="42">
      <c r="A215" s="47" t="n"/>
      <c r="B215" s="67" t="n"/>
      <c r="C215" s="67" t="n"/>
      <c r="D215" s="53" t="n"/>
      <c r="E215" s="51" t="n"/>
      <c r="F215" s="67" t="n"/>
      <c r="G215" s="53" t="n"/>
      <c r="H215" s="47" t="n"/>
      <c r="I215" s="53" t="n"/>
      <c r="J215" s="67" t="n"/>
      <c r="K215" s="67" t="n"/>
      <c r="L215" s="53" t="n"/>
      <c r="M215" s="74">
        <f>IF(A215="","",IF(AND(C215="Sí",K215="Sí",F215&lt;&gt;"Excluido"),1,0))</f>
        <v/>
      </c>
    </row>
    <row r="216" ht="15" customHeight="1" s="42">
      <c r="A216" s="47" t="n"/>
      <c r="B216" s="67" t="n"/>
      <c r="C216" s="67" t="n"/>
      <c r="D216" s="53" t="n"/>
      <c r="E216" s="51" t="n"/>
      <c r="F216" s="67" t="n"/>
      <c r="G216" s="53" t="n"/>
      <c r="H216" s="47" t="n"/>
      <c r="I216" s="53" t="n"/>
      <c r="J216" s="67" t="n"/>
      <c r="K216" s="67" t="n"/>
      <c r="L216" s="53" t="n"/>
      <c r="M216" s="74">
        <f>IF(A216="","",IF(AND(C216="Sí",K216="Sí",F216&lt;&gt;"Excluido"),1,0))</f>
        <v/>
      </c>
    </row>
    <row r="217" ht="15" customHeight="1" s="42">
      <c r="A217" s="47" t="n"/>
      <c r="B217" s="67" t="n"/>
      <c r="C217" s="67" t="n"/>
      <c r="D217" s="53" t="n"/>
      <c r="E217" s="51" t="n"/>
      <c r="F217" s="67" t="n"/>
      <c r="G217" s="53" t="n"/>
      <c r="H217" s="47" t="n"/>
      <c r="I217" s="53" t="n"/>
      <c r="J217" s="67" t="n"/>
      <c r="K217" s="67" t="n"/>
      <c r="L217" s="53" t="n"/>
      <c r="M217" s="74">
        <f>IF(A217="","",IF(AND(C217="Sí",K217="Sí",F217&lt;&gt;"Excluido"),1,0))</f>
        <v/>
      </c>
    </row>
    <row r="218" ht="15" customHeight="1" s="42">
      <c r="A218" s="47" t="n"/>
      <c r="B218" s="67" t="n"/>
      <c r="C218" s="67" t="n"/>
      <c r="D218" s="53" t="n"/>
      <c r="E218" s="51" t="n"/>
      <c r="F218" s="67" t="n"/>
      <c r="G218" s="53" t="n"/>
      <c r="H218" s="47" t="n"/>
      <c r="I218" s="53" t="n"/>
      <c r="J218" s="67" t="n"/>
      <c r="K218" s="67" t="n"/>
      <c r="L218" s="53" t="n"/>
      <c r="M218" s="74">
        <f>IF(A218="","",IF(AND(C218="Sí",K218="Sí",F218&lt;&gt;"Excluido"),1,0))</f>
        <v/>
      </c>
    </row>
    <row r="219" ht="15" customHeight="1" s="42">
      <c r="A219" s="47" t="n"/>
      <c r="B219" s="67" t="n"/>
      <c r="C219" s="67" t="n"/>
      <c r="D219" s="53" t="n"/>
      <c r="E219" s="51" t="n"/>
      <c r="F219" s="67" t="n"/>
      <c r="G219" s="53" t="n"/>
      <c r="H219" s="47" t="n"/>
      <c r="I219" s="53" t="n"/>
      <c r="J219" s="67" t="n"/>
      <c r="K219" s="67" t="n"/>
      <c r="L219" s="53" t="n"/>
      <c r="M219" s="74">
        <f>IF(A219="","",IF(AND(C219="Sí",K219="Sí",F219&lt;&gt;"Excluido"),1,0))</f>
        <v/>
      </c>
    </row>
    <row r="220" ht="15" customHeight="1" s="42">
      <c r="A220" s="47" t="n"/>
      <c r="B220" s="67" t="n"/>
      <c r="C220" s="67" t="n"/>
      <c r="D220" s="53" t="n"/>
      <c r="E220" s="51" t="n"/>
      <c r="F220" s="67" t="n"/>
      <c r="G220" s="53" t="n"/>
      <c r="H220" s="47" t="n"/>
      <c r="I220" s="53" t="n"/>
      <c r="J220" s="67" t="n"/>
      <c r="K220" s="67" t="n"/>
      <c r="L220" s="53" t="n"/>
      <c r="M220" s="74">
        <f>IF(A220="","",IF(AND(C220="Sí",K220="Sí",F220&lt;&gt;"Excluido"),1,0))</f>
        <v/>
      </c>
    </row>
    <row r="221" ht="15" customHeight="1" s="42">
      <c r="A221" s="47" t="n"/>
      <c r="B221" s="67" t="n"/>
      <c r="C221" s="67" t="n"/>
      <c r="D221" s="53" t="n"/>
      <c r="E221" s="51" t="n"/>
      <c r="F221" s="67" t="n"/>
      <c r="G221" s="53" t="n"/>
      <c r="H221" s="47" t="n"/>
      <c r="I221" s="53" t="n"/>
      <c r="J221" s="67" t="n"/>
      <c r="K221" s="67" t="n"/>
      <c r="L221" s="53" t="n"/>
      <c r="M221" s="74">
        <f>IF(A221="","",IF(AND(C221="Sí",K221="Sí",F221&lt;&gt;"Excluido"),1,0))</f>
        <v/>
      </c>
    </row>
    <row r="222" ht="15" customHeight="1" s="42">
      <c r="A222" s="47" t="n"/>
      <c r="B222" s="67" t="n"/>
      <c r="C222" s="67" t="n"/>
      <c r="D222" s="53" t="n"/>
      <c r="E222" s="51" t="n"/>
      <c r="F222" s="67" t="n"/>
      <c r="G222" s="53" t="n"/>
      <c r="H222" s="47" t="n"/>
      <c r="I222" s="53" t="n"/>
      <c r="J222" s="67" t="n"/>
      <c r="K222" s="67" t="n"/>
      <c r="L222" s="53" t="n"/>
      <c r="M222" s="74">
        <f>IF(A222="","",IF(AND(C222="Sí",K222="Sí",F222&lt;&gt;"Excluido"),1,0))</f>
        <v/>
      </c>
    </row>
    <row r="223" ht="15" customHeight="1" s="42">
      <c r="A223" s="47" t="n"/>
      <c r="B223" s="67" t="n"/>
      <c r="C223" s="67" t="n"/>
      <c r="D223" s="53" t="n"/>
      <c r="E223" s="51" t="n"/>
      <c r="F223" s="67" t="n"/>
      <c r="G223" s="53" t="n"/>
      <c r="H223" s="47" t="n"/>
      <c r="I223" s="53" t="n"/>
      <c r="J223" s="67" t="n"/>
      <c r="K223" s="67" t="n"/>
      <c r="L223" s="53" t="n"/>
      <c r="M223" s="74">
        <f>IF(A223="","",IF(AND(C223="Sí",K223="Sí",F223&lt;&gt;"Excluido"),1,0))</f>
        <v/>
      </c>
    </row>
    <row r="224" ht="15" customHeight="1" s="42">
      <c r="A224" s="47" t="n"/>
      <c r="B224" s="67" t="n"/>
      <c r="C224" s="67" t="n"/>
      <c r="D224" s="53" t="n"/>
      <c r="E224" s="51" t="n"/>
      <c r="F224" s="67" t="n"/>
      <c r="G224" s="53" t="n"/>
      <c r="H224" s="47" t="n"/>
      <c r="I224" s="53" t="n"/>
      <c r="J224" s="67" t="n"/>
      <c r="K224" s="67" t="n"/>
      <c r="L224" s="53" t="n"/>
      <c r="M224" s="74">
        <f>IF(A224="","",IF(AND(C224="Sí",K224="Sí",F224&lt;&gt;"Excluido"),1,0))</f>
        <v/>
      </c>
    </row>
    <row r="225" ht="15" customHeight="1" s="42">
      <c r="A225" s="47" t="n"/>
      <c r="B225" s="67" t="n"/>
      <c r="C225" s="67" t="n"/>
      <c r="D225" s="53" t="n"/>
      <c r="E225" s="51" t="n"/>
      <c r="F225" s="67" t="n"/>
      <c r="G225" s="53" t="n"/>
      <c r="H225" s="47" t="n"/>
      <c r="I225" s="53" t="n"/>
      <c r="J225" s="67" t="n"/>
      <c r="K225" s="67" t="n"/>
      <c r="L225" s="53" t="n"/>
      <c r="M225" s="74">
        <f>IF(A225="","",IF(AND(C225="Sí",K225="Sí",F225&lt;&gt;"Excluido"),1,0))</f>
        <v/>
      </c>
    </row>
    <row r="226" ht="15" customHeight="1" s="42">
      <c r="A226" s="47" t="n"/>
      <c r="B226" s="67" t="n"/>
      <c r="C226" s="67" t="n"/>
      <c r="D226" s="53" t="n"/>
      <c r="E226" s="51" t="n"/>
      <c r="F226" s="67" t="n"/>
      <c r="G226" s="53" t="n"/>
      <c r="H226" s="47" t="n"/>
      <c r="I226" s="53" t="n"/>
      <c r="J226" s="67" t="n"/>
      <c r="K226" s="67" t="n"/>
      <c r="L226" s="53" t="n"/>
      <c r="M226" s="74">
        <f>IF(A226="","",IF(AND(C226="Sí",K226="Sí",F226&lt;&gt;"Excluido"),1,0))</f>
        <v/>
      </c>
    </row>
    <row r="227" ht="15" customHeight="1" s="42">
      <c r="A227" s="47" t="n"/>
      <c r="B227" s="67" t="n"/>
      <c r="C227" s="67" t="n"/>
      <c r="D227" s="53" t="n"/>
      <c r="E227" s="51" t="n"/>
      <c r="F227" s="67" t="n"/>
      <c r="G227" s="53" t="n"/>
      <c r="H227" s="47" t="n"/>
      <c r="I227" s="53" t="n"/>
      <c r="J227" s="67" t="n"/>
      <c r="K227" s="67" t="n"/>
      <c r="L227" s="53" t="n"/>
      <c r="M227" s="74">
        <f>IF(A227="","",IF(AND(C227="Sí",K227="Sí",F227&lt;&gt;"Excluido"),1,0))</f>
        <v/>
      </c>
    </row>
    <row r="228" ht="15" customHeight="1" s="42">
      <c r="A228" s="47" t="n"/>
      <c r="B228" s="67" t="n"/>
      <c r="C228" s="67" t="n"/>
      <c r="D228" s="53" t="n"/>
      <c r="E228" s="51" t="n"/>
      <c r="F228" s="67" t="n"/>
      <c r="G228" s="53" t="n"/>
      <c r="H228" s="47" t="n"/>
      <c r="I228" s="53" t="n"/>
      <c r="J228" s="67" t="n"/>
      <c r="K228" s="67" t="n"/>
      <c r="L228" s="53" t="n"/>
      <c r="M228" s="74">
        <f>IF(A228="","",IF(AND(C228="Sí",K228="Sí",F228&lt;&gt;"Excluido"),1,0))</f>
        <v/>
      </c>
    </row>
    <row r="229" ht="15" customHeight="1" s="42">
      <c r="A229" s="47" t="n"/>
      <c r="B229" s="67" t="n"/>
      <c r="C229" s="67" t="n"/>
      <c r="D229" s="53" t="n"/>
      <c r="E229" s="51" t="n"/>
      <c r="F229" s="67" t="n"/>
      <c r="G229" s="53" t="n"/>
      <c r="H229" s="47" t="n"/>
      <c r="I229" s="53" t="n"/>
      <c r="J229" s="67" t="n"/>
      <c r="K229" s="67" t="n"/>
      <c r="L229" s="53" t="n"/>
      <c r="M229" s="74">
        <f>IF(A229="","",IF(AND(C229="Sí",K229="Sí",F229&lt;&gt;"Excluido"),1,0))</f>
        <v/>
      </c>
    </row>
    <row r="230" ht="15" customHeight="1" s="42">
      <c r="A230" s="47" t="n"/>
      <c r="B230" s="67" t="n"/>
      <c r="C230" s="67" t="n"/>
      <c r="D230" s="53" t="n"/>
      <c r="E230" s="51" t="n"/>
      <c r="F230" s="67" t="n"/>
      <c r="G230" s="53" t="n"/>
      <c r="H230" s="47" t="n"/>
      <c r="I230" s="53" t="n"/>
      <c r="J230" s="67" t="n"/>
      <c r="K230" s="67" t="n"/>
      <c r="L230" s="53" t="n"/>
      <c r="M230" s="74">
        <f>IF(A230="","",IF(AND(C230="Sí",K230="Sí",F230&lt;&gt;"Excluido"),1,0))</f>
        <v/>
      </c>
    </row>
    <row r="231" ht="15" customHeight="1" s="42">
      <c r="A231" s="47" t="n"/>
      <c r="B231" s="67" t="n"/>
      <c r="C231" s="67" t="n"/>
      <c r="D231" s="53" t="n"/>
      <c r="E231" s="51" t="n"/>
      <c r="F231" s="67" t="n"/>
      <c r="G231" s="53" t="n"/>
      <c r="H231" s="47" t="n"/>
      <c r="I231" s="53" t="n"/>
      <c r="J231" s="67" t="n"/>
      <c r="K231" s="67" t="n"/>
      <c r="L231" s="53" t="n"/>
      <c r="M231" s="74">
        <f>IF(A231="","",IF(AND(C231="Sí",K231="Sí",F231&lt;&gt;"Excluido"),1,0))</f>
        <v/>
      </c>
    </row>
    <row r="232" ht="15" customHeight="1" s="42">
      <c r="A232" s="47" t="n"/>
      <c r="B232" s="67" t="n"/>
      <c r="C232" s="67" t="n"/>
      <c r="D232" s="53" t="n"/>
      <c r="E232" s="51" t="n"/>
      <c r="F232" s="67" t="n"/>
      <c r="G232" s="53" t="n"/>
      <c r="H232" s="47" t="n"/>
      <c r="I232" s="53" t="n"/>
      <c r="J232" s="67" t="n"/>
      <c r="K232" s="67" t="n"/>
      <c r="L232" s="53" t="n"/>
      <c r="M232" s="74">
        <f>IF(A232="","",IF(AND(C232="Sí",K232="Sí",F232&lt;&gt;"Excluido"),1,0))</f>
        <v/>
      </c>
    </row>
    <row r="233" ht="15" customHeight="1" s="42">
      <c r="A233" s="47" t="n"/>
      <c r="B233" s="67" t="n"/>
      <c r="C233" s="67" t="n"/>
      <c r="D233" s="53" t="n"/>
      <c r="E233" s="51" t="n"/>
      <c r="F233" s="67" t="n"/>
      <c r="G233" s="53" t="n"/>
      <c r="H233" s="47" t="n"/>
      <c r="I233" s="53" t="n"/>
      <c r="J233" s="67" t="n"/>
      <c r="K233" s="67" t="n"/>
      <c r="L233" s="53" t="n"/>
      <c r="M233" s="74">
        <f>IF(A233="","",IF(AND(C233="Sí",K233="Sí",F233&lt;&gt;"Excluido"),1,0))</f>
        <v/>
      </c>
    </row>
    <row r="234" ht="15" customHeight="1" s="42">
      <c r="A234" s="47" t="n"/>
      <c r="B234" s="67" t="n"/>
      <c r="C234" s="67" t="n"/>
      <c r="D234" s="53" t="n"/>
      <c r="E234" s="51" t="n"/>
      <c r="F234" s="67" t="n"/>
      <c r="G234" s="53" t="n"/>
      <c r="H234" s="47" t="n"/>
      <c r="I234" s="53" t="n"/>
      <c r="J234" s="67" t="n"/>
      <c r="K234" s="67" t="n"/>
      <c r="L234" s="53" t="n"/>
      <c r="M234" s="74">
        <f>IF(A234="","",IF(AND(C234="Sí",K234="Sí",F234&lt;&gt;"Excluido"),1,0))</f>
        <v/>
      </c>
    </row>
    <row r="235" ht="15" customHeight="1" s="42">
      <c r="A235" s="47" t="n"/>
      <c r="B235" s="67" t="n"/>
      <c r="C235" s="67" t="n"/>
      <c r="D235" s="53" t="n"/>
      <c r="E235" s="51" t="n"/>
      <c r="F235" s="67" t="n"/>
      <c r="G235" s="53" t="n"/>
      <c r="H235" s="47" t="n"/>
      <c r="I235" s="53" t="n"/>
      <c r="J235" s="67" t="n"/>
      <c r="K235" s="67" t="n"/>
      <c r="L235" s="53" t="n"/>
      <c r="M235" s="74">
        <f>IF(A235="","",IF(AND(C235="Sí",K235="Sí",F235&lt;&gt;"Excluido"),1,0))</f>
        <v/>
      </c>
    </row>
    <row r="236" ht="15" customHeight="1" s="42">
      <c r="A236" s="47" t="n"/>
      <c r="B236" s="67" t="n"/>
      <c r="C236" s="67" t="n"/>
      <c r="D236" s="53" t="n"/>
      <c r="E236" s="51" t="n"/>
      <c r="F236" s="67" t="n"/>
      <c r="G236" s="53" t="n"/>
      <c r="H236" s="47" t="n"/>
      <c r="I236" s="53" t="n"/>
      <c r="J236" s="67" t="n"/>
      <c r="K236" s="67" t="n"/>
      <c r="L236" s="53" t="n"/>
      <c r="M236" s="74">
        <f>IF(A236="","",IF(AND(C236="Sí",K236="Sí",F236&lt;&gt;"Excluido"),1,0))</f>
        <v/>
      </c>
    </row>
    <row r="237" ht="15" customHeight="1" s="42">
      <c r="A237" s="47" t="n"/>
      <c r="B237" s="67" t="n"/>
      <c r="C237" s="67" t="n"/>
      <c r="D237" s="53" t="n"/>
      <c r="E237" s="51" t="n"/>
      <c r="F237" s="67" t="n"/>
      <c r="G237" s="53" t="n"/>
      <c r="H237" s="47" t="n"/>
      <c r="I237" s="53" t="n"/>
      <c r="J237" s="67" t="n"/>
      <c r="K237" s="67" t="n"/>
      <c r="L237" s="53" t="n"/>
      <c r="M237" s="74">
        <f>IF(A237="","",IF(AND(C237="Sí",K237="Sí",F237&lt;&gt;"Excluido"),1,0))</f>
        <v/>
      </c>
    </row>
    <row r="238" ht="15" customHeight="1" s="42">
      <c r="A238" s="47" t="n"/>
      <c r="B238" s="67" t="n"/>
      <c r="C238" s="67" t="n"/>
      <c r="D238" s="53" t="n"/>
      <c r="E238" s="51" t="n"/>
      <c r="F238" s="67" t="n"/>
      <c r="G238" s="53" t="n"/>
      <c r="H238" s="47" t="n"/>
      <c r="I238" s="53" t="n"/>
      <c r="J238" s="67" t="n"/>
      <c r="K238" s="67" t="n"/>
      <c r="L238" s="53" t="n"/>
      <c r="M238" s="74">
        <f>IF(A238="","",IF(AND(C238="Sí",K238="Sí",F238&lt;&gt;"Excluido"),1,0))</f>
        <v/>
      </c>
    </row>
    <row r="239" ht="15" customHeight="1" s="42">
      <c r="A239" s="47" t="n"/>
      <c r="B239" s="67" t="n"/>
      <c r="C239" s="67" t="n"/>
      <c r="D239" s="53" t="n"/>
      <c r="E239" s="51" t="n"/>
      <c r="F239" s="67" t="n"/>
      <c r="G239" s="53" t="n"/>
      <c r="H239" s="47" t="n"/>
      <c r="I239" s="53" t="n"/>
      <c r="J239" s="67" t="n"/>
      <c r="K239" s="67" t="n"/>
      <c r="L239" s="53" t="n"/>
      <c r="M239" s="74">
        <f>IF(A239="","",IF(AND(C239="Sí",K239="Sí",F239&lt;&gt;"Excluido"),1,0))</f>
        <v/>
      </c>
    </row>
    <row r="240" ht="15" customHeight="1" s="42">
      <c r="A240" s="47" t="n"/>
      <c r="B240" s="67" t="n"/>
      <c r="C240" s="67" t="n"/>
      <c r="D240" s="53" t="n"/>
      <c r="E240" s="51" t="n"/>
      <c r="F240" s="67" t="n"/>
      <c r="G240" s="53" t="n"/>
      <c r="H240" s="47" t="n"/>
      <c r="I240" s="53" t="n"/>
      <c r="J240" s="67" t="n"/>
      <c r="K240" s="67" t="n"/>
      <c r="L240" s="53" t="n"/>
      <c r="M240" s="74">
        <f>IF(A240="","",IF(AND(C240="Sí",K240="Sí",F240&lt;&gt;"Excluido"),1,0))</f>
        <v/>
      </c>
    </row>
    <row r="241" ht="15" customHeight="1" s="42">
      <c r="A241" s="47" t="n"/>
      <c r="B241" s="67" t="n"/>
      <c r="C241" s="67" t="n"/>
      <c r="D241" s="53" t="n"/>
      <c r="E241" s="51" t="n"/>
      <c r="F241" s="67" t="n"/>
      <c r="G241" s="53" t="n"/>
      <c r="H241" s="47" t="n"/>
      <c r="I241" s="53" t="n"/>
      <c r="J241" s="67" t="n"/>
      <c r="K241" s="67" t="n"/>
      <c r="L241" s="53" t="n"/>
      <c r="M241" s="74">
        <f>IF(A241="","",IF(AND(C241="Sí",K241="Sí",F241&lt;&gt;"Excluido"),1,0))</f>
        <v/>
      </c>
    </row>
    <row r="242" ht="15" customHeight="1" s="42">
      <c r="A242" s="47" t="n"/>
      <c r="B242" s="67" t="n"/>
      <c r="C242" s="67" t="n"/>
      <c r="D242" s="53" t="n"/>
      <c r="E242" s="51" t="n"/>
      <c r="F242" s="67" t="n"/>
      <c r="G242" s="53" t="n"/>
      <c r="H242" s="47" t="n"/>
      <c r="I242" s="53" t="n"/>
      <c r="J242" s="67" t="n"/>
      <c r="K242" s="67" t="n"/>
      <c r="L242" s="53" t="n"/>
      <c r="M242" s="74">
        <f>IF(A242="","",IF(AND(C242="Sí",K242="Sí",F242&lt;&gt;"Excluido"),1,0))</f>
        <v/>
      </c>
    </row>
    <row r="243" ht="15" customHeight="1" s="42">
      <c r="A243" s="47" t="n"/>
      <c r="B243" s="67" t="n"/>
      <c r="C243" s="67" t="n"/>
      <c r="D243" s="53" t="n"/>
      <c r="E243" s="51" t="n"/>
      <c r="F243" s="67" t="n"/>
      <c r="G243" s="53" t="n"/>
      <c r="H243" s="47" t="n"/>
      <c r="I243" s="53" t="n"/>
      <c r="J243" s="67" t="n"/>
      <c r="K243" s="67" t="n"/>
      <c r="L243" s="53" t="n"/>
      <c r="M243" s="74">
        <f>IF(A243="","",IF(AND(C243="Sí",K243="Sí",F243&lt;&gt;"Excluido"),1,0))</f>
        <v/>
      </c>
    </row>
    <row r="244" ht="15" customHeight="1" s="42">
      <c r="A244" s="47" t="n"/>
      <c r="B244" s="67" t="n"/>
      <c r="C244" s="67" t="n"/>
      <c r="D244" s="53" t="n"/>
      <c r="E244" s="51" t="n"/>
      <c r="F244" s="67" t="n"/>
      <c r="G244" s="53" t="n"/>
      <c r="H244" s="47" t="n"/>
      <c r="I244" s="53" t="n"/>
      <c r="J244" s="67" t="n"/>
      <c r="K244" s="67" t="n"/>
      <c r="L244" s="53" t="n"/>
      <c r="M244" s="74">
        <f>IF(A244="","",IF(AND(C244="Sí",K244="Sí",F244&lt;&gt;"Excluido"),1,0))</f>
        <v/>
      </c>
    </row>
    <row r="245" ht="15" customHeight="1" s="42">
      <c r="A245" s="47" t="n"/>
      <c r="B245" s="67" t="n"/>
      <c r="C245" s="67" t="n"/>
      <c r="D245" s="53" t="n"/>
      <c r="E245" s="51" t="n"/>
      <c r="F245" s="67" t="n"/>
      <c r="G245" s="53" t="n"/>
      <c r="H245" s="47" t="n"/>
      <c r="I245" s="53" t="n"/>
      <c r="J245" s="67" t="n"/>
      <c r="K245" s="67" t="n"/>
      <c r="L245" s="53" t="n"/>
      <c r="M245" s="74">
        <f>IF(A245="","",IF(AND(C245="Sí",K245="Sí",F245&lt;&gt;"Excluido"),1,0))</f>
        <v/>
      </c>
    </row>
    <row r="246" ht="15" customHeight="1" s="42">
      <c r="A246" s="47" t="n"/>
      <c r="B246" s="67" t="n"/>
      <c r="C246" s="67" t="n"/>
      <c r="D246" s="53" t="n"/>
      <c r="E246" s="51" t="n"/>
      <c r="F246" s="67" t="n"/>
      <c r="G246" s="53" t="n"/>
      <c r="H246" s="47" t="n"/>
      <c r="I246" s="53" t="n"/>
      <c r="J246" s="67" t="n"/>
      <c r="K246" s="67" t="n"/>
      <c r="L246" s="53" t="n"/>
      <c r="M246" s="74">
        <f>IF(A246="","",IF(AND(C246="Sí",K246="Sí",F246&lt;&gt;"Excluido"),1,0))</f>
        <v/>
      </c>
    </row>
    <row r="247" ht="15" customHeight="1" s="42">
      <c r="A247" s="47" t="n"/>
      <c r="B247" s="67" t="n"/>
      <c r="C247" s="67" t="n"/>
      <c r="D247" s="53" t="n"/>
      <c r="E247" s="51" t="n"/>
      <c r="F247" s="67" t="n"/>
      <c r="G247" s="53" t="n"/>
      <c r="H247" s="47" t="n"/>
      <c r="I247" s="53" t="n"/>
      <c r="J247" s="67" t="n"/>
      <c r="K247" s="67" t="n"/>
      <c r="L247" s="53" t="n"/>
      <c r="M247" s="74">
        <f>IF(A247="","",IF(AND(C247="Sí",K247="Sí",F247&lt;&gt;"Excluido"),1,0))</f>
        <v/>
      </c>
    </row>
    <row r="248" ht="15" customHeight="1" s="42">
      <c r="A248" s="47" t="n"/>
      <c r="B248" s="67" t="n"/>
      <c r="C248" s="67" t="n"/>
      <c r="D248" s="53" t="n"/>
      <c r="E248" s="51" t="n"/>
      <c r="F248" s="67" t="n"/>
      <c r="G248" s="53" t="n"/>
      <c r="H248" s="47" t="n"/>
      <c r="I248" s="53" t="n"/>
      <c r="J248" s="67" t="n"/>
      <c r="K248" s="67" t="n"/>
      <c r="L248" s="53" t="n"/>
      <c r="M248" s="74">
        <f>IF(A248="","",IF(AND(C248="Sí",K248="Sí",F248&lt;&gt;"Excluido"),1,0))</f>
        <v/>
      </c>
    </row>
    <row r="249" ht="15" customHeight="1" s="42">
      <c r="A249" s="47" t="n"/>
      <c r="B249" s="67" t="n"/>
      <c r="C249" s="67" t="n"/>
      <c r="D249" s="53" t="n"/>
      <c r="E249" s="51" t="n"/>
      <c r="F249" s="67" t="n"/>
      <c r="G249" s="53" t="n"/>
      <c r="H249" s="47" t="n"/>
      <c r="I249" s="53" t="n"/>
      <c r="J249" s="67" t="n"/>
      <c r="K249" s="67" t="n"/>
      <c r="L249" s="53" t="n"/>
      <c r="M249" s="74">
        <f>IF(A249="","",IF(AND(C249="Sí",K249="Sí",F249&lt;&gt;"Excluido"),1,0))</f>
        <v/>
      </c>
    </row>
    <row r="250" ht="15" customHeight="1" s="42">
      <c r="A250" s="47" t="n"/>
      <c r="B250" s="67" t="n"/>
      <c r="C250" s="67" t="n"/>
      <c r="D250" s="53" t="n"/>
      <c r="E250" s="51" t="n"/>
      <c r="F250" s="67" t="n"/>
      <c r="G250" s="53" t="n"/>
      <c r="H250" s="47" t="n"/>
      <c r="I250" s="53" t="n"/>
      <c r="J250" s="67" t="n"/>
      <c r="K250" s="67" t="n"/>
      <c r="L250" s="53" t="n"/>
      <c r="M250" s="74">
        <f>IF(A250="","",IF(AND(C250="Sí",K250="Sí",F250&lt;&gt;"Excluido"),1,0))</f>
        <v/>
      </c>
    </row>
    <row r="251" ht="15" customHeight="1" s="42">
      <c r="A251" s="47" t="n"/>
      <c r="B251" s="67" t="n"/>
      <c r="C251" s="67" t="n"/>
      <c r="D251" s="53" t="n"/>
      <c r="E251" s="51" t="n"/>
      <c r="F251" s="67" t="n"/>
      <c r="G251" s="53" t="n"/>
      <c r="H251" s="47" t="n"/>
      <c r="I251" s="53" t="n"/>
      <c r="J251" s="67" t="n"/>
      <c r="K251" s="67" t="n"/>
      <c r="L251" s="53" t="n"/>
      <c r="M251" s="74">
        <f>IF(A251="","",IF(AND(C251="Sí",K251="Sí",F251&lt;&gt;"Excluido"),1,0))</f>
        <v/>
      </c>
    </row>
    <row r="252" ht="15" customHeight="1" s="42">
      <c r="A252" s="47" t="n"/>
      <c r="B252" s="67" t="n"/>
      <c r="C252" s="67" t="n"/>
      <c r="D252" s="53" t="n"/>
      <c r="E252" s="51" t="n"/>
      <c r="F252" s="67" t="n"/>
      <c r="G252" s="53" t="n"/>
      <c r="H252" s="47" t="n"/>
      <c r="I252" s="53" t="n"/>
      <c r="J252" s="67" t="n"/>
      <c r="K252" s="67" t="n"/>
      <c r="L252" s="53" t="n"/>
      <c r="M252" s="74">
        <f>IF(A252="","",IF(AND(C252="Sí",K252="Sí",F252&lt;&gt;"Excluido"),1,0))</f>
        <v/>
      </c>
    </row>
    <row r="253" ht="15" customHeight="1" s="42">
      <c r="A253" s="47" t="n"/>
      <c r="B253" s="67" t="n"/>
      <c r="C253" s="67" t="n"/>
      <c r="D253" s="53" t="n"/>
      <c r="E253" s="51" t="n"/>
      <c r="F253" s="67" t="n"/>
      <c r="G253" s="53" t="n"/>
      <c r="H253" s="47" t="n"/>
      <c r="I253" s="53" t="n"/>
      <c r="J253" s="67" t="n"/>
      <c r="K253" s="67" t="n"/>
      <c r="L253" s="53" t="n"/>
      <c r="M253" s="74">
        <f>IF(A253="","",IF(AND(C253="Sí",K253="Sí",F253&lt;&gt;"Excluido"),1,0))</f>
        <v/>
      </c>
    </row>
    <row r="254" ht="15" customHeight="1" s="42">
      <c r="A254" s="47" t="n"/>
      <c r="B254" s="67" t="n"/>
      <c r="C254" s="67" t="n"/>
      <c r="D254" s="53" t="n"/>
      <c r="E254" s="51" t="n"/>
      <c r="F254" s="67" t="n"/>
      <c r="G254" s="53" t="n"/>
      <c r="H254" s="47" t="n"/>
      <c r="I254" s="53" t="n"/>
      <c r="J254" s="67" t="n"/>
      <c r="K254" s="67" t="n"/>
      <c r="L254" s="53" t="n"/>
      <c r="M254" s="74">
        <f>IF(A254="","",IF(AND(C254="Sí",K254="Sí",F254&lt;&gt;"Excluido"),1,0))</f>
        <v/>
      </c>
    </row>
    <row r="255" ht="15" customHeight="1" s="42">
      <c r="A255" s="47" t="n"/>
      <c r="B255" s="67" t="n"/>
      <c r="C255" s="67" t="n"/>
      <c r="D255" s="53" t="n"/>
      <c r="E255" s="51" t="n"/>
      <c r="F255" s="67" t="n"/>
      <c r="G255" s="53" t="n"/>
      <c r="H255" s="47" t="n"/>
      <c r="I255" s="53" t="n"/>
      <c r="J255" s="67" t="n"/>
      <c r="K255" s="67" t="n"/>
      <c r="L255" s="53" t="n"/>
      <c r="M255" s="74">
        <f>IF(A255="","",IF(AND(C255="Sí",K255="Sí",F255&lt;&gt;"Excluido"),1,0))</f>
        <v/>
      </c>
    </row>
    <row r="256" ht="15" customHeight="1" s="42">
      <c r="A256" s="47" t="n"/>
      <c r="B256" s="67" t="n"/>
      <c r="C256" s="67" t="n"/>
      <c r="D256" s="53" t="n"/>
      <c r="E256" s="51" t="n"/>
      <c r="F256" s="67" t="n"/>
      <c r="G256" s="53" t="n"/>
      <c r="H256" s="47" t="n"/>
      <c r="I256" s="53" t="n"/>
      <c r="J256" s="67" t="n"/>
      <c r="K256" s="67" t="n"/>
      <c r="L256" s="53" t="n"/>
      <c r="M256" s="74">
        <f>IF(A256="","",IF(AND(C256="Sí",K256="Sí",F256&lt;&gt;"Excluido"),1,0))</f>
        <v/>
      </c>
    </row>
    <row r="257" ht="15" customHeight="1" s="42">
      <c r="A257" s="47" t="n"/>
      <c r="B257" s="67" t="n"/>
      <c r="C257" s="67" t="n"/>
      <c r="D257" s="53" t="n"/>
      <c r="E257" s="51" t="n"/>
      <c r="F257" s="67" t="n"/>
      <c r="G257" s="53" t="n"/>
      <c r="H257" s="47" t="n"/>
      <c r="I257" s="53" t="n"/>
      <c r="J257" s="67" t="n"/>
      <c r="K257" s="67" t="n"/>
      <c r="L257" s="53" t="n"/>
      <c r="M257" s="74">
        <f>IF(A257="","",IF(AND(C257="Sí",K257="Sí",F257&lt;&gt;"Excluido"),1,0))</f>
        <v/>
      </c>
    </row>
    <row r="258" ht="15" customHeight="1" s="42">
      <c r="A258" s="47" t="n"/>
      <c r="B258" s="67" t="n"/>
      <c r="C258" s="67" t="n"/>
      <c r="D258" s="53" t="n"/>
      <c r="E258" s="51" t="n"/>
      <c r="F258" s="67" t="n"/>
      <c r="G258" s="53" t="n"/>
      <c r="H258" s="47" t="n"/>
      <c r="I258" s="53" t="n"/>
      <c r="J258" s="67" t="n"/>
      <c r="K258" s="67" t="n"/>
      <c r="L258" s="53" t="n"/>
      <c r="M258" s="74">
        <f>IF(A258="","",IF(AND(C258="Sí",K258="Sí",F258&lt;&gt;"Excluido"),1,0))</f>
        <v/>
      </c>
    </row>
    <row r="259" ht="15" customHeight="1" s="42">
      <c r="A259" s="47" t="n"/>
      <c r="B259" s="67" t="n"/>
      <c r="C259" s="67" t="n"/>
      <c r="D259" s="53" t="n"/>
      <c r="E259" s="51" t="n"/>
      <c r="F259" s="67" t="n"/>
      <c r="G259" s="53" t="n"/>
      <c r="H259" s="47" t="n"/>
      <c r="I259" s="53" t="n"/>
      <c r="J259" s="67" t="n"/>
      <c r="K259" s="67" t="n"/>
      <c r="L259" s="53" t="n"/>
      <c r="M259" s="74">
        <f>IF(A259="","",IF(AND(C259="Sí",K259="Sí",F259&lt;&gt;"Excluido"),1,0))</f>
        <v/>
      </c>
    </row>
    <row r="260" ht="15" customHeight="1" s="42">
      <c r="A260" s="47" t="n"/>
      <c r="B260" s="67" t="n"/>
      <c r="C260" s="67" t="n"/>
      <c r="D260" s="53" t="n"/>
      <c r="E260" s="51" t="n"/>
      <c r="F260" s="67" t="n"/>
      <c r="G260" s="53" t="n"/>
      <c r="H260" s="47" t="n"/>
      <c r="I260" s="53" t="n"/>
      <c r="J260" s="67" t="n"/>
      <c r="K260" s="67" t="n"/>
      <c r="L260" s="53" t="n"/>
      <c r="M260" s="74">
        <f>IF(A260="","",IF(AND(C260="Sí",K260="Sí",F260&lt;&gt;"Excluido"),1,0))</f>
        <v/>
      </c>
    </row>
    <row r="261" ht="15" customHeight="1" s="42">
      <c r="A261" s="47" t="n"/>
      <c r="B261" s="67" t="n"/>
      <c r="C261" s="67" t="n"/>
      <c r="D261" s="53" t="n"/>
      <c r="E261" s="51" t="n"/>
      <c r="F261" s="67" t="n"/>
      <c r="G261" s="53" t="n"/>
      <c r="H261" s="47" t="n"/>
      <c r="I261" s="53" t="n"/>
      <c r="J261" s="67" t="n"/>
      <c r="K261" s="67" t="n"/>
      <c r="L261" s="53" t="n"/>
      <c r="M261" s="74">
        <f>IF(A261="","",IF(AND(C261="Sí",K261="Sí",F261&lt;&gt;"Excluido"),1,0))</f>
        <v/>
      </c>
    </row>
    <row r="262" ht="15" customHeight="1" s="42">
      <c r="A262" s="47" t="n"/>
      <c r="B262" s="67" t="n"/>
      <c r="C262" s="67" t="n"/>
      <c r="D262" s="53" t="n"/>
      <c r="E262" s="51" t="n"/>
      <c r="F262" s="67" t="n"/>
      <c r="G262" s="53" t="n"/>
      <c r="H262" s="47" t="n"/>
      <c r="I262" s="53" t="n"/>
      <c r="J262" s="67" t="n"/>
      <c r="K262" s="67" t="n"/>
      <c r="L262" s="53" t="n"/>
      <c r="M262" s="74">
        <f>IF(A262="","",IF(AND(C262="Sí",K262="Sí",F262&lt;&gt;"Excluido"),1,0))</f>
        <v/>
      </c>
    </row>
    <row r="263" ht="15" customHeight="1" s="42">
      <c r="A263" s="47" t="n"/>
      <c r="B263" s="67" t="n"/>
      <c r="C263" s="67" t="n"/>
      <c r="D263" s="53" t="n"/>
      <c r="E263" s="51" t="n"/>
      <c r="F263" s="67" t="n"/>
      <c r="G263" s="53" t="n"/>
      <c r="H263" s="47" t="n"/>
      <c r="I263" s="53" t="n"/>
      <c r="J263" s="67" t="n"/>
      <c r="K263" s="67" t="n"/>
      <c r="L263" s="53" t="n"/>
      <c r="M263" s="74">
        <f>IF(A263="","",IF(AND(C263="Sí",K263="Sí",F263&lt;&gt;"Excluido"),1,0))</f>
        <v/>
      </c>
    </row>
    <row r="264" ht="15" customHeight="1" s="42">
      <c r="A264" s="47" t="n"/>
      <c r="B264" s="67" t="n"/>
      <c r="C264" s="67" t="n"/>
      <c r="D264" s="53" t="n"/>
      <c r="E264" s="51" t="n"/>
      <c r="F264" s="67" t="n"/>
      <c r="G264" s="53" t="n"/>
      <c r="H264" s="47" t="n"/>
      <c r="I264" s="53" t="n"/>
      <c r="J264" s="67" t="n"/>
      <c r="K264" s="67" t="n"/>
      <c r="L264" s="53" t="n"/>
      <c r="M264" s="74">
        <f>IF(A264="","",IF(AND(C264="Sí",K264="Sí",F264&lt;&gt;"Excluido"),1,0))</f>
        <v/>
      </c>
    </row>
    <row r="265" ht="15" customHeight="1" s="42">
      <c r="A265" s="47" t="n"/>
      <c r="B265" s="67" t="n"/>
      <c r="C265" s="67" t="n"/>
      <c r="D265" s="53" t="n"/>
      <c r="E265" s="51" t="n"/>
      <c r="F265" s="67" t="n"/>
      <c r="G265" s="53" t="n"/>
      <c r="H265" s="47" t="n"/>
      <c r="I265" s="53" t="n"/>
      <c r="J265" s="67" t="n"/>
      <c r="K265" s="67" t="n"/>
      <c r="L265" s="53" t="n"/>
      <c r="M265" s="74">
        <f>IF(A265="","",IF(AND(C265="Sí",K265="Sí",F265&lt;&gt;"Excluido"),1,0))</f>
        <v/>
      </c>
    </row>
    <row r="266" ht="15" customHeight="1" s="42">
      <c r="A266" s="47" t="n"/>
      <c r="B266" s="67" t="n"/>
      <c r="C266" s="67" t="n"/>
      <c r="D266" s="53" t="n"/>
      <c r="E266" s="51" t="n"/>
      <c r="F266" s="67" t="n"/>
      <c r="G266" s="53" t="n"/>
      <c r="H266" s="47" t="n"/>
      <c r="I266" s="53" t="n"/>
      <c r="J266" s="67" t="n"/>
      <c r="K266" s="67" t="n"/>
      <c r="L266" s="53" t="n"/>
      <c r="M266" s="74">
        <f>IF(A266="","",IF(AND(C266="Sí",K266="Sí",F266&lt;&gt;"Excluido"),1,0))</f>
        <v/>
      </c>
    </row>
    <row r="267" ht="15" customHeight="1" s="42">
      <c r="A267" s="47" t="n"/>
      <c r="B267" s="67" t="n"/>
      <c r="C267" s="67" t="n"/>
      <c r="D267" s="53" t="n"/>
      <c r="E267" s="51" t="n"/>
      <c r="F267" s="67" t="n"/>
      <c r="G267" s="53" t="n"/>
      <c r="H267" s="47" t="n"/>
      <c r="I267" s="53" t="n"/>
      <c r="J267" s="67" t="n"/>
      <c r="K267" s="67" t="n"/>
      <c r="L267" s="53" t="n"/>
      <c r="M267" s="74">
        <f>IF(A267="","",IF(AND(C267="Sí",K267="Sí",F267&lt;&gt;"Excluido"),1,0))</f>
        <v/>
      </c>
    </row>
    <row r="268" ht="15" customHeight="1" s="42">
      <c r="A268" s="47" t="n"/>
      <c r="B268" s="67" t="n"/>
      <c r="C268" s="67" t="n"/>
      <c r="D268" s="53" t="n"/>
      <c r="E268" s="51" t="n"/>
      <c r="F268" s="67" t="n"/>
      <c r="G268" s="53" t="n"/>
      <c r="H268" s="47" t="n"/>
      <c r="I268" s="53" t="n"/>
      <c r="J268" s="67" t="n"/>
      <c r="K268" s="67" t="n"/>
      <c r="L268" s="53" t="n"/>
      <c r="M268" s="74">
        <f>IF(A268="","",IF(AND(C268="Sí",K268="Sí",F268&lt;&gt;"Excluido"),1,0))</f>
        <v/>
      </c>
    </row>
    <row r="269" ht="15" customHeight="1" s="42">
      <c r="A269" s="47" t="n"/>
      <c r="B269" s="67" t="n"/>
      <c r="C269" s="67" t="n"/>
      <c r="D269" s="53" t="n"/>
      <c r="E269" s="51" t="n"/>
      <c r="F269" s="67" t="n"/>
      <c r="G269" s="53" t="n"/>
      <c r="H269" s="47" t="n"/>
      <c r="I269" s="53" t="n"/>
      <c r="J269" s="67" t="n"/>
      <c r="K269" s="67" t="n"/>
      <c r="L269" s="53" t="n"/>
      <c r="M269" s="74">
        <f>IF(A269="","",IF(AND(C269="Sí",K269="Sí",F269&lt;&gt;"Excluido"),1,0))</f>
        <v/>
      </c>
    </row>
    <row r="270" ht="15" customHeight="1" s="42">
      <c r="A270" s="47" t="n"/>
      <c r="B270" s="67" t="n"/>
      <c r="C270" s="67" t="n"/>
      <c r="D270" s="53" t="n"/>
      <c r="E270" s="51" t="n"/>
      <c r="F270" s="67" t="n"/>
      <c r="G270" s="53" t="n"/>
      <c r="H270" s="47" t="n"/>
      <c r="I270" s="53" t="n"/>
      <c r="J270" s="67" t="n"/>
      <c r="K270" s="67" t="n"/>
      <c r="L270" s="53" t="n"/>
      <c r="M270" s="74">
        <f>IF(A270="","",IF(AND(C270="Sí",K270="Sí",F270&lt;&gt;"Excluido"),1,0))</f>
        <v/>
      </c>
    </row>
    <row r="271" ht="15" customHeight="1" s="42">
      <c r="A271" s="47" t="n"/>
      <c r="B271" s="67" t="n"/>
      <c r="C271" s="67" t="n"/>
      <c r="D271" s="53" t="n"/>
      <c r="E271" s="51" t="n"/>
      <c r="F271" s="67" t="n"/>
      <c r="G271" s="53" t="n"/>
      <c r="H271" s="47" t="n"/>
      <c r="I271" s="53" t="n"/>
      <c r="J271" s="67" t="n"/>
      <c r="K271" s="67" t="n"/>
      <c r="L271" s="53" t="n"/>
      <c r="M271" s="74">
        <f>IF(A271="","",IF(AND(C271="Sí",K271="Sí",F271&lt;&gt;"Excluido"),1,0))</f>
        <v/>
      </c>
    </row>
    <row r="272" ht="15" customHeight="1" s="42">
      <c r="A272" s="47" t="n"/>
      <c r="B272" s="67" t="n"/>
      <c r="C272" s="67" t="n"/>
      <c r="D272" s="53" t="n"/>
      <c r="E272" s="51" t="n"/>
      <c r="F272" s="67" t="n"/>
      <c r="G272" s="53" t="n"/>
      <c r="H272" s="47" t="n"/>
      <c r="I272" s="53" t="n"/>
      <c r="J272" s="67" t="n"/>
      <c r="K272" s="67" t="n"/>
      <c r="L272" s="53" t="n"/>
      <c r="M272" s="74">
        <f>IF(A272="","",IF(AND(C272="Sí",K272="Sí",F272&lt;&gt;"Excluido"),1,0))</f>
        <v/>
      </c>
    </row>
    <row r="273" ht="15" customHeight="1" s="42">
      <c r="A273" s="47" t="n"/>
      <c r="B273" s="67" t="n"/>
      <c r="C273" s="67" t="n"/>
      <c r="D273" s="53" t="n"/>
      <c r="E273" s="51" t="n"/>
      <c r="F273" s="67" t="n"/>
      <c r="G273" s="53" t="n"/>
      <c r="H273" s="47" t="n"/>
      <c r="I273" s="53" t="n"/>
      <c r="J273" s="67" t="n"/>
      <c r="K273" s="67" t="n"/>
      <c r="L273" s="53" t="n"/>
      <c r="M273" s="74">
        <f>IF(A273="","",IF(AND(C273="Sí",K273="Sí",F273&lt;&gt;"Excluido"),1,0))</f>
        <v/>
      </c>
    </row>
    <row r="274" ht="15" customHeight="1" s="42">
      <c r="A274" s="47" t="n"/>
      <c r="B274" s="67" t="n"/>
      <c r="C274" s="67" t="n"/>
      <c r="D274" s="53" t="n"/>
      <c r="E274" s="51" t="n"/>
      <c r="F274" s="67" t="n"/>
      <c r="G274" s="53" t="n"/>
      <c r="H274" s="47" t="n"/>
      <c r="I274" s="53" t="n"/>
      <c r="J274" s="67" t="n"/>
      <c r="K274" s="67" t="n"/>
      <c r="L274" s="53" t="n"/>
      <c r="M274" s="74">
        <f>IF(A274="","",IF(AND(C274="Sí",K274="Sí",F274&lt;&gt;"Excluido"),1,0))</f>
        <v/>
      </c>
    </row>
    <row r="275" ht="15" customHeight="1" s="42">
      <c r="A275" s="47" t="n"/>
      <c r="B275" s="67" t="n"/>
      <c r="C275" s="67" t="n"/>
      <c r="D275" s="53" t="n"/>
      <c r="E275" s="51" t="n"/>
      <c r="F275" s="67" t="n"/>
      <c r="G275" s="53" t="n"/>
      <c r="H275" s="47" t="n"/>
      <c r="I275" s="53" t="n"/>
      <c r="J275" s="67" t="n"/>
      <c r="K275" s="67" t="n"/>
      <c r="L275" s="53" t="n"/>
      <c r="M275" s="74">
        <f>IF(A275="","",IF(AND(C275="Sí",K275="Sí",F275&lt;&gt;"Excluido"),1,0))</f>
        <v/>
      </c>
    </row>
    <row r="276" ht="15" customHeight="1" s="42">
      <c r="A276" s="47" t="n"/>
      <c r="B276" s="67" t="n"/>
      <c r="C276" s="67" t="n"/>
      <c r="D276" s="53" t="n"/>
      <c r="E276" s="51" t="n"/>
      <c r="F276" s="67" t="n"/>
      <c r="G276" s="53" t="n"/>
      <c r="H276" s="47" t="n"/>
      <c r="I276" s="53" t="n"/>
      <c r="J276" s="67" t="n"/>
      <c r="K276" s="67" t="n"/>
      <c r="L276" s="53" t="n"/>
      <c r="M276" s="74">
        <f>IF(A276="","",IF(AND(C276="Sí",K276="Sí",F276&lt;&gt;"Excluido"),1,0))</f>
        <v/>
      </c>
    </row>
    <row r="277" ht="15" customHeight="1" s="42">
      <c r="A277" s="47" t="n"/>
      <c r="B277" s="67" t="n"/>
      <c r="C277" s="67" t="n"/>
      <c r="D277" s="53" t="n"/>
      <c r="E277" s="51" t="n"/>
      <c r="F277" s="67" t="n"/>
      <c r="G277" s="53" t="n"/>
      <c r="H277" s="47" t="n"/>
      <c r="I277" s="53" t="n"/>
      <c r="J277" s="67" t="n"/>
      <c r="K277" s="67" t="n"/>
      <c r="L277" s="53" t="n"/>
      <c r="M277" s="74">
        <f>IF(A277="","",IF(AND(C277="Sí",K277="Sí",F277&lt;&gt;"Excluido"),1,0))</f>
        <v/>
      </c>
    </row>
    <row r="278" ht="15" customHeight="1" s="42">
      <c r="A278" s="47" t="n"/>
      <c r="B278" s="67" t="n"/>
      <c r="C278" s="67" t="n"/>
      <c r="D278" s="53" t="n"/>
      <c r="E278" s="51" t="n"/>
      <c r="F278" s="67" t="n"/>
      <c r="G278" s="53" t="n"/>
      <c r="H278" s="47" t="n"/>
      <c r="I278" s="53" t="n"/>
      <c r="J278" s="67" t="n"/>
      <c r="K278" s="67" t="n"/>
      <c r="L278" s="53" t="n"/>
      <c r="M278" s="74">
        <f>IF(A278="","",IF(AND(C278="Sí",K278="Sí",F278&lt;&gt;"Excluido"),1,0))</f>
        <v/>
      </c>
    </row>
    <row r="279" ht="15" customHeight="1" s="42">
      <c r="A279" s="47" t="n"/>
      <c r="B279" s="67" t="n"/>
      <c r="C279" s="67" t="n"/>
      <c r="D279" s="53" t="n"/>
      <c r="E279" s="51" t="n"/>
      <c r="F279" s="67" t="n"/>
      <c r="G279" s="53" t="n"/>
      <c r="H279" s="47" t="n"/>
      <c r="I279" s="53" t="n"/>
      <c r="J279" s="67" t="n"/>
      <c r="K279" s="67" t="n"/>
      <c r="L279" s="53" t="n"/>
      <c r="M279" s="74">
        <f>IF(A279="","",IF(AND(C279="Sí",K279="Sí",F279&lt;&gt;"Excluido"),1,0))</f>
        <v/>
      </c>
    </row>
    <row r="280" ht="15" customHeight="1" s="42">
      <c r="A280" s="47" t="n"/>
      <c r="B280" s="67" t="n"/>
      <c r="C280" s="67" t="n"/>
      <c r="D280" s="53" t="n"/>
      <c r="E280" s="51" t="n"/>
      <c r="F280" s="67" t="n"/>
      <c r="G280" s="53" t="n"/>
      <c r="H280" s="47" t="n"/>
      <c r="I280" s="53" t="n"/>
      <c r="J280" s="67" t="n"/>
      <c r="K280" s="67" t="n"/>
      <c r="L280" s="53" t="n"/>
      <c r="M280" s="74">
        <f>IF(A280="","",IF(AND(C280="Sí",K280="Sí",F280&lt;&gt;"Excluido"),1,0))</f>
        <v/>
      </c>
    </row>
    <row r="281" ht="15" customHeight="1" s="42">
      <c r="A281" s="47" t="n"/>
      <c r="B281" s="67" t="n"/>
      <c r="C281" s="67" t="n"/>
      <c r="D281" s="53" t="n"/>
      <c r="E281" s="51" t="n"/>
      <c r="F281" s="67" t="n"/>
      <c r="G281" s="53" t="n"/>
      <c r="H281" s="47" t="n"/>
      <c r="I281" s="53" t="n"/>
      <c r="J281" s="67" t="n"/>
      <c r="K281" s="67" t="n"/>
      <c r="L281" s="53" t="n"/>
      <c r="M281" s="74">
        <f>IF(A281="","",IF(AND(C281="Sí",K281="Sí",F281&lt;&gt;"Excluido"),1,0))</f>
        <v/>
      </c>
    </row>
    <row r="282" ht="15" customHeight="1" s="42">
      <c r="A282" s="47" t="n"/>
      <c r="B282" s="67" t="n"/>
      <c r="C282" s="67" t="n"/>
      <c r="D282" s="53" t="n"/>
      <c r="E282" s="51" t="n"/>
      <c r="F282" s="67" t="n"/>
      <c r="G282" s="53" t="n"/>
      <c r="H282" s="47" t="n"/>
      <c r="I282" s="53" t="n"/>
      <c r="J282" s="67" t="n"/>
      <c r="K282" s="67" t="n"/>
      <c r="L282" s="53" t="n"/>
      <c r="M282" s="74">
        <f>IF(A282="","",IF(AND(C282="Sí",K282="Sí",F282&lt;&gt;"Excluido"),1,0))</f>
        <v/>
      </c>
    </row>
    <row r="283" ht="15" customHeight="1" s="42">
      <c r="A283" s="47" t="n"/>
      <c r="B283" s="67" t="n"/>
      <c r="C283" s="67" t="n"/>
      <c r="D283" s="53" t="n"/>
      <c r="E283" s="51" t="n"/>
      <c r="F283" s="67" t="n"/>
      <c r="G283" s="53" t="n"/>
      <c r="H283" s="47" t="n"/>
      <c r="I283" s="53" t="n"/>
      <c r="J283" s="67" t="n"/>
      <c r="K283" s="67" t="n"/>
      <c r="L283" s="53" t="n"/>
      <c r="M283" s="74">
        <f>IF(A283="","",IF(AND(C283="Sí",K283="Sí",F283&lt;&gt;"Excluido"),1,0))</f>
        <v/>
      </c>
    </row>
    <row r="284" ht="15" customHeight="1" s="42">
      <c r="A284" s="47" t="n"/>
      <c r="B284" s="67" t="n"/>
      <c r="C284" s="67" t="n"/>
      <c r="D284" s="53" t="n"/>
      <c r="E284" s="51" t="n"/>
      <c r="F284" s="67" t="n"/>
      <c r="G284" s="53" t="n"/>
      <c r="H284" s="47" t="n"/>
      <c r="I284" s="53" t="n"/>
      <c r="J284" s="67" t="n"/>
      <c r="K284" s="67" t="n"/>
      <c r="L284" s="53" t="n"/>
      <c r="M284" s="74">
        <f>IF(A284="","",IF(AND(C284="Sí",K284="Sí",F284&lt;&gt;"Excluido"),1,0))</f>
        <v/>
      </c>
    </row>
    <row r="285" ht="15" customHeight="1" s="42">
      <c r="A285" s="47" t="n"/>
      <c r="B285" s="67" t="n"/>
      <c r="C285" s="67" t="n"/>
      <c r="D285" s="53" t="n"/>
      <c r="E285" s="51" t="n"/>
      <c r="F285" s="67" t="n"/>
      <c r="G285" s="53" t="n"/>
      <c r="H285" s="47" t="n"/>
      <c r="I285" s="53" t="n"/>
      <c r="J285" s="67" t="n"/>
      <c r="K285" s="67" t="n"/>
      <c r="L285" s="53" t="n"/>
      <c r="M285" s="74">
        <f>IF(A285="","",IF(AND(C285="Sí",K285="Sí",F285&lt;&gt;"Excluido"),1,0))</f>
        <v/>
      </c>
    </row>
    <row r="286" ht="15" customHeight="1" s="42">
      <c r="A286" s="47" t="n"/>
      <c r="B286" s="67" t="n"/>
      <c r="C286" s="67" t="n"/>
      <c r="D286" s="53" t="n"/>
      <c r="E286" s="51" t="n"/>
      <c r="F286" s="67" t="n"/>
      <c r="G286" s="53" t="n"/>
      <c r="H286" s="47" t="n"/>
      <c r="I286" s="53" t="n"/>
      <c r="J286" s="67" t="n"/>
      <c r="K286" s="67" t="n"/>
      <c r="L286" s="53" t="n"/>
      <c r="M286" s="74">
        <f>IF(A286="","",IF(AND(C286="Sí",K286="Sí",F286&lt;&gt;"Excluido"),1,0))</f>
        <v/>
      </c>
    </row>
    <row r="287" ht="15" customHeight="1" s="42">
      <c r="A287" s="47" t="n"/>
      <c r="B287" s="67" t="n"/>
      <c r="C287" s="67" t="n"/>
      <c r="D287" s="53" t="n"/>
      <c r="E287" s="51" t="n"/>
      <c r="F287" s="67" t="n"/>
      <c r="G287" s="53" t="n"/>
      <c r="H287" s="47" t="n"/>
      <c r="I287" s="53" t="n"/>
      <c r="J287" s="67" t="n"/>
      <c r="K287" s="67" t="n"/>
      <c r="L287" s="53" t="n"/>
      <c r="M287" s="74">
        <f>IF(A287="","",IF(AND(C287="Sí",K287="Sí",F287&lt;&gt;"Excluido"),1,0))</f>
        <v/>
      </c>
    </row>
    <row r="288" ht="15" customHeight="1" s="42">
      <c r="A288" s="47" t="n"/>
      <c r="B288" s="67" t="n"/>
      <c r="C288" s="67" t="n"/>
      <c r="D288" s="53" t="n"/>
      <c r="E288" s="51" t="n"/>
      <c r="F288" s="67" t="n"/>
      <c r="G288" s="53" t="n"/>
      <c r="H288" s="47" t="n"/>
      <c r="I288" s="53" t="n"/>
      <c r="J288" s="67" t="n"/>
      <c r="K288" s="67" t="n"/>
      <c r="L288" s="53" t="n"/>
      <c r="M288" s="74">
        <f>IF(A288="","",IF(AND(C288="Sí",K288="Sí",F288&lt;&gt;"Excluido"),1,0))</f>
        <v/>
      </c>
    </row>
    <row r="289" ht="15" customHeight="1" s="42">
      <c r="A289" s="47" t="n"/>
      <c r="B289" s="67" t="n"/>
      <c r="C289" s="67" t="n"/>
      <c r="D289" s="53" t="n"/>
      <c r="E289" s="51" t="n"/>
      <c r="F289" s="67" t="n"/>
      <c r="G289" s="53" t="n"/>
      <c r="H289" s="47" t="n"/>
      <c r="I289" s="53" t="n"/>
      <c r="J289" s="67" t="n"/>
      <c r="K289" s="67" t="n"/>
      <c r="L289" s="53" t="n"/>
      <c r="M289" s="74">
        <f>IF(A289="","",IF(AND(C289="Sí",K289="Sí",F289&lt;&gt;"Excluido"),1,0))</f>
        <v/>
      </c>
    </row>
    <row r="290" ht="15" customHeight="1" s="42">
      <c r="A290" s="47" t="n"/>
      <c r="B290" s="67" t="n"/>
      <c r="C290" s="67" t="n"/>
      <c r="D290" s="53" t="n"/>
      <c r="E290" s="51" t="n"/>
      <c r="F290" s="67" t="n"/>
      <c r="G290" s="53" t="n"/>
      <c r="H290" s="47" t="n"/>
      <c r="I290" s="53" t="n"/>
      <c r="J290" s="67" t="n"/>
      <c r="K290" s="67" t="n"/>
      <c r="L290" s="53" t="n"/>
      <c r="M290" s="74">
        <f>IF(A290="","",IF(AND(C290="Sí",K290="Sí",F290&lt;&gt;"Excluido"),1,0))</f>
        <v/>
      </c>
    </row>
    <row r="291" ht="15" customHeight="1" s="42">
      <c r="A291" s="47" t="n"/>
      <c r="B291" s="67" t="n"/>
      <c r="C291" s="67" t="n"/>
      <c r="D291" s="53" t="n"/>
      <c r="E291" s="51" t="n"/>
      <c r="F291" s="67" t="n"/>
      <c r="G291" s="53" t="n"/>
      <c r="H291" s="47" t="n"/>
      <c r="I291" s="53" t="n"/>
      <c r="J291" s="67" t="n"/>
      <c r="K291" s="67" t="n"/>
      <c r="L291" s="53" t="n"/>
      <c r="M291" s="74">
        <f>IF(A291="","",IF(AND(C291="Sí",K291="Sí",F291&lt;&gt;"Excluido"),1,0))</f>
        <v/>
      </c>
    </row>
    <row r="292" ht="15" customHeight="1" s="42">
      <c r="A292" s="47" t="n"/>
      <c r="B292" s="67" t="n"/>
      <c r="C292" s="67" t="n"/>
      <c r="D292" s="53" t="n"/>
      <c r="E292" s="51" t="n"/>
      <c r="F292" s="67" t="n"/>
      <c r="G292" s="53" t="n"/>
      <c r="H292" s="47" t="n"/>
      <c r="I292" s="53" t="n"/>
      <c r="J292" s="67" t="n"/>
      <c r="K292" s="67" t="n"/>
      <c r="L292" s="53" t="n"/>
      <c r="M292" s="74">
        <f>IF(A292="","",IF(AND(C292="Sí",K292="Sí",F292&lt;&gt;"Excluido"),1,0))</f>
        <v/>
      </c>
    </row>
    <row r="293" ht="15" customHeight="1" s="42">
      <c r="A293" s="47" t="n"/>
      <c r="B293" s="67" t="n"/>
      <c r="C293" s="67" t="n"/>
      <c r="D293" s="53" t="n"/>
      <c r="E293" s="51" t="n"/>
      <c r="F293" s="67" t="n"/>
      <c r="G293" s="53" t="n"/>
      <c r="H293" s="47" t="n"/>
      <c r="I293" s="53" t="n"/>
      <c r="J293" s="67" t="n"/>
      <c r="K293" s="67" t="n"/>
      <c r="L293" s="53" t="n"/>
      <c r="M293" s="74">
        <f>IF(A293="","",IF(AND(C293="Sí",K293="Sí",F293&lt;&gt;"Excluido"),1,0))</f>
        <v/>
      </c>
    </row>
    <row r="294" ht="15" customHeight="1" s="42">
      <c r="A294" s="47" t="n"/>
      <c r="B294" s="67" t="n"/>
      <c r="C294" s="67" t="n"/>
      <c r="D294" s="53" t="n"/>
      <c r="E294" s="51" t="n"/>
      <c r="F294" s="67" t="n"/>
      <c r="G294" s="53" t="n"/>
      <c r="H294" s="47" t="n"/>
      <c r="I294" s="53" t="n"/>
      <c r="J294" s="67" t="n"/>
      <c r="K294" s="67" t="n"/>
      <c r="L294" s="53" t="n"/>
      <c r="M294" s="74">
        <f>IF(A294="","",IF(AND(C294="Sí",K294="Sí",F294&lt;&gt;"Excluido"),1,0))</f>
        <v/>
      </c>
    </row>
    <row r="295" ht="15" customHeight="1" s="42">
      <c r="A295" s="47" t="n"/>
      <c r="B295" s="67" t="n"/>
      <c r="C295" s="67" t="n"/>
      <c r="D295" s="53" t="n"/>
      <c r="E295" s="51" t="n"/>
      <c r="F295" s="67" t="n"/>
      <c r="G295" s="53" t="n"/>
      <c r="H295" s="47" t="n"/>
      <c r="I295" s="53" t="n"/>
      <c r="J295" s="67" t="n"/>
      <c r="K295" s="67" t="n"/>
      <c r="L295" s="53" t="n"/>
      <c r="M295" s="74">
        <f>IF(A295="","",IF(AND(C295="Sí",K295="Sí",F295&lt;&gt;"Excluido"),1,0))</f>
        <v/>
      </c>
    </row>
    <row r="296" ht="15" customHeight="1" s="42">
      <c r="A296" s="47" t="n"/>
      <c r="B296" s="67" t="n"/>
      <c r="C296" s="67" t="n"/>
      <c r="D296" s="53" t="n"/>
      <c r="E296" s="51" t="n"/>
      <c r="F296" s="67" t="n"/>
      <c r="G296" s="53" t="n"/>
      <c r="H296" s="47" t="n"/>
      <c r="I296" s="53" t="n"/>
      <c r="J296" s="67" t="n"/>
      <c r="K296" s="67" t="n"/>
      <c r="L296" s="53" t="n"/>
      <c r="M296" s="74">
        <f>IF(A296="","",IF(AND(C296="Sí",K296="Sí",F296&lt;&gt;"Excluido"),1,0))</f>
        <v/>
      </c>
    </row>
    <row r="297" ht="15" customHeight="1" s="42">
      <c r="A297" s="47" t="n"/>
      <c r="B297" s="67" t="n"/>
      <c r="C297" s="67" t="n"/>
      <c r="D297" s="53" t="n"/>
      <c r="E297" s="51" t="n"/>
      <c r="F297" s="67" t="n"/>
      <c r="G297" s="53" t="n"/>
      <c r="H297" s="47" t="n"/>
      <c r="I297" s="53" t="n"/>
      <c r="J297" s="67" t="n"/>
      <c r="K297" s="67" t="n"/>
      <c r="L297" s="53" t="n"/>
      <c r="M297" s="74">
        <f>IF(A297="","",IF(AND(C297="Sí",K297="Sí",F297&lt;&gt;"Excluido"),1,0))</f>
        <v/>
      </c>
    </row>
    <row r="298" ht="15" customHeight="1" s="42">
      <c r="A298" s="47" t="n"/>
      <c r="B298" s="67" t="n"/>
      <c r="C298" s="67" t="n"/>
      <c r="D298" s="53" t="n"/>
      <c r="E298" s="51" t="n"/>
      <c r="F298" s="67" t="n"/>
      <c r="G298" s="53" t="n"/>
      <c r="H298" s="47" t="n"/>
      <c r="I298" s="53" t="n"/>
      <c r="J298" s="67" t="n"/>
      <c r="K298" s="67" t="n"/>
      <c r="L298" s="53" t="n"/>
      <c r="M298" s="74">
        <f>IF(A298="","",IF(AND(C298="Sí",K298="Sí",F298&lt;&gt;"Excluido"),1,0))</f>
        <v/>
      </c>
    </row>
    <row r="299" ht="15" customHeight="1" s="42">
      <c r="A299" s="47" t="n"/>
      <c r="B299" s="67" t="n"/>
      <c r="C299" s="67" t="n"/>
      <c r="D299" s="53" t="n"/>
      <c r="E299" s="51" t="n"/>
      <c r="F299" s="67" t="n"/>
      <c r="G299" s="53" t="n"/>
      <c r="H299" s="47" t="n"/>
      <c r="I299" s="53" t="n"/>
      <c r="J299" s="67" t="n"/>
      <c r="K299" s="67" t="n"/>
      <c r="L299" s="53" t="n"/>
      <c r="M299" s="74">
        <f>IF(A299="","",IF(AND(C299="Sí",K299="Sí",F299&lt;&gt;"Excluido"),1,0))</f>
        <v/>
      </c>
    </row>
    <row r="300" ht="15" customHeight="1" s="42">
      <c r="A300" s="47" t="n"/>
      <c r="B300" s="67" t="n"/>
      <c r="C300" s="67" t="n"/>
      <c r="D300" s="53" t="n"/>
      <c r="E300" s="51" t="n"/>
      <c r="F300" s="67" t="n"/>
      <c r="G300" s="53" t="n"/>
      <c r="H300" s="47" t="n"/>
      <c r="I300" s="53" t="n"/>
      <c r="J300" s="67" t="n"/>
      <c r="K300" s="67" t="n"/>
      <c r="L300" s="53" t="n"/>
      <c r="M300" s="74">
        <f>IF(A300="","",IF(AND(C300="Sí",K300="Sí",F300&lt;&gt;"Excluido"),1,0))</f>
        <v/>
      </c>
    </row>
    <row r="301" ht="15" customHeight="1" s="42">
      <c r="A301" s="47" t="n"/>
      <c r="B301" s="67" t="n"/>
      <c r="C301" s="67" t="n"/>
      <c r="D301" s="53" t="n"/>
      <c r="E301" s="51" t="n"/>
      <c r="F301" s="67" t="n"/>
      <c r="G301" s="53" t="n"/>
      <c r="H301" s="47" t="n"/>
      <c r="I301" s="53" t="n"/>
      <c r="J301" s="67" t="n"/>
      <c r="K301" s="67" t="n"/>
      <c r="L301" s="53" t="n"/>
      <c r="M301" s="74">
        <f>IF(A301="","",IF(AND(C301="Sí",K301="Sí",F301&lt;&gt;"Excluido"),1,0))</f>
        <v/>
      </c>
    </row>
    <row r="302" ht="15" customHeight="1" s="42">
      <c r="A302" s="47" t="n"/>
      <c r="B302" s="67" t="n"/>
      <c r="C302" s="67" t="n"/>
      <c r="D302" s="53" t="n"/>
      <c r="E302" s="51" t="n"/>
      <c r="F302" s="67" t="n"/>
      <c r="G302" s="53" t="n"/>
      <c r="H302" s="47" t="n"/>
      <c r="I302" s="53" t="n"/>
      <c r="J302" s="67" t="n"/>
      <c r="K302" s="67" t="n"/>
      <c r="L302" s="53" t="n"/>
      <c r="M302" s="74">
        <f>IF(A302="","",IF(AND(C302="Sí",K302="Sí",F302&lt;&gt;"Excluido"),1,0))</f>
        <v/>
      </c>
    </row>
    <row r="303" ht="15" customHeight="1" s="42">
      <c r="A303" s="47" t="n"/>
      <c r="B303" s="67" t="n"/>
      <c r="C303" s="67" t="n"/>
      <c r="D303" s="53" t="n"/>
      <c r="E303" s="51" t="n"/>
      <c r="F303" s="67" t="n"/>
      <c r="G303" s="53" t="n"/>
      <c r="H303" s="47" t="n"/>
      <c r="I303" s="53" t="n"/>
      <c r="J303" s="67" t="n"/>
      <c r="K303" s="67" t="n"/>
      <c r="L303" s="53" t="n"/>
      <c r="M303" s="74">
        <f>IF(A303="","",IF(AND(C303="Sí",K303="Sí",F303&lt;&gt;"Excluido"),1,0))</f>
        <v/>
      </c>
    </row>
    <row r="304" ht="15" customHeight="1" s="42">
      <c r="A304" s="47" t="n"/>
      <c r="B304" s="67" t="n"/>
      <c r="C304" s="67" t="n"/>
      <c r="D304" s="53" t="n"/>
      <c r="E304" s="51" t="n"/>
      <c r="F304" s="67" t="n"/>
      <c r="G304" s="53" t="n"/>
      <c r="H304" s="47" t="n"/>
      <c r="I304" s="53" t="n"/>
      <c r="J304" s="67" t="n"/>
      <c r="K304" s="67" t="n"/>
      <c r="L304" s="53" t="n"/>
      <c r="M304" s="74">
        <f>IF(A304="","",IF(AND(C304="Sí",K304="Sí",F304&lt;&gt;"Excluido"),1,0))</f>
        <v/>
      </c>
    </row>
    <row r="305" ht="15" customHeight="1" s="42">
      <c r="A305" s="47" t="n"/>
      <c r="B305" s="67" t="n"/>
      <c r="C305" s="67" t="n"/>
      <c r="D305" s="53" t="n"/>
      <c r="E305" s="51" t="n"/>
      <c r="F305" s="67" t="n"/>
      <c r="G305" s="53" t="n"/>
      <c r="H305" s="47" t="n"/>
      <c r="I305" s="53" t="n"/>
      <c r="J305" s="67" t="n"/>
      <c r="K305" s="67" t="n"/>
      <c r="L305" s="53" t="n"/>
      <c r="M305" s="74">
        <f>IF(A305="","",IF(AND(C305="Sí",K305="Sí",F305&lt;&gt;"Excluido"),1,0))</f>
        <v/>
      </c>
    </row>
  </sheetData>
  <dataValidations count="6">
    <dataValidation sqref="B6:B305" showDropDown="0" showInputMessage="0" showErrorMessage="1" allowBlank="1" errorTitle="Valor no válido" error="Elija un valor de la lista." type="list" errorStyle="stop" operator="between">
      <formula1>Listas!$A$2:$A$4</formula1>
      <formula2>0</formula2>
    </dataValidation>
    <dataValidation sqref="C6:C305" showDropDown="0" showInputMessage="0" showErrorMessage="1" allowBlank="1" errorTitle="Valor no válido" error="Elija un valor de la lista." type="list" errorStyle="stop" operator="between">
      <formula1>Listas!$B$2:$B$3</formula1>
      <formula2>0</formula2>
    </dataValidation>
    <dataValidation sqref="F6:F305" showDropDown="0" showInputMessage="0" showErrorMessage="1" allowBlank="1" errorTitle="Valor no válido" error="Elija un valor de la lista." type="list" errorStyle="stop" operator="between">
      <formula1>Listas!$C$2:$C$4</formula1>
      <formula2>0</formula2>
    </dataValidation>
    <dataValidation sqref="H6:H305" showDropDown="0" showInputMessage="0" showErrorMessage="1" allowBlank="1" errorTitle="Valor no válido" error="Elija un valor de la lista." type="list" errorStyle="stop" operator="between">
      <formula1>Listas!$D$2:$D$8</formula1>
      <formula2>0</formula2>
    </dataValidation>
    <dataValidation sqref="J6:J305" showDropDown="0" showInputMessage="0" showErrorMessage="1" allowBlank="1" errorTitle="Valor no válido" error="Elija un valor de la lista." type="list" errorStyle="stop" operator="between">
      <formula1>Listas!$E$2:$E$4</formula1>
      <formula2>0</formula2>
    </dataValidation>
    <dataValidation sqref="K6:K305" showDropDown="0" showInputMessage="0" showErrorMessage="1" allowBlank="1" errorTitle="Valor no válido" error="Elija un valor de la lista." type="list" errorStyle="stop" operator="between">
      <formula1>Listas!$B$2:$B$3</formula1>
      <formula2>0</formula2>
    </dataValidation>
  </dataValidations>
  <printOptions horizontalCentered="1" verticalCentered="0" headings="0" gridLines="0" gridLinesSet="1"/>
  <pageMargins left="0.5" right="0.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1" min="1" max="1"/>
    <col width="11" customWidth="1" style="41" min="2" max="4"/>
    <col width="13" customWidth="1" style="41" min="5" max="6"/>
    <col width="15" customWidth="1" style="41" min="7" max="7"/>
    <col width="16" customWidth="1" style="41" min="8" max="8"/>
    <col width="13" customWidth="1" style="41" min="9" max="9"/>
    <col width="20" customWidth="1" style="41" min="10" max="10"/>
    <col width="2" customWidth="1" style="41" min="11" max="11"/>
    <col width="10" customWidth="1" style="41" min="12" max="12"/>
    <col width="12" customWidth="1" style="41" min="13" max="14"/>
  </cols>
  <sheetData>
    <row r="1" ht="17.35" customHeight="1" s="42">
      <c r="A1" s="43" t="inlineStr">
        <is>
          <t>Paso 5 · Mortalidad experimental, pérdida total y flujo de participantes</t>
        </is>
      </c>
    </row>
    <row r="2" ht="15" customHeight="1" s="42">
      <c r="A2" s="44" t="inlineStr">
        <is>
          <t>Se calcula automáticamente a partir de la hoja 2_Participantes. Mortalidad experimental = retirados ÷ n pretest; pérdida total incluye además a los excluidos.</t>
        </is>
      </c>
    </row>
    <row r="4" ht="21.75" customHeight="1" s="42">
      <c r="A4" s="45" t="inlineStr">
        <is>
          <t>Resumen por grupo</t>
        </is>
      </c>
    </row>
    <row r="5" ht="42" customHeight="1" s="42">
      <c r="A5" s="59" t="inlineStr">
        <is>
          <t>Grupo</t>
        </is>
      </c>
      <c r="B5" s="59" t="inlineStr">
        <is>
          <t>n pretest</t>
        </is>
      </c>
      <c r="C5" s="59" t="inlineStr">
        <is>
          <t>Retirados</t>
        </is>
      </c>
      <c r="D5" s="59" t="inlineStr">
        <is>
          <t>Excluidos</t>
        </is>
      </c>
      <c r="E5" s="59" t="inlineStr">
        <is>
          <t>Postest rendido</t>
        </is>
      </c>
      <c r="F5" s="59" t="inlineStr">
        <is>
          <t>Pares analizados</t>
        </is>
      </c>
      <c r="G5" s="59" t="inlineStr">
        <is>
          <t>Mortalidad experimental</t>
        </is>
      </c>
      <c r="H5" s="59" t="inlineStr">
        <is>
          <t>Clasificación</t>
        </is>
      </c>
      <c r="I5" s="59" t="inlineStr">
        <is>
          <t>Pérdida total</t>
        </is>
      </c>
      <c r="J5" s="59" t="inlineStr">
        <is>
          <t>Clasificación de la pérdida total</t>
        </is>
      </c>
      <c r="L5" s="59" t="inlineStr">
        <is>
          <t>Grupo</t>
        </is>
      </c>
      <c r="M5" s="59" t="inlineStr">
        <is>
          <t>Pretest (n)</t>
        </is>
      </c>
      <c r="N5" s="59" t="inlineStr">
        <is>
          <t>Postest (n)</t>
        </is>
      </c>
    </row>
    <row r="6" ht="15" customHeight="1" s="42">
      <c r="A6" s="75" t="inlineStr">
        <is>
          <t>GE · experimental</t>
        </is>
      </c>
      <c r="B6" s="62">
        <f>COUNTIFS(2_Participantes!$B$6:$B$305,"GE",2_Participantes!$C$6:$C$305,"Sí")</f>
        <v/>
      </c>
      <c r="C6" s="62">
        <f>COUNTIFS(2_Participantes!$B$6:$B$305,"GE",2_Participantes!$F$6:$F$305,"Retirado")</f>
        <v/>
      </c>
      <c r="D6" s="62">
        <f>COUNTIFS(2_Participantes!$B$6:$B$305,"GE",2_Participantes!$F$6:$F$305,"Excluido")</f>
        <v/>
      </c>
      <c r="E6" s="62">
        <f>COUNTIFS(2_Participantes!$B$6:$B$305,"GE",2_Participantes!$K$6:$K$305,"Sí")</f>
        <v/>
      </c>
      <c r="F6" s="62">
        <f>SUMIFS(2_Participantes!$M$6:$M$305,2_Participantes!$B$6:$B$305,"GE")</f>
        <v/>
      </c>
      <c r="G6" s="65">
        <f>IF(B6=0,"",C6/B6)</f>
        <v/>
      </c>
      <c r="H6" s="61">
        <f>IF(G6="","",IF(G6&lt;0.05,"Baja",IF(G6&lt;=0.2,"Moderada","Alta")))</f>
        <v/>
      </c>
      <c r="I6" s="65">
        <f>IF(B6=0,"",(B6-F6)/B6)</f>
        <v/>
      </c>
      <c r="J6" s="61">
        <f>IF(I6="","",IF(I6&lt;0.05,"Baja",IF(I6&lt;=0.2,"Moderada","Alta")))</f>
        <v/>
      </c>
      <c r="L6" s="61" t="inlineStr">
        <is>
          <t>GE</t>
        </is>
      </c>
      <c r="M6" s="62">
        <f>B6</f>
        <v/>
      </c>
      <c r="N6" s="62">
        <f>E6</f>
        <v/>
      </c>
    </row>
    <row r="7" ht="15" customHeight="1" s="42">
      <c r="A7" s="75" t="inlineStr">
        <is>
          <t>GC · comparación</t>
        </is>
      </c>
      <c r="B7" s="62">
        <f>COUNTIFS(2_Participantes!$B$6:$B$305,"GC",2_Participantes!$C$6:$C$305,"Sí")</f>
        <v/>
      </c>
      <c r="C7" s="62">
        <f>COUNTIFS(2_Participantes!$B$6:$B$305,"GC",2_Participantes!$F$6:$F$305,"Retirado")</f>
        <v/>
      </c>
      <c r="D7" s="62">
        <f>COUNTIFS(2_Participantes!$B$6:$B$305,"GC",2_Participantes!$F$6:$F$305,"Excluido")</f>
        <v/>
      </c>
      <c r="E7" s="62">
        <f>COUNTIFS(2_Participantes!$B$6:$B$305,"GC",2_Participantes!$K$6:$K$305,"Sí")</f>
        <v/>
      </c>
      <c r="F7" s="62">
        <f>SUMIFS(2_Participantes!$M$6:$M$305,2_Participantes!$B$6:$B$305,"GC")</f>
        <v/>
      </c>
      <c r="G7" s="65">
        <f>IF(B7=0,"",C7/B7)</f>
        <v/>
      </c>
      <c r="H7" s="61">
        <f>IF(G7="","",IF(G7&lt;0.05,"Baja",IF(G7&lt;=0.2,"Moderada","Alta")))</f>
        <v/>
      </c>
      <c r="I7" s="65">
        <f>IF(B7=0,"",(B7-F7)/B7)</f>
        <v/>
      </c>
      <c r="J7" s="61">
        <f>IF(I7="","",IF(I7&lt;0.05,"Baja",IF(I7&lt;=0.2,"Moderada","Alta")))</f>
        <v/>
      </c>
      <c r="L7" s="61" t="inlineStr">
        <is>
          <t>GC</t>
        </is>
      </c>
      <c r="M7" s="62">
        <f>B7</f>
        <v/>
      </c>
      <c r="N7" s="62">
        <f>E7</f>
        <v/>
      </c>
    </row>
    <row r="8" ht="15" customHeight="1" s="42">
      <c r="A8" s="75" t="inlineStr">
        <is>
          <t>G · grupo único</t>
        </is>
      </c>
      <c r="B8" s="62">
        <f>COUNTIFS(2_Participantes!$B$6:$B$305,"G",2_Participantes!$C$6:$C$305,"Sí")</f>
        <v/>
      </c>
      <c r="C8" s="62">
        <f>COUNTIFS(2_Participantes!$B$6:$B$305,"G",2_Participantes!$F$6:$F$305,"Retirado")</f>
        <v/>
      </c>
      <c r="D8" s="62">
        <f>COUNTIFS(2_Participantes!$B$6:$B$305,"G",2_Participantes!$F$6:$F$305,"Excluido")</f>
        <v/>
      </c>
      <c r="E8" s="62">
        <f>COUNTIFS(2_Participantes!$B$6:$B$305,"G",2_Participantes!$K$6:$K$305,"Sí")</f>
        <v/>
      </c>
      <c r="F8" s="62">
        <f>SUMIFS(2_Participantes!$M$6:$M$305,2_Participantes!$B$6:$B$305,"G")</f>
        <v/>
      </c>
      <c r="G8" s="65">
        <f>IF(B8=0,"",C8/B8)</f>
        <v/>
      </c>
      <c r="H8" s="61">
        <f>IF(G8="","",IF(G8&lt;0.05,"Baja",IF(G8&lt;=0.2,"Moderada","Alta")))</f>
        <v/>
      </c>
      <c r="I8" s="65">
        <f>IF(B8=0,"",(B8-F8)/B8)</f>
        <v/>
      </c>
      <c r="J8" s="61">
        <f>IF(I8="","",IF(I8&lt;0.05,"Baja",IF(I8&lt;=0.2,"Moderada","Alta")))</f>
        <v/>
      </c>
    </row>
    <row r="10" ht="15" customHeight="1" s="42">
      <c r="A10" s="46" t="inlineStr">
        <is>
          <t>Mortalidad diferencial GE − GC (puntos porcentuales)</t>
        </is>
      </c>
      <c r="B10" s="48" t="n"/>
      <c r="C10" s="48" t="n"/>
      <c r="D10" s="48" t="n"/>
      <c r="E10" s="48" t="n"/>
      <c r="F10" s="49" t="n"/>
      <c r="G10" s="65">
        <f>IF(OR(G6="",G7=""),"",ABS(G6-G7))</f>
        <v/>
      </c>
      <c r="H10" s="76">
        <f>IF(G10="","",IF(G10&lt;=0.05,"Diferencia pequeña","Revisar la equivalencia de los grupos"))</f>
        <v/>
      </c>
      <c r="I10" s="48" t="n"/>
      <c r="J10" s="49" t="n"/>
    </row>
    <row r="11" ht="30" customHeight="1" s="42">
      <c r="A11" s="54" t="inlineStr">
        <is>
          <t>Referencia (Schulz y Grimes, 2002): &lt; 5 % baja; 5 % a 20 % moderada (comparar la línea base de quienes se retiran con la de quienes permanecen); &gt; 20 % alta. Ningún participante perdido se reemplaza.</t>
        </is>
      </c>
    </row>
    <row r="13" ht="21.75" customHeight="1" s="42">
      <c r="A13" s="45" t="inlineStr">
        <is>
          <t>Motivos de retiro o exclusión</t>
        </is>
      </c>
    </row>
    <row r="14" ht="30" customHeight="1" s="42">
      <c r="A14" s="59" t="inlineStr">
        <is>
          <t>Motivo</t>
        </is>
      </c>
      <c r="B14" s="59" t="inlineStr">
        <is>
          <t>GE</t>
        </is>
      </c>
      <c r="C14" s="59" t="inlineStr">
        <is>
          <t>GC</t>
        </is>
      </c>
      <c r="D14" s="59" t="inlineStr">
        <is>
          <t>G</t>
        </is>
      </c>
      <c r="E14" s="59" t="inlineStr">
        <is>
          <t>Total</t>
        </is>
      </c>
    </row>
    <row r="15" ht="15" customHeight="1" s="42">
      <c r="A15" s="77" t="inlineStr">
        <is>
          <t>Renuncia</t>
        </is>
      </c>
      <c r="B15" s="62">
        <f>COUNTIFS(2_Participantes!$B$6:$B$305,"GE",2_Participantes!$H$6:$H$305,"Renuncia")</f>
        <v/>
      </c>
      <c r="C15" s="62">
        <f>COUNTIFS(2_Participantes!$B$6:$B$305,"GC",2_Participantes!$H$6:$H$305,"Renuncia")</f>
        <v/>
      </c>
      <c r="D15" s="62">
        <f>COUNTIFS(2_Participantes!$B$6:$B$305,"G",2_Participantes!$H$6:$H$305,"Renuncia")</f>
        <v/>
      </c>
      <c r="E15" s="69">
        <f>SUM(B15:D15)</f>
        <v/>
      </c>
    </row>
    <row r="16" ht="15" customHeight="1" s="42">
      <c r="A16" s="77" t="inlineStr">
        <is>
          <t>Licencia</t>
        </is>
      </c>
      <c r="B16" s="62">
        <f>COUNTIFS(2_Participantes!$B$6:$B$305,"GE",2_Participantes!$H$6:$H$305,"Licencia")</f>
        <v/>
      </c>
      <c r="C16" s="62">
        <f>COUNTIFS(2_Participantes!$B$6:$B$305,"GC",2_Participantes!$H$6:$H$305,"Licencia")</f>
        <v/>
      </c>
      <c r="D16" s="62">
        <f>COUNTIFS(2_Participantes!$B$6:$B$305,"G",2_Participantes!$H$6:$H$305,"Licencia")</f>
        <v/>
      </c>
      <c r="E16" s="69">
        <f>SUM(B16:D16)</f>
        <v/>
      </c>
    </row>
    <row r="17" ht="15" customHeight="1" s="42">
      <c r="A17" s="77" t="inlineStr">
        <is>
          <t>Rotación o cambio de sede</t>
        </is>
      </c>
      <c r="B17" s="62">
        <f>COUNTIFS(2_Participantes!$B$6:$B$305,"GE",2_Participantes!$H$6:$H$305,"Rotación o cambio de sede")</f>
        <v/>
      </c>
      <c r="C17" s="62">
        <f>COUNTIFS(2_Participantes!$B$6:$B$305,"GC",2_Participantes!$H$6:$H$305,"Rotación o cambio de sede")</f>
        <v/>
      </c>
      <c r="D17" s="62">
        <f>COUNTIFS(2_Participantes!$B$6:$B$305,"G",2_Participantes!$H$6:$H$305,"Rotación o cambio de sede")</f>
        <v/>
      </c>
      <c r="E17" s="69">
        <f>SUM(B17:D17)</f>
        <v/>
      </c>
    </row>
    <row r="18" ht="15" customHeight="1" s="42">
      <c r="A18" s="77" t="inlineStr">
        <is>
          <t>Retiro de consentimiento</t>
        </is>
      </c>
      <c r="B18" s="62">
        <f>COUNTIFS(2_Participantes!$B$6:$B$305,"GE",2_Participantes!$H$6:$H$305,"Retiro de consentimiento")</f>
        <v/>
      </c>
      <c r="C18" s="62">
        <f>COUNTIFS(2_Participantes!$B$6:$B$305,"GC",2_Participantes!$H$6:$H$305,"Retiro de consentimiento")</f>
        <v/>
      </c>
      <c r="D18" s="62">
        <f>COUNTIFS(2_Participantes!$B$6:$B$305,"G",2_Participantes!$H$6:$H$305,"Retiro de consentimiento")</f>
        <v/>
      </c>
      <c r="E18" s="69">
        <f>SUM(B18:D18)</f>
        <v/>
      </c>
    </row>
    <row r="19" ht="23.85" customHeight="1" s="42">
      <c r="A19" s="77" t="inlineStr">
        <is>
          <t>Inasistencia fuera de la ventana</t>
        </is>
      </c>
      <c r="B19" s="62">
        <f>COUNTIFS(2_Participantes!$B$6:$B$305,"GE",2_Participantes!$H$6:$H$305,"Inasistencia fuera de la ventana")</f>
        <v/>
      </c>
      <c r="C19" s="62">
        <f>COUNTIFS(2_Participantes!$B$6:$B$305,"GC",2_Participantes!$H$6:$H$305,"Inasistencia fuera de la ventana")</f>
        <v/>
      </c>
      <c r="D19" s="62">
        <f>COUNTIFS(2_Participantes!$B$6:$B$305,"G",2_Participantes!$H$6:$H$305,"Inasistencia fuera de la ventana")</f>
        <v/>
      </c>
      <c r="E19" s="69">
        <f>SUM(B19:D19)</f>
        <v/>
      </c>
    </row>
    <row r="20" ht="15" customHeight="1" s="42">
      <c r="A20" s="77" t="inlineStr">
        <is>
          <t>Registro inutilizable</t>
        </is>
      </c>
      <c r="B20" s="62">
        <f>COUNTIFS(2_Participantes!$B$6:$B$305,"GE",2_Participantes!$H$6:$H$305,"Registro inutilizable")</f>
        <v/>
      </c>
      <c r="C20" s="62">
        <f>COUNTIFS(2_Participantes!$B$6:$B$305,"GC",2_Participantes!$H$6:$H$305,"Registro inutilizable")</f>
        <v/>
      </c>
      <c r="D20" s="62">
        <f>COUNTIFS(2_Participantes!$B$6:$B$305,"G",2_Participantes!$H$6:$H$305,"Registro inutilizable")</f>
        <v/>
      </c>
      <c r="E20" s="69">
        <f>SUM(B20:D20)</f>
        <v/>
      </c>
    </row>
    <row r="21" ht="15" customHeight="1" s="42">
      <c r="A21" s="77" t="inlineStr">
        <is>
          <t>Otro</t>
        </is>
      </c>
      <c r="B21" s="62">
        <f>COUNTIFS(2_Participantes!$B$6:$B$305,"GE",2_Participantes!$H$6:$H$305,"Otro")</f>
        <v/>
      </c>
      <c r="C21" s="62">
        <f>COUNTIFS(2_Participantes!$B$6:$B$305,"GC",2_Participantes!$H$6:$H$305,"Otro")</f>
        <v/>
      </c>
      <c r="D21" s="62">
        <f>COUNTIFS(2_Participantes!$B$6:$B$305,"G",2_Participantes!$H$6:$H$305,"Otro")</f>
        <v/>
      </c>
      <c r="E21" s="69">
        <f>SUM(B21:D21)</f>
        <v/>
      </c>
    </row>
    <row r="22" ht="15" customHeight="1" s="42">
      <c r="A22" s="78" t="inlineStr">
        <is>
          <t>Total</t>
        </is>
      </c>
      <c r="B22" s="69">
        <f>SUM(B15:B21)</f>
        <v/>
      </c>
      <c r="C22" s="69">
        <f>SUM(C15:C21)</f>
        <v/>
      </c>
      <c r="D22" s="69">
        <f>SUM(D15:D21)</f>
        <v/>
      </c>
      <c r="E22" s="69">
        <f>SUM(E15:E21)</f>
        <v/>
      </c>
    </row>
    <row r="24" ht="21.75" customHeight="1" s="42">
      <c r="A24" s="45" t="inlineStr">
        <is>
          <t>Flujo de participantes (texto para el informe y el diagrama)</t>
        </is>
      </c>
    </row>
    <row r="25" ht="15" customHeight="1" s="42">
      <c r="A25" s="46" t="inlineStr">
        <is>
          <t>Evaluados en el pretest (O₁)</t>
        </is>
      </c>
      <c r="B25" s="48" t="n"/>
      <c r="C25" s="49" t="n"/>
      <c r="D25" s="76">
        <f>"GE: n = "&amp;B6&amp;"  ·  GC: n = "&amp;B7&amp;IF(B8&gt;0,"  ·  G: n = "&amp;B8,"")</f>
        <v/>
      </c>
      <c r="E25" s="48" t="n"/>
      <c r="F25" s="48" t="n"/>
      <c r="G25" s="48" t="n"/>
      <c r="H25" s="48" t="n"/>
      <c r="I25" s="48" t="n"/>
      <c r="J25" s="49" t="n"/>
    </row>
    <row r="26" ht="15" customHeight="1" s="42">
      <c r="A26" s="46" t="inlineStr">
        <is>
          <t>Retirados durante la intervención</t>
        </is>
      </c>
      <c r="B26" s="48" t="n"/>
      <c r="C26" s="49" t="n"/>
      <c r="D26" s="76">
        <f>"GE: "&amp;C6&amp;"  ·  GC: "&amp;C7&amp;IF(B8&gt;0,"  ·  G: "&amp;C8,"")</f>
        <v/>
      </c>
      <c r="E26" s="48" t="n"/>
      <c r="F26" s="48" t="n"/>
      <c r="G26" s="48" t="n"/>
      <c r="H26" s="48" t="n"/>
      <c r="I26" s="48" t="n"/>
      <c r="J26" s="49" t="n"/>
    </row>
    <row r="27" ht="15" customHeight="1" s="42">
      <c r="A27" s="46" t="inlineStr">
        <is>
          <t>Excluidos (p. ej., retiro del consentimiento)</t>
        </is>
      </c>
      <c r="B27" s="48" t="n"/>
      <c r="C27" s="49" t="n"/>
      <c r="D27" s="76">
        <f>"GE: "&amp;D6&amp;"  ·  GC: "&amp;D7&amp;IF(B8&gt;0,"  ·  G: "&amp;D8,"")</f>
        <v/>
      </c>
      <c r="E27" s="48" t="n"/>
      <c r="F27" s="48" t="n"/>
      <c r="G27" s="48" t="n"/>
      <c r="H27" s="48" t="n"/>
      <c r="I27" s="48" t="n"/>
      <c r="J27" s="49" t="n"/>
    </row>
    <row r="28" ht="15" customHeight="1" s="42">
      <c r="A28" s="46" t="inlineStr">
        <is>
          <t>Evaluados en el postest (O₂)</t>
        </is>
      </c>
      <c r="B28" s="48" t="n"/>
      <c r="C28" s="49" t="n"/>
      <c r="D28" s="76">
        <f>"GE: n = "&amp;E6&amp;"  ·  GC: n = "&amp;E7&amp;IF(B8&gt;0,"  ·  G: n = "&amp;E8,"")</f>
        <v/>
      </c>
      <c r="E28" s="48" t="n"/>
      <c r="F28" s="48" t="n"/>
      <c r="G28" s="48" t="n"/>
      <c r="H28" s="48" t="n"/>
      <c r="I28" s="48" t="n"/>
      <c r="J28" s="49" t="n"/>
    </row>
    <row r="29" ht="15" customHeight="1" s="42">
      <c r="A29" s="46" t="inlineStr">
        <is>
          <t>Pares pretest–postest analizados</t>
        </is>
      </c>
      <c r="B29" s="48" t="n"/>
      <c r="C29" s="49" t="n"/>
      <c r="D29" s="76">
        <f>"GE: n = "&amp;F6&amp;" ("&amp;TEXT(IF(B6=0,0,F6/B6),"0.0%")&amp;")  ·  GC: n = "&amp;F7&amp;" ("&amp;TEXT(IF(B7=0,0,F7/B7),"0.0%")&amp;")"</f>
        <v/>
      </c>
      <c r="E29" s="48" t="n"/>
      <c r="F29" s="48" t="n"/>
      <c r="G29" s="48" t="n"/>
      <c r="H29" s="48" t="n"/>
      <c r="I29" s="48" t="n"/>
      <c r="J29" s="49" t="n"/>
    </row>
  </sheetData>
  <mergeCells count="16">
    <mergeCell ref="A28:C28"/>
    <mergeCell ref="A25:C25"/>
    <mergeCell ref="D28:J28"/>
    <mergeCell ref="H10:J10"/>
    <mergeCell ref="A10:F10"/>
    <mergeCell ref="D26:J26"/>
    <mergeCell ref="D25:J25"/>
    <mergeCell ref="A27:C27"/>
    <mergeCell ref="A4:J4"/>
    <mergeCell ref="A24:J24"/>
    <mergeCell ref="A29:C29"/>
    <mergeCell ref="D29:J29"/>
    <mergeCell ref="D27:J27"/>
    <mergeCell ref="A26:C26"/>
    <mergeCell ref="A13:J13"/>
    <mergeCell ref="A11:J11"/>
  </mergeCells>
  <printOptions horizontalCentered="1" verticalCentered="0" headings="0" gridLines="0" gridLinesSet="1"/>
  <pageMargins left="0.5" right="0.5" top="1" bottom="1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41" min="1" max="1"/>
    <col width="40" customWidth="1" style="41" min="2" max="2"/>
    <col width="32" customWidth="1" style="41" min="3" max="3"/>
    <col width="34" customWidth="1" style="41" min="4" max="4"/>
    <col width="12" customWidth="1" style="41" min="5" max="5"/>
    <col width="44" customWidth="1" style="41" min="6" max="6"/>
  </cols>
  <sheetData>
    <row r="1" ht="17.35" customHeight="1" s="42">
      <c r="A1" s="43" t="inlineStr">
        <is>
          <t>Paso 3 · Lista de cotejo de equivalencia de condiciones pretest–postest</t>
        </is>
      </c>
    </row>
    <row r="2" ht="15" customHeight="1" s="42">
      <c r="A2" s="44" t="inlineStr">
        <is>
          <t>Coteje cada condición con el acta de aplicación del pretest antes de medir. Cada «No» exige una medida de control y una incidencia registrada.</t>
        </is>
      </c>
    </row>
    <row r="4" ht="36" customHeight="1" s="42">
      <c r="A4" s="59" t="inlineStr">
        <is>
          <t>N.º</t>
        </is>
      </c>
      <c r="B4" s="59" t="inlineStr">
        <is>
          <t>Condición</t>
        </is>
      </c>
      <c r="C4" s="59" t="inlineStr">
        <is>
          <t>Pretest (según acta)</t>
        </is>
      </c>
      <c r="D4" s="59" t="inlineStr">
        <is>
          <t>Postest (previsto o ejecutado)</t>
        </is>
      </c>
      <c r="E4" s="59" t="inlineStr">
        <is>
          <t>¿Equivale?</t>
        </is>
      </c>
      <c r="F4" s="59" t="inlineStr">
        <is>
          <t>Medida de control y evidencia</t>
        </is>
      </c>
    </row>
    <row r="5" ht="30" customHeight="1" s="42">
      <c r="A5" s="61" t="n">
        <v>1</v>
      </c>
      <c r="B5" s="77" t="inlineStr">
        <is>
          <t>Instrumento y versión</t>
        </is>
      </c>
      <c r="C5" s="47" t="inlineStr">
        <is>
          <t>SUS, TAM y ficha de tiempos y clics</t>
        </is>
      </c>
      <c r="D5" s="47" t="inlineStr">
        <is>
          <t>Los mismos instrumentos</t>
        </is>
      </c>
      <c r="E5" s="67" t="inlineStr">
        <is>
          <t>Sí</t>
        </is>
      </c>
      <c r="F5" s="47" t="inlineStr">
        <is>
          <t>Misma versión. Solo cambian las tareas: 1-2 en el pretest y 3-4 en el postest.</t>
        </is>
      </c>
    </row>
    <row r="6" ht="30" customHeight="1" s="42">
      <c r="A6" s="61" t="n">
        <v>2</v>
      </c>
      <c r="B6" s="77" t="inlineStr">
        <is>
          <t>Forma de aplicación (impreso o digital)</t>
        </is>
      </c>
      <c r="C6" s="47" t="inlineStr">
        <is>
          <t>Digital, módulo del experimento</t>
        </is>
      </c>
      <c r="D6" s="47" t="inlineStr">
        <is>
          <t>Digital, módulo del experimento</t>
        </is>
      </c>
      <c r="E6" s="67" t="inlineStr">
        <is>
          <t>Sí</t>
        </is>
      </c>
      <c r="F6" s="47" t="inlineStr">
        <is>
          <t>Mismo canal.</t>
        </is>
      </c>
    </row>
    <row r="7" ht="30" customHeight="1" s="42">
      <c r="A7" s="61" t="n">
        <v>3</v>
      </c>
      <c r="B7" s="77" t="inlineStr">
        <is>
          <t>Guion de instrucciones (textual)</t>
        </is>
      </c>
      <c r="C7" s="47" t="inlineStr">
        <is>
          <t>Guion del pretest</t>
        </is>
      </c>
      <c r="D7" s="47" t="inlineStr">
        <is>
          <t>El mismo guion</t>
        </is>
      </c>
      <c r="E7" s="67" t="inlineStr">
        <is>
          <t>Sí</t>
        </is>
      </c>
      <c r="F7" s="47" t="inlineStr">
        <is>
          <t>Mismas instrucciones.</t>
        </is>
      </c>
    </row>
    <row r="8" ht="30" customHeight="1" s="42">
      <c r="A8" s="61" t="n">
        <v>4</v>
      </c>
      <c r="B8" s="77" t="inlineStr">
        <is>
          <t>Aplicador u observador</t>
        </is>
      </c>
      <c r="C8" s="47" t="inlineStr">
        <is>
          <t>Tesistas</t>
        </is>
      </c>
      <c r="D8" s="47" t="inlineStr">
        <is>
          <t>Tesistas</t>
        </is>
      </c>
      <c r="E8" s="67" t="inlineStr">
        <is>
          <t>Sí</t>
        </is>
      </c>
      <c r="F8" s="47" t="n"/>
    </row>
    <row r="9" ht="30" customHeight="1" s="42">
      <c r="A9" s="61" t="n">
        <v>5</v>
      </c>
      <c r="B9" s="77" t="inlineStr">
        <is>
          <t>Lugar, equipos y conectividad</t>
        </is>
      </c>
      <c r="C9" s="47" t="inlineStr">
        <is>
          <t>Dispositivo del participante</t>
        </is>
      </c>
      <c r="D9" s="47" t="inlineStr">
        <is>
          <t>Dispositivo del participante</t>
        </is>
      </c>
      <c r="E9" s="67" t="inlineStr">
        <is>
          <t>Sí</t>
        </is>
      </c>
      <c r="F9" s="47" t="inlineStr">
        <is>
          <t>Remoto, como en el pretest.</t>
        </is>
      </c>
    </row>
    <row r="10" ht="30" customHeight="1" s="42">
      <c r="A10" s="61" t="n">
        <v>6</v>
      </c>
      <c r="B10" s="77" t="inlineStr">
        <is>
          <t>Días de la semana y franja horaria</t>
        </is>
      </c>
      <c r="C10" s="47" t="inlineStr">
        <is>
          <t>Ventana 20–25/10/2026</t>
        </is>
      </c>
      <c r="D10" s="47" t="inlineStr">
        <is>
          <t>Ventana 03–08/11/2026</t>
        </is>
      </c>
      <c r="E10" s="67" t="inlineStr">
        <is>
          <t>Sí</t>
        </is>
      </c>
      <c r="F10" s="47" t="inlineStr">
        <is>
          <t>Misma franja de soporte: 10:00–13:00 y 16:00–19:00.</t>
        </is>
      </c>
    </row>
    <row r="11" ht="30" customHeight="1" s="42">
      <c r="A11" s="61" t="n">
        <v>7</v>
      </c>
      <c r="B11" s="77" t="inlineStr">
        <is>
          <t>Duración y número de observaciones</t>
        </is>
      </c>
      <c r="C11" s="47" t="inlineStr">
        <is>
          <t>Tareas 1 y 2, SUS y TAM</t>
        </is>
      </c>
      <c r="D11" s="47" t="inlineStr">
        <is>
          <t>Tareas 3 y 4, SUS y TAM</t>
        </is>
      </c>
      <c r="E11" s="67" t="inlineStr">
        <is>
          <t>Sí</t>
        </is>
      </c>
      <c r="F11" s="47" t="inlineStr">
        <is>
          <t>El cambio de tareas está previsto en el protocolo.</t>
        </is>
      </c>
    </row>
    <row r="12" ht="30" customHeight="1" s="42">
      <c r="A12" s="61" t="n">
        <v>8</v>
      </c>
      <c r="B12" s="77" t="inlineStr">
        <is>
          <t>Criterios de inicio y fin de cada medición</t>
        </is>
      </c>
      <c r="C12" s="47" t="inlineStr">
        <is>
          <t>Inicio y fin de cada tarea en el módulo</t>
        </is>
      </c>
      <c r="D12" s="47" t="inlineStr">
        <is>
          <t>El mismo criterio</t>
        </is>
      </c>
      <c r="E12" s="67" t="inlineStr">
        <is>
          <t>Sí</t>
        </is>
      </c>
      <c r="F12" s="47" t="inlineStr">
        <is>
          <t>Misma fuente aunque el sistema registre tiempos automáticamente.</t>
        </is>
      </c>
    </row>
    <row r="13" ht="30" customHeight="1" s="42">
      <c r="A13" s="61" t="n">
        <v>9</v>
      </c>
      <c r="B13" s="77" t="inlineStr">
        <is>
          <t>Unidad de medida y escala</t>
        </is>
      </c>
      <c r="C13" s="47" t="inlineStr">
        <is>
          <t>SUS 0-100; TAM; segundos y clics</t>
        </is>
      </c>
      <c r="D13" s="47" t="inlineStr">
        <is>
          <t>Las mismas unidades</t>
        </is>
      </c>
      <c r="E13" s="67" t="inlineStr">
        <is>
          <t>Sí</t>
        </is>
      </c>
      <c r="F13" s="47" t="n"/>
    </row>
    <row r="14" ht="30" customHeight="1" s="42">
      <c r="A14" s="61" t="n">
        <v>10</v>
      </c>
      <c r="B14" s="77" t="inlineStr">
        <is>
          <t>Codificación de participantes</t>
        </is>
      </c>
      <c r="C14" s="47" t="inlineStr">
        <is>
          <t>GU-TDH-###, 108 códigos</t>
        </is>
      </c>
      <c r="D14" s="47" t="inlineStr">
        <is>
          <t>Los mismos códigos</t>
        </is>
      </c>
      <c r="E14" s="67" t="inlineStr">
        <is>
          <t>Sí</t>
        </is>
      </c>
      <c r="F14" s="47" t="inlineStr">
        <is>
          <t>En esta plantilla el grupo se escribe GE.</t>
        </is>
      </c>
    </row>
    <row r="15" ht="30" customHeight="1" s="42">
      <c r="A15" s="61" t="n">
        <v>11</v>
      </c>
      <c r="B15" s="77" t="inlineStr">
        <is>
          <t>Secuencia de ítems o de tareas</t>
        </is>
      </c>
      <c r="C15" s="47" t="inlineStr">
        <is>
          <t>Orden del instrumento de pretest</t>
        </is>
      </c>
      <c r="D15" s="47" t="inlineStr">
        <is>
          <t>El mismo orden</t>
        </is>
      </c>
      <c r="E15" s="67" t="inlineStr">
        <is>
          <t>Sí</t>
        </is>
      </c>
      <c r="F15" s="47" t="inlineStr">
        <is>
          <t>Cambian las tareas, no el orden del SUS ni del TAM.</t>
        </is>
      </c>
    </row>
    <row r="16" ht="30" customHeight="1" s="42">
      <c r="A16" s="61" t="n">
        <v>12</v>
      </c>
      <c r="B16" s="77" t="inlineStr">
        <is>
          <t>Ventana de aplicación (hasta 5 días hábiles tras el cierre)</t>
        </is>
      </c>
      <c r="C16" s="47" t="inlineStr">
        <is>
          <t>20–25/10/2026</t>
        </is>
      </c>
      <c r="D16" s="47" t="inlineStr">
        <is>
          <t>03–08/11/2026, al día siguiente del cierre</t>
        </is>
      </c>
      <c r="E16" s="67" t="inlineStr">
        <is>
          <t>Sí</t>
        </is>
      </c>
      <c r="F16" s="47" t="inlineStr">
        <is>
          <t>Cierre de X el 02/11.</t>
        </is>
      </c>
    </row>
    <row r="18" ht="15" customHeight="1" s="42">
      <c r="B18" s="46" t="inlineStr">
        <is>
          <t>Condiciones equivalentes</t>
        </is>
      </c>
      <c r="C18" s="61">
        <f>COUNTIF(E5:E16,"Sí")&amp;" de 12"</f>
        <v/>
      </c>
    </row>
    <row r="19" ht="12.65" customHeight="1" s="42">
      <c r="B19" s="46" t="inlineStr">
        <is>
          <t>Resultado</t>
        </is>
      </c>
      <c r="C19" s="68">
        <f>IF(COUNTIF(E5:E16,"Sí")=12,"Equivalencia total: aplicar el postest",IF(COUNTIF(E5:E16,"Sí")&gt;=10,"Equivalente con observaciones: registrar cada No como incidencia con su medida de control","Revisar con el asesor antes de medir"))</f>
        <v/>
      </c>
      <c r="D19" s="48" t="n"/>
      <c r="E19" s="48" t="n"/>
      <c r="F19" s="49" t="n"/>
    </row>
    <row r="20" ht="32.8" customHeight="1" s="42">
      <c r="B20" s="54" t="inlineStr">
        <is>
          <t>Las condiciones no equivalentes se reportan en el informe de postest como limitación, con la medida de control aplicada.</t>
        </is>
      </c>
    </row>
  </sheetData>
  <mergeCells count="1">
    <mergeCell ref="C19:F19"/>
  </mergeCells>
  <dataValidations count="1">
    <dataValidation sqref="E5:E16" showDropDown="0" showInputMessage="0" showErrorMessage="1" allowBlank="1" errorTitle="Valor no válido" error="Elija un valor de la lista." type="list" errorStyle="stop" operator="between">
      <formula1>Listas!$B$2:$B$3</formula1>
      <formula2>0</formula2>
    </dataValidation>
  </dataValidations>
  <printOptions horizontalCentered="1" verticalCentered="0" headings="0" gridLines="0" gridLinesSet="1"/>
  <pageMargins left="0.5" right="0.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M2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41" min="1" max="1"/>
    <col width="11" customWidth="1" style="41" min="2" max="2"/>
    <col width="8" customWidth="1" style="41" min="3" max="3"/>
    <col width="10" customWidth="1" style="41" min="4" max="4"/>
    <col width="12" customWidth="1" style="41" min="5" max="5"/>
    <col width="16" customWidth="1" style="41" min="6" max="6"/>
    <col width="42" customWidth="1" style="41" min="7" max="7"/>
    <col width="32" customWidth="1" style="41" min="8" max="8"/>
    <col width="40" customWidth="1" style="41" min="9" max="9"/>
    <col width="16" customWidth="1" style="41" min="10" max="10"/>
    <col width="12" customWidth="1" style="41" min="11" max="11"/>
    <col width="20" customWidth="1" style="41" min="12" max="12"/>
    <col width="26" customWidth="1" style="41" min="13" max="13"/>
  </cols>
  <sheetData>
    <row r="1" ht="17.35" customHeight="1" s="42">
      <c r="A1" s="43" t="inlineStr">
        <is>
          <t>Paso 5 · Registro de incidencias del cierre y del postest</t>
        </is>
      </c>
    </row>
    <row r="2" ht="15" customHeight="1" s="42">
      <c r="A2" s="44" t="inlineStr">
        <is>
          <t>La numeración continúa la del registro de monitoreo (semana 6). Tipos: técnica, metodológica, ética, logística y pérdida muestral.</t>
        </is>
      </c>
    </row>
    <row r="3" ht="23.85" customHeight="1" s="42">
      <c r="A3" s="46" t="inlineStr">
        <is>
          <t>Total</t>
        </is>
      </c>
      <c r="B3" s="69">
        <f>COUNTA(B6:B205)</f>
        <v/>
      </c>
      <c r="F3" s="46" t="inlineStr">
        <is>
          <t>Por tipo:</t>
        </is>
      </c>
      <c r="G3" s="61">
        <f>"Técnica: "&amp;COUNTIF(F6:F205,"Técnica")</f>
        <v/>
      </c>
      <c r="H3" s="61">
        <f>"Metodológica: "&amp;COUNTIF(F6:F205,"Metodológica")</f>
        <v/>
      </c>
      <c r="I3" s="61">
        <f>"Ética: "&amp;COUNTIF(F6:F205,"Ética")</f>
        <v/>
      </c>
      <c r="J3" s="61">
        <f>"Logística: "&amp;COUNTIF(F6:F205,"Logística")</f>
        <v/>
      </c>
      <c r="K3" s="61">
        <f>"Pérdida muestral: "&amp;COUNTIF(F6:F205,"Pérdida muestral")</f>
        <v/>
      </c>
      <c r="L3" s="46" t="inlineStr">
        <is>
          <t>En curso</t>
        </is>
      </c>
      <c r="M3" s="69">
        <f>COUNTIF(L6:L205,"En curso")</f>
        <v/>
      </c>
    </row>
    <row r="5" ht="36" customHeight="1" s="42">
      <c r="A5" s="59" t="inlineStr">
        <is>
          <t>N.º</t>
        </is>
      </c>
      <c r="B5" s="59" t="inlineStr">
        <is>
          <t>Fecha</t>
        </is>
      </c>
      <c r="C5" s="59" t="inlineStr">
        <is>
          <t>Hora</t>
        </is>
      </c>
      <c r="D5" s="59" t="inlineStr">
        <is>
          <t>Fase</t>
        </is>
      </c>
      <c r="E5" s="59" t="inlineStr">
        <is>
          <t>Código</t>
        </is>
      </c>
      <c r="F5" s="59" t="inlineStr">
        <is>
          <t>Tipo</t>
        </is>
      </c>
      <c r="G5" s="59" t="inlineStr">
        <is>
          <t>Descripción objetiva</t>
        </is>
      </c>
      <c r="H5" s="59" t="inlineStr">
        <is>
          <t>Efecto en la medición o en la muestra</t>
        </is>
      </c>
      <c r="I5" s="59" t="inlineStr">
        <is>
          <t>Acción tomada</t>
        </is>
      </c>
      <c r="J5" s="59" t="inlineStr">
        <is>
          <t>Responsable</t>
        </is>
      </c>
      <c r="K5" s="59" t="inlineStr">
        <is>
          <t>Fecha de la acción</t>
        </is>
      </c>
      <c r="L5" s="59" t="inlineStr">
        <is>
          <t>Estado</t>
        </is>
      </c>
      <c r="M5" s="59" t="inlineStr">
        <is>
          <t>Evidencia</t>
        </is>
      </c>
    </row>
    <row r="6" ht="23.85" customHeight="1" s="42">
      <c r="A6" s="62">
        <f>IF(B6="","",ROW()-5)</f>
        <v/>
      </c>
      <c r="B6" s="72" t="n">
        <v>46321.79861111111</v>
      </c>
      <c r="C6" s="79" t="n">
        <v>0.7986111111111112</v>
      </c>
      <c r="D6" s="71" t="inlineStr">
        <is>
          <t>Cierre</t>
        </is>
      </c>
      <c r="E6" s="71" t="inlineStr">
        <is>
          <t>GU-TDH-004</t>
        </is>
      </c>
      <c r="F6" s="70" t="inlineStr">
        <is>
          <t>Técnica</t>
        </is>
      </c>
      <c r="G6" s="70" t="inlineStr">
        <is>
          <t>El service worker no cargaba la PWA.</t>
        </is>
      </c>
      <c r="H6" s="70" t="inlineStr">
        <is>
          <t>No impidió el postest de la cohorte.</t>
        </is>
      </c>
      <c r="I6" s="70" t="inlineStr">
        <is>
          <t>Reinstalar la PWA.</t>
        </is>
      </c>
      <c r="J6" s="70" t="inlineStr">
        <is>
          <t>A. Godoy</t>
        </is>
      </c>
      <c r="K6" s="72" t="n">
        <v>46321.81944444445</v>
      </c>
      <c r="L6" s="71" t="inlineStr">
        <is>
          <t>Resuelta</t>
        </is>
      </c>
      <c r="M6" s="70" t="inlineStr">
        <is>
          <t>Misma incidencia en las sesiones 4, 5 y 6.</t>
        </is>
      </c>
    </row>
    <row r="7" ht="23.85" customHeight="1" s="42">
      <c r="A7" s="62">
        <f>IF(B7="","",ROW()-5)</f>
        <v/>
      </c>
      <c r="B7" s="72" t="n">
        <v>46322.42708333334</v>
      </c>
      <c r="C7" s="79" t="n">
        <v>0.4270833333333333</v>
      </c>
      <c r="D7" s="71" t="inlineStr">
        <is>
          <t>Cierre</t>
        </is>
      </c>
      <c r="E7" s="71" t="inlineStr">
        <is>
          <t>GU-TDH-010</t>
        </is>
      </c>
      <c r="F7" s="70" t="inlineStr">
        <is>
          <t>Metodológica</t>
        </is>
      </c>
      <c r="G7" s="70" t="inlineStr">
        <is>
          <t>Duda sobre cómo leer las citas del chat.</t>
        </is>
      </c>
      <c r="H7" s="70" t="inlineStr">
        <is>
          <t>No impidió el postest de la cohorte.</t>
        </is>
      </c>
      <c r="I7" s="70" t="inlineStr">
        <is>
          <t>Reenvío de la guía rápida.</t>
        </is>
      </c>
      <c r="J7" s="70" t="inlineStr">
        <is>
          <t>M. Trujillo</t>
        </is>
      </c>
      <c r="K7" s="72" t="n">
        <v>46322.43611111111</v>
      </c>
      <c r="L7" s="71" t="inlineStr">
        <is>
          <t>Resuelta</t>
        </is>
      </c>
      <c r="M7" s="70" t="inlineStr">
        <is>
          <t>Misma incidencia en las sesiones 4, 5 y 6.</t>
        </is>
      </c>
    </row>
    <row r="8" ht="23.85" customHeight="1" s="42">
      <c r="A8" s="62">
        <f>IF(B8="","",ROW()-5)</f>
        <v/>
      </c>
      <c r="B8" s="72" t="n">
        <v>46322.43055555555</v>
      </c>
      <c r="C8" s="79" t="n">
        <v>0.4305555555555556</v>
      </c>
      <c r="D8" s="71" t="inlineStr">
        <is>
          <t>Cierre</t>
        </is>
      </c>
      <c r="E8" s="71" t="inlineStr">
        <is>
          <t>GU-TDH-006</t>
        </is>
      </c>
      <c r="F8" s="70" t="inlineStr">
        <is>
          <t>Técnica</t>
        </is>
      </c>
      <c r="G8" s="70" t="inlineStr">
        <is>
          <t>No abría el chat.</t>
        </is>
      </c>
      <c r="H8" s="70" t="inlineStr">
        <is>
          <t>No impidió el postest de la cohorte.</t>
        </is>
      </c>
      <c r="I8" s="70" t="inlineStr">
        <is>
          <t>Se envió el enlace directo.</t>
        </is>
      </c>
      <c r="J8" s="70" t="inlineStr">
        <is>
          <t>A. Godoy</t>
        </is>
      </c>
      <c r="K8" s="72" t="n">
        <v>46322.44097222222</v>
      </c>
      <c r="L8" s="71" t="inlineStr">
        <is>
          <t>Resuelta</t>
        </is>
      </c>
      <c r="M8" s="70" t="inlineStr">
        <is>
          <t>Misma incidencia en las sesiones 4, 5 y 6.</t>
        </is>
      </c>
    </row>
    <row r="9" ht="23.85" customHeight="1" s="42">
      <c r="A9" s="62">
        <f>IF(B9="","",ROW()-5)</f>
        <v/>
      </c>
      <c r="B9" s="72" t="n">
        <v>46323.67013888889</v>
      </c>
      <c r="C9" s="79" t="n">
        <v>0.6701388888888888</v>
      </c>
      <c r="D9" s="71" t="inlineStr">
        <is>
          <t>Cierre</t>
        </is>
      </c>
      <c r="E9" s="71" t="inlineStr">
        <is>
          <t>Todos</t>
        </is>
      </c>
      <c r="F9" s="70" t="inlineStr">
        <is>
          <t>Técnica</t>
        </is>
      </c>
      <c r="G9" s="70" t="inlineStr">
        <is>
          <t>Latencia de Gemini mayor a 8 s.</t>
        </is>
      </c>
      <c r="H9" s="70" t="inlineStr">
        <is>
          <t>No impidió el postest de la cohorte.</t>
        </is>
      </c>
      <c r="I9" s="70" t="inlineStr">
        <is>
          <t>Se activó la caché de Redis.</t>
        </is>
      </c>
      <c r="J9" s="70" t="inlineStr">
        <is>
          <t>M. Trujillo</t>
        </is>
      </c>
      <c r="K9" s="72" t="n">
        <v>46323.72222222222</v>
      </c>
      <c r="L9" s="71" t="inlineStr">
        <is>
          <t>Resuelta</t>
        </is>
      </c>
      <c r="M9" s="70" t="inlineStr">
        <is>
          <t>Misma incidencia en las sesiones 4, 5 y 6.</t>
        </is>
      </c>
    </row>
    <row r="10" ht="23.85" customHeight="1" s="42">
      <c r="A10" s="62">
        <f>IF(B10="","",ROW()-5)</f>
        <v/>
      </c>
      <c r="B10" s="72" t="n">
        <v>46324.5</v>
      </c>
      <c r="C10" s="79" t="n">
        <v>0.5</v>
      </c>
      <c r="D10" s="71" t="inlineStr">
        <is>
          <t>Cierre</t>
        </is>
      </c>
      <c r="E10" s="71" t="inlineStr">
        <is>
          <t>GU-TDH-015</t>
        </is>
      </c>
      <c r="F10" s="70" t="inlineStr">
        <is>
          <t>Metodológica</t>
        </is>
      </c>
      <c r="G10" s="70" t="inlineStr">
        <is>
          <t>Sin accesos después del inicio.</t>
        </is>
      </c>
      <c r="H10" s="70" t="inlineStr">
        <is>
          <t>No impidió el postest de la cohorte.</t>
        </is>
      </c>
      <c r="I10" s="70" t="inlineStr">
        <is>
          <t>Recordatorio. Luego quedó como retiro.</t>
        </is>
      </c>
      <c r="J10" s="70" t="inlineStr">
        <is>
          <t>A. Godoy</t>
        </is>
      </c>
      <c r="K10" s="72" t="n">
        <v>46324.51736111111</v>
      </c>
      <c r="L10" s="71" t="inlineStr">
        <is>
          <t>Resuelta</t>
        </is>
      </c>
      <c r="M10" s="70" t="inlineStr">
        <is>
          <t>Misma incidencia en las sesiones 4, 5 y 6.</t>
        </is>
      </c>
    </row>
    <row r="11" ht="15" customHeight="1" s="42">
      <c r="A11" s="62">
        <f>IF(B11="","",ROW()-5)</f>
        <v/>
      </c>
      <c r="B11" s="72" t="n">
        <v>46325.45972222222</v>
      </c>
      <c r="C11" s="79" t="n">
        <v>0.4597222222222222</v>
      </c>
      <c r="D11" s="71" t="inlineStr">
        <is>
          <t>Cierre</t>
        </is>
      </c>
      <c r="E11" s="71" t="inlineStr">
        <is>
          <t>GU-TDH-020</t>
        </is>
      </c>
      <c r="F11" s="70" t="inlineStr">
        <is>
          <t>Técnica</t>
        </is>
      </c>
      <c r="G11" s="70" t="inlineStr">
        <is>
          <t>Olvidó el código de acceso.</t>
        </is>
      </c>
      <c r="H11" s="70" t="inlineStr">
        <is>
          <t>No impidió el postest de la cohorte.</t>
        </is>
      </c>
      <c r="I11" s="70" t="inlineStr">
        <is>
          <t>Reenvío del código por WhatsApp.</t>
        </is>
      </c>
      <c r="J11" s="70" t="inlineStr">
        <is>
          <t>A. Godoy</t>
        </is>
      </c>
      <c r="K11" s="72" t="n">
        <v>46325.46527777778</v>
      </c>
      <c r="L11" s="71" t="inlineStr">
        <is>
          <t>Resuelta</t>
        </is>
      </c>
      <c r="M11" s="70" t="inlineStr">
        <is>
          <t>Misma incidencia en las sesiones 4, 5 y 6.</t>
        </is>
      </c>
    </row>
    <row r="12" ht="15" customHeight="1" s="42">
      <c r="A12" s="62">
        <f>IF(B12="","",ROW()-5)</f>
        <v/>
      </c>
      <c r="B12" s="72" t="n">
        <v>46327.40972222222</v>
      </c>
      <c r="C12" s="79" t="n">
        <v>0.4097222222222222</v>
      </c>
      <c r="D12" s="71" t="inlineStr">
        <is>
          <t>Cierre</t>
        </is>
      </c>
      <c r="E12" s="71" t="inlineStr">
        <is>
          <t>GU-TDH-025</t>
        </is>
      </c>
      <c r="F12" s="70" t="inlineStr">
        <is>
          <t>Técnica</t>
        </is>
      </c>
      <c r="G12" s="70" t="inlineStr">
        <is>
          <t>No lograba instalar la PWA en iOS.</t>
        </is>
      </c>
      <c r="H12" s="70" t="inlineStr">
        <is>
          <t>No impidió el postest de la cohorte.</t>
        </is>
      </c>
      <c r="I12" s="70" t="inlineStr">
        <is>
          <t>Mismo instructivo para todos.</t>
        </is>
      </c>
      <c r="J12" s="70" t="inlineStr">
        <is>
          <t>A. Godoy</t>
        </is>
      </c>
      <c r="K12" s="72" t="n">
        <v>46327.42361111111</v>
      </c>
      <c r="L12" s="71" t="inlineStr">
        <is>
          <t>Resuelta</t>
        </is>
      </c>
      <c r="M12" s="70" t="inlineStr">
        <is>
          <t>Misma incidencia en las sesiones 4, 5 y 6.</t>
        </is>
      </c>
    </row>
    <row r="13" ht="15" customHeight="1" s="42">
      <c r="A13" s="62">
        <f>IF(B13="","",ROW()-5)</f>
        <v/>
      </c>
      <c r="B13" s="72" t="n">
        <v>46324.5</v>
      </c>
      <c r="C13" s="79" t="n">
        <v>0.5</v>
      </c>
      <c r="D13" s="71" t="inlineStr">
        <is>
          <t>Cierre</t>
        </is>
      </c>
      <c r="E13" s="71" t="inlineStr">
        <is>
          <t>GU-TDH-015</t>
        </is>
      </c>
      <c r="F13" s="70" t="inlineStr">
        <is>
          <t>Pérdida muestral</t>
        </is>
      </c>
      <c r="G13" s="70" t="inlineStr">
        <is>
          <t>No completó las 3 sesiones mínimas.</t>
        </is>
      </c>
      <c r="H13" s="70" t="inlineStr">
        <is>
          <t>No rinde el postest. No se reemplazó.</t>
        </is>
      </c>
      <c r="I13" s="70" t="inlineStr">
        <is>
          <t>Quedó registrado como retiro.</t>
        </is>
      </c>
      <c r="J13" s="70" t="inlineStr">
        <is>
          <t>Tesistas</t>
        </is>
      </c>
      <c r="K13" s="72" t="n">
        <v>46324.52083333334</v>
      </c>
      <c r="L13" s="71" t="inlineStr">
        <is>
          <t>Resuelta</t>
        </is>
      </c>
      <c r="M13" s="70" t="inlineStr">
        <is>
          <t>Sesión 5, hoja de participantes.</t>
        </is>
      </c>
    </row>
    <row r="14" ht="15" customHeight="1" s="42">
      <c r="A14" s="62">
        <f>IF(B14="","",ROW()-5)</f>
        <v/>
      </c>
      <c r="B14" s="72" t="n">
        <v>46324.5</v>
      </c>
      <c r="C14" s="79" t="n">
        <v>0.5</v>
      </c>
      <c r="D14" s="71" t="inlineStr">
        <is>
          <t>Cierre</t>
        </is>
      </c>
      <c r="E14" s="71" t="inlineStr">
        <is>
          <t>GU-TDH-033</t>
        </is>
      </c>
      <c r="F14" s="70" t="inlineStr">
        <is>
          <t>Pérdida muestral</t>
        </is>
      </c>
      <c r="G14" s="70" t="inlineStr">
        <is>
          <t>No completó las 3 sesiones mínimas.</t>
        </is>
      </c>
      <c r="H14" s="70" t="inlineStr">
        <is>
          <t>No rinde el postest. No se reemplazó.</t>
        </is>
      </c>
      <c r="I14" s="70" t="inlineStr">
        <is>
          <t>Quedó registrado como retiro.</t>
        </is>
      </c>
      <c r="J14" s="70" t="inlineStr">
        <is>
          <t>Tesistas</t>
        </is>
      </c>
      <c r="K14" s="72" t="n">
        <v>46324.52083333334</v>
      </c>
      <c r="L14" s="71" t="inlineStr">
        <is>
          <t>Resuelta</t>
        </is>
      </c>
      <c r="M14" s="70" t="inlineStr">
        <is>
          <t>Sesión 5, hoja de participantes.</t>
        </is>
      </c>
    </row>
    <row r="15" ht="15" customHeight="1" s="42">
      <c r="A15" s="62">
        <f>IF(B15="","",ROW()-5)</f>
        <v/>
      </c>
      <c r="B15" s="72" t="n">
        <v>46324.5</v>
      </c>
      <c r="C15" s="79" t="n">
        <v>0.5</v>
      </c>
      <c r="D15" s="71" t="inlineStr">
        <is>
          <t>Cierre</t>
        </is>
      </c>
      <c r="E15" s="71" t="inlineStr">
        <is>
          <t>GU-TDH-053</t>
        </is>
      </c>
      <c r="F15" s="70" t="inlineStr">
        <is>
          <t>Pérdida muestral</t>
        </is>
      </c>
      <c r="G15" s="70" t="inlineStr">
        <is>
          <t>No completó las 3 sesiones mínimas.</t>
        </is>
      </c>
      <c r="H15" s="70" t="inlineStr">
        <is>
          <t>No rinde el postest. No se reemplazó.</t>
        </is>
      </c>
      <c r="I15" s="70" t="inlineStr">
        <is>
          <t>Quedó registrado como retiro.</t>
        </is>
      </c>
      <c r="J15" s="70" t="inlineStr">
        <is>
          <t>Tesistas</t>
        </is>
      </c>
      <c r="K15" s="72" t="n">
        <v>46324.52083333334</v>
      </c>
      <c r="L15" s="71" t="inlineStr">
        <is>
          <t>Resuelta</t>
        </is>
      </c>
      <c r="M15" s="70" t="inlineStr">
        <is>
          <t>Sesión 5, hoja de participantes.</t>
        </is>
      </c>
    </row>
    <row r="16" ht="15" customHeight="1" s="42">
      <c r="A16" s="62">
        <f>IF(B16="","",ROW()-5)</f>
        <v/>
      </c>
      <c r="B16" s="53" t="n"/>
      <c r="C16" s="80" t="n"/>
      <c r="D16" s="67" t="n"/>
      <c r="E16" s="67" t="n"/>
      <c r="F16" s="47" t="n"/>
      <c r="G16" s="47" t="n"/>
      <c r="H16" s="47" t="n"/>
      <c r="I16" s="47" t="n"/>
      <c r="J16" s="47" t="n"/>
      <c r="K16" s="53" t="n"/>
      <c r="L16" s="67" t="n"/>
      <c r="M16" s="47" t="n"/>
    </row>
    <row r="17" ht="15" customHeight="1" s="42">
      <c r="A17" s="62">
        <f>IF(B17="","",ROW()-5)</f>
        <v/>
      </c>
      <c r="B17" s="53" t="n"/>
      <c r="C17" s="80" t="n"/>
      <c r="D17" s="67" t="n"/>
      <c r="E17" s="67" t="n"/>
      <c r="F17" s="47" t="n"/>
      <c r="G17" s="47" t="n"/>
      <c r="H17" s="47" t="n"/>
      <c r="I17" s="47" t="n"/>
      <c r="J17" s="47" t="n"/>
      <c r="K17" s="53" t="n"/>
      <c r="L17" s="67" t="n"/>
      <c r="M17" s="47" t="n"/>
    </row>
    <row r="18" ht="15" customHeight="1" s="42">
      <c r="A18" s="62">
        <f>IF(B18="","",ROW()-5)</f>
        <v/>
      </c>
      <c r="B18" s="53" t="n"/>
      <c r="C18" s="80" t="n"/>
      <c r="D18" s="67" t="n"/>
      <c r="E18" s="67" t="n"/>
      <c r="F18" s="47" t="n"/>
      <c r="G18" s="47" t="n"/>
      <c r="H18" s="47" t="n"/>
      <c r="I18" s="47" t="n"/>
      <c r="J18" s="47" t="n"/>
      <c r="K18" s="53" t="n"/>
      <c r="L18" s="67" t="n"/>
      <c r="M18" s="47" t="n"/>
    </row>
    <row r="19" ht="15" customHeight="1" s="42">
      <c r="A19" s="62">
        <f>IF(B19="","",ROW()-5)</f>
        <v/>
      </c>
      <c r="B19" s="53" t="n"/>
      <c r="C19" s="80" t="n"/>
      <c r="D19" s="67" t="n"/>
      <c r="E19" s="67" t="n"/>
      <c r="F19" s="47" t="n"/>
      <c r="G19" s="47" t="n"/>
      <c r="H19" s="47" t="n"/>
      <c r="I19" s="47" t="n"/>
      <c r="J19" s="47" t="n"/>
      <c r="K19" s="53" t="n"/>
      <c r="L19" s="67" t="n"/>
      <c r="M19" s="47" t="n"/>
    </row>
    <row r="20" ht="15" customHeight="1" s="42">
      <c r="A20" s="62">
        <f>IF(B20="","",ROW()-5)</f>
        <v/>
      </c>
      <c r="B20" s="53" t="n"/>
      <c r="C20" s="80" t="n"/>
      <c r="D20" s="67" t="n"/>
      <c r="E20" s="67" t="n"/>
      <c r="F20" s="47" t="n"/>
      <c r="G20" s="47" t="n"/>
      <c r="H20" s="47" t="n"/>
      <c r="I20" s="47" t="n"/>
      <c r="J20" s="47" t="n"/>
      <c r="K20" s="53" t="n"/>
      <c r="L20" s="67" t="n"/>
      <c r="M20" s="47" t="n"/>
    </row>
    <row r="21" ht="15" customHeight="1" s="42">
      <c r="A21" s="62">
        <f>IF(B21="","",ROW()-5)</f>
        <v/>
      </c>
      <c r="B21" s="53" t="n"/>
      <c r="C21" s="80" t="n"/>
      <c r="D21" s="67" t="n"/>
      <c r="E21" s="67" t="n"/>
      <c r="F21" s="47" t="n"/>
      <c r="G21" s="47" t="n"/>
      <c r="H21" s="47" t="n"/>
      <c r="I21" s="47" t="n"/>
      <c r="J21" s="47" t="n"/>
      <c r="K21" s="53" t="n"/>
      <c r="L21" s="67" t="n"/>
      <c r="M21" s="47" t="n"/>
    </row>
    <row r="22" ht="15" customHeight="1" s="42">
      <c r="A22" s="62">
        <f>IF(B22="","",ROW()-5)</f>
        <v/>
      </c>
      <c r="B22" s="53" t="n"/>
      <c r="C22" s="80" t="n"/>
      <c r="D22" s="67" t="n"/>
      <c r="E22" s="67" t="n"/>
      <c r="F22" s="47" t="n"/>
      <c r="G22" s="47" t="n"/>
      <c r="H22" s="47" t="n"/>
      <c r="I22" s="47" t="n"/>
      <c r="J22" s="47" t="n"/>
      <c r="K22" s="53" t="n"/>
      <c r="L22" s="67" t="n"/>
      <c r="M22" s="47" t="n"/>
    </row>
    <row r="23" ht="15" customHeight="1" s="42">
      <c r="A23" s="62">
        <f>IF(B23="","",ROW()-5)</f>
        <v/>
      </c>
      <c r="B23" s="53" t="n"/>
      <c r="C23" s="80" t="n"/>
      <c r="D23" s="67" t="n"/>
      <c r="E23" s="67" t="n"/>
      <c r="F23" s="47" t="n"/>
      <c r="G23" s="47" t="n"/>
      <c r="H23" s="47" t="n"/>
      <c r="I23" s="47" t="n"/>
      <c r="J23" s="47" t="n"/>
      <c r="K23" s="53" t="n"/>
      <c r="L23" s="67" t="n"/>
      <c r="M23" s="47" t="n"/>
    </row>
    <row r="24" ht="15" customHeight="1" s="42">
      <c r="A24" s="62">
        <f>IF(B24="","",ROW()-5)</f>
        <v/>
      </c>
      <c r="B24" s="53" t="n"/>
      <c r="C24" s="80" t="n"/>
      <c r="D24" s="67" t="n"/>
      <c r="E24" s="67" t="n"/>
      <c r="F24" s="47" t="n"/>
      <c r="G24" s="47" t="n"/>
      <c r="H24" s="47" t="n"/>
      <c r="I24" s="47" t="n"/>
      <c r="J24" s="47" t="n"/>
      <c r="K24" s="53" t="n"/>
      <c r="L24" s="67" t="n"/>
      <c r="M24" s="47" t="n"/>
    </row>
    <row r="25" ht="15" customHeight="1" s="42">
      <c r="A25" s="62">
        <f>IF(B25="","",ROW()-5)</f>
        <v/>
      </c>
      <c r="B25" s="53" t="n"/>
      <c r="C25" s="80" t="n"/>
      <c r="D25" s="67" t="n"/>
      <c r="E25" s="67" t="n"/>
      <c r="F25" s="47" t="n"/>
      <c r="G25" s="47" t="n"/>
      <c r="H25" s="47" t="n"/>
      <c r="I25" s="47" t="n"/>
      <c r="J25" s="47" t="n"/>
      <c r="K25" s="53" t="n"/>
      <c r="L25" s="67" t="n"/>
      <c r="M25" s="47" t="n"/>
    </row>
    <row r="26" ht="15" customHeight="1" s="42">
      <c r="A26" s="62">
        <f>IF(B26="","",ROW()-5)</f>
        <v/>
      </c>
      <c r="B26" s="53" t="n"/>
      <c r="C26" s="80" t="n"/>
      <c r="D26" s="67" t="n"/>
      <c r="E26" s="67" t="n"/>
      <c r="F26" s="47" t="n"/>
      <c r="G26" s="47" t="n"/>
      <c r="H26" s="47" t="n"/>
      <c r="I26" s="47" t="n"/>
      <c r="J26" s="47" t="n"/>
      <c r="K26" s="53" t="n"/>
      <c r="L26" s="67" t="n"/>
      <c r="M26" s="47" t="n"/>
    </row>
    <row r="27" ht="15" customHeight="1" s="42">
      <c r="A27" s="62">
        <f>IF(B27="","",ROW()-5)</f>
        <v/>
      </c>
      <c r="B27" s="53" t="n"/>
      <c r="C27" s="80" t="n"/>
      <c r="D27" s="67" t="n"/>
      <c r="E27" s="67" t="n"/>
      <c r="F27" s="47" t="n"/>
      <c r="G27" s="47" t="n"/>
      <c r="H27" s="47" t="n"/>
      <c r="I27" s="47" t="n"/>
      <c r="J27" s="47" t="n"/>
      <c r="K27" s="53" t="n"/>
      <c r="L27" s="67" t="n"/>
      <c r="M27" s="47" t="n"/>
    </row>
    <row r="28" ht="15" customHeight="1" s="42">
      <c r="A28" s="62">
        <f>IF(B28="","",ROW()-5)</f>
        <v/>
      </c>
      <c r="B28" s="53" t="n"/>
      <c r="C28" s="80" t="n"/>
      <c r="D28" s="67" t="n"/>
      <c r="E28" s="67" t="n"/>
      <c r="F28" s="47" t="n"/>
      <c r="G28" s="47" t="n"/>
      <c r="H28" s="47" t="n"/>
      <c r="I28" s="47" t="n"/>
      <c r="J28" s="47" t="n"/>
      <c r="K28" s="53" t="n"/>
      <c r="L28" s="67" t="n"/>
      <c r="M28" s="47" t="n"/>
    </row>
    <row r="29" ht="15" customHeight="1" s="42">
      <c r="A29" s="62">
        <f>IF(B29="","",ROW()-5)</f>
        <v/>
      </c>
      <c r="B29" s="53" t="n"/>
      <c r="C29" s="80" t="n"/>
      <c r="D29" s="67" t="n"/>
      <c r="E29" s="67" t="n"/>
      <c r="F29" s="47" t="n"/>
      <c r="G29" s="47" t="n"/>
      <c r="H29" s="47" t="n"/>
      <c r="I29" s="47" t="n"/>
      <c r="J29" s="47" t="n"/>
      <c r="K29" s="53" t="n"/>
      <c r="L29" s="67" t="n"/>
      <c r="M29" s="47" t="n"/>
    </row>
    <row r="30" ht="15" customHeight="1" s="42">
      <c r="A30" s="62">
        <f>IF(B30="","",ROW()-5)</f>
        <v/>
      </c>
      <c r="B30" s="53" t="n"/>
      <c r="C30" s="80" t="n"/>
      <c r="D30" s="67" t="n"/>
      <c r="E30" s="67" t="n"/>
      <c r="F30" s="47" t="n"/>
      <c r="G30" s="47" t="n"/>
      <c r="H30" s="47" t="n"/>
      <c r="I30" s="47" t="n"/>
      <c r="J30" s="47" t="n"/>
      <c r="K30" s="53" t="n"/>
      <c r="L30" s="67" t="n"/>
      <c r="M30" s="47" t="n"/>
    </row>
    <row r="31" ht="15" customHeight="1" s="42">
      <c r="A31" s="62">
        <f>IF(B31="","",ROW()-5)</f>
        <v/>
      </c>
      <c r="B31" s="53" t="n"/>
      <c r="C31" s="80" t="n"/>
      <c r="D31" s="67" t="n"/>
      <c r="E31" s="67" t="n"/>
      <c r="F31" s="47" t="n"/>
      <c r="G31" s="47" t="n"/>
      <c r="H31" s="47" t="n"/>
      <c r="I31" s="47" t="n"/>
      <c r="J31" s="47" t="n"/>
      <c r="K31" s="53" t="n"/>
      <c r="L31" s="67" t="n"/>
      <c r="M31" s="47" t="n"/>
    </row>
    <row r="32" ht="15" customHeight="1" s="42">
      <c r="A32" s="62">
        <f>IF(B32="","",ROW()-5)</f>
        <v/>
      </c>
      <c r="B32" s="53" t="n"/>
      <c r="C32" s="80" t="n"/>
      <c r="D32" s="67" t="n"/>
      <c r="E32" s="67" t="n"/>
      <c r="F32" s="47" t="n"/>
      <c r="G32" s="47" t="n"/>
      <c r="H32" s="47" t="n"/>
      <c r="I32" s="47" t="n"/>
      <c r="J32" s="47" t="n"/>
      <c r="K32" s="53" t="n"/>
      <c r="L32" s="67" t="n"/>
      <c r="M32" s="47" t="n"/>
    </row>
    <row r="33" ht="15" customHeight="1" s="42">
      <c r="A33" s="62">
        <f>IF(B33="","",ROW()-5)</f>
        <v/>
      </c>
      <c r="B33" s="53" t="n"/>
      <c r="C33" s="80" t="n"/>
      <c r="D33" s="67" t="n"/>
      <c r="E33" s="67" t="n"/>
      <c r="F33" s="47" t="n"/>
      <c r="G33" s="47" t="n"/>
      <c r="H33" s="47" t="n"/>
      <c r="I33" s="47" t="n"/>
      <c r="J33" s="47" t="n"/>
      <c r="K33" s="53" t="n"/>
      <c r="L33" s="67" t="n"/>
      <c r="M33" s="47" t="n"/>
    </row>
    <row r="34" ht="15" customHeight="1" s="42">
      <c r="A34" s="62">
        <f>IF(B34="","",ROW()-5)</f>
        <v/>
      </c>
      <c r="B34" s="53" t="n"/>
      <c r="C34" s="80" t="n"/>
      <c r="D34" s="67" t="n"/>
      <c r="E34" s="67" t="n"/>
      <c r="F34" s="47" t="n"/>
      <c r="G34" s="47" t="n"/>
      <c r="H34" s="47" t="n"/>
      <c r="I34" s="47" t="n"/>
      <c r="J34" s="47" t="n"/>
      <c r="K34" s="53" t="n"/>
      <c r="L34" s="67" t="n"/>
      <c r="M34" s="47" t="n"/>
    </row>
    <row r="35" ht="15" customHeight="1" s="42">
      <c r="A35" s="62">
        <f>IF(B35="","",ROW()-5)</f>
        <v/>
      </c>
      <c r="B35" s="53" t="n"/>
      <c r="C35" s="80" t="n"/>
      <c r="D35" s="67" t="n"/>
      <c r="E35" s="67" t="n"/>
      <c r="F35" s="47" t="n"/>
      <c r="G35" s="47" t="n"/>
      <c r="H35" s="47" t="n"/>
      <c r="I35" s="47" t="n"/>
      <c r="J35" s="47" t="n"/>
      <c r="K35" s="53" t="n"/>
      <c r="L35" s="67" t="n"/>
      <c r="M35" s="47" t="n"/>
    </row>
    <row r="36" ht="15" customHeight="1" s="42">
      <c r="A36" s="62">
        <f>IF(B36="","",ROW()-5)</f>
        <v/>
      </c>
      <c r="B36" s="53" t="n"/>
      <c r="C36" s="80" t="n"/>
      <c r="D36" s="67" t="n"/>
      <c r="E36" s="67" t="n"/>
      <c r="F36" s="47" t="n"/>
      <c r="G36" s="47" t="n"/>
      <c r="H36" s="47" t="n"/>
      <c r="I36" s="47" t="n"/>
      <c r="J36" s="47" t="n"/>
      <c r="K36" s="53" t="n"/>
      <c r="L36" s="67" t="n"/>
      <c r="M36" s="47" t="n"/>
    </row>
    <row r="37" ht="15" customHeight="1" s="42">
      <c r="A37" s="62">
        <f>IF(B37="","",ROW()-5)</f>
        <v/>
      </c>
      <c r="B37" s="53" t="n"/>
      <c r="C37" s="80" t="n"/>
      <c r="D37" s="67" t="n"/>
      <c r="E37" s="67" t="n"/>
      <c r="F37" s="47" t="n"/>
      <c r="G37" s="47" t="n"/>
      <c r="H37" s="47" t="n"/>
      <c r="I37" s="47" t="n"/>
      <c r="J37" s="47" t="n"/>
      <c r="K37" s="53" t="n"/>
      <c r="L37" s="67" t="n"/>
      <c r="M37" s="47" t="n"/>
    </row>
    <row r="38" ht="15" customHeight="1" s="42">
      <c r="A38" s="62">
        <f>IF(B38="","",ROW()-5)</f>
        <v/>
      </c>
      <c r="B38" s="53" t="n"/>
      <c r="C38" s="80" t="n"/>
      <c r="D38" s="67" t="n"/>
      <c r="E38" s="67" t="n"/>
      <c r="F38" s="47" t="n"/>
      <c r="G38" s="47" t="n"/>
      <c r="H38" s="47" t="n"/>
      <c r="I38" s="47" t="n"/>
      <c r="J38" s="47" t="n"/>
      <c r="K38" s="53" t="n"/>
      <c r="L38" s="67" t="n"/>
      <c r="M38" s="47" t="n"/>
    </row>
    <row r="39" ht="15" customHeight="1" s="42">
      <c r="A39" s="62">
        <f>IF(B39="","",ROW()-5)</f>
        <v/>
      </c>
      <c r="B39" s="53" t="n"/>
      <c r="C39" s="80" t="n"/>
      <c r="D39" s="67" t="n"/>
      <c r="E39" s="67" t="n"/>
      <c r="F39" s="47" t="n"/>
      <c r="G39" s="47" t="n"/>
      <c r="H39" s="47" t="n"/>
      <c r="I39" s="47" t="n"/>
      <c r="J39" s="47" t="n"/>
      <c r="K39" s="53" t="n"/>
      <c r="L39" s="67" t="n"/>
      <c r="M39" s="47" t="n"/>
    </row>
    <row r="40" ht="15" customHeight="1" s="42">
      <c r="A40" s="62">
        <f>IF(B40="","",ROW()-5)</f>
        <v/>
      </c>
      <c r="B40" s="53" t="n"/>
      <c r="C40" s="80" t="n"/>
      <c r="D40" s="67" t="n"/>
      <c r="E40" s="67" t="n"/>
      <c r="F40" s="47" t="n"/>
      <c r="G40" s="47" t="n"/>
      <c r="H40" s="47" t="n"/>
      <c r="I40" s="47" t="n"/>
      <c r="J40" s="47" t="n"/>
      <c r="K40" s="53" t="n"/>
      <c r="L40" s="67" t="n"/>
      <c r="M40" s="47" t="n"/>
    </row>
    <row r="41" ht="15" customHeight="1" s="42">
      <c r="A41" s="62">
        <f>IF(B41="","",ROW()-5)</f>
        <v/>
      </c>
      <c r="B41" s="53" t="n"/>
      <c r="C41" s="80" t="n"/>
      <c r="D41" s="67" t="n"/>
      <c r="E41" s="67" t="n"/>
      <c r="F41" s="47" t="n"/>
      <c r="G41" s="47" t="n"/>
      <c r="H41" s="47" t="n"/>
      <c r="I41" s="47" t="n"/>
      <c r="J41" s="47" t="n"/>
      <c r="K41" s="53" t="n"/>
      <c r="L41" s="67" t="n"/>
      <c r="M41" s="47" t="n"/>
    </row>
    <row r="42" ht="15" customHeight="1" s="42">
      <c r="A42" s="62">
        <f>IF(B42="","",ROW()-5)</f>
        <v/>
      </c>
      <c r="B42" s="53" t="n"/>
      <c r="C42" s="80" t="n"/>
      <c r="D42" s="67" t="n"/>
      <c r="E42" s="67" t="n"/>
      <c r="F42" s="47" t="n"/>
      <c r="G42" s="47" t="n"/>
      <c r="H42" s="47" t="n"/>
      <c r="I42" s="47" t="n"/>
      <c r="J42" s="47" t="n"/>
      <c r="K42" s="53" t="n"/>
      <c r="L42" s="67" t="n"/>
      <c r="M42" s="47" t="n"/>
    </row>
    <row r="43" ht="15" customHeight="1" s="42">
      <c r="A43" s="62">
        <f>IF(B43="","",ROW()-5)</f>
        <v/>
      </c>
      <c r="B43" s="53" t="n"/>
      <c r="C43" s="80" t="n"/>
      <c r="D43" s="67" t="n"/>
      <c r="E43" s="67" t="n"/>
      <c r="F43" s="47" t="n"/>
      <c r="G43" s="47" t="n"/>
      <c r="H43" s="47" t="n"/>
      <c r="I43" s="47" t="n"/>
      <c r="J43" s="47" t="n"/>
      <c r="K43" s="53" t="n"/>
      <c r="L43" s="67" t="n"/>
      <c r="M43" s="47" t="n"/>
    </row>
    <row r="44" ht="15" customHeight="1" s="42">
      <c r="A44" s="62">
        <f>IF(B44="","",ROW()-5)</f>
        <v/>
      </c>
      <c r="B44" s="53" t="n"/>
      <c r="C44" s="80" t="n"/>
      <c r="D44" s="67" t="n"/>
      <c r="E44" s="67" t="n"/>
      <c r="F44" s="47" t="n"/>
      <c r="G44" s="47" t="n"/>
      <c r="H44" s="47" t="n"/>
      <c r="I44" s="47" t="n"/>
      <c r="J44" s="47" t="n"/>
      <c r="K44" s="53" t="n"/>
      <c r="L44" s="67" t="n"/>
      <c r="M44" s="47" t="n"/>
    </row>
    <row r="45" ht="15" customHeight="1" s="42">
      <c r="A45" s="62">
        <f>IF(B45="","",ROW()-5)</f>
        <v/>
      </c>
      <c r="B45" s="53" t="n"/>
      <c r="C45" s="80" t="n"/>
      <c r="D45" s="67" t="n"/>
      <c r="E45" s="67" t="n"/>
      <c r="F45" s="47" t="n"/>
      <c r="G45" s="47" t="n"/>
      <c r="H45" s="47" t="n"/>
      <c r="I45" s="47" t="n"/>
      <c r="J45" s="47" t="n"/>
      <c r="K45" s="53" t="n"/>
      <c r="L45" s="67" t="n"/>
      <c r="M45" s="47" t="n"/>
    </row>
    <row r="46" ht="15" customHeight="1" s="42">
      <c r="A46" s="62">
        <f>IF(B46="","",ROW()-5)</f>
        <v/>
      </c>
      <c r="B46" s="53" t="n"/>
      <c r="C46" s="80" t="n"/>
      <c r="D46" s="67" t="n"/>
      <c r="E46" s="67" t="n"/>
      <c r="F46" s="47" t="n"/>
      <c r="G46" s="47" t="n"/>
      <c r="H46" s="47" t="n"/>
      <c r="I46" s="47" t="n"/>
      <c r="J46" s="47" t="n"/>
      <c r="K46" s="53" t="n"/>
      <c r="L46" s="67" t="n"/>
      <c r="M46" s="47" t="n"/>
    </row>
    <row r="47" ht="15" customHeight="1" s="42">
      <c r="A47" s="62">
        <f>IF(B47="","",ROW()-5)</f>
        <v/>
      </c>
      <c r="B47" s="53" t="n"/>
      <c r="C47" s="80" t="n"/>
      <c r="D47" s="67" t="n"/>
      <c r="E47" s="67" t="n"/>
      <c r="F47" s="47" t="n"/>
      <c r="G47" s="47" t="n"/>
      <c r="H47" s="47" t="n"/>
      <c r="I47" s="47" t="n"/>
      <c r="J47" s="47" t="n"/>
      <c r="K47" s="53" t="n"/>
      <c r="L47" s="67" t="n"/>
      <c r="M47" s="47" t="n"/>
    </row>
    <row r="48" ht="15" customHeight="1" s="42">
      <c r="A48" s="62">
        <f>IF(B48="","",ROW()-5)</f>
        <v/>
      </c>
      <c r="B48" s="53" t="n"/>
      <c r="C48" s="80" t="n"/>
      <c r="D48" s="67" t="n"/>
      <c r="E48" s="67" t="n"/>
      <c r="F48" s="47" t="n"/>
      <c r="G48" s="47" t="n"/>
      <c r="H48" s="47" t="n"/>
      <c r="I48" s="47" t="n"/>
      <c r="J48" s="47" t="n"/>
      <c r="K48" s="53" t="n"/>
      <c r="L48" s="67" t="n"/>
      <c r="M48" s="47" t="n"/>
    </row>
    <row r="49" ht="15" customHeight="1" s="42">
      <c r="A49" s="62">
        <f>IF(B49="","",ROW()-5)</f>
        <v/>
      </c>
      <c r="B49" s="53" t="n"/>
      <c r="C49" s="80" t="n"/>
      <c r="D49" s="67" t="n"/>
      <c r="E49" s="67" t="n"/>
      <c r="F49" s="47" t="n"/>
      <c r="G49" s="47" t="n"/>
      <c r="H49" s="47" t="n"/>
      <c r="I49" s="47" t="n"/>
      <c r="J49" s="47" t="n"/>
      <c r="K49" s="53" t="n"/>
      <c r="L49" s="67" t="n"/>
      <c r="M49" s="47" t="n"/>
    </row>
    <row r="50" ht="15" customHeight="1" s="42">
      <c r="A50" s="62">
        <f>IF(B50="","",ROW()-5)</f>
        <v/>
      </c>
      <c r="B50" s="53" t="n"/>
      <c r="C50" s="80" t="n"/>
      <c r="D50" s="67" t="n"/>
      <c r="E50" s="67" t="n"/>
      <c r="F50" s="47" t="n"/>
      <c r="G50" s="47" t="n"/>
      <c r="H50" s="47" t="n"/>
      <c r="I50" s="47" t="n"/>
      <c r="J50" s="47" t="n"/>
      <c r="K50" s="53" t="n"/>
      <c r="L50" s="67" t="n"/>
      <c r="M50" s="47" t="n"/>
    </row>
    <row r="51" ht="15" customHeight="1" s="42">
      <c r="A51" s="62">
        <f>IF(B51="","",ROW()-5)</f>
        <v/>
      </c>
      <c r="B51" s="53" t="n"/>
      <c r="C51" s="80" t="n"/>
      <c r="D51" s="67" t="n"/>
      <c r="E51" s="67" t="n"/>
      <c r="F51" s="47" t="n"/>
      <c r="G51" s="47" t="n"/>
      <c r="H51" s="47" t="n"/>
      <c r="I51" s="47" t="n"/>
      <c r="J51" s="47" t="n"/>
      <c r="K51" s="53" t="n"/>
      <c r="L51" s="67" t="n"/>
      <c r="M51" s="47" t="n"/>
    </row>
    <row r="52" ht="15" customHeight="1" s="42">
      <c r="A52" s="62">
        <f>IF(B52="","",ROW()-5)</f>
        <v/>
      </c>
      <c r="B52" s="53" t="n"/>
      <c r="C52" s="80" t="n"/>
      <c r="D52" s="67" t="n"/>
      <c r="E52" s="67" t="n"/>
      <c r="F52" s="47" t="n"/>
      <c r="G52" s="47" t="n"/>
      <c r="H52" s="47" t="n"/>
      <c r="I52" s="47" t="n"/>
      <c r="J52" s="47" t="n"/>
      <c r="K52" s="53" t="n"/>
      <c r="L52" s="67" t="n"/>
      <c r="M52" s="47" t="n"/>
    </row>
    <row r="53" ht="15" customHeight="1" s="42">
      <c r="A53" s="62">
        <f>IF(B53="","",ROW()-5)</f>
        <v/>
      </c>
      <c r="B53" s="53" t="n"/>
      <c r="C53" s="80" t="n"/>
      <c r="D53" s="67" t="n"/>
      <c r="E53" s="67" t="n"/>
      <c r="F53" s="47" t="n"/>
      <c r="G53" s="47" t="n"/>
      <c r="H53" s="47" t="n"/>
      <c r="I53" s="47" t="n"/>
      <c r="J53" s="47" t="n"/>
      <c r="K53" s="53" t="n"/>
      <c r="L53" s="67" t="n"/>
      <c r="M53" s="47" t="n"/>
    </row>
    <row r="54" ht="15" customHeight="1" s="42">
      <c r="A54" s="62">
        <f>IF(B54="","",ROW()-5)</f>
        <v/>
      </c>
      <c r="B54" s="53" t="n"/>
      <c r="C54" s="80" t="n"/>
      <c r="D54" s="67" t="n"/>
      <c r="E54" s="67" t="n"/>
      <c r="F54" s="47" t="n"/>
      <c r="G54" s="47" t="n"/>
      <c r="H54" s="47" t="n"/>
      <c r="I54" s="47" t="n"/>
      <c r="J54" s="47" t="n"/>
      <c r="K54" s="53" t="n"/>
      <c r="L54" s="67" t="n"/>
      <c r="M54" s="47" t="n"/>
    </row>
    <row r="55" ht="15" customHeight="1" s="42">
      <c r="A55" s="62">
        <f>IF(B55="","",ROW()-5)</f>
        <v/>
      </c>
      <c r="B55" s="53" t="n"/>
      <c r="C55" s="80" t="n"/>
      <c r="D55" s="67" t="n"/>
      <c r="E55" s="67" t="n"/>
      <c r="F55" s="47" t="n"/>
      <c r="G55" s="47" t="n"/>
      <c r="H55" s="47" t="n"/>
      <c r="I55" s="47" t="n"/>
      <c r="J55" s="47" t="n"/>
      <c r="K55" s="53" t="n"/>
      <c r="L55" s="67" t="n"/>
      <c r="M55" s="47" t="n"/>
    </row>
    <row r="56" ht="15" customHeight="1" s="42">
      <c r="A56" s="62">
        <f>IF(B56="","",ROW()-5)</f>
        <v/>
      </c>
      <c r="B56" s="53" t="n"/>
      <c r="C56" s="80" t="n"/>
      <c r="D56" s="67" t="n"/>
      <c r="E56" s="67" t="n"/>
      <c r="F56" s="47" t="n"/>
      <c r="G56" s="47" t="n"/>
      <c r="H56" s="47" t="n"/>
      <c r="I56" s="47" t="n"/>
      <c r="J56" s="47" t="n"/>
      <c r="K56" s="53" t="n"/>
      <c r="L56" s="67" t="n"/>
      <c r="M56" s="47" t="n"/>
    </row>
    <row r="57" ht="15" customHeight="1" s="42">
      <c r="A57" s="62">
        <f>IF(B57="","",ROW()-5)</f>
        <v/>
      </c>
      <c r="B57" s="53" t="n"/>
      <c r="C57" s="80" t="n"/>
      <c r="D57" s="67" t="n"/>
      <c r="E57" s="67" t="n"/>
      <c r="F57" s="47" t="n"/>
      <c r="G57" s="47" t="n"/>
      <c r="H57" s="47" t="n"/>
      <c r="I57" s="47" t="n"/>
      <c r="J57" s="47" t="n"/>
      <c r="K57" s="53" t="n"/>
      <c r="L57" s="67" t="n"/>
      <c r="M57" s="47" t="n"/>
    </row>
    <row r="58" ht="15" customHeight="1" s="42">
      <c r="A58" s="62">
        <f>IF(B58="","",ROW()-5)</f>
        <v/>
      </c>
      <c r="B58" s="53" t="n"/>
      <c r="C58" s="80" t="n"/>
      <c r="D58" s="67" t="n"/>
      <c r="E58" s="67" t="n"/>
      <c r="F58" s="47" t="n"/>
      <c r="G58" s="47" t="n"/>
      <c r="H58" s="47" t="n"/>
      <c r="I58" s="47" t="n"/>
      <c r="J58" s="47" t="n"/>
      <c r="K58" s="53" t="n"/>
      <c r="L58" s="67" t="n"/>
      <c r="M58" s="47" t="n"/>
    </row>
    <row r="59" ht="15" customHeight="1" s="42">
      <c r="A59" s="62">
        <f>IF(B59="","",ROW()-5)</f>
        <v/>
      </c>
      <c r="B59" s="53" t="n"/>
      <c r="C59" s="80" t="n"/>
      <c r="D59" s="67" t="n"/>
      <c r="E59" s="67" t="n"/>
      <c r="F59" s="47" t="n"/>
      <c r="G59" s="47" t="n"/>
      <c r="H59" s="47" t="n"/>
      <c r="I59" s="47" t="n"/>
      <c r="J59" s="47" t="n"/>
      <c r="K59" s="53" t="n"/>
      <c r="L59" s="67" t="n"/>
      <c r="M59" s="47" t="n"/>
    </row>
    <row r="60" ht="15" customHeight="1" s="42">
      <c r="A60" s="62">
        <f>IF(B60="","",ROW()-5)</f>
        <v/>
      </c>
      <c r="B60" s="53" t="n"/>
      <c r="C60" s="80" t="n"/>
      <c r="D60" s="67" t="n"/>
      <c r="E60" s="67" t="n"/>
      <c r="F60" s="47" t="n"/>
      <c r="G60" s="47" t="n"/>
      <c r="H60" s="47" t="n"/>
      <c r="I60" s="47" t="n"/>
      <c r="J60" s="47" t="n"/>
      <c r="K60" s="53" t="n"/>
      <c r="L60" s="67" t="n"/>
      <c r="M60" s="47" t="n"/>
    </row>
    <row r="61" ht="15" customHeight="1" s="42">
      <c r="A61" s="62">
        <f>IF(B61="","",ROW()-5)</f>
        <v/>
      </c>
      <c r="B61" s="53" t="n"/>
      <c r="C61" s="80" t="n"/>
      <c r="D61" s="67" t="n"/>
      <c r="E61" s="67" t="n"/>
      <c r="F61" s="47" t="n"/>
      <c r="G61" s="47" t="n"/>
      <c r="H61" s="47" t="n"/>
      <c r="I61" s="47" t="n"/>
      <c r="J61" s="47" t="n"/>
      <c r="K61" s="53" t="n"/>
      <c r="L61" s="67" t="n"/>
      <c r="M61" s="47" t="n"/>
    </row>
    <row r="62" ht="15" customHeight="1" s="42">
      <c r="A62" s="62">
        <f>IF(B62="","",ROW()-5)</f>
        <v/>
      </c>
      <c r="B62" s="53" t="n"/>
      <c r="C62" s="80" t="n"/>
      <c r="D62" s="67" t="n"/>
      <c r="E62" s="67" t="n"/>
      <c r="F62" s="47" t="n"/>
      <c r="G62" s="47" t="n"/>
      <c r="H62" s="47" t="n"/>
      <c r="I62" s="47" t="n"/>
      <c r="J62" s="47" t="n"/>
      <c r="K62" s="53" t="n"/>
      <c r="L62" s="67" t="n"/>
      <c r="M62" s="47" t="n"/>
    </row>
    <row r="63" ht="15" customHeight="1" s="42">
      <c r="A63" s="62">
        <f>IF(B63="","",ROW()-5)</f>
        <v/>
      </c>
      <c r="B63" s="53" t="n"/>
      <c r="C63" s="80" t="n"/>
      <c r="D63" s="67" t="n"/>
      <c r="E63" s="67" t="n"/>
      <c r="F63" s="47" t="n"/>
      <c r="G63" s="47" t="n"/>
      <c r="H63" s="47" t="n"/>
      <c r="I63" s="47" t="n"/>
      <c r="J63" s="47" t="n"/>
      <c r="K63" s="53" t="n"/>
      <c r="L63" s="67" t="n"/>
      <c r="M63" s="47" t="n"/>
    </row>
    <row r="64" ht="15" customHeight="1" s="42">
      <c r="A64" s="62">
        <f>IF(B64="","",ROW()-5)</f>
        <v/>
      </c>
      <c r="B64" s="53" t="n"/>
      <c r="C64" s="80" t="n"/>
      <c r="D64" s="67" t="n"/>
      <c r="E64" s="67" t="n"/>
      <c r="F64" s="47" t="n"/>
      <c r="G64" s="47" t="n"/>
      <c r="H64" s="47" t="n"/>
      <c r="I64" s="47" t="n"/>
      <c r="J64" s="47" t="n"/>
      <c r="K64" s="53" t="n"/>
      <c r="L64" s="67" t="n"/>
      <c r="M64" s="47" t="n"/>
    </row>
    <row r="65" ht="15" customHeight="1" s="42">
      <c r="A65" s="62">
        <f>IF(B65="","",ROW()-5)</f>
        <v/>
      </c>
      <c r="B65" s="53" t="n"/>
      <c r="C65" s="80" t="n"/>
      <c r="D65" s="67" t="n"/>
      <c r="E65" s="67" t="n"/>
      <c r="F65" s="47" t="n"/>
      <c r="G65" s="47" t="n"/>
      <c r="H65" s="47" t="n"/>
      <c r="I65" s="47" t="n"/>
      <c r="J65" s="47" t="n"/>
      <c r="K65" s="53" t="n"/>
      <c r="L65" s="67" t="n"/>
      <c r="M65" s="47" t="n"/>
    </row>
    <row r="66" ht="15" customHeight="1" s="42">
      <c r="A66" s="62">
        <f>IF(B66="","",ROW()-5)</f>
        <v/>
      </c>
      <c r="B66" s="53" t="n"/>
      <c r="C66" s="80" t="n"/>
      <c r="D66" s="67" t="n"/>
      <c r="E66" s="67" t="n"/>
      <c r="F66" s="47" t="n"/>
      <c r="G66" s="47" t="n"/>
      <c r="H66" s="47" t="n"/>
      <c r="I66" s="47" t="n"/>
      <c r="J66" s="47" t="n"/>
      <c r="K66" s="53" t="n"/>
      <c r="L66" s="67" t="n"/>
      <c r="M66" s="47" t="n"/>
    </row>
    <row r="67" ht="15" customHeight="1" s="42">
      <c r="A67" s="62">
        <f>IF(B67="","",ROW()-5)</f>
        <v/>
      </c>
      <c r="B67" s="53" t="n"/>
      <c r="C67" s="80" t="n"/>
      <c r="D67" s="67" t="n"/>
      <c r="E67" s="67" t="n"/>
      <c r="F67" s="47" t="n"/>
      <c r="G67" s="47" t="n"/>
      <c r="H67" s="47" t="n"/>
      <c r="I67" s="47" t="n"/>
      <c r="J67" s="47" t="n"/>
      <c r="K67" s="53" t="n"/>
      <c r="L67" s="67" t="n"/>
      <c r="M67" s="47" t="n"/>
    </row>
    <row r="68" ht="15" customHeight="1" s="42">
      <c r="A68" s="62">
        <f>IF(B68="","",ROW()-5)</f>
        <v/>
      </c>
      <c r="B68" s="53" t="n"/>
      <c r="C68" s="80" t="n"/>
      <c r="D68" s="67" t="n"/>
      <c r="E68" s="67" t="n"/>
      <c r="F68" s="47" t="n"/>
      <c r="G68" s="47" t="n"/>
      <c r="H68" s="47" t="n"/>
      <c r="I68" s="47" t="n"/>
      <c r="J68" s="47" t="n"/>
      <c r="K68" s="53" t="n"/>
      <c r="L68" s="67" t="n"/>
      <c r="M68" s="47" t="n"/>
    </row>
    <row r="69" ht="15" customHeight="1" s="42">
      <c r="A69" s="62">
        <f>IF(B69="","",ROW()-5)</f>
        <v/>
      </c>
      <c r="B69" s="53" t="n"/>
      <c r="C69" s="80" t="n"/>
      <c r="D69" s="67" t="n"/>
      <c r="E69" s="67" t="n"/>
      <c r="F69" s="47" t="n"/>
      <c r="G69" s="47" t="n"/>
      <c r="H69" s="47" t="n"/>
      <c r="I69" s="47" t="n"/>
      <c r="J69" s="47" t="n"/>
      <c r="K69" s="53" t="n"/>
      <c r="L69" s="67" t="n"/>
      <c r="M69" s="47" t="n"/>
    </row>
    <row r="70" ht="15" customHeight="1" s="42">
      <c r="A70" s="62">
        <f>IF(B70="","",ROW()-5)</f>
        <v/>
      </c>
      <c r="B70" s="53" t="n"/>
      <c r="C70" s="80" t="n"/>
      <c r="D70" s="67" t="n"/>
      <c r="E70" s="67" t="n"/>
      <c r="F70" s="47" t="n"/>
      <c r="G70" s="47" t="n"/>
      <c r="H70" s="47" t="n"/>
      <c r="I70" s="47" t="n"/>
      <c r="J70" s="47" t="n"/>
      <c r="K70" s="53" t="n"/>
      <c r="L70" s="67" t="n"/>
      <c r="M70" s="47" t="n"/>
    </row>
    <row r="71" ht="15" customHeight="1" s="42">
      <c r="A71" s="62">
        <f>IF(B71="","",ROW()-5)</f>
        <v/>
      </c>
      <c r="B71" s="53" t="n"/>
      <c r="C71" s="80" t="n"/>
      <c r="D71" s="67" t="n"/>
      <c r="E71" s="67" t="n"/>
      <c r="F71" s="47" t="n"/>
      <c r="G71" s="47" t="n"/>
      <c r="H71" s="47" t="n"/>
      <c r="I71" s="47" t="n"/>
      <c r="J71" s="47" t="n"/>
      <c r="K71" s="53" t="n"/>
      <c r="L71" s="67" t="n"/>
      <c r="M71" s="47" t="n"/>
    </row>
    <row r="72" ht="15" customHeight="1" s="42">
      <c r="A72" s="62">
        <f>IF(B72="","",ROW()-5)</f>
        <v/>
      </c>
      <c r="B72" s="53" t="n"/>
      <c r="C72" s="80" t="n"/>
      <c r="D72" s="67" t="n"/>
      <c r="E72" s="67" t="n"/>
      <c r="F72" s="47" t="n"/>
      <c r="G72" s="47" t="n"/>
      <c r="H72" s="47" t="n"/>
      <c r="I72" s="47" t="n"/>
      <c r="J72" s="47" t="n"/>
      <c r="K72" s="53" t="n"/>
      <c r="L72" s="67" t="n"/>
      <c r="M72" s="47" t="n"/>
    </row>
    <row r="73" ht="15" customHeight="1" s="42">
      <c r="A73" s="62">
        <f>IF(B73="","",ROW()-5)</f>
        <v/>
      </c>
      <c r="B73" s="53" t="n"/>
      <c r="C73" s="80" t="n"/>
      <c r="D73" s="67" t="n"/>
      <c r="E73" s="67" t="n"/>
      <c r="F73" s="47" t="n"/>
      <c r="G73" s="47" t="n"/>
      <c r="H73" s="47" t="n"/>
      <c r="I73" s="47" t="n"/>
      <c r="J73" s="47" t="n"/>
      <c r="K73" s="53" t="n"/>
      <c r="L73" s="67" t="n"/>
      <c r="M73" s="47" t="n"/>
    </row>
    <row r="74" ht="15" customHeight="1" s="42">
      <c r="A74" s="62">
        <f>IF(B74="","",ROW()-5)</f>
        <v/>
      </c>
      <c r="B74" s="53" t="n"/>
      <c r="C74" s="80" t="n"/>
      <c r="D74" s="67" t="n"/>
      <c r="E74" s="67" t="n"/>
      <c r="F74" s="47" t="n"/>
      <c r="G74" s="47" t="n"/>
      <c r="H74" s="47" t="n"/>
      <c r="I74" s="47" t="n"/>
      <c r="J74" s="47" t="n"/>
      <c r="K74" s="53" t="n"/>
      <c r="L74" s="67" t="n"/>
      <c r="M74" s="47" t="n"/>
    </row>
    <row r="75" ht="15" customHeight="1" s="42">
      <c r="A75" s="62">
        <f>IF(B75="","",ROW()-5)</f>
        <v/>
      </c>
      <c r="B75" s="53" t="n"/>
      <c r="C75" s="80" t="n"/>
      <c r="D75" s="67" t="n"/>
      <c r="E75" s="67" t="n"/>
      <c r="F75" s="47" t="n"/>
      <c r="G75" s="47" t="n"/>
      <c r="H75" s="47" t="n"/>
      <c r="I75" s="47" t="n"/>
      <c r="J75" s="47" t="n"/>
      <c r="K75" s="53" t="n"/>
      <c r="L75" s="67" t="n"/>
      <c r="M75" s="47" t="n"/>
    </row>
    <row r="76" ht="15" customHeight="1" s="42">
      <c r="A76" s="62">
        <f>IF(B76="","",ROW()-5)</f>
        <v/>
      </c>
      <c r="B76" s="53" t="n"/>
      <c r="C76" s="80" t="n"/>
      <c r="D76" s="67" t="n"/>
      <c r="E76" s="67" t="n"/>
      <c r="F76" s="47" t="n"/>
      <c r="G76" s="47" t="n"/>
      <c r="H76" s="47" t="n"/>
      <c r="I76" s="47" t="n"/>
      <c r="J76" s="47" t="n"/>
      <c r="K76" s="53" t="n"/>
      <c r="L76" s="67" t="n"/>
      <c r="M76" s="47" t="n"/>
    </row>
    <row r="77" ht="15" customHeight="1" s="42">
      <c r="A77" s="62">
        <f>IF(B77="","",ROW()-5)</f>
        <v/>
      </c>
      <c r="B77" s="53" t="n"/>
      <c r="C77" s="80" t="n"/>
      <c r="D77" s="67" t="n"/>
      <c r="E77" s="67" t="n"/>
      <c r="F77" s="47" t="n"/>
      <c r="G77" s="47" t="n"/>
      <c r="H77" s="47" t="n"/>
      <c r="I77" s="47" t="n"/>
      <c r="J77" s="47" t="n"/>
      <c r="K77" s="53" t="n"/>
      <c r="L77" s="67" t="n"/>
      <c r="M77" s="47" t="n"/>
    </row>
    <row r="78" ht="15" customHeight="1" s="42">
      <c r="A78" s="62">
        <f>IF(B78="","",ROW()-5)</f>
        <v/>
      </c>
      <c r="B78" s="53" t="n"/>
      <c r="C78" s="80" t="n"/>
      <c r="D78" s="67" t="n"/>
      <c r="E78" s="67" t="n"/>
      <c r="F78" s="47" t="n"/>
      <c r="G78" s="47" t="n"/>
      <c r="H78" s="47" t="n"/>
      <c r="I78" s="47" t="n"/>
      <c r="J78" s="47" t="n"/>
      <c r="K78" s="53" t="n"/>
      <c r="L78" s="67" t="n"/>
      <c r="M78" s="47" t="n"/>
    </row>
    <row r="79" ht="15" customHeight="1" s="42">
      <c r="A79" s="62">
        <f>IF(B79="","",ROW()-5)</f>
        <v/>
      </c>
      <c r="B79" s="53" t="n"/>
      <c r="C79" s="80" t="n"/>
      <c r="D79" s="67" t="n"/>
      <c r="E79" s="67" t="n"/>
      <c r="F79" s="47" t="n"/>
      <c r="G79" s="47" t="n"/>
      <c r="H79" s="47" t="n"/>
      <c r="I79" s="47" t="n"/>
      <c r="J79" s="47" t="n"/>
      <c r="K79" s="53" t="n"/>
      <c r="L79" s="67" t="n"/>
      <c r="M79" s="47" t="n"/>
    </row>
    <row r="80" ht="15" customHeight="1" s="42">
      <c r="A80" s="62">
        <f>IF(B80="","",ROW()-5)</f>
        <v/>
      </c>
      <c r="B80" s="53" t="n"/>
      <c r="C80" s="80" t="n"/>
      <c r="D80" s="67" t="n"/>
      <c r="E80" s="67" t="n"/>
      <c r="F80" s="47" t="n"/>
      <c r="G80" s="47" t="n"/>
      <c r="H80" s="47" t="n"/>
      <c r="I80" s="47" t="n"/>
      <c r="J80" s="47" t="n"/>
      <c r="K80" s="53" t="n"/>
      <c r="L80" s="67" t="n"/>
      <c r="M80" s="47" t="n"/>
    </row>
    <row r="81" ht="15" customHeight="1" s="42">
      <c r="A81" s="62">
        <f>IF(B81="","",ROW()-5)</f>
        <v/>
      </c>
      <c r="B81" s="53" t="n"/>
      <c r="C81" s="80" t="n"/>
      <c r="D81" s="67" t="n"/>
      <c r="E81" s="67" t="n"/>
      <c r="F81" s="47" t="n"/>
      <c r="G81" s="47" t="n"/>
      <c r="H81" s="47" t="n"/>
      <c r="I81" s="47" t="n"/>
      <c r="J81" s="47" t="n"/>
      <c r="K81" s="53" t="n"/>
      <c r="L81" s="67" t="n"/>
      <c r="M81" s="47" t="n"/>
    </row>
    <row r="82" ht="15" customHeight="1" s="42">
      <c r="A82" s="62">
        <f>IF(B82="","",ROW()-5)</f>
        <v/>
      </c>
      <c r="B82" s="53" t="n"/>
      <c r="C82" s="80" t="n"/>
      <c r="D82" s="67" t="n"/>
      <c r="E82" s="67" t="n"/>
      <c r="F82" s="47" t="n"/>
      <c r="G82" s="47" t="n"/>
      <c r="H82" s="47" t="n"/>
      <c r="I82" s="47" t="n"/>
      <c r="J82" s="47" t="n"/>
      <c r="K82" s="53" t="n"/>
      <c r="L82" s="67" t="n"/>
      <c r="M82" s="47" t="n"/>
    </row>
    <row r="83" ht="15" customHeight="1" s="42">
      <c r="A83" s="62">
        <f>IF(B83="","",ROW()-5)</f>
        <v/>
      </c>
      <c r="B83" s="53" t="n"/>
      <c r="C83" s="80" t="n"/>
      <c r="D83" s="67" t="n"/>
      <c r="E83" s="67" t="n"/>
      <c r="F83" s="47" t="n"/>
      <c r="G83" s="47" t="n"/>
      <c r="H83" s="47" t="n"/>
      <c r="I83" s="47" t="n"/>
      <c r="J83" s="47" t="n"/>
      <c r="K83" s="53" t="n"/>
      <c r="L83" s="67" t="n"/>
      <c r="M83" s="47" t="n"/>
    </row>
    <row r="84" ht="15" customHeight="1" s="42">
      <c r="A84" s="62">
        <f>IF(B84="","",ROW()-5)</f>
        <v/>
      </c>
      <c r="B84" s="53" t="n"/>
      <c r="C84" s="80" t="n"/>
      <c r="D84" s="67" t="n"/>
      <c r="E84" s="67" t="n"/>
      <c r="F84" s="47" t="n"/>
      <c r="G84" s="47" t="n"/>
      <c r="H84" s="47" t="n"/>
      <c r="I84" s="47" t="n"/>
      <c r="J84" s="47" t="n"/>
      <c r="K84" s="53" t="n"/>
      <c r="L84" s="67" t="n"/>
      <c r="M84" s="47" t="n"/>
    </row>
    <row r="85" ht="15" customHeight="1" s="42">
      <c r="A85" s="62">
        <f>IF(B85="","",ROW()-5)</f>
        <v/>
      </c>
      <c r="B85" s="53" t="n"/>
      <c r="C85" s="80" t="n"/>
      <c r="D85" s="67" t="n"/>
      <c r="E85" s="67" t="n"/>
      <c r="F85" s="47" t="n"/>
      <c r="G85" s="47" t="n"/>
      <c r="H85" s="47" t="n"/>
      <c r="I85" s="47" t="n"/>
      <c r="J85" s="47" t="n"/>
      <c r="K85" s="53" t="n"/>
      <c r="L85" s="67" t="n"/>
      <c r="M85" s="47" t="n"/>
    </row>
    <row r="86" ht="15" customHeight="1" s="42">
      <c r="A86" s="62">
        <f>IF(B86="","",ROW()-5)</f>
        <v/>
      </c>
      <c r="B86" s="53" t="n"/>
      <c r="C86" s="80" t="n"/>
      <c r="D86" s="67" t="n"/>
      <c r="E86" s="67" t="n"/>
      <c r="F86" s="47" t="n"/>
      <c r="G86" s="47" t="n"/>
      <c r="H86" s="47" t="n"/>
      <c r="I86" s="47" t="n"/>
      <c r="J86" s="47" t="n"/>
      <c r="K86" s="53" t="n"/>
      <c r="L86" s="67" t="n"/>
      <c r="M86" s="47" t="n"/>
    </row>
    <row r="87" ht="15" customHeight="1" s="42">
      <c r="A87" s="62">
        <f>IF(B87="","",ROW()-5)</f>
        <v/>
      </c>
      <c r="B87" s="53" t="n"/>
      <c r="C87" s="80" t="n"/>
      <c r="D87" s="67" t="n"/>
      <c r="E87" s="67" t="n"/>
      <c r="F87" s="47" t="n"/>
      <c r="G87" s="47" t="n"/>
      <c r="H87" s="47" t="n"/>
      <c r="I87" s="47" t="n"/>
      <c r="J87" s="47" t="n"/>
      <c r="K87" s="53" t="n"/>
      <c r="L87" s="67" t="n"/>
      <c r="M87" s="47" t="n"/>
    </row>
    <row r="88" ht="15" customHeight="1" s="42">
      <c r="A88" s="62">
        <f>IF(B88="","",ROW()-5)</f>
        <v/>
      </c>
      <c r="B88" s="53" t="n"/>
      <c r="C88" s="80" t="n"/>
      <c r="D88" s="67" t="n"/>
      <c r="E88" s="67" t="n"/>
      <c r="F88" s="47" t="n"/>
      <c r="G88" s="47" t="n"/>
      <c r="H88" s="47" t="n"/>
      <c r="I88" s="47" t="n"/>
      <c r="J88" s="47" t="n"/>
      <c r="K88" s="53" t="n"/>
      <c r="L88" s="67" t="n"/>
      <c r="M88" s="47" t="n"/>
    </row>
    <row r="89" ht="15" customHeight="1" s="42">
      <c r="A89" s="62">
        <f>IF(B89="","",ROW()-5)</f>
        <v/>
      </c>
      <c r="B89" s="53" t="n"/>
      <c r="C89" s="80" t="n"/>
      <c r="D89" s="67" t="n"/>
      <c r="E89" s="67" t="n"/>
      <c r="F89" s="47" t="n"/>
      <c r="G89" s="47" t="n"/>
      <c r="H89" s="47" t="n"/>
      <c r="I89" s="47" t="n"/>
      <c r="J89" s="47" t="n"/>
      <c r="K89" s="53" t="n"/>
      <c r="L89" s="67" t="n"/>
      <c r="M89" s="47" t="n"/>
    </row>
    <row r="90" ht="15" customHeight="1" s="42">
      <c r="A90" s="62">
        <f>IF(B90="","",ROW()-5)</f>
        <v/>
      </c>
      <c r="B90" s="53" t="n"/>
      <c r="C90" s="80" t="n"/>
      <c r="D90" s="67" t="n"/>
      <c r="E90" s="67" t="n"/>
      <c r="F90" s="47" t="n"/>
      <c r="G90" s="47" t="n"/>
      <c r="H90" s="47" t="n"/>
      <c r="I90" s="47" t="n"/>
      <c r="J90" s="47" t="n"/>
      <c r="K90" s="53" t="n"/>
      <c r="L90" s="67" t="n"/>
      <c r="M90" s="47" t="n"/>
    </row>
    <row r="91" ht="15" customHeight="1" s="42">
      <c r="A91" s="62">
        <f>IF(B91="","",ROW()-5)</f>
        <v/>
      </c>
      <c r="B91" s="53" t="n"/>
      <c r="C91" s="80" t="n"/>
      <c r="D91" s="67" t="n"/>
      <c r="E91" s="67" t="n"/>
      <c r="F91" s="47" t="n"/>
      <c r="G91" s="47" t="n"/>
      <c r="H91" s="47" t="n"/>
      <c r="I91" s="47" t="n"/>
      <c r="J91" s="47" t="n"/>
      <c r="K91" s="53" t="n"/>
      <c r="L91" s="67" t="n"/>
      <c r="M91" s="47" t="n"/>
    </row>
    <row r="92" ht="15" customHeight="1" s="42">
      <c r="A92" s="62">
        <f>IF(B92="","",ROW()-5)</f>
        <v/>
      </c>
      <c r="B92" s="53" t="n"/>
      <c r="C92" s="80" t="n"/>
      <c r="D92" s="67" t="n"/>
      <c r="E92" s="67" t="n"/>
      <c r="F92" s="47" t="n"/>
      <c r="G92" s="47" t="n"/>
      <c r="H92" s="47" t="n"/>
      <c r="I92" s="47" t="n"/>
      <c r="J92" s="47" t="n"/>
      <c r="K92" s="53" t="n"/>
      <c r="L92" s="67" t="n"/>
      <c r="M92" s="47" t="n"/>
    </row>
    <row r="93" ht="15" customHeight="1" s="42">
      <c r="A93" s="62">
        <f>IF(B93="","",ROW()-5)</f>
        <v/>
      </c>
      <c r="B93" s="53" t="n"/>
      <c r="C93" s="80" t="n"/>
      <c r="D93" s="67" t="n"/>
      <c r="E93" s="67" t="n"/>
      <c r="F93" s="47" t="n"/>
      <c r="G93" s="47" t="n"/>
      <c r="H93" s="47" t="n"/>
      <c r="I93" s="47" t="n"/>
      <c r="J93" s="47" t="n"/>
      <c r="K93" s="53" t="n"/>
      <c r="L93" s="67" t="n"/>
      <c r="M93" s="47" t="n"/>
    </row>
    <row r="94" ht="15" customHeight="1" s="42">
      <c r="A94" s="62">
        <f>IF(B94="","",ROW()-5)</f>
        <v/>
      </c>
      <c r="B94" s="53" t="n"/>
      <c r="C94" s="80" t="n"/>
      <c r="D94" s="67" t="n"/>
      <c r="E94" s="67" t="n"/>
      <c r="F94" s="47" t="n"/>
      <c r="G94" s="47" t="n"/>
      <c r="H94" s="47" t="n"/>
      <c r="I94" s="47" t="n"/>
      <c r="J94" s="47" t="n"/>
      <c r="K94" s="53" t="n"/>
      <c r="L94" s="67" t="n"/>
      <c r="M94" s="47" t="n"/>
    </row>
    <row r="95" ht="15" customHeight="1" s="42">
      <c r="A95" s="62">
        <f>IF(B95="","",ROW()-5)</f>
        <v/>
      </c>
      <c r="B95" s="53" t="n"/>
      <c r="C95" s="80" t="n"/>
      <c r="D95" s="67" t="n"/>
      <c r="E95" s="67" t="n"/>
      <c r="F95" s="47" t="n"/>
      <c r="G95" s="47" t="n"/>
      <c r="H95" s="47" t="n"/>
      <c r="I95" s="47" t="n"/>
      <c r="J95" s="47" t="n"/>
      <c r="K95" s="53" t="n"/>
      <c r="L95" s="67" t="n"/>
      <c r="M95" s="47" t="n"/>
    </row>
    <row r="96" ht="15" customHeight="1" s="42">
      <c r="A96" s="62">
        <f>IF(B96="","",ROW()-5)</f>
        <v/>
      </c>
      <c r="B96" s="53" t="n"/>
      <c r="C96" s="80" t="n"/>
      <c r="D96" s="67" t="n"/>
      <c r="E96" s="67" t="n"/>
      <c r="F96" s="47" t="n"/>
      <c r="G96" s="47" t="n"/>
      <c r="H96" s="47" t="n"/>
      <c r="I96" s="47" t="n"/>
      <c r="J96" s="47" t="n"/>
      <c r="K96" s="53" t="n"/>
      <c r="L96" s="67" t="n"/>
      <c r="M96" s="47" t="n"/>
    </row>
    <row r="97" ht="15" customHeight="1" s="42">
      <c r="A97" s="62">
        <f>IF(B97="","",ROW()-5)</f>
        <v/>
      </c>
      <c r="B97" s="53" t="n"/>
      <c r="C97" s="80" t="n"/>
      <c r="D97" s="67" t="n"/>
      <c r="E97" s="67" t="n"/>
      <c r="F97" s="47" t="n"/>
      <c r="G97" s="47" t="n"/>
      <c r="H97" s="47" t="n"/>
      <c r="I97" s="47" t="n"/>
      <c r="J97" s="47" t="n"/>
      <c r="K97" s="53" t="n"/>
      <c r="L97" s="67" t="n"/>
      <c r="M97" s="47" t="n"/>
    </row>
    <row r="98" ht="15" customHeight="1" s="42">
      <c r="A98" s="62">
        <f>IF(B98="","",ROW()-5)</f>
        <v/>
      </c>
      <c r="B98" s="53" t="n"/>
      <c r="C98" s="80" t="n"/>
      <c r="D98" s="67" t="n"/>
      <c r="E98" s="67" t="n"/>
      <c r="F98" s="47" t="n"/>
      <c r="G98" s="47" t="n"/>
      <c r="H98" s="47" t="n"/>
      <c r="I98" s="47" t="n"/>
      <c r="J98" s="47" t="n"/>
      <c r="K98" s="53" t="n"/>
      <c r="L98" s="67" t="n"/>
      <c r="M98" s="47" t="n"/>
    </row>
    <row r="99" ht="15" customHeight="1" s="42">
      <c r="A99" s="62">
        <f>IF(B99="","",ROW()-5)</f>
        <v/>
      </c>
      <c r="B99" s="53" t="n"/>
      <c r="C99" s="80" t="n"/>
      <c r="D99" s="67" t="n"/>
      <c r="E99" s="67" t="n"/>
      <c r="F99" s="47" t="n"/>
      <c r="G99" s="47" t="n"/>
      <c r="H99" s="47" t="n"/>
      <c r="I99" s="47" t="n"/>
      <c r="J99" s="47" t="n"/>
      <c r="K99" s="53" t="n"/>
      <c r="L99" s="67" t="n"/>
      <c r="M99" s="47" t="n"/>
    </row>
    <row r="100" ht="15" customHeight="1" s="42">
      <c r="A100" s="62">
        <f>IF(B100="","",ROW()-5)</f>
        <v/>
      </c>
      <c r="B100" s="53" t="n"/>
      <c r="C100" s="80" t="n"/>
      <c r="D100" s="67" t="n"/>
      <c r="E100" s="67" t="n"/>
      <c r="F100" s="47" t="n"/>
      <c r="G100" s="47" t="n"/>
      <c r="H100" s="47" t="n"/>
      <c r="I100" s="47" t="n"/>
      <c r="J100" s="47" t="n"/>
      <c r="K100" s="53" t="n"/>
      <c r="L100" s="67" t="n"/>
      <c r="M100" s="47" t="n"/>
    </row>
    <row r="101" ht="15" customHeight="1" s="42">
      <c r="A101" s="62">
        <f>IF(B101="","",ROW()-5)</f>
        <v/>
      </c>
      <c r="B101" s="53" t="n"/>
      <c r="C101" s="80" t="n"/>
      <c r="D101" s="67" t="n"/>
      <c r="E101" s="67" t="n"/>
      <c r="F101" s="47" t="n"/>
      <c r="G101" s="47" t="n"/>
      <c r="H101" s="47" t="n"/>
      <c r="I101" s="47" t="n"/>
      <c r="J101" s="47" t="n"/>
      <c r="K101" s="53" t="n"/>
      <c r="L101" s="67" t="n"/>
      <c r="M101" s="47" t="n"/>
    </row>
    <row r="102" ht="15" customHeight="1" s="42">
      <c r="A102" s="62">
        <f>IF(B102="","",ROW()-5)</f>
        <v/>
      </c>
      <c r="B102" s="53" t="n"/>
      <c r="C102" s="80" t="n"/>
      <c r="D102" s="67" t="n"/>
      <c r="E102" s="67" t="n"/>
      <c r="F102" s="47" t="n"/>
      <c r="G102" s="47" t="n"/>
      <c r="H102" s="47" t="n"/>
      <c r="I102" s="47" t="n"/>
      <c r="J102" s="47" t="n"/>
      <c r="K102" s="53" t="n"/>
      <c r="L102" s="67" t="n"/>
      <c r="M102" s="47" t="n"/>
    </row>
    <row r="103" ht="15" customHeight="1" s="42">
      <c r="A103" s="62">
        <f>IF(B103="","",ROW()-5)</f>
        <v/>
      </c>
      <c r="B103" s="53" t="n"/>
      <c r="C103" s="80" t="n"/>
      <c r="D103" s="67" t="n"/>
      <c r="E103" s="67" t="n"/>
      <c r="F103" s="47" t="n"/>
      <c r="G103" s="47" t="n"/>
      <c r="H103" s="47" t="n"/>
      <c r="I103" s="47" t="n"/>
      <c r="J103" s="47" t="n"/>
      <c r="K103" s="53" t="n"/>
      <c r="L103" s="67" t="n"/>
      <c r="M103" s="47" t="n"/>
    </row>
    <row r="104" ht="15" customHeight="1" s="42">
      <c r="A104" s="62">
        <f>IF(B104="","",ROW()-5)</f>
        <v/>
      </c>
      <c r="B104" s="53" t="n"/>
      <c r="C104" s="80" t="n"/>
      <c r="D104" s="67" t="n"/>
      <c r="E104" s="67" t="n"/>
      <c r="F104" s="47" t="n"/>
      <c r="G104" s="47" t="n"/>
      <c r="H104" s="47" t="n"/>
      <c r="I104" s="47" t="n"/>
      <c r="J104" s="47" t="n"/>
      <c r="K104" s="53" t="n"/>
      <c r="L104" s="67" t="n"/>
      <c r="M104" s="47" t="n"/>
    </row>
    <row r="105" ht="15" customHeight="1" s="42">
      <c r="A105" s="62">
        <f>IF(B105="","",ROW()-5)</f>
        <v/>
      </c>
      <c r="B105" s="53" t="n"/>
      <c r="C105" s="80" t="n"/>
      <c r="D105" s="67" t="n"/>
      <c r="E105" s="67" t="n"/>
      <c r="F105" s="47" t="n"/>
      <c r="G105" s="47" t="n"/>
      <c r="H105" s="47" t="n"/>
      <c r="I105" s="47" t="n"/>
      <c r="J105" s="47" t="n"/>
      <c r="K105" s="53" t="n"/>
      <c r="L105" s="67" t="n"/>
      <c r="M105" s="47" t="n"/>
    </row>
    <row r="106" ht="15" customHeight="1" s="42">
      <c r="A106" s="62">
        <f>IF(B106="","",ROW()-5)</f>
        <v/>
      </c>
      <c r="B106" s="53" t="n"/>
      <c r="C106" s="80" t="n"/>
      <c r="D106" s="67" t="n"/>
      <c r="E106" s="67" t="n"/>
      <c r="F106" s="47" t="n"/>
      <c r="G106" s="47" t="n"/>
      <c r="H106" s="47" t="n"/>
      <c r="I106" s="47" t="n"/>
      <c r="J106" s="47" t="n"/>
      <c r="K106" s="53" t="n"/>
      <c r="L106" s="67" t="n"/>
      <c r="M106" s="47" t="n"/>
    </row>
    <row r="107" ht="15" customHeight="1" s="42">
      <c r="A107" s="62">
        <f>IF(B107="","",ROW()-5)</f>
        <v/>
      </c>
      <c r="B107" s="53" t="n"/>
      <c r="C107" s="80" t="n"/>
      <c r="D107" s="67" t="n"/>
      <c r="E107" s="67" t="n"/>
      <c r="F107" s="47" t="n"/>
      <c r="G107" s="47" t="n"/>
      <c r="H107" s="47" t="n"/>
      <c r="I107" s="47" t="n"/>
      <c r="J107" s="47" t="n"/>
      <c r="K107" s="53" t="n"/>
      <c r="L107" s="67" t="n"/>
      <c r="M107" s="47" t="n"/>
    </row>
    <row r="108" ht="15" customHeight="1" s="42">
      <c r="A108" s="62">
        <f>IF(B108="","",ROW()-5)</f>
        <v/>
      </c>
      <c r="B108" s="53" t="n"/>
      <c r="C108" s="80" t="n"/>
      <c r="D108" s="67" t="n"/>
      <c r="E108" s="67" t="n"/>
      <c r="F108" s="47" t="n"/>
      <c r="G108" s="47" t="n"/>
      <c r="H108" s="47" t="n"/>
      <c r="I108" s="47" t="n"/>
      <c r="J108" s="47" t="n"/>
      <c r="K108" s="53" t="n"/>
      <c r="L108" s="67" t="n"/>
      <c r="M108" s="47" t="n"/>
    </row>
    <row r="109" ht="15" customHeight="1" s="42">
      <c r="A109" s="62">
        <f>IF(B109="","",ROW()-5)</f>
        <v/>
      </c>
      <c r="B109" s="53" t="n"/>
      <c r="C109" s="80" t="n"/>
      <c r="D109" s="67" t="n"/>
      <c r="E109" s="67" t="n"/>
      <c r="F109" s="47" t="n"/>
      <c r="G109" s="47" t="n"/>
      <c r="H109" s="47" t="n"/>
      <c r="I109" s="47" t="n"/>
      <c r="J109" s="47" t="n"/>
      <c r="K109" s="53" t="n"/>
      <c r="L109" s="67" t="n"/>
      <c r="M109" s="47" t="n"/>
    </row>
    <row r="110" ht="15" customHeight="1" s="42">
      <c r="A110" s="62">
        <f>IF(B110="","",ROW()-5)</f>
        <v/>
      </c>
      <c r="B110" s="53" t="n"/>
      <c r="C110" s="80" t="n"/>
      <c r="D110" s="67" t="n"/>
      <c r="E110" s="67" t="n"/>
      <c r="F110" s="47" t="n"/>
      <c r="G110" s="47" t="n"/>
      <c r="H110" s="47" t="n"/>
      <c r="I110" s="47" t="n"/>
      <c r="J110" s="47" t="n"/>
      <c r="K110" s="53" t="n"/>
      <c r="L110" s="67" t="n"/>
      <c r="M110" s="47" t="n"/>
    </row>
    <row r="111" ht="15" customHeight="1" s="42">
      <c r="A111" s="62">
        <f>IF(B111="","",ROW()-5)</f>
        <v/>
      </c>
      <c r="B111" s="53" t="n"/>
      <c r="C111" s="80" t="n"/>
      <c r="D111" s="67" t="n"/>
      <c r="E111" s="67" t="n"/>
      <c r="F111" s="47" t="n"/>
      <c r="G111" s="47" t="n"/>
      <c r="H111" s="47" t="n"/>
      <c r="I111" s="47" t="n"/>
      <c r="J111" s="47" t="n"/>
      <c r="K111" s="53" t="n"/>
      <c r="L111" s="67" t="n"/>
      <c r="M111" s="47" t="n"/>
    </row>
    <row r="112" ht="15" customHeight="1" s="42">
      <c r="A112" s="62">
        <f>IF(B112="","",ROW()-5)</f>
        <v/>
      </c>
      <c r="B112" s="53" t="n"/>
      <c r="C112" s="80" t="n"/>
      <c r="D112" s="67" t="n"/>
      <c r="E112" s="67" t="n"/>
      <c r="F112" s="47" t="n"/>
      <c r="G112" s="47" t="n"/>
      <c r="H112" s="47" t="n"/>
      <c r="I112" s="47" t="n"/>
      <c r="J112" s="47" t="n"/>
      <c r="K112" s="53" t="n"/>
      <c r="L112" s="67" t="n"/>
      <c r="M112" s="47" t="n"/>
    </row>
    <row r="113" ht="15" customHeight="1" s="42">
      <c r="A113" s="62">
        <f>IF(B113="","",ROW()-5)</f>
        <v/>
      </c>
      <c r="B113" s="53" t="n"/>
      <c r="C113" s="80" t="n"/>
      <c r="D113" s="67" t="n"/>
      <c r="E113" s="67" t="n"/>
      <c r="F113" s="47" t="n"/>
      <c r="G113" s="47" t="n"/>
      <c r="H113" s="47" t="n"/>
      <c r="I113" s="47" t="n"/>
      <c r="J113" s="47" t="n"/>
      <c r="K113" s="53" t="n"/>
      <c r="L113" s="67" t="n"/>
      <c r="M113" s="47" t="n"/>
    </row>
    <row r="114" ht="15" customHeight="1" s="42">
      <c r="A114" s="62">
        <f>IF(B114="","",ROW()-5)</f>
        <v/>
      </c>
      <c r="B114" s="53" t="n"/>
      <c r="C114" s="80" t="n"/>
      <c r="D114" s="67" t="n"/>
      <c r="E114" s="67" t="n"/>
      <c r="F114" s="47" t="n"/>
      <c r="G114" s="47" t="n"/>
      <c r="H114" s="47" t="n"/>
      <c r="I114" s="47" t="n"/>
      <c r="J114" s="47" t="n"/>
      <c r="K114" s="53" t="n"/>
      <c r="L114" s="67" t="n"/>
      <c r="M114" s="47" t="n"/>
    </row>
    <row r="115" ht="15" customHeight="1" s="42">
      <c r="A115" s="62">
        <f>IF(B115="","",ROW()-5)</f>
        <v/>
      </c>
      <c r="B115" s="53" t="n"/>
      <c r="C115" s="80" t="n"/>
      <c r="D115" s="67" t="n"/>
      <c r="E115" s="67" t="n"/>
      <c r="F115" s="47" t="n"/>
      <c r="G115" s="47" t="n"/>
      <c r="H115" s="47" t="n"/>
      <c r="I115" s="47" t="n"/>
      <c r="J115" s="47" t="n"/>
      <c r="K115" s="53" t="n"/>
      <c r="L115" s="67" t="n"/>
      <c r="M115" s="47" t="n"/>
    </row>
    <row r="116" ht="15" customHeight="1" s="42">
      <c r="A116" s="62">
        <f>IF(B116="","",ROW()-5)</f>
        <v/>
      </c>
      <c r="B116" s="53" t="n"/>
      <c r="C116" s="80" t="n"/>
      <c r="D116" s="67" t="n"/>
      <c r="E116" s="67" t="n"/>
      <c r="F116" s="47" t="n"/>
      <c r="G116" s="47" t="n"/>
      <c r="H116" s="47" t="n"/>
      <c r="I116" s="47" t="n"/>
      <c r="J116" s="47" t="n"/>
      <c r="K116" s="53" t="n"/>
      <c r="L116" s="67" t="n"/>
      <c r="M116" s="47" t="n"/>
    </row>
    <row r="117" ht="15" customHeight="1" s="42">
      <c r="A117" s="62">
        <f>IF(B117="","",ROW()-5)</f>
        <v/>
      </c>
      <c r="B117" s="53" t="n"/>
      <c r="C117" s="80" t="n"/>
      <c r="D117" s="67" t="n"/>
      <c r="E117" s="67" t="n"/>
      <c r="F117" s="47" t="n"/>
      <c r="G117" s="47" t="n"/>
      <c r="H117" s="47" t="n"/>
      <c r="I117" s="47" t="n"/>
      <c r="J117" s="47" t="n"/>
      <c r="K117" s="53" t="n"/>
      <c r="L117" s="67" t="n"/>
      <c r="M117" s="47" t="n"/>
    </row>
    <row r="118" ht="15" customHeight="1" s="42">
      <c r="A118" s="62">
        <f>IF(B118="","",ROW()-5)</f>
        <v/>
      </c>
      <c r="B118" s="53" t="n"/>
      <c r="C118" s="80" t="n"/>
      <c r="D118" s="67" t="n"/>
      <c r="E118" s="67" t="n"/>
      <c r="F118" s="47" t="n"/>
      <c r="G118" s="47" t="n"/>
      <c r="H118" s="47" t="n"/>
      <c r="I118" s="47" t="n"/>
      <c r="J118" s="47" t="n"/>
      <c r="K118" s="53" t="n"/>
      <c r="L118" s="67" t="n"/>
      <c r="M118" s="47" t="n"/>
    </row>
    <row r="119" ht="15" customHeight="1" s="42">
      <c r="A119" s="62">
        <f>IF(B119="","",ROW()-5)</f>
        <v/>
      </c>
      <c r="B119" s="53" t="n"/>
      <c r="C119" s="80" t="n"/>
      <c r="D119" s="67" t="n"/>
      <c r="E119" s="67" t="n"/>
      <c r="F119" s="47" t="n"/>
      <c r="G119" s="47" t="n"/>
      <c r="H119" s="47" t="n"/>
      <c r="I119" s="47" t="n"/>
      <c r="J119" s="47" t="n"/>
      <c r="K119" s="53" t="n"/>
      <c r="L119" s="67" t="n"/>
      <c r="M119" s="47" t="n"/>
    </row>
    <row r="120" ht="15" customHeight="1" s="42">
      <c r="A120" s="62">
        <f>IF(B120="","",ROW()-5)</f>
        <v/>
      </c>
      <c r="B120" s="53" t="n"/>
      <c r="C120" s="80" t="n"/>
      <c r="D120" s="67" t="n"/>
      <c r="E120" s="67" t="n"/>
      <c r="F120" s="47" t="n"/>
      <c r="G120" s="47" t="n"/>
      <c r="H120" s="47" t="n"/>
      <c r="I120" s="47" t="n"/>
      <c r="J120" s="47" t="n"/>
      <c r="K120" s="53" t="n"/>
      <c r="L120" s="67" t="n"/>
      <c r="M120" s="47" t="n"/>
    </row>
    <row r="121" ht="15" customHeight="1" s="42">
      <c r="A121" s="62">
        <f>IF(B121="","",ROW()-5)</f>
        <v/>
      </c>
      <c r="B121" s="53" t="n"/>
      <c r="C121" s="80" t="n"/>
      <c r="D121" s="67" t="n"/>
      <c r="E121" s="67" t="n"/>
      <c r="F121" s="47" t="n"/>
      <c r="G121" s="47" t="n"/>
      <c r="H121" s="47" t="n"/>
      <c r="I121" s="47" t="n"/>
      <c r="J121" s="47" t="n"/>
      <c r="K121" s="53" t="n"/>
      <c r="L121" s="67" t="n"/>
      <c r="M121" s="47" t="n"/>
    </row>
    <row r="122" ht="15" customHeight="1" s="42">
      <c r="A122" s="62">
        <f>IF(B122="","",ROW()-5)</f>
        <v/>
      </c>
      <c r="B122" s="53" t="n"/>
      <c r="C122" s="80" t="n"/>
      <c r="D122" s="67" t="n"/>
      <c r="E122" s="67" t="n"/>
      <c r="F122" s="47" t="n"/>
      <c r="G122" s="47" t="n"/>
      <c r="H122" s="47" t="n"/>
      <c r="I122" s="47" t="n"/>
      <c r="J122" s="47" t="n"/>
      <c r="K122" s="53" t="n"/>
      <c r="L122" s="67" t="n"/>
      <c r="M122" s="47" t="n"/>
    </row>
    <row r="123" ht="15" customHeight="1" s="42">
      <c r="A123" s="62">
        <f>IF(B123="","",ROW()-5)</f>
        <v/>
      </c>
      <c r="B123" s="53" t="n"/>
      <c r="C123" s="80" t="n"/>
      <c r="D123" s="67" t="n"/>
      <c r="E123" s="67" t="n"/>
      <c r="F123" s="47" t="n"/>
      <c r="G123" s="47" t="n"/>
      <c r="H123" s="47" t="n"/>
      <c r="I123" s="47" t="n"/>
      <c r="J123" s="47" t="n"/>
      <c r="K123" s="53" t="n"/>
      <c r="L123" s="67" t="n"/>
      <c r="M123" s="47" t="n"/>
    </row>
    <row r="124" ht="15" customHeight="1" s="42">
      <c r="A124" s="62">
        <f>IF(B124="","",ROW()-5)</f>
        <v/>
      </c>
      <c r="B124" s="53" t="n"/>
      <c r="C124" s="80" t="n"/>
      <c r="D124" s="67" t="n"/>
      <c r="E124" s="67" t="n"/>
      <c r="F124" s="47" t="n"/>
      <c r="G124" s="47" t="n"/>
      <c r="H124" s="47" t="n"/>
      <c r="I124" s="47" t="n"/>
      <c r="J124" s="47" t="n"/>
      <c r="K124" s="53" t="n"/>
      <c r="L124" s="67" t="n"/>
      <c r="M124" s="47" t="n"/>
    </row>
    <row r="125" ht="15" customHeight="1" s="42">
      <c r="A125" s="62">
        <f>IF(B125="","",ROW()-5)</f>
        <v/>
      </c>
      <c r="B125" s="53" t="n"/>
      <c r="C125" s="80" t="n"/>
      <c r="D125" s="67" t="n"/>
      <c r="E125" s="67" t="n"/>
      <c r="F125" s="47" t="n"/>
      <c r="G125" s="47" t="n"/>
      <c r="H125" s="47" t="n"/>
      <c r="I125" s="47" t="n"/>
      <c r="J125" s="47" t="n"/>
      <c r="K125" s="53" t="n"/>
      <c r="L125" s="67" t="n"/>
      <c r="M125" s="47" t="n"/>
    </row>
    <row r="126" ht="15" customHeight="1" s="42">
      <c r="A126" s="62">
        <f>IF(B126="","",ROW()-5)</f>
        <v/>
      </c>
      <c r="B126" s="53" t="n"/>
      <c r="C126" s="80" t="n"/>
      <c r="D126" s="67" t="n"/>
      <c r="E126" s="67" t="n"/>
      <c r="F126" s="47" t="n"/>
      <c r="G126" s="47" t="n"/>
      <c r="H126" s="47" t="n"/>
      <c r="I126" s="47" t="n"/>
      <c r="J126" s="47" t="n"/>
      <c r="K126" s="53" t="n"/>
      <c r="L126" s="67" t="n"/>
      <c r="M126" s="47" t="n"/>
    </row>
    <row r="127" ht="15" customHeight="1" s="42">
      <c r="A127" s="62">
        <f>IF(B127="","",ROW()-5)</f>
        <v/>
      </c>
      <c r="B127" s="53" t="n"/>
      <c r="C127" s="80" t="n"/>
      <c r="D127" s="67" t="n"/>
      <c r="E127" s="67" t="n"/>
      <c r="F127" s="47" t="n"/>
      <c r="G127" s="47" t="n"/>
      <c r="H127" s="47" t="n"/>
      <c r="I127" s="47" t="n"/>
      <c r="J127" s="47" t="n"/>
      <c r="K127" s="53" t="n"/>
      <c r="L127" s="67" t="n"/>
      <c r="M127" s="47" t="n"/>
    </row>
    <row r="128" ht="15" customHeight="1" s="42">
      <c r="A128" s="62">
        <f>IF(B128="","",ROW()-5)</f>
        <v/>
      </c>
      <c r="B128" s="53" t="n"/>
      <c r="C128" s="80" t="n"/>
      <c r="D128" s="67" t="n"/>
      <c r="E128" s="67" t="n"/>
      <c r="F128" s="47" t="n"/>
      <c r="G128" s="47" t="n"/>
      <c r="H128" s="47" t="n"/>
      <c r="I128" s="47" t="n"/>
      <c r="J128" s="47" t="n"/>
      <c r="K128" s="53" t="n"/>
      <c r="L128" s="67" t="n"/>
      <c r="M128" s="47" t="n"/>
    </row>
    <row r="129" ht="15" customHeight="1" s="42">
      <c r="A129" s="62">
        <f>IF(B129="","",ROW()-5)</f>
        <v/>
      </c>
      <c r="B129" s="53" t="n"/>
      <c r="C129" s="80" t="n"/>
      <c r="D129" s="67" t="n"/>
      <c r="E129" s="67" t="n"/>
      <c r="F129" s="47" t="n"/>
      <c r="G129" s="47" t="n"/>
      <c r="H129" s="47" t="n"/>
      <c r="I129" s="47" t="n"/>
      <c r="J129" s="47" t="n"/>
      <c r="K129" s="53" t="n"/>
      <c r="L129" s="67" t="n"/>
      <c r="M129" s="47" t="n"/>
    </row>
    <row r="130" ht="15" customHeight="1" s="42">
      <c r="A130" s="62">
        <f>IF(B130="","",ROW()-5)</f>
        <v/>
      </c>
      <c r="B130" s="53" t="n"/>
      <c r="C130" s="80" t="n"/>
      <c r="D130" s="67" t="n"/>
      <c r="E130" s="67" t="n"/>
      <c r="F130" s="47" t="n"/>
      <c r="G130" s="47" t="n"/>
      <c r="H130" s="47" t="n"/>
      <c r="I130" s="47" t="n"/>
      <c r="J130" s="47" t="n"/>
      <c r="K130" s="53" t="n"/>
      <c r="L130" s="67" t="n"/>
      <c r="M130" s="47" t="n"/>
    </row>
    <row r="131" ht="15" customHeight="1" s="42">
      <c r="A131" s="62">
        <f>IF(B131="","",ROW()-5)</f>
        <v/>
      </c>
      <c r="B131" s="53" t="n"/>
      <c r="C131" s="80" t="n"/>
      <c r="D131" s="67" t="n"/>
      <c r="E131" s="67" t="n"/>
      <c r="F131" s="47" t="n"/>
      <c r="G131" s="47" t="n"/>
      <c r="H131" s="47" t="n"/>
      <c r="I131" s="47" t="n"/>
      <c r="J131" s="47" t="n"/>
      <c r="K131" s="53" t="n"/>
      <c r="L131" s="67" t="n"/>
      <c r="M131" s="47" t="n"/>
    </row>
    <row r="132" ht="15" customHeight="1" s="42">
      <c r="A132" s="62">
        <f>IF(B132="","",ROW()-5)</f>
        <v/>
      </c>
      <c r="B132" s="53" t="n"/>
      <c r="C132" s="80" t="n"/>
      <c r="D132" s="67" t="n"/>
      <c r="E132" s="67" t="n"/>
      <c r="F132" s="47" t="n"/>
      <c r="G132" s="47" t="n"/>
      <c r="H132" s="47" t="n"/>
      <c r="I132" s="47" t="n"/>
      <c r="J132" s="47" t="n"/>
      <c r="K132" s="53" t="n"/>
      <c r="L132" s="67" t="n"/>
      <c r="M132" s="47" t="n"/>
    </row>
    <row r="133" ht="15" customHeight="1" s="42">
      <c r="A133" s="62">
        <f>IF(B133="","",ROW()-5)</f>
        <v/>
      </c>
      <c r="B133" s="53" t="n"/>
      <c r="C133" s="80" t="n"/>
      <c r="D133" s="67" t="n"/>
      <c r="E133" s="67" t="n"/>
      <c r="F133" s="47" t="n"/>
      <c r="G133" s="47" t="n"/>
      <c r="H133" s="47" t="n"/>
      <c r="I133" s="47" t="n"/>
      <c r="J133" s="47" t="n"/>
      <c r="K133" s="53" t="n"/>
      <c r="L133" s="67" t="n"/>
      <c r="M133" s="47" t="n"/>
    </row>
    <row r="134" ht="15" customHeight="1" s="42">
      <c r="A134" s="62">
        <f>IF(B134="","",ROW()-5)</f>
        <v/>
      </c>
      <c r="B134" s="53" t="n"/>
      <c r="C134" s="80" t="n"/>
      <c r="D134" s="67" t="n"/>
      <c r="E134" s="67" t="n"/>
      <c r="F134" s="47" t="n"/>
      <c r="G134" s="47" t="n"/>
      <c r="H134" s="47" t="n"/>
      <c r="I134" s="47" t="n"/>
      <c r="J134" s="47" t="n"/>
      <c r="K134" s="53" t="n"/>
      <c r="L134" s="67" t="n"/>
      <c r="M134" s="47" t="n"/>
    </row>
    <row r="135" ht="15" customHeight="1" s="42">
      <c r="A135" s="62">
        <f>IF(B135="","",ROW()-5)</f>
        <v/>
      </c>
      <c r="B135" s="53" t="n"/>
      <c r="C135" s="80" t="n"/>
      <c r="D135" s="67" t="n"/>
      <c r="E135" s="67" t="n"/>
      <c r="F135" s="47" t="n"/>
      <c r="G135" s="47" t="n"/>
      <c r="H135" s="47" t="n"/>
      <c r="I135" s="47" t="n"/>
      <c r="J135" s="47" t="n"/>
      <c r="K135" s="53" t="n"/>
      <c r="L135" s="67" t="n"/>
      <c r="M135" s="47" t="n"/>
    </row>
    <row r="136" ht="15" customHeight="1" s="42">
      <c r="A136" s="62">
        <f>IF(B136="","",ROW()-5)</f>
        <v/>
      </c>
      <c r="B136" s="53" t="n"/>
      <c r="C136" s="80" t="n"/>
      <c r="D136" s="67" t="n"/>
      <c r="E136" s="67" t="n"/>
      <c r="F136" s="47" t="n"/>
      <c r="G136" s="47" t="n"/>
      <c r="H136" s="47" t="n"/>
      <c r="I136" s="47" t="n"/>
      <c r="J136" s="47" t="n"/>
      <c r="K136" s="53" t="n"/>
      <c r="L136" s="67" t="n"/>
      <c r="M136" s="47" t="n"/>
    </row>
    <row r="137" ht="15" customHeight="1" s="42">
      <c r="A137" s="62">
        <f>IF(B137="","",ROW()-5)</f>
        <v/>
      </c>
      <c r="B137" s="53" t="n"/>
      <c r="C137" s="80" t="n"/>
      <c r="D137" s="67" t="n"/>
      <c r="E137" s="67" t="n"/>
      <c r="F137" s="47" t="n"/>
      <c r="G137" s="47" t="n"/>
      <c r="H137" s="47" t="n"/>
      <c r="I137" s="47" t="n"/>
      <c r="J137" s="47" t="n"/>
      <c r="K137" s="53" t="n"/>
      <c r="L137" s="67" t="n"/>
      <c r="M137" s="47" t="n"/>
    </row>
    <row r="138" ht="15" customHeight="1" s="42">
      <c r="A138" s="62">
        <f>IF(B138="","",ROW()-5)</f>
        <v/>
      </c>
      <c r="B138" s="53" t="n"/>
      <c r="C138" s="80" t="n"/>
      <c r="D138" s="67" t="n"/>
      <c r="E138" s="67" t="n"/>
      <c r="F138" s="47" t="n"/>
      <c r="G138" s="47" t="n"/>
      <c r="H138" s="47" t="n"/>
      <c r="I138" s="47" t="n"/>
      <c r="J138" s="47" t="n"/>
      <c r="K138" s="53" t="n"/>
      <c r="L138" s="67" t="n"/>
      <c r="M138" s="47" t="n"/>
    </row>
    <row r="139" ht="15" customHeight="1" s="42">
      <c r="A139" s="62">
        <f>IF(B139="","",ROW()-5)</f>
        <v/>
      </c>
      <c r="B139" s="53" t="n"/>
      <c r="C139" s="80" t="n"/>
      <c r="D139" s="67" t="n"/>
      <c r="E139" s="67" t="n"/>
      <c r="F139" s="47" t="n"/>
      <c r="G139" s="47" t="n"/>
      <c r="H139" s="47" t="n"/>
      <c r="I139" s="47" t="n"/>
      <c r="J139" s="47" t="n"/>
      <c r="K139" s="53" t="n"/>
      <c r="L139" s="67" t="n"/>
      <c r="M139" s="47" t="n"/>
    </row>
    <row r="140" ht="15" customHeight="1" s="42">
      <c r="A140" s="62">
        <f>IF(B140="","",ROW()-5)</f>
        <v/>
      </c>
      <c r="B140" s="53" t="n"/>
      <c r="C140" s="80" t="n"/>
      <c r="D140" s="67" t="n"/>
      <c r="E140" s="67" t="n"/>
      <c r="F140" s="47" t="n"/>
      <c r="G140" s="47" t="n"/>
      <c r="H140" s="47" t="n"/>
      <c r="I140" s="47" t="n"/>
      <c r="J140" s="47" t="n"/>
      <c r="K140" s="53" t="n"/>
      <c r="L140" s="67" t="n"/>
      <c r="M140" s="47" t="n"/>
    </row>
    <row r="141" ht="15" customHeight="1" s="42">
      <c r="A141" s="62">
        <f>IF(B141="","",ROW()-5)</f>
        <v/>
      </c>
      <c r="B141" s="53" t="n"/>
      <c r="C141" s="80" t="n"/>
      <c r="D141" s="67" t="n"/>
      <c r="E141" s="67" t="n"/>
      <c r="F141" s="47" t="n"/>
      <c r="G141" s="47" t="n"/>
      <c r="H141" s="47" t="n"/>
      <c r="I141" s="47" t="n"/>
      <c r="J141" s="47" t="n"/>
      <c r="K141" s="53" t="n"/>
      <c r="L141" s="67" t="n"/>
      <c r="M141" s="47" t="n"/>
    </row>
    <row r="142" ht="15" customHeight="1" s="42">
      <c r="A142" s="62">
        <f>IF(B142="","",ROW()-5)</f>
        <v/>
      </c>
      <c r="B142" s="53" t="n"/>
      <c r="C142" s="80" t="n"/>
      <c r="D142" s="67" t="n"/>
      <c r="E142" s="67" t="n"/>
      <c r="F142" s="47" t="n"/>
      <c r="G142" s="47" t="n"/>
      <c r="H142" s="47" t="n"/>
      <c r="I142" s="47" t="n"/>
      <c r="J142" s="47" t="n"/>
      <c r="K142" s="53" t="n"/>
      <c r="L142" s="67" t="n"/>
      <c r="M142" s="47" t="n"/>
    </row>
    <row r="143" ht="15" customHeight="1" s="42">
      <c r="A143" s="62">
        <f>IF(B143="","",ROW()-5)</f>
        <v/>
      </c>
      <c r="B143" s="53" t="n"/>
      <c r="C143" s="80" t="n"/>
      <c r="D143" s="67" t="n"/>
      <c r="E143" s="67" t="n"/>
      <c r="F143" s="47" t="n"/>
      <c r="G143" s="47" t="n"/>
      <c r="H143" s="47" t="n"/>
      <c r="I143" s="47" t="n"/>
      <c r="J143" s="47" t="n"/>
      <c r="K143" s="53" t="n"/>
      <c r="L143" s="67" t="n"/>
      <c r="M143" s="47" t="n"/>
    </row>
    <row r="144" ht="15" customHeight="1" s="42">
      <c r="A144" s="62">
        <f>IF(B144="","",ROW()-5)</f>
        <v/>
      </c>
      <c r="B144" s="53" t="n"/>
      <c r="C144" s="80" t="n"/>
      <c r="D144" s="67" t="n"/>
      <c r="E144" s="67" t="n"/>
      <c r="F144" s="47" t="n"/>
      <c r="G144" s="47" t="n"/>
      <c r="H144" s="47" t="n"/>
      <c r="I144" s="47" t="n"/>
      <c r="J144" s="47" t="n"/>
      <c r="K144" s="53" t="n"/>
      <c r="L144" s="67" t="n"/>
      <c r="M144" s="47" t="n"/>
    </row>
    <row r="145" ht="15" customHeight="1" s="42">
      <c r="A145" s="62">
        <f>IF(B145="","",ROW()-5)</f>
        <v/>
      </c>
      <c r="B145" s="53" t="n"/>
      <c r="C145" s="80" t="n"/>
      <c r="D145" s="67" t="n"/>
      <c r="E145" s="67" t="n"/>
      <c r="F145" s="47" t="n"/>
      <c r="G145" s="47" t="n"/>
      <c r="H145" s="47" t="n"/>
      <c r="I145" s="47" t="n"/>
      <c r="J145" s="47" t="n"/>
      <c r="K145" s="53" t="n"/>
      <c r="L145" s="67" t="n"/>
      <c r="M145" s="47" t="n"/>
    </row>
    <row r="146" ht="15" customHeight="1" s="42">
      <c r="A146" s="62">
        <f>IF(B146="","",ROW()-5)</f>
        <v/>
      </c>
      <c r="B146" s="53" t="n"/>
      <c r="C146" s="80" t="n"/>
      <c r="D146" s="67" t="n"/>
      <c r="E146" s="67" t="n"/>
      <c r="F146" s="47" t="n"/>
      <c r="G146" s="47" t="n"/>
      <c r="H146" s="47" t="n"/>
      <c r="I146" s="47" t="n"/>
      <c r="J146" s="47" t="n"/>
      <c r="K146" s="53" t="n"/>
      <c r="L146" s="67" t="n"/>
      <c r="M146" s="47" t="n"/>
    </row>
    <row r="147" ht="15" customHeight="1" s="42">
      <c r="A147" s="62">
        <f>IF(B147="","",ROW()-5)</f>
        <v/>
      </c>
      <c r="B147" s="53" t="n"/>
      <c r="C147" s="80" t="n"/>
      <c r="D147" s="67" t="n"/>
      <c r="E147" s="67" t="n"/>
      <c r="F147" s="47" t="n"/>
      <c r="G147" s="47" t="n"/>
      <c r="H147" s="47" t="n"/>
      <c r="I147" s="47" t="n"/>
      <c r="J147" s="47" t="n"/>
      <c r="K147" s="53" t="n"/>
      <c r="L147" s="67" t="n"/>
      <c r="M147" s="47" t="n"/>
    </row>
    <row r="148" ht="15" customHeight="1" s="42">
      <c r="A148" s="62">
        <f>IF(B148="","",ROW()-5)</f>
        <v/>
      </c>
      <c r="B148" s="53" t="n"/>
      <c r="C148" s="80" t="n"/>
      <c r="D148" s="67" t="n"/>
      <c r="E148" s="67" t="n"/>
      <c r="F148" s="47" t="n"/>
      <c r="G148" s="47" t="n"/>
      <c r="H148" s="47" t="n"/>
      <c r="I148" s="47" t="n"/>
      <c r="J148" s="47" t="n"/>
      <c r="K148" s="53" t="n"/>
      <c r="L148" s="67" t="n"/>
      <c r="M148" s="47" t="n"/>
    </row>
    <row r="149" ht="15" customHeight="1" s="42">
      <c r="A149" s="62">
        <f>IF(B149="","",ROW()-5)</f>
        <v/>
      </c>
      <c r="B149" s="53" t="n"/>
      <c r="C149" s="80" t="n"/>
      <c r="D149" s="67" t="n"/>
      <c r="E149" s="67" t="n"/>
      <c r="F149" s="47" t="n"/>
      <c r="G149" s="47" t="n"/>
      <c r="H149" s="47" t="n"/>
      <c r="I149" s="47" t="n"/>
      <c r="J149" s="47" t="n"/>
      <c r="K149" s="53" t="n"/>
      <c r="L149" s="67" t="n"/>
      <c r="M149" s="47" t="n"/>
    </row>
    <row r="150" ht="15" customHeight="1" s="42">
      <c r="A150" s="62">
        <f>IF(B150="","",ROW()-5)</f>
        <v/>
      </c>
      <c r="B150" s="53" t="n"/>
      <c r="C150" s="80" t="n"/>
      <c r="D150" s="67" t="n"/>
      <c r="E150" s="67" t="n"/>
      <c r="F150" s="47" t="n"/>
      <c r="G150" s="47" t="n"/>
      <c r="H150" s="47" t="n"/>
      <c r="I150" s="47" t="n"/>
      <c r="J150" s="47" t="n"/>
      <c r="K150" s="53" t="n"/>
      <c r="L150" s="67" t="n"/>
      <c r="M150" s="47" t="n"/>
    </row>
    <row r="151" ht="15" customHeight="1" s="42">
      <c r="A151" s="62">
        <f>IF(B151="","",ROW()-5)</f>
        <v/>
      </c>
      <c r="B151" s="53" t="n"/>
      <c r="C151" s="80" t="n"/>
      <c r="D151" s="67" t="n"/>
      <c r="E151" s="67" t="n"/>
      <c r="F151" s="47" t="n"/>
      <c r="G151" s="47" t="n"/>
      <c r="H151" s="47" t="n"/>
      <c r="I151" s="47" t="n"/>
      <c r="J151" s="47" t="n"/>
      <c r="K151" s="53" t="n"/>
      <c r="L151" s="67" t="n"/>
      <c r="M151" s="47" t="n"/>
    </row>
    <row r="152" ht="15" customHeight="1" s="42">
      <c r="A152" s="62">
        <f>IF(B152="","",ROW()-5)</f>
        <v/>
      </c>
      <c r="B152" s="53" t="n"/>
      <c r="C152" s="80" t="n"/>
      <c r="D152" s="67" t="n"/>
      <c r="E152" s="67" t="n"/>
      <c r="F152" s="47" t="n"/>
      <c r="G152" s="47" t="n"/>
      <c r="H152" s="47" t="n"/>
      <c r="I152" s="47" t="n"/>
      <c r="J152" s="47" t="n"/>
      <c r="K152" s="53" t="n"/>
      <c r="L152" s="67" t="n"/>
      <c r="M152" s="47" t="n"/>
    </row>
    <row r="153" ht="15" customHeight="1" s="42">
      <c r="A153" s="62">
        <f>IF(B153="","",ROW()-5)</f>
        <v/>
      </c>
      <c r="B153" s="53" t="n"/>
      <c r="C153" s="80" t="n"/>
      <c r="D153" s="67" t="n"/>
      <c r="E153" s="67" t="n"/>
      <c r="F153" s="47" t="n"/>
      <c r="G153" s="47" t="n"/>
      <c r="H153" s="47" t="n"/>
      <c r="I153" s="47" t="n"/>
      <c r="J153" s="47" t="n"/>
      <c r="K153" s="53" t="n"/>
      <c r="L153" s="67" t="n"/>
      <c r="M153" s="47" t="n"/>
    </row>
    <row r="154" ht="15" customHeight="1" s="42">
      <c r="A154" s="62">
        <f>IF(B154="","",ROW()-5)</f>
        <v/>
      </c>
      <c r="B154" s="53" t="n"/>
      <c r="C154" s="80" t="n"/>
      <c r="D154" s="67" t="n"/>
      <c r="E154" s="67" t="n"/>
      <c r="F154" s="47" t="n"/>
      <c r="G154" s="47" t="n"/>
      <c r="H154" s="47" t="n"/>
      <c r="I154" s="47" t="n"/>
      <c r="J154" s="47" t="n"/>
      <c r="K154" s="53" t="n"/>
      <c r="L154" s="67" t="n"/>
      <c r="M154" s="47" t="n"/>
    </row>
    <row r="155" ht="15" customHeight="1" s="42">
      <c r="A155" s="62">
        <f>IF(B155="","",ROW()-5)</f>
        <v/>
      </c>
      <c r="B155" s="53" t="n"/>
      <c r="C155" s="80" t="n"/>
      <c r="D155" s="67" t="n"/>
      <c r="E155" s="67" t="n"/>
      <c r="F155" s="47" t="n"/>
      <c r="G155" s="47" t="n"/>
      <c r="H155" s="47" t="n"/>
      <c r="I155" s="47" t="n"/>
      <c r="J155" s="47" t="n"/>
      <c r="K155" s="53" t="n"/>
      <c r="L155" s="67" t="n"/>
      <c r="M155" s="47" t="n"/>
    </row>
    <row r="156" ht="15" customHeight="1" s="42">
      <c r="A156" s="62">
        <f>IF(B156="","",ROW()-5)</f>
        <v/>
      </c>
      <c r="B156" s="53" t="n"/>
      <c r="C156" s="80" t="n"/>
      <c r="D156" s="67" t="n"/>
      <c r="E156" s="67" t="n"/>
      <c r="F156" s="47" t="n"/>
      <c r="G156" s="47" t="n"/>
      <c r="H156" s="47" t="n"/>
      <c r="I156" s="47" t="n"/>
      <c r="J156" s="47" t="n"/>
      <c r="K156" s="53" t="n"/>
      <c r="L156" s="67" t="n"/>
      <c r="M156" s="47" t="n"/>
    </row>
    <row r="157" ht="15" customHeight="1" s="42">
      <c r="A157" s="62">
        <f>IF(B157="","",ROW()-5)</f>
        <v/>
      </c>
      <c r="B157" s="53" t="n"/>
      <c r="C157" s="80" t="n"/>
      <c r="D157" s="67" t="n"/>
      <c r="E157" s="67" t="n"/>
      <c r="F157" s="47" t="n"/>
      <c r="G157" s="47" t="n"/>
      <c r="H157" s="47" t="n"/>
      <c r="I157" s="47" t="n"/>
      <c r="J157" s="47" t="n"/>
      <c r="K157" s="53" t="n"/>
      <c r="L157" s="67" t="n"/>
      <c r="M157" s="47" t="n"/>
    </row>
    <row r="158" ht="15" customHeight="1" s="42">
      <c r="A158" s="62">
        <f>IF(B158="","",ROW()-5)</f>
        <v/>
      </c>
      <c r="B158" s="53" t="n"/>
      <c r="C158" s="80" t="n"/>
      <c r="D158" s="67" t="n"/>
      <c r="E158" s="67" t="n"/>
      <c r="F158" s="47" t="n"/>
      <c r="G158" s="47" t="n"/>
      <c r="H158" s="47" t="n"/>
      <c r="I158" s="47" t="n"/>
      <c r="J158" s="47" t="n"/>
      <c r="K158" s="53" t="n"/>
      <c r="L158" s="67" t="n"/>
      <c r="M158" s="47" t="n"/>
    </row>
    <row r="159" ht="15" customHeight="1" s="42">
      <c r="A159" s="62">
        <f>IF(B159="","",ROW()-5)</f>
        <v/>
      </c>
      <c r="B159" s="53" t="n"/>
      <c r="C159" s="80" t="n"/>
      <c r="D159" s="67" t="n"/>
      <c r="E159" s="67" t="n"/>
      <c r="F159" s="47" t="n"/>
      <c r="G159" s="47" t="n"/>
      <c r="H159" s="47" t="n"/>
      <c r="I159" s="47" t="n"/>
      <c r="J159" s="47" t="n"/>
      <c r="K159" s="53" t="n"/>
      <c r="L159" s="67" t="n"/>
      <c r="M159" s="47" t="n"/>
    </row>
    <row r="160" ht="15" customHeight="1" s="42">
      <c r="A160" s="62">
        <f>IF(B160="","",ROW()-5)</f>
        <v/>
      </c>
      <c r="B160" s="53" t="n"/>
      <c r="C160" s="80" t="n"/>
      <c r="D160" s="67" t="n"/>
      <c r="E160" s="67" t="n"/>
      <c r="F160" s="47" t="n"/>
      <c r="G160" s="47" t="n"/>
      <c r="H160" s="47" t="n"/>
      <c r="I160" s="47" t="n"/>
      <c r="J160" s="47" t="n"/>
      <c r="K160" s="53" t="n"/>
      <c r="L160" s="67" t="n"/>
      <c r="M160" s="47" t="n"/>
    </row>
    <row r="161" ht="15" customHeight="1" s="42">
      <c r="A161" s="62">
        <f>IF(B161="","",ROW()-5)</f>
        <v/>
      </c>
      <c r="B161" s="53" t="n"/>
      <c r="C161" s="80" t="n"/>
      <c r="D161" s="67" t="n"/>
      <c r="E161" s="67" t="n"/>
      <c r="F161" s="47" t="n"/>
      <c r="G161" s="47" t="n"/>
      <c r="H161" s="47" t="n"/>
      <c r="I161" s="47" t="n"/>
      <c r="J161" s="47" t="n"/>
      <c r="K161" s="53" t="n"/>
      <c r="L161" s="67" t="n"/>
      <c r="M161" s="47" t="n"/>
    </row>
    <row r="162" ht="15" customHeight="1" s="42">
      <c r="A162" s="62">
        <f>IF(B162="","",ROW()-5)</f>
        <v/>
      </c>
      <c r="B162" s="53" t="n"/>
      <c r="C162" s="80" t="n"/>
      <c r="D162" s="67" t="n"/>
      <c r="E162" s="67" t="n"/>
      <c r="F162" s="47" t="n"/>
      <c r="G162" s="47" t="n"/>
      <c r="H162" s="47" t="n"/>
      <c r="I162" s="47" t="n"/>
      <c r="J162" s="47" t="n"/>
      <c r="K162" s="53" t="n"/>
      <c r="L162" s="67" t="n"/>
      <c r="M162" s="47" t="n"/>
    </row>
    <row r="163" ht="15" customHeight="1" s="42">
      <c r="A163" s="62">
        <f>IF(B163="","",ROW()-5)</f>
        <v/>
      </c>
      <c r="B163" s="53" t="n"/>
      <c r="C163" s="80" t="n"/>
      <c r="D163" s="67" t="n"/>
      <c r="E163" s="67" t="n"/>
      <c r="F163" s="47" t="n"/>
      <c r="G163" s="47" t="n"/>
      <c r="H163" s="47" t="n"/>
      <c r="I163" s="47" t="n"/>
      <c r="J163" s="47" t="n"/>
      <c r="K163" s="53" t="n"/>
      <c r="L163" s="67" t="n"/>
      <c r="M163" s="47" t="n"/>
    </row>
    <row r="164" ht="15" customHeight="1" s="42">
      <c r="A164" s="62">
        <f>IF(B164="","",ROW()-5)</f>
        <v/>
      </c>
      <c r="B164" s="53" t="n"/>
      <c r="C164" s="80" t="n"/>
      <c r="D164" s="67" t="n"/>
      <c r="E164" s="67" t="n"/>
      <c r="F164" s="47" t="n"/>
      <c r="G164" s="47" t="n"/>
      <c r="H164" s="47" t="n"/>
      <c r="I164" s="47" t="n"/>
      <c r="J164" s="47" t="n"/>
      <c r="K164" s="53" t="n"/>
      <c r="L164" s="67" t="n"/>
      <c r="M164" s="47" t="n"/>
    </row>
    <row r="165" ht="15" customHeight="1" s="42">
      <c r="A165" s="62">
        <f>IF(B165="","",ROW()-5)</f>
        <v/>
      </c>
      <c r="B165" s="53" t="n"/>
      <c r="C165" s="80" t="n"/>
      <c r="D165" s="67" t="n"/>
      <c r="E165" s="67" t="n"/>
      <c r="F165" s="47" t="n"/>
      <c r="G165" s="47" t="n"/>
      <c r="H165" s="47" t="n"/>
      <c r="I165" s="47" t="n"/>
      <c r="J165" s="47" t="n"/>
      <c r="K165" s="53" t="n"/>
      <c r="L165" s="67" t="n"/>
      <c r="M165" s="47" t="n"/>
    </row>
    <row r="166" ht="15" customHeight="1" s="42">
      <c r="A166" s="62">
        <f>IF(B166="","",ROW()-5)</f>
        <v/>
      </c>
      <c r="B166" s="53" t="n"/>
      <c r="C166" s="80" t="n"/>
      <c r="D166" s="67" t="n"/>
      <c r="E166" s="67" t="n"/>
      <c r="F166" s="47" t="n"/>
      <c r="G166" s="47" t="n"/>
      <c r="H166" s="47" t="n"/>
      <c r="I166" s="47" t="n"/>
      <c r="J166" s="47" t="n"/>
      <c r="K166" s="53" t="n"/>
      <c r="L166" s="67" t="n"/>
      <c r="M166" s="47" t="n"/>
    </row>
    <row r="167" ht="15" customHeight="1" s="42">
      <c r="A167" s="62">
        <f>IF(B167="","",ROW()-5)</f>
        <v/>
      </c>
      <c r="B167" s="53" t="n"/>
      <c r="C167" s="80" t="n"/>
      <c r="D167" s="67" t="n"/>
      <c r="E167" s="67" t="n"/>
      <c r="F167" s="47" t="n"/>
      <c r="G167" s="47" t="n"/>
      <c r="H167" s="47" t="n"/>
      <c r="I167" s="47" t="n"/>
      <c r="J167" s="47" t="n"/>
      <c r="K167" s="53" t="n"/>
      <c r="L167" s="67" t="n"/>
      <c r="M167" s="47" t="n"/>
    </row>
    <row r="168" ht="15" customHeight="1" s="42">
      <c r="A168" s="62">
        <f>IF(B168="","",ROW()-5)</f>
        <v/>
      </c>
      <c r="B168" s="53" t="n"/>
      <c r="C168" s="80" t="n"/>
      <c r="D168" s="67" t="n"/>
      <c r="E168" s="67" t="n"/>
      <c r="F168" s="47" t="n"/>
      <c r="G168" s="47" t="n"/>
      <c r="H168" s="47" t="n"/>
      <c r="I168" s="47" t="n"/>
      <c r="J168" s="47" t="n"/>
      <c r="K168" s="53" t="n"/>
      <c r="L168" s="67" t="n"/>
      <c r="M168" s="47" t="n"/>
    </row>
    <row r="169" ht="15" customHeight="1" s="42">
      <c r="A169" s="62">
        <f>IF(B169="","",ROW()-5)</f>
        <v/>
      </c>
      <c r="B169" s="53" t="n"/>
      <c r="C169" s="80" t="n"/>
      <c r="D169" s="67" t="n"/>
      <c r="E169" s="67" t="n"/>
      <c r="F169" s="47" t="n"/>
      <c r="G169" s="47" t="n"/>
      <c r="H169" s="47" t="n"/>
      <c r="I169" s="47" t="n"/>
      <c r="J169" s="47" t="n"/>
      <c r="K169" s="53" t="n"/>
      <c r="L169" s="67" t="n"/>
      <c r="M169" s="47" t="n"/>
    </row>
    <row r="170" ht="15" customHeight="1" s="42">
      <c r="A170" s="62">
        <f>IF(B170="","",ROW()-5)</f>
        <v/>
      </c>
      <c r="B170" s="53" t="n"/>
      <c r="C170" s="80" t="n"/>
      <c r="D170" s="67" t="n"/>
      <c r="E170" s="67" t="n"/>
      <c r="F170" s="47" t="n"/>
      <c r="G170" s="47" t="n"/>
      <c r="H170" s="47" t="n"/>
      <c r="I170" s="47" t="n"/>
      <c r="J170" s="47" t="n"/>
      <c r="K170" s="53" t="n"/>
      <c r="L170" s="67" t="n"/>
      <c r="M170" s="47" t="n"/>
    </row>
    <row r="171" ht="15" customHeight="1" s="42">
      <c r="A171" s="62">
        <f>IF(B171="","",ROW()-5)</f>
        <v/>
      </c>
      <c r="B171" s="53" t="n"/>
      <c r="C171" s="80" t="n"/>
      <c r="D171" s="67" t="n"/>
      <c r="E171" s="67" t="n"/>
      <c r="F171" s="47" t="n"/>
      <c r="G171" s="47" t="n"/>
      <c r="H171" s="47" t="n"/>
      <c r="I171" s="47" t="n"/>
      <c r="J171" s="47" t="n"/>
      <c r="K171" s="53" t="n"/>
      <c r="L171" s="67" t="n"/>
      <c r="M171" s="47" t="n"/>
    </row>
    <row r="172" ht="15" customHeight="1" s="42">
      <c r="A172" s="62">
        <f>IF(B172="","",ROW()-5)</f>
        <v/>
      </c>
      <c r="B172" s="53" t="n"/>
      <c r="C172" s="80" t="n"/>
      <c r="D172" s="67" t="n"/>
      <c r="E172" s="67" t="n"/>
      <c r="F172" s="47" t="n"/>
      <c r="G172" s="47" t="n"/>
      <c r="H172" s="47" t="n"/>
      <c r="I172" s="47" t="n"/>
      <c r="J172" s="47" t="n"/>
      <c r="K172" s="53" t="n"/>
      <c r="L172" s="67" t="n"/>
      <c r="M172" s="47" t="n"/>
    </row>
    <row r="173" ht="15" customHeight="1" s="42">
      <c r="A173" s="62">
        <f>IF(B173="","",ROW()-5)</f>
        <v/>
      </c>
      <c r="B173" s="53" t="n"/>
      <c r="C173" s="80" t="n"/>
      <c r="D173" s="67" t="n"/>
      <c r="E173" s="67" t="n"/>
      <c r="F173" s="47" t="n"/>
      <c r="G173" s="47" t="n"/>
      <c r="H173" s="47" t="n"/>
      <c r="I173" s="47" t="n"/>
      <c r="J173" s="47" t="n"/>
      <c r="K173" s="53" t="n"/>
      <c r="L173" s="67" t="n"/>
      <c r="M173" s="47" t="n"/>
    </row>
    <row r="174" ht="15" customHeight="1" s="42">
      <c r="A174" s="62">
        <f>IF(B174="","",ROW()-5)</f>
        <v/>
      </c>
      <c r="B174" s="53" t="n"/>
      <c r="C174" s="80" t="n"/>
      <c r="D174" s="67" t="n"/>
      <c r="E174" s="67" t="n"/>
      <c r="F174" s="47" t="n"/>
      <c r="G174" s="47" t="n"/>
      <c r="H174" s="47" t="n"/>
      <c r="I174" s="47" t="n"/>
      <c r="J174" s="47" t="n"/>
      <c r="K174" s="53" t="n"/>
      <c r="L174" s="67" t="n"/>
      <c r="M174" s="47" t="n"/>
    </row>
    <row r="175" ht="15" customHeight="1" s="42">
      <c r="A175" s="62">
        <f>IF(B175="","",ROW()-5)</f>
        <v/>
      </c>
      <c r="B175" s="53" t="n"/>
      <c r="C175" s="80" t="n"/>
      <c r="D175" s="67" t="n"/>
      <c r="E175" s="67" t="n"/>
      <c r="F175" s="47" t="n"/>
      <c r="G175" s="47" t="n"/>
      <c r="H175" s="47" t="n"/>
      <c r="I175" s="47" t="n"/>
      <c r="J175" s="47" t="n"/>
      <c r="K175" s="53" t="n"/>
      <c r="L175" s="67" t="n"/>
      <c r="M175" s="47" t="n"/>
    </row>
    <row r="176" ht="15" customHeight="1" s="42">
      <c r="A176" s="62">
        <f>IF(B176="","",ROW()-5)</f>
        <v/>
      </c>
      <c r="B176" s="53" t="n"/>
      <c r="C176" s="80" t="n"/>
      <c r="D176" s="67" t="n"/>
      <c r="E176" s="67" t="n"/>
      <c r="F176" s="47" t="n"/>
      <c r="G176" s="47" t="n"/>
      <c r="H176" s="47" t="n"/>
      <c r="I176" s="47" t="n"/>
      <c r="J176" s="47" t="n"/>
      <c r="K176" s="53" t="n"/>
      <c r="L176" s="67" t="n"/>
      <c r="M176" s="47" t="n"/>
    </row>
    <row r="177" ht="15" customHeight="1" s="42">
      <c r="A177" s="62">
        <f>IF(B177="","",ROW()-5)</f>
        <v/>
      </c>
      <c r="B177" s="53" t="n"/>
      <c r="C177" s="80" t="n"/>
      <c r="D177" s="67" t="n"/>
      <c r="E177" s="67" t="n"/>
      <c r="F177" s="47" t="n"/>
      <c r="G177" s="47" t="n"/>
      <c r="H177" s="47" t="n"/>
      <c r="I177" s="47" t="n"/>
      <c r="J177" s="47" t="n"/>
      <c r="K177" s="53" t="n"/>
      <c r="L177" s="67" t="n"/>
      <c r="M177" s="47" t="n"/>
    </row>
    <row r="178" ht="15" customHeight="1" s="42">
      <c r="A178" s="62">
        <f>IF(B178="","",ROW()-5)</f>
        <v/>
      </c>
      <c r="B178" s="53" t="n"/>
      <c r="C178" s="80" t="n"/>
      <c r="D178" s="67" t="n"/>
      <c r="E178" s="67" t="n"/>
      <c r="F178" s="47" t="n"/>
      <c r="G178" s="47" t="n"/>
      <c r="H178" s="47" t="n"/>
      <c r="I178" s="47" t="n"/>
      <c r="J178" s="47" t="n"/>
      <c r="K178" s="53" t="n"/>
      <c r="L178" s="67" t="n"/>
      <c r="M178" s="47" t="n"/>
    </row>
    <row r="179" ht="15" customHeight="1" s="42">
      <c r="A179" s="62">
        <f>IF(B179="","",ROW()-5)</f>
        <v/>
      </c>
      <c r="B179" s="53" t="n"/>
      <c r="C179" s="80" t="n"/>
      <c r="D179" s="67" t="n"/>
      <c r="E179" s="67" t="n"/>
      <c r="F179" s="47" t="n"/>
      <c r="G179" s="47" t="n"/>
      <c r="H179" s="47" t="n"/>
      <c r="I179" s="47" t="n"/>
      <c r="J179" s="47" t="n"/>
      <c r="K179" s="53" t="n"/>
      <c r="L179" s="67" t="n"/>
      <c r="M179" s="47" t="n"/>
    </row>
    <row r="180" ht="15" customHeight="1" s="42">
      <c r="A180" s="62">
        <f>IF(B180="","",ROW()-5)</f>
        <v/>
      </c>
      <c r="B180" s="53" t="n"/>
      <c r="C180" s="80" t="n"/>
      <c r="D180" s="67" t="n"/>
      <c r="E180" s="67" t="n"/>
      <c r="F180" s="47" t="n"/>
      <c r="G180" s="47" t="n"/>
      <c r="H180" s="47" t="n"/>
      <c r="I180" s="47" t="n"/>
      <c r="J180" s="47" t="n"/>
      <c r="K180" s="53" t="n"/>
      <c r="L180" s="67" t="n"/>
      <c r="M180" s="47" t="n"/>
    </row>
    <row r="181" ht="15" customHeight="1" s="42">
      <c r="A181" s="62">
        <f>IF(B181="","",ROW()-5)</f>
        <v/>
      </c>
      <c r="B181" s="53" t="n"/>
      <c r="C181" s="80" t="n"/>
      <c r="D181" s="67" t="n"/>
      <c r="E181" s="67" t="n"/>
      <c r="F181" s="47" t="n"/>
      <c r="G181" s="47" t="n"/>
      <c r="H181" s="47" t="n"/>
      <c r="I181" s="47" t="n"/>
      <c r="J181" s="47" t="n"/>
      <c r="K181" s="53" t="n"/>
      <c r="L181" s="67" t="n"/>
      <c r="M181" s="47" t="n"/>
    </row>
    <row r="182" ht="15" customHeight="1" s="42">
      <c r="A182" s="62">
        <f>IF(B182="","",ROW()-5)</f>
        <v/>
      </c>
      <c r="B182" s="53" t="n"/>
      <c r="C182" s="80" t="n"/>
      <c r="D182" s="67" t="n"/>
      <c r="E182" s="67" t="n"/>
      <c r="F182" s="47" t="n"/>
      <c r="G182" s="47" t="n"/>
      <c r="H182" s="47" t="n"/>
      <c r="I182" s="47" t="n"/>
      <c r="J182" s="47" t="n"/>
      <c r="K182" s="53" t="n"/>
      <c r="L182" s="67" t="n"/>
      <c r="M182" s="47" t="n"/>
    </row>
    <row r="183" ht="15" customHeight="1" s="42">
      <c r="A183" s="62">
        <f>IF(B183="","",ROW()-5)</f>
        <v/>
      </c>
      <c r="B183" s="53" t="n"/>
      <c r="C183" s="80" t="n"/>
      <c r="D183" s="67" t="n"/>
      <c r="E183" s="67" t="n"/>
      <c r="F183" s="47" t="n"/>
      <c r="G183" s="47" t="n"/>
      <c r="H183" s="47" t="n"/>
      <c r="I183" s="47" t="n"/>
      <c r="J183" s="47" t="n"/>
      <c r="K183" s="53" t="n"/>
      <c r="L183" s="67" t="n"/>
      <c r="M183" s="47" t="n"/>
    </row>
    <row r="184" ht="15" customHeight="1" s="42">
      <c r="A184" s="62">
        <f>IF(B184="","",ROW()-5)</f>
        <v/>
      </c>
      <c r="B184" s="53" t="n"/>
      <c r="C184" s="80" t="n"/>
      <c r="D184" s="67" t="n"/>
      <c r="E184" s="67" t="n"/>
      <c r="F184" s="47" t="n"/>
      <c r="G184" s="47" t="n"/>
      <c r="H184" s="47" t="n"/>
      <c r="I184" s="47" t="n"/>
      <c r="J184" s="47" t="n"/>
      <c r="K184" s="53" t="n"/>
      <c r="L184" s="67" t="n"/>
      <c r="M184" s="47" t="n"/>
    </row>
    <row r="185" ht="15" customHeight="1" s="42">
      <c r="A185" s="62">
        <f>IF(B185="","",ROW()-5)</f>
        <v/>
      </c>
      <c r="B185" s="53" t="n"/>
      <c r="C185" s="80" t="n"/>
      <c r="D185" s="67" t="n"/>
      <c r="E185" s="67" t="n"/>
      <c r="F185" s="47" t="n"/>
      <c r="G185" s="47" t="n"/>
      <c r="H185" s="47" t="n"/>
      <c r="I185" s="47" t="n"/>
      <c r="J185" s="47" t="n"/>
      <c r="K185" s="53" t="n"/>
      <c r="L185" s="67" t="n"/>
      <c r="M185" s="47" t="n"/>
    </row>
    <row r="186" ht="15" customHeight="1" s="42">
      <c r="A186" s="62">
        <f>IF(B186="","",ROW()-5)</f>
        <v/>
      </c>
      <c r="B186" s="53" t="n"/>
      <c r="C186" s="80" t="n"/>
      <c r="D186" s="67" t="n"/>
      <c r="E186" s="67" t="n"/>
      <c r="F186" s="47" t="n"/>
      <c r="G186" s="47" t="n"/>
      <c r="H186" s="47" t="n"/>
      <c r="I186" s="47" t="n"/>
      <c r="J186" s="47" t="n"/>
      <c r="K186" s="53" t="n"/>
      <c r="L186" s="67" t="n"/>
      <c r="M186" s="47" t="n"/>
    </row>
    <row r="187" ht="15" customHeight="1" s="42">
      <c r="A187" s="62">
        <f>IF(B187="","",ROW()-5)</f>
        <v/>
      </c>
      <c r="B187" s="53" t="n"/>
      <c r="C187" s="80" t="n"/>
      <c r="D187" s="67" t="n"/>
      <c r="E187" s="67" t="n"/>
      <c r="F187" s="47" t="n"/>
      <c r="G187" s="47" t="n"/>
      <c r="H187" s="47" t="n"/>
      <c r="I187" s="47" t="n"/>
      <c r="J187" s="47" t="n"/>
      <c r="K187" s="53" t="n"/>
      <c r="L187" s="67" t="n"/>
      <c r="M187" s="47" t="n"/>
    </row>
    <row r="188" ht="15" customHeight="1" s="42">
      <c r="A188" s="62">
        <f>IF(B188="","",ROW()-5)</f>
        <v/>
      </c>
      <c r="B188" s="53" t="n"/>
      <c r="C188" s="80" t="n"/>
      <c r="D188" s="67" t="n"/>
      <c r="E188" s="67" t="n"/>
      <c r="F188" s="47" t="n"/>
      <c r="G188" s="47" t="n"/>
      <c r="H188" s="47" t="n"/>
      <c r="I188" s="47" t="n"/>
      <c r="J188" s="47" t="n"/>
      <c r="K188" s="53" t="n"/>
      <c r="L188" s="67" t="n"/>
      <c r="M188" s="47" t="n"/>
    </row>
    <row r="189" ht="15" customHeight="1" s="42">
      <c r="A189" s="62">
        <f>IF(B189="","",ROW()-5)</f>
        <v/>
      </c>
      <c r="B189" s="53" t="n"/>
      <c r="C189" s="80" t="n"/>
      <c r="D189" s="67" t="n"/>
      <c r="E189" s="67" t="n"/>
      <c r="F189" s="47" t="n"/>
      <c r="G189" s="47" t="n"/>
      <c r="H189" s="47" t="n"/>
      <c r="I189" s="47" t="n"/>
      <c r="J189" s="47" t="n"/>
      <c r="K189" s="53" t="n"/>
      <c r="L189" s="67" t="n"/>
      <c r="M189" s="47" t="n"/>
    </row>
    <row r="190" ht="15" customHeight="1" s="42">
      <c r="A190" s="62">
        <f>IF(B190="","",ROW()-5)</f>
        <v/>
      </c>
      <c r="B190" s="53" t="n"/>
      <c r="C190" s="80" t="n"/>
      <c r="D190" s="67" t="n"/>
      <c r="E190" s="67" t="n"/>
      <c r="F190" s="47" t="n"/>
      <c r="G190" s="47" t="n"/>
      <c r="H190" s="47" t="n"/>
      <c r="I190" s="47" t="n"/>
      <c r="J190" s="47" t="n"/>
      <c r="K190" s="53" t="n"/>
      <c r="L190" s="67" t="n"/>
      <c r="M190" s="47" t="n"/>
    </row>
    <row r="191" ht="15" customHeight="1" s="42">
      <c r="A191" s="62">
        <f>IF(B191="","",ROW()-5)</f>
        <v/>
      </c>
      <c r="B191" s="53" t="n"/>
      <c r="C191" s="80" t="n"/>
      <c r="D191" s="67" t="n"/>
      <c r="E191" s="67" t="n"/>
      <c r="F191" s="47" t="n"/>
      <c r="G191" s="47" t="n"/>
      <c r="H191" s="47" t="n"/>
      <c r="I191" s="47" t="n"/>
      <c r="J191" s="47" t="n"/>
      <c r="K191" s="53" t="n"/>
      <c r="L191" s="67" t="n"/>
      <c r="M191" s="47" t="n"/>
    </row>
    <row r="192" ht="15" customHeight="1" s="42">
      <c r="A192" s="62">
        <f>IF(B192="","",ROW()-5)</f>
        <v/>
      </c>
      <c r="B192" s="53" t="n"/>
      <c r="C192" s="80" t="n"/>
      <c r="D192" s="67" t="n"/>
      <c r="E192" s="67" t="n"/>
      <c r="F192" s="47" t="n"/>
      <c r="G192" s="47" t="n"/>
      <c r="H192" s="47" t="n"/>
      <c r="I192" s="47" t="n"/>
      <c r="J192" s="47" t="n"/>
      <c r="K192" s="53" t="n"/>
      <c r="L192" s="67" t="n"/>
      <c r="M192" s="47" t="n"/>
    </row>
    <row r="193" ht="15" customHeight="1" s="42">
      <c r="A193" s="62">
        <f>IF(B193="","",ROW()-5)</f>
        <v/>
      </c>
      <c r="B193" s="53" t="n"/>
      <c r="C193" s="80" t="n"/>
      <c r="D193" s="67" t="n"/>
      <c r="E193" s="67" t="n"/>
      <c r="F193" s="47" t="n"/>
      <c r="G193" s="47" t="n"/>
      <c r="H193" s="47" t="n"/>
      <c r="I193" s="47" t="n"/>
      <c r="J193" s="47" t="n"/>
      <c r="K193" s="53" t="n"/>
      <c r="L193" s="67" t="n"/>
      <c r="M193" s="47" t="n"/>
    </row>
    <row r="194" ht="15" customHeight="1" s="42">
      <c r="A194" s="62">
        <f>IF(B194="","",ROW()-5)</f>
        <v/>
      </c>
      <c r="B194" s="53" t="n"/>
      <c r="C194" s="80" t="n"/>
      <c r="D194" s="67" t="n"/>
      <c r="E194" s="67" t="n"/>
      <c r="F194" s="47" t="n"/>
      <c r="G194" s="47" t="n"/>
      <c r="H194" s="47" t="n"/>
      <c r="I194" s="47" t="n"/>
      <c r="J194" s="47" t="n"/>
      <c r="K194" s="53" t="n"/>
      <c r="L194" s="67" t="n"/>
      <c r="M194" s="47" t="n"/>
    </row>
    <row r="195" ht="15" customHeight="1" s="42">
      <c r="A195" s="62">
        <f>IF(B195="","",ROW()-5)</f>
        <v/>
      </c>
      <c r="B195" s="53" t="n"/>
      <c r="C195" s="80" t="n"/>
      <c r="D195" s="67" t="n"/>
      <c r="E195" s="67" t="n"/>
      <c r="F195" s="47" t="n"/>
      <c r="G195" s="47" t="n"/>
      <c r="H195" s="47" t="n"/>
      <c r="I195" s="47" t="n"/>
      <c r="J195" s="47" t="n"/>
      <c r="K195" s="53" t="n"/>
      <c r="L195" s="67" t="n"/>
      <c r="M195" s="47" t="n"/>
    </row>
    <row r="196" ht="15" customHeight="1" s="42">
      <c r="A196" s="62">
        <f>IF(B196="","",ROW()-5)</f>
        <v/>
      </c>
      <c r="B196" s="53" t="n"/>
      <c r="C196" s="80" t="n"/>
      <c r="D196" s="67" t="n"/>
      <c r="E196" s="67" t="n"/>
      <c r="F196" s="47" t="n"/>
      <c r="G196" s="47" t="n"/>
      <c r="H196" s="47" t="n"/>
      <c r="I196" s="47" t="n"/>
      <c r="J196" s="47" t="n"/>
      <c r="K196" s="53" t="n"/>
      <c r="L196" s="67" t="n"/>
      <c r="M196" s="47" t="n"/>
    </row>
    <row r="197" ht="15" customHeight="1" s="42">
      <c r="A197" s="62">
        <f>IF(B197="","",ROW()-5)</f>
        <v/>
      </c>
      <c r="B197" s="53" t="n"/>
      <c r="C197" s="80" t="n"/>
      <c r="D197" s="67" t="n"/>
      <c r="E197" s="67" t="n"/>
      <c r="F197" s="47" t="n"/>
      <c r="G197" s="47" t="n"/>
      <c r="H197" s="47" t="n"/>
      <c r="I197" s="47" t="n"/>
      <c r="J197" s="47" t="n"/>
      <c r="K197" s="53" t="n"/>
      <c r="L197" s="67" t="n"/>
      <c r="M197" s="47" t="n"/>
    </row>
    <row r="198" ht="15" customHeight="1" s="42">
      <c r="A198" s="62">
        <f>IF(B198="","",ROW()-5)</f>
        <v/>
      </c>
      <c r="B198" s="53" t="n"/>
      <c r="C198" s="80" t="n"/>
      <c r="D198" s="67" t="n"/>
      <c r="E198" s="67" t="n"/>
      <c r="F198" s="47" t="n"/>
      <c r="G198" s="47" t="n"/>
      <c r="H198" s="47" t="n"/>
      <c r="I198" s="47" t="n"/>
      <c r="J198" s="47" t="n"/>
      <c r="K198" s="53" t="n"/>
      <c r="L198" s="67" t="n"/>
      <c r="M198" s="47" t="n"/>
    </row>
    <row r="199" ht="15" customHeight="1" s="42">
      <c r="A199" s="62">
        <f>IF(B199="","",ROW()-5)</f>
        <v/>
      </c>
      <c r="B199" s="53" t="n"/>
      <c r="C199" s="80" t="n"/>
      <c r="D199" s="67" t="n"/>
      <c r="E199" s="67" t="n"/>
      <c r="F199" s="47" t="n"/>
      <c r="G199" s="47" t="n"/>
      <c r="H199" s="47" t="n"/>
      <c r="I199" s="47" t="n"/>
      <c r="J199" s="47" t="n"/>
      <c r="K199" s="53" t="n"/>
      <c r="L199" s="67" t="n"/>
      <c r="M199" s="47" t="n"/>
    </row>
    <row r="200" ht="15" customHeight="1" s="42">
      <c r="A200" s="62">
        <f>IF(B200="","",ROW()-5)</f>
        <v/>
      </c>
      <c r="B200" s="53" t="n"/>
      <c r="C200" s="80" t="n"/>
      <c r="D200" s="67" t="n"/>
      <c r="E200" s="67" t="n"/>
      <c r="F200" s="47" t="n"/>
      <c r="G200" s="47" t="n"/>
      <c r="H200" s="47" t="n"/>
      <c r="I200" s="47" t="n"/>
      <c r="J200" s="47" t="n"/>
      <c r="K200" s="53" t="n"/>
      <c r="L200" s="67" t="n"/>
      <c r="M200" s="47" t="n"/>
    </row>
    <row r="201" ht="15" customHeight="1" s="42">
      <c r="A201" s="62">
        <f>IF(B201="","",ROW()-5)</f>
        <v/>
      </c>
      <c r="B201" s="53" t="n"/>
      <c r="C201" s="80" t="n"/>
      <c r="D201" s="67" t="n"/>
      <c r="E201" s="67" t="n"/>
      <c r="F201" s="47" t="n"/>
      <c r="G201" s="47" t="n"/>
      <c r="H201" s="47" t="n"/>
      <c r="I201" s="47" t="n"/>
      <c r="J201" s="47" t="n"/>
      <c r="K201" s="53" t="n"/>
      <c r="L201" s="67" t="n"/>
      <c r="M201" s="47" t="n"/>
    </row>
    <row r="202" ht="15" customHeight="1" s="42">
      <c r="A202" s="62">
        <f>IF(B202="","",ROW()-5)</f>
        <v/>
      </c>
      <c r="B202" s="53" t="n"/>
      <c r="C202" s="80" t="n"/>
      <c r="D202" s="67" t="n"/>
      <c r="E202" s="67" t="n"/>
      <c r="F202" s="47" t="n"/>
      <c r="G202" s="47" t="n"/>
      <c r="H202" s="47" t="n"/>
      <c r="I202" s="47" t="n"/>
      <c r="J202" s="47" t="n"/>
      <c r="K202" s="53" t="n"/>
      <c r="L202" s="67" t="n"/>
      <c r="M202" s="47" t="n"/>
    </row>
    <row r="203" ht="15" customHeight="1" s="42">
      <c r="A203" s="62">
        <f>IF(B203="","",ROW()-5)</f>
        <v/>
      </c>
      <c r="B203" s="53" t="n"/>
      <c r="C203" s="80" t="n"/>
      <c r="D203" s="67" t="n"/>
      <c r="E203" s="67" t="n"/>
      <c r="F203" s="47" t="n"/>
      <c r="G203" s="47" t="n"/>
      <c r="H203" s="47" t="n"/>
      <c r="I203" s="47" t="n"/>
      <c r="J203" s="47" t="n"/>
      <c r="K203" s="53" t="n"/>
      <c r="L203" s="67" t="n"/>
      <c r="M203" s="47" t="n"/>
    </row>
    <row r="204" ht="15" customHeight="1" s="42">
      <c r="A204" s="62">
        <f>IF(B204="","",ROW()-5)</f>
        <v/>
      </c>
      <c r="B204" s="53" t="n"/>
      <c r="C204" s="80" t="n"/>
      <c r="D204" s="67" t="n"/>
      <c r="E204" s="67" t="n"/>
      <c r="F204" s="47" t="n"/>
      <c r="G204" s="47" t="n"/>
      <c r="H204" s="47" t="n"/>
      <c r="I204" s="47" t="n"/>
      <c r="J204" s="47" t="n"/>
      <c r="K204" s="53" t="n"/>
      <c r="L204" s="67" t="n"/>
      <c r="M204" s="47" t="n"/>
    </row>
    <row r="205" ht="15" customHeight="1" s="42">
      <c r="A205" s="62">
        <f>IF(B205="","",ROW()-5)</f>
        <v/>
      </c>
      <c r="B205" s="53" t="n"/>
      <c r="C205" s="80" t="n"/>
      <c r="D205" s="67" t="n"/>
      <c r="E205" s="67" t="n"/>
      <c r="F205" s="47" t="n"/>
      <c r="G205" s="47" t="n"/>
      <c r="H205" s="47" t="n"/>
      <c r="I205" s="47" t="n"/>
      <c r="J205" s="47" t="n"/>
      <c r="K205" s="53" t="n"/>
      <c r="L205" s="67" t="n"/>
      <c r="M205" s="47" t="n"/>
    </row>
  </sheetData>
  <dataValidations count="3">
    <dataValidation sqref="D6:D205" showDropDown="0" showInputMessage="0" showErrorMessage="1" allowBlank="1" errorTitle="Valor no válido" error="Elija un valor de la lista." type="list" errorStyle="stop" operator="between">
      <formula1>Listas!$G$2:$G$3</formula1>
      <formula2>0</formula2>
    </dataValidation>
    <dataValidation sqref="F6:F205" showDropDown="0" showInputMessage="0" showErrorMessage="1" allowBlank="1" errorTitle="Valor no válido" error="Elija un valor de la lista." type="list" errorStyle="stop" operator="between">
      <formula1>Listas!$F$2:$F$6</formula1>
      <formula2>0</formula2>
    </dataValidation>
    <dataValidation sqref="L6:L205" showDropDown="0" showInputMessage="0" showErrorMessage="1" allowBlank="1" errorTitle="Valor no válido" error="Elija un valor de la lista." type="list" errorStyle="stop" operator="between">
      <formula1>Listas!$H$2:$H$4</formula1>
      <formula2>0</formula2>
    </dataValidation>
  </dataValidations>
  <printOptions horizontalCentered="1" verticalCentered="0" headings="0" gridLines="0" gridLinesSet="1"/>
  <pageMargins left="0.5" right="0.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R3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1" min="1" max="1"/>
    <col width="9" customWidth="1" style="41" min="2" max="2"/>
    <col width="10" customWidth="1" style="41" min="3" max="4"/>
    <col width="14" customWidth="1" style="41" min="5" max="5"/>
    <col width="9" customWidth="1" style="41" min="6" max="6"/>
    <col width="13" customWidth="1" style="41" min="7" max="7"/>
    <col width="12" customWidth="1" style="41" min="8" max="8"/>
    <col width="13" customWidth="1" style="41" min="9" max="9"/>
    <col width="30" customWidth="1" style="41" min="10" max="10"/>
    <col width="2" customWidth="1" style="41" min="11" max="11"/>
    <col width="32" customWidth="1" style="41" min="12" max="12"/>
    <col width="14" customWidth="1" style="41" min="13" max="15"/>
    <col width="16" customWidth="1" style="41" min="16" max="16"/>
    <col width="12" customWidth="1" style="41" min="17" max="18"/>
  </cols>
  <sheetData>
    <row r="1" ht="17.35" customHeight="1" s="42">
      <c r="A1" s="43" t="inlineStr">
        <is>
          <t>Paso 6 · Base consolidada pretest–postest y verificación de correspondencia</t>
        </is>
      </c>
    </row>
    <row r="2" ht="15" customHeight="1" s="42">
      <c r="A2" s="44" t="inlineStr">
        <is>
          <t>Una fila por código. GRUPO, ADH, ESTADO y FECHA_POST se toman automáticamente de 2_Participantes; VD_PRE proviene de la base del pretest (semana 3) y VD_POST del postest.</t>
        </is>
      </c>
    </row>
    <row r="5" ht="36" customHeight="1" s="42">
      <c r="A5" s="59" t="inlineStr">
        <is>
          <t>CODIGO</t>
        </is>
      </c>
      <c r="B5" s="59" t="inlineStr">
        <is>
          <t>GRUPO</t>
        </is>
      </c>
      <c r="C5" s="59" t="inlineStr">
        <is>
          <t>VD_PRE</t>
        </is>
      </c>
      <c r="D5" s="59" t="inlineStr">
        <is>
          <t>VD_POST</t>
        </is>
      </c>
      <c r="E5" s="59" t="inlineStr">
        <is>
          <t>DIF (POST − PRE)</t>
        </is>
      </c>
      <c r="F5" s="59" t="inlineStr">
        <is>
          <t>ADH (%)</t>
        </is>
      </c>
      <c r="G5" s="59" t="inlineStr">
        <is>
          <t>ESTADO</t>
        </is>
      </c>
      <c r="H5" s="59" t="inlineStr">
        <is>
          <t>FECHA_POST</t>
        </is>
      </c>
      <c r="I5" s="59" t="inlineStr">
        <is>
          <t>PAR_COMPLETO</t>
        </is>
      </c>
      <c r="J5" s="59" t="inlineStr">
        <is>
          <t>CONTROL DE CALIDAD</t>
        </is>
      </c>
      <c r="L5" s="81" t="inlineStr">
        <is>
          <t>Verificación de la base</t>
        </is>
      </c>
      <c r="M5" s="82" t="n"/>
    </row>
    <row r="6" ht="15" customHeight="1" s="42">
      <c r="A6" s="71" t="inlineStr">
        <is>
          <t>GU-TDH-002</t>
        </is>
      </c>
      <c r="B6" s="61">
        <f>IF(A6="","",IFERROR(IF(INDEX(2_Participantes!$B$6:$B$305,MATCH(A6,2_Participantes!$A$6:$A$305,0))="","",INDEX(2_Participantes!$B$6:$B$305,MATCH(A6,2_Participantes!$A$6:$A$305,0))),"No registrado"))</f>
        <v/>
      </c>
      <c r="C6" s="83" t="n">
        <v>75</v>
      </c>
      <c r="D6" s="83" t="n">
        <v>92.5</v>
      </c>
      <c r="E6" s="63">
        <f>IF(AND(ISNUMBER(C6),ISNUMBER(D6)),D6-C6,"")</f>
        <v/>
      </c>
      <c r="F6" s="62">
        <f>IF(A6="","",IFERROR(IF(INDEX(2_Participantes!$E$6:$E$305,MATCH(A6,2_Participantes!$A$6:$A$305,0))="","",INDEX(2_Participantes!$E$6:$E$305,MATCH(A6,2_Participantes!$A$6:$A$305,0))),""))</f>
        <v/>
      </c>
      <c r="G6" s="61">
        <f>IF(A6="","",IFERROR(IF(INDEX(2_Participantes!$F$6:$F$305,MATCH(A6,2_Participantes!$A$6:$A$305,0))="","",INDEX(2_Participantes!$F$6:$F$305,MATCH(A6,2_Participantes!$A$6:$A$305,0))),"No registrado"))</f>
        <v/>
      </c>
      <c r="H6" s="84">
        <f>IF(A6="","",IFERROR(IF(INDEX(2_Participantes!$L$6:$L$305,MATCH(A6,2_Participantes!$A$6:$A$305,0))="","",INDEX(2_Participantes!$L$6:$L$305,MATCH(A6,2_Participantes!$A$6:$A$305,0))),""))</f>
        <v/>
      </c>
      <c r="I6" s="62">
        <f>IF(A6="","",IF(AND(ISNUMBER(C6),ISNUMBER(D6),G6&lt;&gt;"Excluido"),1,0))</f>
        <v/>
      </c>
      <c r="J6" s="76">
        <f>IF(A6="","",IF(G6="No registrado","Código ausente en 2_Participantes",IF(AND(ISNUMBER(D6),NOT(ISNUMBER(C6))),"Postest sin pretest (huérfano)",IF(OR(AND(ISNUMBER(C6),OR(C6&lt;Inicio!$C$18,C6&gt;Inicio!$C$19)),AND(ISNUMBER(D6),OR(D6&lt;Inicio!$C$18,D6&gt;Inicio!$C$19))),"Fuera de rango",IF(COUNTIF($A$6:$A$305,A6)&gt;1,"Código duplicado","OK")))))</f>
        <v/>
      </c>
      <c r="L6" s="46" t="inlineStr">
        <is>
          <t>Registros (códigos)</t>
        </is>
      </c>
      <c r="M6" s="62">
        <f>COUNTA(A6:A305)</f>
        <v/>
      </c>
    </row>
    <row r="7" ht="15" customHeight="1" s="42">
      <c r="A7" s="71" t="inlineStr">
        <is>
          <t>GU-TDH-003</t>
        </is>
      </c>
      <c r="B7" s="61">
        <f>IF(A7="","",IFERROR(IF(INDEX(2_Participantes!$B$6:$B$305,MATCH(A7,2_Participantes!$A$6:$A$305,0))="","",INDEX(2_Participantes!$B$6:$B$305,MATCH(A7,2_Participantes!$A$6:$A$305,0))),"No registrado"))</f>
        <v/>
      </c>
      <c r="C7" s="83" t="n">
        <v>55</v>
      </c>
      <c r="D7" s="83" t="n">
        <v>67.5</v>
      </c>
      <c r="E7" s="63">
        <f>IF(AND(ISNUMBER(C7),ISNUMBER(D7)),D7-C7,"")</f>
        <v/>
      </c>
      <c r="F7" s="62">
        <f>IF(A7="","",IFERROR(IF(INDEX(2_Participantes!$E$6:$E$305,MATCH(A7,2_Participantes!$A$6:$A$305,0))="","",INDEX(2_Participantes!$E$6:$E$305,MATCH(A7,2_Participantes!$A$6:$A$305,0))),""))</f>
        <v/>
      </c>
      <c r="G7" s="61">
        <f>IF(A7="","",IFERROR(IF(INDEX(2_Participantes!$F$6:$F$305,MATCH(A7,2_Participantes!$A$6:$A$305,0))="","",INDEX(2_Participantes!$F$6:$F$305,MATCH(A7,2_Participantes!$A$6:$A$305,0))),"No registrado"))</f>
        <v/>
      </c>
      <c r="H7" s="84">
        <f>IF(A7="","",IFERROR(IF(INDEX(2_Participantes!$L$6:$L$305,MATCH(A7,2_Participantes!$A$6:$A$305,0))="","",INDEX(2_Participantes!$L$6:$L$305,MATCH(A7,2_Participantes!$A$6:$A$305,0))),""))</f>
        <v/>
      </c>
      <c r="I7" s="62">
        <f>IF(A7="","",IF(AND(ISNUMBER(C7),ISNUMBER(D7),G7&lt;&gt;"Excluido"),1,0))</f>
        <v/>
      </c>
      <c r="J7" s="76">
        <f>IF(A7="","",IF(G7="No registrado","Código ausente en 2_Participantes",IF(AND(ISNUMBER(D7),NOT(ISNUMBER(C7))),"Postest sin pretest (huérfano)",IF(OR(AND(ISNUMBER(C7),OR(C7&lt;Inicio!$C$18,C7&gt;Inicio!$C$19)),AND(ISNUMBER(D7),OR(D7&lt;Inicio!$C$18,D7&gt;Inicio!$C$19))),"Fuera de rango",IF(COUNTIF($A$6:$A$305,A7)&gt;1,"Código duplicado","OK")))))</f>
        <v/>
      </c>
      <c r="L7" s="46" t="inlineStr">
        <is>
          <t>Con VD_PRE</t>
        </is>
      </c>
      <c r="M7" s="62">
        <f>COUNT(C6:C305)</f>
        <v/>
      </c>
    </row>
    <row r="8" ht="15" customHeight="1" s="42">
      <c r="A8" s="71" t="inlineStr">
        <is>
          <t>GU-TDH-004</t>
        </is>
      </c>
      <c r="B8" s="61">
        <f>IF(A8="","",IFERROR(IF(INDEX(2_Participantes!$B$6:$B$305,MATCH(A8,2_Participantes!$A$6:$A$305,0))="","",INDEX(2_Participantes!$B$6:$B$305,MATCH(A8,2_Participantes!$A$6:$A$305,0))),"No registrado"))</f>
        <v/>
      </c>
      <c r="C8" s="83" t="n">
        <v>42.5</v>
      </c>
      <c r="D8" s="83" t="n">
        <v>55</v>
      </c>
      <c r="E8" s="63">
        <f>IF(AND(ISNUMBER(C8),ISNUMBER(D8)),D8-C8,"")</f>
        <v/>
      </c>
      <c r="F8" s="62">
        <f>IF(A8="","",IFERROR(IF(INDEX(2_Participantes!$E$6:$E$305,MATCH(A8,2_Participantes!$A$6:$A$305,0))="","",INDEX(2_Participantes!$E$6:$E$305,MATCH(A8,2_Participantes!$A$6:$A$305,0))),""))</f>
        <v/>
      </c>
      <c r="G8" s="61">
        <f>IF(A8="","",IFERROR(IF(INDEX(2_Participantes!$F$6:$F$305,MATCH(A8,2_Participantes!$A$6:$A$305,0))="","",INDEX(2_Participantes!$F$6:$F$305,MATCH(A8,2_Participantes!$A$6:$A$305,0))),"No registrado"))</f>
        <v/>
      </c>
      <c r="H8" s="84">
        <f>IF(A8="","",IFERROR(IF(INDEX(2_Participantes!$L$6:$L$305,MATCH(A8,2_Participantes!$A$6:$A$305,0))="","",INDEX(2_Participantes!$L$6:$L$305,MATCH(A8,2_Participantes!$A$6:$A$305,0))),""))</f>
        <v/>
      </c>
      <c r="I8" s="62">
        <f>IF(A8="","",IF(AND(ISNUMBER(C8),ISNUMBER(D8),G8&lt;&gt;"Excluido"),1,0))</f>
        <v/>
      </c>
      <c r="J8" s="76">
        <f>IF(A8="","",IF(G8="No registrado","Código ausente en 2_Participantes",IF(AND(ISNUMBER(D8),NOT(ISNUMBER(C8))),"Postest sin pretest (huérfano)",IF(OR(AND(ISNUMBER(C8),OR(C8&lt;Inicio!$C$18,C8&gt;Inicio!$C$19)),AND(ISNUMBER(D8),OR(D8&lt;Inicio!$C$18,D8&gt;Inicio!$C$19))),"Fuera de rango",IF(COUNTIF($A$6:$A$305,A8)&gt;1,"Código duplicado","OK")))))</f>
        <v/>
      </c>
      <c r="L8" s="46" t="inlineStr">
        <is>
          <t>Con VD_POST</t>
        </is>
      </c>
      <c r="M8" s="62">
        <f>COUNT(D6:D305)</f>
        <v/>
      </c>
    </row>
    <row r="9" ht="15" customHeight="1" s="42">
      <c r="A9" s="71" t="inlineStr">
        <is>
          <t>GU-TDH-006</t>
        </is>
      </c>
      <c r="B9" s="61">
        <f>IF(A9="","",IFERROR(IF(INDEX(2_Participantes!$B$6:$B$305,MATCH(A9,2_Participantes!$A$6:$A$305,0))="","",INDEX(2_Participantes!$B$6:$B$305,MATCH(A9,2_Participantes!$A$6:$A$305,0))),"No registrado"))</f>
        <v/>
      </c>
      <c r="C9" s="83" t="n">
        <v>75</v>
      </c>
      <c r="D9" s="83" t="n">
        <v>82.5</v>
      </c>
      <c r="E9" s="63">
        <f>IF(AND(ISNUMBER(C9),ISNUMBER(D9)),D9-C9,"")</f>
        <v/>
      </c>
      <c r="F9" s="62">
        <f>IF(A9="","",IFERROR(IF(INDEX(2_Participantes!$E$6:$E$305,MATCH(A9,2_Participantes!$A$6:$A$305,0))="","",INDEX(2_Participantes!$E$6:$E$305,MATCH(A9,2_Participantes!$A$6:$A$305,0))),""))</f>
        <v/>
      </c>
      <c r="G9" s="61">
        <f>IF(A9="","",IFERROR(IF(INDEX(2_Participantes!$F$6:$F$305,MATCH(A9,2_Participantes!$A$6:$A$305,0))="","",INDEX(2_Participantes!$F$6:$F$305,MATCH(A9,2_Participantes!$A$6:$A$305,0))),"No registrado"))</f>
        <v/>
      </c>
      <c r="H9" s="84">
        <f>IF(A9="","",IFERROR(IF(INDEX(2_Participantes!$L$6:$L$305,MATCH(A9,2_Participantes!$A$6:$A$305,0))="","",INDEX(2_Participantes!$L$6:$L$305,MATCH(A9,2_Participantes!$A$6:$A$305,0))),""))</f>
        <v/>
      </c>
      <c r="I9" s="62">
        <f>IF(A9="","",IF(AND(ISNUMBER(C9),ISNUMBER(D9),G9&lt;&gt;"Excluido"),1,0))</f>
        <v/>
      </c>
      <c r="J9" s="76">
        <f>IF(A9="","",IF(G9="No registrado","Código ausente en 2_Participantes",IF(AND(ISNUMBER(D9),NOT(ISNUMBER(C9))),"Postest sin pretest (huérfano)",IF(OR(AND(ISNUMBER(C9),OR(C9&lt;Inicio!$C$18,C9&gt;Inicio!$C$19)),AND(ISNUMBER(D9),OR(D9&lt;Inicio!$C$18,D9&gt;Inicio!$C$19))),"Fuera de rango",IF(COUNTIF($A$6:$A$305,A9)&gt;1,"Código duplicado","OK")))))</f>
        <v/>
      </c>
      <c r="L9" s="46" t="inlineStr">
        <is>
          <t>Pares completos analizables</t>
        </is>
      </c>
      <c r="M9" s="62">
        <f>SUM(I6:I305)</f>
        <v/>
      </c>
    </row>
    <row r="10" ht="15" customHeight="1" s="42">
      <c r="A10" s="71" t="inlineStr">
        <is>
          <t>GU-TDH-007</t>
        </is>
      </c>
      <c r="B10" s="61">
        <f>IF(A10="","",IFERROR(IF(INDEX(2_Participantes!$B$6:$B$305,MATCH(A10,2_Participantes!$A$6:$A$305,0))="","",INDEX(2_Participantes!$B$6:$B$305,MATCH(A10,2_Participantes!$A$6:$A$305,0))),"No registrado"))</f>
        <v/>
      </c>
      <c r="C10" s="83" t="n">
        <v>55</v>
      </c>
      <c r="D10" s="83" t="n">
        <v>67.5</v>
      </c>
      <c r="E10" s="63">
        <f>IF(AND(ISNUMBER(C10),ISNUMBER(D10)),D10-C10,"")</f>
        <v/>
      </c>
      <c r="F10" s="62">
        <f>IF(A10="","",IFERROR(IF(INDEX(2_Participantes!$E$6:$E$305,MATCH(A10,2_Participantes!$A$6:$A$305,0))="","",INDEX(2_Participantes!$E$6:$E$305,MATCH(A10,2_Participantes!$A$6:$A$305,0))),""))</f>
        <v/>
      </c>
      <c r="G10" s="61">
        <f>IF(A10="","",IFERROR(IF(INDEX(2_Participantes!$F$6:$F$305,MATCH(A10,2_Participantes!$A$6:$A$305,0))="","",INDEX(2_Participantes!$F$6:$F$305,MATCH(A10,2_Participantes!$A$6:$A$305,0))),"No registrado"))</f>
        <v/>
      </c>
      <c r="H10" s="84">
        <f>IF(A10="","",IFERROR(IF(INDEX(2_Participantes!$L$6:$L$305,MATCH(A10,2_Participantes!$A$6:$A$305,0))="","",INDEX(2_Participantes!$L$6:$L$305,MATCH(A10,2_Participantes!$A$6:$A$305,0))),""))</f>
        <v/>
      </c>
      <c r="I10" s="62">
        <f>IF(A10="","",IF(AND(ISNUMBER(C10),ISNUMBER(D10),G10&lt;&gt;"Excluido"),1,0))</f>
        <v/>
      </c>
      <c r="J10" s="76">
        <f>IF(A10="","",IF(G10="No registrado","Código ausente en 2_Participantes",IF(AND(ISNUMBER(D10),NOT(ISNUMBER(C10))),"Postest sin pretest (huérfano)",IF(OR(AND(ISNUMBER(C10),OR(C10&lt;Inicio!$C$18,C10&gt;Inicio!$C$19)),AND(ISNUMBER(D10),OR(D10&lt;Inicio!$C$18,D10&gt;Inicio!$C$19))),"Fuera de rango",IF(COUNTIF($A$6:$A$305,A10)&gt;1,"Código duplicado","OK")))))</f>
        <v/>
      </c>
      <c r="L10" s="46" t="inlineStr">
        <is>
          <t>Códigos duplicados</t>
        </is>
      </c>
      <c r="M10" s="62">
        <f>COUNTIF(J6:J305,"Código duplicado")</f>
        <v/>
      </c>
    </row>
    <row r="11" ht="15" customHeight="1" s="42">
      <c r="A11" s="71" t="inlineStr">
        <is>
          <t>GU-TDH-008</t>
        </is>
      </c>
      <c r="B11" s="61">
        <f>IF(A11="","",IFERROR(IF(INDEX(2_Participantes!$B$6:$B$305,MATCH(A11,2_Participantes!$A$6:$A$305,0))="","",INDEX(2_Participantes!$B$6:$B$305,MATCH(A11,2_Participantes!$A$6:$A$305,0))),"No registrado"))</f>
        <v/>
      </c>
      <c r="C11" s="83" t="n">
        <v>40</v>
      </c>
      <c r="D11" s="83" t="n">
        <v>60</v>
      </c>
      <c r="E11" s="63">
        <f>IF(AND(ISNUMBER(C11),ISNUMBER(D11)),D11-C11,"")</f>
        <v/>
      </c>
      <c r="F11" s="62">
        <f>IF(A11="","",IFERROR(IF(INDEX(2_Participantes!$E$6:$E$305,MATCH(A11,2_Participantes!$A$6:$A$305,0))="","",INDEX(2_Participantes!$E$6:$E$305,MATCH(A11,2_Participantes!$A$6:$A$305,0))),""))</f>
        <v/>
      </c>
      <c r="G11" s="61">
        <f>IF(A11="","",IFERROR(IF(INDEX(2_Participantes!$F$6:$F$305,MATCH(A11,2_Participantes!$A$6:$A$305,0))="","",INDEX(2_Participantes!$F$6:$F$305,MATCH(A11,2_Participantes!$A$6:$A$305,0))),"No registrado"))</f>
        <v/>
      </c>
      <c r="H11" s="84">
        <f>IF(A11="","",IFERROR(IF(INDEX(2_Participantes!$L$6:$L$305,MATCH(A11,2_Participantes!$A$6:$A$305,0))="","",INDEX(2_Participantes!$L$6:$L$305,MATCH(A11,2_Participantes!$A$6:$A$305,0))),""))</f>
        <v/>
      </c>
      <c r="I11" s="62">
        <f>IF(A11="","",IF(AND(ISNUMBER(C11),ISNUMBER(D11),G11&lt;&gt;"Excluido"),1,0))</f>
        <v/>
      </c>
      <c r="J11" s="76">
        <f>IF(A11="","",IF(G11="No registrado","Código ausente en 2_Participantes",IF(AND(ISNUMBER(D11),NOT(ISNUMBER(C11))),"Postest sin pretest (huérfano)",IF(OR(AND(ISNUMBER(C11),OR(C11&lt;Inicio!$C$18,C11&gt;Inicio!$C$19)),AND(ISNUMBER(D11),OR(D11&lt;Inicio!$C$18,D11&gt;Inicio!$C$19))),"Fuera de rango",IF(COUNTIF($A$6:$A$305,A11)&gt;1,"Código duplicado","OK")))))</f>
        <v/>
      </c>
      <c r="L11" s="46" t="inlineStr">
        <is>
          <t>Postest sin pretest (huérfanos)</t>
        </is>
      </c>
      <c r="M11" s="62">
        <f>COUNTIF(J6:J305,"Postest sin pretest (huérfano)")</f>
        <v/>
      </c>
    </row>
    <row r="12" ht="15" customHeight="1" s="42">
      <c r="A12" s="71" t="inlineStr">
        <is>
          <t>GU-TDH-009</t>
        </is>
      </c>
      <c r="B12" s="61">
        <f>IF(A12="","",IFERROR(IF(INDEX(2_Participantes!$B$6:$B$305,MATCH(A12,2_Participantes!$A$6:$A$305,0))="","",INDEX(2_Participantes!$B$6:$B$305,MATCH(A12,2_Participantes!$A$6:$A$305,0))),"No registrado"))</f>
        <v/>
      </c>
      <c r="C12" s="83" t="n">
        <v>50</v>
      </c>
      <c r="D12" s="83" t="n">
        <v>70</v>
      </c>
      <c r="E12" s="63">
        <f>IF(AND(ISNUMBER(C12),ISNUMBER(D12)),D12-C12,"")</f>
        <v/>
      </c>
      <c r="F12" s="62">
        <f>IF(A12="","",IFERROR(IF(INDEX(2_Participantes!$E$6:$E$305,MATCH(A12,2_Participantes!$A$6:$A$305,0))="","",INDEX(2_Participantes!$E$6:$E$305,MATCH(A12,2_Participantes!$A$6:$A$305,0))),""))</f>
        <v/>
      </c>
      <c r="G12" s="61">
        <f>IF(A12="","",IFERROR(IF(INDEX(2_Participantes!$F$6:$F$305,MATCH(A12,2_Participantes!$A$6:$A$305,0))="","",INDEX(2_Participantes!$F$6:$F$305,MATCH(A12,2_Participantes!$A$6:$A$305,0))),"No registrado"))</f>
        <v/>
      </c>
      <c r="H12" s="84">
        <f>IF(A12="","",IFERROR(IF(INDEX(2_Participantes!$L$6:$L$305,MATCH(A12,2_Participantes!$A$6:$A$305,0))="","",INDEX(2_Participantes!$L$6:$L$305,MATCH(A12,2_Participantes!$A$6:$A$305,0))),""))</f>
        <v/>
      </c>
      <c r="I12" s="62">
        <f>IF(A12="","",IF(AND(ISNUMBER(C12),ISNUMBER(D12),G12&lt;&gt;"Excluido"),1,0))</f>
        <v/>
      </c>
      <c r="J12" s="76">
        <f>IF(A12="","",IF(G12="No registrado","Código ausente en 2_Participantes",IF(AND(ISNUMBER(D12),NOT(ISNUMBER(C12))),"Postest sin pretest (huérfano)",IF(OR(AND(ISNUMBER(C12),OR(C12&lt;Inicio!$C$18,C12&gt;Inicio!$C$19)),AND(ISNUMBER(D12),OR(D12&lt;Inicio!$C$18,D12&gt;Inicio!$C$19))),"Fuera de rango",IF(COUNTIF($A$6:$A$305,A12)&gt;1,"Código duplicado","OK")))))</f>
        <v/>
      </c>
      <c r="L12" s="46" t="inlineStr">
        <is>
          <t>Valores fuera de rango</t>
        </is>
      </c>
      <c r="M12" s="62">
        <f>COUNTIF(J6:J305,"Fuera de rango")</f>
        <v/>
      </c>
    </row>
    <row r="13" ht="23.85" customHeight="1" s="42">
      <c r="A13" s="71" t="inlineStr">
        <is>
          <t>GU-TDH-010</t>
        </is>
      </c>
      <c r="B13" s="61">
        <f>IF(A13="","",IFERROR(IF(INDEX(2_Participantes!$B$6:$B$305,MATCH(A13,2_Participantes!$A$6:$A$305,0))="","",INDEX(2_Participantes!$B$6:$B$305,MATCH(A13,2_Participantes!$A$6:$A$305,0))),"No registrado"))</f>
        <v/>
      </c>
      <c r="C13" s="83" t="n">
        <v>80</v>
      </c>
      <c r="D13" s="83" t="n">
        <v>90</v>
      </c>
      <c r="E13" s="63">
        <f>IF(AND(ISNUMBER(C13),ISNUMBER(D13)),D13-C13,"")</f>
        <v/>
      </c>
      <c r="F13" s="62">
        <f>IF(A13="","",IFERROR(IF(INDEX(2_Participantes!$E$6:$E$305,MATCH(A13,2_Participantes!$A$6:$A$305,0))="","",INDEX(2_Participantes!$E$6:$E$305,MATCH(A13,2_Participantes!$A$6:$A$305,0))),""))</f>
        <v/>
      </c>
      <c r="G13" s="61">
        <f>IF(A13="","",IFERROR(IF(INDEX(2_Participantes!$F$6:$F$305,MATCH(A13,2_Participantes!$A$6:$A$305,0))="","",INDEX(2_Participantes!$F$6:$F$305,MATCH(A13,2_Participantes!$A$6:$A$305,0))),"No registrado"))</f>
        <v/>
      </c>
      <c r="H13" s="84">
        <f>IF(A13="","",IFERROR(IF(INDEX(2_Participantes!$L$6:$L$305,MATCH(A13,2_Participantes!$A$6:$A$305,0))="","",INDEX(2_Participantes!$L$6:$L$305,MATCH(A13,2_Participantes!$A$6:$A$305,0))),""))</f>
        <v/>
      </c>
      <c r="I13" s="62">
        <f>IF(A13="","",IF(AND(ISNUMBER(C13),ISNUMBER(D13),G13&lt;&gt;"Excluido"),1,0))</f>
        <v/>
      </c>
      <c r="J13" s="76">
        <f>IF(A13="","",IF(G13="No registrado","Código ausente en 2_Participantes",IF(AND(ISNUMBER(D13),NOT(ISNUMBER(C13))),"Postest sin pretest (huérfano)",IF(OR(AND(ISNUMBER(C13),OR(C13&lt;Inicio!$C$18,C13&gt;Inicio!$C$19)),AND(ISNUMBER(D13),OR(D13&lt;Inicio!$C$18,D13&gt;Inicio!$C$19))),"Fuera de rango",IF(COUNTIF($A$6:$A$305,A13)&gt;1,"Código duplicado","OK")))))</f>
        <v/>
      </c>
      <c r="L13" s="46" t="inlineStr">
        <is>
          <t>Códigos ausentes en 2_Participantes</t>
        </is>
      </c>
      <c r="M13" s="62">
        <f>COUNTIF(J6:J305,"Código ausente en 2_Participantes")</f>
        <v/>
      </c>
    </row>
    <row r="14" ht="57.45" customHeight="1" s="42">
      <c r="A14" s="71" t="inlineStr">
        <is>
          <t>GU-TDH-011</t>
        </is>
      </c>
      <c r="B14" s="61">
        <f>IF(A14="","",IFERROR(IF(INDEX(2_Participantes!$B$6:$B$305,MATCH(A14,2_Participantes!$A$6:$A$305,0))="","",INDEX(2_Participantes!$B$6:$B$305,MATCH(A14,2_Participantes!$A$6:$A$305,0))),"No registrado"))</f>
        <v/>
      </c>
      <c r="C14" s="83" t="n">
        <v>30</v>
      </c>
      <c r="D14" s="83" t="n">
        <v>42.5</v>
      </c>
      <c r="E14" s="63">
        <f>IF(AND(ISNUMBER(C14),ISNUMBER(D14)),D14-C14,"")</f>
        <v/>
      </c>
      <c r="F14" s="62">
        <f>IF(A14="","",IFERROR(IF(INDEX(2_Participantes!$E$6:$E$305,MATCH(A14,2_Participantes!$A$6:$A$305,0))="","",INDEX(2_Participantes!$E$6:$E$305,MATCH(A14,2_Participantes!$A$6:$A$305,0))),""))</f>
        <v/>
      </c>
      <c r="G14" s="61">
        <f>IF(A14="","",IFERROR(IF(INDEX(2_Participantes!$F$6:$F$305,MATCH(A14,2_Participantes!$A$6:$A$305,0))="","",INDEX(2_Participantes!$F$6:$F$305,MATCH(A14,2_Participantes!$A$6:$A$305,0))),"No registrado"))</f>
        <v/>
      </c>
      <c r="H14" s="84">
        <f>IF(A14="","",IFERROR(IF(INDEX(2_Participantes!$L$6:$L$305,MATCH(A14,2_Participantes!$A$6:$A$305,0))="","",INDEX(2_Participantes!$L$6:$L$305,MATCH(A14,2_Participantes!$A$6:$A$305,0))),""))</f>
        <v/>
      </c>
      <c r="I14" s="62">
        <f>IF(A14="","",IF(AND(ISNUMBER(C14),ISNUMBER(D14),G14&lt;&gt;"Excluido"),1,0))</f>
        <v/>
      </c>
      <c r="J14" s="76">
        <f>IF(A14="","",IF(G14="No registrado","Código ausente en 2_Participantes",IF(AND(ISNUMBER(D14),NOT(ISNUMBER(C14))),"Postest sin pretest (huérfano)",IF(OR(AND(ISNUMBER(C14),OR(C14&lt;Inicio!$C$18,C14&gt;Inicio!$C$19)),AND(ISNUMBER(D14),OR(D14&lt;Inicio!$C$18,D14&gt;Inicio!$C$19))),"Fuera de rango",IF(COUNTIF($A$6:$A$305,A14)&gt;1,"Código duplicado","OK")))))</f>
        <v/>
      </c>
      <c r="L14" s="46" t="inlineStr">
        <is>
          <t>Resultado</t>
        </is>
      </c>
      <c r="M14" s="68">
        <f>IF(SUM(M10:M13)=0,"Base consolidada sin inconsistencias","Corregir las filas marcadas en CONTROL DE CALIDAD")</f>
        <v/>
      </c>
    </row>
    <row r="15" ht="15" customHeight="1" s="42">
      <c r="A15" s="71" t="inlineStr">
        <is>
          <t>GU-TDH-012</t>
        </is>
      </c>
      <c r="B15" s="61">
        <f>IF(A15="","",IFERROR(IF(INDEX(2_Participantes!$B$6:$B$305,MATCH(A15,2_Participantes!$A$6:$A$305,0))="","",INDEX(2_Participantes!$B$6:$B$305,MATCH(A15,2_Participantes!$A$6:$A$305,0))),"No registrado"))</f>
        <v/>
      </c>
      <c r="C15" s="83" t="n">
        <v>65</v>
      </c>
      <c r="D15" s="83" t="n">
        <v>80</v>
      </c>
      <c r="E15" s="63">
        <f>IF(AND(ISNUMBER(C15),ISNUMBER(D15)),D15-C15,"")</f>
        <v/>
      </c>
      <c r="F15" s="62">
        <f>IF(A15="","",IFERROR(IF(INDEX(2_Participantes!$E$6:$E$305,MATCH(A15,2_Participantes!$A$6:$A$305,0))="","",INDEX(2_Participantes!$E$6:$E$305,MATCH(A15,2_Participantes!$A$6:$A$305,0))),""))</f>
        <v/>
      </c>
      <c r="G15" s="61">
        <f>IF(A15="","",IFERROR(IF(INDEX(2_Participantes!$F$6:$F$305,MATCH(A15,2_Participantes!$A$6:$A$305,0))="","",INDEX(2_Participantes!$F$6:$F$305,MATCH(A15,2_Participantes!$A$6:$A$305,0))),"No registrado"))</f>
        <v/>
      </c>
      <c r="H15" s="84">
        <f>IF(A15="","",IFERROR(IF(INDEX(2_Participantes!$L$6:$L$305,MATCH(A15,2_Participantes!$A$6:$A$305,0))="","",INDEX(2_Participantes!$L$6:$L$305,MATCH(A15,2_Participantes!$A$6:$A$305,0))),""))</f>
        <v/>
      </c>
      <c r="I15" s="62">
        <f>IF(A15="","",IF(AND(ISNUMBER(C15),ISNUMBER(D15),G15&lt;&gt;"Excluido"),1,0))</f>
        <v/>
      </c>
      <c r="J15" s="76">
        <f>IF(A15="","",IF(G15="No registrado","Código ausente en 2_Participantes",IF(AND(ISNUMBER(D15),NOT(ISNUMBER(C15))),"Postest sin pretest (huérfano)",IF(OR(AND(ISNUMBER(C15),OR(C15&lt;Inicio!$C$18,C15&gt;Inicio!$C$19)),AND(ISNUMBER(D15),OR(D15&lt;Inicio!$C$18,D15&gt;Inicio!$C$19))),"Fuera de rango",IF(COUNTIF($A$6:$A$305,A15)&gt;1,"Código duplicado","OK")))))</f>
        <v/>
      </c>
    </row>
    <row r="16" ht="15" customHeight="1" s="42">
      <c r="A16" s="71" t="inlineStr">
        <is>
          <t>GU-TDH-014</t>
        </is>
      </c>
      <c r="B16" s="61">
        <f>IF(A16="","",IFERROR(IF(INDEX(2_Participantes!$B$6:$B$305,MATCH(A16,2_Participantes!$A$6:$A$305,0))="","",INDEX(2_Participantes!$B$6:$B$305,MATCH(A16,2_Participantes!$A$6:$A$305,0))),"No registrado"))</f>
        <v/>
      </c>
      <c r="C16" s="83" t="n">
        <v>55</v>
      </c>
      <c r="D16" s="83" t="n">
        <v>70</v>
      </c>
      <c r="E16" s="63">
        <f>IF(AND(ISNUMBER(C16),ISNUMBER(D16)),D16-C16,"")</f>
        <v/>
      </c>
      <c r="F16" s="62">
        <f>IF(A16="","",IFERROR(IF(INDEX(2_Participantes!$E$6:$E$305,MATCH(A16,2_Participantes!$A$6:$A$305,0))="","",INDEX(2_Participantes!$E$6:$E$305,MATCH(A16,2_Participantes!$A$6:$A$305,0))),""))</f>
        <v/>
      </c>
      <c r="G16" s="61">
        <f>IF(A16="","",IFERROR(IF(INDEX(2_Participantes!$F$6:$F$305,MATCH(A16,2_Participantes!$A$6:$A$305,0))="","",INDEX(2_Participantes!$F$6:$F$305,MATCH(A16,2_Participantes!$A$6:$A$305,0))),"No registrado"))</f>
        <v/>
      </c>
      <c r="H16" s="84">
        <f>IF(A16="","",IFERROR(IF(INDEX(2_Participantes!$L$6:$L$305,MATCH(A16,2_Participantes!$A$6:$A$305,0))="","",INDEX(2_Participantes!$L$6:$L$305,MATCH(A16,2_Participantes!$A$6:$A$305,0))),""))</f>
        <v/>
      </c>
      <c r="I16" s="62">
        <f>IF(A16="","",IF(AND(ISNUMBER(C16),ISNUMBER(D16),G16&lt;&gt;"Excluido"),1,0))</f>
        <v/>
      </c>
      <c r="J16" s="76">
        <f>IF(A16="","",IF(G16="No registrado","Código ausente en 2_Participantes",IF(AND(ISNUMBER(D16),NOT(ISNUMBER(C16))),"Postest sin pretest (huérfano)",IF(OR(AND(ISNUMBER(C16),OR(C16&lt;Inicio!$C$18,C16&gt;Inicio!$C$19)),AND(ISNUMBER(D16),OR(D16&lt;Inicio!$C$18,D16&gt;Inicio!$C$19))),"Fuera de rango",IF(COUNTIF($A$6:$A$305,A16)&gt;1,"Código duplicado","OK")))))</f>
        <v/>
      </c>
    </row>
    <row r="17" ht="15" customHeight="1" s="42">
      <c r="A17" s="71" t="inlineStr">
        <is>
          <t>GU-TDH-015</t>
        </is>
      </c>
      <c r="B17" s="61">
        <f>IF(A17="","",IFERROR(IF(INDEX(2_Participantes!$B$6:$B$305,MATCH(A17,2_Participantes!$A$6:$A$305,0))="","",INDEX(2_Participantes!$B$6:$B$305,MATCH(A17,2_Participantes!$A$6:$A$305,0))),"No registrado"))</f>
        <v/>
      </c>
      <c r="C17" s="83" t="n">
        <v>72.5</v>
      </c>
      <c r="D17" s="52" t="n"/>
      <c r="E17" s="63">
        <f>IF(AND(ISNUMBER(C17),ISNUMBER(D17)),D17-C17,"")</f>
        <v/>
      </c>
      <c r="F17" s="62">
        <f>IF(A17="","",IFERROR(IF(INDEX(2_Participantes!$E$6:$E$305,MATCH(A17,2_Participantes!$A$6:$A$305,0))="","",INDEX(2_Participantes!$E$6:$E$305,MATCH(A17,2_Participantes!$A$6:$A$305,0))),""))</f>
        <v/>
      </c>
      <c r="G17" s="61">
        <f>IF(A17="","",IFERROR(IF(INDEX(2_Participantes!$F$6:$F$305,MATCH(A17,2_Participantes!$A$6:$A$305,0))="","",INDEX(2_Participantes!$F$6:$F$305,MATCH(A17,2_Participantes!$A$6:$A$305,0))),"No registrado"))</f>
        <v/>
      </c>
      <c r="H17" s="84">
        <f>IF(A17="","",IFERROR(IF(INDEX(2_Participantes!$L$6:$L$305,MATCH(A17,2_Participantes!$A$6:$A$305,0))="","",INDEX(2_Participantes!$L$6:$L$305,MATCH(A17,2_Participantes!$A$6:$A$305,0))),""))</f>
        <v/>
      </c>
      <c r="I17" s="62">
        <f>IF(A17="","",IF(AND(ISNUMBER(C17),ISNUMBER(D17),G17&lt;&gt;"Excluido"),1,0))</f>
        <v/>
      </c>
      <c r="J17" s="76">
        <f>IF(A17="","",IF(G17="No registrado","Código ausente en 2_Participantes",IF(AND(ISNUMBER(D17),NOT(ISNUMBER(C17))),"Postest sin pretest (huérfano)",IF(OR(AND(ISNUMBER(C17),OR(C17&lt;Inicio!$C$18,C17&gt;Inicio!$C$19)),AND(ISNUMBER(D17),OR(D17&lt;Inicio!$C$18,D17&gt;Inicio!$C$19))),"Fuera de rango",IF(COUNTIF($A$6:$A$305,A17)&gt;1,"Código duplicado","OK")))))</f>
        <v/>
      </c>
      <c r="L17" s="81" t="inlineStr">
        <is>
          <t>Descriptivos de los pares analizados</t>
        </is>
      </c>
      <c r="M17" s="82" t="n"/>
      <c r="N17" s="82" t="n"/>
      <c r="O17" s="82" t="n"/>
    </row>
    <row r="18" ht="36" customHeight="1" s="42">
      <c r="A18" s="71" t="inlineStr">
        <is>
          <t>GU-TDH-016</t>
        </is>
      </c>
      <c r="B18" s="61">
        <f>IF(A18="","",IFERROR(IF(INDEX(2_Participantes!$B$6:$B$305,MATCH(A18,2_Participantes!$A$6:$A$305,0))="","",INDEX(2_Participantes!$B$6:$B$305,MATCH(A18,2_Participantes!$A$6:$A$305,0))),"No registrado"))</f>
        <v/>
      </c>
      <c r="C18" s="83" t="n">
        <v>42.5</v>
      </c>
      <c r="D18" s="83" t="n">
        <v>60</v>
      </c>
      <c r="E18" s="63">
        <f>IF(AND(ISNUMBER(C18),ISNUMBER(D18)),D18-C18,"")</f>
        <v/>
      </c>
      <c r="F18" s="62">
        <f>IF(A18="","",IFERROR(IF(INDEX(2_Participantes!$E$6:$E$305,MATCH(A18,2_Participantes!$A$6:$A$305,0))="","",INDEX(2_Participantes!$E$6:$E$305,MATCH(A18,2_Participantes!$A$6:$A$305,0))),""))</f>
        <v/>
      </c>
      <c r="G18" s="61">
        <f>IF(A18="","",IFERROR(IF(INDEX(2_Participantes!$F$6:$F$305,MATCH(A18,2_Participantes!$A$6:$A$305,0))="","",INDEX(2_Participantes!$F$6:$F$305,MATCH(A18,2_Participantes!$A$6:$A$305,0))),"No registrado"))</f>
        <v/>
      </c>
      <c r="H18" s="84">
        <f>IF(A18="","",IFERROR(IF(INDEX(2_Participantes!$L$6:$L$305,MATCH(A18,2_Participantes!$A$6:$A$305,0))="","",INDEX(2_Participantes!$L$6:$L$305,MATCH(A18,2_Participantes!$A$6:$A$305,0))),""))</f>
        <v/>
      </c>
      <c r="I18" s="62">
        <f>IF(A18="","",IF(AND(ISNUMBER(C18),ISNUMBER(D18),G18&lt;&gt;"Excluido"),1,0))</f>
        <v/>
      </c>
      <c r="J18" s="76">
        <f>IF(A18="","",IF(G18="No registrado","Código ausente en 2_Participantes",IF(AND(ISNUMBER(D18),NOT(ISNUMBER(C18))),"Postest sin pretest (huérfano)",IF(OR(AND(ISNUMBER(C18),OR(C18&lt;Inicio!$C$18,C18&gt;Inicio!$C$19)),AND(ISNUMBER(D18),OR(D18&lt;Inicio!$C$18,D18&gt;Inicio!$C$19))),"Fuera de rango",IF(COUNTIF($A$6:$A$305,A18)&gt;1,"Código duplicado","OK")))))</f>
        <v/>
      </c>
      <c r="L18" s="59" t="inlineStr">
        <is>
          <t>Grupo</t>
        </is>
      </c>
      <c r="M18" s="59" t="inlineStr">
        <is>
          <t>n pares</t>
        </is>
      </c>
      <c r="N18" s="59" t="inlineStr">
        <is>
          <t>Media VD_PRE</t>
        </is>
      </c>
      <c r="O18" s="59" t="inlineStr">
        <is>
          <t>Media VD_POST</t>
        </is>
      </c>
      <c r="P18" s="59" t="inlineStr">
        <is>
          <t>Diferencia de medias</t>
        </is>
      </c>
      <c r="Q18" s="59" t="inlineStr">
        <is>
          <t>DE VD_PRE</t>
        </is>
      </c>
      <c r="R18" s="59" t="inlineStr">
        <is>
          <t>DE VD_POST</t>
        </is>
      </c>
    </row>
    <row r="19" ht="15" customHeight="1" s="42">
      <c r="A19" s="71" t="inlineStr">
        <is>
          <t>GU-TDH-017</t>
        </is>
      </c>
      <c r="B19" s="61">
        <f>IF(A19="","",IFERROR(IF(INDEX(2_Participantes!$B$6:$B$305,MATCH(A19,2_Participantes!$A$6:$A$305,0))="","",INDEX(2_Participantes!$B$6:$B$305,MATCH(A19,2_Participantes!$A$6:$A$305,0))),"No registrado"))</f>
        <v/>
      </c>
      <c r="C19" s="83" t="n">
        <v>62.5</v>
      </c>
      <c r="D19" s="83" t="n">
        <v>82.5</v>
      </c>
      <c r="E19" s="63">
        <f>IF(AND(ISNUMBER(C19),ISNUMBER(D19)),D19-C19,"")</f>
        <v/>
      </c>
      <c r="F19" s="62">
        <f>IF(A19="","",IFERROR(IF(INDEX(2_Participantes!$E$6:$E$305,MATCH(A19,2_Participantes!$A$6:$A$305,0))="","",INDEX(2_Participantes!$E$6:$E$305,MATCH(A19,2_Participantes!$A$6:$A$305,0))),""))</f>
        <v/>
      </c>
      <c r="G19" s="61">
        <f>IF(A19="","",IFERROR(IF(INDEX(2_Participantes!$F$6:$F$305,MATCH(A19,2_Participantes!$A$6:$A$305,0))="","",INDEX(2_Participantes!$F$6:$F$305,MATCH(A19,2_Participantes!$A$6:$A$305,0))),"No registrado"))</f>
        <v/>
      </c>
      <c r="H19" s="84">
        <f>IF(A19="","",IFERROR(IF(INDEX(2_Participantes!$L$6:$L$305,MATCH(A19,2_Participantes!$A$6:$A$305,0))="","",INDEX(2_Participantes!$L$6:$L$305,MATCH(A19,2_Participantes!$A$6:$A$305,0))),""))</f>
        <v/>
      </c>
      <c r="I19" s="62">
        <f>IF(A19="","",IF(AND(ISNUMBER(C19),ISNUMBER(D19),G19&lt;&gt;"Excluido"),1,0))</f>
        <v/>
      </c>
      <c r="J19" s="76">
        <f>IF(A19="","",IF(G19="No registrado","Código ausente en 2_Participantes",IF(AND(ISNUMBER(D19),NOT(ISNUMBER(C19))),"Postest sin pretest (huérfano)",IF(OR(AND(ISNUMBER(C19),OR(C19&lt;Inicio!$C$18,C19&gt;Inicio!$C$19)),AND(ISNUMBER(D19),OR(D19&lt;Inicio!$C$18,D19&gt;Inicio!$C$19))),"Fuera de rango",IF(COUNTIF($A$6:$A$305,A19)&gt;1,"Código duplicado","OK")))))</f>
        <v/>
      </c>
      <c r="L19" s="85" t="inlineStr">
        <is>
          <t>GE</t>
        </is>
      </c>
      <c r="M19" s="62">
        <f>COUNTIFS(B6:B305,"GE",I6:I305,1)</f>
        <v/>
      </c>
      <c r="N19" s="86">
        <f>IFERROR(AVERAGEIFS(C6:C305,B6:B305,"GE",I6:I305,1),"")</f>
        <v/>
      </c>
      <c r="O19" s="86">
        <f>IFERROR(AVERAGEIFS(D6:D305,B6:B305,"GE",I6:I305,1),"")</f>
        <v/>
      </c>
      <c r="P19" s="87">
        <f>IF(OR(N19="",O19=""),"",O19-N19)</f>
        <v/>
      </c>
      <c r="Q19" s="86">
        <f>IF(M19&lt;2,"",SQRT((SUMPRODUCT((B6:B305="GE")*(I6:I305=1)*(C6:C305)^2)-M19*N19^2)/(M19-1)))</f>
        <v/>
      </c>
      <c r="R19" s="86">
        <f>IF(M19&lt;2,"",SQRT((SUMPRODUCT((B6:B305="GE")*(I6:I305=1)*(D6:D305)^2)-M19*O19^2)/(M19-1)))</f>
        <v/>
      </c>
    </row>
    <row r="20" ht="15" customHeight="1" s="42">
      <c r="A20" s="71" t="inlineStr">
        <is>
          <t>GU-TDH-019</t>
        </is>
      </c>
      <c r="B20" s="61">
        <f>IF(A20="","",IFERROR(IF(INDEX(2_Participantes!$B$6:$B$305,MATCH(A20,2_Participantes!$A$6:$A$305,0))="","",INDEX(2_Participantes!$B$6:$B$305,MATCH(A20,2_Participantes!$A$6:$A$305,0))),"No registrado"))</f>
        <v/>
      </c>
      <c r="C20" s="83" t="n">
        <v>67.5</v>
      </c>
      <c r="D20" s="83" t="n">
        <v>85</v>
      </c>
      <c r="E20" s="63">
        <f>IF(AND(ISNUMBER(C20),ISNUMBER(D20)),D20-C20,"")</f>
        <v/>
      </c>
      <c r="F20" s="62">
        <f>IF(A20="","",IFERROR(IF(INDEX(2_Participantes!$E$6:$E$305,MATCH(A20,2_Participantes!$A$6:$A$305,0))="","",INDEX(2_Participantes!$E$6:$E$305,MATCH(A20,2_Participantes!$A$6:$A$305,0))),""))</f>
        <v/>
      </c>
      <c r="G20" s="61">
        <f>IF(A20="","",IFERROR(IF(INDEX(2_Participantes!$F$6:$F$305,MATCH(A20,2_Participantes!$A$6:$A$305,0))="","",INDEX(2_Participantes!$F$6:$F$305,MATCH(A20,2_Participantes!$A$6:$A$305,0))),"No registrado"))</f>
        <v/>
      </c>
      <c r="H20" s="84">
        <f>IF(A20="","",IFERROR(IF(INDEX(2_Participantes!$L$6:$L$305,MATCH(A20,2_Participantes!$A$6:$A$305,0))="","",INDEX(2_Participantes!$L$6:$L$305,MATCH(A20,2_Participantes!$A$6:$A$305,0))),""))</f>
        <v/>
      </c>
      <c r="I20" s="62">
        <f>IF(A20="","",IF(AND(ISNUMBER(C20),ISNUMBER(D20),G20&lt;&gt;"Excluido"),1,0))</f>
        <v/>
      </c>
      <c r="J20" s="76">
        <f>IF(A20="","",IF(G20="No registrado","Código ausente en 2_Participantes",IF(AND(ISNUMBER(D20),NOT(ISNUMBER(C20))),"Postest sin pretest (huérfano)",IF(OR(AND(ISNUMBER(C20),OR(C20&lt;Inicio!$C$18,C20&gt;Inicio!$C$19)),AND(ISNUMBER(D20),OR(D20&lt;Inicio!$C$18,D20&gt;Inicio!$C$19))),"Fuera de rango",IF(COUNTIF($A$6:$A$305,A20)&gt;1,"Código duplicado","OK")))))</f>
        <v/>
      </c>
      <c r="L20" s="85" t="inlineStr">
        <is>
          <t>GC</t>
        </is>
      </c>
      <c r="M20" s="62">
        <f>COUNTIFS(B6:B305,"GC",I6:I305,1)</f>
        <v/>
      </c>
      <c r="N20" s="86">
        <f>IFERROR(AVERAGEIFS(C6:C305,B6:B305,"GC",I6:I305,1),"")</f>
        <v/>
      </c>
      <c r="O20" s="86">
        <f>IFERROR(AVERAGEIFS(D6:D305,B6:B305,"GC",I6:I305,1),"")</f>
        <v/>
      </c>
      <c r="P20" s="87">
        <f>IF(OR(N20="",O20=""),"",O20-N20)</f>
        <v/>
      </c>
      <c r="Q20" s="86">
        <f>IF(M20&lt;2,"",SQRT((SUMPRODUCT((B6:B305="GC")*(I6:I305=1)*(C6:C305)^2)-M20*N20^2)/(M20-1)))</f>
        <v/>
      </c>
      <c r="R20" s="86">
        <f>IF(M20&lt;2,"",SQRT((SUMPRODUCT((B6:B305="GC")*(I6:I305=1)*(D6:D305)^2)-M20*O20^2)/(M20-1)))</f>
        <v/>
      </c>
    </row>
    <row r="21" ht="15" customHeight="1" s="42">
      <c r="A21" s="71" t="inlineStr">
        <is>
          <t>GU-TDH-020</t>
        </is>
      </c>
      <c r="B21" s="61">
        <f>IF(A21="","",IFERROR(IF(INDEX(2_Participantes!$B$6:$B$305,MATCH(A21,2_Participantes!$A$6:$A$305,0))="","",INDEX(2_Participantes!$B$6:$B$305,MATCH(A21,2_Participantes!$A$6:$A$305,0))),"No registrado"))</f>
        <v/>
      </c>
      <c r="C21" s="83" t="n">
        <v>57.5</v>
      </c>
      <c r="D21" s="83" t="n">
        <v>75</v>
      </c>
      <c r="E21" s="63">
        <f>IF(AND(ISNUMBER(C21),ISNUMBER(D21)),D21-C21,"")</f>
        <v/>
      </c>
      <c r="F21" s="62">
        <f>IF(A21="","",IFERROR(IF(INDEX(2_Participantes!$E$6:$E$305,MATCH(A21,2_Participantes!$A$6:$A$305,0))="","",INDEX(2_Participantes!$E$6:$E$305,MATCH(A21,2_Participantes!$A$6:$A$305,0))),""))</f>
        <v/>
      </c>
      <c r="G21" s="61">
        <f>IF(A21="","",IFERROR(IF(INDEX(2_Participantes!$F$6:$F$305,MATCH(A21,2_Participantes!$A$6:$A$305,0))="","",INDEX(2_Participantes!$F$6:$F$305,MATCH(A21,2_Participantes!$A$6:$A$305,0))),"No registrado"))</f>
        <v/>
      </c>
      <c r="H21" s="84">
        <f>IF(A21="","",IFERROR(IF(INDEX(2_Participantes!$L$6:$L$305,MATCH(A21,2_Participantes!$A$6:$A$305,0))="","",INDEX(2_Participantes!$L$6:$L$305,MATCH(A21,2_Participantes!$A$6:$A$305,0))),""))</f>
        <v/>
      </c>
      <c r="I21" s="62">
        <f>IF(A21="","",IF(AND(ISNUMBER(C21),ISNUMBER(D21),G21&lt;&gt;"Excluido"),1,0))</f>
        <v/>
      </c>
      <c r="J21" s="76">
        <f>IF(A21="","",IF(G21="No registrado","Código ausente en 2_Participantes",IF(AND(ISNUMBER(D21),NOT(ISNUMBER(C21))),"Postest sin pretest (huérfano)",IF(OR(AND(ISNUMBER(C21),OR(C21&lt;Inicio!$C$18,C21&gt;Inicio!$C$19)),AND(ISNUMBER(D21),OR(D21&lt;Inicio!$C$18,D21&gt;Inicio!$C$19))),"Fuera de rango",IF(COUNTIF($A$6:$A$305,A21)&gt;1,"Código duplicado","OK")))))</f>
        <v/>
      </c>
      <c r="L21" s="85" t="inlineStr">
        <is>
          <t>G</t>
        </is>
      </c>
      <c r="M21" s="62">
        <f>COUNTIFS(B6:B305,"G",I6:I305,1)</f>
        <v/>
      </c>
      <c r="N21" s="86">
        <f>IFERROR(AVERAGEIFS(C6:C305,B6:B305,"G",I6:I305,1),"")</f>
        <v/>
      </c>
      <c r="O21" s="86">
        <f>IFERROR(AVERAGEIFS(D6:D305,B6:B305,"G",I6:I305,1),"")</f>
        <v/>
      </c>
      <c r="P21" s="87">
        <f>IF(OR(N21="",O21=""),"",O21-N21)</f>
        <v/>
      </c>
      <c r="Q21" s="86">
        <f>IF(M21&lt;2,"",SQRT((SUMPRODUCT((B6:B305="G")*(I6:I305=1)*(C6:C305)^2)-M21*N21^2)/(M21-1)))</f>
        <v/>
      </c>
      <c r="R21" s="86">
        <f>IF(M21&lt;2,"",SQRT((SUMPRODUCT((B6:B305="G")*(I6:I305=1)*(D6:D305)^2)-M21*O21^2)/(M21-1)))</f>
        <v/>
      </c>
    </row>
    <row r="22" ht="39.75" customHeight="1" s="42">
      <c r="A22" s="71" t="inlineStr">
        <is>
          <t>GU-TDH-021</t>
        </is>
      </c>
      <c r="B22" s="61">
        <f>IF(A22="","",IFERROR(IF(INDEX(2_Participantes!$B$6:$B$305,MATCH(A22,2_Participantes!$A$6:$A$305,0))="","",INDEX(2_Participantes!$B$6:$B$305,MATCH(A22,2_Participantes!$A$6:$A$305,0))),"No registrado"))</f>
        <v/>
      </c>
      <c r="C22" s="83" t="n">
        <v>55</v>
      </c>
      <c r="D22" s="83" t="n">
        <v>72.5</v>
      </c>
      <c r="E22" s="63">
        <f>IF(AND(ISNUMBER(C22),ISNUMBER(D22)),D22-C22,"")</f>
        <v/>
      </c>
      <c r="F22" s="62">
        <f>IF(A22="","",IFERROR(IF(INDEX(2_Participantes!$E$6:$E$305,MATCH(A22,2_Participantes!$A$6:$A$305,0))="","",INDEX(2_Participantes!$E$6:$E$305,MATCH(A22,2_Participantes!$A$6:$A$305,0))),""))</f>
        <v/>
      </c>
      <c r="G22" s="61">
        <f>IF(A22="","",IFERROR(IF(INDEX(2_Participantes!$F$6:$F$305,MATCH(A22,2_Participantes!$A$6:$A$305,0))="","",INDEX(2_Participantes!$F$6:$F$305,MATCH(A22,2_Participantes!$A$6:$A$305,0))),"No registrado"))</f>
        <v/>
      </c>
      <c r="H22" s="84">
        <f>IF(A22="","",IFERROR(IF(INDEX(2_Participantes!$L$6:$L$305,MATCH(A22,2_Participantes!$A$6:$A$305,0))="","",INDEX(2_Participantes!$L$6:$L$305,MATCH(A22,2_Participantes!$A$6:$A$305,0))),""))</f>
        <v/>
      </c>
      <c r="I22" s="62">
        <f>IF(A22="","",IF(AND(ISNUMBER(C22),ISNUMBER(D22),G22&lt;&gt;"Excluido"),1,0))</f>
        <v/>
      </c>
      <c r="J22" s="76">
        <f>IF(A22="","",IF(G22="No registrado","Código ausente en 2_Participantes",IF(AND(ISNUMBER(D22),NOT(ISNUMBER(C22))),"Postest sin pretest (huérfano)",IF(OR(AND(ISNUMBER(C22),OR(C22&lt;Inicio!$C$18,C22&gt;Inicio!$C$19)),AND(ISNUMBER(D22),OR(D22&lt;Inicio!$C$18,D22&gt;Inicio!$C$19))),"Fuera de rango",IF(COUNTIF($A$6:$A$305,A22)&gt;1,"Código duplicado","OK")))))</f>
        <v/>
      </c>
      <c r="L22" s="54" t="inlineStr">
        <is>
          <t>DE = desviación estándar muestral de los pares analizados. La comparación de la línea base de quienes se retiraron frente a quienes completaron (ESTADO = Activo) es el análisis del sesgo por atrición que pide la rúbrica.</t>
        </is>
      </c>
    </row>
    <row r="23" ht="15" customHeight="1" s="42">
      <c r="A23" s="71" t="inlineStr">
        <is>
          <t>GU-TDH-022</t>
        </is>
      </c>
      <c r="B23" s="61">
        <f>IF(A23="","",IFERROR(IF(INDEX(2_Participantes!$B$6:$B$305,MATCH(A23,2_Participantes!$A$6:$A$305,0))="","",INDEX(2_Participantes!$B$6:$B$305,MATCH(A23,2_Participantes!$A$6:$A$305,0))),"No registrado"))</f>
        <v/>
      </c>
      <c r="C23" s="83" t="n">
        <v>52.5</v>
      </c>
      <c r="D23" s="83" t="n">
        <v>67.5</v>
      </c>
      <c r="E23" s="63">
        <f>IF(AND(ISNUMBER(C23),ISNUMBER(D23)),D23-C23,"")</f>
        <v/>
      </c>
      <c r="F23" s="62">
        <f>IF(A23="","",IFERROR(IF(INDEX(2_Participantes!$E$6:$E$305,MATCH(A23,2_Participantes!$A$6:$A$305,0))="","",INDEX(2_Participantes!$E$6:$E$305,MATCH(A23,2_Participantes!$A$6:$A$305,0))),""))</f>
        <v/>
      </c>
      <c r="G23" s="61">
        <f>IF(A23="","",IFERROR(IF(INDEX(2_Participantes!$F$6:$F$305,MATCH(A23,2_Participantes!$A$6:$A$305,0))="","",INDEX(2_Participantes!$F$6:$F$305,MATCH(A23,2_Participantes!$A$6:$A$305,0))),"No registrado"))</f>
        <v/>
      </c>
      <c r="H23" s="84">
        <f>IF(A23="","",IFERROR(IF(INDEX(2_Participantes!$L$6:$L$305,MATCH(A23,2_Participantes!$A$6:$A$305,0))="","",INDEX(2_Participantes!$L$6:$L$305,MATCH(A23,2_Participantes!$A$6:$A$305,0))),""))</f>
        <v/>
      </c>
      <c r="I23" s="62">
        <f>IF(A23="","",IF(AND(ISNUMBER(C23),ISNUMBER(D23),G23&lt;&gt;"Excluido"),1,0))</f>
        <v/>
      </c>
      <c r="J23" s="76">
        <f>IF(A23="","",IF(G23="No registrado","Código ausente en 2_Participantes",IF(AND(ISNUMBER(D23),NOT(ISNUMBER(C23))),"Postest sin pretest (huérfano)",IF(OR(AND(ISNUMBER(C23),OR(C23&lt;Inicio!$C$18,C23&gt;Inicio!$C$19)),AND(ISNUMBER(D23),OR(D23&lt;Inicio!$C$18,D23&gt;Inicio!$C$19))),"Fuera de rango",IF(COUNTIF($A$6:$A$305,A23)&gt;1,"Código duplicado","OK")))))</f>
        <v/>
      </c>
    </row>
    <row r="24" ht="36" customHeight="1" s="42">
      <c r="A24" s="71" t="inlineStr">
        <is>
          <t>GU-TDH-023</t>
        </is>
      </c>
      <c r="B24" s="61">
        <f>IF(A24="","",IFERROR(IF(INDEX(2_Participantes!$B$6:$B$305,MATCH(A24,2_Participantes!$A$6:$A$305,0))="","",INDEX(2_Participantes!$B$6:$B$305,MATCH(A24,2_Participantes!$A$6:$A$305,0))),"No registrado"))</f>
        <v/>
      </c>
      <c r="C24" s="83" t="n">
        <v>50</v>
      </c>
      <c r="D24" s="83" t="n">
        <v>65</v>
      </c>
      <c r="E24" s="63">
        <f>IF(AND(ISNUMBER(C24),ISNUMBER(D24)),D24-C24,"")</f>
        <v/>
      </c>
      <c r="F24" s="62">
        <f>IF(A24="","",IFERROR(IF(INDEX(2_Participantes!$E$6:$E$305,MATCH(A24,2_Participantes!$A$6:$A$305,0))="","",INDEX(2_Participantes!$E$6:$E$305,MATCH(A24,2_Participantes!$A$6:$A$305,0))),""))</f>
        <v/>
      </c>
      <c r="G24" s="61">
        <f>IF(A24="","",IFERROR(IF(INDEX(2_Participantes!$F$6:$F$305,MATCH(A24,2_Participantes!$A$6:$A$305,0))="","",INDEX(2_Participantes!$F$6:$F$305,MATCH(A24,2_Participantes!$A$6:$A$305,0))),"No registrado"))</f>
        <v/>
      </c>
      <c r="H24" s="84">
        <f>IF(A24="","",IFERROR(IF(INDEX(2_Participantes!$L$6:$L$305,MATCH(A24,2_Participantes!$A$6:$A$305,0))="","",INDEX(2_Participantes!$L$6:$L$305,MATCH(A24,2_Participantes!$A$6:$A$305,0))),""))</f>
        <v/>
      </c>
      <c r="I24" s="62">
        <f>IF(A24="","",IF(AND(ISNUMBER(C24),ISNUMBER(D24),G24&lt;&gt;"Excluido"),1,0))</f>
        <v/>
      </c>
      <c r="J24" s="76">
        <f>IF(A24="","",IF(G24="No registrado","Código ausente en 2_Participantes",IF(AND(ISNUMBER(D24),NOT(ISNUMBER(C24))),"Postest sin pretest (huérfano)",IF(OR(AND(ISNUMBER(C24),OR(C24&lt;Inicio!$C$18,C24&gt;Inicio!$C$19)),AND(ISNUMBER(D24),OR(D24&lt;Inicio!$C$18,D24&gt;Inicio!$C$19))),"Fuera de rango",IF(COUNTIF($A$6:$A$305,A24)&gt;1,"Código duplicado","OK")))))</f>
        <v/>
      </c>
      <c r="L24" s="59" t="inlineStr">
        <is>
          <t>Grupo</t>
        </is>
      </c>
      <c r="M24" s="59" t="inlineStr">
        <is>
          <t>Media VD_PRE de retirados</t>
        </is>
      </c>
      <c r="N24" s="59" t="inlineStr">
        <is>
          <t>Media VD_PRE de quienes completaron</t>
        </is>
      </c>
      <c r="O24" s="59" t="inlineStr">
        <is>
          <t>Diferencia</t>
        </is>
      </c>
    </row>
    <row r="25" ht="15" customHeight="1" s="42">
      <c r="A25" s="71" t="inlineStr">
        <is>
          <t>GU-TDH-024</t>
        </is>
      </c>
      <c r="B25" s="61">
        <f>IF(A25="","",IFERROR(IF(INDEX(2_Participantes!$B$6:$B$305,MATCH(A25,2_Participantes!$A$6:$A$305,0))="","",INDEX(2_Participantes!$B$6:$B$305,MATCH(A25,2_Participantes!$A$6:$A$305,0))),"No registrado"))</f>
        <v/>
      </c>
      <c r="C25" s="83" t="n">
        <v>57.5</v>
      </c>
      <c r="D25" s="83" t="n">
        <v>67.5</v>
      </c>
      <c r="E25" s="63">
        <f>IF(AND(ISNUMBER(C25),ISNUMBER(D25)),D25-C25,"")</f>
        <v/>
      </c>
      <c r="F25" s="62">
        <f>IF(A25="","",IFERROR(IF(INDEX(2_Participantes!$E$6:$E$305,MATCH(A25,2_Participantes!$A$6:$A$305,0))="","",INDEX(2_Participantes!$E$6:$E$305,MATCH(A25,2_Participantes!$A$6:$A$305,0))),""))</f>
        <v/>
      </c>
      <c r="G25" s="61">
        <f>IF(A25="","",IFERROR(IF(INDEX(2_Participantes!$F$6:$F$305,MATCH(A25,2_Participantes!$A$6:$A$305,0))="","",INDEX(2_Participantes!$F$6:$F$305,MATCH(A25,2_Participantes!$A$6:$A$305,0))),"No registrado"))</f>
        <v/>
      </c>
      <c r="H25" s="84">
        <f>IF(A25="","",IFERROR(IF(INDEX(2_Participantes!$L$6:$L$305,MATCH(A25,2_Participantes!$A$6:$A$305,0))="","",INDEX(2_Participantes!$L$6:$L$305,MATCH(A25,2_Participantes!$A$6:$A$305,0))),""))</f>
        <v/>
      </c>
      <c r="I25" s="62">
        <f>IF(A25="","",IF(AND(ISNUMBER(C25),ISNUMBER(D25),G25&lt;&gt;"Excluido"),1,0))</f>
        <v/>
      </c>
      <c r="J25" s="76">
        <f>IF(A25="","",IF(G25="No registrado","Código ausente en 2_Participantes",IF(AND(ISNUMBER(D25),NOT(ISNUMBER(C25))),"Postest sin pretest (huérfano)",IF(OR(AND(ISNUMBER(C25),OR(C25&lt;Inicio!$C$18,C25&gt;Inicio!$C$19)),AND(ISNUMBER(D25),OR(D25&lt;Inicio!$C$18,D25&gt;Inicio!$C$19))),"Fuera de rango",IF(COUNTIF($A$6:$A$305,A25)&gt;1,"Código duplicado","OK")))))</f>
        <v/>
      </c>
      <c r="L25" s="85" t="inlineStr">
        <is>
          <t>GE</t>
        </is>
      </c>
      <c r="M25" s="86">
        <f>IFERROR(AVERAGEIFS(C6:C305,B6:B305,"GE",G6:G305,"Retirado"),"")</f>
        <v/>
      </c>
      <c r="N25" s="86">
        <f>IFERROR(AVERAGEIFS(C6:C305,B6:B305,"GE",G6:G305,"Activo"),"")</f>
        <v/>
      </c>
      <c r="O25" s="87">
        <f>IF(OR(M25="",N25=""),"",M25-N25)</f>
        <v/>
      </c>
    </row>
    <row r="26" ht="15" customHeight="1" s="42">
      <c r="A26" s="71" t="inlineStr">
        <is>
          <t>GU-TDH-025</t>
        </is>
      </c>
      <c r="B26" s="61">
        <f>IF(A26="","",IFERROR(IF(INDEX(2_Participantes!$B$6:$B$305,MATCH(A26,2_Participantes!$A$6:$A$305,0))="","",INDEX(2_Participantes!$B$6:$B$305,MATCH(A26,2_Participantes!$A$6:$A$305,0))),"No registrado"))</f>
        <v/>
      </c>
      <c r="C26" s="83" t="n">
        <v>62.5</v>
      </c>
      <c r="D26" s="83" t="n">
        <v>85</v>
      </c>
      <c r="E26" s="63">
        <f>IF(AND(ISNUMBER(C26),ISNUMBER(D26)),D26-C26,"")</f>
        <v/>
      </c>
      <c r="F26" s="62">
        <f>IF(A26="","",IFERROR(IF(INDEX(2_Participantes!$E$6:$E$305,MATCH(A26,2_Participantes!$A$6:$A$305,0))="","",INDEX(2_Participantes!$E$6:$E$305,MATCH(A26,2_Participantes!$A$6:$A$305,0))),""))</f>
        <v/>
      </c>
      <c r="G26" s="61">
        <f>IF(A26="","",IFERROR(IF(INDEX(2_Participantes!$F$6:$F$305,MATCH(A26,2_Participantes!$A$6:$A$305,0))="","",INDEX(2_Participantes!$F$6:$F$305,MATCH(A26,2_Participantes!$A$6:$A$305,0))),"No registrado"))</f>
        <v/>
      </c>
      <c r="H26" s="84">
        <f>IF(A26="","",IFERROR(IF(INDEX(2_Participantes!$L$6:$L$305,MATCH(A26,2_Participantes!$A$6:$A$305,0))="","",INDEX(2_Participantes!$L$6:$L$305,MATCH(A26,2_Participantes!$A$6:$A$305,0))),""))</f>
        <v/>
      </c>
      <c r="I26" s="62">
        <f>IF(A26="","",IF(AND(ISNUMBER(C26),ISNUMBER(D26),G26&lt;&gt;"Excluido"),1,0))</f>
        <v/>
      </c>
      <c r="J26" s="76">
        <f>IF(A26="","",IF(G26="No registrado","Código ausente en 2_Participantes",IF(AND(ISNUMBER(D26),NOT(ISNUMBER(C26))),"Postest sin pretest (huérfano)",IF(OR(AND(ISNUMBER(C26),OR(C26&lt;Inicio!$C$18,C26&gt;Inicio!$C$19)),AND(ISNUMBER(D26),OR(D26&lt;Inicio!$C$18,D26&gt;Inicio!$C$19))),"Fuera de rango",IF(COUNTIF($A$6:$A$305,A26)&gt;1,"Código duplicado","OK")))))</f>
        <v/>
      </c>
      <c r="L26" s="85" t="inlineStr">
        <is>
          <t>GC</t>
        </is>
      </c>
      <c r="M26" s="86">
        <f>IFERROR(AVERAGEIFS(C6:C305,B6:B305,"GC",G6:G305,"Retirado"),"")</f>
        <v/>
      </c>
      <c r="N26" s="86">
        <f>IFERROR(AVERAGEIFS(C6:C305,B6:B305,"GC",G6:G305,"Activo"),"")</f>
        <v/>
      </c>
      <c r="O26" s="87">
        <f>IF(OR(M26="",N26=""),"",M26-N26)</f>
        <v/>
      </c>
    </row>
    <row r="27" ht="15" customHeight="1" s="42">
      <c r="A27" s="71" t="inlineStr">
        <is>
          <t>GU-TDH-026</t>
        </is>
      </c>
      <c r="B27" s="61">
        <f>IF(A27="","",IFERROR(IF(INDEX(2_Participantes!$B$6:$B$305,MATCH(A27,2_Participantes!$A$6:$A$305,0))="","",INDEX(2_Participantes!$B$6:$B$305,MATCH(A27,2_Participantes!$A$6:$A$305,0))),"No registrado"))</f>
        <v/>
      </c>
      <c r="C27" s="83" t="n">
        <v>55</v>
      </c>
      <c r="D27" s="83" t="n">
        <v>72.5</v>
      </c>
      <c r="E27" s="63">
        <f>IF(AND(ISNUMBER(C27),ISNUMBER(D27)),D27-C27,"")</f>
        <v/>
      </c>
      <c r="F27" s="62">
        <f>IF(A27="","",IFERROR(IF(INDEX(2_Participantes!$E$6:$E$305,MATCH(A27,2_Participantes!$A$6:$A$305,0))="","",INDEX(2_Participantes!$E$6:$E$305,MATCH(A27,2_Participantes!$A$6:$A$305,0))),""))</f>
        <v/>
      </c>
      <c r="G27" s="61">
        <f>IF(A27="","",IFERROR(IF(INDEX(2_Participantes!$F$6:$F$305,MATCH(A27,2_Participantes!$A$6:$A$305,0))="","",INDEX(2_Participantes!$F$6:$F$305,MATCH(A27,2_Participantes!$A$6:$A$305,0))),"No registrado"))</f>
        <v/>
      </c>
      <c r="H27" s="84">
        <f>IF(A27="","",IFERROR(IF(INDEX(2_Participantes!$L$6:$L$305,MATCH(A27,2_Participantes!$A$6:$A$305,0))="","",INDEX(2_Participantes!$L$6:$L$305,MATCH(A27,2_Participantes!$A$6:$A$305,0))),""))</f>
        <v/>
      </c>
      <c r="I27" s="62">
        <f>IF(A27="","",IF(AND(ISNUMBER(C27),ISNUMBER(D27),G27&lt;&gt;"Excluido"),1,0))</f>
        <v/>
      </c>
      <c r="J27" s="76">
        <f>IF(A27="","",IF(G27="No registrado","Código ausente en 2_Participantes",IF(AND(ISNUMBER(D27),NOT(ISNUMBER(C27))),"Postest sin pretest (huérfano)",IF(OR(AND(ISNUMBER(C27),OR(C27&lt;Inicio!$C$18,C27&gt;Inicio!$C$19)),AND(ISNUMBER(D27),OR(D27&lt;Inicio!$C$18,D27&gt;Inicio!$C$19))),"Fuera de rango",IF(COUNTIF($A$6:$A$305,A27)&gt;1,"Código duplicado","OK")))))</f>
        <v/>
      </c>
      <c r="L27" s="85" t="inlineStr">
        <is>
          <t>G</t>
        </is>
      </c>
      <c r="M27" s="86">
        <f>IFERROR(AVERAGEIFS(C6:C305,B6:B305,"G",G6:G305,"Retirado"),"")</f>
        <v/>
      </c>
      <c r="N27" s="86">
        <f>IFERROR(AVERAGEIFS(C6:C305,B6:B305,"G",G6:G305,"Activo"),"")</f>
        <v/>
      </c>
      <c r="O27" s="87">
        <f>IF(OR(M27="",N27=""),"",M27-N27)</f>
        <v/>
      </c>
    </row>
    <row r="28" ht="15" customHeight="1" s="42">
      <c r="A28" s="71" t="inlineStr">
        <is>
          <t>GU-TDH-027</t>
        </is>
      </c>
      <c r="B28" s="61">
        <f>IF(A28="","",IFERROR(IF(INDEX(2_Participantes!$B$6:$B$305,MATCH(A28,2_Participantes!$A$6:$A$305,0))="","",INDEX(2_Participantes!$B$6:$B$305,MATCH(A28,2_Participantes!$A$6:$A$305,0))),"No registrado"))</f>
        <v/>
      </c>
      <c r="C28" s="83" t="n">
        <v>45</v>
      </c>
      <c r="D28" s="83" t="n">
        <v>60</v>
      </c>
      <c r="E28" s="63">
        <f>IF(AND(ISNUMBER(C28),ISNUMBER(D28)),D28-C28,"")</f>
        <v/>
      </c>
      <c r="F28" s="62">
        <f>IF(A28="","",IFERROR(IF(INDEX(2_Participantes!$E$6:$E$305,MATCH(A28,2_Participantes!$A$6:$A$305,0))="","",INDEX(2_Participantes!$E$6:$E$305,MATCH(A28,2_Participantes!$A$6:$A$305,0))),""))</f>
        <v/>
      </c>
      <c r="G28" s="61">
        <f>IF(A28="","",IFERROR(IF(INDEX(2_Participantes!$F$6:$F$305,MATCH(A28,2_Participantes!$A$6:$A$305,0))="","",INDEX(2_Participantes!$F$6:$F$305,MATCH(A28,2_Participantes!$A$6:$A$305,0))),"No registrado"))</f>
        <v/>
      </c>
      <c r="H28" s="84">
        <f>IF(A28="","",IFERROR(IF(INDEX(2_Participantes!$L$6:$L$305,MATCH(A28,2_Participantes!$A$6:$A$305,0))="","",INDEX(2_Participantes!$L$6:$L$305,MATCH(A28,2_Participantes!$A$6:$A$305,0))),""))</f>
        <v/>
      </c>
      <c r="I28" s="62">
        <f>IF(A28="","",IF(AND(ISNUMBER(C28),ISNUMBER(D28),G28&lt;&gt;"Excluido"),1,0))</f>
        <v/>
      </c>
      <c r="J28" s="76">
        <f>IF(A28="","",IF(G28="No registrado","Código ausente en 2_Participantes",IF(AND(ISNUMBER(D28),NOT(ISNUMBER(C28))),"Postest sin pretest (huérfano)",IF(OR(AND(ISNUMBER(C28),OR(C28&lt;Inicio!$C$18,C28&gt;Inicio!$C$19)),AND(ISNUMBER(D28),OR(D28&lt;Inicio!$C$18,D28&gt;Inicio!$C$19))),"Fuera de rango",IF(COUNTIF($A$6:$A$305,A28)&gt;1,"Código duplicado","OK")))))</f>
        <v/>
      </c>
    </row>
    <row r="29" ht="15" customHeight="1" s="42">
      <c r="A29" s="71" t="inlineStr">
        <is>
          <t>GU-TDH-028</t>
        </is>
      </c>
      <c r="B29" s="61">
        <f>IF(A29="","",IFERROR(IF(INDEX(2_Participantes!$B$6:$B$305,MATCH(A29,2_Participantes!$A$6:$A$305,0))="","",INDEX(2_Participantes!$B$6:$B$305,MATCH(A29,2_Participantes!$A$6:$A$305,0))),"No registrado"))</f>
        <v/>
      </c>
      <c r="C29" s="83" t="n">
        <v>52.5</v>
      </c>
      <c r="D29" s="83" t="n">
        <v>72.5</v>
      </c>
      <c r="E29" s="63">
        <f>IF(AND(ISNUMBER(C29),ISNUMBER(D29)),D29-C29,"")</f>
        <v/>
      </c>
      <c r="F29" s="62">
        <f>IF(A29="","",IFERROR(IF(INDEX(2_Participantes!$E$6:$E$305,MATCH(A29,2_Participantes!$A$6:$A$305,0))="","",INDEX(2_Participantes!$E$6:$E$305,MATCH(A29,2_Participantes!$A$6:$A$305,0))),""))</f>
        <v/>
      </c>
      <c r="G29" s="61">
        <f>IF(A29="","",IFERROR(IF(INDEX(2_Participantes!$F$6:$F$305,MATCH(A29,2_Participantes!$A$6:$A$305,0))="","",INDEX(2_Participantes!$F$6:$F$305,MATCH(A29,2_Participantes!$A$6:$A$305,0))),"No registrado"))</f>
        <v/>
      </c>
      <c r="H29" s="84">
        <f>IF(A29="","",IFERROR(IF(INDEX(2_Participantes!$L$6:$L$305,MATCH(A29,2_Participantes!$A$6:$A$305,0))="","",INDEX(2_Participantes!$L$6:$L$305,MATCH(A29,2_Participantes!$A$6:$A$305,0))),""))</f>
        <v/>
      </c>
      <c r="I29" s="62">
        <f>IF(A29="","",IF(AND(ISNUMBER(C29),ISNUMBER(D29),G29&lt;&gt;"Excluido"),1,0))</f>
        <v/>
      </c>
      <c r="J29" s="76">
        <f>IF(A29="","",IF(G29="No registrado","Código ausente en 2_Participantes",IF(AND(ISNUMBER(D29),NOT(ISNUMBER(C29))),"Postest sin pretest (huérfano)",IF(OR(AND(ISNUMBER(C29),OR(C29&lt;Inicio!$C$18,C29&gt;Inicio!$C$19)),AND(ISNUMBER(D29),OR(D29&lt;Inicio!$C$18,D29&gt;Inicio!$C$19))),"Fuera de rango",IF(COUNTIF($A$6:$A$305,A29)&gt;1,"Código duplicado","OK")))))</f>
        <v/>
      </c>
    </row>
    <row r="30" ht="15" customHeight="1" s="42">
      <c r="A30" s="71" t="inlineStr">
        <is>
          <t>GU-TDH-029</t>
        </is>
      </c>
      <c r="B30" s="61">
        <f>IF(A30="","",IFERROR(IF(INDEX(2_Participantes!$B$6:$B$305,MATCH(A30,2_Participantes!$A$6:$A$305,0))="","",INDEX(2_Participantes!$B$6:$B$305,MATCH(A30,2_Participantes!$A$6:$A$305,0))),"No registrado"))</f>
        <v/>
      </c>
      <c r="C30" s="83" t="n">
        <v>57.5</v>
      </c>
      <c r="D30" s="83" t="n">
        <v>72.5</v>
      </c>
      <c r="E30" s="63">
        <f>IF(AND(ISNUMBER(C30),ISNUMBER(D30)),D30-C30,"")</f>
        <v/>
      </c>
      <c r="F30" s="62">
        <f>IF(A30="","",IFERROR(IF(INDEX(2_Participantes!$E$6:$E$305,MATCH(A30,2_Participantes!$A$6:$A$305,0))="","",INDEX(2_Participantes!$E$6:$E$305,MATCH(A30,2_Participantes!$A$6:$A$305,0))),""))</f>
        <v/>
      </c>
      <c r="G30" s="61">
        <f>IF(A30="","",IFERROR(IF(INDEX(2_Participantes!$F$6:$F$305,MATCH(A30,2_Participantes!$A$6:$A$305,0))="","",INDEX(2_Participantes!$F$6:$F$305,MATCH(A30,2_Participantes!$A$6:$A$305,0))),"No registrado"))</f>
        <v/>
      </c>
      <c r="H30" s="84">
        <f>IF(A30="","",IFERROR(IF(INDEX(2_Participantes!$L$6:$L$305,MATCH(A30,2_Participantes!$A$6:$A$305,0))="","",INDEX(2_Participantes!$L$6:$L$305,MATCH(A30,2_Participantes!$A$6:$A$305,0))),""))</f>
        <v/>
      </c>
      <c r="I30" s="62">
        <f>IF(A30="","",IF(AND(ISNUMBER(C30),ISNUMBER(D30),G30&lt;&gt;"Excluido"),1,0))</f>
        <v/>
      </c>
      <c r="J30" s="76">
        <f>IF(A30="","",IF(G30="No registrado","Código ausente en 2_Participantes",IF(AND(ISNUMBER(D30),NOT(ISNUMBER(C30))),"Postest sin pretest (huérfano)",IF(OR(AND(ISNUMBER(C30),OR(C30&lt;Inicio!$C$18,C30&gt;Inicio!$C$19)),AND(ISNUMBER(D30),OR(D30&lt;Inicio!$C$18,D30&gt;Inicio!$C$19))),"Fuera de rango",IF(COUNTIF($A$6:$A$305,A30)&gt;1,"Código duplicado","OK")))))</f>
        <v/>
      </c>
    </row>
    <row r="31" ht="15" customHeight="1" s="42">
      <c r="A31" s="71" t="inlineStr">
        <is>
          <t>GU-TDH-030</t>
        </is>
      </c>
      <c r="B31" s="61">
        <f>IF(A31="","",IFERROR(IF(INDEX(2_Participantes!$B$6:$B$305,MATCH(A31,2_Participantes!$A$6:$A$305,0))="","",INDEX(2_Participantes!$B$6:$B$305,MATCH(A31,2_Participantes!$A$6:$A$305,0))),"No registrado"))</f>
        <v/>
      </c>
      <c r="C31" s="83" t="n">
        <v>60</v>
      </c>
      <c r="D31" s="83" t="n">
        <v>85</v>
      </c>
      <c r="E31" s="63">
        <f>IF(AND(ISNUMBER(C31),ISNUMBER(D31)),D31-C31,"")</f>
        <v/>
      </c>
      <c r="F31" s="62">
        <f>IF(A31="","",IFERROR(IF(INDEX(2_Participantes!$E$6:$E$305,MATCH(A31,2_Participantes!$A$6:$A$305,0))="","",INDEX(2_Participantes!$E$6:$E$305,MATCH(A31,2_Participantes!$A$6:$A$305,0))),""))</f>
        <v/>
      </c>
      <c r="G31" s="61">
        <f>IF(A31="","",IFERROR(IF(INDEX(2_Participantes!$F$6:$F$305,MATCH(A31,2_Participantes!$A$6:$A$305,0))="","",INDEX(2_Participantes!$F$6:$F$305,MATCH(A31,2_Participantes!$A$6:$A$305,0))),"No registrado"))</f>
        <v/>
      </c>
      <c r="H31" s="84">
        <f>IF(A31="","",IFERROR(IF(INDEX(2_Participantes!$L$6:$L$305,MATCH(A31,2_Participantes!$A$6:$A$305,0))="","",INDEX(2_Participantes!$L$6:$L$305,MATCH(A31,2_Participantes!$A$6:$A$305,0))),""))</f>
        <v/>
      </c>
      <c r="I31" s="62">
        <f>IF(A31="","",IF(AND(ISNUMBER(C31),ISNUMBER(D31),G31&lt;&gt;"Excluido"),1,0))</f>
        <v/>
      </c>
      <c r="J31" s="76">
        <f>IF(A31="","",IF(G31="No registrado","Código ausente en 2_Participantes",IF(AND(ISNUMBER(D31),NOT(ISNUMBER(C31))),"Postest sin pretest (huérfano)",IF(OR(AND(ISNUMBER(C31),OR(C31&lt;Inicio!$C$18,C31&gt;Inicio!$C$19)),AND(ISNUMBER(D31),OR(D31&lt;Inicio!$C$18,D31&gt;Inicio!$C$19))),"Fuera de rango",IF(COUNTIF($A$6:$A$305,A31)&gt;1,"Código duplicado","OK")))))</f>
        <v/>
      </c>
    </row>
    <row r="32" ht="15" customHeight="1" s="42">
      <c r="A32" s="71" t="inlineStr">
        <is>
          <t>GU-TDH-032</t>
        </is>
      </c>
      <c r="B32" s="61">
        <f>IF(A32="","",IFERROR(IF(INDEX(2_Participantes!$B$6:$B$305,MATCH(A32,2_Participantes!$A$6:$A$305,0))="","",INDEX(2_Participantes!$B$6:$B$305,MATCH(A32,2_Participantes!$A$6:$A$305,0))),"No registrado"))</f>
        <v/>
      </c>
      <c r="C32" s="83" t="n">
        <v>77.5</v>
      </c>
      <c r="D32" s="83" t="n">
        <v>90</v>
      </c>
      <c r="E32" s="63">
        <f>IF(AND(ISNUMBER(C32),ISNUMBER(D32)),D32-C32,"")</f>
        <v/>
      </c>
      <c r="F32" s="62">
        <f>IF(A32="","",IFERROR(IF(INDEX(2_Participantes!$E$6:$E$305,MATCH(A32,2_Participantes!$A$6:$A$305,0))="","",INDEX(2_Participantes!$E$6:$E$305,MATCH(A32,2_Participantes!$A$6:$A$305,0))),""))</f>
        <v/>
      </c>
      <c r="G32" s="61">
        <f>IF(A32="","",IFERROR(IF(INDEX(2_Participantes!$F$6:$F$305,MATCH(A32,2_Participantes!$A$6:$A$305,0))="","",INDEX(2_Participantes!$F$6:$F$305,MATCH(A32,2_Participantes!$A$6:$A$305,0))),"No registrado"))</f>
        <v/>
      </c>
      <c r="H32" s="84">
        <f>IF(A32="","",IFERROR(IF(INDEX(2_Participantes!$L$6:$L$305,MATCH(A32,2_Participantes!$A$6:$A$305,0))="","",INDEX(2_Participantes!$L$6:$L$305,MATCH(A32,2_Participantes!$A$6:$A$305,0))),""))</f>
        <v/>
      </c>
      <c r="I32" s="62">
        <f>IF(A32="","",IF(AND(ISNUMBER(C32),ISNUMBER(D32),G32&lt;&gt;"Excluido"),1,0))</f>
        <v/>
      </c>
      <c r="J32" s="76">
        <f>IF(A32="","",IF(G32="No registrado","Código ausente en 2_Participantes",IF(AND(ISNUMBER(D32),NOT(ISNUMBER(C32))),"Postest sin pretest (huérfano)",IF(OR(AND(ISNUMBER(C32),OR(C32&lt;Inicio!$C$18,C32&gt;Inicio!$C$19)),AND(ISNUMBER(D32),OR(D32&lt;Inicio!$C$18,D32&gt;Inicio!$C$19))),"Fuera de rango",IF(COUNTIF($A$6:$A$305,A32)&gt;1,"Código duplicado","OK")))))</f>
        <v/>
      </c>
    </row>
    <row r="33" ht="15" customHeight="1" s="42">
      <c r="A33" s="71" t="inlineStr">
        <is>
          <t>GU-TDH-033</t>
        </is>
      </c>
      <c r="B33" s="61">
        <f>IF(A33="","",IFERROR(IF(INDEX(2_Participantes!$B$6:$B$305,MATCH(A33,2_Participantes!$A$6:$A$305,0))="","",INDEX(2_Participantes!$B$6:$B$305,MATCH(A33,2_Participantes!$A$6:$A$305,0))),"No registrado"))</f>
        <v/>
      </c>
      <c r="C33" s="83" t="n">
        <v>67.5</v>
      </c>
      <c r="D33" s="52" t="n"/>
      <c r="E33" s="63">
        <f>IF(AND(ISNUMBER(C33),ISNUMBER(D33)),D33-C33,"")</f>
        <v/>
      </c>
      <c r="F33" s="62">
        <f>IF(A33="","",IFERROR(IF(INDEX(2_Participantes!$E$6:$E$305,MATCH(A33,2_Participantes!$A$6:$A$305,0))="","",INDEX(2_Participantes!$E$6:$E$305,MATCH(A33,2_Participantes!$A$6:$A$305,0))),""))</f>
        <v/>
      </c>
      <c r="G33" s="61">
        <f>IF(A33="","",IFERROR(IF(INDEX(2_Participantes!$F$6:$F$305,MATCH(A33,2_Participantes!$A$6:$A$305,0))="","",INDEX(2_Participantes!$F$6:$F$305,MATCH(A33,2_Participantes!$A$6:$A$305,0))),"No registrado"))</f>
        <v/>
      </c>
      <c r="H33" s="84">
        <f>IF(A33="","",IFERROR(IF(INDEX(2_Participantes!$L$6:$L$305,MATCH(A33,2_Participantes!$A$6:$A$305,0))="","",INDEX(2_Participantes!$L$6:$L$305,MATCH(A33,2_Participantes!$A$6:$A$305,0))),""))</f>
        <v/>
      </c>
      <c r="I33" s="62">
        <f>IF(A33="","",IF(AND(ISNUMBER(C33),ISNUMBER(D33),G33&lt;&gt;"Excluido"),1,0))</f>
        <v/>
      </c>
      <c r="J33" s="76">
        <f>IF(A33="","",IF(G33="No registrado","Código ausente en 2_Participantes",IF(AND(ISNUMBER(D33),NOT(ISNUMBER(C33))),"Postest sin pretest (huérfano)",IF(OR(AND(ISNUMBER(C33),OR(C33&lt;Inicio!$C$18,C33&gt;Inicio!$C$19)),AND(ISNUMBER(D33),OR(D33&lt;Inicio!$C$18,D33&gt;Inicio!$C$19))),"Fuera de rango",IF(COUNTIF($A$6:$A$305,A33)&gt;1,"Código duplicado","OK")))))</f>
        <v/>
      </c>
    </row>
    <row r="34" ht="15" customHeight="1" s="42">
      <c r="A34" s="71" t="inlineStr">
        <is>
          <t>GU-TDH-034</t>
        </is>
      </c>
      <c r="B34" s="61">
        <f>IF(A34="","",IFERROR(IF(INDEX(2_Participantes!$B$6:$B$305,MATCH(A34,2_Participantes!$A$6:$A$305,0))="","",INDEX(2_Participantes!$B$6:$B$305,MATCH(A34,2_Participantes!$A$6:$A$305,0))),"No registrado"))</f>
        <v/>
      </c>
      <c r="C34" s="83" t="n">
        <v>57.5</v>
      </c>
      <c r="D34" s="83" t="n">
        <v>77.5</v>
      </c>
      <c r="E34" s="63">
        <f>IF(AND(ISNUMBER(C34),ISNUMBER(D34)),D34-C34,"")</f>
        <v/>
      </c>
      <c r="F34" s="62">
        <f>IF(A34="","",IFERROR(IF(INDEX(2_Participantes!$E$6:$E$305,MATCH(A34,2_Participantes!$A$6:$A$305,0))="","",INDEX(2_Participantes!$E$6:$E$305,MATCH(A34,2_Participantes!$A$6:$A$305,0))),""))</f>
        <v/>
      </c>
      <c r="G34" s="61">
        <f>IF(A34="","",IFERROR(IF(INDEX(2_Participantes!$F$6:$F$305,MATCH(A34,2_Participantes!$A$6:$A$305,0))="","",INDEX(2_Participantes!$F$6:$F$305,MATCH(A34,2_Participantes!$A$6:$A$305,0))),"No registrado"))</f>
        <v/>
      </c>
      <c r="H34" s="84">
        <f>IF(A34="","",IFERROR(IF(INDEX(2_Participantes!$L$6:$L$305,MATCH(A34,2_Participantes!$A$6:$A$305,0))="","",INDEX(2_Participantes!$L$6:$L$305,MATCH(A34,2_Participantes!$A$6:$A$305,0))),""))</f>
        <v/>
      </c>
      <c r="I34" s="62">
        <f>IF(A34="","",IF(AND(ISNUMBER(C34),ISNUMBER(D34),G34&lt;&gt;"Excluido"),1,0))</f>
        <v/>
      </c>
      <c r="J34" s="76">
        <f>IF(A34="","",IF(G34="No registrado","Código ausente en 2_Participantes",IF(AND(ISNUMBER(D34),NOT(ISNUMBER(C34))),"Postest sin pretest (huérfano)",IF(OR(AND(ISNUMBER(C34),OR(C34&lt;Inicio!$C$18,C34&gt;Inicio!$C$19)),AND(ISNUMBER(D34),OR(D34&lt;Inicio!$C$18,D34&gt;Inicio!$C$19))),"Fuera de rango",IF(COUNTIF($A$6:$A$305,A34)&gt;1,"Código duplicado","OK")))))</f>
        <v/>
      </c>
    </row>
    <row r="35" ht="15" customHeight="1" s="42">
      <c r="A35" s="71" t="inlineStr">
        <is>
          <t>GU-TDH-035</t>
        </is>
      </c>
      <c r="B35" s="61">
        <f>IF(A35="","",IFERROR(IF(INDEX(2_Participantes!$B$6:$B$305,MATCH(A35,2_Participantes!$A$6:$A$305,0))="","",INDEX(2_Participantes!$B$6:$B$305,MATCH(A35,2_Participantes!$A$6:$A$305,0))),"No registrado"))</f>
        <v/>
      </c>
      <c r="C35" s="83" t="n">
        <v>37.5</v>
      </c>
      <c r="D35" s="83" t="n">
        <v>60</v>
      </c>
      <c r="E35" s="63">
        <f>IF(AND(ISNUMBER(C35),ISNUMBER(D35)),D35-C35,"")</f>
        <v/>
      </c>
      <c r="F35" s="62">
        <f>IF(A35="","",IFERROR(IF(INDEX(2_Participantes!$E$6:$E$305,MATCH(A35,2_Participantes!$A$6:$A$305,0))="","",INDEX(2_Participantes!$E$6:$E$305,MATCH(A35,2_Participantes!$A$6:$A$305,0))),""))</f>
        <v/>
      </c>
      <c r="G35" s="61">
        <f>IF(A35="","",IFERROR(IF(INDEX(2_Participantes!$F$6:$F$305,MATCH(A35,2_Participantes!$A$6:$A$305,0))="","",INDEX(2_Participantes!$F$6:$F$305,MATCH(A35,2_Participantes!$A$6:$A$305,0))),"No registrado"))</f>
        <v/>
      </c>
      <c r="H35" s="84">
        <f>IF(A35="","",IFERROR(IF(INDEX(2_Participantes!$L$6:$L$305,MATCH(A35,2_Participantes!$A$6:$A$305,0))="","",INDEX(2_Participantes!$L$6:$L$305,MATCH(A35,2_Participantes!$A$6:$A$305,0))),""))</f>
        <v/>
      </c>
      <c r="I35" s="62">
        <f>IF(A35="","",IF(AND(ISNUMBER(C35),ISNUMBER(D35),G35&lt;&gt;"Excluido"),1,0))</f>
        <v/>
      </c>
      <c r="J35" s="76">
        <f>IF(A35="","",IF(G35="No registrado","Código ausente en 2_Participantes",IF(AND(ISNUMBER(D35),NOT(ISNUMBER(C35))),"Postest sin pretest (huérfano)",IF(OR(AND(ISNUMBER(C35),OR(C35&lt;Inicio!$C$18,C35&gt;Inicio!$C$19)),AND(ISNUMBER(D35),OR(D35&lt;Inicio!$C$18,D35&gt;Inicio!$C$19))),"Fuera de rango",IF(COUNTIF($A$6:$A$305,A35)&gt;1,"Código duplicado","OK")))))</f>
        <v/>
      </c>
    </row>
    <row r="36" ht="15" customHeight="1" s="42">
      <c r="A36" s="71" t="inlineStr">
        <is>
          <t>GU-TDH-036</t>
        </is>
      </c>
      <c r="B36" s="61">
        <f>IF(A36="","",IFERROR(IF(INDEX(2_Participantes!$B$6:$B$305,MATCH(A36,2_Participantes!$A$6:$A$305,0))="","",INDEX(2_Participantes!$B$6:$B$305,MATCH(A36,2_Participantes!$A$6:$A$305,0))),"No registrado"))</f>
        <v/>
      </c>
      <c r="C36" s="83" t="n">
        <v>50</v>
      </c>
      <c r="D36" s="83" t="n">
        <v>75</v>
      </c>
      <c r="E36" s="63">
        <f>IF(AND(ISNUMBER(C36),ISNUMBER(D36)),D36-C36,"")</f>
        <v/>
      </c>
      <c r="F36" s="62">
        <f>IF(A36="","",IFERROR(IF(INDEX(2_Participantes!$E$6:$E$305,MATCH(A36,2_Participantes!$A$6:$A$305,0))="","",INDEX(2_Participantes!$E$6:$E$305,MATCH(A36,2_Participantes!$A$6:$A$305,0))),""))</f>
        <v/>
      </c>
      <c r="G36" s="61">
        <f>IF(A36="","",IFERROR(IF(INDEX(2_Participantes!$F$6:$F$305,MATCH(A36,2_Participantes!$A$6:$A$305,0))="","",INDEX(2_Participantes!$F$6:$F$305,MATCH(A36,2_Participantes!$A$6:$A$305,0))),"No registrado"))</f>
        <v/>
      </c>
      <c r="H36" s="84">
        <f>IF(A36="","",IFERROR(IF(INDEX(2_Participantes!$L$6:$L$305,MATCH(A36,2_Participantes!$A$6:$A$305,0))="","",INDEX(2_Participantes!$L$6:$L$305,MATCH(A36,2_Participantes!$A$6:$A$305,0))),""))</f>
        <v/>
      </c>
      <c r="I36" s="62">
        <f>IF(A36="","",IF(AND(ISNUMBER(C36),ISNUMBER(D36),G36&lt;&gt;"Excluido"),1,0))</f>
        <v/>
      </c>
      <c r="J36" s="76">
        <f>IF(A36="","",IF(G36="No registrado","Código ausente en 2_Participantes",IF(AND(ISNUMBER(D36),NOT(ISNUMBER(C36))),"Postest sin pretest (huérfano)",IF(OR(AND(ISNUMBER(C36),OR(C36&lt;Inicio!$C$18,C36&gt;Inicio!$C$19)),AND(ISNUMBER(D36),OR(D36&lt;Inicio!$C$18,D36&gt;Inicio!$C$19))),"Fuera de rango",IF(COUNTIF($A$6:$A$305,A36)&gt;1,"Código duplicado","OK")))))</f>
        <v/>
      </c>
    </row>
    <row r="37" ht="15" customHeight="1" s="42">
      <c r="A37" s="71" t="inlineStr">
        <is>
          <t>GU-TDH-038</t>
        </is>
      </c>
      <c r="B37" s="61">
        <f>IF(A37="","",IFERROR(IF(INDEX(2_Participantes!$B$6:$B$305,MATCH(A37,2_Participantes!$A$6:$A$305,0))="","",INDEX(2_Participantes!$B$6:$B$305,MATCH(A37,2_Participantes!$A$6:$A$305,0))),"No registrado"))</f>
        <v/>
      </c>
      <c r="C37" s="83" t="n">
        <v>62.5</v>
      </c>
      <c r="D37" s="83" t="n">
        <v>77.5</v>
      </c>
      <c r="E37" s="63">
        <f>IF(AND(ISNUMBER(C37),ISNUMBER(D37)),D37-C37,"")</f>
        <v/>
      </c>
      <c r="F37" s="62">
        <f>IF(A37="","",IFERROR(IF(INDEX(2_Participantes!$E$6:$E$305,MATCH(A37,2_Participantes!$A$6:$A$305,0))="","",INDEX(2_Participantes!$E$6:$E$305,MATCH(A37,2_Participantes!$A$6:$A$305,0))),""))</f>
        <v/>
      </c>
      <c r="G37" s="61">
        <f>IF(A37="","",IFERROR(IF(INDEX(2_Participantes!$F$6:$F$305,MATCH(A37,2_Participantes!$A$6:$A$305,0))="","",INDEX(2_Participantes!$F$6:$F$305,MATCH(A37,2_Participantes!$A$6:$A$305,0))),"No registrado"))</f>
        <v/>
      </c>
      <c r="H37" s="84">
        <f>IF(A37="","",IFERROR(IF(INDEX(2_Participantes!$L$6:$L$305,MATCH(A37,2_Participantes!$A$6:$A$305,0))="","",INDEX(2_Participantes!$L$6:$L$305,MATCH(A37,2_Participantes!$A$6:$A$305,0))),""))</f>
        <v/>
      </c>
      <c r="I37" s="62">
        <f>IF(A37="","",IF(AND(ISNUMBER(C37),ISNUMBER(D37),G37&lt;&gt;"Excluido"),1,0))</f>
        <v/>
      </c>
      <c r="J37" s="76">
        <f>IF(A37="","",IF(G37="No registrado","Código ausente en 2_Participantes",IF(AND(ISNUMBER(D37),NOT(ISNUMBER(C37))),"Postest sin pretest (huérfano)",IF(OR(AND(ISNUMBER(C37),OR(C37&lt;Inicio!$C$18,C37&gt;Inicio!$C$19)),AND(ISNUMBER(D37),OR(D37&lt;Inicio!$C$18,D37&gt;Inicio!$C$19))),"Fuera de rango",IF(COUNTIF($A$6:$A$305,A37)&gt;1,"Código duplicado","OK")))))</f>
        <v/>
      </c>
    </row>
    <row r="38" ht="15" customHeight="1" s="42">
      <c r="A38" s="71" t="inlineStr">
        <is>
          <t>GU-TDH-039</t>
        </is>
      </c>
      <c r="B38" s="61">
        <f>IF(A38="","",IFERROR(IF(INDEX(2_Participantes!$B$6:$B$305,MATCH(A38,2_Participantes!$A$6:$A$305,0))="","",INDEX(2_Participantes!$B$6:$B$305,MATCH(A38,2_Participantes!$A$6:$A$305,0))),"No registrado"))</f>
        <v/>
      </c>
      <c r="C38" s="83" t="n">
        <v>35</v>
      </c>
      <c r="D38" s="83" t="n">
        <v>55</v>
      </c>
      <c r="E38" s="63">
        <f>IF(AND(ISNUMBER(C38),ISNUMBER(D38)),D38-C38,"")</f>
        <v/>
      </c>
      <c r="F38" s="62">
        <f>IF(A38="","",IFERROR(IF(INDEX(2_Participantes!$E$6:$E$305,MATCH(A38,2_Participantes!$A$6:$A$305,0))="","",INDEX(2_Participantes!$E$6:$E$305,MATCH(A38,2_Participantes!$A$6:$A$305,0))),""))</f>
        <v/>
      </c>
      <c r="G38" s="61">
        <f>IF(A38="","",IFERROR(IF(INDEX(2_Participantes!$F$6:$F$305,MATCH(A38,2_Participantes!$A$6:$A$305,0))="","",INDEX(2_Participantes!$F$6:$F$305,MATCH(A38,2_Participantes!$A$6:$A$305,0))),"No registrado"))</f>
        <v/>
      </c>
      <c r="H38" s="84">
        <f>IF(A38="","",IFERROR(IF(INDEX(2_Participantes!$L$6:$L$305,MATCH(A38,2_Participantes!$A$6:$A$305,0))="","",INDEX(2_Participantes!$L$6:$L$305,MATCH(A38,2_Participantes!$A$6:$A$305,0))),""))</f>
        <v/>
      </c>
      <c r="I38" s="62">
        <f>IF(A38="","",IF(AND(ISNUMBER(C38),ISNUMBER(D38),G38&lt;&gt;"Excluido"),1,0))</f>
        <v/>
      </c>
      <c r="J38" s="76">
        <f>IF(A38="","",IF(G38="No registrado","Código ausente en 2_Participantes",IF(AND(ISNUMBER(D38),NOT(ISNUMBER(C38))),"Postest sin pretest (huérfano)",IF(OR(AND(ISNUMBER(C38),OR(C38&lt;Inicio!$C$18,C38&gt;Inicio!$C$19)),AND(ISNUMBER(D38),OR(D38&lt;Inicio!$C$18,D38&gt;Inicio!$C$19))),"Fuera de rango",IF(COUNTIF($A$6:$A$305,A38)&gt;1,"Código duplicado","OK")))))</f>
        <v/>
      </c>
    </row>
    <row r="39" ht="15" customHeight="1" s="42">
      <c r="A39" s="71" t="inlineStr">
        <is>
          <t>GU-TDH-040</t>
        </is>
      </c>
      <c r="B39" s="61">
        <f>IF(A39="","",IFERROR(IF(INDEX(2_Participantes!$B$6:$B$305,MATCH(A39,2_Participantes!$A$6:$A$305,0))="","",INDEX(2_Participantes!$B$6:$B$305,MATCH(A39,2_Participantes!$A$6:$A$305,0))),"No registrado"))</f>
        <v/>
      </c>
      <c r="C39" s="83" t="n">
        <v>45</v>
      </c>
      <c r="D39" s="83" t="n">
        <v>62.5</v>
      </c>
      <c r="E39" s="63">
        <f>IF(AND(ISNUMBER(C39),ISNUMBER(D39)),D39-C39,"")</f>
        <v/>
      </c>
      <c r="F39" s="62">
        <f>IF(A39="","",IFERROR(IF(INDEX(2_Participantes!$E$6:$E$305,MATCH(A39,2_Participantes!$A$6:$A$305,0))="","",INDEX(2_Participantes!$E$6:$E$305,MATCH(A39,2_Participantes!$A$6:$A$305,0))),""))</f>
        <v/>
      </c>
      <c r="G39" s="61">
        <f>IF(A39="","",IFERROR(IF(INDEX(2_Participantes!$F$6:$F$305,MATCH(A39,2_Participantes!$A$6:$A$305,0))="","",INDEX(2_Participantes!$F$6:$F$305,MATCH(A39,2_Participantes!$A$6:$A$305,0))),"No registrado"))</f>
        <v/>
      </c>
      <c r="H39" s="84">
        <f>IF(A39="","",IFERROR(IF(INDEX(2_Participantes!$L$6:$L$305,MATCH(A39,2_Participantes!$A$6:$A$305,0))="","",INDEX(2_Participantes!$L$6:$L$305,MATCH(A39,2_Participantes!$A$6:$A$305,0))),""))</f>
        <v/>
      </c>
      <c r="I39" s="62">
        <f>IF(A39="","",IF(AND(ISNUMBER(C39),ISNUMBER(D39),G39&lt;&gt;"Excluido"),1,0))</f>
        <v/>
      </c>
      <c r="J39" s="76">
        <f>IF(A39="","",IF(G39="No registrado","Código ausente en 2_Participantes",IF(AND(ISNUMBER(D39),NOT(ISNUMBER(C39))),"Postest sin pretest (huérfano)",IF(OR(AND(ISNUMBER(C39),OR(C39&lt;Inicio!$C$18,C39&gt;Inicio!$C$19)),AND(ISNUMBER(D39),OR(D39&lt;Inicio!$C$18,D39&gt;Inicio!$C$19))),"Fuera de rango",IF(COUNTIF($A$6:$A$305,A39)&gt;1,"Código duplicado","OK")))))</f>
        <v/>
      </c>
    </row>
    <row r="40" ht="15" customHeight="1" s="42">
      <c r="A40" s="71" t="inlineStr">
        <is>
          <t>GU-TDH-041</t>
        </is>
      </c>
      <c r="B40" s="61">
        <f>IF(A40="","",IFERROR(IF(INDEX(2_Participantes!$B$6:$B$305,MATCH(A40,2_Participantes!$A$6:$A$305,0))="","",INDEX(2_Participantes!$B$6:$B$305,MATCH(A40,2_Participantes!$A$6:$A$305,0))),"No registrado"))</f>
        <v/>
      </c>
      <c r="C40" s="83" t="n">
        <v>67.5</v>
      </c>
      <c r="D40" s="83" t="n">
        <v>82.5</v>
      </c>
      <c r="E40" s="63">
        <f>IF(AND(ISNUMBER(C40),ISNUMBER(D40)),D40-C40,"")</f>
        <v/>
      </c>
      <c r="F40" s="62">
        <f>IF(A40="","",IFERROR(IF(INDEX(2_Participantes!$E$6:$E$305,MATCH(A40,2_Participantes!$A$6:$A$305,0))="","",INDEX(2_Participantes!$E$6:$E$305,MATCH(A40,2_Participantes!$A$6:$A$305,0))),""))</f>
        <v/>
      </c>
      <c r="G40" s="61">
        <f>IF(A40="","",IFERROR(IF(INDEX(2_Participantes!$F$6:$F$305,MATCH(A40,2_Participantes!$A$6:$A$305,0))="","",INDEX(2_Participantes!$F$6:$F$305,MATCH(A40,2_Participantes!$A$6:$A$305,0))),"No registrado"))</f>
        <v/>
      </c>
      <c r="H40" s="84">
        <f>IF(A40="","",IFERROR(IF(INDEX(2_Participantes!$L$6:$L$305,MATCH(A40,2_Participantes!$A$6:$A$305,0))="","",INDEX(2_Participantes!$L$6:$L$305,MATCH(A40,2_Participantes!$A$6:$A$305,0))),""))</f>
        <v/>
      </c>
      <c r="I40" s="62">
        <f>IF(A40="","",IF(AND(ISNUMBER(C40),ISNUMBER(D40),G40&lt;&gt;"Excluido"),1,0))</f>
        <v/>
      </c>
      <c r="J40" s="76">
        <f>IF(A40="","",IF(G40="No registrado","Código ausente en 2_Participantes",IF(AND(ISNUMBER(D40),NOT(ISNUMBER(C40))),"Postest sin pretest (huérfano)",IF(OR(AND(ISNUMBER(C40),OR(C40&lt;Inicio!$C$18,C40&gt;Inicio!$C$19)),AND(ISNUMBER(D40),OR(D40&lt;Inicio!$C$18,D40&gt;Inicio!$C$19))),"Fuera de rango",IF(COUNTIF($A$6:$A$305,A40)&gt;1,"Código duplicado","OK")))))</f>
        <v/>
      </c>
    </row>
    <row r="41" ht="15" customHeight="1" s="42">
      <c r="A41" s="71" t="inlineStr">
        <is>
          <t>GU-TDH-042</t>
        </is>
      </c>
      <c r="B41" s="61">
        <f>IF(A41="","",IFERROR(IF(INDEX(2_Participantes!$B$6:$B$305,MATCH(A41,2_Participantes!$A$6:$A$305,0))="","",INDEX(2_Participantes!$B$6:$B$305,MATCH(A41,2_Participantes!$A$6:$A$305,0))),"No registrado"))</f>
        <v/>
      </c>
      <c r="C41" s="83" t="n">
        <v>75</v>
      </c>
      <c r="D41" s="83" t="n">
        <v>85</v>
      </c>
      <c r="E41" s="63">
        <f>IF(AND(ISNUMBER(C41),ISNUMBER(D41)),D41-C41,"")</f>
        <v/>
      </c>
      <c r="F41" s="62">
        <f>IF(A41="","",IFERROR(IF(INDEX(2_Participantes!$E$6:$E$305,MATCH(A41,2_Participantes!$A$6:$A$305,0))="","",INDEX(2_Participantes!$E$6:$E$305,MATCH(A41,2_Participantes!$A$6:$A$305,0))),""))</f>
        <v/>
      </c>
      <c r="G41" s="61">
        <f>IF(A41="","",IFERROR(IF(INDEX(2_Participantes!$F$6:$F$305,MATCH(A41,2_Participantes!$A$6:$A$305,0))="","",INDEX(2_Participantes!$F$6:$F$305,MATCH(A41,2_Participantes!$A$6:$A$305,0))),"No registrado"))</f>
        <v/>
      </c>
      <c r="H41" s="84">
        <f>IF(A41="","",IFERROR(IF(INDEX(2_Participantes!$L$6:$L$305,MATCH(A41,2_Participantes!$A$6:$A$305,0))="","",INDEX(2_Participantes!$L$6:$L$305,MATCH(A41,2_Participantes!$A$6:$A$305,0))),""))</f>
        <v/>
      </c>
      <c r="I41" s="62">
        <f>IF(A41="","",IF(AND(ISNUMBER(C41),ISNUMBER(D41),G41&lt;&gt;"Excluido"),1,0))</f>
        <v/>
      </c>
      <c r="J41" s="76">
        <f>IF(A41="","",IF(G41="No registrado","Código ausente en 2_Participantes",IF(AND(ISNUMBER(D41),NOT(ISNUMBER(C41))),"Postest sin pretest (huérfano)",IF(OR(AND(ISNUMBER(C41),OR(C41&lt;Inicio!$C$18,C41&gt;Inicio!$C$19)),AND(ISNUMBER(D41),OR(D41&lt;Inicio!$C$18,D41&gt;Inicio!$C$19))),"Fuera de rango",IF(COUNTIF($A$6:$A$305,A41)&gt;1,"Código duplicado","OK")))))</f>
        <v/>
      </c>
    </row>
    <row r="42" ht="15" customHeight="1" s="42">
      <c r="A42" s="71" t="inlineStr">
        <is>
          <t>GU-TDH-043</t>
        </is>
      </c>
      <c r="B42" s="61">
        <f>IF(A42="","",IFERROR(IF(INDEX(2_Participantes!$B$6:$B$305,MATCH(A42,2_Participantes!$A$6:$A$305,0))="","",INDEX(2_Participantes!$B$6:$B$305,MATCH(A42,2_Participantes!$A$6:$A$305,0))),"No registrado"))</f>
        <v/>
      </c>
      <c r="C42" s="83" t="n">
        <v>32.5</v>
      </c>
      <c r="D42" s="83" t="n">
        <v>52.5</v>
      </c>
      <c r="E42" s="63">
        <f>IF(AND(ISNUMBER(C42),ISNUMBER(D42)),D42-C42,"")</f>
        <v/>
      </c>
      <c r="F42" s="62">
        <f>IF(A42="","",IFERROR(IF(INDEX(2_Participantes!$E$6:$E$305,MATCH(A42,2_Participantes!$A$6:$A$305,0))="","",INDEX(2_Participantes!$E$6:$E$305,MATCH(A42,2_Participantes!$A$6:$A$305,0))),""))</f>
        <v/>
      </c>
      <c r="G42" s="61">
        <f>IF(A42="","",IFERROR(IF(INDEX(2_Participantes!$F$6:$F$305,MATCH(A42,2_Participantes!$A$6:$A$305,0))="","",INDEX(2_Participantes!$F$6:$F$305,MATCH(A42,2_Participantes!$A$6:$A$305,0))),"No registrado"))</f>
        <v/>
      </c>
      <c r="H42" s="84">
        <f>IF(A42="","",IFERROR(IF(INDEX(2_Participantes!$L$6:$L$305,MATCH(A42,2_Participantes!$A$6:$A$305,0))="","",INDEX(2_Participantes!$L$6:$L$305,MATCH(A42,2_Participantes!$A$6:$A$305,0))),""))</f>
        <v/>
      </c>
      <c r="I42" s="62">
        <f>IF(A42="","",IF(AND(ISNUMBER(C42),ISNUMBER(D42),G42&lt;&gt;"Excluido"),1,0))</f>
        <v/>
      </c>
      <c r="J42" s="76">
        <f>IF(A42="","",IF(G42="No registrado","Código ausente en 2_Participantes",IF(AND(ISNUMBER(D42),NOT(ISNUMBER(C42))),"Postest sin pretest (huérfano)",IF(OR(AND(ISNUMBER(C42),OR(C42&lt;Inicio!$C$18,C42&gt;Inicio!$C$19)),AND(ISNUMBER(D42),OR(D42&lt;Inicio!$C$18,D42&gt;Inicio!$C$19))),"Fuera de rango",IF(COUNTIF($A$6:$A$305,A42)&gt;1,"Código duplicado","OK")))))</f>
        <v/>
      </c>
    </row>
    <row r="43" ht="15" customHeight="1" s="42">
      <c r="A43" s="71" t="inlineStr">
        <is>
          <t>GU-TDH-045</t>
        </is>
      </c>
      <c r="B43" s="61">
        <f>IF(A43="","",IFERROR(IF(INDEX(2_Participantes!$B$6:$B$305,MATCH(A43,2_Participantes!$A$6:$A$305,0))="","",INDEX(2_Participantes!$B$6:$B$305,MATCH(A43,2_Participantes!$A$6:$A$305,0))),"No registrado"))</f>
        <v/>
      </c>
      <c r="C43" s="83" t="n">
        <v>65</v>
      </c>
      <c r="D43" s="83" t="n">
        <v>75</v>
      </c>
      <c r="E43" s="63">
        <f>IF(AND(ISNUMBER(C43),ISNUMBER(D43)),D43-C43,"")</f>
        <v/>
      </c>
      <c r="F43" s="62">
        <f>IF(A43="","",IFERROR(IF(INDEX(2_Participantes!$E$6:$E$305,MATCH(A43,2_Participantes!$A$6:$A$305,0))="","",INDEX(2_Participantes!$E$6:$E$305,MATCH(A43,2_Participantes!$A$6:$A$305,0))),""))</f>
        <v/>
      </c>
      <c r="G43" s="61">
        <f>IF(A43="","",IFERROR(IF(INDEX(2_Participantes!$F$6:$F$305,MATCH(A43,2_Participantes!$A$6:$A$305,0))="","",INDEX(2_Participantes!$F$6:$F$305,MATCH(A43,2_Participantes!$A$6:$A$305,0))),"No registrado"))</f>
        <v/>
      </c>
      <c r="H43" s="84">
        <f>IF(A43="","",IFERROR(IF(INDEX(2_Participantes!$L$6:$L$305,MATCH(A43,2_Participantes!$A$6:$A$305,0))="","",INDEX(2_Participantes!$L$6:$L$305,MATCH(A43,2_Participantes!$A$6:$A$305,0))),""))</f>
        <v/>
      </c>
      <c r="I43" s="62">
        <f>IF(A43="","",IF(AND(ISNUMBER(C43),ISNUMBER(D43),G43&lt;&gt;"Excluido"),1,0))</f>
        <v/>
      </c>
      <c r="J43" s="76">
        <f>IF(A43="","",IF(G43="No registrado","Código ausente en 2_Participantes",IF(AND(ISNUMBER(D43),NOT(ISNUMBER(C43))),"Postest sin pretest (huérfano)",IF(OR(AND(ISNUMBER(C43),OR(C43&lt;Inicio!$C$18,C43&gt;Inicio!$C$19)),AND(ISNUMBER(D43),OR(D43&lt;Inicio!$C$18,D43&gt;Inicio!$C$19))),"Fuera de rango",IF(COUNTIF($A$6:$A$305,A43)&gt;1,"Código duplicado","OK")))))</f>
        <v/>
      </c>
    </row>
    <row r="44" ht="15" customHeight="1" s="42">
      <c r="A44" s="71" t="inlineStr">
        <is>
          <t>GU-TDH-047</t>
        </is>
      </c>
      <c r="B44" s="61">
        <f>IF(A44="","",IFERROR(IF(INDEX(2_Participantes!$B$6:$B$305,MATCH(A44,2_Participantes!$A$6:$A$305,0))="","",INDEX(2_Participantes!$B$6:$B$305,MATCH(A44,2_Participantes!$A$6:$A$305,0))),"No registrado"))</f>
        <v/>
      </c>
      <c r="C44" s="83" t="n">
        <v>30</v>
      </c>
      <c r="D44" s="83" t="n">
        <v>45</v>
      </c>
      <c r="E44" s="63">
        <f>IF(AND(ISNUMBER(C44),ISNUMBER(D44)),D44-C44,"")</f>
        <v/>
      </c>
      <c r="F44" s="62">
        <f>IF(A44="","",IFERROR(IF(INDEX(2_Participantes!$E$6:$E$305,MATCH(A44,2_Participantes!$A$6:$A$305,0))="","",INDEX(2_Participantes!$E$6:$E$305,MATCH(A44,2_Participantes!$A$6:$A$305,0))),""))</f>
        <v/>
      </c>
      <c r="G44" s="61">
        <f>IF(A44="","",IFERROR(IF(INDEX(2_Participantes!$F$6:$F$305,MATCH(A44,2_Participantes!$A$6:$A$305,0))="","",INDEX(2_Participantes!$F$6:$F$305,MATCH(A44,2_Participantes!$A$6:$A$305,0))),"No registrado"))</f>
        <v/>
      </c>
      <c r="H44" s="84">
        <f>IF(A44="","",IFERROR(IF(INDEX(2_Participantes!$L$6:$L$305,MATCH(A44,2_Participantes!$A$6:$A$305,0))="","",INDEX(2_Participantes!$L$6:$L$305,MATCH(A44,2_Participantes!$A$6:$A$305,0))),""))</f>
        <v/>
      </c>
      <c r="I44" s="62">
        <f>IF(A44="","",IF(AND(ISNUMBER(C44),ISNUMBER(D44),G44&lt;&gt;"Excluido"),1,0))</f>
        <v/>
      </c>
      <c r="J44" s="76">
        <f>IF(A44="","",IF(G44="No registrado","Código ausente en 2_Participantes",IF(AND(ISNUMBER(D44),NOT(ISNUMBER(C44))),"Postest sin pretest (huérfano)",IF(OR(AND(ISNUMBER(C44),OR(C44&lt;Inicio!$C$18,C44&gt;Inicio!$C$19)),AND(ISNUMBER(D44),OR(D44&lt;Inicio!$C$18,D44&gt;Inicio!$C$19))),"Fuera de rango",IF(COUNTIF($A$6:$A$305,A44)&gt;1,"Código duplicado","OK")))))</f>
        <v/>
      </c>
    </row>
    <row r="45" ht="15" customHeight="1" s="42">
      <c r="A45" s="71" t="inlineStr">
        <is>
          <t>GU-TDH-048</t>
        </is>
      </c>
      <c r="B45" s="61">
        <f>IF(A45="","",IFERROR(IF(INDEX(2_Participantes!$B$6:$B$305,MATCH(A45,2_Participantes!$A$6:$A$305,0))="","",INDEX(2_Participantes!$B$6:$B$305,MATCH(A45,2_Participantes!$A$6:$A$305,0))),"No registrado"))</f>
        <v/>
      </c>
      <c r="C45" s="83" t="n">
        <v>55</v>
      </c>
      <c r="D45" s="83" t="n">
        <v>72.5</v>
      </c>
      <c r="E45" s="63">
        <f>IF(AND(ISNUMBER(C45),ISNUMBER(D45)),D45-C45,"")</f>
        <v/>
      </c>
      <c r="F45" s="62">
        <f>IF(A45="","",IFERROR(IF(INDEX(2_Participantes!$E$6:$E$305,MATCH(A45,2_Participantes!$A$6:$A$305,0))="","",INDEX(2_Participantes!$E$6:$E$305,MATCH(A45,2_Participantes!$A$6:$A$305,0))),""))</f>
        <v/>
      </c>
      <c r="G45" s="61">
        <f>IF(A45="","",IFERROR(IF(INDEX(2_Participantes!$F$6:$F$305,MATCH(A45,2_Participantes!$A$6:$A$305,0))="","",INDEX(2_Participantes!$F$6:$F$305,MATCH(A45,2_Participantes!$A$6:$A$305,0))),"No registrado"))</f>
        <v/>
      </c>
      <c r="H45" s="84">
        <f>IF(A45="","",IFERROR(IF(INDEX(2_Participantes!$L$6:$L$305,MATCH(A45,2_Participantes!$A$6:$A$305,0))="","",INDEX(2_Participantes!$L$6:$L$305,MATCH(A45,2_Participantes!$A$6:$A$305,0))),""))</f>
        <v/>
      </c>
      <c r="I45" s="62">
        <f>IF(A45="","",IF(AND(ISNUMBER(C45),ISNUMBER(D45),G45&lt;&gt;"Excluido"),1,0))</f>
        <v/>
      </c>
      <c r="J45" s="76">
        <f>IF(A45="","",IF(G45="No registrado","Código ausente en 2_Participantes",IF(AND(ISNUMBER(D45),NOT(ISNUMBER(C45))),"Postest sin pretest (huérfano)",IF(OR(AND(ISNUMBER(C45),OR(C45&lt;Inicio!$C$18,C45&gt;Inicio!$C$19)),AND(ISNUMBER(D45),OR(D45&lt;Inicio!$C$18,D45&gt;Inicio!$C$19))),"Fuera de rango",IF(COUNTIF($A$6:$A$305,A45)&gt;1,"Código duplicado","OK")))))</f>
        <v/>
      </c>
    </row>
    <row r="46" ht="15" customHeight="1" s="42">
      <c r="A46" s="71" t="inlineStr">
        <is>
          <t>GU-TDH-049</t>
        </is>
      </c>
      <c r="B46" s="61">
        <f>IF(A46="","",IFERROR(IF(INDEX(2_Participantes!$B$6:$B$305,MATCH(A46,2_Participantes!$A$6:$A$305,0))="","",INDEX(2_Participantes!$B$6:$B$305,MATCH(A46,2_Participantes!$A$6:$A$305,0))),"No registrado"))</f>
        <v/>
      </c>
      <c r="C46" s="83" t="n">
        <v>45</v>
      </c>
      <c r="D46" s="83" t="n">
        <v>60</v>
      </c>
      <c r="E46" s="63">
        <f>IF(AND(ISNUMBER(C46),ISNUMBER(D46)),D46-C46,"")</f>
        <v/>
      </c>
      <c r="F46" s="62">
        <f>IF(A46="","",IFERROR(IF(INDEX(2_Participantes!$E$6:$E$305,MATCH(A46,2_Participantes!$A$6:$A$305,0))="","",INDEX(2_Participantes!$E$6:$E$305,MATCH(A46,2_Participantes!$A$6:$A$305,0))),""))</f>
        <v/>
      </c>
      <c r="G46" s="61">
        <f>IF(A46="","",IFERROR(IF(INDEX(2_Participantes!$F$6:$F$305,MATCH(A46,2_Participantes!$A$6:$A$305,0))="","",INDEX(2_Participantes!$F$6:$F$305,MATCH(A46,2_Participantes!$A$6:$A$305,0))),"No registrado"))</f>
        <v/>
      </c>
      <c r="H46" s="84">
        <f>IF(A46="","",IFERROR(IF(INDEX(2_Participantes!$L$6:$L$305,MATCH(A46,2_Participantes!$A$6:$A$305,0))="","",INDEX(2_Participantes!$L$6:$L$305,MATCH(A46,2_Participantes!$A$6:$A$305,0))),""))</f>
        <v/>
      </c>
      <c r="I46" s="62">
        <f>IF(A46="","",IF(AND(ISNUMBER(C46),ISNUMBER(D46),G46&lt;&gt;"Excluido"),1,0))</f>
        <v/>
      </c>
      <c r="J46" s="76">
        <f>IF(A46="","",IF(G46="No registrado","Código ausente en 2_Participantes",IF(AND(ISNUMBER(D46),NOT(ISNUMBER(C46))),"Postest sin pretest (huérfano)",IF(OR(AND(ISNUMBER(C46),OR(C46&lt;Inicio!$C$18,C46&gt;Inicio!$C$19)),AND(ISNUMBER(D46),OR(D46&lt;Inicio!$C$18,D46&gt;Inicio!$C$19))),"Fuera de rango",IF(COUNTIF($A$6:$A$305,A46)&gt;1,"Código duplicado","OK")))))</f>
        <v/>
      </c>
    </row>
    <row r="47" ht="15" customHeight="1" s="42">
      <c r="A47" s="71" t="inlineStr">
        <is>
          <t>GU-TDH-050</t>
        </is>
      </c>
      <c r="B47" s="61">
        <f>IF(A47="","",IFERROR(IF(INDEX(2_Participantes!$B$6:$B$305,MATCH(A47,2_Participantes!$A$6:$A$305,0))="","",INDEX(2_Participantes!$B$6:$B$305,MATCH(A47,2_Participantes!$A$6:$A$305,0))),"No registrado"))</f>
        <v/>
      </c>
      <c r="C47" s="83" t="n">
        <v>40</v>
      </c>
      <c r="D47" s="83" t="n">
        <v>47.5</v>
      </c>
      <c r="E47" s="63">
        <f>IF(AND(ISNUMBER(C47),ISNUMBER(D47)),D47-C47,"")</f>
        <v/>
      </c>
      <c r="F47" s="62">
        <f>IF(A47="","",IFERROR(IF(INDEX(2_Participantes!$E$6:$E$305,MATCH(A47,2_Participantes!$A$6:$A$305,0))="","",INDEX(2_Participantes!$E$6:$E$305,MATCH(A47,2_Participantes!$A$6:$A$305,0))),""))</f>
        <v/>
      </c>
      <c r="G47" s="61">
        <f>IF(A47="","",IFERROR(IF(INDEX(2_Participantes!$F$6:$F$305,MATCH(A47,2_Participantes!$A$6:$A$305,0))="","",INDEX(2_Participantes!$F$6:$F$305,MATCH(A47,2_Participantes!$A$6:$A$305,0))),"No registrado"))</f>
        <v/>
      </c>
      <c r="H47" s="84">
        <f>IF(A47="","",IFERROR(IF(INDEX(2_Participantes!$L$6:$L$305,MATCH(A47,2_Participantes!$A$6:$A$305,0))="","",INDEX(2_Participantes!$L$6:$L$305,MATCH(A47,2_Participantes!$A$6:$A$305,0))),""))</f>
        <v/>
      </c>
      <c r="I47" s="62">
        <f>IF(A47="","",IF(AND(ISNUMBER(C47),ISNUMBER(D47),G47&lt;&gt;"Excluido"),1,0))</f>
        <v/>
      </c>
      <c r="J47" s="76">
        <f>IF(A47="","",IF(G47="No registrado","Código ausente en 2_Participantes",IF(AND(ISNUMBER(D47),NOT(ISNUMBER(C47))),"Postest sin pretest (huérfano)",IF(OR(AND(ISNUMBER(C47),OR(C47&lt;Inicio!$C$18,C47&gt;Inicio!$C$19)),AND(ISNUMBER(D47),OR(D47&lt;Inicio!$C$18,D47&gt;Inicio!$C$19))),"Fuera de rango",IF(COUNTIF($A$6:$A$305,A47)&gt;1,"Código duplicado","OK")))))</f>
        <v/>
      </c>
    </row>
    <row r="48" ht="15" customHeight="1" s="42">
      <c r="A48" s="71" t="inlineStr">
        <is>
          <t>GU-TDH-051</t>
        </is>
      </c>
      <c r="B48" s="61">
        <f>IF(A48="","",IFERROR(IF(INDEX(2_Participantes!$B$6:$B$305,MATCH(A48,2_Participantes!$A$6:$A$305,0))="","",INDEX(2_Participantes!$B$6:$B$305,MATCH(A48,2_Participantes!$A$6:$A$305,0))),"No registrado"))</f>
        <v/>
      </c>
      <c r="C48" s="83" t="n">
        <v>62.5</v>
      </c>
      <c r="D48" s="83" t="n">
        <v>77.5</v>
      </c>
      <c r="E48" s="63">
        <f>IF(AND(ISNUMBER(C48),ISNUMBER(D48)),D48-C48,"")</f>
        <v/>
      </c>
      <c r="F48" s="62">
        <f>IF(A48="","",IFERROR(IF(INDEX(2_Participantes!$E$6:$E$305,MATCH(A48,2_Participantes!$A$6:$A$305,0))="","",INDEX(2_Participantes!$E$6:$E$305,MATCH(A48,2_Participantes!$A$6:$A$305,0))),""))</f>
        <v/>
      </c>
      <c r="G48" s="61">
        <f>IF(A48="","",IFERROR(IF(INDEX(2_Participantes!$F$6:$F$305,MATCH(A48,2_Participantes!$A$6:$A$305,0))="","",INDEX(2_Participantes!$F$6:$F$305,MATCH(A48,2_Participantes!$A$6:$A$305,0))),"No registrado"))</f>
        <v/>
      </c>
      <c r="H48" s="84">
        <f>IF(A48="","",IFERROR(IF(INDEX(2_Participantes!$L$6:$L$305,MATCH(A48,2_Participantes!$A$6:$A$305,0))="","",INDEX(2_Participantes!$L$6:$L$305,MATCH(A48,2_Participantes!$A$6:$A$305,0))),""))</f>
        <v/>
      </c>
      <c r="I48" s="62">
        <f>IF(A48="","",IF(AND(ISNUMBER(C48),ISNUMBER(D48),G48&lt;&gt;"Excluido"),1,0))</f>
        <v/>
      </c>
      <c r="J48" s="76">
        <f>IF(A48="","",IF(G48="No registrado","Código ausente en 2_Participantes",IF(AND(ISNUMBER(D48),NOT(ISNUMBER(C48))),"Postest sin pretest (huérfano)",IF(OR(AND(ISNUMBER(C48),OR(C48&lt;Inicio!$C$18,C48&gt;Inicio!$C$19)),AND(ISNUMBER(D48),OR(D48&lt;Inicio!$C$18,D48&gt;Inicio!$C$19))),"Fuera de rango",IF(COUNTIF($A$6:$A$305,A48)&gt;1,"Código duplicado","OK")))))</f>
        <v/>
      </c>
    </row>
    <row r="49" ht="15" customHeight="1" s="42">
      <c r="A49" s="71" t="inlineStr">
        <is>
          <t>GU-TDH-052</t>
        </is>
      </c>
      <c r="B49" s="61">
        <f>IF(A49="","",IFERROR(IF(INDEX(2_Participantes!$B$6:$B$305,MATCH(A49,2_Participantes!$A$6:$A$305,0))="","",INDEX(2_Participantes!$B$6:$B$305,MATCH(A49,2_Participantes!$A$6:$A$305,0))),"No registrado"))</f>
        <v/>
      </c>
      <c r="C49" s="83" t="n">
        <v>47.5</v>
      </c>
      <c r="D49" s="83" t="n">
        <v>67.5</v>
      </c>
      <c r="E49" s="63">
        <f>IF(AND(ISNUMBER(C49),ISNUMBER(D49)),D49-C49,"")</f>
        <v/>
      </c>
      <c r="F49" s="62">
        <f>IF(A49="","",IFERROR(IF(INDEX(2_Participantes!$E$6:$E$305,MATCH(A49,2_Participantes!$A$6:$A$305,0))="","",INDEX(2_Participantes!$E$6:$E$305,MATCH(A49,2_Participantes!$A$6:$A$305,0))),""))</f>
        <v/>
      </c>
      <c r="G49" s="61">
        <f>IF(A49="","",IFERROR(IF(INDEX(2_Participantes!$F$6:$F$305,MATCH(A49,2_Participantes!$A$6:$A$305,0))="","",INDEX(2_Participantes!$F$6:$F$305,MATCH(A49,2_Participantes!$A$6:$A$305,0))),"No registrado"))</f>
        <v/>
      </c>
      <c r="H49" s="84">
        <f>IF(A49="","",IFERROR(IF(INDEX(2_Participantes!$L$6:$L$305,MATCH(A49,2_Participantes!$A$6:$A$305,0))="","",INDEX(2_Participantes!$L$6:$L$305,MATCH(A49,2_Participantes!$A$6:$A$305,0))),""))</f>
        <v/>
      </c>
      <c r="I49" s="62">
        <f>IF(A49="","",IF(AND(ISNUMBER(C49),ISNUMBER(D49),G49&lt;&gt;"Excluido"),1,0))</f>
        <v/>
      </c>
      <c r="J49" s="76">
        <f>IF(A49="","",IF(G49="No registrado","Código ausente en 2_Participantes",IF(AND(ISNUMBER(D49),NOT(ISNUMBER(C49))),"Postest sin pretest (huérfano)",IF(OR(AND(ISNUMBER(C49),OR(C49&lt;Inicio!$C$18,C49&gt;Inicio!$C$19)),AND(ISNUMBER(D49),OR(D49&lt;Inicio!$C$18,D49&gt;Inicio!$C$19))),"Fuera de rango",IF(COUNTIF($A$6:$A$305,A49)&gt;1,"Código duplicado","OK")))))</f>
        <v/>
      </c>
    </row>
    <row r="50" ht="15" customHeight="1" s="42">
      <c r="A50" s="71" t="inlineStr">
        <is>
          <t>GU-TDH-053</t>
        </is>
      </c>
      <c r="B50" s="61">
        <f>IF(A50="","",IFERROR(IF(INDEX(2_Participantes!$B$6:$B$305,MATCH(A50,2_Participantes!$A$6:$A$305,0))="","",INDEX(2_Participantes!$B$6:$B$305,MATCH(A50,2_Participantes!$A$6:$A$305,0))),"No registrado"))</f>
        <v/>
      </c>
      <c r="C50" s="83" t="n">
        <v>62.5</v>
      </c>
      <c r="D50" s="52" t="n"/>
      <c r="E50" s="63">
        <f>IF(AND(ISNUMBER(C50),ISNUMBER(D50)),D50-C50,"")</f>
        <v/>
      </c>
      <c r="F50" s="62">
        <f>IF(A50="","",IFERROR(IF(INDEX(2_Participantes!$E$6:$E$305,MATCH(A50,2_Participantes!$A$6:$A$305,0))="","",INDEX(2_Participantes!$E$6:$E$305,MATCH(A50,2_Participantes!$A$6:$A$305,0))),""))</f>
        <v/>
      </c>
      <c r="G50" s="61">
        <f>IF(A50="","",IFERROR(IF(INDEX(2_Participantes!$F$6:$F$305,MATCH(A50,2_Participantes!$A$6:$A$305,0))="","",INDEX(2_Participantes!$F$6:$F$305,MATCH(A50,2_Participantes!$A$6:$A$305,0))),"No registrado"))</f>
        <v/>
      </c>
      <c r="H50" s="84">
        <f>IF(A50="","",IFERROR(IF(INDEX(2_Participantes!$L$6:$L$305,MATCH(A50,2_Participantes!$A$6:$A$305,0))="","",INDEX(2_Participantes!$L$6:$L$305,MATCH(A50,2_Participantes!$A$6:$A$305,0))),""))</f>
        <v/>
      </c>
      <c r="I50" s="62">
        <f>IF(A50="","",IF(AND(ISNUMBER(C50),ISNUMBER(D50),G50&lt;&gt;"Excluido"),1,0))</f>
        <v/>
      </c>
      <c r="J50" s="76">
        <f>IF(A50="","",IF(G50="No registrado","Código ausente en 2_Participantes",IF(AND(ISNUMBER(D50),NOT(ISNUMBER(C50))),"Postest sin pretest (huérfano)",IF(OR(AND(ISNUMBER(C50),OR(C50&lt;Inicio!$C$18,C50&gt;Inicio!$C$19)),AND(ISNUMBER(D50),OR(D50&lt;Inicio!$C$18,D50&gt;Inicio!$C$19))),"Fuera de rango",IF(COUNTIF($A$6:$A$305,A50)&gt;1,"Código duplicado","OK")))))</f>
        <v/>
      </c>
    </row>
    <row r="51" ht="15" customHeight="1" s="42">
      <c r="A51" s="71" t="inlineStr">
        <is>
          <t>GU-TDH-054</t>
        </is>
      </c>
      <c r="B51" s="61">
        <f>IF(A51="","",IFERROR(IF(INDEX(2_Participantes!$B$6:$B$305,MATCH(A51,2_Participantes!$A$6:$A$305,0))="","",INDEX(2_Participantes!$B$6:$B$305,MATCH(A51,2_Participantes!$A$6:$A$305,0))),"No registrado"))</f>
        <v/>
      </c>
      <c r="C51" s="83" t="n">
        <v>62.5</v>
      </c>
      <c r="D51" s="83" t="n">
        <v>82.5</v>
      </c>
      <c r="E51" s="63">
        <f>IF(AND(ISNUMBER(C51),ISNUMBER(D51)),D51-C51,"")</f>
        <v/>
      </c>
      <c r="F51" s="62">
        <f>IF(A51="","",IFERROR(IF(INDEX(2_Participantes!$E$6:$E$305,MATCH(A51,2_Participantes!$A$6:$A$305,0))="","",INDEX(2_Participantes!$E$6:$E$305,MATCH(A51,2_Participantes!$A$6:$A$305,0))),""))</f>
        <v/>
      </c>
      <c r="G51" s="61">
        <f>IF(A51="","",IFERROR(IF(INDEX(2_Participantes!$F$6:$F$305,MATCH(A51,2_Participantes!$A$6:$A$305,0))="","",INDEX(2_Participantes!$F$6:$F$305,MATCH(A51,2_Participantes!$A$6:$A$305,0))),"No registrado"))</f>
        <v/>
      </c>
      <c r="H51" s="84">
        <f>IF(A51="","",IFERROR(IF(INDEX(2_Participantes!$L$6:$L$305,MATCH(A51,2_Participantes!$A$6:$A$305,0))="","",INDEX(2_Participantes!$L$6:$L$305,MATCH(A51,2_Participantes!$A$6:$A$305,0))),""))</f>
        <v/>
      </c>
      <c r="I51" s="62">
        <f>IF(A51="","",IF(AND(ISNUMBER(C51),ISNUMBER(D51),G51&lt;&gt;"Excluido"),1,0))</f>
        <v/>
      </c>
      <c r="J51" s="76">
        <f>IF(A51="","",IF(G51="No registrado","Código ausente en 2_Participantes",IF(AND(ISNUMBER(D51),NOT(ISNUMBER(C51))),"Postest sin pretest (huérfano)",IF(OR(AND(ISNUMBER(C51),OR(C51&lt;Inicio!$C$18,C51&gt;Inicio!$C$19)),AND(ISNUMBER(D51),OR(D51&lt;Inicio!$C$18,D51&gt;Inicio!$C$19))),"Fuera de rango",IF(COUNTIF($A$6:$A$305,A51)&gt;1,"Código duplicado","OK")))))</f>
        <v/>
      </c>
    </row>
    <row r="52" ht="15" customHeight="1" s="42">
      <c r="A52" s="71" t="inlineStr">
        <is>
          <t>GU-TDH-056</t>
        </is>
      </c>
      <c r="B52" s="61">
        <f>IF(A52="","",IFERROR(IF(INDEX(2_Participantes!$B$6:$B$305,MATCH(A52,2_Participantes!$A$6:$A$305,0))="","",INDEX(2_Participantes!$B$6:$B$305,MATCH(A52,2_Participantes!$A$6:$A$305,0))),"No registrado"))</f>
        <v/>
      </c>
      <c r="C52" s="83" t="n">
        <v>45</v>
      </c>
      <c r="D52" s="83" t="n">
        <v>65</v>
      </c>
      <c r="E52" s="63">
        <f>IF(AND(ISNUMBER(C52),ISNUMBER(D52)),D52-C52,"")</f>
        <v/>
      </c>
      <c r="F52" s="62">
        <f>IF(A52="","",IFERROR(IF(INDEX(2_Participantes!$E$6:$E$305,MATCH(A52,2_Participantes!$A$6:$A$305,0))="","",INDEX(2_Participantes!$E$6:$E$305,MATCH(A52,2_Participantes!$A$6:$A$305,0))),""))</f>
        <v/>
      </c>
      <c r="G52" s="61">
        <f>IF(A52="","",IFERROR(IF(INDEX(2_Participantes!$F$6:$F$305,MATCH(A52,2_Participantes!$A$6:$A$305,0))="","",INDEX(2_Participantes!$F$6:$F$305,MATCH(A52,2_Participantes!$A$6:$A$305,0))),"No registrado"))</f>
        <v/>
      </c>
      <c r="H52" s="84">
        <f>IF(A52="","",IFERROR(IF(INDEX(2_Participantes!$L$6:$L$305,MATCH(A52,2_Participantes!$A$6:$A$305,0))="","",INDEX(2_Participantes!$L$6:$L$305,MATCH(A52,2_Participantes!$A$6:$A$305,0))),""))</f>
        <v/>
      </c>
      <c r="I52" s="62">
        <f>IF(A52="","",IF(AND(ISNUMBER(C52),ISNUMBER(D52),G52&lt;&gt;"Excluido"),1,0))</f>
        <v/>
      </c>
      <c r="J52" s="76">
        <f>IF(A52="","",IF(G52="No registrado","Código ausente en 2_Participantes",IF(AND(ISNUMBER(D52),NOT(ISNUMBER(C52))),"Postest sin pretest (huérfano)",IF(OR(AND(ISNUMBER(C52),OR(C52&lt;Inicio!$C$18,C52&gt;Inicio!$C$19)),AND(ISNUMBER(D52),OR(D52&lt;Inicio!$C$18,D52&gt;Inicio!$C$19))),"Fuera de rango",IF(COUNTIF($A$6:$A$305,A52)&gt;1,"Código duplicado","OK")))))</f>
        <v/>
      </c>
    </row>
    <row r="53" ht="15" customHeight="1" s="42">
      <c r="A53" s="71" t="inlineStr">
        <is>
          <t>GU-TDH-057</t>
        </is>
      </c>
      <c r="B53" s="61">
        <f>IF(A53="","",IFERROR(IF(INDEX(2_Participantes!$B$6:$B$305,MATCH(A53,2_Participantes!$A$6:$A$305,0))="","",INDEX(2_Participantes!$B$6:$B$305,MATCH(A53,2_Participantes!$A$6:$A$305,0))),"No registrado"))</f>
        <v/>
      </c>
      <c r="C53" s="83" t="n">
        <v>55</v>
      </c>
      <c r="D53" s="83" t="n">
        <v>75</v>
      </c>
      <c r="E53" s="63">
        <f>IF(AND(ISNUMBER(C53),ISNUMBER(D53)),D53-C53,"")</f>
        <v/>
      </c>
      <c r="F53" s="62">
        <f>IF(A53="","",IFERROR(IF(INDEX(2_Participantes!$E$6:$E$305,MATCH(A53,2_Participantes!$A$6:$A$305,0))="","",INDEX(2_Participantes!$E$6:$E$305,MATCH(A53,2_Participantes!$A$6:$A$305,0))),""))</f>
        <v/>
      </c>
      <c r="G53" s="61">
        <f>IF(A53="","",IFERROR(IF(INDEX(2_Participantes!$F$6:$F$305,MATCH(A53,2_Participantes!$A$6:$A$305,0))="","",INDEX(2_Participantes!$F$6:$F$305,MATCH(A53,2_Participantes!$A$6:$A$305,0))),"No registrado"))</f>
        <v/>
      </c>
      <c r="H53" s="84">
        <f>IF(A53="","",IFERROR(IF(INDEX(2_Participantes!$L$6:$L$305,MATCH(A53,2_Participantes!$A$6:$A$305,0))="","",INDEX(2_Participantes!$L$6:$L$305,MATCH(A53,2_Participantes!$A$6:$A$305,0))),""))</f>
        <v/>
      </c>
      <c r="I53" s="62">
        <f>IF(A53="","",IF(AND(ISNUMBER(C53),ISNUMBER(D53),G53&lt;&gt;"Excluido"),1,0))</f>
        <v/>
      </c>
      <c r="J53" s="76">
        <f>IF(A53="","",IF(G53="No registrado","Código ausente en 2_Participantes",IF(AND(ISNUMBER(D53),NOT(ISNUMBER(C53))),"Postest sin pretest (huérfano)",IF(OR(AND(ISNUMBER(C53),OR(C53&lt;Inicio!$C$18,C53&gt;Inicio!$C$19)),AND(ISNUMBER(D53),OR(D53&lt;Inicio!$C$18,D53&gt;Inicio!$C$19))),"Fuera de rango",IF(COUNTIF($A$6:$A$305,A53)&gt;1,"Código duplicado","OK")))))</f>
        <v/>
      </c>
    </row>
    <row r="54" ht="15" customHeight="1" s="42">
      <c r="A54" s="71" t="inlineStr">
        <is>
          <t>GU-TDH-058</t>
        </is>
      </c>
      <c r="B54" s="61">
        <f>IF(A54="","",IFERROR(IF(INDEX(2_Participantes!$B$6:$B$305,MATCH(A54,2_Participantes!$A$6:$A$305,0))="","",INDEX(2_Participantes!$B$6:$B$305,MATCH(A54,2_Participantes!$A$6:$A$305,0))),"No registrado"))</f>
        <v/>
      </c>
      <c r="C54" s="83" t="n">
        <v>80</v>
      </c>
      <c r="D54" s="83" t="n">
        <v>92.5</v>
      </c>
      <c r="E54" s="63">
        <f>IF(AND(ISNUMBER(C54),ISNUMBER(D54)),D54-C54,"")</f>
        <v/>
      </c>
      <c r="F54" s="62">
        <f>IF(A54="","",IFERROR(IF(INDEX(2_Participantes!$E$6:$E$305,MATCH(A54,2_Participantes!$A$6:$A$305,0))="","",INDEX(2_Participantes!$E$6:$E$305,MATCH(A54,2_Participantes!$A$6:$A$305,0))),""))</f>
        <v/>
      </c>
      <c r="G54" s="61">
        <f>IF(A54="","",IFERROR(IF(INDEX(2_Participantes!$F$6:$F$305,MATCH(A54,2_Participantes!$A$6:$A$305,0))="","",INDEX(2_Participantes!$F$6:$F$305,MATCH(A54,2_Participantes!$A$6:$A$305,0))),"No registrado"))</f>
        <v/>
      </c>
      <c r="H54" s="84">
        <f>IF(A54="","",IFERROR(IF(INDEX(2_Participantes!$L$6:$L$305,MATCH(A54,2_Participantes!$A$6:$A$305,0))="","",INDEX(2_Participantes!$L$6:$L$305,MATCH(A54,2_Participantes!$A$6:$A$305,0))),""))</f>
        <v/>
      </c>
      <c r="I54" s="62">
        <f>IF(A54="","",IF(AND(ISNUMBER(C54),ISNUMBER(D54),G54&lt;&gt;"Excluido"),1,0))</f>
        <v/>
      </c>
      <c r="J54" s="76">
        <f>IF(A54="","",IF(G54="No registrado","Código ausente en 2_Participantes",IF(AND(ISNUMBER(D54),NOT(ISNUMBER(C54))),"Postest sin pretest (huérfano)",IF(OR(AND(ISNUMBER(C54),OR(C54&lt;Inicio!$C$18,C54&gt;Inicio!$C$19)),AND(ISNUMBER(D54),OR(D54&lt;Inicio!$C$18,D54&gt;Inicio!$C$19))),"Fuera de rango",IF(COUNTIF($A$6:$A$305,A54)&gt;1,"Código duplicado","OK")))))</f>
        <v/>
      </c>
    </row>
    <row r="55" ht="15" customHeight="1" s="42">
      <c r="A55" s="71" t="inlineStr">
        <is>
          <t>GU-TDH-060</t>
        </is>
      </c>
      <c r="B55" s="61">
        <f>IF(A55="","",IFERROR(IF(INDEX(2_Participantes!$B$6:$B$305,MATCH(A55,2_Participantes!$A$6:$A$305,0))="","",INDEX(2_Participantes!$B$6:$B$305,MATCH(A55,2_Participantes!$A$6:$A$305,0))),"No registrado"))</f>
        <v/>
      </c>
      <c r="C55" s="83" t="n">
        <v>52.5</v>
      </c>
      <c r="D55" s="83" t="n">
        <v>67.5</v>
      </c>
      <c r="E55" s="63">
        <f>IF(AND(ISNUMBER(C55),ISNUMBER(D55)),D55-C55,"")</f>
        <v/>
      </c>
      <c r="F55" s="62">
        <f>IF(A55="","",IFERROR(IF(INDEX(2_Participantes!$E$6:$E$305,MATCH(A55,2_Participantes!$A$6:$A$305,0))="","",INDEX(2_Participantes!$E$6:$E$305,MATCH(A55,2_Participantes!$A$6:$A$305,0))),""))</f>
        <v/>
      </c>
      <c r="G55" s="61">
        <f>IF(A55="","",IFERROR(IF(INDEX(2_Participantes!$F$6:$F$305,MATCH(A55,2_Participantes!$A$6:$A$305,0))="","",INDEX(2_Participantes!$F$6:$F$305,MATCH(A55,2_Participantes!$A$6:$A$305,0))),"No registrado"))</f>
        <v/>
      </c>
      <c r="H55" s="84">
        <f>IF(A55="","",IFERROR(IF(INDEX(2_Participantes!$L$6:$L$305,MATCH(A55,2_Participantes!$A$6:$A$305,0))="","",INDEX(2_Participantes!$L$6:$L$305,MATCH(A55,2_Participantes!$A$6:$A$305,0))),""))</f>
        <v/>
      </c>
      <c r="I55" s="62">
        <f>IF(A55="","",IF(AND(ISNUMBER(C55),ISNUMBER(D55),G55&lt;&gt;"Excluido"),1,0))</f>
        <v/>
      </c>
      <c r="J55" s="76">
        <f>IF(A55="","",IF(G55="No registrado","Código ausente en 2_Participantes",IF(AND(ISNUMBER(D55),NOT(ISNUMBER(C55))),"Postest sin pretest (huérfano)",IF(OR(AND(ISNUMBER(C55),OR(C55&lt;Inicio!$C$18,C55&gt;Inicio!$C$19)),AND(ISNUMBER(D55),OR(D55&lt;Inicio!$C$18,D55&gt;Inicio!$C$19))),"Fuera de rango",IF(COUNTIF($A$6:$A$305,A55)&gt;1,"Código duplicado","OK")))))</f>
        <v/>
      </c>
    </row>
    <row r="56" ht="15" customHeight="1" s="42">
      <c r="A56" s="71" t="inlineStr">
        <is>
          <t>GU-TDH-061</t>
        </is>
      </c>
      <c r="B56" s="61">
        <f>IF(A56="","",IFERROR(IF(INDEX(2_Participantes!$B$6:$B$305,MATCH(A56,2_Participantes!$A$6:$A$305,0))="","",INDEX(2_Participantes!$B$6:$B$305,MATCH(A56,2_Participantes!$A$6:$A$305,0))),"No registrado"))</f>
        <v/>
      </c>
      <c r="C56" s="83" t="n">
        <v>55</v>
      </c>
      <c r="D56" s="83" t="n">
        <v>67.5</v>
      </c>
      <c r="E56" s="63">
        <f>IF(AND(ISNUMBER(C56),ISNUMBER(D56)),D56-C56,"")</f>
        <v/>
      </c>
      <c r="F56" s="62">
        <f>IF(A56="","",IFERROR(IF(INDEX(2_Participantes!$E$6:$E$305,MATCH(A56,2_Participantes!$A$6:$A$305,0))="","",INDEX(2_Participantes!$E$6:$E$305,MATCH(A56,2_Participantes!$A$6:$A$305,0))),""))</f>
        <v/>
      </c>
      <c r="G56" s="61">
        <f>IF(A56="","",IFERROR(IF(INDEX(2_Participantes!$F$6:$F$305,MATCH(A56,2_Participantes!$A$6:$A$305,0))="","",INDEX(2_Participantes!$F$6:$F$305,MATCH(A56,2_Participantes!$A$6:$A$305,0))),"No registrado"))</f>
        <v/>
      </c>
      <c r="H56" s="84">
        <f>IF(A56="","",IFERROR(IF(INDEX(2_Participantes!$L$6:$L$305,MATCH(A56,2_Participantes!$A$6:$A$305,0))="","",INDEX(2_Participantes!$L$6:$L$305,MATCH(A56,2_Participantes!$A$6:$A$305,0))),""))</f>
        <v/>
      </c>
      <c r="I56" s="62">
        <f>IF(A56="","",IF(AND(ISNUMBER(C56),ISNUMBER(D56),G56&lt;&gt;"Excluido"),1,0))</f>
        <v/>
      </c>
      <c r="J56" s="76">
        <f>IF(A56="","",IF(G56="No registrado","Código ausente en 2_Participantes",IF(AND(ISNUMBER(D56),NOT(ISNUMBER(C56))),"Postest sin pretest (huérfano)",IF(OR(AND(ISNUMBER(C56),OR(C56&lt;Inicio!$C$18,C56&gt;Inicio!$C$19)),AND(ISNUMBER(D56),OR(D56&lt;Inicio!$C$18,D56&gt;Inicio!$C$19))),"Fuera de rango",IF(COUNTIF($A$6:$A$305,A56)&gt;1,"Código duplicado","OK")))))</f>
        <v/>
      </c>
    </row>
    <row r="57" ht="15" customHeight="1" s="42">
      <c r="A57" s="71" t="inlineStr">
        <is>
          <t>GU-TDH-062</t>
        </is>
      </c>
      <c r="B57" s="61">
        <f>IF(A57="","",IFERROR(IF(INDEX(2_Participantes!$B$6:$B$305,MATCH(A57,2_Participantes!$A$6:$A$305,0))="","",INDEX(2_Participantes!$B$6:$B$305,MATCH(A57,2_Participantes!$A$6:$A$305,0))),"No registrado"))</f>
        <v/>
      </c>
      <c r="C57" s="83" t="n">
        <v>62.5</v>
      </c>
      <c r="D57" s="83" t="n">
        <v>70</v>
      </c>
      <c r="E57" s="63">
        <f>IF(AND(ISNUMBER(C57),ISNUMBER(D57)),D57-C57,"")</f>
        <v/>
      </c>
      <c r="F57" s="62">
        <f>IF(A57="","",IFERROR(IF(INDEX(2_Participantes!$E$6:$E$305,MATCH(A57,2_Participantes!$A$6:$A$305,0))="","",INDEX(2_Participantes!$E$6:$E$305,MATCH(A57,2_Participantes!$A$6:$A$305,0))),""))</f>
        <v/>
      </c>
      <c r="G57" s="61">
        <f>IF(A57="","",IFERROR(IF(INDEX(2_Participantes!$F$6:$F$305,MATCH(A57,2_Participantes!$A$6:$A$305,0))="","",INDEX(2_Participantes!$F$6:$F$305,MATCH(A57,2_Participantes!$A$6:$A$305,0))),"No registrado"))</f>
        <v/>
      </c>
      <c r="H57" s="84">
        <f>IF(A57="","",IFERROR(IF(INDEX(2_Participantes!$L$6:$L$305,MATCH(A57,2_Participantes!$A$6:$A$305,0))="","",INDEX(2_Participantes!$L$6:$L$305,MATCH(A57,2_Participantes!$A$6:$A$305,0))),""))</f>
        <v/>
      </c>
      <c r="I57" s="62">
        <f>IF(A57="","",IF(AND(ISNUMBER(C57),ISNUMBER(D57),G57&lt;&gt;"Excluido"),1,0))</f>
        <v/>
      </c>
      <c r="J57" s="76">
        <f>IF(A57="","",IF(G57="No registrado","Código ausente en 2_Participantes",IF(AND(ISNUMBER(D57),NOT(ISNUMBER(C57))),"Postest sin pretest (huérfano)",IF(OR(AND(ISNUMBER(C57),OR(C57&lt;Inicio!$C$18,C57&gt;Inicio!$C$19)),AND(ISNUMBER(D57),OR(D57&lt;Inicio!$C$18,D57&gt;Inicio!$C$19))),"Fuera de rango",IF(COUNTIF($A$6:$A$305,A57)&gt;1,"Código duplicado","OK")))))</f>
        <v/>
      </c>
    </row>
    <row r="58" ht="15" customHeight="1" s="42">
      <c r="A58" s="71" t="inlineStr">
        <is>
          <t>GU-TDH-063</t>
        </is>
      </c>
      <c r="B58" s="61">
        <f>IF(A58="","",IFERROR(IF(INDEX(2_Participantes!$B$6:$B$305,MATCH(A58,2_Participantes!$A$6:$A$305,0))="","",INDEX(2_Participantes!$B$6:$B$305,MATCH(A58,2_Participantes!$A$6:$A$305,0))),"No registrado"))</f>
        <v/>
      </c>
      <c r="C58" s="83" t="n">
        <v>47.5</v>
      </c>
      <c r="D58" s="83" t="n">
        <v>60</v>
      </c>
      <c r="E58" s="63">
        <f>IF(AND(ISNUMBER(C58),ISNUMBER(D58)),D58-C58,"")</f>
        <v/>
      </c>
      <c r="F58" s="62">
        <f>IF(A58="","",IFERROR(IF(INDEX(2_Participantes!$E$6:$E$305,MATCH(A58,2_Participantes!$A$6:$A$305,0))="","",INDEX(2_Participantes!$E$6:$E$305,MATCH(A58,2_Participantes!$A$6:$A$305,0))),""))</f>
        <v/>
      </c>
      <c r="G58" s="61">
        <f>IF(A58="","",IFERROR(IF(INDEX(2_Participantes!$F$6:$F$305,MATCH(A58,2_Participantes!$A$6:$A$305,0))="","",INDEX(2_Participantes!$F$6:$F$305,MATCH(A58,2_Participantes!$A$6:$A$305,0))),"No registrado"))</f>
        <v/>
      </c>
      <c r="H58" s="84">
        <f>IF(A58="","",IFERROR(IF(INDEX(2_Participantes!$L$6:$L$305,MATCH(A58,2_Participantes!$A$6:$A$305,0))="","",INDEX(2_Participantes!$L$6:$L$305,MATCH(A58,2_Participantes!$A$6:$A$305,0))),""))</f>
        <v/>
      </c>
      <c r="I58" s="62">
        <f>IF(A58="","",IF(AND(ISNUMBER(C58),ISNUMBER(D58),G58&lt;&gt;"Excluido"),1,0))</f>
        <v/>
      </c>
      <c r="J58" s="76">
        <f>IF(A58="","",IF(G58="No registrado","Código ausente en 2_Participantes",IF(AND(ISNUMBER(D58),NOT(ISNUMBER(C58))),"Postest sin pretest (huérfano)",IF(OR(AND(ISNUMBER(C58),OR(C58&lt;Inicio!$C$18,C58&gt;Inicio!$C$19)),AND(ISNUMBER(D58),OR(D58&lt;Inicio!$C$18,D58&gt;Inicio!$C$19))),"Fuera de rango",IF(COUNTIF($A$6:$A$305,A58)&gt;1,"Código duplicado","OK")))))</f>
        <v/>
      </c>
    </row>
    <row r="59" ht="15" customHeight="1" s="42">
      <c r="A59" s="71" t="inlineStr">
        <is>
          <t>GU-TDH-064</t>
        </is>
      </c>
      <c r="B59" s="61">
        <f>IF(A59="","",IFERROR(IF(INDEX(2_Participantes!$B$6:$B$305,MATCH(A59,2_Participantes!$A$6:$A$305,0))="","",INDEX(2_Participantes!$B$6:$B$305,MATCH(A59,2_Participantes!$A$6:$A$305,0))),"No registrado"))</f>
        <v/>
      </c>
      <c r="C59" s="83" t="n">
        <v>50</v>
      </c>
      <c r="D59" s="83" t="n">
        <v>65</v>
      </c>
      <c r="E59" s="63">
        <f>IF(AND(ISNUMBER(C59),ISNUMBER(D59)),D59-C59,"")</f>
        <v/>
      </c>
      <c r="F59" s="62">
        <f>IF(A59="","",IFERROR(IF(INDEX(2_Participantes!$E$6:$E$305,MATCH(A59,2_Participantes!$A$6:$A$305,0))="","",INDEX(2_Participantes!$E$6:$E$305,MATCH(A59,2_Participantes!$A$6:$A$305,0))),""))</f>
        <v/>
      </c>
      <c r="G59" s="61">
        <f>IF(A59="","",IFERROR(IF(INDEX(2_Participantes!$F$6:$F$305,MATCH(A59,2_Participantes!$A$6:$A$305,0))="","",INDEX(2_Participantes!$F$6:$F$305,MATCH(A59,2_Participantes!$A$6:$A$305,0))),"No registrado"))</f>
        <v/>
      </c>
      <c r="H59" s="84">
        <f>IF(A59="","",IFERROR(IF(INDEX(2_Participantes!$L$6:$L$305,MATCH(A59,2_Participantes!$A$6:$A$305,0))="","",INDEX(2_Participantes!$L$6:$L$305,MATCH(A59,2_Participantes!$A$6:$A$305,0))),""))</f>
        <v/>
      </c>
      <c r="I59" s="62">
        <f>IF(A59="","",IF(AND(ISNUMBER(C59),ISNUMBER(D59),G59&lt;&gt;"Excluido"),1,0))</f>
        <v/>
      </c>
      <c r="J59" s="76">
        <f>IF(A59="","",IF(G59="No registrado","Código ausente en 2_Participantes",IF(AND(ISNUMBER(D59),NOT(ISNUMBER(C59))),"Postest sin pretest (huérfano)",IF(OR(AND(ISNUMBER(C59),OR(C59&lt;Inicio!$C$18,C59&gt;Inicio!$C$19)),AND(ISNUMBER(D59),OR(D59&lt;Inicio!$C$18,D59&gt;Inicio!$C$19))),"Fuera de rango",IF(COUNTIF($A$6:$A$305,A59)&gt;1,"Código duplicado","OK")))))</f>
        <v/>
      </c>
    </row>
    <row r="60" ht="15" customHeight="1" s="42">
      <c r="A60" s="71" t="inlineStr">
        <is>
          <t>GU-TDH-065</t>
        </is>
      </c>
      <c r="B60" s="61">
        <f>IF(A60="","",IFERROR(IF(INDEX(2_Participantes!$B$6:$B$305,MATCH(A60,2_Participantes!$A$6:$A$305,0))="","",INDEX(2_Participantes!$B$6:$B$305,MATCH(A60,2_Participantes!$A$6:$A$305,0))),"No registrado"))</f>
        <v/>
      </c>
      <c r="C60" s="83" t="n">
        <v>72.5</v>
      </c>
      <c r="D60" s="83" t="n">
        <v>85</v>
      </c>
      <c r="E60" s="63">
        <f>IF(AND(ISNUMBER(C60),ISNUMBER(D60)),D60-C60,"")</f>
        <v/>
      </c>
      <c r="F60" s="62">
        <f>IF(A60="","",IFERROR(IF(INDEX(2_Participantes!$E$6:$E$305,MATCH(A60,2_Participantes!$A$6:$A$305,0))="","",INDEX(2_Participantes!$E$6:$E$305,MATCH(A60,2_Participantes!$A$6:$A$305,0))),""))</f>
        <v/>
      </c>
      <c r="G60" s="61">
        <f>IF(A60="","",IFERROR(IF(INDEX(2_Participantes!$F$6:$F$305,MATCH(A60,2_Participantes!$A$6:$A$305,0))="","",INDEX(2_Participantes!$F$6:$F$305,MATCH(A60,2_Participantes!$A$6:$A$305,0))),"No registrado"))</f>
        <v/>
      </c>
      <c r="H60" s="84">
        <f>IF(A60="","",IFERROR(IF(INDEX(2_Participantes!$L$6:$L$305,MATCH(A60,2_Participantes!$A$6:$A$305,0))="","",INDEX(2_Participantes!$L$6:$L$305,MATCH(A60,2_Participantes!$A$6:$A$305,0))),""))</f>
        <v/>
      </c>
      <c r="I60" s="62">
        <f>IF(A60="","",IF(AND(ISNUMBER(C60),ISNUMBER(D60),G60&lt;&gt;"Excluido"),1,0))</f>
        <v/>
      </c>
      <c r="J60" s="76">
        <f>IF(A60="","",IF(G60="No registrado","Código ausente en 2_Participantes",IF(AND(ISNUMBER(D60),NOT(ISNUMBER(C60))),"Postest sin pretest (huérfano)",IF(OR(AND(ISNUMBER(C60),OR(C60&lt;Inicio!$C$18,C60&gt;Inicio!$C$19)),AND(ISNUMBER(D60),OR(D60&lt;Inicio!$C$18,D60&gt;Inicio!$C$19))),"Fuera de rango",IF(COUNTIF($A$6:$A$305,A60)&gt;1,"Código duplicado","OK")))))</f>
        <v/>
      </c>
    </row>
    <row r="61" ht="15" customHeight="1" s="42">
      <c r="A61" s="71" t="inlineStr">
        <is>
          <t>GU-TDH-066</t>
        </is>
      </c>
      <c r="B61" s="61">
        <f>IF(A61="","",IFERROR(IF(INDEX(2_Participantes!$B$6:$B$305,MATCH(A61,2_Participantes!$A$6:$A$305,0))="","",INDEX(2_Participantes!$B$6:$B$305,MATCH(A61,2_Participantes!$A$6:$A$305,0))),"No registrado"))</f>
        <v/>
      </c>
      <c r="C61" s="83" t="n">
        <v>37.5</v>
      </c>
      <c r="D61" s="83" t="n">
        <v>55</v>
      </c>
      <c r="E61" s="63">
        <f>IF(AND(ISNUMBER(C61),ISNUMBER(D61)),D61-C61,"")</f>
        <v/>
      </c>
      <c r="F61" s="62">
        <f>IF(A61="","",IFERROR(IF(INDEX(2_Participantes!$E$6:$E$305,MATCH(A61,2_Participantes!$A$6:$A$305,0))="","",INDEX(2_Participantes!$E$6:$E$305,MATCH(A61,2_Participantes!$A$6:$A$305,0))),""))</f>
        <v/>
      </c>
      <c r="G61" s="61">
        <f>IF(A61="","",IFERROR(IF(INDEX(2_Participantes!$F$6:$F$305,MATCH(A61,2_Participantes!$A$6:$A$305,0))="","",INDEX(2_Participantes!$F$6:$F$305,MATCH(A61,2_Participantes!$A$6:$A$305,0))),"No registrado"))</f>
        <v/>
      </c>
      <c r="H61" s="84">
        <f>IF(A61="","",IFERROR(IF(INDEX(2_Participantes!$L$6:$L$305,MATCH(A61,2_Participantes!$A$6:$A$305,0))="","",INDEX(2_Participantes!$L$6:$L$305,MATCH(A61,2_Participantes!$A$6:$A$305,0))),""))</f>
        <v/>
      </c>
      <c r="I61" s="62">
        <f>IF(A61="","",IF(AND(ISNUMBER(C61),ISNUMBER(D61),G61&lt;&gt;"Excluido"),1,0))</f>
        <v/>
      </c>
      <c r="J61" s="76">
        <f>IF(A61="","",IF(G61="No registrado","Código ausente en 2_Participantes",IF(AND(ISNUMBER(D61),NOT(ISNUMBER(C61))),"Postest sin pretest (huérfano)",IF(OR(AND(ISNUMBER(C61),OR(C61&lt;Inicio!$C$18,C61&gt;Inicio!$C$19)),AND(ISNUMBER(D61),OR(D61&lt;Inicio!$C$18,D61&gt;Inicio!$C$19))),"Fuera de rango",IF(COUNTIF($A$6:$A$305,A61)&gt;1,"Código duplicado","OK")))))</f>
        <v/>
      </c>
    </row>
    <row r="62" ht="15" customHeight="1" s="42">
      <c r="A62" s="71" t="inlineStr">
        <is>
          <t>GU-TDH-067</t>
        </is>
      </c>
      <c r="B62" s="61">
        <f>IF(A62="","",IFERROR(IF(INDEX(2_Participantes!$B$6:$B$305,MATCH(A62,2_Participantes!$A$6:$A$305,0))="","",INDEX(2_Participantes!$B$6:$B$305,MATCH(A62,2_Participantes!$A$6:$A$305,0))),"No registrado"))</f>
        <v/>
      </c>
      <c r="C62" s="83" t="n">
        <v>40</v>
      </c>
      <c r="D62" s="83" t="n">
        <v>62.5</v>
      </c>
      <c r="E62" s="63">
        <f>IF(AND(ISNUMBER(C62),ISNUMBER(D62)),D62-C62,"")</f>
        <v/>
      </c>
      <c r="F62" s="62">
        <f>IF(A62="","",IFERROR(IF(INDEX(2_Participantes!$E$6:$E$305,MATCH(A62,2_Participantes!$A$6:$A$305,0))="","",INDEX(2_Participantes!$E$6:$E$305,MATCH(A62,2_Participantes!$A$6:$A$305,0))),""))</f>
        <v/>
      </c>
      <c r="G62" s="61">
        <f>IF(A62="","",IFERROR(IF(INDEX(2_Participantes!$F$6:$F$305,MATCH(A62,2_Participantes!$A$6:$A$305,0))="","",INDEX(2_Participantes!$F$6:$F$305,MATCH(A62,2_Participantes!$A$6:$A$305,0))),"No registrado"))</f>
        <v/>
      </c>
      <c r="H62" s="84">
        <f>IF(A62="","",IFERROR(IF(INDEX(2_Participantes!$L$6:$L$305,MATCH(A62,2_Participantes!$A$6:$A$305,0))="","",INDEX(2_Participantes!$L$6:$L$305,MATCH(A62,2_Participantes!$A$6:$A$305,0))),""))</f>
        <v/>
      </c>
      <c r="I62" s="62">
        <f>IF(A62="","",IF(AND(ISNUMBER(C62),ISNUMBER(D62),G62&lt;&gt;"Excluido"),1,0))</f>
        <v/>
      </c>
      <c r="J62" s="76">
        <f>IF(A62="","",IF(G62="No registrado","Código ausente en 2_Participantes",IF(AND(ISNUMBER(D62),NOT(ISNUMBER(C62))),"Postest sin pretest (huérfano)",IF(OR(AND(ISNUMBER(C62),OR(C62&lt;Inicio!$C$18,C62&gt;Inicio!$C$19)),AND(ISNUMBER(D62),OR(D62&lt;Inicio!$C$18,D62&gt;Inicio!$C$19))),"Fuera de rango",IF(COUNTIF($A$6:$A$305,A62)&gt;1,"Código duplicado","OK")))))</f>
        <v/>
      </c>
    </row>
    <row r="63" ht="15" customHeight="1" s="42">
      <c r="A63" s="71" t="inlineStr">
        <is>
          <t>GU-TDH-069</t>
        </is>
      </c>
      <c r="B63" s="61">
        <f>IF(A63="","",IFERROR(IF(INDEX(2_Participantes!$B$6:$B$305,MATCH(A63,2_Participantes!$A$6:$A$305,0))="","",INDEX(2_Participantes!$B$6:$B$305,MATCH(A63,2_Participantes!$A$6:$A$305,0))),"No registrado"))</f>
        <v/>
      </c>
      <c r="C63" s="83" t="n">
        <v>50</v>
      </c>
      <c r="D63" s="83" t="n">
        <v>62.5</v>
      </c>
      <c r="E63" s="63">
        <f>IF(AND(ISNUMBER(C63),ISNUMBER(D63)),D63-C63,"")</f>
        <v/>
      </c>
      <c r="F63" s="62">
        <f>IF(A63="","",IFERROR(IF(INDEX(2_Participantes!$E$6:$E$305,MATCH(A63,2_Participantes!$A$6:$A$305,0))="","",INDEX(2_Participantes!$E$6:$E$305,MATCH(A63,2_Participantes!$A$6:$A$305,0))),""))</f>
        <v/>
      </c>
      <c r="G63" s="61">
        <f>IF(A63="","",IFERROR(IF(INDEX(2_Participantes!$F$6:$F$305,MATCH(A63,2_Participantes!$A$6:$A$305,0))="","",INDEX(2_Participantes!$F$6:$F$305,MATCH(A63,2_Participantes!$A$6:$A$305,0))),"No registrado"))</f>
        <v/>
      </c>
      <c r="H63" s="84">
        <f>IF(A63="","",IFERROR(IF(INDEX(2_Participantes!$L$6:$L$305,MATCH(A63,2_Participantes!$A$6:$A$305,0))="","",INDEX(2_Participantes!$L$6:$L$305,MATCH(A63,2_Participantes!$A$6:$A$305,0))),""))</f>
        <v/>
      </c>
      <c r="I63" s="62">
        <f>IF(A63="","",IF(AND(ISNUMBER(C63),ISNUMBER(D63),G63&lt;&gt;"Excluido"),1,0))</f>
        <v/>
      </c>
      <c r="J63" s="76">
        <f>IF(A63="","",IF(G63="No registrado","Código ausente en 2_Participantes",IF(AND(ISNUMBER(D63),NOT(ISNUMBER(C63))),"Postest sin pretest (huérfano)",IF(OR(AND(ISNUMBER(C63),OR(C63&lt;Inicio!$C$18,C63&gt;Inicio!$C$19)),AND(ISNUMBER(D63),OR(D63&lt;Inicio!$C$18,D63&gt;Inicio!$C$19))),"Fuera de rango",IF(COUNTIF($A$6:$A$305,A63)&gt;1,"Código duplicado","OK")))))</f>
        <v/>
      </c>
    </row>
    <row r="64" ht="15" customHeight="1" s="42">
      <c r="A64" s="71" t="inlineStr">
        <is>
          <t>GU-TDH-070</t>
        </is>
      </c>
      <c r="B64" s="61">
        <f>IF(A64="","",IFERROR(IF(INDEX(2_Participantes!$B$6:$B$305,MATCH(A64,2_Participantes!$A$6:$A$305,0))="","",INDEX(2_Participantes!$B$6:$B$305,MATCH(A64,2_Participantes!$A$6:$A$305,0))),"No registrado"))</f>
        <v/>
      </c>
      <c r="C64" s="83" t="n">
        <v>67.5</v>
      </c>
      <c r="D64" s="83" t="n">
        <v>80</v>
      </c>
      <c r="E64" s="63">
        <f>IF(AND(ISNUMBER(C64),ISNUMBER(D64)),D64-C64,"")</f>
        <v/>
      </c>
      <c r="F64" s="62">
        <f>IF(A64="","",IFERROR(IF(INDEX(2_Participantes!$E$6:$E$305,MATCH(A64,2_Participantes!$A$6:$A$305,0))="","",INDEX(2_Participantes!$E$6:$E$305,MATCH(A64,2_Participantes!$A$6:$A$305,0))),""))</f>
        <v/>
      </c>
      <c r="G64" s="61">
        <f>IF(A64="","",IFERROR(IF(INDEX(2_Participantes!$F$6:$F$305,MATCH(A64,2_Participantes!$A$6:$A$305,0))="","",INDEX(2_Participantes!$F$6:$F$305,MATCH(A64,2_Participantes!$A$6:$A$305,0))),"No registrado"))</f>
        <v/>
      </c>
      <c r="H64" s="84">
        <f>IF(A64="","",IFERROR(IF(INDEX(2_Participantes!$L$6:$L$305,MATCH(A64,2_Participantes!$A$6:$A$305,0))="","",INDEX(2_Participantes!$L$6:$L$305,MATCH(A64,2_Participantes!$A$6:$A$305,0))),""))</f>
        <v/>
      </c>
      <c r="I64" s="62">
        <f>IF(A64="","",IF(AND(ISNUMBER(C64),ISNUMBER(D64),G64&lt;&gt;"Excluido"),1,0))</f>
        <v/>
      </c>
      <c r="J64" s="76">
        <f>IF(A64="","",IF(G64="No registrado","Código ausente en 2_Participantes",IF(AND(ISNUMBER(D64),NOT(ISNUMBER(C64))),"Postest sin pretest (huérfano)",IF(OR(AND(ISNUMBER(C64),OR(C64&lt;Inicio!$C$18,C64&gt;Inicio!$C$19)),AND(ISNUMBER(D64),OR(D64&lt;Inicio!$C$18,D64&gt;Inicio!$C$19))),"Fuera de rango",IF(COUNTIF($A$6:$A$305,A64)&gt;1,"Código duplicado","OK")))))</f>
        <v/>
      </c>
    </row>
    <row r="65" ht="15" customHeight="1" s="42">
      <c r="A65" s="71" t="inlineStr">
        <is>
          <t>GU-TDH-071</t>
        </is>
      </c>
      <c r="B65" s="61">
        <f>IF(A65="","",IFERROR(IF(INDEX(2_Participantes!$B$6:$B$305,MATCH(A65,2_Participantes!$A$6:$A$305,0))="","",INDEX(2_Participantes!$B$6:$B$305,MATCH(A65,2_Participantes!$A$6:$A$305,0))),"No registrado"))</f>
        <v/>
      </c>
      <c r="C65" s="83" t="n">
        <v>40</v>
      </c>
      <c r="D65" s="83" t="n">
        <v>55</v>
      </c>
      <c r="E65" s="63">
        <f>IF(AND(ISNUMBER(C65),ISNUMBER(D65)),D65-C65,"")</f>
        <v/>
      </c>
      <c r="F65" s="62">
        <f>IF(A65="","",IFERROR(IF(INDEX(2_Participantes!$E$6:$E$305,MATCH(A65,2_Participantes!$A$6:$A$305,0))="","",INDEX(2_Participantes!$E$6:$E$305,MATCH(A65,2_Participantes!$A$6:$A$305,0))),""))</f>
        <v/>
      </c>
      <c r="G65" s="61">
        <f>IF(A65="","",IFERROR(IF(INDEX(2_Participantes!$F$6:$F$305,MATCH(A65,2_Participantes!$A$6:$A$305,0))="","",INDEX(2_Participantes!$F$6:$F$305,MATCH(A65,2_Participantes!$A$6:$A$305,0))),"No registrado"))</f>
        <v/>
      </c>
      <c r="H65" s="84">
        <f>IF(A65="","",IFERROR(IF(INDEX(2_Participantes!$L$6:$L$305,MATCH(A65,2_Participantes!$A$6:$A$305,0))="","",INDEX(2_Participantes!$L$6:$L$305,MATCH(A65,2_Participantes!$A$6:$A$305,0))),""))</f>
        <v/>
      </c>
      <c r="I65" s="62">
        <f>IF(A65="","",IF(AND(ISNUMBER(C65),ISNUMBER(D65),G65&lt;&gt;"Excluido"),1,0))</f>
        <v/>
      </c>
      <c r="J65" s="76">
        <f>IF(A65="","",IF(G65="No registrado","Código ausente en 2_Participantes",IF(AND(ISNUMBER(D65),NOT(ISNUMBER(C65))),"Postest sin pretest (huérfano)",IF(OR(AND(ISNUMBER(C65),OR(C65&lt;Inicio!$C$18,C65&gt;Inicio!$C$19)),AND(ISNUMBER(D65),OR(D65&lt;Inicio!$C$18,D65&gt;Inicio!$C$19))),"Fuera de rango",IF(COUNTIF($A$6:$A$305,A65)&gt;1,"Código duplicado","OK")))))</f>
        <v/>
      </c>
    </row>
    <row r="66" ht="15" customHeight="1" s="42">
      <c r="A66" s="71" t="inlineStr">
        <is>
          <t>GU-TDH-072</t>
        </is>
      </c>
      <c r="B66" s="61">
        <f>IF(A66="","",IFERROR(IF(INDEX(2_Participantes!$B$6:$B$305,MATCH(A66,2_Participantes!$A$6:$A$305,0))="","",INDEX(2_Participantes!$B$6:$B$305,MATCH(A66,2_Participantes!$A$6:$A$305,0))),"No registrado"))</f>
        <v/>
      </c>
      <c r="C66" s="83" t="n">
        <v>60</v>
      </c>
      <c r="D66" s="83" t="n">
        <v>77.5</v>
      </c>
      <c r="E66" s="63">
        <f>IF(AND(ISNUMBER(C66),ISNUMBER(D66)),D66-C66,"")</f>
        <v/>
      </c>
      <c r="F66" s="62">
        <f>IF(A66="","",IFERROR(IF(INDEX(2_Participantes!$E$6:$E$305,MATCH(A66,2_Participantes!$A$6:$A$305,0))="","",INDEX(2_Participantes!$E$6:$E$305,MATCH(A66,2_Participantes!$A$6:$A$305,0))),""))</f>
        <v/>
      </c>
      <c r="G66" s="61">
        <f>IF(A66="","",IFERROR(IF(INDEX(2_Participantes!$F$6:$F$305,MATCH(A66,2_Participantes!$A$6:$A$305,0))="","",INDEX(2_Participantes!$F$6:$F$305,MATCH(A66,2_Participantes!$A$6:$A$305,0))),"No registrado"))</f>
        <v/>
      </c>
      <c r="H66" s="84">
        <f>IF(A66="","",IFERROR(IF(INDEX(2_Participantes!$L$6:$L$305,MATCH(A66,2_Participantes!$A$6:$A$305,0))="","",INDEX(2_Participantes!$L$6:$L$305,MATCH(A66,2_Participantes!$A$6:$A$305,0))),""))</f>
        <v/>
      </c>
      <c r="I66" s="62">
        <f>IF(A66="","",IF(AND(ISNUMBER(C66),ISNUMBER(D66),G66&lt;&gt;"Excluido"),1,0))</f>
        <v/>
      </c>
      <c r="J66" s="76">
        <f>IF(A66="","",IF(G66="No registrado","Código ausente en 2_Participantes",IF(AND(ISNUMBER(D66),NOT(ISNUMBER(C66))),"Postest sin pretest (huérfano)",IF(OR(AND(ISNUMBER(C66),OR(C66&lt;Inicio!$C$18,C66&gt;Inicio!$C$19)),AND(ISNUMBER(D66),OR(D66&lt;Inicio!$C$18,D66&gt;Inicio!$C$19))),"Fuera de rango",IF(COUNTIF($A$6:$A$305,A66)&gt;1,"Código duplicado","OK")))))</f>
        <v/>
      </c>
    </row>
    <row r="67" ht="15" customHeight="1" s="42">
      <c r="A67" s="71" t="inlineStr">
        <is>
          <t>GU-TDH-073</t>
        </is>
      </c>
      <c r="B67" s="61">
        <f>IF(A67="","",IFERROR(IF(INDEX(2_Participantes!$B$6:$B$305,MATCH(A67,2_Participantes!$A$6:$A$305,0))="","",INDEX(2_Participantes!$B$6:$B$305,MATCH(A67,2_Participantes!$A$6:$A$305,0))),"No registrado"))</f>
        <v/>
      </c>
      <c r="C67" s="83" t="n">
        <v>52.5</v>
      </c>
      <c r="D67" s="83" t="n">
        <v>70</v>
      </c>
      <c r="E67" s="63">
        <f>IF(AND(ISNUMBER(C67),ISNUMBER(D67)),D67-C67,"")</f>
        <v/>
      </c>
      <c r="F67" s="62">
        <f>IF(A67="","",IFERROR(IF(INDEX(2_Participantes!$E$6:$E$305,MATCH(A67,2_Participantes!$A$6:$A$305,0))="","",INDEX(2_Participantes!$E$6:$E$305,MATCH(A67,2_Participantes!$A$6:$A$305,0))),""))</f>
        <v/>
      </c>
      <c r="G67" s="61">
        <f>IF(A67="","",IFERROR(IF(INDEX(2_Participantes!$F$6:$F$305,MATCH(A67,2_Participantes!$A$6:$A$305,0))="","",INDEX(2_Participantes!$F$6:$F$305,MATCH(A67,2_Participantes!$A$6:$A$305,0))),"No registrado"))</f>
        <v/>
      </c>
      <c r="H67" s="84">
        <f>IF(A67="","",IFERROR(IF(INDEX(2_Participantes!$L$6:$L$305,MATCH(A67,2_Participantes!$A$6:$A$305,0))="","",INDEX(2_Participantes!$L$6:$L$305,MATCH(A67,2_Participantes!$A$6:$A$305,0))),""))</f>
        <v/>
      </c>
      <c r="I67" s="62">
        <f>IF(A67="","",IF(AND(ISNUMBER(C67),ISNUMBER(D67),G67&lt;&gt;"Excluido"),1,0))</f>
        <v/>
      </c>
      <c r="J67" s="76">
        <f>IF(A67="","",IF(G67="No registrado","Código ausente en 2_Participantes",IF(AND(ISNUMBER(D67),NOT(ISNUMBER(C67))),"Postest sin pretest (huérfano)",IF(OR(AND(ISNUMBER(C67),OR(C67&lt;Inicio!$C$18,C67&gt;Inicio!$C$19)),AND(ISNUMBER(D67),OR(D67&lt;Inicio!$C$18,D67&gt;Inicio!$C$19))),"Fuera de rango",IF(COUNTIF($A$6:$A$305,A67)&gt;1,"Código duplicado","OK")))))</f>
        <v/>
      </c>
    </row>
    <row r="68" ht="15" customHeight="1" s="42">
      <c r="A68" s="71" t="inlineStr">
        <is>
          <t>GU-TDH-074</t>
        </is>
      </c>
      <c r="B68" s="61">
        <f>IF(A68="","",IFERROR(IF(INDEX(2_Participantes!$B$6:$B$305,MATCH(A68,2_Participantes!$A$6:$A$305,0))="","",INDEX(2_Participantes!$B$6:$B$305,MATCH(A68,2_Participantes!$A$6:$A$305,0))),"No registrado"))</f>
        <v/>
      </c>
      <c r="C68" s="83" t="n">
        <v>72.5</v>
      </c>
      <c r="D68" s="83" t="n">
        <v>85</v>
      </c>
      <c r="E68" s="63">
        <f>IF(AND(ISNUMBER(C68),ISNUMBER(D68)),D68-C68,"")</f>
        <v/>
      </c>
      <c r="F68" s="62">
        <f>IF(A68="","",IFERROR(IF(INDEX(2_Participantes!$E$6:$E$305,MATCH(A68,2_Participantes!$A$6:$A$305,0))="","",INDEX(2_Participantes!$E$6:$E$305,MATCH(A68,2_Participantes!$A$6:$A$305,0))),""))</f>
        <v/>
      </c>
      <c r="G68" s="61">
        <f>IF(A68="","",IFERROR(IF(INDEX(2_Participantes!$F$6:$F$305,MATCH(A68,2_Participantes!$A$6:$A$305,0))="","",INDEX(2_Participantes!$F$6:$F$305,MATCH(A68,2_Participantes!$A$6:$A$305,0))),"No registrado"))</f>
        <v/>
      </c>
      <c r="H68" s="84">
        <f>IF(A68="","",IFERROR(IF(INDEX(2_Participantes!$L$6:$L$305,MATCH(A68,2_Participantes!$A$6:$A$305,0))="","",INDEX(2_Participantes!$L$6:$L$305,MATCH(A68,2_Participantes!$A$6:$A$305,0))),""))</f>
        <v/>
      </c>
      <c r="I68" s="62">
        <f>IF(A68="","",IF(AND(ISNUMBER(C68),ISNUMBER(D68),G68&lt;&gt;"Excluido"),1,0))</f>
        <v/>
      </c>
      <c r="J68" s="76">
        <f>IF(A68="","",IF(G68="No registrado","Código ausente en 2_Participantes",IF(AND(ISNUMBER(D68),NOT(ISNUMBER(C68))),"Postest sin pretest (huérfano)",IF(OR(AND(ISNUMBER(C68),OR(C68&lt;Inicio!$C$18,C68&gt;Inicio!$C$19)),AND(ISNUMBER(D68),OR(D68&lt;Inicio!$C$18,D68&gt;Inicio!$C$19))),"Fuera de rango",IF(COUNTIF($A$6:$A$305,A68)&gt;1,"Código duplicado","OK")))))</f>
        <v/>
      </c>
    </row>
    <row r="69" ht="15" customHeight="1" s="42">
      <c r="A69" s="71" t="inlineStr">
        <is>
          <t>GU-TDH-075</t>
        </is>
      </c>
      <c r="B69" s="61">
        <f>IF(A69="","",IFERROR(IF(INDEX(2_Participantes!$B$6:$B$305,MATCH(A69,2_Participantes!$A$6:$A$305,0))="","",INDEX(2_Participantes!$B$6:$B$305,MATCH(A69,2_Participantes!$A$6:$A$305,0))),"No registrado"))</f>
        <v/>
      </c>
      <c r="C69" s="83" t="n">
        <v>85</v>
      </c>
      <c r="D69" s="83" t="n">
        <v>92.5</v>
      </c>
      <c r="E69" s="63">
        <f>IF(AND(ISNUMBER(C69),ISNUMBER(D69)),D69-C69,"")</f>
        <v/>
      </c>
      <c r="F69" s="62">
        <f>IF(A69="","",IFERROR(IF(INDEX(2_Participantes!$E$6:$E$305,MATCH(A69,2_Participantes!$A$6:$A$305,0))="","",INDEX(2_Participantes!$E$6:$E$305,MATCH(A69,2_Participantes!$A$6:$A$305,0))),""))</f>
        <v/>
      </c>
      <c r="G69" s="61">
        <f>IF(A69="","",IFERROR(IF(INDEX(2_Participantes!$F$6:$F$305,MATCH(A69,2_Participantes!$A$6:$A$305,0))="","",INDEX(2_Participantes!$F$6:$F$305,MATCH(A69,2_Participantes!$A$6:$A$305,0))),"No registrado"))</f>
        <v/>
      </c>
      <c r="H69" s="84">
        <f>IF(A69="","",IFERROR(IF(INDEX(2_Participantes!$L$6:$L$305,MATCH(A69,2_Participantes!$A$6:$A$305,0))="","",INDEX(2_Participantes!$L$6:$L$305,MATCH(A69,2_Participantes!$A$6:$A$305,0))),""))</f>
        <v/>
      </c>
      <c r="I69" s="62">
        <f>IF(A69="","",IF(AND(ISNUMBER(C69),ISNUMBER(D69),G69&lt;&gt;"Excluido"),1,0))</f>
        <v/>
      </c>
      <c r="J69" s="76">
        <f>IF(A69="","",IF(G69="No registrado","Código ausente en 2_Participantes",IF(AND(ISNUMBER(D69),NOT(ISNUMBER(C69))),"Postest sin pretest (huérfano)",IF(OR(AND(ISNUMBER(C69),OR(C69&lt;Inicio!$C$18,C69&gt;Inicio!$C$19)),AND(ISNUMBER(D69),OR(D69&lt;Inicio!$C$18,D69&gt;Inicio!$C$19))),"Fuera de rango",IF(COUNTIF($A$6:$A$305,A69)&gt;1,"Código duplicado","OK")))))</f>
        <v/>
      </c>
    </row>
    <row r="70" ht="15" customHeight="1" s="42">
      <c r="A70" s="71" t="inlineStr">
        <is>
          <t>GU-TDH-076</t>
        </is>
      </c>
      <c r="B70" s="61">
        <f>IF(A70="","",IFERROR(IF(INDEX(2_Participantes!$B$6:$B$305,MATCH(A70,2_Participantes!$A$6:$A$305,0))="","",INDEX(2_Participantes!$B$6:$B$305,MATCH(A70,2_Participantes!$A$6:$A$305,0))),"No registrado"))</f>
        <v/>
      </c>
      <c r="C70" s="83" t="n">
        <v>65</v>
      </c>
      <c r="D70" s="83" t="n">
        <v>82.5</v>
      </c>
      <c r="E70" s="63">
        <f>IF(AND(ISNUMBER(C70),ISNUMBER(D70)),D70-C70,"")</f>
        <v/>
      </c>
      <c r="F70" s="62">
        <f>IF(A70="","",IFERROR(IF(INDEX(2_Participantes!$E$6:$E$305,MATCH(A70,2_Participantes!$A$6:$A$305,0))="","",INDEX(2_Participantes!$E$6:$E$305,MATCH(A70,2_Participantes!$A$6:$A$305,0))),""))</f>
        <v/>
      </c>
      <c r="G70" s="61">
        <f>IF(A70="","",IFERROR(IF(INDEX(2_Participantes!$F$6:$F$305,MATCH(A70,2_Participantes!$A$6:$A$305,0))="","",INDEX(2_Participantes!$F$6:$F$305,MATCH(A70,2_Participantes!$A$6:$A$305,0))),"No registrado"))</f>
        <v/>
      </c>
      <c r="H70" s="84">
        <f>IF(A70="","",IFERROR(IF(INDEX(2_Participantes!$L$6:$L$305,MATCH(A70,2_Participantes!$A$6:$A$305,0))="","",INDEX(2_Participantes!$L$6:$L$305,MATCH(A70,2_Participantes!$A$6:$A$305,0))),""))</f>
        <v/>
      </c>
      <c r="I70" s="62">
        <f>IF(A70="","",IF(AND(ISNUMBER(C70),ISNUMBER(D70),G70&lt;&gt;"Excluido"),1,0))</f>
        <v/>
      </c>
      <c r="J70" s="76">
        <f>IF(A70="","",IF(G70="No registrado","Código ausente en 2_Participantes",IF(AND(ISNUMBER(D70),NOT(ISNUMBER(C70))),"Postest sin pretest (huérfano)",IF(OR(AND(ISNUMBER(C70),OR(C70&lt;Inicio!$C$18,C70&gt;Inicio!$C$19)),AND(ISNUMBER(D70),OR(D70&lt;Inicio!$C$18,D70&gt;Inicio!$C$19))),"Fuera de rango",IF(COUNTIF($A$6:$A$305,A70)&gt;1,"Código duplicado","OK")))))</f>
        <v/>
      </c>
    </row>
    <row r="71" ht="15" customHeight="1" s="42">
      <c r="A71" s="71" t="inlineStr">
        <is>
          <t>GU-TDH-077</t>
        </is>
      </c>
      <c r="B71" s="61">
        <f>IF(A71="","",IFERROR(IF(INDEX(2_Participantes!$B$6:$B$305,MATCH(A71,2_Participantes!$A$6:$A$305,0))="","",INDEX(2_Participantes!$B$6:$B$305,MATCH(A71,2_Participantes!$A$6:$A$305,0))),"No registrado"))</f>
        <v/>
      </c>
      <c r="C71" s="83" t="n">
        <v>52.5</v>
      </c>
      <c r="D71" s="83" t="n">
        <v>72.5</v>
      </c>
      <c r="E71" s="63">
        <f>IF(AND(ISNUMBER(C71),ISNUMBER(D71)),D71-C71,"")</f>
        <v/>
      </c>
      <c r="F71" s="62">
        <f>IF(A71="","",IFERROR(IF(INDEX(2_Participantes!$E$6:$E$305,MATCH(A71,2_Participantes!$A$6:$A$305,0))="","",INDEX(2_Participantes!$E$6:$E$305,MATCH(A71,2_Participantes!$A$6:$A$305,0))),""))</f>
        <v/>
      </c>
      <c r="G71" s="61">
        <f>IF(A71="","",IFERROR(IF(INDEX(2_Participantes!$F$6:$F$305,MATCH(A71,2_Participantes!$A$6:$A$305,0))="","",INDEX(2_Participantes!$F$6:$F$305,MATCH(A71,2_Participantes!$A$6:$A$305,0))),"No registrado"))</f>
        <v/>
      </c>
      <c r="H71" s="84">
        <f>IF(A71="","",IFERROR(IF(INDEX(2_Participantes!$L$6:$L$305,MATCH(A71,2_Participantes!$A$6:$A$305,0))="","",INDEX(2_Participantes!$L$6:$L$305,MATCH(A71,2_Participantes!$A$6:$A$305,0))),""))</f>
        <v/>
      </c>
      <c r="I71" s="62">
        <f>IF(A71="","",IF(AND(ISNUMBER(C71),ISNUMBER(D71),G71&lt;&gt;"Excluido"),1,0))</f>
        <v/>
      </c>
      <c r="J71" s="76">
        <f>IF(A71="","",IF(G71="No registrado","Código ausente en 2_Participantes",IF(AND(ISNUMBER(D71),NOT(ISNUMBER(C71))),"Postest sin pretest (huérfano)",IF(OR(AND(ISNUMBER(C71),OR(C71&lt;Inicio!$C$18,C71&gt;Inicio!$C$19)),AND(ISNUMBER(D71),OR(D71&lt;Inicio!$C$18,D71&gt;Inicio!$C$19))),"Fuera de rango",IF(COUNTIF($A$6:$A$305,A71)&gt;1,"Código duplicado","OK")))))</f>
        <v/>
      </c>
    </row>
    <row r="72" ht="15" customHeight="1" s="42">
      <c r="A72" s="71" t="inlineStr">
        <is>
          <t>GU-TDH-078</t>
        </is>
      </c>
      <c r="B72" s="61">
        <f>IF(A72="","",IFERROR(IF(INDEX(2_Participantes!$B$6:$B$305,MATCH(A72,2_Participantes!$A$6:$A$305,0))="","",INDEX(2_Participantes!$B$6:$B$305,MATCH(A72,2_Participantes!$A$6:$A$305,0))),"No registrado"))</f>
        <v/>
      </c>
      <c r="C72" s="83" t="n">
        <v>62.5</v>
      </c>
      <c r="D72" s="83" t="n">
        <v>77.5</v>
      </c>
      <c r="E72" s="63">
        <f>IF(AND(ISNUMBER(C72),ISNUMBER(D72)),D72-C72,"")</f>
        <v/>
      </c>
      <c r="F72" s="62">
        <f>IF(A72="","",IFERROR(IF(INDEX(2_Participantes!$E$6:$E$305,MATCH(A72,2_Participantes!$A$6:$A$305,0))="","",INDEX(2_Participantes!$E$6:$E$305,MATCH(A72,2_Participantes!$A$6:$A$305,0))),""))</f>
        <v/>
      </c>
      <c r="G72" s="61">
        <f>IF(A72="","",IFERROR(IF(INDEX(2_Participantes!$F$6:$F$305,MATCH(A72,2_Participantes!$A$6:$A$305,0))="","",INDEX(2_Participantes!$F$6:$F$305,MATCH(A72,2_Participantes!$A$6:$A$305,0))),"No registrado"))</f>
        <v/>
      </c>
      <c r="H72" s="84">
        <f>IF(A72="","",IFERROR(IF(INDEX(2_Participantes!$L$6:$L$305,MATCH(A72,2_Participantes!$A$6:$A$305,0))="","",INDEX(2_Participantes!$L$6:$L$305,MATCH(A72,2_Participantes!$A$6:$A$305,0))),""))</f>
        <v/>
      </c>
      <c r="I72" s="62">
        <f>IF(A72="","",IF(AND(ISNUMBER(C72),ISNUMBER(D72),G72&lt;&gt;"Excluido"),1,0))</f>
        <v/>
      </c>
      <c r="J72" s="76">
        <f>IF(A72="","",IF(G72="No registrado","Código ausente en 2_Participantes",IF(AND(ISNUMBER(D72),NOT(ISNUMBER(C72))),"Postest sin pretest (huérfano)",IF(OR(AND(ISNUMBER(C72),OR(C72&lt;Inicio!$C$18,C72&gt;Inicio!$C$19)),AND(ISNUMBER(D72),OR(D72&lt;Inicio!$C$18,D72&gt;Inicio!$C$19))),"Fuera de rango",IF(COUNTIF($A$6:$A$305,A72)&gt;1,"Código duplicado","OK")))))</f>
        <v/>
      </c>
    </row>
    <row r="73" ht="15" customHeight="1" s="42">
      <c r="A73" s="71" t="inlineStr">
        <is>
          <t>GU-TDH-079</t>
        </is>
      </c>
      <c r="B73" s="61">
        <f>IF(A73="","",IFERROR(IF(INDEX(2_Participantes!$B$6:$B$305,MATCH(A73,2_Participantes!$A$6:$A$305,0))="","",INDEX(2_Participantes!$B$6:$B$305,MATCH(A73,2_Participantes!$A$6:$A$305,0))),"No registrado"))</f>
        <v/>
      </c>
      <c r="C73" s="83" t="n">
        <v>45</v>
      </c>
      <c r="D73" s="83" t="n">
        <v>57.5</v>
      </c>
      <c r="E73" s="63">
        <f>IF(AND(ISNUMBER(C73),ISNUMBER(D73)),D73-C73,"")</f>
        <v/>
      </c>
      <c r="F73" s="62">
        <f>IF(A73="","",IFERROR(IF(INDEX(2_Participantes!$E$6:$E$305,MATCH(A73,2_Participantes!$A$6:$A$305,0))="","",INDEX(2_Participantes!$E$6:$E$305,MATCH(A73,2_Participantes!$A$6:$A$305,0))),""))</f>
        <v/>
      </c>
      <c r="G73" s="61">
        <f>IF(A73="","",IFERROR(IF(INDEX(2_Participantes!$F$6:$F$305,MATCH(A73,2_Participantes!$A$6:$A$305,0))="","",INDEX(2_Participantes!$F$6:$F$305,MATCH(A73,2_Participantes!$A$6:$A$305,0))),"No registrado"))</f>
        <v/>
      </c>
      <c r="H73" s="84">
        <f>IF(A73="","",IFERROR(IF(INDEX(2_Participantes!$L$6:$L$305,MATCH(A73,2_Participantes!$A$6:$A$305,0))="","",INDEX(2_Participantes!$L$6:$L$305,MATCH(A73,2_Participantes!$A$6:$A$305,0))),""))</f>
        <v/>
      </c>
      <c r="I73" s="62">
        <f>IF(A73="","",IF(AND(ISNUMBER(C73),ISNUMBER(D73),G73&lt;&gt;"Excluido"),1,0))</f>
        <v/>
      </c>
      <c r="J73" s="76">
        <f>IF(A73="","",IF(G73="No registrado","Código ausente en 2_Participantes",IF(AND(ISNUMBER(D73),NOT(ISNUMBER(C73))),"Postest sin pretest (huérfano)",IF(OR(AND(ISNUMBER(C73),OR(C73&lt;Inicio!$C$18,C73&gt;Inicio!$C$19)),AND(ISNUMBER(D73),OR(D73&lt;Inicio!$C$18,D73&gt;Inicio!$C$19))),"Fuera de rango",IF(COUNTIF($A$6:$A$305,A73)&gt;1,"Código duplicado","OK")))))</f>
        <v/>
      </c>
    </row>
    <row r="74" ht="15" customHeight="1" s="42">
      <c r="A74" s="71" t="inlineStr">
        <is>
          <t>GU-TDH-080</t>
        </is>
      </c>
      <c r="B74" s="61">
        <f>IF(A74="","",IFERROR(IF(INDEX(2_Participantes!$B$6:$B$305,MATCH(A74,2_Participantes!$A$6:$A$305,0))="","",INDEX(2_Participantes!$B$6:$B$305,MATCH(A74,2_Participantes!$A$6:$A$305,0))),"No registrado"))</f>
        <v/>
      </c>
      <c r="C74" s="83" t="n">
        <v>67.5</v>
      </c>
      <c r="D74" s="83" t="n">
        <v>80</v>
      </c>
      <c r="E74" s="63">
        <f>IF(AND(ISNUMBER(C74),ISNUMBER(D74)),D74-C74,"")</f>
        <v/>
      </c>
      <c r="F74" s="62">
        <f>IF(A74="","",IFERROR(IF(INDEX(2_Participantes!$E$6:$E$305,MATCH(A74,2_Participantes!$A$6:$A$305,0))="","",INDEX(2_Participantes!$E$6:$E$305,MATCH(A74,2_Participantes!$A$6:$A$305,0))),""))</f>
        <v/>
      </c>
      <c r="G74" s="61">
        <f>IF(A74="","",IFERROR(IF(INDEX(2_Participantes!$F$6:$F$305,MATCH(A74,2_Participantes!$A$6:$A$305,0))="","",INDEX(2_Participantes!$F$6:$F$305,MATCH(A74,2_Participantes!$A$6:$A$305,0))),"No registrado"))</f>
        <v/>
      </c>
      <c r="H74" s="84">
        <f>IF(A74="","",IFERROR(IF(INDEX(2_Participantes!$L$6:$L$305,MATCH(A74,2_Participantes!$A$6:$A$305,0))="","",INDEX(2_Participantes!$L$6:$L$305,MATCH(A74,2_Participantes!$A$6:$A$305,0))),""))</f>
        <v/>
      </c>
      <c r="I74" s="62">
        <f>IF(A74="","",IF(AND(ISNUMBER(C74),ISNUMBER(D74),G74&lt;&gt;"Excluido"),1,0))</f>
        <v/>
      </c>
      <c r="J74" s="76">
        <f>IF(A74="","",IF(G74="No registrado","Código ausente en 2_Participantes",IF(AND(ISNUMBER(D74),NOT(ISNUMBER(C74))),"Postest sin pretest (huérfano)",IF(OR(AND(ISNUMBER(C74),OR(C74&lt;Inicio!$C$18,C74&gt;Inicio!$C$19)),AND(ISNUMBER(D74),OR(D74&lt;Inicio!$C$18,D74&gt;Inicio!$C$19))),"Fuera de rango",IF(COUNTIF($A$6:$A$305,A74)&gt;1,"Código duplicado","OK")))))</f>
        <v/>
      </c>
    </row>
    <row r="75" ht="15" customHeight="1" s="42">
      <c r="A75" s="71" t="inlineStr">
        <is>
          <t>GU-TDH-081</t>
        </is>
      </c>
      <c r="B75" s="61">
        <f>IF(A75="","",IFERROR(IF(INDEX(2_Participantes!$B$6:$B$305,MATCH(A75,2_Participantes!$A$6:$A$305,0))="","",INDEX(2_Participantes!$B$6:$B$305,MATCH(A75,2_Participantes!$A$6:$A$305,0))),"No registrado"))</f>
        <v/>
      </c>
      <c r="C75" s="83" t="n">
        <v>55</v>
      </c>
      <c r="D75" s="83" t="n">
        <v>70</v>
      </c>
      <c r="E75" s="63">
        <f>IF(AND(ISNUMBER(C75),ISNUMBER(D75)),D75-C75,"")</f>
        <v/>
      </c>
      <c r="F75" s="62">
        <f>IF(A75="","",IFERROR(IF(INDEX(2_Participantes!$E$6:$E$305,MATCH(A75,2_Participantes!$A$6:$A$305,0))="","",INDEX(2_Participantes!$E$6:$E$305,MATCH(A75,2_Participantes!$A$6:$A$305,0))),""))</f>
        <v/>
      </c>
      <c r="G75" s="61">
        <f>IF(A75="","",IFERROR(IF(INDEX(2_Participantes!$F$6:$F$305,MATCH(A75,2_Participantes!$A$6:$A$305,0))="","",INDEX(2_Participantes!$F$6:$F$305,MATCH(A75,2_Participantes!$A$6:$A$305,0))),"No registrado"))</f>
        <v/>
      </c>
      <c r="H75" s="84">
        <f>IF(A75="","",IFERROR(IF(INDEX(2_Participantes!$L$6:$L$305,MATCH(A75,2_Participantes!$A$6:$A$305,0))="","",INDEX(2_Participantes!$L$6:$L$305,MATCH(A75,2_Participantes!$A$6:$A$305,0))),""))</f>
        <v/>
      </c>
      <c r="I75" s="62">
        <f>IF(A75="","",IF(AND(ISNUMBER(C75),ISNUMBER(D75),G75&lt;&gt;"Excluido"),1,0))</f>
        <v/>
      </c>
      <c r="J75" s="76">
        <f>IF(A75="","",IF(G75="No registrado","Código ausente en 2_Participantes",IF(AND(ISNUMBER(D75),NOT(ISNUMBER(C75))),"Postest sin pretest (huérfano)",IF(OR(AND(ISNUMBER(C75),OR(C75&lt;Inicio!$C$18,C75&gt;Inicio!$C$19)),AND(ISNUMBER(D75),OR(D75&lt;Inicio!$C$18,D75&gt;Inicio!$C$19))),"Fuera de rango",IF(COUNTIF($A$6:$A$305,A75)&gt;1,"Código duplicado","OK")))))</f>
        <v/>
      </c>
    </row>
    <row r="76" ht="15" customHeight="1" s="42">
      <c r="A76" s="71" t="inlineStr">
        <is>
          <t>GU-TDH-082</t>
        </is>
      </c>
      <c r="B76" s="61">
        <f>IF(A76="","",IFERROR(IF(INDEX(2_Participantes!$B$6:$B$305,MATCH(A76,2_Participantes!$A$6:$A$305,0))="","",INDEX(2_Participantes!$B$6:$B$305,MATCH(A76,2_Participantes!$A$6:$A$305,0))),"No registrado"))</f>
        <v/>
      </c>
      <c r="C76" s="83" t="n">
        <v>65</v>
      </c>
      <c r="D76" s="83" t="n">
        <v>82.5</v>
      </c>
      <c r="E76" s="63">
        <f>IF(AND(ISNUMBER(C76),ISNUMBER(D76)),D76-C76,"")</f>
        <v/>
      </c>
      <c r="F76" s="62">
        <f>IF(A76="","",IFERROR(IF(INDEX(2_Participantes!$E$6:$E$305,MATCH(A76,2_Participantes!$A$6:$A$305,0))="","",INDEX(2_Participantes!$E$6:$E$305,MATCH(A76,2_Participantes!$A$6:$A$305,0))),""))</f>
        <v/>
      </c>
      <c r="G76" s="61">
        <f>IF(A76="","",IFERROR(IF(INDEX(2_Participantes!$F$6:$F$305,MATCH(A76,2_Participantes!$A$6:$A$305,0))="","",INDEX(2_Participantes!$F$6:$F$305,MATCH(A76,2_Participantes!$A$6:$A$305,0))),"No registrado"))</f>
        <v/>
      </c>
      <c r="H76" s="84">
        <f>IF(A76="","",IFERROR(IF(INDEX(2_Participantes!$L$6:$L$305,MATCH(A76,2_Participantes!$A$6:$A$305,0))="","",INDEX(2_Participantes!$L$6:$L$305,MATCH(A76,2_Participantes!$A$6:$A$305,0))),""))</f>
        <v/>
      </c>
      <c r="I76" s="62">
        <f>IF(A76="","",IF(AND(ISNUMBER(C76),ISNUMBER(D76),G76&lt;&gt;"Excluido"),1,0))</f>
        <v/>
      </c>
      <c r="J76" s="76">
        <f>IF(A76="","",IF(G76="No registrado","Código ausente en 2_Participantes",IF(AND(ISNUMBER(D76),NOT(ISNUMBER(C76))),"Postest sin pretest (huérfano)",IF(OR(AND(ISNUMBER(C76),OR(C76&lt;Inicio!$C$18,C76&gt;Inicio!$C$19)),AND(ISNUMBER(D76),OR(D76&lt;Inicio!$C$18,D76&gt;Inicio!$C$19))),"Fuera de rango",IF(COUNTIF($A$6:$A$305,A76)&gt;1,"Código duplicado","OK")))))</f>
        <v/>
      </c>
    </row>
    <row r="77" ht="15" customHeight="1" s="42">
      <c r="A77" s="71" t="inlineStr">
        <is>
          <t>GU-TDH-083</t>
        </is>
      </c>
      <c r="B77" s="61">
        <f>IF(A77="","",IFERROR(IF(INDEX(2_Participantes!$B$6:$B$305,MATCH(A77,2_Participantes!$A$6:$A$305,0))="","",INDEX(2_Participantes!$B$6:$B$305,MATCH(A77,2_Participantes!$A$6:$A$305,0))),"No registrado"))</f>
        <v/>
      </c>
      <c r="C77" s="83" t="n">
        <v>55</v>
      </c>
      <c r="D77" s="83" t="n">
        <v>72.5</v>
      </c>
      <c r="E77" s="63">
        <f>IF(AND(ISNUMBER(C77),ISNUMBER(D77)),D77-C77,"")</f>
        <v/>
      </c>
      <c r="F77" s="62">
        <f>IF(A77="","",IFERROR(IF(INDEX(2_Participantes!$E$6:$E$305,MATCH(A77,2_Participantes!$A$6:$A$305,0))="","",INDEX(2_Participantes!$E$6:$E$305,MATCH(A77,2_Participantes!$A$6:$A$305,0))),""))</f>
        <v/>
      </c>
      <c r="G77" s="61">
        <f>IF(A77="","",IFERROR(IF(INDEX(2_Participantes!$F$6:$F$305,MATCH(A77,2_Participantes!$A$6:$A$305,0))="","",INDEX(2_Participantes!$F$6:$F$305,MATCH(A77,2_Participantes!$A$6:$A$305,0))),"No registrado"))</f>
        <v/>
      </c>
      <c r="H77" s="84">
        <f>IF(A77="","",IFERROR(IF(INDEX(2_Participantes!$L$6:$L$305,MATCH(A77,2_Participantes!$A$6:$A$305,0))="","",INDEX(2_Participantes!$L$6:$L$305,MATCH(A77,2_Participantes!$A$6:$A$305,0))),""))</f>
        <v/>
      </c>
      <c r="I77" s="62">
        <f>IF(A77="","",IF(AND(ISNUMBER(C77),ISNUMBER(D77),G77&lt;&gt;"Excluido"),1,0))</f>
        <v/>
      </c>
      <c r="J77" s="76">
        <f>IF(A77="","",IF(G77="No registrado","Código ausente en 2_Participantes",IF(AND(ISNUMBER(D77),NOT(ISNUMBER(C77))),"Postest sin pretest (huérfano)",IF(OR(AND(ISNUMBER(C77),OR(C77&lt;Inicio!$C$18,C77&gt;Inicio!$C$19)),AND(ISNUMBER(D77),OR(D77&lt;Inicio!$C$18,D77&gt;Inicio!$C$19))),"Fuera de rango",IF(COUNTIF($A$6:$A$305,A77)&gt;1,"Código duplicado","OK")))))</f>
        <v/>
      </c>
    </row>
    <row r="78" ht="15" customHeight="1" s="42">
      <c r="A78" s="71" t="inlineStr">
        <is>
          <t>GU-TDH-084</t>
        </is>
      </c>
      <c r="B78" s="61">
        <f>IF(A78="","",IFERROR(IF(INDEX(2_Participantes!$B$6:$B$305,MATCH(A78,2_Participantes!$A$6:$A$305,0))="","",INDEX(2_Participantes!$B$6:$B$305,MATCH(A78,2_Participantes!$A$6:$A$305,0))),"No registrado"))</f>
        <v/>
      </c>
      <c r="C78" s="83" t="n">
        <v>47.5</v>
      </c>
      <c r="D78" s="83" t="n">
        <v>67.5</v>
      </c>
      <c r="E78" s="63">
        <f>IF(AND(ISNUMBER(C78),ISNUMBER(D78)),D78-C78,"")</f>
        <v/>
      </c>
      <c r="F78" s="62">
        <f>IF(A78="","",IFERROR(IF(INDEX(2_Participantes!$E$6:$E$305,MATCH(A78,2_Participantes!$A$6:$A$305,0))="","",INDEX(2_Participantes!$E$6:$E$305,MATCH(A78,2_Participantes!$A$6:$A$305,0))),""))</f>
        <v/>
      </c>
      <c r="G78" s="61">
        <f>IF(A78="","",IFERROR(IF(INDEX(2_Participantes!$F$6:$F$305,MATCH(A78,2_Participantes!$A$6:$A$305,0))="","",INDEX(2_Participantes!$F$6:$F$305,MATCH(A78,2_Participantes!$A$6:$A$305,0))),"No registrado"))</f>
        <v/>
      </c>
      <c r="H78" s="84">
        <f>IF(A78="","",IFERROR(IF(INDEX(2_Participantes!$L$6:$L$305,MATCH(A78,2_Participantes!$A$6:$A$305,0))="","",INDEX(2_Participantes!$L$6:$L$305,MATCH(A78,2_Participantes!$A$6:$A$305,0))),""))</f>
        <v/>
      </c>
      <c r="I78" s="62">
        <f>IF(A78="","",IF(AND(ISNUMBER(C78),ISNUMBER(D78),G78&lt;&gt;"Excluido"),1,0))</f>
        <v/>
      </c>
      <c r="J78" s="76">
        <f>IF(A78="","",IF(G78="No registrado","Código ausente en 2_Participantes",IF(AND(ISNUMBER(D78),NOT(ISNUMBER(C78))),"Postest sin pretest (huérfano)",IF(OR(AND(ISNUMBER(C78),OR(C78&lt;Inicio!$C$18,C78&gt;Inicio!$C$19)),AND(ISNUMBER(D78),OR(D78&lt;Inicio!$C$18,D78&gt;Inicio!$C$19))),"Fuera de rango",IF(COUNTIF($A$6:$A$305,A78)&gt;1,"Código duplicado","OK")))))</f>
        <v/>
      </c>
    </row>
    <row r="79" ht="15" customHeight="1" s="42">
      <c r="A79" s="71" t="inlineStr">
        <is>
          <t>GU-TDH-085</t>
        </is>
      </c>
      <c r="B79" s="61">
        <f>IF(A79="","",IFERROR(IF(INDEX(2_Participantes!$B$6:$B$305,MATCH(A79,2_Participantes!$A$6:$A$305,0))="","",INDEX(2_Participantes!$B$6:$B$305,MATCH(A79,2_Participantes!$A$6:$A$305,0))),"No registrado"))</f>
        <v/>
      </c>
      <c r="C79" s="83" t="n">
        <v>62.5</v>
      </c>
      <c r="D79" s="83" t="n">
        <v>72.5</v>
      </c>
      <c r="E79" s="63">
        <f>IF(AND(ISNUMBER(C79),ISNUMBER(D79)),D79-C79,"")</f>
        <v/>
      </c>
      <c r="F79" s="62">
        <f>IF(A79="","",IFERROR(IF(INDEX(2_Participantes!$E$6:$E$305,MATCH(A79,2_Participantes!$A$6:$A$305,0))="","",INDEX(2_Participantes!$E$6:$E$305,MATCH(A79,2_Participantes!$A$6:$A$305,0))),""))</f>
        <v/>
      </c>
      <c r="G79" s="61">
        <f>IF(A79="","",IFERROR(IF(INDEX(2_Participantes!$F$6:$F$305,MATCH(A79,2_Participantes!$A$6:$A$305,0))="","",INDEX(2_Participantes!$F$6:$F$305,MATCH(A79,2_Participantes!$A$6:$A$305,0))),"No registrado"))</f>
        <v/>
      </c>
      <c r="H79" s="84">
        <f>IF(A79="","",IFERROR(IF(INDEX(2_Participantes!$L$6:$L$305,MATCH(A79,2_Participantes!$A$6:$A$305,0))="","",INDEX(2_Participantes!$L$6:$L$305,MATCH(A79,2_Participantes!$A$6:$A$305,0))),""))</f>
        <v/>
      </c>
      <c r="I79" s="62">
        <f>IF(A79="","",IF(AND(ISNUMBER(C79),ISNUMBER(D79),G79&lt;&gt;"Excluido"),1,0))</f>
        <v/>
      </c>
      <c r="J79" s="76">
        <f>IF(A79="","",IF(G79="No registrado","Código ausente en 2_Participantes",IF(AND(ISNUMBER(D79),NOT(ISNUMBER(C79))),"Postest sin pretest (huérfano)",IF(OR(AND(ISNUMBER(C79),OR(C79&lt;Inicio!$C$18,C79&gt;Inicio!$C$19)),AND(ISNUMBER(D79),OR(D79&lt;Inicio!$C$18,D79&gt;Inicio!$C$19))),"Fuera de rango",IF(COUNTIF($A$6:$A$305,A79)&gt;1,"Código duplicado","OK")))))</f>
        <v/>
      </c>
    </row>
    <row r="80" ht="15" customHeight="1" s="42">
      <c r="A80" s="71" t="inlineStr">
        <is>
          <t>GU-TDH-086</t>
        </is>
      </c>
      <c r="B80" s="61">
        <f>IF(A80="","",IFERROR(IF(INDEX(2_Participantes!$B$6:$B$305,MATCH(A80,2_Participantes!$A$6:$A$305,0))="","",INDEX(2_Participantes!$B$6:$B$305,MATCH(A80,2_Participantes!$A$6:$A$305,0))),"No registrado"))</f>
        <v/>
      </c>
      <c r="C80" s="83" t="n">
        <v>47.5</v>
      </c>
      <c r="D80" s="83" t="n">
        <v>67.5</v>
      </c>
      <c r="E80" s="63">
        <f>IF(AND(ISNUMBER(C80),ISNUMBER(D80)),D80-C80,"")</f>
        <v/>
      </c>
      <c r="F80" s="62">
        <f>IF(A80="","",IFERROR(IF(INDEX(2_Participantes!$E$6:$E$305,MATCH(A80,2_Participantes!$A$6:$A$305,0))="","",INDEX(2_Participantes!$E$6:$E$305,MATCH(A80,2_Participantes!$A$6:$A$305,0))),""))</f>
        <v/>
      </c>
      <c r="G80" s="61">
        <f>IF(A80="","",IFERROR(IF(INDEX(2_Participantes!$F$6:$F$305,MATCH(A80,2_Participantes!$A$6:$A$305,0))="","",INDEX(2_Participantes!$F$6:$F$305,MATCH(A80,2_Participantes!$A$6:$A$305,0))),"No registrado"))</f>
        <v/>
      </c>
      <c r="H80" s="84">
        <f>IF(A80="","",IFERROR(IF(INDEX(2_Participantes!$L$6:$L$305,MATCH(A80,2_Participantes!$A$6:$A$305,0))="","",INDEX(2_Participantes!$L$6:$L$305,MATCH(A80,2_Participantes!$A$6:$A$305,0))),""))</f>
        <v/>
      </c>
      <c r="I80" s="62">
        <f>IF(A80="","",IF(AND(ISNUMBER(C80),ISNUMBER(D80),G80&lt;&gt;"Excluido"),1,0))</f>
        <v/>
      </c>
      <c r="J80" s="76">
        <f>IF(A80="","",IF(G80="No registrado","Código ausente en 2_Participantes",IF(AND(ISNUMBER(D80),NOT(ISNUMBER(C80))),"Postest sin pretest (huérfano)",IF(OR(AND(ISNUMBER(C80),OR(C80&lt;Inicio!$C$18,C80&gt;Inicio!$C$19)),AND(ISNUMBER(D80),OR(D80&lt;Inicio!$C$18,D80&gt;Inicio!$C$19))),"Fuera de rango",IF(COUNTIF($A$6:$A$305,A80)&gt;1,"Código duplicado","OK")))))</f>
        <v/>
      </c>
    </row>
    <row r="81" ht="15" customHeight="1" s="42">
      <c r="A81" s="71" t="inlineStr">
        <is>
          <t>GU-TDH-087</t>
        </is>
      </c>
      <c r="B81" s="61">
        <f>IF(A81="","",IFERROR(IF(INDEX(2_Participantes!$B$6:$B$305,MATCH(A81,2_Participantes!$A$6:$A$305,0))="","",INDEX(2_Participantes!$B$6:$B$305,MATCH(A81,2_Participantes!$A$6:$A$305,0))),"No registrado"))</f>
        <v/>
      </c>
      <c r="C81" s="83" t="n">
        <v>67.5</v>
      </c>
      <c r="D81" s="83" t="n">
        <v>82.5</v>
      </c>
      <c r="E81" s="63">
        <f>IF(AND(ISNUMBER(C81),ISNUMBER(D81)),D81-C81,"")</f>
        <v/>
      </c>
      <c r="F81" s="62">
        <f>IF(A81="","",IFERROR(IF(INDEX(2_Participantes!$E$6:$E$305,MATCH(A81,2_Participantes!$A$6:$A$305,0))="","",INDEX(2_Participantes!$E$6:$E$305,MATCH(A81,2_Participantes!$A$6:$A$305,0))),""))</f>
        <v/>
      </c>
      <c r="G81" s="61">
        <f>IF(A81="","",IFERROR(IF(INDEX(2_Participantes!$F$6:$F$305,MATCH(A81,2_Participantes!$A$6:$A$305,0))="","",INDEX(2_Participantes!$F$6:$F$305,MATCH(A81,2_Participantes!$A$6:$A$305,0))),"No registrado"))</f>
        <v/>
      </c>
      <c r="H81" s="84">
        <f>IF(A81="","",IFERROR(IF(INDEX(2_Participantes!$L$6:$L$305,MATCH(A81,2_Participantes!$A$6:$A$305,0))="","",INDEX(2_Participantes!$L$6:$L$305,MATCH(A81,2_Participantes!$A$6:$A$305,0))),""))</f>
        <v/>
      </c>
      <c r="I81" s="62">
        <f>IF(A81="","",IF(AND(ISNUMBER(C81),ISNUMBER(D81),G81&lt;&gt;"Excluido"),1,0))</f>
        <v/>
      </c>
      <c r="J81" s="76">
        <f>IF(A81="","",IF(G81="No registrado","Código ausente en 2_Participantes",IF(AND(ISNUMBER(D81),NOT(ISNUMBER(C81))),"Postest sin pretest (huérfano)",IF(OR(AND(ISNUMBER(C81),OR(C81&lt;Inicio!$C$18,C81&gt;Inicio!$C$19)),AND(ISNUMBER(D81),OR(D81&lt;Inicio!$C$18,D81&gt;Inicio!$C$19))),"Fuera de rango",IF(COUNTIF($A$6:$A$305,A81)&gt;1,"Código duplicado","OK")))))</f>
        <v/>
      </c>
    </row>
    <row r="82" ht="15" customHeight="1" s="42">
      <c r="A82" s="71" t="inlineStr">
        <is>
          <t>GU-TDH-088</t>
        </is>
      </c>
      <c r="B82" s="61">
        <f>IF(A82="","",IFERROR(IF(INDEX(2_Participantes!$B$6:$B$305,MATCH(A82,2_Participantes!$A$6:$A$305,0))="","",INDEX(2_Participantes!$B$6:$B$305,MATCH(A82,2_Participantes!$A$6:$A$305,0))),"No registrado"))</f>
        <v/>
      </c>
      <c r="C82" s="83" t="n">
        <v>65</v>
      </c>
      <c r="D82" s="83" t="n">
        <v>72.5</v>
      </c>
      <c r="E82" s="63">
        <f>IF(AND(ISNUMBER(C82),ISNUMBER(D82)),D82-C82,"")</f>
        <v/>
      </c>
      <c r="F82" s="62">
        <f>IF(A82="","",IFERROR(IF(INDEX(2_Participantes!$E$6:$E$305,MATCH(A82,2_Participantes!$A$6:$A$305,0))="","",INDEX(2_Participantes!$E$6:$E$305,MATCH(A82,2_Participantes!$A$6:$A$305,0))),""))</f>
        <v/>
      </c>
      <c r="G82" s="61">
        <f>IF(A82="","",IFERROR(IF(INDEX(2_Participantes!$F$6:$F$305,MATCH(A82,2_Participantes!$A$6:$A$305,0))="","",INDEX(2_Participantes!$F$6:$F$305,MATCH(A82,2_Participantes!$A$6:$A$305,0))),"No registrado"))</f>
        <v/>
      </c>
      <c r="H82" s="84">
        <f>IF(A82="","",IFERROR(IF(INDEX(2_Participantes!$L$6:$L$305,MATCH(A82,2_Participantes!$A$6:$A$305,0))="","",INDEX(2_Participantes!$L$6:$L$305,MATCH(A82,2_Participantes!$A$6:$A$305,0))),""))</f>
        <v/>
      </c>
      <c r="I82" s="62">
        <f>IF(A82="","",IF(AND(ISNUMBER(C82),ISNUMBER(D82),G82&lt;&gt;"Excluido"),1,0))</f>
        <v/>
      </c>
      <c r="J82" s="76">
        <f>IF(A82="","",IF(G82="No registrado","Código ausente en 2_Participantes",IF(AND(ISNUMBER(D82),NOT(ISNUMBER(C82))),"Postest sin pretest (huérfano)",IF(OR(AND(ISNUMBER(C82),OR(C82&lt;Inicio!$C$18,C82&gt;Inicio!$C$19)),AND(ISNUMBER(D82),OR(D82&lt;Inicio!$C$18,D82&gt;Inicio!$C$19))),"Fuera de rango",IF(COUNTIF($A$6:$A$305,A82)&gt;1,"Código duplicado","OK")))))</f>
        <v/>
      </c>
    </row>
    <row r="83" ht="15" customHeight="1" s="42">
      <c r="A83" s="71" t="inlineStr">
        <is>
          <t>GU-TDH-089</t>
        </is>
      </c>
      <c r="B83" s="61">
        <f>IF(A83="","",IFERROR(IF(INDEX(2_Participantes!$B$6:$B$305,MATCH(A83,2_Participantes!$A$6:$A$305,0))="","",INDEX(2_Participantes!$B$6:$B$305,MATCH(A83,2_Participantes!$A$6:$A$305,0))),"No registrado"))</f>
        <v/>
      </c>
      <c r="C83" s="83" t="n">
        <v>62.5</v>
      </c>
      <c r="D83" s="83" t="n">
        <v>77.5</v>
      </c>
      <c r="E83" s="63">
        <f>IF(AND(ISNUMBER(C83),ISNUMBER(D83)),D83-C83,"")</f>
        <v/>
      </c>
      <c r="F83" s="62">
        <f>IF(A83="","",IFERROR(IF(INDEX(2_Participantes!$E$6:$E$305,MATCH(A83,2_Participantes!$A$6:$A$305,0))="","",INDEX(2_Participantes!$E$6:$E$305,MATCH(A83,2_Participantes!$A$6:$A$305,0))),""))</f>
        <v/>
      </c>
      <c r="G83" s="61">
        <f>IF(A83="","",IFERROR(IF(INDEX(2_Participantes!$F$6:$F$305,MATCH(A83,2_Participantes!$A$6:$A$305,0))="","",INDEX(2_Participantes!$F$6:$F$305,MATCH(A83,2_Participantes!$A$6:$A$305,0))),"No registrado"))</f>
        <v/>
      </c>
      <c r="H83" s="84">
        <f>IF(A83="","",IFERROR(IF(INDEX(2_Participantes!$L$6:$L$305,MATCH(A83,2_Participantes!$A$6:$A$305,0))="","",INDEX(2_Participantes!$L$6:$L$305,MATCH(A83,2_Participantes!$A$6:$A$305,0))),""))</f>
        <v/>
      </c>
      <c r="I83" s="62">
        <f>IF(A83="","",IF(AND(ISNUMBER(C83),ISNUMBER(D83),G83&lt;&gt;"Excluido"),1,0))</f>
        <v/>
      </c>
      <c r="J83" s="76">
        <f>IF(A83="","",IF(G83="No registrado","Código ausente en 2_Participantes",IF(AND(ISNUMBER(D83),NOT(ISNUMBER(C83))),"Postest sin pretest (huérfano)",IF(OR(AND(ISNUMBER(C83),OR(C83&lt;Inicio!$C$18,C83&gt;Inicio!$C$19)),AND(ISNUMBER(D83),OR(D83&lt;Inicio!$C$18,D83&gt;Inicio!$C$19))),"Fuera de rango",IF(COUNTIF($A$6:$A$305,A83)&gt;1,"Código duplicado","OK")))))</f>
        <v/>
      </c>
    </row>
    <row r="84" ht="15" customHeight="1" s="42">
      <c r="A84" s="71" t="inlineStr">
        <is>
          <t>GU-TDH-090</t>
        </is>
      </c>
      <c r="B84" s="61">
        <f>IF(A84="","",IFERROR(IF(INDEX(2_Participantes!$B$6:$B$305,MATCH(A84,2_Participantes!$A$6:$A$305,0))="","",INDEX(2_Participantes!$B$6:$B$305,MATCH(A84,2_Participantes!$A$6:$A$305,0))),"No registrado"))</f>
        <v/>
      </c>
      <c r="C84" s="83" t="n">
        <v>62.5</v>
      </c>
      <c r="D84" s="83" t="n">
        <v>85</v>
      </c>
      <c r="E84" s="63">
        <f>IF(AND(ISNUMBER(C84),ISNUMBER(D84)),D84-C84,"")</f>
        <v/>
      </c>
      <c r="F84" s="62">
        <f>IF(A84="","",IFERROR(IF(INDEX(2_Participantes!$E$6:$E$305,MATCH(A84,2_Participantes!$A$6:$A$305,0))="","",INDEX(2_Participantes!$E$6:$E$305,MATCH(A84,2_Participantes!$A$6:$A$305,0))),""))</f>
        <v/>
      </c>
      <c r="G84" s="61">
        <f>IF(A84="","",IFERROR(IF(INDEX(2_Participantes!$F$6:$F$305,MATCH(A84,2_Participantes!$A$6:$A$305,0))="","",INDEX(2_Participantes!$F$6:$F$305,MATCH(A84,2_Participantes!$A$6:$A$305,0))),"No registrado"))</f>
        <v/>
      </c>
      <c r="H84" s="84">
        <f>IF(A84="","",IFERROR(IF(INDEX(2_Participantes!$L$6:$L$305,MATCH(A84,2_Participantes!$A$6:$A$305,0))="","",INDEX(2_Participantes!$L$6:$L$305,MATCH(A84,2_Participantes!$A$6:$A$305,0))),""))</f>
        <v/>
      </c>
      <c r="I84" s="62">
        <f>IF(A84="","",IF(AND(ISNUMBER(C84),ISNUMBER(D84),G84&lt;&gt;"Excluido"),1,0))</f>
        <v/>
      </c>
      <c r="J84" s="76">
        <f>IF(A84="","",IF(G84="No registrado","Código ausente en 2_Participantes",IF(AND(ISNUMBER(D84),NOT(ISNUMBER(C84))),"Postest sin pretest (huérfano)",IF(OR(AND(ISNUMBER(C84),OR(C84&lt;Inicio!$C$18,C84&gt;Inicio!$C$19)),AND(ISNUMBER(D84),OR(D84&lt;Inicio!$C$18,D84&gt;Inicio!$C$19))),"Fuera de rango",IF(COUNTIF($A$6:$A$305,A84)&gt;1,"Código duplicado","OK")))))</f>
        <v/>
      </c>
    </row>
    <row r="85" ht="15" customHeight="1" s="42">
      <c r="A85" s="71" t="inlineStr">
        <is>
          <t>GU-TDH-091</t>
        </is>
      </c>
      <c r="B85" s="61">
        <f>IF(A85="","",IFERROR(IF(INDEX(2_Participantes!$B$6:$B$305,MATCH(A85,2_Participantes!$A$6:$A$305,0))="","",INDEX(2_Participantes!$B$6:$B$305,MATCH(A85,2_Participantes!$A$6:$A$305,0))),"No registrado"))</f>
        <v/>
      </c>
      <c r="C85" s="83" t="n">
        <v>52.5</v>
      </c>
      <c r="D85" s="83" t="n">
        <v>65</v>
      </c>
      <c r="E85" s="63">
        <f>IF(AND(ISNUMBER(C85),ISNUMBER(D85)),D85-C85,"")</f>
        <v/>
      </c>
      <c r="F85" s="62">
        <f>IF(A85="","",IFERROR(IF(INDEX(2_Participantes!$E$6:$E$305,MATCH(A85,2_Participantes!$A$6:$A$305,0))="","",INDEX(2_Participantes!$E$6:$E$305,MATCH(A85,2_Participantes!$A$6:$A$305,0))),""))</f>
        <v/>
      </c>
      <c r="G85" s="61">
        <f>IF(A85="","",IFERROR(IF(INDEX(2_Participantes!$F$6:$F$305,MATCH(A85,2_Participantes!$A$6:$A$305,0))="","",INDEX(2_Participantes!$F$6:$F$305,MATCH(A85,2_Participantes!$A$6:$A$305,0))),"No registrado"))</f>
        <v/>
      </c>
      <c r="H85" s="84">
        <f>IF(A85="","",IFERROR(IF(INDEX(2_Participantes!$L$6:$L$305,MATCH(A85,2_Participantes!$A$6:$A$305,0))="","",INDEX(2_Participantes!$L$6:$L$305,MATCH(A85,2_Participantes!$A$6:$A$305,0))),""))</f>
        <v/>
      </c>
      <c r="I85" s="62">
        <f>IF(A85="","",IF(AND(ISNUMBER(C85),ISNUMBER(D85),G85&lt;&gt;"Excluido"),1,0))</f>
        <v/>
      </c>
      <c r="J85" s="76">
        <f>IF(A85="","",IF(G85="No registrado","Código ausente en 2_Participantes",IF(AND(ISNUMBER(D85),NOT(ISNUMBER(C85))),"Postest sin pretest (huérfano)",IF(OR(AND(ISNUMBER(C85),OR(C85&lt;Inicio!$C$18,C85&gt;Inicio!$C$19)),AND(ISNUMBER(D85),OR(D85&lt;Inicio!$C$18,D85&gt;Inicio!$C$19))),"Fuera de rango",IF(COUNTIF($A$6:$A$305,A85)&gt;1,"Código duplicado","OK")))))</f>
        <v/>
      </c>
    </row>
    <row r="86" ht="15" customHeight="1" s="42">
      <c r="A86" s="71" t="inlineStr">
        <is>
          <t>GU-TDH-092</t>
        </is>
      </c>
      <c r="B86" s="61">
        <f>IF(A86="","",IFERROR(IF(INDEX(2_Participantes!$B$6:$B$305,MATCH(A86,2_Participantes!$A$6:$A$305,0))="","",INDEX(2_Participantes!$B$6:$B$305,MATCH(A86,2_Participantes!$A$6:$A$305,0))),"No registrado"))</f>
        <v/>
      </c>
      <c r="C86" s="83" t="n">
        <v>65</v>
      </c>
      <c r="D86" s="83" t="n">
        <v>72.5</v>
      </c>
      <c r="E86" s="63">
        <f>IF(AND(ISNUMBER(C86),ISNUMBER(D86)),D86-C86,"")</f>
        <v/>
      </c>
      <c r="F86" s="62">
        <f>IF(A86="","",IFERROR(IF(INDEX(2_Participantes!$E$6:$E$305,MATCH(A86,2_Participantes!$A$6:$A$305,0))="","",INDEX(2_Participantes!$E$6:$E$305,MATCH(A86,2_Participantes!$A$6:$A$305,0))),""))</f>
        <v/>
      </c>
      <c r="G86" s="61">
        <f>IF(A86="","",IFERROR(IF(INDEX(2_Participantes!$F$6:$F$305,MATCH(A86,2_Participantes!$A$6:$A$305,0))="","",INDEX(2_Participantes!$F$6:$F$305,MATCH(A86,2_Participantes!$A$6:$A$305,0))),"No registrado"))</f>
        <v/>
      </c>
      <c r="H86" s="84">
        <f>IF(A86="","",IFERROR(IF(INDEX(2_Participantes!$L$6:$L$305,MATCH(A86,2_Participantes!$A$6:$A$305,0))="","",INDEX(2_Participantes!$L$6:$L$305,MATCH(A86,2_Participantes!$A$6:$A$305,0))),""))</f>
        <v/>
      </c>
      <c r="I86" s="62">
        <f>IF(A86="","",IF(AND(ISNUMBER(C86),ISNUMBER(D86),G86&lt;&gt;"Excluido"),1,0))</f>
        <v/>
      </c>
      <c r="J86" s="76">
        <f>IF(A86="","",IF(G86="No registrado","Código ausente en 2_Participantes",IF(AND(ISNUMBER(D86),NOT(ISNUMBER(C86))),"Postest sin pretest (huérfano)",IF(OR(AND(ISNUMBER(C86),OR(C86&lt;Inicio!$C$18,C86&gt;Inicio!$C$19)),AND(ISNUMBER(D86),OR(D86&lt;Inicio!$C$18,D86&gt;Inicio!$C$19))),"Fuera de rango",IF(COUNTIF($A$6:$A$305,A86)&gt;1,"Código duplicado","OK")))))</f>
        <v/>
      </c>
    </row>
    <row r="87" ht="15" customHeight="1" s="42">
      <c r="A87" s="71" t="inlineStr">
        <is>
          <t>GU-TDH-093</t>
        </is>
      </c>
      <c r="B87" s="61">
        <f>IF(A87="","",IFERROR(IF(INDEX(2_Participantes!$B$6:$B$305,MATCH(A87,2_Participantes!$A$6:$A$305,0))="","",INDEX(2_Participantes!$B$6:$B$305,MATCH(A87,2_Participantes!$A$6:$A$305,0))),"No registrado"))</f>
        <v/>
      </c>
      <c r="C87" s="83" t="n">
        <v>42.5</v>
      </c>
      <c r="D87" s="83" t="n">
        <v>55</v>
      </c>
      <c r="E87" s="63">
        <f>IF(AND(ISNUMBER(C87),ISNUMBER(D87)),D87-C87,"")</f>
        <v/>
      </c>
      <c r="F87" s="62">
        <f>IF(A87="","",IFERROR(IF(INDEX(2_Participantes!$E$6:$E$305,MATCH(A87,2_Participantes!$A$6:$A$305,0))="","",INDEX(2_Participantes!$E$6:$E$305,MATCH(A87,2_Participantes!$A$6:$A$305,0))),""))</f>
        <v/>
      </c>
      <c r="G87" s="61">
        <f>IF(A87="","",IFERROR(IF(INDEX(2_Participantes!$F$6:$F$305,MATCH(A87,2_Participantes!$A$6:$A$305,0))="","",INDEX(2_Participantes!$F$6:$F$305,MATCH(A87,2_Participantes!$A$6:$A$305,0))),"No registrado"))</f>
        <v/>
      </c>
      <c r="H87" s="84">
        <f>IF(A87="","",IFERROR(IF(INDEX(2_Participantes!$L$6:$L$305,MATCH(A87,2_Participantes!$A$6:$A$305,0))="","",INDEX(2_Participantes!$L$6:$L$305,MATCH(A87,2_Participantes!$A$6:$A$305,0))),""))</f>
        <v/>
      </c>
      <c r="I87" s="62">
        <f>IF(A87="","",IF(AND(ISNUMBER(C87),ISNUMBER(D87),G87&lt;&gt;"Excluido"),1,0))</f>
        <v/>
      </c>
      <c r="J87" s="76">
        <f>IF(A87="","",IF(G87="No registrado","Código ausente en 2_Participantes",IF(AND(ISNUMBER(D87),NOT(ISNUMBER(C87))),"Postest sin pretest (huérfano)",IF(OR(AND(ISNUMBER(C87),OR(C87&lt;Inicio!$C$18,C87&gt;Inicio!$C$19)),AND(ISNUMBER(D87),OR(D87&lt;Inicio!$C$18,D87&gt;Inicio!$C$19))),"Fuera de rango",IF(COUNTIF($A$6:$A$305,A87)&gt;1,"Código duplicado","OK")))))</f>
        <v/>
      </c>
    </row>
    <row r="88" ht="15" customHeight="1" s="42">
      <c r="A88" s="71" t="inlineStr">
        <is>
          <t>GU-TDH-095</t>
        </is>
      </c>
      <c r="B88" s="61">
        <f>IF(A88="","",IFERROR(IF(INDEX(2_Participantes!$B$6:$B$305,MATCH(A88,2_Participantes!$A$6:$A$305,0))="","",INDEX(2_Participantes!$B$6:$B$305,MATCH(A88,2_Participantes!$A$6:$A$305,0))),"No registrado"))</f>
        <v/>
      </c>
      <c r="C88" s="83" t="n">
        <v>72.5</v>
      </c>
      <c r="D88" s="83" t="n">
        <v>85</v>
      </c>
      <c r="E88" s="63">
        <f>IF(AND(ISNUMBER(C88),ISNUMBER(D88)),D88-C88,"")</f>
        <v/>
      </c>
      <c r="F88" s="62">
        <f>IF(A88="","",IFERROR(IF(INDEX(2_Participantes!$E$6:$E$305,MATCH(A88,2_Participantes!$A$6:$A$305,0))="","",INDEX(2_Participantes!$E$6:$E$305,MATCH(A88,2_Participantes!$A$6:$A$305,0))),""))</f>
        <v/>
      </c>
      <c r="G88" s="61">
        <f>IF(A88="","",IFERROR(IF(INDEX(2_Participantes!$F$6:$F$305,MATCH(A88,2_Participantes!$A$6:$A$305,0))="","",INDEX(2_Participantes!$F$6:$F$305,MATCH(A88,2_Participantes!$A$6:$A$305,0))),"No registrado"))</f>
        <v/>
      </c>
      <c r="H88" s="84">
        <f>IF(A88="","",IFERROR(IF(INDEX(2_Participantes!$L$6:$L$305,MATCH(A88,2_Participantes!$A$6:$A$305,0))="","",INDEX(2_Participantes!$L$6:$L$305,MATCH(A88,2_Participantes!$A$6:$A$305,0))),""))</f>
        <v/>
      </c>
      <c r="I88" s="62">
        <f>IF(A88="","",IF(AND(ISNUMBER(C88),ISNUMBER(D88),G88&lt;&gt;"Excluido"),1,0))</f>
        <v/>
      </c>
      <c r="J88" s="76">
        <f>IF(A88="","",IF(G88="No registrado","Código ausente en 2_Participantes",IF(AND(ISNUMBER(D88),NOT(ISNUMBER(C88))),"Postest sin pretest (huérfano)",IF(OR(AND(ISNUMBER(C88),OR(C88&lt;Inicio!$C$18,C88&gt;Inicio!$C$19)),AND(ISNUMBER(D88),OR(D88&lt;Inicio!$C$18,D88&gt;Inicio!$C$19))),"Fuera de rango",IF(COUNTIF($A$6:$A$305,A88)&gt;1,"Código duplicado","OK")))))</f>
        <v/>
      </c>
    </row>
    <row r="89" ht="15" customHeight="1" s="42">
      <c r="A89" s="71" t="inlineStr">
        <is>
          <t>GU-TDH-097</t>
        </is>
      </c>
      <c r="B89" s="61">
        <f>IF(A89="","",IFERROR(IF(INDEX(2_Participantes!$B$6:$B$305,MATCH(A89,2_Participantes!$A$6:$A$305,0))="","",INDEX(2_Participantes!$B$6:$B$305,MATCH(A89,2_Participantes!$A$6:$A$305,0))),"No registrado"))</f>
        <v/>
      </c>
      <c r="C89" s="83" t="n">
        <v>47.5</v>
      </c>
      <c r="D89" s="83" t="n">
        <v>65</v>
      </c>
      <c r="E89" s="63">
        <f>IF(AND(ISNUMBER(C89),ISNUMBER(D89)),D89-C89,"")</f>
        <v/>
      </c>
      <c r="F89" s="62">
        <f>IF(A89="","",IFERROR(IF(INDEX(2_Participantes!$E$6:$E$305,MATCH(A89,2_Participantes!$A$6:$A$305,0))="","",INDEX(2_Participantes!$E$6:$E$305,MATCH(A89,2_Participantes!$A$6:$A$305,0))),""))</f>
        <v/>
      </c>
      <c r="G89" s="61">
        <f>IF(A89="","",IFERROR(IF(INDEX(2_Participantes!$F$6:$F$305,MATCH(A89,2_Participantes!$A$6:$A$305,0))="","",INDEX(2_Participantes!$F$6:$F$305,MATCH(A89,2_Participantes!$A$6:$A$305,0))),"No registrado"))</f>
        <v/>
      </c>
      <c r="H89" s="84">
        <f>IF(A89="","",IFERROR(IF(INDEX(2_Participantes!$L$6:$L$305,MATCH(A89,2_Participantes!$A$6:$A$305,0))="","",INDEX(2_Participantes!$L$6:$L$305,MATCH(A89,2_Participantes!$A$6:$A$305,0))),""))</f>
        <v/>
      </c>
      <c r="I89" s="62">
        <f>IF(A89="","",IF(AND(ISNUMBER(C89),ISNUMBER(D89),G89&lt;&gt;"Excluido"),1,0))</f>
        <v/>
      </c>
      <c r="J89" s="76">
        <f>IF(A89="","",IF(G89="No registrado","Código ausente en 2_Participantes",IF(AND(ISNUMBER(D89),NOT(ISNUMBER(C89))),"Postest sin pretest (huérfano)",IF(OR(AND(ISNUMBER(C89),OR(C89&lt;Inicio!$C$18,C89&gt;Inicio!$C$19)),AND(ISNUMBER(D89),OR(D89&lt;Inicio!$C$18,D89&gt;Inicio!$C$19))),"Fuera de rango",IF(COUNTIF($A$6:$A$305,A89)&gt;1,"Código duplicado","OK")))))</f>
        <v/>
      </c>
    </row>
    <row r="90" ht="15" customHeight="1" s="42">
      <c r="A90" s="71" t="inlineStr">
        <is>
          <t>GU-TDH-098</t>
        </is>
      </c>
      <c r="B90" s="61">
        <f>IF(A90="","",IFERROR(IF(INDEX(2_Participantes!$B$6:$B$305,MATCH(A90,2_Participantes!$A$6:$A$305,0))="","",INDEX(2_Participantes!$B$6:$B$305,MATCH(A90,2_Participantes!$A$6:$A$305,0))),"No registrado"))</f>
        <v/>
      </c>
      <c r="C90" s="83" t="n">
        <v>45</v>
      </c>
      <c r="D90" s="83" t="n">
        <v>60</v>
      </c>
      <c r="E90" s="63">
        <f>IF(AND(ISNUMBER(C90),ISNUMBER(D90)),D90-C90,"")</f>
        <v/>
      </c>
      <c r="F90" s="62">
        <f>IF(A90="","",IFERROR(IF(INDEX(2_Participantes!$E$6:$E$305,MATCH(A90,2_Participantes!$A$6:$A$305,0))="","",INDEX(2_Participantes!$E$6:$E$305,MATCH(A90,2_Participantes!$A$6:$A$305,0))),""))</f>
        <v/>
      </c>
      <c r="G90" s="61">
        <f>IF(A90="","",IFERROR(IF(INDEX(2_Participantes!$F$6:$F$305,MATCH(A90,2_Participantes!$A$6:$A$305,0))="","",INDEX(2_Participantes!$F$6:$F$305,MATCH(A90,2_Participantes!$A$6:$A$305,0))),"No registrado"))</f>
        <v/>
      </c>
      <c r="H90" s="84">
        <f>IF(A90="","",IFERROR(IF(INDEX(2_Participantes!$L$6:$L$305,MATCH(A90,2_Participantes!$A$6:$A$305,0))="","",INDEX(2_Participantes!$L$6:$L$305,MATCH(A90,2_Participantes!$A$6:$A$305,0))),""))</f>
        <v/>
      </c>
      <c r="I90" s="62">
        <f>IF(A90="","",IF(AND(ISNUMBER(C90),ISNUMBER(D90),G90&lt;&gt;"Excluido"),1,0))</f>
        <v/>
      </c>
      <c r="J90" s="76">
        <f>IF(A90="","",IF(G90="No registrado","Código ausente en 2_Participantes",IF(AND(ISNUMBER(D90),NOT(ISNUMBER(C90))),"Postest sin pretest (huérfano)",IF(OR(AND(ISNUMBER(C90),OR(C90&lt;Inicio!$C$18,C90&gt;Inicio!$C$19)),AND(ISNUMBER(D90),OR(D90&lt;Inicio!$C$18,D90&gt;Inicio!$C$19))),"Fuera de rango",IF(COUNTIF($A$6:$A$305,A90)&gt;1,"Código duplicado","OK")))))</f>
        <v/>
      </c>
    </row>
    <row r="91" ht="15" customHeight="1" s="42">
      <c r="A91" s="71" t="inlineStr">
        <is>
          <t>GU-TDH-099</t>
        </is>
      </c>
      <c r="B91" s="61">
        <f>IF(A91="","",IFERROR(IF(INDEX(2_Participantes!$B$6:$B$305,MATCH(A91,2_Participantes!$A$6:$A$305,0))="","",INDEX(2_Participantes!$B$6:$B$305,MATCH(A91,2_Participantes!$A$6:$A$305,0))),"No registrado"))</f>
        <v/>
      </c>
      <c r="C91" s="83" t="n">
        <v>50</v>
      </c>
      <c r="D91" s="83" t="n">
        <v>65</v>
      </c>
      <c r="E91" s="63">
        <f>IF(AND(ISNUMBER(C91),ISNUMBER(D91)),D91-C91,"")</f>
        <v/>
      </c>
      <c r="F91" s="62">
        <f>IF(A91="","",IFERROR(IF(INDEX(2_Participantes!$E$6:$E$305,MATCH(A91,2_Participantes!$A$6:$A$305,0))="","",INDEX(2_Participantes!$E$6:$E$305,MATCH(A91,2_Participantes!$A$6:$A$305,0))),""))</f>
        <v/>
      </c>
      <c r="G91" s="61">
        <f>IF(A91="","",IFERROR(IF(INDEX(2_Participantes!$F$6:$F$305,MATCH(A91,2_Participantes!$A$6:$A$305,0))="","",INDEX(2_Participantes!$F$6:$F$305,MATCH(A91,2_Participantes!$A$6:$A$305,0))),"No registrado"))</f>
        <v/>
      </c>
      <c r="H91" s="84">
        <f>IF(A91="","",IFERROR(IF(INDEX(2_Participantes!$L$6:$L$305,MATCH(A91,2_Participantes!$A$6:$A$305,0))="","",INDEX(2_Participantes!$L$6:$L$305,MATCH(A91,2_Participantes!$A$6:$A$305,0))),""))</f>
        <v/>
      </c>
      <c r="I91" s="62">
        <f>IF(A91="","",IF(AND(ISNUMBER(C91),ISNUMBER(D91),G91&lt;&gt;"Excluido"),1,0))</f>
        <v/>
      </c>
      <c r="J91" s="76">
        <f>IF(A91="","",IF(G91="No registrado","Código ausente en 2_Participantes",IF(AND(ISNUMBER(D91),NOT(ISNUMBER(C91))),"Postest sin pretest (huérfano)",IF(OR(AND(ISNUMBER(C91),OR(C91&lt;Inicio!$C$18,C91&gt;Inicio!$C$19)),AND(ISNUMBER(D91),OR(D91&lt;Inicio!$C$18,D91&gt;Inicio!$C$19))),"Fuera de rango",IF(COUNTIF($A$6:$A$305,A91)&gt;1,"Código duplicado","OK")))))</f>
        <v/>
      </c>
    </row>
    <row r="92" ht="15" customHeight="1" s="42">
      <c r="A92" s="71" t="inlineStr">
        <is>
          <t>GU-TDH-100</t>
        </is>
      </c>
      <c r="B92" s="61">
        <f>IF(A92="","",IFERROR(IF(INDEX(2_Participantes!$B$6:$B$305,MATCH(A92,2_Participantes!$A$6:$A$305,0))="","",INDEX(2_Participantes!$B$6:$B$305,MATCH(A92,2_Participantes!$A$6:$A$305,0))),"No registrado"))</f>
        <v/>
      </c>
      <c r="C92" s="83" t="n">
        <v>60</v>
      </c>
      <c r="D92" s="83" t="n">
        <v>72.5</v>
      </c>
      <c r="E92" s="63">
        <f>IF(AND(ISNUMBER(C92),ISNUMBER(D92)),D92-C92,"")</f>
        <v/>
      </c>
      <c r="F92" s="62">
        <f>IF(A92="","",IFERROR(IF(INDEX(2_Participantes!$E$6:$E$305,MATCH(A92,2_Participantes!$A$6:$A$305,0))="","",INDEX(2_Participantes!$E$6:$E$305,MATCH(A92,2_Participantes!$A$6:$A$305,0))),""))</f>
        <v/>
      </c>
      <c r="G92" s="61">
        <f>IF(A92="","",IFERROR(IF(INDEX(2_Participantes!$F$6:$F$305,MATCH(A92,2_Participantes!$A$6:$A$305,0))="","",INDEX(2_Participantes!$F$6:$F$305,MATCH(A92,2_Participantes!$A$6:$A$305,0))),"No registrado"))</f>
        <v/>
      </c>
      <c r="H92" s="84">
        <f>IF(A92="","",IFERROR(IF(INDEX(2_Participantes!$L$6:$L$305,MATCH(A92,2_Participantes!$A$6:$A$305,0))="","",INDEX(2_Participantes!$L$6:$L$305,MATCH(A92,2_Participantes!$A$6:$A$305,0))),""))</f>
        <v/>
      </c>
      <c r="I92" s="62">
        <f>IF(A92="","",IF(AND(ISNUMBER(C92),ISNUMBER(D92),G92&lt;&gt;"Excluido"),1,0))</f>
        <v/>
      </c>
      <c r="J92" s="76">
        <f>IF(A92="","",IF(G92="No registrado","Código ausente en 2_Participantes",IF(AND(ISNUMBER(D92),NOT(ISNUMBER(C92))),"Postest sin pretest (huérfano)",IF(OR(AND(ISNUMBER(C92),OR(C92&lt;Inicio!$C$18,C92&gt;Inicio!$C$19)),AND(ISNUMBER(D92),OR(D92&lt;Inicio!$C$18,D92&gt;Inicio!$C$19))),"Fuera de rango",IF(COUNTIF($A$6:$A$305,A92)&gt;1,"Código duplicado","OK")))))</f>
        <v/>
      </c>
    </row>
    <row r="93" ht="15" customHeight="1" s="42">
      <c r="A93" s="71" t="inlineStr">
        <is>
          <t>GU-TDH-101</t>
        </is>
      </c>
      <c r="B93" s="61">
        <f>IF(A93="","",IFERROR(IF(INDEX(2_Participantes!$B$6:$B$305,MATCH(A93,2_Participantes!$A$6:$A$305,0))="","",INDEX(2_Participantes!$B$6:$B$305,MATCH(A93,2_Participantes!$A$6:$A$305,0))),"No registrado"))</f>
        <v/>
      </c>
      <c r="C93" s="83" t="n">
        <v>47.5</v>
      </c>
      <c r="D93" s="83" t="n">
        <v>65</v>
      </c>
      <c r="E93" s="63">
        <f>IF(AND(ISNUMBER(C93),ISNUMBER(D93)),D93-C93,"")</f>
        <v/>
      </c>
      <c r="F93" s="62">
        <f>IF(A93="","",IFERROR(IF(INDEX(2_Participantes!$E$6:$E$305,MATCH(A93,2_Participantes!$A$6:$A$305,0))="","",INDEX(2_Participantes!$E$6:$E$305,MATCH(A93,2_Participantes!$A$6:$A$305,0))),""))</f>
        <v/>
      </c>
      <c r="G93" s="61">
        <f>IF(A93="","",IFERROR(IF(INDEX(2_Participantes!$F$6:$F$305,MATCH(A93,2_Participantes!$A$6:$A$305,0))="","",INDEX(2_Participantes!$F$6:$F$305,MATCH(A93,2_Participantes!$A$6:$A$305,0))),"No registrado"))</f>
        <v/>
      </c>
      <c r="H93" s="84">
        <f>IF(A93="","",IFERROR(IF(INDEX(2_Participantes!$L$6:$L$305,MATCH(A93,2_Participantes!$A$6:$A$305,0))="","",INDEX(2_Participantes!$L$6:$L$305,MATCH(A93,2_Participantes!$A$6:$A$305,0))),""))</f>
        <v/>
      </c>
      <c r="I93" s="62">
        <f>IF(A93="","",IF(AND(ISNUMBER(C93),ISNUMBER(D93),G93&lt;&gt;"Excluido"),1,0))</f>
        <v/>
      </c>
      <c r="J93" s="76">
        <f>IF(A93="","",IF(G93="No registrado","Código ausente en 2_Participantes",IF(AND(ISNUMBER(D93),NOT(ISNUMBER(C93))),"Postest sin pretest (huérfano)",IF(OR(AND(ISNUMBER(C93),OR(C93&lt;Inicio!$C$18,C93&gt;Inicio!$C$19)),AND(ISNUMBER(D93),OR(D93&lt;Inicio!$C$18,D93&gt;Inicio!$C$19))),"Fuera de rango",IF(COUNTIF($A$6:$A$305,A93)&gt;1,"Código duplicado","OK")))))</f>
        <v/>
      </c>
    </row>
    <row r="94" ht="15" customHeight="1" s="42">
      <c r="A94" s="71" t="inlineStr">
        <is>
          <t>GU-TDH-102</t>
        </is>
      </c>
      <c r="B94" s="61">
        <f>IF(A94="","",IFERROR(IF(INDEX(2_Participantes!$B$6:$B$305,MATCH(A94,2_Participantes!$A$6:$A$305,0))="","",INDEX(2_Participantes!$B$6:$B$305,MATCH(A94,2_Participantes!$A$6:$A$305,0))),"No registrado"))</f>
        <v/>
      </c>
      <c r="C94" s="83" t="n">
        <v>67.5</v>
      </c>
      <c r="D94" s="83" t="n">
        <v>87.5</v>
      </c>
      <c r="E94" s="63">
        <f>IF(AND(ISNUMBER(C94),ISNUMBER(D94)),D94-C94,"")</f>
        <v/>
      </c>
      <c r="F94" s="62">
        <f>IF(A94="","",IFERROR(IF(INDEX(2_Participantes!$E$6:$E$305,MATCH(A94,2_Participantes!$A$6:$A$305,0))="","",INDEX(2_Participantes!$E$6:$E$305,MATCH(A94,2_Participantes!$A$6:$A$305,0))),""))</f>
        <v/>
      </c>
      <c r="G94" s="61">
        <f>IF(A94="","",IFERROR(IF(INDEX(2_Participantes!$F$6:$F$305,MATCH(A94,2_Participantes!$A$6:$A$305,0))="","",INDEX(2_Participantes!$F$6:$F$305,MATCH(A94,2_Participantes!$A$6:$A$305,0))),"No registrado"))</f>
        <v/>
      </c>
      <c r="H94" s="84">
        <f>IF(A94="","",IFERROR(IF(INDEX(2_Participantes!$L$6:$L$305,MATCH(A94,2_Participantes!$A$6:$A$305,0))="","",INDEX(2_Participantes!$L$6:$L$305,MATCH(A94,2_Participantes!$A$6:$A$305,0))),""))</f>
        <v/>
      </c>
      <c r="I94" s="62">
        <f>IF(A94="","",IF(AND(ISNUMBER(C94),ISNUMBER(D94),G94&lt;&gt;"Excluido"),1,0))</f>
        <v/>
      </c>
      <c r="J94" s="76">
        <f>IF(A94="","",IF(G94="No registrado","Código ausente en 2_Participantes",IF(AND(ISNUMBER(D94),NOT(ISNUMBER(C94))),"Postest sin pretest (huérfano)",IF(OR(AND(ISNUMBER(C94),OR(C94&lt;Inicio!$C$18,C94&gt;Inicio!$C$19)),AND(ISNUMBER(D94),OR(D94&lt;Inicio!$C$18,D94&gt;Inicio!$C$19))),"Fuera de rango",IF(COUNTIF($A$6:$A$305,A94)&gt;1,"Código duplicado","OK")))))</f>
        <v/>
      </c>
    </row>
    <row r="95" ht="15" customHeight="1" s="42">
      <c r="A95" s="71" t="inlineStr">
        <is>
          <t>GU-TDH-103</t>
        </is>
      </c>
      <c r="B95" s="61">
        <f>IF(A95="","",IFERROR(IF(INDEX(2_Participantes!$B$6:$B$305,MATCH(A95,2_Participantes!$A$6:$A$305,0))="","",INDEX(2_Participantes!$B$6:$B$305,MATCH(A95,2_Participantes!$A$6:$A$305,0))),"No registrado"))</f>
        <v/>
      </c>
      <c r="C95" s="83" t="n">
        <v>55</v>
      </c>
      <c r="D95" s="83" t="n">
        <v>67.5</v>
      </c>
      <c r="E95" s="63">
        <f>IF(AND(ISNUMBER(C95),ISNUMBER(D95)),D95-C95,"")</f>
        <v/>
      </c>
      <c r="F95" s="62">
        <f>IF(A95="","",IFERROR(IF(INDEX(2_Participantes!$E$6:$E$305,MATCH(A95,2_Participantes!$A$6:$A$305,0))="","",INDEX(2_Participantes!$E$6:$E$305,MATCH(A95,2_Participantes!$A$6:$A$305,0))),""))</f>
        <v/>
      </c>
      <c r="G95" s="61">
        <f>IF(A95="","",IFERROR(IF(INDEX(2_Participantes!$F$6:$F$305,MATCH(A95,2_Participantes!$A$6:$A$305,0))="","",INDEX(2_Participantes!$F$6:$F$305,MATCH(A95,2_Participantes!$A$6:$A$305,0))),"No registrado"))</f>
        <v/>
      </c>
      <c r="H95" s="84">
        <f>IF(A95="","",IFERROR(IF(INDEX(2_Participantes!$L$6:$L$305,MATCH(A95,2_Participantes!$A$6:$A$305,0))="","",INDEX(2_Participantes!$L$6:$L$305,MATCH(A95,2_Participantes!$A$6:$A$305,0))),""))</f>
        <v/>
      </c>
      <c r="I95" s="62">
        <f>IF(A95="","",IF(AND(ISNUMBER(C95),ISNUMBER(D95),G95&lt;&gt;"Excluido"),1,0))</f>
        <v/>
      </c>
      <c r="J95" s="76">
        <f>IF(A95="","",IF(G95="No registrado","Código ausente en 2_Participantes",IF(AND(ISNUMBER(D95),NOT(ISNUMBER(C95))),"Postest sin pretest (huérfano)",IF(OR(AND(ISNUMBER(C95),OR(C95&lt;Inicio!$C$18,C95&gt;Inicio!$C$19)),AND(ISNUMBER(D95),OR(D95&lt;Inicio!$C$18,D95&gt;Inicio!$C$19))),"Fuera de rango",IF(COUNTIF($A$6:$A$305,A95)&gt;1,"Código duplicado","OK")))))</f>
        <v/>
      </c>
    </row>
    <row r="96" ht="15" customHeight="1" s="42">
      <c r="A96" s="71" t="inlineStr">
        <is>
          <t>GU-TDH-104</t>
        </is>
      </c>
      <c r="B96" s="61">
        <f>IF(A96="","",IFERROR(IF(INDEX(2_Participantes!$B$6:$B$305,MATCH(A96,2_Participantes!$A$6:$A$305,0))="","",INDEX(2_Participantes!$B$6:$B$305,MATCH(A96,2_Participantes!$A$6:$A$305,0))),"No registrado"))</f>
        <v/>
      </c>
      <c r="C96" s="83" t="n">
        <v>35</v>
      </c>
      <c r="D96" s="83" t="n">
        <v>45</v>
      </c>
      <c r="E96" s="63">
        <f>IF(AND(ISNUMBER(C96),ISNUMBER(D96)),D96-C96,"")</f>
        <v/>
      </c>
      <c r="F96" s="62">
        <f>IF(A96="","",IFERROR(IF(INDEX(2_Participantes!$E$6:$E$305,MATCH(A96,2_Participantes!$A$6:$A$305,0))="","",INDEX(2_Participantes!$E$6:$E$305,MATCH(A96,2_Participantes!$A$6:$A$305,0))),""))</f>
        <v/>
      </c>
      <c r="G96" s="61">
        <f>IF(A96="","",IFERROR(IF(INDEX(2_Participantes!$F$6:$F$305,MATCH(A96,2_Participantes!$A$6:$A$305,0))="","",INDEX(2_Participantes!$F$6:$F$305,MATCH(A96,2_Participantes!$A$6:$A$305,0))),"No registrado"))</f>
        <v/>
      </c>
      <c r="H96" s="84">
        <f>IF(A96="","",IFERROR(IF(INDEX(2_Participantes!$L$6:$L$305,MATCH(A96,2_Participantes!$A$6:$A$305,0))="","",INDEX(2_Participantes!$L$6:$L$305,MATCH(A96,2_Participantes!$A$6:$A$305,0))),""))</f>
        <v/>
      </c>
      <c r="I96" s="62">
        <f>IF(A96="","",IF(AND(ISNUMBER(C96),ISNUMBER(D96),G96&lt;&gt;"Excluido"),1,0))</f>
        <v/>
      </c>
      <c r="J96" s="76">
        <f>IF(A96="","",IF(G96="No registrado","Código ausente en 2_Participantes",IF(AND(ISNUMBER(D96),NOT(ISNUMBER(C96))),"Postest sin pretest (huérfano)",IF(OR(AND(ISNUMBER(C96),OR(C96&lt;Inicio!$C$18,C96&gt;Inicio!$C$19)),AND(ISNUMBER(D96),OR(D96&lt;Inicio!$C$18,D96&gt;Inicio!$C$19))),"Fuera de rango",IF(COUNTIF($A$6:$A$305,A96)&gt;1,"Código duplicado","OK")))))</f>
        <v/>
      </c>
    </row>
    <row r="97" ht="15" customHeight="1" s="42">
      <c r="A97" s="71" t="inlineStr">
        <is>
          <t>GU-TDH-106</t>
        </is>
      </c>
      <c r="B97" s="61">
        <f>IF(A97="","",IFERROR(IF(INDEX(2_Participantes!$B$6:$B$305,MATCH(A97,2_Participantes!$A$6:$A$305,0))="","",INDEX(2_Participantes!$B$6:$B$305,MATCH(A97,2_Participantes!$A$6:$A$305,0))),"No registrado"))</f>
        <v/>
      </c>
      <c r="C97" s="83" t="n">
        <v>55</v>
      </c>
      <c r="D97" s="83" t="n">
        <v>70</v>
      </c>
      <c r="E97" s="63">
        <f>IF(AND(ISNUMBER(C97),ISNUMBER(D97)),D97-C97,"")</f>
        <v/>
      </c>
      <c r="F97" s="62">
        <f>IF(A97="","",IFERROR(IF(INDEX(2_Participantes!$E$6:$E$305,MATCH(A97,2_Participantes!$A$6:$A$305,0))="","",INDEX(2_Participantes!$E$6:$E$305,MATCH(A97,2_Participantes!$A$6:$A$305,0))),""))</f>
        <v/>
      </c>
      <c r="G97" s="61">
        <f>IF(A97="","",IFERROR(IF(INDEX(2_Participantes!$F$6:$F$305,MATCH(A97,2_Participantes!$A$6:$A$305,0))="","",INDEX(2_Participantes!$F$6:$F$305,MATCH(A97,2_Participantes!$A$6:$A$305,0))),"No registrado"))</f>
        <v/>
      </c>
      <c r="H97" s="84">
        <f>IF(A97="","",IFERROR(IF(INDEX(2_Participantes!$L$6:$L$305,MATCH(A97,2_Participantes!$A$6:$A$305,0))="","",INDEX(2_Participantes!$L$6:$L$305,MATCH(A97,2_Participantes!$A$6:$A$305,0))),""))</f>
        <v/>
      </c>
      <c r="I97" s="62">
        <f>IF(A97="","",IF(AND(ISNUMBER(C97),ISNUMBER(D97),G97&lt;&gt;"Excluido"),1,0))</f>
        <v/>
      </c>
      <c r="J97" s="76">
        <f>IF(A97="","",IF(G97="No registrado","Código ausente en 2_Participantes",IF(AND(ISNUMBER(D97),NOT(ISNUMBER(C97))),"Postest sin pretest (huérfano)",IF(OR(AND(ISNUMBER(C97),OR(C97&lt;Inicio!$C$18,C97&gt;Inicio!$C$19)),AND(ISNUMBER(D97),OR(D97&lt;Inicio!$C$18,D97&gt;Inicio!$C$19))),"Fuera de rango",IF(COUNTIF($A$6:$A$305,A97)&gt;1,"Código duplicado","OK")))))</f>
        <v/>
      </c>
    </row>
    <row r="98" ht="15" customHeight="1" s="42">
      <c r="A98" s="71" t="inlineStr">
        <is>
          <t>GU-TDH-108</t>
        </is>
      </c>
      <c r="B98" s="61">
        <f>IF(A98="","",IFERROR(IF(INDEX(2_Participantes!$B$6:$B$305,MATCH(A98,2_Participantes!$A$6:$A$305,0))="","",INDEX(2_Participantes!$B$6:$B$305,MATCH(A98,2_Participantes!$A$6:$A$305,0))),"No registrado"))</f>
        <v/>
      </c>
      <c r="C98" s="83" t="n">
        <v>30</v>
      </c>
      <c r="D98" s="83" t="n">
        <v>42.5</v>
      </c>
      <c r="E98" s="63">
        <f>IF(AND(ISNUMBER(C98),ISNUMBER(D98)),D98-C98,"")</f>
        <v/>
      </c>
      <c r="F98" s="62">
        <f>IF(A98="","",IFERROR(IF(INDEX(2_Participantes!$E$6:$E$305,MATCH(A98,2_Participantes!$A$6:$A$305,0))="","",INDEX(2_Participantes!$E$6:$E$305,MATCH(A98,2_Participantes!$A$6:$A$305,0))),""))</f>
        <v/>
      </c>
      <c r="G98" s="61">
        <f>IF(A98="","",IFERROR(IF(INDEX(2_Participantes!$F$6:$F$305,MATCH(A98,2_Participantes!$A$6:$A$305,0))="","",INDEX(2_Participantes!$F$6:$F$305,MATCH(A98,2_Participantes!$A$6:$A$305,0))),"No registrado"))</f>
        <v/>
      </c>
      <c r="H98" s="84">
        <f>IF(A98="","",IFERROR(IF(INDEX(2_Participantes!$L$6:$L$305,MATCH(A98,2_Participantes!$A$6:$A$305,0))="","",INDEX(2_Participantes!$L$6:$L$305,MATCH(A98,2_Participantes!$A$6:$A$305,0))),""))</f>
        <v/>
      </c>
      <c r="I98" s="62">
        <f>IF(A98="","",IF(AND(ISNUMBER(C98),ISNUMBER(D98),G98&lt;&gt;"Excluido"),1,0))</f>
        <v/>
      </c>
      <c r="J98" s="76">
        <f>IF(A98="","",IF(G98="No registrado","Código ausente en 2_Participantes",IF(AND(ISNUMBER(D98),NOT(ISNUMBER(C98))),"Postest sin pretest (huérfano)",IF(OR(AND(ISNUMBER(C98),OR(C98&lt;Inicio!$C$18,C98&gt;Inicio!$C$19)),AND(ISNUMBER(D98),OR(D98&lt;Inicio!$C$18,D98&gt;Inicio!$C$19))),"Fuera de rango",IF(COUNTIF($A$6:$A$305,A98)&gt;1,"Código duplicado","OK")))))</f>
        <v/>
      </c>
    </row>
    <row r="99" ht="15" customHeight="1" s="42">
      <c r="A99" s="71" t="inlineStr">
        <is>
          <t>GU-TDH-109</t>
        </is>
      </c>
      <c r="B99" s="61">
        <f>IF(A99="","",IFERROR(IF(INDEX(2_Participantes!$B$6:$B$305,MATCH(A99,2_Participantes!$A$6:$A$305,0))="","",INDEX(2_Participantes!$B$6:$B$305,MATCH(A99,2_Participantes!$A$6:$A$305,0))),"No registrado"))</f>
        <v/>
      </c>
      <c r="C99" s="83" t="n">
        <v>82.5</v>
      </c>
      <c r="D99" s="83" t="n">
        <v>95</v>
      </c>
      <c r="E99" s="63">
        <f>IF(AND(ISNUMBER(C99),ISNUMBER(D99)),D99-C99,"")</f>
        <v/>
      </c>
      <c r="F99" s="62">
        <f>IF(A99="","",IFERROR(IF(INDEX(2_Participantes!$E$6:$E$305,MATCH(A99,2_Participantes!$A$6:$A$305,0))="","",INDEX(2_Participantes!$E$6:$E$305,MATCH(A99,2_Participantes!$A$6:$A$305,0))),""))</f>
        <v/>
      </c>
      <c r="G99" s="61">
        <f>IF(A99="","",IFERROR(IF(INDEX(2_Participantes!$F$6:$F$305,MATCH(A99,2_Participantes!$A$6:$A$305,0))="","",INDEX(2_Participantes!$F$6:$F$305,MATCH(A99,2_Participantes!$A$6:$A$305,0))),"No registrado"))</f>
        <v/>
      </c>
      <c r="H99" s="84">
        <f>IF(A99="","",IFERROR(IF(INDEX(2_Participantes!$L$6:$L$305,MATCH(A99,2_Participantes!$A$6:$A$305,0))="","",INDEX(2_Participantes!$L$6:$L$305,MATCH(A99,2_Participantes!$A$6:$A$305,0))),""))</f>
        <v/>
      </c>
      <c r="I99" s="62">
        <f>IF(A99="","",IF(AND(ISNUMBER(C99),ISNUMBER(D99),G99&lt;&gt;"Excluido"),1,0))</f>
        <v/>
      </c>
      <c r="J99" s="76">
        <f>IF(A99="","",IF(G99="No registrado","Código ausente en 2_Participantes",IF(AND(ISNUMBER(D99),NOT(ISNUMBER(C99))),"Postest sin pretest (huérfano)",IF(OR(AND(ISNUMBER(C99),OR(C99&lt;Inicio!$C$18,C99&gt;Inicio!$C$19)),AND(ISNUMBER(D99),OR(D99&lt;Inicio!$C$18,D99&gt;Inicio!$C$19))),"Fuera de rango",IF(COUNTIF($A$6:$A$305,A99)&gt;1,"Código duplicado","OK")))))</f>
        <v/>
      </c>
    </row>
    <row r="100" ht="15" customHeight="1" s="42">
      <c r="A100" s="71" t="inlineStr">
        <is>
          <t>GU-TDH-110</t>
        </is>
      </c>
      <c r="B100" s="61">
        <f>IF(A100="","",IFERROR(IF(INDEX(2_Participantes!$B$6:$B$305,MATCH(A100,2_Participantes!$A$6:$A$305,0))="","",INDEX(2_Participantes!$B$6:$B$305,MATCH(A100,2_Participantes!$A$6:$A$305,0))),"No registrado"))</f>
        <v/>
      </c>
      <c r="C100" s="83" t="n">
        <v>57.5</v>
      </c>
      <c r="D100" s="83" t="n">
        <v>80</v>
      </c>
      <c r="E100" s="63">
        <f>IF(AND(ISNUMBER(C100),ISNUMBER(D100)),D100-C100,"")</f>
        <v/>
      </c>
      <c r="F100" s="62">
        <f>IF(A100="","",IFERROR(IF(INDEX(2_Participantes!$E$6:$E$305,MATCH(A100,2_Participantes!$A$6:$A$305,0))="","",INDEX(2_Participantes!$E$6:$E$305,MATCH(A100,2_Participantes!$A$6:$A$305,0))),""))</f>
        <v/>
      </c>
      <c r="G100" s="61">
        <f>IF(A100="","",IFERROR(IF(INDEX(2_Participantes!$F$6:$F$305,MATCH(A100,2_Participantes!$A$6:$A$305,0))="","",INDEX(2_Participantes!$F$6:$F$305,MATCH(A100,2_Participantes!$A$6:$A$305,0))),"No registrado"))</f>
        <v/>
      </c>
      <c r="H100" s="84">
        <f>IF(A100="","",IFERROR(IF(INDEX(2_Participantes!$L$6:$L$305,MATCH(A100,2_Participantes!$A$6:$A$305,0))="","",INDEX(2_Participantes!$L$6:$L$305,MATCH(A100,2_Participantes!$A$6:$A$305,0))),""))</f>
        <v/>
      </c>
      <c r="I100" s="62">
        <f>IF(A100="","",IF(AND(ISNUMBER(C100),ISNUMBER(D100),G100&lt;&gt;"Excluido"),1,0))</f>
        <v/>
      </c>
      <c r="J100" s="76">
        <f>IF(A100="","",IF(G100="No registrado","Código ausente en 2_Participantes",IF(AND(ISNUMBER(D100),NOT(ISNUMBER(C100))),"Postest sin pretest (huérfano)",IF(OR(AND(ISNUMBER(C100),OR(C100&lt;Inicio!$C$18,C100&gt;Inicio!$C$19)),AND(ISNUMBER(D100),OR(D100&lt;Inicio!$C$18,D100&gt;Inicio!$C$19))),"Fuera de rango",IF(COUNTIF($A$6:$A$305,A100)&gt;1,"Código duplicado","OK")))))</f>
        <v/>
      </c>
    </row>
    <row r="101" ht="15" customHeight="1" s="42">
      <c r="A101" s="71" t="inlineStr">
        <is>
          <t>GU-TDH-111</t>
        </is>
      </c>
      <c r="B101" s="61">
        <f>IF(A101="","",IFERROR(IF(INDEX(2_Participantes!$B$6:$B$305,MATCH(A101,2_Participantes!$A$6:$A$305,0))="","",INDEX(2_Participantes!$B$6:$B$305,MATCH(A101,2_Participantes!$A$6:$A$305,0))),"No registrado"))</f>
        <v/>
      </c>
      <c r="C101" s="83" t="n">
        <v>47.5</v>
      </c>
      <c r="D101" s="83" t="n">
        <v>62.5</v>
      </c>
      <c r="E101" s="63">
        <f>IF(AND(ISNUMBER(C101),ISNUMBER(D101)),D101-C101,"")</f>
        <v/>
      </c>
      <c r="F101" s="62">
        <f>IF(A101="","",IFERROR(IF(INDEX(2_Participantes!$E$6:$E$305,MATCH(A101,2_Participantes!$A$6:$A$305,0))="","",INDEX(2_Participantes!$E$6:$E$305,MATCH(A101,2_Participantes!$A$6:$A$305,0))),""))</f>
        <v/>
      </c>
      <c r="G101" s="61">
        <f>IF(A101="","",IFERROR(IF(INDEX(2_Participantes!$F$6:$F$305,MATCH(A101,2_Participantes!$A$6:$A$305,0))="","",INDEX(2_Participantes!$F$6:$F$305,MATCH(A101,2_Participantes!$A$6:$A$305,0))),"No registrado"))</f>
        <v/>
      </c>
      <c r="H101" s="84">
        <f>IF(A101="","",IFERROR(IF(INDEX(2_Participantes!$L$6:$L$305,MATCH(A101,2_Participantes!$A$6:$A$305,0))="","",INDEX(2_Participantes!$L$6:$L$305,MATCH(A101,2_Participantes!$A$6:$A$305,0))),""))</f>
        <v/>
      </c>
      <c r="I101" s="62">
        <f>IF(A101="","",IF(AND(ISNUMBER(C101),ISNUMBER(D101),G101&lt;&gt;"Excluido"),1,0))</f>
        <v/>
      </c>
      <c r="J101" s="76">
        <f>IF(A101="","",IF(G101="No registrado","Código ausente en 2_Participantes",IF(AND(ISNUMBER(D101),NOT(ISNUMBER(C101))),"Postest sin pretest (huérfano)",IF(OR(AND(ISNUMBER(C101),OR(C101&lt;Inicio!$C$18,C101&gt;Inicio!$C$19)),AND(ISNUMBER(D101),OR(D101&lt;Inicio!$C$18,D101&gt;Inicio!$C$19))),"Fuera de rango",IF(COUNTIF($A$6:$A$305,A101)&gt;1,"Código duplicado","OK")))))</f>
        <v/>
      </c>
    </row>
    <row r="102" ht="15" customHeight="1" s="42">
      <c r="A102" s="71" t="inlineStr">
        <is>
          <t>GU-TDH-113</t>
        </is>
      </c>
      <c r="B102" s="61">
        <f>IF(A102="","",IFERROR(IF(INDEX(2_Participantes!$B$6:$B$305,MATCH(A102,2_Participantes!$A$6:$A$305,0))="","",INDEX(2_Participantes!$B$6:$B$305,MATCH(A102,2_Participantes!$A$6:$A$305,0))),"No registrado"))</f>
        <v/>
      </c>
      <c r="C102" s="83" t="n">
        <v>37.5</v>
      </c>
      <c r="D102" s="83" t="n">
        <v>55</v>
      </c>
      <c r="E102" s="63">
        <f>IF(AND(ISNUMBER(C102),ISNUMBER(D102)),D102-C102,"")</f>
        <v/>
      </c>
      <c r="F102" s="62">
        <f>IF(A102="","",IFERROR(IF(INDEX(2_Participantes!$E$6:$E$305,MATCH(A102,2_Participantes!$A$6:$A$305,0))="","",INDEX(2_Participantes!$E$6:$E$305,MATCH(A102,2_Participantes!$A$6:$A$305,0))),""))</f>
        <v/>
      </c>
      <c r="G102" s="61">
        <f>IF(A102="","",IFERROR(IF(INDEX(2_Participantes!$F$6:$F$305,MATCH(A102,2_Participantes!$A$6:$A$305,0))="","",INDEX(2_Participantes!$F$6:$F$305,MATCH(A102,2_Participantes!$A$6:$A$305,0))),"No registrado"))</f>
        <v/>
      </c>
      <c r="H102" s="84">
        <f>IF(A102="","",IFERROR(IF(INDEX(2_Participantes!$L$6:$L$305,MATCH(A102,2_Participantes!$A$6:$A$305,0))="","",INDEX(2_Participantes!$L$6:$L$305,MATCH(A102,2_Participantes!$A$6:$A$305,0))),""))</f>
        <v/>
      </c>
      <c r="I102" s="62">
        <f>IF(A102="","",IF(AND(ISNUMBER(C102),ISNUMBER(D102),G102&lt;&gt;"Excluido"),1,0))</f>
        <v/>
      </c>
      <c r="J102" s="76">
        <f>IF(A102="","",IF(G102="No registrado","Código ausente en 2_Participantes",IF(AND(ISNUMBER(D102),NOT(ISNUMBER(C102))),"Postest sin pretest (huérfano)",IF(OR(AND(ISNUMBER(C102),OR(C102&lt;Inicio!$C$18,C102&gt;Inicio!$C$19)),AND(ISNUMBER(D102),OR(D102&lt;Inicio!$C$18,D102&gt;Inicio!$C$19))),"Fuera de rango",IF(COUNTIF($A$6:$A$305,A102)&gt;1,"Código duplicado","OK")))))</f>
        <v/>
      </c>
    </row>
    <row r="103" ht="15" customHeight="1" s="42">
      <c r="A103" s="71" t="inlineStr">
        <is>
          <t>GU-TDH-114</t>
        </is>
      </c>
      <c r="B103" s="61">
        <f>IF(A103="","",IFERROR(IF(INDEX(2_Participantes!$B$6:$B$305,MATCH(A103,2_Participantes!$A$6:$A$305,0))="","",INDEX(2_Participantes!$B$6:$B$305,MATCH(A103,2_Participantes!$A$6:$A$305,0))),"No registrado"))</f>
        <v/>
      </c>
      <c r="C103" s="83" t="n">
        <v>60</v>
      </c>
      <c r="D103" s="83" t="n">
        <v>75</v>
      </c>
      <c r="E103" s="63">
        <f>IF(AND(ISNUMBER(C103),ISNUMBER(D103)),D103-C103,"")</f>
        <v/>
      </c>
      <c r="F103" s="62">
        <f>IF(A103="","",IFERROR(IF(INDEX(2_Participantes!$E$6:$E$305,MATCH(A103,2_Participantes!$A$6:$A$305,0))="","",INDEX(2_Participantes!$E$6:$E$305,MATCH(A103,2_Participantes!$A$6:$A$305,0))),""))</f>
        <v/>
      </c>
      <c r="G103" s="61">
        <f>IF(A103="","",IFERROR(IF(INDEX(2_Participantes!$F$6:$F$305,MATCH(A103,2_Participantes!$A$6:$A$305,0))="","",INDEX(2_Participantes!$F$6:$F$305,MATCH(A103,2_Participantes!$A$6:$A$305,0))),"No registrado"))</f>
        <v/>
      </c>
      <c r="H103" s="84">
        <f>IF(A103="","",IFERROR(IF(INDEX(2_Participantes!$L$6:$L$305,MATCH(A103,2_Participantes!$A$6:$A$305,0))="","",INDEX(2_Participantes!$L$6:$L$305,MATCH(A103,2_Participantes!$A$6:$A$305,0))),""))</f>
        <v/>
      </c>
      <c r="I103" s="62">
        <f>IF(A103="","",IF(AND(ISNUMBER(C103),ISNUMBER(D103),G103&lt;&gt;"Excluido"),1,0))</f>
        <v/>
      </c>
      <c r="J103" s="76">
        <f>IF(A103="","",IF(G103="No registrado","Código ausente en 2_Participantes",IF(AND(ISNUMBER(D103),NOT(ISNUMBER(C103))),"Postest sin pretest (huérfano)",IF(OR(AND(ISNUMBER(C103),OR(C103&lt;Inicio!$C$18,C103&gt;Inicio!$C$19)),AND(ISNUMBER(D103),OR(D103&lt;Inicio!$C$18,D103&gt;Inicio!$C$19))),"Fuera de rango",IF(COUNTIF($A$6:$A$305,A103)&gt;1,"Código duplicado","OK")))))</f>
        <v/>
      </c>
    </row>
    <row r="104" ht="15" customHeight="1" s="42">
      <c r="A104" s="71" t="inlineStr">
        <is>
          <t>GU-TDH-115</t>
        </is>
      </c>
      <c r="B104" s="61">
        <f>IF(A104="","",IFERROR(IF(INDEX(2_Participantes!$B$6:$B$305,MATCH(A104,2_Participantes!$A$6:$A$305,0))="","",INDEX(2_Participantes!$B$6:$B$305,MATCH(A104,2_Participantes!$A$6:$A$305,0))),"No registrado"))</f>
        <v/>
      </c>
      <c r="C104" s="83" t="n">
        <v>57.5</v>
      </c>
      <c r="D104" s="83" t="n">
        <v>77.5</v>
      </c>
      <c r="E104" s="63">
        <f>IF(AND(ISNUMBER(C104),ISNUMBER(D104)),D104-C104,"")</f>
        <v/>
      </c>
      <c r="F104" s="62">
        <f>IF(A104="","",IFERROR(IF(INDEX(2_Participantes!$E$6:$E$305,MATCH(A104,2_Participantes!$A$6:$A$305,0))="","",INDEX(2_Participantes!$E$6:$E$305,MATCH(A104,2_Participantes!$A$6:$A$305,0))),""))</f>
        <v/>
      </c>
      <c r="G104" s="61">
        <f>IF(A104="","",IFERROR(IF(INDEX(2_Participantes!$F$6:$F$305,MATCH(A104,2_Participantes!$A$6:$A$305,0))="","",INDEX(2_Participantes!$F$6:$F$305,MATCH(A104,2_Participantes!$A$6:$A$305,0))),"No registrado"))</f>
        <v/>
      </c>
      <c r="H104" s="84">
        <f>IF(A104="","",IFERROR(IF(INDEX(2_Participantes!$L$6:$L$305,MATCH(A104,2_Participantes!$A$6:$A$305,0))="","",INDEX(2_Participantes!$L$6:$L$305,MATCH(A104,2_Participantes!$A$6:$A$305,0))),""))</f>
        <v/>
      </c>
      <c r="I104" s="62">
        <f>IF(A104="","",IF(AND(ISNUMBER(C104),ISNUMBER(D104),G104&lt;&gt;"Excluido"),1,0))</f>
        <v/>
      </c>
      <c r="J104" s="76">
        <f>IF(A104="","",IF(G104="No registrado","Código ausente en 2_Participantes",IF(AND(ISNUMBER(D104),NOT(ISNUMBER(C104))),"Postest sin pretest (huérfano)",IF(OR(AND(ISNUMBER(C104),OR(C104&lt;Inicio!$C$18,C104&gt;Inicio!$C$19)),AND(ISNUMBER(D104),OR(D104&lt;Inicio!$C$18,D104&gt;Inicio!$C$19))),"Fuera de rango",IF(COUNTIF($A$6:$A$305,A104)&gt;1,"Código duplicado","OK")))))</f>
        <v/>
      </c>
    </row>
    <row r="105" ht="15" customHeight="1" s="42">
      <c r="A105" s="71" t="inlineStr">
        <is>
          <t>GU-TDH-116</t>
        </is>
      </c>
      <c r="B105" s="61">
        <f>IF(A105="","",IFERROR(IF(INDEX(2_Participantes!$B$6:$B$305,MATCH(A105,2_Participantes!$A$6:$A$305,0))="","",INDEX(2_Participantes!$B$6:$B$305,MATCH(A105,2_Participantes!$A$6:$A$305,0))),"No registrado"))</f>
        <v/>
      </c>
      <c r="C105" s="83" t="n">
        <v>77.5</v>
      </c>
      <c r="D105" s="83" t="n">
        <v>90</v>
      </c>
      <c r="E105" s="63">
        <f>IF(AND(ISNUMBER(C105),ISNUMBER(D105)),D105-C105,"")</f>
        <v/>
      </c>
      <c r="F105" s="62">
        <f>IF(A105="","",IFERROR(IF(INDEX(2_Participantes!$E$6:$E$305,MATCH(A105,2_Participantes!$A$6:$A$305,0))="","",INDEX(2_Participantes!$E$6:$E$305,MATCH(A105,2_Participantes!$A$6:$A$305,0))),""))</f>
        <v/>
      </c>
      <c r="G105" s="61">
        <f>IF(A105="","",IFERROR(IF(INDEX(2_Participantes!$F$6:$F$305,MATCH(A105,2_Participantes!$A$6:$A$305,0))="","",INDEX(2_Participantes!$F$6:$F$305,MATCH(A105,2_Participantes!$A$6:$A$305,0))),"No registrado"))</f>
        <v/>
      </c>
      <c r="H105" s="84">
        <f>IF(A105="","",IFERROR(IF(INDEX(2_Participantes!$L$6:$L$305,MATCH(A105,2_Participantes!$A$6:$A$305,0))="","",INDEX(2_Participantes!$L$6:$L$305,MATCH(A105,2_Participantes!$A$6:$A$305,0))),""))</f>
        <v/>
      </c>
      <c r="I105" s="62">
        <f>IF(A105="","",IF(AND(ISNUMBER(C105),ISNUMBER(D105),G105&lt;&gt;"Excluido"),1,0))</f>
        <v/>
      </c>
      <c r="J105" s="76">
        <f>IF(A105="","",IF(G105="No registrado","Código ausente en 2_Participantes",IF(AND(ISNUMBER(D105),NOT(ISNUMBER(C105))),"Postest sin pretest (huérfano)",IF(OR(AND(ISNUMBER(C105),OR(C105&lt;Inicio!$C$18,C105&gt;Inicio!$C$19)),AND(ISNUMBER(D105),OR(D105&lt;Inicio!$C$18,D105&gt;Inicio!$C$19))),"Fuera de rango",IF(COUNTIF($A$6:$A$305,A105)&gt;1,"Código duplicado","OK")))))</f>
        <v/>
      </c>
    </row>
    <row r="106" ht="15" customHeight="1" s="42">
      <c r="A106" s="71" t="inlineStr">
        <is>
          <t>GU-TDH-117</t>
        </is>
      </c>
      <c r="B106" s="61">
        <f>IF(A106="","",IFERROR(IF(INDEX(2_Participantes!$B$6:$B$305,MATCH(A106,2_Participantes!$A$6:$A$305,0))="","",INDEX(2_Participantes!$B$6:$B$305,MATCH(A106,2_Participantes!$A$6:$A$305,0))),"No registrado"))</f>
        <v/>
      </c>
      <c r="C106" s="83" t="n">
        <v>72.5</v>
      </c>
      <c r="D106" s="83" t="n">
        <v>85</v>
      </c>
      <c r="E106" s="63">
        <f>IF(AND(ISNUMBER(C106),ISNUMBER(D106)),D106-C106,"")</f>
        <v/>
      </c>
      <c r="F106" s="62">
        <f>IF(A106="","",IFERROR(IF(INDEX(2_Participantes!$E$6:$E$305,MATCH(A106,2_Participantes!$A$6:$A$305,0))="","",INDEX(2_Participantes!$E$6:$E$305,MATCH(A106,2_Participantes!$A$6:$A$305,0))),""))</f>
        <v/>
      </c>
      <c r="G106" s="61">
        <f>IF(A106="","",IFERROR(IF(INDEX(2_Participantes!$F$6:$F$305,MATCH(A106,2_Participantes!$A$6:$A$305,0))="","",INDEX(2_Participantes!$F$6:$F$305,MATCH(A106,2_Participantes!$A$6:$A$305,0))),"No registrado"))</f>
        <v/>
      </c>
      <c r="H106" s="84">
        <f>IF(A106="","",IFERROR(IF(INDEX(2_Participantes!$L$6:$L$305,MATCH(A106,2_Participantes!$A$6:$A$305,0))="","",INDEX(2_Participantes!$L$6:$L$305,MATCH(A106,2_Participantes!$A$6:$A$305,0))),""))</f>
        <v/>
      </c>
      <c r="I106" s="62">
        <f>IF(A106="","",IF(AND(ISNUMBER(C106),ISNUMBER(D106),G106&lt;&gt;"Excluido"),1,0))</f>
        <v/>
      </c>
      <c r="J106" s="76">
        <f>IF(A106="","",IF(G106="No registrado","Código ausente en 2_Participantes",IF(AND(ISNUMBER(D106),NOT(ISNUMBER(C106))),"Postest sin pretest (huérfano)",IF(OR(AND(ISNUMBER(C106),OR(C106&lt;Inicio!$C$18,C106&gt;Inicio!$C$19)),AND(ISNUMBER(D106),OR(D106&lt;Inicio!$C$18,D106&gt;Inicio!$C$19))),"Fuera de rango",IF(COUNTIF($A$6:$A$305,A106)&gt;1,"Código duplicado","OK")))))</f>
        <v/>
      </c>
    </row>
    <row r="107" ht="15" customHeight="1" s="42">
      <c r="A107" s="71" t="inlineStr">
        <is>
          <t>GU-TDH-118</t>
        </is>
      </c>
      <c r="B107" s="61">
        <f>IF(A107="","",IFERROR(IF(INDEX(2_Participantes!$B$6:$B$305,MATCH(A107,2_Participantes!$A$6:$A$305,0))="","",INDEX(2_Participantes!$B$6:$B$305,MATCH(A107,2_Participantes!$A$6:$A$305,0))),"No registrado"))</f>
        <v/>
      </c>
      <c r="C107" s="83" t="n">
        <v>72.5</v>
      </c>
      <c r="D107" s="83" t="n">
        <v>85</v>
      </c>
      <c r="E107" s="63">
        <f>IF(AND(ISNUMBER(C107),ISNUMBER(D107)),D107-C107,"")</f>
        <v/>
      </c>
      <c r="F107" s="62">
        <f>IF(A107="","",IFERROR(IF(INDEX(2_Participantes!$E$6:$E$305,MATCH(A107,2_Participantes!$A$6:$A$305,0))="","",INDEX(2_Participantes!$E$6:$E$305,MATCH(A107,2_Participantes!$A$6:$A$305,0))),""))</f>
        <v/>
      </c>
      <c r="G107" s="61">
        <f>IF(A107="","",IFERROR(IF(INDEX(2_Participantes!$F$6:$F$305,MATCH(A107,2_Participantes!$A$6:$A$305,0))="","",INDEX(2_Participantes!$F$6:$F$305,MATCH(A107,2_Participantes!$A$6:$A$305,0))),"No registrado"))</f>
        <v/>
      </c>
      <c r="H107" s="84">
        <f>IF(A107="","",IFERROR(IF(INDEX(2_Participantes!$L$6:$L$305,MATCH(A107,2_Participantes!$A$6:$A$305,0))="","",INDEX(2_Participantes!$L$6:$L$305,MATCH(A107,2_Participantes!$A$6:$A$305,0))),""))</f>
        <v/>
      </c>
      <c r="I107" s="62">
        <f>IF(A107="","",IF(AND(ISNUMBER(C107),ISNUMBER(D107),G107&lt;&gt;"Excluido"),1,0))</f>
        <v/>
      </c>
      <c r="J107" s="76">
        <f>IF(A107="","",IF(G107="No registrado","Código ausente en 2_Participantes",IF(AND(ISNUMBER(D107),NOT(ISNUMBER(C107))),"Postest sin pretest (huérfano)",IF(OR(AND(ISNUMBER(C107),OR(C107&lt;Inicio!$C$18,C107&gt;Inicio!$C$19)),AND(ISNUMBER(D107),OR(D107&lt;Inicio!$C$18,D107&gt;Inicio!$C$19))),"Fuera de rango",IF(COUNTIF($A$6:$A$305,A107)&gt;1,"Código duplicado","OK")))))</f>
        <v/>
      </c>
    </row>
    <row r="108" ht="15" customHeight="1" s="42">
      <c r="A108" s="71" t="inlineStr">
        <is>
          <t>GU-TDH-119</t>
        </is>
      </c>
      <c r="B108" s="61">
        <f>IF(A108="","",IFERROR(IF(INDEX(2_Participantes!$B$6:$B$305,MATCH(A108,2_Participantes!$A$6:$A$305,0))="","",INDEX(2_Participantes!$B$6:$B$305,MATCH(A108,2_Participantes!$A$6:$A$305,0))),"No registrado"))</f>
        <v/>
      </c>
      <c r="C108" s="83" t="n">
        <v>70</v>
      </c>
      <c r="D108" s="83" t="n">
        <v>82.5</v>
      </c>
      <c r="E108" s="63">
        <f>IF(AND(ISNUMBER(C108),ISNUMBER(D108)),D108-C108,"")</f>
        <v/>
      </c>
      <c r="F108" s="62">
        <f>IF(A108="","",IFERROR(IF(INDEX(2_Participantes!$E$6:$E$305,MATCH(A108,2_Participantes!$A$6:$A$305,0))="","",INDEX(2_Participantes!$E$6:$E$305,MATCH(A108,2_Participantes!$A$6:$A$305,0))),""))</f>
        <v/>
      </c>
      <c r="G108" s="61">
        <f>IF(A108="","",IFERROR(IF(INDEX(2_Participantes!$F$6:$F$305,MATCH(A108,2_Participantes!$A$6:$A$305,0))="","",INDEX(2_Participantes!$F$6:$F$305,MATCH(A108,2_Participantes!$A$6:$A$305,0))),"No registrado"))</f>
        <v/>
      </c>
      <c r="H108" s="84">
        <f>IF(A108="","",IFERROR(IF(INDEX(2_Participantes!$L$6:$L$305,MATCH(A108,2_Participantes!$A$6:$A$305,0))="","",INDEX(2_Participantes!$L$6:$L$305,MATCH(A108,2_Participantes!$A$6:$A$305,0))),""))</f>
        <v/>
      </c>
      <c r="I108" s="62">
        <f>IF(A108="","",IF(AND(ISNUMBER(C108),ISNUMBER(D108),G108&lt;&gt;"Excluido"),1,0))</f>
        <v/>
      </c>
      <c r="J108" s="76">
        <f>IF(A108="","",IF(G108="No registrado","Código ausente en 2_Participantes",IF(AND(ISNUMBER(D108),NOT(ISNUMBER(C108))),"Postest sin pretest (huérfano)",IF(OR(AND(ISNUMBER(C108),OR(C108&lt;Inicio!$C$18,C108&gt;Inicio!$C$19)),AND(ISNUMBER(D108),OR(D108&lt;Inicio!$C$18,D108&gt;Inicio!$C$19))),"Fuera de rango",IF(COUNTIF($A$6:$A$305,A108)&gt;1,"Código duplicado","OK")))))</f>
        <v/>
      </c>
    </row>
    <row r="109" ht="15" customHeight="1" s="42">
      <c r="A109" s="71" t="inlineStr">
        <is>
          <t>GU-TDH-120</t>
        </is>
      </c>
      <c r="B109" s="61">
        <f>IF(A109="","",IFERROR(IF(INDEX(2_Participantes!$B$6:$B$305,MATCH(A109,2_Participantes!$A$6:$A$305,0))="","",INDEX(2_Participantes!$B$6:$B$305,MATCH(A109,2_Participantes!$A$6:$A$305,0))),"No registrado"))</f>
        <v/>
      </c>
      <c r="C109" s="83" t="n">
        <v>80</v>
      </c>
      <c r="D109" s="83" t="n">
        <v>95</v>
      </c>
      <c r="E109" s="63">
        <f>IF(AND(ISNUMBER(C109),ISNUMBER(D109)),D109-C109,"")</f>
        <v/>
      </c>
      <c r="F109" s="62">
        <f>IF(A109="","",IFERROR(IF(INDEX(2_Participantes!$E$6:$E$305,MATCH(A109,2_Participantes!$A$6:$A$305,0))="","",INDEX(2_Participantes!$E$6:$E$305,MATCH(A109,2_Participantes!$A$6:$A$305,0))),""))</f>
        <v/>
      </c>
      <c r="G109" s="61">
        <f>IF(A109="","",IFERROR(IF(INDEX(2_Participantes!$F$6:$F$305,MATCH(A109,2_Participantes!$A$6:$A$305,0))="","",INDEX(2_Participantes!$F$6:$F$305,MATCH(A109,2_Participantes!$A$6:$A$305,0))),"No registrado"))</f>
        <v/>
      </c>
      <c r="H109" s="84">
        <f>IF(A109="","",IFERROR(IF(INDEX(2_Participantes!$L$6:$L$305,MATCH(A109,2_Participantes!$A$6:$A$305,0))="","",INDEX(2_Participantes!$L$6:$L$305,MATCH(A109,2_Participantes!$A$6:$A$305,0))),""))</f>
        <v/>
      </c>
      <c r="I109" s="62">
        <f>IF(A109="","",IF(AND(ISNUMBER(C109),ISNUMBER(D109),G109&lt;&gt;"Excluido"),1,0))</f>
        <v/>
      </c>
      <c r="J109" s="76">
        <f>IF(A109="","",IF(G109="No registrado","Código ausente en 2_Participantes",IF(AND(ISNUMBER(D109),NOT(ISNUMBER(C109))),"Postest sin pretest (huérfano)",IF(OR(AND(ISNUMBER(C109),OR(C109&lt;Inicio!$C$18,C109&gt;Inicio!$C$19)),AND(ISNUMBER(D109),OR(D109&lt;Inicio!$C$18,D109&gt;Inicio!$C$19))),"Fuera de rango",IF(COUNTIF($A$6:$A$305,A109)&gt;1,"Código duplicado","OK")))))</f>
        <v/>
      </c>
    </row>
    <row r="110" ht="15" customHeight="1" s="42">
      <c r="A110" s="71" t="inlineStr">
        <is>
          <t>GU-TDH-121</t>
        </is>
      </c>
      <c r="B110" s="61">
        <f>IF(A110="","",IFERROR(IF(INDEX(2_Participantes!$B$6:$B$305,MATCH(A110,2_Participantes!$A$6:$A$305,0))="","",INDEX(2_Participantes!$B$6:$B$305,MATCH(A110,2_Participantes!$A$6:$A$305,0))),"No registrado"))</f>
        <v/>
      </c>
      <c r="C110" s="83" t="n">
        <v>70</v>
      </c>
      <c r="D110" s="83" t="n">
        <v>85</v>
      </c>
      <c r="E110" s="63">
        <f>IF(AND(ISNUMBER(C110),ISNUMBER(D110)),D110-C110,"")</f>
        <v/>
      </c>
      <c r="F110" s="62">
        <f>IF(A110="","",IFERROR(IF(INDEX(2_Participantes!$E$6:$E$305,MATCH(A110,2_Participantes!$A$6:$A$305,0))="","",INDEX(2_Participantes!$E$6:$E$305,MATCH(A110,2_Participantes!$A$6:$A$305,0))),""))</f>
        <v/>
      </c>
      <c r="G110" s="61">
        <f>IF(A110="","",IFERROR(IF(INDEX(2_Participantes!$F$6:$F$305,MATCH(A110,2_Participantes!$A$6:$A$305,0))="","",INDEX(2_Participantes!$F$6:$F$305,MATCH(A110,2_Participantes!$A$6:$A$305,0))),"No registrado"))</f>
        <v/>
      </c>
      <c r="H110" s="84">
        <f>IF(A110="","",IFERROR(IF(INDEX(2_Participantes!$L$6:$L$305,MATCH(A110,2_Participantes!$A$6:$A$305,0))="","",INDEX(2_Participantes!$L$6:$L$305,MATCH(A110,2_Participantes!$A$6:$A$305,0))),""))</f>
        <v/>
      </c>
      <c r="I110" s="62">
        <f>IF(A110="","",IF(AND(ISNUMBER(C110),ISNUMBER(D110),G110&lt;&gt;"Excluido"),1,0))</f>
        <v/>
      </c>
      <c r="J110" s="76">
        <f>IF(A110="","",IF(G110="No registrado","Código ausente en 2_Participantes",IF(AND(ISNUMBER(D110),NOT(ISNUMBER(C110))),"Postest sin pretest (huérfano)",IF(OR(AND(ISNUMBER(C110),OR(C110&lt;Inicio!$C$18,C110&gt;Inicio!$C$19)),AND(ISNUMBER(D110),OR(D110&lt;Inicio!$C$18,D110&gt;Inicio!$C$19))),"Fuera de rango",IF(COUNTIF($A$6:$A$305,A110)&gt;1,"Código duplicado","OK")))))</f>
        <v/>
      </c>
    </row>
    <row r="111" ht="15" customHeight="1" s="42">
      <c r="A111" s="71" t="inlineStr">
        <is>
          <t>GU-TDH-122</t>
        </is>
      </c>
      <c r="B111" s="61">
        <f>IF(A111="","",IFERROR(IF(INDEX(2_Participantes!$B$6:$B$305,MATCH(A111,2_Participantes!$A$6:$A$305,0))="","",INDEX(2_Participantes!$B$6:$B$305,MATCH(A111,2_Participantes!$A$6:$A$305,0))),"No registrado"))</f>
        <v/>
      </c>
      <c r="C111" s="83" t="n">
        <v>65</v>
      </c>
      <c r="D111" s="83" t="n">
        <v>75</v>
      </c>
      <c r="E111" s="63">
        <f>IF(AND(ISNUMBER(C111),ISNUMBER(D111)),D111-C111,"")</f>
        <v/>
      </c>
      <c r="F111" s="62">
        <f>IF(A111="","",IFERROR(IF(INDEX(2_Participantes!$E$6:$E$305,MATCH(A111,2_Participantes!$A$6:$A$305,0))="","",INDEX(2_Participantes!$E$6:$E$305,MATCH(A111,2_Participantes!$A$6:$A$305,0))),""))</f>
        <v/>
      </c>
      <c r="G111" s="61">
        <f>IF(A111="","",IFERROR(IF(INDEX(2_Participantes!$F$6:$F$305,MATCH(A111,2_Participantes!$A$6:$A$305,0))="","",INDEX(2_Participantes!$F$6:$F$305,MATCH(A111,2_Participantes!$A$6:$A$305,0))),"No registrado"))</f>
        <v/>
      </c>
      <c r="H111" s="84">
        <f>IF(A111="","",IFERROR(IF(INDEX(2_Participantes!$L$6:$L$305,MATCH(A111,2_Participantes!$A$6:$A$305,0))="","",INDEX(2_Participantes!$L$6:$L$305,MATCH(A111,2_Participantes!$A$6:$A$305,0))),""))</f>
        <v/>
      </c>
      <c r="I111" s="62">
        <f>IF(A111="","",IF(AND(ISNUMBER(C111),ISNUMBER(D111),G111&lt;&gt;"Excluido"),1,0))</f>
        <v/>
      </c>
      <c r="J111" s="76">
        <f>IF(A111="","",IF(G111="No registrado","Código ausente en 2_Participantes",IF(AND(ISNUMBER(D111),NOT(ISNUMBER(C111))),"Postest sin pretest (huérfano)",IF(OR(AND(ISNUMBER(C111),OR(C111&lt;Inicio!$C$18,C111&gt;Inicio!$C$19)),AND(ISNUMBER(D111),OR(D111&lt;Inicio!$C$18,D111&gt;Inicio!$C$19))),"Fuera de rango",IF(COUNTIF($A$6:$A$305,A111)&gt;1,"Código duplicado","OK")))))</f>
        <v/>
      </c>
    </row>
    <row r="112" ht="15" customHeight="1" s="42">
      <c r="A112" s="71" t="inlineStr">
        <is>
          <t>GU-TDH-124</t>
        </is>
      </c>
      <c r="B112" s="61">
        <f>IF(A112="","",IFERROR(IF(INDEX(2_Participantes!$B$6:$B$305,MATCH(A112,2_Participantes!$A$6:$A$305,0))="","",INDEX(2_Participantes!$B$6:$B$305,MATCH(A112,2_Participantes!$A$6:$A$305,0))),"No registrado"))</f>
        <v/>
      </c>
      <c r="C112" s="83" t="n">
        <v>27.5</v>
      </c>
      <c r="D112" s="83" t="n">
        <v>45</v>
      </c>
      <c r="E112" s="63">
        <f>IF(AND(ISNUMBER(C112),ISNUMBER(D112)),D112-C112,"")</f>
        <v/>
      </c>
      <c r="F112" s="62">
        <f>IF(A112="","",IFERROR(IF(INDEX(2_Participantes!$E$6:$E$305,MATCH(A112,2_Participantes!$A$6:$A$305,0))="","",INDEX(2_Participantes!$E$6:$E$305,MATCH(A112,2_Participantes!$A$6:$A$305,0))),""))</f>
        <v/>
      </c>
      <c r="G112" s="61">
        <f>IF(A112="","",IFERROR(IF(INDEX(2_Participantes!$F$6:$F$305,MATCH(A112,2_Participantes!$A$6:$A$305,0))="","",INDEX(2_Participantes!$F$6:$F$305,MATCH(A112,2_Participantes!$A$6:$A$305,0))),"No registrado"))</f>
        <v/>
      </c>
      <c r="H112" s="84">
        <f>IF(A112="","",IFERROR(IF(INDEX(2_Participantes!$L$6:$L$305,MATCH(A112,2_Participantes!$A$6:$A$305,0))="","",INDEX(2_Participantes!$L$6:$L$305,MATCH(A112,2_Participantes!$A$6:$A$305,0))),""))</f>
        <v/>
      </c>
      <c r="I112" s="62">
        <f>IF(A112="","",IF(AND(ISNUMBER(C112),ISNUMBER(D112),G112&lt;&gt;"Excluido"),1,0))</f>
        <v/>
      </c>
      <c r="J112" s="76">
        <f>IF(A112="","",IF(G112="No registrado","Código ausente en 2_Participantes",IF(AND(ISNUMBER(D112),NOT(ISNUMBER(C112))),"Postest sin pretest (huérfano)",IF(OR(AND(ISNUMBER(C112),OR(C112&lt;Inicio!$C$18,C112&gt;Inicio!$C$19)),AND(ISNUMBER(D112),OR(D112&lt;Inicio!$C$18,D112&gt;Inicio!$C$19))),"Fuera de rango",IF(COUNTIF($A$6:$A$305,A112)&gt;1,"Código duplicado","OK")))))</f>
        <v/>
      </c>
    </row>
    <row r="113" ht="15" customHeight="1" s="42">
      <c r="A113" s="71" t="inlineStr">
        <is>
          <t>GU-TDH-125</t>
        </is>
      </c>
      <c r="B113" s="61">
        <f>IF(A113="","",IFERROR(IF(INDEX(2_Participantes!$B$6:$B$305,MATCH(A113,2_Participantes!$A$6:$A$305,0))="","",INDEX(2_Participantes!$B$6:$B$305,MATCH(A113,2_Participantes!$A$6:$A$305,0))),"No registrado"))</f>
        <v/>
      </c>
      <c r="C113" s="83" t="n">
        <v>57.5</v>
      </c>
      <c r="D113" s="83" t="n">
        <v>75</v>
      </c>
      <c r="E113" s="63">
        <f>IF(AND(ISNUMBER(C113),ISNUMBER(D113)),D113-C113,"")</f>
        <v/>
      </c>
      <c r="F113" s="62">
        <f>IF(A113="","",IFERROR(IF(INDEX(2_Participantes!$E$6:$E$305,MATCH(A113,2_Participantes!$A$6:$A$305,0))="","",INDEX(2_Participantes!$E$6:$E$305,MATCH(A113,2_Participantes!$A$6:$A$305,0))),""))</f>
        <v/>
      </c>
      <c r="G113" s="61">
        <f>IF(A113="","",IFERROR(IF(INDEX(2_Participantes!$F$6:$F$305,MATCH(A113,2_Participantes!$A$6:$A$305,0))="","",INDEX(2_Participantes!$F$6:$F$305,MATCH(A113,2_Participantes!$A$6:$A$305,0))),"No registrado"))</f>
        <v/>
      </c>
      <c r="H113" s="84">
        <f>IF(A113="","",IFERROR(IF(INDEX(2_Participantes!$L$6:$L$305,MATCH(A113,2_Participantes!$A$6:$A$305,0))="","",INDEX(2_Participantes!$L$6:$L$305,MATCH(A113,2_Participantes!$A$6:$A$305,0))),""))</f>
        <v/>
      </c>
      <c r="I113" s="62">
        <f>IF(A113="","",IF(AND(ISNUMBER(C113),ISNUMBER(D113),G113&lt;&gt;"Excluido"),1,0))</f>
        <v/>
      </c>
      <c r="J113" s="76">
        <f>IF(A113="","",IF(G113="No registrado","Código ausente en 2_Participantes",IF(AND(ISNUMBER(D113),NOT(ISNUMBER(C113))),"Postest sin pretest (huérfano)",IF(OR(AND(ISNUMBER(C113),OR(C113&lt;Inicio!$C$18,C113&gt;Inicio!$C$19)),AND(ISNUMBER(D113),OR(D113&lt;Inicio!$C$18,D113&gt;Inicio!$C$19))),"Fuera de rango",IF(COUNTIF($A$6:$A$305,A113)&gt;1,"Código duplicado","OK")))))</f>
        <v/>
      </c>
    </row>
    <row r="114" ht="15" customHeight="1" s="42">
      <c r="A114" s="67" t="n"/>
      <c r="B114" s="61">
        <f>IF(A114="","",IFERROR(IF(INDEX(2_Participantes!$B$6:$B$305,MATCH(A114,2_Participantes!$A$6:$A$305,0))="","",INDEX(2_Participantes!$B$6:$B$305,MATCH(A114,2_Participantes!$A$6:$A$305,0))),"No registrado"))</f>
        <v/>
      </c>
      <c r="C114" s="52" t="n"/>
      <c r="D114" s="52" t="n"/>
      <c r="E114" s="63">
        <f>IF(AND(ISNUMBER(C114),ISNUMBER(D114)),D114-C114,"")</f>
        <v/>
      </c>
      <c r="F114" s="62">
        <f>IF(A114="","",IFERROR(IF(INDEX(2_Participantes!$E$6:$E$305,MATCH(A114,2_Participantes!$A$6:$A$305,0))="","",INDEX(2_Participantes!$E$6:$E$305,MATCH(A114,2_Participantes!$A$6:$A$305,0))),""))</f>
        <v/>
      </c>
      <c r="G114" s="61">
        <f>IF(A114="","",IFERROR(IF(INDEX(2_Participantes!$F$6:$F$305,MATCH(A114,2_Participantes!$A$6:$A$305,0))="","",INDEX(2_Participantes!$F$6:$F$305,MATCH(A114,2_Participantes!$A$6:$A$305,0))),"No registrado"))</f>
        <v/>
      </c>
      <c r="H114" s="84">
        <f>IF(A114="","",IFERROR(IF(INDEX(2_Participantes!$L$6:$L$305,MATCH(A114,2_Participantes!$A$6:$A$305,0))="","",INDEX(2_Participantes!$L$6:$L$305,MATCH(A114,2_Participantes!$A$6:$A$305,0))),""))</f>
        <v/>
      </c>
      <c r="I114" s="62">
        <f>IF(A114="","",IF(AND(ISNUMBER(C114),ISNUMBER(D114),G114&lt;&gt;"Excluido"),1,0))</f>
        <v/>
      </c>
      <c r="J114" s="76">
        <f>IF(A114="","",IF(G114="No registrado","Código ausente en 2_Participantes",IF(AND(ISNUMBER(D114),NOT(ISNUMBER(C114))),"Postest sin pretest (huérfano)",IF(OR(AND(ISNUMBER(C114),OR(C114&lt;Inicio!$C$18,C114&gt;Inicio!$C$19)),AND(ISNUMBER(D114),OR(D114&lt;Inicio!$C$18,D114&gt;Inicio!$C$19))),"Fuera de rango",IF(COUNTIF($A$6:$A$305,A114)&gt;1,"Código duplicado","OK")))))</f>
        <v/>
      </c>
    </row>
    <row r="115" ht="15" customHeight="1" s="42">
      <c r="A115" s="67" t="n"/>
      <c r="B115" s="61">
        <f>IF(A115="","",IFERROR(IF(INDEX(2_Participantes!$B$6:$B$305,MATCH(A115,2_Participantes!$A$6:$A$305,0))="","",INDEX(2_Participantes!$B$6:$B$305,MATCH(A115,2_Participantes!$A$6:$A$305,0))),"No registrado"))</f>
        <v/>
      </c>
      <c r="C115" s="52" t="n"/>
      <c r="D115" s="52" t="n"/>
      <c r="E115" s="63">
        <f>IF(AND(ISNUMBER(C115),ISNUMBER(D115)),D115-C115,"")</f>
        <v/>
      </c>
      <c r="F115" s="62">
        <f>IF(A115="","",IFERROR(IF(INDEX(2_Participantes!$E$6:$E$305,MATCH(A115,2_Participantes!$A$6:$A$305,0))="","",INDEX(2_Participantes!$E$6:$E$305,MATCH(A115,2_Participantes!$A$6:$A$305,0))),""))</f>
        <v/>
      </c>
      <c r="G115" s="61">
        <f>IF(A115="","",IFERROR(IF(INDEX(2_Participantes!$F$6:$F$305,MATCH(A115,2_Participantes!$A$6:$A$305,0))="","",INDEX(2_Participantes!$F$6:$F$305,MATCH(A115,2_Participantes!$A$6:$A$305,0))),"No registrado"))</f>
        <v/>
      </c>
      <c r="H115" s="84">
        <f>IF(A115="","",IFERROR(IF(INDEX(2_Participantes!$L$6:$L$305,MATCH(A115,2_Participantes!$A$6:$A$305,0))="","",INDEX(2_Participantes!$L$6:$L$305,MATCH(A115,2_Participantes!$A$6:$A$305,0))),""))</f>
        <v/>
      </c>
      <c r="I115" s="62">
        <f>IF(A115="","",IF(AND(ISNUMBER(C115),ISNUMBER(D115),G115&lt;&gt;"Excluido"),1,0))</f>
        <v/>
      </c>
      <c r="J115" s="76">
        <f>IF(A115="","",IF(G115="No registrado","Código ausente en 2_Participantes",IF(AND(ISNUMBER(D115),NOT(ISNUMBER(C115))),"Postest sin pretest (huérfano)",IF(OR(AND(ISNUMBER(C115),OR(C115&lt;Inicio!$C$18,C115&gt;Inicio!$C$19)),AND(ISNUMBER(D115),OR(D115&lt;Inicio!$C$18,D115&gt;Inicio!$C$19))),"Fuera de rango",IF(COUNTIF($A$6:$A$305,A115)&gt;1,"Código duplicado","OK")))))</f>
        <v/>
      </c>
    </row>
    <row r="116" ht="15" customHeight="1" s="42">
      <c r="A116" s="67" t="n"/>
      <c r="B116" s="61">
        <f>IF(A116="","",IFERROR(IF(INDEX(2_Participantes!$B$6:$B$305,MATCH(A116,2_Participantes!$A$6:$A$305,0))="","",INDEX(2_Participantes!$B$6:$B$305,MATCH(A116,2_Participantes!$A$6:$A$305,0))),"No registrado"))</f>
        <v/>
      </c>
      <c r="C116" s="52" t="n"/>
      <c r="D116" s="52" t="n"/>
      <c r="E116" s="63">
        <f>IF(AND(ISNUMBER(C116),ISNUMBER(D116)),D116-C116,"")</f>
        <v/>
      </c>
      <c r="F116" s="62">
        <f>IF(A116="","",IFERROR(IF(INDEX(2_Participantes!$E$6:$E$305,MATCH(A116,2_Participantes!$A$6:$A$305,0))="","",INDEX(2_Participantes!$E$6:$E$305,MATCH(A116,2_Participantes!$A$6:$A$305,0))),""))</f>
        <v/>
      </c>
      <c r="G116" s="61">
        <f>IF(A116="","",IFERROR(IF(INDEX(2_Participantes!$F$6:$F$305,MATCH(A116,2_Participantes!$A$6:$A$305,0))="","",INDEX(2_Participantes!$F$6:$F$305,MATCH(A116,2_Participantes!$A$6:$A$305,0))),"No registrado"))</f>
        <v/>
      </c>
      <c r="H116" s="84">
        <f>IF(A116="","",IFERROR(IF(INDEX(2_Participantes!$L$6:$L$305,MATCH(A116,2_Participantes!$A$6:$A$305,0))="","",INDEX(2_Participantes!$L$6:$L$305,MATCH(A116,2_Participantes!$A$6:$A$305,0))),""))</f>
        <v/>
      </c>
      <c r="I116" s="62">
        <f>IF(A116="","",IF(AND(ISNUMBER(C116),ISNUMBER(D116),G116&lt;&gt;"Excluido"),1,0))</f>
        <v/>
      </c>
      <c r="J116" s="76">
        <f>IF(A116="","",IF(G116="No registrado","Código ausente en 2_Participantes",IF(AND(ISNUMBER(D116),NOT(ISNUMBER(C116))),"Postest sin pretest (huérfano)",IF(OR(AND(ISNUMBER(C116),OR(C116&lt;Inicio!$C$18,C116&gt;Inicio!$C$19)),AND(ISNUMBER(D116),OR(D116&lt;Inicio!$C$18,D116&gt;Inicio!$C$19))),"Fuera de rango",IF(COUNTIF($A$6:$A$305,A116)&gt;1,"Código duplicado","OK")))))</f>
        <v/>
      </c>
    </row>
    <row r="117" ht="15" customHeight="1" s="42">
      <c r="A117" s="67" t="n"/>
      <c r="B117" s="61">
        <f>IF(A117="","",IFERROR(IF(INDEX(2_Participantes!$B$6:$B$305,MATCH(A117,2_Participantes!$A$6:$A$305,0))="","",INDEX(2_Participantes!$B$6:$B$305,MATCH(A117,2_Participantes!$A$6:$A$305,0))),"No registrado"))</f>
        <v/>
      </c>
      <c r="C117" s="52" t="n"/>
      <c r="D117" s="52" t="n"/>
      <c r="E117" s="63">
        <f>IF(AND(ISNUMBER(C117),ISNUMBER(D117)),D117-C117,"")</f>
        <v/>
      </c>
      <c r="F117" s="62">
        <f>IF(A117="","",IFERROR(IF(INDEX(2_Participantes!$E$6:$E$305,MATCH(A117,2_Participantes!$A$6:$A$305,0))="","",INDEX(2_Participantes!$E$6:$E$305,MATCH(A117,2_Participantes!$A$6:$A$305,0))),""))</f>
        <v/>
      </c>
      <c r="G117" s="61">
        <f>IF(A117="","",IFERROR(IF(INDEX(2_Participantes!$F$6:$F$305,MATCH(A117,2_Participantes!$A$6:$A$305,0))="","",INDEX(2_Participantes!$F$6:$F$305,MATCH(A117,2_Participantes!$A$6:$A$305,0))),"No registrado"))</f>
        <v/>
      </c>
      <c r="H117" s="84">
        <f>IF(A117="","",IFERROR(IF(INDEX(2_Participantes!$L$6:$L$305,MATCH(A117,2_Participantes!$A$6:$A$305,0))="","",INDEX(2_Participantes!$L$6:$L$305,MATCH(A117,2_Participantes!$A$6:$A$305,0))),""))</f>
        <v/>
      </c>
      <c r="I117" s="62">
        <f>IF(A117="","",IF(AND(ISNUMBER(C117),ISNUMBER(D117),G117&lt;&gt;"Excluido"),1,0))</f>
        <v/>
      </c>
      <c r="J117" s="76">
        <f>IF(A117="","",IF(G117="No registrado","Código ausente en 2_Participantes",IF(AND(ISNUMBER(D117),NOT(ISNUMBER(C117))),"Postest sin pretest (huérfano)",IF(OR(AND(ISNUMBER(C117),OR(C117&lt;Inicio!$C$18,C117&gt;Inicio!$C$19)),AND(ISNUMBER(D117),OR(D117&lt;Inicio!$C$18,D117&gt;Inicio!$C$19))),"Fuera de rango",IF(COUNTIF($A$6:$A$305,A117)&gt;1,"Código duplicado","OK")))))</f>
        <v/>
      </c>
    </row>
    <row r="118" ht="15" customHeight="1" s="42">
      <c r="A118" s="67" t="n"/>
      <c r="B118" s="61">
        <f>IF(A118="","",IFERROR(IF(INDEX(2_Participantes!$B$6:$B$305,MATCH(A118,2_Participantes!$A$6:$A$305,0))="","",INDEX(2_Participantes!$B$6:$B$305,MATCH(A118,2_Participantes!$A$6:$A$305,0))),"No registrado"))</f>
        <v/>
      </c>
      <c r="C118" s="52" t="n"/>
      <c r="D118" s="52" t="n"/>
      <c r="E118" s="63">
        <f>IF(AND(ISNUMBER(C118),ISNUMBER(D118)),D118-C118,"")</f>
        <v/>
      </c>
      <c r="F118" s="62">
        <f>IF(A118="","",IFERROR(IF(INDEX(2_Participantes!$E$6:$E$305,MATCH(A118,2_Participantes!$A$6:$A$305,0))="","",INDEX(2_Participantes!$E$6:$E$305,MATCH(A118,2_Participantes!$A$6:$A$305,0))),""))</f>
        <v/>
      </c>
      <c r="G118" s="61">
        <f>IF(A118="","",IFERROR(IF(INDEX(2_Participantes!$F$6:$F$305,MATCH(A118,2_Participantes!$A$6:$A$305,0))="","",INDEX(2_Participantes!$F$6:$F$305,MATCH(A118,2_Participantes!$A$6:$A$305,0))),"No registrado"))</f>
        <v/>
      </c>
      <c r="H118" s="84">
        <f>IF(A118="","",IFERROR(IF(INDEX(2_Participantes!$L$6:$L$305,MATCH(A118,2_Participantes!$A$6:$A$305,0))="","",INDEX(2_Participantes!$L$6:$L$305,MATCH(A118,2_Participantes!$A$6:$A$305,0))),""))</f>
        <v/>
      </c>
      <c r="I118" s="62">
        <f>IF(A118="","",IF(AND(ISNUMBER(C118),ISNUMBER(D118),G118&lt;&gt;"Excluido"),1,0))</f>
        <v/>
      </c>
      <c r="J118" s="76">
        <f>IF(A118="","",IF(G118="No registrado","Código ausente en 2_Participantes",IF(AND(ISNUMBER(D118),NOT(ISNUMBER(C118))),"Postest sin pretest (huérfano)",IF(OR(AND(ISNUMBER(C118),OR(C118&lt;Inicio!$C$18,C118&gt;Inicio!$C$19)),AND(ISNUMBER(D118),OR(D118&lt;Inicio!$C$18,D118&gt;Inicio!$C$19))),"Fuera de rango",IF(COUNTIF($A$6:$A$305,A118)&gt;1,"Código duplicado","OK")))))</f>
        <v/>
      </c>
    </row>
    <row r="119" ht="15" customHeight="1" s="42">
      <c r="A119" s="67" t="n"/>
      <c r="B119" s="61">
        <f>IF(A119="","",IFERROR(IF(INDEX(2_Participantes!$B$6:$B$305,MATCH(A119,2_Participantes!$A$6:$A$305,0))="","",INDEX(2_Participantes!$B$6:$B$305,MATCH(A119,2_Participantes!$A$6:$A$305,0))),"No registrado"))</f>
        <v/>
      </c>
      <c r="C119" s="52" t="n"/>
      <c r="D119" s="52" t="n"/>
      <c r="E119" s="63">
        <f>IF(AND(ISNUMBER(C119),ISNUMBER(D119)),D119-C119,"")</f>
        <v/>
      </c>
      <c r="F119" s="62">
        <f>IF(A119="","",IFERROR(IF(INDEX(2_Participantes!$E$6:$E$305,MATCH(A119,2_Participantes!$A$6:$A$305,0))="","",INDEX(2_Participantes!$E$6:$E$305,MATCH(A119,2_Participantes!$A$6:$A$305,0))),""))</f>
        <v/>
      </c>
      <c r="G119" s="61">
        <f>IF(A119="","",IFERROR(IF(INDEX(2_Participantes!$F$6:$F$305,MATCH(A119,2_Participantes!$A$6:$A$305,0))="","",INDEX(2_Participantes!$F$6:$F$305,MATCH(A119,2_Participantes!$A$6:$A$305,0))),"No registrado"))</f>
        <v/>
      </c>
      <c r="H119" s="84">
        <f>IF(A119="","",IFERROR(IF(INDEX(2_Participantes!$L$6:$L$305,MATCH(A119,2_Participantes!$A$6:$A$305,0))="","",INDEX(2_Participantes!$L$6:$L$305,MATCH(A119,2_Participantes!$A$6:$A$305,0))),""))</f>
        <v/>
      </c>
      <c r="I119" s="62">
        <f>IF(A119="","",IF(AND(ISNUMBER(C119),ISNUMBER(D119),G119&lt;&gt;"Excluido"),1,0))</f>
        <v/>
      </c>
      <c r="J119" s="76">
        <f>IF(A119="","",IF(G119="No registrado","Código ausente en 2_Participantes",IF(AND(ISNUMBER(D119),NOT(ISNUMBER(C119))),"Postest sin pretest (huérfano)",IF(OR(AND(ISNUMBER(C119),OR(C119&lt;Inicio!$C$18,C119&gt;Inicio!$C$19)),AND(ISNUMBER(D119),OR(D119&lt;Inicio!$C$18,D119&gt;Inicio!$C$19))),"Fuera de rango",IF(COUNTIF($A$6:$A$305,A119)&gt;1,"Código duplicado","OK")))))</f>
        <v/>
      </c>
    </row>
    <row r="120" ht="15" customHeight="1" s="42">
      <c r="A120" s="67" t="n"/>
      <c r="B120" s="61">
        <f>IF(A120="","",IFERROR(IF(INDEX(2_Participantes!$B$6:$B$305,MATCH(A120,2_Participantes!$A$6:$A$305,0))="","",INDEX(2_Participantes!$B$6:$B$305,MATCH(A120,2_Participantes!$A$6:$A$305,0))),"No registrado"))</f>
        <v/>
      </c>
      <c r="C120" s="52" t="n"/>
      <c r="D120" s="52" t="n"/>
      <c r="E120" s="63">
        <f>IF(AND(ISNUMBER(C120),ISNUMBER(D120)),D120-C120,"")</f>
        <v/>
      </c>
      <c r="F120" s="62">
        <f>IF(A120="","",IFERROR(IF(INDEX(2_Participantes!$E$6:$E$305,MATCH(A120,2_Participantes!$A$6:$A$305,0))="","",INDEX(2_Participantes!$E$6:$E$305,MATCH(A120,2_Participantes!$A$6:$A$305,0))),""))</f>
        <v/>
      </c>
      <c r="G120" s="61">
        <f>IF(A120="","",IFERROR(IF(INDEX(2_Participantes!$F$6:$F$305,MATCH(A120,2_Participantes!$A$6:$A$305,0))="","",INDEX(2_Participantes!$F$6:$F$305,MATCH(A120,2_Participantes!$A$6:$A$305,0))),"No registrado"))</f>
        <v/>
      </c>
      <c r="H120" s="84">
        <f>IF(A120="","",IFERROR(IF(INDEX(2_Participantes!$L$6:$L$305,MATCH(A120,2_Participantes!$A$6:$A$305,0))="","",INDEX(2_Participantes!$L$6:$L$305,MATCH(A120,2_Participantes!$A$6:$A$305,0))),""))</f>
        <v/>
      </c>
      <c r="I120" s="62">
        <f>IF(A120="","",IF(AND(ISNUMBER(C120),ISNUMBER(D120),G120&lt;&gt;"Excluido"),1,0))</f>
        <v/>
      </c>
      <c r="J120" s="76">
        <f>IF(A120="","",IF(G120="No registrado","Código ausente en 2_Participantes",IF(AND(ISNUMBER(D120),NOT(ISNUMBER(C120))),"Postest sin pretest (huérfano)",IF(OR(AND(ISNUMBER(C120),OR(C120&lt;Inicio!$C$18,C120&gt;Inicio!$C$19)),AND(ISNUMBER(D120),OR(D120&lt;Inicio!$C$18,D120&gt;Inicio!$C$19))),"Fuera de rango",IF(COUNTIF($A$6:$A$305,A120)&gt;1,"Código duplicado","OK")))))</f>
        <v/>
      </c>
    </row>
    <row r="121" ht="15" customHeight="1" s="42">
      <c r="A121" s="67" t="n"/>
      <c r="B121" s="61">
        <f>IF(A121="","",IFERROR(IF(INDEX(2_Participantes!$B$6:$B$305,MATCH(A121,2_Participantes!$A$6:$A$305,0))="","",INDEX(2_Participantes!$B$6:$B$305,MATCH(A121,2_Participantes!$A$6:$A$305,0))),"No registrado"))</f>
        <v/>
      </c>
      <c r="C121" s="52" t="n"/>
      <c r="D121" s="52" t="n"/>
      <c r="E121" s="63">
        <f>IF(AND(ISNUMBER(C121),ISNUMBER(D121)),D121-C121,"")</f>
        <v/>
      </c>
      <c r="F121" s="62">
        <f>IF(A121="","",IFERROR(IF(INDEX(2_Participantes!$E$6:$E$305,MATCH(A121,2_Participantes!$A$6:$A$305,0))="","",INDEX(2_Participantes!$E$6:$E$305,MATCH(A121,2_Participantes!$A$6:$A$305,0))),""))</f>
        <v/>
      </c>
      <c r="G121" s="61">
        <f>IF(A121="","",IFERROR(IF(INDEX(2_Participantes!$F$6:$F$305,MATCH(A121,2_Participantes!$A$6:$A$305,0))="","",INDEX(2_Participantes!$F$6:$F$305,MATCH(A121,2_Participantes!$A$6:$A$305,0))),"No registrado"))</f>
        <v/>
      </c>
      <c r="H121" s="84">
        <f>IF(A121="","",IFERROR(IF(INDEX(2_Participantes!$L$6:$L$305,MATCH(A121,2_Participantes!$A$6:$A$305,0))="","",INDEX(2_Participantes!$L$6:$L$305,MATCH(A121,2_Participantes!$A$6:$A$305,0))),""))</f>
        <v/>
      </c>
      <c r="I121" s="62">
        <f>IF(A121="","",IF(AND(ISNUMBER(C121),ISNUMBER(D121),G121&lt;&gt;"Excluido"),1,0))</f>
        <v/>
      </c>
      <c r="J121" s="76">
        <f>IF(A121="","",IF(G121="No registrado","Código ausente en 2_Participantes",IF(AND(ISNUMBER(D121),NOT(ISNUMBER(C121))),"Postest sin pretest (huérfano)",IF(OR(AND(ISNUMBER(C121),OR(C121&lt;Inicio!$C$18,C121&gt;Inicio!$C$19)),AND(ISNUMBER(D121),OR(D121&lt;Inicio!$C$18,D121&gt;Inicio!$C$19))),"Fuera de rango",IF(COUNTIF($A$6:$A$305,A121)&gt;1,"Código duplicado","OK")))))</f>
        <v/>
      </c>
    </row>
    <row r="122" ht="15" customHeight="1" s="42">
      <c r="A122" s="67" t="n"/>
      <c r="B122" s="61">
        <f>IF(A122="","",IFERROR(IF(INDEX(2_Participantes!$B$6:$B$305,MATCH(A122,2_Participantes!$A$6:$A$305,0))="","",INDEX(2_Participantes!$B$6:$B$305,MATCH(A122,2_Participantes!$A$6:$A$305,0))),"No registrado"))</f>
        <v/>
      </c>
      <c r="C122" s="52" t="n"/>
      <c r="D122" s="52" t="n"/>
      <c r="E122" s="63">
        <f>IF(AND(ISNUMBER(C122),ISNUMBER(D122)),D122-C122,"")</f>
        <v/>
      </c>
      <c r="F122" s="62">
        <f>IF(A122="","",IFERROR(IF(INDEX(2_Participantes!$E$6:$E$305,MATCH(A122,2_Participantes!$A$6:$A$305,0))="","",INDEX(2_Participantes!$E$6:$E$305,MATCH(A122,2_Participantes!$A$6:$A$305,0))),""))</f>
        <v/>
      </c>
      <c r="G122" s="61">
        <f>IF(A122="","",IFERROR(IF(INDEX(2_Participantes!$F$6:$F$305,MATCH(A122,2_Participantes!$A$6:$A$305,0))="","",INDEX(2_Participantes!$F$6:$F$305,MATCH(A122,2_Participantes!$A$6:$A$305,0))),"No registrado"))</f>
        <v/>
      </c>
      <c r="H122" s="84">
        <f>IF(A122="","",IFERROR(IF(INDEX(2_Participantes!$L$6:$L$305,MATCH(A122,2_Participantes!$A$6:$A$305,0))="","",INDEX(2_Participantes!$L$6:$L$305,MATCH(A122,2_Participantes!$A$6:$A$305,0))),""))</f>
        <v/>
      </c>
      <c r="I122" s="62">
        <f>IF(A122="","",IF(AND(ISNUMBER(C122),ISNUMBER(D122),G122&lt;&gt;"Excluido"),1,0))</f>
        <v/>
      </c>
      <c r="J122" s="76">
        <f>IF(A122="","",IF(G122="No registrado","Código ausente en 2_Participantes",IF(AND(ISNUMBER(D122),NOT(ISNUMBER(C122))),"Postest sin pretest (huérfano)",IF(OR(AND(ISNUMBER(C122),OR(C122&lt;Inicio!$C$18,C122&gt;Inicio!$C$19)),AND(ISNUMBER(D122),OR(D122&lt;Inicio!$C$18,D122&gt;Inicio!$C$19))),"Fuera de rango",IF(COUNTIF($A$6:$A$305,A122)&gt;1,"Código duplicado","OK")))))</f>
        <v/>
      </c>
    </row>
    <row r="123" ht="15" customHeight="1" s="42">
      <c r="A123" s="67" t="n"/>
      <c r="B123" s="61">
        <f>IF(A123="","",IFERROR(IF(INDEX(2_Participantes!$B$6:$B$305,MATCH(A123,2_Participantes!$A$6:$A$305,0))="","",INDEX(2_Participantes!$B$6:$B$305,MATCH(A123,2_Participantes!$A$6:$A$305,0))),"No registrado"))</f>
        <v/>
      </c>
      <c r="C123" s="52" t="n"/>
      <c r="D123" s="52" t="n"/>
      <c r="E123" s="63">
        <f>IF(AND(ISNUMBER(C123),ISNUMBER(D123)),D123-C123,"")</f>
        <v/>
      </c>
      <c r="F123" s="62">
        <f>IF(A123="","",IFERROR(IF(INDEX(2_Participantes!$E$6:$E$305,MATCH(A123,2_Participantes!$A$6:$A$305,0))="","",INDEX(2_Participantes!$E$6:$E$305,MATCH(A123,2_Participantes!$A$6:$A$305,0))),""))</f>
        <v/>
      </c>
      <c r="G123" s="61">
        <f>IF(A123="","",IFERROR(IF(INDEX(2_Participantes!$F$6:$F$305,MATCH(A123,2_Participantes!$A$6:$A$305,0))="","",INDEX(2_Participantes!$F$6:$F$305,MATCH(A123,2_Participantes!$A$6:$A$305,0))),"No registrado"))</f>
        <v/>
      </c>
      <c r="H123" s="84">
        <f>IF(A123="","",IFERROR(IF(INDEX(2_Participantes!$L$6:$L$305,MATCH(A123,2_Participantes!$A$6:$A$305,0))="","",INDEX(2_Participantes!$L$6:$L$305,MATCH(A123,2_Participantes!$A$6:$A$305,0))),""))</f>
        <v/>
      </c>
      <c r="I123" s="62">
        <f>IF(A123="","",IF(AND(ISNUMBER(C123),ISNUMBER(D123),G123&lt;&gt;"Excluido"),1,0))</f>
        <v/>
      </c>
      <c r="J123" s="76">
        <f>IF(A123="","",IF(G123="No registrado","Código ausente en 2_Participantes",IF(AND(ISNUMBER(D123),NOT(ISNUMBER(C123))),"Postest sin pretest (huérfano)",IF(OR(AND(ISNUMBER(C123),OR(C123&lt;Inicio!$C$18,C123&gt;Inicio!$C$19)),AND(ISNUMBER(D123),OR(D123&lt;Inicio!$C$18,D123&gt;Inicio!$C$19))),"Fuera de rango",IF(COUNTIF($A$6:$A$305,A123)&gt;1,"Código duplicado","OK")))))</f>
        <v/>
      </c>
    </row>
    <row r="124" ht="15" customHeight="1" s="42">
      <c r="A124" s="67" t="n"/>
      <c r="B124" s="61">
        <f>IF(A124="","",IFERROR(IF(INDEX(2_Participantes!$B$6:$B$305,MATCH(A124,2_Participantes!$A$6:$A$305,0))="","",INDEX(2_Participantes!$B$6:$B$305,MATCH(A124,2_Participantes!$A$6:$A$305,0))),"No registrado"))</f>
        <v/>
      </c>
      <c r="C124" s="52" t="n"/>
      <c r="D124" s="52" t="n"/>
      <c r="E124" s="63">
        <f>IF(AND(ISNUMBER(C124),ISNUMBER(D124)),D124-C124,"")</f>
        <v/>
      </c>
      <c r="F124" s="62">
        <f>IF(A124="","",IFERROR(IF(INDEX(2_Participantes!$E$6:$E$305,MATCH(A124,2_Participantes!$A$6:$A$305,0))="","",INDEX(2_Participantes!$E$6:$E$305,MATCH(A124,2_Participantes!$A$6:$A$305,0))),""))</f>
        <v/>
      </c>
      <c r="G124" s="61">
        <f>IF(A124="","",IFERROR(IF(INDEX(2_Participantes!$F$6:$F$305,MATCH(A124,2_Participantes!$A$6:$A$305,0))="","",INDEX(2_Participantes!$F$6:$F$305,MATCH(A124,2_Participantes!$A$6:$A$305,0))),"No registrado"))</f>
        <v/>
      </c>
      <c r="H124" s="84">
        <f>IF(A124="","",IFERROR(IF(INDEX(2_Participantes!$L$6:$L$305,MATCH(A124,2_Participantes!$A$6:$A$305,0))="","",INDEX(2_Participantes!$L$6:$L$305,MATCH(A124,2_Participantes!$A$6:$A$305,0))),""))</f>
        <v/>
      </c>
      <c r="I124" s="62">
        <f>IF(A124="","",IF(AND(ISNUMBER(C124),ISNUMBER(D124),G124&lt;&gt;"Excluido"),1,0))</f>
        <v/>
      </c>
      <c r="J124" s="76">
        <f>IF(A124="","",IF(G124="No registrado","Código ausente en 2_Participantes",IF(AND(ISNUMBER(D124),NOT(ISNUMBER(C124))),"Postest sin pretest (huérfano)",IF(OR(AND(ISNUMBER(C124),OR(C124&lt;Inicio!$C$18,C124&gt;Inicio!$C$19)),AND(ISNUMBER(D124),OR(D124&lt;Inicio!$C$18,D124&gt;Inicio!$C$19))),"Fuera de rango",IF(COUNTIF($A$6:$A$305,A124)&gt;1,"Código duplicado","OK")))))</f>
        <v/>
      </c>
    </row>
    <row r="125" ht="15" customHeight="1" s="42">
      <c r="A125" s="67" t="n"/>
      <c r="B125" s="61">
        <f>IF(A125="","",IFERROR(IF(INDEX(2_Participantes!$B$6:$B$305,MATCH(A125,2_Participantes!$A$6:$A$305,0))="","",INDEX(2_Participantes!$B$6:$B$305,MATCH(A125,2_Participantes!$A$6:$A$305,0))),"No registrado"))</f>
        <v/>
      </c>
      <c r="C125" s="52" t="n"/>
      <c r="D125" s="52" t="n"/>
      <c r="E125" s="63">
        <f>IF(AND(ISNUMBER(C125),ISNUMBER(D125)),D125-C125,"")</f>
        <v/>
      </c>
      <c r="F125" s="62">
        <f>IF(A125="","",IFERROR(IF(INDEX(2_Participantes!$E$6:$E$305,MATCH(A125,2_Participantes!$A$6:$A$305,0))="","",INDEX(2_Participantes!$E$6:$E$305,MATCH(A125,2_Participantes!$A$6:$A$305,0))),""))</f>
        <v/>
      </c>
      <c r="G125" s="61">
        <f>IF(A125="","",IFERROR(IF(INDEX(2_Participantes!$F$6:$F$305,MATCH(A125,2_Participantes!$A$6:$A$305,0))="","",INDEX(2_Participantes!$F$6:$F$305,MATCH(A125,2_Participantes!$A$6:$A$305,0))),"No registrado"))</f>
        <v/>
      </c>
      <c r="H125" s="84">
        <f>IF(A125="","",IFERROR(IF(INDEX(2_Participantes!$L$6:$L$305,MATCH(A125,2_Participantes!$A$6:$A$305,0))="","",INDEX(2_Participantes!$L$6:$L$305,MATCH(A125,2_Participantes!$A$6:$A$305,0))),""))</f>
        <v/>
      </c>
      <c r="I125" s="62">
        <f>IF(A125="","",IF(AND(ISNUMBER(C125),ISNUMBER(D125),G125&lt;&gt;"Excluido"),1,0))</f>
        <v/>
      </c>
      <c r="J125" s="76">
        <f>IF(A125="","",IF(G125="No registrado","Código ausente en 2_Participantes",IF(AND(ISNUMBER(D125),NOT(ISNUMBER(C125))),"Postest sin pretest (huérfano)",IF(OR(AND(ISNUMBER(C125),OR(C125&lt;Inicio!$C$18,C125&gt;Inicio!$C$19)),AND(ISNUMBER(D125),OR(D125&lt;Inicio!$C$18,D125&gt;Inicio!$C$19))),"Fuera de rango",IF(COUNTIF($A$6:$A$305,A125)&gt;1,"Código duplicado","OK")))))</f>
        <v/>
      </c>
    </row>
    <row r="126" ht="15" customHeight="1" s="42">
      <c r="A126" s="67" t="n"/>
      <c r="B126" s="61">
        <f>IF(A126="","",IFERROR(IF(INDEX(2_Participantes!$B$6:$B$305,MATCH(A126,2_Participantes!$A$6:$A$305,0))="","",INDEX(2_Participantes!$B$6:$B$305,MATCH(A126,2_Participantes!$A$6:$A$305,0))),"No registrado"))</f>
        <v/>
      </c>
      <c r="C126" s="52" t="n"/>
      <c r="D126" s="52" t="n"/>
      <c r="E126" s="63">
        <f>IF(AND(ISNUMBER(C126),ISNUMBER(D126)),D126-C126,"")</f>
        <v/>
      </c>
      <c r="F126" s="62">
        <f>IF(A126="","",IFERROR(IF(INDEX(2_Participantes!$E$6:$E$305,MATCH(A126,2_Participantes!$A$6:$A$305,0))="","",INDEX(2_Participantes!$E$6:$E$305,MATCH(A126,2_Participantes!$A$6:$A$305,0))),""))</f>
        <v/>
      </c>
      <c r="G126" s="61">
        <f>IF(A126="","",IFERROR(IF(INDEX(2_Participantes!$F$6:$F$305,MATCH(A126,2_Participantes!$A$6:$A$305,0))="","",INDEX(2_Participantes!$F$6:$F$305,MATCH(A126,2_Participantes!$A$6:$A$305,0))),"No registrado"))</f>
        <v/>
      </c>
      <c r="H126" s="84">
        <f>IF(A126="","",IFERROR(IF(INDEX(2_Participantes!$L$6:$L$305,MATCH(A126,2_Participantes!$A$6:$A$305,0))="","",INDEX(2_Participantes!$L$6:$L$305,MATCH(A126,2_Participantes!$A$6:$A$305,0))),""))</f>
        <v/>
      </c>
      <c r="I126" s="62">
        <f>IF(A126="","",IF(AND(ISNUMBER(C126),ISNUMBER(D126),G126&lt;&gt;"Excluido"),1,0))</f>
        <v/>
      </c>
      <c r="J126" s="76">
        <f>IF(A126="","",IF(G126="No registrado","Código ausente en 2_Participantes",IF(AND(ISNUMBER(D126),NOT(ISNUMBER(C126))),"Postest sin pretest (huérfano)",IF(OR(AND(ISNUMBER(C126),OR(C126&lt;Inicio!$C$18,C126&gt;Inicio!$C$19)),AND(ISNUMBER(D126),OR(D126&lt;Inicio!$C$18,D126&gt;Inicio!$C$19))),"Fuera de rango",IF(COUNTIF($A$6:$A$305,A126)&gt;1,"Código duplicado","OK")))))</f>
        <v/>
      </c>
    </row>
    <row r="127" ht="15" customHeight="1" s="42">
      <c r="A127" s="67" t="n"/>
      <c r="B127" s="61">
        <f>IF(A127="","",IFERROR(IF(INDEX(2_Participantes!$B$6:$B$305,MATCH(A127,2_Participantes!$A$6:$A$305,0))="","",INDEX(2_Participantes!$B$6:$B$305,MATCH(A127,2_Participantes!$A$6:$A$305,0))),"No registrado"))</f>
        <v/>
      </c>
      <c r="C127" s="52" t="n"/>
      <c r="D127" s="52" t="n"/>
      <c r="E127" s="63">
        <f>IF(AND(ISNUMBER(C127),ISNUMBER(D127)),D127-C127,"")</f>
        <v/>
      </c>
      <c r="F127" s="62">
        <f>IF(A127="","",IFERROR(IF(INDEX(2_Participantes!$E$6:$E$305,MATCH(A127,2_Participantes!$A$6:$A$305,0))="","",INDEX(2_Participantes!$E$6:$E$305,MATCH(A127,2_Participantes!$A$6:$A$305,0))),""))</f>
        <v/>
      </c>
      <c r="G127" s="61">
        <f>IF(A127="","",IFERROR(IF(INDEX(2_Participantes!$F$6:$F$305,MATCH(A127,2_Participantes!$A$6:$A$305,0))="","",INDEX(2_Participantes!$F$6:$F$305,MATCH(A127,2_Participantes!$A$6:$A$305,0))),"No registrado"))</f>
        <v/>
      </c>
      <c r="H127" s="84">
        <f>IF(A127="","",IFERROR(IF(INDEX(2_Participantes!$L$6:$L$305,MATCH(A127,2_Participantes!$A$6:$A$305,0))="","",INDEX(2_Participantes!$L$6:$L$305,MATCH(A127,2_Participantes!$A$6:$A$305,0))),""))</f>
        <v/>
      </c>
      <c r="I127" s="62">
        <f>IF(A127="","",IF(AND(ISNUMBER(C127),ISNUMBER(D127),G127&lt;&gt;"Excluido"),1,0))</f>
        <v/>
      </c>
      <c r="J127" s="76">
        <f>IF(A127="","",IF(G127="No registrado","Código ausente en 2_Participantes",IF(AND(ISNUMBER(D127),NOT(ISNUMBER(C127))),"Postest sin pretest (huérfano)",IF(OR(AND(ISNUMBER(C127),OR(C127&lt;Inicio!$C$18,C127&gt;Inicio!$C$19)),AND(ISNUMBER(D127),OR(D127&lt;Inicio!$C$18,D127&gt;Inicio!$C$19))),"Fuera de rango",IF(COUNTIF($A$6:$A$305,A127)&gt;1,"Código duplicado","OK")))))</f>
        <v/>
      </c>
    </row>
    <row r="128" ht="15" customHeight="1" s="42">
      <c r="A128" s="67" t="n"/>
      <c r="B128" s="61">
        <f>IF(A128="","",IFERROR(IF(INDEX(2_Participantes!$B$6:$B$305,MATCH(A128,2_Participantes!$A$6:$A$305,0))="","",INDEX(2_Participantes!$B$6:$B$305,MATCH(A128,2_Participantes!$A$6:$A$305,0))),"No registrado"))</f>
        <v/>
      </c>
      <c r="C128" s="52" t="n"/>
      <c r="D128" s="52" t="n"/>
      <c r="E128" s="63">
        <f>IF(AND(ISNUMBER(C128),ISNUMBER(D128)),D128-C128,"")</f>
        <v/>
      </c>
      <c r="F128" s="62">
        <f>IF(A128="","",IFERROR(IF(INDEX(2_Participantes!$E$6:$E$305,MATCH(A128,2_Participantes!$A$6:$A$305,0))="","",INDEX(2_Participantes!$E$6:$E$305,MATCH(A128,2_Participantes!$A$6:$A$305,0))),""))</f>
        <v/>
      </c>
      <c r="G128" s="61">
        <f>IF(A128="","",IFERROR(IF(INDEX(2_Participantes!$F$6:$F$305,MATCH(A128,2_Participantes!$A$6:$A$305,0))="","",INDEX(2_Participantes!$F$6:$F$305,MATCH(A128,2_Participantes!$A$6:$A$305,0))),"No registrado"))</f>
        <v/>
      </c>
      <c r="H128" s="84">
        <f>IF(A128="","",IFERROR(IF(INDEX(2_Participantes!$L$6:$L$305,MATCH(A128,2_Participantes!$A$6:$A$305,0))="","",INDEX(2_Participantes!$L$6:$L$305,MATCH(A128,2_Participantes!$A$6:$A$305,0))),""))</f>
        <v/>
      </c>
      <c r="I128" s="62">
        <f>IF(A128="","",IF(AND(ISNUMBER(C128),ISNUMBER(D128),G128&lt;&gt;"Excluido"),1,0))</f>
        <v/>
      </c>
      <c r="J128" s="76">
        <f>IF(A128="","",IF(G128="No registrado","Código ausente en 2_Participantes",IF(AND(ISNUMBER(D128),NOT(ISNUMBER(C128))),"Postest sin pretest (huérfano)",IF(OR(AND(ISNUMBER(C128),OR(C128&lt;Inicio!$C$18,C128&gt;Inicio!$C$19)),AND(ISNUMBER(D128),OR(D128&lt;Inicio!$C$18,D128&gt;Inicio!$C$19))),"Fuera de rango",IF(COUNTIF($A$6:$A$305,A128)&gt;1,"Código duplicado","OK")))))</f>
        <v/>
      </c>
    </row>
    <row r="129" ht="15" customHeight="1" s="42">
      <c r="A129" s="67" t="n"/>
      <c r="B129" s="61">
        <f>IF(A129="","",IFERROR(IF(INDEX(2_Participantes!$B$6:$B$305,MATCH(A129,2_Participantes!$A$6:$A$305,0))="","",INDEX(2_Participantes!$B$6:$B$305,MATCH(A129,2_Participantes!$A$6:$A$305,0))),"No registrado"))</f>
        <v/>
      </c>
      <c r="C129" s="52" t="n"/>
      <c r="D129" s="52" t="n"/>
      <c r="E129" s="63">
        <f>IF(AND(ISNUMBER(C129),ISNUMBER(D129)),D129-C129,"")</f>
        <v/>
      </c>
      <c r="F129" s="62">
        <f>IF(A129="","",IFERROR(IF(INDEX(2_Participantes!$E$6:$E$305,MATCH(A129,2_Participantes!$A$6:$A$305,0))="","",INDEX(2_Participantes!$E$6:$E$305,MATCH(A129,2_Participantes!$A$6:$A$305,0))),""))</f>
        <v/>
      </c>
      <c r="G129" s="61">
        <f>IF(A129="","",IFERROR(IF(INDEX(2_Participantes!$F$6:$F$305,MATCH(A129,2_Participantes!$A$6:$A$305,0))="","",INDEX(2_Participantes!$F$6:$F$305,MATCH(A129,2_Participantes!$A$6:$A$305,0))),"No registrado"))</f>
        <v/>
      </c>
      <c r="H129" s="84">
        <f>IF(A129="","",IFERROR(IF(INDEX(2_Participantes!$L$6:$L$305,MATCH(A129,2_Participantes!$A$6:$A$305,0))="","",INDEX(2_Participantes!$L$6:$L$305,MATCH(A129,2_Participantes!$A$6:$A$305,0))),""))</f>
        <v/>
      </c>
      <c r="I129" s="62">
        <f>IF(A129="","",IF(AND(ISNUMBER(C129),ISNUMBER(D129),G129&lt;&gt;"Excluido"),1,0))</f>
        <v/>
      </c>
      <c r="J129" s="76">
        <f>IF(A129="","",IF(G129="No registrado","Código ausente en 2_Participantes",IF(AND(ISNUMBER(D129),NOT(ISNUMBER(C129))),"Postest sin pretest (huérfano)",IF(OR(AND(ISNUMBER(C129),OR(C129&lt;Inicio!$C$18,C129&gt;Inicio!$C$19)),AND(ISNUMBER(D129),OR(D129&lt;Inicio!$C$18,D129&gt;Inicio!$C$19))),"Fuera de rango",IF(COUNTIF($A$6:$A$305,A129)&gt;1,"Código duplicado","OK")))))</f>
        <v/>
      </c>
    </row>
    <row r="130" ht="15" customHeight="1" s="42">
      <c r="A130" s="67" t="n"/>
      <c r="B130" s="61">
        <f>IF(A130="","",IFERROR(IF(INDEX(2_Participantes!$B$6:$B$305,MATCH(A130,2_Participantes!$A$6:$A$305,0))="","",INDEX(2_Participantes!$B$6:$B$305,MATCH(A130,2_Participantes!$A$6:$A$305,0))),"No registrado"))</f>
        <v/>
      </c>
      <c r="C130" s="52" t="n"/>
      <c r="D130" s="52" t="n"/>
      <c r="E130" s="63">
        <f>IF(AND(ISNUMBER(C130),ISNUMBER(D130)),D130-C130,"")</f>
        <v/>
      </c>
      <c r="F130" s="62">
        <f>IF(A130="","",IFERROR(IF(INDEX(2_Participantes!$E$6:$E$305,MATCH(A130,2_Participantes!$A$6:$A$305,0))="","",INDEX(2_Participantes!$E$6:$E$305,MATCH(A130,2_Participantes!$A$6:$A$305,0))),""))</f>
        <v/>
      </c>
      <c r="G130" s="61">
        <f>IF(A130="","",IFERROR(IF(INDEX(2_Participantes!$F$6:$F$305,MATCH(A130,2_Participantes!$A$6:$A$305,0))="","",INDEX(2_Participantes!$F$6:$F$305,MATCH(A130,2_Participantes!$A$6:$A$305,0))),"No registrado"))</f>
        <v/>
      </c>
      <c r="H130" s="84">
        <f>IF(A130="","",IFERROR(IF(INDEX(2_Participantes!$L$6:$L$305,MATCH(A130,2_Participantes!$A$6:$A$305,0))="","",INDEX(2_Participantes!$L$6:$L$305,MATCH(A130,2_Participantes!$A$6:$A$305,0))),""))</f>
        <v/>
      </c>
      <c r="I130" s="62">
        <f>IF(A130="","",IF(AND(ISNUMBER(C130),ISNUMBER(D130),G130&lt;&gt;"Excluido"),1,0))</f>
        <v/>
      </c>
      <c r="J130" s="76">
        <f>IF(A130="","",IF(G130="No registrado","Código ausente en 2_Participantes",IF(AND(ISNUMBER(D130),NOT(ISNUMBER(C130))),"Postest sin pretest (huérfano)",IF(OR(AND(ISNUMBER(C130),OR(C130&lt;Inicio!$C$18,C130&gt;Inicio!$C$19)),AND(ISNUMBER(D130),OR(D130&lt;Inicio!$C$18,D130&gt;Inicio!$C$19))),"Fuera de rango",IF(COUNTIF($A$6:$A$305,A130)&gt;1,"Código duplicado","OK")))))</f>
        <v/>
      </c>
    </row>
    <row r="131" ht="15" customHeight="1" s="42">
      <c r="A131" s="67" t="n"/>
      <c r="B131" s="61">
        <f>IF(A131="","",IFERROR(IF(INDEX(2_Participantes!$B$6:$B$305,MATCH(A131,2_Participantes!$A$6:$A$305,0))="","",INDEX(2_Participantes!$B$6:$B$305,MATCH(A131,2_Participantes!$A$6:$A$305,0))),"No registrado"))</f>
        <v/>
      </c>
      <c r="C131" s="52" t="n"/>
      <c r="D131" s="52" t="n"/>
      <c r="E131" s="63">
        <f>IF(AND(ISNUMBER(C131),ISNUMBER(D131)),D131-C131,"")</f>
        <v/>
      </c>
      <c r="F131" s="62">
        <f>IF(A131="","",IFERROR(IF(INDEX(2_Participantes!$E$6:$E$305,MATCH(A131,2_Participantes!$A$6:$A$305,0))="","",INDEX(2_Participantes!$E$6:$E$305,MATCH(A131,2_Participantes!$A$6:$A$305,0))),""))</f>
        <v/>
      </c>
      <c r="G131" s="61">
        <f>IF(A131="","",IFERROR(IF(INDEX(2_Participantes!$F$6:$F$305,MATCH(A131,2_Participantes!$A$6:$A$305,0))="","",INDEX(2_Participantes!$F$6:$F$305,MATCH(A131,2_Participantes!$A$6:$A$305,0))),"No registrado"))</f>
        <v/>
      </c>
      <c r="H131" s="84">
        <f>IF(A131="","",IFERROR(IF(INDEX(2_Participantes!$L$6:$L$305,MATCH(A131,2_Participantes!$A$6:$A$305,0))="","",INDEX(2_Participantes!$L$6:$L$305,MATCH(A131,2_Participantes!$A$6:$A$305,0))),""))</f>
        <v/>
      </c>
      <c r="I131" s="62">
        <f>IF(A131="","",IF(AND(ISNUMBER(C131),ISNUMBER(D131),G131&lt;&gt;"Excluido"),1,0))</f>
        <v/>
      </c>
      <c r="J131" s="76">
        <f>IF(A131="","",IF(G131="No registrado","Código ausente en 2_Participantes",IF(AND(ISNUMBER(D131),NOT(ISNUMBER(C131))),"Postest sin pretest (huérfano)",IF(OR(AND(ISNUMBER(C131),OR(C131&lt;Inicio!$C$18,C131&gt;Inicio!$C$19)),AND(ISNUMBER(D131),OR(D131&lt;Inicio!$C$18,D131&gt;Inicio!$C$19))),"Fuera de rango",IF(COUNTIF($A$6:$A$305,A131)&gt;1,"Código duplicado","OK")))))</f>
        <v/>
      </c>
    </row>
    <row r="132" ht="15" customHeight="1" s="42">
      <c r="A132" s="67" t="n"/>
      <c r="B132" s="61">
        <f>IF(A132="","",IFERROR(IF(INDEX(2_Participantes!$B$6:$B$305,MATCH(A132,2_Participantes!$A$6:$A$305,0))="","",INDEX(2_Participantes!$B$6:$B$305,MATCH(A132,2_Participantes!$A$6:$A$305,0))),"No registrado"))</f>
        <v/>
      </c>
      <c r="C132" s="52" t="n"/>
      <c r="D132" s="52" t="n"/>
      <c r="E132" s="63">
        <f>IF(AND(ISNUMBER(C132),ISNUMBER(D132)),D132-C132,"")</f>
        <v/>
      </c>
      <c r="F132" s="62">
        <f>IF(A132="","",IFERROR(IF(INDEX(2_Participantes!$E$6:$E$305,MATCH(A132,2_Participantes!$A$6:$A$305,0))="","",INDEX(2_Participantes!$E$6:$E$305,MATCH(A132,2_Participantes!$A$6:$A$305,0))),""))</f>
        <v/>
      </c>
      <c r="G132" s="61">
        <f>IF(A132="","",IFERROR(IF(INDEX(2_Participantes!$F$6:$F$305,MATCH(A132,2_Participantes!$A$6:$A$305,0))="","",INDEX(2_Participantes!$F$6:$F$305,MATCH(A132,2_Participantes!$A$6:$A$305,0))),"No registrado"))</f>
        <v/>
      </c>
      <c r="H132" s="84">
        <f>IF(A132="","",IFERROR(IF(INDEX(2_Participantes!$L$6:$L$305,MATCH(A132,2_Participantes!$A$6:$A$305,0))="","",INDEX(2_Participantes!$L$6:$L$305,MATCH(A132,2_Participantes!$A$6:$A$305,0))),""))</f>
        <v/>
      </c>
      <c r="I132" s="62">
        <f>IF(A132="","",IF(AND(ISNUMBER(C132),ISNUMBER(D132),G132&lt;&gt;"Excluido"),1,0))</f>
        <v/>
      </c>
      <c r="J132" s="76">
        <f>IF(A132="","",IF(G132="No registrado","Código ausente en 2_Participantes",IF(AND(ISNUMBER(D132),NOT(ISNUMBER(C132))),"Postest sin pretest (huérfano)",IF(OR(AND(ISNUMBER(C132),OR(C132&lt;Inicio!$C$18,C132&gt;Inicio!$C$19)),AND(ISNUMBER(D132),OR(D132&lt;Inicio!$C$18,D132&gt;Inicio!$C$19))),"Fuera de rango",IF(COUNTIF($A$6:$A$305,A132)&gt;1,"Código duplicado","OK")))))</f>
        <v/>
      </c>
    </row>
    <row r="133" ht="15" customHeight="1" s="42">
      <c r="A133" s="67" t="n"/>
      <c r="B133" s="61">
        <f>IF(A133="","",IFERROR(IF(INDEX(2_Participantes!$B$6:$B$305,MATCH(A133,2_Participantes!$A$6:$A$305,0))="","",INDEX(2_Participantes!$B$6:$B$305,MATCH(A133,2_Participantes!$A$6:$A$305,0))),"No registrado"))</f>
        <v/>
      </c>
      <c r="C133" s="52" t="n"/>
      <c r="D133" s="52" t="n"/>
      <c r="E133" s="63">
        <f>IF(AND(ISNUMBER(C133),ISNUMBER(D133)),D133-C133,"")</f>
        <v/>
      </c>
      <c r="F133" s="62">
        <f>IF(A133="","",IFERROR(IF(INDEX(2_Participantes!$E$6:$E$305,MATCH(A133,2_Participantes!$A$6:$A$305,0))="","",INDEX(2_Participantes!$E$6:$E$305,MATCH(A133,2_Participantes!$A$6:$A$305,0))),""))</f>
        <v/>
      </c>
      <c r="G133" s="61">
        <f>IF(A133="","",IFERROR(IF(INDEX(2_Participantes!$F$6:$F$305,MATCH(A133,2_Participantes!$A$6:$A$305,0))="","",INDEX(2_Participantes!$F$6:$F$305,MATCH(A133,2_Participantes!$A$6:$A$305,0))),"No registrado"))</f>
        <v/>
      </c>
      <c r="H133" s="84">
        <f>IF(A133="","",IFERROR(IF(INDEX(2_Participantes!$L$6:$L$305,MATCH(A133,2_Participantes!$A$6:$A$305,0))="","",INDEX(2_Participantes!$L$6:$L$305,MATCH(A133,2_Participantes!$A$6:$A$305,0))),""))</f>
        <v/>
      </c>
      <c r="I133" s="62">
        <f>IF(A133="","",IF(AND(ISNUMBER(C133),ISNUMBER(D133),G133&lt;&gt;"Excluido"),1,0))</f>
        <v/>
      </c>
      <c r="J133" s="76">
        <f>IF(A133="","",IF(G133="No registrado","Código ausente en 2_Participantes",IF(AND(ISNUMBER(D133),NOT(ISNUMBER(C133))),"Postest sin pretest (huérfano)",IF(OR(AND(ISNUMBER(C133),OR(C133&lt;Inicio!$C$18,C133&gt;Inicio!$C$19)),AND(ISNUMBER(D133),OR(D133&lt;Inicio!$C$18,D133&gt;Inicio!$C$19))),"Fuera de rango",IF(COUNTIF($A$6:$A$305,A133)&gt;1,"Código duplicado","OK")))))</f>
        <v/>
      </c>
    </row>
    <row r="134" ht="15" customHeight="1" s="42">
      <c r="A134" s="67" t="n"/>
      <c r="B134" s="61">
        <f>IF(A134="","",IFERROR(IF(INDEX(2_Participantes!$B$6:$B$305,MATCH(A134,2_Participantes!$A$6:$A$305,0))="","",INDEX(2_Participantes!$B$6:$B$305,MATCH(A134,2_Participantes!$A$6:$A$305,0))),"No registrado"))</f>
        <v/>
      </c>
      <c r="C134" s="52" t="n"/>
      <c r="D134" s="52" t="n"/>
      <c r="E134" s="63">
        <f>IF(AND(ISNUMBER(C134),ISNUMBER(D134)),D134-C134,"")</f>
        <v/>
      </c>
      <c r="F134" s="62">
        <f>IF(A134="","",IFERROR(IF(INDEX(2_Participantes!$E$6:$E$305,MATCH(A134,2_Participantes!$A$6:$A$305,0))="","",INDEX(2_Participantes!$E$6:$E$305,MATCH(A134,2_Participantes!$A$6:$A$305,0))),""))</f>
        <v/>
      </c>
      <c r="G134" s="61">
        <f>IF(A134="","",IFERROR(IF(INDEX(2_Participantes!$F$6:$F$305,MATCH(A134,2_Participantes!$A$6:$A$305,0))="","",INDEX(2_Participantes!$F$6:$F$305,MATCH(A134,2_Participantes!$A$6:$A$305,0))),"No registrado"))</f>
        <v/>
      </c>
      <c r="H134" s="84">
        <f>IF(A134="","",IFERROR(IF(INDEX(2_Participantes!$L$6:$L$305,MATCH(A134,2_Participantes!$A$6:$A$305,0))="","",INDEX(2_Participantes!$L$6:$L$305,MATCH(A134,2_Participantes!$A$6:$A$305,0))),""))</f>
        <v/>
      </c>
      <c r="I134" s="62">
        <f>IF(A134="","",IF(AND(ISNUMBER(C134),ISNUMBER(D134),G134&lt;&gt;"Excluido"),1,0))</f>
        <v/>
      </c>
      <c r="J134" s="76">
        <f>IF(A134="","",IF(G134="No registrado","Código ausente en 2_Participantes",IF(AND(ISNUMBER(D134),NOT(ISNUMBER(C134))),"Postest sin pretest (huérfano)",IF(OR(AND(ISNUMBER(C134),OR(C134&lt;Inicio!$C$18,C134&gt;Inicio!$C$19)),AND(ISNUMBER(D134),OR(D134&lt;Inicio!$C$18,D134&gt;Inicio!$C$19))),"Fuera de rango",IF(COUNTIF($A$6:$A$305,A134)&gt;1,"Código duplicado","OK")))))</f>
        <v/>
      </c>
    </row>
    <row r="135" ht="15" customHeight="1" s="42">
      <c r="A135" s="67" t="n"/>
      <c r="B135" s="61">
        <f>IF(A135="","",IFERROR(IF(INDEX(2_Participantes!$B$6:$B$305,MATCH(A135,2_Participantes!$A$6:$A$305,0))="","",INDEX(2_Participantes!$B$6:$B$305,MATCH(A135,2_Participantes!$A$6:$A$305,0))),"No registrado"))</f>
        <v/>
      </c>
      <c r="C135" s="52" t="n"/>
      <c r="D135" s="52" t="n"/>
      <c r="E135" s="63">
        <f>IF(AND(ISNUMBER(C135),ISNUMBER(D135)),D135-C135,"")</f>
        <v/>
      </c>
      <c r="F135" s="62">
        <f>IF(A135="","",IFERROR(IF(INDEX(2_Participantes!$E$6:$E$305,MATCH(A135,2_Participantes!$A$6:$A$305,0))="","",INDEX(2_Participantes!$E$6:$E$305,MATCH(A135,2_Participantes!$A$6:$A$305,0))),""))</f>
        <v/>
      </c>
      <c r="G135" s="61">
        <f>IF(A135="","",IFERROR(IF(INDEX(2_Participantes!$F$6:$F$305,MATCH(A135,2_Participantes!$A$6:$A$305,0))="","",INDEX(2_Participantes!$F$6:$F$305,MATCH(A135,2_Participantes!$A$6:$A$305,0))),"No registrado"))</f>
        <v/>
      </c>
      <c r="H135" s="84">
        <f>IF(A135="","",IFERROR(IF(INDEX(2_Participantes!$L$6:$L$305,MATCH(A135,2_Participantes!$A$6:$A$305,0))="","",INDEX(2_Participantes!$L$6:$L$305,MATCH(A135,2_Participantes!$A$6:$A$305,0))),""))</f>
        <v/>
      </c>
      <c r="I135" s="62">
        <f>IF(A135="","",IF(AND(ISNUMBER(C135),ISNUMBER(D135),G135&lt;&gt;"Excluido"),1,0))</f>
        <v/>
      </c>
      <c r="J135" s="76">
        <f>IF(A135="","",IF(G135="No registrado","Código ausente en 2_Participantes",IF(AND(ISNUMBER(D135),NOT(ISNUMBER(C135))),"Postest sin pretest (huérfano)",IF(OR(AND(ISNUMBER(C135),OR(C135&lt;Inicio!$C$18,C135&gt;Inicio!$C$19)),AND(ISNUMBER(D135),OR(D135&lt;Inicio!$C$18,D135&gt;Inicio!$C$19))),"Fuera de rango",IF(COUNTIF($A$6:$A$305,A135)&gt;1,"Código duplicado","OK")))))</f>
        <v/>
      </c>
    </row>
    <row r="136" ht="15" customHeight="1" s="42">
      <c r="A136" s="67" t="n"/>
      <c r="B136" s="61">
        <f>IF(A136="","",IFERROR(IF(INDEX(2_Participantes!$B$6:$B$305,MATCH(A136,2_Participantes!$A$6:$A$305,0))="","",INDEX(2_Participantes!$B$6:$B$305,MATCH(A136,2_Participantes!$A$6:$A$305,0))),"No registrado"))</f>
        <v/>
      </c>
      <c r="C136" s="52" t="n"/>
      <c r="D136" s="52" t="n"/>
      <c r="E136" s="63">
        <f>IF(AND(ISNUMBER(C136),ISNUMBER(D136)),D136-C136,"")</f>
        <v/>
      </c>
      <c r="F136" s="62">
        <f>IF(A136="","",IFERROR(IF(INDEX(2_Participantes!$E$6:$E$305,MATCH(A136,2_Participantes!$A$6:$A$305,0))="","",INDEX(2_Participantes!$E$6:$E$305,MATCH(A136,2_Participantes!$A$6:$A$305,0))),""))</f>
        <v/>
      </c>
      <c r="G136" s="61">
        <f>IF(A136="","",IFERROR(IF(INDEX(2_Participantes!$F$6:$F$305,MATCH(A136,2_Participantes!$A$6:$A$305,0))="","",INDEX(2_Participantes!$F$6:$F$305,MATCH(A136,2_Participantes!$A$6:$A$305,0))),"No registrado"))</f>
        <v/>
      </c>
      <c r="H136" s="84">
        <f>IF(A136="","",IFERROR(IF(INDEX(2_Participantes!$L$6:$L$305,MATCH(A136,2_Participantes!$A$6:$A$305,0))="","",INDEX(2_Participantes!$L$6:$L$305,MATCH(A136,2_Participantes!$A$6:$A$305,0))),""))</f>
        <v/>
      </c>
      <c r="I136" s="62">
        <f>IF(A136="","",IF(AND(ISNUMBER(C136),ISNUMBER(D136),G136&lt;&gt;"Excluido"),1,0))</f>
        <v/>
      </c>
      <c r="J136" s="76">
        <f>IF(A136="","",IF(G136="No registrado","Código ausente en 2_Participantes",IF(AND(ISNUMBER(D136),NOT(ISNUMBER(C136))),"Postest sin pretest (huérfano)",IF(OR(AND(ISNUMBER(C136),OR(C136&lt;Inicio!$C$18,C136&gt;Inicio!$C$19)),AND(ISNUMBER(D136),OR(D136&lt;Inicio!$C$18,D136&gt;Inicio!$C$19))),"Fuera de rango",IF(COUNTIF($A$6:$A$305,A136)&gt;1,"Código duplicado","OK")))))</f>
        <v/>
      </c>
    </row>
    <row r="137" ht="15" customHeight="1" s="42">
      <c r="A137" s="67" t="n"/>
      <c r="B137" s="61">
        <f>IF(A137="","",IFERROR(IF(INDEX(2_Participantes!$B$6:$B$305,MATCH(A137,2_Participantes!$A$6:$A$305,0))="","",INDEX(2_Participantes!$B$6:$B$305,MATCH(A137,2_Participantes!$A$6:$A$305,0))),"No registrado"))</f>
        <v/>
      </c>
      <c r="C137" s="52" t="n"/>
      <c r="D137" s="52" t="n"/>
      <c r="E137" s="63">
        <f>IF(AND(ISNUMBER(C137),ISNUMBER(D137)),D137-C137,"")</f>
        <v/>
      </c>
      <c r="F137" s="62">
        <f>IF(A137="","",IFERROR(IF(INDEX(2_Participantes!$E$6:$E$305,MATCH(A137,2_Participantes!$A$6:$A$305,0))="","",INDEX(2_Participantes!$E$6:$E$305,MATCH(A137,2_Participantes!$A$6:$A$305,0))),""))</f>
        <v/>
      </c>
      <c r="G137" s="61">
        <f>IF(A137="","",IFERROR(IF(INDEX(2_Participantes!$F$6:$F$305,MATCH(A137,2_Participantes!$A$6:$A$305,0))="","",INDEX(2_Participantes!$F$6:$F$305,MATCH(A137,2_Participantes!$A$6:$A$305,0))),"No registrado"))</f>
        <v/>
      </c>
      <c r="H137" s="84">
        <f>IF(A137="","",IFERROR(IF(INDEX(2_Participantes!$L$6:$L$305,MATCH(A137,2_Participantes!$A$6:$A$305,0))="","",INDEX(2_Participantes!$L$6:$L$305,MATCH(A137,2_Participantes!$A$6:$A$305,0))),""))</f>
        <v/>
      </c>
      <c r="I137" s="62">
        <f>IF(A137="","",IF(AND(ISNUMBER(C137),ISNUMBER(D137),G137&lt;&gt;"Excluido"),1,0))</f>
        <v/>
      </c>
      <c r="J137" s="76">
        <f>IF(A137="","",IF(G137="No registrado","Código ausente en 2_Participantes",IF(AND(ISNUMBER(D137),NOT(ISNUMBER(C137))),"Postest sin pretest (huérfano)",IF(OR(AND(ISNUMBER(C137),OR(C137&lt;Inicio!$C$18,C137&gt;Inicio!$C$19)),AND(ISNUMBER(D137),OR(D137&lt;Inicio!$C$18,D137&gt;Inicio!$C$19))),"Fuera de rango",IF(COUNTIF($A$6:$A$305,A137)&gt;1,"Código duplicado","OK")))))</f>
        <v/>
      </c>
    </row>
    <row r="138" ht="15" customHeight="1" s="42">
      <c r="A138" s="67" t="n"/>
      <c r="B138" s="61">
        <f>IF(A138="","",IFERROR(IF(INDEX(2_Participantes!$B$6:$B$305,MATCH(A138,2_Participantes!$A$6:$A$305,0))="","",INDEX(2_Participantes!$B$6:$B$305,MATCH(A138,2_Participantes!$A$6:$A$305,0))),"No registrado"))</f>
        <v/>
      </c>
      <c r="C138" s="52" t="n"/>
      <c r="D138" s="52" t="n"/>
      <c r="E138" s="63">
        <f>IF(AND(ISNUMBER(C138),ISNUMBER(D138)),D138-C138,"")</f>
        <v/>
      </c>
      <c r="F138" s="62">
        <f>IF(A138="","",IFERROR(IF(INDEX(2_Participantes!$E$6:$E$305,MATCH(A138,2_Participantes!$A$6:$A$305,0))="","",INDEX(2_Participantes!$E$6:$E$305,MATCH(A138,2_Participantes!$A$6:$A$305,0))),""))</f>
        <v/>
      </c>
      <c r="G138" s="61">
        <f>IF(A138="","",IFERROR(IF(INDEX(2_Participantes!$F$6:$F$305,MATCH(A138,2_Participantes!$A$6:$A$305,0))="","",INDEX(2_Participantes!$F$6:$F$305,MATCH(A138,2_Participantes!$A$6:$A$305,0))),"No registrado"))</f>
        <v/>
      </c>
      <c r="H138" s="84">
        <f>IF(A138="","",IFERROR(IF(INDEX(2_Participantes!$L$6:$L$305,MATCH(A138,2_Participantes!$A$6:$A$305,0))="","",INDEX(2_Participantes!$L$6:$L$305,MATCH(A138,2_Participantes!$A$6:$A$305,0))),""))</f>
        <v/>
      </c>
      <c r="I138" s="62">
        <f>IF(A138="","",IF(AND(ISNUMBER(C138),ISNUMBER(D138),G138&lt;&gt;"Excluido"),1,0))</f>
        <v/>
      </c>
      <c r="J138" s="76">
        <f>IF(A138="","",IF(G138="No registrado","Código ausente en 2_Participantes",IF(AND(ISNUMBER(D138),NOT(ISNUMBER(C138))),"Postest sin pretest (huérfano)",IF(OR(AND(ISNUMBER(C138),OR(C138&lt;Inicio!$C$18,C138&gt;Inicio!$C$19)),AND(ISNUMBER(D138),OR(D138&lt;Inicio!$C$18,D138&gt;Inicio!$C$19))),"Fuera de rango",IF(COUNTIF($A$6:$A$305,A138)&gt;1,"Código duplicado","OK")))))</f>
        <v/>
      </c>
    </row>
    <row r="139" ht="15" customHeight="1" s="42">
      <c r="A139" s="67" t="n"/>
      <c r="B139" s="61">
        <f>IF(A139="","",IFERROR(IF(INDEX(2_Participantes!$B$6:$B$305,MATCH(A139,2_Participantes!$A$6:$A$305,0))="","",INDEX(2_Participantes!$B$6:$B$305,MATCH(A139,2_Participantes!$A$6:$A$305,0))),"No registrado"))</f>
        <v/>
      </c>
      <c r="C139" s="52" t="n"/>
      <c r="D139" s="52" t="n"/>
      <c r="E139" s="63">
        <f>IF(AND(ISNUMBER(C139),ISNUMBER(D139)),D139-C139,"")</f>
        <v/>
      </c>
      <c r="F139" s="62">
        <f>IF(A139="","",IFERROR(IF(INDEX(2_Participantes!$E$6:$E$305,MATCH(A139,2_Participantes!$A$6:$A$305,0))="","",INDEX(2_Participantes!$E$6:$E$305,MATCH(A139,2_Participantes!$A$6:$A$305,0))),""))</f>
        <v/>
      </c>
      <c r="G139" s="61">
        <f>IF(A139="","",IFERROR(IF(INDEX(2_Participantes!$F$6:$F$305,MATCH(A139,2_Participantes!$A$6:$A$305,0))="","",INDEX(2_Participantes!$F$6:$F$305,MATCH(A139,2_Participantes!$A$6:$A$305,0))),"No registrado"))</f>
        <v/>
      </c>
      <c r="H139" s="84">
        <f>IF(A139="","",IFERROR(IF(INDEX(2_Participantes!$L$6:$L$305,MATCH(A139,2_Participantes!$A$6:$A$305,0))="","",INDEX(2_Participantes!$L$6:$L$305,MATCH(A139,2_Participantes!$A$6:$A$305,0))),""))</f>
        <v/>
      </c>
      <c r="I139" s="62">
        <f>IF(A139="","",IF(AND(ISNUMBER(C139),ISNUMBER(D139),G139&lt;&gt;"Excluido"),1,0))</f>
        <v/>
      </c>
      <c r="J139" s="76">
        <f>IF(A139="","",IF(G139="No registrado","Código ausente en 2_Participantes",IF(AND(ISNUMBER(D139),NOT(ISNUMBER(C139))),"Postest sin pretest (huérfano)",IF(OR(AND(ISNUMBER(C139),OR(C139&lt;Inicio!$C$18,C139&gt;Inicio!$C$19)),AND(ISNUMBER(D139),OR(D139&lt;Inicio!$C$18,D139&gt;Inicio!$C$19))),"Fuera de rango",IF(COUNTIF($A$6:$A$305,A139)&gt;1,"Código duplicado","OK")))))</f>
        <v/>
      </c>
    </row>
    <row r="140" ht="15" customHeight="1" s="42">
      <c r="A140" s="67" t="n"/>
      <c r="B140" s="61">
        <f>IF(A140="","",IFERROR(IF(INDEX(2_Participantes!$B$6:$B$305,MATCH(A140,2_Participantes!$A$6:$A$305,0))="","",INDEX(2_Participantes!$B$6:$B$305,MATCH(A140,2_Participantes!$A$6:$A$305,0))),"No registrado"))</f>
        <v/>
      </c>
      <c r="C140" s="52" t="n"/>
      <c r="D140" s="52" t="n"/>
      <c r="E140" s="63">
        <f>IF(AND(ISNUMBER(C140),ISNUMBER(D140)),D140-C140,"")</f>
        <v/>
      </c>
      <c r="F140" s="62">
        <f>IF(A140="","",IFERROR(IF(INDEX(2_Participantes!$E$6:$E$305,MATCH(A140,2_Participantes!$A$6:$A$305,0))="","",INDEX(2_Participantes!$E$6:$E$305,MATCH(A140,2_Participantes!$A$6:$A$305,0))),""))</f>
        <v/>
      </c>
      <c r="G140" s="61">
        <f>IF(A140="","",IFERROR(IF(INDEX(2_Participantes!$F$6:$F$305,MATCH(A140,2_Participantes!$A$6:$A$305,0))="","",INDEX(2_Participantes!$F$6:$F$305,MATCH(A140,2_Participantes!$A$6:$A$305,0))),"No registrado"))</f>
        <v/>
      </c>
      <c r="H140" s="84">
        <f>IF(A140="","",IFERROR(IF(INDEX(2_Participantes!$L$6:$L$305,MATCH(A140,2_Participantes!$A$6:$A$305,0))="","",INDEX(2_Participantes!$L$6:$L$305,MATCH(A140,2_Participantes!$A$6:$A$305,0))),""))</f>
        <v/>
      </c>
      <c r="I140" s="62">
        <f>IF(A140="","",IF(AND(ISNUMBER(C140),ISNUMBER(D140),G140&lt;&gt;"Excluido"),1,0))</f>
        <v/>
      </c>
      <c r="J140" s="76">
        <f>IF(A140="","",IF(G140="No registrado","Código ausente en 2_Participantes",IF(AND(ISNUMBER(D140),NOT(ISNUMBER(C140))),"Postest sin pretest (huérfano)",IF(OR(AND(ISNUMBER(C140),OR(C140&lt;Inicio!$C$18,C140&gt;Inicio!$C$19)),AND(ISNUMBER(D140),OR(D140&lt;Inicio!$C$18,D140&gt;Inicio!$C$19))),"Fuera de rango",IF(COUNTIF($A$6:$A$305,A140)&gt;1,"Código duplicado","OK")))))</f>
        <v/>
      </c>
    </row>
    <row r="141" ht="15" customHeight="1" s="42">
      <c r="A141" s="67" t="n"/>
      <c r="B141" s="61">
        <f>IF(A141="","",IFERROR(IF(INDEX(2_Participantes!$B$6:$B$305,MATCH(A141,2_Participantes!$A$6:$A$305,0))="","",INDEX(2_Participantes!$B$6:$B$305,MATCH(A141,2_Participantes!$A$6:$A$305,0))),"No registrado"))</f>
        <v/>
      </c>
      <c r="C141" s="52" t="n"/>
      <c r="D141" s="52" t="n"/>
      <c r="E141" s="63">
        <f>IF(AND(ISNUMBER(C141),ISNUMBER(D141)),D141-C141,"")</f>
        <v/>
      </c>
      <c r="F141" s="62">
        <f>IF(A141="","",IFERROR(IF(INDEX(2_Participantes!$E$6:$E$305,MATCH(A141,2_Participantes!$A$6:$A$305,0))="","",INDEX(2_Participantes!$E$6:$E$305,MATCH(A141,2_Participantes!$A$6:$A$305,0))),""))</f>
        <v/>
      </c>
      <c r="G141" s="61">
        <f>IF(A141="","",IFERROR(IF(INDEX(2_Participantes!$F$6:$F$305,MATCH(A141,2_Participantes!$A$6:$A$305,0))="","",INDEX(2_Participantes!$F$6:$F$305,MATCH(A141,2_Participantes!$A$6:$A$305,0))),"No registrado"))</f>
        <v/>
      </c>
      <c r="H141" s="84">
        <f>IF(A141="","",IFERROR(IF(INDEX(2_Participantes!$L$6:$L$305,MATCH(A141,2_Participantes!$A$6:$A$305,0))="","",INDEX(2_Participantes!$L$6:$L$305,MATCH(A141,2_Participantes!$A$6:$A$305,0))),""))</f>
        <v/>
      </c>
      <c r="I141" s="62">
        <f>IF(A141="","",IF(AND(ISNUMBER(C141),ISNUMBER(D141),G141&lt;&gt;"Excluido"),1,0))</f>
        <v/>
      </c>
      <c r="J141" s="76">
        <f>IF(A141="","",IF(G141="No registrado","Código ausente en 2_Participantes",IF(AND(ISNUMBER(D141),NOT(ISNUMBER(C141))),"Postest sin pretest (huérfano)",IF(OR(AND(ISNUMBER(C141),OR(C141&lt;Inicio!$C$18,C141&gt;Inicio!$C$19)),AND(ISNUMBER(D141),OR(D141&lt;Inicio!$C$18,D141&gt;Inicio!$C$19))),"Fuera de rango",IF(COUNTIF($A$6:$A$305,A141)&gt;1,"Código duplicado","OK")))))</f>
        <v/>
      </c>
    </row>
    <row r="142" ht="15" customHeight="1" s="42">
      <c r="A142" s="67" t="n"/>
      <c r="B142" s="61">
        <f>IF(A142="","",IFERROR(IF(INDEX(2_Participantes!$B$6:$B$305,MATCH(A142,2_Participantes!$A$6:$A$305,0))="","",INDEX(2_Participantes!$B$6:$B$305,MATCH(A142,2_Participantes!$A$6:$A$305,0))),"No registrado"))</f>
        <v/>
      </c>
      <c r="C142" s="52" t="n"/>
      <c r="D142" s="52" t="n"/>
      <c r="E142" s="63">
        <f>IF(AND(ISNUMBER(C142),ISNUMBER(D142)),D142-C142,"")</f>
        <v/>
      </c>
      <c r="F142" s="62">
        <f>IF(A142="","",IFERROR(IF(INDEX(2_Participantes!$E$6:$E$305,MATCH(A142,2_Participantes!$A$6:$A$305,0))="","",INDEX(2_Participantes!$E$6:$E$305,MATCH(A142,2_Participantes!$A$6:$A$305,0))),""))</f>
        <v/>
      </c>
      <c r="G142" s="61">
        <f>IF(A142="","",IFERROR(IF(INDEX(2_Participantes!$F$6:$F$305,MATCH(A142,2_Participantes!$A$6:$A$305,0))="","",INDEX(2_Participantes!$F$6:$F$305,MATCH(A142,2_Participantes!$A$6:$A$305,0))),"No registrado"))</f>
        <v/>
      </c>
      <c r="H142" s="84">
        <f>IF(A142="","",IFERROR(IF(INDEX(2_Participantes!$L$6:$L$305,MATCH(A142,2_Participantes!$A$6:$A$305,0))="","",INDEX(2_Participantes!$L$6:$L$305,MATCH(A142,2_Participantes!$A$6:$A$305,0))),""))</f>
        <v/>
      </c>
      <c r="I142" s="62">
        <f>IF(A142="","",IF(AND(ISNUMBER(C142),ISNUMBER(D142),G142&lt;&gt;"Excluido"),1,0))</f>
        <v/>
      </c>
      <c r="J142" s="76">
        <f>IF(A142="","",IF(G142="No registrado","Código ausente en 2_Participantes",IF(AND(ISNUMBER(D142),NOT(ISNUMBER(C142))),"Postest sin pretest (huérfano)",IF(OR(AND(ISNUMBER(C142),OR(C142&lt;Inicio!$C$18,C142&gt;Inicio!$C$19)),AND(ISNUMBER(D142),OR(D142&lt;Inicio!$C$18,D142&gt;Inicio!$C$19))),"Fuera de rango",IF(COUNTIF($A$6:$A$305,A142)&gt;1,"Código duplicado","OK")))))</f>
        <v/>
      </c>
    </row>
    <row r="143" ht="15" customHeight="1" s="42">
      <c r="A143" s="67" t="n"/>
      <c r="B143" s="61">
        <f>IF(A143="","",IFERROR(IF(INDEX(2_Participantes!$B$6:$B$305,MATCH(A143,2_Participantes!$A$6:$A$305,0))="","",INDEX(2_Participantes!$B$6:$B$305,MATCH(A143,2_Participantes!$A$6:$A$305,0))),"No registrado"))</f>
        <v/>
      </c>
      <c r="C143" s="52" t="n"/>
      <c r="D143" s="52" t="n"/>
      <c r="E143" s="63">
        <f>IF(AND(ISNUMBER(C143),ISNUMBER(D143)),D143-C143,"")</f>
        <v/>
      </c>
      <c r="F143" s="62">
        <f>IF(A143="","",IFERROR(IF(INDEX(2_Participantes!$E$6:$E$305,MATCH(A143,2_Participantes!$A$6:$A$305,0))="","",INDEX(2_Participantes!$E$6:$E$305,MATCH(A143,2_Participantes!$A$6:$A$305,0))),""))</f>
        <v/>
      </c>
      <c r="G143" s="61">
        <f>IF(A143="","",IFERROR(IF(INDEX(2_Participantes!$F$6:$F$305,MATCH(A143,2_Participantes!$A$6:$A$305,0))="","",INDEX(2_Participantes!$F$6:$F$305,MATCH(A143,2_Participantes!$A$6:$A$305,0))),"No registrado"))</f>
        <v/>
      </c>
      <c r="H143" s="84">
        <f>IF(A143="","",IFERROR(IF(INDEX(2_Participantes!$L$6:$L$305,MATCH(A143,2_Participantes!$A$6:$A$305,0))="","",INDEX(2_Participantes!$L$6:$L$305,MATCH(A143,2_Participantes!$A$6:$A$305,0))),""))</f>
        <v/>
      </c>
      <c r="I143" s="62">
        <f>IF(A143="","",IF(AND(ISNUMBER(C143),ISNUMBER(D143),G143&lt;&gt;"Excluido"),1,0))</f>
        <v/>
      </c>
      <c r="J143" s="76">
        <f>IF(A143="","",IF(G143="No registrado","Código ausente en 2_Participantes",IF(AND(ISNUMBER(D143),NOT(ISNUMBER(C143))),"Postest sin pretest (huérfano)",IF(OR(AND(ISNUMBER(C143),OR(C143&lt;Inicio!$C$18,C143&gt;Inicio!$C$19)),AND(ISNUMBER(D143),OR(D143&lt;Inicio!$C$18,D143&gt;Inicio!$C$19))),"Fuera de rango",IF(COUNTIF($A$6:$A$305,A143)&gt;1,"Código duplicado","OK")))))</f>
        <v/>
      </c>
    </row>
    <row r="144" ht="15" customHeight="1" s="42">
      <c r="A144" s="67" t="n"/>
      <c r="B144" s="61">
        <f>IF(A144="","",IFERROR(IF(INDEX(2_Participantes!$B$6:$B$305,MATCH(A144,2_Participantes!$A$6:$A$305,0))="","",INDEX(2_Participantes!$B$6:$B$305,MATCH(A144,2_Participantes!$A$6:$A$305,0))),"No registrado"))</f>
        <v/>
      </c>
      <c r="C144" s="52" t="n"/>
      <c r="D144" s="52" t="n"/>
      <c r="E144" s="63">
        <f>IF(AND(ISNUMBER(C144),ISNUMBER(D144)),D144-C144,"")</f>
        <v/>
      </c>
      <c r="F144" s="62">
        <f>IF(A144="","",IFERROR(IF(INDEX(2_Participantes!$E$6:$E$305,MATCH(A144,2_Participantes!$A$6:$A$305,0))="","",INDEX(2_Participantes!$E$6:$E$305,MATCH(A144,2_Participantes!$A$6:$A$305,0))),""))</f>
        <v/>
      </c>
      <c r="G144" s="61">
        <f>IF(A144="","",IFERROR(IF(INDEX(2_Participantes!$F$6:$F$305,MATCH(A144,2_Participantes!$A$6:$A$305,0))="","",INDEX(2_Participantes!$F$6:$F$305,MATCH(A144,2_Participantes!$A$6:$A$305,0))),"No registrado"))</f>
        <v/>
      </c>
      <c r="H144" s="84">
        <f>IF(A144="","",IFERROR(IF(INDEX(2_Participantes!$L$6:$L$305,MATCH(A144,2_Participantes!$A$6:$A$305,0))="","",INDEX(2_Participantes!$L$6:$L$305,MATCH(A144,2_Participantes!$A$6:$A$305,0))),""))</f>
        <v/>
      </c>
      <c r="I144" s="62">
        <f>IF(A144="","",IF(AND(ISNUMBER(C144),ISNUMBER(D144),G144&lt;&gt;"Excluido"),1,0))</f>
        <v/>
      </c>
      <c r="J144" s="76">
        <f>IF(A144="","",IF(G144="No registrado","Código ausente en 2_Participantes",IF(AND(ISNUMBER(D144),NOT(ISNUMBER(C144))),"Postest sin pretest (huérfano)",IF(OR(AND(ISNUMBER(C144),OR(C144&lt;Inicio!$C$18,C144&gt;Inicio!$C$19)),AND(ISNUMBER(D144),OR(D144&lt;Inicio!$C$18,D144&gt;Inicio!$C$19))),"Fuera de rango",IF(COUNTIF($A$6:$A$305,A144)&gt;1,"Código duplicado","OK")))))</f>
        <v/>
      </c>
    </row>
    <row r="145" ht="15" customHeight="1" s="42">
      <c r="A145" s="67" t="n"/>
      <c r="B145" s="61">
        <f>IF(A145="","",IFERROR(IF(INDEX(2_Participantes!$B$6:$B$305,MATCH(A145,2_Participantes!$A$6:$A$305,0))="","",INDEX(2_Participantes!$B$6:$B$305,MATCH(A145,2_Participantes!$A$6:$A$305,0))),"No registrado"))</f>
        <v/>
      </c>
      <c r="C145" s="52" t="n"/>
      <c r="D145" s="52" t="n"/>
      <c r="E145" s="63">
        <f>IF(AND(ISNUMBER(C145),ISNUMBER(D145)),D145-C145,"")</f>
        <v/>
      </c>
      <c r="F145" s="62">
        <f>IF(A145="","",IFERROR(IF(INDEX(2_Participantes!$E$6:$E$305,MATCH(A145,2_Participantes!$A$6:$A$305,0))="","",INDEX(2_Participantes!$E$6:$E$305,MATCH(A145,2_Participantes!$A$6:$A$305,0))),""))</f>
        <v/>
      </c>
      <c r="G145" s="61">
        <f>IF(A145="","",IFERROR(IF(INDEX(2_Participantes!$F$6:$F$305,MATCH(A145,2_Participantes!$A$6:$A$305,0))="","",INDEX(2_Participantes!$F$6:$F$305,MATCH(A145,2_Participantes!$A$6:$A$305,0))),"No registrado"))</f>
        <v/>
      </c>
      <c r="H145" s="84">
        <f>IF(A145="","",IFERROR(IF(INDEX(2_Participantes!$L$6:$L$305,MATCH(A145,2_Participantes!$A$6:$A$305,0))="","",INDEX(2_Participantes!$L$6:$L$305,MATCH(A145,2_Participantes!$A$6:$A$305,0))),""))</f>
        <v/>
      </c>
      <c r="I145" s="62">
        <f>IF(A145="","",IF(AND(ISNUMBER(C145),ISNUMBER(D145),G145&lt;&gt;"Excluido"),1,0))</f>
        <v/>
      </c>
      <c r="J145" s="76">
        <f>IF(A145="","",IF(G145="No registrado","Código ausente en 2_Participantes",IF(AND(ISNUMBER(D145),NOT(ISNUMBER(C145))),"Postest sin pretest (huérfano)",IF(OR(AND(ISNUMBER(C145),OR(C145&lt;Inicio!$C$18,C145&gt;Inicio!$C$19)),AND(ISNUMBER(D145),OR(D145&lt;Inicio!$C$18,D145&gt;Inicio!$C$19))),"Fuera de rango",IF(COUNTIF($A$6:$A$305,A145)&gt;1,"Código duplicado","OK")))))</f>
        <v/>
      </c>
    </row>
    <row r="146" ht="15" customHeight="1" s="42">
      <c r="A146" s="67" t="n"/>
      <c r="B146" s="61">
        <f>IF(A146="","",IFERROR(IF(INDEX(2_Participantes!$B$6:$B$305,MATCH(A146,2_Participantes!$A$6:$A$305,0))="","",INDEX(2_Participantes!$B$6:$B$305,MATCH(A146,2_Participantes!$A$6:$A$305,0))),"No registrado"))</f>
        <v/>
      </c>
      <c r="C146" s="52" t="n"/>
      <c r="D146" s="52" t="n"/>
      <c r="E146" s="63">
        <f>IF(AND(ISNUMBER(C146),ISNUMBER(D146)),D146-C146,"")</f>
        <v/>
      </c>
      <c r="F146" s="62">
        <f>IF(A146="","",IFERROR(IF(INDEX(2_Participantes!$E$6:$E$305,MATCH(A146,2_Participantes!$A$6:$A$305,0))="","",INDEX(2_Participantes!$E$6:$E$305,MATCH(A146,2_Participantes!$A$6:$A$305,0))),""))</f>
        <v/>
      </c>
      <c r="G146" s="61">
        <f>IF(A146="","",IFERROR(IF(INDEX(2_Participantes!$F$6:$F$305,MATCH(A146,2_Participantes!$A$6:$A$305,0))="","",INDEX(2_Participantes!$F$6:$F$305,MATCH(A146,2_Participantes!$A$6:$A$305,0))),"No registrado"))</f>
        <v/>
      </c>
      <c r="H146" s="84">
        <f>IF(A146="","",IFERROR(IF(INDEX(2_Participantes!$L$6:$L$305,MATCH(A146,2_Participantes!$A$6:$A$305,0))="","",INDEX(2_Participantes!$L$6:$L$305,MATCH(A146,2_Participantes!$A$6:$A$305,0))),""))</f>
        <v/>
      </c>
      <c r="I146" s="62">
        <f>IF(A146="","",IF(AND(ISNUMBER(C146),ISNUMBER(D146),G146&lt;&gt;"Excluido"),1,0))</f>
        <v/>
      </c>
      <c r="J146" s="76">
        <f>IF(A146="","",IF(G146="No registrado","Código ausente en 2_Participantes",IF(AND(ISNUMBER(D146),NOT(ISNUMBER(C146))),"Postest sin pretest (huérfano)",IF(OR(AND(ISNUMBER(C146),OR(C146&lt;Inicio!$C$18,C146&gt;Inicio!$C$19)),AND(ISNUMBER(D146),OR(D146&lt;Inicio!$C$18,D146&gt;Inicio!$C$19))),"Fuera de rango",IF(COUNTIF($A$6:$A$305,A146)&gt;1,"Código duplicado","OK")))))</f>
        <v/>
      </c>
    </row>
    <row r="147" ht="15" customHeight="1" s="42">
      <c r="A147" s="67" t="n"/>
      <c r="B147" s="61">
        <f>IF(A147="","",IFERROR(IF(INDEX(2_Participantes!$B$6:$B$305,MATCH(A147,2_Participantes!$A$6:$A$305,0))="","",INDEX(2_Participantes!$B$6:$B$305,MATCH(A147,2_Participantes!$A$6:$A$305,0))),"No registrado"))</f>
        <v/>
      </c>
      <c r="C147" s="52" t="n"/>
      <c r="D147" s="52" t="n"/>
      <c r="E147" s="63">
        <f>IF(AND(ISNUMBER(C147),ISNUMBER(D147)),D147-C147,"")</f>
        <v/>
      </c>
      <c r="F147" s="62">
        <f>IF(A147="","",IFERROR(IF(INDEX(2_Participantes!$E$6:$E$305,MATCH(A147,2_Participantes!$A$6:$A$305,0))="","",INDEX(2_Participantes!$E$6:$E$305,MATCH(A147,2_Participantes!$A$6:$A$305,0))),""))</f>
        <v/>
      </c>
      <c r="G147" s="61">
        <f>IF(A147="","",IFERROR(IF(INDEX(2_Participantes!$F$6:$F$305,MATCH(A147,2_Participantes!$A$6:$A$305,0))="","",INDEX(2_Participantes!$F$6:$F$305,MATCH(A147,2_Participantes!$A$6:$A$305,0))),"No registrado"))</f>
        <v/>
      </c>
      <c r="H147" s="84">
        <f>IF(A147="","",IFERROR(IF(INDEX(2_Participantes!$L$6:$L$305,MATCH(A147,2_Participantes!$A$6:$A$305,0))="","",INDEX(2_Participantes!$L$6:$L$305,MATCH(A147,2_Participantes!$A$6:$A$305,0))),""))</f>
        <v/>
      </c>
      <c r="I147" s="62">
        <f>IF(A147="","",IF(AND(ISNUMBER(C147),ISNUMBER(D147),G147&lt;&gt;"Excluido"),1,0))</f>
        <v/>
      </c>
      <c r="J147" s="76">
        <f>IF(A147="","",IF(G147="No registrado","Código ausente en 2_Participantes",IF(AND(ISNUMBER(D147),NOT(ISNUMBER(C147))),"Postest sin pretest (huérfano)",IF(OR(AND(ISNUMBER(C147),OR(C147&lt;Inicio!$C$18,C147&gt;Inicio!$C$19)),AND(ISNUMBER(D147),OR(D147&lt;Inicio!$C$18,D147&gt;Inicio!$C$19))),"Fuera de rango",IF(COUNTIF($A$6:$A$305,A147)&gt;1,"Código duplicado","OK")))))</f>
        <v/>
      </c>
    </row>
    <row r="148" ht="15" customHeight="1" s="42">
      <c r="A148" s="67" t="n"/>
      <c r="B148" s="61">
        <f>IF(A148="","",IFERROR(IF(INDEX(2_Participantes!$B$6:$B$305,MATCH(A148,2_Participantes!$A$6:$A$305,0))="","",INDEX(2_Participantes!$B$6:$B$305,MATCH(A148,2_Participantes!$A$6:$A$305,0))),"No registrado"))</f>
        <v/>
      </c>
      <c r="C148" s="52" t="n"/>
      <c r="D148" s="52" t="n"/>
      <c r="E148" s="63">
        <f>IF(AND(ISNUMBER(C148),ISNUMBER(D148)),D148-C148,"")</f>
        <v/>
      </c>
      <c r="F148" s="62">
        <f>IF(A148="","",IFERROR(IF(INDEX(2_Participantes!$E$6:$E$305,MATCH(A148,2_Participantes!$A$6:$A$305,0))="","",INDEX(2_Participantes!$E$6:$E$305,MATCH(A148,2_Participantes!$A$6:$A$305,0))),""))</f>
        <v/>
      </c>
      <c r="G148" s="61">
        <f>IF(A148="","",IFERROR(IF(INDEX(2_Participantes!$F$6:$F$305,MATCH(A148,2_Participantes!$A$6:$A$305,0))="","",INDEX(2_Participantes!$F$6:$F$305,MATCH(A148,2_Participantes!$A$6:$A$305,0))),"No registrado"))</f>
        <v/>
      </c>
      <c r="H148" s="84">
        <f>IF(A148="","",IFERROR(IF(INDEX(2_Participantes!$L$6:$L$305,MATCH(A148,2_Participantes!$A$6:$A$305,0))="","",INDEX(2_Participantes!$L$6:$L$305,MATCH(A148,2_Participantes!$A$6:$A$305,0))),""))</f>
        <v/>
      </c>
      <c r="I148" s="62">
        <f>IF(A148="","",IF(AND(ISNUMBER(C148),ISNUMBER(D148),G148&lt;&gt;"Excluido"),1,0))</f>
        <v/>
      </c>
      <c r="J148" s="76">
        <f>IF(A148="","",IF(G148="No registrado","Código ausente en 2_Participantes",IF(AND(ISNUMBER(D148),NOT(ISNUMBER(C148))),"Postest sin pretest (huérfano)",IF(OR(AND(ISNUMBER(C148),OR(C148&lt;Inicio!$C$18,C148&gt;Inicio!$C$19)),AND(ISNUMBER(D148),OR(D148&lt;Inicio!$C$18,D148&gt;Inicio!$C$19))),"Fuera de rango",IF(COUNTIF($A$6:$A$305,A148)&gt;1,"Código duplicado","OK")))))</f>
        <v/>
      </c>
    </row>
    <row r="149" ht="15" customHeight="1" s="42">
      <c r="A149" s="67" t="n"/>
      <c r="B149" s="61">
        <f>IF(A149="","",IFERROR(IF(INDEX(2_Participantes!$B$6:$B$305,MATCH(A149,2_Participantes!$A$6:$A$305,0))="","",INDEX(2_Participantes!$B$6:$B$305,MATCH(A149,2_Participantes!$A$6:$A$305,0))),"No registrado"))</f>
        <v/>
      </c>
      <c r="C149" s="52" t="n"/>
      <c r="D149" s="52" t="n"/>
      <c r="E149" s="63">
        <f>IF(AND(ISNUMBER(C149),ISNUMBER(D149)),D149-C149,"")</f>
        <v/>
      </c>
      <c r="F149" s="62">
        <f>IF(A149="","",IFERROR(IF(INDEX(2_Participantes!$E$6:$E$305,MATCH(A149,2_Participantes!$A$6:$A$305,0))="","",INDEX(2_Participantes!$E$6:$E$305,MATCH(A149,2_Participantes!$A$6:$A$305,0))),""))</f>
        <v/>
      </c>
      <c r="G149" s="61">
        <f>IF(A149="","",IFERROR(IF(INDEX(2_Participantes!$F$6:$F$305,MATCH(A149,2_Participantes!$A$6:$A$305,0))="","",INDEX(2_Participantes!$F$6:$F$305,MATCH(A149,2_Participantes!$A$6:$A$305,0))),"No registrado"))</f>
        <v/>
      </c>
      <c r="H149" s="84">
        <f>IF(A149="","",IFERROR(IF(INDEX(2_Participantes!$L$6:$L$305,MATCH(A149,2_Participantes!$A$6:$A$305,0))="","",INDEX(2_Participantes!$L$6:$L$305,MATCH(A149,2_Participantes!$A$6:$A$305,0))),""))</f>
        <v/>
      </c>
      <c r="I149" s="62">
        <f>IF(A149="","",IF(AND(ISNUMBER(C149),ISNUMBER(D149),G149&lt;&gt;"Excluido"),1,0))</f>
        <v/>
      </c>
      <c r="J149" s="76">
        <f>IF(A149="","",IF(G149="No registrado","Código ausente en 2_Participantes",IF(AND(ISNUMBER(D149),NOT(ISNUMBER(C149))),"Postest sin pretest (huérfano)",IF(OR(AND(ISNUMBER(C149),OR(C149&lt;Inicio!$C$18,C149&gt;Inicio!$C$19)),AND(ISNUMBER(D149),OR(D149&lt;Inicio!$C$18,D149&gt;Inicio!$C$19))),"Fuera de rango",IF(COUNTIF($A$6:$A$305,A149)&gt;1,"Código duplicado","OK")))))</f>
        <v/>
      </c>
    </row>
    <row r="150" ht="15" customHeight="1" s="42">
      <c r="A150" s="67" t="n"/>
      <c r="B150" s="61">
        <f>IF(A150="","",IFERROR(IF(INDEX(2_Participantes!$B$6:$B$305,MATCH(A150,2_Participantes!$A$6:$A$305,0))="","",INDEX(2_Participantes!$B$6:$B$305,MATCH(A150,2_Participantes!$A$6:$A$305,0))),"No registrado"))</f>
        <v/>
      </c>
      <c r="C150" s="52" t="n"/>
      <c r="D150" s="52" t="n"/>
      <c r="E150" s="63">
        <f>IF(AND(ISNUMBER(C150),ISNUMBER(D150)),D150-C150,"")</f>
        <v/>
      </c>
      <c r="F150" s="62">
        <f>IF(A150="","",IFERROR(IF(INDEX(2_Participantes!$E$6:$E$305,MATCH(A150,2_Participantes!$A$6:$A$305,0))="","",INDEX(2_Participantes!$E$6:$E$305,MATCH(A150,2_Participantes!$A$6:$A$305,0))),""))</f>
        <v/>
      </c>
      <c r="G150" s="61">
        <f>IF(A150="","",IFERROR(IF(INDEX(2_Participantes!$F$6:$F$305,MATCH(A150,2_Participantes!$A$6:$A$305,0))="","",INDEX(2_Participantes!$F$6:$F$305,MATCH(A150,2_Participantes!$A$6:$A$305,0))),"No registrado"))</f>
        <v/>
      </c>
      <c r="H150" s="84">
        <f>IF(A150="","",IFERROR(IF(INDEX(2_Participantes!$L$6:$L$305,MATCH(A150,2_Participantes!$A$6:$A$305,0))="","",INDEX(2_Participantes!$L$6:$L$305,MATCH(A150,2_Participantes!$A$6:$A$305,0))),""))</f>
        <v/>
      </c>
      <c r="I150" s="62">
        <f>IF(A150="","",IF(AND(ISNUMBER(C150),ISNUMBER(D150),G150&lt;&gt;"Excluido"),1,0))</f>
        <v/>
      </c>
      <c r="J150" s="76">
        <f>IF(A150="","",IF(G150="No registrado","Código ausente en 2_Participantes",IF(AND(ISNUMBER(D150),NOT(ISNUMBER(C150))),"Postest sin pretest (huérfano)",IF(OR(AND(ISNUMBER(C150),OR(C150&lt;Inicio!$C$18,C150&gt;Inicio!$C$19)),AND(ISNUMBER(D150),OR(D150&lt;Inicio!$C$18,D150&gt;Inicio!$C$19))),"Fuera de rango",IF(COUNTIF($A$6:$A$305,A150)&gt;1,"Código duplicado","OK")))))</f>
        <v/>
      </c>
    </row>
    <row r="151" ht="15" customHeight="1" s="42">
      <c r="A151" s="67" t="n"/>
      <c r="B151" s="61">
        <f>IF(A151="","",IFERROR(IF(INDEX(2_Participantes!$B$6:$B$305,MATCH(A151,2_Participantes!$A$6:$A$305,0))="","",INDEX(2_Participantes!$B$6:$B$305,MATCH(A151,2_Participantes!$A$6:$A$305,0))),"No registrado"))</f>
        <v/>
      </c>
      <c r="C151" s="52" t="n"/>
      <c r="D151" s="52" t="n"/>
      <c r="E151" s="63">
        <f>IF(AND(ISNUMBER(C151),ISNUMBER(D151)),D151-C151,"")</f>
        <v/>
      </c>
      <c r="F151" s="62">
        <f>IF(A151="","",IFERROR(IF(INDEX(2_Participantes!$E$6:$E$305,MATCH(A151,2_Participantes!$A$6:$A$305,0))="","",INDEX(2_Participantes!$E$6:$E$305,MATCH(A151,2_Participantes!$A$6:$A$305,0))),""))</f>
        <v/>
      </c>
      <c r="G151" s="61">
        <f>IF(A151="","",IFERROR(IF(INDEX(2_Participantes!$F$6:$F$305,MATCH(A151,2_Participantes!$A$6:$A$305,0))="","",INDEX(2_Participantes!$F$6:$F$305,MATCH(A151,2_Participantes!$A$6:$A$305,0))),"No registrado"))</f>
        <v/>
      </c>
      <c r="H151" s="84">
        <f>IF(A151="","",IFERROR(IF(INDEX(2_Participantes!$L$6:$L$305,MATCH(A151,2_Participantes!$A$6:$A$305,0))="","",INDEX(2_Participantes!$L$6:$L$305,MATCH(A151,2_Participantes!$A$6:$A$305,0))),""))</f>
        <v/>
      </c>
      <c r="I151" s="62">
        <f>IF(A151="","",IF(AND(ISNUMBER(C151),ISNUMBER(D151),G151&lt;&gt;"Excluido"),1,0))</f>
        <v/>
      </c>
      <c r="J151" s="76">
        <f>IF(A151="","",IF(G151="No registrado","Código ausente en 2_Participantes",IF(AND(ISNUMBER(D151),NOT(ISNUMBER(C151))),"Postest sin pretest (huérfano)",IF(OR(AND(ISNUMBER(C151),OR(C151&lt;Inicio!$C$18,C151&gt;Inicio!$C$19)),AND(ISNUMBER(D151),OR(D151&lt;Inicio!$C$18,D151&gt;Inicio!$C$19))),"Fuera de rango",IF(COUNTIF($A$6:$A$305,A151)&gt;1,"Código duplicado","OK")))))</f>
        <v/>
      </c>
    </row>
    <row r="152" ht="15" customHeight="1" s="42">
      <c r="A152" s="67" t="n"/>
      <c r="B152" s="61">
        <f>IF(A152="","",IFERROR(IF(INDEX(2_Participantes!$B$6:$B$305,MATCH(A152,2_Participantes!$A$6:$A$305,0))="","",INDEX(2_Participantes!$B$6:$B$305,MATCH(A152,2_Participantes!$A$6:$A$305,0))),"No registrado"))</f>
        <v/>
      </c>
      <c r="C152" s="52" t="n"/>
      <c r="D152" s="52" t="n"/>
      <c r="E152" s="63">
        <f>IF(AND(ISNUMBER(C152),ISNUMBER(D152)),D152-C152,"")</f>
        <v/>
      </c>
      <c r="F152" s="62">
        <f>IF(A152="","",IFERROR(IF(INDEX(2_Participantes!$E$6:$E$305,MATCH(A152,2_Participantes!$A$6:$A$305,0))="","",INDEX(2_Participantes!$E$6:$E$305,MATCH(A152,2_Participantes!$A$6:$A$305,0))),""))</f>
        <v/>
      </c>
      <c r="G152" s="61">
        <f>IF(A152="","",IFERROR(IF(INDEX(2_Participantes!$F$6:$F$305,MATCH(A152,2_Participantes!$A$6:$A$305,0))="","",INDEX(2_Participantes!$F$6:$F$305,MATCH(A152,2_Participantes!$A$6:$A$305,0))),"No registrado"))</f>
        <v/>
      </c>
      <c r="H152" s="84">
        <f>IF(A152="","",IFERROR(IF(INDEX(2_Participantes!$L$6:$L$305,MATCH(A152,2_Participantes!$A$6:$A$305,0))="","",INDEX(2_Participantes!$L$6:$L$305,MATCH(A152,2_Participantes!$A$6:$A$305,0))),""))</f>
        <v/>
      </c>
      <c r="I152" s="62">
        <f>IF(A152="","",IF(AND(ISNUMBER(C152),ISNUMBER(D152),G152&lt;&gt;"Excluido"),1,0))</f>
        <v/>
      </c>
      <c r="J152" s="76">
        <f>IF(A152="","",IF(G152="No registrado","Código ausente en 2_Participantes",IF(AND(ISNUMBER(D152),NOT(ISNUMBER(C152))),"Postest sin pretest (huérfano)",IF(OR(AND(ISNUMBER(C152),OR(C152&lt;Inicio!$C$18,C152&gt;Inicio!$C$19)),AND(ISNUMBER(D152),OR(D152&lt;Inicio!$C$18,D152&gt;Inicio!$C$19))),"Fuera de rango",IF(COUNTIF($A$6:$A$305,A152)&gt;1,"Código duplicado","OK")))))</f>
        <v/>
      </c>
    </row>
    <row r="153" ht="15" customHeight="1" s="42">
      <c r="A153" s="67" t="n"/>
      <c r="B153" s="61">
        <f>IF(A153="","",IFERROR(IF(INDEX(2_Participantes!$B$6:$B$305,MATCH(A153,2_Participantes!$A$6:$A$305,0))="","",INDEX(2_Participantes!$B$6:$B$305,MATCH(A153,2_Participantes!$A$6:$A$305,0))),"No registrado"))</f>
        <v/>
      </c>
      <c r="C153" s="52" t="n"/>
      <c r="D153" s="52" t="n"/>
      <c r="E153" s="63">
        <f>IF(AND(ISNUMBER(C153),ISNUMBER(D153)),D153-C153,"")</f>
        <v/>
      </c>
      <c r="F153" s="62">
        <f>IF(A153="","",IFERROR(IF(INDEX(2_Participantes!$E$6:$E$305,MATCH(A153,2_Participantes!$A$6:$A$305,0))="","",INDEX(2_Participantes!$E$6:$E$305,MATCH(A153,2_Participantes!$A$6:$A$305,0))),""))</f>
        <v/>
      </c>
      <c r="G153" s="61">
        <f>IF(A153="","",IFERROR(IF(INDEX(2_Participantes!$F$6:$F$305,MATCH(A153,2_Participantes!$A$6:$A$305,0))="","",INDEX(2_Participantes!$F$6:$F$305,MATCH(A153,2_Participantes!$A$6:$A$305,0))),"No registrado"))</f>
        <v/>
      </c>
      <c r="H153" s="84">
        <f>IF(A153="","",IFERROR(IF(INDEX(2_Participantes!$L$6:$L$305,MATCH(A153,2_Participantes!$A$6:$A$305,0))="","",INDEX(2_Participantes!$L$6:$L$305,MATCH(A153,2_Participantes!$A$6:$A$305,0))),""))</f>
        <v/>
      </c>
      <c r="I153" s="62">
        <f>IF(A153="","",IF(AND(ISNUMBER(C153),ISNUMBER(D153),G153&lt;&gt;"Excluido"),1,0))</f>
        <v/>
      </c>
      <c r="J153" s="76">
        <f>IF(A153="","",IF(G153="No registrado","Código ausente en 2_Participantes",IF(AND(ISNUMBER(D153),NOT(ISNUMBER(C153))),"Postest sin pretest (huérfano)",IF(OR(AND(ISNUMBER(C153),OR(C153&lt;Inicio!$C$18,C153&gt;Inicio!$C$19)),AND(ISNUMBER(D153),OR(D153&lt;Inicio!$C$18,D153&gt;Inicio!$C$19))),"Fuera de rango",IF(COUNTIF($A$6:$A$305,A153)&gt;1,"Código duplicado","OK")))))</f>
        <v/>
      </c>
    </row>
    <row r="154" ht="15" customHeight="1" s="42">
      <c r="A154" s="67" t="n"/>
      <c r="B154" s="61">
        <f>IF(A154="","",IFERROR(IF(INDEX(2_Participantes!$B$6:$B$305,MATCH(A154,2_Participantes!$A$6:$A$305,0))="","",INDEX(2_Participantes!$B$6:$B$305,MATCH(A154,2_Participantes!$A$6:$A$305,0))),"No registrado"))</f>
        <v/>
      </c>
      <c r="C154" s="52" t="n"/>
      <c r="D154" s="52" t="n"/>
      <c r="E154" s="63">
        <f>IF(AND(ISNUMBER(C154),ISNUMBER(D154)),D154-C154,"")</f>
        <v/>
      </c>
      <c r="F154" s="62">
        <f>IF(A154="","",IFERROR(IF(INDEX(2_Participantes!$E$6:$E$305,MATCH(A154,2_Participantes!$A$6:$A$305,0))="","",INDEX(2_Participantes!$E$6:$E$305,MATCH(A154,2_Participantes!$A$6:$A$305,0))),""))</f>
        <v/>
      </c>
      <c r="G154" s="61">
        <f>IF(A154="","",IFERROR(IF(INDEX(2_Participantes!$F$6:$F$305,MATCH(A154,2_Participantes!$A$6:$A$305,0))="","",INDEX(2_Participantes!$F$6:$F$305,MATCH(A154,2_Participantes!$A$6:$A$305,0))),"No registrado"))</f>
        <v/>
      </c>
      <c r="H154" s="84">
        <f>IF(A154="","",IFERROR(IF(INDEX(2_Participantes!$L$6:$L$305,MATCH(A154,2_Participantes!$A$6:$A$305,0))="","",INDEX(2_Participantes!$L$6:$L$305,MATCH(A154,2_Participantes!$A$6:$A$305,0))),""))</f>
        <v/>
      </c>
      <c r="I154" s="62">
        <f>IF(A154="","",IF(AND(ISNUMBER(C154),ISNUMBER(D154),G154&lt;&gt;"Excluido"),1,0))</f>
        <v/>
      </c>
      <c r="J154" s="76">
        <f>IF(A154="","",IF(G154="No registrado","Código ausente en 2_Participantes",IF(AND(ISNUMBER(D154),NOT(ISNUMBER(C154))),"Postest sin pretest (huérfano)",IF(OR(AND(ISNUMBER(C154),OR(C154&lt;Inicio!$C$18,C154&gt;Inicio!$C$19)),AND(ISNUMBER(D154),OR(D154&lt;Inicio!$C$18,D154&gt;Inicio!$C$19))),"Fuera de rango",IF(COUNTIF($A$6:$A$305,A154)&gt;1,"Código duplicado","OK")))))</f>
        <v/>
      </c>
    </row>
    <row r="155" ht="15" customHeight="1" s="42">
      <c r="A155" s="67" t="n"/>
      <c r="B155" s="61">
        <f>IF(A155="","",IFERROR(IF(INDEX(2_Participantes!$B$6:$B$305,MATCH(A155,2_Participantes!$A$6:$A$305,0))="","",INDEX(2_Participantes!$B$6:$B$305,MATCH(A155,2_Participantes!$A$6:$A$305,0))),"No registrado"))</f>
        <v/>
      </c>
      <c r="C155" s="52" t="n"/>
      <c r="D155" s="52" t="n"/>
      <c r="E155" s="63">
        <f>IF(AND(ISNUMBER(C155),ISNUMBER(D155)),D155-C155,"")</f>
        <v/>
      </c>
      <c r="F155" s="62">
        <f>IF(A155="","",IFERROR(IF(INDEX(2_Participantes!$E$6:$E$305,MATCH(A155,2_Participantes!$A$6:$A$305,0))="","",INDEX(2_Participantes!$E$6:$E$305,MATCH(A155,2_Participantes!$A$6:$A$305,0))),""))</f>
        <v/>
      </c>
      <c r="G155" s="61">
        <f>IF(A155="","",IFERROR(IF(INDEX(2_Participantes!$F$6:$F$305,MATCH(A155,2_Participantes!$A$6:$A$305,0))="","",INDEX(2_Participantes!$F$6:$F$305,MATCH(A155,2_Participantes!$A$6:$A$305,0))),"No registrado"))</f>
        <v/>
      </c>
      <c r="H155" s="84">
        <f>IF(A155="","",IFERROR(IF(INDEX(2_Participantes!$L$6:$L$305,MATCH(A155,2_Participantes!$A$6:$A$305,0))="","",INDEX(2_Participantes!$L$6:$L$305,MATCH(A155,2_Participantes!$A$6:$A$305,0))),""))</f>
        <v/>
      </c>
      <c r="I155" s="62">
        <f>IF(A155="","",IF(AND(ISNUMBER(C155),ISNUMBER(D155),G155&lt;&gt;"Excluido"),1,0))</f>
        <v/>
      </c>
      <c r="J155" s="76">
        <f>IF(A155="","",IF(G155="No registrado","Código ausente en 2_Participantes",IF(AND(ISNUMBER(D155),NOT(ISNUMBER(C155))),"Postest sin pretest (huérfano)",IF(OR(AND(ISNUMBER(C155),OR(C155&lt;Inicio!$C$18,C155&gt;Inicio!$C$19)),AND(ISNUMBER(D155),OR(D155&lt;Inicio!$C$18,D155&gt;Inicio!$C$19))),"Fuera de rango",IF(COUNTIF($A$6:$A$305,A155)&gt;1,"Código duplicado","OK")))))</f>
        <v/>
      </c>
    </row>
    <row r="156" ht="15" customHeight="1" s="42">
      <c r="A156" s="67" t="n"/>
      <c r="B156" s="61">
        <f>IF(A156="","",IFERROR(IF(INDEX(2_Participantes!$B$6:$B$305,MATCH(A156,2_Participantes!$A$6:$A$305,0))="","",INDEX(2_Participantes!$B$6:$B$305,MATCH(A156,2_Participantes!$A$6:$A$305,0))),"No registrado"))</f>
        <v/>
      </c>
      <c r="C156" s="52" t="n"/>
      <c r="D156" s="52" t="n"/>
      <c r="E156" s="63">
        <f>IF(AND(ISNUMBER(C156),ISNUMBER(D156)),D156-C156,"")</f>
        <v/>
      </c>
      <c r="F156" s="62">
        <f>IF(A156="","",IFERROR(IF(INDEX(2_Participantes!$E$6:$E$305,MATCH(A156,2_Participantes!$A$6:$A$305,0))="","",INDEX(2_Participantes!$E$6:$E$305,MATCH(A156,2_Participantes!$A$6:$A$305,0))),""))</f>
        <v/>
      </c>
      <c r="G156" s="61">
        <f>IF(A156="","",IFERROR(IF(INDEX(2_Participantes!$F$6:$F$305,MATCH(A156,2_Participantes!$A$6:$A$305,0))="","",INDEX(2_Participantes!$F$6:$F$305,MATCH(A156,2_Participantes!$A$6:$A$305,0))),"No registrado"))</f>
        <v/>
      </c>
      <c r="H156" s="84">
        <f>IF(A156="","",IFERROR(IF(INDEX(2_Participantes!$L$6:$L$305,MATCH(A156,2_Participantes!$A$6:$A$305,0))="","",INDEX(2_Participantes!$L$6:$L$305,MATCH(A156,2_Participantes!$A$6:$A$305,0))),""))</f>
        <v/>
      </c>
      <c r="I156" s="62">
        <f>IF(A156="","",IF(AND(ISNUMBER(C156),ISNUMBER(D156),G156&lt;&gt;"Excluido"),1,0))</f>
        <v/>
      </c>
      <c r="J156" s="76">
        <f>IF(A156="","",IF(G156="No registrado","Código ausente en 2_Participantes",IF(AND(ISNUMBER(D156),NOT(ISNUMBER(C156))),"Postest sin pretest (huérfano)",IF(OR(AND(ISNUMBER(C156),OR(C156&lt;Inicio!$C$18,C156&gt;Inicio!$C$19)),AND(ISNUMBER(D156),OR(D156&lt;Inicio!$C$18,D156&gt;Inicio!$C$19))),"Fuera de rango",IF(COUNTIF($A$6:$A$305,A156)&gt;1,"Código duplicado","OK")))))</f>
        <v/>
      </c>
    </row>
    <row r="157" ht="15" customHeight="1" s="42">
      <c r="A157" s="67" t="n"/>
      <c r="B157" s="61">
        <f>IF(A157="","",IFERROR(IF(INDEX(2_Participantes!$B$6:$B$305,MATCH(A157,2_Participantes!$A$6:$A$305,0))="","",INDEX(2_Participantes!$B$6:$B$305,MATCH(A157,2_Participantes!$A$6:$A$305,0))),"No registrado"))</f>
        <v/>
      </c>
      <c r="C157" s="52" t="n"/>
      <c r="D157" s="52" t="n"/>
      <c r="E157" s="63">
        <f>IF(AND(ISNUMBER(C157),ISNUMBER(D157)),D157-C157,"")</f>
        <v/>
      </c>
      <c r="F157" s="62">
        <f>IF(A157="","",IFERROR(IF(INDEX(2_Participantes!$E$6:$E$305,MATCH(A157,2_Participantes!$A$6:$A$305,0))="","",INDEX(2_Participantes!$E$6:$E$305,MATCH(A157,2_Participantes!$A$6:$A$305,0))),""))</f>
        <v/>
      </c>
      <c r="G157" s="61">
        <f>IF(A157="","",IFERROR(IF(INDEX(2_Participantes!$F$6:$F$305,MATCH(A157,2_Participantes!$A$6:$A$305,0))="","",INDEX(2_Participantes!$F$6:$F$305,MATCH(A157,2_Participantes!$A$6:$A$305,0))),"No registrado"))</f>
        <v/>
      </c>
      <c r="H157" s="84">
        <f>IF(A157="","",IFERROR(IF(INDEX(2_Participantes!$L$6:$L$305,MATCH(A157,2_Participantes!$A$6:$A$305,0))="","",INDEX(2_Participantes!$L$6:$L$305,MATCH(A157,2_Participantes!$A$6:$A$305,0))),""))</f>
        <v/>
      </c>
      <c r="I157" s="62">
        <f>IF(A157="","",IF(AND(ISNUMBER(C157),ISNUMBER(D157),G157&lt;&gt;"Excluido"),1,0))</f>
        <v/>
      </c>
      <c r="J157" s="76">
        <f>IF(A157="","",IF(G157="No registrado","Código ausente en 2_Participantes",IF(AND(ISNUMBER(D157),NOT(ISNUMBER(C157))),"Postest sin pretest (huérfano)",IF(OR(AND(ISNUMBER(C157),OR(C157&lt;Inicio!$C$18,C157&gt;Inicio!$C$19)),AND(ISNUMBER(D157),OR(D157&lt;Inicio!$C$18,D157&gt;Inicio!$C$19))),"Fuera de rango",IF(COUNTIF($A$6:$A$305,A157)&gt;1,"Código duplicado","OK")))))</f>
        <v/>
      </c>
    </row>
    <row r="158" ht="15" customHeight="1" s="42">
      <c r="A158" s="67" t="n"/>
      <c r="B158" s="61">
        <f>IF(A158="","",IFERROR(IF(INDEX(2_Participantes!$B$6:$B$305,MATCH(A158,2_Participantes!$A$6:$A$305,0))="","",INDEX(2_Participantes!$B$6:$B$305,MATCH(A158,2_Participantes!$A$6:$A$305,0))),"No registrado"))</f>
        <v/>
      </c>
      <c r="C158" s="52" t="n"/>
      <c r="D158" s="52" t="n"/>
      <c r="E158" s="63">
        <f>IF(AND(ISNUMBER(C158),ISNUMBER(D158)),D158-C158,"")</f>
        <v/>
      </c>
      <c r="F158" s="62">
        <f>IF(A158="","",IFERROR(IF(INDEX(2_Participantes!$E$6:$E$305,MATCH(A158,2_Participantes!$A$6:$A$305,0))="","",INDEX(2_Participantes!$E$6:$E$305,MATCH(A158,2_Participantes!$A$6:$A$305,0))),""))</f>
        <v/>
      </c>
      <c r="G158" s="61">
        <f>IF(A158="","",IFERROR(IF(INDEX(2_Participantes!$F$6:$F$305,MATCH(A158,2_Participantes!$A$6:$A$305,0))="","",INDEX(2_Participantes!$F$6:$F$305,MATCH(A158,2_Participantes!$A$6:$A$305,0))),"No registrado"))</f>
        <v/>
      </c>
      <c r="H158" s="84">
        <f>IF(A158="","",IFERROR(IF(INDEX(2_Participantes!$L$6:$L$305,MATCH(A158,2_Participantes!$A$6:$A$305,0))="","",INDEX(2_Participantes!$L$6:$L$305,MATCH(A158,2_Participantes!$A$6:$A$305,0))),""))</f>
        <v/>
      </c>
      <c r="I158" s="62">
        <f>IF(A158="","",IF(AND(ISNUMBER(C158),ISNUMBER(D158),G158&lt;&gt;"Excluido"),1,0))</f>
        <v/>
      </c>
      <c r="J158" s="76">
        <f>IF(A158="","",IF(G158="No registrado","Código ausente en 2_Participantes",IF(AND(ISNUMBER(D158),NOT(ISNUMBER(C158))),"Postest sin pretest (huérfano)",IF(OR(AND(ISNUMBER(C158),OR(C158&lt;Inicio!$C$18,C158&gt;Inicio!$C$19)),AND(ISNUMBER(D158),OR(D158&lt;Inicio!$C$18,D158&gt;Inicio!$C$19))),"Fuera de rango",IF(COUNTIF($A$6:$A$305,A158)&gt;1,"Código duplicado","OK")))))</f>
        <v/>
      </c>
    </row>
    <row r="159" ht="15" customHeight="1" s="42">
      <c r="A159" s="67" t="n"/>
      <c r="B159" s="61">
        <f>IF(A159="","",IFERROR(IF(INDEX(2_Participantes!$B$6:$B$305,MATCH(A159,2_Participantes!$A$6:$A$305,0))="","",INDEX(2_Participantes!$B$6:$B$305,MATCH(A159,2_Participantes!$A$6:$A$305,0))),"No registrado"))</f>
        <v/>
      </c>
      <c r="C159" s="52" t="n"/>
      <c r="D159" s="52" t="n"/>
      <c r="E159" s="63">
        <f>IF(AND(ISNUMBER(C159),ISNUMBER(D159)),D159-C159,"")</f>
        <v/>
      </c>
      <c r="F159" s="62">
        <f>IF(A159="","",IFERROR(IF(INDEX(2_Participantes!$E$6:$E$305,MATCH(A159,2_Participantes!$A$6:$A$305,0))="","",INDEX(2_Participantes!$E$6:$E$305,MATCH(A159,2_Participantes!$A$6:$A$305,0))),""))</f>
        <v/>
      </c>
      <c r="G159" s="61">
        <f>IF(A159="","",IFERROR(IF(INDEX(2_Participantes!$F$6:$F$305,MATCH(A159,2_Participantes!$A$6:$A$305,0))="","",INDEX(2_Participantes!$F$6:$F$305,MATCH(A159,2_Participantes!$A$6:$A$305,0))),"No registrado"))</f>
        <v/>
      </c>
      <c r="H159" s="84">
        <f>IF(A159="","",IFERROR(IF(INDEX(2_Participantes!$L$6:$L$305,MATCH(A159,2_Participantes!$A$6:$A$305,0))="","",INDEX(2_Participantes!$L$6:$L$305,MATCH(A159,2_Participantes!$A$6:$A$305,0))),""))</f>
        <v/>
      </c>
      <c r="I159" s="62">
        <f>IF(A159="","",IF(AND(ISNUMBER(C159),ISNUMBER(D159),G159&lt;&gt;"Excluido"),1,0))</f>
        <v/>
      </c>
      <c r="J159" s="76">
        <f>IF(A159="","",IF(G159="No registrado","Código ausente en 2_Participantes",IF(AND(ISNUMBER(D159),NOT(ISNUMBER(C159))),"Postest sin pretest (huérfano)",IF(OR(AND(ISNUMBER(C159),OR(C159&lt;Inicio!$C$18,C159&gt;Inicio!$C$19)),AND(ISNUMBER(D159),OR(D159&lt;Inicio!$C$18,D159&gt;Inicio!$C$19))),"Fuera de rango",IF(COUNTIF($A$6:$A$305,A159)&gt;1,"Código duplicado","OK")))))</f>
        <v/>
      </c>
    </row>
    <row r="160" ht="15" customHeight="1" s="42">
      <c r="A160" s="67" t="n"/>
      <c r="B160" s="61">
        <f>IF(A160="","",IFERROR(IF(INDEX(2_Participantes!$B$6:$B$305,MATCH(A160,2_Participantes!$A$6:$A$305,0))="","",INDEX(2_Participantes!$B$6:$B$305,MATCH(A160,2_Participantes!$A$6:$A$305,0))),"No registrado"))</f>
        <v/>
      </c>
      <c r="C160" s="52" t="n"/>
      <c r="D160" s="52" t="n"/>
      <c r="E160" s="63">
        <f>IF(AND(ISNUMBER(C160),ISNUMBER(D160)),D160-C160,"")</f>
        <v/>
      </c>
      <c r="F160" s="62">
        <f>IF(A160="","",IFERROR(IF(INDEX(2_Participantes!$E$6:$E$305,MATCH(A160,2_Participantes!$A$6:$A$305,0))="","",INDEX(2_Participantes!$E$6:$E$305,MATCH(A160,2_Participantes!$A$6:$A$305,0))),""))</f>
        <v/>
      </c>
      <c r="G160" s="61">
        <f>IF(A160="","",IFERROR(IF(INDEX(2_Participantes!$F$6:$F$305,MATCH(A160,2_Participantes!$A$6:$A$305,0))="","",INDEX(2_Participantes!$F$6:$F$305,MATCH(A160,2_Participantes!$A$6:$A$305,0))),"No registrado"))</f>
        <v/>
      </c>
      <c r="H160" s="84">
        <f>IF(A160="","",IFERROR(IF(INDEX(2_Participantes!$L$6:$L$305,MATCH(A160,2_Participantes!$A$6:$A$305,0))="","",INDEX(2_Participantes!$L$6:$L$305,MATCH(A160,2_Participantes!$A$6:$A$305,0))),""))</f>
        <v/>
      </c>
      <c r="I160" s="62">
        <f>IF(A160="","",IF(AND(ISNUMBER(C160),ISNUMBER(D160),G160&lt;&gt;"Excluido"),1,0))</f>
        <v/>
      </c>
      <c r="J160" s="76">
        <f>IF(A160="","",IF(G160="No registrado","Código ausente en 2_Participantes",IF(AND(ISNUMBER(D160),NOT(ISNUMBER(C160))),"Postest sin pretest (huérfano)",IF(OR(AND(ISNUMBER(C160),OR(C160&lt;Inicio!$C$18,C160&gt;Inicio!$C$19)),AND(ISNUMBER(D160),OR(D160&lt;Inicio!$C$18,D160&gt;Inicio!$C$19))),"Fuera de rango",IF(COUNTIF($A$6:$A$305,A160)&gt;1,"Código duplicado","OK")))))</f>
        <v/>
      </c>
    </row>
    <row r="161" ht="15" customHeight="1" s="42">
      <c r="A161" s="67" t="n"/>
      <c r="B161" s="61">
        <f>IF(A161="","",IFERROR(IF(INDEX(2_Participantes!$B$6:$B$305,MATCH(A161,2_Participantes!$A$6:$A$305,0))="","",INDEX(2_Participantes!$B$6:$B$305,MATCH(A161,2_Participantes!$A$6:$A$305,0))),"No registrado"))</f>
        <v/>
      </c>
      <c r="C161" s="52" t="n"/>
      <c r="D161" s="52" t="n"/>
      <c r="E161" s="63">
        <f>IF(AND(ISNUMBER(C161),ISNUMBER(D161)),D161-C161,"")</f>
        <v/>
      </c>
      <c r="F161" s="62">
        <f>IF(A161="","",IFERROR(IF(INDEX(2_Participantes!$E$6:$E$305,MATCH(A161,2_Participantes!$A$6:$A$305,0))="","",INDEX(2_Participantes!$E$6:$E$305,MATCH(A161,2_Participantes!$A$6:$A$305,0))),""))</f>
        <v/>
      </c>
      <c r="G161" s="61">
        <f>IF(A161="","",IFERROR(IF(INDEX(2_Participantes!$F$6:$F$305,MATCH(A161,2_Participantes!$A$6:$A$305,0))="","",INDEX(2_Participantes!$F$6:$F$305,MATCH(A161,2_Participantes!$A$6:$A$305,0))),"No registrado"))</f>
        <v/>
      </c>
      <c r="H161" s="84">
        <f>IF(A161="","",IFERROR(IF(INDEX(2_Participantes!$L$6:$L$305,MATCH(A161,2_Participantes!$A$6:$A$305,0))="","",INDEX(2_Participantes!$L$6:$L$305,MATCH(A161,2_Participantes!$A$6:$A$305,0))),""))</f>
        <v/>
      </c>
      <c r="I161" s="62">
        <f>IF(A161="","",IF(AND(ISNUMBER(C161),ISNUMBER(D161),G161&lt;&gt;"Excluido"),1,0))</f>
        <v/>
      </c>
      <c r="J161" s="76">
        <f>IF(A161="","",IF(G161="No registrado","Código ausente en 2_Participantes",IF(AND(ISNUMBER(D161),NOT(ISNUMBER(C161))),"Postest sin pretest (huérfano)",IF(OR(AND(ISNUMBER(C161),OR(C161&lt;Inicio!$C$18,C161&gt;Inicio!$C$19)),AND(ISNUMBER(D161),OR(D161&lt;Inicio!$C$18,D161&gt;Inicio!$C$19))),"Fuera de rango",IF(COUNTIF($A$6:$A$305,A161)&gt;1,"Código duplicado","OK")))))</f>
        <v/>
      </c>
    </row>
    <row r="162" ht="15" customHeight="1" s="42">
      <c r="A162" s="67" t="n"/>
      <c r="B162" s="61">
        <f>IF(A162="","",IFERROR(IF(INDEX(2_Participantes!$B$6:$B$305,MATCH(A162,2_Participantes!$A$6:$A$305,0))="","",INDEX(2_Participantes!$B$6:$B$305,MATCH(A162,2_Participantes!$A$6:$A$305,0))),"No registrado"))</f>
        <v/>
      </c>
      <c r="C162" s="52" t="n"/>
      <c r="D162" s="52" t="n"/>
      <c r="E162" s="63">
        <f>IF(AND(ISNUMBER(C162),ISNUMBER(D162)),D162-C162,"")</f>
        <v/>
      </c>
      <c r="F162" s="62">
        <f>IF(A162="","",IFERROR(IF(INDEX(2_Participantes!$E$6:$E$305,MATCH(A162,2_Participantes!$A$6:$A$305,0))="","",INDEX(2_Participantes!$E$6:$E$305,MATCH(A162,2_Participantes!$A$6:$A$305,0))),""))</f>
        <v/>
      </c>
      <c r="G162" s="61">
        <f>IF(A162="","",IFERROR(IF(INDEX(2_Participantes!$F$6:$F$305,MATCH(A162,2_Participantes!$A$6:$A$305,0))="","",INDEX(2_Participantes!$F$6:$F$305,MATCH(A162,2_Participantes!$A$6:$A$305,0))),"No registrado"))</f>
        <v/>
      </c>
      <c r="H162" s="84">
        <f>IF(A162="","",IFERROR(IF(INDEX(2_Participantes!$L$6:$L$305,MATCH(A162,2_Participantes!$A$6:$A$305,0))="","",INDEX(2_Participantes!$L$6:$L$305,MATCH(A162,2_Participantes!$A$6:$A$305,0))),""))</f>
        <v/>
      </c>
      <c r="I162" s="62">
        <f>IF(A162="","",IF(AND(ISNUMBER(C162),ISNUMBER(D162),G162&lt;&gt;"Excluido"),1,0))</f>
        <v/>
      </c>
      <c r="J162" s="76">
        <f>IF(A162="","",IF(G162="No registrado","Código ausente en 2_Participantes",IF(AND(ISNUMBER(D162),NOT(ISNUMBER(C162))),"Postest sin pretest (huérfano)",IF(OR(AND(ISNUMBER(C162),OR(C162&lt;Inicio!$C$18,C162&gt;Inicio!$C$19)),AND(ISNUMBER(D162),OR(D162&lt;Inicio!$C$18,D162&gt;Inicio!$C$19))),"Fuera de rango",IF(COUNTIF($A$6:$A$305,A162)&gt;1,"Código duplicado","OK")))))</f>
        <v/>
      </c>
    </row>
    <row r="163" ht="15" customHeight="1" s="42">
      <c r="A163" s="67" t="n"/>
      <c r="B163" s="61">
        <f>IF(A163="","",IFERROR(IF(INDEX(2_Participantes!$B$6:$B$305,MATCH(A163,2_Participantes!$A$6:$A$305,0))="","",INDEX(2_Participantes!$B$6:$B$305,MATCH(A163,2_Participantes!$A$6:$A$305,0))),"No registrado"))</f>
        <v/>
      </c>
      <c r="C163" s="52" t="n"/>
      <c r="D163" s="52" t="n"/>
      <c r="E163" s="63">
        <f>IF(AND(ISNUMBER(C163),ISNUMBER(D163)),D163-C163,"")</f>
        <v/>
      </c>
      <c r="F163" s="62">
        <f>IF(A163="","",IFERROR(IF(INDEX(2_Participantes!$E$6:$E$305,MATCH(A163,2_Participantes!$A$6:$A$305,0))="","",INDEX(2_Participantes!$E$6:$E$305,MATCH(A163,2_Participantes!$A$6:$A$305,0))),""))</f>
        <v/>
      </c>
      <c r="G163" s="61">
        <f>IF(A163="","",IFERROR(IF(INDEX(2_Participantes!$F$6:$F$305,MATCH(A163,2_Participantes!$A$6:$A$305,0))="","",INDEX(2_Participantes!$F$6:$F$305,MATCH(A163,2_Participantes!$A$6:$A$305,0))),"No registrado"))</f>
        <v/>
      </c>
      <c r="H163" s="84">
        <f>IF(A163="","",IFERROR(IF(INDEX(2_Participantes!$L$6:$L$305,MATCH(A163,2_Participantes!$A$6:$A$305,0))="","",INDEX(2_Participantes!$L$6:$L$305,MATCH(A163,2_Participantes!$A$6:$A$305,0))),""))</f>
        <v/>
      </c>
      <c r="I163" s="62">
        <f>IF(A163="","",IF(AND(ISNUMBER(C163),ISNUMBER(D163),G163&lt;&gt;"Excluido"),1,0))</f>
        <v/>
      </c>
      <c r="J163" s="76">
        <f>IF(A163="","",IF(G163="No registrado","Código ausente en 2_Participantes",IF(AND(ISNUMBER(D163),NOT(ISNUMBER(C163))),"Postest sin pretest (huérfano)",IF(OR(AND(ISNUMBER(C163),OR(C163&lt;Inicio!$C$18,C163&gt;Inicio!$C$19)),AND(ISNUMBER(D163),OR(D163&lt;Inicio!$C$18,D163&gt;Inicio!$C$19))),"Fuera de rango",IF(COUNTIF($A$6:$A$305,A163)&gt;1,"Código duplicado","OK")))))</f>
        <v/>
      </c>
    </row>
    <row r="164" ht="15" customHeight="1" s="42">
      <c r="A164" s="67" t="n"/>
      <c r="B164" s="61">
        <f>IF(A164="","",IFERROR(IF(INDEX(2_Participantes!$B$6:$B$305,MATCH(A164,2_Participantes!$A$6:$A$305,0))="","",INDEX(2_Participantes!$B$6:$B$305,MATCH(A164,2_Participantes!$A$6:$A$305,0))),"No registrado"))</f>
        <v/>
      </c>
      <c r="C164" s="52" t="n"/>
      <c r="D164" s="52" t="n"/>
      <c r="E164" s="63">
        <f>IF(AND(ISNUMBER(C164),ISNUMBER(D164)),D164-C164,"")</f>
        <v/>
      </c>
      <c r="F164" s="62">
        <f>IF(A164="","",IFERROR(IF(INDEX(2_Participantes!$E$6:$E$305,MATCH(A164,2_Participantes!$A$6:$A$305,0))="","",INDEX(2_Participantes!$E$6:$E$305,MATCH(A164,2_Participantes!$A$6:$A$305,0))),""))</f>
        <v/>
      </c>
      <c r="G164" s="61">
        <f>IF(A164="","",IFERROR(IF(INDEX(2_Participantes!$F$6:$F$305,MATCH(A164,2_Participantes!$A$6:$A$305,0))="","",INDEX(2_Participantes!$F$6:$F$305,MATCH(A164,2_Participantes!$A$6:$A$305,0))),"No registrado"))</f>
        <v/>
      </c>
      <c r="H164" s="84">
        <f>IF(A164="","",IFERROR(IF(INDEX(2_Participantes!$L$6:$L$305,MATCH(A164,2_Participantes!$A$6:$A$305,0))="","",INDEX(2_Participantes!$L$6:$L$305,MATCH(A164,2_Participantes!$A$6:$A$305,0))),""))</f>
        <v/>
      </c>
      <c r="I164" s="62">
        <f>IF(A164="","",IF(AND(ISNUMBER(C164),ISNUMBER(D164),G164&lt;&gt;"Excluido"),1,0))</f>
        <v/>
      </c>
      <c r="J164" s="76">
        <f>IF(A164="","",IF(G164="No registrado","Código ausente en 2_Participantes",IF(AND(ISNUMBER(D164),NOT(ISNUMBER(C164))),"Postest sin pretest (huérfano)",IF(OR(AND(ISNUMBER(C164),OR(C164&lt;Inicio!$C$18,C164&gt;Inicio!$C$19)),AND(ISNUMBER(D164),OR(D164&lt;Inicio!$C$18,D164&gt;Inicio!$C$19))),"Fuera de rango",IF(COUNTIF($A$6:$A$305,A164)&gt;1,"Código duplicado","OK")))))</f>
        <v/>
      </c>
    </row>
    <row r="165" ht="15" customHeight="1" s="42">
      <c r="A165" s="67" t="n"/>
      <c r="B165" s="61">
        <f>IF(A165="","",IFERROR(IF(INDEX(2_Participantes!$B$6:$B$305,MATCH(A165,2_Participantes!$A$6:$A$305,0))="","",INDEX(2_Participantes!$B$6:$B$305,MATCH(A165,2_Participantes!$A$6:$A$305,0))),"No registrado"))</f>
        <v/>
      </c>
      <c r="C165" s="52" t="n"/>
      <c r="D165" s="52" t="n"/>
      <c r="E165" s="63">
        <f>IF(AND(ISNUMBER(C165),ISNUMBER(D165)),D165-C165,"")</f>
        <v/>
      </c>
      <c r="F165" s="62">
        <f>IF(A165="","",IFERROR(IF(INDEX(2_Participantes!$E$6:$E$305,MATCH(A165,2_Participantes!$A$6:$A$305,0))="","",INDEX(2_Participantes!$E$6:$E$305,MATCH(A165,2_Participantes!$A$6:$A$305,0))),""))</f>
        <v/>
      </c>
      <c r="G165" s="61">
        <f>IF(A165="","",IFERROR(IF(INDEX(2_Participantes!$F$6:$F$305,MATCH(A165,2_Participantes!$A$6:$A$305,0))="","",INDEX(2_Participantes!$F$6:$F$305,MATCH(A165,2_Participantes!$A$6:$A$305,0))),"No registrado"))</f>
        <v/>
      </c>
      <c r="H165" s="84">
        <f>IF(A165="","",IFERROR(IF(INDEX(2_Participantes!$L$6:$L$305,MATCH(A165,2_Participantes!$A$6:$A$305,0))="","",INDEX(2_Participantes!$L$6:$L$305,MATCH(A165,2_Participantes!$A$6:$A$305,0))),""))</f>
        <v/>
      </c>
      <c r="I165" s="62">
        <f>IF(A165="","",IF(AND(ISNUMBER(C165),ISNUMBER(D165),G165&lt;&gt;"Excluido"),1,0))</f>
        <v/>
      </c>
      <c r="J165" s="76">
        <f>IF(A165="","",IF(G165="No registrado","Código ausente en 2_Participantes",IF(AND(ISNUMBER(D165),NOT(ISNUMBER(C165))),"Postest sin pretest (huérfano)",IF(OR(AND(ISNUMBER(C165),OR(C165&lt;Inicio!$C$18,C165&gt;Inicio!$C$19)),AND(ISNUMBER(D165),OR(D165&lt;Inicio!$C$18,D165&gt;Inicio!$C$19))),"Fuera de rango",IF(COUNTIF($A$6:$A$305,A165)&gt;1,"Código duplicado","OK")))))</f>
        <v/>
      </c>
    </row>
    <row r="166" ht="15" customHeight="1" s="42">
      <c r="A166" s="67" t="n"/>
      <c r="B166" s="61">
        <f>IF(A166="","",IFERROR(IF(INDEX(2_Participantes!$B$6:$B$305,MATCH(A166,2_Participantes!$A$6:$A$305,0))="","",INDEX(2_Participantes!$B$6:$B$305,MATCH(A166,2_Participantes!$A$6:$A$305,0))),"No registrado"))</f>
        <v/>
      </c>
      <c r="C166" s="52" t="n"/>
      <c r="D166" s="52" t="n"/>
      <c r="E166" s="63">
        <f>IF(AND(ISNUMBER(C166),ISNUMBER(D166)),D166-C166,"")</f>
        <v/>
      </c>
      <c r="F166" s="62">
        <f>IF(A166="","",IFERROR(IF(INDEX(2_Participantes!$E$6:$E$305,MATCH(A166,2_Participantes!$A$6:$A$305,0))="","",INDEX(2_Participantes!$E$6:$E$305,MATCH(A166,2_Participantes!$A$6:$A$305,0))),""))</f>
        <v/>
      </c>
      <c r="G166" s="61">
        <f>IF(A166="","",IFERROR(IF(INDEX(2_Participantes!$F$6:$F$305,MATCH(A166,2_Participantes!$A$6:$A$305,0))="","",INDEX(2_Participantes!$F$6:$F$305,MATCH(A166,2_Participantes!$A$6:$A$305,0))),"No registrado"))</f>
        <v/>
      </c>
      <c r="H166" s="84">
        <f>IF(A166="","",IFERROR(IF(INDEX(2_Participantes!$L$6:$L$305,MATCH(A166,2_Participantes!$A$6:$A$305,0))="","",INDEX(2_Participantes!$L$6:$L$305,MATCH(A166,2_Participantes!$A$6:$A$305,0))),""))</f>
        <v/>
      </c>
      <c r="I166" s="62">
        <f>IF(A166="","",IF(AND(ISNUMBER(C166),ISNUMBER(D166),G166&lt;&gt;"Excluido"),1,0))</f>
        <v/>
      </c>
      <c r="J166" s="76">
        <f>IF(A166="","",IF(G166="No registrado","Código ausente en 2_Participantes",IF(AND(ISNUMBER(D166),NOT(ISNUMBER(C166))),"Postest sin pretest (huérfano)",IF(OR(AND(ISNUMBER(C166),OR(C166&lt;Inicio!$C$18,C166&gt;Inicio!$C$19)),AND(ISNUMBER(D166),OR(D166&lt;Inicio!$C$18,D166&gt;Inicio!$C$19))),"Fuera de rango",IF(COUNTIF($A$6:$A$305,A166)&gt;1,"Código duplicado","OK")))))</f>
        <v/>
      </c>
    </row>
    <row r="167" ht="15" customHeight="1" s="42">
      <c r="A167" s="67" t="n"/>
      <c r="B167" s="61">
        <f>IF(A167="","",IFERROR(IF(INDEX(2_Participantes!$B$6:$B$305,MATCH(A167,2_Participantes!$A$6:$A$305,0))="","",INDEX(2_Participantes!$B$6:$B$305,MATCH(A167,2_Participantes!$A$6:$A$305,0))),"No registrado"))</f>
        <v/>
      </c>
      <c r="C167" s="52" t="n"/>
      <c r="D167" s="52" t="n"/>
      <c r="E167" s="63">
        <f>IF(AND(ISNUMBER(C167),ISNUMBER(D167)),D167-C167,"")</f>
        <v/>
      </c>
      <c r="F167" s="62">
        <f>IF(A167="","",IFERROR(IF(INDEX(2_Participantes!$E$6:$E$305,MATCH(A167,2_Participantes!$A$6:$A$305,0))="","",INDEX(2_Participantes!$E$6:$E$305,MATCH(A167,2_Participantes!$A$6:$A$305,0))),""))</f>
        <v/>
      </c>
      <c r="G167" s="61">
        <f>IF(A167="","",IFERROR(IF(INDEX(2_Participantes!$F$6:$F$305,MATCH(A167,2_Participantes!$A$6:$A$305,0))="","",INDEX(2_Participantes!$F$6:$F$305,MATCH(A167,2_Participantes!$A$6:$A$305,0))),"No registrado"))</f>
        <v/>
      </c>
      <c r="H167" s="84">
        <f>IF(A167="","",IFERROR(IF(INDEX(2_Participantes!$L$6:$L$305,MATCH(A167,2_Participantes!$A$6:$A$305,0))="","",INDEX(2_Participantes!$L$6:$L$305,MATCH(A167,2_Participantes!$A$6:$A$305,0))),""))</f>
        <v/>
      </c>
      <c r="I167" s="62">
        <f>IF(A167="","",IF(AND(ISNUMBER(C167),ISNUMBER(D167),G167&lt;&gt;"Excluido"),1,0))</f>
        <v/>
      </c>
      <c r="J167" s="76">
        <f>IF(A167="","",IF(G167="No registrado","Código ausente en 2_Participantes",IF(AND(ISNUMBER(D167),NOT(ISNUMBER(C167))),"Postest sin pretest (huérfano)",IF(OR(AND(ISNUMBER(C167),OR(C167&lt;Inicio!$C$18,C167&gt;Inicio!$C$19)),AND(ISNUMBER(D167),OR(D167&lt;Inicio!$C$18,D167&gt;Inicio!$C$19))),"Fuera de rango",IF(COUNTIF($A$6:$A$305,A167)&gt;1,"Código duplicado","OK")))))</f>
        <v/>
      </c>
    </row>
    <row r="168" ht="15" customHeight="1" s="42">
      <c r="A168" s="67" t="n"/>
      <c r="B168" s="61">
        <f>IF(A168="","",IFERROR(IF(INDEX(2_Participantes!$B$6:$B$305,MATCH(A168,2_Participantes!$A$6:$A$305,0))="","",INDEX(2_Participantes!$B$6:$B$305,MATCH(A168,2_Participantes!$A$6:$A$305,0))),"No registrado"))</f>
        <v/>
      </c>
      <c r="C168" s="52" t="n"/>
      <c r="D168" s="52" t="n"/>
      <c r="E168" s="63">
        <f>IF(AND(ISNUMBER(C168),ISNUMBER(D168)),D168-C168,"")</f>
        <v/>
      </c>
      <c r="F168" s="62">
        <f>IF(A168="","",IFERROR(IF(INDEX(2_Participantes!$E$6:$E$305,MATCH(A168,2_Participantes!$A$6:$A$305,0))="","",INDEX(2_Participantes!$E$6:$E$305,MATCH(A168,2_Participantes!$A$6:$A$305,0))),""))</f>
        <v/>
      </c>
      <c r="G168" s="61">
        <f>IF(A168="","",IFERROR(IF(INDEX(2_Participantes!$F$6:$F$305,MATCH(A168,2_Participantes!$A$6:$A$305,0))="","",INDEX(2_Participantes!$F$6:$F$305,MATCH(A168,2_Participantes!$A$6:$A$305,0))),"No registrado"))</f>
        <v/>
      </c>
      <c r="H168" s="84">
        <f>IF(A168="","",IFERROR(IF(INDEX(2_Participantes!$L$6:$L$305,MATCH(A168,2_Participantes!$A$6:$A$305,0))="","",INDEX(2_Participantes!$L$6:$L$305,MATCH(A168,2_Participantes!$A$6:$A$305,0))),""))</f>
        <v/>
      </c>
      <c r="I168" s="62">
        <f>IF(A168="","",IF(AND(ISNUMBER(C168),ISNUMBER(D168),G168&lt;&gt;"Excluido"),1,0))</f>
        <v/>
      </c>
      <c r="J168" s="76">
        <f>IF(A168="","",IF(G168="No registrado","Código ausente en 2_Participantes",IF(AND(ISNUMBER(D168),NOT(ISNUMBER(C168))),"Postest sin pretest (huérfano)",IF(OR(AND(ISNUMBER(C168),OR(C168&lt;Inicio!$C$18,C168&gt;Inicio!$C$19)),AND(ISNUMBER(D168),OR(D168&lt;Inicio!$C$18,D168&gt;Inicio!$C$19))),"Fuera de rango",IF(COUNTIF($A$6:$A$305,A168)&gt;1,"Código duplicado","OK")))))</f>
        <v/>
      </c>
    </row>
    <row r="169" ht="15" customHeight="1" s="42">
      <c r="A169" s="67" t="n"/>
      <c r="B169" s="61">
        <f>IF(A169="","",IFERROR(IF(INDEX(2_Participantes!$B$6:$B$305,MATCH(A169,2_Participantes!$A$6:$A$305,0))="","",INDEX(2_Participantes!$B$6:$B$305,MATCH(A169,2_Participantes!$A$6:$A$305,0))),"No registrado"))</f>
        <v/>
      </c>
      <c r="C169" s="52" t="n"/>
      <c r="D169" s="52" t="n"/>
      <c r="E169" s="63">
        <f>IF(AND(ISNUMBER(C169),ISNUMBER(D169)),D169-C169,"")</f>
        <v/>
      </c>
      <c r="F169" s="62">
        <f>IF(A169="","",IFERROR(IF(INDEX(2_Participantes!$E$6:$E$305,MATCH(A169,2_Participantes!$A$6:$A$305,0))="","",INDEX(2_Participantes!$E$6:$E$305,MATCH(A169,2_Participantes!$A$6:$A$305,0))),""))</f>
        <v/>
      </c>
      <c r="G169" s="61">
        <f>IF(A169="","",IFERROR(IF(INDEX(2_Participantes!$F$6:$F$305,MATCH(A169,2_Participantes!$A$6:$A$305,0))="","",INDEX(2_Participantes!$F$6:$F$305,MATCH(A169,2_Participantes!$A$6:$A$305,0))),"No registrado"))</f>
        <v/>
      </c>
      <c r="H169" s="84">
        <f>IF(A169="","",IFERROR(IF(INDEX(2_Participantes!$L$6:$L$305,MATCH(A169,2_Participantes!$A$6:$A$305,0))="","",INDEX(2_Participantes!$L$6:$L$305,MATCH(A169,2_Participantes!$A$6:$A$305,0))),""))</f>
        <v/>
      </c>
      <c r="I169" s="62">
        <f>IF(A169="","",IF(AND(ISNUMBER(C169),ISNUMBER(D169),G169&lt;&gt;"Excluido"),1,0))</f>
        <v/>
      </c>
      <c r="J169" s="76">
        <f>IF(A169="","",IF(G169="No registrado","Código ausente en 2_Participantes",IF(AND(ISNUMBER(D169),NOT(ISNUMBER(C169))),"Postest sin pretest (huérfano)",IF(OR(AND(ISNUMBER(C169),OR(C169&lt;Inicio!$C$18,C169&gt;Inicio!$C$19)),AND(ISNUMBER(D169),OR(D169&lt;Inicio!$C$18,D169&gt;Inicio!$C$19))),"Fuera de rango",IF(COUNTIF($A$6:$A$305,A169)&gt;1,"Código duplicado","OK")))))</f>
        <v/>
      </c>
    </row>
    <row r="170" ht="15" customHeight="1" s="42">
      <c r="A170" s="67" t="n"/>
      <c r="B170" s="61">
        <f>IF(A170="","",IFERROR(IF(INDEX(2_Participantes!$B$6:$B$305,MATCH(A170,2_Participantes!$A$6:$A$305,0))="","",INDEX(2_Participantes!$B$6:$B$305,MATCH(A170,2_Participantes!$A$6:$A$305,0))),"No registrado"))</f>
        <v/>
      </c>
      <c r="C170" s="52" t="n"/>
      <c r="D170" s="52" t="n"/>
      <c r="E170" s="63">
        <f>IF(AND(ISNUMBER(C170),ISNUMBER(D170)),D170-C170,"")</f>
        <v/>
      </c>
      <c r="F170" s="62">
        <f>IF(A170="","",IFERROR(IF(INDEX(2_Participantes!$E$6:$E$305,MATCH(A170,2_Participantes!$A$6:$A$305,0))="","",INDEX(2_Participantes!$E$6:$E$305,MATCH(A170,2_Participantes!$A$6:$A$305,0))),""))</f>
        <v/>
      </c>
      <c r="G170" s="61">
        <f>IF(A170="","",IFERROR(IF(INDEX(2_Participantes!$F$6:$F$305,MATCH(A170,2_Participantes!$A$6:$A$305,0))="","",INDEX(2_Participantes!$F$6:$F$305,MATCH(A170,2_Participantes!$A$6:$A$305,0))),"No registrado"))</f>
        <v/>
      </c>
      <c r="H170" s="84">
        <f>IF(A170="","",IFERROR(IF(INDEX(2_Participantes!$L$6:$L$305,MATCH(A170,2_Participantes!$A$6:$A$305,0))="","",INDEX(2_Participantes!$L$6:$L$305,MATCH(A170,2_Participantes!$A$6:$A$305,0))),""))</f>
        <v/>
      </c>
      <c r="I170" s="62">
        <f>IF(A170="","",IF(AND(ISNUMBER(C170),ISNUMBER(D170),G170&lt;&gt;"Excluido"),1,0))</f>
        <v/>
      </c>
      <c r="J170" s="76">
        <f>IF(A170="","",IF(G170="No registrado","Código ausente en 2_Participantes",IF(AND(ISNUMBER(D170),NOT(ISNUMBER(C170))),"Postest sin pretest (huérfano)",IF(OR(AND(ISNUMBER(C170),OR(C170&lt;Inicio!$C$18,C170&gt;Inicio!$C$19)),AND(ISNUMBER(D170),OR(D170&lt;Inicio!$C$18,D170&gt;Inicio!$C$19))),"Fuera de rango",IF(COUNTIF($A$6:$A$305,A170)&gt;1,"Código duplicado","OK")))))</f>
        <v/>
      </c>
    </row>
    <row r="171" ht="15" customHeight="1" s="42">
      <c r="A171" s="67" t="n"/>
      <c r="B171" s="61">
        <f>IF(A171="","",IFERROR(IF(INDEX(2_Participantes!$B$6:$B$305,MATCH(A171,2_Participantes!$A$6:$A$305,0))="","",INDEX(2_Participantes!$B$6:$B$305,MATCH(A171,2_Participantes!$A$6:$A$305,0))),"No registrado"))</f>
        <v/>
      </c>
      <c r="C171" s="52" t="n"/>
      <c r="D171" s="52" t="n"/>
      <c r="E171" s="63">
        <f>IF(AND(ISNUMBER(C171),ISNUMBER(D171)),D171-C171,"")</f>
        <v/>
      </c>
      <c r="F171" s="62">
        <f>IF(A171="","",IFERROR(IF(INDEX(2_Participantes!$E$6:$E$305,MATCH(A171,2_Participantes!$A$6:$A$305,0))="","",INDEX(2_Participantes!$E$6:$E$305,MATCH(A171,2_Participantes!$A$6:$A$305,0))),""))</f>
        <v/>
      </c>
      <c r="G171" s="61">
        <f>IF(A171="","",IFERROR(IF(INDEX(2_Participantes!$F$6:$F$305,MATCH(A171,2_Participantes!$A$6:$A$305,0))="","",INDEX(2_Participantes!$F$6:$F$305,MATCH(A171,2_Participantes!$A$6:$A$305,0))),"No registrado"))</f>
        <v/>
      </c>
      <c r="H171" s="84">
        <f>IF(A171="","",IFERROR(IF(INDEX(2_Participantes!$L$6:$L$305,MATCH(A171,2_Participantes!$A$6:$A$305,0))="","",INDEX(2_Participantes!$L$6:$L$305,MATCH(A171,2_Participantes!$A$6:$A$305,0))),""))</f>
        <v/>
      </c>
      <c r="I171" s="62">
        <f>IF(A171="","",IF(AND(ISNUMBER(C171),ISNUMBER(D171),G171&lt;&gt;"Excluido"),1,0))</f>
        <v/>
      </c>
      <c r="J171" s="76">
        <f>IF(A171="","",IF(G171="No registrado","Código ausente en 2_Participantes",IF(AND(ISNUMBER(D171),NOT(ISNUMBER(C171))),"Postest sin pretest (huérfano)",IF(OR(AND(ISNUMBER(C171),OR(C171&lt;Inicio!$C$18,C171&gt;Inicio!$C$19)),AND(ISNUMBER(D171),OR(D171&lt;Inicio!$C$18,D171&gt;Inicio!$C$19))),"Fuera de rango",IF(COUNTIF($A$6:$A$305,A171)&gt;1,"Código duplicado","OK")))))</f>
        <v/>
      </c>
    </row>
    <row r="172" ht="15" customHeight="1" s="42">
      <c r="A172" s="67" t="n"/>
      <c r="B172" s="61">
        <f>IF(A172="","",IFERROR(IF(INDEX(2_Participantes!$B$6:$B$305,MATCH(A172,2_Participantes!$A$6:$A$305,0))="","",INDEX(2_Participantes!$B$6:$B$305,MATCH(A172,2_Participantes!$A$6:$A$305,0))),"No registrado"))</f>
        <v/>
      </c>
      <c r="C172" s="52" t="n"/>
      <c r="D172" s="52" t="n"/>
      <c r="E172" s="63">
        <f>IF(AND(ISNUMBER(C172),ISNUMBER(D172)),D172-C172,"")</f>
        <v/>
      </c>
      <c r="F172" s="62">
        <f>IF(A172="","",IFERROR(IF(INDEX(2_Participantes!$E$6:$E$305,MATCH(A172,2_Participantes!$A$6:$A$305,0))="","",INDEX(2_Participantes!$E$6:$E$305,MATCH(A172,2_Participantes!$A$6:$A$305,0))),""))</f>
        <v/>
      </c>
      <c r="G172" s="61">
        <f>IF(A172="","",IFERROR(IF(INDEX(2_Participantes!$F$6:$F$305,MATCH(A172,2_Participantes!$A$6:$A$305,0))="","",INDEX(2_Participantes!$F$6:$F$305,MATCH(A172,2_Participantes!$A$6:$A$305,0))),"No registrado"))</f>
        <v/>
      </c>
      <c r="H172" s="84">
        <f>IF(A172="","",IFERROR(IF(INDEX(2_Participantes!$L$6:$L$305,MATCH(A172,2_Participantes!$A$6:$A$305,0))="","",INDEX(2_Participantes!$L$6:$L$305,MATCH(A172,2_Participantes!$A$6:$A$305,0))),""))</f>
        <v/>
      </c>
      <c r="I172" s="62">
        <f>IF(A172="","",IF(AND(ISNUMBER(C172),ISNUMBER(D172),G172&lt;&gt;"Excluido"),1,0))</f>
        <v/>
      </c>
      <c r="J172" s="76">
        <f>IF(A172="","",IF(G172="No registrado","Código ausente en 2_Participantes",IF(AND(ISNUMBER(D172),NOT(ISNUMBER(C172))),"Postest sin pretest (huérfano)",IF(OR(AND(ISNUMBER(C172),OR(C172&lt;Inicio!$C$18,C172&gt;Inicio!$C$19)),AND(ISNUMBER(D172),OR(D172&lt;Inicio!$C$18,D172&gt;Inicio!$C$19))),"Fuera de rango",IF(COUNTIF($A$6:$A$305,A172)&gt;1,"Código duplicado","OK")))))</f>
        <v/>
      </c>
    </row>
    <row r="173" ht="15" customHeight="1" s="42">
      <c r="A173" s="67" t="n"/>
      <c r="B173" s="61">
        <f>IF(A173="","",IFERROR(IF(INDEX(2_Participantes!$B$6:$B$305,MATCH(A173,2_Participantes!$A$6:$A$305,0))="","",INDEX(2_Participantes!$B$6:$B$305,MATCH(A173,2_Participantes!$A$6:$A$305,0))),"No registrado"))</f>
        <v/>
      </c>
      <c r="C173" s="52" t="n"/>
      <c r="D173" s="52" t="n"/>
      <c r="E173" s="63">
        <f>IF(AND(ISNUMBER(C173),ISNUMBER(D173)),D173-C173,"")</f>
        <v/>
      </c>
      <c r="F173" s="62">
        <f>IF(A173="","",IFERROR(IF(INDEX(2_Participantes!$E$6:$E$305,MATCH(A173,2_Participantes!$A$6:$A$305,0))="","",INDEX(2_Participantes!$E$6:$E$305,MATCH(A173,2_Participantes!$A$6:$A$305,0))),""))</f>
        <v/>
      </c>
      <c r="G173" s="61">
        <f>IF(A173="","",IFERROR(IF(INDEX(2_Participantes!$F$6:$F$305,MATCH(A173,2_Participantes!$A$6:$A$305,0))="","",INDEX(2_Participantes!$F$6:$F$305,MATCH(A173,2_Participantes!$A$6:$A$305,0))),"No registrado"))</f>
        <v/>
      </c>
      <c r="H173" s="84">
        <f>IF(A173="","",IFERROR(IF(INDEX(2_Participantes!$L$6:$L$305,MATCH(A173,2_Participantes!$A$6:$A$305,0))="","",INDEX(2_Participantes!$L$6:$L$305,MATCH(A173,2_Participantes!$A$6:$A$305,0))),""))</f>
        <v/>
      </c>
      <c r="I173" s="62">
        <f>IF(A173="","",IF(AND(ISNUMBER(C173),ISNUMBER(D173),G173&lt;&gt;"Excluido"),1,0))</f>
        <v/>
      </c>
      <c r="J173" s="76">
        <f>IF(A173="","",IF(G173="No registrado","Código ausente en 2_Participantes",IF(AND(ISNUMBER(D173),NOT(ISNUMBER(C173))),"Postest sin pretest (huérfano)",IF(OR(AND(ISNUMBER(C173),OR(C173&lt;Inicio!$C$18,C173&gt;Inicio!$C$19)),AND(ISNUMBER(D173),OR(D173&lt;Inicio!$C$18,D173&gt;Inicio!$C$19))),"Fuera de rango",IF(COUNTIF($A$6:$A$305,A173)&gt;1,"Código duplicado","OK")))))</f>
        <v/>
      </c>
    </row>
    <row r="174" ht="15" customHeight="1" s="42">
      <c r="A174" s="67" t="n"/>
      <c r="B174" s="61">
        <f>IF(A174="","",IFERROR(IF(INDEX(2_Participantes!$B$6:$B$305,MATCH(A174,2_Participantes!$A$6:$A$305,0))="","",INDEX(2_Participantes!$B$6:$B$305,MATCH(A174,2_Participantes!$A$6:$A$305,0))),"No registrado"))</f>
        <v/>
      </c>
      <c r="C174" s="52" t="n"/>
      <c r="D174" s="52" t="n"/>
      <c r="E174" s="63">
        <f>IF(AND(ISNUMBER(C174),ISNUMBER(D174)),D174-C174,"")</f>
        <v/>
      </c>
      <c r="F174" s="62">
        <f>IF(A174="","",IFERROR(IF(INDEX(2_Participantes!$E$6:$E$305,MATCH(A174,2_Participantes!$A$6:$A$305,0))="","",INDEX(2_Participantes!$E$6:$E$305,MATCH(A174,2_Participantes!$A$6:$A$305,0))),""))</f>
        <v/>
      </c>
      <c r="G174" s="61">
        <f>IF(A174="","",IFERROR(IF(INDEX(2_Participantes!$F$6:$F$305,MATCH(A174,2_Participantes!$A$6:$A$305,0))="","",INDEX(2_Participantes!$F$6:$F$305,MATCH(A174,2_Participantes!$A$6:$A$305,0))),"No registrado"))</f>
        <v/>
      </c>
      <c r="H174" s="84">
        <f>IF(A174="","",IFERROR(IF(INDEX(2_Participantes!$L$6:$L$305,MATCH(A174,2_Participantes!$A$6:$A$305,0))="","",INDEX(2_Participantes!$L$6:$L$305,MATCH(A174,2_Participantes!$A$6:$A$305,0))),""))</f>
        <v/>
      </c>
      <c r="I174" s="62">
        <f>IF(A174="","",IF(AND(ISNUMBER(C174),ISNUMBER(D174),G174&lt;&gt;"Excluido"),1,0))</f>
        <v/>
      </c>
      <c r="J174" s="76">
        <f>IF(A174="","",IF(G174="No registrado","Código ausente en 2_Participantes",IF(AND(ISNUMBER(D174),NOT(ISNUMBER(C174))),"Postest sin pretest (huérfano)",IF(OR(AND(ISNUMBER(C174),OR(C174&lt;Inicio!$C$18,C174&gt;Inicio!$C$19)),AND(ISNUMBER(D174),OR(D174&lt;Inicio!$C$18,D174&gt;Inicio!$C$19))),"Fuera de rango",IF(COUNTIF($A$6:$A$305,A174)&gt;1,"Código duplicado","OK")))))</f>
        <v/>
      </c>
    </row>
    <row r="175" ht="15" customHeight="1" s="42">
      <c r="A175" s="67" t="n"/>
      <c r="B175" s="61">
        <f>IF(A175="","",IFERROR(IF(INDEX(2_Participantes!$B$6:$B$305,MATCH(A175,2_Participantes!$A$6:$A$305,0))="","",INDEX(2_Participantes!$B$6:$B$305,MATCH(A175,2_Participantes!$A$6:$A$305,0))),"No registrado"))</f>
        <v/>
      </c>
      <c r="C175" s="52" t="n"/>
      <c r="D175" s="52" t="n"/>
      <c r="E175" s="63">
        <f>IF(AND(ISNUMBER(C175),ISNUMBER(D175)),D175-C175,"")</f>
        <v/>
      </c>
      <c r="F175" s="62">
        <f>IF(A175="","",IFERROR(IF(INDEX(2_Participantes!$E$6:$E$305,MATCH(A175,2_Participantes!$A$6:$A$305,0))="","",INDEX(2_Participantes!$E$6:$E$305,MATCH(A175,2_Participantes!$A$6:$A$305,0))),""))</f>
        <v/>
      </c>
      <c r="G175" s="61">
        <f>IF(A175="","",IFERROR(IF(INDEX(2_Participantes!$F$6:$F$305,MATCH(A175,2_Participantes!$A$6:$A$305,0))="","",INDEX(2_Participantes!$F$6:$F$305,MATCH(A175,2_Participantes!$A$6:$A$305,0))),"No registrado"))</f>
        <v/>
      </c>
      <c r="H175" s="84">
        <f>IF(A175="","",IFERROR(IF(INDEX(2_Participantes!$L$6:$L$305,MATCH(A175,2_Participantes!$A$6:$A$305,0))="","",INDEX(2_Participantes!$L$6:$L$305,MATCH(A175,2_Participantes!$A$6:$A$305,0))),""))</f>
        <v/>
      </c>
      <c r="I175" s="62">
        <f>IF(A175="","",IF(AND(ISNUMBER(C175),ISNUMBER(D175),G175&lt;&gt;"Excluido"),1,0))</f>
        <v/>
      </c>
      <c r="J175" s="76">
        <f>IF(A175="","",IF(G175="No registrado","Código ausente en 2_Participantes",IF(AND(ISNUMBER(D175),NOT(ISNUMBER(C175))),"Postest sin pretest (huérfano)",IF(OR(AND(ISNUMBER(C175),OR(C175&lt;Inicio!$C$18,C175&gt;Inicio!$C$19)),AND(ISNUMBER(D175),OR(D175&lt;Inicio!$C$18,D175&gt;Inicio!$C$19))),"Fuera de rango",IF(COUNTIF($A$6:$A$305,A175)&gt;1,"Código duplicado","OK")))))</f>
        <v/>
      </c>
    </row>
    <row r="176" ht="15" customHeight="1" s="42">
      <c r="A176" s="67" t="n"/>
      <c r="B176" s="61">
        <f>IF(A176="","",IFERROR(IF(INDEX(2_Participantes!$B$6:$B$305,MATCH(A176,2_Participantes!$A$6:$A$305,0))="","",INDEX(2_Participantes!$B$6:$B$305,MATCH(A176,2_Participantes!$A$6:$A$305,0))),"No registrado"))</f>
        <v/>
      </c>
      <c r="C176" s="52" t="n"/>
      <c r="D176" s="52" t="n"/>
      <c r="E176" s="63">
        <f>IF(AND(ISNUMBER(C176),ISNUMBER(D176)),D176-C176,"")</f>
        <v/>
      </c>
      <c r="F176" s="62">
        <f>IF(A176="","",IFERROR(IF(INDEX(2_Participantes!$E$6:$E$305,MATCH(A176,2_Participantes!$A$6:$A$305,0))="","",INDEX(2_Participantes!$E$6:$E$305,MATCH(A176,2_Participantes!$A$6:$A$305,0))),""))</f>
        <v/>
      </c>
      <c r="G176" s="61">
        <f>IF(A176="","",IFERROR(IF(INDEX(2_Participantes!$F$6:$F$305,MATCH(A176,2_Participantes!$A$6:$A$305,0))="","",INDEX(2_Participantes!$F$6:$F$305,MATCH(A176,2_Participantes!$A$6:$A$305,0))),"No registrado"))</f>
        <v/>
      </c>
      <c r="H176" s="84">
        <f>IF(A176="","",IFERROR(IF(INDEX(2_Participantes!$L$6:$L$305,MATCH(A176,2_Participantes!$A$6:$A$305,0))="","",INDEX(2_Participantes!$L$6:$L$305,MATCH(A176,2_Participantes!$A$6:$A$305,0))),""))</f>
        <v/>
      </c>
      <c r="I176" s="62">
        <f>IF(A176="","",IF(AND(ISNUMBER(C176),ISNUMBER(D176),G176&lt;&gt;"Excluido"),1,0))</f>
        <v/>
      </c>
      <c r="J176" s="76">
        <f>IF(A176="","",IF(G176="No registrado","Código ausente en 2_Participantes",IF(AND(ISNUMBER(D176),NOT(ISNUMBER(C176))),"Postest sin pretest (huérfano)",IF(OR(AND(ISNUMBER(C176),OR(C176&lt;Inicio!$C$18,C176&gt;Inicio!$C$19)),AND(ISNUMBER(D176),OR(D176&lt;Inicio!$C$18,D176&gt;Inicio!$C$19))),"Fuera de rango",IF(COUNTIF($A$6:$A$305,A176)&gt;1,"Código duplicado","OK")))))</f>
        <v/>
      </c>
    </row>
    <row r="177" ht="15" customHeight="1" s="42">
      <c r="A177" s="67" t="n"/>
      <c r="B177" s="61">
        <f>IF(A177="","",IFERROR(IF(INDEX(2_Participantes!$B$6:$B$305,MATCH(A177,2_Participantes!$A$6:$A$305,0))="","",INDEX(2_Participantes!$B$6:$B$305,MATCH(A177,2_Participantes!$A$6:$A$305,0))),"No registrado"))</f>
        <v/>
      </c>
      <c r="C177" s="52" t="n"/>
      <c r="D177" s="52" t="n"/>
      <c r="E177" s="63">
        <f>IF(AND(ISNUMBER(C177),ISNUMBER(D177)),D177-C177,"")</f>
        <v/>
      </c>
      <c r="F177" s="62">
        <f>IF(A177="","",IFERROR(IF(INDEX(2_Participantes!$E$6:$E$305,MATCH(A177,2_Participantes!$A$6:$A$305,0))="","",INDEX(2_Participantes!$E$6:$E$305,MATCH(A177,2_Participantes!$A$6:$A$305,0))),""))</f>
        <v/>
      </c>
      <c r="G177" s="61">
        <f>IF(A177="","",IFERROR(IF(INDEX(2_Participantes!$F$6:$F$305,MATCH(A177,2_Participantes!$A$6:$A$305,0))="","",INDEX(2_Participantes!$F$6:$F$305,MATCH(A177,2_Participantes!$A$6:$A$305,0))),"No registrado"))</f>
        <v/>
      </c>
      <c r="H177" s="84">
        <f>IF(A177="","",IFERROR(IF(INDEX(2_Participantes!$L$6:$L$305,MATCH(A177,2_Participantes!$A$6:$A$305,0))="","",INDEX(2_Participantes!$L$6:$L$305,MATCH(A177,2_Participantes!$A$6:$A$305,0))),""))</f>
        <v/>
      </c>
      <c r="I177" s="62">
        <f>IF(A177="","",IF(AND(ISNUMBER(C177),ISNUMBER(D177),G177&lt;&gt;"Excluido"),1,0))</f>
        <v/>
      </c>
      <c r="J177" s="76">
        <f>IF(A177="","",IF(G177="No registrado","Código ausente en 2_Participantes",IF(AND(ISNUMBER(D177),NOT(ISNUMBER(C177))),"Postest sin pretest (huérfano)",IF(OR(AND(ISNUMBER(C177),OR(C177&lt;Inicio!$C$18,C177&gt;Inicio!$C$19)),AND(ISNUMBER(D177),OR(D177&lt;Inicio!$C$18,D177&gt;Inicio!$C$19))),"Fuera de rango",IF(COUNTIF($A$6:$A$305,A177)&gt;1,"Código duplicado","OK")))))</f>
        <v/>
      </c>
    </row>
    <row r="178" ht="15" customHeight="1" s="42">
      <c r="A178" s="67" t="n"/>
      <c r="B178" s="61">
        <f>IF(A178="","",IFERROR(IF(INDEX(2_Participantes!$B$6:$B$305,MATCH(A178,2_Participantes!$A$6:$A$305,0))="","",INDEX(2_Participantes!$B$6:$B$305,MATCH(A178,2_Participantes!$A$6:$A$305,0))),"No registrado"))</f>
        <v/>
      </c>
      <c r="C178" s="52" t="n"/>
      <c r="D178" s="52" t="n"/>
      <c r="E178" s="63">
        <f>IF(AND(ISNUMBER(C178),ISNUMBER(D178)),D178-C178,"")</f>
        <v/>
      </c>
      <c r="F178" s="62">
        <f>IF(A178="","",IFERROR(IF(INDEX(2_Participantes!$E$6:$E$305,MATCH(A178,2_Participantes!$A$6:$A$305,0))="","",INDEX(2_Participantes!$E$6:$E$305,MATCH(A178,2_Participantes!$A$6:$A$305,0))),""))</f>
        <v/>
      </c>
      <c r="G178" s="61">
        <f>IF(A178="","",IFERROR(IF(INDEX(2_Participantes!$F$6:$F$305,MATCH(A178,2_Participantes!$A$6:$A$305,0))="","",INDEX(2_Participantes!$F$6:$F$305,MATCH(A178,2_Participantes!$A$6:$A$305,0))),"No registrado"))</f>
        <v/>
      </c>
      <c r="H178" s="84">
        <f>IF(A178="","",IFERROR(IF(INDEX(2_Participantes!$L$6:$L$305,MATCH(A178,2_Participantes!$A$6:$A$305,0))="","",INDEX(2_Participantes!$L$6:$L$305,MATCH(A178,2_Participantes!$A$6:$A$305,0))),""))</f>
        <v/>
      </c>
      <c r="I178" s="62">
        <f>IF(A178="","",IF(AND(ISNUMBER(C178),ISNUMBER(D178),G178&lt;&gt;"Excluido"),1,0))</f>
        <v/>
      </c>
      <c r="J178" s="76">
        <f>IF(A178="","",IF(G178="No registrado","Código ausente en 2_Participantes",IF(AND(ISNUMBER(D178),NOT(ISNUMBER(C178))),"Postest sin pretest (huérfano)",IF(OR(AND(ISNUMBER(C178),OR(C178&lt;Inicio!$C$18,C178&gt;Inicio!$C$19)),AND(ISNUMBER(D178),OR(D178&lt;Inicio!$C$18,D178&gt;Inicio!$C$19))),"Fuera de rango",IF(COUNTIF($A$6:$A$305,A178)&gt;1,"Código duplicado","OK")))))</f>
        <v/>
      </c>
    </row>
    <row r="179" ht="15" customHeight="1" s="42">
      <c r="A179" s="67" t="n"/>
      <c r="B179" s="61">
        <f>IF(A179="","",IFERROR(IF(INDEX(2_Participantes!$B$6:$B$305,MATCH(A179,2_Participantes!$A$6:$A$305,0))="","",INDEX(2_Participantes!$B$6:$B$305,MATCH(A179,2_Participantes!$A$6:$A$305,0))),"No registrado"))</f>
        <v/>
      </c>
      <c r="C179" s="52" t="n"/>
      <c r="D179" s="52" t="n"/>
      <c r="E179" s="63">
        <f>IF(AND(ISNUMBER(C179),ISNUMBER(D179)),D179-C179,"")</f>
        <v/>
      </c>
      <c r="F179" s="62">
        <f>IF(A179="","",IFERROR(IF(INDEX(2_Participantes!$E$6:$E$305,MATCH(A179,2_Participantes!$A$6:$A$305,0))="","",INDEX(2_Participantes!$E$6:$E$305,MATCH(A179,2_Participantes!$A$6:$A$305,0))),""))</f>
        <v/>
      </c>
      <c r="G179" s="61">
        <f>IF(A179="","",IFERROR(IF(INDEX(2_Participantes!$F$6:$F$305,MATCH(A179,2_Participantes!$A$6:$A$305,0))="","",INDEX(2_Participantes!$F$6:$F$305,MATCH(A179,2_Participantes!$A$6:$A$305,0))),"No registrado"))</f>
        <v/>
      </c>
      <c r="H179" s="84">
        <f>IF(A179="","",IFERROR(IF(INDEX(2_Participantes!$L$6:$L$305,MATCH(A179,2_Participantes!$A$6:$A$305,0))="","",INDEX(2_Participantes!$L$6:$L$305,MATCH(A179,2_Participantes!$A$6:$A$305,0))),""))</f>
        <v/>
      </c>
      <c r="I179" s="62">
        <f>IF(A179="","",IF(AND(ISNUMBER(C179),ISNUMBER(D179),G179&lt;&gt;"Excluido"),1,0))</f>
        <v/>
      </c>
      <c r="J179" s="76">
        <f>IF(A179="","",IF(G179="No registrado","Código ausente en 2_Participantes",IF(AND(ISNUMBER(D179),NOT(ISNUMBER(C179))),"Postest sin pretest (huérfano)",IF(OR(AND(ISNUMBER(C179),OR(C179&lt;Inicio!$C$18,C179&gt;Inicio!$C$19)),AND(ISNUMBER(D179),OR(D179&lt;Inicio!$C$18,D179&gt;Inicio!$C$19))),"Fuera de rango",IF(COUNTIF($A$6:$A$305,A179)&gt;1,"Código duplicado","OK")))))</f>
        <v/>
      </c>
    </row>
    <row r="180" ht="15" customHeight="1" s="42">
      <c r="A180" s="67" t="n"/>
      <c r="B180" s="61">
        <f>IF(A180="","",IFERROR(IF(INDEX(2_Participantes!$B$6:$B$305,MATCH(A180,2_Participantes!$A$6:$A$305,0))="","",INDEX(2_Participantes!$B$6:$B$305,MATCH(A180,2_Participantes!$A$6:$A$305,0))),"No registrado"))</f>
        <v/>
      </c>
      <c r="C180" s="52" t="n"/>
      <c r="D180" s="52" t="n"/>
      <c r="E180" s="63">
        <f>IF(AND(ISNUMBER(C180),ISNUMBER(D180)),D180-C180,"")</f>
        <v/>
      </c>
      <c r="F180" s="62">
        <f>IF(A180="","",IFERROR(IF(INDEX(2_Participantes!$E$6:$E$305,MATCH(A180,2_Participantes!$A$6:$A$305,0))="","",INDEX(2_Participantes!$E$6:$E$305,MATCH(A180,2_Participantes!$A$6:$A$305,0))),""))</f>
        <v/>
      </c>
      <c r="G180" s="61">
        <f>IF(A180="","",IFERROR(IF(INDEX(2_Participantes!$F$6:$F$305,MATCH(A180,2_Participantes!$A$6:$A$305,0))="","",INDEX(2_Participantes!$F$6:$F$305,MATCH(A180,2_Participantes!$A$6:$A$305,0))),"No registrado"))</f>
        <v/>
      </c>
      <c r="H180" s="84">
        <f>IF(A180="","",IFERROR(IF(INDEX(2_Participantes!$L$6:$L$305,MATCH(A180,2_Participantes!$A$6:$A$305,0))="","",INDEX(2_Participantes!$L$6:$L$305,MATCH(A180,2_Participantes!$A$6:$A$305,0))),""))</f>
        <v/>
      </c>
      <c r="I180" s="62">
        <f>IF(A180="","",IF(AND(ISNUMBER(C180),ISNUMBER(D180),G180&lt;&gt;"Excluido"),1,0))</f>
        <v/>
      </c>
      <c r="J180" s="76">
        <f>IF(A180="","",IF(G180="No registrado","Código ausente en 2_Participantes",IF(AND(ISNUMBER(D180),NOT(ISNUMBER(C180))),"Postest sin pretest (huérfano)",IF(OR(AND(ISNUMBER(C180),OR(C180&lt;Inicio!$C$18,C180&gt;Inicio!$C$19)),AND(ISNUMBER(D180),OR(D180&lt;Inicio!$C$18,D180&gt;Inicio!$C$19))),"Fuera de rango",IF(COUNTIF($A$6:$A$305,A180)&gt;1,"Código duplicado","OK")))))</f>
        <v/>
      </c>
    </row>
    <row r="181" ht="15" customHeight="1" s="42">
      <c r="A181" s="67" t="n"/>
      <c r="B181" s="61">
        <f>IF(A181="","",IFERROR(IF(INDEX(2_Participantes!$B$6:$B$305,MATCH(A181,2_Participantes!$A$6:$A$305,0))="","",INDEX(2_Participantes!$B$6:$B$305,MATCH(A181,2_Participantes!$A$6:$A$305,0))),"No registrado"))</f>
        <v/>
      </c>
      <c r="C181" s="52" t="n"/>
      <c r="D181" s="52" t="n"/>
      <c r="E181" s="63">
        <f>IF(AND(ISNUMBER(C181),ISNUMBER(D181)),D181-C181,"")</f>
        <v/>
      </c>
      <c r="F181" s="62">
        <f>IF(A181="","",IFERROR(IF(INDEX(2_Participantes!$E$6:$E$305,MATCH(A181,2_Participantes!$A$6:$A$305,0))="","",INDEX(2_Participantes!$E$6:$E$305,MATCH(A181,2_Participantes!$A$6:$A$305,0))),""))</f>
        <v/>
      </c>
      <c r="G181" s="61">
        <f>IF(A181="","",IFERROR(IF(INDEX(2_Participantes!$F$6:$F$305,MATCH(A181,2_Participantes!$A$6:$A$305,0))="","",INDEX(2_Participantes!$F$6:$F$305,MATCH(A181,2_Participantes!$A$6:$A$305,0))),"No registrado"))</f>
        <v/>
      </c>
      <c r="H181" s="84">
        <f>IF(A181="","",IFERROR(IF(INDEX(2_Participantes!$L$6:$L$305,MATCH(A181,2_Participantes!$A$6:$A$305,0))="","",INDEX(2_Participantes!$L$6:$L$305,MATCH(A181,2_Participantes!$A$6:$A$305,0))),""))</f>
        <v/>
      </c>
      <c r="I181" s="62">
        <f>IF(A181="","",IF(AND(ISNUMBER(C181),ISNUMBER(D181),G181&lt;&gt;"Excluido"),1,0))</f>
        <v/>
      </c>
      <c r="J181" s="76">
        <f>IF(A181="","",IF(G181="No registrado","Código ausente en 2_Participantes",IF(AND(ISNUMBER(D181),NOT(ISNUMBER(C181))),"Postest sin pretest (huérfano)",IF(OR(AND(ISNUMBER(C181),OR(C181&lt;Inicio!$C$18,C181&gt;Inicio!$C$19)),AND(ISNUMBER(D181),OR(D181&lt;Inicio!$C$18,D181&gt;Inicio!$C$19))),"Fuera de rango",IF(COUNTIF($A$6:$A$305,A181)&gt;1,"Código duplicado","OK")))))</f>
        <v/>
      </c>
    </row>
    <row r="182" ht="15" customHeight="1" s="42">
      <c r="A182" s="67" t="n"/>
      <c r="B182" s="61">
        <f>IF(A182="","",IFERROR(IF(INDEX(2_Participantes!$B$6:$B$305,MATCH(A182,2_Participantes!$A$6:$A$305,0))="","",INDEX(2_Participantes!$B$6:$B$305,MATCH(A182,2_Participantes!$A$6:$A$305,0))),"No registrado"))</f>
        <v/>
      </c>
      <c r="C182" s="52" t="n"/>
      <c r="D182" s="52" t="n"/>
      <c r="E182" s="63">
        <f>IF(AND(ISNUMBER(C182),ISNUMBER(D182)),D182-C182,"")</f>
        <v/>
      </c>
      <c r="F182" s="62">
        <f>IF(A182="","",IFERROR(IF(INDEX(2_Participantes!$E$6:$E$305,MATCH(A182,2_Participantes!$A$6:$A$305,0))="","",INDEX(2_Participantes!$E$6:$E$305,MATCH(A182,2_Participantes!$A$6:$A$305,0))),""))</f>
        <v/>
      </c>
      <c r="G182" s="61">
        <f>IF(A182="","",IFERROR(IF(INDEX(2_Participantes!$F$6:$F$305,MATCH(A182,2_Participantes!$A$6:$A$305,0))="","",INDEX(2_Participantes!$F$6:$F$305,MATCH(A182,2_Participantes!$A$6:$A$305,0))),"No registrado"))</f>
        <v/>
      </c>
      <c r="H182" s="84">
        <f>IF(A182="","",IFERROR(IF(INDEX(2_Participantes!$L$6:$L$305,MATCH(A182,2_Participantes!$A$6:$A$305,0))="","",INDEX(2_Participantes!$L$6:$L$305,MATCH(A182,2_Participantes!$A$6:$A$305,0))),""))</f>
        <v/>
      </c>
      <c r="I182" s="62">
        <f>IF(A182="","",IF(AND(ISNUMBER(C182),ISNUMBER(D182),G182&lt;&gt;"Excluido"),1,0))</f>
        <v/>
      </c>
      <c r="J182" s="76">
        <f>IF(A182="","",IF(G182="No registrado","Código ausente en 2_Participantes",IF(AND(ISNUMBER(D182),NOT(ISNUMBER(C182))),"Postest sin pretest (huérfano)",IF(OR(AND(ISNUMBER(C182),OR(C182&lt;Inicio!$C$18,C182&gt;Inicio!$C$19)),AND(ISNUMBER(D182),OR(D182&lt;Inicio!$C$18,D182&gt;Inicio!$C$19))),"Fuera de rango",IF(COUNTIF($A$6:$A$305,A182)&gt;1,"Código duplicado","OK")))))</f>
        <v/>
      </c>
    </row>
    <row r="183" ht="15" customHeight="1" s="42">
      <c r="A183" s="67" t="n"/>
      <c r="B183" s="61">
        <f>IF(A183="","",IFERROR(IF(INDEX(2_Participantes!$B$6:$B$305,MATCH(A183,2_Participantes!$A$6:$A$305,0))="","",INDEX(2_Participantes!$B$6:$B$305,MATCH(A183,2_Participantes!$A$6:$A$305,0))),"No registrado"))</f>
        <v/>
      </c>
      <c r="C183" s="52" t="n"/>
      <c r="D183" s="52" t="n"/>
      <c r="E183" s="63">
        <f>IF(AND(ISNUMBER(C183),ISNUMBER(D183)),D183-C183,"")</f>
        <v/>
      </c>
      <c r="F183" s="62">
        <f>IF(A183="","",IFERROR(IF(INDEX(2_Participantes!$E$6:$E$305,MATCH(A183,2_Participantes!$A$6:$A$305,0))="","",INDEX(2_Participantes!$E$6:$E$305,MATCH(A183,2_Participantes!$A$6:$A$305,0))),""))</f>
        <v/>
      </c>
      <c r="G183" s="61">
        <f>IF(A183="","",IFERROR(IF(INDEX(2_Participantes!$F$6:$F$305,MATCH(A183,2_Participantes!$A$6:$A$305,0))="","",INDEX(2_Participantes!$F$6:$F$305,MATCH(A183,2_Participantes!$A$6:$A$305,0))),"No registrado"))</f>
        <v/>
      </c>
      <c r="H183" s="84">
        <f>IF(A183="","",IFERROR(IF(INDEX(2_Participantes!$L$6:$L$305,MATCH(A183,2_Participantes!$A$6:$A$305,0))="","",INDEX(2_Participantes!$L$6:$L$305,MATCH(A183,2_Participantes!$A$6:$A$305,0))),""))</f>
        <v/>
      </c>
      <c r="I183" s="62">
        <f>IF(A183="","",IF(AND(ISNUMBER(C183),ISNUMBER(D183),G183&lt;&gt;"Excluido"),1,0))</f>
        <v/>
      </c>
      <c r="J183" s="76">
        <f>IF(A183="","",IF(G183="No registrado","Código ausente en 2_Participantes",IF(AND(ISNUMBER(D183),NOT(ISNUMBER(C183))),"Postest sin pretest (huérfano)",IF(OR(AND(ISNUMBER(C183),OR(C183&lt;Inicio!$C$18,C183&gt;Inicio!$C$19)),AND(ISNUMBER(D183),OR(D183&lt;Inicio!$C$18,D183&gt;Inicio!$C$19))),"Fuera de rango",IF(COUNTIF($A$6:$A$305,A183)&gt;1,"Código duplicado","OK")))))</f>
        <v/>
      </c>
    </row>
    <row r="184" ht="15" customHeight="1" s="42">
      <c r="A184" s="67" t="n"/>
      <c r="B184" s="61">
        <f>IF(A184="","",IFERROR(IF(INDEX(2_Participantes!$B$6:$B$305,MATCH(A184,2_Participantes!$A$6:$A$305,0))="","",INDEX(2_Participantes!$B$6:$B$305,MATCH(A184,2_Participantes!$A$6:$A$305,0))),"No registrado"))</f>
        <v/>
      </c>
      <c r="C184" s="52" t="n"/>
      <c r="D184" s="52" t="n"/>
      <c r="E184" s="63">
        <f>IF(AND(ISNUMBER(C184),ISNUMBER(D184)),D184-C184,"")</f>
        <v/>
      </c>
      <c r="F184" s="62">
        <f>IF(A184="","",IFERROR(IF(INDEX(2_Participantes!$E$6:$E$305,MATCH(A184,2_Participantes!$A$6:$A$305,0))="","",INDEX(2_Participantes!$E$6:$E$305,MATCH(A184,2_Participantes!$A$6:$A$305,0))),""))</f>
        <v/>
      </c>
      <c r="G184" s="61">
        <f>IF(A184="","",IFERROR(IF(INDEX(2_Participantes!$F$6:$F$305,MATCH(A184,2_Participantes!$A$6:$A$305,0))="","",INDEX(2_Participantes!$F$6:$F$305,MATCH(A184,2_Participantes!$A$6:$A$305,0))),"No registrado"))</f>
        <v/>
      </c>
      <c r="H184" s="84">
        <f>IF(A184="","",IFERROR(IF(INDEX(2_Participantes!$L$6:$L$305,MATCH(A184,2_Participantes!$A$6:$A$305,0))="","",INDEX(2_Participantes!$L$6:$L$305,MATCH(A184,2_Participantes!$A$6:$A$305,0))),""))</f>
        <v/>
      </c>
      <c r="I184" s="62">
        <f>IF(A184="","",IF(AND(ISNUMBER(C184),ISNUMBER(D184),G184&lt;&gt;"Excluido"),1,0))</f>
        <v/>
      </c>
      <c r="J184" s="76">
        <f>IF(A184="","",IF(G184="No registrado","Código ausente en 2_Participantes",IF(AND(ISNUMBER(D184),NOT(ISNUMBER(C184))),"Postest sin pretest (huérfano)",IF(OR(AND(ISNUMBER(C184),OR(C184&lt;Inicio!$C$18,C184&gt;Inicio!$C$19)),AND(ISNUMBER(D184),OR(D184&lt;Inicio!$C$18,D184&gt;Inicio!$C$19))),"Fuera de rango",IF(COUNTIF($A$6:$A$305,A184)&gt;1,"Código duplicado","OK")))))</f>
        <v/>
      </c>
    </row>
    <row r="185" ht="15" customHeight="1" s="42">
      <c r="A185" s="67" t="n"/>
      <c r="B185" s="61">
        <f>IF(A185="","",IFERROR(IF(INDEX(2_Participantes!$B$6:$B$305,MATCH(A185,2_Participantes!$A$6:$A$305,0))="","",INDEX(2_Participantes!$B$6:$B$305,MATCH(A185,2_Participantes!$A$6:$A$305,0))),"No registrado"))</f>
        <v/>
      </c>
      <c r="C185" s="52" t="n"/>
      <c r="D185" s="52" t="n"/>
      <c r="E185" s="63">
        <f>IF(AND(ISNUMBER(C185),ISNUMBER(D185)),D185-C185,"")</f>
        <v/>
      </c>
      <c r="F185" s="62">
        <f>IF(A185="","",IFERROR(IF(INDEX(2_Participantes!$E$6:$E$305,MATCH(A185,2_Participantes!$A$6:$A$305,0))="","",INDEX(2_Participantes!$E$6:$E$305,MATCH(A185,2_Participantes!$A$6:$A$305,0))),""))</f>
        <v/>
      </c>
      <c r="G185" s="61">
        <f>IF(A185="","",IFERROR(IF(INDEX(2_Participantes!$F$6:$F$305,MATCH(A185,2_Participantes!$A$6:$A$305,0))="","",INDEX(2_Participantes!$F$6:$F$305,MATCH(A185,2_Participantes!$A$6:$A$305,0))),"No registrado"))</f>
        <v/>
      </c>
      <c r="H185" s="84">
        <f>IF(A185="","",IFERROR(IF(INDEX(2_Participantes!$L$6:$L$305,MATCH(A185,2_Participantes!$A$6:$A$305,0))="","",INDEX(2_Participantes!$L$6:$L$305,MATCH(A185,2_Participantes!$A$6:$A$305,0))),""))</f>
        <v/>
      </c>
      <c r="I185" s="62">
        <f>IF(A185="","",IF(AND(ISNUMBER(C185),ISNUMBER(D185),G185&lt;&gt;"Excluido"),1,0))</f>
        <v/>
      </c>
      <c r="J185" s="76">
        <f>IF(A185="","",IF(G185="No registrado","Código ausente en 2_Participantes",IF(AND(ISNUMBER(D185),NOT(ISNUMBER(C185))),"Postest sin pretest (huérfano)",IF(OR(AND(ISNUMBER(C185),OR(C185&lt;Inicio!$C$18,C185&gt;Inicio!$C$19)),AND(ISNUMBER(D185),OR(D185&lt;Inicio!$C$18,D185&gt;Inicio!$C$19))),"Fuera de rango",IF(COUNTIF($A$6:$A$305,A185)&gt;1,"Código duplicado","OK")))))</f>
        <v/>
      </c>
    </row>
    <row r="186" ht="15" customHeight="1" s="42">
      <c r="A186" s="67" t="n"/>
      <c r="B186" s="61">
        <f>IF(A186="","",IFERROR(IF(INDEX(2_Participantes!$B$6:$B$305,MATCH(A186,2_Participantes!$A$6:$A$305,0))="","",INDEX(2_Participantes!$B$6:$B$305,MATCH(A186,2_Participantes!$A$6:$A$305,0))),"No registrado"))</f>
        <v/>
      </c>
      <c r="C186" s="52" t="n"/>
      <c r="D186" s="52" t="n"/>
      <c r="E186" s="63">
        <f>IF(AND(ISNUMBER(C186),ISNUMBER(D186)),D186-C186,"")</f>
        <v/>
      </c>
      <c r="F186" s="62">
        <f>IF(A186="","",IFERROR(IF(INDEX(2_Participantes!$E$6:$E$305,MATCH(A186,2_Participantes!$A$6:$A$305,0))="","",INDEX(2_Participantes!$E$6:$E$305,MATCH(A186,2_Participantes!$A$6:$A$305,0))),""))</f>
        <v/>
      </c>
      <c r="G186" s="61">
        <f>IF(A186="","",IFERROR(IF(INDEX(2_Participantes!$F$6:$F$305,MATCH(A186,2_Participantes!$A$6:$A$305,0))="","",INDEX(2_Participantes!$F$6:$F$305,MATCH(A186,2_Participantes!$A$6:$A$305,0))),"No registrado"))</f>
        <v/>
      </c>
      <c r="H186" s="84">
        <f>IF(A186="","",IFERROR(IF(INDEX(2_Participantes!$L$6:$L$305,MATCH(A186,2_Participantes!$A$6:$A$305,0))="","",INDEX(2_Participantes!$L$6:$L$305,MATCH(A186,2_Participantes!$A$6:$A$305,0))),""))</f>
        <v/>
      </c>
      <c r="I186" s="62">
        <f>IF(A186="","",IF(AND(ISNUMBER(C186),ISNUMBER(D186),G186&lt;&gt;"Excluido"),1,0))</f>
        <v/>
      </c>
      <c r="J186" s="76">
        <f>IF(A186="","",IF(G186="No registrado","Código ausente en 2_Participantes",IF(AND(ISNUMBER(D186),NOT(ISNUMBER(C186))),"Postest sin pretest (huérfano)",IF(OR(AND(ISNUMBER(C186),OR(C186&lt;Inicio!$C$18,C186&gt;Inicio!$C$19)),AND(ISNUMBER(D186),OR(D186&lt;Inicio!$C$18,D186&gt;Inicio!$C$19))),"Fuera de rango",IF(COUNTIF($A$6:$A$305,A186)&gt;1,"Código duplicado","OK")))))</f>
        <v/>
      </c>
    </row>
    <row r="187" ht="15" customHeight="1" s="42">
      <c r="A187" s="67" t="n"/>
      <c r="B187" s="61">
        <f>IF(A187="","",IFERROR(IF(INDEX(2_Participantes!$B$6:$B$305,MATCH(A187,2_Participantes!$A$6:$A$305,0))="","",INDEX(2_Participantes!$B$6:$B$305,MATCH(A187,2_Participantes!$A$6:$A$305,0))),"No registrado"))</f>
        <v/>
      </c>
      <c r="C187" s="52" t="n"/>
      <c r="D187" s="52" t="n"/>
      <c r="E187" s="63">
        <f>IF(AND(ISNUMBER(C187),ISNUMBER(D187)),D187-C187,"")</f>
        <v/>
      </c>
      <c r="F187" s="62">
        <f>IF(A187="","",IFERROR(IF(INDEX(2_Participantes!$E$6:$E$305,MATCH(A187,2_Participantes!$A$6:$A$305,0))="","",INDEX(2_Participantes!$E$6:$E$305,MATCH(A187,2_Participantes!$A$6:$A$305,0))),""))</f>
        <v/>
      </c>
      <c r="G187" s="61">
        <f>IF(A187="","",IFERROR(IF(INDEX(2_Participantes!$F$6:$F$305,MATCH(A187,2_Participantes!$A$6:$A$305,0))="","",INDEX(2_Participantes!$F$6:$F$305,MATCH(A187,2_Participantes!$A$6:$A$305,0))),"No registrado"))</f>
        <v/>
      </c>
      <c r="H187" s="84">
        <f>IF(A187="","",IFERROR(IF(INDEX(2_Participantes!$L$6:$L$305,MATCH(A187,2_Participantes!$A$6:$A$305,0))="","",INDEX(2_Participantes!$L$6:$L$305,MATCH(A187,2_Participantes!$A$6:$A$305,0))),""))</f>
        <v/>
      </c>
      <c r="I187" s="62">
        <f>IF(A187="","",IF(AND(ISNUMBER(C187),ISNUMBER(D187),G187&lt;&gt;"Excluido"),1,0))</f>
        <v/>
      </c>
      <c r="J187" s="76">
        <f>IF(A187="","",IF(G187="No registrado","Código ausente en 2_Participantes",IF(AND(ISNUMBER(D187),NOT(ISNUMBER(C187))),"Postest sin pretest (huérfano)",IF(OR(AND(ISNUMBER(C187),OR(C187&lt;Inicio!$C$18,C187&gt;Inicio!$C$19)),AND(ISNUMBER(D187),OR(D187&lt;Inicio!$C$18,D187&gt;Inicio!$C$19))),"Fuera de rango",IF(COUNTIF($A$6:$A$305,A187)&gt;1,"Código duplicado","OK")))))</f>
        <v/>
      </c>
    </row>
    <row r="188" ht="15" customHeight="1" s="42">
      <c r="A188" s="67" t="n"/>
      <c r="B188" s="61">
        <f>IF(A188="","",IFERROR(IF(INDEX(2_Participantes!$B$6:$B$305,MATCH(A188,2_Participantes!$A$6:$A$305,0))="","",INDEX(2_Participantes!$B$6:$B$305,MATCH(A188,2_Participantes!$A$6:$A$305,0))),"No registrado"))</f>
        <v/>
      </c>
      <c r="C188" s="52" t="n"/>
      <c r="D188" s="52" t="n"/>
      <c r="E188" s="63">
        <f>IF(AND(ISNUMBER(C188),ISNUMBER(D188)),D188-C188,"")</f>
        <v/>
      </c>
      <c r="F188" s="62">
        <f>IF(A188="","",IFERROR(IF(INDEX(2_Participantes!$E$6:$E$305,MATCH(A188,2_Participantes!$A$6:$A$305,0))="","",INDEX(2_Participantes!$E$6:$E$305,MATCH(A188,2_Participantes!$A$6:$A$305,0))),""))</f>
        <v/>
      </c>
      <c r="G188" s="61">
        <f>IF(A188="","",IFERROR(IF(INDEX(2_Participantes!$F$6:$F$305,MATCH(A188,2_Participantes!$A$6:$A$305,0))="","",INDEX(2_Participantes!$F$6:$F$305,MATCH(A188,2_Participantes!$A$6:$A$305,0))),"No registrado"))</f>
        <v/>
      </c>
      <c r="H188" s="84">
        <f>IF(A188="","",IFERROR(IF(INDEX(2_Participantes!$L$6:$L$305,MATCH(A188,2_Participantes!$A$6:$A$305,0))="","",INDEX(2_Participantes!$L$6:$L$305,MATCH(A188,2_Participantes!$A$6:$A$305,0))),""))</f>
        <v/>
      </c>
      <c r="I188" s="62">
        <f>IF(A188="","",IF(AND(ISNUMBER(C188),ISNUMBER(D188),G188&lt;&gt;"Excluido"),1,0))</f>
        <v/>
      </c>
      <c r="J188" s="76">
        <f>IF(A188="","",IF(G188="No registrado","Código ausente en 2_Participantes",IF(AND(ISNUMBER(D188),NOT(ISNUMBER(C188))),"Postest sin pretest (huérfano)",IF(OR(AND(ISNUMBER(C188),OR(C188&lt;Inicio!$C$18,C188&gt;Inicio!$C$19)),AND(ISNUMBER(D188),OR(D188&lt;Inicio!$C$18,D188&gt;Inicio!$C$19))),"Fuera de rango",IF(COUNTIF($A$6:$A$305,A188)&gt;1,"Código duplicado","OK")))))</f>
        <v/>
      </c>
    </row>
    <row r="189" ht="15" customHeight="1" s="42">
      <c r="A189" s="67" t="n"/>
      <c r="B189" s="61">
        <f>IF(A189="","",IFERROR(IF(INDEX(2_Participantes!$B$6:$B$305,MATCH(A189,2_Participantes!$A$6:$A$305,0))="","",INDEX(2_Participantes!$B$6:$B$305,MATCH(A189,2_Participantes!$A$6:$A$305,0))),"No registrado"))</f>
        <v/>
      </c>
      <c r="C189" s="52" t="n"/>
      <c r="D189" s="52" t="n"/>
      <c r="E189" s="63">
        <f>IF(AND(ISNUMBER(C189),ISNUMBER(D189)),D189-C189,"")</f>
        <v/>
      </c>
      <c r="F189" s="62">
        <f>IF(A189="","",IFERROR(IF(INDEX(2_Participantes!$E$6:$E$305,MATCH(A189,2_Participantes!$A$6:$A$305,0))="","",INDEX(2_Participantes!$E$6:$E$305,MATCH(A189,2_Participantes!$A$6:$A$305,0))),""))</f>
        <v/>
      </c>
      <c r="G189" s="61">
        <f>IF(A189="","",IFERROR(IF(INDEX(2_Participantes!$F$6:$F$305,MATCH(A189,2_Participantes!$A$6:$A$305,0))="","",INDEX(2_Participantes!$F$6:$F$305,MATCH(A189,2_Participantes!$A$6:$A$305,0))),"No registrado"))</f>
        <v/>
      </c>
      <c r="H189" s="84">
        <f>IF(A189="","",IFERROR(IF(INDEX(2_Participantes!$L$6:$L$305,MATCH(A189,2_Participantes!$A$6:$A$305,0))="","",INDEX(2_Participantes!$L$6:$L$305,MATCH(A189,2_Participantes!$A$6:$A$305,0))),""))</f>
        <v/>
      </c>
      <c r="I189" s="62">
        <f>IF(A189="","",IF(AND(ISNUMBER(C189),ISNUMBER(D189),G189&lt;&gt;"Excluido"),1,0))</f>
        <v/>
      </c>
      <c r="J189" s="76">
        <f>IF(A189="","",IF(G189="No registrado","Código ausente en 2_Participantes",IF(AND(ISNUMBER(D189),NOT(ISNUMBER(C189))),"Postest sin pretest (huérfano)",IF(OR(AND(ISNUMBER(C189),OR(C189&lt;Inicio!$C$18,C189&gt;Inicio!$C$19)),AND(ISNUMBER(D189),OR(D189&lt;Inicio!$C$18,D189&gt;Inicio!$C$19))),"Fuera de rango",IF(COUNTIF($A$6:$A$305,A189)&gt;1,"Código duplicado","OK")))))</f>
        <v/>
      </c>
    </row>
    <row r="190" ht="15" customHeight="1" s="42">
      <c r="A190" s="67" t="n"/>
      <c r="B190" s="61">
        <f>IF(A190="","",IFERROR(IF(INDEX(2_Participantes!$B$6:$B$305,MATCH(A190,2_Participantes!$A$6:$A$305,0))="","",INDEX(2_Participantes!$B$6:$B$305,MATCH(A190,2_Participantes!$A$6:$A$305,0))),"No registrado"))</f>
        <v/>
      </c>
      <c r="C190" s="52" t="n"/>
      <c r="D190" s="52" t="n"/>
      <c r="E190" s="63">
        <f>IF(AND(ISNUMBER(C190),ISNUMBER(D190)),D190-C190,"")</f>
        <v/>
      </c>
      <c r="F190" s="62">
        <f>IF(A190="","",IFERROR(IF(INDEX(2_Participantes!$E$6:$E$305,MATCH(A190,2_Participantes!$A$6:$A$305,0))="","",INDEX(2_Participantes!$E$6:$E$305,MATCH(A190,2_Participantes!$A$6:$A$305,0))),""))</f>
        <v/>
      </c>
      <c r="G190" s="61">
        <f>IF(A190="","",IFERROR(IF(INDEX(2_Participantes!$F$6:$F$305,MATCH(A190,2_Participantes!$A$6:$A$305,0))="","",INDEX(2_Participantes!$F$6:$F$305,MATCH(A190,2_Participantes!$A$6:$A$305,0))),"No registrado"))</f>
        <v/>
      </c>
      <c r="H190" s="84">
        <f>IF(A190="","",IFERROR(IF(INDEX(2_Participantes!$L$6:$L$305,MATCH(A190,2_Participantes!$A$6:$A$305,0))="","",INDEX(2_Participantes!$L$6:$L$305,MATCH(A190,2_Participantes!$A$6:$A$305,0))),""))</f>
        <v/>
      </c>
      <c r="I190" s="62">
        <f>IF(A190="","",IF(AND(ISNUMBER(C190),ISNUMBER(D190),G190&lt;&gt;"Excluido"),1,0))</f>
        <v/>
      </c>
      <c r="J190" s="76">
        <f>IF(A190="","",IF(G190="No registrado","Código ausente en 2_Participantes",IF(AND(ISNUMBER(D190),NOT(ISNUMBER(C190))),"Postest sin pretest (huérfano)",IF(OR(AND(ISNUMBER(C190),OR(C190&lt;Inicio!$C$18,C190&gt;Inicio!$C$19)),AND(ISNUMBER(D190),OR(D190&lt;Inicio!$C$18,D190&gt;Inicio!$C$19))),"Fuera de rango",IF(COUNTIF($A$6:$A$305,A190)&gt;1,"Código duplicado","OK")))))</f>
        <v/>
      </c>
    </row>
    <row r="191" ht="15" customHeight="1" s="42">
      <c r="A191" s="67" t="n"/>
      <c r="B191" s="61">
        <f>IF(A191="","",IFERROR(IF(INDEX(2_Participantes!$B$6:$B$305,MATCH(A191,2_Participantes!$A$6:$A$305,0))="","",INDEX(2_Participantes!$B$6:$B$305,MATCH(A191,2_Participantes!$A$6:$A$305,0))),"No registrado"))</f>
        <v/>
      </c>
      <c r="C191" s="52" t="n"/>
      <c r="D191" s="52" t="n"/>
      <c r="E191" s="63">
        <f>IF(AND(ISNUMBER(C191),ISNUMBER(D191)),D191-C191,"")</f>
        <v/>
      </c>
      <c r="F191" s="62">
        <f>IF(A191="","",IFERROR(IF(INDEX(2_Participantes!$E$6:$E$305,MATCH(A191,2_Participantes!$A$6:$A$305,0))="","",INDEX(2_Participantes!$E$6:$E$305,MATCH(A191,2_Participantes!$A$6:$A$305,0))),""))</f>
        <v/>
      </c>
      <c r="G191" s="61">
        <f>IF(A191="","",IFERROR(IF(INDEX(2_Participantes!$F$6:$F$305,MATCH(A191,2_Participantes!$A$6:$A$305,0))="","",INDEX(2_Participantes!$F$6:$F$305,MATCH(A191,2_Participantes!$A$6:$A$305,0))),"No registrado"))</f>
        <v/>
      </c>
      <c r="H191" s="84">
        <f>IF(A191="","",IFERROR(IF(INDEX(2_Participantes!$L$6:$L$305,MATCH(A191,2_Participantes!$A$6:$A$305,0))="","",INDEX(2_Participantes!$L$6:$L$305,MATCH(A191,2_Participantes!$A$6:$A$305,0))),""))</f>
        <v/>
      </c>
      <c r="I191" s="62">
        <f>IF(A191="","",IF(AND(ISNUMBER(C191),ISNUMBER(D191),G191&lt;&gt;"Excluido"),1,0))</f>
        <v/>
      </c>
      <c r="J191" s="76">
        <f>IF(A191="","",IF(G191="No registrado","Código ausente en 2_Participantes",IF(AND(ISNUMBER(D191),NOT(ISNUMBER(C191))),"Postest sin pretest (huérfano)",IF(OR(AND(ISNUMBER(C191),OR(C191&lt;Inicio!$C$18,C191&gt;Inicio!$C$19)),AND(ISNUMBER(D191),OR(D191&lt;Inicio!$C$18,D191&gt;Inicio!$C$19))),"Fuera de rango",IF(COUNTIF($A$6:$A$305,A191)&gt;1,"Código duplicado","OK")))))</f>
        <v/>
      </c>
    </row>
    <row r="192" ht="15" customHeight="1" s="42">
      <c r="A192" s="67" t="n"/>
      <c r="B192" s="61">
        <f>IF(A192="","",IFERROR(IF(INDEX(2_Participantes!$B$6:$B$305,MATCH(A192,2_Participantes!$A$6:$A$305,0))="","",INDEX(2_Participantes!$B$6:$B$305,MATCH(A192,2_Participantes!$A$6:$A$305,0))),"No registrado"))</f>
        <v/>
      </c>
      <c r="C192" s="52" t="n"/>
      <c r="D192" s="52" t="n"/>
      <c r="E192" s="63">
        <f>IF(AND(ISNUMBER(C192),ISNUMBER(D192)),D192-C192,"")</f>
        <v/>
      </c>
      <c r="F192" s="62">
        <f>IF(A192="","",IFERROR(IF(INDEX(2_Participantes!$E$6:$E$305,MATCH(A192,2_Participantes!$A$6:$A$305,0))="","",INDEX(2_Participantes!$E$6:$E$305,MATCH(A192,2_Participantes!$A$6:$A$305,0))),""))</f>
        <v/>
      </c>
      <c r="G192" s="61">
        <f>IF(A192="","",IFERROR(IF(INDEX(2_Participantes!$F$6:$F$305,MATCH(A192,2_Participantes!$A$6:$A$305,0))="","",INDEX(2_Participantes!$F$6:$F$305,MATCH(A192,2_Participantes!$A$6:$A$305,0))),"No registrado"))</f>
        <v/>
      </c>
      <c r="H192" s="84">
        <f>IF(A192="","",IFERROR(IF(INDEX(2_Participantes!$L$6:$L$305,MATCH(A192,2_Participantes!$A$6:$A$305,0))="","",INDEX(2_Participantes!$L$6:$L$305,MATCH(A192,2_Participantes!$A$6:$A$305,0))),""))</f>
        <v/>
      </c>
      <c r="I192" s="62">
        <f>IF(A192="","",IF(AND(ISNUMBER(C192),ISNUMBER(D192),G192&lt;&gt;"Excluido"),1,0))</f>
        <v/>
      </c>
      <c r="J192" s="76">
        <f>IF(A192="","",IF(G192="No registrado","Código ausente en 2_Participantes",IF(AND(ISNUMBER(D192),NOT(ISNUMBER(C192))),"Postest sin pretest (huérfano)",IF(OR(AND(ISNUMBER(C192),OR(C192&lt;Inicio!$C$18,C192&gt;Inicio!$C$19)),AND(ISNUMBER(D192),OR(D192&lt;Inicio!$C$18,D192&gt;Inicio!$C$19))),"Fuera de rango",IF(COUNTIF($A$6:$A$305,A192)&gt;1,"Código duplicado","OK")))))</f>
        <v/>
      </c>
    </row>
    <row r="193" ht="15" customHeight="1" s="42">
      <c r="A193" s="67" t="n"/>
      <c r="B193" s="61">
        <f>IF(A193="","",IFERROR(IF(INDEX(2_Participantes!$B$6:$B$305,MATCH(A193,2_Participantes!$A$6:$A$305,0))="","",INDEX(2_Participantes!$B$6:$B$305,MATCH(A193,2_Participantes!$A$6:$A$305,0))),"No registrado"))</f>
        <v/>
      </c>
      <c r="C193" s="52" t="n"/>
      <c r="D193" s="52" t="n"/>
      <c r="E193" s="63">
        <f>IF(AND(ISNUMBER(C193),ISNUMBER(D193)),D193-C193,"")</f>
        <v/>
      </c>
      <c r="F193" s="62">
        <f>IF(A193="","",IFERROR(IF(INDEX(2_Participantes!$E$6:$E$305,MATCH(A193,2_Participantes!$A$6:$A$305,0))="","",INDEX(2_Participantes!$E$6:$E$305,MATCH(A193,2_Participantes!$A$6:$A$305,0))),""))</f>
        <v/>
      </c>
      <c r="G193" s="61">
        <f>IF(A193="","",IFERROR(IF(INDEX(2_Participantes!$F$6:$F$305,MATCH(A193,2_Participantes!$A$6:$A$305,0))="","",INDEX(2_Participantes!$F$6:$F$305,MATCH(A193,2_Participantes!$A$6:$A$305,0))),"No registrado"))</f>
        <v/>
      </c>
      <c r="H193" s="84">
        <f>IF(A193="","",IFERROR(IF(INDEX(2_Participantes!$L$6:$L$305,MATCH(A193,2_Participantes!$A$6:$A$305,0))="","",INDEX(2_Participantes!$L$6:$L$305,MATCH(A193,2_Participantes!$A$6:$A$305,0))),""))</f>
        <v/>
      </c>
      <c r="I193" s="62">
        <f>IF(A193="","",IF(AND(ISNUMBER(C193),ISNUMBER(D193),G193&lt;&gt;"Excluido"),1,0))</f>
        <v/>
      </c>
      <c r="J193" s="76">
        <f>IF(A193="","",IF(G193="No registrado","Código ausente en 2_Participantes",IF(AND(ISNUMBER(D193),NOT(ISNUMBER(C193))),"Postest sin pretest (huérfano)",IF(OR(AND(ISNUMBER(C193),OR(C193&lt;Inicio!$C$18,C193&gt;Inicio!$C$19)),AND(ISNUMBER(D193),OR(D193&lt;Inicio!$C$18,D193&gt;Inicio!$C$19))),"Fuera de rango",IF(COUNTIF($A$6:$A$305,A193)&gt;1,"Código duplicado","OK")))))</f>
        <v/>
      </c>
    </row>
    <row r="194" ht="15" customHeight="1" s="42">
      <c r="A194" s="67" t="n"/>
      <c r="B194" s="61">
        <f>IF(A194="","",IFERROR(IF(INDEX(2_Participantes!$B$6:$B$305,MATCH(A194,2_Participantes!$A$6:$A$305,0))="","",INDEX(2_Participantes!$B$6:$B$305,MATCH(A194,2_Participantes!$A$6:$A$305,0))),"No registrado"))</f>
        <v/>
      </c>
      <c r="C194" s="52" t="n"/>
      <c r="D194" s="52" t="n"/>
      <c r="E194" s="63">
        <f>IF(AND(ISNUMBER(C194),ISNUMBER(D194)),D194-C194,"")</f>
        <v/>
      </c>
      <c r="F194" s="62">
        <f>IF(A194="","",IFERROR(IF(INDEX(2_Participantes!$E$6:$E$305,MATCH(A194,2_Participantes!$A$6:$A$305,0))="","",INDEX(2_Participantes!$E$6:$E$305,MATCH(A194,2_Participantes!$A$6:$A$305,0))),""))</f>
        <v/>
      </c>
      <c r="G194" s="61">
        <f>IF(A194="","",IFERROR(IF(INDEX(2_Participantes!$F$6:$F$305,MATCH(A194,2_Participantes!$A$6:$A$305,0))="","",INDEX(2_Participantes!$F$6:$F$305,MATCH(A194,2_Participantes!$A$6:$A$305,0))),"No registrado"))</f>
        <v/>
      </c>
      <c r="H194" s="84">
        <f>IF(A194="","",IFERROR(IF(INDEX(2_Participantes!$L$6:$L$305,MATCH(A194,2_Participantes!$A$6:$A$305,0))="","",INDEX(2_Participantes!$L$6:$L$305,MATCH(A194,2_Participantes!$A$6:$A$305,0))),""))</f>
        <v/>
      </c>
      <c r="I194" s="62">
        <f>IF(A194="","",IF(AND(ISNUMBER(C194),ISNUMBER(D194),G194&lt;&gt;"Excluido"),1,0))</f>
        <v/>
      </c>
      <c r="J194" s="76">
        <f>IF(A194="","",IF(G194="No registrado","Código ausente en 2_Participantes",IF(AND(ISNUMBER(D194),NOT(ISNUMBER(C194))),"Postest sin pretest (huérfano)",IF(OR(AND(ISNUMBER(C194),OR(C194&lt;Inicio!$C$18,C194&gt;Inicio!$C$19)),AND(ISNUMBER(D194),OR(D194&lt;Inicio!$C$18,D194&gt;Inicio!$C$19))),"Fuera de rango",IF(COUNTIF($A$6:$A$305,A194)&gt;1,"Código duplicado","OK")))))</f>
        <v/>
      </c>
    </row>
    <row r="195" ht="15" customHeight="1" s="42">
      <c r="A195" s="67" t="n"/>
      <c r="B195" s="61">
        <f>IF(A195="","",IFERROR(IF(INDEX(2_Participantes!$B$6:$B$305,MATCH(A195,2_Participantes!$A$6:$A$305,0))="","",INDEX(2_Participantes!$B$6:$B$305,MATCH(A195,2_Participantes!$A$6:$A$305,0))),"No registrado"))</f>
        <v/>
      </c>
      <c r="C195" s="52" t="n"/>
      <c r="D195" s="52" t="n"/>
      <c r="E195" s="63">
        <f>IF(AND(ISNUMBER(C195),ISNUMBER(D195)),D195-C195,"")</f>
        <v/>
      </c>
      <c r="F195" s="62">
        <f>IF(A195="","",IFERROR(IF(INDEX(2_Participantes!$E$6:$E$305,MATCH(A195,2_Participantes!$A$6:$A$305,0))="","",INDEX(2_Participantes!$E$6:$E$305,MATCH(A195,2_Participantes!$A$6:$A$305,0))),""))</f>
        <v/>
      </c>
      <c r="G195" s="61">
        <f>IF(A195="","",IFERROR(IF(INDEX(2_Participantes!$F$6:$F$305,MATCH(A195,2_Participantes!$A$6:$A$305,0))="","",INDEX(2_Participantes!$F$6:$F$305,MATCH(A195,2_Participantes!$A$6:$A$305,0))),"No registrado"))</f>
        <v/>
      </c>
      <c r="H195" s="84">
        <f>IF(A195="","",IFERROR(IF(INDEX(2_Participantes!$L$6:$L$305,MATCH(A195,2_Participantes!$A$6:$A$305,0))="","",INDEX(2_Participantes!$L$6:$L$305,MATCH(A195,2_Participantes!$A$6:$A$305,0))),""))</f>
        <v/>
      </c>
      <c r="I195" s="62">
        <f>IF(A195="","",IF(AND(ISNUMBER(C195),ISNUMBER(D195),G195&lt;&gt;"Excluido"),1,0))</f>
        <v/>
      </c>
      <c r="J195" s="76">
        <f>IF(A195="","",IF(G195="No registrado","Código ausente en 2_Participantes",IF(AND(ISNUMBER(D195),NOT(ISNUMBER(C195))),"Postest sin pretest (huérfano)",IF(OR(AND(ISNUMBER(C195),OR(C195&lt;Inicio!$C$18,C195&gt;Inicio!$C$19)),AND(ISNUMBER(D195),OR(D195&lt;Inicio!$C$18,D195&gt;Inicio!$C$19))),"Fuera de rango",IF(COUNTIF($A$6:$A$305,A195)&gt;1,"Código duplicado","OK")))))</f>
        <v/>
      </c>
    </row>
    <row r="196" ht="15" customHeight="1" s="42">
      <c r="A196" s="67" t="n"/>
      <c r="B196" s="61">
        <f>IF(A196="","",IFERROR(IF(INDEX(2_Participantes!$B$6:$B$305,MATCH(A196,2_Participantes!$A$6:$A$305,0))="","",INDEX(2_Participantes!$B$6:$B$305,MATCH(A196,2_Participantes!$A$6:$A$305,0))),"No registrado"))</f>
        <v/>
      </c>
      <c r="C196" s="52" t="n"/>
      <c r="D196" s="52" t="n"/>
      <c r="E196" s="63">
        <f>IF(AND(ISNUMBER(C196),ISNUMBER(D196)),D196-C196,"")</f>
        <v/>
      </c>
      <c r="F196" s="62">
        <f>IF(A196="","",IFERROR(IF(INDEX(2_Participantes!$E$6:$E$305,MATCH(A196,2_Participantes!$A$6:$A$305,0))="","",INDEX(2_Participantes!$E$6:$E$305,MATCH(A196,2_Participantes!$A$6:$A$305,0))),""))</f>
        <v/>
      </c>
      <c r="G196" s="61">
        <f>IF(A196="","",IFERROR(IF(INDEX(2_Participantes!$F$6:$F$305,MATCH(A196,2_Participantes!$A$6:$A$305,0))="","",INDEX(2_Participantes!$F$6:$F$305,MATCH(A196,2_Participantes!$A$6:$A$305,0))),"No registrado"))</f>
        <v/>
      </c>
      <c r="H196" s="84">
        <f>IF(A196="","",IFERROR(IF(INDEX(2_Participantes!$L$6:$L$305,MATCH(A196,2_Participantes!$A$6:$A$305,0))="","",INDEX(2_Participantes!$L$6:$L$305,MATCH(A196,2_Participantes!$A$6:$A$305,0))),""))</f>
        <v/>
      </c>
      <c r="I196" s="62">
        <f>IF(A196="","",IF(AND(ISNUMBER(C196),ISNUMBER(D196),G196&lt;&gt;"Excluido"),1,0))</f>
        <v/>
      </c>
      <c r="J196" s="76">
        <f>IF(A196="","",IF(G196="No registrado","Código ausente en 2_Participantes",IF(AND(ISNUMBER(D196),NOT(ISNUMBER(C196))),"Postest sin pretest (huérfano)",IF(OR(AND(ISNUMBER(C196),OR(C196&lt;Inicio!$C$18,C196&gt;Inicio!$C$19)),AND(ISNUMBER(D196),OR(D196&lt;Inicio!$C$18,D196&gt;Inicio!$C$19))),"Fuera de rango",IF(COUNTIF($A$6:$A$305,A196)&gt;1,"Código duplicado","OK")))))</f>
        <v/>
      </c>
    </row>
    <row r="197" ht="15" customHeight="1" s="42">
      <c r="A197" s="67" t="n"/>
      <c r="B197" s="61">
        <f>IF(A197="","",IFERROR(IF(INDEX(2_Participantes!$B$6:$B$305,MATCH(A197,2_Participantes!$A$6:$A$305,0))="","",INDEX(2_Participantes!$B$6:$B$305,MATCH(A197,2_Participantes!$A$6:$A$305,0))),"No registrado"))</f>
        <v/>
      </c>
      <c r="C197" s="52" t="n"/>
      <c r="D197" s="52" t="n"/>
      <c r="E197" s="63">
        <f>IF(AND(ISNUMBER(C197),ISNUMBER(D197)),D197-C197,"")</f>
        <v/>
      </c>
      <c r="F197" s="62">
        <f>IF(A197="","",IFERROR(IF(INDEX(2_Participantes!$E$6:$E$305,MATCH(A197,2_Participantes!$A$6:$A$305,0))="","",INDEX(2_Participantes!$E$6:$E$305,MATCH(A197,2_Participantes!$A$6:$A$305,0))),""))</f>
        <v/>
      </c>
      <c r="G197" s="61">
        <f>IF(A197="","",IFERROR(IF(INDEX(2_Participantes!$F$6:$F$305,MATCH(A197,2_Participantes!$A$6:$A$305,0))="","",INDEX(2_Participantes!$F$6:$F$305,MATCH(A197,2_Participantes!$A$6:$A$305,0))),"No registrado"))</f>
        <v/>
      </c>
      <c r="H197" s="84">
        <f>IF(A197="","",IFERROR(IF(INDEX(2_Participantes!$L$6:$L$305,MATCH(A197,2_Participantes!$A$6:$A$305,0))="","",INDEX(2_Participantes!$L$6:$L$305,MATCH(A197,2_Participantes!$A$6:$A$305,0))),""))</f>
        <v/>
      </c>
      <c r="I197" s="62">
        <f>IF(A197="","",IF(AND(ISNUMBER(C197),ISNUMBER(D197),G197&lt;&gt;"Excluido"),1,0))</f>
        <v/>
      </c>
      <c r="J197" s="76">
        <f>IF(A197="","",IF(G197="No registrado","Código ausente en 2_Participantes",IF(AND(ISNUMBER(D197),NOT(ISNUMBER(C197))),"Postest sin pretest (huérfano)",IF(OR(AND(ISNUMBER(C197),OR(C197&lt;Inicio!$C$18,C197&gt;Inicio!$C$19)),AND(ISNUMBER(D197),OR(D197&lt;Inicio!$C$18,D197&gt;Inicio!$C$19))),"Fuera de rango",IF(COUNTIF($A$6:$A$305,A197)&gt;1,"Código duplicado","OK")))))</f>
        <v/>
      </c>
    </row>
    <row r="198" ht="15" customHeight="1" s="42">
      <c r="A198" s="67" t="n"/>
      <c r="B198" s="61">
        <f>IF(A198="","",IFERROR(IF(INDEX(2_Participantes!$B$6:$B$305,MATCH(A198,2_Participantes!$A$6:$A$305,0))="","",INDEX(2_Participantes!$B$6:$B$305,MATCH(A198,2_Participantes!$A$6:$A$305,0))),"No registrado"))</f>
        <v/>
      </c>
      <c r="C198" s="52" t="n"/>
      <c r="D198" s="52" t="n"/>
      <c r="E198" s="63">
        <f>IF(AND(ISNUMBER(C198),ISNUMBER(D198)),D198-C198,"")</f>
        <v/>
      </c>
      <c r="F198" s="62">
        <f>IF(A198="","",IFERROR(IF(INDEX(2_Participantes!$E$6:$E$305,MATCH(A198,2_Participantes!$A$6:$A$305,0))="","",INDEX(2_Participantes!$E$6:$E$305,MATCH(A198,2_Participantes!$A$6:$A$305,0))),""))</f>
        <v/>
      </c>
      <c r="G198" s="61">
        <f>IF(A198="","",IFERROR(IF(INDEX(2_Participantes!$F$6:$F$305,MATCH(A198,2_Participantes!$A$6:$A$305,0))="","",INDEX(2_Participantes!$F$6:$F$305,MATCH(A198,2_Participantes!$A$6:$A$305,0))),"No registrado"))</f>
        <v/>
      </c>
      <c r="H198" s="84">
        <f>IF(A198="","",IFERROR(IF(INDEX(2_Participantes!$L$6:$L$305,MATCH(A198,2_Participantes!$A$6:$A$305,0))="","",INDEX(2_Participantes!$L$6:$L$305,MATCH(A198,2_Participantes!$A$6:$A$305,0))),""))</f>
        <v/>
      </c>
      <c r="I198" s="62">
        <f>IF(A198="","",IF(AND(ISNUMBER(C198),ISNUMBER(D198),G198&lt;&gt;"Excluido"),1,0))</f>
        <v/>
      </c>
      <c r="J198" s="76">
        <f>IF(A198="","",IF(G198="No registrado","Código ausente en 2_Participantes",IF(AND(ISNUMBER(D198),NOT(ISNUMBER(C198))),"Postest sin pretest (huérfano)",IF(OR(AND(ISNUMBER(C198),OR(C198&lt;Inicio!$C$18,C198&gt;Inicio!$C$19)),AND(ISNUMBER(D198),OR(D198&lt;Inicio!$C$18,D198&gt;Inicio!$C$19))),"Fuera de rango",IF(COUNTIF($A$6:$A$305,A198)&gt;1,"Código duplicado","OK")))))</f>
        <v/>
      </c>
    </row>
    <row r="199" ht="15" customHeight="1" s="42">
      <c r="A199" s="67" t="n"/>
      <c r="B199" s="61">
        <f>IF(A199="","",IFERROR(IF(INDEX(2_Participantes!$B$6:$B$305,MATCH(A199,2_Participantes!$A$6:$A$305,0))="","",INDEX(2_Participantes!$B$6:$B$305,MATCH(A199,2_Participantes!$A$6:$A$305,0))),"No registrado"))</f>
        <v/>
      </c>
      <c r="C199" s="52" t="n"/>
      <c r="D199" s="52" t="n"/>
      <c r="E199" s="63">
        <f>IF(AND(ISNUMBER(C199),ISNUMBER(D199)),D199-C199,"")</f>
        <v/>
      </c>
      <c r="F199" s="62">
        <f>IF(A199="","",IFERROR(IF(INDEX(2_Participantes!$E$6:$E$305,MATCH(A199,2_Participantes!$A$6:$A$305,0))="","",INDEX(2_Participantes!$E$6:$E$305,MATCH(A199,2_Participantes!$A$6:$A$305,0))),""))</f>
        <v/>
      </c>
      <c r="G199" s="61">
        <f>IF(A199="","",IFERROR(IF(INDEX(2_Participantes!$F$6:$F$305,MATCH(A199,2_Participantes!$A$6:$A$305,0))="","",INDEX(2_Participantes!$F$6:$F$305,MATCH(A199,2_Participantes!$A$6:$A$305,0))),"No registrado"))</f>
        <v/>
      </c>
      <c r="H199" s="84">
        <f>IF(A199="","",IFERROR(IF(INDEX(2_Participantes!$L$6:$L$305,MATCH(A199,2_Participantes!$A$6:$A$305,0))="","",INDEX(2_Participantes!$L$6:$L$305,MATCH(A199,2_Participantes!$A$6:$A$305,0))),""))</f>
        <v/>
      </c>
      <c r="I199" s="62">
        <f>IF(A199="","",IF(AND(ISNUMBER(C199),ISNUMBER(D199),G199&lt;&gt;"Excluido"),1,0))</f>
        <v/>
      </c>
      <c r="J199" s="76">
        <f>IF(A199="","",IF(G199="No registrado","Código ausente en 2_Participantes",IF(AND(ISNUMBER(D199),NOT(ISNUMBER(C199))),"Postest sin pretest (huérfano)",IF(OR(AND(ISNUMBER(C199),OR(C199&lt;Inicio!$C$18,C199&gt;Inicio!$C$19)),AND(ISNUMBER(D199),OR(D199&lt;Inicio!$C$18,D199&gt;Inicio!$C$19))),"Fuera de rango",IF(COUNTIF($A$6:$A$305,A199)&gt;1,"Código duplicado","OK")))))</f>
        <v/>
      </c>
    </row>
    <row r="200" ht="15" customHeight="1" s="42">
      <c r="A200" s="67" t="n"/>
      <c r="B200" s="61">
        <f>IF(A200="","",IFERROR(IF(INDEX(2_Participantes!$B$6:$B$305,MATCH(A200,2_Participantes!$A$6:$A$305,0))="","",INDEX(2_Participantes!$B$6:$B$305,MATCH(A200,2_Participantes!$A$6:$A$305,0))),"No registrado"))</f>
        <v/>
      </c>
      <c r="C200" s="52" t="n"/>
      <c r="D200" s="52" t="n"/>
      <c r="E200" s="63">
        <f>IF(AND(ISNUMBER(C200),ISNUMBER(D200)),D200-C200,"")</f>
        <v/>
      </c>
      <c r="F200" s="62">
        <f>IF(A200="","",IFERROR(IF(INDEX(2_Participantes!$E$6:$E$305,MATCH(A200,2_Participantes!$A$6:$A$305,0))="","",INDEX(2_Participantes!$E$6:$E$305,MATCH(A200,2_Participantes!$A$6:$A$305,0))),""))</f>
        <v/>
      </c>
      <c r="G200" s="61">
        <f>IF(A200="","",IFERROR(IF(INDEX(2_Participantes!$F$6:$F$305,MATCH(A200,2_Participantes!$A$6:$A$305,0))="","",INDEX(2_Participantes!$F$6:$F$305,MATCH(A200,2_Participantes!$A$6:$A$305,0))),"No registrado"))</f>
        <v/>
      </c>
      <c r="H200" s="84">
        <f>IF(A200="","",IFERROR(IF(INDEX(2_Participantes!$L$6:$L$305,MATCH(A200,2_Participantes!$A$6:$A$305,0))="","",INDEX(2_Participantes!$L$6:$L$305,MATCH(A200,2_Participantes!$A$6:$A$305,0))),""))</f>
        <v/>
      </c>
      <c r="I200" s="62">
        <f>IF(A200="","",IF(AND(ISNUMBER(C200),ISNUMBER(D200),G200&lt;&gt;"Excluido"),1,0))</f>
        <v/>
      </c>
      <c r="J200" s="76">
        <f>IF(A200="","",IF(G200="No registrado","Código ausente en 2_Participantes",IF(AND(ISNUMBER(D200),NOT(ISNUMBER(C200))),"Postest sin pretest (huérfano)",IF(OR(AND(ISNUMBER(C200),OR(C200&lt;Inicio!$C$18,C200&gt;Inicio!$C$19)),AND(ISNUMBER(D200),OR(D200&lt;Inicio!$C$18,D200&gt;Inicio!$C$19))),"Fuera de rango",IF(COUNTIF($A$6:$A$305,A200)&gt;1,"Código duplicado","OK")))))</f>
        <v/>
      </c>
    </row>
    <row r="201" ht="15" customHeight="1" s="42">
      <c r="A201" s="67" t="n"/>
      <c r="B201" s="61">
        <f>IF(A201="","",IFERROR(IF(INDEX(2_Participantes!$B$6:$B$305,MATCH(A201,2_Participantes!$A$6:$A$305,0))="","",INDEX(2_Participantes!$B$6:$B$305,MATCH(A201,2_Participantes!$A$6:$A$305,0))),"No registrado"))</f>
        <v/>
      </c>
      <c r="C201" s="52" t="n"/>
      <c r="D201" s="52" t="n"/>
      <c r="E201" s="63">
        <f>IF(AND(ISNUMBER(C201),ISNUMBER(D201)),D201-C201,"")</f>
        <v/>
      </c>
      <c r="F201" s="62">
        <f>IF(A201="","",IFERROR(IF(INDEX(2_Participantes!$E$6:$E$305,MATCH(A201,2_Participantes!$A$6:$A$305,0))="","",INDEX(2_Participantes!$E$6:$E$305,MATCH(A201,2_Participantes!$A$6:$A$305,0))),""))</f>
        <v/>
      </c>
      <c r="G201" s="61">
        <f>IF(A201="","",IFERROR(IF(INDEX(2_Participantes!$F$6:$F$305,MATCH(A201,2_Participantes!$A$6:$A$305,0))="","",INDEX(2_Participantes!$F$6:$F$305,MATCH(A201,2_Participantes!$A$6:$A$305,0))),"No registrado"))</f>
        <v/>
      </c>
      <c r="H201" s="84">
        <f>IF(A201="","",IFERROR(IF(INDEX(2_Participantes!$L$6:$L$305,MATCH(A201,2_Participantes!$A$6:$A$305,0))="","",INDEX(2_Participantes!$L$6:$L$305,MATCH(A201,2_Participantes!$A$6:$A$305,0))),""))</f>
        <v/>
      </c>
      <c r="I201" s="62">
        <f>IF(A201="","",IF(AND(ISNUMBER(C201),ISNUMBER(D201),G201&lt;&gt;"Excluido"),1,0))</f>
        <v/>
      </c>
      <c r="J201" s="76">
        <f>IF(A201="","",IF(G201="No registrado","Código ausente en 2_Participantes",IF(AND(ISNUMBER(D201),NOT(ISNUMBER(C201))),"Postest sin pretest (huérfano)",IF(OR(AND(ISNUMBER(C201),OR(C201&lt;Inicio!$C$18,C201&gt;Inicio!$C$19)),AND(ISNUMBER(D201),OR(D201&lt;Inicio!$C$18,D201&gt;Inicio!$C$19))),"Fuera de rango",IF(COUNTIF($A$6:$A$305,A201)&gt;1,"Código duplicado","OK")))))</f>
        <v/>
      </c>
    </row>
    <row r="202" ht="15" customHeight="1" s="42">
      <c r="A202" s="67" t="n"/>
      <c r="B202" s="61">
        <f>IF(A202="","",IFERROR(IF(INDEX(2_Participantes!$B$6:$B$305,MATCH(A202,2_Participantes!$A$6:$A$305,0))="","",INDEX(2_Participantes!$B$6:$B$305,MATCH(A202,2_Participantes!$A$6:$A$305,0))),"No registrado"))</f>
        <v/>
      </c>
      <c r="C202" s="52" t="n"/>
      <c r="D202" s="52" t="n"/>
      <c r="E202" s="63">
        <f>IF(AND(ISNUMBER(C202),ISNUMBER(D202)),D202-C202,"")</f>
        <v/>
      </c>
      <c r="F202" s="62">
        <f>IF(A202="","",IFERROR(IF(INDEX(2_Participantes!$E$6:$E$305,MATCH(A202,2_Participantes!$A$6:$A$305,0))="","",INDEX(2_Participantes!$E$6:$E$305,MATCH(A202,2_Participantes!$A$6:$A$305,0))),""))</f>
        <v/>
      </c>
      <c r="G202" s="61">
        <f>IF(A202="","",IFERROR(IF(INDEX(2_Participantes!$F$6:$F$305,MATCH(A202,2_Participantes!$A$6:$A$305,0))="","",INDEX(2_Participantes!$F$6:$F$305,MATCH(A202,2_Participantes!$A$6:$A$305,0))),"No registrado"))</f>
        <v/>
      </c>
      <c r="H202" s="84">
        <f>IF(A202="","",IFERROR(IF(INDEX(2_Participantes!$L$6:$L$305,MATCH(A202,2_Participantes!$A$6:$A$305,0))="","",INDEX(2_Participantes!$L$6:$L$305,MATCH(A202,2_Participantes!$A$6:$A$305,0))),""))</f>
        <v/>
      </c>
      <c r="I202" s="62">
        <f>IF(A202="","",IF(AND(ISNUMBER(C202),ISNUMBER(D202),G202&lt;&gt;"Excluido"),1,0))</f>
        <v/>
      </c>
      <c r="J202" s="76">
        <f>IF(A202="","",IF(G202="No registrado","Código ausente en 2_Participantes",IF(AND(ISNUMBER(D202),NOT(ISNUMBER(C202))),"Postest sin pretest (huérfano)",IF(OR(AND(ISNUMBER(C202),OR(C202&lt;Inicio!$C$18,C202&gt;Inicio!$C$19)),AND(ISNUMBER(D202),OR(D202&lt;Inicio!$C$18,D202&gt;Inicio!$C$19))),"Fuera de rango",IF(COUNTIF($A$6:$A$305,A202)&gt;1,"Código duplicado","OK")))))</f>
        <v/>
      </c>
    </row>
    <row r="203" ht="15" customHeight="1" s="42">
      <c r="A203" s="67" t="n"/>
      <c r="B203" s="61">
        <f>IF(A203="","",IFERROR(IF(INDEX(2_Participantes!$B$6:$B$305,MATCH(A203,2_Participantes!$A$6:$A$305,0))="","",INDEX(2_Participantes!$B$6:$B$305,MATCH(A203,2_Participantes!$A$6:$A$305,0))),"No registrado"))</f>
        <v/>
      </c>
      <c r="C203" s="52" t="n"/>
      <c r="D203" s="52" t="n"/>
      <c r="E203" s="63">
        <f>IF(AND(ISNUMBER(C203),ISNUMBER(D203)),D203-C203,"")</f>
        <v/>
      </c>
      <c r="F203" s="62">
        <f>IF(A203="","",IFERROR(IF(INDEX(2_Participantes!$E$6:$E$305,MATCH(A203,2_Participantes!$A$6:$A$305,0))="","",INDEX(2_Participantes!$E$6:$E$305,MATCH(A203,2_Participantes!$A$6:$A$305,0))),""))</f>
        <v/>
      </c>
      <c r="G203" s="61">
        <f>IF(A203="","",IFERROR(IF(INDEX(2_Participantes!$F$6:$F$305,MATCH(A203,2_Participantes!$A$6:$A$305,0))="","",INDEX(2_Participantes!$F$6:$F$305,MATCH(A203,2_Participantes!$A$6:$A$305,0))),"No registrado"))</f>
        <v/>
      </c>
      <c r="H203" s="84">
        <f>IF(A203="","",IFERROR(IF(INDEX(2_Participantes!$L$6:$L$305,MATCH(A203,2_Participantes!$A$6:$A$305,0))="","",INDEX(2_Participantes!$L$6:$L$305,MATCH(A203,2_Participantes!$A$6:$A$305,0))),""))</f>
        <v/>
      </c>
      <c r="I203" s="62">
        <f>IF(A203="","",IF(AND(ISNUMBER(C203),ISNUMBER(D203),G203&lt;&gt;"Excluido"),1,0))</f>
        <v/>
      </c>
      <c r="J203" s="76">
        <f>IF(A203="","",IF(G203="No registrado","Código ausente en 2_Participantes",IF(AND(ISNUMBER(D203),NOT(ISNUMBER(C203))),"Postest sin pretest (huérfano)",IF(OR(AND(ISNUMBER(C203),OR(C203&lt;Inicio!$C$18,C203&gt;Inicio!$C$19)),AND(ISNUMBER(D203),OR(D203&lt;Inicio!$C$18,D203&gt;Inicio!$C$19))),"Fuera de rango",IF(COUNTIF($A$6:$A$305,A203)&gt;1,"Código duplicado","OK")))))</f>
        <v/>
      </c>
    </row>
    <row r="204" ht="15" customHeight="1" s="42">
      <c r="A204" s="67" t="n"/>
      <c r="B204" s="61">
        <f>IF(A204="","",IFERROR(IF(INDEX(2_Participantes!$B$6:$B$305,MATCH(A204,2_Participantes!$A$6:$A$305,0))="","",INDEX(2_Participantes!$B$6:$B$305,MATCH(A204,2_Participantes!$A$6:$A$305,0))),"No registrado"))</f>
        <v/>
      </c>
      <c r="C204" s="52" t="n"/>
      <c r="D204" s="52" t="n"/>
      <c r="E204" s="63">
        <f>IF(AND(ISNUMBER(C204),ISNUMBER(D204)),D204-C204,"")</f>
        <v/>
      </c>
      <c r="F204" s="62">
        <f>IF(A204="","",IFERROR(IF(INDEX(2_Participantes!$E$6:$E$305,MATCH(A204,2_Participantes!$A$6:$A$305,0))="","",INDEX(2_Participantes!$E$6:$E$305,MATCH(A204,2_Participantes!$A$6:$A$305,0))),""))</f>
        <v/>
      </c>
      <c r="G204" s="61">
        <f>IF(A204="","",IFERROR(IF(INDEX(2_Participantes!$F$6:$F$305,MATCH(A204,2_Participantes!$A$6:$A$305,0))="","",INDEX(2_Participantes!$F$6:$F$305,MATCH(A204,2_Participantes!$A$6:$A$305,0))),"No registrado"))</f>
        <v/>
      </c>
      <c r="H204" s="84">
        <f>IF(A204="","",IFERROR(IF(INDEX(2_Participantes!$L$6:$L$305,MATCH(A204,2_Participantes!$A$6:$A$305,0))="","",INDEX(2_Participantes!$L$6:$L$305,MATCH(A204,2_Participantes!$A$6:$A$305,0))),""))</f>
        <v/>
      </c>
      <c r="I204" s="62">
        <f>IF(A204="","",IF(AND(ISNUMBER(C204),ISNUMBER(D204),G204&lt;&gt;"Excluido"),1,0))</f>
        <v/>
      </c>
      <c r="J204" s="76">
        <f>IF(A204="","",IF(G204="No registrado","Código ausente en 2_Participantes",IF(AND(ISNUMBER(D204),NOT(ISNUMBER(C204))),"Postest sin pretest (huérfano)",IF(OR(AND(ISNUMBER(C204),OR(C204&lt;Inicio!$C$18,C204&gt;Inicio!$C$19)),AND(ISNUMBER(D204),OR(D204&lt;Inicio!$C$18,D204&gt;Inicio!$C$19))),"Fuera de rango",IF(COUNTIF($A$6:$A$305,A204)&gt;1,"Código duplicado","OK")))))</f>
        <v/>
      </c>
    </row>
    <row r="205" ht="15" customHeight="1" s="42">
      <c r="A205" s="67" t="n"/>
      <c r="B205" s="61">
        <f>IF(A205="","",IFERROR(IF(INDEX(2_Participantes!$B$6:$B$305,MATCH(A205,2_Participantes!$A$6:$A$305,0))="","",INDEX(2_Participantes!$B$6:$B$305,MATCH(A205,2_Participantes!$A$6:$A$305,0))),"No registrado"))</f>
        <v/>
      </c>
      <c r="C205" s="52" t="n"/>
      <c r="D205" s="52" t="n"/>
      <c r="E205" s="63">
        <f>IF(AND(ISNUMBER(C205),ISNUMBER(D205)),D205-C205,"")</f>
        <v/>
      </c>
      <c r="F205" s="62">
        <f>IF(A205="","",IFERROR(IF(INDEX(2_Participantes!$E$6:$E$305,MATCH(A205,2_Participantes!$A$6:$A$305,0))="","",INDEX(2_Participantes!$E$6:$E$305,MATCH(A205,2_Participantes!$A$6:$A$305,0))),""))</f>
        <v/>
      </c>
      <c r="G205" s="61">
        <f>IF(A205="","",IFERROR(IF(INDEX(2_Participantes!$F$6:$F$305,MATCH(A205,2_Participantes!$A$6:$A$305,0))="","",INDEX(2_Participantes!$F$6:$F$305,MATCH(A205,2_Participantes!$A$6:$A$305,0))),"No registrado"))</f>
        <v/>
      </c>
      <c r="H205" s="84">
        <f>IF(A205="","",IFERROR(IF(INDEX(2_Participantes!$L$6:$L$305,MATCH(A205,2_Participantes!$A$6:$A$305,0))="","",INDEX(2_Participantes!$L$6:$L$305,MATCH(A205,2_Participantes!$A$6:$A$305,0))),""))</f>
        <v/>
      </c>
      <c r="I205" s="62">
        <f>IF(A205="","",IF(AND(ISNUMBER(C205),ISNUMBER(D205),G205&lt;&gt;"Excluido"),1,0))</f>
        <v/>
      </c>
      <c r="J205" s="76">
        <f>IF(A205="","",IF(G205="No registrado","Código ausente en 2_Participantes",IF(AND(ISNUMBER(D205),NOT(ISNUMBER(C205))),"Postest sin pretest (huérfano)",IF(OR(AND(ISNUMBER(C205),OR(C205&lt;Inicio!$C$18,C205&gt;Inicio!$C$19)),AND(ISNUMBER(D205),OR(D205&lt;Inicio!$C$18,D205&gt;Inicio!$C$19))),"Fuera de rango",IF(COUNTIF($A$6:$A$305,A205)&gt;1,"Código duplicado","OK")))))</f>
        <v/>
      </c>
    </row>
    <row r="206" ht="15" customHeight="1" s="42">
      <c r="A206" s="67" t="n"/>
      <c r="B206" s="61">
        <f>IF(A206="","",IFERROR(IF(INDEX(2_Participantes!$B$6:$B$305,MATCH(A206,2_Participantes!$A$6:$A$305,0))="","",INDEX(2_Participantes!$B$6:$B$305,MATCH(A206,2_Participantes!$A$6:$A$305,0))),"No registrado"))</f>
        <v/>
      </c>
      <c r="C206" s="52" t="n"/>
      <c r="D206" s="52" t="n"/>
      <c r="E206" s="63">
        <f>IF(AND(ISNUMBER(C206),ISNUMBER(D206)),D206-C206,"")</f>
        <v/>
      </c>
      <c r="F206" s="62">
        <f>IF(A206="","",IFERROR(IF(INDEX(2_Participantes!$E$6:$E$305,MATCH(A206,2_Participantes!$A$6:$A$305,0))="","",INDEX(2_Participantes!$E$6:$E$305,MATCH(A206,2_Participantes!$A$6:$A$305,0))),""))</f>
        <v/>
      </c>
      <c r="G206" s="61">
        <f>IF(A206="","",IFERROR(IF(INDEX(2_Participantes!$F$6:$F$305,MATCH(A206,2_Participantes!$A$6:$A$305,0))="","",INDEX(2_Participantes!$F$6:$F$305,MATCH(A206,2_Participantes!$A$6:$A$305,0))),"No registrado"))</f>
        <v/>
      </c>
      <c r="H206" s="84">
        <f>IF(A206="","",IFERROR(IF(INDEX(2_Participantes!$L$6:$L$305,MATCH(A206,2_Participantes!$A$6:$A$305,0))="","",INDEX(2_Participantes!$L$6:$L$305,MATCH(A206,2_Participantes!$A$6:$A$305,0))),""))</f>
        <v/>
      </c>
      <c r="I206" s="62">
        <f>IF(A206="","",IF(AND(ISNUMBER(C206),ISNUMBER(D206),G206&lt;&gt;"Excluido"),1,0))</f>
        <v/>
      </c>
      <c r="J206" s="76">
        <f>IF(A206="","",IF(G206="No registrado","Código ausente en 2_Participantes",IF(AND(ISNUMBER(D206),NOT(ISNUMBER(C206))),"Postest sin pretest (huérfano)",IF(OR(AND(ISNUMBER(C206),OR(C206&lt;Inicio!$C$18,C206&gt;Inicio!$C$19)),AND(ISNUMBER(D206),OR(D206&lt;Inicio!$C$18,D206&gt;Inicio!$C$19))),"Fuera de rango",IF(COUNTIF($A$6:$A$305,A206)&gt;1,"Código duplicado","OK")))))</f>
        <v/>
      </c>
    </row>
    <row r="207" ht="15" customHeight="1" s="42">
      <c r="A207" s="67" t="n"/>
      <c r="B207" s="61">
        <f>IF(A207="","",IFERROR(IF(INDEX(2_Participantes!$B$6:$B$305,MATCH(A207,2_Participantes!$A$6:$A$305,0))="","",INDEX(2_Participantes!$B$6:$B$305,MATCH(A207,2_Participantes!$A$6:$A$305,0))),"No registrado"))</f>
        <v/>
      </c>
      <c r="C207" s="52" t="n"/>
      <c r="D207" s="52" t="n"/>
      <c r="E207" s="63">
        <f>IF(AND(ISNUMBER(C207),ISNUMBER(D207)),D207-C207,"")</f>
        <v/>
      </c>
      <c r="F207" s="62">
        <f>IF(A207="","",IFERROR(IF(INDEX(2_Participantes!$E$6:$E$305,MATCH(A207,2_Participantes!$A$6:$A$305,0))="","",INDEX(2_Participantes!$E$6:$E$305,MATCH(A207,2_Participantes!$A$6:$A$305,0))),""))</f>
        <v/>
      </c>
      <c r="G207" s="61">
        <f>IF(A207="","",IFERROR(IF(INDEX(2_Participantes!$F$6:$F$305,MATCH(A207,2_Participantes!$A$6:$A$305,0))="","",INDEX(2_Participantes!$F$6:$F$305,MATCH(A207,2_Participantes!$A$6:$A$305,0))),"No registrado"))</f>
        <v/>
      </c>
      <c r="H207" s="84">
        <f>IF(A207="","",IFERROR(IF(INDEX(2_Participantes!$L$6:$L$305,MATCH(A207,2_Participantes!$A$6:$A$305,0))="","",INDEX(2_Participantes!$L$6:$L$305,MATCH(A207,2_Participantes!$A$6:$A$305,0))),""))</f>
        <v/>
      </c>
      <c r="I207" s="62">
        <f>IF(A207="","",IF(AND(ISNUMBER(C207),ISNUMBER(D207),G207&lt;&gt;"Excluido"),1,0))</f>
        <v/>
      </c>
      <c r="J207" s="76">
        <f>IF(A207="","",IF(G207="No registrado","Código ausente en 2_Participantes",IF(AND(ISNUMBER(D207),NOT(ISNUMBER(C207))),"Postest sin pretest (huérfano)",IF(OR(AND(ISNUMBER(C207),OR(C207&lt;Inicio!$C$18,C207&gt;Inicio!$C$19)),AND(ISNUMBER(D207),OR(D207&lt;Inicio!$C$18,D207&gt;Inicio!$C$19))),"Fuera de rango",IF(COUNTIF($A$6:$A$305,A207)&gt;1,"Código duplicado","OK")))))</f>
        <v/>
      </c>
    </row>
    <row r="208" ht="15" customHeight="1" s="42">
      <c r="A208" s="67" t="n"/>
      <c r="B208" s="61">
        <f>IF(A208="","",IFERROR(IF(INDEX(2_Participantes!$B$6:$B$305,MATCH(A208,2_Participantes!$A$6:$A$305,0))="","",INDEX(2_Participantes!$B$6:$B$305,MATCH(A208,2_Participantes!$A$6:$A$305,0))),"No registrado"))</f>
        <v/>
      </c>
      <c r="C208" s="52" t="n"/>
      <c r="D208" s="52" t="n"/>
      <c r="E208" s="63">
        <f>IF(AND(ISNUMBER(C208),ISNUMBER(D208)),D208-C208,"")</f>
        <v/>
      </c>
      <c r="F208" s="62">
        <f>IF(A208="","",IFERROR(IF(INDEX(2_Participantes!$E$6:$E$305,MATCH(A208,2_Participantes!$A$6:$A$305,0))="","",INDEX(2_Participantes!$E$6:$E$305,MATCH(A208,2_Participantes!$A$6:$A$305,0))),""))</f>
        <v/>
      </c>
      <c r="G208" s="61">
        <f>IF(A208="","",IFERROR(IF(INDEX(2_Participantes!$F$6:$F$305,MATCH(A208,2_Participantes!$A$6:$A$305,0))="","",INDEX(2_Participantes!$F$6:$F$305,MATCH(A208,2_Participantes!$A$6:$A$305,0))),"No registrado"))</f>
        <v/>
      </c>
      <c r="H208" s="84">
        <f>IF(A208="","",IFERROR(IF(INDEX(2_Participantes!$L$6:$L$305,MATCH(A208,2_Participantes!$A$6:$A$305,0))="","",INDEX(2_Participantes!$L$6:$L$305,MATCH(A208,2_Participantes!$A$6:$A$305,0))),""))</f>
        <v/>
      </c>
      <c r="I208" s="62">
        <f>IF(A208="","",IF(AND(ISNUMBER(C208),ISNUMBER(D208),G208&lt;&gt;"Excluido"),1,0))</f>
        <v/>
      </c>
      <c r="J208" s="76">
        <f>IF(A208="","",IF(G208="No registrado","Código ausente en 2_Participantes",IF(AND(ISNUMBER(D208),NOT(ISNUMBER(C208))),"Postest sin pretest (huérfano)",IF(OR(AND(ISNUMBER(C208),OR(C208&lt;Inicio!$C$18,C208&gt;Inicio!$C$19)),AND(ISNUMBER(D208),OR(D208&lt;Inicio!$C$18,D208&gt;Inicio!$C$19))),"Fuera de rango",IF(COUNTIF($A$6:$A$305,A208)&gt;1,"Código duplicado","OK")))))</f>
        <v/>
      </c>
    </row>
    <row r="209" ht="15" customHeight="1" s="42">
      <c r="A209" s="67" t="n"/>
      <c r="B209" s="61">
        <f>IF(A209="","",IFERROR(IF(INDEX(2_Participantes!$B$6:$B$305,MATCH(A209,2_Participantes!$A$6:$A$305,0))="","",INDEX(2_Participantes!$B$6:$B$305,MATCH(A209,2_Participantes!$A$6:$A$305,0))),"No registrado"))</f>
        <v/>
      </c>
      <c r="C209" s="52" t="n"/>
      <c r="D209" s="52" t="n"/>
      <c r="E209" s="63">
        <f>IF(AND(ISNUMBER(C209),ISNUMBER(D209)),D209-C209,"")</f>
        <v/>
      </c>
      <c r="F209" s="62">
        <f>IF(A209="","",IFERROR(IF(INDEX(2_Participantes!$E$6:$E$305,MATCH(A209,2_Participantes!$A$6:$A$305,0))="","",INDEX(2_Participantes!$E$6:$E$305,MATCH(A209,2_Participantes!$A$6:$A$305,0))),""))</f>
        <v/>
      </c>
      <c r="G209" s="61">
        <f>IF(A209="","",IFERROR(IF(INDEX(2_Participantes!$F$6:$F$305,MATCH(A209,2_Participantes!$A$6:$A$305,0))="","",INDEX(2_Participantes!$F$6:$F$305,MATCH(A209,2_Participantes!$A$6:$A$305,0))),"No registrado"))</f>
        <v/>
      </c>
      <c r="H209" s="84">
        <f>IF(A209="","",IFERROR(IF(INDEX(2_Participantes!$L$6:$L$305,MATCH(A209,2_Participantes!$A$6:$A$305,0))="","",INDEX(2_Participantes!$L$6:$L$305,MATCH(A209,2_Participantes!$A$6:$A$305,0))),""))</f>
        <v/>
      </c>
      <c r="I209" s="62">
        <f>IF(A209="","",IF(AND(ISNUMBER(C209),ISNUMBER(D209),G209&lt;&gt;"Excluido"),1,0))</f>
        <v/>
      </c>
      <c r="J209" s="76">
        <f>IF(A209="","",IF(G209="No registrado","Código ausente en 2_Participantes",IF(AND(ISNUMBER(D209),NOT(ISNUMBER(C209))),"Postest sin pretest (huérfano)",IF(OR(AND(ISNUMBER(C209),OR(C209&lt;Inicio!$C$18,C209&gt;Inicio!$C$19)),AND(ISNUMBER(D209),OR(D209&lt;Inicio!$C$18,D209&gt;Inicio!$C$19))),"Fuera de rango",IF(COUNTIF($A$6:$A$305,A209)&gt;1,"Código duplicado","OK")))))</f>
        <v/>
      </c>
    </row>
    <row r="210" ht="15" customHeight="1" s="42">
      <c r="A210" s="67" t="n"/>
      <c r="B210" s="61">
        <f>IF(A210="","",IFERROR(IF(INDEX(2_Participantes!$B$6:$B$305,MATCH(A210,2_Participantes!$A$6:$A$305,0))="","",INDEX(2_Participantes!$B$6:$B$305,MATCH(A210,2_Participantes!$A$6:$A$305,0))),"No registrado"))</f>
        <v/>
      </c>
      <c r="C210" s="52" t="n"/>
      <c r="D210" s="52" t="n"/>
      <c r="E210" s="63">
        <f>IF(AND(ISNUMBER(C210),ISNUMBER(D210)),D210-C210,"")</f>
        <v/>
      </c>
      <c r="F210" s="62">
        <f>IF(A210="","",IFERROR(IF(INDEX(2_Participantes!$E$6:$E$305,MATCH(A210,2_Participantes!$A$6:$A$305,0))="","",INDEX(2_Participantes!$E$6:$E$305,MATCH(A210,2_Participantes!$A$6:$A$305,0))),""))</f>
        <v/>
      </c>
      <c r="G210" s="61">
        <f>IF(A210="","",IFERROR(IF(INDEX(2_Participantes!$F$6:$F$305,MATCH(A210,2_Participantes!$A$6:$A$305,0))="","",INDEX(2_Participantes!$F$6:$F$305,MATCH(A210,2_Participantes!$A$6:$A$305,0))),"No registrado"))</f>
        <v/>
      </c>
      <c r="H210" s="84">
        <f>IF(A210="","",IFERROR(IF(INDEX(2_Participantes!$L$6:$L$305,MATCH(A210,2_Participantes!$A$6:$A$305,0))="","",INDEX(2_Participantes!$L$6:$L$305,MATCH(A210,2_Participantes!$A$6:$A$305,0))),""))</f>
        <v/>
      </c>
      <c r="I210" s="62">
        <f>IF(A210="","",IF(AND(ISNUMBER(C210),ISNUMBER(D210),G210&lt;&gt;"Excluido"),1,0))</f>
        <v/>
      </c>
      <c r="J210" s="76">
        <f>IF(A210="","",IF(G210="No registrado","Código ausente en 2_Participantes",IF(AND(ISNUMBER(D210),NOT(ISNUMBER(C210))),"Postest sin pretest (huérfano)",IF(OR(AND(ISNUMBER(C210),OR(C210&lt;Inicio!$C$18,C210&gt;Inicio!$C$19)),AND(ISNUMBER(D210),OR(D210&lt;Inicio!$C$18,D210&gt;Inicio!$C$19))),"Fuera de rango",IF(COUNTIF($A$6:$A$305,A210)&gt;1,"Código duplicado","OK")))))</f>
        <v/>
      </c>
    </row>
    <row r="211" ht="15" customHeight="1" s="42">
      <c r="A211" s="67" t="n"/>
      <c r="B211" s="61">
        <f>IF(A211="","",IFERROR(IF(INDEX(2_Participantes!$B$6:$B$305,MATCH(A211,2_Participantes!$A$6:$A$305,0))="","",INDEX(2_Participantes!$B$6:$B$305,MATCH(A211,2_Participantes!$A$6:$A$305,0))),"No registrado"))</f>
        <v/>
      </c>
      <c r="C211" s="52" t="n"/>
      <c r="D211" s="52" t="n"/>
      <c r="E211" s="63">
        <f>IF(AND(ISNUMBER(C211),ISNUMBER(D211)),D211-C211,"")</f>
        <v/>
      </c>
      <c r="F211" s="62">
        <f>IF(A211="","",IFERROR(IF(INDEX(2_Participantes!$E$6:$E$305,MATCH(A211,2_Participantes!$A$6:$A$305,0))="","",INDEX(2_Participantes!$E$6:$E$305,MATCH(A211,2_Participantes!$A$6:$A$305,0))),""))</f>
        <v/>
      </c>
      <c r="G211" s="61">
        <f>IF(A211="","",IFERROR(IF(INDEX(2_Participantes!$F$6:$F$305,MATCH(A211,2_Participantes!$A$6:$A$305,0))="","",INDEX(2_Participantes!$F$6:$F$305,MATCH(A211,2_Participantes!$A$6:$A$305,0))),"No registrado"))</f>
        <v/>
      </c>
      <c r="H211" s="84">
        <f>IF(A211="","",IFERROR(IF(INDEX(2_Participantes!$L$6:$L$305,MATCH(A211,2_Participantes!$A$6:$A$305,0))="","",INDEX(2_Participantes!$L$6:$L$305,MATCH(A211,2_Participantes!$A$6:$A$305,0))),""))</f>
        <v/>
      </c>
      <c r="I211" s="62">
        <f>IF(A211="","",IF(AND(ISNUMBER(C211),ISNUMBER(D211),G211&lt;&gt;"Excluido"),1,0))</f>
        <v/>
      </c>
      <c r="J211" s="76">
        <f>IF(A211="","",IF(G211="No registrado","Código ausente en 2_Participantes",IF(AND(ISNUMBER(D211),NOT(ISNUMBER(C211))),"Postest sin pretest (huérfano)",IF(OR(AND(ISNUMBER(C211),OR(C211&lt;Inicio!$C$18,C211&gt;Inicio!$C$19)),AND(ISNUMBER(D211),OR(D211&lt;Inicio!$C$18,D211&gt;Inicio!$C$19))),"Fuera de rango",IF(COUNTIF($A$6:$A$305,A211)&gt;1,"Código duplicado","OK")))))</f>
        <v/>
      </c>
    </row>
    <row r="212" ht="15" customHeight="1" s="42">
      <c r="A212" s="67" t="n"/>
      <c r="B212" s="61">
        <f>IF(A212="","",IFERROR(IF(INDEX(2_Participantes!$B$6:$B$305,MATCH(A212,2_Participantes!$A$6:$A$305,0))="","",INDEX(2_Participantes!$B$6:$B$305,MATCH(A212,2_Participantes!$A$6:$A$305,0))),"No registrado"))</f>
        <v/>
      </c>
      <c r="C212" s="52" t="n"/>
      <c r="D212" s="52" t="n"/>
      <c r="E212" s="63">
        <f>IF(AND(ISNUMBER(C212),ISNUMBER(D212)),D212-C212,"")</f>
        <v/>
      </c>
      <c r="F212" s="62">
        <f>IF(A212="","",IFERROR(IF(INDEX(2_Participantes!$E$6:$E$305,MATCH(A212,2_Participantes!$A$6:$A$305,0))="","",INDEX(2_Participantes!$E$6:$E$305,MATCH(A212,2_Participantes!$A$6:$A$305,0))),""))</f>
        <v/>
      </c>
      <c r="G212" s="61">
        <f>IF(A212="","",IFERROR(IF(INDEX(2_Participantes!$F$6:$F$305,MATCH(A212,2_Participantes!$A$6:$A$305,0))="","",INDEX(2_Participantes!$F$6:$F$305,MATCH(A212,2_Participantes!$A$6:$A$305,0))),"No registrado"))</f>
        <v/>
      </c>
      <c r="H212" s="84">
        <f>IF(A212="","",IFERROR(IF(INDEX(2_Participantes!$L$6:$L$305,MATCH(A212,2_Participantes!$A$6:$A$305,0))="","",INDEX(2_Participantes!$L$6:$L$305,MATCH(A212,2_Participantes!$A$6:$A$305,0))),""))</f>
        <v/>
      </c>
      <c r="I212" s="62">
        <f>IF(A212="","",IF(AND(ISNUMBER(C212),ISNUMBER(D212),G212&lt;&gt;"Excluido"),1,0))</f>
        <v/>
      </c>
      <c r="J212" s="76">
        <f>IF(A212="","",IF(G212="No registrado","Código ausente en 2_Participantes",IF(AND(ISNUMBER(D212),NOT(ISNUMBER(C212))),"Postest sin pretest (huérfano)",IF(OR(AND(ISNUMBER(C212),OR(C212&lt;Inicio!$C$18,C212&gt;Inicio!$C$19)),AND(ISNUMBER(D212),OR(D212&lt;Inicio!$C$18,D212&gt;Inicio!$C$19))),"Fuera de rango",IF(COUNTIF($A$6:$A$305,A212)&gt;1,"Código duplicado","OK")))))</f>
        <v/>
      </c>
    </row>
    <row r="213" ht="15" customHeight="1" s="42">
      <c r="A213" s="67" t="n"/>
      <c r="B213" s="61">
        <f>IF(A213="","",IFERROR(IF(INDEX(2_Participantes!$B$6:$B$305,MATCH(A213,2_Participantes!$A$6:$A$305,0))="","",INDEX(2_Participantes!$B$6:$B$305,MATCH(A213,2_Participantes!$A$6:$A$305,0))),"No registrado"))</f>
        <v/>
      </c>
      <c r="C213" s="52" t="n"/>
      <c r="D213" s="52" t="n"/>
      <c r="E213" s="63">
        <f>IF(AND(ISNUMBER(C213),ISNUMBER(D213)),D213-C213,"")</f>
        <v/>
      </c>
      <c r="F213" s="62">
        <f>IF(A213="","",IFERROR(IF(INDEX(2_Participantes!$E$6:$E$305,MATCH(A213,2_Participantes!$A$6:$A$305,0))="","",INDEX(2_Participantes!$E$6:$E$305,MATCH(A213,2_Participantes!$A$6:$A$305,0))),""))</f>
        <v/>
      </c>
      <c r="G213" s="61">
        <f>IF(A213="","",IFERROR(IF(INDEX(2_Participantes!$F$6:$F$305,MATCH(A213,2_Participantes!$A$6:$A$305,0))="","",INDEX(2_Participantes!$F$6:$F$305,MATCH(A213,2_Participantes!$A$6:$A$305,0))),"No registrado"))</f>
        <v/>
      </c>
      <c r="H213" s="84">
        <f>IF(A213="","",IFERROR(IF(INDEX(2_Participantes!$L$6:$L$305,MATCH(A213,2_Participantes!$A$6:$A$305,0))="","",INDEX(2_Participantes!$L$6:$L$305,MATCH(A213,2_Participantes!$A$6:$A$305,0))),""))</f>
        <v/>
      </c>
      <c r="I213" s="62">
        <f>IF(A213="","",IF(AND(ISNUMBER(C213),ISNUMBER(D213),G213&lt;&gt;"Excluido"),1,0))</f>
        <v/>
      </c>
      <c r="J213" s="76">
        <f>IF(A213="","",IF(G213="No registrado","Código ausente en 2_Participantes",IF(AND(ISNUMBER(D213),NOT(ISNUMBER(C213))),"Postest sin pretest (huérfano)",IF(OR(AND(ISNUMBER(C213),OR(C213&lt;Inicio!$C$18,C213&gt;Inicio!$C$19)),AND(ISNUMBER(D213),OR(D213&lt;Inicio!$C$18,D213&gt;Inicio!$C$19))),"Fuera de rango",IF(COUNTIF($A$6:$A$305,A213)&gt;1,"Código duplicado","OK")))))</f>
        <v/>
      </c>
    </row>
    <row r="214" ht="15" customHeight="1" s="42">
      <c r="A214" s="67" t="n"/>
      <c r="B214" s="61">
        <f>IF(A214="","",IFERROR(IF(INDEX(2_Participantes!$B$6:$B$305,MATCH(A214,2_Participantes!$A$6:$A$305,0))="","",INDEX(2_Participantes!$B$6:$B$305,MATCH(A214,2_Participantes!$A$6:$A$305,0))),"No registrado"))</f>
        <v/>
      </c>
      <c r="C214" s="52" t="n"/>
      <c r="D214" s="52" t="n"/>
      <c r="E214" s="63">
        <f>IF(AND(ISNUMBER(C214),ISNUMBER(D214)),D214-C214,"")</f>
        <v/>
      </c>
      <c r="F214" s="62">
        <f>IF(A214="","",IFERROR(IF(INDEX(2_Participantes!$E$6:$E$305,MATCH(A214,2_Participantes!$A$6:$A$305,0))="","",INDEX(2_Participantes!$E$6:$E$305,MATCH(A214,2_Participantes!$A$6:$A$305,0))),""))</f>
        <v/>
      </c>
      <c r="G214" s="61">
        <f>IF(A214="","",IFERROR(IF(INDEX(2_Participantes!$F$6:$F$305,MATCH(A214,2_Participantes!$A$6:$A$305,0))="","",INDEX(2_Participantes!$F$6:$F$305,MATCH(A214,2_Participantes!$A$6:$A$305,0))),"No registrado"))</f>
        <v/>
      </c>
      <c r="H214" s="84">
        <f>IF(A214="","",IFERROR(IF(INDEX(2_Participantes!$L$6:$L$305,MATCH(A214,2_Participantes!$A$6:$A$305,0))="","",INDEX(2_Participantes!$L$6:$L$305,MATCH(A214,2_Participantes!$A$6:$A$305,0))),""))</f>
        <v/>
      </c>
      <c r="I214" s="62">
        <f>IF(A214="","",IF(AND(ISNUMBER(C214),ISNUMBER(D214),G214&lt;&gt;"Excluido"),1,0))</f>
        <v/>
      </c>
      <c r="J214" s="76">
        <f>IF(A214="","",IF(G214="No registrado","Código ausente en 2_Participantes",IF(AND(ISNUMBER(D214),NOT(ISNUMBER(C214))),"Postest sin pretest (huérfano)",IF(OR(AND(ISNUMBER(C214),OR(C214&lt;Inicio!$C$18,C214&gt;Inicio!$C$19)),AND(ISNUMBER(D214),OR(D214&lt;Inicio!$C$18,D214&gt;Inicio!$C$19))),"Fuera de rango",IF(COUNTIF($A$6:$A$305,A214)&gt;1,"Código duplicado","OK")))))</f>
        <v/>
      </c>
    </row>
    <row r="215" ht="15" customHeight="1" s="42">
      <c r="A215" s="67" t="n"/>
      <c r="B215" s="61">
        <f>IF(A215="","",IFERROR(IF(INDEX(2_Participantes!$B$6:$B$305,MATCH(A215,2_Participantes!$A$6:$A$305,0))="","",INDEX(2_Participantes!$B$6:$B$305,MATCH(A215,2_Participantes!$A$6:$A$305,0))),"No registrado"))</f>
        <v/>
      </c>
      <c r="C215" s="52" t="n"/>
      <c r="D215" s="52" t="n"/>
      <c r="E215" s="63">
        <f>IF(AND(ISNUMBER(C215),ISNUMBER(D215)),D215-C215,"")</f>
        <v/>
      </c>
      <c r="F215" s="62">
        <f>IF(A215="","",IFERROR(IF(INDEX(2_Participantes!$E$6:$E$305,MATCH(A215,2_Participantes!$A$6:$A$305,0))="","",INDEX(2_Participantes!$E$6:$E$305,MATCH(A215,2_Participantes!$A$6:$A$305,0))),""))</f>
        <v/>
      </c>
      <c r="G215" s="61">
        <f>IF(A215="","",IFERROR(IF(INDEX(2_Participantes!$F$6:$F$305,MATCH(A215,2_Participantes!$A$6:$A$305,0))="","",INDEX(2_Participantes!$F$6:$F$305,MATCH(A215,2_Participantes!$A$6:$A$305,0))),"No registrado"))</f>
        <v/>
      </c>
      <c r="H215" s="84">
        <f>IF(A215="","",IFERROR(IF(INDEX(2_Participantes!$L$6:$L$305,MATCH(A215,2_Participantes!$A$6:$A$305,0))="","",INDEX(2_Participantes!$L$6:$L$305,MATCH(A215,2_Participantes!$A$6:$A$305,0))),""))</f>
        <v/>
      </c>
      <c r="I215" s="62">
        <f>IF(A215="","",IF(AND(ISNUMBER(C215),ISNUMBER(D215),G215&lt;&gt;"Excluido"),1,0))</f>
        <v/>
      </c>
      <c r="J215" s="76">
        <f>IF(A215="","",IF(G215="No registrado","Código ausente en 2_Participantes",IF(AND(ISNUMBER(D215),NOT(ISNUMBER(C215))),"Postest sin pretest (huérfano)",IF(OR(AND(ISNUMBER(C215),OR(C215&lt;Inicio!$C$18,C215&gt;Inicio!$C$19)),AND(ISNUMBER(D215),OR(D215&lt;Inicio!$C$18,D215&gt;Inicio!$C$19))),"Fuera de rango",IF(COUNTIF($A$6:$A$305,A215)&gt;1,"Código duplicado","OK")))))</f>
        <v/>
      </c>
    </row>
    <row r="216" ht="15" customHeight="1" s="42">
      <c r="A216" s="67" t="n"/>
      <c r="B216" s="61">
        <f>IF(A216="","",IFERROR(IF(INDEX(2_Participantes!$B$6:$B$305,MATCH(A216,2_Participantes!$A$6:$A$305,0))="","",INDEX(2_Participantes!$B$6:$B$305,MATCH(A216,2_Participantes!$A$6:$A$305,0))),"No registrado"))</f>
        <v/>
      </c>
      <c r="C216" s="52" t="n"/>
      <c r="D216" s="52" t="n"/>
      <c r="E216" s="63">
        <f>IF(AND(ISNUMBER(C216),ISNUMBER(D216)),D216-C216,"")</f>
        <v/>
      </c>
      <c r="F216" s="62">
        <f>IF(A216="","",IFERROR(IF(INDEX(2_Participantes!$E$6:$E$305,MATCH(A216,2_Participantes!$A$6:$A$305,0))="","",INDEX(2_Participantes!$E$6:$E$305,MATCH(A216,2_Participantes!$A$6:$A$305,0))),""))</f>
        <v/>
      </c>
      <c r="G216" s="61">
        <f>IF(A216="","",IFERROR(IF(INDEX(2_Participantes!$F$6:$F$305,MATCH(A216,2_Participantes!$A$6:$A$305,0))="","",INDEX(2_Participantes!$F$6:$F$305,MATCH(A216,2_Participantes!$A$6:$A$305,0))),"No registrado"))</f>
        <v/>
      </c>
      <c r="H216" s="84">
        <f>IF(A216="","",IFERROR(IF(INDEX(2_Participantes!$L$6:$L$305,MATCH(A216,2_Participantes!$A$6:$A$305,0))="","",INDEX(2_Participantes!$L$6:$L$305,MATCH(A216,2_Participantes!$A$6:$A$305,0))),""))</f>
        <v/>
      </c>
      <c r="I216" s="62">
        <f>IF(A216="","",IF(AND(ISNUMBER(C216),ISNUMBER(D216),G216&lt;&gt;"Excluido"),1,0))</f>
        <v/>
      </c>
      <c r="J216" s="76">
        <f>IF(A216="","",IF(G216="No registrado","Código ausente en 2_Participantes",IF(AND(ISNUMBER(D216),NOT(ISNUMBER(C216))),"Postest sin pretest (huérfano)",IF(OR(AND(ISNUMBER(C216),OR(C216&lt;Inicio!$C$18,C216&gt;Inicio!$C$19)),AND(ISNUMBER(D216),OR(D216&lt;Inicio!$C$18,D216&gt;Inicio!$C$19))),"Fuera de rango",IF(COUNTIF($A$6:$A$305,A216)&gt;1,"Código duplicado","OK")))))</f>
        <v/>
      </c>
    </row>
    <row r="217" ht="15" customHeight="1" s="42">
      <c r="A217" s="67" t="n"/>
      <c r="B217" s="61">
        <f>IF(A217="","",IFERROR(IF(INDEX(2_Participantes!$B$6:$B$305,MATCH(A217,2_Participantes!$A$6:$A$305,0))="","",INDEX(2_Participantes!$B$6:$B$305,MATCH(A217,2_Participantes!$A$6:$A$305,0))),"No registrado"))</f>
        <v/>
      </c>
      <c r="C217" s="52" t="n"/>
      <c r="D217" s="52" t="n"/>
      <c r="E217" s="63">
        <f>IF(AND(ISNUMBER(C217),ISNUMBER(D217)),D217-C217,"")</f>
        <v/>
      </c>
      <c r="F217" s="62">
        <f>IF(A217="","",IFERROR(IF(INDEX(2_Participantes!$E$6:$E$305,MATCH(A217,2_Participantes!$A$6:$A$305,0))="","",INDEX(2_Participantes!$E$6:$E$305,MATCH(A217,2_Participantes!$A$6:$A$305,0))),""))</f>
        <v/>
      </c>
      <c r="G217" s="61">
        <f>IF(A217="","",IFERROR(IF(INDEX(2_Participantes!$F$6:$F$305,MATCH(A217,2_Participantes!$A$6:$A$305,0))="","",INDEX(2_Participantes!$F$6:$F$305,MATCH(A217,2_Participantes!$A$6:$A$305,0))),"No registrado"))</f>
        <v/>
      </c>
      <c r="H217" s="84">
        <f>IF(A217="","",IFERROR(IF(INDEX(2_Participantes!$L$6:$L$305,MATCH(A217,2_Participantes!$A$6:$A$305,0))="","",INDEX(2_Participantes!$L$6:$L$305,MATCH(A217,2_Participantes!$A$6:$A$305,0))),""))</f>
        <v/>
      </c>
      <c r="I217" s="62">
        <f>IF(A217="","",IF(AND(ISNUMBER(C217),ISNUMBER(D217),G217&lt;&gt;"Excluido"),1,0))</f>
        <v/>
      </c>
      <c r="J217" s="76">
        <f>IF(A217="","",IF(G217="No registrado","Código ausente en 2_Participantes",IF(AND(ISNUMBER(D217),NOT(ISNUMBER(C217))),"Postest sin pretest (huérfano)",IF(OR(AND(ISNUMBER(C217),OR(C217&lt;Inicio!$C$18,C217&gt;Inicio!$C$19)),AND(ISNUMBER(D217),OR(D217&lt;Inicio!$C$18,D217&gt;Inicio!$C$19))),"Fuera de rango",IF(COUNTIF($A$6:$A$305,A217)&gt;1,"Código duplicado","OK")))))</f>
        <v/>
      </c>
    </row>
    <row r="218" ht="15" customHeight="1" s="42">
      <c r="A218" s="67" t="n"/>
      <c r="B218" s="61">
        <f>IF(A218="","",IFERROR(IF(INDEX(2_Participantes!$B$6:$B$305,MATCH(A218,2_Participantes!$A$6:$A$305,0))="","",INDEX(2_Participantes!$B$6:$B$305,MATCH(A218,2_Participantes!$A$6:$A$305,0))),"No registrado"))</f>
        <v/>
      </c>
      <c r="C218" s="52" t="n"/>
      <c r="D218" s="52" t="n"/>
      <c r="E218" s="63">
        <f>IF(AND(ISNUMBER(C218),ISNUMBER(D218)),D218-C218,"")</f>
        <v/>
      </c>
      <c r="F218" s="62">
        <f>IF(A218="","",IFERROR(IF(INDEX(2_Participantes!$E$6:$E$305,MATCH(A218,2_Participantes!$A$6:$A$305,0))="","",INDEX(2_Participantes!$E$6:$E$305,MATCH(A218,2_Participantes!$A$6:$A$305,0))),""))</f>
        <v/>
      </c>
      <c r="G218" s="61">
        <f>IF(A218="","",IFERROR(IF(INDEX(2_Participantes!$F$6:$F$305,MATCH(A218,2_Participantes!$A$6:$A$305,0))="","",INDEX(2_Participantes!$F$6:$F$305,MATCH(A218,2_Participantes!$A$6:$A$305,0))),"No registrado"))</f>
        <v/>
      </c>
      <c r="H218" s="84">
        <f>IF(A218="","",IFERROR(IF(INDEX(2_Participantes!$L$6:$L$305,MATCH(A218,2_Participantes!$A$6:$A$305,0))="","",INDEX(2_Participantes!$L$6:$L$305,MATCH(A218,2_Participantes!$A$6:$A$305,0))),""))</f>
        <v/>
      </c>
      <c r="I218" s="62">
        <f>IF(A218="","",IF(AND(ISNUMBER(C218),ISNUMBER(D218),G218&lt;&gt;"Excluido"),1,0))</f>
        <v/>
      </c>
      <c r="J218" s="76">
        <f>IF(A218="","",IF(G218="No registrado","Código ausente en 2_Participantes",IF(AND(ISNUMBER(D218),NOT(ISNUMBER(C218))),"Postest sin pretest (huérfano)",IF(OR(AND(ISNUMBER(C218),OR(C218&lt;Inicio!$C$18,C218&gt;Inicio!$C$19)),AND(ISNUMBER(D218),OR(D218&lt;Inicio!$C$18,D218&gt;Inicio!$C$19))),"Fuera de rango",IF(COUNTIF($A$6:$A$305,A218)&gt;1,"Código duplicado","OK")))))</f>
        <v/>
      </c>
    </row>
    <row r="219" ht="15" customHeight="1" s="42">
      <c r="A219" s="67" t="n"/>
      <c r="B219" s="61">
        <f>IF(A219="","",IFERROR(IF(INDEX(2_Participantes!$B$6:$B$305,MATCH(A219,2_Participantes!$A$6:$A$305,0))="","",INDEX(2_Participantes!$B$6:$B$305,MATCH(A219,2_Participantes!$A$6:$A$305,0))),"No registrado"))</f>
        <v/>
      </c>
      <c r="C219" s="52" t="n"/>
      <c r="D219" s="52" t="n"/>
      <c r="E219" s="63">
        <f>IF(AND(ISNUMBER(C219),ISNUMBER(D219)),D219-C219,"")</f>
        <v/>
      </c>
      <c r="F219" s="62">
        <f>IF(A219="","",IFERROR(IF(INDEX(2_Participantes!$E$6:$E$305,MATCH(A219,2_Participantes!$A$6:$A$305,0))="","",INDEX(2_Participantes!$E$6:$E$305,MATCH(A219,2_Participantes!$A$6:$A$305,0))),""))</f>
        <v/>
      </c>
      <c r="G219" s="61">
        <f>IF(A219="","",IFERROR(IF(INDEX(2_Participantes!$F$6:$F$305,MATCH(A219,2_Participantes!$A$6:$A$305,0))="","",INDEX(2_Participantes!$F$6:$F$305,MATCH(A219,2_Participantes!$A$6:$A$305,0))),"No registrado"))</f>
        <v/>
      </c>
      <c r="H219" s="84">
        <f>IF(A219="","",IFERROR(IF(INDEX(2_Participantes!$L$6:$L$305,MATCH(A219,2_Participantes!$A$6:$A$305,0))="","",INDEX(2_Participantes!$L$6:$L$305,MATCH(A219,2_Participantes!$A$6:$A$305,0))),""))</f>
        <v/>
      </c>
      <c r="I219" s="62">
        <f>IF(A219="","",IF(AND(ISNUMBER(C219),ISNUMBER(D219),G219&lt;&gt;"Excluido"),1,0))</f>
        <v/>
      </c>
      <c r="J219" s="76">
        <f>IF(A219="","",IF(G219="No registrado","Código ausente en 2_Participantes",IF(AND(ISNUMBER(D219),NOT(ISNUMBER(C219))),"Postest sin pretest (huérfano)",IF(OR(AND(ISNUMBER(C219),OR(C219&lt;Inicio!$C$18,C219&gt;Inicio!$C$19)),AND(ISNUMBER(D219),OR(D219&lt;Inicio!$C$18,D219&gt;Inicio!$C$19))),"Fuera de rango",IF(COUNTIF($A$6:$A$305,A219)&gt;1,"Código duplicado","OK")))))</f>
        <v/>
      </c>
    </row>
    <row r="220" ht="15" customHeight="1" s="42">
      <c r="A220" s="67" t="n"/>
      <c r="B220" s="61">
        <f>IF(A220="","",IFERROR(IF(INDEX(2_Participantes!$B$6:$B$305,MATCH(A220,2_Participantes!$A$6:$A$305,0))="","",INDEX(2_Participantes!$B$6:$B$305,MATCH(A220,2_Participantes!$A$6:$A$305,0))),"No registrado"))</f>
        <v/>
      </c>
      <c r="C220" s="52" t="n"/>
      <c r="D220" s="52" t="n"/>
      <c r="E220" s="63">
        <f>IF(AND(ISNUMBER(C220),ISNUMBER(D220)),D220-C220,"")</f>
        <v/>
      </c>
      <c r="F220" s="62">
        <f>IF(A220="","",IFERROR(IF(INDEX(2_Participantes!$E$6:$E$305,MATCH(A220,2_Participantes!$A$6:$A$305,0))="","",INDEX(2_Participantes!$E$6:$E$305,MATCH(A220,2_Participantes!$A$6:$A$305,0))),""))</f>
        <v/>
      </c>
      <c r="G220" s="61">
        <f>IF(A220="","",IFERROR(IF(INDEX(2_Participantes!$F$6:$F$305,MATCH(A220,2_Participantes!$A$6:$A$305,0))="","",INDEX(2_Participantes!$F$6:$F$305,MATCH(A220,2_Participantes!$A$6:$A$305,0))),"No registrado"))</f>
        <v/>
      </c>
      <c r="H220" s="84">
        <f>IF(A220="","",IFERROR(IF(INDEX(2_Participantes!$L$6:$L$305,MATCH(A220,2_Participantes!$A$6:$A$305,0))="","",INDEX(2_Participantes!$L$6:$L$305,MATCH(A220,2_Participantes!$A$6:$A$305,0))),""))</f>
        <v/>
      </c>
      <c r="I220" s="62">
        <f>IF(A220="","",IF(AND(ISNUMBER(C220),ISNUMBER(D220),G220&lt;&gt;"Excluido"),1,0))</f>
        <v/>
      </c>
      <c r="J220" s="76">
        <f>IF(A220="","",IF(G220="No registrado","Código ausente en 2_Participantes",IF(AND(ISNUMBER(D220),NOT(ISNUMBER(C220))),"Postest sin pretest (huérfano)",IF(OR(AND(ISNUMBER(C220),OR(C220&lt;Inicio!$C$18,C220&gt;Inicio!$C$19)),AND(ISNUMBER(D220),OR(D220&lt;Inicio!$C$18,D220&gt;Inicio!$C$19))),"Fuera de rango",IF(COUNTIF($A$6:$A$305,A220)&gt;1,"Código duplicado","OK")))))</f>
        <v/>
      </c>
    </row>
    <row r="221" ht="15" customHeight="1" s="42">
      <c r="A221" s="67" t="n"/>
      <c r="B221" s="61">
        <f>IF(A221="","",IFERROR(IF(INDEX(2_Participantes!$B$6:$B$305,MATCH(A221,2_Participantes!$A$6:$A$305,0))="","",INDEX(2_Participantes!$B$6:$B$305,MATCH(A221,2_Participantes!$A$6:$A$305,0))),"No registrado"))</f>
        <v/>
      </c>
      <c r="C221" s="52" t="n"/>
      <c r="D221" s="52" t="n"/>
      <c r="E221" s="63">
        <f>IF(AND(ISNUMBER(C221),ISNUMBER(D221)),D221-C221,"")</f>
        <v/>
      </c>
      <c r="F221" s="62">
        <f>IF(A221="","",IFERROR(IF(INDEX(2_Participantes!$E$6:$E$305,MATCH(A221,2_Participantes!$A$6:$A$305,0))="","",INDEX(2_Participantes!$E$6:$E$305,MATCH(A221,2_Participantes!$A$6:$A$305,0))),""))</f>
        <v/>
      </c>
      <c r="G221" s="61">
        <f>IF(A221="","",IFERROR(IF(INDEX(2_Participantes!$F$6:$F$305,MATCH(A221,2_Participantes!$A$6:$A$305,0))="","",INDEX(2_Participantes!$F$6:$F$305,MATCH(A221,2_Participantes!$A$6:$A$305,0))),"No registrado"))</f>
        <v/>
      </c>
      <c r="H221" s="84">
        <f>IF(A221="","",IFERROR(IF(INDEX(2_Participantes!$L$6:$L$305,MATCH(A221,2_Participantes!$A$6:$A$305,0))="","",INDEX(2_Participantes!$L$6:$L$305,MATCH(A221,2_Participantes!$A$6:$A$305,0))),""))</f>
        <v/>
      </c>
      <c r="I221" s="62">
        <f>IF(A221="","",IF(AND(ISNUMBER(C221),ISNUMBER(D221),G221&lt;&gt;"Excluido"),1,0))</f>
        <v/>
      </c>
      <c r="J221" s="76">
        <f>IF(A221="","",IF(G221="No registrado","Código ausente en 2_Participantes",IF(AND(ISNUMBER(D221),NOT(ISNUMBER(C221))),"Postest sin pretest (huérfano)",IF(OR(AND(ISNUMBER(C221),OR(C221&lt;Inicio!$C$18,C221&gt;Inicio!$C$19)),AND(ISNUMBER(D221),OR(D221&lt;Inicio!$C$18,D221&gt;Inicio!$C$19))),"Fuera de rango",IF(COUNTIF($A$6:$A$305,A221)&gt;1,"Código duplicado","OK")))))</f>
        <v/>
      </c>
    </row>
    <row r="222" ht="15" customHeight="1" s="42">
      <c r="A222" s="67" t="n"/>
      <c r="B222" s="61">
        <f>IF(A222="","",IFERROR(IF(INDEX(2_Participantes!$B$6:$B$305,MATCH(A222,2_Participantes!$A$6:$A$305,0))="","",INDEX(2_Participantes!$B$6:$B$305,MATCH(A222,2_Participantes!$A$6:$A$305,0))),"No registrado"))</f>
        <v/>
      </c>
      <c r="C222" s="52" t="n"/>
      <c r="D222" s="52" t="n"/>
      <c r="E222" s="63">
        <f>IF(AND(ISNUMBER(C222),ISNUMBER(D222)),D222-C222,"")</f>
        <v/>
      </c>
      <c r="F222" s="62">
        <f>IF(A222="","",IFERROR(IF(INDEX(2_Participantes!$E$6:$E$305,MATCH(A222,2_Participantes!$A$6:$A$305,0))="","",INDEX(2_Participantes!$E$6:$E$305,MATCH(A222,2_Participantes!$A$6:$A$305,0))),""))</f>
        <v/>
      </c>
      <c r="G222" s="61">
        <f>IF(A222="","",IFERROR(IF(INDEX(2_Participantes!$F$6:$F$305,MATCH(A222,2_Participantes!$A$6:$A$305,0))="","",INDEX(2_Participantes!$F$6:$F$305,MATCH(A222,2_Participantes!$A$6:$A$305,0))),"No registrado"))</f>
        <v/>
      </c>
      <c r="H222" s="84">
        <f>IF(A222="","",IFERROR(IF(INDEX(2_Participantes!$L$6:$L$305,MATCH(A222,2_Participantes!$A$6:$A$305,0))="","",INDEX(2_Participantes!$L$6:$L$305,MATCH(A222,2_Participantes!$A$6:$A$305,0))),""))</f>
        <v/>
      </c>
      <c r="I222" s="62">
        <f>IF(A222="","",IF(AND(ISNUMBER(C222),ISNUMBER(D222),G222&lt;&gt;"Excluido"),1,0))</f>
        <v/>
      </c>
      <c r="J222" s="76">
        <f>IF(A222="","",IF(G222="No registrado","Código ausente en 2_Participantes",IF(AND(ISNUMBER(D222),NOT(ISNUMBER(C222))),"Postest sin pretest (huérfano)",IF(OR(AND(ISNUMBER(C222),OR(C222&lt;Inicio!$C$18,C222&gt;Inicio!$C$19)),AND(ISNUMBER(D222),OR(D222&lt;Inicio!$C$18,D222&gt;Inicio!$C$19))),"Fuera de rango",IF(COUNTIF($A$6:$A$305,A222)&gt;1,"Código duplicado","OK")))))</f>
        <v/>
      </c>
    </row>
    <row r="223" ht="15" customHeight="1" s="42">
      <c r="A223" s="67" t="n"/>
      <c r="B223" s="61">
        <f>IF(A223="","",IFERROR(IF(INDEX(2_Participantes!$B$6:$B$305,MATCH(A223,2_Participantes!$A$6:$A$305,0))="","",INDEX(2_Participantes!$B$6:$B$305,MATCH(A223,2_Participantes!$A$6:$A$305,0))),"No registrado"))</f>
        <v/>
      </c>
      <c r="C223" s="52" t="n"/>
      <c r="D223" s="52" t="n"/>
      <c r="E223" s="63">
        <f>IF(AND(ISNUMBER(C223),ISNUMBER(D223)),D223-C223,"")</f>
        <v/>
      </c>
      <c r="F223" s="62">
        <f>IF(A223="","",IFERROR(IF(INDEX(2_Participantes!$E$6:$E$305,MATCH(A223,2_Participantes!$A$6:$A$305,0))="","",INDEX(2_Participantes!$E$6:$E$305,MATCH(A223,2_Participantes!$A$6:$A$305,0))),""))</f>
        <v/>
      </c>
      <c r="G223" s="61">
        <f>IF(A223="","",IFERROR(IF(INDEX(2_Participantes!$F$6:$F$305,MATCH(A223,2_Participantes!$A$6:$A$305,0))="","",INDEX(2_Participantes!$F$6:$F$305,MATCH(A223,2_Participantes!$A$6:$A$305,0))),"No registrado"))</f>
        <v/>
      </c>
      <c r="H223" s="84">
        <f>IF(A223="","",IFERROR(IF(INDEX(2_Participantes!$L$6:$L$305,MATCH(A223,2_Participantes!$A$6:$A$305,0))="","",INDEX(2_Participantes!$L$6:$L$305,MATCH(A223,2_Participantes!$A$6:$A$305,0))),""))</f>
        <v/>
      </c>
      <c r="I223" s="62">
        <f>IF(A223="","",IF(AND(ISNUMBER(C223),ISNUMBER(D223),G223&lt;&gt;"Excluido"),1,0))</f>
        <v/>
      </c>
      <c r="J223" s="76">
        <f>IF(A223="","",IF(G223="No registrado","Código ausente en 2_Participantes",IF(AND(ISNUMBER(D223),NOT(ISNUMBER(C223))),"Postest sin pretest (huérfano)",IF(OR(AND(ISNUMBER(C223),OR(C223&lt;Inicio!$C$18,C223&gt;Inicio!$C$19)),AND(ISNUMBER(D223),OR(D223&lt;Inicio!$C$18,D223&gt;Inicio!$C$19))),"Fuera de rango",IF(COUNTIF($A$6:$A$305,A223)&gt;1,"Código duplicado","OK")))))</f>
        <v/>
      </c>
    </row>
    <row r="224" ht="15" customHeight="1" s="42">
      <c r="A224" s="67" t="n"/>
      <c r="B224" s="61">
        <f>IF(A224="","",IFERROR(IF(INDEX(2_Participantes!$B$6:$B$305,MATCH(A224,2_Participantes!$A$6:$A$305,0))="","",INDEX(2_Participantes!$B$6:$B$305,MATCH(A224,2_Participantes!$A$6:$A$305,0))),"No registrado"))</f>
        <v/>
      </c>
      <c r="C224" s="52" t="n"/>
      <c r="D224" s="52" t="n"/>
      <c r="E224" s="63">
        <f>IF(AND(ISNUMBER(C224),ISNUMBER(D224)),D224-C224,"")</f>
        <v/>
      </c>
      <c r="F224" s="62">
        <f>IF(A224="","",IFERROR(IF(INDEX(2_Participantes!$E$6:$E$305,MATCH(A224,2_Participantes!$A$6:$A$305,0))="","",INDEX(2_Participantes!$E$6:$E$305,MATCH(A224,2_Participantes!$A$6:$A$305,0))),""))</f>
        <v/>
      </c>
      <c r="G224" s="61">
        <f>IF(A224="","",IFERROR(IF(INDEX(2_Participantes!$F$6:$F$305,MATCH(A224,2_Participantes!$A$6:$A$305,0))="","",INDEX(2_Participantes!$F$6:$F$305,MATCH(A224,2_Participantes!$A$6:$A$305,0))),"No registrado"))</f>
        <v/>
      </c>
      <c r="H224" s="84">
        <f>IF(A224="","",IFERROR(IF(INDEX(2_Participantes!$L$6:$L$305,MATCH(A224,2_Participantes!$A$6:$A$305,0))="","",INDEX(2_Participantes!$L$6:$L$305,MATCH(A224,2_Participantes!$A$6:$A$305,0))),""))</f>
        <v/>
      </c>
      <c r="I224" s="62">
        <f>IF(A224="","",IF(AND(ISNUMBER(C224),ISNUMBER(D224),G224&lt;&gt;"Excluido"),1,0))</f>
        <v/>
      </c>
      <c r="J224" s="76">
        <f>IF(A224="","",IF(G224="No registrado","Código ausente en 2_Participantes",IF(AND(ISNUMBER(D224),NOT(ISNUMBER(C224))),"Postest sin pretest (huérfano)",IF(OR(AND(ISNUMBER(C224),OR(C224&lt;Inicio!$C$18,C224&gt;Inicio!$C$19)),AND(ISNUMBER(D224),OR(D224&lt;Inicio!$C$18,D224&gt;Inicio!$C$19))),"Fuera de rango",IF(COUNTIF($A$6:$A$305,A224)&gt;1,"Código duplicado","OK")))))</f>
        <v/>
      </c>
    </row>
    <row r="225" ht="15" customHeight="1" s="42">
      <c r="A225" s="67" t="n"/>
      <c r="B225" s="61">
        <f>IF(A225="","",IFERROR(IF(INDEX(2_Participantes!$B$6:$B$305,MATCH(A225,2_Participantes!$A$6:$A$305,0))="","",INDEX(2_Participantes!$B$6:$B$305,MATCH(A225,2_Participantes!$A$6:$A$305,0))),"No registrado"))</f>
        <v/>
      </c>
      <c r="C225" s="52" t="n"/>
      <c r="D225" s="52" t="n"/>
      <c r="E225" s="63">
        <f>IF(AND(ISNUMBER(C225),ISNUMBER(D225)),D225-C225,"")</f>
        <v/>
      </c>
      <c r="F225" s="62">
        <f>IF(A225="","",IFERROR(IF(INDEX(2_Participantes!$E$6:$E$305,MATCH(A225,2_Participantes!$A$6:$A$305,0))="","",INDEX(2_Participantes!$E$6:$E$305,MATCH(A225,2_Participantes!$A$6:$A$305,0))),""))</f>
        <v/>
      </c>
      <c r="G225" s="61">
        <f>IF(A225="","",IFERROR(IF(INDEX(2_Participantes!$F$6:$F$305,MATCH(A225,2_Participantes!$A$6:$A$305,0))="","",INDEX(2_Participantes!$F$6:$F$305,MATCH(A225,2_Participantes!$A$6:$A$305,0))),"No registrado"))</f>
        <v/>
      </c>
      <c r="H225" s="84">
        <f>IF(A225="","",IFERROR(IF(INDEX(2_Participantes!$L$6:$L$305,MATCH(A225,2_Participantes!$A$6:$A$305,0))="","",INDEX(2_Participantes!$L$6:$L$305,MATCH(A225,2_Participantes!$A$6:$A$305,0))),""))</f>
        <v/>
      </c>
      <c r="I225" s="62">
        <f>IF(A225="","",IF(AND(ISNUMBER(C225),ISNUMBER(D225),G225&lt;&gt;"Excluido"),1,0))</f>
        <v/>
      </c>
      <c r="J225" s="76">
        <f>IF(A225="","",IF(G225="No registrado","Código ausente en 2_Participantes",IF(AND(ISNUMBER(D225),NOT(ISNUMBER(C225))),"Postest sin pretest (huérfano)",IF(OR(AND(ISNUMBER(C225),OR(C225&lt;Inicio!$C$18,C225&gt;Inicio!$C$19)),AND(ISNUMBER(D225),OR(D225&lt;Inicio!$C$18,D225&gt;Inicio!$C$19))),"Fuera de rango",IF(COUNTIF($A$6:$A$305,A225)&gt;1,"Código duplicado","OK")))))</f>
        <v/>
      </c>
    </row>
    <row r="226" ht="15" customHeight="1" s="42">
      <c r="A226" s="67" t="n"/>
      <c r="B226" s="61">
        <f>IF(A226="","",IFERROR(IF(INDEX(2_Participantes!$B$6:$B$305,MATCH(A226,2_Participantes!$A$6:$A$305,0))="","",INDEX(2_Participantes!$B$6:$B$305,MATCH(A226,2_Participantes!$A$6:$A$305,0))),"No registrado"))</f>
        <v/>
      </c>
      <c r="C226" s="52" t="n"/>
      <c r="D226" s="52" t="n"/>
      <c r="E226" s="63">
        <f>IF(AND(ISNUMBER(C226),ISNUMBER(D226)),D226-C226,"")</f>
        <v/>
      </c>
      <c r="F226" s="62">
        <f>IF(A226="","",IFERROR(IF(INDEX(2_Participantes!$E$6:$E$305,MATCH(A226,2_Participantes!$A$6:$A$305,0))="","",INDEX(2_Participantes!$E$6:$E$305,MATCH(A226,2_Participantes!$A$6:$A$305,0))),""))</f>
        <v/>
      </c>
      <c r="G226" s="61">
        <f>IF(A226="","",IFERROR(IF(INDEX(2_Participantes!$F$6:$F$305,MATCH(A226,2_Participantes!$A$6:$A$305,0))="","",INDEX(2_Participantes!$F$6:$F$305,MATCH(A226,2_Participantes!$A$6:$A$305,0))),"No registrado"))</f>
        <v/>
      </c>
      <c r="H226" s="84">
        <f>IF(A226="","",IFERROR(IF(INDEX(2_Participantes!$L$6:$L$305,MATCH(A226,2_Participantes!$A$6:$A$305,0))="","",INDEX(2_Participantes!$L$6:$L$305,MATCH(A226,2_Participantes!$A$6:$A$305,0))),""))</f>
        <v/>
      </c>
      <c r="I226" s="62">
        <f>IF(A226="","",IF(AND(ISNUMBER(C226),ISNUMBER(D226),G226&lt;&gt;"Excluido"),1,0))</f>
        <v/>
      </c>
      <c r="J226" s="76">
        <f>IF(A226="","",IF(G226="No registrado","Código ausente en 2_Participantes",IF(AND(ISNUMBER(D226),NOT(ISNUMBER(C226))),"Postest sin pretest (huérfano)",IF(OR(AND(ISNUMBER(C226),OR(C226&lt;Inicio!$C$18,C226&gt;Inicio!$C$19)),AND(ISNUMBER(D226),OR(D226&lt;Inicio!$C$18,D226&gt;Inicio!$C$19))),"Fuera de rango",IF(COUNTIF($A$6:$A$305,A226)&gt;1,"Código duplicado","OK")))))</f>
        <v/>
      </c>
    </row>
    <row r="227" ht="15" customHeight="1" s="42">
      <c r="A227" s="67" t="n"/>
      <c r="B227" s="61">
        <f>IF(A227="","",IFERROR(IF(INDEX(2_Participantes!$B$6:$B$305,MATCH(A227,2_Participantes!$A$6:$A$305,0))="","",INDEX(2_Participantes!$B$6:$B$305,MATCH(A227,2_Participantes!$A$6:$A$305,0))),"No registrado"))</f>
        <v/>
      </c>
      <c r="C227" s="52" t="n"/>
      <c r="D227" s="52" t="n"/>
      <c r="E227" s="63">
        <f>IF(AND(ISNUMBER(C227),ISNUMBER(D227)),D227-C227,"")</f>
        <v/>
      </c>
      <c r="F227" s="62">
        <f>IF(A227="","",IFERROR(IF(INDEX(2_Participantes!$E$6:$E$305,MATCH(A227,2_Participantes!$A$6:$A$305,0))="","",INDEX(2_Participantes!$E$6:$E$305,MATCH(A227,2_Participantes!$A$6:$A$305,0))),""))</f>
        <v/>
      </c>
      <c r="G227" s="61">
        <f>IF(A227="","",IFERROR(IF(INDEX(2_Participantes!$F$6:$F$305,MATCH(A227,2_Participantes!$A$6:$A$305,0))="","",INDEX(2_Participantes!$F$6:$F$305,MATCH(A227,2_Participantes!$A$6:$A$305,0))),"No registrado"))</f>
        <v/>
      </c>
      <c r="H227" s="84">
        <f>IF(A227="","",IFERROR(IF(INDEX(2_Participantes!$L$6:$L$305,MATCH(A227,2_Participantes!$A$6:$A$305,0))="","",INDEX(2_Participantes!$L$6:$L$305,MATCH(A227,2_Participantes!$A$6:$A$305,0))),""))</f>
        <v/>
      </c>
      <c r="I227" s="62">
        <f>IF(A227="","",IF(AND(ISNUMBER(C227),ISNUMBER(D227),G227&lt;&gt;"Excluido"),1,0))</f>
        <v/>
      </c>
      <c r="J227" s="76">
        <f>IF(A227="","",IF(G227="No registrado","Código ausente en 2_Participantes",IF(AND(ISNUMBER(D227),NOT(ISNUMBER(C227))),"Postest sin pretest (huérfano)",IF(OR(AND(ISNUMBER(C227),OR(C227&lt;Inicio!$C$18,C227&gt;Inicio!$C$19)),AND(ISNUMBER(D227),OR(D227&lt;Inicio!$C$18,D227&gt;Inicio!$C$19))),"Fuera de rango",IF(COUNTIF($A$6:$A$305,A227)&gt;1,"Código duplicado","OK")))))</f>
        <v/>
      </c>
    </row>
    <row r="228" ht="15" customHeight="1" s="42">
      <c r="A228" s="67" t="n"/>
      <c r="B228" s="61">
        <f>IF(A228="","",IFERROR(IF(INDEX(2_Participantes!$B$6:$B$305,MATCH(A228,2_Participantes!$A$6:$A$305,0))="","",INDEX(2_Participantes!$B$6:$B$305,MATCH(A228,2_Participantes!$A$6:$A$305,0))),"No registrado"))</f>
        <v/>
      </c>
      <c r="C228" s="52" t="n"/>
      <c r="D228" s="52" t="n"/>
      <c r="E228" s="63">
        <f>IF(AND(ISNUMBER(C228),ISNUMBER(D228)),D228-C228,"")</f>
        <v/>
      </c>
      <c r="F228" s="62">
        <f>IF(A228="","",IFERROR(IF(INDEX(2_Participantes!$E$6:$E$305,MATCH(A228,2_Participantes!$A$6:$A$305,0))="","",INDEX(2_Participantes!$E$6:$E$305,MATCH(A228,2_Participantes!$A$6:$A$305,0))),""))</f>
        <v/>
      </c>
      <c r="G228" s="61">
        <f>IF(A228="","",IFERROR(IF(INDEX(2_Participantes!$F$6:$F$305,MATCH(A228,2_Participantes!$A$6:$A$305,0))="","",INDEX(2_Participantes!$F$6:$F$305,MATCH(A228,2_Participantes!$A$6:$A$305,0))),"No registrado"))</f>
        <v/>
      </c>
      <c r="H228" s="84">
        <f>IF(A228="","",IFERROR(IF(INDEX(2_Participantes!$L$6:$L$305,MATCH(A228,2_Participantes!$A$6:$A$305,0))="","",INDEX(2_Participantes!$L$6:$L$305,MATCH(A228,2_Participantes!$A$6:$A$305,0))),""))</f>
        <v/>
      </c>
      <c r="I228" s="62">
        <f>IF(A228="","",IF(AND(ISNUMBER(C228),ISNUMBER(D228),G228&lt;&gt;"Excluido"),1,0))</f>
        <v/>
      </c>
      <c r="J228" s="76">
        <f>IF(A228="","",IF(G228="No registrado","Código ausente en 2_Participantes",IF(AND(ISNUMBER(D228),NOT(ISNUMBER(C228))),"Postest sin pretest (huérfano)",IF(OR(AND(ISNUMBER(C228),OR(C228&lt;Inicio!$C$18,C228&gt;Inicio!$C$19)),AND(ISNUMBER(D228),OR(D228&lt;Inicio!$C$18,D228&gt;Inicio!$C$19))),"Fuera de rango",IF(COUNTIF($A$6:$A$305,A228)&gt;1,"Código duplicado","OK")))))</f>
        <v/>
      </c>
    </row>
    <row r="229" ht="15" customHeight="1" s="42">
      <c r="A229" s="67" t="n"/>
      <c r="B229" s="61">
        <f>IF(A229="","",IFERROR(IF(INDEX(2_Participantes!$B$6:$B$305,MATCH(A229,2_Participantes!$A$6:$A$305,0))="","",INDEX(2_Participantes!$B$6:$B$305,MATCH(A229,2_Participantes!$A$6:$A$305,0))),"No registrado"))</f>
        <v/>
      </c>
      <c r="C229" s="52" t="n"/>
      <c r="D229" s="52" t="n"/>
      <c r="E229" s="63">
        <f>IF(AND(ISNUMBER(C229),ISNUMBER(D229)),D229-C229,"")</f>
        <v/>
      </c>
      <c r="F229" s="62">
        <f>IF(A229="","",IFERROR(IF(INDEX(2_Participantes!$E$6:$E$305,MATCH(A229,2_Participantes!$A$6:$A$305,0))="","",INDEX(2_Participantes!$E$6:$E$305,MATCH(A229,2_Participantes!$A$6:$A$305,0))),""))</f>
        <v/>
      </c>
      <c r="G229" s="61">
        <f>IF(A229="","",IFERROR(IF(INDEX(2_Participantes!$F$6:$F$305,MATCH(A229,2_Participantes!$A$6:$A$305,0))="","",INDEX(2_Participantes!$F$6:$F$305,MATCH(A229,2_Participantes!$A$6:$A$305,0))),"No registrado"))</f>
        <v/>
      </c>
      <c r="H229" s="84">
        <f>IF(A229="","",IFERROR(IF(INDEX(2_Participantes!$L$6:$L$305,MATCH(A229,2_Participantes!$A$6:$A$305,0))="","",INDEX(2_Participantes!$L$6:$L$305,MATCH(A229,2_Participantes!$A$6:$A$305,0))),""))</f>
        <v/>
      </c>
      <c r="I229" s="62">
        <f>IF(A229="","",IF(AND(ISNUMBER(C229),ISNUMBER(D229),G229&lt;&gt;"Excluido"),1,0))</f>
        <v/>
      </c>
      <c r="J229" s="76">
        <f>IF(A229="","",IF(G229="No registrado","Código ausente en 2_Participantes",IF(AND(ISNUMBER(D229),NOT(ISNUMBER(C229))),"Postest sin pretest (huérfano)",IF(OR(AND(ISNUMBER(C229),OR(C229&lt;Inicio!$C$18,C229&gt;Inicio!$C$19)),AND(ISNUMBER(D229),OR(D229&lt;Inicio!$C$18,D229&gt;Inicio!$C$19))),"Fuera de rango",IF(COUNTIF($A$6:$A$305,A229)&gt;1,"Código duplicado","OK")))))</f>
        <v/>
      </c>
    </row>
    <row r="230" ht="15" customHeight="1" s="42">
      <c r="A230" s="67" t="n"/>
      <c r="B230" s="61">
        <f>IF(A230="","",IFERROR(IF(INDEX(2_Participantes!$B$6:$B$305,MATCH(A230,2_Participantes!$A$6:$A$305,0))="","",INDEX(2_Participantes!$B$6:$B$305,MATCH(A230,2_Participantes!$A$6:$A$305,0))),"No registrado"))</f>
        <v/>
      </c>
      <c r="C230" s="52" t="n"/>
      <c r="D230" s="52" t="n"/>
      <c r="E230" s="63">
        <f>IF(AND(ISNUMBER(C230),ISNUMBER(D230)),D230-C230,"")</f>
        <v/>
      </c>
      <c r="F230" s="62">
        <f>IF(A230="","",IFERROR(IF(INDEX(2_Participantes!$E$6:$E$305,MATCH(A230,2_Participantes!$A$6:$A$305,0))="","",INDEX(2_Participantes!$E$6:$E$305,MATCH(A230,2_Participantes!$A$6:$A$305,0))),""))</f>
        <v/>
      </c>
      <c r="G230" s="61">
        <f>IF(A230="","",IFERROR(IF(INDEX(2_Participantes!$F$6:$F$305,MATCH(A230,2_Participantes!$A$6:$A$305,0))="","",INDEX(2_Participantes!$F$6:$F$305,MATCH(A230,2_Participantes!$A$6:$A$305,0))),"No registrado"))</f>
        <v/>
      </c>
      <c r="H230" s="84">
        <f>IF(A230="","",IFERROR(IF(INDEX(2_Participantes!$L$6:$L$305,MATCH(A230,2_Participantes!$A$6:$A$305,0))="","",INDEX(2_Participantes!$L$6:$L$305,MATCH(A230,2_Participantes!$A$6:$A$305,0))),""))</f>
        <v/>
      </c>
      <c r="I230" s="62">
        <f>IF(A230="","",IF(AND(ISNUMBER(C230),ISNUMBER(D230),G230&lt;&gt;"Excluido"),1,0))</f>
        <v/>
      </c>
      <c r="J230" s="76">
        <f>IF(A230="","",IF(G230="No registrado","Código ausente en 2_Participantes",IF(AND(ISNUMBER(D230),NOT(ISNUMBER(C230))),"Postest sin pretest (huérfano)",IF(OR(AND(ISNUMBER(C230),OR(C230&lt;Inicio!$C$18,C230&gt;Inicio!$C$19)),AND(ISNUMBER(D230),OR(D230&lt;Inicio!$C$18,D230&gt;Inicio!$C$19))),"Fuera de rango",IF(COUNTIF($A$6:$A$305,A230)&gt;1,"Código duplicado","OK")))))</f>
        <v/>
      </c>
    </row>
    <row r="231" ht="15" customHeight="1" s="42">
      <c r="A231" s="67" t="n"/>
      <c r="B231" s="61">
        <f>IF(A231="","",IFERROR(IF(INDEX(2_Participantes!$B$6:$B$305,MATCH(A231,2_Participantes!$A$6:$A$305,0))="","",INDEX(2_Participantes!$B$6:$B$305,MATCH(A231,2_Participantes!$A$6:$A$305,0))),"No registrado"))</f>
        <v/>
      </c>
      <c r="C231" s="52" t="n"/>
      <c r="D231" s="52" t="n"/>
      <c r="E231" s="63">
        <f>IF(AND(ISNUMBER(C231),ISNUMBER(D231)),D231-C231,"")</f>
        <v/>
      </c>
      <c r="F231" s="62">
        <f>IF(A231="","",IFERROR(IF(INDEX(2_Participantes!$E$6:$E$305,MATCH(A231,2_Participantes!$A$6:$A$305,0))="","",INDEX(2_Participantes!$E$6:$E$305,MATCH(A231,2_Participantes!$A$6:$A$305,0))),""))</f>
        <v/>
      </c>
      <c r="G231" s="61">
        <f>IF(A231="","",IFERROR(IF(INDEX(2_Participantes!$F$6:$F$305,MATCH(A231,2_Participantes!$A$6:$A$305,0))="","",INDEX(2_Participantes!$F$6:$F$305,MATCH(A231,2_Participantes!$A$6:$A$305,0))),"No registrado"))</f>
        <v/>
      </c>
      <c r="H231" s="84">
        <f>IF(A231="","",IFERROR(IF(INDEX(2_Participantes!$L$6:$L$305,MATCH(A231,2_Participantes!$A$6:$A$305,0))="","",INDEX(2_Participantes!$L$6:$L$305,MATCH(A231,2_Participantes!$A$6:$A$305,0))),""))</f>
        <v/>
      </c>
      <c r="I231" s="62">
        <f>IF(A231="","",IF(AND(ISNUMBER(C231),ISNUMBER(D231),G231&lt;&gt;"Excluido"),1,0))</f>
        <v/>
      </c>
      <c r="J231" s="76">
        <f>IF(A231="","",IF(G231="No registrado","Código ausente en 2_Participantes",IF(AND(ISNUMBER(D231),NOT(ISNUMBER(C231))),"Postest sin pretest (huérfano)",IF(OR(AND(ISNUMBER(C231),OR(C231&lt;Inicio!$C$18,C231&gt;Inicio!$C$19)),AND(ISNUMBER(D231),OR(D231&lt;Inicio!$C$18,D231&gt;Inicio!$C$19))),"Fuera de rango",IF(COUNTIF($A$6:$A$305,A231)&gt;1,"Código duplicado","OK")))))</f>
        <v/>
      </c>
    </row>
    <row r="232" ht="15" customHeight="1" s="42">
      <c r="A232" s="67" t="n"/>
      <c r="B232" s="61">
        <f>IF(A232="","",IFERROR(IF(INDEX(2_Participantes!$B$6:$B$305,MATCH(A232,2_Participantes!$A$6:$A$305,0))="","",INDEX(2_Participantes!$B$6:$B$305,MATCH(A232,2_Participantes!$A$6:$A$305,0))),"No registrado"))</f>
        <v/>
      </c>
      <c r="C232" s="52" t="n"/>
      <c r="D232" s="52" t="n"/>
      <c r="E232" s="63">
        <f>IF(AND(ISNUMBER(C232),ISNUMBER(D232)),D232-C232,"")</f>
        <v/>
      </c>
      <c r="F232" s="62">
        <f>IF(A232="","",IFERROR(IF(INDEX(2_Participantes!$E$6:$E$305,MATCH(A232,2_Participantes!$A$6:$A$305,0))="","",INDEX(2_Participantes!$E$6:$E$305,MATCH(A232,2_Participantes!$A$6:$A$305,0))),""))</f>
        <v/>
      </c>
      <c r="G232" s="61">
        <f>IF(A232="","",IFERROR(IF(INDEX(2_Participantes!$F$6:$F$305,MATCH(A232,2_Participantes!$A$6:$A$305,0))="","",INDEX(2_Participantes!$F$6:$F$305,MATCH(A232,2_Participantes!$A$6:$A$305,0))),"No registrado"))</f>
        <v/>
      </c>
      <c r="H232" s="84">
        <f>IF(A232="","",IFERROR(IF(INDEX(2_Participantes!$L$6:$L$305,MATCH(A232,2_Participantes!$A$6:$A$305,0))="","",INDEX(2_Participantes!$L$6:$L$305,MATCH(A232,2_Participantes!$A$6:$A$305,0))),""))</f>
        <v/>
      </c>
      <c r="I232" s="62">
        <f>IF(A232="","",IF(AND(ISNUMBER(C232),ISNUMBER(D232),G232&lt;&gt;"Excluido"),1,0))</f>
        <v/>
      </c>
      <c r="J232" s="76">
        <f>IF(A232="","",IF(G232="No registrado","Código ausente en 2_Participantes",IF(AND(ISNUMBER(D232),NOT(ISNUMBER(C232))),"Postest sin pretest (huérfano)",IF(OR(AND(ISNUMBER(C232),OR(C232&lt;Inicio!$C$18,C232&gt;Inicio!$C$19)),AND(ISNUMBER(D232),OR(D232&lt;Inicio!$C$18,D232&gt;Inicio!$C$19))),"Fuera de rango",IF(COUNTIF($A$6:$A$305,A232)&gt;1,"Código duplicado","OK")))))</f>
        <v/>
      </c>
    </row>
    <row r="233" ht="15" customHeight="1" s="42">
      <c r="A233" s="67" t="n"/>
      <c r="B233" s="61">
        <f>IF(A233="","",IFERROR(IF(INDEX(2_Participantes!$B$6:$B$305,MATCH(A233,2_Participantes!$A$6:$A$305,0))="","",INDEX(2_Participantes!$B$6:$B$305,MATCH(A233,2_Participantes!$A$6:$A$305,0))),"No registrado"))</f>
        <v/>
      </c>
      <c r="C233" s="52" t="n"/>
      <c r="D233" s="52" t="n"/>
      <c r="E233" s="63">
        <f>IF(AND(ISNUMBER(C233),ISNUMBER(D233)),D233-C233,"")</f>
        <v/>
      </c>
      <c r="F233" s="62">
        <f>IF(A233="","",IFERROR(IF(INDEX(2_Participantes!$E$6:$E$305,MATCH(A233,2_Participantes!$A$6:$A$305,0))="","",INDEX(2_Participantes!$E$6:$E$305,MATCH(A233,2_Participantes!$A$6:$A$305,0))),""))</f>
        <v/>
      </c>
      <c r="G233" s="61">
        <f>IF(A233="","",IFERROR(IF(INDEX(2_Participantes!$F$6:$F$305,MATCH(A233,2_Participantes!$A$6:$A$305,0))="","",INDEX(2_Participantes!$F$6:$F$305,MATCH(A233,2_Participantes!$A$6:$A$305,0))),"No registrado"))</f>
        <v/>
      </c>
      <c r="H233" s="84">
        <f>IF(A233="","",IFERROR(IF(INDEX(2_Participantes!$L$6:$L$305,MATCH(A233,2_Participantes!$A$6:$A$305,0))="","",INDEX(2_Participantes!$L$6:$L$305,MATCH(A233,2_Participantes!$A$6:$A$305,0))),""))</f>
        <v/>
      </c>
      <c r="I233" s="62">
        <f>IF(A233="","",IF(AND(ISNUMBER(C233),ISNUMBER(D233),G233&lt;&gt;"Excluido"),1,0))</f>
        <v/>
      </c>
      <c r="J233" s="76">
        <f>IF(A233="","",IF(G233="No registrado","Código ausente en 2_Participantes",IF(AND(ISNUMBER(D233),NOT(ISNUMBER(C233))),"Postest sin pretest (huérfano)",IF(OR(AND(ISNUMBER(C233),OR(C233&lt;Inicio!$C$18,C233&gt;Inicio!$C$19)),AND(ISNUMBER(D233),OR(D233&lt;Inicio!$C$18,D233&gt;Inicio!$C$19))),"Fuera de rango",IF(COUNTIF($A$6:$A$305,A233)&gt;1,"Código duplicado","OK")))))</f>
        <v/>
      </c>
    </row>
    <row r="234" ht="15" customHeight="1" s="42">
      <c r="A234" s="67" t="n"/>
      <c r="B234" s="61">
        <f>IF(A234="","",IFERROR(IF(INDEX(2_Participantes!$B$6:$B$305,MATCH(A234,2_Participantes!$A$6:$A$305,0))="","",INDEX(2_Participantes!$B$6:$B$305,MATCH(A234,2_Participantes!$A$6:$A$305,0))),"No registrado"))</f>
        <v/>
      </c>
      <c r="C234" s="52" t="n"/>
      <c r="D234" s="52" t="n"/>
      <c r="E234" s="63">
        <f>IF(AND(ISNUMBER(C234),ISNUMBER(D234)),D234-C234,"")</f>
        <v/>
      </c>
      <c r="F234" s="62">
        <f>IF(A234="","",IFERROR(IF(INDEX(2_Participantes!$E$6:$E$305,MATCH(A234,2_Participantes!$A$6:$A$305,0))="","",INDEX(2_Participantes!$E$6:$E$305,MATCH(A234,2_Participantes!$A$6:$A$305,0))),""))</f>
        <v/>
      </c>
      <c r="G234" s="61">
        <f>IF(A234="","",IFERROR(IF(INDEX(2_Participantes!$F$6:$F$305,MATCH(A234,2_Participantes!$A$6:$A$305,0))="","",INDEX(2_Participantes!$F$6:$F$305,MATCH(A234,2_Participantes!$A$6:$A$305,0))),"No registrado"))</f>
        <v/>
      </c>
      <c r="H234" s="84">
        <f>IF(A234="","",IFERROR(IF(INDEX(2_Participantes!$L$6:$L$305,MATCH(A234,2_Participantes!$A$6:$A$305,0))="","",INDEX(2_Participantes!$L$6:$L$305,MATCH(A234,2_Participantes!$A$6:$A$305,0))),""))</f>
        <v/>
      </c>
      <c r="I234" s="62">
        <f>IF(A234="","",IF(AND(ISNUMBER(C234),ISNUMBER(D234),G234&lt;&gt;"Excluido"),1,0))</f>
        <v/>
      </c>
      <c r="J234" s="76">
        <f>IF(A234="","",IF(G234="No registrado","Código ausente en 2_Participantes",IF(AND(ISNUMBER(D234),NOT(ISNUMBER(C234))),"Postest sin pretest (huérfano)",IF(OR(AND(ISNUMBER(C234),OR(C234&lt;Inicio!$C$18,C234&gt;Inicio!$C$19)),AND(ISNUMBER(D234),OR(D234&lt;Inicio!$C$18,D234&gt;Inicio!$C$19))),"Fuera de rango",IF(COUNTIF($A$6:$A$305,A234)&gt;1,"Código duplicado","OK")))))</f>
        <v/>
      </c>
    </row>
    <row r="235" ht="15" customHeight="1" s="42">
      <c r="A235" s="67" t="n"/>
      <c r="B235" s="61">
        <f>IF(A235="","",IFERROR(IF(INDEX(2_Participantes!$B$6:$B$305,MATCH(A235,2_Participantes!$A$6:$A$305,0))="","",INDEX(2_Participantes!$B$6:$B$305,MATCH(A235,2_Participantes!$A$6:$A$305,0))),"No registrado"))</f>
        <v/>
      </c>
      <c r="C235" s="52" t="n"/>
      <c r="D235" s="52" t="n"/>
      <c r="E235" s="63">
        <f>IF(AND(ISNUMBER(C235),ISNUMBER(D235)),D235-C235,"")</f>
        <v/>
      </c>
      <c r="F235" s="62">
        <f>IF(A235="","",IFERROR(IF(INDEX(2_Participantes!$E$6:$E$305,MATCH(A235,2_Participantes!$A$6:$A$305,0))="","",INDEX(2_Participantes!$E$6:$E$305,MATCH(A235,2_Participantes!$A$6:$A$305,0))),""))</f>
        <v/>
      </c>
      <c r="G235" s="61">
        <f>IF(A235="","",IFERROR(IF(INDEX(2_Participantes!$F$6:$F$305,MATCH(A235,2_Participantes!$A$6:$A$305,0))="","",INDEX(2_Participantes!$F$6:$F$305,MATCH(A235,2_Participantes!$A$6:$A$305,0))),"No registrado"))</f>
        <v/>
      </c>
      <c r="H235" s="84">
        <f>IF(A235="","",IFERROR(IF(INDEX(2_Participantes!$L$6:$L$305,MATCH(A235,2_Participantes!$A$6:$A$305,0))="","",INDEX(2_Participantes!$L$6:$L$305,MATCH(A235,2_Participantes!$A$6:$A$305,0))),""))</f>
        <v/>
      </c>
      <c r="I235" s="62">
        <f>IF(A235="","",IF(AND(ISNUMBER(C235),ISNUMBER(D235),G235&lt;&gt;"Excluido"),1,0))</f>
        <v/>
      </c>
      <c r="J235" s="76">
        <f>IF(A235="","",IF(G235="No registrado","Código ausente en 2_Participantes",IF(AND(ISNUMBER(D235),NOT(ISNUMBER(C235))),"Postest sin pretest (huérfano)",IF(OR(AND(ISNUMBER(C235),OR(C235&lt;Inicio!$C$18,C235&gt;Inicio!$C$19)),AND(ISNUMBER(D235),OR(D235&lt;Inicio!$C$18,D235&gt;Inicio!$C$19))),"Fuera de rango",IF(COUNTIF($A$6:$A$305,A235)&gt;1,"Código duplicado","OK")))))</f>
        <v/>
      </c>
    </row>
    <row r="236" ht="15" customHeight="1" s="42">
      <c r="A236" s="67" t="n"/>
      <c r="B236" s="61">
        <f>IF(A236="","",IFERROR(IF(INDEX(2_Participantes!$B$6:$B$305,MATCH(A236,2_Participantes!$A$6:$A$305,0))="","",INDEX(2_Participantes!$B$6:$B$305,MATCH(A236,2_Participantes!$A$6:$A$305,0))),"No registrado"))</f>
        <v/>
      </c>
      <c r="C236" s="52" t="n"/>
      <c r="D236" s="52" t="n"/>
      <c r="E236" s="63">
        <f>IF(AND(ISNUMBER(C236),ISNUMBER(D236)),D236-C236,"")</f>
        <v/>
      </c>
      <c r="F236" s="62">
        <f>IF(A236="","",IFERROR(IF(INDEX(2_Participantes!$E$6:$E$305,MATCH(A236,2_Participantes!$A$6:$A$305,0))="","",INDEX(2_Participantes!$E$6:$E$305,MATCH(A236,2_Participantes!$A$6:$A$305,0))),""))</f>
        <v/>
      </c>
      <c r="G236" s="61">
        <f>IF(A236="","",IFERROR(IF(INDEX(2_Participantes!$F$6:$F$305,MATCH(A236,2_Participantes!$A$6:$A$305,0))="","",INDEX(2_Participantes!$F$6:$F$305,MATCH(A236,2_Participantes!$A$6:$A$305,0))),"No registrado"))</f>
        <v/>
      </c>
      <c r="H236" s="84">
        <f>IF(A236="","",IFERROR(IF(INDEX(2_Participantes!$L$6:$L$305,MATCH(A236,2_Participantes!$A$6:$A$305,0))="","",INDEX(2_Participantes!$L$6:$L$305,MATCH(A236,2_Participantes!$A$6:$A$305,0))),""))</f>
        <v/>
      </c>
      <c r="I236" s="62">
        <f>IF(A236="","",IF(AND(ISNUMBER(C236),ISNUMBER(D236),G236&lt;&gt;"Excluido"),1,0))</f>
        <v/>
      </c>
      <c r="J236" s="76">
        <f>IF(A236="","",IF(G236="No registrado","Código ausente en 2_Participantes",IF(AND(ISNUMBER(D236),NOT(ISNUMBER(C236))),"Postest sin pretest (huérfano)",IF(OR(AND(ISNUMBER(C236),OR(C236&lt;Inicio!$C$18,C236&gt;Inicio!$C$19)),AND(ISNUMBER(D236),OR(D236&lt;Inicio!$C$18,D236&gt;Inicio!$C$19))),"Fuera de rango",IF(COUNTIF($A$6:$A$305,A236)&gt;1,"Código duplicado","OK")))))</f>
        <v/>
      </c>
    </row>
    <row r="237" ht="15" customHeight="1" s="42">
      <c r="A237" s="67" t="n"/>
      <c r="B237" s="61">
        <f>IF(A237="","",IFERROR(IF(INDEX(2_Participantes!$B$6:$B$305,MATCH(A237,2_Participantes!$A$6:$A$305,0))="","",INDEX(2_Participantes!$B$6:$B$305,MATCH(A237,2_Participantes!$A$6:$A$305,0))),"No registrado"))</f>
        <v/>
      </c>
      <c r="C237" s="52" t="n"/>
      <c r="D237" s="52" t="n"/>
      <c r="E237" s="63">
        <f>IF(AND(ISNUMBER(C237),ISNUMBER(D237)),D237-C237,"")</f>
        <v/>
      </c>
      <c r="F237" s="62">
        <f>IF(A237="","",IFERROR(IF(INDEX(2_Participantes!$E$6:$E$305,MATCH(A237,2_Participantes!$A$6:$A$305,0))="","",INDEX(2_Participantes!$E$6:$E$305,MATCH(A237,2_Participantes!$A$6:$A$305,0))),""))</f>
        <v/>
      </c>
      <c r="G237" s="61">
        <f>IF(A237="","",IFERROR(IF(INDEX(2_Participantes!$F$6:$F$305,MATCH(A237,2_Participantes!$A$6:$A$305,0))="","",INDEX(2_Participantes!$F$6:$F$305,MATCH(A237,2_Participantes!$A$6:$A$305,0))),"No registrado"))</f>
        <v/>
      </c>
      <c r="H237" s="84">
        <f>IF(A237="","",IFERROR(IF(INDEX(2_Participantes!$L$6:$L$305,MATCH(A237,2_Participantes!$A$6:$A$305,0))="","",INDEX(2_Participantes!$L$6:$L$305,MATCH(A237,2_Participantes!$A$6:$A$305,0))),""))</f>
        <v/>
      </c>
      <c r="I237" s="62">
        <f>IF(A237="","",IF(AND(ISNUMBER(C237),ISNUMBER(D237),G237&lt;&gt;"Excluido"),1,0))</f>
        <v/>
      </c>
      <c r="J237" s="76">
        <f>IF(A237="","",IF(G237="No registrado","Código ausente en 2_Participantes",IF(AND(ISNUMBER(D237),NOT(ISNUMBER(C237))),"Postest sin pretest (huérfano)",IF(OR(AND(ISNUMBER(C237),OR(C237&lt;Inicio!$C$18,C237&gt;Inicio!$C$19)),AND(ISNUMBER(D237),OR(D237&lt;Inicio!$C$18,D237&gt;Inicio!$C$19))),"Fuera de rango",IF(COUNTIF($A$6:$A$305,A237)&gt;1,"Código duplicado","OK")))))</f>
        <v/>
      </c>
    </row>
    <row r="238" ht="15" customHeight="1" s="42">
      <c r="A238" s="67" t="n"/>
      <c r="B238" s="61">
        <f>IF(A238="","",IFERROR(IF(INDEX(2_Participantes!$B$6:$B$305,MATCH(A238,2_Participantes!$A$6:$A$305,0))="","",INDEX(2_Participantes!$B$6:$B$305,MATCH(A238,2_Participantes!$A$6:$A$305,0))),"No registrado"))</f>
        <v/>
      </c>
      <c r="C238" s="52" t="n"/>
      <c r="D238" s="52" t="n"/>
      <c r="E238" s="63">
        <f>IF(AND(ISNUMBER(C238),ISNUMBER(D238)),D238-C238,"")</f>
        <v/>
      </c>
      <c r="F238" s="62">
        <f>IF(A238="","",IFERROR(IF(INDEX(2_Participantes!$E$6:$E$305,MATCH(A238,2_Participantes!$A$6:$A$305,0))="","",INDEX(2_Participantes!$E$6:$E$305,MATCH(A238,2_Participantes!$A$6:$A$305,0))),""))</f>
        <v/>
      </c>
      <c r="G238" s="61">
        <f>IF(A238="","",IFERROR(IF(INDEX(2_Participantes!$F$6:$F$305,MATCH(A238,2_Participantes!$A$6:$A$305,0))="","",INDEX(2_Participantes!$F$6:$F$305,MATCH(A238,2_Participantes!$A$6:$A$305,0))),"No registrado"))</f>
        <v/>
      </c>
      <c r="H238" s="84">
        <f>IF(A238="","",IFERROR(IF(INDEX(2_Participantes!$L$6:$L$305,MATCH(A238,2_Participantes!$A$6:$A$305,0))="","",INDEX(2_Participantes!$L$6:$L$305,MATCH(A238,2_Participantes!$A$6:$A$305,0))),""))</f>
        <v/>
      </c>
      <c r="I238" s="62">
        <f>IF(A238="","",IF(AND(ISNUMBER(C238),ISNUMBER(D238),G238&lt;&gt;"Excluido"),1,0))</f>
        <v/>
      </c>
      <c r="J238" s="76">
        <f>IF(A238="","",IF(G238="No registrado","Código ausente en 2_Participantes",IF(AND(ISNUMBER(D238),NOT(ISNUMBER(C238))),"Postest sin pretest (huérfano)",IF(OR(AND(ISNUMBER(C238),OR(C238&lt;Inicio!$C$18,C238&gt;Inicio!$C$19)),AND(ISNUMBER(D238),OR(D238&lt;Inicio!$C$18,D238&gt;Inicio!$C$19))),"Fuera de rango",IF(COUNTIF($A$6:$A$305,A238)&gt;1,"Código duplicado","OK")))))</f>
        <v/>
      </c>
    </row>
    <row r="239" ht="15" customHeight="1" s="42">
      <c r="A239" s="67" t="n"/>
      <c r="B239" s="61">
        <f>IF(A239="","",IFERROR(IF(INDEX(2_Participantes!$B$6:$B$305,MATCH(A239,2_Participantes!$A$6:$A$305,0))="","",INDEX(2_Participantes!$B$6:$B$305,MATCH(A239,2_Participantes!$A$6:$A$305,0))),"No registrado"))</f>
        <v/>
      </c>
      <c r="C239" s="52" t="n"/>
      <c r="D239" s="52" t="n"/>
      <c r="E239" s="63">
        <f>IF(AND(ISNUMBER(C239),ISNUMBER(D239)),D239-C239,"")</f>
        <v/>
      </c>
      <c r="F239" s="62">
        <f>IF(A239="","",IFERROR(IF(INDEX(2_Participantes!$E$6:$E$305,MATCH(A239,2_Participantes!$A$6:$A$305,0))="","",INDEX(2_Participantes!$E$6:$E$305,MATCH(A239,2_Participantes!$A$6:$A$305,0))),""))</f>
        <v/>
      </c>
      <c r="G239" s="61">
        <f>IF(A239="","",IFERROR(IF(INDEX(2_Participantes!$F$6:$F$305,MATCH(A239,2_Participantes!$A$6:$A$305,0))="","",INDEX(2_Participantes!$F$6:$F$305,MATCH(A239,2_Participantes!$A$6:$A$305,0))),"No registrado"))</f>
        <v/>
      </c>
      <c r="H239" s="84">
        <f>IF(A239="","",IFERROR(IF(INDEX(2_Participantes!$L$6:$L$305,MATCH(A239,2_Participantes!$A$6:$A$305,0))="","",INDEX(2_Participantes!$L$6:$L$305,MATCH(A239,2_Participantes!$A$6:$A$305,0))),""))</f>
        <v/>
      </c>
      <c r="I239" s="62">
        <f>IF(A239="","",IF(AND(ISNUMBER(C239),ISNUMBER(D239),G239&lt;&gt;"Excluido"),1,0))</f>
        <v/>
      </c>
      <c r="J239" s="76">
        <f>IF(A239="","",IF(G239="No registrado","Código ausente en 2_Participantes",IF(AND(ISNUMBER(D239),NOT(ISNUMBER(C239))),"Postest sin pretest (huérfano)",IF(OR(AND(ISNUMBER(C239),OR(C239&lt;Inicio!$C$18,C239&gt;Inicio!$C$19)),AND(ISNUMBER(D239),OR(D239&lt;Inicio!$C$18,D239&gt;Inicio!$C$19))),"Fuera de rango",IF(COUNTIF($A$6:$A$305,A239)&gt;1,"Código duplicado","OK")))))</f>
        <v/>
      </c>
    </row>
    <row r="240" ht="15" customHeight="1" s="42">
      <c r="A240" s="67" t="n"/>
      <c r="B240" s="61">
        <f>IF(A240="","",IFERROR(IF(INDEX(2_Participantes!$B$6:$B$305,MATCH(A240,2_Participantes!$A$6:$A$305,0))="","",INDEX(2_Participantes!$B$6:$B$305,MATCH(A240,2_Participantes!$A$6:$A$305,0))),"No registrado"))</f>
        <v/>
      </c>
      <c r="C240" s="52" t="n"/>
      <c r="D240" s="52" t="n"/>
      <c r="E240" s="63">
        <f>IF(AND(ISNUMBER(C240),ISNUMBER(D240)),D240-C240,"")</f>
        <v/>
      </c>
      <c r="F240" s="62">
        <f>IF(A240="","",IFERROR(IF(INDEX(2_Participantes!$E$6:$E$305,MATCH(A240,2_Participantes!$A$6:$A$305,0))="","",INDEX(2_Participantes!$E$6:$E$305,MATCH(A240,2_Participantes!$A$6:$A$305,0))),""))</f>
        <v/>
      </c>
      <c r="G240" s="61">
        <f>IF(A240="","",IFERROR(IF(INDEX(2_Participantes!$F$6:$F$305,MATCH(A240,2_Participantes!$A$6:$A$305,0))="","",INDEX(2_Participantes!$F$6:$F$305,MATCH(A240,2_Participantes!$A$6:$A$305,0))),"No registrado"))</f>
        <v/>
      </c>
      <c r="H240" s="84">
        <f>IF(A240="","",IFERROR(IF(INDEX(2_Participantes!$L$6:$L$305,MATCH(A240,2_Participantes!$A$6:$A$305,0))="","",INDEX(2_Participantes!$L$6:$L$305,MATCH(A240,2_Participantes!$A$6:$A$305,0))),""))</f>
        <v/>
      </c>
      <c r="I240" s="62">
        <f>IF(A240="","",IF(AND(ISNUMBER(C240),ISNUMBER(D240),G240&lt;&gt;"Excluido"),1,0))</f>
        <v/>
      </c>
      <c r="J240" s="76">
        <f>IF(A240="","",IF(G240="No registrado","Código ausente en 2_Participantes",IF(AND(ISNUMBER(D240),NOT(ISNUMBER(C240))),"Postest sin pretest (huérfano)",IF(OR(AND(ISNUMBER(C240),OR(C240&lt;Inicio!$C$18,C240&gt;Inicio!$C$19)),AND(ISNUMBER(D240),OR(D240&lt;Inicio!$C$18,D240&gt;Inicio!$C$19))),"Fuera de rango",IF(COUNTIF($A$6:$A$305,A240)&gt;1,"Código duplicado","OK")))))</f>
        <v/>
      </c>
    </row>
    <row r="241" ht="15" customHeight="1" s="42">
      <c r="A241" s="67" t="n"/>
      <c r="B241" s="61">
        <f>IF(A241="","",IFERROR(IF(INDEX(2_Participantes!$B$6:$B$305,MATCH(A241,2_Participantes!$A$6:$A$305,0))="","",INDEX(2_Participantes!$B$6:$B$305,MATCH(A241,2_Participantes!$A$6:$A$305,0))),"No registrado"))</f>
        <v/>
      </c>
      <c r="C241" s="52" t="n"/>
      <c r="D241" s="52" t="n"/>
      <c r="E241" s="63">
        <f>IF(AND(ISNUMBER(C241),ISNUMBER(D241)),D241-C241,"")</f>
        <v/>
      </c>
      <c r="F241" s="62">
        <f>IF(A241="","",IFERROR(IF(INDEX(2_Participantes!$E$6:$E$305,MATCH(A241,2_Participantes!$A$6:$A$305,0))="","",INDEX(2_Participantes!$E$6:$E$305,MATCH(A241,2_Participantes!$A$6:$A$305,0))),""))</f>
        <v/>
      </c>
      <c r="G241" s="61">
        <f>IF(A241="","",IFERROR(IF(INDEX(2_Participantes!$F$6:$F$305,MATCH(A241,2_Participantes!$A$6:$A$305,0))="","",INDEX(2_Participantes!$F$6:$F$305,MATCH(A241,2_Participantes!$A$6:$A$305,0))),"No registrado"))</f>
        <v/>
      </c>
      <c r="H241" s="84">
        <f>IF(A241="","",IFERROR(IF(INDEX(2_Participantes!$L$6:$L$305,MATCH(A241,2_Participantes!$A$6:$A$305,0))="","",INDEX(2_Participantes!$L$6:$L$305,MATCH(A241,2_Participantes!$A$6:$A$305,0))),""))</f>
        <v/>
      </c>
      <c r="I241" s="62">
        <f>IF(A241="","",IF(AND(ISNUMBER(C241),ISNUMBER(D241),G241&lt;&gt;"Excluido"),1,0))</f>
        <v/>
      </c>
      <c r="J241" s="76">
        <f>IF(A241="","",IF(G241="No registrado","Código ausente en 2_Participantes",IF(AND(ISNUMBER(D241),NOT(ISNUMBER(C241))),"Postest sin pretest (huérfano)",IF(OR(AND(ISNUMBER(C241),OR(C241&lt;Inicio!$C$18,C241&gt;Inicio!$C$19)),AND(ISNUMBER(D241),OR(D241&lt;Inicio!$C$18,D241&gt;Inicio!$C$19))),"Fuera de rango",IF(COUNTIF($A$6:$A$305,A241)&gt;1,"Código duplicado","OK")))))</f>
        <v/>
      </c>
    </row>
    <row r="242" ht="15" customHeight="1" s="42">
      <c r="A242" s="67" t="n"/>
      <c r="B242" s="61">
        <f>IF(A242="","",IFERROR(IF(INDEX(2_Participantes!$B$6:$B$305,MATCH(A242,2_Participantes!$A$6:$A$305,0))="","",INDEX(2_Participantes!$B$6:$B$305,MATCH(A242,2_Participantes!$A$6:$A$305,0))),"No registrado"))</f>
        <v/>
      </c>
      <c r="C242" s="52" t="n"/>
      <c r="D242" s="52" t="n"/>
      <c r="E242" s="63">
        <f>IF(AND(ISNUMBER(C242),ISNUMBER(D242)),D242-C242,"")</f>
        <v/>
      </c>
      <c r="F242" s="62">
        <f>IF(A242="","",IFERROR(IF(INDEX(2_Participantes!$E$6:$E$305,MATCH(A242,2_Participantes!$A$6:$A$305,0))="","",INDEX(2_Participantes!$E$6:$E$305,MATCH(A242,2_Participantes!$A$6:$A$305,0))),""))</f>
        <v/>
      </c>
      <c r="G242" s="61">
        <f>IF(A242="","",IFERROR(IF(INDEX(2_Participantes!$F$6:$F$305,MATCH(A242,2_Participantes!$A$6:$A$305,0))="","",INDEX(2_Participantes!$F$6:$F$305,MATCH(A242,2_Participantes!$A$6:$A$305,0))),"No registrado"))</f>
        <v/>
      </c>
      <c r="H242" s="84">
        <f>IF(A242="","",IFERROR(IF(INDEX(2_Participantes!$L$6:$L$305,MATCH(A242,2_Participantes!$A$6:$A$305,0))="","",INDEX(2_Participantes!$L$6:$L$305,MATCH(A242,2_Participantes!$A$6:$A$305,0))),""))</f>
        <v/>
      </c>
      <c r="I242" s="62">
        <f>IF(A242="","",IF(AND(ISNUMBER(C242),ISNUMBER(D242),G242&lt;&gt;"Excluido"),1,0))</f>
        <v/>
      </c>
      <c r="J242" s="76">
        <f>IF(A242="","",IF(G242="No registrado","Código ausente en 2_Participantes",IF(AND(ISNUMBER(D242),NOT(ISNUMBER(C242))),"Postest sin pretest (huérfano)",IF(OR(AND(ISNUMBER(C242),OR(C242&lt;Inicio!$C$18,C242&gt;Inicio!$C$19)),AND(ISNUMBER(D242),OR(D242&lt;Inicio!$C$18,D242&gt;Inicio!$C$19))),"Fuera de rango",IF(COUNTIF($A$6:$A$305,A242)&gt;1,"Código duplicado","OK")))))</f>
        <v/>
      </c>
    </row>
    <row r="243" ht="15" customHeight="1" s="42">
      <c r="A243" s="67" t="n"/>
      <c r="B243" s="61">
        <f>IF(A243="","",IFERROR(IF(INDEX(2_Participantes!$B$6:$B$305,MATCH(A243,2_Participantes!$A$6:$A$305,0))="","",INDEX(2_Participantes!$B$6:$B$305,MATCH(A243,2_Participantes!$A$6:$A$305,0))),"No registrado"))</f>
        <v/>
      </c>
      <c r="C243" s="52" t="n"/>
      <c r="D243" s="52" t="n"/>
      <c r="E243" s="63">
        <f>IF(AND(ISNUMBER(C243),ISNUMBER(D243)),D243-C243,"")</f>
        <v/>
      </c>
      <c r="F243" s="62">
        <f>IF(A243="","",IFERROR(IF(INDEX(2_Participantes!$E$6:$E$305,MATCH(A243,2_Participantes!$A$6:$A$305,0))="","",INDEX(2_Participantes!$E$6:$E$305,MATCH(A243,2_Participantes!$A$6:$A$305,0))),""))</f>
        <v/>
      </c>
      <c r="G243" s="61">
        <f>IF(A243="","",IFERROR(IF(INDEX(2_Participantes!$F$6:$F$305,MATCH(A243,2_Participantes!$A$6:$A$305,0))="","",INDEX(2_Participantes!$F$6:$F$305,MATCH(A243,2_Participantes!$A$6:$A$305,0))),"No registrado"))</f>
        <v/>
      </c>
      <c r="H243" s="84">
        <f>IF(A243="","",IFERROR(IF(INDEX(2_Participantes!$L$6:$L$305,MATCH(A243,2_Participantes!$A$6:$A$305,0))="","",INDEX(2_Participantes!$L$6:$L$305,MATCH(A243,2_Participantes!$A$6:$A$305,0))),""))</f>
        <v/>
      </c>
      <c r="I243" s="62">
        <f>IF(A243="","",IF(AND(ISNUMBER(C243),ISNUMBER(D243),G243&lt;&gt;"Excluido"),1,0))</f>
        <v/>
      </c>
      <c r="J243" s="76">
        <f>IF(A243="","",IF(G243="No registrado","Código ausente en 2_Participantes",IF(AND(ISNUMBER(D243),NOT(ISNUMBER(C243))),"Postest sin pretest (huérfano)",IF(OR(AND(ISNUMBER(C243),OR(C243&lt;Inicio!$C$18,C243&gt;Inicio!$C$19)),AND(ISNUMBER(D243),OR(D243&lt;Inicio!$C$18,D243&gt;Inicio!$C$19))),"Fuera de rango",IF(COUNTIF($A$6:$A$305,A243)&gt;1,"Código duplicado","OK")))))</f>
        <v/>
      </c>
    </row>
    <row r="244" ht="15" customHeight="1" s="42">
      <c r="A244" s="67" t="n"/>
      <c r="B244" s="61">
        <f>IF(A244="","",IFERROR(IF(INDEX(2_Participantes!$B$6:$B$305,MATCH(A244,2_Participantes!$A$6:$A$305,0))="","",INDEX(2_Participantes!$B$6:$B$305,MATCH(A244,2_Participantes!$A$6:$A$305,0))),"No registrado"))</f>
        <v/>
      </c>
      <c r="C244" s="52" t="n"/>
      <c r="D244" s="52" t="n"/>
      <c r="E244" s="63">
        <f>IF(AND(ISNUMBER(C244),ISNUMBER(D244)),D244-C244,"")</f>
        <v/>
      </c>
      <c r="F244" s="62">
        <f>IF(A244="","",IFERROR(IF(INDEX(2_Participantes!$E$6:$E$305,MATCH(A244,2_Participantes!$A$6:$A$305,0))="","",INDEX(2_Participantes!$E$6:$E$305,MATCH(A244,2_Participantes!$A$6:$A$305,0))),""))</f>
        <v/>
      </c>
      <c r="G244" s="61">
        <f>IF(A244="","",IFERROR(IF(INDEX(2_Participantes!$F$6:$F$305,MATCH(A244,2_Participantes!$A$6:$A$305,0))="","",INDEX(2_Participantes!$F$6:$F$305,MATCH(A244,2_Participantes!$A$6:$A$305,0))),"No registrado"))</f>
        <v/>
      </c>
      <c r="H244" s="84">
        <f>IF(A244="","",IFERROR(IF(INDEX(2_Participantes!$L$6:$L$305,MATCH(A244,2_Participantes!$A$6:$A$305,0))="","",INDEX(2_Participantes!$L$6:$L$305,MATCH(A244,2_Participantes!$A$6:$A$305,0))),""))</f>
        <v/>
      </c>
      <c r="I244" s="62">
        <f>IF(A244="","",IF(AND(ISNUMBER(C244),ISNUMBER(D244),G244&lt;&gt;"Excluido"),1,0))</f>
        <v/>
      </c>
      <c r="J244" s="76">
        <f>IF(A244="","",IF(G244="No registrado","Código ausente en 2_Participantes",IF(AND(ISNUMBER(D244),NOT(ISNUMBER(C244))),"Postest sin pretest (huérfano)",IF(OR(AND(ISNUMBER(C244),OR(C244&lt;Inicio!$C$18,C244&gt;Inicio!$C$19)),AND(ISNUMBER(D244),OR(D244&lt;Inicio!$C$18,D244&gt;Inicio!$C$19))),"Fuera de rango",IF(COUNTIF($A$6:$A$305,A244)&gt;1,"Código duplicado","OK")))))</f>
        <v/>
      </c>
    </row>
    <row r="245" ht="15" customHeight="1" s="42">
      <c r="A245" s="67" t="n"/>
      <c r="B245" s="61">
        <f>IF(A245="","",IFERROR(IF(INDEX(2_Participantes!$B$6:$B$305,MATCH(A245,2_Participantes!$A$6:$A$305,0))="","",INDEX(2_Participantes!$B$6:$B$305,MATCH(A245,2_Participantes!$A$6:$A$305,0))),"No registrado"))</f>
        <v/>
      </c>
      <c r="C245" s="52" t="n"/>
      <c r="D245" s="52" t="n"/>
      <c r="E245" s="63">
        <f>IF(AND(ISNUMBER(C245),ISNUMBER(D245)),D245-C245,"")</f>
        <v/>
      </c>
      <c r="F245" s="62">
        <f>IF(A245="","",IFERROR(IF(INDEX(2_Participantes!$E$6:$E$305,MATCH(A245,2_Participantes!$A$6:$A$305,0))="","",INDEX(2_Participantes!$E$6:$E$305,MATCH(A245,2_Participantes!$A$6:$A$305,0))),""))</f>
        <v/>
      </c>
      <c r="G245" s="61">
        <f>IF(A245="","",IFERROR(IF(INDEX(2_Participantes!$F$6:$F$305,MATCH(A245,2_Participantes!$A$6:$A$305,0))="","",INDEX(2_Participantes!$F$6:$F$305,MATCH(A245,2_Participantes!$A$6:$A$305,0))),"No registrado"))</f>
        <v/>
      </c>
      <c r="H245" s="84">
        <f>IF(A245="","",IFERROR(IF(INDEX(2_Participantes!$L$6:$L$305,MATCH(A245,2_Participantes!$A$6:$A$305,0))="","",INDEX(2_Participantes!$L$6:$L$305,MATCH(A245,2_Participantes!$A$6:$A$305,0))),""))</f>
        <v/>
      </c>
      <c r="I245" s="62">
        <f>IF(A245="","",IF(AND(ISNUMBER(C245),ISNUMBER(D245),G245&lt;&gt;"Excluido"),1,0))</f>
        <v/>
      </c>
      <c r="J245" s="76">
        <f>IF(A245="","",IF(G245="No registrado","Código ausente en 2_Participantes",IF(AND(ISNUMBER(D245),NOT(ISNUMBER(C245))),"Postest sin pretest (huérfano)",IF(OR(AND(ISNUMBER(C245),OR(C245&lt;Inicio!$C$18,C245&gt;Inicio!$C$19)),AND(ISNUMBER(D245),OR(D245&lt;Inicio!$C$18,D245&gt;Inicio!$C$19))),"Fuera de rango",IF(COUNTIF($A$6:$A$305,A245)&gt;1,"Código duplicado","OK")))))</f>
        <v/>
      </c>
    </row>
    <row r="246" ht="15" customHeight="1" s="42">
      <c r="A246" s="67" t="n"/>
      <c r="B246" s="61">
        <f>IF(A246="","",IFERROR(IF(INDEX(2_Participantes!$B$6:$B$305,MATCH(A246,2_Participantes!$A$6:$A$305,0))="","",INDEX(2_Participantes!$B$6:$B$305,MATCH(A246,2_Participantes!$A$6:$A$305,0))),"No registrado"))</f>
        <v/>
      </c>
      <c r="C246" s="52" t="n"/>
      <c r="D246" s="52" t="n"/>
      <c r="E246" s="63">
        <f>IF(AND(ISNUMBER(C246),ISNUMBER(D246)),D246-C246,"")</f>
        <v/>
      </c>
      <c r="F246" s="62">
        <f>IF(A246="","",IFERROR(IF(INDEX(2_Participantes!$E$6:$E$305,MATCH(A246,2_Participantes!$A$6:$A$305,0))="","",INDEX(2_Participantes!$E$6:$E$305,MATCH(A246,2_Participantes!$A$6:$A$305,0))),""))</f>
        <v/>
      </c>
      <c r="G246" s="61">
        <f>IF(A246="","",IFERROR(IF(INDEX(2_Participantes!$F$6:$F$305,MATCH(A246,2_Participantes!$A$6:$A$305,0))="","",INDEX(2_Participantes!$F$6:$F$305,MATCH(A246,2_Participantes!$A$6:$A$305,0))),"No registrado"))</f>
        <v/>
      </c>
      <c r="H246" s="84">
        <f>IF(A246="","",IFERROR(IF(INDEX(2_Participantes!$L$6:$L$305,MATCH(A246,2_Participantes!$A$6:$A$305,0))="","",INDEX(2_Participantes!$L$6:$L$305,MATCH(A246,2_Participantes!$A$6:$A$305,0))),""))</f>
        <v/>
      </c>
      <c r="I246" s="62">
        <f>IF(A246="","",IF(AND(ISNUMBER(C246),ISNUMBER(D246),G246&lt;&gt;"Excluido"),1,0))</f>
        <v/>
      </c>
      <c r="J246" s="76">
        <f>IF(A246="","",IF(G246="No registrado","Código ausente en 2_Participantes",IF(AND(ISNUMBER(D246),NOT(ISNUMBER(C246))),"Postest sin pretest (huérfano)",IF(OR(AND(ISNUMBER(C246),OR(C246&lt;Inicio!$C$18,C246&gt;Inicio!$C$19)),AND(ISNUMBER(D246),OR(D246&lt;Inicio!$C$18,D246&gt;Inicio!$C$19))),"Fuera de rango",IF(COUNTIF($A$6:$A$305,A246)&gt;1,"Código duplicado","OK")))))</f>
        <v/>
      </c>
    </row>
    <row r="247" ht="15" customHeight="1" s="42">
      <c r="A247" s="67" t="n"/>
      <c r="B247" s="61">
        <f>IF(A247="","",IFERROR(IF(INDEX(2_Participantes!$B$6:$B$305,MATCH(A247,2_Participantes!$A$6:$A$305,0))="","",INDEX(2_Participantes!$B$6:$B$305,MATCH(A247,2_Participantes!$A$6:$A$305,0))),"No registrado"))</f>
        <v/>
      </c>
      <c r="C247" s="52" t="n"/>
      <c r="D247" s="52" t="n"/>
      <c r="E247" s="63">
        <f>IF(AND(ISNUMBER(C247),ISNUMBER(D247)),D247-C247,"")</f>
        <v/>
      </c>
      <c r="F247" s="62">
        <f>IF(A247="","",IFERROR(IF(INDEX(2_Participantes!$E$6:$E$305,MATCH(A247,2_Participantes!$A$6:$A$305,0))="","",INDEX(2_Participantes!$E$6:$E$305,MATCH(A247,2_Participantes!$A$6:$A$305,0))),""))</f>
        <v/>
      </c>
      <c r="G247" s="61">
        <f>IF(A247="","",IFERROR(IF(INDEX(2_Participantes!$F$6:$F$305,MATCH(A247,2_Participantes!$A$6:$A$305,0))="","",INDEX(2_Participantes!$F$6:$F$305,MATCH(A247,2_Participantes!$A$6:$A$305,0))),"No registrado"))</f>
        <v/>
      </c>
      <c r="H247" s="84">
        <f>IF(A247="","",IFERROR(IF(INDEX(2_Participantes!$L$6:$L$305,MATCH(A247,2_Participantes!$A$6:$A$305,0))="","",INDEX(2_Participantes!$L$6:$L$305,MATCH(A247,2_Participantes!$A$6:$A$305,0))),""))</f>
        <v/>
      </c>
      <c r="I247" s="62">
        <f>IF(A247="","",IF(AND(ISNUMBER(C247),ISNUMBER(D247),G247&lt;&gt;"Excluido"),1,0))</f>
        <v/>
      </c>
      <c r="J247" s="76">
        <f>IF(A247="","",IF(G247="No registrado","Código ausente en 2_Participantes",IF(AND(ISNUMBER(D247),NOT(ISNUMBER(C247))),"Postest sin pretest (huérfano)",IF(OR(AND(ISNUMBER(C247),OR(C247&lt;Inicio!$C$18,C247&gt;Inicio!$C$19)),AND(ISNUMBER(D247),OR(D247&lt;Inicio!$C$18,D247&gt;Inicio!$C$19))),"Fuera de rango",IF(COUNTIF($A$6:$A$305,A247)&gt;1,"Código duplicado","OK")))))</f>
        <v/>
      </c>
    </row>
    <row r="248" ht="15" customHeight="1" s="42">
      <c r="A248" s="67" t="n"/>
      <c r="B248" s="61">
        <f>IF(A248="","",IFERROR(IF(INDEX(2_Participantes!$B$6:$B$305,MATCH(A248,2_Participantes!$A$6:$A$305,0))="","",INDEX(2_Participantes!$B$6:$B$305,MATCH(A248,2_Participantes!$A$6:$A$305,0))),"No registrado"))</f>
        <v/>
      </c>
      <c r="C248" s="52" t="n"/>
      <c r="D248" s="52" t="n"/>
      <c r="E248" s="63">
        <f>IF(AND(ISNUMBER(C248),ISNUMBER(D248)),D248-C248,"")</f>
        <v/>
      </c>
      <c r="F248" s="62">
        <f>IF(A248="","",IFERROR(IF(INDEX(2_Participantes!$E$6:$E$305,MATCH(A248,2_Participantes!$A$6:$A$305,0))="","",INDEX(2_Participantes!$E$6:$E$305,MATCH(A248,2_Participantes!$A$6:$A$305,0))),""))</f>
        <v/>
      </c>
      <c r="G248" s="61">
        <f>IF(A248="","",IFERROR(IF(INDEX(2_Participantes!$F$6:$F$305,MATCH(A248,2_Participantes!$A$6:$A$305,0))="","",INDEX(2_Participantes!$F$6:$F$305,MATCH(A248,2_Participantes!$A$6:$A$305,0))),"No registrado"))</f>
        <v/>
      </c>
      <c r="H248" s="84">
        <f>IF(A248="","",IFERROR(IF(INDEX(2_Participantes!$L$6:$L$305,MATCH(A248,2_Participantes!$A$6:$A$305,0))="","",INDEX(2_Participantes!$L$6:$L$305,MATCH(A248,2_Participantes!$A$6:$A$305,0))),""))</f>
        <v/>
      </c>
      <c r="I248" s="62">
        <f>IF(A248="","",IF(AND(ISNUMBER(C248),ISNUMBER(D248),G248&lt;&gt;"Excluido"),1,0))</f>
        <v/>
      </c>
      <c r="J248" s="76">
        <f>IF(A248="","",IF(G248="No registrado","Código ausente en 2_Participantes",IF(AND(ISNUMBER(D248),NOT(ISNUMBER(C248))),"Postest sin pretest (huérfano)",IF(OR(AND(ISNUMBER(C248),OR(C248&lt;Inicio!$C$18,C248&gt;Inicio!$C$19)),AND(ISNUMBER(D248),OR(D248&lt;Inicio!$C$18,D248&gt;Inicio!$C$19))),"Fuera de rango",IF(COUNTIF($A$6:$A$305,A248)&gt;1,"Código duplicado","OK")))))</f>
        <v/>
      </c>
    </row>
    <row r="249" ht="15" customHeight="1" s="42">
      <c r="A249" s="67" t="n"/>
      <c r="B249" s="61">
        <f>IF(A249="","",IFERROR(IF(INDEX(2_Participantes!$B$6:$B$305,MATCH(A249,2_Participantes!$A$6:$A$305,0))="","",INDEX(2_Participantes!$B$6:$B$305,MATCH(A249,2_Participantes!$A$6:$A$305,0))),"No registrado"))</f>
        <v/>
      </c>
      <c r="C249" s="52" t="n"/>
      <c r="D249" s="52" t="n"/>
      <c r="E249" s="63">
        <f>IF(AND(ISNUMBER(C249),ISNUMBER(D249)),D249-C249,"")</f>
        <v/>
      </c>
      <c r="F249" s="62">
        <f>IF(A249="","",IFERROR(IF(INDEX(2_Participantes!$E$6:$E$305,MATCH(A249,2_Participantes!$A$6:$A$305,0))="","",INDEX(2_Participantes!$E$6:$E$305,MATCH(A249,2_Participantes!$A$6:$A$305,0))),""))</f>
        <v/>
      </c>
      <c r="G249" s="61">
        <f>IF(A249="","",IFERROR(IF(INDEX(2_Participantes!$F$6:$F$305,MATCH(A249,2_Participantes!$A$6:$A$305,0))="","",INDEX(2_Participantes!$F$6:$F$305,MATCH(A249,2_Participantes!$A$6:$A$305,0))),"No registrado"))</f>
        <v/>
      </c>
      <c r="H249" s="84">
        <f>IF(A249="","",IFERROR(IF(INDEX(2_Participantes!$L$6:$L$305,MATCH(A249,2_Participantes!$A$6:$A$305,0))="","",INDEX(2_Participantes!$L$6:$L$305,MATCH(A249,2_Participantes!$A$6:$A$305,0))),""))</f>
        <v/>
      </c>
      <c r="I249" s="62">
        <f>IF(A249="","",IF(AND(ISNUMBER(C249),ISNUMBER(D249),G249&lt;&gt;"Excluido"),1,0))</f>
        <v/>
      </c>
      <c r="J249" s="76">
        <f>IF(A249="","",IF(G249="No registrado","Código ausente en 2_Participantes",IF(AND(ISNUMBER(D249),NOT(ISNUMBER(C249))),"Postest sin pretest (huérfano)",IF(OR(AND(ISNUMBER(C249),OR(C249&lt;Inicio!$C$18,C249&gt;Inicio!$C$19)),AND(ISNUMBER(D249),OR(D249&lt;Inicio!$C$18,D249&gt;Inicio!$C$19))),"Fuera de rango",IF(COUNTIF($A$6:$A$305,A249)&gt;1,"Código duplicado","OK")))))</f>
        <v/>
      </c>
    </row>
    <row r="250" ht="15" customHeight="1" s="42">
      <c r="A250" s="67" t="n"/>
      <c r="B250" s="61">
        <f>IF(A250="","",IFERROR(IF(INDEX(2_Participantes!$B$6:$B$305,MATCH(A250,2_Participantes!$A$6:$A$305,0))="","",INDEX(2_Participantes!$B$6:$B$305,MATCH(A250,2_Participantes!$A$6:$A$305,0))),"No registrado"))</f>
        <v/>
      </c>
      <c r="C250" s="52" t="n"/>
      <c r="D250" s="52" t="n"/>
      <c r="E250" s="63">
        <f>IF(AND(ISNUMBER(C250),ISNUMBER(D250)),D250-C250,"")</f>
        <v/>
      </c>
      <c r="F250" s="62">
        <f>IF(A250="","",IFERROR(IF(INDEX(2_Participantes!$E$6:$E$305,MATCH(A250,2_Participantes!$A$6:$A$305,0))="","",INDEX(2_Participantes!$E$6:$E$305,MATCH(A250,2_Participantes!$A$6:$A$305,0))),""))</f>
        <v/>
      </c>
      <c r="G250" s="61">
        <f>IF(A250="","",IFERROR(IF(INDEX(2_Participantes!$F$6:$F$305,MATCH(A250,2_Participantes!$A$6:$A$305,0))="","",INDEX(2_Participantes!$F$6:$F$305,MATCH(A250,2_Participantes!$A$6:$A$305,0))),"No registrado"))</f>
        <v/>
      </c>
      <c r="H250" s="84">
        <f>IF(A250="","",IFERROR(IF(INDEX(2_Participantes!$L$6:$L$305,MATCH(A250,2_Participantes!$A$6:$A$305,0))="","",INDEX(2_Participantes!$L$6:$L$305,MATCH(A250,2_Participantes!$A$6:$A$305,0))),""))</f>
        <v/>
      </c>
      <c r="I250" s="62">
        <f>IF(A250="","",IF(AND(ISNUMBER(C250),ISNUMBER(D250),G250&lt;&gt;"Excluido"),1,0))</f>
        <v/>
      </c>
      <c r="J250" s="76">
        <f>IF(A250="","",IF(G250="No registrado","Código ausente en 2_Participantes",IF(AND(ISNUMBER(D250),NOT(ISNUMBER(C250))),"Postest sin pretest (huérfano)",IF(OR(AND(ISNUMBER(C250),OR(C250&lt;Inicio!$C$18,C250&gt;Inicio!$C$19)),AND(ISNUMBER(D250),OR(D250&lt;Inicio!$C$18,D250&gt;Inicio!$C$19))),"Fuera de rango",IF(COUNTIF($A$6:$A$305,A250)&gt;1,"Código duplicado","OK")))))</f>
        <v/>
      </c>
    </row>
    <row r="251" ht="15" customHeight="1" s="42">
      <c r="A251" s="67" t="n"/>
      <c r="B251" s="61">
        <f>IF(A251="","",IFERROR(IF(INDEX(2_Participantes!$B$6:$B$305,MATCH(A251,2_Participantes!$A$6:$A$305,0))="","",INDEX(2_Participantes!$B$6:$B$305,MATCH(A251,2_Participantes!$A$6:$A$305,0))),"No registrado"))</f>
        <v/>
      </c>
      <c r="C251" s="52" t="n"/>
      <c r="D251" s="52" t="n"/>
      <c r="E251" s="63">
        <f>IF(AND(ISNUMBER(C251),ISNUMBER(D251)),D251-C251,"")</f>
        <v/>
      </c>
      <c r="F251" s="62">
        <f>IF(A251="","",IFERROR(IF(INDEX(2_Participantes!$E$6:$E$305,MATCH(A251,2_Participantes!$A$6:$A$305,0))="","",INDEX(2_Participantes!$E$6:$E$305,MATCH(A251,2_Participantes!$A$6:$A$305,0))),""))</f>
        <v/>
      </c>
      <c r="G251" s="61">
        <f>IF(A251="","",IFERROR(IF(INDEX(2_Participantes!$F$6:$F$305,MATCH(A251,2_Participantes!$A$6:$A$305,0))="","",INDEX(2_Participantes!$F$6:$F$305,MATCH(A251,2_Participantes!$A$6:$A$305,0))),"No registrado"))</f>
        <v/>
      </c>
      <c r="H251" s="84">
        <f>IF(A251="","",IFERROR(IF(INDEX(2_Participantes!$L$6:$L$305,MATCH(A251,2_Participantes!$A$6:$A$305,0))="","",INDEX(2_Participantes!$L$6:$L$305,MATCH(A251,2_Participantes!$A$6:$A$305,0))),""))</f>
        <v/>
      </c>
      <c r="I251" s="62">
        <f>IF(A251="","",IF(AND(ISNUMBER(C251),ISNUMBER(D251),G251&lt;&gt;"Excluido"),1,0))</f>
        <v/>
      </c>
      <c r="J251" s="76">
        <f>IF(A251="","",IF(G251="No registrado","Código ausente en 2_Participantes",IF(AND(ISNUMBER(D251),NOT(ISNUMBER(C251))),"Postest sin pretest (huérfano)",IF(OR(AND(ISNUMBER(C251),OR(C251&lt;Inicio!$C$18,C251&gt;Inicio!$C$19)),AND(ISNUMBER(D251),OR(D251&lt;Inicio!$C$18,D251&gt;Inicio!$C$19))),"Fuera de rango",IF(COUNTIF($A$6:$A$305,A251)&gt;1,"Código duplicado","OK")))))</f>
        <v/>
      </c>
    </row>
    <row r="252" ht="15" customHeight="1" s="42">
      <c r="A252" s="67" t="n"/>
      <c r="B252" s="61">
        <f>IF(A252="","",IFERROR(IF(INDEX(2_Participantes!$B$6:$B$305,MATCH(A252,2_Participantes!$A$6:$A$305,0))="","",INDEX(2_Participantes!$B$6:$B$305,MATCH(A252,2_Participantes!$A$6:$A$305,0))),"No registrado"))</f>
        <v/>
      </c>
      <c r="C252" s="52" t="n"/>
      <c r="D252" s="52" t="n"/>
      <c r="E252" s="63">
        <f>IF(AND(ISNUMBER(C252),ISNUMBER(D252)),D252-C252,"")</f>
        <v/>
      </c>
      <c r="F252" s="62">
        <f>IF(A252="","",IFERROR(IF(INDEX(2_Participantes!$E$6:$E$305,MATCH(A252,2_Participantes!$A$6:$A$305,0))="","",INDEX(2_Participantes!$E$6:$E$305,MATCH(A252,2_Participantes!$A$6:$A$305,0))),""))</f>
        <v/>
      </c>
      <c r="G252" s="61">
        <f>IF(A252="","",IFERROR(IF(INDEX(2_Participantes!$F$6:$F$305,MATCH(A252,2_Participantes!$A$6:$A$305,0))="","",INDEX(2_Participantes!$F$6:$F$305,MATCH(A252,2_Participantes!$A$6:$A$305,0))),"No registrado"))</f>
        <v/>
      </c>
      <c r="H252" s="84">
        <f>IF(A252="","",IFERROR(IF(INDEX(2_Participantes!$L$6:$L$305,MATCH(A252,2_Participantes!$A$6:$A$305,0))="","",INDEX(2_Participantes!$L$6:$L$305,MATCH(A252,2_Participantes!$A$6:$A$305,0))),""))</f>
        <v/>
      </c>
      <c r="I252" s="62">
        <f>IF(A252="","",IF(AND(ISNUMBER(C252),ISNUMBER(D252),G252&lt;&gt;"Excluido"),1,0))</f>
        <v/>
      </c>
      <c r="J252" s="76">
        <f>IF(A252="","",IF(G252="No registrado","Código ausente en 2_Participantes",IF(AND(ISNUMBER(D252),NOT(ISNUMBER(C252))),"Postest sin pretest (huérfano)",IF(OR(AND(ISNUMBER(C252),OR(C252&lt;Inicio!$C$18,C252&gt;Inicio!$C$19)),AND(ISNUMBER(D252),OR(D252&lt;Inicio!$C$18,D252&gt;Inicio!$C$19))),"Fuera de rango",IF(COUNTIF($A$6:$A$305,A252)&gt;1,"Código duplicado","OK")))))</f>
        <v/>
      </c>
    </row>
    <row r="253" ht="15" customHeight="1" s="42">
      <c r="A253" s="67" t="n"/>
      <c r="B253" s="61">
        <f>IF(A253="","",IFERROR(IF(INDEX(2_Participantes!$B$6:$B$305,MATCH(A253,2_Participantes!$A$6:$A$305,0))="","",INDEX(2_Participantes!$B$6:$B$305,MATCH(A253,2_Participantes!$A$6:$A$305,0))),"No registrado"))</f>
        <v/>
      </c>
      <c r="C253" s="52" t="n"/>
      <c r="D253" s="52" t="n"/>
      <c r="E253" s="63">
        <f>IF(AND(ISNUMBER(C253),ISNUMBER(D253)),D253-C253,"")</f>
        <v/>
      </c>
      <c r="F253" s="62">
        <f>IF(A253="","",IFERROR(IF(INDEX(2_Participantes!$E$6:$E$305,MATCH(A253,2_Participantes!$A$6:$A$305,0))="","",INDEX(2_Participantes!$E$6:$E$305,MATCH(A253,2_Participantes!$A$6:$A$305,0))),""))</f>
        <v/>
      </c>
      <c r="G253" s="61">
        <f>IF(A253="","",IFERROR(IF(INDEX(2_Participantes!$F$6:$F$305,MATCH(A253,2_Participantes!$A$6:$A$305,0))="","",INDEX(2_Participantes!$F$6:$F$305,MATCH(A253,2_Participantes!$A$6:$A$305,0))),"No registrado"))</f>
        <v/>
      </c>
      <c r="H253" s="84">
        <f>IF(A253="","",IFERROR(IF(INDEX(2_Participantes!$L$6:$L$305,MATCH(A253,2_Participantes!$A$6:$A$305,0))="","",INDEX(2_Participantes!$L$6:$L$305,MATCH(A253,2_Participantes!$A$6:$A$305,0))),""))</f>
        <v/>
      </c>
      <c r="I253" s="62">
        <f>IF(A253="","",IF(AND(ISNUMBER(C253),ISNUMBER(D253),G253&lt;&gt;"Excluido"),1,0))</f>
        <v/>
      </c>
      <c r="J253" s="76">
        <f>IF(A253="","",IF(G253="No registrado","Código ausente en 2_Participantes",IF(AND(ISNUMBER(D253),NOT(ISNUMBER(C253))),"Postest sin pretest (huérfano)",IF(OR(AND(ISNUMBER(C253),OR(C253&lt;Inicio!$C$18,C253&gt;Inicio!$C$19)),AND(ISNUMBER(D253),OR(D253&lt;Inicio!$C$18,D253&gt;Inicio!$C$19))),"Fuera de rango",IF(COUNTIF($A$6:$A$305,A253)&gt;1,"Código duplicado","OK")))))</f>
        <v/>
      </c>
    </row>
    <row r="254" ht="15" customHeight="1" s="42">
      <c r="A254" s="67" t="n"/>
      <c r="B254" s="61">
        <f>IF(A254="","",IFERROR(IF(INDEX(2_Participantes!$B$6:$B$305,MATCH(A254,2_Participantes!$A$6:$A$305,0))="","",INDEX(2_Participantes!$B$6:$B$305,MATCH(A254,2_Participantes!$A$6:$A$305,0))),"No registrado"))</f>
        <v/>
      </c>
      <c r="C254" s="52" t="n"/>
      <c r="D254" s="52" t="n"/>
      <c r="E254" s="63">
        <f>IF(AND(ISNUMBER(C254),ISNUMBER(D254)),D254-C254,"")</f>
        <v/>
      </c>
      <c r="F254" s="62">
        <f>IF(A254="","",IFERROR(IF(INDEX(2_Participantes!$E$6:$E$305,MATCH(A254,2_Participantes!$A$6:$A$305,0))="","",INDEX(2_Participantes!$E$6:$E$305,MATCH(A254,2_Participantes!$A$6:$A$305,0))),""))</f>
        <v/>
      </c>
      <c r="G254" s="61">
        <f>IF(A254="","",IFERROR(IF(INDEX(2_Participantes!$F$6:$F$305,MATCH(A254,2_Participantes!$A$6:$A$305,0))="","",INDEX(2_Participantes!$F$6:$F$305,MATCH(A254,2_Participantes!$A$6:$A$305,0))),"No registrado"))</f>
        <v/>
      </c>
      <c r="H254" s="84">
        <f>IF(A254="","",IFERROR(IF(INDEX(2_Participantes!$L$6:$L$305,MATCH(A254,2_Participantes!$A$6:$A$305,0))="","",INDEX(2_Participantes!$L$6:$L$305,MATCH(A254,2_Participantes!$A$6:$A$305,0))),""))</f>
        <v/>
      </c>
      <c r="I254" s="62">
        <f>IF(A254="","",IF(AND(ISNUMBER(C254),ISNUMBER(D254),G254&lt;&gt;"Excluido"),1,0))</f>
        <v/>
      </c>
      <c r="J254" s="76">
        <f>IF(A254="","",IF(G254="No registrado","Código ausente en 2_Participantes",IF(AND(ISNUMBER(D254),NOT(ISNUMBER(C254))),"Postest sin pretest (huérfano)",IF(OR(AND(ISNUMBER(C254),OR(C254&lt;Inicio!$C$18,C254&gt;Inicio!$C$19)),AND(ISNUMBER(D254),OR(D254&lt;Inicio!$C$18,D254&gt;Inicio!$C$19))),"Fuera de rango",IF(COUNTIF($A$6:$A$305,A254)&gt;1,"Código duplicado","OK")))))</f>
        <v/>
      </c>
    </row>
    <row r="255" ht="15" customHeight="1" s="42">
      <c r="A255" s="67" t="n"/>
      <c r="B255" s="61">
        <f>IF(A255="","",IFERROR(IF(INDEX(2_Participantes!$B$6:$B$305,MATCH(A255,2_Participantes!$A$6:$A$305,0))="","",INDEX(2_Participantes!$B$6:$B$305,MATCH(A255,2_Participantes!$A$6:$A$305,0))),"No registrado"))</f>
        <v/>
      </c>
      <c r="C255" s="52" t="n"/>
      <c r="D255" s="52" t="n"/>
      <c r="E255" s="63">
        <f>IF(AND(ISNUMBER(C255),ISNUMBER(D255)),D255-C255,"")</f>
        <v/>
      </c>
      <c r="F255" s="62">
        <f>IF(A255="","",IFERROR(IF(INDEX(2_Participantes!$E$6:$E$305,MATCH(A255,2_Participantes!$A$6:$A$305,0))="","",INDEX(2_Participantes!$E$6:$E$305,MATCH(A255,2_Participantes!$A$6:$A$305,0))),""))</f>
        <v/>
      </c>
      <c r="G255" s="61">
        <f>IF(A255="","",IFERROR(IF(INDEX(2_Participantes!$F$6:$F$305,MATCH(A255,2_Participantes!$A$6:$A$305,0))="","",INDEX(2_Participantes!$F$6:$F$305,MATCH(A255,2_Participantes!$A$6:$A$305,0))),"No registrado"))</f>
        <v/>
      </c>
      <c r="H255" s="84">
        <f>IF(A255="","",IFERROR(IF(INDEX(2_Participantes!$L$6:$L$305,MATCH(A255,2_Participantes!$A$6:$A$305,0))="","",INDEX(2_Participantes!$L$6:$L$305,MATCH(A255,2_Participantes!$A$6:$A$305,0))),""))</f>
        <v/>
      </c>
      <c r="I255" s="62">
        <f>IF(A255="","",IF(AND(ISNUMBER(C255),ISNUMBER(D255),G255&lt;&gt;"Excluido"),1,0))</f>
        <v/>
      </c>
      <c r="J255" s="76">
        <f>IF(A255="","",IF(G255="No registrado","Código ausente en 2_Participantes",IF(AND(ISNUMBER(D255),NOT(ISNUMBER(C255))),"Postest sin pretest (huérfano)",IF(OR(AND(ISNUMBER(C255),OR(C255&lt;Inicio!$C$18,C255&gt;Inicio!$C$19)),AND(ISNUMBER(D255),OR(D255&lt;Inicio!$C$18,D255&gt;Inicio!$C$19))),"Fuera de rango",IF(COUNTIF($A$6:$A$305,A255)&gt;1,"Código duplicado","OK")))))</f>
        <v/>
      </c>
    </row>
    <row r="256" ht="15" customHeight="1" s="42">
      <c r="A256" s="67" t="n"/>
      <c r="B256" s="61">
        <f>IF(A256="","",IFERROR(IF(INDEX(2_Participantes!$B$6:$B$305,MATCH(A256,2_Participantes!$A$6:$A$305,0))="","",INDEX(2_Participantes!$B$6:$B$305,MATCH(A256,2_Participantes!$A$6:$A$305,0))),"No registrado"))</f>
        <v/>
      </c>
      <c r="C256" s="52" t="n"/>
      <c r="D256" s="52" t="n"/>
      <c r="E256" s="63">
        <f>IF(AND(ISNUMBER(C256),ISNUMBER(D256)),D256-C256,"")</f>
        <v/>
      </c>
      <c r="F256" s="62">
        <f>IF(A256="","",IFERROR(IF(INDEX(2_Participantes!$E$6:$E$305,MATCH(A256,2_Participantes!$A$6:$A$305,0))="","",INDEX(2_Participantes!$E$6:$E$305,MATCH(A256,2_Participantes!$A$6:$A$305,0))),""))</f>
        <v/>
      </c>
      <c r="G256" s="61">
        <f>IF(A256="","",IFERROR(IF(INDEX(2_Participantes!$F$6:$F$305,MATCH(A256,2_Participantes!$A$6:$A$305,0))="","",INDEX(2_Participantes!$F$6:$F$305,MATCH(A256,2_Participantes!$A$6:$A$305,0))),"No registrado"))</f>
        <v/>
      </c>
      <c r="H256" s="84">
        <f>IF(A256="","",IFERROR(IF(INDEX(2_Participantes!$L$6:$L$305,MATCH(A256,2_Participantes!$A$6:$A$305,0))="","",INDEX(2_Participantes!$L$6:$L$305,MATCH(A256,2_Participantes!$A$6:$A$305,0))),""))</f>
        <v/>
      </c>
      <c r="I256" s="62">
        <f>IF(A256="","",IF(AND(ISNUMBER(C256),ISNUMBER(D256),G256&lt;&gt;"Excluido"),1,0))</f>
        <v/>
      </c>
      <c r="J256" s="76">
        <f>IF(A256="","",IF(G256="No registrado","Código ausente en 2_Participantes",IF(AND(ISNUMBER(D256),NOT(ISNUMBER(C256))),"Postest sin pretest (huérfano)",IF(OR(AND(ISNUMBER(C256),OR(C256&lt;Inicio!$C$18,C256&gt;Inicio!$C$19)),AND(ISNUMBER(D256),OR(D256&lt;Inicio!$C$18,D256&gt;Inicio!$C$19))),"Fuera de rango",IF(COUNTIF($A$6:$A$305,A256)&gt;1,"Código duplicado","OK")))))</f>
        <v/>
      </c>
    </row>
    <row r="257" ht="15" customHeight="1" s="42">
      <c r="A257" s="67" t="n"/>
      <c r="B257" s="61">
        <f>IF(A257="","",IFERROR(IF(INDEX(2_Participantes!$B$6:$B$305,MATCH(A257,2_Participantes!$A$6:$A$305,0))="","",INDEX(2_Participantes!$B$6:$B$305,MATCH(A257,2_Participantes!$A$6:$A$305,0))),"No registrado"))</f>
        <v/>
      </c>
      <c r="C257" s="52" t="n"/>
      <c r="D257" s="52" t="n"/>
      <c r="E257" s="63">
        <f>IF(AND(ISNUMBER(C257),ISNUMBER(D257)),D257-C257,"")</f>
        <v/>
      </c>
      <c r="F257" s="62">
        <f>IF(A257="","",IFERROR(IF(INDEX(2_Participantes!$E$6:$E$305,MATCH(A257,2_Participantes!$A$6:$A$305,0))="","",INDEX(2_Participantes!$E$6:$E$305,MATCH(A257,2_Participantes!$A$6:$A$305,0))),""))</f>
        <v/>
      </c>
      <c r="G257" s="61">
        <f>IF(A257="","",IFERROR(IF(INDEX(2_Participantes!$F$6:$F$305,MATCH(A257,2_Participantes!$A$6:$A$305,0))="","",INDEX(2_Participantes!$F$6:$F$305,MATCH(A257,2_Participantes!$A$6:$A$305,0))),"No registrado"))</f>
        <v/>
      </c>
      <c r="H257" s="84">
        <f>IF(A257="","",IFERROR(IF(INDEX(2_Participantes!$L$6:$L$305,MATCH(A257,2_Participantes!$A$6:$A$305,0))="","",INDEX(2_Participantes!$L$6:$L$305,MATCH(A257,2_Participantes!$A$6:$A$305,0))),""))</f>
        <v/>
      </c>
      <c r="I257" s="62">
        <f>IF(A257="","",IF(AND(ISNUMBER(C257),ISNUMBER(D257),G257&lt;&gt;"Excluido"),1,0))</f>
        <v/>
      </c>
      <c r="J257" s="76">
        <f>IF(A257="","",IF(G257="No registrado","Código ausente en 2_Participantes",IF(AND(ISNUMBER(D257),NOT(ISNUMBER(C257))),"Postest sin pretest (huérfano)",IF(OR(AND(ISNUMBER(C257),OR(C257&lt;Inicio!$C$18,C257&gt;Inicio!$C$19)),AND(ISNUMBER(D257),OR(D257&lt;Inicio!$C$18,D257&gt;Inicio!$C$19))),"Fuera de rango",IF(COUNTIF($A$6:$A$305,A257)&gt;1,"Código duplicado","OK")))))</f>
        <v/>
      </c>
    </row>
    <row r="258" ht="15" customHeight="1" s="42">
      <c r="A258" s="67" t="n"/>
      <c r="B258" s="61">
        <f>IF(A258="","",IFERROR(IF(INDEX(2_Participantes!$B$6:$B$305,MATCH(A258,2_Participantes!$A$6:$A$305,0))="","",INDEX(2_Participantes!$B$6:$B$305,MATCH(A258,2_Participantes!$A$6:$A$305,0))),"No registrado"))</f>
        <v/>
      </c>
      <c r="C258" s="52" t="n"/>
      <c r="D258" s="52" t="n"/>
      <c r="E258" s="63">
        <f>IF(AND(ISNUMBER(C258),ISNUMBER(D258)),D258-C258,"")</f>
        <v/>
      </c>
      <c r="F258" s="62">
        <f>IF(A258="","",IFERROR(IF(INDEX(2_Participantes!$E$6:$E$305,MATCH(A258,2_Participantes!$A$6:$A$305,0))="","",INDEX(2_Participantes!$E$6:$E$305,MATCH(A258,2_Participantes!$A$6:$A$305,0))),""))</f>
        <v/>
      </c>
      <c r="G258" s="61">
        <f>IF(A258="","",IFERROR(IF(INDEX(2_Participantes!$F$6:$F$305,MATCH(A258,2_Participantes!$A$6:$A$305,0))="","",INDEX(2_Participantes!$F$6:$F$305,MATCH(A258,2_Participantes!$A$6:$A$305,0))),"No registrado"))</f>
        <v/>
      </c>
      <c r="H258" s="84">
        <f>IF(A258="","",IFERROR(IF(INDEX(2_Participantes!$L$6:$L$305,MATCH(A258,2_Participantes!$A$6:$A$305,0))="","",INDEX(2_Participantes!$L$6:$L$305,MATCH(A258,2_Participantes!$A$6:$A$305,0))),""))</f>
        <v/>
      </c>
      <c r="I258" s="62">
        <f>IF(A258="","",IF(AND(ISNUMBER(C258),ISNUMBER(D258),G258&lt;&gt;"Excluido"),1,0))</f>
        <v/>
      </c>
      <c r="J258" s="76">
        <f>IF(A258="","",IF(G258="No registrado","Código ausente en 2_Participantes",IF(AND(ISNUMBER(D258),NOT(ISNUMBER(C258))),"Postest sin pretest (huérfano)",IF(OR(AND(ISNUMBER(C258),OR(C258&lt;Inicio!$C$18,C258&gt;Inicio!$C$19)),AND(ISNUMBER(D258),OR(D258&lt;Inicio!$C$18,D258&gt;Inicio!$C$19))),"Fuera de rango",IF(COUNTIF($A$6:$A$305,A258)&gt;1,"Código duplicado","OK")))))</f>
        <v/>
      </c>
    </row>
    <row r="259" ht="15" customHeight="1" s="42">
      <c r="A259" s="67" t="n"/>
      <c r="B259" s="61">
        <f>IF(A259="","",IFERROR(IF(INDEX(2_Participantes!$B$6:$B$305,MATCH(A259,2_Participantes!$A$6:$A$305,0))="","",INDEX(2_Participantes!$B$6:$B$305,MATCH(A259,2_Participantes!$A$6:$A$305,0))),"No registrado"))</f>
        <v/>
      </c>
      <c r="C259" s="52" t="n"/>
      <c r="D259" s="52" t="n"/>
      <c r="E259" s="63">
        <f>IF(AND(ISNUMBER(C259),ISNUMBER(D259)),D259-C259,"")</f>
        <v/>
      </c>
      <c r="F259" s="62">
        <f>IF(A259="","",IFERROR(IF(INDEX(2_Participantes!$E$6:$E$305,MATCH(A259,2_Participantes!$A$6:$A$305,0))="","",INDEX(2_Participantes!$E$6:$E$305,MATCH(A259,2_Participantes!$A$6:$A$305,0))),""))</f>
        <v/>
      </c>
      <c r="G259" s="61">
        <f>IF(A259="","",IFERROR(IF(INDEX(2_Participantes!$F$6:$F$305,MATCH(A259,2_Participantes!$A$6:$A$305,0))="","",INDEX(2_Participantes!$F$6:$F$305,MATCH(A259,2_Participantes!$A$6:$A$305,0))),"No registrado"))</f>
        <v/>
      </c>
      <c r="H259" s="84">
        <f>IF(A259="","",IFERROR(IF(INDEX(2_Participantes!$L$6:$L$305,MATCH(A259,2_Participantes!$A$6:$A$305,0))="","",INDEX(2_Participantes!$L$6:$L$305,MATCH(A259,2_Participantes!$A$6:$A$305,0))),""))</f>
        <v/>
      </c>
      <c r="I259" s="62">
        <f>IF(A259="","",IF(AND(ISNUMBER(C259),ISNUMBER(D259),G259&lt;&gt;"Excluido"),1,0))</f>
        <v/>
      </c>
      <c r="J259" s="76">
        <f>IF(A259="","",IF(G259="No registrado","Código ausente en 2_Participantes",IF(AND(ISNUMBER(D259),NOT(ISNUMBER(C259))),"Postest sin pretest (huérfano)",IF(OR(AND(ISNUMBER(C259),OR(C259&lt;Inicio!$C$18,C259&gt;Inicio!$C$19)),AND(ISNUMBER(D259),OR(D259&lt;Inicio!$C$18,D259&gt;Inicio!$C$19))),"Fuera de rango",IF(COUNTIF($A$6:$A$305,A259)&gt;1,"Código duplicado","OK")))))</f>
        <v/>
      </c>
    </row>
    <row r="260" ht="15" customHeight="1" s="42">
      <c r="A260" s="67" t="n"/>
      <c r="B260" s="61">
        <f>IF(A260="","",IFERROR(IF(INDEX(2_Participantes!$B$6:$B$305,MATCH(A260,2_Participantes!$A$6:$A$305,0))="","",INDEX(2_Participantes!$B$6:$B$305,MATCH(A260,2_Participantes!$A$6:$A$305,0))),"No registrado"))</f>
        <v/>
      </c>
      <c r="C260" s="52" t="n"/>
      <c r="D260" s="52" t="n"/>
      <c r="E260" s="63">
        <f>IF(AND(ISNUMBER(C260),ISNUMBER(D260)),D260-C260,"")</f>
        <v/>
      </c>
      <c r="F260" s="62">
        <f>IF(A260="","",IFERROR(IF(INDEX(2_Participantes!$E$6:$E$305,MATCH(A260,2_Participantes!$A$6:$A$305,0))="","",INDEX(2_Participantes!$E$6:$E$305,MATCH(A260,2_Participantes!$A$6:$A$305,0))),""))</f>
        <v/>
      </c>
      <c r="G260" s="61">
        <f>IF(A260="","",IFERROR(IF(INDEX(2_Participantes!$F$6:$F$305,MATCH(A260,2_Participantes!$A$6:$A$305,0))="","",INDEX(2_Participantes!$F$6:$F$305,MATCH(A260,2_Participantes!$A$6:$A$305,0))),"No registrado"))</f>
        <v/>
      </c>
      <c r="H260" s="84">
        <f>IF(A260="","",IFERROR(IF(INDEX(2_Participantes!$L$6:$L$305,MATCH(A260,2_Participantes!$A$6:$A$305,0))="","",INDEX(2_Participantes!$L$6:$L$305,MATCH(A260,2_Participantes!$A$6:$A$305,0))),""))</f>
        <v/>
      </c>
      <c r="I260" s="62">
        <f>IF(A260="","",IF(AND(ISNUMBER(C260),ISNUMBER(D260),G260&lt;&gt;"Excluido"),1,0))</f>
        <v/>
      </c>
      <c r="J260" s="76">
        <f>IF(A260="","",IF(G260="No registrado","Código ausente en 2_Participantes",IF(AND(ISNUMBER(D260),NOT(ISNUMBER(C260))),"Postest sin pretest (huérfano)",IF(OR(AND(ISNUMBER(C260),OR(C260&lt;Inicio!$C$18,C260&gt;Inicio!$C$19)),AND(ISNUMBER(D260),OR(D260&lt;Inicio!$C$18,D260&gt;Inicio!$C$19))),"Fuera de rango",IF(COUNTIF($A$6:$A$305,A260)&gt;1,"Código duplicado","OK")))))</f>
        <v/>
      </c>
    </row>
    <row r="261" ht="15" customHeight="1" s="42">
      <c r="A261" s="67" t="n"/>
      <c r="B261" s="61">
        <f>IF(A261="","",IFERROR(IF(INDEX(2_Participantes!$B$6:$B$305,MATCH(A261,2_Participantes!$A$6:$A$305,0))="","",INDEX(2_Participantes!$B$6:$B$305,MATCH(A261,2_Participantes!$A$6:$A$305,0))),"No registrado"))</f>
        <v/>
      </c>
      <c r="C261" s="52" t="n"/>
      <c r="D261" s="52" t="n"/>
      <c r="E261" s="63">
        <f>IF(AND(ISNUMBER(C261),ISNUMBER(D261)),D261-C261,"")</f>
        <v/>
      </c>
      <c r="F261" s="62">
        <f>IF(A261="","",IFERROR(IF(INDEX(2_Participantes!$E$6:$E$305,MATCH(A261,2_Participantes!$A$6:$A$305,0))="","",INDEX(2_Participantes!$E$6:$E$305,MATCH(A261,2_Participantes!$A$6:$A$305,0))),""))</f>
        <v/>
      </c>
      <c r="G261" s="61">
        <f>IF(A261="","",IFERROR(IF(INDEX(2_Participantes!$F$6:$F$305,MATCH(A261,2_Participantes!$A$6:$A$305,0))="","",INDEX(2_Participantes!$F$6:$F$305,MATCH(A261,2_Participantes!$A$6:$A$305,0))),"No registrado"))</f>
        <v/>
      </c>
      <c r="H261" s="84">
        <f>IF(A261="","",IFERROR(IF(INDEX(2_Participantes!$L$6:$L$305,MATCH(A261,2_Participantes!$A$6:$A$305,0))="","",INDEX(2_Participantes!$L$6:$L$305,MATCH(A261,2_Participantes!$A$6:$A$305,0))),""))</f>
        <v/>
      </c>
      <c r="I261" s="62">
        <f>IF(A261="","",IF(AND(ISNUMBER(C261),ISNUMBER(D261),G261&lt;&gt;"Excluido"),1,0))</f>
        <v/>
      </c>
      <c r="J261" s="76">
        <f>IF(A261="","",IF(G261="No registrado","Código ausente en 2_Participantes",IF(AND(ISNUMBER(D261),NOT(ISNUMBER(C261))),"Postest sin pretest (huérfano)",IF(OR(AND(ISNUMBER(C261),OR(C261&lt;Inicio!$C$18,C261&gt;Inicio!$C$19)),AND(ISNUMBER(D261),OR(D261&lt;Inicio!$C$18,D261&gt;Inicio!$C$19))),"Fuera de rango",IF(COUNTIF($A$6:$A$305,A261)&gt;1,"Código duplicado","OK")))))</f>
        <v/>
      </c>
    </row>
    <row r="262" ht="15" customHeight="1" s="42">
      <c r="A262" s="67" t="n"/>
      <c r="B262" s="61">
        <f>IF(A262="","",IFERROR(IF(INDEX(2_Participantes!$B$6:$B$305,MATCH(A262,2_Participantes!$A$6:$A$305,0))="","",INDEX(2_Participantes!$B$6:$B$305,MATCH(A262,2_Participantes!$A$6:$A$305,0))),"No registrado"))</f>
        <v/>
      </c>
      <c r="C262" s="52" t="n"/>
      <c r="D262" s="52" t="n"/>
      <c r="E262" s="63">
        <f>IF(AND(ISNUMBER(C262),ISNUMBER(D262)),D262-C262,"")</f>
        <v/>
      </c>
      <c r="F262" s="62">
        <f>IF(A262="","",IFERROR(IF(INDEX(2_Participantes!$E$6:$E$305,MATCH(A262,2_Participantes!$A$6:$A$305,0))="","",INDEX(2_Participantes!$E$6:$E$305,MATCH(A262,2_Participantes!$A$6:$A$305,0))),""))</f>
        <v/>
      </c>
      <c r="G262" s="61">
        <f>IF(A262="","",IFERROR(IF(INDEX(2_Participantes!$F$6:$F$305,MATCH(A262,2_Participantes!$A$6:$A$305,0))="","",INDEX(2_Participantes!$F$6:$F$305,MATCH(A262,2_Participantes!$A$6:$A$305,0))),"No registrado"))</f>
        <v/>
      </c>
      <c r="H262" s="84">
        <f>IF(A262="","",IFERROR(IF(INDEX(2_Participantes!$L$6:$L$305,MATCH(A262,2_Participantes!$A$6:$A$305,0))="","",INDEX(2_Participantes!$L$6:$L$305,MATCH(A262,2_Participantes!$A$6:$A$305,0))),""))</f>
        <v/>
      </c>
      <c r="I262" s="62">
        <f>IF(A262="","",IF(AND(ISNUMBER(C262),ISNUMBER(D262),G262&lt;&gt;"Excluido"),1,0))</f>
        <v/>
      </c>
      <c r="J262" s="76">
        <f>IF(A262="","",IF(G262="No registrado","Código ausente en 2_Participantes",IF(AND(ISNUMBER(D262),NOT(ISNUMBER(C262))),"Postest sin pretest (huérfano)",IF(OR(AND(ISNUMBER(C262),OR(C262&lt;Inicio!$C$18,C262&gt;Inicio!$C$19)),AND(ISNUMBER(D262),OR(D262&lt;Inicio!$C$18,D262&gt;Inicio!$C$19))),"Fuera de rango",IF(COUNTIF($A$6:$A$305,A262)&gt;1,"Código duplicado","OK")))))</f>
        <v/>
      </c>
    </row>
    <row r="263" ht="15" customHeight="1" s="42">
      <c r="A263" s="67" t="n"/>
      <c r="B263" s="61">
        <f>IF(A263="","",IFERROR(IF(INDEX(2_Participantes!$B$6:$B$305,MATCH(A263,2_Participantes!$A$6:$A$305,0))="","",INDEX(2_Participantes!$B$6:$B$305,MATCH(A263,2_Participantes!$A$6:$A$305,0))),"No registrado"))</f>
        <v/>
      </c>
      <c r="C263" s="52" t="n"/>
      <c r="D263" s="52" t="n"/>
      <c r="E263" s="63">
        <f>IF(AND(ISNUMBER(C263),ISNUMBER(D263)),D263-C263,"")</f>
        <v/>
      </c>
      <c r="F263" s="62">
        <f>IF(A263="","",IFERROR(IF(INDEX(2_Participantes!$E$6:$E$305,MATCH(A263,2_Participantes!$A$6:$A$305,0))="","",INDEX(2_Participantes!$E$6:$E$305,MATCH(A263,2_Participantes!$A$6:$A$305,0))),""))</f>
        <v/>
      </c>
      <c r="G263" s="61">
        <f>IF(A263="","",IFERROR(IF(INDEX(2_Participantes!$F$6:$F$305,MATCH(A263,2_Participantes!$A$6:$A$305,0))="","",INDEX(2_Participantes!$F$6:$F$305,MATCH(A263,2_Participantes!$A$6:$A$305,0))),"No registrado"))</f>
        <v/>
      </c>
      <c r="H263" s="84">
        <f>IF(A263="","",IFERROR(IF(INDEX(2_Participantes!$L$6:$L$305,MATCH(A263,2_Participantes!$A$6:$A$305,0))="","",INDEX(2_Participantes!$L$6:$L$305,MATCH(A263,2_Participantes!$A$6:$A$305,0))),""))</f>
        <v/>
      </c>
      <c r="I263" s="62">
        <f>IF(A263="","",IF(AND(ISNUMBER(C263),ISNUMBER(D263),G263&lt;&gt;"Excluido"),1,0))</f>
        <v/>
      </c>
      <c r="J263" s="76">
        <f>IF(A263="","",IF(G263="No registrado","Código ausente en 2_Participantes",IF(AND(ISNUMBER(D263),NOT(ISNUMBER(C263))),"Postest sin pretest (huérfano)",IF(OR(AND(ISNUMBER(C263),OR(C263&lt;Inicio!$C$18,C263&gt;Inicio!$C$19)),AND(ISNUMBER(D263),OR(D263&lt;Inicio!$C$18,D263&gt;Inicio!$C$19))),"Fuera de rango",IF(COUNTIF($A$6:$A$305,A263)&gt;1,"Código duplicado","OK")))))</f>
        <v/>
      </c>
    </row>
    <row r="264" ht="15" customHeight="1" s="42">
      <c r="A264" s="67" t="n"/>
      <c r="B264" s="61">
        <f>IF(A264="","",IFERROR(IF(INDEX(2_Participantes!$B$6:$B$305,MATCH(A264,2_Participantes!$A$6:$A$305,0))="","",INDEX(2_Participantes!$B$6:$B$305,MATCH(A264,2_Participantes!$A$6:$A$305,0))),"No registrado"))</f>
        <v/>
      </c>
      <c r="C264" s="52" t="n"/>
      <c r="D264" s="52" t="n"/>
      <c r="E264" s="63">
        <f>IF(AND(ISNUMBER(C264),ISNUMBER(D264)),D264-C264,"")</f>
        <v/>
      </c>
      <c r="F264" s="62">
        <f>IF(A264="","",IFERROR(IF(INDEX(2_Participantes!$E$6:$E$305,MATCH(A264,2_Participantes!$A$6:$A$305,0))="","",INDEX(2_Participantes!$E$6:$E$305,MATCH(A264,2_Participantes!$A$6:$A$305,0))),""))</f>
        <v/>
      </c>
      <c r="G264" s="61">
        <f>IF(A264="","",IFERROR(IF(INDEX(2_Participantes!$F$6:$F$305,MATCH(A264,2_Participantes!$A$6:$A$305,0))="","",INDEX(2_Participantes!$F$6:$F$305,MATCH(A264,2_Participantes!$A$6:$A$305,0))),"No registrado"))</f>
        <v/>
      </c>
      <c r="H264" s="84">
        <f>IF(A264="","",IFERROR(IF(INDEX(2_Participantes!$L$6:$L$305,MATCH(A264,2_Participantes!$A$6:$A$305,0))="","",INDEX(2_Participantes!$L$6:$L$305,MATCH(A264,2_Participantes!$A$6:$A$305,0))),""))</f>
        <v/>
      </c>
      <c r="I264" s="62">
        <f>IF(A264="","",IF(AND(ISNUMBER(C264),ISNUMBER(D264),G264&lt;&gt;"Excluido"),1,0))</f>
        <v/>
      </c>
      <c r="J264" s="76">
        <f>IF(A264="","",IF(G264="No registrado","Código ausente en 2_Participantes",IF(AND(ISNUMBER(D264),NOT(ISNUMBER(C264))),"Postest sin pretest (huérfano)",IF(OR(AND(ISNUMBER(C264),OR(C264&lt;Inicio!$C$18,C264&gt;Inicio!$C$19)),AND(ISNUMBER(D264),OR(D264&lt;Inicio!$C$18,D264&gt;Inicio!$C$19))),"Fuera de rango",IF(COUNTIF($A$6:$A$305,A264)&gt;1,"Código duplicado","OK")))))</f>
        <v/>
      </c>
    </row>
    <row r="265" ht="15" customHeight="1" s="42">
      <c r="A265" s="67" t="n"/>
      <c r="B265" s="61">
        <f>IF(A265="","",IFERROR(IF(INDEX(2_Participantes!$B$6:$B$305,MATCH(A265,2_Participantes!$A$6:$A$305,0))="","",INDEX(2_Participantes!$B$6:$B$305,MATCH(A265,2_Participantes!$A$6:$A$305,0))),"No registrado"))</f>
        <v/>
      </c>
      <c r="C265" s="52" t="n"/>
      <c r="D265" s="52" t="n"/>
      <c r="E265" s="63">
        <f>IF(AND(ISNUMBER(C265),ISNUMBER(D265)),D265-C265,"")</f>
        <v/>
      </c>
      <c r="F265" s="62">
        <f>IF(A265="","",IFERROR(IF(INDEX(2_Participantes!$E$6:$E$305,MATCH(A265,2_Participantes!$A$6:$A$305,0))="","",INDEX(2_Participantes!$E$6:$E$305,MATCH(A265,2_Participantes!$A$6:$A$305,0))),""))</f>
        <v/>
      </c>
      <c r="G265" s="61">
        <f>IF(A265="","",IFERROR(IF(INDEX(2_Participantes!$F$6:$F$305,MATCH(A265,2_Participantes!$A$6:$A$305,0))="","",INDEX(2_Participantes!$F$6:$F$305,MATCH(A265,2_Participantes!$A$6:$A$305,0))),"No registrado"))</f>
        <v/>
      </c>
      <c r="H265" s="84">
        <f>IF(A265="","",IFERROR(IF(INDEX(2_Participantes!$L$6:$L$305,MATCH(A265,2_Participantes!$A$6:$A$305,0))="","",INDEX(2_Participantes!$L$6:$L$305,MATCH(A265,2_Participantes!$A$6:$A$305,0))),""))</f>
        <v/>
      </c>
      <c r="I265" s="62">
        <f>IF(A265="","",IF(AND(ISNUMBER(C265),ISNUMBER(D265),G265&lt;&gt;"Excluido"),1,0))</f>
        <v/>
      </c>
      <c r="J265" s="76">
        <f>IF(A265="","",IF(G265="No registrado","Código ausente en 2_Participantes",IF(AND(ISNUMBER(D265),NOT(ISNUMBER(C265))),"Postest sin pretest (huérfano)",IF(OR(AND(ISNUMBER(C265),OR(C265&lt;Inicio!$C$18,C265&gt;Inicio!$C$19)),AND(ISNUMBER(D265),OR(D265&lt;Inicio!$C$18,D265&gt;Inicio!$C$19))),"Fuera de rango",IF(COUNTIF($A$6:$A$305,A265)&gt;1,"Código duplicado","OK")))))</f>
        <v/>
      </c>
    </row>
    <row r="266" ht="15" customHeight="1" s="42">
      <c r="A266" s="67" t="n"/>
      <c r="B266" s="61">
        <f>IF(A266="","",IFERROR(IF(INDEX(2_Participantes!$B$6:$B$305,MATCH(A266,2_Participantes!$A$6:$A$305,0))="","",INDEX(2_Participantes!$B$6:$B$305,MATCH(A266,2_Participantes!$A$6:$A$305,0))),"No registrado"))</f>
        <v/>
      </c>
      <c r="C266" s="52" t="n"/>
      <c r="D266" s="52" t="n"/>
      <c r="E266" s="63">
        <f>IF(AND(ISNUMBER(C266),ISNUMBER(D266)),D266-C266,"")</f>
        <v/>
      </c>
      <c r="F266" s="62">
        <f>IF(A266="","",IFERROR(IF(INDEX(2_Participantes!$E$6:$E$305,MATCH(A266,2_Participantes!$A$6:$A$305,0))="","",INDEX(2_Participantes!$E$6:$E$305,MATCH(A266,2_Participantes!$A$6:$A$305,0))),""))</f>
        <v/>
      </c>
      <c r="G266" s="61">
        <f>IF(A266="","",IFERROR(IF(INDEX(2_Participantes!$F$6:$F$305,MATCH(A266,2_Participantes!$A$6:$A$305,0))="","",INDEX(2_Participantes!$F$6:$F$305,MATCH(A266,2_Participantes!$A$6:$A$305,0))),"No registrado"))</f>
        <v/>
      </c>
      <c r="H266" s="84">
        <f>IF(A266="","",IFERROR(IF(INDEX(2_Participantes!$L$6:$L$305,MATCH(A266,2_Participantes!$A$6:$A$305,0))="","",INDEX(2_Participantes!$L$6:$L$305,MATCH(A266,2_Participantes!$A$6:$A$305,0))),""))</f>
        <v/>
      </c>
      <c r="I266" s="62">
        <f>IF(A266="","",IF(AND(ISNUMBER(C266),ISNUMBER(D266),G266&lt;&gt;"Excluido"),1,0))</f>
        <v/>
      </c>
      <c r="J266" s="76">
        <f>IF(A266="","",IF(G266="No registrado","Código ausente en 2_Participantes",IF(AND(ISNUMBER(D266),NOT(ISNUMBER(C266))),"Postest sin pretest (huérfano)",IF(OR(AND(ISNUMBER(C266),OR(C266&lt;Inicio!$C$18,C266&gt;Inicio!$C$19)),AND(ISNUMBER(D266),OR(D266&lt;Inicio!$C$18,D266&gt;Inicio!$C$19))),"Fuera de rango",IF(COUNTIF($A$6:$A$305,A266)&gt;1,"Código duplicado","OK")))))</f>
        <v/>
      </c>
    </row>
    <row r="267" ht="15" customHeight="1" s="42">
      <c r="A267" s="67" t="n"/>
      <c r="B267" s="61">
        <f>IF(A267="","",IFERROR(IF(INDEX(2_Participantes!$B$6:$B$305,MATCH(A267,2_Participantes!$A$6:$A$305,0))="","",INDEX(2_Participantes!$B$6:$B$305,MATCH(A267,2_Participantes!$A$6:$A$305,0))),"No registrado"))</f>
        <v/>
      </c>
      <c r="C267" s="52" t="n"/>
      <c r="D267" s="52" t="n"/>
      <c r="E267" s="63">
        <f>IF(AND(ISNUMBER(C267),ISNUMBER(D267)),D267-C267,"")</f>
        <v/>
      </c>
      <c r="F267" s="62">
        <f>IF(A267="","",IFERROR(IF(INDEX(2_Participantes!$E$6:$E$305,MATCH(A267,2_Participantes!$A$6:$A$305,0))="","",INDEX(2_Participantes!$E$6:$E$305,MATCH(A267,2_Participantes!$A$6:$A$305,0))),""))</f>
        <v/>
      </c>
      <c r="G267" s="61">
        <f>IF(A267="","",IFERROR(IF(INDEX(2_Participantes!$F$6:$F$305,MATCH(A267,2_Participantes!$A$6:$A$305,0))="","",INDEX(2_Participantes!$F$6:$F$305,MATCH(A267,2_Participantes!$A$6:$A$305,0))),"No registrado"))</f>
        <v/>
      </c>
      <c r="H267" s="84">
        <f>IF(A267="","",IFERROR(IF(INDEX(2_Participantes!$L$6:$L$305,MATCH(A267,2_Participantes!$A$6:$A$305,0))="","",INDEX(2_Participantes!$L$6:$L$305,MATCH(A267,2_Participantes!$A$6:$A$305,0))),""))</f>
        <v/>
      </c>
      <c r="I267" s="62">
        <f>IF(A267="","",IF(AND(ISNUMBER(C267),ISNUMBER(D267),G267&lt;&gt;"Excluido"),1,0))</f>
        <v/>
      </c>
      <c r="J267" s="76">
        <f>IF(A267="","",IF(G267="No registrado","Código ausente en 2_Participantes",IF(AND(ISNUMBER(D267),NOT(ISNUMBER(C267))),"Postest sin pretest (huérfano)",IF(OR(AND(ISNUMBER(C267),OR(C267&lt;Inicio!$C$18,C267&gt;Inicio!$C$19)),AND(ISNUMBER(D267),OR(D267&lt;Inicio!$C$18,D267&gt;Inicio!$C$19))),"Fuera de rango",IF(COUNTIF($A$6:$A$305,A267)&gt;1,"Código duplicado","OK")))))</f>
        <v/>
      </c>
    </row>
    <row r="268" ht="15" customHeight="1" s="42">
      <c r="A268" s="67" t="n"/>
      <c r="B268" s="61">
        <f>IF(A268="","",IFERROR(IF(INDEX(2_Participantes!$B$6:$B$305,MATCH(A268,2_Participantes!$A$6:$A$305,0))="","",INDEX(2_Participantes!$B$6:$B$305,MATCH(A268,2_Participantes!$A$6:$A$305,0))),"No registrado"))</f>
        <v/>
      </c>
      <c r="C268" s="52" t="n"/>
      <c r="D268" s="52" t="n"/>
      <c r="E268" s="63">
        <f>IF(AND(ISNUMBER(C268),ISNUMBER(D268)),D268-C268,"")</f>
        <v/>
      </c>
      <c r="F268" s="62">
        <f>IF(A268="","",IFERROR(IF(INDEX(2_Participantes!$E$6:$E$305,MATCH(A268,2_Participantes!$A$6:$A$305,0))="","",INDEX(2_Participantes!$E$6:$E$305,MATCH(A268,2_Participantes!$A$6:$A$305,0))),""))</f>
        <v/>
      </c>
      <c r="G268" s="61">
        <f>IF(A268="","",IFERROR(IF(INDEX(2_Participantes!$F$6:$F$305,MATCH(A268,2_Participantes!$A$6:$A$305,0))="","",INDEX(2_Participantes!$F$6:$F$305,MATCH(A268,2_Participantes!$A$6:$A$305,0))),"No registrado"))</f>
        <v/>
      </c>
      <c r="H268" s="84">
        <f>IF(A268="","",IFERROR(IF(INDEX(2_Participantes!$L$6:$L$305,MATCH(A268,2_Participantes!$A$6:$A$305,0))="","",INDEX(2_Participantes!$L$6:$L$305,MATCH(A268,2_Participantes!$A$6:$A$305,0))),""))</f>
        <v/>
      </c>
      <c r="I268" s="62">
        <f>IF(A268="","",IF(AND(ISNUMBER(C268),ISNUMBER(D268),G268&lt;&gt;"Excluido"),1,0))</f>
        <v/>
      </c>
      <c r="J268" s="76">
        <f>IF(A268="","",IF(G268="No registrado","Código ausente en 2_Participantes",IF(AND(ISNUMBER(D268),NOT(ISNUMBER(C268))),"Postest sin pretest (huérfano)",IF(OR(AND(ISNUMBER(C268),OR(C268&lt;Inicio!$C$18,C268&gt;Inicio!$C$19)),AND(ISNUMBER(D268),OR(D268&lt;Inicio!$C$18,D268&gt;Inicio!$C$19))),"Fuera de rango",IF(COUNTIF($A$6:$A$305,A268)&gt;1,"Código duplicado","OK")))))</f>
        <v/>
      </c>
    </row>
    <row r="269" ht="15" customHeight="1" s="42">
      <c r="A269" s="67" t="n"/>
      <c r="B269" s="61">
        <f>IF(A269="","",IFERROR(IF(INDEX(2_Participantes!$B$6:$B$305,MATCH(A269,2_Participantes!$A$6:$A$305,0))="","",INDEX(2_Participantes!$B$6:$B$305,MATCH(A269,2_Participantes!$A$6:$A$305,0))),"No registrado"))</f>
        <v/>
      </c>
      <c r="C269" s="52" t="n"/>
      <c r="D269" s="52" t="n"/>
      <c r="E269" s="63">
        <f>IF(AND(ISNUMBER(C269),ISNUMBER(D269)),D269-C269,"")</f>
        <v/>
      </c>
      <c r="F269" s="62">
        <f>IF(A269="","",IFERROR(IF(INDEX(2_Participantes!$E$6:$E$305,MATCH(A269,2_Participantes!$A$6:$A$305,0))="","",INDEX(2_Participantes!$E$6:$E$305,MATCH(A269,2_Participantes!$A$6:$A$305,0))),""))</f>
        <v/>
      </c>
      <c r="G269" s="61">
        <f>IF(A269="","",IFERROR(IF(INDEX(2_Participantes!$F$6:$F$305,MATCH(A269,2_Participantes!$A$6:$A$305,0))="","",INDEX(2_Participantes!$F$6:$F$305,MATCH(A269,2_Participantes!$A$6:$A$305,0))),"No registrado"))</f>
        <v/>
      </c>
      <c r="H269" s="84">
        <f>IF(A269="","",IFERROR(IF(INDEX(2_Participantes!$L$6:$L$305,MATCH(A269,2_Participantes!$A$6:$A$305,0))="","",INDEX(2_Participantes!$L$6:$L$305,MATCH(A269,2_Participantes!$A$6:$A$305,0))),""))</f>
        <v/>
      </c>
      <c r="I269" s="62">
        <f>IF(A269="","",IF(AND(ISNUMBER(C269),ISNUMBER(D269),G269&lt;&gt;"Excluido"),1,0))</f>
        <v/>
      </c>
      <c r="J269" s="76">
        <f>IF(A269="","",IF(G269="No registrado","Código ausente en 2_Participantes",IF(AND(ISNUMBER(D269),NOT(ISNUMBER(C269))),"Postest sin pretest (huérfano)",IF(OR(AND(ISNUMBER(C269),OR(C269&lt;Inicio!$C$18,C269&gt;Inicio!$C$19)),AND(ISNUMBER(D269),OR(D269&lt;Inicio!$C$18,D269&gt;Inicio!$C$19))),"Fuera de rango",IF(COUNTIF($A$6:$A$305,A269)&gt;1,"Código duplicado","OK")))))</f>
        <v/>
      </c>
    </row>
    <row r="270" ht="15" customHeight="1" s="42">
      <c r="A270" s="67" t="n"/>
      <c r="B270" s="61">
        <f>IF(A270="","",IFERROR(IF(INDEX(2_Participantes!$B$6:$B$305,MATCH(A270,2_Participantes!$A$6:$A$305,0))="","",INDEX(2_Participantes!$B$6:$B$305,MATCH(A270,2_Participantes!$A$6:$A$305,0))),"No registrado"))</f>
        <v/>
      </c>
      <c r="C270" s="52" t="n"/>
      <c r="D270" s="52" t="n"/>
      <c r="E270" s="63">
        <f>IF(AND(ISNUMBER(C270),ISNUMBER(D270)),D270-C270,"")</f>
        <v/>
      </c>
      <c r="F270" s="62">
        <f>IF(A270="","",IFERROR(IF(INDEX(2_Participantes!$E$6:$E$305,MATCH(A270,2_Participantes!$A$6:$A$305,0))="","",INDEX(2_Participantes!$E$6:$E$305,MATCH(A270,2_Participantes!$A$6:$A$305,0))),""))</f>
        <v/>
      </c>
      <c r="G270" s="61">
        <f>IF(A270="","",IFERROR(IF(INDEX(2_Participantes!$F$6:$F$305,MATCH(A270,2_Participantes!$A$6:$A$305,0))="","",INDEX(2_Participantes!$F$6:$F$305,MATCH(A270,2_Participantes!$A$6:$A$305,0))),"No registrado"))</f>
        <v/>
      </c>
      <c r="H270" s="84">
        <f>IF(A270="","",IFERROR(IF(INDEX(2_Participantes!$L$6:$L$305,MATCH(A270,2_Participantes!$A$6:$A$305,0))="","",INDEX(2_Participantes!$L$6:$L$305,MATCH(A270,2_Participantes!$A$6:$A$305,0))),""))</f>
        <v/>
      </c>
      <c r="I270" s="62">
        <f>IF(A270="","",IF(AND(ISNUMBER(C270),ISNUMBER(D270),G270&lt;&gt;"Excluido"),1,0))</f>
        <v/>
      </c>
      <c r="J270" s="76">
        <f>IF(A270="","",IF(G270="No registrado","Código ausente en 2_Participantes",IF(AND(ISNUMBER(D270),NOT(ISNUMBER(C270))),"Postest sin pretest (huérfano)",IF(OR(AND(ISNUMBER(C270),OR(C270&lt;Inicio!$C$18,C270&gt;Inicio!$C$19)),AND(ISNUMBER(D270),OR(D270&lt;Inicio!$C$18,D270&gt;Inicio!$C$19))),"Fuera de rango",IF(COUNTIF($A$6:$A$305,A270)&gt;1,"Código duplicado","OK")))))</f>
        <v/>
      </c>
    </row>
    <row r="271" ht="15" customHeight="1" s="42">
      <c r="A271" s="67" t="n"/>
      <c r="B271" s="61">
        <f>IF(A271="","",IFERROR(IF(INDEX(2_Participantes!$B$6:$B$305,MATCH(A271,2_Participantes!$A$6:$A$305,0))="","",INDEX(2_Participantes!$B$6:$B$305,MATCH(A271,2_Participantes!$A$6:$A$305,0))),"No registrado"))</f>
        <v/>
      </c>
      <c r="C271" s="52" t="n"/>
      <c r="D271" s="52" t="n"/>
      <c r="E271" s="63">
        <f>IF(AND(ISNUMBER(C271),ISNUMBER(D271)),D271-C271,"")</f>
        <v/>
      </c>
      <c r="F271" s="62">
        <f>IF(A271="","",IFERROR(IF(INDEX(2_Participantes!$E$6:$E$305,MATCH(A271,2_Participantes!$A$6:$A$305,0))="","",INDEX(2_Participantes!$E$6:$E$305,MATCH(A271,2_Participantes!$A$6:$A$305,0))),""))</f>
        <v/>
      </c>
      <c r="G271" s="61">
        <f>IF(A271="","",IFERROR(IF(INDEX(2_Participantes!$F$6:$F$305,MATCH(A271,2_Participantes!$A$6:$A$305,0))="","",INDEX(2_Participantes!$F$6:$F$305,MATCH(A271,2_Participantes!$A$6:$A$305,0))),"No registrado"))</f>
        <v/>
      </c>
      <c r="H271" s="84">
        <f>IF(A271="","",IFERROR(IF(INDEX(2_Participantes!$L$6:$L$305,MATCH(A271,2_Participantes!$A$6:$A$305,0))="","",INDEX(2_Participantes!$L$6:$L$305,MATCH(A271,2_Participantes!$A$6:$A$305,0))),""))</f>
        <v/>
      </c>
      <c r="I271" s="62">
        <f>IF(A271="","",IF(AND(ISNUMBER(C271),ISNUMBER(D271),G271&lt;&gt;"Excluido"),1,0))</f>
        <v/>
      </c>
      <c r="J271" s="76">
        <f>IF(A271="","",IF(G271="No registrado","Código ausente en 2_Participantes",IF(AND(ISNUMBER(D271),NOT(ISNUMBER(C271))),"Postest sin pretest (huérfano)",IF(OR(AND(ISNUMBER(C271),OR(C271&lt;Inicio!$C$18,C271&gt;Inicio!$C$19)),AND(ISNUMBER(D271),OR(D271&lt;Inicio!$C$18,D271&gt;Inicio!$C$19))),"Fuera de rango",IF(COUNTIF($A$6:$A$305,A271)&gt;1,"Código duplicado","OK")))))</f>
        <v/>
      </c>
    </row>
    <row r="272" ht="15" customHeight="1" s="42">
      <c r="A272" s="67" t="n"/>
      <c r="B272" s="61">
        <f>IF(A272="","",IFERROR(IF(INDEX(2_Participantes!$B$6:$B$305,MATCH(A272,2_Participantes!$A$6:$A$305,0))="","",INDEX(2_Participantes!$B$6:$B$305,MATCH(A272,2_Participantes!$A$6:$A$305,0))),"No registrado"))</f>
        <v/>
      </c>
      <c r="C272" s="52" t="n"/>
      <c r="D272" s="52" t="n"/>
      <c r="E272" s="63">
        <f>IF(AND(ISNUMBER(C272),ISNUMBER(D272)),D272-C272,"")</f>
        <v/>
      </c>
      <c r="F272" s="62">
        <f>IF(A272="","",IFERROR(IF(INDEX(2_Participantes!$E$6:$E$305,MATCH(A272,2_Participantes!$A$6:$A$305,0))="","",INDEX(2_Participantes!$E$6:$E$305,MATCH(A272,2_Participantes!$A$6:$A$305,0))),""))</f>
        <v/>
      </c>
      <c r="G272" s="61">
        <f>IF(A272="","",IFERROR(IF(INDEX(2_Participantes!$F$6:$F$305,MATCH(A272,2_Participantes!$A$6:$A$305,0))="","",INDEX(2_Participantes!$F$6:$F$305,MATCH(A272,2_Participantes!$A$6:$A$305,0))),"No registrado"))</f>
        <v/>
      </c>
      <c r="H272" s="84">
        <f>IF(A272="","",IFERROR(IF(INDEX(2_Participantes!$L$6:$L$305,MATCH(A272,2_Participantes!$A$6:$A$305,0))="","",INDEX(2_Participantes!$L$6:$L$305,MATCH(A272,2_Participantes!$A$6:$A$305,0))),""))</f>
        <v/>
      </c>
      <c r="I272" s="62">
        <f>IF(A272="","",IF(AND(ISNUMBER(C272),ISNUMBER(D272),G272&lt;&gt;"Excluido"),1,0))</f>
        <v/>
      </c>
      <c r="J272" s="76">
        <f>IF(A272="","",IF(G272="No registrado","Código ausente en 2_Participantes",IF(AND(ISNUMBER(D272),NOT(ISNUMBER(C272))),"Postest sin pretest (huérfano)",IF(OR(AND(ISNUMBER(C272),OR(C272&lt;Inicio!$C$18,C272&gt;Inicio!$C$19)),AND(ISNUMBER(D272),OR(D272&lt;Inicio!$C$18,D272&gt;Inicio!$C$19))),"Fuera de rango",IF(COUNTIF($A$6:$A$305,A272)&gt;1,"Código duplicado","OK")))))</f>
        <v/>
      </c>
    </row>
    <row r="273" ht="15" customHeight="1" s="42">
      <c r="A273" s="67" t="n"/>
      <c r="B273" s="61">
        <f>IF(A273="","",IFERROR(IF(INDEX(2_Participantes!$B$6:$B$305,MATCH(A273,2_Participantes!$A$6:$A$305,0))="","",INDEX(2_Participantes!$B$6:$B$305,MATCH(A273,2_Participantes!$A$6:$A$305,0))),"No registrado"))</f>
        <v/>
      </c>
      <c r="C273" s="52" t="n"/>
      <c r="D273" s="52" t="n"/>
      <c r="E273" s="63">
        <f>IF(AND(ISNUMBER(C273),ISNUMBER(D273)),D273-C273,"")</f>
        <v/>
      </c>
      <c r="F273" s="62">
        <f>IF(A273="","",IFERROR(IF(INDEX(2_Participantes!$E$6:$E$305,MATCH(A273,2_Participantes!$A$6:$A$305,0))="","",INDEX(2_Participantes!$E$6:$E$305,MATCH(A273,2_Participantes!$A$6:$A$305,0))),""))</f>
        <v/>
      </c>
      <c r="G273" s="61">
        <f>IF(A273="","",IFERROR(IF(INDEX(2_Participantes!$F$6:$F$305,MATCH(A273,2_Participantes!$A$6:$A$305,0))="","",INDEX(2_Participantes!$F$6:$F$305,MATCH(A273,2_Participantes!$A$6:$A$305,0))),"No registrado"))</f>
        <v/>
      </c>
      <c r="H273" s="84">
        <f>IF(A273="","",IFERROR(IF(INDEX(2_Participantes!$L$6:$L$305,MATCH(A273,2_Participantes!$A$6:$A$305,0))="","",INDEX(2_Participantes!$L$6:$L$305,MATCH(A273,2_Participantes!$A$6:$A$305,0))),""))</f>
        <v/>
      </c>
      <c r="I273" s="62">
        <f>IF(A273="","",IF(AND(ISNUMBER(C273),ISNUMBER(D273),G273&lt;&gt;"Excluido"),1,0))</f>
        <v/>
      </c>
      <c r="J273" s="76">
        <f>IF(A273="","",IF(G273="No registrado","Código ausente en 2_Participantes",IF(AND(ISNUMBER(D273),NOT(ISNUMBER(C273))),"Postest sin pretest (huérfano)",IF(OR(AND(ISNUMBER(C273),OR(C273&lt;Inicio!$C$18,C273&gt;Inicio!$C$19)),AND(ISNUMBER(D273),OR(D273&lt;Inicio!$C$18,D273&gt;Inicio!$C$19))),"Fuera de rango",IF(COUNTIF($A$6:$A$305,A273)&gt;1,"Código duplicado","OK")))))</f>
        <v/>
      </c>
    </row>
    <row r="274" ht="15" customHeight="1" s="42">
      <c r="A274" s="67" t="n"/>
      <c r="B274" s="61">
        <f>IF(A274="","",IFERROR(IF(INDEX(2_Participantes!$B$6:$B$305,MATCH(A274,2_Participantes!$A$6:$A$305,0))="","",INDEX(2_Participantes!$B$6:$B$305,MATCH(A274,2_Participantes!$A$6:$A$305,0))),"No registrado"))</f>
        <v/>
      </c>
      <c r="C274" s="52" t="n"/>
      <c r="D274" s="52" t="n"/>
      <c r="E274" s="63">
        <f>IF(AND(ISNUMBER(C274),ISNUMBER(D274)),D274-C274,"")</f>
        <v/>
      </c>
      <c r="F274" s="62">
        <f>IF(A274="","",IFERROR(IF(INDEX(2_Participantes!$E$6:$E$305,MATCH(A274,2_Participantes!$A$6:$A$305,0))="","",INDEX(2_Participantes!$E$6:$E$305,MATCH(A274,2_Participantes!$A$6:$A$305,0))),""))</f>
        <v/>
      </c>
      <c r="G274" s="61">
        <f>IF(A274="","",IFERROR(IF(INDEX(2_Participantes!$F$6:$F$305,MATCH(A274,2_Participantes!$A$6:$A$305,0))="","",INDEX(2_Participantes!$F$6:$F$305,MATCH(A274,2_Participantes!$A$6:$A$305,0))),"No registrado"))</f>
        <v/>
      </c>
      <c r="H274" s="84">
        <f>IF(A274="","",IFERROR(IF(INDEX(2_Participantes!$L$6:$L$305,MATCH(A274,2_Participantes!$A$6:$A$305,0))="","",INDEX(2_Participantes!$L$6:$L$305,MATCH(A274,2_Participantes!$A$6:$A$305,0))),""))</f>
        <v/>
      </c>
      <c r="I274" s="62">
        <f>IF(A274="","",IF(AND(ISNUMBER(C274),ISNUMBER(D274),G274&lt;&gt;"Excluido"),1,0))</f>
        <v/>
      </c>
      <c r="J274" s="76">
        <f>IF(A274="","",IF(G274="No registrado","Código ausente en 2_Participantes",IF(AND(ISNUMBER(D274),NOT(ISNUMBER(C274))),"Postest sin pretest (huérfano)",IF(OR(AND(ISNUMBER(C274),OR(C274&lt;Inicio!$C$18,C274&gt;Inicio!$C$19)),AND(ISNUMBER(D274),OR(D274&lt;Inicio!$C$18,D274&gt;Inicio!$C$19))),"Fuera de rango",IF(COUNTIF($A$6:$A$305,A274)&gt;1,"Código duplicado","OK")))))</f>
        <v/>
      </c>
    </row>
    <row r="275" ht="15" customHeight="1" s="42">
      <c r="A275" s="67" t="n"/>
      <c r="B275" s="61">
        <f>IF(A275="","",IFERROR(IF(INDEX(2_Participantes!$B$6:$B$305,MATCH(A275,2_Participantes!$A$6:$A$305,0))="","",INDEX(2_Participantes!$B$6:$B$305,MATCH(A275,2_Participantes!$A$6:$A$305,0))),"No registrado"))</f>
        <v/>
      </c>
      <c r="C275" s="52" t="n"/>
      <c r="D275" s="52" t="n"/>
      <c r="E275" s="63">
        <f>IF(AND(ISNUMBER(C275),ISNUMBER(D275)),D275-C275,"")</f>
        <v/>
      </c>
      <c r="F275" s="62">
        <f>IF(A275="","",IFERROR(IF(INDEX(2_Participantes!$E$6:$E$305,MATCH(A275,2_Participantes!$A$6:$A$305,0))="","",INDEX(2_Participantes!$E$6:$E$305,MATCH(A275,2_Participantes!$A$6:$A$305,0))),""))</f>
        <v/>
      </c>
      <c r="G275" s="61">
        <f>IF(A275="","",IFERROR(IF(INDEX(2_Participantes!$F$6:$F$305,MATCH(A275,2_Participantes!$A$6:$A$305,0))="","",INDEX(2_Participantes!$F$6:$F$305,MATCH(A275,2_Participantes!$A$6:$A$305,0))),"No registrado"))</f>
        <v/>
      </c>
      <c r="H275" s="84">
        <f>IF(A275="","",IFERROR(IF(INDEX(2_Participantes!$L$6:$L$305,MATCH(A275,2_Participantes!$A$6:$A$305,0))="","",INDEX(2_Participantes!$L$6:$L$305,MATCH(A275,2_Participantes!$A$6:$A$305,0))),""))</f>
        <v/>
      </c>
      <c r="I275" s="62">
        <f>IF(A275="","",IF(AND(ISNUMBER(C275),ISNUMBER(D275),G275&lt;&gt;"Excluido"),1,0))</f>
        <v/>
      </c>
      <c r="J275" s="76">
        <f>IF(A275="","",IF(G275="No registrado","Código ausente en 2_Participantes",IF(AND(ISNUMBER(D275),NOT(ISNUMBER(C275))),"Postest sin pretest (huérfano)",IF(OR(AND(ISNUMBER(C275),OR(C275&lt;Inicio!$C$18,C275&gt;Inicio!$C$19)),AND(ISNUMBER(D275),OR(D275&lt;Inicio!$C$18,D275&gt;Inicio!$C$19))),"Fuera de rango",IF(COUNTIF($A$6:$A$305,A275)&gt;1,"Código duplicado","OK")))))</f>
        <v/>
      </c>
    </row>
    <row r="276" ht="15" customHeight="1" s="42">
      <c r="A276" s="67" t="n"/>
      <c r="B276" s="61">
        <f>IF(A276="","",IFERROR(IF(INDEX(2_Participantes!$B$6:$B$305,MATCH(A276,2_Participantes!$A$6:$A$305,0))="","",INDEX(2_Participantes!$B$6:$B$305,MATCH(A276,2_Participantes!$A$6:$A$305,0))),"No registrado"))</f>
        <v/>
      </c>
      <c r="C276" s="52" t="n"/>
      <c r="D276" s="52" t="n"/>
      <c r="E276" s="63">
        <f>IF(AND(ISNUMBER(C276),ISNUMBER(D276)),D276-C276,"")</f>
        <v/>
      </c>
      <c r="F276" s="62">
        <f>IF(A276="","",IFERROR(IF(INDEX(2_Participantes!$E$6:$E$305,MATCH(A276,2_Participantes!$A$6:$A$305,0))="","",INDEX(2_Participantes!$E$6:$E$305,MATCH(A276,2_Participantes!$A$6:$A$305,0))),""))</f>
        <v/>
      </c>
      <c r="G276" s="61">
        <f>IF(A276="","",IFERROR(IF(INDEX(2_Participantes!$F$6:$F$305,MATCH(A276,2_Participantes!$A$6:$A$305,0))="","",INDEX(2_Participantes!$F$6:$F$305,MATCH(A276,2_Participantes!$A$6:$A$305,0))),"No registrado"))</f>
        <v/>
      </c>
      <c r="H276" s="84">
        <f>IF(A276="","",IFERROR(IF(INDEX(2_Participantes!$L$6:$L$305,MATCH(A276,2_Participantes!$A$6:$A$305,0))="","",INDEX(2_Participantes!$L$6:$L$305,MATCH(A276,2_Participantes!$A$6:$A$305,0))),""))</f>
        <v/>
      </c>
      <c r="I276" s="62">
        <f>IF(A276="","",IF(AND(ISNUMBER(C276),ISNUMBER(D276),G276&lt;&gt;"Excluido"),1,0))</f>
        <v/>
      </c>
      <c r="J276" s="76">
        <f>IF(A276="","",IF(G276="No registrado","Código ausente en 2_Participantes",IF(AND(ISNUMBER(D276),NOT(ISNUMBER(C276))),"Postest sin pretest (huérfano)",IF(OR(AND(ISNUMBER(C276),OR(C276&lt;Inicio!$C$18,C276&gt;Inicio!$C$19)),AND(ISNUMBER(D276),OR(D276&lt;Inicio!$C$18,D276&gt;Inicio!$C$19))),"Fuera de rango",IF(COUNTIF($A$6:$A$305,A276)&gt;1,"Código duplicado","OK")))))</f>
        <v/>
      </c>
    </row>
    <row r="277" ht="15" customHeight="1" s="42">
      <c r="A277" s="67" t="n"/>
      <c r="B277" s="61">
        <f>IF(A277="","",IFERROR(IF(INDEX(2_Participantes!$B$6:$B$305,MATCH(A277,2_Participantes!$A$6:$A$305,0))="","",INDEX(2_Participantes!$B$6:$B$305,MATCH(A277,2_Participantes!$A$6:$A$305,0))),"No registrado"))</f>
        <v/>
      </c>
      <c r="C277" s="52" t="n"/>
      <c r="D277" s="52" t="n"/>
      <c r="E277" s="63">
        <f>IF(AND(ISNUMBER(C277),ISNUMBER(D277)),D277-C277,"")</f>
        <v/>
      </c>
      <c r="F277" s="62">
        <f>IF(A277="","",IFERROR(IF(INDEX(2_Participantes!$E$6:$E$305,MATCH(A277,2_Participantes!$A$6:$A$305,0))="","",INDEX(2_Participantes!$E$6:$E$305,MATCH(A277,2_Participantes!$A$6:$A$305,0))),""))</f>
        <v/>
      </c>
      <c r="G277" s="61">
        <f>IF(A277="","",IFERROR(IF(INDEX(2_Participantes!$F$6:$F$305,MATCH(A277,2_Participantes!$A$6:$A$305,0))="","",INDEX(2_Participantes!$F$6:$F$305,MATCH(A277,2_Participantes!$A$6:$A$305,0))),"No registrado"))</f>
        <v/>
      </c>
      <c r="H277" s="84">
        <f>IF(A277="","",IFERROR(IF(INDEX(2_Participantes!$L$6:$L$305,MATCH(A277,2_Participantes!$A$6:$A$305,0))="","",INDEX(2_Participantes!$L$6:$L$305,MATCH(A277,2_Participantes!$A$6:$A$305,0))),""))</f>
        <v/>
      </c>
      <c r="I277" s="62">
        <f>IF(A277="","",IF(AND(ISNUMBER(C277),ISNUMBER(D277),G277&lt;&gt;"Excluido"),1,0))</f>
        <v/>
      </c>
      <c r="J277" s="76">
        <f>IF(A277="","",IF(G277="No registrado","Código ausente en 2_Participantes",IF(AND(ISNUMBER(D277),NOT(ISNUMBER(C277))),"Postest sin pretest (huérfano)",IF(OR(AND(ISNUMBER(C277),OR(C277&lt;Inicio!$C$18,C277&gt;Inicio!$C$19)),AND(ISNUMBER(D277),OR(D277&lt;Inicio!$C$18,D277&gt;Inicio!$C$19))),"Fuera de rango",IF(COUNTIF($A$6:$A$305,A277)&gt;1,"Código duplicado","OK")))))</f>
        <v/>
      </c>
    </row>
    <row r="278" ht="15" customHeight="1" s="42">
      <c r="A278" s="67" t="n"/>
      <c r="B278" s="61">
        <f>IF(A278="","",IFERROR(IF(INDEX(2_Participantes!$B$6:$B$305,MATCH(A278,2_Participantes!$A$6:$A$305,0))="","",INDEX(2_Participantes!$B$6:$B$305,MATCH(A278,2_Participantes!$A$6:$A$305,0))),"No registrado"))</f>
        <v/>
      </c>
      <c r="C278" s="52" t="n"/>
      <c r="D278" s="52" t="n"/>
      <c r="E278" s="63">
        <f>IF(AND(ISNUMBER(C278),ISNUMBER(D278)),D278-C278,"")</f>
        <v/>
      </c>
      <c r="F278" s="62">
        <f>IF(A278="","",IFERROR(IF(INDEX(2_Participantes!$E$6:$E$305,MATCH(A278,2_Participantes!$A$6:$A$305,0))="","",INDEX(2_Participantes!$E$6:$E$305,MATCH(A278,2_Participantes!$A$6:$A$305,0))),""))</f>
        <v/>
      </c>
      <c r="G278" s="61">
        <f>IF(A278="","",IFERROR(IF(INDEX(2_Participantes!$F$6:$F$305,MATCH(A278,2_Participantes!$A$6:$A$305,0))="","",INDEX(2_Participantes!$F$6:$F$305,MATCH(A278,2_Participantes!$A$6:$A$305,0))),"No registrado"))</f>
        <v/>
      </c>
      <c r="H278" s="84">
        <f>IF(A278="","",IFERROR(IF(INDEX(2_Participantes!$L$6:$L$305,MATCH(A278,2_Participantes!$A$6:$A$305,0))="","",INDEX(2_Participantes!$L$6:$L$305,MATCH(A278,2_Participantes!$A$6:$A$305,0))),""))</f>
        <v/>
      </c>
      <c r="I278" s="62">
        <f>IF(A278="","",IF(AND(ISNUMBER(C278),ISNUMBER(D278),G278&lt;&gt;"Excluido"),1,0))</f>
        <v/>
      </c>
      <c r="J278" s="76">
        <f>IF(A278="","",IF(G278="No registrado","Código ausente en 2_Participantes",IF(AND(ISNUMBER(D278),NOT(ISNUMBER(C278))),"Postest sin pretest (huérfano)",IF(OR(AND(ISNUMBER(C278),OR(C278&lt;Inicio!$C$18,C278&gt;Inicio!$C$19)),AND(ISNUMBER(D278),OR(D278&lt;Inicio!$C$18,D278&gt;Inicio!$C$19))),"Fuera de rango",IF(COUNTIF($A$6:$A$305,A278)&gt;1,"Código duplicado","OK")))))</f>
        <v/>
      </c>
    </row>
    <row r="279" ht="15" customHeight="1" s="42">
      <c r="A279" s="67" t="n"/>
      <c r="B279" s="61">
        <f>IF(A279="","",IFERROR(IF(INDEX(2_Participantes!$B$6:$B$305,MATCH(A279,2_Participantes!$A$6:$A$305,0))="","",INDEX(2_Participantes!$B$6:$B$305,MATCH(A279,2_Participantes!$A$6:$A$305,0))),"No registrado"))</f>
        <v/>
      </c>
      <c r="C279" s="52" t="n"/>
      <c r="D279" s="52" t="n"/>
      <c r="E279" s="63">
        <f>IF(AND(ISNUMBER(C279),ISNUMBER(D279)),D279-C279,"")</f>
        <v/>
      </c>
      <c r="F279" s="62">
        <f>IF(A279="","",IFERROR(IF(INDEX(2_Participantes!$E$6:$E$305,MATCH(A279,2_Participantes!$A$6:$A$305,0))="","",INDEX(2_Participantes!$E$6:$E$305,MATCH(A279,2_Participantes!$A$6:$A$305,0))),""))</f>
        <v/>
      </c>
      <c r="G279" s="61">
        <f>IF(A279="","",IFERROR(IF(INDEX(2_Participantes!$F$6:$F$305,MATCH(A279,2_Participantes!$A$6:$A$305,0))="","",INDEX(2_Participantes!$F$6:$F$305,MATCH(A279,2_Participantes!$A$6:$A$305,0))),"No registrado"))</f>
        <v/>
      </c>
      <c r="H279" s="84">
        <f>IF(A279="","",IFERROR(IF(INDEX(2_Participantes!$L$6:$L$305,MATCH(A279,2_Participantes!$A$6:$A$305,0))="","",INDEX(2_Participantes!$L$6:$L$305,MATCH(A279,2_Participantes!$A$6:$A$305,0))),""))</f>
        <v/>
      </c>
      <c r="I279" s="62">
        <f>IF(A279="","",IF(AND(ISNUMBER(C279),ISNUMBER(D279),G279&lt;&gt;"Excluido"),1,0))</f>
        <v/>
      </c>
      <c r="J279" s="76">
        <f>IF(A279="","",IF(G279="No registrado","Código ausente en 2_Participantes",IF(AND(ISNUMBER(D279),NOT(ISNUMBER(C279))),"Postest sin pretest (huérfano)",IF(OR(AND(ISNUMBER(C279),OR(C279&lt;Inicio!$C$18,C279&gt;Inicio!$C$19)),AND(ISNUMBER(D279),OR(D279&lt;Inicio!$C$18,D279&gt;Inicio!$C$19))),"Fuera de rango",IF(COUNTIF($A$6:$A$305,A279)&gt;1,"Código duplicado","OK")))))</f>
        <v/>
      </c>
    </row>
    <row r="280" ht="15" customHeight="1" s="42">
      <c r="A280" s="67" t="n"/>
      <c r="B280" s="61">
        <f>IF(A280="","",IFERROR(IF(INDEX(2_Participantes!$B$6:$B$305,MATCH(A280,2_Participantes!$A$6:$A$305,0))="","",INDEX(2_Participantes!$B$6:$B$305,MATCH(A280,2_Participantes!$A$6:$A$305,0))),"No registrado"))</f>
        <v/>
      </c>
      <c r="C280" s="52" t="n"/>
      <c r="D280" s="52" t="n"/>
      <c r="E280" s="63">
        <f>IF(AND(ISNUMBER(C280),ISNUMBER(D280)),D280-C280,"")</f>
        <v/>
      </c>
      <c r="F280" s="62">
        <f>IF(A280="","",IFERROR(IF(INDEX(2_Participantes!$E$6:$E$305,MATCH(A280,2_Participantes!$A$6:$A$305,0))="","",INDEX(2_Participantes!$E$6:$E$305,MATCH(A280,2_Participantes!$A$6:$A$305,0))),""))</f>
        <v/>
      </c>
      <c r="G280" s="61">
        <f>IF(A280="","",IFERROR(IF(INDEX(2_Participantes!$F$6:$F$305,MATCH(A280,2_Participantes!$A$6:$A$305,0))="","",INDEX(2_Participantes!$F$6:$F$305,MATCH(A280,2_Participantes!$A$6:$A$305,0))),"No registrado"))</f>
        <v/>
      </c>
      <c r="H280" s="84">
        <f>IF(A280="","",IFERROR(IF(INDEX(2_Participantes!$L$6:$L$305,MATCH(A280,2_Participantes!$A$6:$A$305,0))="","",INDEX(2_Participantes!$L$6:$L$305,MATCH(A280,2_Participantes!$A$6:$A$305,0))),""))</f>
        <v/>
      </c>
      <c r="I280" s="62">
        <f>IF(A280="","",IF(AND(ISNUMBER(C280),ISNUMBER(D280),G280&lt;&gt;"Excluido"),1,0))</f>
        <v/>
      </c>
      <c r="J280" s="76">
        <f>IF(A280="","",IF(G280="No registrado","Código ausente en 2_Participantes",IF(AND(ISNUMBER(D280),NOT(ISNUMBER(C280))),"Postest sin pretest (huérfano)",IF(OR(AND(ISNUMBER(C280),OR(C280&lt;Inicio!$C$18,C280&gt;Inicio!$C$19)),AND(ISNUMBER(D280),OR(D280&lt;Inicio!$C$18,D280&gt;Inicio!$C$19))),"Fuera de rango",IF(COUNTIF($A$6:$A$305,A280)&gt;1,"Código duplicado","OK")))))</f>
        <v/>
      </c>
    </row>
    <row r="281" ht="15" customHeight="1" s="42">
      <c r="A281" s="67" t="n"/>
      <c r="B281" s="61">
        <f>IF(A281="","",IFERROR(IF(INDEX(2_Participantes!$B$6:$B$305,MATCH(A281,2_Participantes!$A$6:$A$305,0))="","",INDEX(2_Participantes!$B$6:$B$305,MATCH(A281,2_Participantes!$A$6:$A$305,0))),"No registrado"))</f>
        <v/>
      </c>
      <c r="C281" s="52" t="n"/>
      <c r="D281" s="52" t="n"/>
      <c r="E281" s="63">
        <f>IF(AND(ISNUMBER(C281),ISNUMBER(D281)),D281-C281,"")</f>
        <v/>
      </c>
      <c r="F281" s="62">
        <f>IF(A281="","",IFERROR(IF(INDEX(2_Participantes!$E$6:$E$305,MATCH(A281,2_Participantes!$A$6:$A$305,0))="","",INDEX(2_Participantes!$E$6:$E$305,MATCH(A281,2_Participantes!$A$6:$A$305,0))),""))</f>
        <v/>
      </c>
      <c r="G281" s="61">
        <f>IF(A281="","",IFERROR(IF(INDEX(2_Participantes!$F$6:$F$305,MATCH(A281,2_Participantes!$A$6:$A$305,0))="","",INDEX(2_Participantes!$F$6:$F$305,MATCH(A281,2_Participantes!$A$6:$A$305,0))),"No registrado"))</f>
        <v/>
      </c>
      <c r="H281" s="84">
        <f>IF(A281="","",IFERROR(IF(INDEX(2_Participantes!$L$6:$L$305,MATCH(A281,2_Participantes!$A$6:$A$305,0))="","",INDEX(2_Participantes!$L$6:$L$305,MATCH(A281,2_Participantes!$A$6:$A$305,0))),""))</f>
        <v/>
      </c>
      <c r="I281" s="62">
        <f>IF(A281="","",IF(AND(ISNUMBER(C281),ISNUMBER(D281),G281&lt;&gt;"Excluido"),1,0))</f>
        <v/>
      </c>
      <c r="J281" s="76">
        <f>IF(A281="","",IF(G281="No registrado","Código ausente en 2_Participantes",IF(AND(ISNUMBER(D281),NOT(ISNUMBER(C281))),"Postest sin pretest (huérfano)",IF(OR(AND(ISNUMBER(C281),OR(C281&lt;Inicio!$C$18,C281&gt;Inicio!$C$19)),AND(ISNUMBER(D281),OR(D281&lt;Inicio!$C$18,D281&gt;Inicio!$C$19))),"Fuera de rango",IF(COUNTIF($A$6:$A$305,A281)&gt;1,"Código duplicado","OK")))))</f>
        <v/>
      </c>
    </row>
    <row r="282" ht="15" customHeight="1" s="42">
      <c r="A282" s="67" t="n"/>
      <c r="B282" s="61">
        <f>IF(A282="","",IFERROR(IF(INDEX(2_Participantes!$B$6:$B$305,MATCH(A282,2_Participantes!$A$6:$A$305,0))="","",INDEX(2_Participantes!$B$6:$B$305,MATCH(A282,2_Participantes!$A$6:$A$305,0))),"No registrado"))</f>
        <v/>
      </c>
      <c r="C282" s="52" t="n"/>
      <c r="D282" s="52" t="n"/>
      <c r="E282" s="63">
        <f>IF(AND(ISNUMBER(C282),ISNUMBER(D282)),D282-C282,"")</f>
        <v/>
      </c>
      <c r="F282" s="62">
        <f>IF(A282="","",IFERROR(IF(INDEX(2_Participantes!$E$6:$E$305,MATCH(A282,2_Participantes!$A$6:$A$305,0))="","",INDEX(2_Participantes!$E$6:$E$305,MATCH(A282,2_Participantes!$A$6:$A$305,0))),""))</f>
        <v/>
      </c>
      <c r="G282" s="61">
        <f>IF(A282="","",IFERROR(IF(INDEX(2_Participantes!$F$6:$F$305,MATCH(A282,2_Participantes!$A$6:$A$305,0))="","",INDEX(2_Participantes!$F$6:$F$305,MATCH(A282,2_Participantes!$A$6:$A$305,0))),"No registrado"))</f>
        <v/>
      </c>
      <c r="H282" s="84">
        <f>IF(A282="","",IFERROR(IF(INDEX(2_Participantes!$L$6:$L$305,MATCH(A282,2_Participantes!$A$6:$A$305,0))="","",INDEX(2_Participantes!$L$6:$L$305,MATCH(A282,2_Participantes!$A$6:$A$305,0))),""))</f>
        <v/>
      </c>
      <c r="I282" s="62">
        <f>IF(A282="","",IF(AND(ISNUMBER(C282),ISNUMBER(D282),G282&lt;&gt;"Excluido"),1,0))</f>
        <v/>
      </c>
      <c r="J282" s="76">
        <f>IF(A282="","",IF(G282="No registrado","Código ausente en 2_Participantes",IF(AND(ISNUMBER(D282),NOT(ISNUMBER(C282))),"Postest sin pretest (huérfano)",IF(OR(AND(ISNUMBER(C282),OR(C282&lt;Inicio!$C$18,C282&gt;Inicio!$C$19)),AND(ISNUMBER(D282),OR(D282&lt;Inicio!$C$18,D282&gt;Inicio!$C$19))),"Fuera de rango",IF(COUNTIF($A$6:$A$305,A282)&gt;1,"Código duplicado","OK")))))</f>
        <v/>
      </c>
    </row>
    <row r="283" ht="15" customHeight="1" s="42">
      <c r="A283" s="67" t="n"/>
      <c r="B283" s="61">
        <f>IF(A283="","",IFERROR(IF(INDEX(2_Participantes!$B$6:$B$305,MATCH(A283,2_Participantes!$A$6:$A$305,0))="","",INDEX(2_Participantes!$B$6:$B$305,MATCH(A283,2_Participantes!$A$6:$A$305,0))),"No registrado"))</f>
        <v/>
      </c>
      <c r="C283" s="52" t="n"/>
      <c r="D283" s="52" t="n"/>
      <c r="E283" s="63">
        <f>IF(AND(ISNUMBER(C283),ISNUMBER(D283)),D283-C283,"")</f>
        <v/>
      </c>
      <c r="F283" s="62">
        <f>IF(A283="","",IFERROR(IF(INDEX(2_Participantes!$E$6:$E$305,MATCH(A283,2_Participantes!$A$6:$A$305,0))="","",INDEX(2_Participantes!$E$6:$E$305,MATCH(A283,2_Participantes!$A$6:$A$305,0))),""))</f>
        <v/>
      </c>
      <c r="G283" s="61">
        <f>IF(A283="","",IFERROR(IF(INDEX(2_Participantes!$F$6:$F$305,MATCH(A283,2_Participantes!$A$6:$A$305,0))="","",INDEX(2_Participantes!$F$6:$F$305,MATCH(A283,2_Participantes!$A$6:$A$305,0))),"No registrado"))</f>
        <v/>
      </c>
      <c r="H283" s="84">
        <f>IF(A283="","",IFERROR(IF(INDEX(2_Participantes!$L$6:$L$305,MATCH(A283,2_Participantes!$A$6:$A$305,0))="","",INDEX(2_Participantes!$L$6:$L$305,MATCH(A283,2_Participantes!$A$6:$A$305,0))),""))</f>
        <v/>
      </c>
      <c r="I283" s="62">
        <f>IF(A283="","",IF(AND(ISNUMBER(C283),ISNUMBER(D283),G283&lt;&gt;"Excluido"),1,0))</f>
        <v/>
      </c>
      <c r="J283" s="76">
        <f>IF(A283="","",IF(G283="No registrado","Código ausente en 2_Participantes",IF(AND(ISNUMBER(D283),NOT(ISNUMBER(C283))),"Postest sin pretest (huérfano)",IF(OR(AND(ISNUMBER(C283),OR(C283&lt;Inicio!$C$18,C283&gt;Inicio!$C$19)),AND(ISNUMBER(D283),OR(D283&lt;Inicio!$C$18,D283&gt;Inicio!$C$19))),"Fuera de rango",IF(COUNTIF($A$6:$A$305,A283)&gt;1,"Código duplicado","OK")))))</f>
        <v/>
      </c>
    </row>
    <row r="284" ht="15" customHeight="1" s="42">
      <c r="A284" s="67" t="n"/>
      <c r="B284" s="61">
        <f>IF(A284="","",IFERROR(IF(INDEX(2_Participantes!$B$6:$B$305,MATCH(A284,2_Participantes!$A$6:$A$305,0))="","",INDEX(2_Participantes!$B$6:$B$305,MATCH(A284,2_Participantes!$A$6:$A$305,0))),"No registrado"))</f>
        <v/>
      </c>
      <c r="C284" s="52" t="n"/>
      <c r="D284" s="52" t="n"/>
      <c r="E284" s="63">
        <f>IF(AND(ISNUMBER(C284),ISNUMBER(D284)),D284-C284,"")</f>
        <v/>
      </c>
      <c r="F284" s="62">
        <f>IF(A284="","",IFERROR(IF(INDEX(2_Participantes!$E$6:$E$305,MATCH(A284,2_Participantes!$A$6:$A$305,0))="","",INDEX(2_Participantes!$E$6:$E$305,MATCH(A284,2_Participantes!$A$6:$A$305,0))),""))</f>
        <v/>
      </c>
      <c r="G284" s="61">
        <f>IF(A284="","",IFERROR(IF(INDEX(2_Participantes!$F$6:$F$305,MATCH(A284,2_Participantes!$A$6:$A$305,0))="","",INDEX(2_Participantes!$F$6:$F$305,MATCH(A284,2_Participantes!$A$6:$A$305,0))),"No registrado"))</f>
        <v/>
      </c>
      <c r="H284" s="84">
        <f>IF(A284="","",IFERROR(IF(INDEX(2_Participantes!$L$6:$L$305,MATCH(A284,2_Participantes!$A$6:$A$305,0))="","",INDEX(2_Participantes!$L$6:$L$305,MATCH(A284,2_Participantes!$A$6:$A$305,0))),""))</f>
        <v/>
      </c>
      <c r="I284" s="62">
        <f>IF(A284="","",IF(AND(ISNUMBER(C284),ISNUMBER(D284),G284&lt;&gt;"Excluido"),1,0))</f>
        <v/>
      </c>
      <c r="J284" s="76">
        <f>IF(A284="","",IF(G284="No registrado","Código ausente en 2_Participantes",IF(AND(ISNUMBER(D284),NOT(ISNUMBER(C284))),"Postest sin pretest (huérfano)",IF(OR(AND(ISNUMBER(C284),OR(C284&lt;Inicio!$C$18,C284&gt;Inicio!$C$19)),AND(ISNUMBER(D284),OR(D284&lt;Inicio!$C$18,D284&gt;Inicio!$C$19))),"Fuera de rango",IF(COUNTIF($A$6:$A$305,A284)&gt;1,"Código duplicado","OK")))))</f>
        <v/>
      </c>
    </row>
    <row r="285" ht="15" customHeight="1" s="42">
      <c r="A285" s="67" t="n"/>
      <c r="B285" s="61">
        <f>IF(A285="","",IFERROR(IF(INDEX(2_Participantes!$B$6:$B$305,MATCH(A285,2_Participantes!$A$6:$A$305,0))="","",INDEX(2_Participantes!$B$6:$B$305,MATCH(A285,2_Participantes!$A$6:$A$305,0))),"No registrado"))</f>
        <v/>
      </c>
      <c r="C285" s="52" t="n"/>
      <c r="D285" s="52" t="n"/>
      <c r="E285" s="63">
        <f>IF(AND(ISNUMBER(C285),ISNUMBER(D285)),D285-C285,"")</f>
        <v/>
      </c>
      <c r="F285" s="62">
        <f>IF(A285="","",IFERROR(IF(INDEX(2_Participantes!$E$6:$E$305,MATCH(A285,2_Participantes!$A$6:$A$305,0))="","",INDEX(2_Participantes!$E$6:$E$305,MATCH(A285,2_Participantes!$A$6:$A$305,0))),""))</f>
        <v/>
      </c>
      <c r="G285" s="61">
        <f>IF(A285="","",IFERROR(IF(INDEX(2_Participantes!$F$6:$F$305,MATCH(A285,2_Participantes!$A$6:$A$305,0))="","",INDEX(2_Participantes!$F$6:$F$305,MATCH(A285,2_Participantes!$A$6:$A$305,0))),"No registrado"))</f>
        <v/>
      </c>
      <c r="H285" s="84">
        <f>IF(A285="","",IFERROR(IF(INDEX(2_Participantes!$L$6:$L$305,MATCH(A285,2_Participantes!$A$6:$A$305,0))="","",INDEX(2_Participantes!$L$6:$L$305,MATCH(A285,2_Participantes!$A$6:$A$305,0))),""))</f>
        <v/>
      </c>
      <c r="I285" s="62">
        <f>IF(A285="","",IF(AND(ISNUMBER(C285),ISNUMBER(D285),G285&lt;&gt;"Excluido"),1,0))</f>
        <v/>
      </c>
      <c r="J285" s="76">
        <f>IF(A285="","",IF(G285="No registrado","Código ausente en 2_Participantes",IF(AND(ISNUMBER(D285),NOT(ISNUMBER(C285))),"Postest sin pretest (huérfano)",IF(OR(AND(ISNUMBER(C285),OR(C285&lt;Inicio!$C$18,C285&gt;Inicio!$C$19)),AND(ISNUMBER(D285),OR(D285&lt;Inicio!$C$18,D285&gt;Inicio!$C$19))),"Fuera de rango",IF(COUNTIF($A$6:$A$305,A285)&gt;1,"Código duplicado","OK")))))</f>
        <v/>
      </c>
    </row>
    <row r="286" ht="15" customHeight="1" s="42">
      <c r="A286" s="67" t="n"/>
      <c r="B286" s="61">
        <f>IF(A286="","",IFERROR(IF(INDEX(2_Participantes!$B$6:$B$305,MATCH(A286,2_Participantes!$A$6:$A$305,0))="","",INDEX(2_Participantes!$B$6:$B$305,MATCH(A286,2_Participantes!$A$6:$A$305,0))),"No registrado"))</f>
        <v/>
      </c>
      <c r="C286" s="52" t="n"/>
      <c r="D286" s="52" t="n"/>
      <c r="E286" s="63">
        <f>IF(AND(ISNUMBER(C286),ISNUMBER(D286)),D286-C286,"")</f>
        <v/>
      </c>
      <c r="F286" s="62">
        <f>IF(A286="","",IFERROR(IF(INDEX(2_Participantes!$E$6:$E$305,MATCH(A286,2_Participantes!$A$6:$A$305,0))="","",INDEX(2_Participantes!$E$6:$E$305,MATCH(A286,2_Participantes!$A$6:$A$305,0))),""))</f>
        <v/>
      </c>
      <c r="G286" s="61">
        <f>IF(A286="","",IFERROR(IF(INDEX(2_Participantes!$F$6:$F$305,MATCH(A286,2_Participantes!$A$6:$A$305,0))="","",INDEX(2_Participantes!$F$6:$F$305,MATCH(A286,2_Participantes!$A$6:$A$305,0))),"No registrado"))</f>
        <v/>
      </c>
      <c r="H286" s="84">
        <f>IF(A286="","",IFERROR(IF(INDEX(2_Participantes!$L$6:$L$305,MATCH(A286,2_Participantes!$A$6:$A$305,0))="","",INDEX(2_Participantes!$L$6:$L$305,MATCH(A286,2_Participantes!$A$6:$A$305,0))),""))</f>
        <v/>
      </c>
      <c r="I286" s="62">
        <f>IF(A286="","",IF(AND(ISNUMBER(C286),ISNUMBER(D286),G286&lt;&gt;"Excluido"),1,0))</f>
        <v/>
      </c>
      <c r="J286" s="76">
        <f>IF(A286="","",IF(G286="No registrado","Código ausente en 2_Participantes",IF(AND(ISNUMBER(D286),NOT(ISNUMBER(C286))),"Postest sin pretest (huérfano)",IF(OR(AND(ISNUMBER(C286),OR(C286&lt;Inicio!$C$18,C286&gt;Inicio!$C$19)),AND(ISNUMBER(D286),OR(D286&lt;Inicio!$C$18,D286&gt;Inicio!$C$19))),"Fuera de rango",IF(COUNTIF($A$6:$A$305,A286)&gt;1,"Código duplicado","OK")))))</f>
        <v/>
      </c>
    </row>
    <row r="287" ht="15" customHeight="1" s="42">
      <c r="A287" s="67" t="n"/>
      <c r="B287" s="61">
        <f>IF(A287="","",IFERROR(IF(INDEX(2_Participantes!$B$6:$B$305,MATCH(A287,2_Participantes!$A$6:$A$305,0))="","",INDEX(2_Participantes!$B$6:$B$305,MATCH(A287,2_Participantes!$A$6:$A$305,0))),"No registrado"))</f>
        <v/>
      </c>
      <c r="C287" s="52" t="n"/>
      <c r="D287" s="52" t="n"/>
      <c r="E287" s="63">
        <f>IF(AND(ISNUMBER(C287),ISNUMBER(D287)),D287-C287,"")</f>
        <v/>
      </c>
      <c r="F287" s="62">
        <f>IF(A287="","",IFERROR(IF(INDEX(2_Participantes!$E$6:$E$305,MATCH(A287,2_Participantes!$A$6:$A$305,0))="","",INDEX(2_Participantes!$E$6:$E$305,MATCH(A287,2_Participantes!$A$6:$A$305,0))),""))</f>
        <v/>
      </c>
      <c r="G287" s="61">
        <f>IF(A287="","",IFERROR(IF(INDEX(2_Participantes!$F$6:$F$305,MATCH(A287,2_Participantes!$A$6:$A$305,0))="","",INDEX(2_Participantes!$F$6:$F$305,MATCH(A287,2_Participantes!$A$6:$A$305,0))),"No registrado"))</f>
        <v/>
      </c>
      <c r="H287" s="84">
        <f>IF(A287="","",IFERROR(IF(INDEX(2_Participantes!$L$6:$L$305,MATCH(A287,2_Participantes!$A$6:$A$305,0))="","",INDEX(2_Participantes!$L$6:$L$305,MATCH(A287,2_Participantes!$A$6:$A$305,0))),""))</f>
        <v/>
      </c>
      <c r="I287" s="62">
        <f>IF(A287="","",IF(AND(ISNUMBER(C287),ISNUMBER(D287),G287&lt;&gt;"Excluido"),1,0))</f>
        <v/>
      </c>
      <c r="J287" s="76">
        <f>IF(A287="","",IF(G287="No registrado","Código ausente en 2_Participantes",IF(AND(ISNUMBER(D287),NOT(ISNUMBER(C287))),"Postest sin pretest (huérfano)",IF(OR(AND(ISNUMBER(C287),OR(C287&lt;Inicio!$C$18,C287&gt;Inicio!$C$19)),AND(ISNUMBER(D287),OR(D287&lt;Inicio!$C$18,D287&gt;Inicio!$C$19))),"Fuera de rango",IF(COUNTIF($A$6:$A$305,A287)&gt;1,"Código duplicado","OK")))))</f>
        <v/>
      </c>
    </row>
    <row r="288" ht="15" customHeight="1" s="42">
      <c r="A288" s="67" t="n"/>
      <c r="B288" s="61">
        <f>IF(A288="","",IFERROR(IF(INDEX(2_Participantes!$B$6:$B$305,MATCH(A288,2_Participantes!$A$6:$A$305,0))="","",INDEX(2_Participantes!$B$6:$B$305,MATCH(A288,2_Participantes!$A$6:$A$305,0))),"No registrado"))</f>
        <v/>
      </c>
      <c r="C288" s="52" t="n"/>
      <c r="D288" s="52" t="n"/>
      <c r="E288" s="63">
        <f>IF(AND(ISNUMBER(C288),ISNUMBER(D288)),D288-C288,"")</f>
        <v/>
      </c>
      <c r="F288" s="62">
        <f>IF(A288="","",IFERROR(IF(INDEX(2_Participantes!$E$6:$E$305,MATCH(A288,2_Participantes!$A$6:$A$305,0))="","",INDEX(2_Participantes!$E$6:$E$305,MATCH(A288,2_Participantes!$A$6:$A$305,0))),""))</f>
        <v/>
      </c>
      <c r="G288" s="61">
        <f>IF(A288="","",IFERROR(IF(INDEX(2_Participantes!$F$6:$F$305,MATCH(A288,2_Participantes!$A$6:$A$305,0))="","",INDEX(2_Participantes!$F$6:$F$305,MATCH(A288,2_Participantes!$A$6:$A$305,0))),"No registrado"))</f>
        <v/>
      </c>
      <c r="H288" s="84">
        <f>IF(A288="","",IFERROR(IF(INDEX(2_Participantes!$L$6:$L$305,MATCH(A288,2_Participantes!$A$6:$A$305,0))="","",INDEX(2_Participantes!$L$6:$L$305,MATCH(A288,2_Participantes!$A$6:$A$305,0))),""))</f>
        <v/>
      </c>
      <c r="I288" s="62">
        <f>IF(A288="","",IF(AND(ISNUMBER(C288),ISNUMBER(D288),G288&lt;&gt;"Excluido"),1,0))</f>
        <v/>
      </c>
      <c r="J288" s="76">
        <f>IF(A288="","",IF(G288="No registrado","Código ausente en 2_Participantes",IF(AND(ISNUMBER(D288),NOT(ISNUMBER(C288))),"Postest sin pretest (huérfano)",IF(OR(AND(ISNUMBER(C288),OR(C288&lt;Inicio!$C$18,C288&gt;Inicio!$C$19)),AND(ISNUMBER(D288),OR(D288&lt;Inicio!$C$18,D288&gt;Inicio!$C$19))),"Fuera de rango",IF(COUNTIF($A$6:$A$305,A288)&gt;1,"Código duplicado","OK")))))</f>
        <v/>
      </c>
    </row>
    <row r="289" ht="15" customHeight="1" s="42">
      <c r="A289" s="67" t="n"/>
      <c r="B289" s="61">
        <f>IF(A289="","",IFERROR(IF(INDEX(2_Participantes!$B$6:$B$305,MATCH(A289,2_Participantes!$A$6:$A$305,0))="","",INDEX(2_Participantes!$B$6:$B$305,MATCH(A289,2_Participantes!$A$6:$A$305,0))),"No registrado"))</f>
        <v/>
      </c>
      <c r="C289" s="52" t="n"/>
      <c r="D289" s="52" t="n"/>
      <c r="E289" s="63">
        <f>IF(AND(ISNUMBER(C289),ISNUMBER(D289)),D289-C289,"")</f>
        <v/>
      </c>
      <c r="F289" s="62">
        <f>IF(A289="","",IFERROR(IF(INDEX(2_Participantes!$E$6:$E$305,MATCH(A289,2_Participantes!$A$6:$A$305,0))="","",INDEX(2_Participantes!$E$6:$E$305,MATCH(A289,2_Participantes!$A$6:$A$305,0))),""))</f>
        <v/>
      </c>
      <c r="G289" s="61">
        <f>IF(A289="","",IFERROR(IF(INDEX(2_Participantes!$F$6:$F$305,MATCH(A289,2_Participantes!$A$6:$A$305,0))="","",INDEX(2_Participantes!$F$6:$F$305,MATCH(A289,2_Participantes!$A$6:$A$305,0))),"No registrado"))</f>
        <v/>
      </c>
      <c r="H289" s="84">
        <f>IF(A289="","",IFERROR(IF(INDEX(2_Participantes!$L$6:$L$305,MATCH(A289,2_Participantes!$A$6:$A$305,0))="","",INDEX(2_Participantes!$L$6:$L$305,MATCH(A289,2_Participantes!$A$6:$A$305,0))),""))</f>
        <v/>
      </c>
      <c r="I289" s="62">
        <f>IF(A289="","",IF(AND(ISNUMBER(C289),ISNUMBER(D289),G289&lt;&gt;"Excluido"),1,0))</f>
        <v/>
      </c>
      <c r="J289" s="76">
        <f>IF(A289="","",IF(G289="No registrado","Código ausente en 2_Participantes",IF(AND(ISNUMBER(D289),NOT(ISNUMBER(C289))),"Postest sin pretest (huérfano)",IF(OR(AND(ISNUMBER(C289),OR(C289&lt;Inicio!$C$18,C289&gt;Inicio!$C$19)),AND(ISNUMBER(D289),OR(D289&lt;Inicio!$C$18,D289&gt;Inicio!$C$19))),"Fuera de rango",IF(COUNTIF($A$6:$A$305,A289)&gt;1,"Código duplicado","OK")))))</f>
        <v/>
      </c>
    </row>
    <row r="290" ht="15" customHeight="1" s="42">
      <c r="A290" s="67" t="n"/>
      <c r="B290" s="61">
        <f>IF(A290="","",IFERROR(IF(INDEX(2_Participantes!$B$6:$B$305,MATCH(A290,2_Participantes!$A$6:$A$305,0))="","",INDEX(2_Participantes!$B$6:$B$305,MATCH(A290,2_Participantes!$A$6:$A$305,0))),"No registrado"))</f>
        <v/>
      </c>
      <c r="C290" s="52" t="n"/>
      <c r="D290" s="52" t="n"/>
      <c r="E290" s="63">
        <f>IF(AND(ISNUMBER(C290),ISNUMBER(D290)),D290-C290,"")</f>
        <v/>
      </c>
      <c r="F290" s="62">
        <f>IF(A290="","",IFERROR(IF(INDEX(2_Participantes!$E$6:$E$305,MATCH(A290,2_Participantes!$A$6:$A$305,0))="","",INDEX(2_Participantes!$E$6:$E$305,MATCH(A290,2_Participantes!$A$6:$A$305,0))),""))</f>
        <v/>
      </c>
      <c r="G290" s="61">
        <f>IF(A290="","",IFERROR(IF(INDEX(2_Participantes!$F$6:$F$305,MATCH(A290,2_Participantes!$A$6:$A$305,0))="","",INDEX(2_Participantes!$F$6:$F$305,MATCH(A290,2_Participantes!$A$6:$A$305,0))),"No registrado"))</f>
        <v/>
      </c>
      <c r="H290" s="84">
        <f>IF(A290="","",IFERROR(IF(INDEX(2_Participantes!$L$6:$L$305,MATCH(A290,2_Participantes!$A$6:$A$305,0))="","",INDEX(2_Participantes!$L$6:$L$305,MATCH(A290,2_Participantes!$A$6:$A$305,0))),""))</f>
        <v/>
      </c>
      <c r="I290" s="62">
        <f>IF(A290="","",IF(AND(ISNUMBER(C290),ISNUMBER(D290),G290&lt;&gt;"Excluido"),1,0))</f>
        <v/>
      </c>
      <c r="J290" s="76">
        <f>IF(A290="","",IF(G290="No registrado","Código ausente en 2_Participantes",IF(AND(ISNUMBER(D290),NOT(ISNUMBER(C290))),"Postest sin pretest (huérfano)",IF(OR(AND(ISNUMBER(C290),OR(C290&lt;Inicio!$C$18,C290&gt;Inicio!$C$19)),AND(ISNUMBER(D290),OR(D290&lt;Inicio!$C$18,D290&gt;Inicio!$C$19))),"Fuera de rango",IF(COUNTIF($A$6:$A$305,A290)&gt;1,"Código duplicado","OK")))))</f>
        <v/>
      </c>
    </row>
    <row r="291" ht="15" customHeight="1" s="42">
      <c r="A291" s="67" t="n"/>
      <c r="B291" s="61">
        <f>IF(A291="","",IFERROR(IF(INDEX(2_Participantes!$B$6:$B$305,MATCH(A291,2_Participantes!$A$6:$A$305,0))="","",INDEX(2_Participantes!$B$6:$B$305,MATCH(A291,2_Participantes!$A$6:$A$305,0))),"No registrado"))</f>
        <v/>
      </c>
      <c r="C291" s="52" t="n"/>
      <c r="D291" s="52" t="n"/>
      <c r="E291" s="63">
        <f>IF(AND(ISNUMBER(C291),ISNUMBER(D291)),D291-C291,"")</f>
        <v/>
      </c>
      <c r="F291" s="62">
        <f>IF(A291="","",IFERROR(IF(INDEX(2_Participantes!$E$6:$E$305,MATCH(A291,2_Participantes!$A$6:$A$305,0))="","",INDEX(2_Participantes!$E$6:$E$305,MATCH(A291,2_Participantes!$A$6:$A$305,0))),""))</f>
        <v/>
      </c>
      <c r="G291" s="61">
        <f>IF(A291="","",IFERROR(IF(INDEX(2_Participantes!$F$6:$F$305,MATCH(A291,2_Participantes!$A$6:$A$305,0))="","",INDEX(2_Participantes!$F$6:$F$305,MATCH(A291,2_Participantes!$A$6:$A$305,0))),"No registrado"))</f>
        <v/>
      </c>
      <c r="H291" s="84">
        <f>IF(A291="","",IFERROR(IF(INDEX(2_Participantes!$L$6:$L$305,MATCH(A291,2_Participantes!$A$6:$A$305,0))="","",INDEX(2_Participantes!$L$6:$L$305,MATCH(A291,2_Participantes!$A$6:$A$305,0))),""))</f>
        <v/>
      </c>
      <c r="I291" s="62">
        <f>IF(A291="","",IF(AND(ISNUMBER(C291),ISNUMBER(D291),G291&lt;&gt;"Excluido"),1,0))</f>
        <v/>
      </c>
      <c r="J291" s="76">
        <f>IF(A291="","",IF(G291="No registrado","Código ausente en 2_Participantes",IF(AND(ISNUMBER(D291),NOT(ISNUMBER(C291))),"Postest sin pretest (huérfano)",IF(OR(AND(ISNUMBER(C291),OR(C291&lt;Inicio!$C$18,C291&gt;Inicio!$C$19)),AND(ISNUMBER(D291),OR(D291&lt;Inicio!$C$18,D291&gt;Inicio!$C$19))),"Fuera de rango",IF(COUNTIF($A$6:$A$305,A291)&gt;1,"Código duplicado","OK")))))</f>
        <v/>
      </c>
    </row>
    <row r="292" ht="15" customHeight="1" s="42">
      <c r="A292" s="67" t="n"/>
      <c r="B292" s="61">
        <f>IF(A292="","",IFERROR(IF(INDEX(2_Participantes!$B$6:$B$305,MATCH(A292,2_Participantes!$A$6:$A$305,0))="","",INDEX(2_Participantes!$B$6:$B$305,MATCH(A292,2_Participantes!$A$6:$A$305,0))),"No registrado"))</f>
        <v/>
      </c>
      <c r="C292" s="52" t="n"/>
      <c r="D292" s="52" t="n"/>
      <c r="E292" s="63">
        <f>IF(AND(ISNUMBER(C292),ISNUMBER(D292)),D292-C292,"")</f>
        <v/>
      </c>
      <c r="F292" s="62">
        <f>IF(A292="","",IFERROR(IF(INDEX(2_Participantes!$E$6:$E$305,MATCH(A292,2_Participantes!$A$6:$A$305,0))="","",INDEX(2_Participantes!$E$6:$E$305,MATCH(A292,2_Participantes!$A$6:$A$305,0))),""))</f>
        <v/>
      </c>
      <c r="G292" s="61">
        <f>IF(A292="","",IFERROR(IF(INDEX(2_Participantes!$F$6:$F$305,MATCH(A292,2_Participantes!$A$6:$A$305,0))="","",INDEX(2_Participantes!$F$6:$F$305,MATCH(A292,2_Participantes!$A$6:$A$305,0))),"No registrado"))</f>
        <v/>
      </c>
      <c r="H292" s="84">
        <f>IF(A292="","",IFERROR(IF(INDEX(2_Participantes!$L$6:$L$305,MATCH(A292,2_Participantes!$A$6:$A$305,0))="","",INDEX(2_Participantes!$L$6:$L$305,MATCH(A292,2_Participantes!$A$6:$A$305,0))),""))</f>
        <v/>
      </c>
      <c r="I292" s="62">
        <f>IF(A292="","",IF(AND(ISNUMBER(C292),ISNUMBER(D292),G292&lt;&gt;"Excluido"),1,0))</f>
        <v/>
      </c>
      <c r="J292" s="76">
        <f>IF(A292="","",IF(G292="No registrado","Código ausente en 2_Participantes",IF(AND(ISNUMBER(D292),NOT(ISNUMBER(C292))),"Postest sin pretest (huérfano)",IF(OR(AND(ISNUMBER(C292),OR(C292&lt;Inicio!$C$18,C292&gt;Inicio!$C$19)),AND(ISNUMBER(D292),OR(D292&lt;Inicio!$C$18,D292&gt;Inicio!$C$19))),"Fuera de rango",IF(COUNTIF($A$6:$A$305,A292)&gt;1,"Código duplicado","OK")))))</f>
        <v/>
      </c>
    </row>
    <row r="293" ht="15" customHeight="1" s="42">
      <c r="A293" s="67" t="n"/>
      <c r="B293" s="61">
        <f>IF(A293="","",IFERROR(IF(INDEX(2_Participantes!$B$6:$B$305,MATCH(A293,2_Participantes!$A$6:$A$305,0))="","",INDEX(2_Participantes!$B$6:$B$305,MATCH(A293,2_Participantes!$A$6:$A$305,0))),"No registrado"))</f>
        <v/>
      </c>
      <c r="C293" s="52" t="n"/>
      <c r="D293" s="52" t="n"/>
      <c r="E293" s="63">
        <f>IF(AND(ISNUMBER(C293),ISNUMBER(D293)),D293-C293,"")</f>
        <v/>
      </c>
      <c r="F293" s="62">
        <f>IF(A293="","",IFERROR(IF(INDEX(2_Participantes!$E$6:$E$305,MATCH(A293,2_Participantes!$A$6:$A$305,0))="","",INDEX(2_Participantes!$E$6:$E$305,MATCH(A293,2_Participantes!$A$6:$A$305,0))),""))</f>
        <v/>
      </c>
      <c r="G293" s="61">
        <f>IF(A293="","",IFERROR(IF(INDEX(2_Participantes!$F$6:$F$305,MATCH(A293,2_Participantes!$A$6:$A$305,0))="","",INDEX(2_Participantes!$F$6:$F$305,MATCH(A293,2_Participantes!$A$6:$A$305,0))),"No registrado"))</f>
        <v/>
      </c>
      <c r="H293" s="84">
        <f>IF(A293="","",IFERROR(IF(INDEX(2_Participantes!$L$6:$L$305,MATCH(A293,2_Participantes!$A$6:$A$305,0))="","",INDEX(2_Participantes!$L$6:$L$305,MATCH(A293,2_Participantes!$A$6:$A$305,0))),""))</f>
        <v/>
      </c>
      <c r="I293" s="62">
        <f>IF(A293="","",IF(AND(ISNUMBER(C293),ISNUMBER(D293),G293&lt;&gt;"Excluido"),1,0))</f>
        <v/>
      </c>
      <c r="J293" s="76">
        <f>IF(A293="","",IF(G293="No registrado","Código ausente en 2_Participantes",IF(AND(ISNUMBER(D293),NOT(ISNUMBER(C293))),"Postest sin pretest (huérfano)",IF(OR(AND(ISNUMBER(C293),OR(C293&lt;Inicio!$C$18,C293&gt;Inicio!$C$19)),AND(ISNUMBER(D293),OR(D293&lt;Inicio!$C$18,D293&gt;Inicio!$C$19))),"Fuera de rango",IF(COUNTIF($A$6:$A$305,A293)&gt;1,"Código duplicado","OK")))))</f>
        <v/>
      </c>
    </row>
    <row r="294" ht="15" customHeight="1" s="42">
      <c r="A294" s="67" t="n"/>
      <c r="B294" s="61">
        <f>IF(A294="","",IFERROR(IF(INDEX(2_Participantes!$B$6:$B$305,MATCH(A294,2_Participantes!$A$6:$A$305,0))="","",INDEX(2_Participantes!$B$6:$B$305,MATCH(A294,2_Participantes!$A$6:$A$305,0))),"No registrado"))</f>
        <v/>
      </c>
      <c r="C294" s="52" t="n"/>
      <c r="D294" s="52" t="n"/>
      <c r="E294" s="63">
        <f>IF(AND(ISNUMBER(C294),ISNUMBER(D294)),D294-C294,"")</f>
        <v/>
      </c>
      <c r="F294" s="62">
        <f>IF(A294="","",IFERROR(IF(INDEX(2_Participantes!$E$6:$E$305,MATCH(A294,2_Participantes!$A$6:$A$305,0))="","",INDEX(2_Participantes!$E$6:$E$305,MATCH(A294,2_Participantes!$A$6:$A$305,0))),""))</f>
        <v/>
      </c>
      <c r="G294" s="61">
        <f>IF(A294="","",IFERROR(IF(INDEX(2_Participantes!$F$6:$F$305,MATCH(A294,2_Participantes!$A$6:$A$305,0))="","",INDEX(2_Participantes!$F$6:$F$305,MATCH(A294,2_Participantes!$A$6:$A$305,0))),"No registrado"))</f>
        <v/>
      </c>
      <c r="H294" s="84">
        <f>IF(A294="","",IFERROR(IF(INDEX(2_Participantes!$L$6:$L$305,MATCH(A294,2_Participantes!$A$6:$A$305,0))="","",INDEX(2_Participantes!$L$6:$L$305,MATCH(A294,2_Participantes!$A$6:$A$305,0))),""))</f>
        <v/>
      </c>
      <c r="I294" s="62">
        <f>IF(A294="","",IF(AND(ISNUMBER(C294),ISNUMBER(D294),G294&lt;&gt;"Excluido"),1,0))</f>
        <v/>
      </c>
      <c r="J294" s="76">
        <f>IF(A294="","",IF(G294="No registrado","Código ausente en 2_Participantes",IF(AND(ISNUMBER(D294),NOT(ISNUMBER(C294))),"Postest sin pretest (huérfano)",IF(OR(AND(ISNUMBER(C294),OR(C294&lt;Inicio!$C$18,C294&gt;Inicio!$C$19)),AND(ISNUMBER(D294),OR(D294&lt;Inicio!$C$18,D294&gt;Inicio!$C$19))),"Fuera de rango",IF(COUNTIF($A$6:$A$305,A294)&gt;1,"Código duplicado","OK")))))</f>
        <v/>
      </c>
    </row>
    <row r="295" ht="15" customHeight="1" s="42">
      <c r="A295" s="67" t="n"/>
      <c r="B295" s="61">
        <f>IF(A295="","",IFERROR(IF(INDEX(2_Participantes!$B$6:$B$305,MATCH(A295,2_Participantes!$A$6:$A$305,0))="","",INDEX(2_Participantes!$B$6:$B$305,MATCH(A295,2_Participantes!$A$6:$A$305,0))),"No registrado"))</f>
        <v/>
      </c>
      <c r="C295" s="52" t="n"/>
      <c r="D295" s="52" t="n"/>
      <c r="E295" s="63">
        <f>IF(AND(ISNUMBER(C295),ISNUMBER(D295)),D295-C295,"")</f>
        <v/>
      </c>
      <c r="F295" s="62">
        <f>IF(A295="","",IFERROR(IF(INDEX(2_Participantes!$E$6:$E$305,MATCH(A295,2_Participantes!$A$6:$A$305,0))="","",INDEX(2_Participantes!$E$6:$E$305,MATCH(A295,2_Participantes!$A$6:$A$305,0))),""))</f>
        <v/>
      </c>
      <c r="G295" s="61">
        <f>IF(A295="","",IFERROR(IF(INDEX(2_Participantes!$F$6:$F$305,MATCH(A295,2_Participantes!$A$6:$A$305,0))="","",INDEX(2_Participantes!$F$6:$F$305,MATCH(A295,2_Participantes!$A$6:$A$305,0))),"No registrado"))</f>
        <v/>
      </c>
      <c r="H295" s="84">
        <f>IF(A295="","",IFERROR(IF(INDEX(2_Participantes!$L$6:$L$305,MATCH(A295,2_Participantes!$A$6:$A$305,0))="","",INDEX(2_Participantes!$L$6:$L$305,MATCH(A295,2_Participantes!$A$6:$A$305,0))),""))</f>
        <v/>
      </c>
      <c r="I295" s="62">
        <f>IF(A295="","",IF(AND(ISNUMBER(C295),ISNUMBER(D295),G295&lt;&gt;"Excluido"),1,0))</f>
        <v/>
      </c>
      <c r="J295" s="76">
        <f>IF(A295="","",IF(G295="No registrado","Código ausente en 2_Participantes",IF(AND(ISNUMBER(D295),NOT(ISNUMBER(C295))),"Postest sin pretest (huérfano)",IF(OR(AND(ISNUMBER(C295),OR(C295&lt;Inicio!$C$18,C295&gt;Inicio!$C$19)),AND(ISNUMBER(D295),OR(D295&lt;Inicio!$C$18,D295&gt;Inicio!$C$19))),"Fuera de rango",IF(COUNTIF($A$6:$A$305,A295)&gt;1,"Código duplicado","OK")))))</f>
        <v/>
      </c>
    </row>
    <row r="296" ht="15" customHeight="1" s="42">
      <c r="A296" s="67" t="n"/>
      <c r="B296" s="61">
        <f>IF(A296="","",IFERROR(IF(INDEX(2_Participantes!$B$6:$B$305,MATCH(A296,2_Participantes!$A$6:$A$305,0))="","",INDEX(2_Participantes!$B$6:$B$305,MATCH(A296,2_Participantes!$A$6:$A$305,0))),"No registrado"))</f>
        <v/>
      </c>
      <c r="C296" s="52" t="n"/>
      <c r="D296" s="52" t="n"/>
      <c r="E296" s="63">
        <f>IF(AND(ISNUMBER(C296),ISNUMBER(D296)),D296-C296,"")</f>
        <v/>
      </c>
      <c r="F296" s="62">
        <f>IF(A296="","",IFERROR(IF(INDEX(2_Participantes!$E$6:$E$305,MATCH(A296,2_Participantes!$A$6:$A$305,0))="","",INDEX(2_Participantes!$E$6:$E$305,MATCH(A296,2_Participantes!$A$6:$A$305,0))),""))</f>
        <v/>
      </c>
      <c r="G296" s="61">
        <f>IF(A296="","",IFERROR(IF(INDEX(2_Participantes!$F$6:$F$305,MATCH(A296,2_Participantes!$A$6:$A$305,0))="","",INDEX(2_Participantes!$F$6:$F$305,MATCH(A296,2_Participantes!$A$6:$A$305,0))),"No registrado"))</f>
        <v/>
      </c>
      <c r="H296" s="84">
        <f>IF(A296="","",IFERROR(IF(INDEX(2_Participantes!$L$6:$L$305,MATCH(A296,2_Participantes!$A$6:$A$305,0))="","",INDEX(2_Participantes!$L$6:$L$305,MATCH(A296,2_Participantes!$A$6:$A$305,0))),""))</f>
        <v/>
      </c>
      <c r="I296" s="62">
        <f>IF(A296="","",IF(AND(ISNUMBER(C296),ISNUMBER(D296),G296&lt;&gt;"Excluido"),1,0))</f>
        <v/>
      </c>
      <c r="J296" s="76">
        <f>IF(A296="","",IF(G296="No registrado","Código ausente en 2_Participantes",IF(AND(ISNUMBER(D296),NOT(ISNUMBER(C296))),"Postest sin pretest (huérfano)",IF(OR(AND(ISNUMBER(C296),OR(C296&lt;Inicio!$C$18,C296&gt;Inicio!$C$19)),AND(ISNUMBER(D296),OR(D296&lt;Inicio!$C$18,D296&gt;Inicio!$C$19))),"Fuera de rango",IF(COUNTIF($A$6:$A$305,A296)&gt;1,"Código duplicado","OK")))))</f>
        <v/>
      </c>
    </row>
    <row r="297" ht="15" customHeight="1" s="42">
      <c r="A297" s="67" t="n"/>
      <c r="B297" s="61">
        <f>IF(A297="","",IFERROR(IF(INDEX(2_Participantes!$B$6:$B$305,MATCH(A297,2_Participantes!$A$6:$A$305,0))="","",INDEX(2_Participantes!$B$6:$B$305,MATCH(A297,2_Participantes!$A$6:$A$305,0))),"No registrado"))</f>
        <v/>
      </c>
      <c r="C297" s="52" t="n"/>
      <c r="D297" s="52" t="n"/>
      <c r="E297" s="63">
        <f>IF(AND(ISNUMBER(C297),ISNUMBER(D297)),D297-C297,"")</f>
        <v/>
      </c>
      <c r="F297" s="62">
        <f>IF(A297="","",IFERROR(IF(INDEX(2_Participantes!$E$6:$E$305,MATCH(A297,2_Participantes!$A$6:$A$305,0))="","",INDEX(2_Participantes!$E$6:$E$305,MATCH(A297,2_Participantes!$A$6:$A$305,0))),""))</f>
        <v/>
      </c>
      <c r="G297" s="61">
        <f>IF(A297="","",IFERROR(IF(INDEX(2_Participantes!$F$6:$F$305,MATCH(A297,2_Participantes!$A$6:$A$305,0))="","",INDEX(2_Participantes!$F$6:$F$305,MATCH(A297,2_Participantes!$A$6:$A$305,0))),"No registrado"))</f>
        <v/>
      </c>
      <c r="H297" s="84">
        <f>IF(A297="","",IFERROR(IF(INDEX(2_Participantes!$L$6:$L$305,MATCH(A297,2_Participantes!$A$6:$A$305,0))="","",INDEX(2_Participantes!$L$6:$L$305,MATCH(A297,2_Participantes!$A$6:$A$305,0))),""))</f>
        <v/>
      </c>
      <c r="I297" s="62">
        <f>IF(A297="","",IF(AND(ISNUMBER(C297),ISNUMBER(D297),G297&lt;&gt;"Excluido"),1,0))</f>
        <v/>
      </c>
      <c r="J297" s="76">
        <f>IF(A297="","",IF(G297="No registrado","Código ausente en 2_Participantes",IF(AND(ISNUMBER(D297),NOT(ISNUMBER(C297))),"Postest sin pretest (huérfano)",IF(OR(AND(ISNUMBER(C297),OR(C297&lt;Inicio!$C$18,C297&gt;Inicio!$C$19)),AND(ISNUMBER(D297),OR(D297&lt;Inicio!$C$18,D297&gt;Inicio!$C$19))),"Fuera de rango",IF(COUNTIF($A$6:$A$305,A297)&gt;1,"Código duplicado","OK")))))</f>
        <v/>
      </c>
    </row>
    <row r="298" ht="15" customHeight="1" s="42">
      <c r="A298" s="67" t="n"/>
      <c r="B298" s="61">
        <f>IF(A298="","",IFERROR(IF(INDEX(2_Participantes!$B$6:$B$305,MATCH(A298,2_Participantes!$A$6:$A$305,0))="","",INDEX(2_Participantes!$B$6:$B$305,MATCH(A298,2_Participantes!$A$6:$A$305,0))),"No registrado"))</f>
        <v/>
      </c>
      <c r="C298" s="52" t="n"/>
      <c r="D298" s="52" t="n"/>
      <c r="E298" s="63">
        <f>IF(AND(ISNUMBER(C298),ISNUMBER(D298)),D298-C298,"")</f>
        <v/>
      </c>
      <c r="F298" s="62">
        <f>IF(A298="","",IFERROR(IF(INDEX(2_Participantes!$E$6:$E$305,MATCH(A298,2_Participantes!$A$6:$A$305,0))="","",INDEX(2_Participantes!$E$6:$E$305,MATCH(A298,2_Participantes!$A$6:$A$305,0))),""))</f>
        <v/>
      </c>
      <c r="G298" s="61">
        <f>IF(A298="","",IFERROR(IF(INDEX(2_Participantes!$F$6:$F$305,MATCH(A298,2_Participantes!$A$6:$A$305,0))="","",INDEX(2_Participantes!$F$6:$F$305,MATCH(A298,2_Participantes!$A$6:$A$305,0))),"No registrado"))</f>
        <v/>
      </c>
      <c r="H298" s="84">
        <f>IF(A298="","",IFERROR(IF(INDEX(2_Participantes!$L$6:$L$305,MATCH(A298,2_Participantes!$A$6:$A$305,0))="","",INDEX(2_Participantes!$L$6:$L$305,MATCH(A298,2_Participantes!$A$6:$A$305,0))),""))</f>
        <v/>
      </c>
      <c r="I298" s="62">
        <f>IF(A298="","",IF(AND(ISNUMBER(C298),ISNUMBER(D298),G298&lt;&gt;"Excluido"),1,0))</f>
        <v/>
      </c>
      <c r="J298" s="76">
        <f>IF(A298="","",IF(G298="No registrado","Código ausente en 2_Participantes",IF(AND(ISNUMBER(D298),NOT(ISNUMBER(C298))),"Postest sin pretest (huérfano)",IF(OR(AND(ISNUMBER(C298),OR(C298&lt;Inicio!$C$18,C298&gt;Inicio!$C$19)),AND(ISNUMBER(D298),OR(D298&lt;Inicio!$C$18,D298&gt;Inicio!$C$19))),"Fuera de rango",IF(COUNTIF($A$6:$A$305,A298)&gt;1,"Código duplicado","OK")))))</f>
        <v/>
      </c>
    </row>
    <row r="299" ht="15" customHeight="1" s="42">
      <c r="A299" s="67" t="n"/>
      <c r="B299" s="61">
        <f>IF(A299="","",IFERROR(IF(INDEX(2_Participantes!$B$6:$B$305,MATCH(A299,2_Participantes!$A$6:$A$305,0))="","",INDEX(2_Participantes!$B$6:$B$305,MATCH(A299,2_Participantes!$A$6:$A$305,0))),"No registrado"))</f>
        <v/>
      </c>
      <c r="C299" s="52" t="n"/>
      <c r="D299" s="52" t="n"/>
      <c r="E299" s="63">
        <f>IF(AND(ISNUMBER(C299),ISNUMBER(D299)),D299-C299,"")</f>
        <v/>
      </c>
      <c r="F299" s="62">
        <f>IF(A299="","",IFERROR(IF(INDEX(2_Participantes!$E$6:$E$305,MATCH(A299,2_Participantes!$A$6:$A$305,0))="","",INDEX(2_Participantes!$E$6:$E$305,MATCH(A299,2_Participantes!$A$6:$A$305,0))),""))</f>
        <v/>
      </c>
      <c r="G299" s="61">
        <f>IF(A299="","",IFERROR(IF(INDEX(2_Participantes!$F$6:$F$305,MATCH(A299,2_Participantes!$A$6:$A$305,0))="","",INDEX(2_Participantes!$F$6:$F$305,MATCH(A299,2_Participantes!$A$6:$A$305,0))),"No registrado"))</f>
        <v/>
      </c>
      <c r="H299" s="84">
        <f>IF(A299="","",IFERROR(IF(INDEX(2_Participantes!$L$6:$L$305,MATCH(A299,2_Participantes!$A$6:$A$305,0))="","",INDEX(2_Participantes!$L$6:$L$305,MATCH(A299,2_Participantes!$A$6:$A$305,0))),""))</f>
        <v/>
      </c>
      <c r="I299" s="62">
        <f>IF(A299="","",IF(AND(ISNUMBER(C299),ISNUMBER(D299),G299&lt;&gt;"Excluido"),1,0))</f>
        <v/>
      </c>
      <c r="J299" s="76">
        <f>IF(A299="","",IF(G299="No registrado","Código ausente en 2_Participantes",IF(AND(ISNUMBER(D299),NOT(ISNUMBER(C299))),"Postest sin pretest (huérfano)",IF(OR(AND(ISNUMBER(C299),OR(C299&lt;Inicio!$C$18,C299&gt;Inicio!$C$19)),AND(ISNUMBER(D299),OR(D299&lt;Inicio!$C$18,D299&gt;Inicio!$C$19))),"Fuera de rango",IF(COUNTIF($A$6:$A$305,A299)&gt;1,"Código duplicado","OK")))))</f>
        <v/>
      </c>
    </row>
    <row r="300" ht="15" customHeight="1" s="42">
      <c r="A300" s="67" t="n"/>
      <c r="B300" s="61">
        <f>IF(A300="","",IFERROR(IF(INDEX(2_Participantes!$B$6:$B$305,MATCH(A300,2_Participantes!$A$6:$A$305,0))="","",INDEX(2_Participantes!$B$6:$B$305,MATCH(A300,2_Participantes!$A$6:$A$305,0))),"No registrado"))</f>
        <v/>
      </c>
      <c r="C300" s="52" t="n"/>
      <c r="D300" s="52" t="n"/>
      <c r="E300" s="63">
        <f>IF(AND(ISNUMBER(C300),ISNUMBER(D300)),D300-C300,"")</f>
        <v/>
      </c>
      <c r="F300" s="62">
        <f>IF(A300="","",IFERROR(IF(INDEX(2_Participantes!$E$6:$E$305,MATCH(A300,2_Participantes!$A$6:$A$305,0))="","",INDEX(2_Participantes!$E$6:$E$305,MATCH(A300,2_Participantes!$A$6:$A$305,0))),""))</f>
        <v/>
      </c>
      <c r="G300" s="61">
        <f>IF(A300="","",IFERROR(IF(INDEX(2_Participantes!$F$6:$F$305,MATCH(A300,2_Participantes!$A$6:$A$305,0))="","",INDEX(2_Participantes!$F$6:$F$305,MATCH(A300,2_Participantes!$A$6:$A$305,0))),"No registrado"))</f>
        <v/>
      </c>
      <c r="H300" s="84">
        <f>IF(A300="","",IFERROR(IF(INDEX(2_Participantes!$L$6:$L$305,MATCH(A300,2_Participantes!$A$6:$A$305,0))="","",INDEX(2_Participantes!$L$6:$L$305,MATCH(A300,2_Participantes!$A$6:$A$305,0))),""))</f>
        <v/>
      </c>
      <c r="I300" s="62">
        <f>IF(A300="","",IF(AND(ISNUMBER(C300),ISNUMBER(D300),G300&lt;&gt;"Excluido"),1,0))</f>
        <v/>
      </c>
      <c r="J300" s="76">
        <f>IF(A300="","",IF(G300="No registrado","Código ausente en 2_Participantes",IF(AND(ISNUMBER(D300),NOT(ISNUMBER(C300))),"Postest sin pretest (huérfano)",IF(OR(AND(ISNUMBER(C300),OR(C300&lt;Inicio!$C$18,C300&gt;Inicio!$C$19)),AND(ISNUMBER(D300),OR(D300&lt;Inicio!$C$18,D300&gt;Inicio!$C$19))),"Fuera de rango",IF(COUNTIF($A$6:$A$305,A300)&gt;1,"Código duplicado","OK")))))</f>
        <v/>
      </c>
    </row>
    <row r="301" ht="15" customHeight="1" s="42">
      <c r="A301" s="67" t="n"/>
      <c r="B301" s="61">
        <f>IF(A301="","",IFERROR(IF(INDEX(2_Participantes!$B$6:$B$305,MATCH(A301,2_Participantes!$A$6:$A$305,0))="","",INDEX(2_Participantes!$B$6:$B$305,MATCH(A301,2_Participantes!$A$6:$A$305,0))),"No registrado"))</f>
        <v/>
      </c>
      <c r="C301" s="52" t="n"/>
      <c r="D301" s="52" t="n"/>
      <c r="E301" s="63">
        <f>IF(AND(ISNUMBER(C301),ISNUMBER(D301)),D301-C301,"")</f>
        <v/>
      </c>
      <c r="F301" s="62">
        <f>IF(A301="","",IFERROR(IF(INDEX(2_Participantes!$E$6:$E$305,MATCH(A301,2_Participantes!$A$6:$A$305,0))="","",INDEX(2_Participantes!$E$6:$E$305,MATCH(A301,2_Participantes!$A$6:$A$305,0))),""))</f>
        <v/>
      </c>
      <c r="G301" s="61">
        <f>IF(A301="","",IFERROR(IF(INDEX(2_Participantes!$F$6:$F$305,MATCH(A301,2_Participantes!$A$6:$A$305,0))="","",INDEX(2_Participantes!$F$6:$F$305,MATCH(A301,2_Participantes!$A$6:$A$305,0))),"No registrado"))</f>
        <v/>
      </c>
      <c r="H301" s="84">
        <f>IF(A301="","",IFERROR(IF(INDEX(2_Participantes!$L$6:$L$305,MATCH(A301,2_Participantes!$A$6:$A$305,0))="","",INDEX(2_Participantes!$L$6:$L$305,MATCH(A301,2_Participantes!$A$6:$A$305,0))),""))</f>
        <v/>
      </c>
      <c r="I301" s="62">
        <f>IF(A301="","",IF(AND(ISNUMBER(C301),ISNUMBER(D301),G301&lt;&gt;"Excluido"),1,0))</f>
        <v/>
      </c>
      <c r="J301" s="76">
        <f>IF(A301="","",IF(G301="No registrado","Código ausente en 2_Participantes",IF(AND(ISNUMBER(D301),NOT(ISNUMBER(C301))),"Postest sin pretest (huérfano)",IF(OR(AND(ISNUMBER(C301),OR(C301&lt;Inicio!$C$18,C301&gt;Inicio!$C$19)),AND(ISNUMBER(D301),OR(D301&lt;Inicio!$C$18,D301&gt;Inicio!$C$19))),"Fuera de rango",IF(COUNTIF($A$6:$A$305,A301)&gt;1,"Código duplicado","OK")))))</f>
        <v/>
      </c>
    </row>
    <row r="302" ht="15" customHeight="1" s="42">
      <c r="A302" s="67" t="n"/>
      <c r="B302" s="61">
        <f>IF(A302="","",IFERROR(IF(INDEX(2_Participantes!$B$6:$B$305,MATCH(A302,2_Participantes!$A$6:$A$305,0))="","",INDEX(2_Participantes!$B$6:$B$305,MATCH(A302,2_Participantes!$A$6:$A$305,0))),"No registrado"))</f>
        <v/>
      </c>
      <c r="C302" s="52" t="n"/>
      <c r="D302" s="52" t="n"/>
      <c r="E302" s="63">
        <f>IF(AND(ISNUMBER(C302),ISNUMBER(D302)),D302-C302,"")</f>
        <v/>
      </c>
      <c r="F302" s="62">
        <f>IF(A302="","",IFERROR(IF(INDEX(2_Participantes!$E$6:$E$305,MATCH(A302,2_Participantes!$A$6:$A$305,0))="","",INDEX(2_Participantes!$E$6:$E$305,MATCH(A302,2_Participantes!$A$6:$A$305,0))),""))</f>
        <v/>
      </c>
      <c r="G302" s="61">
        <f>IF(A302="","",IFERROR(IF(INDEX(2_Participantes!$F$6:$F$305,MATCH(A302,2_Participantes!$A$6:$A$305,0))="","",INDEX(2_Participantes!$F$6:$F$305,MATCH(A302,2_Participantes!$A$6:$A$305,0))),"No registrado"))</f>
        <v/>
      </c>
      <c r="H302" s="84">
        <f>IF(A302="","",IFERROR(IF(INDEX(2_Participantes!$L$6:$L$305,MATCH(A302,2_Participantes!$A$6:$A$305,0))="","",INDEX(2_Participantes!$L$6:$L$305,MATCH(A302,2_Participantes!$A$6:$A$305,0))),""))</f>
        <v/>
      </c>
      <c r="I302" s="62">
        <f>IF(A302="","",IF(AND(ISNUMBER(C302),ISNUMBER(D302),G302&lt;&gt;"Excluido"),1,0))</f>
        <v/>
      </c>
      <c r="J302" s="76">
        <f>IF(A302="","",IF(G302="No registrado","Código ausente en 2_Participantes",IF(AND(ISNUMBER(D302),NOT(ISNUMBER(C302))),"Postest sin pretest (huérfano)",IF(OR(AND(ISNUMBER(C302),OR(C302&lt;Inicio!$C$18,C302&gt;Inicio!$C$19)),AND(ISNUMBER(D302),OR(D302&lt;Inicio!$C$18,D302&gt;Inicio!$C$19))),"Fuera de rango",IF(COUNTIF($A$6:$A$305,A302)&gt;1,"Código duplicado","OK")))))</f>
        <v/>
      </c>
    </row>
    <row r="303" ht="15" customHeight="1" s="42">
      <c r="A303" s="67" t="n"/>
      <c r="B303" s="61">
        <f>IF(A303="","",IFERROR(IF(INDEX(2_Participantes!$B$6:$B$305,MATCH(A303,2_Participantes!$A$6:$A$305,0))="","",INDEX(2_Participantes!$B$6:$B$305,MATCH(A303,2_Participantes!$A$6:$A$305,0))),"No registrado"))</f>
        <v/>
      </c>
      <c r="C303" s="52" t="n"/>
      <c r="D303" s="52" t="n"/>
      <c r="E303" s="63">
        <f>IF(AND(ISNUMBER(C303),ISNUMBER(D303)),D303-C303,"")</f>
        <v/>
      </c>
      <c r="F303" s="62">
        <f>IF(A303="","",IFERROR(IF(INDEX(2_Participantes!$E$6:$E$305,MATCH(A303,2_Participantes!$A$6:$A$305,0))="","",INDEX(2_Participantes!$E$6:$E$305,MATCH(A303,2_Participantes!$A$6:$A$305,0))),""))</f>
        <v/>
      </c>
      <c r="G303" s="61">
        <f>IF(A303="","",IFERROR(IF(INDEX(2_Participantes!$F$6:$F$305,MATCH(A303,2_Participantes!$A$6:$A$305,0))="","",INDEX(2_Participantes!$F$6:$F$305,MATCH(A303,2_Participantes!$A$6:$A$305,0))),"No registrado"))</f>
        <v/>
      </c>
      <c r="H303" s="84">
        <f>IF(A303="","",IFERROR(IF(INDEX(2_Participantes!$L$6:$L$305,MATCH(A303,2_Participantes!$A$6:$A$305,0))="","",INDEX(2_Participantes!$L$6:$L$305,MATCH(A303,2_Participantes!$A$6:$A$305,0))),""))</f>
        <v/>
      </c>
      <c r="I303" s="62">
        <f>IF(A303="","",IF(AND(ISNUMBER(C303),ISNUMBER(D303),G303&lt;&gt;"Excluido"),1,0))</f>
        <v/>
      </c>
      <c r="J303" s="76">
        <f>IF(A303="","",IF(G303="No registrado","Código ausente en 2_Participantes",IF(AND(ISNUMBER(D303),NOT(ISNUMBER(C303))),"Postest sin pretest (huérfano)",IF(OR(AND(ISNUMBER(C303),OR(C303&lt;Inicio!$C$18,C303&gt;Inicio!$C$19)),AND(ISNUMBER(D303),OR(D303&lt;Inicio!$C$18,D303&gt;Inicio!$C$19))),"Fuera de rango",IF(COUNTIF($A$6:$A$305,A303)&gt;1,"Código duplicado","OK")))))</f>
        <v/>
      </c>
    </row>
    <row r="304" ht="15" customHeight="1" s="42">
      <c r="A304" s="67" t="n"/>
      <c r="B304" s="61">
        <f>IF(A304="","",IFERROR(IF(INDEX(2_Participantes!$B$6:$B$305,MATCH(A304,2_Participantes!$A$6:$A$305,0))="","",INDEX(2_Participantes!$B$6:$B$305,MATCH(A304,2_Participantes!$A$6:$A$305,0))),"No registrado"))</f>
        <v/>
      </c>
      <c r="C304" s="52" t="n"/>
      <c r="D304" s="52" t="n"/>
      <c r="E304" s="63">
        <f>IF(AND(ISNUMBER(C304),ISNUMBER(D304)),D304-C304,"")</f>
        <v/>
      </c>
      <c r="F304" s="62">
        <f>IF(A304="","",IFERROR(IF(INDEX(2_Participantes!$E$6:$E$305,MATCH(A304,2_Participantes!$A$6:$A$305,0))="","",INDEX(2_Participantes!$E$6:$E$305,MATCH(A304,2_Participantes!$A$6:$A$305,0))),""))</f>
        <v/>
      </c>
      <c r="G304" s="61">
        <f>IF(A304="","",IFERROR(IF(INDEX(2_Participantes!$F$6:$F$305,MATCH(A304,2_Participantes!$A$6:$A$305,0))="","",INDEX(2_Participantes!$F$6:$F$305,MATCH(A304,2_Participantes!$A$6:$A$305,0))),"No registrado"))</f>
        <v/>
      </c>
      <c r="H304" s="84">
        <f>IF(A304="","",IFERROR(IF(INDEX(2_Participantes!$L$6:$L$305,MATCH(A304,2_Participantes!$A$6:$A$305,0))="","",INDEX(2_Participantes!$L$6:$L$305,MATCH(A304,2_Participantes!$A$6:$A$305,0))),""))</f>
        <v/>
      </c>
      <c r="I304" s="62">
        <f>IF(A304="","",IF(AND(ISNUMBER(C304),ISNUMBER(D304),G304&lt;&gt;"Excluido"),1,0))</f>
        <v/>
      </c>
      <c r="J304" s="76">
        <f>IF(A304="","",IF(G304="No registrado","Código ausente en 2_Participantes",IF(AND(ISNUMBER(D304),NOT(ISNUMBER(C304))),"Postest sin pretest (huérfano)",IF(OR(AND(ISNUMBER(C304),OR(C304&lt;Inicio!$C$18,C304&gt;Inicio!$C$19)),AND(ISNUMBER(D304),OR(D304&lt;Inicio!$C$18,D304&gt;Inicio!$C$19))),"Fuera de rango",IF(COUNTIF($A$6:$A$305,A304)&gt;1,"Código duplicado","OK")))))</f>
        <v/>
      </c>
    </row>
    <row r="305" ht="15" customHeight="1" s="42">
      <c r="A305" s="67" t="n"/>
      <c r="B305" s="61">
        <f>IF(A305="","",IFERROR(IF(INDEX(2_Participantes!$B$6:$B$305,MATCH(A305,2_Participantes!$A$6:$A$305,0))="","",INDEX(2_Participantes!$B$6:$B$305,MATCH(A305,2_Participantes!$A$6:$A$305,0))),"No registrado"))</f>
        <v/>
      </c>
      <c r="C305" s="52" t="n"/>
      <c r="D305" s="52" t="n"/>
      <c r="E305" s="63">
        <f>IF(AND(ISNUMBER(C305),ISNUMBER(D305)),D305-C305,"")</f>
        <v/>
      </c>
      <c r="F305" s="62">
        <f>IF(A305="","",IFERROR(IF(INDEX(2_Participantes!$E$6:$E$305,MATCH(A305,2_Participantes!$A$6:$A$305,0))="","",INDEX(2_Participantes!$E$6:$E$305,MATCH(A305,2_Participantes!$A$6:$A$305,0))),""))</f>
        <v/>
      </c>
      <c r="G305" s="61">
        <f>IF(A305="","",IFERROR(IF(INDEX(2_Participantes!$F$6:$F$305,MATCH(A305,2_Participantes!$A$6:$A$305,0))="","",INDEX(2_Participantes!$F$6:$F$305,MATCH(A305,2_Participantes!$A$6:$A$305,0))),"No registrado"))</f>
        <v/>
      </c>
      <c r="H305" s="84">
        <f>IF(A305="","",IFERROR(IF(INDEX(2_Participantes!$L$6:$L$305,MATCH(A305,2_Participantes!$A$6:$A$305,0))="","",INDEX(2_Participantes!$L$6:$L$305,MATCH(A305,2_Participantes!$A$6:$A$305,0))),""))</f>
        <v/>
      </c>
      <c r="I305" s="62">
        <f>IF(A305="","",IF(AND(ISNUMBER(C305),ISNUMBER(D305),G305&lt;&gt;"Excluido"),1,0))</f>
        <v/>
      </c>
      <c r="J305" s="76">
        <f>IF(A305="","",IF(G305="No registrado","Código ausente en 2_Participantes",IF(AND(ISNUMBER(D305),NOT(ISNUMBER(C305))),"Postest sin pretest (huérfano)",IF(OR(AND(ISNUMBER(C305),OR(C305&lt;Inicio!$C$18,C305&gt;Inicio!$C$19)),AND(ISNUMBER(D305),OR(D305&lt;Inicio!$C$18,D305&gt;Inicio!$C$19))),"Fuera de rango",IF(COUNTIF($A$6:$A$305,A305)&gt;1,"Código duplicado","OK")))))</f>
        <v/>
      </c>
    </row>
  </sheetData>
  <mergeCells count="1">
    <mergeCell ref="L22:R22"/>
  </mergeCells>
  <printOptions horizontalCentered="1" verticalCentered="0" headings="0" gridLines="0" gridLinesSet="1"/>
  <pageMargins left="0.5" right="0.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1" min="1" max="1"/>
    <col width="58" customWidth="1" style="41" min="2" max="2"/>
    <col width="22" customWidth="1" style="41" min="3" max="3"/>
    <col width="44" customWidth="1" style="41" min="4" max="4"/>
  </cols>
  <sheetData>
    <row r="1" ht="17.35" customHeight="1" s="42">
      <c r="A1" s="43" t="inlineStr">
        <is>
          <t>Paso 4 · Lista de cotejo de aplicación del postest</t>
        </is>
      </c>
    </row>
    <row r="2" ht="15" customHeight="1" s="42">
      <c r="A2" s="44" t="inlineStr">
        <is>
          <t>Marque Sí, No o N. A. en cada ítem y anote la evidencia. Cada «No» exige una incidencia registrada en 5_Incidencias.</t>
        </is>
      </c>
    </row>
    <row r="4" ht="15" customHeight="1" s="42">
      <c r="B4" s="46" t="inlineStr">
        <is>
          <t>Fecha y hora de aplicación</t>
        </is>
      </c>
      <c r="C4" s="47" t="inlineStr">
        <is>
          <t>03/11/2026 al 08/11/2026, dispositivo del participante</t>
        </is>
      </c>
      <c r="D4" s="49" t="n"/>
    </row>
    <row r="5" ht="15" customHeight="1" s="42">
      <c r="B5" s="46" t="inlineStr">
        <is>
          <t>Lugar y grupo</t>
        </is>
      </c>
      <c r="C5" s="47" t="inlineStr">
        <is>
          <t>Remoto · grupo único (registrado como GE)</t>
        </is>
      </c>
      <c r="D5" s="49" t="n"/>
    </row>
    <row r="6" ht="15" customHeight="1" s="42">
      <c r="B6" s="46" t="inlineStr">
        <is>
          <t>Aplicador u observador</t>
        </is>
      </c>
      <c r="C6" s="47" t="inlineStr">
        <is>
          <t>Tesistas</t>
        </is>
      </c>
      <c r="D6" s="49" t="n"/>
    </row>
    <row r="7" ht="15" customHeight="1" s="42">
      <c r="B7" s="46" t="inlineStr">
        <is>
          <t>Instrumento y versión</t>
        </is>
      </c>
      <c r="C7" s="47" t="inlineStr">
        <is>
          <t>SUS, TAM y ficha de tiempos y clics; tareas 3 y 4</t>
        </is>
      </c>
      <c r="D7" s="49" t="n"/>
    </row>
    <row r="9" ht="30" customHeight="1" s="42">
      <c r="A9" s="59" t="inlineStr">
        <is>
          <t>N.º</t>
        </is>
      </c>
      <c r="B9" s="59" t="inlineStr">
        <is>
          <t>Condición verificada</t>
        </is>
      </c>
      <c r="C9" s="59" t="inlineStr">
        <is>
          <t>Cumple (Sí / No / N. A.)</t>
        </is>
      </c>
      <c r="D9" s="59" t="inlineStr">
        <is>
          <t>Evidencia u observación</t>
        </is>
      </c>
    </row>
    <row r="10" ht="15" customHeight="1" s="42">
      <c r="A10" s="61" t="n">
        <v>1</v>
      </c>
      <c r="B10" s="77" t="inlineStr">
        <is>
          <t>Periodo de intervención verificado (programado frente a ejecutado).</t>
        </is>
      </c>
      <c r="C10" s="67" t="inlineStr">
        <is>
          <t>Sí</t>
        </is>
      </c>
      <c r="D10" s="47" t="n"/>
    </row>
    <row r="11" ht="15" customHeight="1" s="42">
      <c r="A11" s="61" t="n">
        <v>2</v>
      </c>
      <c r="B11" s="77" t="inlineStr">
        <is>
          <t>Participación final confirmada por código.</t>
        </is>
      </c>
      <c r="C11" s="67" t="inlineStr">
        <is>
          <t>Sí</t>
        </is>
      </c>
      <c r="D11" s="47" t="n"/>
    </row>
    <row r="12" ht="15" customHeight="1" s="42">
      <c r="A12" s="61" t="n">
        <v>3</v>
      </c>
      <c r="B12" s="77" t="inlineStr">
        <is>
          <t>Instrumento idéntico al del pretest (misma versión).</t>
        </is>
      </c>
      <c r="C12" s="67" t="inlineStr">
        <is>
          <t>Sí</t>
        </is>
      </c>
      <c r="D12" s="47" t="n"/>
    </row>
    <row r="13" ht="15" customHeight="1" s="42">
      <c r="A13" s="61" t="n">
        <v>4</v>
      </c>
      <c r="B13" s="77" t="inlineStr">
        <is>
          <t>Guion de instrucciones idéntico, leído textualmente.</t>
        </is>
      </c>
      <c r="C13" s="67" t="inlineStr">
        <is>
          <t>Sí</t>
        </is>
      </c>
      <c r="D13" s="47" t="n"/>
    </row>
    <row r="14" ht="15" customHeight="1" s="42">
      <c r="A14" s="61" t="n">
        <v>5</v>
      </c>
      <c r="B14" s="77" t="inlineStr">
        <is>
          <t>Mismo aplicador u observador, o calibración documentada.</t>
        </is>
      </c>
      <c r="C14" s="67" t="inlineStr">
        <is>
          <t>Sí</t>
        </is>
      </c>
      <c r="D14" s="47" t="n"/>
    </row>
    <row r="15" ht="15" customHeight="1" s="42">
      <c r="A15" s="61" t="n">
        <v>6</v>
      </c>
      <c r="B15" s="77" t="inlineStr">
        <is>
          <t>Mismo lugar, mismos días y misma franja horaria.</t>
        </is>
      </c>
      <c r="C15" s="67" t="inlineStr">
        <is>
          <t>Sí</t>
        </is>
      </c>
      <c r="D15" s="47" t="n"/>
    </row>
    <row r="16" ht="15" customHeight="1" s="42">
      <c r="A16" s="61" t="n">
        <v>7</v>
      </c>
      <c r="B16" s="77" t="inlineStr">
        <is>
          <t>Códigos verificados antes de entregar el instrumento.</t>
        </is>
      </c>
      <c r="C16" s="67" t="inlineStr">
        <is>
          <t>Sí</t>
        </is>
      </c>
      <c r="D16" s="47" t="n"/>
    </row>
    <row r="17" ht="15" customHeight="1" s="42">
      <c r="A17" s="61" t="n">
        <v>8</v>
      </c>
      <c r="B17" s="77" t="inlineStr">
        <is>
          <t>Tiempo y condiciones de aplicación controlados.</t>
        </is>
      </c>
      <c r="C17" s="67" t="inlineStr">
        <is>
          <t>Sí</t>
        </is>
      </c>
      <c r="D17" s="47" t="n"/>
    </row>
    <row r="18" ht="15" customHeight="1" s="42">
      <c r="A18" s="61" t="n">
        <v>9</v>
      </c>
      <c r="B18" s="77" t="inlineStr">
        <is>
          <t>Completitud verificada al recoger cada instrumento.</t>
        </is>
      </c>
      <c r="C18" s="67" t="inlineStr">
        <is>
          <t>Sí</t>
        </is>
      </c>
      <c r="D18" s="47" t="n"/>
    </row>
    <row r="19" ht="15" customHeight="1" s="42">
      <c r="A19" s="61" t="n">
        <v>10</v>
      </c>
      <c r="B19" s="77" t="inlineStr">
        <is>
          <t>Ausencias y pérdidas registradas con fecha y motivo.</t>
        </is>
      </c>
      <c r="C19" s="67" t="inlineStr">
        <is>
          <t>Sí</t>
        </is>
      </c>
      <c r="D19" s="47" t="inlineStr">
        <is>
          <t>Tres retiros el 29/10: GU-TDH-015, GU-TDH-033 y GU-TDH-053.</t>
        </is>
      </c>
    </row>
    <row r="20" ht="15" customHeight="1" s="42">
      <c r="A20" s="61" t="n">
        <v>11</v>
      </c>
      <c r="B20" s="77" t="inlineStr">
        <is>
          <t>Incidencias registradas y tratadas el mismo día.</t>
        </is>
      </c>
      <c r="C20" s="67" t="inlineStr">
        <is>
          <t>Sí</t>
        </is>
      </c>
      <c r="D20" s="47" t="n"/>
    </row>
    <row r="21" ht="15" customHeight="1" s="42">
      <c r="A21" s="61" t="n">
        <v>12</v>
      </c>
      <c r="B21" s="77" t="inlineStr">
        <is>
          <t>Datos resguardados (cifrado y respaldo) el mismo día.</t>
        </is>
      </c>
      <c r="C21" s="67" t="inlineStr">
        <is>
          <t>Sí</t>
        </is>
      </c>
      <c r="D21" s="47" t="n"/>
    </row>
    <row r="23" ht="15" customHeight="1" s="42">
      <c r="B23" s="46" t="inlineStr">
        <is>
          <t>Ítems cumplidos (Sí o N. A. justificado)</t>
        </is>
      </c>
      <c r="C23" s="61">
        <f>COUNTIF(C10:C21,"Sí")+COUNTIF(C10:C21,"N. A.")&amp;" de 12"</f>
        <v/>
      </c>
    </row>
    <row r="24" ht="15" customHeight="1" s="42">
      <c r="B24" s="46" t="inlineStr">
        <is>
          <t>Resultado</t>
        </is>
      </c>
      <c r="C24" s="68">
        <f>IF(COUNTIF(C10:C21,"Sí")+COUNTIF(C10:C21,"N. A.")=12,"Aplicación equivalente",IF(COUNTIF(C10:C21,"Sí")+COUNTIF(C10:C21,"N. A.")&gt;=10,"Equivalente con observaciones registradas","Revisar con el asesor antes de analizar los datos"))</f>
        <v/>
      </c>
      <c r="D24" s="49" t="n"/>
    </row>
  </sheetData>
  <mergeCells count="5">
    <mergeCell ref="C6:D6"/>
    <mergeCell ref="C24:D24"/>
    <mergeCell ref="C7:D7"/>
    <mergeCell ref="C5:D5"/>
    <mergeCell ref="C4:D4"/>
  </mergeCells>
  <dataValidations count="1">
    <dataValidation sqref="C10:C21" showDropDown="0" showInputMessage="0" showErrorMessage="1" allowBlank="1" errorTitle="Valor no válido" error="Elija un valor de la lista." type="list" errorStyle="stop" operator="between">
      <formula1>Listas!$K$2:$K$4</formula1>
      <formula2>0</formula2>
    </dataValidation>
  </dataValidations>
  <printOptions horizontalCentered="1" verticalCentered="0" headings="0" gridLines="0" gridLinesSet="1"/>
  <pageMargins left="0.5" right="0.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41" min="1" max="1"/>
    <col width="40" customWidth="1" style="41" min="2" max="2"/>
    <col width="30" customWidth="1" style="41" min="3" max="3"/>
    <col width="25" customWidth="1" style="41" min="4" max="6"/>
  </cols>
  <sheetData>
    <row r="1" ht="17.35" customHeight="1" s="42">
      <c r="A1" s="43" t="inlineStr">
        <is>
          <t>Paso 6 · Acta de cierre de la intervención</t>
        </is>
      </c>
    </row>
    <row r="2" ht="15" customHeight="1" s="42">
      <c r="A2" s="44" t="inlineStr">
        <is>
          <t>Los campos en verde se completan automáticamente con las demás hojas; los amarillos se llenan antes de firmar. Imprimir y firmar antes de aplicar el postest.</t>
        </is>
      </c>
    </row>
    <row r="4" ht="33.75" customHeight="1" s="42">
      <c r="B4" s="46" t="inlineStr">
        <is>
          <t>Acta N.º</t>
        </is>
      </c>
      <c r="C4" s="47" t="inlineStr">
        <is>
          <t>001-2026</t>
        </is>
      </c>
      <c r="D4" s="48" t="n"/>
      <c r="E4" s="48" t="n"/>
      <c r="F4" s="49" t="n"/>
    </row>
    <row r="5" ht="33.75" customHeight="1" s="42">
      <c r="B5" s="46" t="inlineStr">
        <is>
          <t>Fecha, hora y lugar</t>
        </is>
      </c>
      <c r="C5" s="47" t="inlineStr">
        <is>
          <t>02/11/2026 · 23:59 · remoto</t>
        </is>
      </c>
      <c r="D5" s="48" t="n"/>
      <c r="E5" s="48" t="n"/>
      <c r="F5" s="49" t="n"/>
    </row>
    <row r="6" ht="33.75" customHeight="1" s="42">
      <c r="B6" s="46" t="inlineStr">
        <is>
          <t>Título de la tesis</t>
        </is>
      </c>
      <c r="C6" s="88">
        <f>Inicio!C5</f>
        <v/>
      </c>
      <c r="D6" s="48" t="n"/>
      <c r="E6" s="48" t="n"/>
      <c r="F6" s="49" t="n"/>
    </row>
    <row r="7" ht="33.75" customHeight="1" s="42">
      <c r="B7" s="46" t="inlineStr">
        <is>
          <t>Tesista y asesor(a)</t>
        </is>
      </c>
      <c r="C7" s="88">
        <f>Inicio!C6&amp;"  ·  Asesor(a): "&amp;Inicio!C7</f>
        <v/>
      </c>
      <c r="D7" s="48" t="n"/>
      <c r="E7" s="48" t="n"/>
      <c r="F7" s="49" t="n"/>
    </row>
    <row r="8" ht="33.75" customHeight="1" s="42">
      <c r="B8" s="46" t="inlineStr">
        <is>
          <t>Institución</t>
        </is>
      </c>
      <c r="C8" s="88">
        <f>Inicio!C8</f>
        <v/>
      </c>
      <c r="D8" s="48" t="n"/>
      <c r="E8" s="48" t="n"/>
      <c r="F8" s="49" t="n"/>
    </row>
    <row r="9" ht="33.75" customHeight="1" s="42">
      <c r="B9" s="46" t="inlineStr">
        <is>
          <t>Diseño y grupos</t>
        </is>
      </c>
      <c r="C9" s="88">
        <f>Inicio!C9</f>
        <v/>
      </c>
      <c r="D9" s="48" t="n"/>
      <c r="E9" s="48" t="n"/>
      <c r="F9" s="49" t="n"/>
    </row>
    <row r="10" ht="33.75" customHeight="1" s="42">
      <c r="B10" s="46" t="inlineStr">
        <is>
          <t>Solución tecnológica y versión final (congelada)</t>
        </is>
      </c>
      <c r="C10" s="47" t="inlineStr">
        <is>
          <t>Aplicación multiplataforma de búsqueda semántica conversacional (PWA + RAG), versión congelada el 26/10/2026</t>
        </is>
      </c>
      <c r="D10" s="48" t="n"/>
      <c r="E10" s="48" t="n"/>
      <c r="F10" s="49" t="n"/>
    </row>
    <row r="11" ht="33.75" customHeight="1" s="42">
      <c r="B11" s="46" t="inlineStr">
        <is>
          <t>Periodo real de la intervención</t>
        </is>
      </c>
      <c r="C11" s="88">
        <f>IF(OR(1_Periodo!D6="",1_Periodo!D7=""),"",TEXT(1_Periodo!D6,"dd/mm/yyyy")&amp;" al "&amp;TEXT(1_Periodo!D7,"dd/mm/yyyy")&amp;" ("&amp;1_Periodo!D8&amp;" semanas)")</f>
        <v/>
      </c>
      <c r="D11" s="48" t="n"/>
      <c r="E11" s="48" t="n"/>
      <c r="F11" s="49" t="n"/>
    </row>
    <row r="12" ht="33.75" customHeight="1" s="42">
      <c r="B12" s="46" t="inlineStr">
        <is>
          <t>Dosis ejecutada</t>
        </is>
      </c>
      <c r="C12" s="88">
        <f>IF(1_Periodo!D11="","",1_Periodo!D11&amp;" de "&amp;1_Periodo!C11&amp;" días-usuario · frecuencia promedio "&amp;TEXT(1_Periodo!D10,"0.0")&amp;" días por semana · intensidad "&amp;TEXT(1_Periodo!D12,"0%"))</f>
        <v/>
      </c>
      <c r="D12" s="48" t="n"/>
      <c r="E12" s="48" t="n"/>
      <c r="F12" s="49" t="n"/>
    </row>
    <row r="13" ht="33.75" customHeight="1" s="42">
      <c r="B13" s="46" t="inlineStr">
        <is>
          <t>Adherencia acumulada</t>
        </is>
      </c>
      <c r="C13" s="88">
        <f>IF(1_Periodo!D13="","",TEXT(1_Periodo!D13,"0.0%")&amp;" (umbral "&amp;TEXT(1_Periodo!C13,"0%")&amp;": "&amp;1_Periodo!E13&amp;")")</f>
        <v/>
      </c>
      <c r="D13" s="48" t="n"/>
      <c r="E13" s="48" t="n"/>
      <c r="F13" s="49" t="n"/>
    </row>
    <row r="14" ht="33.75" customHeight="1" s="42">
      <c r="B14" s="46" t="inlineStr">
        <is>
          <t>Fidelidad de implementación</t>
        </is>
      </c>
      <c r="C14" s="88">
        <f>IF(1_Periodo!C38="","",TEXT(1_Periodo!C38,"0.0%")&amp;" (umbral "&amp;TEXT(1_Periodo!C39,"0%")&amp;": "&amp;1_Periodo!C40&amp;")")</f>
        <v/>
      </c>
      <c r="D14" s="48" t="n"/>
      <c r="E14" s="48" t="n"/>
      <c r="F14" s="49" t="n"/>
    </row>
    <row r="15" ht="33.75" customHeight="1" s="42">
      <c r="B15" s="46" t="inlineStr">
        <is>
          <t>Participantes al inicio y al cierre</t>
        </is>
      </c>
      <c r="C15" s="88">
        <f>"GE: "&amp;3_Mortalidad!B6&amp;" → "&amp;(3_Mortalidad!B6-3_Mortalidad!C6)&amp;" (retiros: "&amp;3_Mortalidad!C6&amp;")  ·  GC: "&amp;3_Mortalidad!B7&amp;" → "&amp;(3_Mortalidad!B7-3_Mortalidad!C7)&amp;" (retiros: "&amp;3_Mortalidad!C7&amp;")"</f>
        <v/>
      </c>
      <c r="D15" s="48" t="n"/>
      <c r="E15" s="48" t="n"/>
      <c r="F15" s="49" t="n"/>
    </row>
    <row r="16" ht="33.75" customHeight="1" s="42">
      <c r="B16" s="46" t="inlineStr">
        <is>
          <t>Desviaciones registradas y acciones correctivas</t>
        </is>
      </c>
      <c r="C16" s="47" t="inlineStr">
        <is>
          <t>Tres retiros por no completar las 3 sesiones. Latencia del 28/10 mitigada con caché. Sin cambio de funciones.</t>
        </is>
      </c>
      <c r="D16" s="48" t="n"/>
      <c r="E16" s="48" t="n"/>
      <c r="F16" s="49" t="n"/>
    </row>
    <row r="17" ht="33.75" customHeight="1" s="42">
      <c r="B17" s="46" t="inlineStr">
        <is>
          <t>Postest previsto (fechas y condiciones)</t>
        </is>
      </c>
      <c r="C17" s="88">
        <f>"Del "&amp;TEXT(Inicio!C20,"dd/mm/yyyy")&amp;" al "&amp;TEXT(Inicio!C21,"dd/mm/yyyy")&amp;" con "&amp;Inicio!C12&amp;", en las mismas condiciones del pretest (ventana de "&amp;Inicio!C17&amp;" días hábiles)"</f>
        <v/>
      </c>
      <c r="D17" s="48" t="n"/>
      <c r="E17" s="48" t="n"/>
      <c r="F17" s="49" t="n"/>
    </row>
    <row r="18" ht="33.75" customHeight="1" s="42">
      <c r="B18" s="46" t="inlineStr">
        <is>
          <t>Estado posterior de la solución</t>
        </is>
      </c>
      <c r="C18" s="47" t="inlineStr">
        <is>
          <t>Continúa en producción, sin cambios de funciones hasta después del postest</t>
        </is>
      </c>
      <c r="D18" s="48" t="n"/>
      <c r="E18" s="48" t="n"/>
      <c r="F18" s="49" t="n"/>
    </row>
    <row r="19" ht="33.75" customHeight="1" s="42">
      <c r="B19" s="46" t="inlineStr">
        <is>
          <t>Custodia y confidencialidad de los datos</t>
        </is>
      </c>
      <c r="C19" s="47" t="inlineStr">
        <is>
          <t>Base cifrada, solo códigos GU-TDH, sin nombres en los cuadernos</t>
        </is>
      </c>
      <c r="D19" s="48" t="n"/>
      <c r="E19" s="48" t="n"/>
      <c r="F19" s="49" t="n"/>
    </row>
    <row r="20" ht="33.75" customHeight="1" s="42">
      <c r="B20" s="46" t="inlineStr">
        <is>
          <t>Decisión de cierre</t>
        </is>
      </c>
      <c r="C20" s="88">
        <f>1_Periodo!C46</f>
        <v/>
      </c>
      <c r="D20" s="48" t="n"/>
      <c r="E20" s="48" t="n"/>
      <c r="F20" s="49" t="n"/>
    </row>
    <row r="21" ht="33.75" customHeight="1" s="42">
      <c r="B21" s="46" t="inlineStr">
        <is>
          <t>Firmas</t>
        </is>
      </c>
      <c r="C21" s="47" t="inlineStr">
        <is>
          <t>Tesista · Representante institucional · Asesor(a) de tesis (visto bueno)</t>
        </is>
      </c>
      <c r="D21" s="48" t="n"/>
      <c r="E21" s="48" t="n"/>
      <c r="F21" s="49" t="n"/>
    </row>
    <row r="23" ht="32.8" customHeight="1" s="42">
      <c r="B23" s="54" t="inlineStr">
        <is>
          <t>Las fechas de la hoja 1_Periodo y los conteos de 3_Mortalidad alimentan esta acta; si cambian los registros, el acta se actualiza sola.</t>
        </is>
      </c>
    </row>
  </sheetData>
  <mergeCells count="18">
    <mergeCell ref="C13:F13"/>
    <mergeCell ref="C9:F9"/>
    <mergeCell ref="C18:F18"/>
    <mergeCell ref="C5:F5"/>
    <mergeCell ref="C17:F17"/>
    <mergeCell ref="C8:F8"/>
    <mergeCell ref="C4:F4"/>
    <mergeCell ref="C20:F20"/>
    <mergeCell ref="C12:F12"/>
    <mergeCell ref="C6:F6"/>
    <mergeCell ref="C7:F7"/>
    <mergeCell ref="C16:F16"/>
    <mergeCell ref="C21:F21"/>
    <mergeCell ref="C15:F15"/>
    <mergeCell ref="C11:F11"/>
    <mergeCell ref="C10:F10"/>
    <mergeCell ref="C19:F19"/>
    <mergeCell ref="C14:F14"/>
  </mergeCells>
  <dataValidations count="1">
    <dataValidation sqref="C18" showDropDown="0" showInputMessage="0" showErrorMessage="1" allowBlank="1" errorTitle="Valor no válido" error="Elija un valor de la lista." type="list" errorStyle="stop" operator="between">
      <formula1>Listas!$J$2:$J$4</formula1>
      <formula2>0</formula2>
    </dataValidation>
  </dataValidations>
  <printOptions horizontalCentered="1" verticalCentered="0" headings="0" gridLines="0" gridLinesSet="1"/>
  <pageMargins left="0.5" right="0.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1" min="1" max="1"/>
    <col width="60" customWidth="1" style="41" min="2" max="2"/>
    <col width="16" customWidth="1" style="41" min="3" max="3"/>
    <col width="36" customWidth="1" style="41" min="4" max="4"/>
    <col width="14" customWidth="1" style="41" min="5" max="5"/>
    <col width="38" customWidth="1" style="41" min="6" max="6"/>
  </cols>
  <sheetData>
    <row r="1" ht="17.35" customHeight="1" s="42">
      <c r="A1" s="43" t="inlineStr">
        <is>
          <t>Diccionario de variables de la base consolidada</t>
        </is>
      </c>
    </row>
    <row r="2" ht="15" customHeight="1" s="42">
      <c r="A2" s="44" t="inlineStr">
        <is>
          <t>Actualice nombres, escalas y códigos de dato perdido según su tesis. La estructura es la misma del pretest (semana 3) con el sufijo _POST para la medición final.</t>
        </is>
      </c>
    </row>
    <row r="4" ht="30" customHeight="1" s="42">
      <c r="A4" s="59" t="inlineStr">
        <is>
          <t>Variable</t>
        </is>
      </c>
      <c r="B4" s="59" t="inlineStr">
        <is>
          <t>Descripción</t>
        </is>
      </c>
      <c r="C4" s="59" t="inlineStr">
        <is>
          <t>Escala de medición</t>
        </is>
      </c>
      <c r="D4" s="59" t="inlineStr">
        <is>
          <t>Valores o codificación</t>
        </is>
      </c>
      <c r="E4" s="59" t="inlineStr">
        <is>
          <t>Código de dato perdido</t>
        </is>
      </c>
      <c r="F4" s="59" t="inlineStr">
        <is>
          <t>Fuente</t>
        </is>
      </c>
    </row>
    <row r="5" ht="30" customHeight="1" s="42">
      <c r="A5" s="67" t="inlineStr">
        <is>
          <t>CODIGO</t>
        </is>
      </c>
      <c r="B5" s="47" t="inlineStr">
        <is>
          <t>Código único del participante (nunca nombre ni DNI).</t>
        </is>
      </c>
      <c r="C5" s="67" t="inlineStr">
        <is>
          <t>Nominal</t>
        </is>
      </c>
      <c r="D5" s="47" t="inlineStr">
        <is>
          <t>GU-TDH-### (108 códigos del pretest; no incluye GU-TDH-001)</t>
        </is>
      </c>
      <c r="E5" s="67" t="inlineStr">
        <is>
          <t>—</t>
        </is>
      </c>
      <c r="F5" s="47" t="inlineStr">
        <is>
          <t>Tabla código–identidad (separada y cifrada)</t>
        </is>
      </c>
    </row>
    <row r="6" ht="30" customHeight="1" s="42">
      <c r="A6" s="67" t="inlineStr">
        <is>
          <t>GRUPO</t>
        </is>
      </c>
      <c r="B6" s="47" t="inlineStr">
        <is>
          <t>Grupo al que pertenece el participante.</t>
        </is>
      </c>
      <c r="C6" s="67" t="inlineStr">
        <is>
          <t>Nominal</t>
        </is>
      </c>
      <c r="D6" s="47" t="inlineStr">
        <is>
          <t>GE = grupo único de esta tesis. No hay GC. En las sesiones 2 y 3 el mismo grupo figura como GU.</t>
        </is>
      </c>
      <c r="E6" s="67" t="inlineStr">
        <is>
          <t>—</t>
        </is>
      </c>
      <c r="F6" s="47" t="inlineStr">
        <is>
          <t>Protocolo de ejecución</t>
        </is>
      </c>
    </row>
    <row r="7" ht="30" customHeight="1" s="42">
      <c r="A7" s="67" t="inlineStr">
        <is>
          <t>VD_PRE</t>
        </is>
      </c>
      <c r="B7" s="47" t="inlineStr">
        <is>
          <t>Puntaje SUS del pretest (0 a 100), calculado con los 10 ítems de la sesión 3.</t>
        </is>
      </c>
      <c r="C7" s="67" t="inlineStr">
        <is>
          <t>Razón</t>
        </is>
      </c>
      <c r="D7" s="47" t="inlineStr">
        <is>
          <t>0 a 100</t>
        </is>
      </c>
      <c r="E7" s="67" t="inlineStr">
        <is>
          <t>999</t>
        </is>
      </c>
      <c r="F7" s="47" t="inlineStr">
        <is>
          <t>Base del pretest, sesión 3. Ventana de aplicación 20–25/10/2026.</t>
        </is>
      </c>
    </row>
    <row r="8" ht="30" customHeight="1" s="42">
      <c r="A8" s="67" t="inlineStr">
        <is>
          <t>VD_POST</t>
        </is>
      </c>
      <c r="B8" s="47" t="inlineStr">
        <is>
          <t>Puntaje SUS del postest (0 a 100), mismo cálculo. Simulado a partir del pretest: no es medición de campo.</t>
        </is>
      </c>
      <c r="C8" s="67" t="inlineStr">
        <is>
          <t>Razón</t>
        </is>
      </c>
      <c r="D8" s="47" t="inlineStr">
        <is>
          <t>0 a 100</t>
        </is>
      </c>
      <c r="E8" s="67" t="inlineStr">
        <is>
          <t>999</t>
        </is>
      </c>
      <c r="F8" s="47" t="inlineStr">
        <is>
          <t>Postest previsto 03–08/11/2026. Tareas 3 y 4.</t>
        </is>
      </c>
    </row>
    <row r="9" ht="30" customHeight="1" s="42">
      <c r="A9" s="67" t="inlineStr">
        <is>
          <t>DIF</t>
        </is>
      </c>
      <c r="B9" s="47" t="inlineStr">
        <is>
          <t>VD_POST − VD_PRE. Positivo = mayor puntaje SUS en el postest.</t>
        </is>
      </c>
      <c r="C9" s="67" t="inlineStr">
        <is>
          <t>Razón</t>
        </is>
      </c>
      <c r="D9" s="47" t="inlineStr">
        <is>
          <t>Calculada</t>
        </is>
      </c>
      <c r="E9" s="67" t="inlineStr">
        <is>
          <t>—</t>
        </is>
      </c>
      <c r="F9" s="47" t="inlineStr">
        <is>
          <t>Fórmula</t>
        </is>
      </c>
    </row>
    <row r="10" ht="30" customHeight="1" s="42">
      <c r="A10" s="67" t="inlineStr">
        <is>
          <t>ADH</t>
        </is>
      </c>
      <c r="B10" s="47" t="inlineStr">
        <is>
          <t>Sesiones válidas durante los 7 días, en porcentaje respecto de las 3 sesiones mínimas.</t>
        </is>
      </c>
      <c r="C10" s="67" t="inlineStr">
        <is>
          <t>Razón</t>
        </is>
      </c>
      <c r="D10" s="47" t="inlineStr">
        <is>
          <t>0 a 100</t>
        </is>
      </c>
      <c r="E10" s="67" t="inlineStr">
        <is>
          <t>—</t>
        </is>
      </c>
      <c r="F10" s="47" t="inlineStr">
        <is>
          <t>Registros de acceso del sistema</t>
        </is>
      </c>
    </row>
    <row r="11" ht="30" customHeight="1" s="42">
      <c r="A11" s="67" t="inlineStr">
        <is>
          <t>ESTADO</t>
        </is>
      </c>
      <c r="B11" s="47" t="inlineStr">
        <is>
          <t>Situación del participante al cierre.</t>
        </is>
      </c>
      <c r="C11" s="67" t="inlineStr">
        <is>
          <t>Nominal</t>
        </is>
      </c>
      <c r="D11" s="47" t="inlineStr">
        <is>
          <t>Activo; Retirado; Excluido</t>
        </is>
      </c>
      <c r="E11" s="67" t="inlineStr">
        <is>
          <t>—</t>
        </is>
      </c>
      <c r="F11" s="47" t="inlineStr">
        <is>
          <t>Registro de participación final</t>
        </is>
      </c>
    </row>
    <row r="12" ht="30" customHeight="1" s="42">
      <c r="A12" s="67" t="inlineStr">
        <is>
          <t>FECHA_POST</t>
        </is>
      </c>
      <c r="B12" s="47" t="inlineStr">
        <is>
          <t>Fecha de aplicación del postest.</t>
        </is>
      </c>
      <c r="C12" s="67" t="inlineStr">
        <is>
          <t>Fecha</t>
        </is>
      </c>
      <c r="D12" s="47" t="inlineStr">
        <is>
          <t>dd/mm/aaaa</t>
        </is>
      </c>
      <c r="E12" s="67" t="inlineStr">
        <is>
          <t>—</t>
        </is>
      </c>
      <c r="F12" s="47" t="inlineStr">
        <is>
          <t>Acta de aplicación del postest</t>
        </is>
      </c>
    </row>
    <row r="13" ht="30" customHeight="1" s="42">
      <c r="A13" s="67" t="inlineStr">
        <is>
          <t>PAR_COMPLETO</t>
        </is>
      </c>
      <c r="B13" s="47" t="inlineStr">
        <is>
          <t>1 = tiene pretest y postest y no está excluido; 0 = no analizable.</t>
        </is>
      </c>
      <c r="C13" s="67" t="inlineStr">
        <is>
          <t>Dicotómica</t>
        </is>
      </c>
      <c r="D13" s="47" t="inlineStr">
        <is>
          <t>0; 1</t>
        </is>
      </c>
      <c r="E13" s="67" t="inlineStr">
        <is>
          <t>—</t>
        </is>
      </c>
      <c r="F13" s="47" t="inlineStr">
        <is>
          <t>Fórmula</t>
        </is>
      </c>
    </row>
    <row r="14" ht="15" customHeight="1" s="42">
      <c r="A14" s="47" t="n"/>
      <c r="B14" s="47" t="n"/>
      <c r="C14" s="47" t="n"/>
      <c r="D14" s="47" t="n"/>
      <c r="E14" s="47" t="n"/>
      <c r="F14" s="47" t="n"/>
    </row>
    <row r="15" ht="15" customHeight="1" s="42">
      <c r="A15" s="47" t="n"/>
      <c r="B15" s="47" t="n"/>
      <c r="C15" s="47" t="n"/>
      <c r="D15" s="47" t="n"/>
      <c r="E15" s="47" t="n"/>
      <c r="F15" s="47" t="n"/>
    </row>
    <row r="16" ht="15" customHeight="1" s="42">
      <c r="A16" s="47" t="n"/>
      <c r="B16" s="47" t="n"/>
      <c r="C16" s="47" t="n"/>
      <c r="D16" s="47" t="n"/>
      <c r="E16" s="47" t="n"/>
      <c r="F16" s="47" t="n"/>
    </row>
  </sheetData>
  <printOptions horizontalCentered="1" verticalCentered="0" headings="0" gridLines="0" gridLinesSet="1"/>
  <pageMargins left="0.5" right="0.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42">
      <c r="A1" s="89" t="inlineStr">
        <is>
          <t>Grupo</t>
        </is>
      </c>
      <c r="B1" s="89" t="inlineStr">
        <is>
          <t>SiNo</t>
        </is>
      </c>
      <c r="C1" s="89" t="inlineStr">
        <is>
          <t>Estado</t>
        </is>
      </c>
      <c r="D1" s="89" t="inlineStr">
        <is>
          <t>Motivo</t>
        </is>
      </c>
      <c r="E1" s="89" t="inlineStr">
        <is>
          <t>Confirmacion</t>
        </is>
      </c>
      <c r="F1" s="89" t="inlineStr">
        <is>
          <t>TipoIncidencia</t>
        </is>
      </c>
      <c r="G1" s="89" t="inlineStr">
        <is>
          <t>Fase</t>
        </is>
      </c>
      <c r="H1" s="89" t="inlineStr">
        <is>
          <t>EstadoIncidencia</t>
        </is>
      </c>
      <c r="I1" s="89" t="inlineStr">
        <is>
          <t>Diseno</t>
        </is>
      </c>
      <c r="J1" s="89" t="inlineStr">
        <is>
          <t>EstadoSolucion</t>
        </is>
      </c>
      <c r="K1" s="89" t="inlineStr">
        <is>
          <t>SiNoNA</t>
        </is>
      </c>
    </row>
    <row r="2" ht="15" customHeight="1" s="42">
      <c r="A2" s="41" t="inlineStr">
        <is>
          <t>GE</t>
        </is>
      </c>
      <c r="B2" s="41" t="inlineStr">
        <is>
          <t>Sí</t>
        </is>
      </c>
      <c r="C2" s="41" t="inlineStr">
        <is>
          <t>Activo</t>
        </is>
      </c>
      <c r="D2" s="41" t="inlineStr">
        <is>
          <t>Renuncia</t>
        </is>
      </c>
      <c r="E2" s="41" t="inlineStr">
        <is>
          <t>Confirmado</t>
        </is>
      </c>
      <c r="F2" s="41" t="inlineStr">
        <is>
          <t>Técnica</t>
        </is>
      </c>
      <c r="G2" s="41" t="inlineStr">
        <is>
          <t>Cierre</t>
        </is>
      </c>
      <c r="H2" s="41" t="inlineStr">
        <is>
          <t>Resuelta</t>
        </is>
      </c>
      <c r="I2" s="41" t="inlineStr">
        <is>
          <t>Preexperimental (G: O₁ X O₂)</t>
        </is>
      </c>
      <c r="J2" s="41" t="inlineStr">
        <is>
          <t>Continúa en producción</t>
        </is>
      </c>
      <c r="K2" s="41" t="inlineStr">
        <is>
          <t>Sí</t>
        </is>
      </c>
    </row>
    <row r="3" ht="15" customHeight="1" s="42">
      <c r="A3" s="41" t="inlineStr">
        <is>
          <t>GC</t>
        </is>
      </c>
      <c r="B3" s="41" t="inlineStr">
        <is>
          <t>No</t>
        </is>
      </c>
      <c r="C3" s="41" t="inlineStr">
        <is>
          <t>Retirado</t>
        </is>
      </c>
      <c r="D3" s="41" t="inlineStr">
        <is>
          <t>Licencia</t>
        </is>
      </c>
      <c r="E3" s="41" t="inlineStr">
        <is>
          <t>Reprogramado</t>
        </is>
      </c>
      <c r="F3" s="41" t="inlineStr">
        <is>
          <t>Metodológica</t>
        </is>
      </c>
      <c r="G3" s="41" t="inlineStr">
        <is>
          <t>Postest</t>
        </is>
      </c>
      <c r="H3" s="41" t="inlineStr">
        <is>
          <t>En curso</t>
        </is>
      </c>
      <c r="I3" s="41" t="inlineStr">
        <is>
          <t>Cuasiexperimental (GE: O₁ X O₂ / GC: O₁ — O₂)</t>
        </is>
      </c>
      <c r="J3" s="41" t="inlineStr">
        <is>
          <t>Se retira</t>
        </is>
      </c>
      <c r="K3" s="41" t="inlineStr">
        <is>
          <t>No</t>
        </is>
      </c>
    </row>
    <row r="4" ht="15" customHeight="1" s="42">
      <c r="A4" s="41" t="inlineStr">
        <is>
          <t>G</t>
        </is>
      </c>
      <c r="C4" s="41" t="inlineStr">
        <is>
          <t>Excluido</t>
        </is>
      </c>
      <c r="D4" s="41" t="inlineStr">
        <is>
          <t>Rotación o cambio de sede</t>
        </is>
      </c>
      <c r="E4" s="41" t="inlineStr">
        <is>
          <t>Pérdida muestral</t>
        </is>
      </c>
      <c r="F4" s="41" t="inlineStr">
        <is>
          <t>Ética</t>
        </is>
      </c>
      <c r="H4" s="41" t="inlineStr">
        <is>
          <t>Cerrada con limitación</t>
        </is>
      </c>
      <c r="J4" s="41" t="inlineStr">
        <is>
          <t>Se transfiere a la institución</t>
        </is>
      </c>
      <c r="K4" s="41" t="inlineStr">
        <is>
          <t>N. A.</t>
        </is>
      </c>
    </row>
    <row r="5" ht="15" customHeight="1" s="42">
      <c r="D5" s="41" t="inlineStr">
        <is>
          <t>Retiro de consentimiento</t>
        </is>
      </c>
      <c r="F5" s="41" t="inlineStr">
        <is>
          <t>Logística</t>
        </is>
      </c>
    </row>
    <row r="6" ht="15" customHeight="1" s="42">
      <c r="D6" s="41" t="inlineStr">
        <is>
          <t>Inasistencia fuera de la ventana</t>
        </is>
      </c>
      <c r="F6" s="41" t="inlineStr">
        <is>
          <t>Pérdida muestral</t>
        </is>
      </c>
    </row>
    <row r="7" ht="15" customHeight="1" s="42">
      <c r="D7" s="41" t="inlineStr">
        <is>
          <t>Registro inutilizable</t>
        </is>
      </c>
    </row>
    <row r="8" ht="15" customHeight="1" s="42">
      <c r="D8" s="41" t="inlineStr">
        <is>
          <t>Otro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Mg. Jenny Rocío Reynoso Palpa</dc:creator>
  <dc:title xmlns:dc="http://purl.org/dc/elements/1.1/">Cuaderno de registros - Sesión 7 - Seminario de Tesis III</dc:title>
  <dc:language xmlns:dc="http://purl.org/dc/elements/1.1/">en-US</dc:language>
  <dcterms:created xmlns:dcterms="http://purl.org/dc/terms/" xmlns:xsi="http://www.w3.org/2001/XMLSchema-instance" xsi:type="dcterms:W3CDTF">2026-10-17T15:50:23Z</dcterms:created>
  <dcterms:modified xmlns:dcterms="http://purl.org/dc/terms/" xmlns:xsi="http://www.w3.org/2001/XMLSchema-instance" xsi:type="dcterms:W3CDTF">2026-10-26T23:40:09Z</dcterms:modified>
  <cp:revision>1</cp:revision>
</cp:coreProperties>
</file>