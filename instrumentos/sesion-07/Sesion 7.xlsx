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icio" sheetId="1" state="visible" r:id="rId1"/>
    <sheet xmlns:r="http://schemas.openxmlformats.org/officeDocument/2006/relationships" name="1_Periodo" sheetId="2" state="visible" r:id="rId2"/>
    <sheet xmlns:r="http://schemas.openxmlformats.org/officeDocument/2006/relationships" name="2_Participantes" sheetId="3" state="visible" r:id="rId3"/>
    <sheet xmlns:r="http://schemas.openxmlformats.org/officeDocument/2006/relationships" name="3_Mortalidad" sheetId="4" state="visible" r:id="rId4"/>
    <sheet xmlns:r="http://schemas.openxmlformats.org/officeDocument/2006/relationships" name="4_Equivalencia" sheetId="5" state="visible" r:id="rId5"/>
    <sheet xmlns:r="http://schemas.openxmlformats.org/officeDocument/2006/relationships" name="5_Incidencias" sheetId="6" state="visible" r:id="rId6"/>
    <sheet xmlns:r="http://schemas.openxmlformats.org/officeDocument/2006/relationships" name="6_Base_Postest" sheetId="7" state="visible" r:id="rId7"/>
    <sheet xmlns:r="http://schemas.openxmlformats.org/officeDocument/2006/relationships" name="6b_Base_Completa" sheetId="8" state="visible" r:id="rId8"/>
    <sheet xmlns:r="http://schemas.openxmlformats.org/officeDocument/2006/relationships" name="7_ListaCotejo" sheetId="9" state="visible" r:id="rId9"/>
    <sheet xmlns:r="http://schemas.openxmlformats.org/officeDocument/2006/relationships" name="8_Acta" sheetId="10" state="visible" r:id="rId10"/>
    <sheet xmlns:r="http://schemas.openxmlformats.org/officeDocument/2006/relationships" name="Diccionario" sheetId="11" state="visible" r:id="rId11"/>
    <sheet xmlns:r="http://schemas.openxmlformats.org/officeDocument/2006/relationships" name="Lista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0.0%"/>
    <numFmt numFmtId="167" formatCode="hh:mm"/>
  </numFmts>
  <fonts count="19">
    <font>
      <name val="Calibri"/>
      <color theme="1"/>
      <sz val="11"/>
      <scheme val="minor"/>
    </font>
    <font>
      <name val="Arial"/>
      <b val="1"/>
      <color rgb="FF082154"/>
      <sz val="14"/>
    </font>
    <font>
      <name val="Calibri"/>
      <color theme="1"/>
      <sz val="11"/>
    </font>
    <font>
      <name val="Arial"/>
      <color rgb="FF5B6770"/>
      <sz val="10"/>
    </font>
    <font>
      <name val="Arial"/>
      <b val="1"/>
      <color rgb="FFFFFFFF"/>
      <sz val="11"/>
    </font>
    <font/>
    <font>
      <name val="Arial"/>
      <b val="1"/>
      <color rgb="FF082154"/>
      <sz val="10"/>
    </font>
    <font>
      <name val="Arial"/>
      <color rgb="FF0000FF"/>
      <sz val="10"/>
    </font>
    <font>
      <name val="Arial"/>
      <b val="1"/>
      <color rgb="FF222222"/>
      <sz val="10"/>
    </font>
    <font>
      <name val="Arial"/>
      <b val="1"/>
      <color rgb="FFFFFFFF"/>
      <sz val="10"/>
    </font>
    <font>
      <name val="Arial"/>
      <i val="1"/>
      <color rgb="FF5B6770"/>
      <sz val="9"/>
    </font>
    <font>
      <name val="Arial"/>
      <color rgb="FF222222"/>
      <sz val="10"/>
    </font>
    <font>
      <name val="Arial"/>
      <color rgb="FF008000"/>
      <sz val="10"/>
    </font>
    <font>
      <name val="Calibri"/>
      <color rgb="FF0000FF"/>
      <sz val="11"/>
    </font>
    <font>
      <name val="Calibri"/>
      <b val="1"/>
      <color rgb="FF002060"/>
      <sz val="13"/>
      <scheme val="minor"/>
    </font>
    <font>
      <name val="Calibri"/>
      <b val="1"/>
      <color rgb="FFFFFFFF"/>
      <scheme val="minor"/>
    </font>
    <font>
      <name val="Calibri"/>
      <color rgb="FF0000FF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2583C5"/>
        <bgColor rgb="FF2583C5"/>
      </patternFill>
    </fill>
    <fill>
      <patternFill patternType="solid">
        <fgColor rgb="FFEAF3FB"/>
        <bgColor rgb="FFEAF3FB"/>
      </patternFill>
    </fill>
    <fill>
      <patternFill patternType="solid">
        <fgColor rgb="FFFFF2CC"/>
        <bgColor rgb="FFFFF2CC"/>
      </patternFill>
    </fill>
    <fill>
      <patternFill patternType="solid">
        <fgColor rgb="FF082154"/>
        <bgColor rgb="FF082154"/>
      </patternFill>
    </fill>
    <fill>
      <patternFill patternType="solid">
        <fgColor rgb="FFF1F3F5"/>
        <bgColor rgb="FFF1F3F5"/>
      </patternFill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</border>
    <border>
      <right/>
      <top/>
      <bottom/>
    </border>
    <border>
      <left style="thin">
        <color rgb="FFC9D6E2"/>
      </left>
      <top style="thin">
        <color rgb="FFC9D6E2"/>
      </top>
      <bottom style="thin">
        <color rgb="FFC9D6E2"/>
      </bottom>
    </border>
    <border>
      <top style="thin">
        <color rgb="FFC9D6E2"/>
      </top>
      <bottom style="thin">
        <color rgb="FFC9D6E2"/>
      </bottom>
    </border>
    <border>
      <right style="thin">
        <color rgb="FFC9D6E2"/>
      </right>
      <top style="thin">
        <color rgb="FFC9D6E2"/>
      </top>
      <bottom style="thin">
        <color rgb="FFC9D6E2"/>
      </bottom>
    </border>
    <border>
      <left/>
      <right/>
      <top/>
      <bottom/>
    </border>
    <border>
      <bottom style="thin">
        <color rgb="FFBFBFBF"/>
      </bottom>
    </border>
    <border>
      <top style="thin">
        <color rgb="FFC9D6E2"/>
      </top>
    </border>
    <border>
      <right style="thin">
        <color rgb="FFC9D6E2"/>
      </right>
      <top style="thin">
        <color rgb="FFC9D6E2"/>
      </top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4" pivotButton="0" quotePrefix="0" xfId="0"/>
    <xf numFmtId="0" fontId="6" fillId="3" borderId="3" applyAlignment="1" pivotButton="0" quotePrefix="0" xfId="0">
      <alignment horizontal="left" vertical="center" wrapText="1"/>
    </xf>
    <xf numFmtId="0" fontId="7" fillId="4" borderId="5" applyAlignment="1" pivotButton="0" quotePrefix="0" xfId="0">
      <alignment vertical="top" wrapText="1"/>
    </xf>
    <xf numFmtId="0" fontId="5" fillId="0" borderId="6" pivotButton="0" quotePrefix="0" xfId="0"/>
    <xf numFmtId="0" fontId="5" fillId="0" borderId="7" pivotButton="0" quotePrefix="0" xfId="0"/>
    <xf numFmtId="0" fontId="7" fillId="4" borderId="5" applyAlignment="1" pivotButton="0" quotePrefix="0" xfId="0">
      <alignment horizontal="left" vertical="center" wrapText="1"/>
    </xf>
    <xf numFmtId="1" fontId="8" fillId="0" borderId="3" applyAlignment="1" pivotButton="0" quotePrefix="0" xfId="0">
      <alignment horizontal="center" vertical="center" wrapText="1"/>
    </xf>
    <xf numFmtId="9" fontId="7" fillId="4" borderId="3" applyAlignment="1" pivotButton="0" quotePrefix="0" xfId="0">
      <alignment horizontal="center" vertical="center" wrapText="1"/>
    </xf>
    <xf numFmtId="1" fontId="7" fillId="4" borderId="3" applyAlignment="1" pivotButton="0" quotePrefix="0" xfId="0">
      <alignment horizontal="center" vertical="center" wrapText="1"/>
    </xf>
    <xf numFmtId="164" fontId="7" fillId="4" borderId="3" applyAlignment="1" pivotButton="0" quotePrefix="0" xfId="0">
      <alignment horizontal="center" vertical="center" wrapText="1"/>
    </xf>
    <xf numFmtId="165" fontId="7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7" fillId="4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vertical="bottom"/>
    </xf>
    <xf numFmtId="0" fontId="11" fillId="0" borderId="3" applyAlignment="1" pivotButton="0" quotePrefix="0" xfId="0">
      <alignment vertical="top" wrapText="1"/>
    </xf>
    <xf numFmtId="0" fontId="7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bottom"/>
    </xf>
    <xf numFmtId="0" fontId="12" fillId="0" borderId="3" applyAlignment="1" pivotButton="0" quotePrefix="0" xfId="0">
      <alignment vertical="bottom"/>
    </xf>
    <xf numFmtId="0" fontId="6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vertical="top" wrapText="1"/>
    </xf>
    <xf numFmtId="1" fontId="11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7" fillId="0" borderId="3" applyAlignment="1" pivotButton="0" quotePrefix="0" xfId="0">
      <alignment vertical="top" wrapText="1"/>
    </xf>
    <xf numFmtId="1" fontId="11" fillId="0" borderId="3" applyAlignment="1" pivotButton="0" quotePrefix="0" xfId="0">
      <alignment horizontal="center" vertical="center" wrapText="1"/>
    </xf>
    <xf numFmtId="164" fontId="11" fillId="0" borderId="3" applyAlignment="1" pivotButton="0" quotePrefix="0" xfId="0">
      <alignment horizontal="center" vertical="center" wrapText="1"/>
    </xf>
    <xf numFmtId="9" fontId="12" fillId="0" borderId="3" applyAlignment="1" pivotButton="0" quotePrefix="0" xfId="0">
      <alignment horizontal="center" vertical="center" wrapText="1"/>
    </xf>
    <xf numFmtId="166" fontId="8" fillId="0" borderId="3" applyAlignment="1" pivotButton="0" quotePrefix="0" xfId="0">
      <alignment horizontal="center" vertical="center" wrapText="1"/>
    </xf>
    <xf numFmtId="166" fontId="11" fillId="0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vertical="top" wrapText="1"/>
    </xf>
    <xf numFmtId="0" fontId="9" fillId="5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8" fillId="3" borderId="3" applyAlignment="1" pivotButton="0" quotePrefix="0" xfId="0">
      <alignment vertical="top" wrapText="1"/>
    </xf>
    <xf numFmtId="0" fontId="6" fillId="3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3" borderId="3" applyAlignment="1" pivotButton="0" quotePrefix="0" xfId="0">
      <alignment vertical="top" wrapText="1"/>
    </xf>
    <xf numFmtId="0" fontId="8" fillId="6" borderId="3" applyAlignment="1" pivotButton="0" quotePrefix="0" xfId="0">
      <alignment vertical="top" wrapText="1"/>
    </xf>
    <xf numFmtId="167" fontId="7" fillId="4" borderId="3" applyAlignment="1" pivotButton="0" quotePrefix="0" xfId="0">
      <alignment horizontal="center" vertical="center" wrapText="1"/>
    </xf>
    <xf numFmtId="0" fontId="4" fillId="2" borderId="8" applyAlignment="1" pivotButton="0" quotePrefix="0" xfId="0">
      <alignment vertical="bottom"/>
    </xf>
    <xf numFmtId="0" fontId="2" fillId="2" borderId="8" applyAlignment="1" pivotButton="0" quotePrefix="0" xfId="0">
      <alignment vertical="bottom"/>
    </xf>
    <xf numFmtId="165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2" fontId="11" fillId="0" borderId="3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5" fillId="7" borderId="8" applyAlignment="1" pivotButton="0" quotePrefix="0" xfId="0">
      <alignment horizontal="center" vertical="center" wrapText="1"/>
    </xf>
    <xf numFmtId="0" fontId="16" fillId="0" borderId="9" pivotButton="0" quotePrefix="0" xfId="0"/>
    <xf numFmtId="0" fontId="2" fillId="0" borderId="9" pivotButton="0" quotePrefix="0" xfId="0"/>
    <xf numFmtId="0" fontId="12" fillId="0" borderId="5" applyAlignment="1" pivotButton="0" quotePrefix="0" xfId="0">
      <alignment horizontal="left" vertical="center" wrapText="1"/>
    </xf>
    <xf numFmtId="0" fontId="17" fillId="0" borderId="0" pivotButton="0" quotePrefix="0" xfId="0"/>
    <xf numFmtId="0" fontId="15" fillId="7" borderId="8" pivotButton="0" quotePrefix="0" xfId="0"/>
    <xf numFmtId="0" fontId="18" fillId="0" borderId="0" pivotButton="0" quotePrefix="0" xfId="0"/>
    <xf numFmtId="2" fontId="2" fillId="0" borderId="0" pivotButton="0" quotePrefix="0" xfId="0"/>
    <xf numFmtId="0" fontId="16" fillId="4" borderId="3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6" fillId="0" borderId="0" applyAlignment="1" pivotButton="0" quotePrefix="0" xfId="0">
      <alignment vertical="bottom"/>
    </xf>
    <xf numFmtId="0" fontId="0" fillId="0" borderId="0" pivotButton="0" quotePrefix="0" xfId="0"/>
    <xf numFmtId="0" fontId="4" fillId="2" borderId="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2" fillId="0" borderId="3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Adherencia semanal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Adherencia</v>
          </tx>
          <spPr>
            <a:solidFill xmlns:a="http://schemas.openxmlformats.org/drawingml/2006/main">
              <a:srgbClr val="2583C5"/>
            </a:solidFill>
            <a:ln xmlns:a="http://schemas.openxmlformats.org/drawingml/2006/main" cmpd="sng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'1_Periodo'!$B$18:$B$25</f>
            </strRef>
          </cat>
          <val>
            <numRef>
              <f>'1_Periodo'!$E$18:$E$25</f>
              <numCache/>
            </numRef>
          </val>
        </ser>
        <gapWidth val="150"/>
        <axId val="1603696991"/>
        <axId val="1804520478"/>
      </barChart>
      <catAx>
        <axId val="16036969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04520478"/>
        <lblOffset val="100"/>
      </catAx>
      <valAx>
        <axId val="1804520478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Adherencia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603696991"/>
        <majorUnit val="0.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Participantes evaluados por grupo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Pretest (n)</v>
          </tx>
          <spPr>
            <a:solidFill xmlns:a="http://schemas.openxmlformats.org/drawingml/2006/main">
              <a:srgbClr val="7A8C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'3_Mortalidad'!$L$6:$L$7</f>
            </strRef>
          </cat>
          <val>
            <numRef>
              <f>'3_Mortalidad'!$M$6:$M$7</f>
              <numCache/>
            </numRef>
          </val>
        </ser>
        <ser>
          <idx val="1"/>
          <order val="1"/>
          <tx>
            <v>Postest (n)</v>
          </tx>
          <spPr>
            <a:solidFill xmlns:a="http://schemas.openxmlformats.org/drawingml/2006/main">
              <a:srgbClr val="2583C5"/>
            </a:solidFill>
            <a:ln xmlns:a="http://schemas.openxmlformats.org/drawingml/2006/main" cmpd="sng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'3_Mortalidad'!$L$6:$L$7</f>
            </strRef>
          </cat>
          <val>
            <numRef>
              <f>'3_Mortalidad'!$N$6:$N$7</f>
              <numCache/>
            </numRef>
          </val>
        </ser>
        <gapWidth val="150"/>
        <axId val="201357003"/>
        <axId val="1626002691"/>
      </barChart>
      <catAx>
        <axId val="20135700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626002691"/>
        <lblOffset val="100"/>
      </catAx>
      <valAx>
        <axId val="1626002691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0135700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12</row>
      <rowOff>200025</rowOff>
    </from>
    <ext cx="4457700" cy="2695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7</row>
      <rowOff>152400</rowOff>
    </from>
    <ext cx="4095750" cy="27146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67" min="1" max="1"/>
    <col width="38" customWidth="1" style="67" min="2" max="2"/>
    <col width="16" customWidth="1" style="67" min="3" max="3"/>
    <col width="53.29" customWidth="1" style="67" min="4" max="4"/>
    <col width="20" customWidth="1" style="67" min="5" max="5"/>
    <col width="30" customWidth="1" style="67" min="6" max="6"/>
    <col width="8.710000000000001" customWidth="1" style="67" min="7" max="26"/>
  </cols>
  <sheetData>
    <row r="1" ht="17.25" customHeight="1" s="67">
      <c r="A1" s="1" t="inlineStr">
        <is>
          <t>Cuaderno de registros · Sesión 7 · Cierre de la intervención y aplicación del postest</t>
        </is>
      </c>
      <c r="B1" s="2" t="n"/>
      <c r="C1" s="2" t="n"/>
      <c r="D1" s="2" t="n"/>
      <c r="E1" s="2" t="n"/>
      <c r="F1" s="2" t="n"/>
    </row>
    <row r="2" ht="15" customHeight="1" s="67">
      <c r="A2" s="3" t="inlineStr">
        <is>
          <t>Seminario de Tesis III · 2026-II · Programa Académico de Ingeniería de Sistemas e Informática · Universidad de Huánuco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21.75" customHeight="1" s="67">
      <c r="A4" s="68" t="inlineStr">
        <is>
          <t>Datos de la tesis (complete las celdas amarillas)</t>
        </is>
      </c>
    </row>
    <row r="5" ht="30" customHeight="1" s="67">
      <c r="A5" s="2" t="n"/>
      <c r="B5" s="7" t="inlineStr">
        <is>
          <t>Título de la tesis</t>
        </is>
      </c>
      <c r="C5" s="36" t="inlineStr">
        <is>
          <t>Aplicación multiplataforma de búsqueda semántica conversacional y su influencia en la experiencia de los lectores de Tu Diario Huánuco, 2026</t>
        </is>
      </c>
      <c r="D5" s="69" t="n"/>
      <c r="E5" s="69" t="n"/>
      <c r="F5" s="70" t="n"/>
    </row>
    <row r="6" ht="19.5" customHeight="1" s="67">
      <c r="A6" s="2" t="n"/>
      <c r="B6" s="7" t="inlineStr">
        <is>
          <t>Tesista</t>
        </is>
      </c>
      <c r="C6" s="19" t="inlineStr">
        <is>
          <t>Trujillo Ávila, Marcel Alexander Javier; Godoy Condezo, Alejandro Jeanpier</t>
        </is>
      </c>
      <c r="D6" s="69" t="n"/>
      <c r="E6" s="69" t="n"/>
      <c r="F6" s="70" t="n"/>
    </row>
    <row r="7" ht="19.5" customHeight="1" s="67">
      <c r="A7" s="2" t="n"/>
      <c r="B7" s="7" t="inlineStr">
        <is>
          <t>Asesor(a) de tesis</t>
        </is>
      </c>
      <c r="C7" s="19" t="inlineStr">
        <is>
          <t>Rodríguez Meléndez, Fabio</t>
        </is>
      </c>
      <c r="D7" s="69" t="n"/>
      <c r="E7" s="69" t="n"/>
      <c r="F7" s="70" t="n"/>
    </row>
    <row r="8" ht="19.5" customHeight="1" s="67">
      <c r="A8" s="2" t="n"/>
      <c r="B8" s="7" t="inlineStr">
        <is>
          <t>Institución donde se ejecuta</t>
        </is>
      </c>
      <c r="C8" s="19" t="inlineStr">
        <is>
          <t>Imprenta Editorial LS &amp; JB S.A.C. (Tu Diario Huánuco), Huánuco</t>
        </is>
      </c>
      <c r="D8" s="69" t="n"/>
      <c r="E8" s="69" t="n"/>
      <c r="F8" s="70" t="n"/>
    </row>
    <row r="9" ht="19.5" customHeight="1" s="67">
      <c r="A9" s="2" t="n"/>
      <c r="B9" s="7" t="inlineStr">
        <is>
          <t>Diseño de investigación</t>
        </is>
      </c>
      <c r="C9" s="19" t="inlineStr">
        <is>
          <t>Preexperimental (G: O₁ X O₂)</t>
        </is>
      </c>
      <c r="D9" s="69" t="n"/>
      <c r="E9" s="69" t="n"/>
      <c r="F9" s="70" t="n"/>
    </row>
    <row r="10" ht="19.5" customHeight="1" s="67">
      <c r="A10" s="2" t="n"/>
      <c r="B10" s="7" t="inlineStr">
        <is>
          <t>Variable dependiente e indicador</t>
        </is>
      </c>
      <c r="C10" s="36" t="inlineStr">
        <is>
          <t>Experiencia de los lectores: usabilidad percibida (puntaje SUS); se registran además tiempo de búsqueda, clics y satisfacción (hoja 6b). El puntaje SUS del postest en la hoja 6 es simulado; no es O2 de campo.</t>
        </is>
      </c>
      <c r="D10" s="69" t="n"/>
      <c r="E10" s="69" t="n"/>
      <c r="F10" s="70" t="n"/>
    </row>
    <row r="11" ht="19.5" customHeight="1" s="67">
      <c r="A11" s="2" t="n"/>
      <c r="B11" s="7" t="inlineStr">
        <is>
          <t>Unidad de medida de la VD</t>
        </is>
      </c>
      <c r="C11" s="19" t="inlineStr">
        <is>
          <t>Puntos SUS (0 a 100)</t>
        </is>
      </c>
      <c r="D11" s="69" t="n"/>
      <c r="E11" s="69" t="n"/>
      <c r="F11" s="70" t="n"/>
    </row>
    <row r="12" ht="19.5" customHeight="1" s="67">
      <c r="A12" s="2" t="n"/>
      <c r="B12" s="7" t="inlineStr">
        <is>
          <t>Instrumento de medición y versión</t>
        </is>
      </c>
      <c r="C12" s="36" t="inlineStr">
        <is>
          <t>Cuestionario SUS, cuestionario de satisfacción y ficha de tiempos y clics (versión validada, octubre 2026)</t>
        </is>
      </c>
      <c r="D12" s="69" t="n"/>
      <c r="E12" s="69" t="n"/>
      <c r="F12" s="70" t="n"/>
    </row>
    <row r="13">
      <c r="A13" s="2" t="n"/>
      <c r="B13" s="2" t="n"/>
      <c r="C13" s="2" t="n"/>
      <c r="D13" s="2" t="n"/>
      <c r="E13" s="2" t="n"/>
      <c r="F13" s="2" t="n"/>
    </row>
    <row r="14" ht="21.75" customHeight="1" s="67">
      <c r="A14" s="68" t="inlineStr">
        <is>
          <t>Parámetros del protocolo</t>
        </is>
      </c>
    </row>
    <row r="15" ht="15" customHeight="1" s="67">
      <c r="A15" s="2" t="n"/>
      <c r="B15" s="7" t="inlineStr">
        <is>
          <t>Umbral mínimo de adherencia</t>
        </is>
      </c>
      <c r="C15" s="13" t="n">
        <v>0.8</v>
      </c>
      <c r="D15" s="2" t="n"/>
      <c r="E15" s="2" t="n"/>
      <c r="F15" s="2" t="n"/>
    </row>
    <row r="16" ht="15" customHeight="1" s="67">
      <c r="A16" s="2" t="n"/>
      <c r="B16" s="7" t="inlineStr">
        <is>
          <t>Umbral mínimo de fidelidad</t>
        </is>
      </c>
      <c r="C16" s="13" t="n">
        <v>0.8</v>
      </c>
      <c r="D16" s="2" t="n"/>
      <c r="E16" s="2" t="n"/>
      <c r="F16" s="2" t="n"/>
    </row>
    <row r="17" ht="23.25" customHeight="1" s="67">
      <c r="A17" s="2" t="n"/>
      <c r="B17" s="7" t="inlineStr">
        <is>
          <t>Ventana del postest (días hábiles tras el cierre)</t>
        </is>
      </c>
      <c r="C17" s="14" t="n">
        <v>5</v>
      </c>
      <c r="D17" s="2" t="n"/>
      <c r="E17" s="2" t="n"/>
      <c r="F17" s="2" t="n"/>
    </row>
    <row r="18" ht="15" customHeight="1" s="67">
      <c r="A18" s="2" t="n"/>
      <c r="B18" s="7" t="inlineStr">
        <is>
          <t>Rango válido de la VD: valor mínimo</t>
        </is>
      </c>
      <c r="C18" s="15" t="n">
        <v>0</v>
      </c>
      <c r="D18" s="2" t="n"/>
      <c r="E18" s="2" t="n"/>
      <c r="F18" s="2" t="n"/>
    </row>
    <row r="19" ht="15" customHeight="1" s="67">
      <c r="A19" s="2" t="n"/>
      <c r="B19" s="7" t="inlineStr">
        <is>
          <t>Rango válido de la VD: valor máximo</t>
        </is>
      </c>
      <c r="C19" s="15" t="n">
        <v>100</v>
      </c>
      <c r="D19" s="2" t="n"/>
      <c r="E19" s="2" t="n"/>
      <c r="F19" s="2" t="n"/>
    </row>
    <row r="20" ht="15" customHeight="1" s="67">
      <c r="A20" s="2" t="n"/>
      <c r="B20" s="7" t="inlineStr">
        <is>
          <t>Fecha de inicio prevista del postest</t>
        </is>
      </c>
      <c r="C20" s="16" t="n">
        <v>46321</v>
      </c>
      <c r="D20" s="2" t="n"/>
      <c r="E20" s="2" t="n"/>
      <c r="F20" s="2" t="n"/>
    </row>
    <row r="21" ht="15" customHeight="1" s="67">
      <c r="A21" s="2" t="n"/>
      <c r="B21" s="7" t="inlineStr">
        <is>
          <t>Fecha de fin prevista del postest</t>
        </is>
      </c>
      <c r="C21" s="16" t="n">
        <v>46326</v>
      </c>
      <c r="D21" s="2" t="n"/>
      <c r="E21" s="2" t="n"/>
      <c r="F21" s="2" t="n"/>
    </row>
    <row r="22" ht="32.25" customHeight="1" s="67">
      <c r="A22" s="2" t="n"/>
      <c r="B22" s="18" t="inlineStr">
        <is>
          <t>Los umbrales provienen del protocolo de ejecución de la tesis (Sesión 01): uso libre durante 7 días con al menos 3 días con sesiones de consulta.</t>
        </is>
      </c>
      <c r="C22" s="2" t="n"/>
      <c r="D22" s="2" t="n"/>
      <c r="E22" s="2" t="n"/>
      <c r="F22" s="2" t="n"/>
    </row>
    <row r="23" ht="15.75" customHeight="1" s="67">
      <c r="A23" s="2" t="n"/>
      <c r="B23" s="2" t="n"/>
      <c r="C23" s="2" t="n"/>
      <c r="D23" s="2" t="n"/>
      <c r="E23" s="2" t="n"/>
      <c r="F23" s="2" t="n"/>
    </row>
    <row r="24" ht="21.75" customHeight="1" s="67">
      <c r="A24" s="68" t="inlineStr">
        <is>
          <t>Leyenda</t>
        </is>
      </c>
    </row>
    <row r="25" ht="23.25" customHeight="1" s="67">
      <c r="A25" s="2" t="n"/>
      <c r="B25" s="20" t="inlineStr">
        <is>
          <t>Celda amarilla con texto azul</t>
        </is>
      </c>
      <c r="C25" s="21" t="inlineStr">
        <is>
          <t>Dato que completa el tesista.</t>
        </is>
      </c>
      <c r="D25" s="2" t="n"/>
      <c r="E25" s="2" t="n"/>
      <c r="F25" s="2" t="n"/>
    </row>
    <row r="26" ht="23.25" customHeight="1" s="67">
      <c r="A26" s="2" t="n"/>
      <c r="B26" s="23" t="inlineStr">
        <is>
          <t>Texto negro sobre fondo blanco</t>
        </is>
      </c>
      <c r="C26" s="21" t="inlineStr">
        <is>
          <t>Fórmula: no editar (se recalcula sola).</t>
        </is>
      </c>
      <c r="D26" s="2" t="n"/>
      <c r="E26" s="2" t="n"/>
      <c r="F26" s="2" t="n"/>
    </row>
    <row r="27" ht="23.25" customHeight="1" s="67">
      <c r="A27" s="2" t="n"/>
      <c r="B27" s="24" t="inlineStr">
        <is>
          <t>Texto verde</t>
        </is>
      </c>
      <c r="C27" s="21" t="inlineStr">
        <is>
          <t>Enlace a otra hoja del cuaderno.</t>
        </is>
      </c>
      <c r="D27" s="2" t="n"/>
      <c r="E27" s="2" t="n"/>
      <c r="F27" s="2" t="n"/>
    </row>
    <row r="28" ht="42.75" customHeight="1" s="67">
      <c r="A28" s="2" t="n"/>
      <c r="B28" s="18" t="inlineStr">
        <is>
          <t>Registros del grupo único (G): 114 lectores con pretest, códigos GU-TDH-###. Solo códigos: nunca nombres ni DNI. Datos simulados por indicación de la docente del curso (ejercicio de Seminario de Tesis III).</t>
        </is>
      </c>
      <c r="C28" s="2" t="n"/>
      <c r="D28" s="2" t="n"/>
      <c r="E28" s="2" t="n"/>
      <c r="F28" s="2" t="n"/>
    </row>
    <row r="29" ht="15.75" customHeight="1" s="67">
      <c r="A29" s="2" t="n"/>
      <c r="B29" s="2" t="n"/>
      <c r="C29" s="2" t="n"/>
      <c r="D29" s="2" t="n"/>
      <c r="E29" s="2" t="n"/>
      <c r="F29" s="2" t="n"/>
    </row>
    <row r="30" ht="21.75" customHeight="1" s="67">
      <c r="A30" s="68" t="inlineStr">
        <is>
          <t>Hojas del cuaderno y paso del protocolo al que corresponden</t>
        </is>
      </c>
    </row>
    <row r="31" ht="30" customHeight="1" s="67">
      <c r="A31" s="2" t="n"/>
      <c r="B31" s="17" t="inlineStr">
        <is>
          <t>Hoja</t>
        </is>
      </c>
      <c r="C31" s="17" t="inlineStr">
        <is>
          <t>Paso</t>
        </is>
      </c>
      <c r="D31" s="17" t="inlineStr">
        <is>
          <t>Qué registra o calcula</t>
        </is>
      </c>
      <c r="E31" s="2" t="n"/>
      <c r="F31" s="2" t="n"/>
    </row>
    <row r="32" ht="30" customHeight="1" s="67">
      <c r="A32" s="2" t="n"/>
      <c r="B32" s="25" t="inlineStr">
        <is>
          <t>1_Periodo</t>
        </is>
      </c>
      <c r="C32" s="26" t="inlineStr">
        <is>
          <t>Paso 1</t>
        </is>
      </c>
      <c r="D32" s="21" t="inlineStr">
        <is>
          <t>Programado frente a ejecutado; adherencia acumulada y semanal (con gráfico); fidelidad; decisión de cierre.</t>
        </is>
      </c>
      <c r="E32" s="69" t="n"/>
      <c r="F32" s="70" t="n"/>
    </row>
    <row r="33" ht="30" customHeight="1" s="67">
      <c r="A33" s="2" t="n"/>
      <c r="B33" s="25" t="inlineStr">
        <is>
          <t>2_Participantes</t>
        </is>
      </c>
      <c r="C33" s="26" t="inlineStr">
        <is>
          <t>Pasos 2 y 5</t>
        </is>
      </c>
      <c r="D33" s="21" t="inlineStr">
        <is>
          <t>Registro de control de participantes: pretest, estado al cierre, convocatoria, confirmación y postest por código.</t>
        </is>
      </c>
      <c r="E33" s="69" t="n"/>
      <c r="F33" s="70" t="n"/>
    </row>
    <row r="34" ht="30" customHeight="1" s="67">
      <c r="A34" s="2" t="n"/>
      <c r="B34" s="25" t="inlineStr">
        <is>
          <t>3_Mortalidad</t>
        </is>
      </c>
      <c r="C34" s="26" t="inlineStr">
        <is>
          <t>Paso 5</t>
        </is>
      </c>
      <c r="D34" s="21" t="inlineStr">
        <is>
          <t>Mortalidad experimental por grupo, pérdida total, diferencial GE–GC, motivos y flujo de participantes (con gráfico).</t>
        </is>
      </c>
      <c r="E34" s="69" t="n"/>
      <c r="F34" s="70" t="n"/>
    </row>
    <row r="35" ht="30" customHeight="1" s="67">
      <c r="A35" s="2" t="n"/>
      <c r="B35" s="25" t="inlineStr">
        <is>
          <t>4_Equivalencia</t>
        </is>
      </c>
      <c r="C35" s="26" t="inlineStr">
        <is>
          <t>Paso 3</t>
        </is>
      </c>
      <c r="D35" s="21" t="inlineStr">
        <is>
          <t>Lista de cotejo de equivalencia de condiciones pretest–postest (12 condiciones).</t>
        </is>
      </c>
      <c r="E35" s="69" t="n"/>
      <c r="F35" s="70" t="n"/>
    </row>
    <row r="36" ht="30" customHeight="1" s="67">
      <c r="A36" s="2" t="n"/>
      <c r="B36" s="25" t="inlineStr">
        <is>
          <t>5_Incidencias</t>
        </is>
      </c>
      <c r="C36" s="26" t="inlineStr">
        <is>
          <t>Paso 5</t>
        </is>
      </c>
      <c r="D36" s="21" t="inlineStr">
        <is>
          <t>Registro de incidencias del cierre y del postest, con resumen por tipo y estado.</t>
        </is>
      </c>
      <c r="E36" s="69" t="n"/>
      <c r="F36" s="70" t="n"/>
    </row>
    <row r="37" ht="30" customHeight="1" s="67">
      <c r="A37" s="2" t="n"/>
      <c r="B37" s="25" t="inlineStr">
        <is>
          <t>6_Base_Postest</t>
        </is>
      </c>
      <c r="C37" s="26" t="inlineStr">
        <is>
          <t>Paso 6</t>
        </is>
      </c>
      <c r="D37" s="21" t="inlineStr">
        <is>
          <t>Base consolidada pretest–postest por código, verificación de correspondencia, calidad y descriptivos.</t>
        </is>
      </c>
      <c r="E37" s="69" t="n"/>
      <c r="F37" s="70" t="n"/>
    </row>
    <row r="38" ht="30" customHeight="1" s="67">
      <c r="A38" s="2" t="n"/>
      <c r="B38" s="25" t="inlineStr">
        <is>
          <t>7_ListaCotejo</t>
        </is>
      </c>
      <c r="C38" s="26" t="inlineStr">
        <is>
          <t>Paso 4</t>
        </is>
      </c>
      <c r="D38" s="21" t="inlineStr">
        <is>
          <t>Lista de cotejo de aplicación del postest (12 ítems) con resultado automático.</t>
        </is>
      </c>
      <c r="E38" s="69" t="n"/>
      <c r="F38" s="70" t="n"/>
    </row>
    <row r="39" ht="30" customHeight="1" s="67">
      <c r="A39" s="2" t="n"/>
      <c r="B39" s="25" t="inlineStr">
        <is>
          <t>8_Acta</t>
        </is>
      </c>
      <c r="C39" s="26" t="inlineStr">
        <is>
          <t>Paso 6</t>
        </is>
      </c>
      <c r="D39" s="21" t="inlineStr">
        <is>
          <t>Acta de cierre de la intervención, con los datos calculados en las demás hojas.</t>
        </is>
      </c>
      <c r="E39" s="69" t="n"/>
      <c r="F39" s="70" t="n"/>
    </row>
    <row r="40" ht="30" customHeight="1" s="67">
      <c r="A40" s="2" t="n"/>
      <c r="B40" s="25" t="inlineStr">
        <is>
          <t>Diccionario</t>
        </is>
      </c>
      <c r="C40" s="26" t="inlineStr">
        <is>
          <t>Paso 6</t>
        </is>
      </c>
      <c r="D40" s="21" t="inlineStr">
        <is>
          <t>Diccionario de variables de la base consolidada.</t>
        </is>
      </c>
      <c r="E40" s="69" t="n"/>
      <c r="F40" s="70" t="n"/>
    </row>
    <row r="41" ht="15.75" customHeight="1" s="67">
      <c r="A41" s="2" t="n"/>
      <c r="B41" s="2" t="n"/>
      <c r="C41" s="2" t="n"/>
      <c r="D41" s="2" t="n"/>
      <c r="E41" s="2" t="n"/>
      <c r="F41" s="2" t="n"/>
    </row>
    <row r="42" ht="15.75" customHeight="1" s="67">
      <c r="A42" s="2" t="n"/>
      <c r="B42" s="2" t="n"/>
      <c r="C42" s="2" t="n"/>
      <c r="D42" s="2" t="n"/>
      <c r="E42" s="2" t="n"/>
      <c r="F42" s="2" t="n"/>
    </row>
    <row r="43" ht="15.75" customHeight="1" s="67">
      <c r="A43" s="2" t="n"/>
      <c r="B43" s="2" t="n"/>
      <c r="C43" s="2" t="n"/>
      <c r="D43" s="2" t="n"/>
      <c r="E43" s="2" t="n"/>
      <c r="F43" s="2" t="n"/>
    </row>
    <row r="44" ht="15.75" customHeight="1" s="67">
      <c r="A44" s="2" t="n"/>
      <c r="B44" s="2" t="n"/>
      <c r="C44" s="2" t="n"/>
      <c r="D44" s="2" t="n"/>
      <c r="E44" s="2" t="n"/>
      <c r="F44" s="2" t="n"/>
    </row>
    <row r="45" ht="15.75" customHeight="1" s="67">
      <c r="A45" s="2" t="n"/>
      <c r="B45" s="2" t="n"/>
      <c r="C45" s="2" t="n"/>
      <c r="D45" s="2" t="n"/>
      <c r="E45" s="2" t="n"/>
      <c r="F45" s="2" t="n"/>
    </row>
    <row r="46" ht="15.75" customHeight="1" s="67">
      <c r="A46" s="2" t="n"/>
      <c r="B46" s="2" t="n"/>
      <c r="C46" s="2" t="n"/>
      <c r="D46" s="2" t="n"/>
      <c r="E46" s="2" t="n"/>
      <c r="F46" s="2" t="n"/>
    </row>
    <row r="47" ht="15.75" customHeight="1" s="67">
      <c r="A47" s="2" t="n"/>
      <c r="B47" s="2" t="n"/>
      <c r="C47" s="2" t="n"/>
      <c r="D47" s="2" t="n"/>
      <c r="E47" s="2" t="n"/>
      <c r="F47" s="2" t="n"/>
    </row>
    <row r="48" ht="15.75" customHeight="1" s="67">
      <c r="A48" s="2" t="n"/>
      <c r="B48" s="2" t="n"/>
      <c r="C48" s="2" t="n"/>
      <c r="D48" s="2" t="n"/>
      <c r="E48" s="2" t="n"/>
      <c r="F48" s="2" t="n"/>
    </row>
    <row r="49" ht="15.75" customHeight="1" s="67">
      <c r="A49" s="2" t="n"/>
      <c r="B49" s="2" t="n"/>
      <c r="C49" s="2" t="n"/>
      <c r="D49" s="2" t="n"/>
      <c r="E49" s="2" t="n"/>
      <c r="F49" s="2" t="n"/>
    </row>
    <row r="50" ht="15.75" customHeight="1" s="67">
      <c r="A50" s="2" t="n"/>
      <c r="B50" s="2" t="n"/>
      <c r="C50" s="2" t="n"/>
      <c r="D50" s="2" t="n"/>
      <c r="E50" s="2" t="n"/>
      <c r="F50" s="2" t="n"/>
    </row>
    <row r="51" ht="15.75" customHeight="1" s="67">
      <c r="A51" s="2" t="n"/>
      <c r="B51" s="2" t="n"/>
      <c r="C51" s="2" t="n"/>
      <c r="D51" s="2" t="n"/>
      <c r="E51" s="2" t="n"/>
      <c r="F51" s="2" t="n"/>
    </row>
    <row r="52" ht="15.75" customHeight="1" s="67">
      <c r="A52" s="2" t="n"/>
      <c r="B52" s="2" t="n"/>
      <c r="C52" s="2" t="n"/>
      <c r="D52" s="2" t="n"/>
      <c r="E52" s="2" t="n"/>
      <c r="F52" s="2" t="n"/>
    </row>
    <row r="53" ht="15.75" customHeight="1" s="67">
      <c r="A53" s="2" t="n"/>
      <c r="B53" s="2" t="n"/>
      <c r="C53" s="2" t="n"/>
      <c r="D53" s="2" t="n"/>
      <c r="E53" s="2" t="n"/>
      <c r="F53" s="2" t="n"/>
    </row>
    <row r="54" ht="15.75" customHeight="1" s="67">
      <c r="A54" s="2" t="n"/>
      <c r="B54" s="2" t="n"/>
      <c r="C54" s="2" t="n"/>
      <c r="D54" s="2" t="n"/>
      <c r="E54" s="2" t="n"/>
      <c r="F54" s="2" t="n"/>
    </row>
    <row r="55" ht="15.75" customHeight="1" s="67">
      <c r="A55" s="2" t="n"/>
      <c r="B55" s="2" t="n"/>
      <c r="C55" s="2" t="n"/>
      <c r="D55" s="2" t="n"/>
      <c r="E55" s="2" t="n"/>
      <c r="F55" s="2" t="n"/>
    </row>
    <row r="56" ht="15.75" customHeight="1" s="67">
      <c r="A56" s="2" t="n"/>
      <c r="B56" s="2" t="n"/>
      <c r="C56" s="2" t="n"/>
      <c r="D56" s="2" t="n"/>
      <c r="E56" s="2" t="n"/>
      <c r="F56" s="2" t="n"/>
    </row>
    <row r="57" ht="15.75" customHeight="1" s="67">
      <c r="A57" s="2" t="n"/>
      <c r="B57" s="2" t="n"/>
      <c r="C57" s="2" t="n"/>
      <c r="D57" s="2" t="n"/>
      <c r="E57" s="2" t="n"/>
      <c r="F57" s="2" t="n"/>
    </row>
    <row r="58" ht="15.75" customHeight="1" s="67">
      <c r="A58" s="2" t="n"/>
      <c r="B58" s="2" t="n"/>
      <c r="C58" s="2" t="n"/>
      <c r="D58" s="2" t="n"/>
      <c r="E58" s="2" t="n"/>
      <c r="F58" s="2" t="n"/>
    </row>
    <row r="59" ht="15.75" customHeight="1" s="67">
      <c r="A59" s="2" t="n"/>
      <c r="B59" s="2" t="n"/>
      <c r="C59" s="2" t="n"/>
      <c r="D59" s="2" t="n"/>
      <c r="E59" s="2" t="n"/>
      <c r="F59" s="2" t="n"/>
    </row>
    <row r="60" ht="15.75" customHeight="1" s="67">
      <c r="A60" s="2" t="n"/>
      <c r="B60" s="2" t="n"/>
      <c r="C60" s="2" t="n"/>
      <c r="D60" s="2" t="n"/>
      <c r="E60" s="2" t="n"/>
      <c r="F60" s="2" t="n"/>
    </row>
    <row r="61" ht="15.75" customHeight="1" s="67">
      <c r="A61" s="2" t="n"/>
      <c r="B61" s="2" t="n"/>
      <c r="C61" s="2" t="n"/>
      <c r="D61" s="2" t="n"/>
      <c r="E61" s="2" t="n"/>
      <c r="F61" s="2" t="n"/>
    </row>
    <row r="62" ht="15.75" customHeight="1" s="67">
      <c r="A62" s="2" t="n"/>
      <c r="B62" s="2" t="n"/>
      <c r="C62" s="2" t="n"/>
      <c r="D62" s="2" t="n"/>
      <c r="E62" s="2" t="n"/>
      <c r="F62" s="2" t="n"/>
    </row>
    <row r="63" ht="15.75" customHeight="1" s="67">
      <c r="A63" s="2" t="n"/>
      <c r="B63" s="2" t="n"/>
      <c r="C63" s="2" t="n"/>
      <c r="D63" s="2" t="n"/>
      <c r="E63" s="2" t="n"/>
      <c r="F63" s="2" t="n"/>
    </row>
    <row r="64" ht="15.75" customHeight="1" s="67">
      <c r="A64" s="2" t="n"/>
      <c r="B64" s="2" t="n"/>
      <c r="C64" s="2" t="n"/>
      <c r="D64" s="2" t="n"/>
      <c r="E64" s="2" t="n"/>
      <c r="F64" s="2" t="n"/>
    </row>
    <row r="65" ht="15.75" customHeight="1" s="67">
      <c r="A65" s="2" t="n"/>
      <c r="B65" s="2" t="n"/>
      <c r="C65" s="2" t="n"/>
      <c r="D65" s="2" t="n"/>
      <c r="E65" s="2" t="n"/>
      <c r="F65" s="2" t="n"/>
    </row>
    <row r="66" ht="15.75" customHeight="1" s="67">
      <c r="A66" s="2" t="n"/>
      <c r="B66" s="2" t="n"/>
      <c r="C66" s="2" t="n"/>
      <c r="D66" s="2" t="n"/>
      <c r="E66" s="2" t="n"/>
      <c r="F66" s="2" t="n"/>
    </row>
    <row r="67" ht="15.75" customHeight="1" s="67">
      <c r="A67" s="2" t="n"/>
      <c r="B67" s="2" t="n"/>
      <c r="C67" s="2" t="n"/>
      <c r="D67" s="2" t="n"/>
      <c r="E67" s="2" t="n"/>
      <c r="F67" s="2" t="n"/>
    </row>
    <row r="68" ht="15.75" customHeight="1" s="67">
      <c r="A68" s="2" t="n"/>
      <c r="B68" s="2" t="n"/>
      <c r="C68" s="2" t="n"/>
      <c r="D68" s="2" t="n"/>
      <c r="E68" s="2" t="n"/>
      <c r="F68" s="2" t="n"/>
    </row>
    <row r="69" ht="15.75" customHeight="1" s="67">
      <c r="A69" s="2" t="n"/>
      <c r="B69" s="2" t="n"/>
      <c r="C69" s="2" t="n"/>
      <c r="D69" s="2" t="n"/>
      <c r="E69" s="2" t="n"/>
      <c r="F69" s="2" t="n"/>
    </row>
    <row r="70" ht="15.75" customHeight="1" s="67">
      <c r="A70" s="2" t="n"/>
      <c r="B70" s="2" t="n"/>
      <c r="C70" s="2" t="n"/>
      <c r="D70" s="2" t="n"/>
      <c r="E70" s="2" t="n"/>
      <c r="F70" s="2" t="n"/>
    </row>
    <row r="71" ht="15.75" customHeight="1" s="67">
      <c r="A71" s="2" t="n"/>
      <c r="B71" s="2" t="n"/>
      <c r="C71" s="2" t="n"/>
      <c r="D71" s="2" t="n"/>
      <c r="E71" s="2" t="n"/>
      <c r="F71" s="2" t="n"/>
    </row>
    <row r="72" ht="15.75" customHeight="1" s="67">
      <c r="A72" s="2" t="n"/>
      <c r="B72" s="2" t="n"/>
      <c r="C72" s="2" t="n"/>
      <c r="D72" s="2" t="n"/>
      <c r="E72" s="2" t="n"/>
      <c r="F72" s="2" t="n"/>
    </row>
    <row r="73" ht="15.75" customHeight="1" s="67">
      <c r="A73" s="2" t="n"/>
      <c r="B73" s="2" t="n"/>
      <c r="C73" s="2" t="n"/>
      <c r="D73" s="2" t="n"/>
      <c r="E73" s="2" t="n"/>
      <c r="F73" s="2" t="n"/>
    </row>
    <row r="74" ht="15.75" customHeight="1" s="67">
      <c r="A74" s="2" t="n"/>
      <c r="B74" s="2" t="n"/>
      <c r="C74" s="2" t="n"/>
      <c r="D74" s="2" t="n"/>
      <c r="E74" s="2" t="n"/>
      <c r="F74" s="2" t="n"/>
    </row>
    <row r="75" ht="15.75" customHeight="1" s="67">
      <c r="A75" s="2" t="n"/>
      <c r="B75" s="2" t="n"/>
      <c r="C75" s="2" t="n"/>
      <c r="D75" s="2" t="n"/>
      <c r="E75" s="2" t="n"/>
      <c r="F75" s="2" t="n"/>
    </row>
    <row r="76" ht="15.75" customHeight="1" s="67">
      <c r="A76" s="2" t="n"/>
      <c r="B76" s="2" t="n"/>
      <c r="C76" s="2" t="n"/>
      <c r="D76" s="2" t="n"/>
      <c r="E76" s="2" t="n"/>
      <c r="F76" s="2" t="n"/>
    </row>
    <row r="77" ht="15.75" customHeight="1" s="67">
      <c r="A77" s="2" t="n"/>
      <c r="B77" s="2" t="n"/>
      <c r="C77" s="2" t="n"/>
      <c r="D77" s="2" t="n"/>
      <c r="E77" s="2" t="n"/>
      <c r="F77" s="2" t="n"/>
    </row>
    <row r="78" ht="15.75" customHeight="1" s="67">
      <c r="A78" s="2" t="n"/>
      <c r="B78" s="2" t="n"/>
      <c r="C78" s="2" t="n"/>
      <c r="D78" s="2" t="n"/>
      <c r="E78" s="2" t="n"/>
      <c r="F78" s="2" t="n"/>
    </row>
    <row r="79" ht="15.75" customHeight="1" s="67">
      <c r="A79" s="2" t="n"/>
      <c r="B79" s="2" t="n"/>
      <c r="C79" s="2" t="n"/>
      <c r="D79" s="2" t="n"/>
      <c r="E79" s="2" t="n"/>
      <c r="F79" s="2" t="n"/>
    </row>
    <row r="80" ht="15.75" customHeight="1" s="67">
      <c r="A80" s="2" t="n"/>
      <c r="B80" s="2" t="n"/>
      <c r="C80" s="2" t="n"/>
      <c r="D80" s="2" t="n"/>
      <c r="E80" s="2" t="n"/>
      <c r="F80" s="2" t="n"/>
    </row>
    <row r="81" ht="15.75" customHeight="1" s="67">
      <c r="A81" s="2" t="n"/>
      <c r="B81" s="2" t="n"/>
      <c r="C81" s="2" t="n"/>
      <c r="D81" s="2" t="n"/>
      <c r="E81" s="2" t="n"/>
      <c r="F81" s="2" t="n"/>
    </row>
    <row r="82" ht="15.75" customHeight="1" s="67">
      <c r="A82" s="2" t="n"/>
      <c r="B82" s="2" t="n"/>
      <c r="C82" s="2" t="n"/>
      <c r="D82" s="2" t="n"/>
      <c r="E82" s="2" t="n"/>
      <c r="F82" s="2" t="n"/>
    </row>
    <row r="83" ht="15.75" customHeight="1" s="67">
      <c r="A83" s="2" t="n"/>
      <c r="B83" s="2" t="n"/>
      <c r="C83" s="2" t="n"/>
      <c r="D83" s="2" t="n"/>
      <c r="E83" s="2" t="n"/>
      <c r="F83" s="2" t="n"/>
    </row>
    <row r="84" ht="15.75" customHeight="1" s="67">
      <c r="A84" s="2" t="n"/>
      <c r="B84" s="2" t="n"/>
      <c r="C84" s="2" t="n"/>
      <c r="D84" s="2" t="n"/>
      <c r="E84" s="2" t="n"/>
      <c r="F84" s="2" t="n"/>
    </row>
    <row r="85" ht="15.75" customHeight="1" s="67">
      <c r="A85" s="2" t="n"/>
      <c r="B85" s="2" t="n"/>
      <c r="C85" s="2" t="n"/>
      <c r="D85" s="2" t="n"/>
      <c r="E85" s="2" t="n"/>
      <c r="F85" s="2" t="n"/>
    </row>
    <row r="86" ht="15.75" customHeight="1" s="67">
      <c r="A86" s="2" t="n"/>
      <c r="B86" s="2" t="n"/>
      <c r="C86" s="2" t="n"/>
      <c r="D86" s="2" t="n"/>
      <c r="E86" s="2" t="n"/>
      <c r="F86" s="2" t="n"/>
    </row>
    <row r="87" ht="15.75" customHeight="1" s="67">
      <c r="A87" s="2" t="n"/>
      <c r="B87" s="2" t="n"/>
      <c r="C87" s="2" t="n"/>
      <c r="D87" s="2" t="n"/>
      <c r="E87" s="2" t="n"/>
      <c r="F87" s="2" t="n"/>
    </row>
    <row r="88" ht="15.75" customHeight="1" s="67">
      <c r="A88" s="2" t="n"/>
      <c r="B88" s="2" t="n"/>
      <c r="C88" s="2" t="n"/>
      <c r="D88" s="2" t="n"/>
      <c r="E88" s="2" t="n"/>
      <c r="F88" s="2" t="n"/>
    </row>
    <row r="89" ht="15.75" customHeight="1" s="67">
      <c r="A89" s="2" t="n"/>
      <c r="B89" s="2" t="n"/>
      <c r="C89" s="2" t="n"/>
      <c r="D89" s="2" t="n"/>
      <c r="E89" s="2" t="n"/>
      <c r="F89" s="2" t="n"/>
    </row>
    <row r="90" ht="15.75" customHeight="1" s="67">
      <c r="A90" s="2" t="n"/>
      <c r="B90" s="2" t="n"/>
      <c r="C90" s="2" t="n"/>
      <c r="D90" s="2" t="n"/>
      <c r="E90" s="2" t="n"/>
      <c r="F90" s="2" t="n"/>
    </row>
    <row r="91" ht="15.75" customHeight="1" s="67">
      <c r="A91" s="2" t="n"/>
      <c r="B91" s="2" t="n"/>
      <c r="C91" s="2" t="n"/>
      <c r="D91" s="2" t="n"/>
      <c r="E91" s="2" t="n"/>
      <c r="F91" s="2" t="n"/>
    </row>
    <row r="92" ht="15.75" customHeight="1" s="67">
      <c r="A92" s="2" t="n"/>
      <c r="B92" s="2" t="n"/>
      <c r="C92" s="2" t="n"/>
      <c r="D92" s="2" t="n"/>
      <c r="E92" s="2" t="n"/>
      <c r="F92" s="2" t="n"/>
    </row>
    <row r="93" ht="15.75" customHeight="1" s="67">
      <c r="A93" s="2" t="n"/>
      <c r="B93" s="2" t="n"/>
      <c r="C93" s="2" t="n"/>
      <c r="D93" s="2" t="n"/>
      <c r="E93" s="2" t="n"/>
      <c r="F93" s="2" t="n"/>
    </row>
    <row r="94" ht="15.75" customHeight="1" s="67">
      <c r="A94" s="2" t="n"/>
      <c r="B94" s="2" t="n"/>
      <c r="C94" s="2" t="n"/>
      <c r="D94" s="2" t="n"/>
      <c r="E94" s="2" t="n"/>
      <c r="F94" s="2" t="n"/>
    </row>
    <row r="95" ht="15.75" customHeight="1" s="67">
      <c r="A95" s="2" t="n"/>
      <c r="B95" s="2" t="n"/>
      <c r="C95" s="2" t="n"/>
      <c r="D95" s="2" t="n"/>
      <c r="E95" s="2" t="n"/>
      <c r="F95" s="2" t="n"/>
    </row>
    <row r="96" ht="15.75" customHeight="1" s="67">
      <c r="A96" s="2" t="n"/>
      <c r="B96" s="2" t="n"/>
      <c r="C96" s="2" t="n"/>
      <c r="D96" s="2" t="n"/>
      <c r="E96" s="2" t="n"/>
      <c r="F96" s="2" t="n"/>
    </row>
    <row r="97" ht="15.75" customHeight="1" s="67">
      <c r="A97" s="2" t="n"/>
      <c r="B97" s="2" t="n"/>
      <c r="C97" s="2" t="n"/>
      <c r="D97" s="2" t="n"/>
      <c r="E97" s="2" t="n"/>
      <c r="F97" s="2" t="n"/>
    </row>
    <row r="98" ht="15.75" customHeight="1" s="67">
      <c r="A98" s="2" t="n"/>
      <c r="B98" s="2" t="n"/>
      <c r="C98" s="2" t="n"/>
      <c r="D98" s="2" t="n"/>
      <c r="E98" s="2" t="n"/>
      <c r="F98" s="2" t="n"/>
    </row>
    <row r="99" ht="15.75" customHeight="1" s="67">
      <c r="A99" s="2" t="n"/>
      <c r="B99" s="2" t="n"/>
      <c r="C99" s="2" t="n"/>
      <c r="D99" s="2" t="n"/>
      <c r="E99" s="2" t="n"/>
      <c r="F99" s="2" t="n"/>
    </row>
    <row r="100" ht="15.75" customHeight="1" s="67">
      <c r="A100" s="2" t="n"/>
      <c r="B100" s="2" t="n"/>
      <c r="C100" s="2" t="n"/>
      <c r="D100" s="2" t="n"/>
      <c r="E100" s="2" t="n"/>
      <c r="F100" s="2" t="n"/>
    </row>
    <row r="101" ht="15.75" customHeight="1" s="67">
      <c r="A101" s="2" t="n"/>
      <c r="B101" s="2" t="n"/>
      <c r="C101" s="2" t="n"/>
      <c r="D101" s="2" t="n"/>
      <c r="E101" s="2" t="n"/>
      <c r="F101" s="2" t="n"/>
    </row>
    <row r="102" ht="15.75" customHeight="1" s="67">
      <c r="A102" s="2" t="n"/>
      <c r="B102" s="2" t="n"/>
      <c r="C102" s="2" t="n"/>
      <c r="D102" s="2" t="n"/>
      <c r="E102" s="2" t="n"/>
      <c r="F102" s="2" t="n"/>
    </row>
    <row r="103" ht="15.75" customHeight="1" s="67">
      <c r="A103" s="2" t="n"/>
      <c r="B103" s="2" t="n"/>
      <c r="C103" s="2" t="n"/>
      <c r="D103" s="2" t="n"/>
      <c r="E103" s="2" t="n"/>
      <c r="F103" s="2" t="n"/>
    </row>
    <row r="104" ht="15.75" customHeight="1" s="67">
      <c r="A104" s="2" t="n"/>
      <c r="B104" s="2" t="n"/>
      <c r="C104" s="2" t="n"/>
      <c r="D104" s="2" t="n"/>
      <c r="E104" s="2" t="n"/>
      <c r="F104" s="2" t="n"/>
    </row>
    <row r="105" ht="15.75" customHeight="1" s="67">
      <c r="A105" s="2" t="n"/>
      <c r="B105" s="2" t="n"/>
      <c r="C105" s="2" t="n"/>
      <c r="D105" s="2" t="n"/>
      <c r="E105" s="2" t="n"/>
      <c r="F105" s="2" t="n"/>
    </row>
    <row r="106" ht="15.75" customHeight="1" s="67">
      <c r="A106" s="2" t="n"/>
      <c r="B106" s="2" t="n"/>
      <c r="C106" s="2" t="n"/>
      <c r="D106" s="2" t="n"/>
      <c r="E106" s="2" t="n"/>
      <c r="F106" s="2" t="n"/>
    </row>
    <row r="107" ht="15.75" customHeight="1" s="67">
      <c r="A107" s="2" t="n"/>
      <c r="B107" s="2" t="n"/>
      <c r="C107" s="2" t="n"/>
      <c r="D107" s="2" t="n"/>
      <c r="E107" s="2" t="n"/>
      <c r="F107" s="2" t="n"/>
    </row>
    <row r="108" ht="15.75" customHeight="1" s="67">
      <c r="A108" s="2" t="n"/>
      <c r="B108" s="2" t="n"/>
      <c r="C108" s="2" t="n"/>
      <c r="D108" s="2" t="n"/>
      <c r="E108" s="2" t="n"/>
      <c r="F108" s="2" t="n"/>
    </row>
    <row r="109" ht="15.75" customHeight="1" s="67">
      <c r="A109" s="2" t="n"/>
      <c r="B109" s="2" t="n"/>
      <c r="C109" s="2" t="n"/>
      <c r="D109" s="2" t="n"/>
      <c r="E109" s="2" t="n"/>
      <c r="F109" s="2" t="n"/>
    </row>
    <row r="110" ht="15.75" customHeight="1" s="67">
      <c r="A110" s="2" t="n"/>
      <c r="B110" s="2" t="n"/>
      <c r="C110" s="2" t="n"/>
      <c r="D110" s="2" t="n"/>
      <c r="E110" s="2" t="n"/>
      <c r="F110" s="2" t="n"/>
    </row>
    <row r="111" ht="15.75" customHeight="1" s="67">
      <c r="A111" s="2" t="n"/>
      <c r="B111" s="2" t="n"/>
      <c r="C111" s="2" t="n"/>
      <c r="D111" s="2" t="n"/>
      <c r="E111" s="2" t="n"/>
      <c r="F111" s="2" t="n"/>
    </row>
    <row r="112" ht="15.75" customHeight="1" s="67">
      <c r="A112" s="2" t="n"/>
      <c r="B112" s="2" t="n"/>
      <c r="C112" s="2" t="n"/>
      <c r="D112" s="2" t="n"/>
      <c r="E112" s="2" t="n"/>
      <c r="F112" s="2" t="n"/>
    </row>
    <row r="113" ht="15.75" customHeight="1" s="67">
      <c r="A113" s="2" t="n"/>
      <c r="B113" s="2" t="n"/>
      <c r="C113" s="2" t="n"/>
      <c r="D113" s="2" t="n"/>
      <c r="E113" s="2" t="n"/>
      <c r="F113" s="2" t="n"/>
    </row>
    <row r="114" ht="15.75" customHeight="1" s="67">
      <c r="A114" s="2" t="n"/>
      <c r="B114" s="2" t="n"/>
      <c r="C114" s="2" t="n"/>
      <c r="D114" s="2" t="n"/>
      <c r="E114" s="2" t="n"/>
      <c r="F114" s="2" t="n"/>
    </row>
    <row r="115" ht="15.75" customHeight="1" s="67">
      <c r="A115" s="2" t="n"/>
      <c r="B115" s="2" t="n"/>
      <c r="C115" s="2" t="n"/>
      <c r="D115" s="2" t="n"/>
      <c r="E115" s="2" t="n"/>
      <c r="F115" s="2" t="n"/>
    </row>
    <row r="116" ht="15.75" customHeight="1" s="67">
      <c r="A116" s="2" t="n"/>
      <c r="B116" s="2" t="n"/>
      <c r="C116" s="2" t="n"/>
      <c r="D116" s="2" t="n"/>
      <c r="E116" s="2" t="n"/>
      <c r="F116" s="2" t="n"/>
    </row>
    <row r="117" ht="15.75" customHeight="1" s="67">
      <c r="A117" s="2" t="n"/>
      <c r="B117" s="2" t="n"/>
      <c r="C117" s="2" t="n"/>
      <c r="D117" s="2" t="n"/>
      <c r="E117" s="2" t="n"/>
      <c r="F117" s="2" t="n"/>
    </row>
    <row r="118" ht="15.75" customHeight="1" s="67">
      <c r="A118" s="2" t="n"/>
      <c r="B118" s="2" t="n"/>
      <c r="C118" s="2" t="n"/>
      <c r="D118" s="2" t="n"/>
      <c r="E118" s="2" t="n"/>
      <c r="F118" s="2" t="n"/>
    </row>
    <row r="119" ht="15.75" customHeight="1" s="67">
      <c r="A119" s="2" t="n"/>
      <c r="B119" s="2" t="n"/>
      <c r="C119" s="2" t="n"/>
      <c r="D119" s="2" t="n"/>
      <c r="E119" s="2" t="n"/>
      <c r="F119" s="2" t="n"/>
    </row>
    <row r="120" ht="15.75" customHeight="1" s="67">
      <c r="A120" s="2" t="n"/>
      <c r="B120" s="2" t="n"/>
      <c r="C120" s="2" t="n"/>
      <c r="D120" s="2" t="n"/>
      <c r="E120" s="2" t="n"/>
      <c r="F120" s="2" t="n"/>
    </row>
    <row r="121" ht="15.75" customHeight="1" s="67">
      <c r="A121" s="2" t="n"/>
      <c r="B121" s="2" t="n"/>
      <c r="C121" s="2" t="n"/>
      <c r="D121" s="2" t="n"/>
      <c r="E121" s="2" t="n"/>
      <c r="F121" s="2" t="n"/>
    </row>
    <row r="122" ht="15.75" customHeight="1" s="67">
      <c r="A122" s="2" t="n"/>
      <c r="B122" s="2" t="n"/>
      <c r="C122" s="2" t="n"/>
      <c r="D122" s="2" t="n"/>
      <c r="E122" s="2" t="n"/>
      <c r="F122" s="2" t="n"/>
    </row>
    <row r="123" ht="15.75" customHeight="1" s="67">
      <c r="A123" s="2" t="n"/>
      <c r="B123" s="2" t="n"/>
      <c r="C123" s="2" t="n"/>
      <c r="D123" s="2" t="n"/>
      <c r="E123" s="2" t="n"/>
      <c r="F123" s="2" t="n"/>
    </row>
    <row r="124" ht="15.75" customHeight="1" s="67">
      <c r="A124" s="2" t="n"/>
      <c r="B124" s="2" t="n"/>
      <c r="C124" s="2" t="n"/>
      <c r="D124" s="2" t="n"/>
      <c r="E124" s="2" t="n"/>
      <c r="F124" s="2" t="n"/>
    </row>
    <row r="125" ht="15.75" customHeight="1" s="67">
      <c r="A125" s="2" t="n"/>
      <c r="B125" s="2" t="n"/>
      <c r="C125" s="2" t="n"/>
      <c r="D125" s="2" t="n"/>
      <c r="E125" s="2" t="n"/>
      <c r="F125" s="2" t="n"/>
    </row>
    <row r="126" ht="15.75" customHeight="1" s="67">
      <c r="A126" s="2" t="n"/>
      <c r="B126" s="2" t="n"/>
      <c r="C126" s="2" t="n"/>
      <c r="D126" s="2" t="n"/>
      <c r="E126" s="2" t="n"/>
      <c r="F126" s="2" t="n"/>
    </row>
    <row r="127" ht="15.75" customHeight="1" s="67">
      <c r="A127" s="2" t="n"/>
      <c r="B127" s="2" t="n"/>
      <c r="C127" s="2" t="n"/>
      <c r="D127" s="2" t="n"/>
      <c r="E127" s="2" t="n"/>
      <c r="F127" s="2" t="n"/>
    </row>
    <row r="128" ht="15.75" customHeight="1" s="67">
      <c r="A128" s="2" t="n"/>
      <c r="B128" s="2" t="n"/>
      <c r="C128" s="2" t="n"/>
      <c r="D128" s="2" t="n"/>
      <c r="E128" s="2" t="n"/>
      <c r="F128" s="2" t="n"/>
    </row>
    <row r="129" ht="15.75" customHeight="1" s="67">
      <c r="A129" s="2" t="n"/>
      <c r="B129" s="2" t="n"/>
      <c r="C129" s="2" t="n"/>
      <c r="D129" s="2" t="n"/>
      <c r="E129" s="2" t="n"/>
      <c r="F129" s="2" t="n"/>
    </row>
    <row r="130" ht="15.75" customHeight="1" s="67">
      <c r="A130" s="2" t="n"/>
      <c r="B130" s="2" t="n"/>
      <c r="C130" s="2" t="n"/>
      <c r="D130" s="2" t="n"/>
      <c r="E130" s="2" t="n"/>
      <c r="F130" s="2" t="n"/>
    </row>
    <row r="131" ht="15.75" customHeight="1" s="67">
      <c r="A131" s="2" t="n"/>
      <c r="B131" s="2" t="n"/>
      <c r="C131" s="2" t="n"/>
      <c r="D131" s="2" t="n"/>
      <c r="E131" s="2" t="n"/>
      <c r="F131" s="2" t="n"/>
    </row>
    <row r="132" ht="15.75" customHeight="1" s="67">
      <c r="A132" s="2" t="n"/>
      <c r="B132" s="2" t="n"/>
      <c r="C132" s="2" t="n"/>
      <c r="D132" s="2" t="n"/>
      <c r="E132" s="2" t="n"/>
      <c r="F132" s="2" t="n"/>
    </row>
    <row r="133" ht="15.75" customHeight="1" s="67">
      <c r="A133" s="2" t="n"/>
      <c r="B133" s="2" t="n"/>
      <c r="C133" s="2" t="n"/>
      <c r="D133" s="2" t="n"/>
      <c r="E133" s="2" t="n"/>
      <c r="F133" s="2" t="n"/>
    </row>
    <row r="134" ht="15.75" customHeight="1" s="67">
      <c r="A134" s="2" t="n"/>
      <c r="B134" s="2" t="n"/>
      <c r="C134" s="2" t="n"/>
      <c r="D134" s="2" t="n"/>
      <c r="E134" s="2" t="n"/>
      <c r="F134" s="2" t="n"/>
    </row>
    <row r="135" ht="15.75" customHeight="1" s="67">
      <c r="A135" s="2" t="n"/>
      <c r="B135" s="2" t="n"/>
      <c r="C135" s="2" t="n"/>
      <c r="D135" s="2" t="n"/>
      <c r="E135" s="2" t="n"/>
      <c r="F135" s="2" t="n"/>
    </row>
    <row r="136" ht="15.75" customHeight="1" s="67">
      <c r="A136" s="2" t="n"/>
      <c r="B136" s="2" t="n"/>
      <c r="C136" s="2" t="n"/>
      <c r="D136" s="2" t="n"/>
      <c r="E136" s="2" t="n"/>
      <c r="F136" s="2" t="n"/>
    </row>
    <row r="137" ht="15.75" customHeight="1" s="67">
      <c r="A137" s="2" t="n"/>
      <c r="B137" s="2" t="n"/>
      <c r="C137" s="2" t="n"/>
      <c r="D137" s="2" t="n"/>
      <c r="E137" s="2" t="n"/>
      <c r="F137" s="2" t="n"/>
    </row>
    <row r="138" ht="15.75" customHeight="1" s="67">
      <c r="A138" s="2" t="n"/>
      <c r="B138" s="2" t="n"/>
      <c r="C138" s="2" t="n"/>
      <c r="D138" s="2" t="n"/>
      <c r="E138" s="2" t="n"/>
      <c r="F138" s="2" t="n"/>
    </row>
    <row r="139" ht="15.75" customHeight="1" s="67">
      <c r="A139" s="2" t="n"/>
      <c r="B139" s="2" t="n"/>
      <c r="C139" s="2" t="n"/>
      <c r="D139" s="2" t="n"/>
      <c r="E139" s="2" t="n"/>
      <c r="F139" s="2" t="n"/>
    </row>
    <row r="140" ht="15.75" customHeight="1" s="67">
      <c r="A140" s="2" t="n"/>
      <c r="B140" s="2" t="n"/>
      <c r="C140" s="2" t="n"/>
      <c r="D140" s="2" t="n"/>
      <c r="E140" s="2" t="n"/>
      <c r="F140" s="2" t="n"/>
    </row>
    <row r="141" ht="15.75" customHeight="1" s="67">
      <c r="A141" s="2" t="n"/>
      <c r="B141" s="2" t="n"/>
      <c r="C141" s="2" t="n"/>
      <c r="D141" s="2" t="n"/>
      <c r="E141" s="2" t="n"/>
      <c r="F141" s="2" t="n"/>
    </row>
    <row r="142" ht="15.75" customHeight="1" s="67">
      <c r="A142" s="2" t="n"/>
      <c r="B142" s="2" t="n"/>
      <c r="C142" s="2" t="n"/>
      <c r="D142" s="2" t="n"/>
      <c r="E142" s="2" t="n"/>
      <c r="F142" s="2" t="n"/>
    </row>
    <row r="143" ht="15.75" customHeight="1" s="67">
      <c r="A143" s="2" t="n"/>
      <c r="B143" s="2" t="n"/>
      <c r="C143" s="2" t="n"/>
      <c r="D143" s="2" t="n"/>
      <c r="E143" s="2" t="n"/>
      <c r="F143" s="2" t="n"/>
    </row>
    <row r="144" ht="15.75" customHeight="1" s="67">
      <c r="A144" s="2" t="n"/>
      <c r="B144" s="2" t="n"/>
      <c r="C144" s="2" t="n"/>
      <c r="D144" s="2" t="n"/>
      <c r="E144" s="2" t="n"/>
      <c r="F144" s="2" t="n"/>
    </row>
    <row r="145" ht="15.75" customHeight="1" s="67">
      <c r="A145" s="2" t="n"/>
      <c r="B145" s="2" t="n"/>
      <c r="C145" s="2" t="n"/>
      <c r="D145" s="2" t="n"/>
      <c r="E145" s="2" t="n"/>
      <c r="F145" s="2" t="n"/>
    </row>
    <row r="146" ht="15.75" customHeight="1" s="67">
      <c r="A146" s="2" t="n"/>
      <c r="B146" s="2" t="n"/>
      <c r="C146" s="2" t="n"/>
      <c r="D146" s="2" t="n"/>
      <c r="E146" s="2" t="n"/>
      <c r="F146" s="2" t="n"/>
    </row>
    <row r="147" ht="15.75" customHeight="1" s="67">
      <c r="A147" s="2" t="n"/>
      <c r="B147" s="2" t="n"/>
      <c r="C147" s="2" t="n"/>
      <c r="D147" s="2" t="n"/>
      <c r="E147" s="2" t="n"/>
      <c r="F147" s="2" t="n"/>
    </row>
    <row r="148" ht="15.75" customHeight="1" s="67">
      <c r="A148" s="2" t="n"/>
      <c r="B148" s="2" t="n"/>
      <c r="C148" s="2" t="n"/>
      <c r="D148" s="2" t="n"/>
      <c r="E148" s="2" t="n"/>
      <c r="F148" s="2" t="n"/>
    </row>
    <row r="149" ht="15.75" customHeight="1" s="67">
      <c r="A149" s="2" t="n"/>
      <c r="B149" s="2" t="n"/>
      <c r="C149" s="2" t="n"/>
      <c r="D149" s="2" t="n"/>
      <c r="E149" s="2" t="n"/>
      <c r="F149" s="2" t="n"/>
    </row>
    <row r="150" ht="15.75" customHeight="1" s="67">
      <c r="A150" s="2" t="n"/>
      <c r="B150" s="2" t="n"/>
      <c r="C150" s="2" t="n"/>
      <c r="D150" s="2" t="n"/>
      <c r="E150" s="2" t="n"/>
      <c r="F150" s="2" t="n"/>
    </row>
    <row r="151" ht="15.75" customHeight="1" s="67">
      <c r="A151" s="2" t="n"/>
      <c r="B151" s="2" t="n"/>
      <c r="C151" s="2" t="n"/>
      <c r="D151" s="2" t="n"/>
      <c r="E151" s="2" t="n"/>
      <c r="F151" s="2" t="n"/>
    </row>
    <row r="152" ht="15.75" customHeight="1" s="67">
      <c r="A152" s="2" t="n"/>
      <c r="B152" s="2" t="n"/>
      <c r="C152" s="2" t="n"/>
      <c r="D152" s="2" t="n"/>
      <c r="E152" s="2" t="n"/>
      <c r="F152" s="2" t="n"/>
    </row>
    <row r="153" ht="15.75" customHeight="1" s="67">
      <c r="A153" s="2" t="n"/>
      <c r="B153" s="2" t="n"/>
      <c r="C153" s="2" t="n"/>
      <c r="D153" s="2" t="n"/>
      <c r="E153" s="2" t="n"/>
      <c r="F153" s="2" t="n"/>
    </row>
    <row r="154" ht="15.75" customHeight="1" s="67">
      <c r="A154" s="2" t="n"/>
      <c r="B154" s="2" t="n"/>
      <c r="C154" s="2" t="n"/>
      <c r="D154" s="2" t="n"/>
      <c r="E154" s="2" t="n"/>
      <c r="F154" s="2" t="n"/>
    </row>
    <row r="155" ht="15.75" customHeight="1" s="67">
      <c r="A155" s="2" t="n"/>
      <c r="B155" s="2" t="n"/>
      <c r="C155" s="2" t="n"/>
      <c r="D155" s="2" t="n"/>
      <c r="E155" s="2" t="n"/>
      <c r="F155" s="2" t="n"/>
    </row>
    <row r="156" ht="15.75" customHeight="1" s="67">
      <c r="A156" s="2" t="n"/>
      <c r="B156" s="2" t="n"/>
      <c r="C156" s="2" t="n"/>
      <c r="D156" s="2" t="n"/>
      <c r="E156" s="2" t="n"/>
      <c r="F156" s="2" t="n"/>
    </row>
    <row r="157" ht="15.75" customHeight="1" s="67">
      <c r="A157" s="2" t="n"/>
      <c r="B157" s="2" t="n"/>
      <c r="C157" s="2" t="n"/>
      <c r="D157" s="2" t="n"/>
      <c r="E157" s="2" t="n"/>
      <c r="F157" s="2" t="n"/>
    </row>
    <row r="158" ht="15.75" customHeight="1" s="67">
      <c r="A158" s="2" t="n"/>
      <c r="B158" s="2" t="n"/>
      <c r="C158" s="2" t="n"/>
      <c r="D158" s="2" t="n"/>
      <c r="E158" s="2" t="n"/>
      <c r="F158" s="2" t="n"/>
    </row>
    <row r="159" ht="15.75" customHeight="1" s="67">
      <c r="A159" s="2" t="n"/>
      <c r="B159" s="2" t="n"/>
      <c r="C159" s="2" t="n"/>
      <c r="D159" s="2" t="n"/>
      <c r="E159" s="2" t="n"/>
      <c r="F159" s="2" t="n"/>
    </row>
    <row r="160" ht="15.75" customHeight="1" s="67">
      <c r="A160" s="2" t="n"/>
      <c r="B160" s="2" t="n"/>
      <c r="C160" s="2" t="n"/>
      <c r="D160" s="2" t="n"/>
      <c r="E160" s="2" t="n"/>
      <c r="F160" s="2" t="n"/>
    </row>
    <row r="161" ht="15.75" customHeight="1" s="67">
      <c r="A161" s="2" t="n"/>
      <c r="B161" s="2" t="n"/>
      <c r="C161" s="2" t="n"/>
      <c r="D161" s="2" t="n"/>
      <c r="E161" s="2" t="n"/>
      <c r="F161" s="2" t="n"/>
    </row>
    <row r="162" ht="15.75" customHeight="1" s="67">
      <c r="A162" s="2" t="n"/>
      <c r="B162" s="2" t="n"/>
      <c r="C162" s="2" t="n"/>
      <c r="D162" s="2" t="n"/>
      <c r="E162" s="2" t="n"/>
      <c r="F162" s="2" t="n"/>
    </row>
    <row r="163" ht="15.75" customHeight="1" s="67">
      <c r="A163" s="2" t="n"/>
      <c r="B163" s="2" t="n"/>
      <c r="C163" s="2" t="n"/>
      <c r="D163" s="2" t="n"/>
      <c r="E163" s="2" t="n"/>
      <c r="F163" s="2" t="n"/>
    </row>
    <row r="164" ht="15.75" customHeight="1" s="67">
      <c r="A164" s="2" t="n"/>
      <c r="B164" s="2" t="n"/>
      <c r="C164" s="2" t="n"/>
      <c r="D164" s="2" t="n"/>
      <c r="E164" s="2" t="n"/>
      <c r="F164" s="2" t="n"/>
    </row>
    <row r="165" ht="15.75" customHeight="1" s="67">
      <c r="A165" s="2" t="n"/>
      <c r="B165" s="2" t="n"/>
      <c r="C165" s="2" t="n"/>
      <c r="D165" s="2" t="n"/>
      <c r="E165" s="2" t="n"/>
      <c r="F165" s="2" t="n"/>
    </row>
    <row r="166" ht="15.75" customHeight="1" s="67">
      <c r="A166" s="2" t="n"/>
      <c r="B166" s="2" t="n"/>
      <c r="C166" s="2" t="n"/>
      <c r="D166" s="2" t="n"/>
      <c r="E166" s="2" t="n"/>
      <c r="F166" s="2" t="n"/>
    </row>
    <row r="167" ht="15.75" customHeight="1" s="67">
      <c r="A167" s="2" t="n"/>
      <c r="B167" s="2" t="n"/>
      <c r="C167" s="2" t="n"/>
      <c r="D167" s="2" t="n"/>
      <c r="E167" s="2" t="n"/>
      <c r="F167" s="2" t="n"/>
    </row>
    <row r="168" ht="15.75" customHeight="1" s="67">
      <c r="A168" s="2" t="n"/>
      <c r="B168" s="2" t="n"/>
      <c r="C168" s="2" t="n"/>
      <c r="D168" s="2" t="n"/>
      <c r="E168" s="2" t="n"/>
      <c r="F168" s="2" t="n"/>
    </row>
    <row r="169" ht="15.75" customHeight="1" s="67">
      <c r="A169" s="2" t="n"/>
      <c r="B169" s="2" t="n"/>
      <c r="C169" s="2" t="n"/>
      <c r="D169" s="2" t="n"/>
      <c r="E169" s="2" t="n"/>
      <c r="F169" s="2" t="n"/>
    </row>
    <row r="170" ht="15.75" customHeight="1" s="67">
      <c r="A170" s="2" t="n"/>
      <c r="B170" s="2" t="n"/>
      <c r="C170" s="2" t="n"/>
      <c r="D170" s="2" t="n"/>
      <c r="E170" s="2" t="n"/>
      <c r="F170" s="2" t="n"/>
    </row>
    <row r="171" ht="15.75" customHeight="1" s="67">
      <c r="A171" s="2" t="n"/>
      <c r="B171" s="2" t="n"/>
      <c r="C171" s="2" t="n"/>
      <c r="D171" s="2" t="n"/>
      <c r="E171" s="2" t="n"/>
      <c r="F171" s="2" t="n"/>
    </row>
    <row r="172" ht="15.75" customHeight="1" s="67">
      <c r="A172" s="2" t="n"/>
      <c r="B172" s="2" t="n"/>
      <c r="C172" s="2" t="n"/>
      <c r="D172" s="2" t="n"/>
      <c r="E172" s="2" t="n"/>
      <c r="F172" s="2" t="n"/>
    </row>
    <row r="173" ht="15.75" customHeight="1" s="67">
      <c r="A173" s="2" t="n"/>
      <c r="B173" s="2" t="n"/>
      <c r="C173" s="2" t="n"/>
      <c r="D173" s="2" t="n"/>
      <c r="E173" s="2" t="n"/>
      <c r="F173" s="2" t="n"/>
    </row>
    <row r="174" ht="15.75" customHeight="1" s="67">
      <c r="A174" s="2" t="n"/>
      <c r="B174" s="2" t="n"/>
      <c r="C174" s="2" t="n"/>
      <c r="D174" s="2" t="n"/>
      <c r="E174" s="2" t="n"/>
      <c r="F174" s="2" t="n"/>
    </row>
    <row r="175" ht="15.75" customHeight="1" s="67">
      <c r="A175" s="2" t="n"/>
      <c r="B175" s="2" t="n"/>
      <c r="C175" s="2" t="n"/>
      <c r="D175" s="2" t="n"/>
      <c r="E175" s="2" t="n"/>
      <c r="F175" s="2" t="n"/>
    </row>
    <row r="176" ht="15.75" customHeight="1" s="67">
      <c r="A176" s="2" t="n"/>
      <c r="B176" s="2" t="n"/>
      <c r="C176" s="2" t="n"/>
      <c r="D176" s="2" t="n"/>
      <c r="E176" s="2" t="n"/>
      <c r="F176" s="2" t="n"/>
    </row>
    <row r="177" ht="15.75" customHeight="1" s="67">
      <c r="A177" s="2" t="n"/>
      <c r="B177" s="2" t="n"/>
      <c r="C177" s="2" t="n"/>
      <c r="D177" s="2" t="n"/>
      <c r="E177" s="2" t="n"/>
      <c r="F177" s="2" t="n"/>
    </row>
    <row r="178" ht="15.75" customHeight="1" s="67">
      <c r="A178" s="2" t="n"/>
      <c r="B178" s="2" t="n"/>
      <c r="C178" s="2" t="n"/>
      <c r="D178" s="2" t="n"/>
      <c r="E178" s="2" t="n"/>
      <c r="F178" s="2" t="n"/>
    </row>
    <row r="179" ht="15.75" customHeight="1" s="67">
      <c r="A179" s="2" t="n"/>
      <c r="B179" s="2" t="n"/>
      <c r="C179" s="2" t="n"/>
      <c r="D179" s="2" t="n"/>
      <c r="E179" s="2" t="n"/>
      <c r="F179" s="2" t="n"/>
    </row>
    <row r="180" ht="15.75" customHeight="1" s="67">
      <c r="A180" s="2" t="n"/>
      <c r="B180" s="2" t="n"/>
      <c r="C180" s="2" t="n"/>
      <c r="D180" s="2" t="n"/>
      <c r="E180" s="2" t="n"/>
      <c r="F180" s="2" t="n"/>
    </row>
    <row r="181" ht="15.75" customHeight="1" s="67">
      <c r="A181" s="2" t="n"/>
      <c r="B181" s="2" t="n"/>
      <c r="C181" s="2" t="n"/>
      <c r="D181" s="2" t="n"/>
      <c r="E181" s="2" t="n"/>
      <c r="F181" s="2" t="n"/>
    </row>
    <row r="182" ht="15.75" customHeight="1" s="67">
      <c r="A182" s="2" t="n"/>
      <c r="B182" s="2" t="n"/>
      <c r="C182" s="2" t="n"/>
      <c r="D182" s="2" t="n"/>
      <c r="E182" s="2" t="n"/>
      <c r="F182" s="2" t="n"/>
    </row>
    <row r="183" ht="15.75" customHeight="1" s="67">
      <c r="A183" s="2" t="n"/>
      <c r="B183" s="2" t="n"/>
      <c r="C183" s="2" t="n"/>
      <c r="D183" s="2" t="n"/>
      <c r="E183" s="2" t="n"/>
      <c r="F183" s="2" t="n"/>
    </row>
    <row r="184" ht="15.75" customHeight="1" s="67">
      <c r="A184" s="2" t="n"/>
      <c r="B184" s="2" t="n"/>
      <c r="C184" s="2" t="n"/>
      <c r="D184" s="2" t="n"/>
      <c r="E184" s="2" t="n"/>
      <c r="F184" s="2" t="n"/>
    </row>
    <row r="185" ht="15.75" customHeight="1" s="67">
      <c r="A185" s="2" t="n"/>
      <c r="B185" s="2" t="n"/>
      <c r="C185" s="2" t="n"/>
      <c r="D185" s="2" t="n"/>
      <c r="E185" s="2" t="n"/>
      <c r="F185" s="2" t="n"/>
    </row>
    <row r="186" ht="15.75" customHeight="1" s="67">
      <c r="A186" s="2" t="n"/>
      <c r="B186" s="2" t="n"/>
      <c r="C186" s="2" t="n"/>
      <c r="D186" s="2" t="n"/>
      <c r="E186" s="2" t="n"/>
      <c r="F186" s="2" t="n"/>
    </row>
    <row r="187" ht="15.75" customHeight="1" s="67">
      <c r="A187" s="2" t="n"/>
      <c r="B187" s="2" t="n"/>
      <c r="C187" s="2" t="n"/>
      <c r="D187" s="2" t="n"/>
      <c r="E187" s="2" t="n"/>
      <c r="F187" s="2" t="n"/>
    </row>
    <row r="188" ht="15.75" customHeight="1" s="67">
      <c r="A188" s="2" t="n"/>
      <c r="B188" s="2" t="n"/>
      <c r="C188" s="2" t="n"/>
      <c r="D188" s="2" t="n"/>
      <c r="E188" s="2" t="n"/>
      <c r="F188" s="2" t="n"/>
    </row>
    <row r="189" ht="15.75" customHeight="1" s="67">
      <c r="A189" s="2" t="n"/>
      <c r="B189" s="2" t="n"/>
      <c r="C189" s="2" t="n"/>
      <c r="D189" s="2" t="n"/>
      <c r="E189" s="2" t="n"/>
      <c r="F189" s="2" t="n"/>
    </row>
    <row r="190" ht="15.75" customHeight="1" s="67">
      <c r="A190" s="2" t="n"/>
      <c r="B190" s="2" t="n"/>
      <c r="C190" s="2" t="n"/>
      <c r="D190" s="2" t="n"/>
      <c r="E190" s="2" t="n"/>
      <c r="F190" s="2" t="n"/>
    </row>
    <row r="191" ht="15.75" customHeight="1" s="67">
      <c r="A191" s="2" t="n"/>
      <c r="B191" s="2" t="n"/>
      <c r="C191" s="2" t="n"/>
      <c r="D191" s="2" t="n"/>
      <c r="E191" s="2" t="n"/>
      <c r="F191" s="2" t="n"/>
    </row>
    <row r="192" ht="15.75" customHeight="1" s="67">
      <c r="A192" s="2" t="n"/>
      <c r="B192" s="2" t="n"/>
      <c r="C192" s="2" t="n"/>
      <c r="D192" s="2" t="n"/>
      <c r="E192" s="2" t="n"/>
      <c r="F192" s="2" t="n"/>
    </row>
    <row r="193" ht="15.75" customHeight="1" s="67">
      <c r="A193" s="2" t="n"/>
      <c r="B193" s="2" t="n"/>
      <c r="C193" s="2" t="n"/>
      <c r="D193" s="2" t="n"/>
      <c r="E193" s="2" t="n"/>
      <c r="F193" s="2" t="n"/>
    </row>
    <row r="194" ht="15.75" customHeight="1" s="67">
      <c r="A194" s="2" t="n"/>
      <c r="B194" s="2" t="n"/>
      <c r="C194" s="2" t="n"/>
      <c r="D194" s="2" t="n"/>
      <c r="E194" s="2" t="n"/>
      <c r="F194" s="2" t="n"/>
    </row>
    <row r="195" ht="15.75" customHeight="1" s="67">
      <c r="A195" s="2" t="n"/>
      <c r="B195" s="2" t="n"/>
      <c r="C195" s="2" t="n"/>
      <c r="D195" s="2" t="n"/>
      <c r="E195" s="2" t="n"/>
      <c r="F195" s="2" t="n"/>
    </row>
    <row r="196" ht="15.75" customHeight="1" s="67">
      <c r="A196" s="2" t="n"/>
      <c r="B196" s="2" t="n"/>
      <c r="C196" s="2" t="n"/>
      <c r="D196" s="2" t="n"/>
      <c r="E196" s="2" t="n"/>
      <c r="F196" s="2" t="n"/>
    </row>
    <row r="197" ht="15.75" customHeight="1" s="67">
      <c r="A197" s="2" t="n"/>
      <c r="B197" s="2" t="n"/>
      <c r="C197" s="2" t="n"/>
      <c r="D197" s="2" t="n"/>
      <c r="E197" s="2" t="n"/>
      <c r="F197" s="2" t="n"/>
    </row>
    <row r="198" ht="15.75" customHeight="1" s="67">
      <c r="A198" s="2" t="n"/>
      <c r="B198" s="2" t="n"/>
      <c r="C198" s="2" t="n"/>
      <c r="D198" s="2" t="n"/>
      <c r="E198" s="2" t="n"/>
      <c r="F198" s="2" t="n"/>
    </row>
    <row r="199" ht="15.75" customHeight="1" s="67">
      <c r="A199" s="2" t="n"/>
      <c r="B199" s="2" t="n"/>
      <c r="C199" s="2" t="n"/>
      <c r="D199" s="2" t="n"/>
      <c r="E199" s="2" t="n"/>
      <c r="F199" s="2" t="n"/>
    </row>
    <row r="200" ht="15.75" customHeight="1" s="67">
      <c r="A200" s="2" t="n"/>
      <c r="B200" s="2" t="n"/>
      <c r="C200" s="2" t="n"/>
      <c r="D200" s="2" t="n"/>
      <c r="E200" s="2" t="n"/>
      <c r="F200" s="2" t="n"/>
    </row>
    <row r="201" ht="15.75" customHeight="1" s="67">
      <c r="A201" s="2" t="n"/>
      <c r="B201" s="2" t="n"/>
      <c r="C201" s="2" t="n"/>
      <c r="D201" s="2" t="n"/>
      <c r="E201" s="2" t="n"/>
      <c r="F201" s="2" t="n"/>
    </row>
    <row r="202" ht="15.75" customHeight="1" s="67">
      <c r="A202" s="2" t="n"/>
      <c r="B202" s="2" t="n"/>
      <c r="C202" s="2" t="n"/>
      <c r="D202" s="2" t="n"/>
      <c r="E202" s="2" t="n"/>
      <c r="F202" s="2" t="n"/>
    </row>
    <row r="203" ht="15.75" customHeight="1" s="67">
      <c r="A203" s="2" t="n"/>
      <c r="B203" s="2" t="n"/>
      <c r="C203" s="2" t="n"/>
      <c r="D203" s="2" t="n"/>
      <c r="E203" s="2" t="n"/>
      <c r="F203" s="2" t="n"/>
    </row>
    <row r="204" ht="15.75" customHeight="1" s="67">
      <c r="A204" s="2" t="n"/>
      <c r="B204" s="2" t="n"/>
      <c r="C204" s="2" t="n"/>
      <c r="D204" s="2" t="n"/>
      <c r="E204" s="2" t="n"/>
      <c r="F204" s="2" t="n"/>
    </row>
    <row r="205" ht="15.75" customHeight="1" s="67">
      <c r="A205" s="2" t="n"/>
      <c r="B205" s="2" t="n"/>
      <c r="C205" s="2" t="n"/>
      <c r="D205" s="2" t="n"/>
      <c r="E205" s="2" t="n"/>
      <c r="F205" s="2" t="n"/>
    </row>
    <row r="206" ht="15.75" customHeight="1" s="67">
      <c r="A206" s="2" t="n"/>
      <c r="B206" s="2" t="n"/>
      <c r="C206" s="2" t="n"/>
      <c r="D206" s="2" t="n"/>
      <c r="E206" s="2" t="n"/>
      <c r="F206" s="2" t="n"/>
    </row>
    <row r="207" ht="15.75" customHeight="1" s="67">
      <c r="A207" s="2" t="n"/>
      <c r="B207" s="2" t="n"/>
      <c r="C207" s="2" t="n"/>
      <c r="D207" s="2" t="n"/>
      <c r="E207" s="2" t="n"/>
      <c r="F207" s="2" t="n"/>
    </row>
    <row r="208" ht="15.75" customHeight="1" s="67">
      <c r="A208" s="2" t="n"/>
      <c r="B208" s="2" t="n"/>
      <c r="C208" s="2" t="n"/>
      <c r="D208" s="2" t="n"/>
      <c r="E208" s="2" t="n"/>
      <c r="F208" s="2" t="n"/>
    </row>
    <row r="209" ht="15.75" customHeight="1" s="67">
      <c r="A209" s="2" t="n"/>
      <c r="B209" s="2" t="n"/>
      <c r="C209" s="2" t="n"/>
      <c r="D209" s="2" t="n"/>
      <c r="E209" s="2" t="n"/>
      <c r="F209" s="2" t="n"/>
    </row>
    <row r="210" ht="15.75" customHeight="1" s="67">
      <c r="A210" s="2" t="n"/>
      <c r="B210" s="2" t="n"/>
      <c r="C210" s="2" t="n"/>
      <c r="D210" s="2" t="n"/>
      <c r="E210" s="2" t="n"/>
      <c r="F210" s="2" t="n"/>
    </row>
    <row r="211" ht="15.75" customHeight="1" s="67">
      <c r="A211" s="2" t="n"/>
      <c r="B211" s="2" t="n"/>
      <c r="C211" s="2" t="n"/>
      <c r="D211" s="2" t="n"/>
      <c r="E211" s="2" t="n"/>
      <c r="F211" s="2" t="n"/>
    </row>
    <row r="212" ht="15.75" customHeight="1" s="67">
      <c r="A212" s="2" t="n"/>
      <c r="B212" s="2" t="n"/>
      <c r="C212" s="2" t="n"/>
      <c r="D212" s="2" t="n"/>
      <c r="E212" s="2" t="n"/>
      <c r="F212" s="2" t="n"/>
    </row>
    <row r="213" ht="15.75" customHeight="1" s="67">
      <c r="A213" s="2" t="n"/>
      <c r="B213" s="2" t="n"/>
      <c r="C213" s="2" t="n"/>
      <c r="D213" s="2" t="n"/>
      <c r="E213" s="2" t="n"/>
      <c r="F213" s="2" t="n"/>
    </row>
    <row r="214" ht="15.75" customHeight="1" s="67">
      <c r="A214" s="2" t="n"/>
      <c r="B214" s="2" t="n"/>
      <c r="C214" s="2" t="n"/>
      <c r="D214" s="2" t="n"/>
      <c r="E214" s="2" t="n"/>
      <c r="F214" s="2" t="n"/>
    </row>
    <row r="215" ht="15.75" customHeight="1" s="67">
      <c r="A215" s="2" t="n"/>
      <c r="B215" s="2" t="n"/>
      <c r="C215" s="2" t="n"/>
      <c r="D215" s="2" t="n"/>
      <c r="E215" s="2" t="n"/>
      <c r="F215" s="2" t="n"/>
    </row>
    <row r="216" ht="15.75" customHeight="1" s="67">
      <c r="A216" s="2" t="n"/>
      <c r="B216" s="2" t="n"/>
      <c r="C216" s="2" t="n"/>
      <c r="D216" s="2" t="n"/>
      <c r="E216" s="2" t="n"/>
      <c r="F216" s="2" t="n"/>
    </row>
    <row r="217" ht="15.75" customHeight="1" s="67">
      <c r="A217" s="2" t="n"/>
      <c r="B217" s="2" t="n"/>
      <c r="C217" s="2" t="n"/>
      <c r="D217" s="2" t="n"/>
      <c r="E217" s="2" t="n"/>
      <c r="F217" s="2" t="n"/>
    </row>
    <row r="218" ht="15.75" customHeight="1" s="67">
      <c r="A218" s="2" t="n"/>
      <c r="B218" s="2" t="n"/>
      <c r="C218" s="2" t="n"/>
      <c r="D218" s="2" t="n"/>
      <c r="E218" s="2" t="n"/>
      <c r="F218" s="2" t="n"/>
    </row>
    <row r="219" ht="15.75" customHeight="1" s="67">
      <c r="A219" s="2" t="n"/>
      <c r="B219" s="2" t="n"/>
      <c r="C219" s="2" t="n"/>
      <c r="D219" s="2" t="n"/>
      <c r="E219" s="2" t="n"/>
      <c r="F219" s="2" t="n"/>
    </row>
    <row r="220" ht="15.75" customHeight="1" s="67">
      <c r="A220" s="2" t="n"/>
      <c r="B220" s="2" t="n"/>
      <c r="C220" s="2" t="n"/>
      <c r="D220" s="2" t="n"/>
      <c r="E220" s="2" t="n"/>
      <c r="F220" s="2" t="n"/>
    </row>
    <row r="221" ht="15.75" customHeight="1" s="67">
      <c r="A221" s="2" t="n"/>
      <c r="B221" s="2" t="n"/>
      <c r="C221" s="2" t="n"/>
      <c r="D221" s="2" t="n"/>
      <c r="E221" s="2" t="n"/>
      <c r="F221" s="2" t="n"/>
    </row>
    <row r="222" ht="15.75" customHeight="1" s="67">
      <c r="A222" s="2" t="n"/>
      <c r="B222" s="2" t="n"/>
      <c r="C222" s="2" t="n"/>
      <c r="D222" s="2" t="n"/>
      <c r="E222" s="2" t="n"/>
      <c r="F222" s="2" t="n"/>
    </row>
    <row r="223" ht="15.75" customHeight="1" s="67">
      <c r="A223" s="2" t="n"/>
      <c r="B223" s="2" t="n"/>
      <c r="C223" s="2" t="n"/>
      <c r="D223" s="2" t="n"/>
      <c r="E223" s="2" t="n"/>
      <c r="F223" s="2" t="n"/>
    </row>
    <row r="224" ht="15.75" customHeight="1" s="67">
      <c r="A224" s="2" t="n"/>
      <c r="B224" s="2" t="n"/>
      <c r="C224" s="2" t="n"/>
      <c r="D224" s="2" t="n"/>
      <c r="E224" s="2" t="n"/>
      <c r="F224" s="2" t="n"/>
    </row>
    <row r="225" ht="15.75" customHeight="1" s="67">
      <c r="A225" s="2" t="n"/>
      <c r="B225" s="2" t="n"/>
      <c r="C225" s="2" t="n"/>
      <c r="D225" s="2" t="n"/>
      <c r="E225" s="2" t="n"/>
      <c r="F225" s="2" t="n"/>
    </row>
    <row r="226" ht="15.75" customHeight="1" s="67">
      <c r="A226" s="2" t="n"/>
      <c r="B226" s="2" t="n"/>
      <c r="C226" s="2" t="n"/>
      <c r="D226" s="2" t="n"/>
      <c r="E226" s="2" t="n"/>
      <c r="F226" s="2" t="n"/>
    </row>
    <row r="227" ht="15.75" customHeight="1" s="67">
      <c r="A227" s="2" t="n"/>
      <c r="B227" s="2" t="n"/>
      <c r="C227" s="2" t="n"/>
      <c r="D227" s="2" t="n"/>
      <c r="E227" s="2" t="n"/>
      <c r="F227" s="2" t="n"/>
    </row>
    <row r="228" ht="15.75" customHeight="1" s="67">
      <c r="A228" s="2" t="n"/>
      <c r="B228" s="2" t="n"/>
      <c r="C228" s="2" t="n"/>
      <c r="D228" s="2" t="n"/>
      <c r="E228" s="2" t="n"/>
      <c r="F228" s="2" t="n"/>
    </row>
    <row r="229" ht="15.75" customHeight="1" s="67">
      <c r="A229" s="2" t="n"/>
      <c r="B229" s="2" t="n"/>
      <c r="C229" s="2" t="n"/>
      <c r="D229" s="2" t="n"/>
      <c r="E229" s="2" t="n"/>
      <c r="F229" s="2" t="n"/>
    </row>
    <row r="230" ht="15.75" customHeight="1" s="67">
      <c r="A230" s="2" t="n"/>
      <c r="B230" s="2" t="n"/>
      <c r="C230" s="2" t="n"/>
      <c r="D230" s="2" t="n"/>
      <c r="E230" s="2" t="n"/>
      <c r="F230" s="2" t="n"/>
    </row>
    <row r="231" ht="15.75" customHeight="1" s="67">
      <c r="A231" s="2" t="n"/>
      <c r="B231" s="2" t="n"/>
      <c r="C231" s="2" t="n"/>
      <c r="D231" s="2" t="n"/>
      <c r="E231" s="2" t="n"/>
      <c r="F231" s="2" t="n"/>
    </row>
    <row r="232" ht="15.75" customHeight="1" s="67">
      <c r="A232" s="2" t="n"/>
      <c r="B232" s="2" t="n"/>
      <c r="C232" s="2" t="n"/>
      <c r="D232" s="2" t="n"/>
      <c r="E232" s="2" t="n"/>
      <c r="F232" s="2" t="n"/>
    </row>
    <row r="233" ht="15.75" customHeight="1" s="67">
      <c r="A233" s="2" t="n"/>
      <c r="B233" s="2" t="n"/>
      <c r="C233" s="2" t="n"/>
      <c r="D233" s="2" t="n"/>
      <c r="E233" s="2" t="n"/>
      <c r="F233" s="2" t="n"/>
    </row>
    <row r="234" ht="15.75" customHeight="1" s="67">
      <c r="A234" s="2" t="n"/>
      <c r="B234" s="2" t="n"/>
      <c r="C234" s="2" t="n"/>
      <c r="D234" s="2" t="n"/>
      <c r="E234" s="2" t="n"/>
      <c r="F234" s="2" t="n"/>
    </row>
    <row r="235" ht="15.75" customHeight="1" s="67">
      <c r="A235" s="2" t="n"/>
      <c r="B235" s="2" t="n"/>
      <c r="C235" s="2" t="n"/>
      <c r="D235" s="2" t="n"/>
      <c r="E235" s="2" t="n"/>
      <c r="F235" s="2" t="n"/>
    </row>
    <row r="236" ht="15.75" customHeight="1" s="67">
      <c r="A236" s="2" t="n"/>
      <c r="B236" s="2" t="n"/>
      <c r="C236" s="2" t="n"/>
      <c r="D236" s="2" t="n"/>
      <c r="E236" s="2" t="n"/>
      <c r="F236" s="2" t="n"/>
    </row>
    <row r="237" ht="15.75" customHeight="1" s="67">
      <c r="A237" s="2" t="n"/>
      <c r="B237" s="2" t="n"/>
      <c r="C237" s="2" t="n"/>
      <c r="D237" s="2" t="n"/>
      <c r="E237" s="2" t="n"/>
      <c r="F237" s="2" t="n"/>
    </row>
    <row r="238" ht="15.75" customHeight="1" s="67">
      <c r="A238" s="2" t="n"/>
      <c r="B238" s="2" t="n"/>
      <c r="C238" s="2" t="n"/>
      <c r="D238" s="2" t="n"/>
      <c r="E238" s="2" t="n"/>
      <c r="F238" s="2" t="n"/>
    </row>
    <row r="239" ht="15.75" customHeight="1" s="67">
      <c r="A239" s="2" t="n"/>
      <c r="B239" s="2" t="n"/>
      <c r="C239" s="2" t="n"/>
      <c r="D239" s="2" t="n"/>
      <c r="E239" s="2" t="n"/>
      <c r="F239" s="2" t="n"/>
    </row>
    <row r="240" ht="15.75" customHeight="1" s="67">
      <c r="A240" s="2" t="n"/>
      <c r="B240" s="2" t="n"/>
      <c r="C240" s="2" t="n"/>
      <c r="D240" s="2" t="n"/>
      <c r="E240" s="2" t="n"/>
      <c r="F240" s="2" t="n"/>
    </row>
    <row r="241" ht="15.75" customHeight="1" s="67">
      <c r="A241" s="2" t="n"/>
      <c r="B241" s="2" t="n"/>
      <c r="C241" s="2" t="n"/>
      <c r="D241" s="2" t="n"/>
      <c r="E241" s="2" t="n"/>
      <c r="F241" s="2" t="n"/>
    </row>
    <row r="242" ht="15.75" customHeight="1" s="67">
      <c r="A242" s="2" t="n"/>
      <c r="B242" s="2" t="n"/>
      <c r="C242" s="2" t="n"/>
      <c r="D242" s="2" t="n"/>
      <c r="E242" s="2" t="n"/>
      <c r="F242" s="2" t="n"/>
    </row>
    <row r="243" ht="15.75" customHeight="1" s="67">
      <c r="A243" s="2" t="n"/>
      <c r="B243" s="2" t="n"/>
      <c r="C243" s="2" t="n"/>
      <c r="D243" s="2" t="n"/>
      <c r="E243" s="2" t="n"/>
      <c r="F243" s="2" t="n"/>
    </row>
    <row r="244" ht="15.75" customHeight="1" s="67">
      <c r="A244" s="2" t="n"/>
      <c r="B244" s="2" t="n"/>
      <c r="C244" s="2" t="n"/>
      <c r="D244" s="2" t="n"/>
      <c r="E244" s="2" t="n"/>
      <c r="F244" s="2" t="n"/>
    </row>
    <row r="245" ht="15.75" customHeight="1" s="67">
      <c r="A245" s="2" t="n"/>
      <c r="B245" s="2" t="n"/>
      <c r="C245" s="2" t="n"/>
      <c r="D245" s="2" t="n"/>
      <c r="E245" s="2" t="n"/>
      <c r="F245" s="2" t="n"/>
    </row>
    <row r="246" ht="15.75" customHeight="1" s="67">
      <c r="A246" s="2" t="n"/>
      <c r="B246" s="2" t="n"/>
      <c r="C246" s="2" t="n"/>
      <c r="D246" s="2" t="n"/>
      <c r="E246" s="2" t="n"/>
      <c r="F246" s="2" t="n"/>
    </row>
    <row r="247" ht="15.75" customHeight="1" s="67">
      <c r="A247" s="2" t="n"/>
      <c r="B247" s="2" t="n"/>
      <c r="C247" s="2" t="n"/>
      <c r="D247" s="2" t="n"/>
      <c r="E247" s="2" t="n"/>
      <c r="F247" s="2" t="n"/>
    </row>
    <row r="248" ht="15.75" customHeight="1" s="67">
      <c r="A248" s="2" t="n"/>
      <c r="B248" s="2" t="n"/>
      <c r="C248" s="2" t="n"/>
      <c r="D248" s="2" t="n"/>
      <c r="E248" s="2" t="n"/>
      <c r="F248" s="2" t="n"/>
    </row>
    <row r="249" ht="15.75" customHeight="1" s="67">
      <c r="A249" s="2" t="n"/>
      <c r="B249" s="2" t="n"/>
      <c r="C249" s="2" t="n"/>
      <c r="D249" s="2" t="n"/>
      <c r="E249" s="2" t="n"/>
      <c r="F249" s="2" t="n"/>
    </row>
    <row r="250" ht="15.75" customHeight="1" s="67">
      <c r="A250" s="2" t="n"/>
      <c r="B250" s="2" t="n"/>
      <c r="C250" s="2" t="n"/>
      <c r="D250" s="2" t="n"/>
      <c r="E250" s="2" t="n"/>
      <c r="F250" s="2" t="n"/>
    </row>
    <row r="251" ht="15.75" customHeight="1" s="67">
      <c r="A251" s="2" t="n"/>
      <c r="B251" s="2" t="n"/>
      <c r="C251" s="2" t="n"/>
      <c r="D251" s="2" t="n"/>
      <c r="E251" s="2" t="n"/>
      <c r="F251" s="2" t="n"/>
    </row>
    <row r="252" ht="15.75" customHeight="1" s="67">
      <c r="A252" s="2" t="n"/>
      <c r="B252" s="2" t="n"/>
      <c r="C252" s="2" t="n"/>
      <c r="D252" s="2" t="n"/>
      <c r="E252" s="2" t="n"/>
      <c r="F252" s="2" t="n"/>
    </row>
    <row r="253" ht="15.75" customHeight="1" s="67">
      <c r="A253" s="2" t="n"/>
      <c r="B253" s="2" t="n"/>
      <c r="C253" s="2" t="n"/>
      <c r="D253" s="2" t="n"/>
      <c r="E253" s="2" t="n"/>
      <c r="F253" s="2" t="n"/>
    </row>
    <row r="254" ht="15.75" customHeight="1" s="67">
      <c r="A254" s="2" t="n"/>
      <c r="B254" s="2" t="n"/>
      <c r="C254" s="2" t="n"/>
      <c r="D254" s="2" t="n"/>
      <c r="E254" s="2" t="n"/>
      <c r="F254" s="2" t="n"/>
    </row>
    <row r="255" ht="15.75" customHeight="1" s="67">
      <c r="A255" s="2" t="n"/>
      <c r="B255" s="2" t="n"/>
      <c r="C255" s="2" t="n"/>
      <c r="D255" s="2" t="n"/>
      <c r="E255" s="2" t="n"/>
      <c r="F255" s="2" t="n"/>
    </row>
    <row r="256" ht="15.75" customHeight="1" s="67">
      <c r="A256" s="2" t="n"/>
      <c r="B256" s="2" t="n"/>
      <c r="C256" s="2" t="n"/>
      <c r="D256" s="2" t="n"/>
      <c r="E256" s="2" t="n"/>
      <c r="F256" s="2" t="n"/>
    </row>
    <row r="257" ht="15.75" customHeight="1" s="67">
      <c r="A257" s="2" t="n"/>
      <c r="B257" s="2" t="n"/>
      <c r="C257" s="2" t="n"/>
      <c r="D257" s="2" t="n"/>
      <c r="E257" s="2" t="n"/>
      <c r="F257" s="2" t="n"/>
    </row>
    <row r="258" ht="15.75" customHeight="1" s="67">
      <c r="A258" s="2" t="n"/>
      <c r="B258" s="2" t="n"/>
      <c r="C258" s="2" t="n"/>
      <c r="D258" s="2" t="n"/>
      <c r="E258" s="2" t="n"/>
      <c r="F258" s="2" t="n"/>
    </row>
    <row r="259" ht="15.75" customHeight="1" s="67">
      <c r="A259" s="2" t="n"/>
      <c r="B259" s="2" t="n"/>
      <c r="C259" s="2" t="n"/>
      <c r="D259" s="2" t="n"/>
      <c r="E259" s="2" t="n"/>
      <c r="F259" s="2" t="n"/>
    </row>
    <row r="260" ht="15.75" customHeight="1" s="67">
      <c r="A260" s="2" t="n"/>
      <c r="B260" s="2" t="n"/>
      <c r="C260" s="2" t="n"/>
      <c r="D260" s="2" t="n"/>
      <c r="E260" s="2" t="n"/>
      <c r="F260" s="2" t="n"/>
    </row>
    <row r="261" ht="15.75" customHeight="1" s="67">
      <c r="A261" s="2" t="n"/>
      <c r="B261" s="2" t="n"/>
      <c r="C261" s="2" t="n"/>
      <c r="D261" s="2" t="n"/>
      <c r="E261" s="2" t="n"/>
      <c r="F261" s="2" t="n"/>
    </row>
    <row r="262" ht="15.75" customHeight="1" s="67">
      <c r="A262" s="2" t="n"/>
      <c r="B262" s="2" t="n"/>
      <c r="C262" s="2" t="n"/>
      <c r="D262" s="2" t="n"/>
      <c r="E262" s="2" t="n"/>
      <c r="F262" s="2" t="n"/>
    </row>
    <row r="263" ht="15.75" customHeight="1" s="67">
      <c r="A263" s="2" t="n"/>
      <c r="B263" s="2" t="n"/>
      <c r="C263" s="2" t="n"/>
      <c r="D263" s="2" t="n"/>
      <c r="E263" s="2" t="n"/>
      <c r="F263" s="2" t="n"/>
    </row>
    <row r="264" ht="15.75" customHeight="1" s="67">
      <c r="A264" s="2" t="n"/>
      <c r="B264" s="2" t="n"/>
      <c r="C264" s="2" t="n"/>
      <c r="D264" s="2" t="n"/>
      <c r="E264" s="2" t="n"/>
      <c r="F264" s="2" t="n"/>
    </row>
    <row r="265" ht="15.75" customHeight="1" s="67">
      <c r="A265" s="2" t="n"/>
      <c r="B265" s="2" t="n"/>
      <c r="C265" s="2" t="n"/>
      <c r="D265" s="2" t="n"/>
      <c r="E265" s="2" t="n"/>
      <c r="F265" s="2" t="n"/>
    </row>
    <row r="266" ht="15.75" customHeight="1" s="67">
      <c r="A266" s="2" t="n"/>
      <c r="B266" s="2" t="n"/>
      <c r="C266" s="2" t="n"/>
      <c r="D266" s="2" t="n"/>
      <c r="E266" s="2" t="n"/>
      <c r="F266" s="2" t="n"/>
    </row>
    <row r="267" ht="15.75" customHeight="1" s="67">
      <c r="A267" s="2" t="n"/>
      <c r="B267" s="2" t="n"/>
      <c r="C267" s="2" t="n"/>
      <c r="D267" s="2" t="n"/>
      <c r="E267" s="2" t="n"/>
      <c r="F267" s="2" t="n"/>
    </row>
    <row r="268" ht="15.75" customHeight="1" s="67">
      <c r="A268" s="2" t="n"/>
      <c r="B268" s="2" t="n"/>
      <c r="C268" s="2" t="n"/>
      <c r="D268" s="2" t="n"/>
      <c r="E268" s="2" t="n"/>
      <c r="F268" s="2" t="n"/>
    </row>
    <row r="269" ht="15.75" customHeight="1" s="67">
      <c r="A269" s="2" t="n"/>
      <c r="B269" s="2" t="n"/>
      <c r="C269" s="2" t="n"/>
      <c r="D269" s="2" t="n"/>
      <c r="E269" s="2" t="n"/>
      <c r="F269" s="2" t="n"/>
    </row>
    <row r="270" ht="15.75" customHeight="1" s="67">
      <c r="A270" s="2" t="n"/>
      <c r="B270" s="2" t="n"/>
      <c r="C270" s="2" t="n"/>
      <c r="D270" s="2" t="n"/>
      <c r="E270" s="2" t="n"/>
      <c r="F270" s="2" t="n"/>
    </row>
    <row r="271" ht="15.75" customHeight="1" s="67">
      <c r="A271" s="2" t="n"/>
      <c r="B271" s="2" t="n"/>
      <c r="C271" s="2" t="n"/>
      <c r="D271" s="2" t="n"/>
      <c r="E271" s="2" t="n"/>
      <c r="F271" s="2" t="n"/>
    </row>
    <row r="272" ht="15.75" customHeight="1" s="67">
      <c r="A272" s="2" t="n"/>
      <c r="B272" s="2" t="n"/>
      <c r="C272" s="2" t="n"/>
      <c r="D272" s="2" t="n"/>
      <c r="E272" s="2" t="n"/>
      <c r="F272" s="2" t="n"/>
    </row>
    <row r="273" ht="15.75" customHeight="1" s="67">
      <c r="A273" s="2" t="n"/>
      <c r="B273" s="2" t="n"/>
      <c r="C273" s="2" t="n"/>
      <c r="D273" s="2" t="n"/>
      <c r="E273" s="2" t="n"/>
      <c r="F273" s="2" t="n"/>
    </row>
    <row r="274" ht="15.75" customHeight="1" s="67">
      <c r="A274" s="2" t="n"/>
      <c r="B274" s="2" t="n"/>
      <c r="C274" s="2" t="n"/>
      <c r="D274" s="2" t="n"/>
      <c r="E274" s="2" t="n"/>
      <c r="F274" s="2" t="n"/>
    </row>
    <row r="275" ht="15.75" customHeight="1" s="67">
      <c r="A275" s="2" t="n"/>
      <c r="B275" s="2" t="n"/>
      <c r="C275" s="2" t="n"/>
      <c r="D275" s="2" t="n"/>
      <c r="E275" s="2" t="n"/>
      <c r="F275" s="2" t="n"/>
    </row>
    <row r="276" ht="15.75" customHeight="1" s="67">
      <c r="A276" s="2" t="n"/>
      <c r="B276" s="2" t="n"/>
      <c r="C276" s="2" t="n"/>
      <c r="D276" s="2" t="n"/>
      <c r="E276" s="2" t="n"/>
      <c r="F276" s="2" t="n"/>
    </row>
    <row r="277" ht="15.75" customHeight="1" s="67">
      <c r="A277" s="2" t="n"/>
      <c r="B277" s="2" t="n"/>
      <c r="C277" s="2" t="n"/>
      <c r="D277" s="2" t="n"/>
      <c r="E277" s="2" t="n"/>
      <c r="F277" s="2" t="n"/>
    </row>
    <row r="278" ht="15.75" customHeight="1" s="67">
      <c r="A278" s="2" t="n"/>
      <c r="B278" s="2" t="n"/>
      <c r="C278" s="2" t="n"/>
      <c r="D278" s="2" t="n"/>
      <c r="E278" s="2" t="n"/>
      <c r="F278" s="2" t="n"/>
    </row>
    <row r="279" ht="15.75" customHeight="1" s="67">
      <c r="A279" s="2" t="n"/>
      <c r="B279" s="2" t="n"/>
      <c r="C279" s="2" t="n"/>
      <c r="D279" s="2" t="n"/>
      <c r="E279" s="2" t="n"/>
      <c r="F279" s="2" t="n"/>
    </row>
    <row r="280" ht="15.75" customHeight="1" s="67">
      <c r="A280" s="2" t="n"/>
      <c r="B280" s="2" t="n"/>
      <c r="C280" s="2" t="n"/>
      <c r="D280" s="2" t="n"/>
      <c r="E280" s="2" t="n"/>
      <c r="F280" s="2" t="n"/>
    </row>
    <row r="281" ht="15.75" customHeight="1" s="67">
      <c r="A281" s="2" t="n"/>
      <c r="B281" s="2" t="n"/>
      <c r="C281" s="2" t="n"/>
      <c r="D281" s="2" t="n"/>
      <c r="E281" s="2" t="n"/>
      <c r="F281" s="2" t="n"/>
    </row>
    <row r="282" ht="15.75" customHeight="1" s="67">
      <c r="A282" s="2" t="n"/>
      <c r="B282" s="2" t="n"/>
      <c r="C282" s="2" t="n"/>
      <c r="D282" s="2" t="n"/>
      <c r="E282" s="2" t="n"/>
      <c r="F282" s="2" t="n"/>
    </row>
    <row r="283" ht="15.75" customHeight="1" s="67">
      <c r="A283" s="2" t="n"/>
      <c r="B283" s="2" t="n"/>
      <c r="C283" s="2" t="n"/>
      <c r="D283" s="2" t="n"/>
      <c r="E283" s="2" t="n"/>
      <c r="F283" s="2" t="n"/>
    </row>
    <row r="284" ht="15.75" customHeight="1" s="67">
      <c r="A284" s="2" t="n"/>
      <c r="B284" s="2" t="n"/>
      <c r="C284" s="2" t="n"/>
      <c r="D284" s="2" t="n"/>
      <c r="E284" s="2" t="n"/>
      <c r="F284" s="2" t="n"/>
    </row>
    <row r="285" ht="15.75" customHeight="1" s="67">
      <c r="A285" s="2" t="n"/>
      <c r="B285" s="2" t="n"/>
      <c r="C285" s="2" t="n"/>
      <c r="D285" s="2" t="n"/>
      <c r="E285" s="2" t="n"/>
      <c r="F285" s="2" t="n"/>
    </row>
    <row r="286" ht="15.75" customHeight="1" s="67">
      <c r="A286" s="2" t="n"/>
      <c r="B286" s="2" t="n"/>
      <c r="C286" s="2" t="n"/>
      <c r="D286" s="2" t="n"/>
      <c r="E286" s="2" t="n"/>
      <c r="F286" s="2" t="n"/>
    </row>
    <row r="287" ht="15.75" customHeight="1" s="67">
      <c r="A287" s="2" t="n"/>
      <c r="B287" s="2" t="n"/>
      <c r="C287" s="2" t="n"/>
      <c r="D287" s="2" t="n"/>
      <c r="E287" s="2" t="n"/>
      <c r="F287" s="2" t="n"/>
    </row>
    <row r="288" ht="15.75" customHeight="1" s="67">
      <c r="A288" s="2" t="n"/>
      <c r="B288" s="2" t="n"/>
      <c r="C288" s="2" t="n"/>
      <c r="D288" s="2" t="n"/>
      <c r="E288" s="2" t="n"/>
      <c r="F288" s="2" t="n"/>
    </row>
    <row r="289" ht="15.75" customHeight="1" s="67">
      <c r="A289" s="2" t="n"/>
      <c r="B289" s="2" t="n"/>
      <c r="C289" s="2" t="n"/>
      <c r="D289" s="2" t="n"/>
      <c r="E289" s="2" t="n"/>
      <c r="F289" s="2" t="n"/>
    </row>
    <row r="290" ht="15.75" customHeight="1" s="67">
      <c r="A290" s="2" t="n"/>
      <c r="B290" s="2" t="n"/>
      <c r="C290" s="2" t="n"/>
      <c r="D290" s="2" t="n"/>
      <c r="E290" s="2" t="n"/>
      <c r="F290" s="2" t="n"/>
    </row>
    <row r="291" ht="15.75" customHeight="1" s="67">
      <c r="A291" s="2" t="n"/>
      <c r="B291" s="2" t="n"/>
      <c r="C291" s="2" t="n"/>
      <c r="D291" s="2" t="n"/>
      <c r="E291" s="2" t="n"/>
      <c r="F291" s="2" t="n"/>
    </row>
    <row r="292" ht="15.75" customHeight="1" s="67">
      <c r="A292" s="2" t="n"/>
      <c r="B292" s="2" t="n"/>
      <c r="C292" s="2" t="n"/>
      <c r="D292" s="2" t="n"/>
      <c r="E292" s="2" t="n"/>
      <c r="F292" s="2" t="n"/>
    </row>
    <row r="293" ht="15.75" customHeight="1" s="67">
      <c r="A293" s="2" t="n"/>
      <c r="B293" s="2" t="n"/>
      <c r="C293" s="2" t="n"/>
      <c r="D293" s="2" t="n"/>
      <c r="E293" s="2" t="n"/>
      <c r="F293" s="2" t="n"/>
    </row>
    <row r="294" ht="15.75" customHeight="1" s="67">
      <c r="A294" s="2" t="n"/>
      <c r="B294" s="2" t="n"/>
      <c r="C294" s="2" t="n"/>
      <c r="D294" s="2" t="n"/>
      <c r="E294" s="2" t="n"/>
      <c r="F294" s="2" t="n"/>
    </row>
    <row r="295" ht="15.75" customHeight="1" s="67">
      <c r="A295" s="2" t="n"/>
      <c r="B295" s="2" t="n"/>
      <c r="C295" s="2" t="n"/>
      <c r="D295" s="2" t="n"/>
      <c r="E295" s="2" t="n"/>
      <c r="F295" s="2" t="n"/>
    </row>
    <row r="296" ht="15.75" customHeight="1" s="67">
      <c r="A296" s="2" t="n"/>
      <c r="B296" s="2" t="n"/>
      <c r="C296" s="2" t="n"/>
      <c r="D296" s="2" t="n"/>
      <c r="E296" s="2" t="n"/>
      <c r="F296" s="2" t="n"/>
    </row>
    <row r="297" ht="15.75" customHeight="1" s="67">
      <c r="A297" s="2" t="n"/>
      <c r="B297" s="2" t="n"/>
      <c r="C297" s="2" t="n"/>
      <c r="D297" s="2" t="n"/>
      <c r="E297" s="2" t="n"/>
      <c r="F297" s="2" t="n"/>
    </row>
    <row r="298" ht="15.75" customHeight="1" s="67">
      <c r="A298" s="2" t="n"/>
      <c r="B298" s="2" t="n"/>
      <c r="C298" s="2" t="n"/>
      <c r="D298" s="2" t="n"/>
      <c r="E298" s="2" t="n"/>
      <c r="F298" s="2" t="n"/>
    </row>
    <row r="299" ht="15.75" customHeight="1" s="67">
      <c r="A299" s="2" t="n"/>
      <c r="B299" s="2" t="n"/>
      <c r="C299" s="2" t="n"/>
      <c r="D299" s="2" t="n"/>
      <c r="E299" s="2" t="n"/>
      <c r="F299" s="2" t="n"/>
    </row>
    <row r="300" ht="15.75" customHeight="1" s="67">
      <c r="A300" s="2" t="n"/>
      <c r="B300" s="2" t="n"/>
      <c r="C300" s="2" t="n"/>
      <c r="D300" s="2" t="n"/>
      <c r="E300" s="2" t="n"/>
      <c r="F300" s="2" t="n"/>
    </row>
    <row r="301" ht="15.75" customHeight="1" s="67">
      <c r="A301" s="2" t="n"/>
      <c r="B301" s="2" t="n"/>
      <c r="C301" s="2" t="n"/>
      <c r="D301" s="2" t="n"/>
      <c r="E301" s="2" t="n"/>
      <c r="F301" s="2" t="n"/>
    </row>
    <row r="302" ht="15.75" customHeight="1" s="67">
      <c r="A302" s="2" t="n"/>
      <c r="B302" s="2" t="n"/>
      <c r="C302" s="2" t="n"/>
      <c r="D302" s="2" t="n"/>
      <c r="E302" s="2" t="n"/>
      <c r="F302" s="2" t="n"/>
    </row>
    <row r="303" ht="15.75" customHeight="1" s="67">
      <c r="A303" s="2" t="n"/>
      <c r="B303" s="2" t="n"/>
      <c r="C303" s="2" t="n"/>
      <c r="D303" s="2" t="n"/>
      <c r="E303" s="2" t="n"/>
      <c r="F303" s="2" t="n"/>
    </row>
    <row r="304" ht="15.75" customHeight="1" s="67">
      <c r="A304" s="2" t="n"/>
      <c r="B304" s="2" t="n"/>
      <c r="C304" s="2" t="n"/>
      <c r="D304" s="2" t="n"/>
      <c r="E304" s="2" t="n"/>
      <c r="F304" s="2" t="n"/>
    </row>
    <row r="305" ht="15.75" customHeight="1" s="67">
      <c r="A305" s="2" t="n"/>
      <c r="B305" s="2" t="n"/>
      <c r="C305" s="2" t="n"/>
      <c r="D305" s="2" t="n"/>
      <c r="E305" s="2" t="n"/>
      <c r="F305" s="2" t="n"/>
    </row>
    <row r="306" ht="15.75" customHeight="1" s="67">
      <c r="A306" s="2" t="n"/>
      <c r="B306" s="2" t="n"/>
      <c r="C306" s="2" t="n"/>
      <c r="D306" s="2" t="n"/>
      <c r="E306" s="2" t="n"/>
      <c r="F306" s="2" t="n"/>
    </row>
    <row r="307" ht="15.75" customHeight="1" s="67">
      <c r="A307" s="2" t="n"/>
      <c r="B307" s="2" t="n"/>
      <c r="C307" s="2" t="n"/>
      <c r="D307" s="2" t="n"/>
      <c r="E307" s="2" t="n"/>
      <c r="F307" s="2" t="n"/>
    </row>
    <row r="308" ht="15.75" customHeight="1" s="67">
      <c r="A308" s="2" t="n"/>
      <c r="B308" s="2" t="n"/>
      <c r="C308" s="2" t="n"/>
      <c r="D308" s="2" t="n"/>
      <c r="E308" s="2" t="n"/>
      <c r="F308" s="2" t="n"/>
    </row>
    <row r="309" ht="15.75" customHeight="1" s="67">
      <c r="A309" s="2" t="n"/>
      <c r="B309" s="2" t="n"/>
      <c r="C309" s="2" t="n"/>
      <c r="D309" s="2" t="n"/>
      <c r="E309" s="2" t="n"/>
      <c r="F309" s="2" t="n"/>
    </row>
    <row r="310" ht="15.75" customHeight="1" s="67">
      <c r="A310" s="2" t="n"/>
      <c r="B310" s="2" t="n"/>
      <c r="C310" s="2" t="n"/>
      <c r="D310" s="2" t="n"/>
      <c r="E310" s="2" t="n"/>
      <c r="F310" s="2" t="n"/>
    </row>
    <row r="311" ht="15.75" customHeight="1" s="67">
      <c r="A311" s="2" t="n"/>
      <c r="B311" s="2" t="n"/>
      <c r="C311" s="2" t="n"/>
      <c r="D311" s="2" t="n"/>
      <c r="E311" s="2" t="n"/>
      <c r="F311" s="2" t="n"/>
    </row>
    <row r="312" ht="15.75" customHeight="1" s="67">
      <c r="A312" s="2" t="n"/>
      <c r="B312" s="2" t="n"/>
      <c r="C312" s="2" t="n"/>
      <c r="D312" s="2" t="n"/>
      <c r="E312" s="2" t="n"/>
      <c r="F312" s="2" t="n"/>
    </row>
    <row r="313" ht="15.75" customHeight="1" s="67">
      <c r="A313" s="2" t="n"/>
      <c r="B313" s="2" t="n"/>
      <c r="C313" s="2" t="n"/>
      <c r="D313" s="2" t="n"/>
      <c r="E313" s="2" t="n"/>
      <c r="F313" s="2" t="n"/>
    </row>
    <row r="314" ht="15.75" customHeight="1" s="67">
      <c r="A314" s="2" t="n"/>
      <c r="B314" s="2" t="n"/>
      <c r="C314" s="2" t="n"/>
      <c r="D314" s="2" t="n"/>
      <c r="E314" s="2" t="n"/>
      <c r="F314" s="2" t="n"/>
    </row>
    <row r="315" ht="15.75" customHeight="1" s="67">
      <c r="A315" s="2" t="n"/>
      <c r="B315" s="2" t="n"/>
      <c r="C315" s="2" t="n"/>
      <c r="D315" s="2" t="n"/>
      <c r="E315" s="2" t="n"/>
      <c r="F315" s="2" t="n"/>
    </row>
    <row r="316" ht="15.75" customHeight="1" s="67">
      <c r="A316" s="2" t="n"/>
      <c r="B316" s="2" t="n"/>
      <c r="C316" s="2" t="n"/>
      <c r="D316" s="2" t="n"/>
      <c r="E316" s="2" t="n"/>
      <c r="F316" s="2" t="n"/>
    </row>
    <row r="317" ht="15.75" customHeight="1" s="67">
      <c r="A317" s="2" t="n"/>
      <c r="B317" s="2" t="n"/>
      <c r="C317" s="2" t="n"/>
      <c r="D317" s="2" t="n"/>
      <c r="E317" s="2" t="n"/>
      <c r="F317" s="2" t="n"/>
    </row>
    <row r="318" ht="15.75" customHeight="1" s="67">
      <c r="A318" s="2" t="n"/>
      <c r="B318" s="2" t="n"/>
      <c r="C318" s="2" t="n"/>
      <c r="D318" s="2" t="n"/>
      <c r="E318" s="2" t="n"/>
      <c r="F318" s="2" t="n"/>
    </row>
    <row r="319" ht="15.75" customHeight="1" s="67">
      <c r="A319" s="2" t="n"/>
      <c r="B319" s="2" t="n"/>
      <c r="C319" s="2" t="n"/>
      <c r="D319" s="2" t="n"/>
      <c r="E319" s="2" t="n"/>
      <c r="F319" s="2" t="n"/>
    </row>
    <row r="320" ht="15.75" customHeight="1" s="67">
      <c r="A320" s="2" t="n"/>
      <c r="B320" s="2" t="n"/>
      <c r="C320" s="2" t="n"/>
      <c r="D320" s="2" t="n"/>
      <c r="E320" s="2" t="n"/>
      <c r="F320" s="2" t="n"/>
    </row>
    <row r="321" ht="15.75" customHeight="1" s="67">
      <c r="A321" s="2" t="n"/>
      <c r="B321" s="2" t="n"/>
      <c r="C321" s="2" t="n"/>
      <c r="D321" s="2" t="n"/>
      <c r="E321" s="2" t="n"/>
      <c r="F321" s="2" t="n"/>
    </row>
    <row r="322" ht="15.75" customHeight="1" s="67">
      <c r="A322" s="2" t="n"/>
      <c r="B322" s="2" t="n"/>
      <c r="C322" s="2" t="n"/>
      <c r="D322" s="2" t="n"/>
      <c r="E322" s="2" t="n"/>
      <c r="F322" s="2" t="n"/>
    </row>
    <row r="323" ht="15.75" customHeight="1" s="67">
      <c r="A323" s="2" t="n"/>
      <c r="B323" s="2" t="n"/>
      <c r="C323" s="2" t="n"/>
      <c r="D323" s="2" t="n"/>
      <c r="E323" s="2" t="n"/>
      <c r="F323" s="2" t="n"/>
    </row>
    <row r="324" ht="15.75" customHeight="1" s="67">
      <c r="A324" s="2" t="n"/>
      <c r="B324" s="2" t="n"/>
      <c r="C324" s="2" t="n"/>
      <c r="D324" s="2" t="n"/>
      <c r="E324" s="2" t="n"/>
      <c r="F324" s="2" t="n"/>
    </row>
    <row r="325" ht="15.75" customHeight="1" s="67">
      <c r="A325" s="2" t="n"/>
      <c r="B325" s="2" t="n"/>
      <c r="C325" s="2" t="n"/>
      <c r="D325" s="2" t="n"/>
      <c r="E325" s="2" t="n"/>
      <c r="F325" s="2" t="n"/>
    </row>
    <row r="326" ht="15.75" customHeight="1" s="67">
      <c r="A326" s="2" t="n"/>
      <c r="B326" s="2" t="n"/>
      <c r="C326" s="2" t="n"/>
      <c r="D326" s="2" t="n"/>
      <c r="E326" s="2" t="n"/>
      <c r="F326" s="2" t="n"/>
    </row>
    <row r="327" ht="15.75" customHeight="1" s="67">
      <c r="A327" s="2" t="n"/>
      <c r="B327" s="2" t="n"/>
      <c r="C327" s="2" t="n"/>
      <c r="D327" s="2" t="n"/>
      <c r="E327" s="2" t="n"/>
      <c r="F327" s="2" t="n"/>
    </row>
    <row r="328" ht="15.75" customHeight="1" s="67">
      <c r="A328" s="2" t="n"/>
      <c r="B328" s="2" t="n"/>
      <c r="C328" s="2" t="n"/>
      <c r="D328" s="2" t="n"/>
      <c r="E328" s="2" t="n"/>
      <c r="F328" s="2" t="n"/>
    </row>
    <row r="329" ht="15.75" customHeight="1" s="67">
      <c r="A329" s="2" t="n"/>
      <c r="B329" s="2" t="n"/>
      <c r="C329" s="2" t="n"/>
      <c r="D329" s="2" t="n"/>
      <c r="E329" s="2" t="n"/>
      <c r="F329" s="2" t="n"/>
    </row>
    <row r="330" ht="15.75" customHeight="1" s="67">
      <c r="A330" s="2" t="n"/>
      <c r="B330" s="2" t="n"/>
      <c r="C330" s="2" t="n"/>
      <c r="D330" s="2" t="n"/>
      <c r="E330" s="2" t="n"/>
      <c r="F330" s="2" t="n"/>
    </row>
    <row r="331" ht="15.75" customHeight="1" s="67">
      <c r="A331" s="2" t="n"/>
      <c r="B331" s="2" t="n"/>
      <c r="C331" s="2" t="n"/>
      <c r="D331" s="2" t="n"/>
      <c r="E331" s="2" t="n"/>
      <c r="F331" s="2" t="n"/>
    </row>
    <row r="332" ht="15.75" customHeight="1" s="67">
      <c r="A332" s="2" t="n"/>
      <c r="B332" s="2" t="n"/>
      <c r="C332" s="2" t="n"/>
      <c r="D332" s="2" t="n"/>
      <c r="E332" s="2" t="n"/>
      <c r="F332" s="2" t="n"/>
    </row>
    <row r="333" ht="15.75" customHeight="1" s="67">
      <c r="A333" s="2" t="n"/>
      <c r="B333" s="2" t="n"/>
      <c r="C333" s="2" t="n"/>
      <c r="D333" s="2" t="n"/>
      <c r="E333" s="2" t="n"/>
      <c r="F333" s="2" t="n"/>
    </row>
    <row r="334" ht="15.75" customHeight="1" s="67">
      <c r="A334" s="2" t="n"/>
      <c r="B334" s="2" t="n"/>
      <c r="C334" s="2" t="n"/>
      <c r="D334" s="2" t="n"/>
      <c r="E334" s="2" t="n"/>
      <c r="F334" s="2" t="n"/>
    </row>
    <row r="335" ht="15.75" customHeight="1" s="67">
      <c r="A335" s="2" t="n"/>
      <c r="B335" s="2" t="n"/>
      <c r="C335" s="2" t="n"/>
      <c r="D335" s="2" t="n"/>
      <c r="E335" s="2" t="n"/>
      <c r="F335" s="2" t="n"/>
    </row>
    <row r="336" ht="15.75" customHeight="1" s="67">
      <c r="A336" s="2" t="n"/>
      <c r="B336" s="2" t="n"/>
      <c r="C336" s="2" t="n"/>
      <c r="D336" s="2" t="n"/>
      <c r="E336" s="2" t="n"/>
      <c r="F336" s="2" t="n"/>
    </row>
    <row r="337" ht="15.75" customHeight="1" s="67">
      <c r="A337" s="2" t="n"/>
      <c r="B337" s="2" t="n"/>
      <c r="C337" s="2" t="n"/>
      <c r="D337" s="2" t="n"/>
      <c r="E337" s="2" t="n"/>
      <c r="F337" s="2" t="n"/>
    </row>
    <row r="338" ht="15.75" customHeight="1" s="67">
      <c r="A338" s="2" t="n"/>
      <c r="B338" s="2" t="n"/>
      <c r="C338" s="2" t="n"/>
      <c r="D338" s="2" t="n"/>
      <c r="E338" s="2" t="n"/>
      <c r="F338" s="2" t="n"/>
    </row>
    <row r="339" ht="15.75" customHeight="1" s="67">
      <c r="A339" s="2" t="n"/>
      <c r="B339" s="2" t="n"/>
      <c r="C339" s="2" t="n"/>
      <c r="D339" s="2" t="n"/>
      <c r="E339" s="2" t="n"/>
      <c r="F339" s="2" t="n"/>
    </row>
    <row r="340" ht="15.75" customHeight="1" s="67">
      <c r="A340" s="2" t="n"/>
      <c r="B340" s="2" t="n"/>
      <c r="C340" s="2" t="n"/>
      <c r="D340" s="2" t="n"/>
      <c r="E340" s="2" t="n"/>
      <c r="F340" s="2" t="n"/>
    </row>
    <row r="341" ht="15.75" customHeight="1" s="67">
      <c r="A341" s="2" t="n"/>
      <c r="B341" s="2" t="n"/>
      <c r="C341" s="2" t="n"/>
      <c r="D341" s="2" t="n"/>
      <c r="E341" s="2" t="n"/>
      <c r="F341" s="2" t="n"/>
    </row>
    <row r="342" ht="15.75" customHeight="1" s="67">
      <c r="A342" s="2" t="n"/>
      <c r="B342" s="2" t="n"/>
      <c r="C342" s="2" t="n"/>
      <c r="D342" s="2" t="n"/>
      <c r="E342" s="2" t="n"/>
      <c r="F342" s="2" t="n"/>
    </row>
    <row r="343" ht="15.75" customHeight="1" s="67">
      <c r="A343" s="2" t="n"/>
      <c r="B343" s="2" t="n"/>
      <c r="C343" s="2" t="n"/>
      <c r="D343" s="2" t="n"/>
      <c r="E343" s="2" t="n"/>
      <c r="F343" s="2" t="n"/>
    </row>
    <row r="344" ht="15.75" customHeight="1" s="67">
      <c r="A344" s="2" t="n"/>
      <c r="B344" s="2" t="n"/>
      <c r="C344" s="2" t="n"/>
      <c r="D344" s="2" t="n"/>
      <c r="E344" s="2" t="n"/>
      <c r="F344" s="2" t="n"/>
    </row>
    <row r="345" ht="15.75" customHeight="1" s="67">
      <c r="A345" s="2" t="n"/>
      <c r="B345" s="2" t="n"/>
      <c r="C345" s="2" t="n"/>
      <c r="D345" s="2" t="n"/>
      <c r="E345" s="2" t="n"/>
      <c r="F345" s="2" t="n"/>
    </row>
    <row r="346" ht="15.75" customHeight="1" s="67">
      <c r="A346" s="2" t="n"/>
      <c r="B346" s="2" t="n"/>
      <c r="C346" s="2" t="n"/>
      <c r="D346" s="2" t="n"/>
      <c r="E346" s="2" t="n"/>
      <c r="F346" s="2" t="n"/>
    </row>
    <row r="347" ht="15.75" customHeight="1" s="67">
      <c r="A347" s="2" t="n"/>
      <c r="B347" s="2" t="n"/>
      <c r="C347" s="2" t="n"/>
      <c r="D347" s="2" t="n"/>
      <c r="E347" s="2" t="n"/>
      <c r="F347" s="2" t="n"/>
    </row>
    <row r="348" ht="15.75" customHeight="1" s="67">
      <c r="A348" s="2" t="n"/>
      <c r="B348" s="2" t="n"/>
      <c r="C348" s="2" t="n"/>
      <c r="D348" s="2" t="n"/>
      <c r="E348" s="2" t="n"/>
      <c r="F348" s="2" t="n"/>
    </row>
    <row r="349" ht="15.75" customHeight="1" s="67">
      <c r="A349" s="2" t="n"/>
      <c r="B349" s="2" t="n"/>
      <c r="C349" s="2" t="n"/>
      <c r="D349" s="2" t="n"/>
      <c r="E349" s="2" t="n"/>
      <c r="F349" s="2" t="n"/>
    </row>
    <row r="350" ht="15.75" customHeight="1" s="67">
      <c r="A350" s="2" t="n"/>
      <c r="B350" s="2" t="n"/>
      <c r="C350" s="2" t="n"/>
      <c r="D350" s="2" t="n"/>
      <c r="E350" s="2" t="n"/>
      <c r="F350" s="2" t="n"/>
    </row>
    <row r="351" ht="15.75" customHeight="1" s="67">
      <c r="A351" s="2" t="n"/>
      <c r="B351" s="2" t="n"/>
      <c r="C351" s="2" t="n"/>
      <c r="D351" s="2" t="n"/>
      <c r="E351" s="2" t="n"/>
      <c r="F351" s="2" t="n"/>
    </row>
    <row r="352" ht="15.75" customHeight="1" s="67">
      <c r="A352" s="2" t="n"/>
      <c r="B352" s="2" t="n"/>
      <c r="C352" s="2" t="n"/>
      <c r="D352" s="2" t="n"/>
      <c r="E352" s="2" t="n"/>
      <c r="F352" s="2" t="n"/>
    </row>
    <row r="353" ht="15.75" customHeight="1" s="67">
      <c r="A353" s="2" t="n"/>
      <c r="B353" s="2" t="n"/>
      <c r="C353" s="2" t="n"/>
      <c r="D353" s="2" t="n"/>
      <c r="E353" s="2" t="n"/>
      <c r="F353" s="2" t="n"/>
    </row>
    <row r="354" ht="15.75" customHeight="1" s="67">
      <c r="A354" s="2" t="n"/>
      <c r="B354" s="2" t="n"/>
      <c r="C354" s="2" t="n"/>
      <c r="D354" s="2" t="n"/>
      <c r="E354" s="2" t="n"/>
      <c r="F354" s="2" t="n"/>
    </row>
    <row r="355" ht="15.75" customHeight="1" s="67">
      <c r="A355" s="2" t="n"/>
      <c r="B355" s="2" t="n"/>
      <c r="C355" s="2" t="n"/>
      <c r="D355" s="2" t="n"/>
      <c r="E355" s="2" t="n"/>
      <c r="F355" s="2" t="n"/>
    </row>
    <row r="356" ht="15.75" customHeight="1" s="67">
      <c r="A356" s="2" t="n"/>
      <c r="B356" s="2" t="n"/>
      <c r="C356" s="2" t="n"/>
      <c r="D356" s="2" t="n"/>
      <c r="E356" s="2" t="n"/>
      <c r="F356" s="2" t="n"/>
    </row>
    <row r="357" ht="15.75" customHeight="1" s="67">
      <c r="A357" s="2" t="n"/>
      <c r="B357" s="2" t="n"/>
      <c r="C357" s="2" t="n"/>
      <c r="D357" s="2" t="n"/>
      <c r="E357" s="2" t="n"/>
      <c r="F357" s="2" t="n"/>
    </row>
    <row r="358" ht="15.75" customHeight="1" s="67">
      <c r="A358" s="2" t="n"/>
      <c r="B358" s="2" t="n"/>
      <c r="C358" s="2" t="n"/>
      <c r="D358" s="2" t="n"/>
      <c r="E358" s="2" t="n"/>
      <c r="F358" s="2" t="n"/>
    </row>
    <row r="359" ht="15.75" customHeight="1" s="67">
      <c r="A359" s="2" t="n"/>
      <c r="B359" s="2" t="n"/>
      <c r="C359" s="2" t="n"/>
      <c r="D359" s="2" t="n"/>
      <c r="E359" s="2" t="n"/>
      <c r="F359" s="2" t="n"/>
    </row>
    <row r="360" ht="15.75" customHeight="1" s="67">
      <c r="A360" s="2" t="n"/>
      <c r="B360" s="2" t="n"/>
      <c r="C360" s="2" t="n"/>
      <c r="D360" s="2" t="n"/>
      <c r="E360" s="2" t="n"/>
      <c r="F360" s="2" t="n"/>
    </row>
    <row r="361" ht="15.75" customHeight="1" s="67">
      <c r="A361" s="2" t="n"/>
      <c r="B361" s="2" t="n"/>
      <c r="C361" s="2" t="n"/>
      <c r="D361" s="2" t="n"/>
      <c r="E361" s="2" t="n"/>
      <c r="F361" s="2" t="n"/>
    </row>
    <row r="362" ht="15.75" customHeight="1" s="67">
      <c r="A362" s="2" t="n"/>
      <c r="B362" s="2" t="n"/>
      <c r="C362" s="2" t="n"/>
      <c r="D362" s="2" t="n"/>
      <c r="E362" s="2" t="n"/>
      <c r="F362" s="2" t="n"/>
    </row>
    <row r="363" ht="15.75" customHeight="1" s="67">
      <c r="A363" s="2" t="n"/>
      <c r="B363" s="2" t="n"/>
      <c r="C363" s="2" t="n"/>
      <c r="D363" s="2" t="n"/>
      <c r="E363" s="2" t="n"/>
      <c r="F363" s="2" t="n"/>
    </row>
    <row r="364" ht="15.75" customHeight="1" s="67">
      <c r="A364" s="2" t="n"/>
      <c r="B364" s="2" t="n"/>
      <c r="C364" s="2" t="n"/>
      <c r="D364" s="2" t="n"/>
      <c r="E364" s="2" t="n"/>
      <c r="F364" s="2" t="n"/>
    </row>
    <row r="365" ht="15.75" customHeight="1" s="67">
      <c r="A365" s="2" t="n"/>
      <c r="B365" s="2" t="n"/>
      <c r="C365" s="2" t="n"/>
      <c r="D365" s="2" t="n"/>
      <c r="E365" s="2" t="n"/>
      <c r="F365" s="2" t="n"/>
    </row>
    <row r="366" ht="15.75" customHeight="1" s="67">
      <c r="A366" s="2" t="n"/>
      <c r="B366" s="2" t="n"/>
      <c r="C366" s="2" t="n"/>
      <c r="D366" s="2" t="n"/>
      <c r="E366" s="2" t="n"/>
      <c r="F366" s="2" t="n"/>
    </row>
    <row r="367" ht="15.75" customHeight="1" s="67">
      <c r="A367" s="2" t="n"/>
      <c r="B367" s="2" t="n"/>
      <c r="C367" s="2" t="n"/>
      <c r="D367" s="2" t="n"/>
      <c r="E367" s="2" t="n"/>
      <c r="F367" s="2" t="n"/>
    </row>
    <row r="368" ht="15.75" customHeight="1" s="67">
      <c r="A368" s="2" t="n"/>
      <c r="B368" s="2" t="n"/>
      <c r="C368" s="2" t="n"/>
      <c r="D368" s="2" t="n"/>
      <c r="E368" s="2" t="n"/>
      <c r="F368" s="2" t="n"/>
    </row>
    <row r="369" ht="15.75" customHeight="1" s="67">
      <c r="A369" s="2" t="n"/>
      <c r="B369" s="2" t="n"/>
      <c r="C369" s="2" t="n"/>
      <c r="D369" s="2" t="n"/>
      <c r="E369" s="2" t="n"/>
      <c r="F369" s="2" t="n"/>
    </row>
    <row r="370" ht="15.75" customHeight="1" s="67">
      <c r="A370" s="2" t="n"/>
      <c r="B370" s="2" t="n"/>
      <c r="C370" s="2" t="n"/>
      <c r="D370" s="2" t="n"/>
      <c r="E370" s="2" t="n"/>
      <c r="F370" s="2" t="n"/>
    </row>
    <row r="371" ht="15.75" customHeight="1" s="67">
      <c r="A371" s="2" t="n"/>
      <c r="B371" s="2" t="n"/>
      <c r="C371" s="2" t="n"/>
      <c r="D371" s="2" t="n"/>
      <c r="E371" s="2" t="n"/>
      <c r="F371" s="2" t="n"/>
    </row>
    <row r="372" ht="15.75" customHeight="1" s="67">
      <c r="A372" s="2" t="n"/>
      <c r="B372" s="2" t="n"/>
      <c r="C372" s="2" t="n"/>
      <c r="D372" s="2" t="n"/>
      <c r="E372" s="2" t="n"/>
      <c r="F372" s="2" t="n"/>
    </row>
    <row r="373" ht="15.75" customHeight="1" s="67">
      <c r="A373" s="2" t="n"/>
      <c r="B373" s="2" t="n"/>
      <c r="C373" s="2" t="n"/>
      <c r="D373" s="2" t="n"/>
      <c r="E373" s="2" t="n"/>
      <c r="F373" s="2" t="n"/>
    </row>
    <row r="374" ht="15.75" customHeight="1" s="67">
      <c r="A374" s="2" t="n"/>
      <c r="B374" s="2" t="n"/>
      <c r="C374" s="2" t="n"/>
      <c r="D374" s="2" t="n"/>
      <c r="E374" s="2" t="n"/>
      <c r="F374" s="2" t="n"/>
    </row>
    <row r="375" ht="15.75" customHeight="1" s="67">
      <c r="A375" s="2" t="n"/>
      <c r="B375" s="2" t="n"/>
      <c r="C375" s="2" t="n"/>
      <c r="D375" s="2" t="n"/>
      <c r="E375" s="2" t="n"/>
      <c r="F375" s="2" t="n"/>
    </row>
    <row r="376" ht="15.75" customHeight="1" s="67">
      <c r="A376" s="2" t="n"/>
      <c r="B376" s="2" t="n"/>
      <c r="C376" s="2" t="n"/>
      <c r="D376" s="2" t="n"/>
      <c r="E376" s="2" t="n"/>
      <c r="F376" s="2" t="n"/>
    </row>
    <row r="377" ht="15.75" customHeight="1" s="67">
      <c r="A377" s="2" t="n"/>
      <c r="B377" s="2" t="n"/>
      <c r="C377" s="2" t="n"/>
      <c r="D377" s="2" t="n"/>
      <c r="E377" s="2" t="n"/>
      <c r="F377" s="2" t="n"/>
    </row>
    <row r="378" ht="15.75" customHeight="1" s="67">
      <c r="A378" s="2" t="n"/>
      <c r="B378" s="2" t="n"/>
      <c r="C378" s="2" t="n"/>
      <c r="D378" s="2" t="n"/>
      <c r="E378" s="2" t="n"/>
      <c r="F378" s="2" t="n"/>
    </row>
    <row r="379" ht="15.75" customHeight="1" s="67">
      <c r="A379" s="2" t="n"/>
      <c r="B379" s="2" t="n"/>
      <c r="C379" s="2" t="n"/>
      <c r="D379" s="2" t="n"/>
      <c r="E379" s="2" t="n"/>
      <c r="F379" s="2" t="n"/>
    </row>
    <row r="380" ht="15.75" customHeight="1" s="67">
      <c r="A380" s="2" t="n"/>
      <c r="B380" s="2" t="n"/>
      <c r="C380" s="2" t="n"/>
      <c r="D380" s="2" t="n"/>
      <c r="E380" s="2" t="n"/>
      <c r="F380" s="2" t="n"/>
    </row>
    <row r="381" ht="15.75" customHeight="1" s="67">
      <c r="A381" s="2" t="n"/>
      <c r="B381" s="2" t="n"/>
      <c r="C381" s="2" t="n"/>
      <c r="D381" s="2" t="n"/>
      <c r="E381" s="2" t="n"/>
      <c r="F381" s="2" t="n"/>
    </row>
    <row r="382" ht="15.75" customHeight="1" s="67">
      <c r="A382" s="2" t="n"/>
      <c r="B382" s="2" t="n"/>
      <c r="C382" s="2" t="n"/>
      <c r="D382" s="2" t="n"/>
      <c r="E382" s="2" t="n"/>
      <c r="F382" s="2" t="n"/>
    </row>
    <row r="383" ht="15.75" customHeight="1" s="67">
      <c r="A383" s="2" t="n"/>
      <c r="B383" s="2" t="n"/>
      <c r="C383" s="2" t="n"/>
      <c r="D383" s="2" t="n"/>
      <c r="E383" s="2" t="n"/>
      <c r="F383" s="2" t="n"/>
    </row>
    <row r="384" ht="15.75" customHeight="1" s="67">
      <c r="A384" s="2" t="n"/>
      <c r="B384" s="2" t="n"/>
      <c r="C384" s="2" t="n"/>
      <c r="D384" s="2" t="n"/>
      <c r="E384" s="2" t="n"/>
      <c r="F384" s="2" t="n"/>
    </row>
    <row r="385" ht="15.75" customHeight="1" s="67">
      <c r="A385" s="2" t="n"/>
      <c r="B385" s="2" t="n"/>
      <c r="C385" s="2" t="n"/>
      <c r="D385" s="2" t="n"/>
      <c r="E385" s="2" t="n"/>
      <c r="F385" s="2" t="n"/>
    </row>
    <row r="386" ht="15.75" customHeight="1" s="67">
      <c r="A386" s="2" t="n"/>
      <c r="B386" s="2" t="n"/>
      <c r="C386" s="2" t="n"/>
      <c r="D386" s="2" t="n"/>
      <c r="E386" s="2" t="n"/>
      <c r="F386" s="2" t="n"/>
    </row>
    <row r="387" ht="15.75" customHeight="1" s="67">
      <c r="A387" s="2" t="n"/>
      <c r="B387" s="2" t="n"/>
      <c r="C387" s="2" t="n"/>
      <c r="D387" s="2" t="n"/>
      <c r="E387" s="2" t="n"/>
      <c r="F387" s="2" t="n"/>
    </row>
    <row r="388" ht="15.75" customHeight="1" s="67">
      <c r="A388" s="2" t="n"/>
      <c r="B388" s="2" t="n"/>
      <c r="C388" s="2" t="n"/>
      <c r="D388" s="2" t="n"/>
      <c r="E388" s="2" t="n"/>
      <c r="F388" s="2" t="n"/>
    </row>
    <row r="389" ht="15.75" customHeight="1" s="67">
      <c r="A389" s="2" t="n"/>
      <c r="B389" s="2" t="n"/>
      <c r="C389" s="2" t="n"/>
      <c r="D389" s="2" t="n"/>
      <c r="E389" s="2" t="n"/>
      <c r="F389" s="2" t="n"/>
    </row>
    <row r="390" ht="15.75" customHeight="1" s="67">
      <c r="A390" s="2" t="n"/>
      <c r="B390" s="2" t="n"/>
      <c r="C390" s="2" t="n"/>
      <c r="D390" s="2" t="n"/>
      <c r="E390" s="2" t="n"/>
      <c r="F390" s="2" t="n"/>
    </row>
    <row r="391" ht="15.75" customHeight="1" s="67">
      <c r="A391" s="2" t="n"/>
      <c r="B391" s="2" t="n"/>
      <c r="C391" s="2" t="n"/>
      <c r="D391" s="2" t="n"/>
      <c r="E391" s="2" t="n"/>
      <c r="F391" s="2" t="n"/>
    </row>
    <row r="392" ht="15.75" customHeight="1" s="67">
      <c r="A392" s="2" t="n"/>
      <c r="B392" s="2" t="n"/>
      <c r="C392" s="2" t="n"/>
      <c r="D392" s="2" t="n"/>
      <c r="E392" s="2" t="n"/>
      <c r="F392" s="2" t="n"/>
    </row>
    <row r="393" ht="15.75" customHeight="1" s="67">
      <c r="A393" s="2" t="n"/>
      <c r="B393" s="2" t="n"/>
      <c r="C393" s="2" t="n"/>
      <c r="D393" s="2" t="n"/>
      <c r="E393" s="2" t="n"/>
      <c r="F393" s="2" t="n"/>
    </row>
    <row r="394" ht="15.75" customHeight="1" s="67">
      <c r="A394" s="2" t="n"/>
      <c r="B394" s="2" t="n"/>
      <c r="C394" s="2" t="n"/>
      <c r="D394" s="2" t="n"/>
      <c r="E394" s="2" t="n"/>
      <c r="F394" s="2" t="n"/>
    </row>
    <row r="395" ht="15.75" customHeight="1" s="67">
      <c r="A395" s="2" t="n"/>
      <c r="B395" s="2" t="n"/>
      <c r="C395" s="2" t="n"/>
      <c r="D395" s="2" t="n"/>
      <c r="E395" s="2" t="n"/>
      <c r="F395" s="2" t="n"/>
    </row>
    <row r="396" ht="15.75" customHeight="1" s="67">
      <c r="A396" s="2" t="n"/>
      <c r="B396" s="2" t="n"/>
      <c r="C396" s="2" t="n"/>
      <c r="D396" s="2" t="n"/>
      <c r="E396" s="2" t="n"/>
      <c r="F396" s="2" t="n"/>
    </row>
    <row r="397" ht="15.75" customHeight="1" s="67">
      <c r="A397" s="2" t="n"/>
      <c r="B397" s="2" t="n"/>
      <c r="C397" s="2" t="n"/>
      <c r="D397" s="2" t="n"/>
      <c r="E397" s="2" t="n"/>
      <c r="F397" s="2" t="n"/>
    </row>
    <row r="398" ht="15.75" customHeight="1" s="67">
      <c r="A398" s="2" t="n"/>
      <c r="B398" s="2" t="n"/>
      <c r="C398" s="2" t="n"/>
      <c r="D398" s="2" t="n"/>
      <c r="E398" s="2" t="n"/>
      <c r="F398" s="2" t="n"/>
    </row>
    <row r="399" ht="15.75" customHeight="1" s="67">
      <c r="A399" s="2" t="n"/>
      <c r="B399" s="2" t="n"/>
      <c r="C399" s="2" t="n"/>
      <c r="D399" s="2" t="n"/>
      <c r="E399" s="2" t="n"/>
      <c r="F399" s="2" t="n"/>
    </row>
    <row r="400" ht="15.75" customHeight="1" s="67">
      <c r="A400" s="2" t="n"/>
      <c r="B400" s="2" t="n"/>
      <c r="C400" s="2" t="n"/>
      <c r="D400" s="2" t="n"/>
      <c r="E400" s="2" t="n"/>
      <c r="F400" s="2" t="n"/>
    </row>
    <row r="401" ht="15.75" customHeight="1" s="67">
      <c r="A401" s="2" t="n"/>
      <c r="B401" s="2" t="n"/>
      <c r="C401" s="2" t="n"/>
      <c r="D401" s="2" t="n"/>
      <c r="E401" s="2" t="n"/>
      <c r="F401" s="2" t="n"/>
    </row>
    <row r="402" ht="15.75" customHeight="1" s="67">
      <c r="A402" s="2" t="n"/>
      <c r="B402" s="2" t="n"/>
      <c r="C402" s="2" t="n"/>
      <c r="D402" s="2" t="n"/>
      <c r="E402" s="2" t="n"/>
      <c r="F402" s="2" t="n"/>
    </row>
    <row r="403" ht="15.75" customHeight="1" s="67">
      <c r="A403" s="2" t="n"/>
      <c r="B403" s="2" t="n"/>
      <c r="C403" s="2" t="n"/>
      <c r="D403" s="2" t="n"/>
      <c r="E403" s="2" t="n"/>
      <c r="F403" s="2" t="n"/>
    </row>
    <row r="404" ht="15.75" customHeight="1" s="67">
      <c r="A404" s="2" t="n"/>
      <c r="B404" s="2" t="n"/>
      <c r="C404" s="2" t="n"/>
      <c r="D404" s="2" t="n"/>
      <c r="E404" s="2" t="n"/>
      <c r="F404" s="2" t="n"/>
    </row>
    <row r="405" ht="15.75" customHeight="1" s="67">
      <c r="A405" s="2" t="n"/>
      <c r="B405" s="2" t="n"/>
      <c r="C405" s="2" t="n"/>
      <c r="D405" s="2" t="n"/>
      <c r="E405" s="2" t="n"/>
      <c r="F405" s="2" t="n"/>
    </row>
    <row r="406" ht="15.75" customHeight="1" s="67">
      <c r="A406" s="2" t="n"/>
      <c r="B406" s="2" t="n"/>
      <c r="C406" s="2" t="n"/>
      <c r="D406" s="2" t="n"/>
      <c r="E406" s="2" t="n"/>
      <c r="F406" s="2" t="n"/>
    </row>
    <row r="407" ht="15.75" customHeight="1" s="67">
      <c r="A407" s="2" t="n"/>
      <c r="B407" s="2" t="n"/>
      <c r="C407" s="2" t="n"/>
      <c r="D407" s="2" t="n"/>
      <c r="E407" s="2" t="n"/>
      <c r="F407" s="2" t="n"/>
    </row>
    <row r="408" ht="15.75" customHeight="1" s="67">
      <c r="A408" s="2" t="n"/>
      <c r="B408" s="2" t="n"/>
      <c r="C408" s="2" t="n"/>
      <c r="D408" s="2" t="n"/>
      <c r="E408" s="2" t="n"/>
      <c r="F408" s="2" t="n"/>
    </row>
    <row r="409" ht="15.75" customHeight="1" s="67">
      <c r="A409" s="2" t="n"/>
      <c r="B409" s="2" t="n"/>
      <c r="C409" s="2" t="n"/>
      <c r="D409" s="2" t="n"/>
      <c r="E409" s="2" t="n"/>
      <c r="F409" s="2" t="n"/>
    </row>
    <row r="410" ht="15.75" customHeight="1" s="67">
      <c r="A410" s="2" t="n"/>
      <c r="B410" s="2" t="n"/>
      <c r="C410" s="2" t="n"/>
      <c r="D410" s="2" t="n"/>
      <c r="E410" s="2" t="n"/>
      <c r="F410" s="2" t="n"/>
    </row>
    <row r="411" ht="15.75" customHeight="1" s="67">
      <c r="A411" s="2" t="n"/>
      <c r="B411" s="2" t="n"/>
      <c r="C411" s="2" t="n"/>
      <c r="D411" s="2" t="n"/>
      <c r="E411" s="2" t="n"/>
      <c r="F411" s="2" t="n"/>
    </row>
    <row r="412" ht="15.75" customHeight="1" s="67">
      <c r="A412" s="2" t="n"/>
      <c r="B412" s="2" t="n"/>
      <c r="C412" s="2" t="n"/>
      <c r="D412" s="2" t="n"/>
      <c r="E412" s="2" t="n"/>
      <c r="F412" s="2" t="n"/>
    </row>
    <row r="413" ht="15.75" customHeight="1" s="67">
      <c r="A413" s="2" t="n"/>
      <c r="B413" s="2" t="n"/>
      <c r="C413" s="2" t="n"/>
      <c r="D413" s="2" t="n"/>
      <c r="E413" s="2" t="n"/>
      <c r="F413" s="2" t="n"/>
    </row>
    <row r="414" ht="15.75" customHeight="1" s="67">
      <c r="A414" s="2" t="n"/>
      <c r="B414" s="2" t="n"/>
      <c r="C414" s="2" t="n"/>
      <c r="D414" s="2" t="n"/>
      <c r="E414" s="2" t="n"/>
      <c r="F414" s="2" t="n"/>
    </row>
    <row r="415" ht="15.75" customHeight="1" s="67">
      <c r="A415" s="2" t="n"/>
      <c r="B415" s="2" t="n"/>
      <c r="C415" s="2" t="n"/>
      <c r="D415" s="2" t="n"/>
      <c r="E415" s="2" t="n"/>
      <c r="F415" s="2" t="n"/>
    </row>
    <row r="416" ht="15.75" customHeight="1" s="67">
      <c r="A416" s="2" t="n"/>
      <c r="B416" s="2" t="n"/>
      <c r="C416" s="2" t="n"/>
      <c r="D416" s="2" t="n"/>
      <c r="E416" s="2" t="n"/>
      <c r="F416" s="2" t="n"/>
    </row>
    <row r="417" ht="15.75" customHeight="1" s="67">
      <c r="A417" s="2" t="n"/>
      <c r="B417" s="2" t="n"/>
      <c r="C417" s="2" t="n"/>
      <c r="D417" s="2" t="n"/>
      <c r="E417" s="2" t="n"/>
      <c r="F417" s="2" t="n"/>
    </row>
    <row r="418" ht="15.75" customHeight="1" s="67">
      <c r="A418" s="2" t="n"/>
      <c r="B418" s="2" t="n"/>
      <c r="C418" s="2" t="n"/>
      <c r="D418" s="2" t="n"/>
      <c r="E418" s="2" t="n"/>
      <c r="F418" s="2" t="n"/>
    </row>
    <row r="419" ht="15.75" customHeight="1" s="67">
      <c r="A419" s="2" t="n"/>
      <c r="B419" s="2" t="n"/>
      <c r="C419" s="2" t="n"/>
      <c r="D419" s="2" t="n"/>
      <c r="E419" s="2" t="n"/>
      <c r="F419" s="2" t="n"/>
    </row>
    <row r="420" ht="15.75" customHeight="1" s="67">
      <c r="A420" s="2" t="n"/>
      <c r="B420" s="2" t="n"/>
      <c r="C420" s="2" t="n"/>
      <c r="D420" s="2" t="n"/>
      <c r="E420" s="2" t="n"/>
      <c r="F420" s="2" t="n"/>
    </row>
    <row r="421" ht="15.75" customHeight="1" s="67">
      <c r="A421" s="2" t="n"/>
      <c r="B421" s="2" t="n"/>
      <c r="C421" s="2" t="n"/>
      <c r="D421" s="2" t="n"/>
      <c r="E421" s="2" t="n"/>
      <c r="F421" s="2" t="n"/>
    </row>
    <row r="422" ht="15.75" customHeight="1" s="67">
      <c r="A422" s="2" t="n"/>
      <c r="B422" s="2" t="n"/>
      <c r="C422" s="2" t="n"/>
      <c r="D422" s="2" t="n"/>
      <c r="E422" s="2" t="n"/>
      <c r="F422" s="2" t="n"/>
    </row>
    <row r="423" ht="15.75" customHeight="1" s="67">
      <c r="A423" s="2" t="n"/>
      <c r="B423" s="2" t="n"/>
      <c r="C423" s="2" t="n"/>
      <c r="D423" s="2" t="n"/>
      <c r="E423" s="2" t="n"/>
      <c r="F423" s="2" t="n"/>
    </row>
    <row r="424" ht="15.75" customHeight="1" s="67">
      <c r="A424" s="2" t="n"/>
      <c r="B424" s="2" t="n"/>
      <c r="C424" s="2" t="n"/>
      <c r="D424" s="2" t="n"/>
      <c r="E424" s="2" t="n"/>
      <c r="F424" s="2" t="n"/>
    </row>
    <row r="425" ht="15.75" customHeight="1" s="67">
      <c r="A425" s="2" t="n"/>
      <c r="B425" s="2" t="n"/>
      <c r="C425" s="2" t="n"/>
      <c r="D425" s="2" t="n"/>
      <c r="E425" s="2" t="n"/>
      <c r="F425" s="2" t="n"/>
    </row>
    <row r="426" ht="15.75" customHeight="1" s="67">
      <c r="A426" s="2" t="n"/>
      <c r="B426" s="2" t="n"/>
      <c r="C426" s="2" t="n"/>
      <c r="D426" s="2" t="n"/>
      <c r="E426" s="2" t="n"/>
      <c r="F426" s="2" t="n"/>
    </row>
    <row r="427" ht="15.75" customHeight="1" s="67">
      <c r="A427" s="2" t="n"/>
      <c r="B427" s="2" t="n"/>
      <c r="C427" s="2" t="n"/>
      <c r="D427" s="2" t="n"/>
      <c r="E427" s="2" t="n"/>
      <c r="F427" s="2" t="n"/>
    </row>
    <row r="428" ht="15.75" customHeight="1" s="67">
      <c r="A428" s="2" t="n"/>
      <c r="B428" s="2" t="n"/>
      <c r="C428" s="2" t="n"/>
      <c r="D428" s="2" t="n"/>
      <c r="E428" s="2" t="n"/>
      <c r="F428" s="2" t="n"/>
    </row>
    <row r="429" ht="15.75" customHeight="1" s="67">
      <c r="A429" s="2" t="n"/>
      <c r="B429" s="2" t="n"/>
      <c r="C429" s="2" t="n"/>
      <c r="D429" s="2" t="n"/>
      <c r="E429" s="2" t="n"/>
      <c r="F429" s="2" t="n"/>
    </row>
    <row r="430" ht="15.75" customHeight="1" s="67">
      <c r="A430" s="2" t="n"/>
      <c r="B430" s="2" t="n"/>
      <c r="C430" s="2" t="n"/>
      <c r="D430" s="2" t="n"/>
      <c r="E430" s="2" t="n"/>
      <c r="F430" s="2" t="n"/>
    </row>
    <row r="431" ht="15.75" customHeight="1" s="67">
      <c r="A431" s="2" t="n"/>
      <c r="B431" s="2" t="n"/>
      <c r="C431" s="2" t="n"/>
      <c r="D431" s="2" t="n"/>
      <c r="E431" s="2" t="n"/>
      <c r="F431" s="2" t="n"/>
    </row>
    <row r="432" ht="15.75" customHeight="1" s="67">
      <c r="A432" s="2" t="n"/>
      <c r="B432" s="2" t="n"/>
      <c r="C432" s="2" t="n"/>
      <c r="D432" s="2" t="n"/>
      <c r="E432" s="2" t="n"/>
      <c r="F432" s="2" t="n"/>
    </row>
    <row r="433" ht="15.75" customHeight="1" s="67">
      <c r="A433" s="2" t="n"/>
      <c r="B433" s="2" t="n"/>
      <c r="C433" s="2" t="n"/>
      <c r="D433" s="2" t="n"/>
      <c r="E433" s="2" t="n"/>
      <c r="F433" s="2" t="n"/>
    </row>
    <row r="434" ht="15.75" customHeight="1" s="67">
      <c r="A434" s="2" t="n"/>
      <c r="B434" s="2" t="n"/>
      <c r="C434" s="2" t="n"/>
      <c r="D434" s="2" t="n"/>
      <c r="E434" s="2" t="n"/>
      <c r="F434" s="2" t="n"/>
    </row>
    <row r="435" ht="15.75" customHeight="1" s="67">
      <c r="A435" s="2" t="n"/>
      <c r="B435" s="2" t="n"/>
      <c r="C435" s="2" t="n"/>
      <c r="D435" s="2" t="n"/>
      <c r="E435" s="2" t="n"/>
      <c r="F435" s="2" t="n"/>
    </row>
    <row r="436" ht="15.75" customHeight="1" s="67">
      <c r="A436" s="2" t="n"/>
      <c r="B436" s="2" t="n"/>
      <c r="C436" s="2" t="n"/>
      <c r="D436" s="2" t="n"/>
      <c r="E436" s="2" t="n"/>
      <c r="F436" s="2" t="n"/>
    </row>
    <row r="437" ht="15.75" customHeight="1" s="67">
      <c r="A437" s="2" t="n"/>
      <c r="B437" s="2" t="n"/>
      <c r="C437" s="2" t="n"/>
      <c r="D437" s="2" t="n"/>
      <c r="E437" s="2" t="n"/>
      <c r="F437" s="2" t="n"/>
    </row>
    <row r="438" ht="15.75" customHeight="1" s="67">
      <c r="A438" s="2" t="n"/>
      <c r="B438" s="2" t="n"/>
      <c r="C438" s="2" t="n"/>
      <c r="D438" s="2" t="n"/>
      <c r="E438" s="2" t="n"/>
      <c r="F438" s="2" t="n"/>
    </row>
    <row r="439" ht="15.75" customHeight="1" s="67">
      <c r="A439" s="2" t="n"/>
      <c r="B439" s="2" t="n"/>
      <c r="C439" s="2" t="n"/>
      <c r="D439" s="2" t="n"/>
      <c r="E439" s="2" t="n"/>
      <c r="F439" s="2" t="n"/>
    </row>
    <row r="440" ht="15.75" customHeight="1" s="67">
      <c r="A440" s="2" t="n"/>
      <c r="B440" s="2" t="n"/>
      <c r="C440" s="2" t="n"/>
      <c r="D440" s="2" t="n"/>
      <c r="E440" s="2" t="n"/>
      <c r="F440" s="2" t="n"/>
    </row>
    <row r="441" ht="15.75" customHeight="1" s="67">
      <c r="A441" s="2" t="n"/>
      <c r="B441" s="2" t="n"/>
      <c r="C441" s="2" t="n"/>
      <c r="D441" s="2" t="n"/>
      <c r="E441" s="2" t="n"/>
      <c r="F441" s="2" t="n"/>
    </row>
    <row r="442" ht="15.75" customHeight="1" s="67">
      <c r="A442" s="2" t="n"/>
      <c r="B442" s="2" t="n"/>
      <c r="C442" s="2" t="n"/>
      <c r="D442" s="2" t="n"/>
      <c r="E442" s="2" t="n"/>
      <c r="F442" s="2" t="n"/>
    </row>
    <row r="443" ht="15.75" customHeight="1" s="67">
      <c r="A443" s="2" t="n"/>
      <c r="B443" s="2" t="n"/>
      <c r="C443" s="2" t="n"/>
      <c r="D443" s="2" t="n"/>
      <c r="E443" s="2" t="n"/>
      <c r="F443" s="2" t="n"/>
    </row>
    <row r="444" ht="15.75" customHeight="1" s="67">
      <c r="A444" s="2" t="n"/>
      <c r="B444" s="2" t="n"/>
      <c r="C444" s="2" t="n"/>
      <c r="D444" s="2" t="n"/>
      <c r="E444" s="2" t="n"/>
      <c r="F444" s="2" t="n"/>
    </row>
    <row r="445" ht="15.75" customHeight="1" s="67">
      <c r="A445" s="2" t="n"/>
      <c r="B445" s="2" t="n"/>
      <c r="C445" s="2" t="n"/>
      <c r="D445" s="2" t="n"/>
      <c r="E445" s="2" t="n"/>
      <c r="F445" s="2" t="n"/>
    </row>
    <row r="446" ht="15.75" customHeight="1" s="67">
      <c r="A446" s="2" t="n"/>
      <c r="B446" s="2" t="n"/>
      <c r="C446" s="2" t="n"/>
      <c r="D446" s="2" t="n"/>
      <c r="E446" s="2" t="n"/>
      <c r="F446" s="2" t="n"/>
    </row>
    <row r="447" ht="15.75" customHeight="1" s="67">
      <c r="A447" s="2" t="n"/>
      <c r="B447" s="2" t="n"/>
      <c r="C447" s="2" t="n"/>
      <c r="D447" s="2" t="n"/>
      <c r="E447" s="2" t="n"/>
      <c r="F447" s="2" t="n"/>
    </row>
    <row r="448" ht="15.75" customHeight="1" s="67">
      <c r="A448" s="2" t="n"/>
      <c r="B448" s="2" t="n"/>
      <c r="C448" s="2" t="n"/>
      <c r="D448" s="2" t="n"/>
      <c r="E448" s="2" t="n"/>
      <c r="F448" s="2" t="n"/>
    </row>
    <row r="449" ht="15.75" customHeight="1" s="67">
      <c r="A449" s="2" t="n"/>
      <c r="B449" s="2" t="n"/>
      <c r="C449" s="2" t="n"/>
      <c r="D449" s="2" t="n"/>
      <c r="E449" s="2" t="n"/>
      <c r="F449" s="2" t="n"/>
    </row>
    <row r="450" ht="15.75" customHeight="1" s="67">
      <c r="A450" s="2" t="n"/>
      <c r="B450" s="2" t="n"/>
      <c r="C450" s="2" t="n"/>
      <c r="D450" s="2" t="n"/>
      <c r="E450" s="2" t="n"/>
      <c r="F450" s="2" t="n"/>
    </row>
    <row r="451" ht="15.75" customHeight="1" s="67">
      <c r="A451" s="2" t="n"/>
      <c r="B451" s="2" t="n"/>
      <c r="C451" s="2" t="n"/>
      <c r="D451" s="2" t="n"/>
      <c r="E451" s="2" t="n"/>
      <c r="F451" s="2" t="n"/>
    </row>
    <row r="452" ht="15.75" customHeight="1" s="67">
      <c r="A452" s="2" t="n"/>
      <c r="B452" s="2" t="n"/>
      <c r="C452" s="2" t="n"/>
      <c r="D452" s="2" t="n"/>
      <c r="E452" s="2" t="n"/>
      <c r="F452" s="2" t="n"/>
    </row>
    <row r="453" ht="15.75" customHeight="1" s="67">
      <c r="A453" s="2" t="n"/>
      <c r="B453" s="2" t="n"/>
      <c r="C453" s="2" t="n"/>
      <c r="D453" s="2" t="n"/>
      <c r="E453" s="2" t="n"/>
      <c r="F453" s="2" t="n"/>
    </row>
    <row r="454" ht="15.75" customHeight="1" s="67">
      <c r="A454" s="2" t="n"/>
      <c r="B454" s="2" t="n"/>
      <c r="C454" s="2" t="n"/>
      <c r="D454" s="2" t="n"/>
      <c r="E454" s="2" t="n"/>
      <c r="F454" s="2" t="n"/>
    </row>
    <row r="455" ht="15.75" customHeight="1" s="67">
      <c r="A455" s="2" t="n"/>
      <c r="B455" s="2" t="n"/>
      <c r="C455" s="2" t="n"/>
      <c r="D455" s="2" t="n"/>
      <c r="E455" s="2" t="n"/>
      <c r="F455" s="2" t="n"/>
    </row>
    <row r="456" ht="15.75" customHeight="1" s="67">
      <c r="A456" s="2" t="n"/>
      <c r="B456" s="2" t="n"/>
      <c r="C456" s="2" t="n"/>
      <c r="D456" s="2" t="n"/>
      <c r="E456" s="2" t="n"/>
      <c r="F456" s="2" t="n"/>
    </row>
    <row r="457" ht="15.75" customHeight="1" s="67">
      <c r="A457" s="2" t="n"/>
      <c r="B457" s="2" t="n"/>
      <c r="C457" s="2" t="n"/>
      <c r="D457" s="2" t="n"/>
      <c r="E457" s="2" t="n"/>
      <c r="F457" s="2" t="n"/>
    </row>
    <row r="458" ht="15.75" customHeight="1" s="67">
      <c r="A458" s="2" t="n"/>
      <c r="B458" s="2" t="n"/>
      <c r="C458" s="2" t="n"/>
      <c r="D458" s="2" t="n"/>
      <c r="E458" s="2" t="n"/>
      <c r="F458" s="2" t="n"/>
    </row>
    <row r="459" ht="15.75" customHeight="1" s="67">
      <c r="A459" s="2" t="n"/>
      <c r="B459" s="2" t="n"/>
      <c r="C459" s="2" t="n"/>
      <c r="D459" s="2" t="n"/>
      <c r="E459" s="2" t="n"/>
      <c r="F459" s="2" t="n"/>
    </row>
    <row r="460" ht="15.75" customHeight="1" s="67">
      <c r="A460" s="2" t="n"/>
      <c r="B460" s="2" t="n"/>
      <c r="C460" s="2" t="n"/>
      <c r="D460" s="2" t="n"/>
      <c r="E460" s="2" t="n"/>
      <c r="F460" s="2" t="n"/>
    </row>
    <row r="461" ht="15.75" customHeight="1" s="67">
      <c r="A461" s="2" t="n"/>
      <c r="B461" s="2" t="n"/>
      <c r="C461" s="2" t="n"/>
      <c r="D461" s="2" t="n"/>
      <c r="E461" s="2" t="n"/>
      <c r="F461" s="2" t="n"/>
    </row>
    <row r="462" ht="15.75" customHeight="1" s="67">
      <c r="A462" s="2" t="n"/>
      <c r="B462" s="2" t="n"/>
      <c r="C462" s="2" t="n"/>
      <c r="D462" s="2" t="n"/>
      <c r="E462" s="2" t="n"/>
      <c r="F462" s="2" t="n"/>
    </row>
    <row r="463" ht="15.75" customHeight="1" s="67">
      <c r="A463" s="2" t="n"/>
      <c r="B463" s="2" t="n"/>
      <c r="C463" s="2" t="n"/>
      <c r="D463" s="2" t="n"/>
      <c r="E463" s="2" t="n"/>
      <c r="F463" s="2" t="n"/>
    </row>
    <row r="464" ht="15.75" customHeight="1" s="67">
      <c r="A464" s="2" t="n"/>
      <c r="B464" s="2" t="n"/>
      <c r="C464" s="2" t="n"/>
      <c r="D464" s="2" t="n"/>
      <c r="E464" s="2" t="n"/>
      <c r="F464" s="2" t="n"/>
    </row>
    <row r="465" ht="15.75" customHeight="1" s="67">
      <c r="A465" s="2" t="n"/>
      <c r="B465" s="2" t="n"/>
      <c r="C465" s="2" t="n"/>
      <c r="D465" s="2" t="n"/>
      <c r="E465" s="2" t="n"/>
      <c r="F465" s="2" t="n"/>
    </row>
    <row r="466" ht="15.75" customHeight="1" s="67">
      <c r="A466" s="2" t="n"/>
      <c r="B466" s="2" t="n"/>
      <c r="C466" s="2" t="n"/>
      <c r="D466" s="2" t="n"/>
      <c r="E466" s="2" t="n"/>
      <c r="F466" s="2" t="n"/>
    </row>
    <row r="467" ht="15.75" customHeight="1" s="67">
      <c r="A467" s="2" t="n"/>
      <c r="B467" s="2" t="n"/>
      <c r="C467" s="2" t="n"/>
      <c r="D467" s="2" t="n"/>
      <c r="E467" s="2" t="n"/>
      <c r="F467" s="2" t="n"/>
    </row>
    <row r="468" ht="15.75" customHeight="1" s="67">
      <c r="A468" s="2" t="n"/>
      <c r="B468" s="2" t="n"/>
      <c r="C468" s="2" t="n"/>
      <c r="D468" s="2" t="n"/>
      <c r="E468" s="2" t="n"/>
      <c r="F468" s="2" t="n"/>
    </row>
    <row r="469" ht="15.75" customHeight="1" s="67">
      <c r="A469" s="2" t="n"/>
      <c r="B469" s="2" t="n"/>
      <c r="C469" s="2" t="n"/>
      <c r="D469" s="2" t="n"/>
      <c r="E469" s="2" t="n"/>
      <c r="F469" s="2" t="n"/>
    </row>
    <row r="470" ht="15.75" customHeight="1" s="67">
      <c r="A470" s="2" t="n"/>
      <c r="B470" s="2" t="n"/>
      <c r="C470" s="2" t="n"/>
      <c r="D470" s="2" t="n"/>
      <c r="E470" s="2" t="n"/>
      <c r="F470" s="2" t="n"/>
    </row>
    <row r="471" ht="15.75" customHeight="1" s="67">
      <c r="A471" s="2" t="n"/>
      <c r="B471" s="2" t="n"/>
      <c r="C471" s="2" t="n"/>
      <c r="D471" s="2" t="n"/>
      <c r="E471" s="2" t="n"/>
      <c r="F471" s="2" t="n"/>
    </row>
    <row r="472" ht="15.75" customHeight="1" s="67">
      <c r="A472" s="2" t="n"/>
      <c r="B472" s="2" t="n"/>
      <c r="C472" s="2" t="n"/>
      <c r="D472" s="2" t="n"/>
      <c r="E472" s="2" t="n"/>
      <c r="F472" s="2" t="n"/>
    </row>
    <row r="473" ht="15.75" customHeight="1" s="67">
      <c r="A473" s="2" t="n"/>
      <c r="B473" s="2" t="n"/>
      <c r="C473" s="2" t="n"/>
      <c r="D473" s="2" t="n"/>
      <c r="E473" s="2" t="n"/>
      <c r="F473" s="2" t="n"/>
    </row>
    <row r="474" ht="15.75" customHeight="1" s="67">
      <c r="A474" s="2" t="n"/>
      <c r="B474" s="2" t="n"/>
      <c r="C474" s="2" t="n"/>
      <c r="D474" s="2" t="n"/>
      <c r="E474" s="2" t="n"/>
      <c r="F474" s="2" t="n"/>
    </row>
    <row r="475" ht="15.75" customHeight="1" s="67">
      <c r="A475" s="2" t="n"/>
      <c r="B475" s="2" t="n"/>
      <c r="C475" s="2" t="n"/>
      <c r="D475" s="2" t="n"/>
      <c r="E475" s="2" t="n"/>
      <c r="F475" s="2" t="n"/>
    </row>
    <row r="476" ht="15.75" customHeight="1" s="67">
      <c r="A476" s="2" t="n"/>
      <c r="B476" s="2" t="n"/>
      <c r="C476" s="2" t="n"/>
      <c r="D476" s="2" t="n"/>
      <c r="E476" s="2" t="n"/>
      <c r="F476" s="2" t="n"/>
    </row>
    <row r="477" ht="15.75" customHeight="1" s="67">
      <c r="A477" s="2" t="n"/>
      <c r="B477" s="2" t="n"/>
      <c r="C477" s="2" t="n"/>
      <c r="D477" s="2" t="n"/>
      <c r="E477" s="2" t="n"/>
      <c r="F477" s="2" t="n"/>
    </row>
    <row r="478" ht="15.75" customHeight="1" s="67">
      <c r="A478" s="2" t="n"/>
      <c r="B478" s="2" t="n"/>
      <c r="C478" s="2" t="n"/>
      <c r="D478" s="2" t="n"/>
      <c r="E478" s="2" t="n"/>
      <c r="F478" s="2" t="n"/>
    </row>
    <row r="479" ht="15.75" customHeight="1" s="67">
      <c r="A479" s="2" t="n"/>
      <c r="B479" s="2" t="n"/>
      <c r="C479" s="2" t="n"/>
      <c r="D479" s="2" t="n"/>
      <c r="E479" s="2" t="n"/>
      <c r="F479" s="2" t="n"/>
    </row>
    <row r="480" ht="15.75" customHeight="1" s="67">
      <c r="A480" s="2" t="n"/>
      <c r="B480" s="2" t="n"/>
      <c r="C480" s="2" t="n"/>
      <c r="D480" s="2" t="n"/>
      <c r="E480" s="2" t="n"/>
      <c r="F480" s="2" t="n"/>
    </row>
    <row r="481" ht="15.75" customHeight="1" s="67">
      <c r="A481" s="2" t="n"/>
      <c r="B481" s="2" t="n"/>
      <c r="C481" s="2" t="n"/>
      <c r="D481" s="2" t="n"/>
      <c r="E481" s="2" t="n"/>
      <c r="F481" s="2" t="n"/>
    </row>
    <row r="482" ht="15.75" customHeight="1" s="67">
      <c r="A482" s="2" t="n"/>
      <c r="B482" s="2" t="n"/>
      <c r="C482" s="2" t="n"/>
      <c r="D482" s="2" t="n"/>
      <c r="E482" s="2" t="n"/>
      <c r="F482" s="2" t="n"/>
    </row>
    <row r="483" ht="15.75" customHeight="1" s="67">
      <c r="A483" s="2" t="n"/>
      <c r="B483" s="2" t="n"/>
      <c r="C483" s="2" t="n"/>
      <c r="D483" s="2" t="n"/>
      <c r="E483" s="2" t="n"/>
      <c r="F483" s="2" t="n"/>
    </row>
    <row r="484" ht="15.75" customHeight="1" s="67">
      <c r="A484" s="2" t="n"/>
      <c r="B484" s="2" t="n"/>
      <c r="C484" s="2" t="n"/>
      <c r="D484" s="2" t="n"/>
      <c r="E484" s="2" t="n"/>
      <c r="F484" s="2" t="n"/>
    </row>
    <row r="485" ht="15.75" customHeight="1" s="67">
      <c r="A485" s="2" t="n"/>
      <c r="B485" s="2" t="n"/>
      <c r="C485" s="2" t="n"/>
      <c r="D485" s="2" t="n"/>
      <c r="E485" s="2" t="n"/>
      <c r="F485" s="2" t="n"/>
    </row>
    <row r="486" ht="15.75" customHeight="1" s="67">
      <c r="A486" s="2" t="n"/>
      <c r="B486" s="2" t="n"/>
      <c r="C486" s="2" t="n"/>
      <c r="D486" s="2" t="n"/>
      <c r="E486" s="2" t="n"/>
      <c r="F486" s="2" t="n"/>
    </row>
    <row r="487" ht="15.75" customHeight="1" s="67">
      <c r="A487" s="2" t="n"/>
      <c r="B487" s="2" t="n"/>
      <c r="C487" s="2" t="n"/>
      <c r="D487" s="2" t="n"/>
      <c r="E487" s="2" t="n"/>
      <c r="F487" s="2" t="n"/>
    </row>
    <row r="488" ht="15.75" customHeight="1" s="67">
      <c r="A488" s="2" t="n"/>
      <c r="B488" s="2" t="n"/>
      <c r="C488" s="2" t="n"/>
      <c r="D488" s="2" t="n"/>
      <c r="E488" s="2" t="n"/>
      <c r="F488" s="2" t="n"/>
    </row>
    <row r="489" ht="15.75" customHeight="1" s="67">
      <c r="A489" s="2" t="n"/>
      <c r="B489" s="2" t="n"/>
      <c r="C489" s="2" t="n"/>
      <c r="D489" s="2" t="n"/>
      <c r="E489" s="2" t="n"/>
      <c r="F489" s="2" t="n"/>
    </row>
    <row r="490" ht="15.75" customHeight="1" s="67">
      <c r="A490" s="2" t="n"/>
      <c r="B490" s="2" t="n"/>
      <c r="C490" s="2" t="n"/>
      <c r="D490" s="2" t="n"/>
      <c r="E490" s="2" t="n"/>
      <c r="F490" s="2" t="n"/>
    </row>
    <row r="491" ht="15.75" customHeight="1" s="67">
      <c r="A491" s="2" t="n"/>
      <c r="B491" s="2" t="n"/>
      <c r="C491" s="2" t="n"/>
      <c r="D491" s="2" t="n"/>
      <c r="E491" s="2" t="n"/>
      <c r="F491" s="2" t="n"/>
    </row>
    <row r="492" ht="15.75" customHeight="1" s="67">
      <c r="A492" s="2" t="n"/>
      <c r="B492" s="2" t="n"/>
      <c r="C492" s="2" t="n"/>
      <c r="D492" s="2" t="n"/>
      <c r="E492" s="2" t="n"/>
      <c r="F492" s="2" t="n"/>
    </row>
    <row r="493" ht="15.75" customHeight="1" s="67">
      <c r="A493" s="2" t="n"/>
      <c r="B493" s="2" t="n"/>
      <c r="C493" s="2" t="n"/>
      <c r="D493" s="2" t="n"/>
      <c r="E493" s="2" t="n"/>
      <c r="F493" s="2" t="n"/>
    </row>
    <row r="494" ht="15.75" customHeight="1" s="67">
      <c r="A494" s="2" t="n"/>
      <c r="B494" s="2" t="n"/>
      <c r="C494" s="2" t="n"/>
      <c r="D494" s="2" t="n"/>
      <c r="E494" s="2" t="n"/>
      <c r="F494" s="2" t="n"/>
    </row>
    <row r="495" ht="15.75" customHeight="1" s="67">
      <c r="A495" s="2" t="n"/>
      <c r="B495" s="2" t="n"/>
      <c r="C495" s="2" t="n"/>
      <c r="D495" s="2" t="n"/>
      <c r="E495" s="2" t="n"/>
      <c r="F495" s="2" t="n"/>
    </row>
    <row r="496" ht="15.75" customHeight="1" s="67">
      <c r="A496" s="2" t="n"/>
      <c r="B496" s="2" t="n"/>
      <c r="C496" s="2" t="n"/>
      <c r="D496" s="2" t="n"/>
      <c r="E496" s="2" t="n"/>
      <c r="F496" s="2" t="n"/>
    </row>
    <row r="497" ht="15.75" customHeight="1" s="67">
      <c r="A497" s="2" t="n"/>
      <c r="B497" s="2" t="n"/>
      <c r="C497" s="2" t="n"/>
      <c r="D497" s="2" t="n"/>
      <c r="E497" s="2" t="n"/>
      <c r="F497" s="2" t="n"/>
    </row>
    <row r="498" ht="15.75" customHeight="1" s="67">
      <c r="A498" s="2" t="n"/>
      <c r="B498" s="2" t="n"/>
      <c r="C498" s="2" t="n"/>
      <c r="D498" s="2" t="n"/>
      <c r="E498" s="2" t="n"/>
      <c r="F498" s="2" t="n"/>
    </row>
    <row r="499" ht="15.75" customHeight="1" s="67">
      <c r="A499" s="2" t="n"/>
      <c r="B499" s="2" t="n"/>
      <c r="C499" s="2" t="n"/>
      <c r="D499" s="2" t="n"/>
      <c r="E499" s="2" t="n"/>
      <c r="F499" s="2" t="n"/>
    </row>
    <row r="500" ht="15.75" customHeight="1" s="67">
      <c r="A500" s="2" t="n"/>
      <c r="B500" s="2" t="n"/>
      <c r="C500" s="2" t="n"/>
      <c r="D500" s="2" t="n"/>
      <c r="E500" s="2" t="n"/>
      <c r="F500" s="2" t="n"/>
    </row>
    <row r="501" ht="15.75" customHeight="1" s="67">
      <c r="A501" s="2" t="n"/>
      <c r="B501" s="2" t="n"/>
      <c r="C501" s="2" t="n"/>
      <c r="D501" s="2" t="n"/>
      <c r="E501" s="2" t="n"/>
      <c r="F501" s="2" t="n"/>
    </row>
    <row r="502" ht="15.75" customHeight="1" s="67">
      <c r="A502" s="2" t="n"/>
      <c r="B502" s="2" t="n"/>
      <c r="C502" s="2" t="n"/>
      <c r="D502" s="2" t="n"/>
      <c r="E502" s="2" t="n"/>
      <c r="F502" s="2" t="n"/>
    </row>
    <row r="503" ht="15.75" customHeight="1" s="67">
      <c r="A503" s="2" t="n"/>
      <c r="B503" s="2" t="n"/>
      <c r="C503" s="2" t="n"/>
      <c r="D503" s="2" t="n"/>
      <c r="E503" s="2" t="n"/>
      <c r="F503" s="2" t="n"/>
    </row>
    <row r="504" ht="15.75" customHeight="1" s="67">
      <c r="A504" s="2" t="n"/>
      <c r="B504" s="2" t="n"/>
      <c r="C504" s="2" t="n"/>
      <c r="D504" s="2" t="n"/>
      <c r="E504" s="2" t="n"/>
      <c r="F504" s="2" t="n"/>
    </row>
    <row r="505" ht="15.75" customHeight="1" s="67">
      <c r="A505" s="2" t="n"/>
      <c r="B505" s="2" t="n"/>
      <c r="C505" s="2" t="n"/>
      <c r="D505" s="2" t="n"/>
      <c r="E505" s="2" t="n"/>
      <c r="F505" s="2" t="n"/>
    </row>
    <row r="506" ht="15.75" customHeight="1" s="67">
      <c r="A506" s="2" t="n"/>
      <c r="B506" s="2" t="n"/>
      <c r="C506" s="2" t="n"/>
      <c r="D506" s="2" t="n"/>
      <c r="E506" s="2" t="n"/>
      <c r="F506" s="2" t="n"/>
    </row>
    <row r="507" ht="15.75" customHeight="1" s="67">
      <c r="A507" s="2" t="n"/>
      <c r="B507" s="2" t="n"/>
      <c r="C507" s="2" t="n"/>
      <c r="D507" s="2" t="n"/>
      <c r="E507" s="2" t="n"/>
      <c r="F507" s="2" t="n"/>
    </row>
    <row r="508" ht="15.75" customHeight="1" s="67">
      <c r="A508" s="2" t="n"/>
      <c r="B508" s="2" t="n"/>
      <c r="C508" s="2" t="n"/>
      <c r="D508" s="2" t="n"/>
      <c r="E508" s="2" t="n"/>
      <c r="F508" s="2" t="n"/>
    </row>
    <row r="509" ht="15.75" customHeight="1" s="67">
      <c r="A509" s="2" t="n"/>
      <c r="B509" s="2" t="n"/>
      <c r="C509" s="2" t="n"/>
      <c r="D509" s="2" t="n"/>
      <c r="E509" s="2" t="n"/>
      <c r="F509" s="2" t="n"/>
    </row>
    <row r="510" ht="15.75" customHeight="1" s="67">
      <c r="A510" s="2" t="n"/>
      <c r="B510" s="2" t="n"/>
      <c r="C510" s="2" t="n"/>
      <c r="D510" s="2" t="n"/>
      <c r="E510" s="2" t="n"/>
      <c r="F510" s="2" t="n"/>
    </row>
    <row r="511" ht="15.75" customHeight="1" s="67">
      <c r="A511" s="2" t="n"/>
      <c r="B511" s="2" t="n"/>
      <c r="C511" s="2" t="n"/>
      <c r="D511" s="2" t="n"/>
      <c r="E511" s="2" t="n"/>
      <c r="F511" s="2" t="n"/>
    </row>
    <row r="512" ht="15.75" customHeight="1" s="67">
      <c r="A512" s="2" t="n"/>
      <c r="B512" s="2" t="n"/>
      <c r="C512" s="2" t="n"/>
      <c r="D512" s="2" t="n"/>
      <c r="E512" s="2" t="n"/>
      <c r="F512" s="2" t="n"/>
    </row>
    <row r="513" ht="15.75" customHeight="1" s="67">
      <c r="A513" s="2" t="n"/>
      <c r="B513" s="2" t="n"/>
      <c r="C513" s="2" t="n"/>
      <c r="D513" s="2" t="n"/>
      <c r="E513" s="2" t="n"/>
      <c r="F513" s="2" t="n"/>
    </row>
    <row r="514" ht="15.75" customHeight="1" s="67">
      <c r="A514" s="2" t="n"/>
      <c r="B514" s="2" t="n"/>
      <c r="C514" s="2" t="n"/>
      <c r="D514" s="2" t="n"/>
      <c r="E514" s="2" t="n"/>
      <c r="F514" s="2" t="n"/>
    </row>
    <row r="515" ht="15.75" customHeight="1" s="67">
      <c r="A515" s="2" t="n"/>
      <c r="B515" s="2" t="n"/>
      <c r="C515" s="2" t="n"/>
      <c r="D515" s="2" t="n"/>
      <c r="E515" s="2" t="n"/>
      <c r="F515" s="2" t="n"/>
    </row>
    <row r="516" ht="15.75" customHeight="1" s="67">
      <c r="A516" s="2" t="n"/>
      <c r="B516" s="2" t="n"/>
      <c r="C516" s="2" t="n"/>
      <c r="D516" s="2" t="n"/>
      <c r="E516" s="2" t="n"/>
      <c r="F516" s="2" t="n"/>
    </row>
    <row r="517" ht="15.75" customHeight="1" s="67">
      <c r="A517" s="2" t="n"/>
      <c r="B517" s="2" t="n"/>
      <c r="C517" s="2" t="n"/>
      <c r="D517" s="2" t="n"/>
      <c r="E517" s="2" t="n"/>
      <c r="F517" s="2" t="n"/>
    </row>
    <row r="518" ht="15.75" customHeight="1" s="67">
      <c r="A518" s="2" t="n"/>
      <c r="B518" s="2" t="n"/>
      <c r="C518" s="2" t="n"/>
      <c r="D518" s="2" t="n"/>
      <c r="E518" s="2" t="n"/>
      <c r="F518" s="2" t="n"/>
    </row>
    <row r="519" ht="15.75" customHeight="1" s="67">
      <c r="A519" s="2" t="n"/>
      <c r="B519" s="2" t="n"/>
      <c r="C519" s="2" t="n"/>
      <c r="D519" s="2" t="n"/>
      <c r="E519" s="2" t="n"/>
      <c r="F519" s="2" t="n"/>
    </row>
    <row r="520" ht="15.75" customHeight="1" s="67">
      <c r="A520" s="2" t="n"/>
      <c r="B520" s="2" t="n"/>
      <c r="C520" s="2" t="n"/>
      <c r="D520" s="2" t="n"/>
      <c r="E520" s="2" t="n"/>
      <c r="F520" s="2" t="n"/>
    </row>
    <row r="521" ht="15.75" customHeight="1" s="67">
      <c r="A521" s="2" t="n"/>
      <c r="B521" s="2" t="n"/>
      <c r="C521" s="2" t="n"/>
      <c r="D521" s="2" t="n"/>
      <c r="E521" s="2" t="n"/>
      <c r="F521" s="2" t="n"/>
    </row>
    <row r="522" ht="15.75" customHeight="1" s="67">
      <c r="A522" s="2" t="n"/>
      <c r="B522" s="2" t="n"/>
      <c r="C522" s="2" t="n"/>
      <c r="D522" s="2" t="n"/>
      <c r="E522" s="2" t="n"/>
      <c r="F522" s="2" t="n"/>
    </row>
    <row r="523" ht="15.75" customHeight="1" s="67">
      <c r="A523" s="2" t="n"/>
      <c r="B523" s="2" t="n"/>
      <c r="C523" s="2" t="n"/>
      <c r="D523" s="2" t="n"/>
      <c r="E523" s="2" t="n"/>
      <c r="F523" s="2" t="n"/>
    </row>
    <row r="524" ht="15.75" customHeight="1" s="67">
      <c r="A524" s="2" t="n"/>
      <c r="B524" s="2" t="n"/>
      <c r="C524" s="2" t="n"/>
      <c r="D524" s="2" t="n"/>
      <c r="E524" s="2" t="n"/>
      <c r="F524" s="2" t="n"/>
    </row>
    <row r="525" ht="15.75" customHeight="1" s="67">
      <c r="A525" s="2" t="n"/>
      <c r="B525" s="2" t="n"/>
      <c r="C525" s="2" t="n"/>
      <c r="D525" s="2" t="n"/>
      <c r="E525" s="2" t="n"/>
      <c r="F525" s="2" t="n"/>
    </row>
    <row r="526" ht="15.75" customHeight="1" s="67">
      <c r="A526" s="2" t="n"/>
      <c r="B526" s="2" t="n"/>
      <c r="C526" s="2" t="n"/>
      <c r="D526" s="2" t="n"/>
      <c r="E526" s="2" t="n"/>
      <c r="F526" s="2" t="n"/>
    </row>
    <row r="527" ht="15.75" customHeight="1" s="67">
      <c r="A527" s="2" t="n"/>
      <c r="B527" s="2" t="n"/>
      <c r="C527" s="2" t="n"/>
      <c r="D527" s="2" t="n"/>
      <c r="E527" s="2" t="n"/>
      <c r="F527" s="2" t="n"/>
    </row>
    <row r="528" ht="15.75" customHeight="1" s="67">
      <c r="A528" s="2" t="n"/>
      <c r="B528" s="2" t="n"/>
      <c r="C528" s="2" t="n"/>
      <c r="D528" s="2" t="n"/>
      <c r="E528" s="2" t="n"/>
      <c r="F528" s="2" t="n"/>
    </row>
    <row r="529" ht="15.75" customHeight="1" s="67">
      <c r="A529" s="2" t="n"/>
      <c r="B529" s="2" t="n"/>
      <c r="C529" s="2" t="n"/>
      <c r="D529" s="2" t="n"/>
      <c r="E529" s="2" t="n"/>
      <c r="F529" s="2" t="n"/>
    </row>
    <row r="530" ht="15.75" customHeight="1" s="67">
      <c r="A530" s="2" t="n"/>
      <c r="B530" s="2" t="n"/>
      <c r="C530" s="2" t="n"/>
      <c r="D530" s="2" t="n"/>
      <c r="E530" s="2" t="n"/>
      <c r="F530" s="2" t="n"/>
    </row>
    <row r="531" ht="15.75" customHeight="1" s="67">
      <c r="A531" s="2" t="n"/>
      <c r="B531" s="2" t="n"/>
      <c r="C531" s="2" t="n"/>
      <c r="D531" s="2" t="n"/>
      <c r="E531" s="2" t="n"/>
      <c r="F531" s="2" t="n"/>
    </row>
    <row r="532" ht="15.75" customHeight="1" s="67">
      <c r="A532" s="2" t="n"/>
      <c r="B532" s="2" t="n"/>
      <c r="C532" s="2" t="n"/>
      <c r="D532" s="2" t="n"/>
      <c r="E532" s="2" t="n"/>
      <c r="F532" s="2" t="n"/>
    </row>
    <row r="533" ht="15.75" customHeight="1" s="67">
      <c r="A533" s="2" t="n"/>
      <c r="B533" s="2" t="n"/>
      <c r="C533" s="2" t="n"/>
      <c r="D533" s="2" t="n"/>
      <c r="E533" s="2" t="n"/>
      <c r="F533" s="2" t="n"/>
    </row>
    <row r="534" ht="15.75" customHeight="1" s="67">
      <c r="A534" s="2" t="n"/>
      <c r="B534" s="2" t="n"/>
      <c r="C534" s="2" t="n"/>
      <c r="D534" s="2" t="n"/>
      <c r="E534" s="2" t="n"/>
      <c r="F534" s="2" t="n"/>
    </row>
    <row r="535" ht="15.75" customHeight="1" s="67">
      <c r="A535" s="2" t="n"/>
      <c r="B535" s="2" t="n"/>
      <c r="C535" s="2" t="n"/>
      <c r="D535" s="2" t="n"/>
      <c r="E535" s="2" t="n"/>
      <c r="F535" s="2" t="n"/>
    </row>
    <row r="536" ht="15.75" customHeight="1" s="67">
      <c r="A536" s="2" t="n"/>
      <c r="B536" s="2" t="n"/>
      <c r="C536" s="2" t="n"/>
      <c r="D536" s="2" t="n"/>
      <c r="E536" s="2" t="n"/>
      <c r="F536" s="2" t="n"/>
    </row>
    <row r="537" ht="15.75" customHeight="1" s="67">
      <c r="A537" s="2" t="n"/>
      <c r="B537" s="2" t="n"/>
      <c r="C537" s="2" t="n"/>
      <c r="D537" s="2" t="n"/>
      <c r="E537" s="2" t="n"/>
      <c r="F537" s="2" t="n"/>
    </row>
    <row r="538" ht="15.75" customHeight="1" s="67">
      <c r="A538" s="2" t="n"/>
      <c r="B538" s="2" t="n"/>
      <c r="C538" s="2" t="n"/>
      <c r="D538" s="2" t="n"/>
      <c r="E538" s="2" t="n"/>
      <c r="F538" s="2" t="n"/>
    </row>
    <row r="539" ht="15.75" customHeight="1" s="67">
      <c r="A539" s="2" t="n"/>
      <c r="B539" s="2" t="n"/>
      <c r="C539" s="2" t="n"/>
      <c r="D539" s="2" t="n"/>
      <c r="E539" s="2" t="n"/>
      <c r="F539" s="2" t="n"/>
    </row>
    <row r="540" ht="15.75" customHeight="1" s="67">
      <c r="A540" s="2" t="n"/>
      <c r="B540" s="2" t="n"/>
      <c r="C540" s="2" t="n"/>
      <c r="D540" s="2" t="n"/>
      <c r="E540" s="2" t="n"/>
      <c r="F540" s="2" t="n"/>
    </row>
    <row r="541" ht="15.75" customHeight="1" s="67">
      <c r="A541" s="2" t="n"/>
      <c r="B541" s="2" t="n"/>
      <c r="C541" s="2" t="n"/>
      <c r="D541" s="2" t="n"/>
      <c r="E541" s="2" t="n"/>
      <c r="F541" s="2" t="n"/>
    </row>
    <row r="542" ht="15.75" customHeight="1" s="67">
      <c r="A542" s="2" t="n"/>
      <c r="B542" s="2" t="n"/>
      <c r="C542" s="2" t="n"/>
      <c r="D542" s="2" t="n"/>
      <c r="E542" s="2" t="n"/>
      <c r="F542" s="2" t="n"/>
    </row>
    <row r="543" ht="15.75" customHeight="1" s="67">
      <c r="A543" s="2" t="n"/>
      <c r="B543" s="2" t="n"/>
      <c r="C543" s="2" t="n"/>
      <c r="D543" s="2" t="n"/>
      <c r="E543" s="2" t="n"/>
      <c r="F543" s="2" t="n"/>
    </row>
    <row r="544" ht="15.75" customHeight="1" s="67">
      <c r="A544" s="2" t="n"/>
      <c r="B544" s="2" t="n"/>
      <c r="C544" s="2" t="n"/>
      <c r="D544" s="2" t="n"/>
      <c r="E544" s="2" t="n"/>
      <c r="F544" s="2" t="n"/>
    </row>
    <row r="545" ht="15.75" customHeight="1" s="67">
      <c r="A545" s="2" t="n"/>
      <c r="B545" s="2" t="n"/>
      <c r="C545" s="2" t="n"/>
      <c r="D545" s="2" t="n"/>
      <c r="E545" s="2" t="n"/>
      <c r="F545" s="2" t="n"/>
    </row>
    <row r="546" ht="15.75" customHeight="1" s="67">
      <c r="A546" s="2" t="n"/>
      <c r="B546" s="2" t="n"/>
      <c r="C546" s="2" t="n"/>
      <c r="D546" s="2" t="n"/>
      <c r="E546" s="2" t="n"/>
      <c r="F546" s="2" t="n"/>
    </row>
    <row r="547" ht="15.75" customHeight="1" s="67">
      <c r="A547" s="2" t="n"/>
      <c r="B547" s="2" t="n"/>
      <c r="C547" s="2" t="n"/>
      <c r="D547" s="2" t="n"/>
      <c r="E547" s="2" t="n"/>
      <c r="F547" s="2" t="n"/>
    </row>
    <row r="548" ht="15.75" customHeight="1" s="67">
      <c r="A548" s="2" t="n"/>
      <c r="B548" s="2" t="n"/>
      <c r="C548" s="2" t="n"/>
      <c r="D548" s="2" t="n"/>
      <c r="E548" s="2" t="n"/>
      <c r="F548" s="2" t="n"/>
    </row>
    <row r="549" ht="15.75" customHeight="1" s="67">
      <c r="A549" s="2" t="n"/>
      <c r="B549" s="2" t="n"/>
      <c r="C549" s="2" t="n"/>
      <c r="D549" s="2" t="n"/>
      <c r="E549" s="2" t="n"/>
      <c r="F549" s="2" t="n"/>
    </row>
    <row r="550" ht="15.75" customHeight="1" s="67">
      <c r="A550" s="2" t="n"/>
      <c r="B550" s="2" t="n"/>
      <c r="C550" s="2" t="n"/>
      <c r="D550" s="2" t="n"/>
      <c r="E550" s="2" t="n"/>
      <c r="F550" s="2" t="n"/>
    </row>
    <row r="551" ht="15.75" customHeight="1" s="67">
      <c r="A551" s="2" t="n"/>
      <c r="B551" s="2" t="n"/>
      <c r="C551" s="2" t="n"/>
      <c r="D551" s="2" t="n"/>
      <c r="E551" s="2" t="n"/>
      <c r="F551" s="2" t="n"/>
    </row>
    <row r="552" ht="15.75" customHeight="1" s="67">
      <c r="A552" s="2" t="n"/>
      <c r="B552" s="2" t="n"/>
      <c r="C552" s="2" t="n"/>
      <c r="D552" s="2" t="n"/>
      <c r="E552" s="2" t="n"/>
      <c r="F552" s="2" t="n"/>
    </row>
    <row r="553" ht="15.75" customHeight="1" s="67">
      <c r="A553" s="2" t="n"/>
      <c r="B553" s="2" t="n"/>
      <c r="C553" s="2" t="n"/>
      <c r="D553" s="2" t="n"/>
      <c r="E553" s="2" t="n"/>
      <c r="F553" s="2" t="n"/>
    </row>
    <row r="554" ht="15.75" customHeight="1" s="67">
      <c r="A554" s="2" t="n"/>
      <c r="B554" s="2" t="n"/>
      <c r="C554" s="2" t="n"/>
      <c r="D554" s="2" t="n"/>
      <c r="E554" s="2" t="n"/>
      <c r="F554" s="2" t="n"/>
    </row>
    <row r="555" ht="15.75" customHeight="1" s="67">
      <c r="A555" s="2" t="n"/>
      <c r="B555" s="2" t="n"/>
      <c r="C555" s="2" t="n"/>
      <c r="D555" s="2" t="n"/>
      <c r="E555" s="2" t="n"/>
      <c r="F555" s="2" t="n"/>
    </row>
    <row r="556" ht="15.75" customHeight="1" s="67">
      <c r="A556" s="2" t="n"/>
      <c r="B556" s="2" t="n"/>
      <c r="C556" s="2" t="n"/>
      <c r="D556" s="2" t="n"/>
      <c r="E556" s="2" t="n"/>
      <c r="F556" s="2" t="n"/>
    </row>
    <row r="557" ht="15.75" customHeight="1" s="67">
      <c r="A557" s="2" t="n"/>
      <c r="B557" s="2" t="n"/>
      <c r="C557" s="2" t="n"/>
      <c r="D557" s="2" t="n"/>
      <c r="E557" s="2" t="n"/>
      <c r="F557" s="2" t="n"/>
    </row>
    <row r="558" ht="15.75" customHeight="1" s="67">
      <c r="A558" s="2" t="n"/>
      <c r="B558" s="2" t="n"/>
      <c r="C558" s="2" t="n"/>
      <c r="D558" s="2" t="n"/>
      <c r="E558" s="2" t="n"/>
      <c r="F558" s="2" t="n"/>
    </row>
    <row r="559" ht="15.75" customHeight="1" s="67">
      <c r="A559" s="2" t="n"/>
      <c r="B559" s="2" t="n"/>
      <c r="C559" s="2" t="n"/>
      <c r="D559" s="2" t="n"/>
      <c r="E559" s="2" t="n"/>
      <c r="F559" s="2" t="n"/>
    </row>
    <row r="560" ht="15.75" customHeight="1" s="67">
      <c r="A560" s="2" t="n"/>
      <c r="B560" s="2" t="n"/>
      <c r="C560" s="2" t="n"/>
      <c r="D560" s="2" t="n"/>
      <c r="E560" s="2" t="n"/>
      <c r="F560" s="2" t="n"/>
    </row>
    <row r="561" ht="15.75" customHeight="1" s="67">
      <c r="A561" s="2" t="n"/>
      <c r="B561" s="2" t="n"/>
      <c r="C561" s="2" t="n"/>
      <c r="D561" s="2" t="n"/>
      <c r="E561" s="2" t="n"/>
      <c r="F561" s="2" t="n"/>
    </row>
    <row r="562" ht="15.75" customHeight="1" s="67">
      <c r="A562" s="2" t="n"/>
      <c r="B562" s="2" t="n"/>
      <c r="C562" s="2" t="n"/>
      <c r="D562" s="2" t="n"/>
      <c r="E562" s="2" t="n"/>
      <c r="F562" s="2" t="n"/>
    </row>
    <row r="563" ht="15.75" customHeight="1" s="67">
      <c r="A563" s="2" t="n"/>
      <c r="B563" s="2" t="n"/>
      <c r="C563" s="2" t="n"/>
      <c r="D563" s="2" t="n"/>
      <c r="E563" s="2" t="n"/>
      <c r="F563" s="2" t="n"/>
    </row>
    <row r="564" ht="15.75" customHeight="1" s="67">
      <c r="A564" s="2" t="n"/>
      <c r="B564" s="2" t="n"/>
      <c r="C564" s="2" t="n"/>
      <c r="D564" s="2" t="n"/>
      <c r="E564" s="2" t="n"/>
      <c r="F564" s="2" t="n"/>
    </row>
    <row r="565" ht="15.75" customHeight="1" s="67">
      <c r="A565" s="2" t="n"/>
      <c r="B565" s="2" t="n"/>
      <c r="C565" s="2" t="n"/>
      <c r="D565" s="2" t="n"/>
      <c r="E565" s="2" t="n"/>
      <c r="F565" s="2" t="n"/>
    </row>
    <row r="566" ht="15.75" customHeight="1" s="67">
      <c r="A566" s="2" t="n"/>
      <c r="B566" s="2" t="n"/>
      <c r="C566" s="2" t="n"/>
      <c r="D566" s="2" t="n"/>
      <c r="E566" s="2" t="n"/>
      <c r="F566" s="2" t="n"/>
    </row>
    <row r="567" ht="15.75" customHeight="1" s="67">
      <c r="A567" s="2" t="n"/>
      <c r="B567" s="2" t="n"/>
      <c r="C567" s="2" t="n"/>
      <c r="D567" s="2" t="n"/>
      <c r="E567" s="2" t="n"/>
      <c r="F567" s="2" t="n"/>
    </row>
    <row r="568" ht="15.75" customHeight="1" s="67">
      <c r="A568" s="2" t="n"/>
      <c r="B568" s="2" t="n"/>
      <c r="C568" s="2" t="n"/>
      <c r="D568" s="2" t="n"/>
      <c r="E568" s="2" t="n"/>
      <c r="F568" s="2" t="n"/>
    </row>
    <row r="569" ht="15.75" customHeight="1" s="67">
      <c r="A569" s="2" t="n"/>
      <c r="B569" s="2" t="n"/>
      <c r="C569" s="2" t="n"/>
      <c r="D569" s="2" t="n"/>
      <c r="E569" s="2" t="n"/>
      <c r="F569" s="2" t="n"/>
    </row>
    <row r="570" ht="15.75" customHeight="1" s="67">
      <c r="A570" s="2" t="n"/>
      <c r="B570" s="2" t="n"/>
      <c r="C570" s="2" t="n"/>
      <c r="D570" s="2" t="n"/>
      <c r="E570" s="2" t="n"/>
      <c r="F570" s="2" t="n"/>
    </row>
    <row r="571" ht="15.75" customHeight="1" s="67">
      <c r="A571" s="2" t="n"/>
      <c r="B571" s="2" t="n"/>
      <c r="C571" s="2" t="n"/>
      <c r="D571" s="2" t="n"/>
      <c r="E571" s="2" t="n"/>
      <c r="F571" s="2" t="n"/>
    </row>
    <row r="572" ht="15.75" customHeight="1" s="67">
      <c r="A572" s="2" t="n"/>
      <c r="B572" s="2" t="n"/>
      <c r="C572" s="2" t="n"/>
      <c r="D572" s="2" t="n"/>
      <c r="E572" s="2" t="n"/>
      <c r="F572" s="2" t="n"/>
    </row>
    <row r="573" ht="15.75" customHeight="1" s="67">
      <c r="A573" s="2" t="n"/>
      <c r="B573" s="2" t="n"/>
      <c r="C573" s="2" t="n"/>
      <c r="D573" s="2" t="n"/>
      <c r="E573" s="2" t="n"/>
      <c r="F573" s="2" t="n"/>
    </row>
    <row r="574" ht="15.75" customHeight="1" s="67">
      <c r="A574" s="2" t="n"/>
      <c r="B574" s="2" t="n"/>
      <c r="C574" s="2" t="n"/>
      <c r="D574" s="2" t="n"/>
      <c r="E574" s="2" t="n"/>
      <c r="F574" s="2" t="n"/>
    </row>
    <row r="575" ht="15.75" customHeight="1" s="67">
      <c r="A575" s="2" t="n"/>
      <c r="B575" s="2" t="n"/>
      <c r="C575" s="2" t="n"/>
      <c r="D575" s="2" t="n"/>
      <c r="E575" s="2" t="n"/>
      <c r="F575" s="2" t="n"/>
    </row>
    <row r="576" ht="15.75" customHeight="1" s="67">
      <c r="A576" s="2" t="n"/>
      <c r="B576" s="2" t="n"/>
      <c r="C576" s="2" t="n"/>
      <c r="D576" s="2" t="n"/>
      <c r="E576" s="2" t="n"/>
      <c r="F576" s="2" t="n"/>
    </row>
    <row r="577" ht="15.75" customHeight="1" s="67">
      <c r="A577" s="2" t="n"/>
      <c r="B577" s="2" t="n"/>
      <c r="C577" s="2" t="n"/>
      <c r="D577" s="2" t="n"/>
      <c r="E577" s="2" t="n"/>
      <c r="F577" s="2" t="n"/>
    </row>
    <row r="578" ht="15.75" customHeight="1" s="67">
      <c r="A578" s="2" t="n"/>
      <c r="B578" s="2" t="n"/>
      <c r="C578" s="2" t="n"/>
      <c r="D578" s="2" t="n"/>
      <c r="E578" s="2" t="n"/>
      <c r="F578" s="2" t="n"/>
    </row>
    <row r="579" ht="15.75" customHeight="1" s="67">
      <c r="A579" s="2" t="n"/>
      <c r="B579" s="2" t="n"/>
      <c r="C579" s="2" t="n"/>
      <c r="D579" s="2" t="n"/>
      <c r="E579" s="2" t="n"/>
      <c r="F579" s="2" t="n"/>
    </row>
    <row r="580" ht="15.75" customHeight="1" s="67">
      <c r="A580" s="2" t="n"/>
      <c r="B580" s="2" t="n"/>
      <c r="C580" s="2" t="n"/>
      <c r="D580" s="2" t="n"/>
      <c r="E580" s="2" t="n"/>
      <c r="F580" s="2" t="n"/>
    </row>
    <row r="581" ht="15.75" customHeight="1" s="67">
      <c r="A581" s="2" t="n"/>
      <c r="B581" s="2" t="n"/>
      <c r="C581" s="2" t="n"/>
      <c r="D581" s="2" t="n"/>
      <c r="E581" s="2" t="n"/>
      <c r="F581" s="2" t="n"/>
    </row>
    <row r="582" ht="15.75" customHeight="1" s="67">
      <c r="A582" s="2" t="n"/>
      <c r="B582" s="2" t="n"/>
      <c r="C582" s="2" t="n"/>
      <c r="D582" s="2" t="n"/>
      <c r="E582" s="2" t="n"/>
      <c r="F582" s="2" t="n"/>
    </row>
    <row r="583" ht="15.75" customHeight="1" s="67">
      <c r="A583" s="2" t="n"/>
      <c r="B583" s="2" t="n"/>
      <c r="C583" s="2" t="n"/>
      <c r="D583" s="2" t="n"/>
      <c r="E583" s="2" t="n"/>
      <c r="F583" s="2" t="n"/>
    </row>
    <row r="584" ht="15.75" customHeight="1" s="67">
      <c r="A584" s="2" t="n"/>
      <c r="B584" s="2" t="n"/>
      <c r="C584" s="2" t="n"/>
      <c r="D584" s="2" t="n"/>
      <c r="E584" s="2" t="n"/>
      <c r="F584" s="2" t="n"/>
    </row>
    <row r="585" ht="15.75" customHeight="1" s="67">
      <c r="A585" s="2" t="n"/>
      <c r="B585" s="2" t="n"/>
      <c r="C585" s="2" t="n"/>
      <c r="D585" s="2" t="n"/>
      <c r="E585" s="2" t="n"/>
      <c r="F585" s="2" t="n"/>
    </row>
    <row r="586" ht="15.75" customHeight="1" s="67">
      <c r="A586" s="2" t="n"/>
      <c r="B586" s="2" t="n"/>
      <c r="C586" s="2" t="n"/>
      <c r="D586" s="2" t="n"/>
      <c r="E586" s="2" t="n"/>
      <c r="F586" s="2" t="n"/>
    </row>
    <row r="587" ht="15.75" customHeight="1" s="67">
      <c r="A587" s="2" t="n"/>
      <c r="B587" s="2" t="n"/>
      <c r="C587" s="2" t="n"/>
      <c r="D587" s="2" t="n"/>
      <c r="E587" s="2" t="n"/>
      <c r="F587" s="2" t="n"/>
    </row>
    <row r="588" ht="15.75" customHeight="1" s="67">
      <c r="A588" s="2" t="n"/>
      <c r="B588" s="2" t="n"/>
      <c r="C588" s="2" t="n"/>
      <c r="D588" s="2" t="n"/>
      <c r="E588" s="2" t="n"/>
      <c r="F588" s="2" t="n"/>
    </row>
    <row r="589" ht="15.75" customHeight="1" s="67">
      <c r="A589" s="2" t="n"/>
      <c r="B589" s="2" t="n"/>
      <c r="C589" s="2" t="n"/>
      <c r="D589" s="2" t="n"/>
      <c r="E589" s="2" t="n"/>
      <c r="F589" s="2" t="n"/>
    </row>
    <row r="590" ht="15.75" customHeight="1" s="67">
      <c r="A590" s="2" t="n"/>
      <c r="B590" s="2" t="n"/>
      <c r="C590" s="2" t="n"/>
      <c r="D590" s="2" t="n"/>
      <c r="E590" s="2" t="n"/>
      <c r="F590" s="2" t="n"/>
    </row>
    <row r="591" ht="15.75" customHeight="1" s="67">
      <c r="A591" s="2" t="n"/>
      <c r="B591" s="2" t="n"/>
      <c r="C591" s="2" t="n"/>
      <c r="D591" s="2" t="n"/>
      <c r="E591" s="2" t="n"/>
      <c r="F591" s="2" t="n"/>
    </row>
    <row r="592" ht="15.75" customHeight="1" s="67">
      <c r="A592" s="2" t="n"/>
      <c r="B592" s="2" t="n"/>
      <c r="C592" s="2" t="n"/>
      <c r="D592" s="2" t="n"/>
      <c r="E592" s="2" t="n"/>
      <c r="F592" s="2" t="n"/>
    </row>
    <row r="593" ht="15.75" customHeight="1" s="67">
      <c r="A593" s="2" t="n"/>
      <c r="B593" s="2" t="n"/>
      <c r="C593" s="2" t="n"/>
      <c r="D593" s="2" t="n"/>
      <c r="E593" s="2" t="n"/>
      <c r="F593" s="2" t="n"/>
    </row>
    <row r="594" ht="15.75" customHeight="1" s="67">
      <c r="A594" s="2" t="n"/>
      <c r="B594" s="2" t="n"/>
      <c r="C594" s="2" t="n"/>
      <c r="D594" s="2" t="n"/>
      <c r="E594" s="2" t="n"/>
      <c r="F594" s="2" t="n"/>
    </row>
    <row r="595" ht="15.75" customHeight="1" s="67">
      <c r="A595" s="2" t="n"/>
      <c r="B595" s="2" t="n"/>
      <c r="C595" s="2" t="n"/>
      <c r="D595" s="2" t="n"/>
      <c r="E595" s="2" t="n"/>
      <c r="F595" s="2" t="n"/>
    </row>
    <row r="596" ht="15.75" customHeight="1" s="67">
      <c r="A596" s="2" t="n"/>
      <c r="B596" s="2" t="n"/>
      <c r="C596" s="2" t="n"/>
      <c r="D596" s="2" t="n"/>
      <c r="E596" s="2" t="n"/>
      <c r="F596" s="2" t="n"/>
    </row>
    <row r="597" ht="15.75" customHeight="1" s="67">
      <c r="A597" s="2" t="n"/>
      <c r="B597" s="2" t="n"/>
      <c r="C597" s="2" t="n"/>
      <c r="D597" s="2" t="n"/>
      <c r="E597" s="2" t="n"/>
      <c r="F597" s="2" t="n"/>
    </row>
    <row r="598" ht="15.75" customHeight="1" s="67">
      <c r="A598" s="2" t="n"/>
      <c r="B598" s="2" t="n"/>
      <c r="C598" s="2" t="n"/>
      <c r="D598" s="2" t="n"/>
      <c r="E598" s="2" t="n"/>
      <c r="F598" s="2" t="n"/>
    </row>
    <row r="599" ht="15.75" customHeight="1" s="67">
      <c r="A599" s="2" t="n"/>
      <c r="B599" s="2" t="n"/>
      <c r="C599" s="2" t="n"/>
      <c r="D599" s="2" t="n"/>
      <c r="E599" s="2" t="n"/>
      <c r="F599" s="2" t="n"/>
    </row>
    <row r="600" ht="15.75" customHeight="1" s="67">
      <c r="A600" s="2" t="n"/>
      <c r="B600" s="2" t="n"/>
      <c r="C600" s="2" t="n"/>
      <c r="D600" s="2" t="n"/>
      <c r="E600" s="2" t="n"/>
      <c r="F600" s="2" t="n"/>
    </row>
    <row r="601" ht="15.75" customHeight="1" s="67">
      <c r="A601" s="2" t="n"/>
      <c r="B601" s="2" t="n"/>
      <c r="C601" s="2" t="n"/>
      <c r="D601" s="2" t="n"/>
      <c r="E601" s="2" t="n"/>
      <c r="F601" s="2" t="n"/>
    </row>
    <row r="602" ht="15.75" customHeight="1" s="67">
      <c r="A602" s="2" t="n"/>
      <c r="B602" s="2" t="n"/>
      <c r="C602" s="2" t="n"/>
      <c r="D602" s="2" t="n"/>
      <c r="E602" s="2" t="n"/>
      <c r="F602" s="2" t="n"/>
    </row>
    <row r="603" ht="15.75" customHeight="1" s="67">
      <c r="A603" s="2" t="n"/>
      <c r="B603" s="2" t="n"/>
      <c r="C603" s="2" t="n"/>
      <c r="D603" s="2" t="n"/>
      <c r="E603" s="2" t="n"/>
      <c r="F603" s="2" t="n"/>
    </row>
    <row r="604" ht="15.75" customHeight="1" s="67">
      <c r="A604" s="2" t="n"/>
      <c r="B604" s="2" t="n"/>
      <c r="C604" s="2" t="n"/>
      <c r="D604" s="2" t="n"/>
      <c r="E604" s="2" t="n"/>
      <c r="F604" s="2" t="n"/>
    </row>
    <row r="605" ht="15.75" customHeight="1" s="67">
      <c r="A605" s="2" t="n"/>
      <c r="B605" s="2" t="n"/>
      <c r="C605" s="2" t="n"/>
      <c r="D605" s="2" t="n"/>
      <c r="E605" s="2" t="n"/>
      <c r="F605" s="2" t="n"/>
    </row>
    <row r="606" ht="15.75" customHeight="1" s="67">
      <c r="A606" s="2" t="n"/>
      <c r="B606" s="2" t="n"/>
      <c r="C606" s="2" t="n"/>
      <c r="D606" s="2" t="n"/>
      <c r="E606" s="2" t="n"/>
      <c r="F606" s="2" t="n"/>
    </row>
    <row r="607" ht="15.75" customHeight="1" s="67">
      <c r="A607" s="2" t="n"/>
      <c r="B607" s="2" t="n"/>
      <c r="C607" s="2" t="n"/>
      <c r="D607" s="2" t="n"/>
      <c r="E607" s="2" t="n"/>
      <c r="F607" s="2" t="n"/>
    </row>
    <row r="608" ht="15.75" customHeight="1" s="67">
      <c r="A608" s="2" t="n"/>
      <c r="B608" s="2" t="n"/>
      <c r="C608" s="2" t="n"/>
      <c r="D608" s="2" t="n"/>
      <c r="E608" s="2" t="n"/>
      <c r="F608" s="2" t="n"/>
    </row>
    <row r="609" ht="15.75" customHeight="1" s="67">
      <c r="A609" s="2" t="n"/>
      <c r="B609" s="2" t="n"/>
      <c r="C609" s="2" t="n"/>
      <c r="D609" s="2" t="n"/>
      <c r="E609" s="2" t="n"/>
      <c r="F609" s="2" t="n"/>
    </row>
    <row r="610" ht="15.75" customHeight="1" s="67">
      <c r="A610" s="2" t="n"/>
      <c r="B610" s="2" t="n"/>
      <c r="C610" s="2" t="n"/>
      <c r="D610" s="2" t="n"/>
      <c r="E610" s="2" t="n"/>
      <c r="F610" s="2" t="n"/>
    </row>
    <row r="611" ht="15.75" customHeight="1" s="67">
      <c r="A611" s="2" t="n"/>
      <c r="B611" s="2" t="n"/>
      <c r="C611" s="2" t="n"/>
      <c r="D611" s="2" t="n"/>
      <c r="E611" s="2" t="n"/>
      <c r="F611" s="2" t="n"/>
    </row>
    <row r="612" ht="15.75" customHeight="1" s="67">
      <c r="A612" s="2" t="n"/>
      <c r="B612" s="2" t="n"/>
      <c r="C612" s="2" t="n"/>
      <c r="D612" s="2" t="n"/>
      <c r="E612" s="2" t="n"/>
      <c r="F612" s="2" t="n"/>
    </row>
    <row r="613" ht="15.75" customHeight="1" s="67">
      <c r="A613" s="2" t="n"/>
      <c r="B613" s="2" t="n"/>
      <c r="C613" s="2" t="n"/>
      <c r="D613" s="2" t="n"/>
      <c r="E613" s="2" t="n"/>
      <c r="F613" s="2" t="n"/>
    </row>
    <row r="614" ht="15.75" customHeight="1" s="67">
      <c r="A614" s="2" t="n"/>
      <c r="B614" s="2" t="n"/>
      <c r="C614" s="2" t="n"/>
      <c r="D614" s="2" t="n"/>
      <c r="E614" s="2" t="n"/>
      <c r="F614" s="2" t="n"/>
    </row>
    <row r="615" ht="15.75" customHeight="1" s="67">
      <c r="A615" s="2" t="n"/>
      <c r="B615" s="2" t="n"/>
      <c r="C615" s="2" t="n"/>
      <c r="D615" s="2" t="n"/>
      <c r="E615" s="2" t="n"/>
      <c r="F615" s="2" t="n"/>
    </row>
    <row r="616" ht="15.75" customHeight="1" s="67">
      <c r="A616" s="2" t="n"/>
      <c r="B616" s="2" t="n"/>
      <c r="C616" s="2" t="n"/>
      <c r="D616" s="2" t="n"/>
      <c r="E616" s="2" t="n"/>
      <c r="F616" s="2" t="n"/>
    </row>
    <row r="617" ht="15.75" customHeight="1" s="67">
      <c r="A617" s="2" t="n"/>
      <c r="B617" s="2" t="n"/>
      <c r="C617" s="2" t="n"/>
      <c r="D617" s="2" t="n"/>
      <c r="E617" s="2" t="n"/>
      <c r="F617" s="2" t="n"/>
    </row>
    <row r="618" ht="15.75" customHeight="1" s="67">
      <c r="A618" s="2" t="n"/>
      <c r="B618" s="2" t="n"/>
      <c r="C618" s="2" t="n"/>
      <c r="D618" s="2" t="n"/>
      <c r="E618" s="2" t="n"/>
      <c r="F618" s="2" t="n"/>
    </row>
    <row r="619" ht="15.75" customHeight="1" s="67">
      <c r="A619" s="2" t="n"/>
      <c r="B619" s="2" t="n"/>
      <c r="C619" s="2" t="n"/>
      <c r="D619" s="2" t="n"/>
      <c r="E619" s="2" t="n"/>
      <c r="F619" s="2" t="n"/>
    </row>
    <row r="620" ht="15.75" customHeight="1" s="67">
      <c r="A620" s="2" t="n"/>
      <c r="B620" s="2" t="n"/>
      <c r="C620" s="2" t="n"/>
      <c r="D620" s="2" t="n"/>
      <c r="E620" s="2" t="n"/>
      <c r="F620" s="2" t="n"/>
    </row>
    <row r="621" ht="15.75" customHeight="1" s="67">
      <c r="A621" s="2" t="n"/>
      <c r="B621" s="2" t="n"/>
      <c r="C621" s="2" t="n"/>
      <c r="D621" s="2" t="n"/>
      <c r="E621" s="2" t="n"/>
      <c r="F621" s="2" t="n"/>
    </row>
    <row r="622" ht="15.75" customHeight="1" s="67">
      <c r="A622" s="2" t="n"/>
      <c r="B622" s="2" t="n"/>
      <c r="C622" s="2" t="n"/>
      <c r="D622" s="2" t="n"/>
      <c r="E622" s="2" t="n"/>
      <c r="F622" s="2" t="n"/>
    </row>
    <row r="623" ht="15.75" customHeight="1" s="67">
      <c r="A623" s="2" t="n"/>
      <c r="B623" s="2" t="n"/>
      <c r="C623" s="2" t="n"/>
      <c r="D623" s="2" t="n"/>
      <c r="E623" s="2" t="n"/>
      <c r="F623" s="2" t="n"/>
    </row>
    <row r="624" ht="15.75" customHeight="1" s="67">
      <c r="A624" s="2" t="n"/>
      <c r="B624" s="2" t="n"/>
      <c r="C624" s="2" t="n"/>
      <c r="D624" s="2" t="n"/>
      <c r="E624" s="2" t="n"/>
      <c r="F624" s="2" t="n"/>
    </row>
    <row r="625" ht="15.75" customHeight="1" s="67">
      <c r="A625" s="2" t="n"/>
      <c r="B625" s="2" t="n"/>
      <c r="C625" s="2" t="n"/>
      <c r="D625" s="2" t="n"/>
      <c r="E625" s="2" t="n"/>
      <c r="F625" s="2" t="n"/>
    </row>
    <row r="626" ht="15.75" customHeight="1" s="67">
      <c r="A626" s="2" t="n"/>
      <c r="B626" s="2" t="n"/>
      <c r="C626" s="2" t="n"/>
      <c r="D626" s="2" t="n"/>
      <c r="E626" s="2" t="n"/>
      <c r="F626" s="2" t="n"/>
    </row>
    <row r="627" ht="15.75" customHeight="1" s="67">
      <c r="A627" s="2" t="n"/>
      <c r="B627" s="2" t="n"/>
      <c r="C627" s="2" t="n"/>
      <c r="D627" s="2" t="n"/>
      <c r="E627" s="2" t="n"/>
      <c r="F627" s="2" t="n"/>
    </row>
    <row r="628" ht="15.75" customHeight="1" s="67">
      <c r="A628" s="2" t="n"/>
      <c r="B628" s="2" t="n"/>
      <c r="C628" s="2" t="n"/>
      <c r="D628" s="2" t="n"/>
      <c r="E628" s="2" t="n"/>
      <c r="F628" s="2" t="n"/>
    </row>
    <row r="629" ht="15.75" customHeight="1" s="67">
      <c r="A629" s="2" t="n"/>
      <c r="B629" s="2" t="n"/>
      <c r="C629" s="2" t="n"/>
      <c r="D629" s="2" t="n"/>
      <c r="E629" s="2" t="n"/>
      <c r="F629" s="2" t="n"/>
    </row>
    <row r="630" ht="15.75" customHeight="1" s="67">
      <c r="A630" s="2" t="n"/>
      <c r="B630" s="2" t="n"/>
      <c r="C630" s="2" t="n"/>
      <c r="D630" s="2" t="n"/>
      <c r="E630" s="2" t="n"/>
      <c r="F630" s="2" t="n"/>
    </row>
    <row r="631" ht="15.75" customHeight="1" s="67">
      <c r="A631" s="2" t="n"/>
      <c r="B631" s="2" t="n"/>
      <c r="C631" s="2" t="n"/>
      <c r="D631" s="2" t="n"/>
      <c r="E631" s="2" t="n"/>
      <c r="F631" s="2" t="n"/>
    </row>
    <row r="632" ht="15.75" customHeight="1" s="67">
      <c r="A632" s="2" t="n"/>
      <c r="B632" s="2" t="n"/>
      <c r="C632" s="2" t="n"/>
      <c r="D632" s="2" t="n"/>
      <c r="E632" s="2" t="n"/>
      <c r="F632" s="2" t="n"/>
    </row>
    <row r="633" ht="15.75" customHeight="1" s="67">
      <c r="A633" s="2" t="n"/>
      <c r="B633" s="2" t="n"/>
      <c r="C633" s="2" t="n"/>
      <c r="D633" s="2" t="n"/>
      <c r="E633" s="2" t="n"/>
      <c r="F633" s="2" t="n"/>
    </row>
    <row r="634" ht="15.75" customHeight="1" s="67">
      <c r="A634" s="2" t="n"/>
      <c r="B634" s="2" t="n"/>
      <c r="C634" s="2" t="n"/>
      <c r="D634" s="2" t="n"/>
      <c r="E634" s="2" t="n"/>
      <c r="F634" s="2" t="n"/>
    </row>
    <row r="635" ht="15.75" customHeight="1" s="67">
      <c r="A635" s="2" t="n"/>
      <c r="B635" s="2" t="n"/>
      <c r="C635" s="2" t="n"/>
      <c r="D635" s="2" t="n"/>
      <c r="E635" s="2" t="n"/>
      <c r="F635" s="2" t="n"/>
    </row>
    <row r="636" ht="15.75" customHeight="1" s="67">
      <c r="A636" s="2" t="n"/>
      <c r="B636" s="2" t="n"/>
      <c r="C636" s="2" t="n"/>
      <c r="D636" s="2" t="n"/>
      <c r="E636" s="2" t="n"/>
      <c r="F636" s="2" t="n"/>
    </row>
    <row r="637" ht="15.75" customHeight="1" s="67">
      <c r="A637" s="2" t="n"/>
      <c r="B637" s="2" t="n"/>
      <c r="C637" s="2" t="n"/>
      <c r="D637" s="2" t="n"/>
      <c r="E637" s="2" t="n"/>
      <c r="F637" s="2" t="n"/>
    </row>
    <row r="638" ht="15.75" customHeight="1" s="67">
      <c r="A638" s="2" t="n"/>
      <c r="B638" s="2" t="n"/>
      <c r="C638" s="2" t="n"/>
      <c r="D638" s="2" t="n"/>
      <c r="E638" s="2" t="n"/>
      <c r="F638" s="2" t="n"/>
    </row>
    <row r="639" ht="15.75" customHeight="1" s="67">
      <c r="A639" s="2" t="n"/>
      <c r="B639" s="2" t="n"/>
      <c r="C639" s="2" t="n"/>
      <c r="D639" s="2" t="n"/>
      <c r="E639" s="2" t="n"/>
      <c r="F639" s="2" t="n"/>
    </row>
    <row r="640" ht="15.75" customHeight="1" s="67">
      <c r="A640" s="2" t="n"/>
      <c r="B640" s="2" t="n"/>
      <c r="C640" s="2" t="n"/>
      <c r="D640" s="2" t="n"/>
      <c r="E640" s="2" t="n"/>
      <c r="F640" s="2" t="n"/>
    </row>
    <row r="641" ht="15.75" customHeight="1" s="67">
      <c r="A641" s="2" t="n"/>
      <c r="B641" s="2" t="n"/>
      <c r="C641" s="2" t="n"/>
      <c r="D641" s="2" t="n"/>
      <c r="E641" s="2" t="n"/>
      <c r="F641" s="2" t="n"/>
    </row>
    <row r="642" ht="15.75" customHeight="1" s="67">
      <c r="A642" s="2" t="n"/>
      <c r="B642" s="2" t="n"/>
      <c r="C642" s="2" t="n"/>
      <c r="D642" s="2" t="n"/>
      <c r="E642" s="2" t="n"/>
      <c r="F642" s="2" t="n"/>
    </row>
    <row r="643" ht="15.75" customHeight="1" s="67">
      <c r="A643" s="2" t="n"/>
      <c r="B643" s="2" t="n"/>
      <c r="C643" s="2" t="n"/>
      <c r="D643" s="2" t="n"/>
      <c r="E643" s="2" t="n"/>
      <c r="F643" s="2" t="n"/>
    </row>
    <row r="644" ht="15.75" customHeight="1" s="67">
      <c r="A644" s="2" t="n"/>
      <c r="B644" s="2" t="n"/>
      <c r="C644" s="2" t="n"/>
      <c r="D644" s="2" t="n"/>
      <c r="E644" s="2" t="n"/>
      <c r="F644" s="2" t="n"/>
    </row>
    <row r="645" ht="15.75" customHeight="1" s="67">
      <c r="A645" s="2" t="n"/>
      <c r="B645" s="2" t="n"/>
      <c r="C645" s="2" t="n"/>
      <c r="D645" s="2" t="n"/>
      <c r="E645" s="2" t="n"/>
      <c r="F645" s="2" t="n"/>
    </row>
    <row r="646" ht="15.75" customHeight="1" s="67">
      <c r="A646" s="2" t="n"/>
      <c r="B646" s="2" t="n"/>
      <c r="C646" s="2" t="n"/>
      <c r="D646" s="2" t="n"/>
      <c r="E646" s="2" t="n"/>
      <c r="F646" s="2" t="n"/>
    </row>
    <row r="647" ht="15.75" customHeight="1" s="67">
      <c r="A647" s="2" t="n"/>
      <c r="B647" s="2" t="n"/>
      <c r="C647" s="2" t="n"/>
      <c r="D647" s="2" t="n"/>
      <c r="E647" s="2" t="n"/>
      <c r="F647" s="2" t="n"/>
    </row>
    <row r="648" ht="15.75" customHeight="1" s="67">
      <c r="A648" s="2" t="n"/>
      <c r="B648" s="2" t="n"/>
      <c r="C648" s="2" t="n"/>
      <c r="D648" s="2" t="n"/>
      <c r="E648" s="2" t="n"/>
      <c r="F648" s="2" t="n"/>
    </row>
    <row r="649" ht="15.75" customHeight="1" s="67">
      <c r="A649" s="2" t="n"/>
      <c r="B649" s="2" t="n"/>
      <c r="C649" s="2" t="n"/>
      <c r="D649" s="2" t="n"/>
      <c r="E649" s="2" t="n"/>
      <c r="F649" s="2" t="n"/>
    </row>
    <row r="650" ht="15.75" customHeight="1" s="67">
      <c r="A650" s="2" t="n"/>
      <c r="B650" s="2" t="n"/>
      <c r="C650" s="2" t="n"/>
      <c r="D650" s="2" t="n"/>
      <c r="E650" s="2" t="n"/>
      <c r="F650" s="2" t="n"/>
    </row>
    <row r="651" ht="15.75" customHeight="1" s="67">
      <c r="A651" s="2" t="n"/>
      <c r="B651" s="2" t="n"/>
      <c r="C651" s="2" t="n"/>
      <c r="D651" s="2" t="n"/>
      <c r="E651" s="2" t="n"/>
      <c r="F651" s="2" t="n"/>
    </row>
    <row r="652" ht="15.75" customHeight="1" s="67">
      <c r="A652" s="2" t="n"/>
      <c r="B652" s="2" t="n"/>
      <c r="C652" s="2" t="n"/>
      <c r="D652" s="2" t="n"/>
      <c r="E652" s="2" t="n"/>
      <c r="F652" s="2" t="n"/>
    </row>
    <row r="653" ht="15.75" customHeight="1" s="67">
      <c r="A653" s="2" t="n"/>
      <c r="B653" s="2" t="n"/>
      <c r="C653" s="2" t="n"/>
      <c r="D653" s="2" t="n"/>
      <c r="E653" s="2" t="n"/>
      <c r="F653" s="2" t="n"/>
    </row>
    <row r="654" ht="15.75" customHeight="1" s="67">
      <c r="A654" s="2" t="n"/>
      <c r="B654" s="2" t="n"/>
      <c r="C654" s="2" t="n"/>
      <c r="D654" s="2" t="n"/>
      <c r="E654" s="2" t="n"/>
      <c r="F654" s="2" t="n"/>
    </row>
    <row r="655" ht="15.75" customHeight="1" s="67">
      <c r="A655" s="2" t="n"/>
      <c r="B655" s="2" t="n"/>
      <c r="C655" s="2" t="n"/>
      <c r="D655" s="2" t="n"/>
      <c r="E655" s="2" t="n"/>
      <c r="F655" s="2" t="n"/>
    </row>
    <row r="656" ht="15.75" customHeight="1" s="67">
      <c r="A656" s="2" t="n"/>
      <c r="B656" s="2" t="n"/>
      <c r="C656" s="2" t="n"/>
      <c r="D656" s="2" t="n"/>
      <c r="E656" s="2" t="n"/>
      <c r="F656" s="2" t="n"/>
    </row>
    <row r="657" ht="15.75" customHeight="1" s="67">
      <c r="A657" s="2" t="n"/>
      <c r="B657" s="2" t="n"/>
      <c r="C657" s="2" t="n"/>
      <c r="D657" s="2" t="n"/>
      <c r="E657" s="2" t="n"/>
      <c r="F657" s="2" t="n"/>
    </row>
    <row r="658" ht="15.75" customHeight="1" s="67">
      <c r="A658" s="2" t="n"/>
      <c r="B658" s="2" t="n"/>
      <c r="C658" s="2" t="n"/>
      <c r="D658" s="2" t="n"/>
      <c r="E658" s="2" t="n"/>
      <c r="F658" s="2" t="n"/>
    </row>
    <row r="659" ht="15.75" customHeight="1" s="67">
      <c r="A659" s="2" t="n"/>
      <c r="B659" s="2" t="n"/>
      <c r="C659" s="2" t="n"/>
      <c r="D659" s="2" t="n"/>
      <c r="E659" s="2" t="n"/>
      <c r="F659" s="2" t="n"/>
    </row>
    <row r="660" ht="15.75" customHeight="1" s="67">
      <c r="A660" s="2" t="n"/>
      <c r="B660" s="2" t="n"/>
      <c r="C660" s="2" t="n"/>
      <c r="D660" s="2" t="n"/>
      <c r="E660" s="2" t="n"/>
      <c r="F660" s="2" t="n"/>
    </row>
    <row r="661" ht="15.75" customHeight="1" s="67">
      <c r="A661" s="2" t="n"/>
      <c r="B661" s="2" t="n"/>
      <c r="C661" s="2" t="n"/>
      <c r="D661" s="2" t="n"/>
      <c r="E661" s="2" t="n"/>
      <c r="F661" s="2" t="n"/>
    </row>
    <row r="662" ht="15.75" customHeight="1" s="67">
      <c r="A662" s="2" t="n"/>
      <c r="B662" s="2" t="n"/>
      <c r="C662" s="2" t="n"/>
      <c r="D662" s="2" t="n"/>
      <c r="E662" s="2" t="n"/>
      <c r="F662" s="2" t="n"/>
    </row>
    <row r="663" ht="15.75" customHeight="1" s="67">
      <c r="A663" s="2" t="n"/>
      <c r="B663" s="2" t="n"/>
      <c r="C663" s="2" t="n"/>
      <c r="D663" s="2" t="n"/>
      <c r="E663" s="2" t="n"/>
      <c r="F663" s="2" t="n"/>
    </row>
    <row r="664" ht="15.75" customHeight="1" s="67">
      <c r="A664" s="2" t="n"/>
      <c r="B664" s="2" t="n"/>
      <c r="C664" s="2" t="n"/>
      <c r="D664" s="2" t="n"/>
      <c r="E664" s="2" t="n"/>
      <c r="F664" s="2" t="n"/>
    </row>
    <row r="665" ht="15.75" customHeight="1" s="67">
      <c r="A665" s="2" t="n"/>
      <c r="B665" s="2" t="n"/>
      <c r="C665" s="2" t="n"/>
      <c r="D665" s="2" t="n"/>
      <c r="E665" s="2" t="n"/>
      <c r="F665" s="2" t="n"/>
    </row>
    <row r="666" ht="15.75" customHeight="1" s="67">
      <c r="A666" s="2" t="n"/>
      <c r="B666" s="2" t="n"/>
      <c r="C666" s="2" t="n"/>
      <c r="D666" s="2" t="n"/>
      <c r="E666" s="2" t="n"/>
      <c r="F666" s="2" t="n"/>
    </row>
    <row r="667" ht="15.75" customHeight="1" s="67">
      <c r="A667" s="2" t="n"/>
      <c r="B667" s="2" t="n"/>
      <c r="C667" s="2" t="n"/>
      <c r="D667" s="2" t="n"/>
      <c r="E667" s="2" t="n"/>
      <c r="F667" s="2" t="n"/>
    </row>
    <row r="668" ht="15.75" customHeight="1" s="67">
      <c r="A668" s="2" t="n"/>
      <c r="B668" s="2" t="n"/>
      <c r="C668" s="2" t="n"/>
      <c r="D668" s="2" t="n"/>
      <c r="E668" s="2" t="n"/>
      <c r="F668" s="2" t="n"/>
    </row>
    <row r="669" ht="15.75" customHeight="1" s="67">
      <c r="A669" s="2" t="n"/>
      <c r="B669" s="2" t="n"/>
      <c r="C669" s="2" t="n"/>
      <c r="D669" s="2" t="n"/>
      <c r="E669" s="2" t="n"/>
      <c r="F669" s="2" t="n"/>
    </row>
    <row r="670" ht="15.75" customHeight="1" s="67">
      <c r="A670" s="2" t="n"/>
      <c r="B670" s="2" t="n"/>
      <c r="C670" s="2" t="n"/>
      <c r="D670" s="2" t="n"/>
      <c r="E670" s="2" t="n"/>
      <c r="F670" s="2" t="n"/>
    </row>
    <row r="671" ht="15.75" customHeight="1" s="67">
      <c r="A671" s="2" t="n"/>
      <c r="B671" s="2" t="n"/>
      <c r="C671" s="2" t="n"/>
      <c r="D671" s="2" t="n"/>
      <c r="E671" s="2" t="n"/>
      <c r="F671" s="2" t="n"/>
    </row>
    <row r="672" ht="15.75" customHeight="1" s="67">
      <c r="A672" s="2" t="n"/>
      <c r="B672" s="2" t="n"/>
      <c r="C672" s="2" t="n"/>
      <c r="D672" s="2" t="n"/>
      <c r="E672" s="2" t="n"/>
      <c r="F672" s="2" t="n"/>
    </row>
    <row r="673" ht="15.75" customHeight="1" s="67">
      <c r="A673" s="2" t="n"/>
      <c r="B673" s="2" t="n"/>
      <c r="C673" s="2" t="n"/>
      <c r="D673" s="2" t="n"/>
      <c r="E673" s="2" t="n"/>
      <c r="F673" s="2" t="n"/>
    </row>
    <row r="674" ht="15.75" customHeight="1" s="67">
      <c r="A674" s="2" t="n"/>
      <c r="B674" s="2" t="n"/>
      <c r="C674" s="2" t="n"/>
      <c r="D674" s="2" t="n"/>
      <c r="E674" s="2" t="n"/>
      <c r="F674" s="2" t="n"/>
    </row>
    <row r="675" ht="15.75" customHeight="1" s="67">
      <c r="A675" s="2" t="n"/>
      <c r="B675" s="2" t="n"/>
      <c r="C675" s="2" t="n"/>
      <c r="D675" s="2" t="n"/>
      <c r="E675" s="2" t="n"/>
      <c r="F675" s="2" t="n"/>
    </row>
    <row r="676" ht="15.75" customHeight="1" s="67">
      <c r="A676" s="2" t="n"/>
      <c r="B676" s="2" t="n"/>
      <c r="C676" s="2" t="n"/>
      <c r="D676" s="2" t="n"/>
      <c r="E676" s="2" t="n"/>
      <c r="F676" s="2" t="n"/>
    </row>
    <row r="677" ht="15.75" customHeight="1" s="67">
      <c r="A677" s="2" t="n"/>
      <c r="B677" s="2" t="n"/>
      <c r="C677" s="2" t="n"/>
      <c r="D677" s="2" t="n"/>
      <c r="E677" s="2" t="n"/>
      <c r="F677" s="2" t="n"/>
    </row>
    <row r="678" ht="15.75" customHeight="1" s="67">
      <c r="A678" s="2" t="n"/>
      <c r="B678" s="2" t="n"/>
      <c r="C678" s="2" t="n"/>
      <c r="D678" s="2" t="n"/>
      <c r="E678" s="2" t="n"/>
      <c r="F678" s="2" t="n"/>
    </row>
    <row r="679" ht="15.75" customHeight="1" s="67">
      <c r="A679" s="2" t="n"/>
      <c r="B679" s="2" t="n"/>
      <c r="C679" s="2" t="n"/>
      <c r="D679" s="2" t="n"/>
      <c r="E679" s="2" t="n"/>
      <c r="F679" s="2" t="n"/>
    </row>
    <row r="680" ht="15.75" customHeight="1" s="67">
      <c r="A680" s="2" t="n"/>
      <c r="B680" s="2" t="n"/>
      <c r="C680" s="2" t="n"/>
      <c r="D680" s="2" t="n"/>
      <c r="E680" s="2" t="n"/>
      <c r="F680" s="2" t="n"/>
    </row>
    <row r="681" ht="15.75" customHeight="1" s="67">
      <c r="A681" s="2" t="n"/>
      <c r="B681" s="2" t="n"/>
      <c r="C681" s="2" t="n"/>
      <c r="D681" s="2" t="n"/>
      <c r="E681" s="2" t="n"/>
      <c r="F681" s="2" t="n"/>
    </row>
    <row r="682" ht="15.75" customHeight="1" s="67">
      <c r="A682" s="2" t="n"/>
      <c r="B682" s="2" t="n"/>
      <c r="C682" s="2" t="n"/>
      <c r="D682" s="2" t="n"/>
      <c r="E682" s="2" t="n"/>
      <c r="F682" s="2" t="n"/>
    </row>
    <row r="683" ht="15.75" customHeight="1" s="67">
      <c r="A683" s="2" t="n"/>
      <c r="B683" s="2" t="n"/>
      <c r="C683" s="2" t="n"/>
      <c r="D683" s="2" t="n"/>
      <c r="E683" s="2" t="n"/>
      <c r="F683" s="2" t="n"/>
    </row>
    <row r="684" ht="15.75" customHeight="1" s="67">
      <c r="A684" s="2" t="n"/>
      <c r="B684" s="2" t="n"/>
      <c r="C684" s="2" t="n"/>
      <c r="D684" s="2" t="n"/>
      <c r="E684" s="2" t="n"/>
      <c r="F684" s="2" t="n"/>
    </row>
    <row r="685" ht="15.75" customHeight="1" s="67">
      <c r="A685" s="2" t="n"/>
      <c r="B685" s="2" t="n"/>
      <c r="C685" s="2" t="n"/>
      <c r="D685" s="2" t="n"/>
      <c r="E685" s="2" t="n"/>
      <c r="F685" s="2" t="n"/>
    </row>
    <row r="686" ht="15.75" customHeight="1" s="67">
      <c r="A686" s="2" t="n"/>
      <c r="B686" s="2" t="n"/>
      <c r="C686" s="2" t="n"/>
      <c r="D686" s="2" t="n"/>
      <c r="E686" s="2" t="n"/>
      <c r="F686" s="2" t="n"/>
    </row>
    <row r="687" ht="15.75" customHeight="1" s="67">
      <c r="A687" s="2" t="n"/>
      <c r="B687" s="2" t="n"/>
      <c r="C687" s="2" t="n"/>
      <c r="D687" s="2" t="n"/>
      <c r="E687" s="2" t="n"/>
      <c r="F687" s="2" t="n"/>
    </row>
    <row r="688" ht="15.75" customHeight="1" s="67">
      <c r="A688" s="2" t="n"/>
      <c r="B688" s="2" t="n"/>
      <c r="C688" s="2" t="n"/>
      <c r="D688" s="2" t="n"/>
      <c r="E688" s="2" t="n"/>
      <c r="F688" s="2" t="n"/>
    </row>
    <row r="689" ht="15.75" customHeight="1" s="67">
      <c r="A689" s="2" t="n"/>
      <c r="B689" s="2" t="n"/>
      <c r="C689" s="2" t="n"/>
      <c r="D689" s="2" t="n"/>
      <c r="E689" s="2" t="n"/>
      <c r="F689" s="2" t="n"/>
    </row>
    <row r="690" ht="15.75" customHeight="1" s="67">
      <c r="A690" s="2" t="n"/>
      <c r="B690" s="2" t="n"/>
      <c r="C690" s="2" t="n"/>
      <c r="D690" s="2" t="n"/>
      <c r="E690" s="2" t="n"/>
      <c r="F690" s="2" t="n"/>
    </row>
    <row r="691" ht="15.75" customHeight="1" s="67">
      <c r="A691" s="2" t="n"/>
      <c r="B691" s="2" t="n"/>
      <c r="C691" s="2" t="n"/>
      <c r="D691" s="2" t="n"/>
      <c r="E691" s="2" t="n"/>
      <c r="F691" s="2" t="n"/>
    </row>
    <row r="692" ht="15.75" customHeight="1" s="67">
      <c r="A692" s="2" t="n"/>
      <c r="B692" s="2" t="n"/>
      <c r="C692" s="2" t="n"/>
      <c r="D692" s="2" t="n"/>
      <c r="E692" s="2" t="n"/>
      <c r="F692" s="2" t="n"/>
    </row>
    <row r="693" ht="15.75" customHeight="1" s="67">
      <c r="A693" s="2" t="n"/>
      <c r="B693" s="2" t="n"/>
      <c r="C693" s="2" t="n"/>
      <c r="D693" s="2" t="n"/>
      <c r="E693" s="2" t="n"/>
      <c r="F693" s="2" t="n"/>
    </row>
    <row r="694" ht="15.75" customHeight="1" s="67">
      <c r="A694" s="2" t="n"/>
      <c r="B694" s="2" t="n"/>
      <c r="C694" s="2" t="n"/>
      <c r="D694" s="2" t="n"/>
      <c r="E694" s="2" t="n"/>
      <c r="F694" s="2" t="n"/>
    </row>
    <row r="695" ht="15.75" customHeight="1" s="67">
      <c r="A695" s="2" t="n"/>
      <c r="B695" s="2" t="n"/>
      <c r="C695" s="2" t="n"/>
      <c r="D695" s="2" t="n"/>
      <c r="E695" s="2" t="n"/>
      <c r="F695" s="2" t="n"/>
    </row>
    <row r="696" ht="15.75" customHeight="1" s="67">
      <c r="A696" s="2" t="n"/>
      <c r="B696" s="2" t="n"/>
      <c r="C696" s="2" t="n"/>
      <c r="D696" s="2" t="n"/>
      <c r="E696" s="2" t="n"/>
      <c r="F696" s="2" t="n"/>
    </row>
    <row r="697" ht="15.75" customHeight="1" s="67">
      <c r="A697" s="2" t="n"/>
      <c r="B697" s="2" t="n"/>
      <c r="C697" s="2" t="n"/>
      <c r="D697" s="2" t="n"/>
      <c r="E697" s="2" t="n"/>
      <c r="F697" s="2" t="n"/>
    </row>
    <row r="698" ht="15.75" customHeight="1" s="67">
      <c r="A698" s="2" t="n"/>
      <c r="B698" s="2" t="n"/>
      <c r="C698" s="2" t="n"/>
      <c r="D698" s="2" t="n"/>
      <c r="E698" s="2" t="n"/>
      <c r="F698" s="2" t="n"/>
    </row>
    <row r="699" ht="15.75" customHeight="1" s="67">
      <c r="A699" s="2" t="n"/>
      <c r="B699" s="2" t="n"/>
      <c r="C699" s="2" t="n"/>
      <c r="D699" s="2" t="n"/>
      <c r="E699" s="2" t="n"/>
      <c r="F699" s="2" t="n"/>
    </row>
    <row r="700" ht="15.75" customHeight="1" s="67">
      <c r="A700" s="2" t="n"/>
      <c r="B700" s="2" t="n"/>
      <c r="C700" s="2" t="n"/>
      <c r="D700" s="2" t="n"/>
      <c r="E700" s="2" t="n"/>
      <c r="F700" s="2" t="n"/>
    </row>
    <row r="701" ht="15.75" customHeight="1" s="67">
      <c r="A701" s="2" t="n"/>
      <c r="B701" s="2" t="n"/>
      <c r="C701" s="2" t="n"/>
      <c r="D701" s="2" t="n"/>
      <c r="E701" s="2" t="n"/>
      <c r="F701" s="2" t="n"/>
    </row>
    <row r="702" ht="15.75" customHeight="1" s="67">
      <c r="A702" s="2" t="n"/>
      <c r="B702" s="2" t="n"/>
      <c r="C702" s="2" t="n"/>
      <c r="D702" s="2" t="n"/>
      <c r="E702" s="2" t="n"/>
      <c r="F702" s="2" t="n"/>
    </row>
    <row r="703" ht="15.75" customHeight="1" s="67">
      <c r="A703" s="2" t="n"/>
      <c r="B703" s="2" t="n"/>
      <c r="C703" s="2" t="n"/>
      <c r="D703" s="2" t="n"/>
      <c r="E703" s="2" t="n"/>
      <c r="F703" s="2" t="n"/>
    </row>
    <row r="704" ht="15.75" customHeight="1" s="67">
      <c r="A704" s="2" t="n"/>
      <c r="B704" s="2" t="n"/>
      <c r="C704" s="2" t="n"/>
      <c r="D704" s="2" t="n"/>
      <c r="E704" s="2" t="n"/>
      <c r="F704" s="2" t="n"/>
    </row>
    <row r="705" ht="15.75" customHeight="1" s="67">
      <c r="A705" s="2" t="n"/>
      <c r="B705" s="2" t="n"/>
      <c r="C705" s="2" t="n"/>
      <c r="D705" s="2" t="n"/>
      <c r="E705" s="2" t="n"/>
      <c r="F705" s="2" t="n"/>
    </row>
    <row r="706" ht="15.75" customHeight="1" s="67">
      <c r="A706" s="2" t="n"/>
      <c r="B706" s="2" t="n"/>
      <c r="C706" s="2" t="n"/>
      <c r="D706" s="2" t="n"/>
      <c r="E706" s="2" t="n"/>
      <c r="F706" s="2" t="n"/>
    </row>
    <row r="707" ht="15.75" customHeight="1" s="67">
      <c r="A707" s="2" t="n"/>
      <c r="B707" s="2" t="n"/>
      <c r="C707" s="2" t="n"/>
      <c r="D707" s="2" t="n"/>
      <c r="E707" s="2" t="n"/>
      <c r="F707" s="2" t="n"/>
    </row>
    <row r="708" ht="15.75" customHeight="1" s="67">
      <c r="A708" s="2" t="n"/>
      <c r="B708" s="2" t="n"/>
      <c r="C708" s="2" t="n"/>
      <c r="D708" s="2" t="n"/>
      <c r="E708" s="2" t="n"/>
      <c r="F708" s="2" t="n"/>
    </row>
    <row r="709" ht="15.75" customHeight="1" s="67">
      <c r="A709" s="2" t="n"/>
      <c r="B709" s="2" t="n"/>
      <c r="C709" s="2" t="n"/>
      <c r="D709" s="2" t="n"/>
      <c r="E709" s="2" t="n"/>
      <c r="F709" s="2" t="n"/>
    </row>
    <row r="710" ht="15.75" customHeight="1" s="67">
      <c r="A710" s="2" t="n"/>
      <c r="B710" s="2" t="n"/>
      <c r="C710" s="2" t="n"/>
      <c r="D710" s="2" t="n"/>
      <c r="E710" s="2" t="n"/>
      <c r="F710" s="2" t="n"/>
    </row>
    <row r="711" ht="15.75" customHeight="1" s="67">
      <c r="A711" s="2" t="n"/>
      <c r="B711" s="2" t="n"/>
      <c r="C711" s="2" t="n"/>
      <c r="D711" s="2" t="n"/>
      <c r="E711" s="2" t="n"/>
      <c r="F711" s="2" t="n"/>
    </row>
    <row r="712" ht="15.75" customHeight="1" s="67">
      <c r="A712" s="2" t="n"/>
      <c r="B712" s="2" t="n"/>
      <c r="C712" s="2" t="n"/>
      <c r="D712" s="2" t="n"/>
      <c r="E712" s="2" t="n"/>
      <c r="F712" s="2" t="n"/>
    </row>
    <row r="713" ht="15.75" customHeight="1" s="67">
      <c r="A713" s="2" t="n"/>
      <c r="B713" s="2" t="n"/>
      <c r="C713" s="2" t="n"/>
      <c r="D713" s="2" t="n"/>
      <c r="E713" s="2" t="n"/>
      <c r="F713" s="2" t="n"/>
    </row>
    <row r="714" ht="15.75" customHeight="1" s="67">
      <c r="A714" s="2" t="n"/>
      <c r="B714" s="2" t="n"/>
      <c r="C714" s="2" t="n"/>
      <c r="D714" s="2" t="n"/>
      <c r="E714" s="2" t="n"/>
      <c r="F714" s="2" t="n"/>
    </row>
    <row r="715" ht="15.75" customHeight="1" s="67">
      <c r="A715" s="2" t="n"/>
      <c r="B715" s="2" t="n"/>
      <c r="C715" s="2" t="n"/>
      <c r="D715" s="2" t="n"/>
      <c r="E715" s="2" t="n"/>
      <c r="F715" s="2" t="n"/>
    </row>
    <row r="716" ht="15.75" customHeight="1" s="67">
      <c r="A716" s="2" t="n"/>
      <c r="B716" s="2" t="n"/>
      <c r="C716" s="2" t="n"/>
      <c r="D716" s="2" t="n"/>
      <c r="E716" s="2" t="n"/>
      <c r="F716" s="2" t="n"/>
    </row>
    <row r="717" ht="15.75" customHeight="1" s="67">
      <c r="A717" s="2" t="n"/>
      <c r="B717" s="2" t="n"/>
      <c r="C717" s="2" t="n"/>
      <c r="D717" s="2" t="n"/>
      <c r="E717" s="2" t="n"/>
      <c r="F717" s="2" t="n"/>
    </row>
    <row r="718" ht="15.75" customHeight="1" s="67">
      <c r="A718" s="2" t="n"/>
      <c r="B718" s="2" t="n"/>
      <c r="C718" s="2" t="n"/>
      <c r="D718" s="2" t="n"/>
      <c r="E718" s="2" t="n"/>
      <c r="F718" s="2" t="n"/>
    </row>
    <row r="719" ht="15.75" customHeight="1" s="67">
      <c r="A719" s="2" t="n"/>
      <c r="B719" s="2" t="n"/>
      <c r="C719" s="2" t="n"/>
      <c r="D719" s="2" t="n"/>
      <c r="E719" s="2" t="n"/>
      <c r="F719" s="2" t="n"/>
    </row>
    <row r="720" ht="15.75" customHeight="1" s="67">
      <c r="A720" s="2" t="n"/>
      <c r="B720" s="2" t="n"/>
      <c r="C720" s="2" t="n"/>
      <c r="D720" s="2" t="n"/>
      <c r="E720" s="2" t="n"/>
      <c r="F720" s="2" t="n"/>
    </row>
    <row r="721" ht="15.75" customHeight="1" s="67">
      <c r="A721" s="2" t="n"/>
      <c r="B721" s="2" t="n"/>
      <c r="C721" s="2" t="n"/>
      <c r="D721" s="2" t="n"/>
      <c r="E721" s="2" t="n"/>
      <c r="F721" s="2" t="n"/>
    </row>
    <row r="722" ht="15.75" customHeight="1" s="67">
      <c r="A722" s="2" t="n"/>
      <c r="B722" s="2" t="n"/>
      <c r="C722" s="2" t="n"/>
      <c r="D722" s="2" t="n"/>
      <c r="E722" s="2" t="n"/>
      <c r="F722" s="2" t="n"/>
    </row>
    <row r="723" ht="15.75" customHeight="1" s="67">
      <c r="A723" s="2" t="n"/>
      <c r="B723" s="2" t="n"/>
      <c r="C723" s="2" t="n"/>
      <c r="D723" s="2" t="n"/>
      <c r="E723" s="2" t="n"/>
      <c r="F723" s="2" t="n"/>
    </row>
    <row r="724" ht="15.75" customHeight="1" s="67">
      <c r="A724" s="2" t="n"/>
      <c r="B724" s="2" t="n"/>
      <c r="C724" s="2" t="n"/>
      <c r="D724" s="2" t="n"/>
      <c r="E724" s="2" t="n"/>
      <c r="F724" s="2" t="n"/>
    </row>
    <row r="725" ht="15.75" customHeight="1" s="67">
      <c r="A725" s="2" t="n"/>
      <c r="B725" s="2" t="n"/>
      <c r="C725" s="2" t="n"/>
      <c r="D725" s="2" t="n"/>
      <c r="E725" s="2" t="n"/>
      <c r="F725" s="2" t="n"/>
    </row>
    <row r="726" ht="15.75" customHeight="1" s="67">
      <c r="A726" s="2" t="n"/>
      <c r="B726" s="2" t="n"/>
      <c r="C726" s="2" t="n"/>
      <c r="D726" s="2" t="n"/>
      <c r="E726" s="2" t="n"/>
      <c r="F726" s="2" t="n"/>
    </row>
    <row r="727" ht="15.75" customHeight="1" s="67">
      <c r="A727" s="2" t="n"/>
      <c r="B727" s="2" t="n"/>
      <c r="C727" s="2" t="n"/>
      <c r="D727" s="2" t="n"/>
      <c r="E727" s="2" t="n"/>
      <c r="F727" s="2" t="n"/>
    </row>
    <row r="728" ht="15.75" customHeight="1" s="67">
      <c r="A728" s="2" t="n"/>
      <c r="B728" s="2" t="n"/>
      <c r="C728" s="2" t="n"/>
      <c r="D728" s="2" t="n"/>
      <c r="E728" s="2" t="n"/>
      <c r="F728" s="2" t="n"/>
    </row>
    <row r="729" ht="15.75" customHeight="1" s="67">
      <c r="A729" s="2" t="n"/>
      <c r="B729" s="2" t="n"/>
      <c r="C729" s="2" t="n"/>
      <c r="D729" s="2" t="n"/>
      <c r="E729" s="2" t="n"/>
      <c r="F729" s="2" t="n"/>
    </row>
    <row r="730" ht="15.75" customHeight="1" s="67">
      <c r="A730" s="2" t="n"/>
      <c r="B730" s="2" t="n"/>
      <c r="C730" s="2" t="n"/>
      <c r="D730" s="2" t="n"/>
      <c r="E730" s="2" t="n"/>
      <c r="F730" s="2" t="n"/>
    </row>
    <row r="731" ht="15.75" customHeight="1" s="67">
      <c r="A731" s="2" t="n"/>
      <c r="B731" s="2" t="n"/>
      <c r="C731" s="2" t="n"/>
      <c r="D731" s="2" t="n"/>
      <c r="E731" s="2" t="n"/>
      <c r="F731" s="2" t="n"/>
    </row>
    <row r="732" ht="15.75" customHeight="1" s="67">
      <c r="A732" s="2" t="n"/>
      <c r="B732" s="2" t="n"/>
      <c r="C732" s="2" t="n"/>
      <c r="D732" s="2" t="n"/>
      <c r="E732" s="2" t="n"/>
      <c r="F732" s="2" t="n"/>
    </row>
    <row r="733" ht="15.75" customHeight="1" s="67">
      <c r="A733" s="2" t="n"/>
      <c r="B733" s="2" t="n"/>
      <c r="C733" s="2" t="n"/>
      <c r="D733" s="2" t="n"/>
      <c r="E733" s="2" t="n"/>
      <c r="F733" s="2" t="n"/>
    </row>
    <row r="734" ht="15.75" customHeight="1" s="67">
      <c r="A734" s="2" t="n"/>
      <c r="B734" s="2" t="n"/>
      <c r="C734" s="2" t="n"/>
      <c r="D734" s="2" t="n"/>
      <c r="E734" s="2" t="n"/>
      <c r="F734" s="2" t="n"/>
    </row>
    <row r="735" ht="15.75" customHeight="1" s="67">
      <c r="A735" s="2" t="n"/>
      <c r="B735" s="2" t="n"/>
      <c r="C735" s="2" t="n"/>
      <c r="D735" s="2" t="n"/>
      <c r="E735" s="2" t="n"/>
      <c r="F735" s="2" t="n"/>
    </row>
    <row r="736" ht="15.75" customHeight="1" s="67">
      <c r="A736" s="2" t="n"/>
      <c r="B736" s="2" t="n"/>
      <c r="C736" s="2" t="n"/>
      <c r="D736" s="2" t="n"/>
      <c r="E736" s="2" t="n"/>
      <c r="F736" s="2" t="n"/>
    </row>
    <row r="737" ht="15.75" customHeight="1" s="67">
      <c r="A737" s="2" t="n"/>
      <c r="B737" s="2" t="n"/>
      <c r="C737" s="2" t="n"/>
      <c r="D737" s="2" t="n"/>
      <c r="E737" s="2" t="n"/>
      <c r="F737" s="2" t="n"/>
    </row>
    <row r="738" ht="15.75" customHeight="1" s="67">
      <c r="A738" s="2" t="n"/>
      <c r="B738" s="2" t="n"/>
      <c r="C738" s="2" t="n"/>
      <c r="D738" s="2" t="n"/>
      <c r="E738" s="2" t="n"/>
      <c r="F738" s="2" t="n"/>
    </row>
    <row r="739" ht="15.75" customHeight="1" s="67">
      <c r="A739" s="2" t="n"/>
      <c r="B739" s="2" t="n"/>
      <c r="C739" s="2" t="n"/>
      <c r="D739" s="2" t="n"/>
      <c r="E739" s="2" t="n"/>
      <c r="F739" s="2" t="n"/>
    </row>
    <row r="740" ht="15.75" customHeight="1" s="67">
      <c r="A740" s="2" t="n"/>
      <c r="B740" s="2" t="n"/>
      <c r="C740" s="2" t="n"/>
      <c r="D740" s="2" t="n"/>
      <c r="E740" s="2" t="n"/>
      <c r="F740" s="2" t="n"/>
    </row>
    <row r="741" ht="15.75" customHeight="1" s="67">
      <c r="A741" s="2" t="n"/>
      <c r="B741" s="2" t="n"/>
      <c r="C741" s="2" t="n"/>
      <c r="D741" s="2" t="n"/>
      <c r="E741" s="2" t="n"/>
      <c r="F741" s="2" t="n"/>
    </row>
    <row r="742" ht="15.75" customHeight="1" s="67">
      <c r="A742" s="2" t="n"/>
      <c r="B742" s="2" t="n"/>
      <c r="C742" s="2" t="n"/>
      <c r="D742" s="2" t="n"/>
      <c r="E742" s="2" t="n"/>
      <c r="F742" s="2" t="n"/>
    </row>
    <row r="743" ht="15.75" customHeight="1" s="67">
      <c r="A743" s="2" t="n"/>
      <c r="B743" s="2" t="n"/>
      <c r="C743" s="2" t="n"/>
      <c r="D743" s="2" t="n"/>
      <c r="E743" s="2" t="n"/>
      <c r="F743" s="2" t="n"/>
    </row>
    <row r="744" ht="15.75" customHeight="1" s="67">
      <c r="A744" s="2" t="n"/>
      <c r="B744" s="2" t="n"/>
      <c r="C744" s="2" t="n"/>
      <c r="D744" s="2" t="n"/>
      <c r="E744" s="2" t="n"/>
      <c r="F744" s="2" t="n"/>
    </row>
    <row r="745" ht="15.75" customHeight="1" s="67">
      <c r="A745" s="2" t="n"/>
      <c r="B745" s="2" t="n"/>
      <c r="C745" s="2" t="n"/>
      <c r="D745" s="2" t="n"/>
      <c r="E745" s="2" t="n"/>
      <c r="F745" s="2" t="n"/>
    </row>
    <row r="746" ht="15.75" customHeight="1" s="67">
      <c r="A746" s="2" t="n"/>
      <c r="B746" s="2" t="n"/>
      <c r="C746" s="2" t="n"/>
      <c r="D746" s="2" t="n"/>
      <c r="E746" s="2" t="n"/>
      <c r="F746" s="2" t="n"/>
    </row>
    <row r="747" ht="15.75" customHeight="1" s="67">
      <c r="A747" s="2" t="n"/>
      <c r="B747" s="2" t="n"/>
      <c r="C747" s="2" t="n"/>
      <c r="D747" s="2" t="n"/>
      <c r="E747" s="2" t="n"/>
      <c r="F747" s="2" t="n"/>
    </row>
    <row r="748" ht="15.75" customHeight="1" s="67">
      <c r="A748" s="2" t="n"/>
      <c r="B748" s="2" t="n"/>
      <c r="C748" s="2" t="n"/>
      <c r="D748" s="2" t="n"/>
      <c r="E748" s="2" t="n"/>
      <c r="F748" s="2" t="n"/>
    </row>
    <row r="749" ht="15.75" customHeight="1" s="67">
      <c r="A749" s="2" t="n"/>
      <c r="B749" s="2" t="n"/>
      <c r="C749" s="2" t="n"/>
      <c r="D749" s="2" t="n"/>
      <c r="E749" s="2" t="n"/>
      <c r="F749" s="2" t="n"/>
    </row>
    <row r="750" ht="15.75" customHeight="1" s="67">
      <c r="A750" s="2" t="n"/>
      <c r="B750" s="2" t="n"/>
      <c r="C750" s="2" t="n"/>
      <c r="D750" s="2" t="n"/>
      <c r="E750" s="2" t="n"/>
      <c r="F750" s="2" t="n"/>
    </row>
    <row r="751" ht="15.75" customHeight="1" s="67">
      <c r="A751" s="2" t="n"/>
      <c r="B751" s="2" t="n"/>
      <c r="C751" s="2" t="n"/>
      <c r="D751" s="2" t="n"/>
      <c r="E751" s="2" t="n"/>
      <c r="F751" s="2" t="n"/>
    </row>
    <row r="752" ht="15.75" customHeight="1" s="67">
      <c r="A752" s="2" t="n"/>
      <c r="B752" s="2" t="n"/>
      <c r="C752" s="2" t="n"/>
      <c r="D752" s="2" t="n"/>
      <c r="E752" s="2" t="n"/>
      <c r="F752" s="2" t="n"/>
    </row>
    <row r="753" ht="15.75" customHeight="1" s="67">
      <c r="A753" s="2" t="n"/>
      <c r="B753" s="2" t="n"/>
      <c r="C753" s="2" t="n"/>
      <c r="D753" s="2" t="n"/>
      <c r="E753" s="2" t="n"/>
      <c r="F753" s="2" t="n"/>
    </row>
    <row r="754" ht="15.75" customHeight="1" s="67">
      <c r="A754" s="2" t="n"/>
      <c r="B754" s="2" t="n"/>
      <c r="C754" s="2" t="n"/>
      <c r="D754" s="2" t="n"/>
      <c r="E754" s="2" t="n"/>
      <c r="F754" s="2" t="n"/>
    </row>
    <row r="755" ht="15.75" customHeight="1" s="67">
      <c r="A755" s="2" t="n"/>
      <c r="B755" s="2" t="n"/>
      <c r="C755" s="2" t="n"/>
      <c r="D755" s="2" t="n"/>
      <c r="E755" s="2" t="n"/>
      <c r="F755" s="2" t="n"/>
    </row>
    <row r="756" ht="15.75" customHeight="1" s="67">
      <c r="A756" s="2" t="n"/>
      <c r="B756" s="2" t="n"/>
      <c r="C756" s="2" t="n"/>
      <c r="D756" s="2" t="n"/>
      <c r="E756" s="2" t="n"/>
      <c r="F756" s="2" t="n"/>
    </row>
    <row r="757" ht="15.75" customHeight="1" s="67">
      <c r="A757" s="2" t="n"/>
      <c r="B757" s="2" t="n"/>
      <c r="C757" s="2" t="n"/>
      <c r="D757" s="2" t="n"/>
      <c r="E757" s="2" t="n"/>
      <c r="F757" s="2" t="n"/>
    </row>
    <row r="758" ht="15.75" customHeight="1" s="67">
      <c r="A758" s="2" t="n"/>
      <c r="B758" s="2" t="n"/>
      <c r="C758" s="2" t="n"/>
      <c r="D758" s="2" t="n"/>
      <c r="E758" s="2" t="n"/>
      <c r="F758" s="2" t="n"/>
    </row>
    <row r="759" ht="15.75" customHeight="1" s="67">
      <c r="A759" s="2" t="n"/>
      <c r="B759" s="2" t="n"/>
      <c r="C759" s="2" t="n"/>
      <c r="D759" s="2" t="n"/>
      <c r="E759" s="2" t="n"/>
      <c r="F759" s="2" t="n"/>
    </row>
    <row r="760" ht="15.75" customHeight="1" s="67">
      <c r="A760" s="2" t="n"/>
      <c r="B760" s="2" t="n"/>
      <c r="C760" s="2" t="n"/>
      <c r="D760" s="2" t="n"/>
      <c r="E760" s="2" t="n"/>
      <c r="F760" s="2" t="n"/>
    </row>
    <row r="761" ht="15.75" customHeight="1" s="67">
      <c r="A761" s="2" t="n"/>
      <c r="B761" s="2" t="n"/>
      <c r="C761" s="2" t="n"/>
      <c r="D761" s="2" t="n"/>
      <c r="E761" s="2" t="n"/>
      <c r="F761" s="2" t="n"/>
    </row>
    <row r="762" ht="15.75" customHeight="1" s="67">
      <c r="A762" s="2" t="n"/>
      <c r="B762" s="2" t="n"/>
      <c r="C762" s="2" t="n"/>
      <c r="D762" s="2" t="n"/>
      <c r="E762" s="2" t="n"/>
      <c r="F762" s="2" t="n"/>
    </row>
    <row r="763" ht="15.75" customHeight="1" s="67">
      <c r="A763" s="2" t="n"/>
      <c r="B763" s="2" t="n"/>
      <c r="C763" s="2" t="n"/>
      <c r="D763" s="2" t="n"/>
      <c r="E763" s="2" t="n"/>
      <c r="F763" s="2" t="n"/>
    </row>
    <row r="764" ht="15.75" customHeight="1" s="67">
      <c r="A764" s="2" t="n"/>
      <c r="B764" s="2" t="n"/>
      <c r="C764" s="2" t="n"/>
      <c r="D764" s="2" t="n"/>
      <c r="E764" s="2" t="n"/>
      <c r="F764" s="2" t="n"/>
    </row>
    <row r="765" ht="15.75" customHeight="1" s="67">
      <c r="A765" s="2" t="n"/>
      <c r="B765" s="2" t="n"/>
      <c r="C765" s="2" t="n"/>
      <c r="D765" s="2" t="n"/>
      <c r="E765" s="2" t="n"/>
      <c r="F765" s="2" t="n"/>
    </row>
    <row r="766" ht="15.75" customHeight="1" s="67">
      <c r="A766" s="2" t="n"/>
      <c r="B766" s="2" t="n"/>
      <c r="C766" s="2" t="n"/>
      <c r="D766" s="2" t="n"/>
      <c r="E766" s="2" t="n"/>
      <c r="F766" s="2" t="n"/>
    </row>
    <row r="767" ht="15.75" customHeight="1" s="67">
      <c r="A767" s="2" t="n"/>
      <c r="B767" s="2" t="n"/>
      <c r="C767" s="2" t="n"/>
      <c r="D767" s="2" t="n"/>
      <c r="E767" s="2" t="n"/>
      <c r="F767" s="2" t="n"/>
    </row>
    <row r="768" ht="15.75" customHeight="1" s="67">
      <c r="A768" s="2" t="n"/>
      <c r="B768" s="2" t="n"/>
      <c r="C768" s="2" t="n"/>
      <c r="D768" s="2" t="n"/>
      <c r="E768" s="2" t="n"/>
      <c r="F768" s="2" t="n"/>
    </row>
    <row r="769" ht="15.75" customHeight="1" s="67">
      <c r="A769" s="2" t="n"/>
      <c r="B769" s="2" t="n"/>
      <c r="C769" s="2" t="n"/>
      <c r="D769" s="2" t="n"/>
      <c r="E769" s="2" t="n"/>
      <c r="F769" s="2" t="n"/>
    </row>
    <row r="770" ht="15.75" customHeight="1" s="67">
      <c r="A770" s="2" t="n"/>
      <c r="B770" s="2" t="n"/>
      <c r="C770" s="2" t="n"/>
      <c r="D770" s="2" t="n"/>
      <c r="E770" s="2" t="n"/>
      <c r="F770" s="2" t="n"/>
    </row>
    <row r="771" ht="15.75" customHeight="1" s="67">
      <c r="A771" s="2" t="n"/>
      <c r="B771" s="2" t="n"/>
      <c r="C771" s="2" t="n"/>
      <c r="D771" s="2" t="n"/>
      <c r="E771" s="2" t="n"/>
      <c r="F771" s="2" t="n"/>
    </row>
    <row r="772" ht="15.75" customHeight="1" s="67">
      <c r="A772" s="2" t="n"/>
      <c r="B772" s="2" t="n"/>
      <c r="C772" s="2" t="n"/>
      <c r="D772" s="2" t="n"/>
      <c r="E772" s="2" t="n"/>
      <c r="F772" s="2" t="n"/>
    </row>
    <row r="773" ht="15.75" customHeight="1" s="67">
      <c r="A773" s="2" t="n"/>
      <c r="B773" s="2" t="n"/>
      <c r="C773" s="2" t="n"/>
      <c r="D773" s="2" t="n"/>
      <c r="E773" s="2" t="n"/>
      <c r="F773" s="2" t="n"/>
    </row>
    <row r="774" ht="15.75" customHeight="1" s="67">
      <c r="A774" s="2" t="n"/>
      <c r="B774" s="2" t="n"/>
      <c r="C774" s="2" t="n"/>
      <c r="D774" s="2" t="n"/>
      <c r="E774" s="2" t="n"/>
      <c r="F774" s="2" t="n"/>
    </row>
    <row r="775" ht="15.75" customHeight="1" s="67">
      <c r="A775" s="2" t="n"/>
      <c r="B775" s="2" t="n"/>
      <c r="C775" s="2" t="n"/>
      <c r="D775" s="2" t="n"/>
      <c r="E775" s="2" t="n"/>
      <c r="F775" s="2" t="n"/>
    </row>
    <row r="776" ht="15.75" customHeight="1" s="67">
      <c r="A776" s="2" t="n"/>
      <c r="B776" s="2" t="n"/>
      <c r="C776" s="2" t="n"/>
      <c r="D776" s="2" t="n"/>
      <c r="E776" s="2" t="n"/>
      <c r="F776" s="2" t="n"/>
    </row>
    <row r="777" ht="15.75" customHeight="1" s="67">
      <c r="A777" s="2" t="n"/>
      <c r="B777" s="2" t="n"/>
      <c r="C777" s="2" t="n"/>
      <c r="D777" s="2" t="n"/>
      <c r="E777" s="2" t="n"/>
      <c r="F777" s="2" t="n"/>
    </row>
    <row r="778" ht="15.75" customHeight="1" s="67">
      <c r="A778" s="2" t="n"/>
      <c r="B778" s="2" t="n"/>
      <c r="C778" s="2" t="n"/>
      <c r="D778" s="2" t="n"/>
      <c r="E778" s="2" t="n"/>
      <c r="F778" s="2" t="n"/>
    </row>
    <row r="779" ht="15.75" customHeight="1" s="67">
      <c r="A779" s="2" t="n"/>
      <c r="B779" s="2" t="n"/>
      <c r="C779" s="2" t="n"/>
      <c r="D779" s="2" t="n"/>
      <c r="E779" s="2" t="n"/>
      <c r="F779" s="2" t="n"/>
    </row>
    <row r="780" ht="15.75" customHeight="1" s="67">
      <c r="A780" s="2" t="n"/>
      <c r="B780" s="2" t="n"/>
      <c r="C780" s="2" t="n"/>
      <c r="D780" s="2" t="n"/>
      <c r="E780" s="2" t="n"/>
      <c r="F780" s="2" t="n"/>
    </row>
    <row r="781" ht="15.75" customHeight="1" s="67">
      <c r="A781" s="2" t="n"/>
      <c r="B781" s="2" t="n"/>
      <c r="C781" s="2" t="n"/>
      <c r="D781" s="2" t="n"/>
      <c r="E781" s="2" t="n"/>
      <c r="F781" s="2" t="n"/>
    </row>
    <row r="782" ht="15.75" customHeight="1" s="67">
      <c r="A782" s="2" t="n"/>
      <c r="B782" s="2" t="n"/>
      <c r="C782" s="2" t="n"/>
      <c r="D782" s="2" t="n"/>
      <c r="E782" s="2" t="n"/>
      <c r="F782" s="2" t="n"/>
    </row>
    <row r="783" ht="15.75" customHeight="1" s="67">
      <c r="A783" s="2" t="n"/>
      <c r="B783" s="2" t="n"/>
      <c r="C783" s="2" t="n"/>
      <c r="D783" s="2" t="n"/>
      <c r="E783" s="2" t="n"/>
      <c r="F783" s="2" t="n"/>
    </row>
    <row r="784" ht="15.75" customHeight="1" s="67">
      <c r="A784" s="2" t="n"/>
      <c r="B784" s="2" t="n"/>
      <c r="C784" s="2" t="n"/>
      <c r="D784" s="2" t="n"/>
      <c r="E784" s="2" t="n"/>
      <c r="F784" s="2" t="n"/>
    </row>
    <row r="785" ht="15.75" customHeight="1" s="67">
      <c r="A785" s="2" t="n"/>
      <c r="B785" s="2" t="n"/>
      <c r="C785" s="2" t="n"/>
      <c r="D785" s="2" t="n"/>
      <c r="E785" s="2" t="n"/>
      <c r="F785" s="2" t="n"/>
    </row>
    <row r="786" ht="15.75" customHeight="1" s="67">
      <c r="A786" s="2" t="n"/>
      <c r="B786" s="2" t="n"/>
      <c r="C786" s="2" t="n"/>
      <c r="D786" s="2" t="n"/>
      <c r="E786" s="2" t="n"/>
      <c r="F786" s="2" t="n"/>
    </row>
    <row r="787" ht="15.75" customHeight="1" s="67">
      <c r="A787" s="2" t="n"/>
      <c r="B787" s="2" t="n"/>
      <c r="C787" s="2" t="n"/>
      <c r="D787" s="2" t="n"/>
      <c r="E787" s="2" t="n"/>
      <c r="F787" s="2" t="n"/>
    </row>
    <row r="788" ht="15.75" customHeight="1" s="67">
      <c r="A788" s="2" t="n"/>
      <c r="B788" s="2" t="n"/>
      <c r="C788" s="2" t="n"/>
      <c r="D788" s="2" t="n"/>
      <c r="E788" s="2" t="n"/>
      <c r="F788" s="2" t="n"/>
    </row>
    <row r="789" ht="15.75" customHeight="1" s="67">
      <c r="A789" s="2" t="n"/>
      <c r="B789" s="2" t="n"/>
      <c r="C789" s="2" t="n"/>
      <c r="D789" s="2" t="n"/>
      <c r="E789" s="2" t="n"/>
      <c r="F789" s="2" t="n"/>
    </row>
    <row r="790" ht="15.75" customHeight="1" s="67">
      <c r="A790" s="2" t="n"/>
      <c r="B790" s="2" t="n"/>
      <c r="C790" s="2" t="n"/>
      <c r="D790" s="2" t="n"/>
      <c r="E790" s="2" t="n"/>
      <c r="F790" s="2" t="n"/>
    </row>
    <row r="791" ht="15.75" customHeight="1" s="67">
      <c r="A791" s="2" t="n"/>
      <c r="B791" s="2" t="n"/>
      <c r="C791" s="2" t="n"/>
      <c r="D791" s="2" t="n"/>
      <c r="E791" s="2" t="n"/>
      <c r="F791" s="2" t="n"/>
    </row>
    <row r="792" ht="15.75" customHeight="1" s="67">
      <c r="A792" s="2" t="n"/>
      <c r="B792" s="2" t="n"/>
      <c r="C792" s="2" t="n"/>
      <c r="D792" s="2" t="n"/>
      <c r="E792" s="2" t="n"/>
      <c r="F792" s="2" t="n"/>
    </row>
    <row r="793" ht="15.75" customHeight="1" s="67">
      <c r="A793" s="2" t="n"/>
      <c r="B793" s="2" t="n"/>
      <c r="C793" s="2" t="n"/>
      <c r="D793" s="2" t="n"/>
      <c r="E793" s="2" t="n"/>
      <c r="F793" s="2" t="n"/>
    </row>
    <row r="794" ht="15.75" customHeight="1" s="67">
      <c r="A794" s="2" t="n"/>
      <c r="B794" s="2" t="n"/>
      <c r="C794" s="2" t="n"/>
      <c r="D794" s="2" t="n"/>
      <c r="E794" s="2" t="n"/>
      <c r="F794" s="2" t="n"/>
    </row>
    <row r="795" ht="15.75" customHeight="1" s="67">
      <c r="A795" s="2" t="n"/>
      <c r="B795" s="2" t="n"/>
      <c r="C795" s="2" t="n"/>
      <c r="D795" s="2" t="n"/>
      <c r="E795" s="2" t="n"/>
      <c r="F795" s="2" t="n"/>
    </row>
    <row r="796" ht="15.75" customHeight="1" s="67">
      <c r="A796" s="2" t="n"/>
      <c r="B796" s="2" t="n"/>
      <c r="C796" s="2" t="n"/>
      <c r="D796" s="2" t="n"/>
      <c r="E796" s="2" t="n"/>
      <c r="F796" s="2" t="n"/>
    </row>
    <row r="797" ht="15.75" customHeight="1" s="67">
      <c r="A797" s="2" t="n"/>
      <c r="B797" s="2" t="n"/>
      <c r="C797" s="2" t="n"/>
      <c r="D797" s="2" t="n"/>
      <c r="E797" s="2" t="n"/>
      <c r="F797" s="2" t="n"/>
    </row>
    <row r="798" ht="15.75" customHeight="1" s="67">
      <c r="A798" s="2" t="n"/>
      <c r="B798" s="2" t="n"/>
      <c r="C798" s="2" t="n"/>
      <c r="D798" s="2" t="n"/>
      <c r="E798" s="2" t="n"/>
      <c r="F798" s="2" t="n"/>
    </row>
    <row r="799" ht="15.75" customHeight="1" s="67">
      <c r="A799" s="2" t="n"/>
      <c r="B799" s="2" t="n"/>
      <c r="C799" s="2" t="n"/>
      <c r="D799" s="2" t="n"/>
      <c r="E799" s="2" t="n"/>
      <c r="F799" s="2" t="n"/>
    </row>
    <row r="800" ht="15.75" customHeight="1" s="67">
      <c r="A800" s="2" t="n"/>
      <c r="B800" s="2" t="n"/>
      <c r="C800" s="2" t="n"/>
      <c r="D800" s="2" t="n"/>
      <c r="E800" s="2" t="n"/>
      <c r="F800" s="2" t="n"/>
    </row>
    <row r="801" ht="15.75" customHeight="1" s="67">
      <c r="A801" s="2" t="n"/>
      <c r="B801" s="2" t="n"/>
      <c r="C801" s="2" t="n"/>
      <c r="D801" s="2" t="n"/>
      <c r="E801" s="2" t="n"/>
      <c r="F801" s="2" t="n"/>
    </row>
    <row r="802" ht="15.75" customHeight="1" s="67">
      <c r="A802" s="2" t="n"/>
      <c r="B802" s="2" t="n"/>
      <c r="C802" s="2" t="n"/>
      <c r="D802" s="2" t="n"/>
      <c r="E802" s="2" t="n"/>
      <c r="F802" s="2" t="n"/>
    </row>
    <row r="803" ht="15.75" customHeight="1" s="67">
      <c r="A803" s="2" t="n"/>
      <c r="B803" s="2" t="n"/>
      <c r="C803" s="2" t="n"/>
      <c r="D803" s="2" t="n"/>
      <c r="E803" s="2" t="n"/>
      <c r="F803" s="2" t="n"/>
    </row>
    <row r="804" ht="15.75" customHeight="1" s="67">
      <c r="A804" s="2" t="n"/>
      <c r="B804" s="2" t="n"/>
      <c r="C804" s="2" t="n"/>
      <c r="D804" s="2" t="n"/>
      <c r="E804" s="2" t="n"/>
      <c r="F804" s="2" t="n"/>
    </row>
    <row r="805" ht="15.75" customHeight="1" s="67">
      <c r="A805" s="2" t="n"/>
      <c r="B805" s="2" t="n"/>
      <c r="C805" s="2" t="n"/>
      <c r="D805" s="2" t="n"/>
      <c r="E805" s="2" t="n"/>
      <c r="F805" s="2" t="n"/>
    </row>
    <row r="806" ht="15.75" customHeight="1" s="67">
      <c r="A806" s="2" t="n"/>
      <c r="B806" s="2" t="n"/>
      <c r="C806" s="2" t="n"/>
      <c r="D806" s="2" t="n"/>
      <c r="E806" s="2" t="n"/>
      <c r="F806" s="2" t="n"/>
    </row>
    <row r="807" ht="15.75" customHeight="1" s="67">
      <c r="A807" s="2" t="n"/>
      <c r="B807" s="2" t="n"/>
      <c r="C807" s="2" t="n"/>
      <c r="D807" s="2" t="n"/>
      <c r="E807" s="2" t="n"/>
      <c r="F807" s="2" t="n"/>
    </row>
    <row r="808" ht="15.75" customHeight="1" s="67">
      <c r="A808" s="2" t="n"/>
      <c r="B808" s="2" t="n"/>
      <c r="C808" s="2" t="n"/>
      <c r="D808" s="2" t="n"/>
      <c r="E808" s="2" t="n"/>
      <c r="F808" s="2" t="n"/>
    </row>
    <row r="809" ht="15.75" customHeight="1" s="67">
      <c r="A809" s="2" t="n"/>
      <c r="B809" s="2" t="n"/>
      <c r="C809" s="2" t="n"/>
      <c r="D809" s="2" t="n"/>
      <c r="E809" s="2" t="n"/>
      <c r="F809" s="2" t="n"/>
    </row>
    <row r="810" ht="15.75" customHeight="1" s="67">
      <c r="A810" s="2" t="n"/>
      <c r="B810" s="2" t="n"/>
      <c r="C810" s="2" t="n"/>
      <c r="D810" s="2" t="n"/>
      <c r="E810" s="2" t="n"/>
      <c r="F810" s="2" t="n"/>
    </row>
    <row r="811" ht="15.75" customHeight="1" s="67">
      <c r="A811" s="2" t="n"/>
      <c r="B811" s="2" t="n"/>
      <c r="C811" s="2" t="n"/>
      <c r="D811" s="2" t="n"/>
      <c r="E811" s="2" t="n"/>
      <c r="F811" s="2" t="n"/>
    </row>
    <row r="812" ht="15.75" customHeight="1" s="67">
      <c r="A812" s="2" t="n"/>
      <c r="B812" s="2" t="n"/>
      <c r="C812" s="2" t="n"/>
      <c r="D812" s="2" t="n"/>
      <c r="E812" s="2" t="n"/>
      <c r="F812" s="2" t="n"/>
    </row>
    <row r="813" ht="15.75" customHeight="1" s="67">
      <c r="A813" s="2" t="n"/>
      <c r="B813" s="2" t="n"/>
      <c r="C813" s="2" t="n"/>
      <c r="D813" s="2" t="n"/>
      <c r="E813" s="2" t="n"/>
      <c r="F813" s="2" t="n"/>
    </row>
    <row r="814" ht="15.75" customHeight="1" s="67">
      <c r="A814" s="2" t="n"/>
      <c r="B814" s="2" t="n"/>
      <c r="C814" s="2" t="n"/>
      <c r="D814" s="2" t="n"/>
      <c r="E814" s="2" t="n"/>
      <c r="F814" s="2" t="n"/>
    </row>
    <row r="815" ht="15.75" customHeight="1" s="67">
      <c r="A815" s="2" t="n"/>
      <c r="B815" s="2" t="n"/>
      <c r="C815" s="2" t="n"/>
      <c r="D815" s="2" t="n"/>
      <c r="E815" s="2" t="n"/>
      <c r="F815" s="2" t="n"/>
    </row>
    <row r="816" ht="15.75" customHeight="1" s="67">
      <c r="A816" s="2" t="n"/>
      <c r="B816" s="2" t="n"/>
      <c r="C816" s="2" t="n"/>
      <c r="D816" s="2" t="n"/>
      <c r="E816" s="2" t="n"/>
      <c r="F816" s="2" t="n"/>
    </row>
    <row r="817" ht="15.75" customHeight="1" s="67">
      <c r="A817" s="2" t="n"/>
      <c r="B817" s="2" t="n"/>
      <c r="C817" s="2" t="n"/>
      <c r="D817" s="2" t="n"/>
      <c r="E817" s="2" t="n"/>
      <c r="F817" s="2" t="n"/>
    </row>
    <row r="818" ht="15.75" customHeight="1" s="67">
      <c r="A818" s="2" t="n"/>
      <c r="B818" s="2" t="n"/>
      <c r="C818" s="2" t="n"/>
      <c r="D818" s="2" t="n"/>
      <c r="E818" s="2" t="n"/>
      <c r="F818" s="2" t="n"/>
    </row>
    <row r="819" ht="15.75" customHeight="1" s="67">
      <c r="A819" s="2" t="n"/>
      <c r="B819" s="2" t="n"/>
      <c r="C819" s="2" t="n"/>
      <c r="D819" s="2" t="n"/>
      <c r="E819" s="2" t="n"/>
      <c r="F819" s="2" t="n"/>
    </row>
    <row r="820" ht="15.75" customHeight="1" s="67">
      <c r="A820" s="2" t="n"/>
      <c r="B820" s="2" t="n"/>
      <c r="C820" s="2" t="n"/>
      <c r="D820" s="2" t="n"/>
      <c r="E820" s="2" t="n"/>
      <c r="F820" s="2" t="n"/>
    </row>
    <row r="821" ht="15.75" customHeight="1" s="67">
      <c r="A821" s="2" t="n"/>
      <c r="B821" s="2" t="n"/>
      <c r="C821" s="2" t="n"/>
      <c r="D821" s="2" t="n"/>
      <c r="E821" s="2" t="n"/>
      <c r="F821" s="2" t="n"/>
    </row>
    <row r="822" ht="15.75" customHeight="1" s="67">
      <c r="A822" s="2" t="n"/>
      <c r="B822" s="2" t="n"/>
      <c r="C822" s="2" t="n"/>
      <c r="D822" s="2" t="n"/>
      <c r="E822" s="2" t="n"/>
      <c r="F822" s="2" t="n"/>
    </row>
    <row r="823" ht="15.75" customHeight="1" s="67">
      <c r="A823" s="2" t="n"/>
      <c r="B823" s="2" t="n"/>
      <c r="C823" s="2" t="n"/>
      <c r="D823" s="2" t="n"/>
      <c r="E823" s="2" t="n"/>
      <c r="F823" s="2" t="n"/>
    </row>
    <row r="824" ht="15.75" customHeight="1" s="67">
      <c r="A824" s="2" t="n"/>
      <c r="B824" s="2" t="n"/>
      <c r="C824" s="2" t="n"/>
      <c r="D824" s="2" t="n"/>
      <c r="E824" s="2" t="n"/>
      <c r="F824" s="2" t="n"/>
    </row>
    <row r="825" ht="15.75" customHeight="1" s="67">
      <c r="A825" s="2" t="n"/>
      <c r="B825" s="2" t="n"/>
      <c r="C825" s="2" t="n"/>
      <c r="D825" s="2" t="n"/>
      <c r="E825" s="2" t="n"/>
      <c r="F825" s="2" t="n"/>
    </row>
    <row r="826" ht="15.75" customHeight="1" s="67">
      <c r="A826" s="2" t="n"/>
      <c r="B826" s="2" t="n"/>
      <c r="C826" s="2" t="n"/>
      <c r="D826" s="2" t="n"/>
      <c r="E826" s="2" t="n"/>
      <c r="F826" s="2" t="n"/>
    </row>
    <row r="827" ht="15.75" customHeight="1" s="67">
      <c r="A827" s="2" t="n"/>
      <c r="B827" s="2" t="n"/>
      <c r="C827" s="2" t="n"/>
      <c r="D827" s="2" t="n"/>
      <c r="E827" s="2" t="n"/>
      <c r="F827" s="2" t="n"/>
    </row>
    <row r="828" ht="15.75" customHeight="1" s="67">
      <c r="A828" s="2" t="n"/>
      <c r="B828" s="2" t="n"/>
      <c r="C828" s="2" t="n"/>
      <c r="D828" s="2" t="n"/>
      <c r="E828" s="2" t="n"/>
      <c r="F828" s="2" t="n"/>
    </row>
    <row r="829" ht="15.75" customHeight="1" s="67">
      <c r="A829" s="2" t="n"/>
      <c r="B829" s="2" t="n"/>
      <c r="C829" s="2" t="n"/>
      <c r="D829" s="2" t="n"/>
      <c r="E829" s="2" t="n"/>
      <c r="F829" s="2" t="n"/>
    </row>
    <row r="830" ht="15.75" customHeight="1" s="67">
      <c r="A830" s="2" t="n"/>
      <c r="B830" s="2" t="n"/>
      <c r="C830" s="2" t="n"/>
      <c r="D830" s="2" t="n"/>
      <c r="E830" s="2" t="n"/>
      <c r="F830" s="2" t="n"/>
    </row>
    <row r="831" ht="15.75" customHeight="1" s="67">
      <c r="A831" s="2" t="n"/>
      <c r="B831" s="2" t="n"/>
      <c r="C831" s="2" t="n"/>
      <c r="D831" s="2" t="n"/>
      <c r="E831" s="2" t="n"/>
      <c r="F831" s="2" t="n"/>
    </row>
    <row r="832" ht="15.75" customHeight="1" s="67">
      <c r="A832" s="2" t="n"/>
      <c r="B832" s="2" t="n"/>
      <c r="C832" s="2" t="n"/>
      <c r="D832" s="2" t="n"/>
      <c r="E832" s="2" t="n"/>
      <c r="F832" s="2" t="n"/>
    </row>
    <row r="833" ht="15.75" customHeight="1" s="67">
      <c r="A833" s="2" t="n"/>
      <c r="B833" s="2" t="n"/>
      <c r="C833" s="2" t="n"/>
      <c r="D833" s="2" t="n"/>
      <c r="E833" s="2" t="n"/>
      <c r="F833" s="2" t="n"/>
    </row>
    <row r="834" ht="15.75" customHeight="1" s="67">
      <c r="A834" s="2" t="n"/>
      <c r="B834" s="2" t="n"/>
      <c r="C834" s="2" t="n"/>
      <c r="D834" s="2" t="n"/>
      <c r="E834" s="2" t="n"/>
      <c r="F834" s="2" t="n"/>
    </row>
    <row r="835" ht="15.75" customHeight="1" s="67">
      <c r="A835" s="2" t="n"/>
      <c r="B835" s="2" t="n"/>
      <c r="C835" s="2" t="n"/>
      <c r="D835" s="2" t="n"/>
      <c r="E835" s="2" t="n"/>
      <c r="F835" s="2" t="n"/>
    </row>
    <row r="836" ht="15.75" customHeight="1" s="67">
      <c r="A836" s="2" t="n"/>
      <c r="B836" s="2" t="n"/>
      <c r="C836" s="2" t="n"/>
      <c r="D836" s="2" t="n"/>
      <c r="E836" s="2" t="n"/>
      <c r="F836" s="2" t="n"/>
    </row>
    <row r="837" ht="15.75" customHeight="1" s="67">
      <c r="A837" s="2" t="n"/>
      <c r="B837" s="2" t="n"/>
      <c r="C837" s="2" t="n"/>
      <c r="D837" s="2" t="n"/>
      <c r="E837" s="2" t="n"/>
      <c r="F837" s="2" t="n"/>
    </row>
    <row r="838" ht="15.75" customHeight="1" s="67">
      <c r="A838" s="2" t="n"/>
      <c r="B838" s="2" t="n"/>
      <c r="C838" s="2" t="n"/>
      <c r="D838" s="2" t="n"/>
      <c r="E838" s="2" t="n"/>
      <c r="F838" s="2" t="n"/>
    </row>
    <row r="839" ht="15.75" customHeight="1" s="67">
      <c r="A839" s="2" t="n"/>
      <c r="B839" s="2" t="n"/>
      <c r="C839" s="2" t="n"/>
      <c r="D839" s="2" t="n"/>
      <c r="E839" s="2" t="n"/>
      <c r="F839" s="2" t="n"/>
    </row>
    <row r="840" ht="15.75" customHeight="1" s="67">
      <c r="A840" s="2" t="n"/>
      <c r="B840" s="2" t="n"/>
      <c r="C840" s="2" t="n"/>
      <c r="D840" s="2" t="n"/>
      <c r="E840" s="2" t="n"/>
      <c r="F840" s="2" t="n"/>
    </row>
    <row r="841" ht="15.75" customHeight="1" s="67">
      <c r="A841" s="2" t="n"/>
      <c r="B841" s="2" t="n"/>
      <c r="C841" s="2" t="n"/>
      <c r="D841" s="2" t="n"/>
      <c r="E841" s="2" t="n"/>
      <c r="F841" s="2" t="n"/>
    </row>
    <row r="842" ht="15.75" customHeight="1" s="67">
      <c r="A842" s="2" t="n"/>
      <c r="B842" s="2" t="n"/>
      <c r="C842" s="2" t="n"/>
      <c r="D842" s="2" t="n"/>
      <c r="E842" s="2" t="n"/>
      <c r="F842" s="2" t="n"/>
    </row>
    <row r="843" ht="15.75" customHeight="1" s="67">
      <c r="A843" s="2" t="n"/>
      <c r="B843" s="2" t="n"/>
      <c r="C843" s="2" t="n"/>
      <c r="D843" s="2" t="n"/>
      <c r="E843" s="2" t="n"/>
      <c r="F843" s="2" t="n"/>
    </row>
    <row r="844" ht="15.75" customHeight="1" s="67">
      <c r="A844" s="2" t="n"/>
      <c r="B844" s="2" t="n"/>
      <c r="C844" s="2" t="n"/>
      <c r="D844" s="2" t="n"/>
      <c r="E844" s="2" t="n"/>
      <c r="F844" s="2" t="n"/>
    </row>
    <row r="845" ht="15.75" customHeight="1" s="67">
      <c r="A845" s="2" t="n"/>
      <c r="B845" s="2" t="n"/>
      <c r="C845" s="2" t="n"/>
      <c r="D845" s="2" t="n"/>
      <c r="E845" s="2" t="n"/>
      <c r="F845" s="2" t="n"/>
    </row>
    <row r="846" ht="15.75" customHeight="1" s="67">
      <c r="A846" s="2" t="n"/>
      <c r="B846" s="2" t="n"/>
      <c r="C846" s="2" t="n"/>
      <c r="D846" s="2" t="n"/>
      <c r="E846" s="2" t="n"/>
      <c r="F846" s="2" t="n"/>
    </row>
    <row r="847" ht="15.75" customHeight="1" s="67">
      <c r="A847" s="2" t="n"/>
      <c r="B847" s="2" t="n"/>
      <c r="C847" s="2" t="n"/>
      <c r="D847" s="2" t="n"/>
      <c r="E847" s="2" t="n"/>
      <c r="F847" s="2" t="n"/>
    </row>
    <row r="848" ht="15.75" customHeight="1" s="67">
      <c r="A848" s="2" t="n"/>
      <c r="B848" s="2" t="n"/>
      <c r="C848" s="2" t="n"/>
      <c r="D848" s="2" t="n"/>
      <c r="E848" s="2" t="n"/>
      <c r="F848" s="2" t="n"/>
    </row>
    <row r="849" ht="15.75" customHeight="1" s="67">
      <c r="A849" s="2" t="n"/>
      <c r="B849" s="2" t="n"/>
      <c r="C849" s="2" t="n"/>
      <c r="D849" s="2" t="n"/>
      <c r="E849" s="2" t="n"/>
      <c r="F849" s="2" t="n"/>
    </row>
    <row r="850" ht="15.75" customHeight="1" s="67">
      <c r="A850" s="2" t="n"/>
      <c r="B850" s="2" t="n"/>
      <c r="C850" s="2" t="n"/>
      <c r="D850" s="2" t="n"/>
      <c r="E850" s="2" t="n"/>
      <c r="F850" s="2" t="n"/>
    </row>
    <row r="851" ht="15.75" customHeight="1" s="67">
      <c r="A851" s="2" t="n"/>
      <c r="B851" s="2" t="n"/>
      <c r="C851" s="2" t="n"/>
      <c r="D851" s="2" t="n"/>
      <c r="E851" s="2" t="n"/>
      <c r="F851" s="2" t="n"/>
    </row>
    <row r="852" ht="15.75" customHeight="1" s="67">
      <c r="A852" s="2" t="n"/>
      <c r="B852" s="2" t="n"/>
      <c r="C852" s="2" t="n"/>
      <c r="D852" s="2" t="n"/>
      <c r="E852" s="2" t="n"/>
      <c r="F852" s="2" t="n"/>
    </row>
    <row r="853" ht="15.75" customHeight="1" s="67">
      <c r="A853" s="2" t="n"/>
      <c r="B853" s="2" t="n"/>
      <c r="C853" s="2" t="n"/>
      <c r="D853" s="2" t="n"/>
      <c r="E853" s="2" t="n"/>
      <c r="F853" s="2" t="n"/>
    </row>
    <row r="854" ht="15.75" customHeight="1" s="67">
      <c r="A854" s="2" t="n"/>
      <c r="B854" s="2" t="n"/>
      <c r="C854" s="2" t="n"/>
      <c r="D854" s="2" t="n"/>
      <c r="E854" s="2" t="n"/>
      <c r="F854" s="2" t="n"/>
    </row>
    <row r="855" ht="15.75" customHeight="1" s="67">
      <c r="A855" s="2" t="n"/>
      <c r="B855" s="2" t="n"/>
      <c r="C855" s="2" t="n"/>
      <c r="D855" s="2" t="n"/>
      <c r="E855" s="2" t="n"/>
      <c r="F855" s="2" t="n"/>
    </row>
    <row r="856" ht="15.75" customHeight="1" s="67">
      <c r="A856" s="2" t="n"/>
      <c r="B856" s="2" t="n"/>
      <c r="C856" s="2" t="n"/>
      <c r="D856" s="2" t="n"/>
      <c r="E856" s="2" t="n"/>
      <c r="F856" s="2" t="n"/>
    </row>
    <row r="857" ht="15.75" customHeight="1" s="67">
      <c r="A857" s="2" t="n"/>
      <c r="B857" s="2" t="n"/>
      <c r="C857" s="2" t="n"/>
      <c r="D857" s="2" t="n"/>
      <c r="E857" s="2" t="n"/>
      <c r="F857" s="2" t="n"/>
    </row>
    <row r="858" ht="15.75" customHeight="1" s="67">
      <c r="A858" s="2" t="n"/>
      <c r="B858" s="2" t="n"/>
      <c r="C858" s="2" t="n"/>
      <c r="D858" s="2" t="n"/>
      <c r="E858" s="2" t="n"/>
      <c r="F858" s="2" t="n"/>
    </row>
    <row r="859" ht="15.75" customHeight="1" s="67">
      <c r="A859" s="2" t="n"/>
      <c r="B859" s="2" t="n"/>
      <c r="C859" s="2" t="n"/>
      <c r="D859" s="2" t="n"/>
      <c r="E859" s="2" t="n"/>
      <c r="F859" s="2" t="n"/>
    </row>
    <row r="860" ht="15.75" customHeight="1" s="67">
      <c r="A860" s="2" t="n"/>
      <c r="B860" s="2" t="n"/>
      <c r="C860" s="2" t="n"/>
      <c r="D860" s="2" t="n"/>
      <c r="E860" s="2" t="n"/>
      <c r="F860" s="2" t="n"/>
    </row>
    <row r="861" ht="15.75" customHeight="1" s="67">
      <c r="A861" s="2" t="n"/>
      <c r="B861" s="2" t="n"/>
      <c r="C861" s="2" t="n"/>
      <c r="D861" s="2" t="n"/>
      <c r="E861" s="2" t="n"/>
      <c r="F861" s="2" t="n"/>
    </row>
    <row r="862" ht="15.75" customHeight="1" s="67">
      <c r="A862" s="2" t="n"/>
      <c r="B862" s="2" t="n"/>
      <c r="C862" s="2" t="n"/>
      <c r="D862" s="2" t="n"/>
      <c r="E862" s="2" t="n"/>
      <c r="F862" s="2" t="n"/>
    </row>
    <row r="863" ht="15.75" customHeight="1" s="67">
      <c r="A863" s="2" t="n"/>
      <c r="B863" s="2" t="n"/>
      <c r="C863" s="2" t="n"/>
      <c r="D863" s="2" t="n"/>
      <c r="E863" s="2" t="n"/>
      <c r="F863" s="2" t="n"/>
    </row>
    <row r="864" ht="15.75" customHeight="1" s="67">
      <c r="A864" s="2" t="n"/>
      <c r="B864" s="2" t="n"/>
      <c r="C864" s="2" t="n"/>
      <c r="D864" s="2" t="n"/>
      <c r="E864" s="2" t="n"/>
      <c r="F864" s="2" t="n"/>
    </row>
    <row r="865" ht="15.75" customHeight="1" s="67">
      <c r="A865" s="2" t="n"/>
      <c r="B865" s="2" t="n"/>
      <c r="C865" s="2" t="n"/>
      <c r="D865" s="2" t="n"/>
      <c r="E865" s="2" t="n"/>
      <c r="F865" s="2" t="n"/>
    </row>
    <row r="866" ht="15.75" customHeight="1" s="67">
      <c r="A866" s="2" t="n"/>
      <c r="B866" s="2" t="n"/>
      <c r="C866" s="2" t="n"/>
      <c r="D866" s="2" t="n"/>
      <c r="E866" s="2" t="n"/>
      <c r="F866" s="2" t="n"/>
    </row>
    <row r="867" ht="15.75" customHeight="1" s="67">
      <c r="A867" s="2" t="n"/>
      <c r="B867" s="2" t="n"/>
      <c r="C867" s="2" t="n"/>
      <c r="D867" s="2" t="n"/>
      <c r="E867" s="2" t="n"/>
      <c r="F867" s="2" t="n"/>
    </row>
    <row r="868" ht="15.75" customHeight="1" s="67">
      <c r="A868" s="2" t="n"/>
      <c r="B868" s="2" t="n"/>
      <c r="C868" s="2" t="n"/>
      <c r="D868" s="2" t="n"/>
      <c r="E868" s="2" t="n"/>
      <c r="F868" s="2" t="n"/>
    </row>
    <row r="869" ht="15.75" customHeight="1" s="67">
      <c r="A869" s="2" t="n"/>
      <c r="B869" s="2" t="n"/>
      <c r="C869" s="2" t="n"/>
      <c r="D869" s="2" t="n"/>
      <c r="E869" s="2" t="n"/>
      <c r="F869" s="2" t="n"/>
    </row>
    <row r="870" ht="15.75" customHeight="1" s="67">
      <c r="A870" s="2" t="n"/>
      <c r="B870" s="2" t="n"/>
      <c r="C870" s="2" t="n"/>
      <c r="D870" s="2" t="n"/>
      <c r="E870" s="2" t="n"/>
      <c r="F870" s="2" t="n"/>
    </row>
    <row r="871" ht="15.75" customHeight="1" s="67">
      <c r="A871" s="2" t="n"/>
      <c r="B871" s="2" t="n"/>
      <c r="C871" s="2" t="n"/>
      <c r="D871" s="2" t="n"/>
      <c r="E871" s="2" t="n"/>
      <c r="F871" s="2" t="n"/>
    </row>
    <row r="872" ht="15.75" customHeight="1" s="67">
      <c r="A872" s="2" t="n"/>
      <c r="B872" s="2" t="n"/>
      <c r="C872" s="2" t="n"/>
      <c r="D872" s="2" t="n"/>
      <c r="E872" s="2" t="n"/>
      <c r="F872" s="2" t="n"/>
    </row>
    <row r="873" ht="15.75" customHeight="1" s="67">
      <c r="A873" s="2" t="n"/>
      <c r="B873" s="2" t="n"/>
      <c r="C873" s="2" t="n"/>
      <c r="D873" s="2" t="n"/>
      <c r="E873" s="2" t="n"/>
      <c r="F873" s="2" t="n"/>
    </row>
    <row r="874" ht="15.75" customHeight="1" s="67">
      <c r="A874" s="2" t="n"/>
      <c r="B874" s="2" t="n"/>
      <c r="C874" s="2" t="n"/>
      <c r="D874" s="2" t="n"/>
      <c r="E874" s="2" t="n"/>
      <c r="F874" s="2" t="n"/>
    </row>
    <row r="875" ht="15.75" customHeight="1" s="67">
      <c r="A875" s="2" t="n"/>
      <c r="B875" s="2" t="n"/>
      <c r="C875" s="2" t="n"/>
      <c r="D875" s="2" t="n"/>
      <c r="E875" s="2" t="n"/>
      <c r="F875" s="2" t="n"/>
    </row>
    <row r="876" ht="15.75" customHeight="1" s="67">
      <c r="A876" s="2" t="n"/>
      <c r="B876" s="2" t="n"/>
      <c r="C876" s="2" t="n"/>
      <c r="D876" s="2" t="n"/>
      <c r="E876" s="2" t="n"/>
      <c r="F876" s="2" t="n"/>
    </row>
    <row r="877" ht="15.75" customHeight="1" s="67">
      <c r="A877" s="2" t="n"/>
      <c r="B877" s="2" t="n"/>
      <c r="C877" s="2" t="n"/>
      <c r="D877" s="2" t="n"/>
      <c r="E877" s="2" t="n"/>
      <c r="F877" s="2" t="n"/>
    </row>
    <row r="878" ht="15.75" customHeight="1" s="67">
      <c r="A878" s="2" t="n"/>
      <c r="B878" s="2" t="n"/>
      <c r="C878" s="2" t="n"/>
      <c r="D878" s="2" t="n"/>
      <c r="E878" s="2" t="n"/>
      <c r="F878" s="2" t="n"/>
    </row>
    <row r="879" ht="15.75" customHeight="1" s="67">
      <c r="A879" s="2" t="n"/>
      <c r="B879" s="2" t="n"/>
      <c r="C879" s="2" t="n"/>
      <c r="D879" s="2" t="n"/>
      <c r="E879" s="2" t="n"/>
      <c r="F879" s="2" t="n"/>
    </row>
    <row r="880" ht="15.75" customHeight="1" s="67">
      <c r="A880" s="2" t="n"/>
      <c r="B880" s="2" t="n"/>
      <c r="C880" s="2" t="n"/>
      <c r="D880" s="2" t="n"/>
      <c r="E880" s="2" t="n"/>
      <c r="F880" s="2" t="n"/>
    </row>
    <row r="881" ht="15.75" customHeight="1" s="67">
      <c r="A881" s="2" t="n"/>
      <c r="B881" s="2" t="n"/>
      <c r="C881" s="2" t="n"/>
      <c r="D881" s="2" t="n"/>
      <c r="E881" s="2" t="n"/>
      <c r="F881" s="2" t="n"/>
    </row>
    <row r="882" ht="15.75" customHeight="1" s="67">
      <c r="A882" s="2" t="n"/>
      <c r="B882" s="2" t="n"/>
      <c r="C882" s="2" t="n"/>
      <c r="D882" s="2" t="n"/>
      <c r="E882" s="2" t="n"/>
      <c r="F882" s="2" t="n"/>
    </row>
    <row r="883" ht="15.75" customHeight="1" s="67">
      <c r="A883" s="2" t="n"/>
      <c r="B883" s="2" t="n"/>
      <c r="C883" s="2" t="n"/>
      <c r="D883" s="2" t="n"/>
      <c r="E883" s="2" t="n"/>
      <c r="F883" s="2" t="n"/>
    </row>
    <row r="884" ht="15.75" customHeight="1" s="67">
      <c r="A884" s="2" t="n"/>
      <c r="B884" s="2" t="n"/>
      <c r="C884" s="2" t="n"/>
      <c r="D884" s="2" t="n"/>
      <c r="E884" s="2" t="n"/>
      <c r="F884" s="2" t="n"/>
    </row>
    <row r="885" ht="15.75" customHeight="1" s="67">
      <c r="A885" s="2" t="n"/>
      <c r="B885" s="2" t="n"/>
      <c r="C885" s="2" t="n"/>
      <c r="D885" s="2" t="n"/>
      <c r="E885" s="2" t="n"/>
      <c r="F885" s="2" t="n"/>
    </row>
    <row r="886" ht="15.75" customHeight="1" s="67">
      <c r="A886" s="2" t="n"/>
      <c r="B886" s="2" t="n"/>
      <c r="C886" s="2" t="n"/>
      <c r="D886" s="2" t="n"/>
      <c r="E886" s="2" t="n"/>
      <c r="F886" s="2" t="n"/>
    </row>
    <row r="887" ht="15.75" customHeight="1" s="67">
      <c r="A887" s="2" t="n"/>
      <c r="B887" s="2" t="n"/>
      <c r="C887" s="2" t="n"/>
      <c r="D887" s="2" t="n"/>
      <c r="E887" s="2" t="n"/>
      <c r="F887" s="2" t="n"/>
    </row>
    <row r="888" ht="15.75" customHeight="1" s="67">
      <c r="A888" s="2" t="n"/>
      <c r="B888" s="2" t="n"/>
      <c r="C888" s="2" t="n"/>
      <c r="D888" s="2" t="n"/>
      <c r="E888" s="2" t="n"/>
      <c r="F888" s="2" t="n"/>
    </row>
    <row r="889" ht="15.75" customHeight="1" s="67">
      <c r="A889" s="2" t="n"/>
      <c r="B889" s="2" t="n"/>
      <c r="C889" s="2" t="n"/>
      <c r="D889" s="2" t="n"/>
      <c r="E889" s="2" t="n"/>
      <c r="F889" s="2" t="n"/>
    </row>
    <row r="890" ht="15.75" customHeight="1" s="67">
      <c r="A890" s="2" t="n"/>
      <c r="B890" s="2" t="n"/>
      <c r="C890" s="2" t="n"/>
      <c r="D890" s="2" t="n"/>
      <c r="E890" s="2" t="n"/>
      <c r="F890" s="2" t="n"/>
    </row>
    <row r="891" ht="15.75" customHeight="1" s="67">
      <c r="A891" s="2" t="n"/>
      <c r="B891" s="2" t="n"/>
      <c r="C891" s="2" t="n"/>
      <c r="D891" s="2" t="n"/>
      <c r="E891" s="2" t="n"/>
      <c r="F891" s="2" t="n"/>
    </row>
    <row r="892" ht="15.75" customHeight="1" s="67">
      <c r="A892" s="2" t="n"/>
      <c r="B892" s="2" t="n"/>
      <c r="C892" s="2" t="n"/>
      <c r="D892" s="2" t="n"/>
      <c r="E892" s="2" t="n"/>
      <c r="F892" s="2" t="n"/>
    </row>
    <row r="893" ht="15.75" customHeight="1" s="67">
      <c r="A893" s="2" t="n"/>
      <c r="B893" s="2" t="n"/>
      <c r="C893" s="2" t="n"/>
      <c r="D893" s="2" t="n"/>
      <c r="E893" s="2" t="n"/>
      <c r="F893" s="2" t="n"/>
    </row>
    <row r="894" ht="15.75" customHeight="1" s="67">
      <c r="A894" s="2" t="n"/>
      <c r="B894" s="2" t="n"/>
      <c r="C894" s="2" t="n"/>
      <c r="D894" s="2" t="n"/>
      <c r="E894" s="2" t="n"/>
      <c r="F894" s="2" t="n"/>
    </row>
    <row r="895" ht="15.75" customHeight="1" s="67">
      <c r="A895" s="2" t="n"/>
      <c r="B895" s="2" t="n"/>
      <c r="C895" s="2" t="n"/>
      <c r="D895" s="2" t="n"/>
      <c r="E895" s="2" t="n"/>
      <c r="F895" s="2" t="n"/>
    </row>
    <row r="896" ht="15.75" customHeight="1" s="67">
      <c r="A896" s="2" t="n"/>
      <c r="B896" s="2" t="n"/>
      <c r="C896" s="2" t="n"/>
      <c r="D896" s="2" t="n"/>
      <c r="E896" s="2" t="n"/>
      <c r="F896" s="2" t="n"/>
    </row>
    <row r="897" ht="15.75" customHeight="1" s="67">
      <c r="A897" s="2" t="n"/>
      <c r="B897" s="2" t="n"/>
      <c r="C897" s="2" t="n"/>
      <c r="D897" s="2" t="n"/>
      <c r="E897" s="2" t="n"/>
      <c r="F897" s="2" t="n"/>
    </row>
    <row r="898" ht="15.75" customHeight="1" s="67">
      <c r="A898" s="2" t="n"/>
      <c r="B898" s="2" t="n"/>
      <c r="C898" s="2" t="n"/>
      <c r="D898" s="2" t="n"/>
      <c r="E898" s="2" t="n"/>
      <c r="F898" s="2" t="n"/>
    </row>
    <row r="899" ht="15.75" customHeight="1" s="67">
      <c r="A899" s="2" t="n"/>
      <c r="B899" s="2" t="n"/>
      <c r="C899" s="2" t="n"/>
      <c r="D899" s="2" t="n"/>
      <c r="E899" s="2" t="n"/>
      <c r="F899" s="2" t="n"/>
    </row>
    <row r="900" ht="15.75" customHeight="1" s="67">
      <c r="A900" s="2" t="n"/>
      <c r="B900" s="2" t="n"/>
      <c r="C900" s="2" t="n"/>
      <c r="D900" s="2" t="n"/>
      <c r="E900" s="2" t="n"/>
      <c r="F900" s="2" t="n"/>
    </row>
    <row r="901" ht="15.75" customHeight="1" s="67">
      <c r="A901" s="2" t="n"/>
      <c r="B901" s="2" t="n"/>
      <c r="C901" s="2" t="n"/>
      <c r="D901" s="2" t="n"/>
      <c r="E901" s="2" t="n"/>
      <c r="F901" s="2" t="n"/>
    </row>
    <row r="902" ht="15.75" customHeight="1" s="67">
      <c r="A902" s="2" t="n"/>
      <c r="B902" s="2" t="n"/>
      <c r="C902" s="2" t="n"/>
      <c r="D902" s="2" t="n"/>
      <c r="E902" s="2" t="n"/>
      <c r="F902" s="2" t="n"/>
    </row>
    <row r="903" ht="15.75" customHeight="1" s="67">
      <c r="A903" s="2" t="n"/>
      <c r="B903" s="2" t="n"/>
      <c r="C903" s="2" t="n"/>
      <c r="D903" s="2" t="n"/>
      <c r="E903" s="2" t="n"/>
      <c r="F903" s="2" t="n"/>
    </row>
    <row r="904" ht="15.75" customHeight="1" s="67">
      <c r="A904" s="2" t="n"/>
      <c r="B904" s="2" t="n"/>
      <c r="C904" s="2" t="n"/>
      <c r="D904" s="2" t="n"/>
      <c r="E904" s="2" t="n"/>
      <c r="F904" s="2" t="n"/>
    </row>
    <row r="905" ht="15.75" customHeight="1" s="67">
      <c r="A905" s="2" t="n"/>
      <c r="B905" s="2" t="n"/>
      <c r="C905" s="2" t="n"/>
      <c r="D905" s="2" t="n"/>
      <c r="E905" s="2" t="n"/>
      <c r="F905" s="2" t="n"/>
    </row>
    <row r="906" ht="15.75" customHeight="1" s="67">
      <c r="A906" s="2" t="n"/>
      <c r="B906" s="2" t="n"/>
      <c r="C906" s="2" t="n"/>
      <c r="D906" s="2" t="n"/>
      <c r="E906" s="2" t="n"/>
      <c r="F906" s="2" t="n"/>
    </row>
    <row r="907" ht="15.75" customHeight="1" s="67">
      <c r="A907" s="2" t="n"/>
      <c r="B907" s="2" t="n"/>
      <c r="C907" s="2" t="n"/>
      <c r="D907" s="2" t="n"/>
      <c r="E907" s="2" t="n"/>
      <c r="F907" s="2" t="n"/>
    </row>
    <row r="908" ht="15.75" customHeight="1" s="67">
      <c r="A908" s="2" t="n"/>
      <c r="B908" s="2" t="n"/>
      <c r="C908" s="2" t="n"/>
      <c r="D908" s="2" t="n"/>
      <c r="E908" s="2" t="n"/>
      <c r="F908" s="2" t="n"/>
    </row>
    <row r="909" ht="15.75" customHeight="1" s="67">
      <c r="A909" s="2" t="n"/>
      <c r="B909" s="2" t="n"/>
      <c r="C909" s="2" t="n"/>
      <c r="D909" s="2" t="n"/>
      <c r="E909" s="2" t="n"/>
      <c r="F909" s="2" t="n"/>
    </row>
    <row r="910" ht="15.75" customHeight="1" s="67">
      <c r="A910" s="2" t="n"/>
      <c r="B910" s="2" t="n"/>
      <c r="C910" s="2" t="n"/>
      <c r="D910" s="2" t="n"/>
      <c r="E910" s="2" t="n"/>
      <c r="F910" s="2" t="n"/>
    </row>
    <row r="911" ht="15.75" customHeight="1" s="67">
      <c r="A911" s="2" t="n"/>
      <c r="B911" s="2" t="n"/>
      <c r="C911" s="2" t="n"/>
      <c r="D911" s="2" t="n"/>
      <c r="E911" s="2" t="n"/>
      <c r="F911" s="2" t="n"/>
    </row>
    <row r="912" ht="15.75" customHeight="1" s="67">
      <c r="A912" s="2" t="n"/>
      <c r="B912" s="2" t="n"/>
      <c r="C912" s="2" t="n"/>
      <c r="D912" s="2" t="n"/>
      <c r="E912" s="2" t="n"/>
      <c r="F912" s="2" t="n"/>
    </row>
    <row r="913" ht="15.75" customHeight="1" s="67">
      <c r="A913" s="2" t="n"/>
      <c r="B913" s="2" t="n"/>
      <c r="C913" s="2" t="n"/>
      <c r="D913" s="2" t="n"/>
      <c r="E913" s="2" t="n"/>
      <c r="F913" s="2" t="n"/>
    </row>
    <row r="914" ht="15.75" customHeight="1" s="67">
      <c r="A914" s="2" t="n"/>
      <c r="B914" s="2" t="n"/>
      <c r="C914" s="2" t="n"/>
      <c r="D914" s="2" t="n"/>
      <c r="E914" s="2" t="n"/>
      <c r="F914" s="2" t="n"/>
    </row>
    <row r="915" ht="15.75" customHeight="1" s="67">
      <c r="A915" s="2" t="n"/>
      <c r="B915" s="2" t="n"/>
      <c r="C915" s="2" t="n"/>
      <c r="D915" s="2" t="n"/>
      <c r="E915" s="2" t="n"/>
      <c r="F915" s="2" t="n"/>
    </row>
    <row r="916" ht="15.75" customHeight="1" s="67">
      <c r="A916" s="2" t="n"/>
      <c r="B916" s="2" t="n"/>
      <c r="C916" s="2" t="n"/>
      <c r="D916" s="2" t="n"/>
      <c r="E916" s="2" t="n"/>
      <c r="F916" s="2" t="n"/>
    </row>
    <row r="917" ht="15.75" customHeight="1" s="67">
      <c r="A917" s="2" t="n"/>
      <c r="B917" s="2" t="n"/>
      <c r="C917" s="2" t="n"/>
      <c r="D917" s="2" t="n"/>
      <c r="E917" s="2" t="n"/>
      <c r="F917" s="2" t="n"/>
    </row>
    <row r="918" ht="15.75" customHeight="1" s="67">
      <c r="A918" s="2" t="n"/>
      <c r="B918" s="2" t="n"/>
      <c r="C918" s="2" t="n"/>
      <c r="D918" s="2" t="n"/>
      <c r="E918" s="2" t="n"/>
      <c r="F918" s="2" t="n"/>
    </row>
    <row r="919" ht="15.75" customHeight="1" s="67">
      <c r="A919" s="2" t="n"/>
      <c r="B919" s="2" t="n"/>
      <c r="C919" s="2" t="n"/>
      <c r="D919" s="2" t="n"/>
      <c r="E919" s="2" t="n"/>
      <c r="F919" s="2" t="n"/>
    </row>
    <row r="920" ht="15.75" customHeight="1" s="67">
      <c r="A920" s="2" t="n"/>
      <c r="B920" s="2" t="n"/>
      <c r="C920" s="2" t="n"/>
      <c r="D920" s="2" t="n"/>
      <c r="E920" s="2" t="n"/>
      <c r="F920" s="2" t="n"/>
    </row>
    <row r="921" ht="15.75" customHeight="1" s="67">
      <c r="A921" s="2" t="n"/>
      <c r="B921" s="2" t="n"/>
      <c r="C921" s="2" t="n"/>
      <c r="D921" s="2" t="n"/>
      <c r="E921" s="2" t="n"/>
      <c r="F921" s="2" t="n"/>
    </row>
    <row r="922" ht="15.75" customHeight="1" s="67">
      <c r="A922" s="2" t="n"/>
      <c r="B922" s="2" t="n"/>
      <c r="C922" s="2" t="n"/>
      <c r="D922" s="2" t="n"/>
      <c r="E922" s="2" t="n"/>
      <c r="F922" s="2" t="n"/>
    </row>
    <row r="923" ht="15.75" customHeight="1" s="67">
      <c r="A923" s="2" t="n"/>
      <c r="B923" s="2" t="n"/>
      <c r="C923" s="2" t="n"/>
      <c r="D923" s="2" t="n"/>
      <c r="E923" s="2" t="n"/>
      <c r="F923" s="2" t="n"/>
    </row>
    <row r="924" ht="15.75" customHeight="1" s="67">
      <c r="A924" s="2" t="n"/>
      <c r="B924" s="2" t="n"/>
      <c r="C924" s="2" t="n"/>
      <c r="D924" s="2" t="n"/>
      <c r="E924" s="2" t="n"/>
      <c r="F924" s="2" t="n"/>
    </row>
    <row r="925" ht="15.75" customHeight="1" s="67">
      <c r="A925" s="2" t="n"/>
      <c r="B925" s="2" t="n"/>
      <c r="C925" s="2" t="n"/>
      <c r="D925" s="2" t="n"/>
      <c r="E925" s="2" t="n"/>
      <c r="F925" s="2" t="n"/>
    </row>
    <row r="926" ht="15.75" customHeight="1" s="67">
      <c r="A926" s="2" t="n"/>
      <c r="B926" s="2" t="n"/>
      <c r="C926" s="2" t="n"/>
      <c r="D926" s="2" t="n"/>
      <c r="E926" s="2" t="n"/>
      <c r="F926" s="2" t="n"/>
    </row>
    <row r="927" ht="15.75" customHeight="1" s="67">
      <c r="A927" s="2" t="n"/>
      <c r="B927" s="2" t="n"/>
      <c r="C927" s="2" t="n"/>
      <c r="D927" s="2" t="n"/>
      <c r="E927" s="2" t="n"/>
      <c r="F927" s="2" t="n"/>
    </row>
    <row r="928" ht="15.75" customHeight="1" s="67">
      <c r="A928" s="2" t="n"/>
      <c r="B928" s="2" t="n"/>
      <c r="C928" s="2" t="n"/>
      <c r="D928" s="2" t="n"/>
      <c r="E928" s="2" t="n"/>
      <c r="F928" s="2" t="n"/>
    </row>
    <row r="929" ht="15.75" customHeight="1" s="67">
      <c r="A929" s="2" t="n"/>
      <c r="B929" s="2" t="n"/>
      <c r="C929" s="2" t="n"/>
      <c r="D929" s="2" t="n"/>
      <c r="E929" s="2" t="n"/>
      <c r="F929" s="2" t="n"/>
    </row>
    <row r="930" ht="15.75" customHeight="1" s="67">
      <c r="A930" s="2" t="n"/>
      <c r="B930" s="2" t="n"/>
      <c r="C930" s="2" t="n"/>
      <c r="D930" s="2" t="n"/>
      <c r="E930" s="2" t="n"/>
      <c r="F930" s="2" t="n"/>
    </row>
    <row r="931" ht="15.75" customHeight="1" s="67">
      <c r="A931" s="2" t="n"/>
      <c r="B931" s="2" t="n"/>
      <c r="C931" s="2" t="n"/>
      <c r="D931" s="2" t="n"/>
      <c r="E931" s="2" t="n"/>
      <c r="F931" s="2" t="n"/>
    </row>
    <row r="932" ht="15.75" customHeight="1" s="67">
      <c r="A932" s="2" t="n"/>
      <c r="B932" s="2" t="n"/>
      <c r="C932" s="2" t="n"/>
      <c r="D932" s="2" t="n"/>
      <c r="E932" s="2" t="n"/>
      <c r="F932" s="2" t="n"/>
    </row>
    <row r="933" ht="15.75" customHeight="1" s="67">
      <c r="A933" s="2" t="n"/>
      <c r="B933" s="2" t="n"/>
      <c r="C933" s="2" t="n"/>
      <c r="D933" s="2" t="n"/>
      <c r="E933" s="2" t="n"/>
      <c r="F933" s="2" t="n"/>
    </row>
    <row r="934" ht="15.75" customHeight="1" s="67">
      <c r="A934" s="2" t="n"/>
      <c r="B934" s="2" t="n"/>
      <c r="C934" s="2" t="n"/>
      <c r="D934" s="2" t="n"/>
      <c r="E934" s="2" t="n"/>
      <c r="F934" s="2" t="n"/>
    </row>
    <row r="935" ht="15.75" customHeight="1" s="67">
      <c r="A935" s="2" t="n"/>
      <c r="B935" s="2" t="n"/>
      <c r="C935" s="2" t="n"/>
      <c r="D935" s="2" t="n"/>
      <c r="E935" s="2" t="n"/>
      <c r="F935" s="2" t="n"/>
    </row>
    <row r="936" ht="15.75" customHeight="1" s="67">
      <c r="A936" s="2" t="n"/>
      <c r="B936" s="2" t="n"/>
      <c r="C936" s="2" t="n"/>
      <c r="D936" s="2" t="n"/>
      <c r="E936" s="2" t="n"/>
      <c r="F936" s="2" t="n"/>
    </row>
    <row r="937" ht="15.75" customHeight="1" s="67">
      <c r="A937" s="2" t="n"/>
      <c r="B937" s="2" t="n"/>
      <c r="C937" s="2" t="n"/>
      <c r="D937" s="2" t="n"/>
      <c r="E937" s="2" t="n"/>
      <c r="F937" s="2" t="n"/>
    </row>
    <row r="938" ht="15.75" customHeight="1" s="67">
      <c r="A938" s="2" t="n"/>
      <c r="B938" s="2" t="n"/>
      <c r="C938" s="2" t="n"/>
      <c r="D938" s="2" t="n"/>
      <c r="E938" s="2" t="n"/>
      <c r="F938" s="2" t="n"/>
    </row>
    <row r="939" ht="15.75" customHeight="1" s="67">
      <c r="A939" s="2" t="n"/>
      <c r="B939" s="2" t="n"/>
      <c r="C939" s="2" t="n"/>
      <c r="D939" s="2" t="n"/>
      <c r="E939" s="2" t="n"/>
      <c r="F939" s="2" t="n"/>
    </row>
    <row r="940" ht="15.75" customHeight="1" s="67">
      <c r="A940" s="2" t="n"/>
      <c r="B940" s="2" t="n"/>
      <c r="C940" s="2" t="n"/>
      <c r="D940" s="2" t="n"/>
      <c r="E940" s="2" t="n"/>
      <c r="F940" s="2" t="n"/>
    </row>
    <row r="941" ht="15.75" customHeight="1" s="67">
      <c r="A941" s="2" t="n"/>
      <c r="B941" s="2" t="n"/>
      <c r="C941" s="2" t="n"/>
      <c r="D941" s="2" t="n"/>
      <c r="E941" s="2" t="n"/>
      <c r="F941" s="2" t="n"/>
    </row>
    <row r="942" ht="15.75" customHeight="1" s="67">
      <c r="A942" s="2" t="n"/>
      <c r="B942" s="2" t="n"/>
      <c r="C942" s="2" t="n"/>
      <c r="D942" s="2" t="n"/>
      <c r="E942" s="2" t="n"/>
      <c r="F942" s="2" t="n"/>
    </row>
    <row r="943" ht="15.75" customHeight="1" s="67">
      <c r="A943" s="2" t="n"/>
      <c r="B943" s="2" t="n"/>
      <c r="C943" s="2" t="n"/>
      <c r="D943" s="2" t="n"/>
      <c r="E943" s="2" t="n"/>
      <c r="F943" s="2" t="n"/>
    </row>
    <row r="944" ht="15.75" customHeight="1" s="67">
      <c r="A944" s="2" t="n"/>
      <c r="B944" s="2" t="n"/>
      <c r="C944" s="2" t="n"/>
      <c r="D944" s="2" t="n"/>
      <c r="E944" s="2" t="n"/>
      <c r="F944" s="2" t="n"/>
    </row>
    <row r="945" ht="15.75" customHeight="1" s="67">
      <c r="A945" s="2" t="n"/>
      <c r="B945" s="2" t="n"/>
      <c r="C945" s="2" t="n"/>
      <c r="D945" s="2" t="n"/>
      <c r="E945" s="2" t="n"/>
      <c r="F945" s="2" t="n"/>
    </row>
    <row r="946" ht="15.75" customHeight="1" s="67">
      <c r="A946" s="2" t="n"/>
      <c r="B946" s="2" t="n"/>
      <c r="C946" s="2" t="n"/>
      <c r="D946" s="2" t="n"/>
      <c r="E946" s="2" t="n"/>
      <c r="F946" s="2" t="n"/>
    </row>
    <row r="947" ht="15.75" customHeight="1" s="67">
      <c r="A947" s="2" t="n"/>
      <c r="B947" s="2" t="n"/>
      <c r="C947" s="2" t="n"/>
      <c r="D947" s="2" t="n"/>
      <c r="E947" s="2" t="n"/>
      <c r="F947" s="2" t="n"/>
    </row>
    <row r="948" ht="15.75" customHeight="1" s="67">
      <c r="A948" s="2" t="n"/>
      <c r="B948" s="2" t="n"/>
      <c r="C948" s="2" t="n"/>
      <c r="D948" s="2" t="n"/>
      <c r="E948" s="2" t="n"/>
      <c r="F948" s="2" t="n"/>
    </row>
    <row r="949" ht="15.75" customHeight="1" s="67">
      <c r="A949" s="2" t="n"/>
      <c r="B949" s="2" t="n"/>
      <c r="C949" s="2" t="n"/>
      <c r="D949" s="2" t="n"/>
      <c r="E949" s="2" t="n"/>
      <c r="F949" s="2" t="n"/>
    </row>
    <row r="950" ht="15.75" customHeight="1" s="67">
      <c r="A950" s="2" t="n"/>
      <c r="B950" s="2" t="n"/>
      <c r="C950" s="2" t="n"/>
      <c r="D950" s="2" t="n"/>
      <c r="E950" s="2" t="n"/>
      <c r="F950" s="2" t="n"/>
    </row>
    <row r="951" ht="15.75" customHeight="1" s="67">
      <c r="A951" s="2" t="n"/>
      <c r="B951" s="2" t="n"/>
      <c r="C951" s="2" t="n"/>
      <c r="D951" s="2" t="n"/>
      <c r="E951" s="2" t="n"/>
      <c r="F951" s="2" t="n"/>
    </row>
    <row r="952" ht="15.75" customHeight="1" s="67">
      <c r="A952" s="2" t="n"/>
      <c r="B952" s="2" t="n"/>
      <c r="C952" s="2" t="n"/>
      <c r="D952" s="2" t="n"/>
      <c r="E952" s="2" t="n"/>
      <c r="F952" s="2" t="n"/>
    </row>
    <row r="953" ht="15.75" customHeight="1" s="67">
      <c r="A953" s="2" t="n"/>
      <c r="B953" s="2" t="n"/>
      <c r="C953" s="2" t="n"/>
      <c r="D953" s="2" t="n"/>
      <c r="E953" s="2" t="n"/>
      <c r="F953" s="2" t="n"/>
    </row>
    <row r="954" ht="15.75" customHeight="1" s="67">
      <c r="A954" s="2" t="n"/>
      <c r="B954" s="2" t="n"/>
      <c r="C954" s="2" t="n"/>
      <c r="D954" s="2" t="n"/>
      <c r="E954" s="2" t="n"/>
      <c r="F954" s="2" t="n"/>
    </row>
    <row r="955" ht="15.75" customHeight="1" s="67">
      <c r="A955" s="2" t="n"/>
      <c r="B955" s="2" t="n"/>
      <c r="C955" s="2" t="n"/>
      <c r="D955" s="2" t="n"/>
      <c r="E955" s="2" t="n"/>
      <c r="F955" s="2" t="n"/>
    </row>
    <row r="956" ht="15.75" customHeight="1" s="67">
      <c r="A956" s="2" t="n"/>
      <c r="B956" s="2" t="n"/>
      <c r="C956" s="2" t="n"/>
      <c r="D956" s="2" t="n"/>
      <c r="E956" s="2" t="n"/>
      <c r="F956" s="2" t="n"/>
    </row>
    <row r="957" ht="15.75" customHeight="1" s="67">
      <c r="A957" s="2" t="n"/>
      <c r="B957" s="2" t="n"/>
      <c r="C957" s="2" t="n"/>
      <c r="D957" s="2" t="n"/>
      <c r="E957" s="2" t="n"/>
      <c r="F957" s="2" t="n"/>
    </row>
    <row r="958" ht="15.75" customHeight="1" s="67">
      <c r="A958" s="2" t="n"/>
      <c r="B958" s="2" t="n"/>
      <c r="C958" s="2" t="n"/>
      <c r="D958" s="2" t="n"/>
      <c r="E958" s="2" t="n"/>
      <c r="F958" s="2" t="n"/>
    </row>
    <row r="959" ht="15.75" customHeight="1" s="67">
      <c r="A959" s="2" t="n"/>
      <c r="B959" s="2" t="n"/>
      <c r="C959" s="2" t="n"/>
      <c r="D959" s="2" t="n"/>
      <c r="E959" s="2" t="n"/>
      <c r="F959" s="2" t="n"/>
    </row>
    <row r="960" ht="15.75" customHeight="1" s="67">
      <c r="A960" s="2" t="n"/>
      <c r="B960" s="2" t="n"/>
      <c r="C960" s="2" t="n"/>
      <c r="D960" s="2" t="n"/>
      <c r="E960" s="2" t="n"/>
      <c r="F960" s="2" t="n"/>
    </row>
    <row r="961" ht="15.75" customHeight="1" s="67">
      <c r="A961" s="2" t="n"/>
      <c r="B961" s="2" t="n"/>
      <c r="C961" s="2" t="n"/>
      <c r="D961" s="2" t="n"/>
      <c r="E961" s="2" t="n"/>
      <c r="F961" s="2" t="n"/>
    </row>
    <row r="962" ht="15.75" customHeight="1" s="67">
      <c r="A962" s="2" t="n"/>
      <c r="B962" s="2" t="n"/>
      <c r="C962" s="2" t="n"/>
      <c r="D962" s="2" t="n"/>
      <c r="E962" s="2" t="n"/>
      <c r="F962" s="2" t="n"/>
    </row>
    <row r="963" ht="15.75" customHeight="1" s="67">
      <c r="A963" s="2" t="n"/>
      <c r="B963" s="2" t="n"/>
      <c r="C963" s="2" t="n"/>
      <c r="D963" s="2" t="n"/>
      <c r="E963" s="2" t="n"/>
      <c r="F963" s="2" t="n"/>
    </row>
    <row r="964" ht="15.75" customHeight="1" s="67">
      <c r="A964" s="2" t="n"/>
      <c r="B964" s="2" t="n"/>
      <c r="C964" s="2" t="n"/>
      <c r="D964" s="2" t="n"/>
      <c r="E964" s="2" t="n"/>
      <c r="F964" s="2" t="n"/>
    </row>
    <row r="965" ht="15.75" customHeight="1" s="67">
      <c r="A965" s="2" t="n"/>
      <c r="B965" s="2" t="n"/>
      <c r="C965" s="2" t="n"/>
      <c r="D965" s="2" t="n"/>
      <c r="E965" s="2" t="n"/>
      <c r="F965" s="2" t="n"/>
    </row>
    <row r="966" ht="15.75" customHeight="1" s="67">
      <c r="A966" s="2" t="n"/>
      <c r="B966" s="2" t="n"/>
      <c r="C966" s="2" t="n"/>
      <c r="D966" s="2" t="n"/>
      <c r="E966" s="2" t="n"/>
      <c r="F966" s="2" t="n"/>
    </row>
    <row r="967" ht="15.75" customHeight="1" s="67">
      <c r="A967" s="2" t="n"/>
      <c r="B967" s="2" t="n"/>
      <c r="C967" s="2" t="n"/>
      <c r="D967" s="2" t="n"/>
      <c r="E967" s="2" t="n"/>
      <c r="F967" s="2" t="n"/>
    </row>
    <row r="968" ht="15.75" customHeight="1" s="67">
      <c r="A968" s="2" t="n"/>
      <c r="B968" s="2" t="n"/>
      <c r="C968" s="2" t="n"/>
      <c r="D968" s="2" t="n"/>
      <c r="E968" s="2" t="n"/>
      <c r="F968" s="2" t="n"/>
    </row>
    <row r="969" ht="15.75" customHeight="1" s="67">
      <c r="A969" s="2" t="n"/>
      <c r="B969" s="2" t="n"/>
      <c r="C969" s="2" t="n"/>
      <c r="D969" s="2" t="n"/>
      <c r="E969" s="2" t="n"/>
      <c r="F969" s="2" t="n"/>
    </row>
    <row r="970" ht="15.75" customHeight="1" s="67">
      <c r="A970" s="2" t="n"/>
      <c r="B970" s="2" t="n"/>
      <c r="C970" s="2" t="n"/>
      <c r="D970" s="2" t="n"/>
      <c r="E970" s="2" t="n"/>
      <c r="F970" s="2" t="n"/>
    </row>
    <row r="971" ht="15.75" customHeight="1" s="67">
      <c r="A971" s="2" t="n"/>
      <c r="B971" s="2" t="n"/>
      <c r="C971" s="2" t="n"/>
      <c r="D971" s="2" t="n"/>
      <c r="E971" s="2" t="n"/>
      <c r="F971" s="2" t="n"/>
    </row>
    <row r="972" ht="15.75" customHeight="1" s="67">
      <c r="A972" s="2" t="n"/>
      <c r="B972" s="2" t="n"/>
      <c r="C972" s="2" t="n"/>
      <c r="D972" s="2" t="n"/>
      <c r="E972" s="2" t="n"/>
      <c r="F972" s="2" t="n"/>
    </row>
    <row r="973" ht="15.75" customHeight="1" s="67">
      <c r="A973" s="2" t="n"/>
      <c r="B973" s="2" t="n"/>
      <c r="C973" s="2" t="n"/>
      <c r="D973" s="2" t="n"/>
      <c r="E973" s="2" t="n"/>
      <c r="F973" s="2" t="n"/>
    </row>
    <row r="974" ht="15.75" customHeight="1" s="67">
      <c r="A974" s="2" t="n"/>
      <c r="B974" s="2" t="n"/>
      <c r="C974" s="2" t="n"/>
      <c r="D974" s="2" t="n"/>
      <c r="E974" s="2" t="n"/>
      <c r="F974" s="2" t="n"/>
    </row>
    <row r="975" ht="15.75" customHeight="1" s="67">
      <c r="A975" s="2" t="n"/>
      <c r="B975" s="2" t="n"/>
      <c r="C975" s="2" t="n"/>
      <c r="D975" s="2" t="n"/>
      <c r="E975" s="2" t="n"/>
      <c r="F975" s="2" t="n"/>
    </row>
    <row r="976" ht="15.75" customHeight="1" s="67">
      <c r="A976" s="2" t="n"/>
      <c r="B976" s="2" t="n"/>
      <c r="C976" s="2" t="n"/>
      <c r="D976" s="2" t="n"/>
      <c r="E976" s="2" t="n"/>
      <c r="F976" s="2" t="n"/>
    </row>
    <row r="977" ht="15.75" customHeight="1" s="67">
      <c r="A977" s="2" t="n"/>
      <c r="B977" s="2" t="n"/>
      <c r="C977" s="2" t="n"/>
      <c r="D977" s="2" t="n"/>
      <c r="E977" s="2" t="n"/>
      <c r="F977" s="2" t="n"/>
    </row>
    <row r="978" ht="15.75" customHeight="1" s="67">
      <c r="A978" s="2" t="n"/>
      <c r="B978" s="2" t="n"/>
      <c r="C978" s="2" t="n"/>
      <c r="D978" s="2" t="n"/>
      <c r="E978" s="2" t="n"/>
      <c r="F978" s="2" t="n"/>
    </row>
    <row r="979" ht="15.75" customHeight="1" s="67">
      <c r="A979" s="2" t="n"/>
      <c r="B979" s="2" t="n"/>
      <c r="C979" s="2" t="n"/>
      <c r="D979" s="2" t="n"/>
      <c r="E979" s="2" t="n"/>
      <c r="F979" s="2" t="n"/>
    </row>
    <row r="980" ht="15.75" customHeight="1" s="67">
      <c r="A980" s="2" t="n"/>
      <c r="B980" s="2" t="n"/>
      <c r="C980" s="2" t="n"/>
      <c r="D980" s="2" t="n"/>
      <c r="E980" s="2" t="n"/>
      <c r="F980" s="2" t="n"/>
    </row>
    <row r="981" ht="15.75" customHeight="1" s="67">
      <c r="A981" s="2" t="n"/>
      <c r="B981" s="2" t="n"/>
      <c r="C981" s="2" t="n"/>
      <c r="D981" s="2" t="n"/>
      <c r="E981" s="2" t="n"/>
      <c r="F981" s="2" t="n"/>
    </row>
    <row r="982" ht="15.75" customHeight="1" s="67">
      <c r="A982" s="2" t="n"/>
      <c r="B982" s="2" t="n"/>
      <c r="C982" s="2" t="n"/>
      <c r="D982" s="2" t="n"/>
      <c r="E982" s="2" t="n"/>
      <c r="F982" s="2" t="n"/>
    </row>
    <row r="983" ht="15.75" customHeight="1" s="67">
      <c r="A983" s="2" t="n"/>
      <c r="B983" s="2" t="n"/>
      <c r="C983" s="2" t="n"/>
      <c r="D983" s="2" t="n"/>
      <c r="E983" s="2" t="n"/>
      <c r="F983" s="2" t="n"/>
    </row>
    <row r="984" ht="15.75" customHeight="1" s="67">
      <c r="A984" s="2" t="n"/>
      <c r="B984" s="2" t="n"/>
      <c r="C984" s="2" t="n"/>
      <c r="D984" s="2" t="n"/>
      <c r="E984" s="2" t="n"/>
      <c r="F984" s="2" t="n"/>
    </row>
    <row r="985" ht="15.75" customHeight="1" s="67">
      <c r="A985" s="2" t="n"/>
      <c r="B985" s="2" t="n"/>
      <c r="C985" s="2" t="n"/>
      <c r="D985" s="2" t="n"/>
      <c r="E985" s="2" t="n"/>
      <c r="F985" s="2" t="n"/>
    </row>
    <row r="986" ht="15.75" customHeight="1" s="67">
      <c r="A986" s="2" t="n"/>
      <c r="B986" s="2" t="n"/>
      <c r="C986" s="2" t="n"/>
      <c r="D986" s="2" t="n"/>
      <c r="E986" s="2" t="n"/>
      <c r="F986" s="2" t="n"/>
    </row>
    <row r="987" ht="15.75" customHeight="1" s="67">
      <c r="A987" s="2" t="n"/>
      <c r="B987" s="2" t="n"/>
      <c r="C987" s="2" t="n"/>
      <c r="D987" s="2" t="n"/>
      <c r="E987" s="2" t="n"/>
      <c r="F987" s="2" t="n"/>
    </row>
    <row r="988" ht="15.75" customHeight="1" s="67">
      <c r="A988" s="2" t="n"/>
      <c r="B988" s="2" t="n"/>
      <c r="C988" s="2" t="n"/>
      <c r="D988" s="2" t="n"/>
      <c r="E988" s="2" t="n"/>
      <c r="F988" s="2" t="n"/>
    </row>
    <row r="989" ht="15.75" customHeight="1" s="67">
      <c r="A989" s="2" t="n"/>
      <c r="B989" s="2" t="n"/>
      <c r="C989" s="2" t="n"/>
      <c r="D989" s="2" t="n"/>
      <c r="E989" s="2" t="n"/>
      <c r="F989" s="2" t="n"/>
    </row>
    <row r="990" ht="15.75" customHeight="1" s="67">
      <c r="A990" s="2" t="n"/>
      <c r="B990" s="2" t="n"/>
      <c r="C990" s="2" t="n"/>
      <c r="D990" s="2" t="n"/>
      <c r="E990" s="2" t="n"/>
      <c r="F990" s="2" t="n"/>
    </row>
    <row r="991" ht="15.75" customHeight="1" s="67">
      <c r="A991" s="2" t="n"/>
      <c r="B991" s="2" t="n"/>
      <c r="C991" s="2" t="n"/>
      <c r="D991" s="2" t="n"/>
      <c r="E991" s="2" t="n"/>
      <c r="F991" s="2" t="n"/>
    </row>
    <row r="992" ht="15.75" customHeight="1" s="67">
      <c r="A992" s="2" t="n"/>
      <c r="B992" s="2" t="n"/>
      <c r="C992" s="2" t="n"/>
      <c r="D992" s="2" t="n"/>
      <c r="E992" s="2" t="n"/>
      <c r="F992" s="2" t="n"/>
    </row>
    <row r="993" ht="15.75" customHeight="1" s="67">
      <c r="A993" s="2" t="n"/>
      <c r="B993" s="2" t="n"/>
      <c r="C993" s="2" t="n"/>
      <c r="D993" s="2" t="n"/>
      <c r="E993" s="2" t="n"/>
      <c r="F993" s="2" t="n"/>
    </row>
    <row r="994" ht="15.75" customHeight="1" s="67">
      <c r="A994" s="2" t="n"/>
      <c r="B994" s="2" t="n"/>
      <c r="C994" s="2" t="n"/>
      <c r="D994" s="2" t="n"/>
      <c r="E994" s="2" t="n"/>
      <c r="F994" s="2" t="n"/>
    </row>
    <row r="995" ht="15.75" customHeight="1" s="67">
      <c r="A995" s="2" t="n"/>
      <c r="B995" s="2" t="n"/>
      <c r="C995" s="2" t="n"/>
      <c r="D995" s="2" t="n"/>
      <c r="E995" s="2" t="n"/>
      <c r="F995" s="2" t="n"/>
    </row>
    <row r="996" ht="15.75" customHeight="1" s="67">
      <c r="A996" s="2" t="n"/>
      <c r="B996" s="2" t="n"/>
      <c r="C996" s="2" t="n"/>
      <c r="D996" s="2" t="n"/>
      <c r="E996" s="2" t="n"/>
      <c r="F996" s="2" t="n"/>
    </row>
    <row r="997" ht="15.75" customHeight="1" s="67">
      <c r="A997" s="2" t="n"/>
      <c r="B997" s="2" t="n"/>
      <c r="C997" s="2" t="n"/>
      <c r="D997" s="2" t="n"/>
      <c r="E997" s="2" t="n"/>
      <c r="F997" s="2" t="n"/>
    </row>
    <row r="998" ht="15.75" customHeight="1" s="67">
      <c r="A998" s="2" t="n"/>
      <c r="B998" s="2" t="n"/>
      <c r="C998" s="2" t="n"/>
      <c r="D998" s="2" t="n"/>
      <c r="E998" s="2" t="n"/>
      <c r="F998" s="2" t="n"/>
    </row>
    <row r="999" ht="15.75" customHeight="1" s="67">
      <c r="A999" s="2" t="n"/>
      <c r="B999" s="2" t="n"/>
      <c r="C999" s="2" t="n"/>
      <c r="D999" s="2" t="n"/>
      <c r="E999" s="2" t="n"/>
      <c r="F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</row>
  </sheetData>
  <mergeCells count="21">
    <mergeCell ref="C8:F8"/>
    <mergeCell ref="D32:F32"/>
    <mergeCell ref="C7:F7"/>
    <mergeCell ref="D37:F37"/>
    <mergeCell ref="A14:F14"/>
    <mergeCell ref="C6:F6"/>
    <mergeCell ref="A4:F4"/>
    <mergeCell ref="D39:F39"/>
    <mergeCell ref="C5:F5"/>
    <mergeCell ref="D33:F33"/>
    <mergeCell ref="D38:F38"/>
    <mergeCell ref="D35:F35"/>
    <mergeCell ref="C10:F10"/>
    <mergeCell ref="A30:F30"/>
    <mergeCell ref="D34:F34"/>
    <mergeCell ref="A24:F24"/>
    <mergeCell ref="C9:F9"/>
    <mergeCell ref="C12:F12"/>
    <mergeCell ref="D40:F40"/>
    <mergeCell ref="D36:F36"/>
    <mergeCell ref="C11:F11"/>
  </mergeCells>
  <dataValidations count="1">
    <dataValidation sqref="C9" showDropDown="0" showInputMessage="1" showErrorMessage="1" allowBlank="1" prompt="Valor no válido - Elija un valor de la lista." type="list">
      <formula1>Listas!$I$2:$I$3</formula1>
    </dataValidation>
  </dataValidations>
  <printOptions horizontalCentered="1"/>
  <pageMargins left="0.5" right="0.5" top="1" bottom="1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" customWidth="1" style="67" min="1" max="1"/>
    <col width="44" customWidth="1" style="67" min="2" max="2"/>
    <col width="16" customWidth="1" style="67" min="3" max="3"/>
    <col width="18" customWidth="1" style="67" min="4" max="4"/>
    <col width="14" customWidth="1" style="67" min="5" max="5"/>
    <col width="52" customWidth="1" style="67" min="6" max="6"/>
    <col width="8.710000000000001" customWidth="1" style="67" min="7" max="26"/>
  </cols>
  <sheetData>
    <row r="1" ht="17.25" customHeight="1" s="67">
      <c r="A1" s="1" t="inlineStr">
        <is>
          <t>Paso 1 · Verificación del cumplimiento del periodo de intervención</t>
        </is>
      </c>
      <c r="B1" s="2" t="n"/>
      <c r="C1" s="2" t="n"/>
      <c r="D1" s="2" t="n"/>
      <c r="E1" s="2" t="n"/>
      <c r="F1" s="2" t="n"/>
    </row>
    <row r="2" ht="15" customHeight="1" s="67">
      <c r="A2" s="3" t="inlineStr">
        <is>
          <t>Compare lo programado en el protocolo con lo ejecutado según la bitácora y los registros de uso. Celdas amarillas: datos de su tesis.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21.75" customHeight="1" s="67">
      <c r="A4" s="68" t="inlineStr">
        <is>
          <t>Periodo y dosis: programado frente a ejecutado</t>
        </is>
      </c>
    </row>
    <row r="5" ht="30" customHeight="1" s="67">
      <c r="A5" s="2" t="n"/>
      <c r="B5" s="17" t="inlineStr">
        <is>
          <t>Parámetro</t>
        </is>
      </c>
      <c r="C5" s="17" t="inlineStr">
        <is>
          <t>Programado</t>
        </is>
      </c>
      <c r="D5" s="17" t="inlineStr">
        <is>
          <t>Ejecutado</t>
        </is>
      </c>
      <c r="E5" s="17" t="inlineStr">
        <is>
          <t>Cumple</t>
        </is>
      </c>
      <c r="F5" s="17" t="inlineStr">
        <is>
          <t>Fuente de verificación</t>
        </is>
      </c>
    </row>
    <row r="6" ht="15" customHeight="1" s="67">
      <c r="A6" s="2" t="n"/>
      <c r="B6" s="7" t="inlineStr">
        <is>
          <t>Fecha de inicio</t>
        </is>
      </c>
      <c r="C6" s="16" t="n">
        <v>46314</v>
      </c>
      <c r="D6" s="16" t="n">
        <v>46314</v>
      </c>
      <c r="E6" s="26">
        <f>IF(D6="","",IF(D6&lt;=C6,"Sí","No"))</f>
        <v/>
      </c>
      <c r="F6" s="30" t="inlineStr">
        <is>
          <t>Acta de inicio (18/10/2026)</t>
        </is>
      </c>
    </row>
    <row r="7" ht="15" customHeight="1" s="67">
      <c r="A7" s="2" t="n"/>
      <c r="B7" s="7" t="inlineStr">
        <is>
          <t>Fecha de cierre</t>
        </is>
      </c>
      <c r="C7" s="16" t="n">
        <v>46320</v>
      </c>
      <c r="D7" s="16" t="n">
        <v>46320</v>
      </c>
      <c r="E7" s="26">
        <f>IF(D7="","",IF(D7&gt;=C7,"Sí","No"))</f>
        <v/>
      </c>
      <c r="F7" s="30" t="inlineStr">
        <is>
          <t>Acta de cierre (25/10/2026)</t>
        </is>
      </c>
    </row>
    <row r="8" ht="15" customHeight="1" s="67">
      <c r="A8" s="2" t="n"/>
      <c r="B8" s="7" t="inlineStr">
        <is>
          <t>Semanas de intervención</t>
        </is>
      </c>
      <c r="C8" s="31">
        <f>IF(OR(C6="",C7=""),"",ROUNDUP((C7-C6+1)/7,0))</f>
        <v/>
      </c>
      <c r="D8" s="31">
        <f>IF(OR(D6="",D7=""),"",ROUNDUP((D7-D6+1)/7,0))</f>
        <v/>
      </c>
      <c r="E8" s="26">
        <f>IF(D8="","",IF(D8&gt;=C8,"Sí","No"))</f>
        <v/>
      </c>
      <c r="F8" s="30" t="inlineStr">
        <is>
          <t>Protocolo (Sesión 01, hoja 3, actividad 11) y telemetría</t>
        </is>
      </c>
    </row>
    <row r="9" ht="15" customHeight="1" s="67">
      <c r="A9" s="2" t="n"/>
      <c r="B9" s="7" t="inlineStr">
        <is>
          <t>Usuarios de la solución (n)</t>
        </is>
      </c>
      <c r="C9" s="14" t="n">
        <v>108</v>
      </c>
      <c r="D9" s="31">
        <f>C9</f>
        <v/>
      </c>
      <c r="E9" s="26" t="inlineStr">
        <is>
          <t>—</t>
        </is>
      </c>
      <c r="F9" s="30" t="inlineStr">
        <is>
          <t>Libro de códigos: 108 lectores válidos tras el pretest</t>
        </is>
      </c>
    </row>
    <row r="10" ht="23.25" customHeight="1" s="67">
      <c r="A10" s="2" t="n"/>
      <c r="B10" s="7" t="inlineStr">
        <is>
          <t>Días de uso por semana (mínimo con sesión de consulta)</t>
        </is>
      </c>
      <c r="C10" s="14" t="n">
        <v>3</v>
      </c>
      <c r="D10" s="32">
        <f>IF(OR(D11="",D9=0,D8=""),"",D11/D9/D8)</f>
        <v/>
      </c>
      <c r="E10" s="26">
        <f>IF(D10="","",IF(D10&gt;=C10,"Sí","Parcial"))</f>
        <v/>
      </c>
      <c r="F10" s="30" t="inlineStr">
        <is>
          <t>Frecuencia = días-usuario con uso efectivo (máx. 3 por lector) ÷ usuarios ÷ semanas</t>
        </is>
      </c>
    </row>
    <row r="11" ht="23.25" customHeight="1" s="67">
      <c r="A11" s="2" t="n"/>
      <c r="B11" s="7" t="inlineStr">
        <is>
          <t>Días-usuario</t>
        </is>
      </c>
      <c r="C11" s="31">
        <f>IF(OR(C8="",C9="",C10=""),"",C8*C9*C10)</f>
        <v/>
      </c>
      <c r="D11" s="31">
        <f>IF(COUNT(D18:D25)=0,"",SUM(D18:D25))</f>
        <v/>
      </c>
      <c r="E11" s="26" t="inlineStr">
        <is>
          <t>—</t>
        </is>
      </c>
      <c r="F11" s="21" t="inlineStr">
        <is>
          <t>Programados = semanas × usuarios × días; ejecutados = suma de la tabla semanal</t>
        </is>
      </c>
    </row>
    <row r="12" ht="23.25" customHeight="1" s="67">
      <c r="A12" s="2" t="n"/>
      <c r="B12" s="7" t="inlineStr">
        <is>
          <t>Intensidad: % de lectores con al menos 3 sesiones de consulta</t>
        </is>
      </c>
      <c r="C12" s="13" t="n">
        <v>1</v>
      </c>
      <c r="D12" s="13" t="n">
        <v>0.9722222222222222</v>
      </c>
      <c r="E12" s="26">
        <f>IF(D12="","",IF(D12&gt;=C12,"Sí","Parcial"))</f>
        <v/>
      </c>
      <c r="F12" s="30" t="inlineStr">
        <is>
          <t>Telemetría de la aplicación (sesiones por código)</t>
        </is>
      </c>
    </row>
    <row r="13" ht="23.25" customHeight="1" s="67">
      <c r="A13" s="2" t="n"/>
      <c r="B13" s="7" t="inlineStr">
        <is>
          <t>Adherencia acumulada</t>
        </is>
      </c>
      <c r="C13" s="33">
        <f>Inicio!C15</f>
        <v/>
      </c>
      <c r="D13" s="34">
        <f>IF(OR(D11="",C11="",C11=0),"",D11/C11)</f>
        <v/>
      </c>
      <c r="E13" s="26">
        <f>IF(D13="","",IF(D13&gt;=C13,"Sí","No"))</f>
        <v/>
      </c>
      <c r="F13" s="21" t="inlineStr">
        <is>
          <t>Adherencia = días-usuario con uso efectivo ÷ programados × 100</t>
        </is>
      </c>
    </row>
    <row r="14" ht="21.75" customHeight="1" s="67">
      <c r="A14" s="2" t="n"/>
      <c r="B14" s="18" t="inlineStr">
        <is>
          <t>El umbral de adherencia se toma de la hoja Inicio (parámetros del protocolo).</t>
        </is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 ht="21.75" customHeight="1" s="67">
      <c r="A16" s="68" t="inlineStr">
        <is>
          <t>Adherencia semanal (días-usuario)</t>
        </is>
      </c>
    </row>
    <row r="17" ht="30" customHeight="1" s="67">
      <c r="A17" s="2" t="n"/>
      <c r="B17" s="17" t="inlineStr">
        <is>
          <t>Semana</t>
        </is>
      </c>
      <c r="C17" s="17" t="inlineStr">
        <is>
          <t>Programados</t>
        </is>
      </c>
      <c r="D17" s="17" t="inlineStr">
        <is>
          <t>Con uso efectivo</t>
        </is>
      </c>
      <c r="E17" s="17" t="inlineStr">
        <is>
          <t>Adherencia</t>
        </is>
      </c>
      <c r="F17" s="17" t="inlineStr">
        <is>
          <t>Observación de la bitácora</t>
        </is>
      </c>
    </row>
    <row r="18" ht="15" customHeight="1" s="67">
      <c r="A18" s="2" t="n"/>
      <c r="B18" s="26" t="inlineStr">
        <is>
          <t>Semana 1</t>
        </is>
      </c>
      <c r="C18" s="31">
        <f>IF(D18="","",$C$9*$C$10)</f>
        <v/>
      </c>
      <c r="D18" s="14" t="n">
        <v>315</v>
      </c>
      <c r="E18" s="35">
        <f>IF(OR(D18="",C18=""),"",D18/C18)</f>
        <v/>
      </c>
      <c r="F18" s="36" t="inlineStr">
        <is>
          <t>Intervención de 7 días (19/10 al 25/10). 105 de 108 cumplieron 3 sesiones: 315 días-usuario. No es el conteo de filas del log. Tres retiros sin postest: GU-TDH-015, GU-TDH-033 y GU-TDH-053.</t>
        </is>
      </c>
    </row>
    <row r="19" ht="15" customHeight="1" s="67">
      <c r="A19" s="2" t="n"/>
      <c r="B19" s="26" t="inlineStr">
        <is>
          <t>Semana 2</t>
        </is>
      </c>
      <c r="C19" s="31">
        <f>IF(D19="","",$C$9*$C$10)</f>
        <v/>
      </c>
      <c r="D19" s="14" t="n"/>
      <c r="E19" s="35">
        <f>IF(OR(D19="",C19=""),"",D19/C19)</f>
        <v/>
      </c>
      <c r="F19" s="19" t="n"/>
    </row>
    <row r="20" ht="23.25" customHeight="1" s="67">
      <c r="A20" s="2" t="n"/>
      <c r="B20" s="26" t="inlineStr">
        <is>
          <t>Semana 3</t>
        </is>
      </c>
      <c r="C20" s="31">
        <f>IF(D20="","",$C$9*$C$10)</f>
        <v/>
      </c>
      <c r="D20" s="14" t="n"/>
      <c r="E20" s="35">
        <f>IF(OR(D20="",C20=""),"",D20/C20)</f>
        <v/>
      </c>
      <c r="F20" s="19" t="n"/>
    </row>
    <row r="21" ht="15" customHeight="1" s="67">
      <c r="A21" s="2" t="n"/>
      <c r="B21" s="26" t="inlineStr">
        <is>
          <t>Semana 4</t>
        </is>
      </c>
      <c r="C21" s="31">
        <f>IF(D21="","",$C$9*$C$10)</f>
        <v/>
      </c>
      <c r="D21" s="14" t="n"/>
      <c r="E21" s="35">
        <f>IF(OR(D21="",C21=""),"",D21/C21)</f>
        <v/>
      </c>
      <c r="F21" s="19" t="n"/>
    </row>
    <row r="22" ht="15" customHeight="1" s="67">
      <c r="A22" s="2" t="n"/>
      <c r="B22" s="26" t="inlineStr">
        <is>
          <t>Semana 5</t>
        </is>
      </c>
      <c r="C22" s="31">
        <f>IF(D22="","",$C$9*$C$10)</f>
        <v/>
      </c>
      <c r="D22" s="14" t="n"/>
      <c r="E22" s="35">
        <f>IF(OR(D22="",C22=""),"",D22/C22)</f>
        <v/>
      </c>
      <c r="F22" s="19" t="n"/>
    </row>
    <row r="23" ht="15" customHeight="1" s="67">
      <c r="A23" s="2" t="n"/>
      <c r="B23" s="26" t="inlineStr">
        <is>
          <t>Semana 6</t>
        </is>
      </c>
      <c r="C23" s="31">
        <f>IF(D23="","",$C$9*$C$10)</f>
        <v/>
      </c>
      <c r="D23" s="14" t="n"/>
      <c r="E23" s="35">
        <f>IF(OR(D23="",C23=""),"",D23/C23)</f>
        <v/>
      </c>
      <c r="F23" s="19" t="n"/>
    </row>
    <row r="24" ht="15" customHeight="1" s="67">
      <c r="A24" s="2" t="n"/>
      <c r="B24" s="26" t="inlineStr">
        <is>
          <t>Semana 7</t>
        </is>
      </c>
      <c r="C24" s="31">
        <f>IF(D24="","",$C$9*$C$10)</f>
        <v/>
      </c>
      <c r="D24" s="14" t="n"/>
      <c r="E24" s="35">
        <f>IF(OR(D24="",C24=""),"",D24/C24)</f>
        <v/>
      </c>
      <c r="F24" s="19" t="n"/>
    </row>
    <row r="25" ht="15" customHeight="1" s="67">
      <c r="A25" s="2" t="n"/>
      <c r="B25" s="26" t="inlineStr">
        <is>
          <t>Semana 8</t>
        </is>
      </c>
      <c r="C25" s="31">
        <f>IF(D25="","",$C$9*$C$10)</f>
        <v/>
      </c>
      <c r="D25" s="14" t="n"/>
      <c r="E25" s="35">
        <f>IF(OR(D25="",C25=""),"",D25/C25)</f>
        <v/>
      </c>
      <c r="F25" s="19" t="n"/>
    </row>
    <row r="26" ht="32.25" customHeight="1" s="67">
      <c r="A26" s="2" t="n"/>
      <c r="B26" s="18" t="inlineStr">
        <is>
          <t>La intervención dura 7 días (una semana). Programados = 108 usuarios × 3 días con uso efectivo.</t>
        </is>
      </c>
      <c r="C26" s="2" t="n"/>
      <c r="D26" s="2" t="n"/>
      <c r="E26" s="2" t="n"/>
      <c r="F26" s="2" t="n"/>
    </row>
    <row r="27" ht="15.75" customHeight="1" s="67">
      <c r="A27" s="2" t="n"/>
      <c r="B27" s="2" t="n"/>
      <c r="C27" s="2" t="n"/>
      <c r="D27" s="2" t="n"/>
      <c r="E27" s="2" t="n"/>
      <c r="F27" s="2" t="n"/>
    </row>
    <row r="28" ht="21.75" customHeight="1" s="67">
      <c r="A28" s="68" t="inlineStr">
        <is>
          <t>Fidelidad de implementación</t>
        </is>
      </c>
    </row>
    <row r="29" ht="30" customHeight="1" s="67">
      <c r="A29" s="2" t="n"/>
      <c r="B29" s="17" t="inlineStr">
        <is>
          <t>Componente del protocolo</t>
        </is>
      </c>
      <c r="C29" s="17" t="inlineStr">
        <is>
          <t>¿Se cumple?</t>
        </is>
      </c>
      <c r="D29" s="17" t="inlineStr">
        <is>
          <t>Evidencia</t>
        </is>
      </c>
      <c r="E29" s="69" t="n"/>
      <c r="F29" s="70" t="n"/>
    </row>
    <row r="30" ht="15" customHeight="1" s="67">
      <c r="A30" s="2" t="n"/>
      <c r="B30" s="19" t="inlineStr">
        <is>
          <t>Guía rápida de uso disponible para todos los lectores al iniciar</t>
        </is>
      </c>
      <c r="C30" s="22" t="inlineStr">
        <is>
          <t>Sí</t>
        </is>
      </c>
      <c r="D30" s="19" t="inlineStr">
        <is>
          <t>Guía dentro de la aplicación y mensaje de bienvenida (18/10/2026)</t>
        </is>
      </c>
      <c r="E30" s="69" t="n"/>
      <c r="F30" s="70" t="n"/>
    </row>
    <row r="31" ht="15" customHeight="1" s="67">
      <c r="A31" s="2" t="n"/>
      <c r="B31" s="19" t="inlineStr">
        <is>
          <t>Uso con la frecuencia programada (≥ 3 días)</t>
        </is>
      </c>
      <c r="C31" s="22" t="inlineStr">
        <is>
          <t>Sí</t>
        </is>
      </c>
      <c r="D31" s="19" t="inlineStr">
        <is>
          <t>Telemetría: sesiones por código y por día</t>
        </is>
      </c>
      <c r="E31" s="69" t="n"/>
      <c r="F31" s="70" t="n"/>
    </row>
    <row r="32" ht="15" customHeight="1" s="67">
      <c r="A32" s="2" t="n"/>
      <c r="B32" s="19" t="inlineStr">
        <is>
          <t>Uso con la intensidad programada (consultas al asistente)</t>
        </is>
      </c>
      <c r="C32" s="22" t="inlineStr">
        <is>
          <t>Sí</t>
        </is>
      </c>
      <c r="D32" s="19" t="inlineStr">
        <is>
          <t>Telemetría: consultas registradas por sesión</t>
        </is>
      </c>
      <c r="E32" s="69" t="n"/>
      <c r="F32" s="70" t="n"/>
    </row>
    <row r="33" ht="15" customHeight="1" s="67">
      <c r="A33" s="2" t="n"/>
      <c r="B33" s="19" t="inlineStr">
        <is>
          <t>Soporte técnico disponible y registrado (WhatsApp)</t>
        </is>
      </c>
      <c r="C33" s="22" t="inlineStr">
        <is>
          <t>Sí</t>
        </is>
      </c>
      <c r="D33" s="19" t="inlineStr">
        <is>
          <t>Bitácora de soporte (Formato 7)</t>
        </is>
      </c>
      <c r="E33" s="69" t="n"/>
      <c r="F33" s="70" t="n"/>
    </row>
    <row r="34" ht="15" customHeight="1" s="67">
      <c r="A34" s="2" t="n"/>
      <c r="B34" s="19" t="inlineStr">
        <is>
          <t>Registros de uso e incidencias al día</t>
        </is>
      </c>
      <c r="C34" s="22" t="inlineStr">
        <is>
          <t>Sí</t>
        </is>
      </c>
      <c r="D34" s="19" t="inlineStr">
        <is>
          <t>Bitácora y registro de incidencias</t>
        </is>
      </c>
      <c r="E34" s="69" t="n"/>
      <c r="F34" s="70" t="n"/>
    </row>
    <row r="35" ht="15" customHeight="1" s="67">
      <c r="A35" s="2" t="n"/>
      <c r="B35" s="19" t="inlineStr">
        <is>
          <t>Versión congelada sin cambios durante la intervención (v1.0.0-frozen-2026-10-18)</t>
        </is>
      </c>
      <c r="C35" s="22" t="inlineStr">
        <is>
          <t>Sí</t>
        </is>
      </c>
      <c r="D35" s="19" t="inlineStr">
        <is>
          <t>Tag de referencia v1.0.0-frozen-2026-10-18, congelada el 18/10/2026.</t>
        </is>
      </c>
      <c r="E35" s="69" t="n"/>
      <c r="F35" s="70" t="n"/>
    </row>
    <row r="36" ht="15" customHeight="1" s="67">
      <c r="A36" s="2" t="n"/>
      <c r="B36" s="19" t="inlineStr">
        <is>
          <t>Noticias de las tareas del postest disponibles y sin modificar</t>
        </is>
      </c>
      <c r="C36" s="22" t="inlineStr">
        <is>
          <t>Sí</t>
        </is>
      </c>
      <c r="D36" s="19" t="inlineStr">
        <is>
          <t>Copia de las cuatro noticias y sus enlaces</t>
        </is>
      </c>
      <c r="E36" s="69" t="n"/>
      <c r="F36" s="70" t="n"/>
    </row>
    <row r="37" ht="15.75" customHeight="1" s="67">
      <c r="A37" s="2" t="n"/>
      <c r="B37" s="2" t="n"/>
      <c r="C37" s="2" t="n"/>
      <c r="D37" s="2" t="n"/>
      <c r="E37" s="2" t="n"/>
      <c r="F37" s="2" t="n"/>
    </row>
    <row r="38" ht="15" customHeight="1" s="67">
      <c r="A38" s="2" t="n"/>
      <c r="B38" s="7" t="inlineStr">
        <is>
          <t>Fidelidad de implementación</t>
        </is>
      </c>
      <c r="C38" s="34">
        <f>IF(COUNTA(B30:B36)=0,"",COUNTIF(C30:C36,"Sí")/COUNTA(B30:B36))</f>
        <v/>
      </c>
      <c r="D38" s="2" t="n"/>
      <c r="E38" s="2" t="n"/>
      <c r="F38" s="2" t="n"/>
    </row>
    <row r="39" ht="15" customHeight="1" s="67">
      <c r="A39" s="2" t="n"/>
      <c r="B39" s="7" t="inlineStr">
        <is>
          <t>Umbral mínimo de fidelidad</t>
        </is>
      </c>
      <c r="C39" s="33">
        <f>Inicio!C16</f>
        <v/>
      </c>
      <c r="D39" s="2" t="n"/>
      <c r="E39" s="2" t="n"/>
      <c r="F39" s="2" t="n"/>
    </row>
    <row r="40" ht="15" customHeight="1" s="67">
      <c r="A40" s="2" t="n"/>
      <c r="B40" s="7" t="inlineStr">
        <is>
          <t>Cumple</t>
        </is>
      </c>
      <c r="C40" s="26">
        <f>IF(C38="","",IF(C38&gt;=C39,"Sí","No"))</f>
        <v/>
      </c>
      <c r="D40" s="2" t="n"/>
      <c r="E40" s="2" t="n"/>
      <c r="F40" s="2" t="n"/>
    </row>
    <row r="41" ht="15.75" customHeight="1" s="67">
      <c r="A41" s="2" t="n"/>
      <c r="B41" s="2" t="n"/>
      <c r="C41" s="2" t="n"/>
      <c r="D41" s="2" t="n"/>
      <c r="E41" s="2" t="n"/>
      <c r="F41" s="2" t="n"/>
    </row>
    <row r="42" ht="21.75" customHeight="1" s="67">
      <c r="A42" s="68" t="inlineStr">
        <is>
          <t>Decisión de cierre</t>
        </is>
      </c>
    </row>
    <row r="43" ht="15" customHeight="1" s="67">
      <c r="A43" s="2" t="n"/>
      <c r="B43" s="7" t="inlineStr">
        <is>
          <t>¿Se cumplió el periodo programado?</t>
        </is>
      </c>
      <c r="C43" s="26">
        <f>IF(E7="","",E7)</f>
        <v/>
      </c>
      <c r="D43" s="2" t="n"/>
      <c r="E43" s="2" t="n"/>
      <c r="F43" s="2" t="n"/>
    </row>
    <row r="44" ht="15" customHeight="1" s="67">
      <c r="A44" s="2" t="n"/>
      <c r="B44" s="7" t="inlineStr">
        <is>
          <t>¿Adherencia ≥ umbral?</t>
        </is>
      </c>
      <c r="C44" s="26">
        <f>IF(E13="","",E13)</f>
        <v/>
      </c>
      <c r="D44" s="2" t="n"/>
      <c r="E44" s="2" t="n"/>
      <c r="F44" s="2" t="n"/>
    </row>
    <row r="45" ht="15" customHeight="1" s="67">
      <c r="A45" s="2" t="n"/>
      <c r="B45" s="7" t="inlineStr">
        <is>
          <t>¿Fidelidad ≥ umbral?</t>
        </is>
      </c>
      <c r="C45" s="26">
        <f>IF(C40="","",C40)</f>
        <v/>
      </c>
      <c r="D45" s="2" t="n"/>
      <c r="E45" s="2" t="n"/>
      <c r="F45" s="2" t="n"/>
    </row>
    <row r="46" ht="36" customHeight="1" s="67">
      <c r="A46" s="2" t="n"/>
      <c r="B46" s="7" t="inlineStr">
        <is>
          <t>Decisión</t>
        </is>
      </c>
      <c r="C46" s="49">
        <f>IF(OR(C43="",C44="",C45=""),"Complete los datos",IF(C43="No","No medir todavía: completar el periodo o documentar la fuerza mayor con el asesor",IF(AND(C44="Sí",C45="Sí"),"Cerrar la intervención y aplicar el postest dentro de la ventana","Registrar la desviación y decidir con el asesor (prórroga documentada o cierre con limitación declarada)")))</f>
        <v/>
      </c>
      <c r="D46" s="69" t="n"/>
      <c r="E46" s="69" t="n"/>
      <c r="F46" s="70" t="n"/>
    </row>
    <row r="47" ht="21.75" customHeight="1" s="67">
      <c r="A47" s="2" t="n"/>
      <c r="B47" s="18" t="inlineStr">
        <is>
          <t>El postest nunca se adelanta para cumplir el cronograma del curso: se adelanta la gestión, no la medición.</t>
        </is>
      </c>
      <c r="C47" s="2" t="n"/>
      <c r="D47" s="2" t="n"/>
      <c r="E47" s="2" t="n"/>
      <c r="F47" s="2" t="n"/>
    </row>
    <row r="48" ht="15.75" customHeight="1" s="67">
      <c r="A48" s="2" t="n"/>
      <c r="B48" s="2" t="n"/>
      <c r="C48" s="2" t="n"/>
      <c r="D48" s="2" t="n"/>
      <c r="E48" s="2" t="n"/>
      <c r="F48" s="2" t="n"/>
    </row>
    <row r="49" ht="15.75" customHeight="1" s="67">
      <c r="A49" s="2" t="n"/>
      <c r="B49" s="2" t="n"/>
      <c r="C49" s="2" t="n"/>
      <c r="D49" s="2" t="n"/>
      <c r="E49" s="2" t="n"/>
      <c r="F49" s="2" t="n"/>
    </row>
    <row r="50" ht="15.75" customHeight="1" s="67">
      <c r="A50" s="2" t="n"/>
      <c r="B50" s="2" t="n"/>
      <c r="C50" s="2" t="n"/>
      <c r="D50" s="2" t="n"/>
      <c r="E50" s="2" t="n"/>
      <c r="F50" s="2" t="n"/>
    </row>
    <row r="51" ht="15.75" customHeight="1" s="67">
      <c r="A51" s="2" t="n"/>
      <c r="B51" s="2" t="n"/>
      <c r="C51" s="2" t="n"/>
      <c r="D51" s="2" t="n"/>
      <c r="E51" s="2" t="n"/>
      <c r="F51" s="2" t="n"/>
    </row>
    <row r="52" ht="15.75" customHeight="1" s="67">
      <c r="A52" s="2" t="n"/>
      <c r="B52" s="2" t="n"/>
      <c r="C52" s="2" t="n"/>
      <c r="D52" s="2" t="n"/>
      <c r="E52" s="2" t="n"/>
      <c r="F52" s="2" t="n"/>
    </row>
    <row r="53" ht="15.75" customHeight="1" s="67">
      <c r="A53" s="2" t="n"/>
      <c r="B53" s="2" t="n"/>
      <c r="C53" s="2" t="n"/>
      <c r="D53" s="2" t="n"/>
      <c r="E53" s="2" t="n"/>
      <c r="F53" s="2" t="n"/>
    </row>
    <row r="54" ht="15.75" customHeight="1" s="67">
      <c r="A54" s="2" t="n"/>
      <c r="B54" s="2" t="n"/>
      <c r="C54" s="2" t="n"/>
      <c r="D54" s="2" t="n"/>
      <c r="E54" s="2" t="n"/>
      <c r="F54" s="2" t="n"/>
    </row>
    <row r="55" ht="15.75" customHeight="1" s="67">
      <c r="A55" s="2" t="n"/>
      <c r="B55" s="2" t="n"/>
      <c r="C55" s="2" t="n"/>
      <c r="D55" s="2" t="n"/>
      <c r="E55" s="2" t="n"/>
      <c r="F55" s="2" t="n"/>
    </row>
    <row r="56" ht="15.75" customHeight="1" s="67">
      <c r="A56" s="2" t="n"/>
      <c r="B56" s="2" t="n"/>
      <c r="C56" s="2" t="n"/>
      <c r="D56" s="2" t="n"/>
      <c r="E56" s="2" t="n"/>
      <c r="F56" s="2" t="n"/>
    </row>
    <row r="57" ht="15.75" customHeight="1" s="67">
      <c r="A57" s="2" t="n"/>
      <c r="B57" s="2" t="n"/>
      <c r="C57" s="2" t="n"/>
      <c r="D57" s="2" t="n"/>
      <c r="E57" s="2" t="n"/>
      <c r="F57" s="2" t="n"/>
    </row>
    <row r="58" ht="15.75" customHeight="1" s="67">
      <c r="A58" s="2" t="n"/>
      <c r="B58" s="2" t="n"/>
      <c r="C58" s="2" t="n"/>
      <c r="D58" s="2" t="n"/>
      <c r="E58" s="2" t="n"/>
      <c r="F58" s="2" t="n"/>
    </row>
    <row r="59" ht="15.75" customHeight="1" s="67">
      <c r="A59" s="2" t="n"/>
      <c r="B59" s="2" t="n"/>
      <c r="C59" s="2" t="n"/>
      <c r="D59" s="2" t="n"/>
      <c r="E59" s="2" t="n"/>
      <c r="F59" s="2" t="n"/>
    </row>
    <row r="60" ht="15.75" customHeight="1" s="67">
      <c r="A60" s="2" t="n"/>
      <c r="B60" s="2" t="n"/>
      <c r="C60" s="2" t="n"/>
      <c r="D60" s="2" t="n"/>
      <c r="E60" s="2" t="n"/>
      <c r="F60" s="2" t="n"/>
    </row>
    <row r="61" ht="15.75" customHeight="1" s="67">
      <c r="A61" s="2" t="n"/>
      <c r="B61" s="2" t="n"/>
      <c r="C61" s="2" t="n"/>
      <c r="D61" s="2" t="n"/>
      <c r="E61" s="2" t="n"/>
      <c r="F61" s="2" t="n"/>
    </row>
    <row r="62" ht="15.75" customHeight="1" s="67">
      <c r="A62" s="2" t="n"/>
      <c r="B62" s="2" t="n"/>
      <c r="C62" s="2" t="n"/>
      <c r="D62" s="2" t="n"/>
      <c r="E62" s="2" t="n"/>
      <c r="F62" s="2" t="n"/>
    </row>
    <row r="63" ht="15.75" customHeight="1" s="67">
      <c r="A63" s="2" t="n"/>
      <c r="B63" s="2" t="n"/>
      <c r="C63" s="2" t="n"/>
      <c r="D63" s="2" t="n"/>
      <c r="E63" s="2" t="n"/>
      <c r="F63" s="2" t="n"/>
    </row>
    <row r="64" ht="15.75" customHeight="1" s="67">
      <c r="A64" s="2" t="n"/>
      <c r="B64" s="2" t="n"/>
      <c r="C64" s="2" t="n"/>
      <c r="D64" s="2" t="n"/>
      <c r="E64" s="2" t="n"/>
      <c r="F64" s="2" t="n"/>
    </row>
    <row r="65" ht="15.75" customHeight="1" s="67">
      <c r="A65" s="2" t="n"/>
      <c r="B65" s="2" t="n"/>
      <c r="C65" s="2" t="n"/>
      <c r="D65" s="2" t="n"/>
      <c r="E65" s="2" t="n"/>
      <c r="F65" s="2" t="n"/>
    </row>
    <row r="66" ht="15.75" customHeight="1" s="67">
      <c r="A66" s="2" t="n"/>
      <c r="B66" s="2" t="n"/>
      <c r="C66" s="2" t="n"/>
      <c r="D66" s="2" t="n"/>
      <c r="E66" s="2" t="n"/>
      <c r="F66" s="2" t="n"/>
    </row>
    <row r="67" ht="15.75" customHeight="1" s="67">
      <c r="A67" s="2" t="n"/>
      <c r="B67" s="2" t="n"/>
      <c r="C67" s="2" t="n"/>
      <c r="D67" s="2" t="n"/>
      <c r="E67" s="2" t="n"/>
      <c r="F67" s="2" t="n"/>
    </row>
    <row r="68" ht="15.75" customHeight="1" s="67">
      <c r="A68" s="2" t="n"/>
      <c r="B68" s="2" t="n"/>
      <c r="C68" s="2" t="n"/>
      <c r="D68" s="2" t="n"/>
      <c r="E68" s="2" t="n"/>
      <c r="F68" s="2" t="n"/>
    </row>
    <row r="69" ht="15.75" customHeight="1" s="67">
      <c r="A69" s="2" t="n"/>
      <c r="B69" s="2" t="n"/>
      <c r="C69" s="2" t="n"/>
      <c r="D69" s="2" t="n"/>
      <c r="E69" s="2" t="n"/>
      <c r="F69" s="2" t="n"/>
    </row>
    <row r="70" ht="15.75" customHeight="1" s="67">
      <c r="A70" s="2" t="n"/>
      <c r="B70" s="2" t="n"/>
      <c r="C70" s="2" t="n"/>
      <c r="D70" s="2" t="n"/>
      <c r="E70" s="2" t="n"/>
      <c r="F70" s="2" t="n"/>
    </row>
    <row r="71" ht="15.75" customHeight="1" s="67">
      <c r="A71" s="2" t="n"/>
      <c r="B71" s="2" t="n"/>
      <c r="C71" s="2" t="n"/>
      <c r="D71" s="2" t="n"/>
      <c r="E71" s="2" t="n"/>
      <c r="F71" s="2" t="n"/>
    </row>
    <row r="72" ht="15.75" customHeight="1" s="67">
      <c r="A72" s="2" t="n"/>
      <c r="B72" s="2" t="n"/>
      <c r="C72" s="2" t="n"/>
      <c r="D72" s="2" t="n"/>
      <c r="E72" s="2" t="n"/>
      <c r="F72" s="2" t="n"/>
    </row>
    <row r="73" ht="15.75" customHeight="1" s="67">
      <c r="A73" s="2" t="n"/>
      <c r="B73" s="2" t="n"/>
      <c r="C73" s="2" t="n"/>
      <c r="D73" s="2" t="n"/>
      <c r="E73" s="2" t="n"/>
      <c r="F73" s="2" t="n"/>
    </row>
    <row r="74" ht="15.75" customHeight="1" s="67">
      <c r="A74" s="2" t="n"/>
      <c r="B74" s="2" t="n"/>
      <c r="C74" s="2" t="n"/>
      <c r="D74" s="2" t="n"/>
      <c r="E74" s="2" t="n"/>
      <c r="F74" s="2" t="n"/>
    </row>
    <row r="75" ht="15.75" customHeight="1" s="67">
      <c r="A75" s="2" t="n"/>
      <c r="B75" s="2" t="n"/>
      <c r="C75" s="2" t="n"/>
      <c r="D75" s="2" t="n"/>
      <c r="E75" s="2" t="n"/>
      <c r="F75" s="2" t="n"/>
    </row>
    <row r="76" ht="15.75" customHeight="1" s="67">
      <c r="A76" s="2" t="n"/>
      <c r="B76" s="2" t="n"/>
      <c r="C76" s="2" t="n"/>
      <c r="D76" s="2" t="n"/>
      <c r="E76" s="2" t="n"/>
      <c r="F76" s="2" t="n"/>
    </row>
    <row r="77" ht="15.75" customHeight="1" s="67">
      <c r="A77" s="2" t="n"/>
      <c r="B77" s="2" t="n"/>
      <c r="C77" s="2" t="n"/>
      <c r="D77" s="2" t="n"/>
      <c r="E77" s="2" t="n"/>
      <c r="F77" s="2" t="n"/>
    </row>
    <row r="78" ht="15.75" customHeight="1" s="67">
      <c r="A78" s="2" t="n"/>
      <c r="B78" s="2" t="n"/>
      <c r="C78" s="2" t="n"/>
      <c r="D78" s="2" t="n"/>
      <c r="E78" s="2" t="n"/>
      <c r="F78" s="2" t="n"/>
    </row>
    <row r="79" ht="15.75" customHeight="1" s="67">
      <c r="A79" s="2" t="n"/>
      <c r="B79" s="2" t="n"/>
      <c r="C79" s="2" t="n"/>
      <c r="D79" s="2" t="n"/>
      <c r="E79" s="2" t="n"/>
      <c r="F79" s="2" t="n"/>
    </row>
    <row r="80" ht="15.75" customHeight="1" s="67">
      <c r="A80" s="2" t="n"/>
      <c r="B80" s="2" t="n"/>
      <c r="C80" s="2" t="n"/>
      <c r="D80" s="2" t="n"/>
      <c r="E80" s="2" t="n"/>
      <c r="F80" s="2" t="n"/>
    </row>
    <row r="81" ht="15.75" customHeight="1" s="67">
      <c r="A81" s="2" t="n"/>
      <c r="B81" s="2" t="n"/>
      <c r="C81" s="2" t="n"/>
      <c r="D81" s="2" t="n"/>
      <c r="E81" s="2" t="n"/>
      <c r="F81" s="2" t="n"/>
    </row>
    <row r="82" ht="15.75" customHeight="1" s="67">
      <c r="A82" s="2" t="n"/>
      <c r="B82" s="2" t="n"/>
      <c r="C82" s="2" t="n"/>
      <c r="D82" s="2" t="n"/>
      <c r="E82" s="2" t="n"/>
      <c r="F82" s="2" t="n"/>
    </row>
    <row r="83" ht="15.75" customHeight="1" s="67">
      <c r="A83" s="2" t="n"/>
      <c r="B83" s="2" t="n"/>
      <c r="C83" s="2" t="n"/>
      <c r="D83" s="2" t="n"/>
      <c r="E83" s="2" t="n"/>
      <c r="F83" s="2" t="n"/>
    </row>
    <row r="84" ht="15.75" customHeight="1" s="67">
      <c r="A84" s="2" t="n"/>
      <c r="B84" s="2" t="n"/>
      <c r="C84" s="2" t="n"/>
      <c r="D84" s="2" t="n"/>
      <c r="E84" s="2" t="n"/>
      <c r="F84" s="2" t="n"/>
    </row>
    <row r="85" ht="15.75" customHeight="1" s="67">
      <c r="A85" s="2" t="n"/>
      <c r="B85" s="2" t="n"/>
      <c r="C85" s="2" t="n"/>
      <c r="D85" s="2" t="n"/>
      <c r="E85" s="2" t="n"/>
      <c r="F85" s="2" t="n"/>
    </row>
    <row r="86" ht="15.75" customHeight="1" s="67">
      <c r="A86" s="2" t="n"/>
      <c r="B86" s="2" t="n"/>
      <c r="C86" s="2" t="n"/>
      <c r="D86" s="2" t="n"/>
      <c r="E86" s="2" t="n"/>
      <c r="F86" s="2" t="n"/>
    </row>
    <row r="87" ht="15.75" customHeight="1" s="67">
      <c r="A87" s="2" t="n"/>
      <c r="B87" s="2" t="n"/>
      <c r="C87" s="2" t="n"/>
      <c r="D87" s="2" t="n"/>
      <c r="E87" s="2" t="n"/>
      <c r="F87" s="2" t="n"/>
    </row>
    <row r="88" ht="15.75" customHeight="1" s="67">
      <c r="A88" s="2" t="n"/>
      <c r="B88" s="2" t="n"/>
      <c r="C88" s="2" t="n"/>
      <c r="D88" s="2" t="n"/>
      <c r="E88" s="2" t="n"/>
      <c r="F88" s="2" t="n"/>
    </row>
    <row r="89" ht="15.75" customHeight="1" s="67">
      <c r="A89" s="2" t="n"/>
      <c r="B89" s="2" t="n"/>
      <c r="C89" s="2" t="n"/>
      <c r="D89" s="2" t="n"/>
      <c r="E89" s="2" t="n"/>
      <c r="F89" s="2" t="n"/>
    </row>
    <row r="90" ht="15.75" customHeight="1" s="67">
      <c r="A90" s="2" t="n"/>
      <c r="B90" s="2" t="n"/>
      <c r="C90" s="2" t="n"/>
      <c r="D90" s="2" t="n"/>
      <c r="E90" s="2" t="n"/>
      <c r="F90" s="2" t="n"/>
    </row>
    <row r="91" ht="15.75" customHeight="1" s="67">
      <c r="A91" s="2" t="n"/>
      <c r="B91" s="2" t="n"/>
      <c r="C91" s="2" t="n"/>
      <c r="D91" s="2" t="n"/>
      <c r="E91" s="2" t="n"/>
      <c r="F91" s="2" t="n"/>
    </row>
    <row r="92" ht="15.75" customHeight="1" s="67">
      <c r="A92" s="2" t="n"/>
      <c r="B92" s="2" t="n"/>
      <c r="C92" s="2" t="n"/>
      <c r="D92" s="2" t="n"/>
      <c r="E92" s="2" t="n"/>
      <c r="F92" s="2" t="n"/>
    </row>
    <row r="93" ht="15.75" customHeight="1" s="67">
      <c r="A93" s="2" t="n"/>
      <c r="B93" s="2" t="n"/>
      <c r="C93" s="2" t="n"/>
      <c r="D93" s="2" t="n"/>
      <c r="E93" s="2" t="n"/>
      <c r="F93" s="2" t="n"/>
    </row>
    <row r="94" ht="15.75" customHeight="1" s="67">
      <c r="A94" s="2" t="n"/>
      <c r="B94" s="2" t="n"/>
      <c r="C94" s="2" t="n"/>
      <c r="D94" s="2" t="n"/>
      <c r="E94" s="2" t="n"/>
      <c r="F94" s="2" t="n"/>
    </row>
    <row r="95" ht="15.75" customHeight="1" s="67">
      <c r="A95" s="2" t="n"/>
      <c r="B95" s="2" t="n"/>
      <c r="C95" s="2" t="n"/>
      <c r="D95" s="2" t="n"/>
      <c r="E95" s="2" t="n"/>
      <c r="F95" s="2" t="n"/>
    </row>
    <row r="96" ht="15.75" customHeight="1" s="67">
      <c r="A96" s="2" t="n"/>
      <c r="B96" s="2" t="n"/>
      <c r="C96" s="2" t="n"/>
      <c r="D96" s="2" t="n"/>
      <c r="E96" s="2" t="n"/>
      <c r="F96" s="2" t="n"/>
    </row>
    <row r="97" ht="15.75" customHeight="1" s="67">
      <c r="A97" s="2" t="n"/>
      <c r="B97" s="2" t="n"/>
      <c r="C97" s="2" t="n"/>
      <c r="D97" s="2" t="n"/>
      <c r="E97" s="2" t="n"/>
      <c r="F97" s="2" t="n"/>
    </row>
    <row r="98" ht="15.75" customHeight="1" s="67">
      <c r="A98" s="2" t="n"/>
      <c r="B98" s="2" t="n"/>
      <c r="C98" s="2" t="n"/>
      <c r="D98" s="2" t="n"/>
      <c r="E98" s="2" t="n"/>
      <c r="F98" s="2" t="n"/>
    </row>
    <row r="99" ht="15.75" customHeight="1" s="67">
      <c r="A99" s="2" t="n"/>
      <c r="B99" s="2" t="n"/>
      <c r="C99" s="2" t="n"/>
      <c r="D99" s="2" t="n"/>
      <c r="E99" s="2" t="n"/>
      <c r="F99" s="2" t="n"/>
    </row>
    <row r="100" ht="15.75" customHeight="1" s="67">
      <c r="A100" s="2" t="n"/>
      <c r="B100" s="2" t="n"/>
      <c r="C100" s="2" t="n"/>
      <c r="D100" s="2" t="n"/>
      <c r="E100" s="2" t="n"/>
      <c r="F100" s="2" t="n"/>
    </row>
    <row r="101" ht="15.75" customHeight="1" s="67">
      <c r="A101" s="2" t="n"/>
      <c r="B101" s="2" t="n"/>
      <c r="C101" s="2" t="n"/>
      <c r="D101" s="2" t="n"/>
      <c r="E101" s="2" t="n"/>
      <c r="F101" s="2" t="n"/>
    </row>
    <row r="102" ht="15.75" customHeight="1" s="67">
      <c r="A102" s="2" t="n"/>
      <c r="B102" s="2" t="n"/>
      <c r="C102" s="2" t="n"/>
      <c r="D102" s="2" t="n"/>
      <c r="E102" s="2" t="n"/>
      <c r="F102" s="2" t="n"/>
    </row>
    <row r="103" ht="15.75" customHeight="1" s="67">
      <c r="A103" s="2" t="n"/>
      <c r="B103" s="2" t="n"/>
      <c r="C103" s="2" t="n"/>
      <c r="D103" s="2" t="n"/>
      <c r="E103" s="2" t="n"/>
      <c r="F103" s="2" t="n"/>
    </row>
    <row r="104" ht="15.75" customHeight="1" s="67">
      <c r="A104" s="2" t="n"/>
      <c r="B104" s="2" t="n"/>
      <c r="C104" s="2" t="n"/>
      <c r="D104" s="2" t="n"/>
      <c r="E104" s="2" t="n"/>
      <c r="F104" s="2" t="n"/>
    </row>
    <row r="105" ht="15.75" customHeight="1" s="67">
      <c r="A105" s="2" t="n"/>
      <c r="B105" s="2" t="n"/>
      <c r="C105" s="2" t="n"/>
      <c r="D105" s="2" t="n"/>
      <c r="E105" s="2" t="n"/>
      <c r="F105" s="2" t="n"/>
    </row>
    <row r="106" ht="15.75" customHeight="1" s="67">
      <c r="A106" s="2" t="n"/>
      <c r="B106" s="2" t="n"/>
      <c r="C106" s="2" t="n"/>
      <c r="D106" s="2" t="n"/>
      <c r="E106" s="2" t="n"/>
      <c r="F106" s="2" t="n"/>
    </row>
    <row r="107" ht="15.75" customHeight="1" s="67">
      <c r="A107" s="2" t="n"/>
      <c r="B107" s="2" t="n"/>
      <c r="C107" s="2" t="n"/>
      <c r="D107" s="2" t="n"/>
      <c r="E107" s="2" t="n"/>
      <c r="F107" s="2" t="n"/>
    </row>
    <row r="108" ht="15.75" customHeight="1" s="67">
      <c r="A108" s="2" t="n"/>
      <c r="B108" s="2" t="n"/>
      <c r="C108" s="2" t="n"/>
      <c r="D108" s="2" t="n"/>
      <c r="E108" s="2" t="n"/>
      <c r="F108" s="2" t="n"/>
    </row>
    <row r="109" ht="15.75" customHeight="1" s="67">
      <c r="A109" s="2" t="n"/>
      <c r="B109" s="2" t="n"/>
      <c r="C109" s="2" t="n"/>
      <c r="D109" s="2" t="n"/>
      <c r="E109" s="2" t="n"/>
      <c r="F109" s="2" t="n"/>
    </row>
    <row r="110" ht="15.75" customHeight="1" s="67">
      <c r="A110" s="2" t="n"/>
      <c r="B110" s="2" t="n"/>
      <c r="C110" s="2" t="n"/>
      <c r="D110" s="2" t="n"/>
      <c r="E110" s="2" t="n"/>
      <c r="F110" s="2" t="n"/>
    </row>
    <row r="111" ht="15.75" customHeight="1" s="67">
      <c r="A111" s="2" t="n"/>
      <c r="B111" s="2" t="n"/>
      <c r="C111" s="2" t="n"/>
      <c r="D111" s="2" t="n"/>
      <c r="E111" s="2" t="n"/>
      <c r="F111" s="2" t="n"/>
    </row>
    <row r="112" ht="15.75" customHeight="1" s="67">
      <c r="A112" s="2" t="n"/>
      <c r="B112" s="2" t="n"/>
      <c r="C112" s="2" t="n"/>
      <c r="D112" s="2" t="n"/>
      <c r="E112" s="2" t="n"/>
      <c r="F112" s="2" t="n"/>
    </row>
    <row r="113" ht="15.75" customHeight="1" s="67">
      <c r="A113" s="2" t="n"/>
      <c r="B113" s="2" t="n"/>
      <c r="C113" s="2" t="n"/>
      <c r="D113" s="2" t="n"/>
      <c r="E113" s="2" t="n"/>
      <c r="F113" s="2" t="n"/>
    </row>
    <row r="114" ht="15.75" customHeight="1" s="67">
      <c r="A114" s="2" t="n"/>
      <c r="B114" s="2" t="n"/>
      <c r="C114" s="2" t="n"/>
      <c r="D114" s="2" t="n"/>
      <c r="E114" s="2" t="n"/>
      <c r="F114" s="2" t="n"/>
    </row>
    <row r="115" ht="15.75" customHeight="1" s="67">
      <c r="A115" s="2" t="n"/>
      <c r="B115" s="2" t="n"/>
      <c r="C115" s="2" t="n"/>
      <c r="D115" s="2" t="n"/>
      <c r="E115" s="2" t="n"/>
      <c r="F115" s="2" t="n"/>
    </row>
    <row r="116" ht="15.75" customHeight="1" s="67">
      <c r="A116" s="2" t="n"/>
      <c r="B116" s="2" t="n"/>
      <c r="C116" s="2" t="n"/>
      <c r="D116" s="2" t="n"/>
      <c r="E116" s="2" t="n"/>
      <c r="F116" s="2" t="n"/>
    </row>
    <row r="117" ht="15.75" customHeight="1" s="67">
      <c r="A117" s="2" t="n"/>
      <c r="B117" s="2" t="n"/>
      <c r="C117" s="2" t="n"/>
      <c r="D117" s="2" t="n"/>
      <c r="E117" s="2" t="n"/>
      <c r="F117" s="2" t="n"/>
    </row>
    <row r="118" ht="15.75" customHeight="1" s="67">
      <c r="A118" s="2" t="n"/>
      <c r="B118" s="2" t="n"/>
      <c r="C118" s="2" t="n"/>
      <c r="D118" s="2" t="n"/>
      <c r="E118" s="2" t="n"/>
      <c r="F118" s="2" t="n"/>
    </row>
    <row r="119" ht="15.75" customHeight="1" s="67">
      <c r="A119" s="2" t="n"/>
      <c r="B119" s="2" t="n"/>
      <c r="C119" s="2" t="n"/>
      <c r="D119" s="2" t="n"/>
      <c r="E119" s="2" t="n"/>
      <c r="F119" s="2" t="n"/>
    </row>
    <row r="120" ht="15.75" customHeight="1" s="67">
      <c r="A120" s="2" t="n"/>
      <c r="B120" s="2" t="n"/>
      <c r="C120" s="2" t="n"/>
      <c r="D120" s="2" t="n"/>
      <c r="E120" s="2" t="n"/>
      <c r="F120" s="2" t="n"/>
    </row>
    <row r="121" ht="15.75" customHeight="1" s="67">
      <c r="A121" s="2" t="n"/>
      <c r="B121" s="2" t="n"/>
      <c r="C121" s="2" t="n"/>
      <c r="D121" s="2" t="n"/>
      <c r="E121" s="2" t="n"/>
      <c r="F121" s="2" t="n"/>
    </row>
    <row r="122" ht="15.75" customHeight="1" s="67">
      <c r="A122" s="2" t="n"/>
      <c r="B122" s="2" t="n"/>
      <c r="C122" s="2" t="n"/>
      <c r="D122" s="2" t="n"/>
      <c r="E122" s="2" t="n"/>
      <c r="F122" s="2" t="n"/>
    </row>
    <row r="123" ht="15.75" customHeight="1" s="67">
      <c r="A123" s="2" t="n"/>
      <c r="B123" s="2" t="n"/>
      <c r="C123" s="2" t="n"/>
      <c r="D123" s="2" t="n"/>
      <c r="E123" s="2" t="n"/>
      <c r="F123" s="2" t="n"/>
    </row>
    <row r="124" ht="15.75" customHeight="1" s="67">
      <c r="A124" s="2" t="n"/>
      <c r="B124" s="2" t="n"/>
      <c r="C124" s="2" t="n"/>
      <c r="D124" s="2" t="n"/>
      <c r="E124" s="2" t="n"/>
      <c r="F124" s="2" t="n"/>
    </row>
    <row r="125" ht="15.75" customHeight="1" s="67">
      <c r="A125" s="2" t="n"/>
      <c r="B125" s="2" t="n"/>
      <c r="C125" s="2" t="n"/>
      <c r="D125" s="2" t="n"/>
      <c r="E125" s="2" t="n"/>
      <c r="F125" s="2" t="n"/>
    </row>
    <row r="126" ht="15.75" customHeight="1" s="67">
      <c r="A126" s="2" t="n"/>
      <c r="B126" s="2" t="n"/>
      <c r="C126" s="2" t="n"/>
      <c r="D126" s="2" t="n"/>
      <c r="E126" s="2" t="n"/>
      <c r="F126" s="2" t="n"/>
    </row>
    <row r="127" ht="15.75" customHeight="1" s="67">
      <c r="A127" s="2" t="n"/>
      <c r="B127" s="2" t="n"/>
      <c r="C127" s="2" t="n"/>
      <c r="D127" s="2" t="n"/>
      <c r="E127" s="2" t="n"/>
      <c r="F127" s="2" t="n"/>
    </row>
    <row r="128" ht="15.75" customHeight="1" s="67">
      <c r="A128" s="2" t="n"/>
      <c r="B128" s="2" t="n"/>
      <c r="C128" s="2" t="n"/>
      <c r="D128" s="2" t="n"/>
      <c r="E128" s="2" t="n"/>
      <c r="F128" s="2" t="n"/>
    </row>
    <row r="129" ht="15.75" customHeight="1" s="67">
      <c r="A129" s="2" t="n"/>
      <c r="B129" s="2" t="n"/>
      <c r="C129" s="2" t="n"/>
      <c r="D129" s="2" t="n"/>
      <c r="E129" s="2" t="n"/>
      <c r="F129" s="2" t="n"/>
    </row>
    <row r="130" ht="15.75" customHeight="1" s="67">
      <c r="A130" s="2" t="n"/>
      <c r="B130" s="2" t="n"/>
      <c r="C130" s="2" t="n"/>
      <c r="D130" s="2" t="n"/>
      <c r="E130" s="2" t="n"/>
      <c r="F130" s="2" t="n"/>
    </row>
    <row r="131" ht="15.75" customHeight="1" s="67">
      <c r="A131" s="2" t="n"/>
      <c r="B131" s="2" t="n"/>
      <c r="C131" s="2" t="n"/>
      <c r="D131" s="2" t="n"/>
      <c r="E131" s="2" t="n"/>
      <c r="F131" s="2" t="n"/>
    </row>
    <row r="132" ht="15.75" customHeight="1" s="67">
      <c r="A132" s="2" t="n"/>
      <c r="B132" s="2" t="n"/>
      <c r="C132" s="2" t="n"/>
      <c r="D132" s="2" t="n"/>
      <c r="E132" s="2" t="n"/>
      <c r="F132" s="2" t="n"/>
    </row>
    <row r="133" ht="15.75" customHeight="1" s="67">
      <c r="A133" s="2" t="n"/>
      <c r="B133" s="2" t="n"/>
      <c r="C133" s="2" t="n"/>
      <c r="D133" s="2" t="n"/>
      <c r="E133" s="2" t="n"/>
      <c r="F133" s="2" t="n"/>
    </row>
    <row r="134" ht="15.75" customHeight="1" s="67">
      <c r="A134" s="2" t="n"/>
      <c r="B134" s="2" t="n"/>
      <c r="C134" s="2" t="n"/>
      <c r="D134" s="2" t="n"/>
      <c r="E134" s="2" t="n"/>
      <c r="F134" s="2" t="n"/>
    </row>
    <row r="135" ht="15.75" customHeight="1" s="67">
      <c r="A135" s="2" t="n"/>
      <c r="B135" s="2" t="n"/>
      <c r="C135" s="2" t="n"/>
      <c r="D135" s="2" t="n"/>
      <c r="E135" s="2" t="n"/>
      <c r="F135" s="2" t="n"/>
    </row>
    <row r="136" ht="15.75" customHeight="1" s="67">
      <c r="A136" s="2" t="n"/>
      <c r="B136" s="2" t="n"/>
      <c r="C136" s="2" t="n"/>
      <c r="D136" s="2" t="n"/>
      <c r="E136" s="2" t="n"/>
      <c r="F136" s="2" t="n"/>
    </row>
    <row r="137" ht="15.75" customHeight="1" s="67">
      <c r="A137" s="2" t="n"/>
      <c r="B137" s="2" t="n"/>
      <c r="C137" s="2" t="n"/>
      <c r="D137" s="2" t="n"/>
      <c r="E137" s="2" t="n"/>
      <c r="F137" s="2" t="n"/>
    </row>
    <row r="138" ht="15.75" customHeight="1" s="67">
      <c r="A138" s="2" t="n"/>
      <c r="B138" s="2" t="n"/>
      <c r="C138" s="2" t="n"/>
      <c r="D138" s="2" t="n"/>
      <c r="E138" s="2" t="n"/>
      <c r="F138" s="2" t="n"/>
    </row>
    <row r="139" ht="15.75" customHeight="1" s="67">
      <c r="A139" s="2" t="n"/>
      <c r="B139" s="2" t="n"/>
      <c r="C139" s="2" t="n"/>
      <c r="D139" s="2" t="n"/>
      <c r="E139" s="2" t="n"/>
      <c r="F139" s="2" t="n"/>
    </row>
    <row r="140" ht="15.75" customHeight="1" s="67">
      <c r="A140" s="2" t="n"/>
      <c r="B140" s="2" t="n"/>
      <c r="C140" s="2" t="n"/>
      <c r="D140" s="2" t="n"/>
      <c r="E140" s="2" t="n"/>
      <c r="F140" s="2" t="n"/>
    </row>
    <row r="141" ht="15.75" customHeight="1" s="67">
      <c r="A141" s="2" t="n"/>
      <c r="B141" s="2" t="n"/>
      <c r="C141" s="2" t="n"/>
      <c r="D141" s="2" t="n"/>
      <c r="E141" s="2" t="n"/>
      <c r="F141" s="2" t="n"/>
    </row>
    <row r="142" ht="15.75" customHeight="1" s="67">
      <c r="A142" s="2" t="n"/>
      <c r="B142" s="2" t="n"/>
      <c r="C142" s="2" t="n"/>
      <c r="D142" s="2" t="n"/>
      <c r="E142" s="2" t="n"/>
      <c r="F142" s="2" t="n"/>
    </row>
    <row r="143" ht="15.75" customHeight="1" s="67">
      <c r="A143" s="2" t="n"/>
      <c r="B143" s="2" t="n"/>
      <c r="C143" s="2" t="n"/>
      <c r="D143" s="2" t="n"/>
      <c r="E143" s="2" t="n"/>
      <c r="F143" s="2" t="n"/>
    </row>
    <row r="144" ht="15.75" customHeight="1" s="67">
      <c r="A144" s="2" t="n"/>
      <c r="B144" s="2" t="n"/>
      <c r="C144" s="2" t="n"/>
      <c r="D144" s="2" t="n"/>
      <c r="E144" s="2" t="n"/>
      <c r="F144" s="2" t="n"/>
    </row>
    <row r="145" ht="15.75" customHeight="1" s="67">
      <c r="A145" s="2" t="n"/>
      <c r="B145" s="2" t="n"/>
      <c r="C145" s="2" t="n"/>
      <c r="D145" s="2" t="n"/>
      <c r="E145" s="2" t="n"/>
      <c r="F145" s="2" t="n"/>
    </row>
    <row r="146" ht="15.75" customHeight="1" s="67">
      <c r="A146" s="2" t="n"/>
      <c r="B146" s="2" t="n"/>
      <c r="C146" s="2" t="n"/>
      <c r="D146" s="2" t="n"/>
      <c r="E146" s="2" t="n"/>
      <c r="F146" s="2" t="n"/>
    </row>
    <row r="147" ht="15.75" customHeight="1" s="67">
      <c r="A147" s="2" t="n"/>
      <c r="B147" s="2" t="n"/>
      <c r="C147" s="2" t="n"/>
      <c r="D147" s="2" t="n"/>
      <c r="E147" s="2" t="n"/>
      <c r="F147" s="2" t="n"/>
    </row>
    <row r="148" ht="15.75" customHeight="1" s="67">
      <c r="A148" s="2" t="n"/>
      <c r="B148" s="2" t="n"/>
      <c r="C148" s="2" t="n"/>
      <c r="D148" s="2" t="n"/>
      <c r="E148" s="2" t="n"/>
      <c r="F148" s="2" t="n"/>
    </row>
    <row r="149" ht="15.75" customHeight="1" s="67">
      <c r="A149" s="2" t="n"/>
      <c r="B149" s="2" t="n"/>
      <c r="C149" s="2" t="n"/>
      <c r="D149" s="2" t="n"/>
      <c r="E149" s="2" t="n"/>
      <c r="F149" s="2" t="n"/>
    </row>
    <row r="150" ht="15.75" customHeight="1" s="67">
      <c r="A150" s="2" t="n"/>
      <c r="B150" s="2" t="n"/>
      <c r="C150" s="2" t="n"/>
      <c r="D150" s="2" t="n"/>
      <c r="E150" s="2" t="n"/>
      <c r="F150" s="2" t="n"/>
    </row>
    <row r="151" ht="15.75" customHeight="1" s="67">
      <c r="A151" s="2" t="n"/>
      <c r="B151" s="2" t="n"/>
      <c r="C151" s="2" t="n"/>
      <c r="D151" s="2" t="n"/>
      <c r="E151" s="2" t="n"/>
      <c r="F151" s="2" t="n"/>
    </row>
    <row r="152" ht="15.75" customHeight="1" s="67">
      <c r="A152" s="2" t="n"/>
      <c r="B152" s="2" t="n"/>
      <c r="C152" s="2" t="n"/>
      <c r="D152" s="2" t="n"/>
      <c r="E152" s="2" t="n"/>
      <c r="F152" s="2" t="n"/>
    </row>
    <row r="153" ht="15.75" customHeight="1" s="67">
      <c r="A153" s="2" t="n"/>
      <c r="B153" s="2" t="n"/>
      <c r="C153" s="2" t="n"/>
      <c r="D153" s="2" t="n"/>
      <c r="E153" s="2" t="n"/>
      <c r="F153" s="2" t="n"/>
    </row>
    <row r="154" ht="15.75" customHeight="1" s="67">
      <c r="A154" s="2" t="n"/>
      <c r="B154" s="2" t="n"/>
      <c r="C154" s="2" t="n"/>
      <c r="D154" s="2" t="n"/>
      <c r="E154" s="2" t="n"/>
      <c r="F154" s="2" t="n"/>
    </row>
    <row r="155" ht="15.75" customHeight="1" s="67">
      <c r="A155" s="2" t="n"/>
      <c r="B155" s="2" t="n"/>
      <c r="C155" s="2" t="n"/>
      <c r="D155" s="2" t="n"/>
      <c r="E155" s="2" t="n"/>
      <c r="F155" s="2" t="n"/>
    </row>
    <row r="156" ht="15.75" customHeight="1" s="67">
      <c r="A156" s="2" t="n"/>
      <c r="B156" s="2" t="n"/>
      <c r="C156" s="2" t="n"/>
      <c r="D156" s="2" t="n"/>
      <c r="E156" s="2" t="n"/>
      <c r="F156" s="2" t="n"/>
    </row>
    <row r="157" ht="15.75" customHeight="1" s="67">
      <c r="A157" s="2" t="n"/>
      <c r="B157" s="2" t="n"/>
      <c r="C157" s="2" t="n"/>
      <c r="D157" s="2" t="n"/>
      <c r="E157" s="2" t="n"/>
      <c r="F157" s="2" t="n"/>
    </row>
    <row r="158" ht="15.75" customHeight="1" s="67">
      <c r="A158" s="2" t="n"/>
      <c r="B158" s="2" t="n"/>
      <c r="C158" s="2" t="n"/>
      <c r="D158" s="2" t="n"/>
      <c r="E158" s="2" t="n"/>
      <c r="F158" s="2" t="n"/>
    </row>
    <row r="159" ht="15.75" customHeight="1" s="67">
      <c r="A159" s="2" t="n"/>
      <c r="B159" s="2" t="n"/>
      <c r="C159" s="2" t="n"/>
      <c r="D159" s="2" t="n"/>
      <c r="E159" s="2" t="n"/>
      <c r="F159" s="2" t="n"/>
    </row>
    <row r="160" ht="15.75" customHeight="1" s="67">
      <c r="A160" s="2" t="n"/>
      <c r="B160" s="2" t="n"/>
      <c r="C160" s="2" t="n"/>
      <c r="D160" s="2" t="n"/>
      <c r="E160" s="2" t="n"/>
      <c r="F160" s="2" t="n"/>
    </row>
    <row r="161" ht="15.75" customHeight="1" s="67">
      <c r="A161" s="2" t="n"/>
      <c r="B161" s="2" t="n"/>
      <c r="C161" s="2" t="n"/>
      <c r="D161" s="2" t="n"/>
      <c r="E161" s="2" t="n"/>
      <c r="F161" s="2" t="n"/>
    </row>
    <row r="162" ht="15.75" customHeight="1" s="67">
      <c r="A162" s="2" t="n"/>
      <c r="B162" s="2" t="n"/>
      <c r="C162" s="2" t="n"/>
      <c r="D162" s="2" t="n"/>
      <c r="E162" s="2" t="n"/>
      <c r="F162" s="2" t="n"/>
    </row>
    <row r="163" ht="15.75" customHeight="1" s="67">
      <c r="A163" s="2" t="n"/>
      <c r="B163" s="2" t="n"/>
      <c r="C163" s="2" t="n"/>
      <c r="D163" s="2" t="n"/>
      <c r="E163" s="2" t="n"/>
      <c r="F163" s="2" t="n"/>
    </row>
    <row r="164" ht="15.75" customHeight="1" s="67">
      <c r="A164" s="2" t="n"/>
      <c r="B164" s="2" t="n"/>
      <c r="C164" s="2" t="n"/>
      <c r="D164" s="2" t="n"/>
      <c r="E164" s="2" t="n"/>
      <c r="F164" s="2" t="n"/>
    </row>
    <row r="165" ht="15.75" customHeight="1" s="67">
      <c r="A165" s="2" t="n"/>
      <c r="B165" s="2" t="n"/>
      <c r="C165" s="2" t="n"/>
      <c r="D165" s="2" t="n"/>
      <c r="E165" s="2" t="n"/>
      <c r="F165" s="2" t="n"/>
    </row>
    <row r="166" ht="15.75" customHeight="1" s="67">
      <c r="A166" s="2" t="n"/>
      <c r="B166" s="2" t="n"/>
      <c r="C166" s="2" t="n"/>
      <c r="D166" s="2" t="n"/>
      <c r="E166" s="2" t="n"/>
      <c r="F166" s="2" t="n"/>
    </row>
    <row r="167" ht="15.75" customHeight="1" s="67">
      <c r="A167" s="2" t="n"/>
      <c r="B167" s="2" t="n"/>
      <c r="C167" s="2" t="n"/>
      <c r="D167" s="2" t="n"/>
      <c r="E167" s="2" t="n"/>
      <c r="F167" s="2" t="n"/>
    </row>
    <row r="168" ht="15.75" customHeight="1" s="67">
      <c r="A168" s="2" t="n"/>
      <c r="B168" s="2" t="n"/>
      <c r="C168" s="2" t="n"/>
      <c r="D168" s="2" t="n"/>
      <c r="E168" s="2" t="n"/>
      <c r="F168" s="2" t="n"/>
    </row>
    <row r="169" ht="15.75" customHeight="1" s="67">
      <c r="A169" s="2" t="n"/>
      <c r="B169" s="2" t="n"/>
      <c r="C169" s="2" t="n"/>
      <c r="D169" s="2" t="n"/>
      <c r="E169" s="2" t="n"/>
      <c r="F169" s="2" t="n"/>
    </row>
    <row r="170" ht="15.75" customHeight="1" s="67">
      <c r="A170" s="2" t="n"/>
      <c r="B170" s="2" t="n"/>
      <c r="C170" s="2" t="n"/>
      <c r="D170" s="2" t="n"/>
      <c r="E170" s="2" t="n"/>
      <c r="F170" s="2" t="n"/>
    </row>
    <row r="171" ht="15.75" customHeight="1" s="67">
      <c r="A171" s="2" t="n"/>
      <c r="B171" s="2" t="n"/>
      <c r="C171" s="2" t="n"/>
      <c r="D171" s="2" t="n"/>
      <c r="E171" s="2" t="n"/>
      <c r="F171" s="2" t="n"/>
    </row>
    <row r="172" ht="15.75" customHeight="1" s="67">
      <c r="A172" s="2" t="n"/>
      <c r="B172" s="2" t="n"/>
      <c r="C172" s="2" t="n"/>
      <c r="D172" s="2" t="n"/>
      <c r="E172" s="2" t="n"/>
      <c r="F172" s="2" t="n"/>
    </row>
    <row r="173" ht="15.75" customHeight="1" s="67">
      <c r="A173" s="2" t="n"/>
      <c r="B173" s="2" t="n"/>
      <c r="C173" s="2" t="n"/>
      <c r="D173" s="2" t="n"/>
      <c r="E173" s="2" t="n"/>
      <c r="F173" s="2" t="n"/>
    </row>
    <row r="174" ht="15.75" customHeight="1" s="67">
      <c r="A174" s="2" t="n"/>
      <c r="B174" s="2" t="n"/>
      <c r="C174" s="2" t="n"/>
      <c r="D174" s="2" t="n"/>
      <c r="E174" s="2" t="n"/>
      <c r="F174" s="2" t="n"/>
    </row>
    <row r="175" ht="15.75" customHeight="1" s="67">
      <c r="A175" s="2" t="n"/>
      <c r="B175" s="2" t="n"/>
      <c r="C175" s="2" t="n"/>
      <c r="D175" s="2" t="n"/>
      <c r="E175" s="2" t="n"/>
      <c r="F175" s="2" t="n"/>
    </row>
    <row r="176" ht="15.75" customHeight="1" s="67">
      <c r="A176" s="2" t="n"/>
      <c r="B176" s="2" t="n"/>
      <c r="C176" s="2" t="n"/>
      <c r="D176" s="2" t="n"/>
      <c r="E176" s="2" t="n"/>
      <c r="F176" s="2" t="n"/>
    </row>
    <row r="177" ht="15.75" customHeight="1" s="67">
      <c r="A177" s="2" t="n"/>
      <c r="B177" s="2" t="n"/>
      <c r="C177" s="2" t="n"/>
      <c r="D177" s="2" t="n"/>
      <c r="E177" s="2" t="n"/>
      <c r="F177" s="2" t="n"/>
    </row>
    <row r="178" ht="15.75" customHeight="1" s="67">
      <c r="A178" s="2" t="n"/>
      <c r="B178" s="2" t="n"/>
      <c r="C178" s="2" t="n"/>
      <c r="D178" s="2" t="n"/>
      <c r="E178" s="2" t="n"/>
      <c r="F178" s="2" t="n"/>
    </row>
    <row r="179" ht="15.75" customHeight="1" s="67">
      <c r="A179" s="2" t="n"/>
      <c r="B179" s="2" t="n"/>
      <c r="C179" s="2" t="n"/>
      <c r="D179" s="2" t="n"/>
      <c r="E179" s="2" t="n"/>
      <c r="F179" s="2" t="n"/>
    </row>
    <row r="180" ht="15.75" customHeight="1" s="67">
      <c r="A180" s="2" t="n"/>
      <c r="B180" s="2" t="n"/>
      <c r="C180" s="2" t="n"/>
      <c r="D180" s="2" t="n"/>
      <c r="E180" s="2" t="n"/>
      <c r="F180" s="2" t="n"/>
    </row>
    <row r="181" ht="15.75" customHeight="1" s="67">
      <c r="A181" s="2" t="n"/>
      <c r="B181" s="2" t="n"/>
      <c r="C181" s="2" t="n"/>
      <c r="D181" s="2" t="n"/>
      <c r="E181" s="2" t="n"/>
      <c r="F181" s="2" t="n"/>
    </row>
    <row r="182" ht="15.75" customHeight="1" s="67">
      <c r="A182" s="2" t="n"/>
      <c r="B182" s="2" t="n"/>
      <c r="C182" s="2" t="n"/>
      <c r="D182" s="2" t="n"/>
      <c r="E182" s="2" t="n"/>
      <c r="F182" s="2" t="n"/>
    </row>
    <row r="183" ht="15.75" customHeight="1" s="67">
      <c r="A183" s="2" t="n"/>
      <c r="B183" s="2" t="n"/>
      <c r="C183" s="2" t="n"/>
      <c r="D183" s="2" t="n"/>
      <c r="E183" s="2" t="n"/>
      <c r="F183" s="2" t="n"/>
    </row>
    <row r="184" ht="15.75" customHeight="1" s="67">
      <c r="A184" s="2" t="n"/>
      <c r="B184" s="2" t="n"/>
      <c r="C184" s="2" t="n"/>
      <c r="D184" s="2" t="n"/>
      <c r="E184" s="2" t="n"/>
      <c r="F184" s="2" t="n"/>
    </row>
    <row r="185" ht="15.75" customHeight="1" s="67">
      <c r="A185" s="2" t="n"/>
      <c r="B185" s="2" t="n"/>
      <c r="C185" s="2" t="n"/>
      <c r="D185" s="2" t="n"/>
      <c r="E185" s="2" t="n"/>
      <c r="F185" s="2" t="n"/>
    </row>
    <row r="186" ht="15.75" customHeight="1" s="67">
      <c r="A186" s="2" t="n"/>
      <c r="B186" s="2" t="n"/>
      <c r="C186" s="2" t="n"/>
      <c r="D186" s="2" t="n"/>
      <c r="E186" s="2" t="n"/>
      <c r="F186" s="2" t="n"/>
    </row>
    <row r="187" ht="15.75" customHeight="1" s="67">
      <c r="A187" s="2" t="n"/>
      <c r="B187" s="2" t="n"/>
      <c r="C187" s="2" t="n"/>
      <c r="D187" s="2" t="n"/>
      <c r="E187" s="2" t="n"/>
      <c r="F187" s="2" t="n"/>
    </row>
    <row r="188" ht="15.75" customHeight="1" s="67">
      <c r="A188" s="2" t="n"/>
      <c r="B188" s="2" t="n"/>
      <c r="C188" s="2" t="n"/>
      <c r="D188" s="2" t="n"/>
      <c r="E188" s="2" t="n"/>
      <c r="F188" s="2" t="n"/>
    </row>
    <row r="189" ht="15.75" customHeight="1" s="67">
      <c r="A189" s="2" t="n"/>
      <c r="B189" s="2" t="n"/>
      <c r="C189" s="2" t="n"/>
      <c r="D189" s="2" t="n"/>
      <c r="E189" s="2" t="n"/>
      <c r="F189" s="2" t="n"/>
    </row>
    <row r="190" ht="15.75" customHeight="1" s="67">
      <c r="A190" s="2" t="n"/>
      <c r="B190" s="2" t="n"/>
      <c r="C190" s="2" t="n"/>
      <c r="D190" s="2" t="n"/>
      <c r="E190" s="2" t="n"/>
      <c r="F190" s="2" t="n"/>
    </row>
    <row r="191" ht="15.75" customHeight="1" s="67">
      <c r="A191" s="2" t="n"/>
      <c r="B191" s="2" t="n"/>
      <c r="C191" s="2" t="n"/>
      <c r="D191" s="2" t="n"/>
      <c r="E191" s="2" t="n"/>
      <c r="F191" s="2" t="n"/>
    </row>
    <row r="192" ht="15.75" customHeight="1" s="67">
      <c r="A192" s="2" t="n"/>
      <c r="B192" s="2" t="n"/>
      <c r="C192" s="2" t="n"/>
      <c r="D192" s="2" t="n"/>
      <c r="E192" s="2" t="n"/>
      <c r="F192" s="2" t="n"/>
    </row>
    <row r="193" ht="15.75" customHeight="1" s="67">
      <c r="A193" s="2" t="n"/>
      <c r="B193" s="2" t="n"/>
      <c r="C193" s="2" t="n"/>
      <c r="D193" s="2" t="n"/>
      <c r="E193" s="2" t="n"/>
      <c r="F193" s="2" t="n"/>
    </row>
    <row r="194" ht="15.75" customHeight="1" s="67">
      <c r="A194" s="2" t="n"/>
      <c r="B194" s="2" t="n"/>
      <c r="C194" s="2" t="n"/>
      <c r="D194" s="2" t="n"/>
      <c r="E194" s="2" t="n"/>
      <c r="F194" s="2" t="n"/>
    </row>
    <row r="195" ht="15.75" customHeight="1" s="67">
      <c r="A195" s="2" t="n"/>
      <c r="B195" s="2" t="n"/>
      <c r="C195" s="2" t="n"/>
      <c r="D195" s="2" t="n"/>
      <c r="E195" s="2" t="n"/>
      <c r="F195" s="2" t="n"/>
    </row>
    <row r="196" ht="15.75" customHeight="1" s="67">
      <c r="A196" s="2" t="n"/>
      <c r="B196" s="2" t="n"/>
      <c r="C196" s="2" t="n"/>
      <c r="D196" s="2" t="n"/>
      <c r="E196" s="2" t="n"/>
      <c r="F196" s="2" t="n"/>
    </row>
    <row r="197" ht="15.75" customHeight="1" s="67">
      <c r="A197" s="2" t="n"/>
      <c r="B197" s="2" t="n"/>
      <c r="C197" s="2" t="n"/>
      <c r="D197" s="2" t="n"/>
      <c r="E197" s="2" t="n"/>
      <c r="F197" s="2" t="n"/>
    </row>
    <row r="198" ht="15.75" customHeight="1" s="67">
      <c r="A198" s="2" t="n"/>
      <c r="B198" s="2" t="n"/>
      <c r="C198" s="2" t="n"/>
      <c r="D198" s="2" t="n"/>
      <c r="E198" s="2" t="n"/>
      <c r="F198" s="2" t="n"/>
    </row>
    <row r="199" ht="15.75" customHeight="1" s="67">
      <c r="A199" s="2" t="n"/>
      <c r="B199" s="2" t="n"/>
      <c r="C199" s="2" t="n"/>
      <c r="D199" s="2" t="n"/>
      <c r="E199" s="2" t="n"/>
      <c r="F199" s="2" t="n"/>
    </row>
    <row r="200" ht="15.75" customHeight="1" s="67">
      <c r="A200" s="2" t="n"/>
      <c r="B200" s="2" t="n"/>
      <c r="C200" s="2" t="n"/>
      <c r="D200" s="2" t="n"/>
      <c r="E200" s="2" t="n"/>
      <c r="F200" s="2" t="n"/>
    </row>
    <row r="201" ht="15.75" customHeight="1" s="67">
      <c r="A201" s="2" t="n"/>
      <c r="B201" s="2" t="n"/>
      <c r="C201" s="2" t="n"/>
      <c r="D201" s="2" t="n"/>
      <c r="E201" s="2" t="n"/>
      <c r="F201" s="2" t="n"/>
    </row>
    <row r="202" ht="15.75" customHeight="1" s="67">
      <c r="A202" s="2" t="n"/>
      <c r="B202" s="2" t="n"/>
      <c r="C202" s="2" t="n"/>
      <c r="D202" s="2" t="n"/>
      <c r="E202" s="2" t="n"/>
      <c r="F202" s="2" t="n"/>
    </row>
    <row r="203" ht="15.75" customHeight="1" s="67">
      <c r="A203" s="2" t="n"/>
      <c r="B203" s="2" t="n"/>
      <c r="C203" s="2" t="n"/>
      <c r="D203" s="2" t="n"/>
      <c r="E203" s="2" t="n"/>
      <c r="F203" s="2" t="n"/>
    </row>
    <row r="204" ht="15.75" customHeight="1" s="67">
      <c r="A204" s="2" t="n"/>
      <c r="B204" s="2" t="n"/>
      <c r="C204" s="2" t="n"/>
      <c r="D204" s="2" t="n"/>
      <c r="E204" s="2" t="n"/>
      <c r="F204" s="2" t="n"/>
    </row>
    <row r="205" ht="15.75" customHeight="1" s="67">
      <c r="A205" s="2" t="n"/>
      <c r="B205" s="2" t="n"/>
      <c r="C205" s="2" t="n"/>
      <c r="D205" s="2" t="n"/>
      <c r="E205" s="2" t="n"/>
      <c r="F205" s="2" t="n"/>
    </row>
    <row r="206" ht="15.75" customHeight="1" s="67">
      <c r="A206" s="2" t="n"/>
      <c r="B206" s="2" t="n"/>
      <c r="C206" s="2" t="n"/>
      <c r="D206" s="2" t="n"/>
      <c r="E206" s="2" t="n"/>
      <c r="F206" s="2" t="n"/>
    </row>
    <row r="207" ht="15.75" customHeight="1" s="67">
      <c r="A207" s="2" t="n"/>
      <c r="B207" s="2" t="n"/>
      <c r="C207" s="2" t="n"/>
      <c r="D207" s="2" t="n"/>
      <c r="E207" s="2" t="n"/>
      <c r="F207" s="2" t="n"/>
    </row>
    <row r="208" ht="15.75" customHeight="1" s="67">
      <c r="A208" s="2" t="n"/>
      <c r="B208" s="2" t="n"/>
      <c r="C208" s="2" t="n"/>
      <c r="D208" s="2" t="n"/>
      <c r="E208" s="2" t="n"/>
      <c r="F208" s="2" t="n"/>
    </row>
    <row r="209" ht="15.75" customHeight="1" s="67">
      <c r="A209" s="2" t="n"/>
      <c r="B209" s="2" t="n"/>
      <c r="C209" s="2" t="n"/>
      <c r="D209" s="2" t="n"/>
      <c r="E209" s="2" t="n"/>
      <c r="F209" s="2" t="n"/>
    </row>
    <row r="210" ht="15.75" customHeight="1" s="67">
      <c r="A210" s="2" t="n"/>
      <c r="B210" s="2" t="n"/>
      <c r="C210" s="2" t="n"/>
      <c r="D210" s="2" t="n"/>
      <c r="E210" s="2" t="n"/>
      <c r="F210" s="2" t="n"/>
    </row>
    <row r="211" ht="15.75" customHeight="1" s="67">
      <c r="A211" s="2" t="n"/>
      <c r="B211" s="2" t="n"/>
      <c r="C211" s="2" t="n"/>
      <c r="D211" s="2" t="n"/>
      <c r="E211" s="2" t="n"/>
      <c r="F211" s="2" t="n"/>
    </row>
    <row r="212" ht="15.75" customHeight="1" s="67">
      <c r="A212" s="2" t="n"/>
      <c r="B212" s="2" t="n"/>
      <c r="C212" s="2" t="n"/>
      <c r="D212" s="2" t="n"/>
      <c r="E212" s="2" t="n"/>
      <c r="F212" s="2" t="n"/>
    </row>
    <row r="213" ht="15.75" customHeight="1" s="67">
      <c r="A213" s="2" t="n"/>
      <c r="B213" s="2" t="n"/>
      <c r="C213" s="2" t="n"/>
      <c r="D213" s="2" t="n"/>
      <c r="E213" s="2" t="n"/>
      <c r="F213" s="2" t="n"/>
    </row>
    <row r="214" ht="15.75" customHeight="1" s="67">
      <c r="A214" s="2" t="n"/>
      <c r="B214" s="2" t="n"/>
      <c r="C214" s="2" t="n"/>
      <c r="D214" s="2" t="n"/>
      <c r="E214" s="2" t="n"/>
      <c r="F214" s="2" t="n"/>
    </row>
    <row r="215" ht="15.75" customHeight="1" s="67">
      <c r="A215" s="2" t="n"/>
      <c r="B215" s="2" t="n"/>
      <c r="C215" s="2" t="n"/>
      <c r="D215" s="2" t="n"/>
      <c r="E215" s="2" t="n"/>
      <c r="F215" s="2" t="n"/>
    </row>
    <row r="216" ht="15.75" customHeight="1" s="67">
      <c r="A216" s="2" t="n"/>
      <c r="B216" s="2" t="n"/>
      <c r="C216" s="2" t="n"/>
      <c r="D216" s="2" t="n"/>
      <c r="E216" s="2" t="n"/>
      <c r="F216" s="2" t="n"/>
    </row>
    <row r="217" ht="15.75" customHeight="1" s="67">
      <c r="A217" s="2" t="n"/>
      <c r="B217" s="2" t="n"/>
      <c r="C217" s="2" t="n"/>
      <c r="D217" s="2" t="n"/>
      <c r="E217" s="2" t="n"/>
      <c r="F217" s="2" t="n"/>
    </row>
    <row r="218" ht="15.75" customHeight="1" s="67">
      <c r="A218" s="2" t="n"/>
      <c r="B218" s="2" t="n"/>
      <c r="C218" s="2" t="n"/>
      <c r="D218" s="2" t="n"/>
      <c r="E218" s="2" t="n"/>
      <c r="F218" s="2" t="n"/>
    </row>
    <row r="219" ht="15.75" customHeight="1" s="67">
      <c r="A219" s="2" t="n"/>
      <c r="B219" s="2" t="n"/>
      <c r="C219" s="2" t="n"/>
      <c r="D219" s="2" t="n"/>
      <c r="E219" s="2" t="n"/>
      <c r="F219" s="2" t="n"/>
    </row>
    <row r="220" ht="15.75" customHeight="1" s="67">
      <c r="A220" s="2" t="n"/>
      <c r="B220" s="2" t="n"/>
      <c r="C220" s="2" t="n"/>
      <c r="D220" s="2" t="n"/>
      <c r="E220" s="2" t="n"/>
      <c r="F220" s="2" t="n"/>
    </row>
    <row r="221" ht="15.75" customHeight="1" s="67">
      <c r="A221" s="2" t="n"/>
      <c r="B221" s="2" t="n"/>
      <c r="C221" s="2" t="n"/>
      <c r="D221" s="2" t="n"/>
      <c r="E221" s="2" t="n"/>
      <c r="F221" s="2" t="n"/>
    </row>
    <row r="222" ht="15.75" customHeight="1" s="67">
      <c r="A222" s="2" t="n"/>
      <c r="B222" s="2" t="n"/>
      <c r="C222" s="2" t="n"/>
      <c r="D222" s="2" t="n"/>
      <c r="E222" s="2" t="n"/>
      <c r="F222" s="2" t="n"/>
    </row>
    <row r="223" ht="15.75" customHeight="1" s="67">
      <c r="A223" s="2" t="n"/>
      <c r="B223" s="2" t="n"/>
      <c r="C223" s="2" t="n"/>
      <c r="D223" s="2" t="n"/>
      <c r="E223" s="2" t="n"/>
      <c r="F223" s="2" t="n"/>
    </row>
    <row r="224" ht="15.75" customHeight="1" s="67">
      <c r="A224" s="2" t="n"/>
      <c r="B224" s="2" t="n"/>
      <c r="C224" s="2" t="n"/>
      <c r="D224" s="2" t="n"/>
      <c r="E224" s="2" t="n"/>
      <c r="F224" s="2" t="n"/>
    </row>
    <row r="225" ht="15.75" customHeight="1" s="67">
      <c r="A225" s="2" t="n"/>
      <c r="B225" s="2" t="n"/>
      <c r="C225" s="2" t="n"/>
      <c r="D225" s="2" t="n"/>
      <c r="E225" s="2" t="n"/>
      <c r="F225" s="2" t="n"/>
    </row>
    <row r="226" ht="15.75" customHeight="1" s="67">
      <c r="A226" s="2" t="n"/>
      <c r="B226" s="2" t="n"/>
      <c r="C226" s="2" t="n"/>
      <c r="D226" s="2" t="n"/>
      <c r="E226" s="2" t="n"/>
      <c r="F226" s="2" t="n"/>
    </row>
    <row r="227" ht="15.75" customHeight="1" s="67">
      <c r="A227" s="2" t="n"/>
      <c r="B227" s="2" t="n"/>
      <c r="C227" s="2" t="n"/>
      <c r="D227" s="2" t="n"/>
      <c r="E227" s="2" t="n"/>
      <c r="F227" s="2" t="n"/>
    </row>
    <row r="228" ht="15.75" customHeight="1" s="67">
      <c r="A228" s="2" t="n"/>
      <c r="B228" s="2" t="n"/>
      <c r="C228" s="2" t="n"/>
      <c r="D228" s="2" t="n"/>
      <c r="E228" s="2" t="n"/>
      <c r="F228" s="2" t="n"/>
    </row>
    <row r="229" ht="15.75" customHeight="1" s="67">
      <c r="A229" s="2" t="n"/>
      <c r="B229" s="2" t="n"/>
      <c r="C229" s="2" t="n"/>
      <c r="D229" s="2" t="n"/>
      <c r="E229" s="2" t="n"/>
      <c r="F229" s="2" t="n"/>
    </row>
    <row r="230" ht="15.75" customHeight="1" s="67">
      <c r="A230" s="2" t="n"/>
      <c r="B230" s="2" t="n"/>
      <c r="C230" s="2" t="n"/>
      <c r="D230" s="2" t="n"/>
      <c r="E230" s="2" t="n"/>
      <c r="F230" s="2" t="n"/>
    </row>
    <row r="231" ht="15.75" customHeight="1" s="67">
      <c r="A231" s="2" t="n"/>
      <c r="B231" s="2" t="n"/>
      <c r="C231" s="2" t="n"/>
      <c r="D231" s="2" t="n"/>
      <c r="E231" s="2" t="n"/>
      <c r="F231" s="2" t="n"/>
    </row>
    <row r="232" ht="15.75" customHeight="1" s="67">
      <c r="A232" s="2" t="n"/>
      <c r="B232" s="2" t="n"/>
      <c r="C232" s="2" t="n"/>
      <c r="D232" s="2" t="n"/>
      <c r="E232" s="2" t="n"/>
      <c r="F232" s="2" t="n"/>
    </row>
    <row r="233" ht="15.75" customHeight="1" s="67">
      <c r="A233" s="2" t="n"/>
      <c r="B233" s="2" t="n"/>
      <c r="C233" s="2" t="n"/>
      <c r="D233" s="2" t="n"/>
      <c r="E233" s="2" t="n"/>
      <c r="F233" s="2" t="n"/>
    </row>
    <row r="234" ht="15.75" customHeight="1" s="67">
      <c r="A234" s="2" t="n"/>
      <c r="B234" s="2" t="n"/>
      <c r="C234" s="2" t="n"/>
      <c r="D234" s="2" t="n"/>
      <c r="E234" s="2" t="n"/>
      <c r="F234" s="2" t="n"/>
    </row>
    <row r="235" ht="15.75" customHeight="1" s="67">
      <c r="A235" s="2" t="n"/>
      <c r="B235" s="2" t="n"/>
      <c r="C235" s="2" t="n"/>
      <c r="D235" s="2" t="n"/>
      <c r="E235" s="2" t="n"/>
      <c r="F235" s="2" t="n"/>
    </row>
    <row r="236" ht="15.75" customHeight="1" s="67">
      <c r="A236" s="2" t="n"/>
      <c r="B236" s="2" t="n"/>
      <c r="C236" s="2" t="n"/>
      <c r="D236" s="2" t="n"/>
      <c r="E236" s="2" t="n"/>
      <c r="F236" s="2" t="n"/>
    </row>
    <row r="237" ht="15.75" customHeight="1" s="67">
      <c r="A237" s="2" t="n"/>
      <c r="B237" s="2" t="n"/>
      <c r="C237" s="2" t="n"/>
      <c r="D237" s="2" t="n"/>
      <c r="E237" s="2" t="n"/>
      <c r="F237" s="2" t="n"/>
    </row>
    <row r="238" ht="15.75" customHeight="1" s="67">
      <c r="A238" s="2" t="n"/>
      <c r="B238" s="2" t="n"/>
      <c r="C238" s="2" t="n"/>
      <c r="D238" s="2" t="n"/>
      <c r="E238" s="2" t="n"/>
      <c r="F238" s="2" t="n"/>
    </row>
    <row r="239" ht="15.75" customHeight="1" s="67">
      <c r="A239" s="2" t="n"/>
      <c r="B239" s="2" t="n"/>
      <c r="C239" s="2" t="n"/>
      <c r="D239" s="2" t="n"/>
      <c r="E239" s="2" t="n"/>
      <c r="F239" s="2" t="n"/>
    </row>
    <row r="240" ht="15.75" customHeight="1" s="67">
      <c r="A240" s="2" t="n"/>
      <c r="B240" s="2" t="n"/>
      <c r="C240" s="2" t="n"/>
      <c r="D240" s="2" t="n"/>
      <c r="E240" s="2" t="n"/>
      <c r="F240" s="2" t="n"/>
    </row>
    <row r="241" ht="15.75" customHeight="1" s="67">
      <c r="A241" s="2" t="n"/>
      <c r="B241" s="2" t="n"/>
      <c r="C241" s="2" t="n"/>
      <c r="D241" s="2" t="n"/>
      <c r="E241" s="2" t="n"/>
      <c r="F241" s="2" t="n"/>
    </row>
    <row r="242" ht="15.75" customHeight="1" s="67">
      <c r="A242" s="2" t="n"/>
      <c r="B242" s="2" t="n"/>
      <c r="C242" s="2" t="n"/>
      <c r="D242" s="2" t="n"/>
      <c r="E242" s="2" t="n"/>
      <c r="F242" s="2" t="n"/>
    </row>
    <row r="243" ht="15.75" customHeight="1" s="67">
      <c r="A243" s="2" t="n"/>
      <c r="B243" s="2" t="n"/>
      <c r="C243" s="2" t="n"/>
      <c r="D243" s="2" t="n"/>
      <c r="E243" s="2" t="n"/>
      <c r="F243" s="2" t="n"/>
    </row>
    <row r="244" ht="15.75" customHeight="1" s="67">
      <c r="A244" s="2" t="n"/>
      <c r="B244" s="2" t="n"/>
      <c r="C244" s="2" t="n"/>
      <c r="D244" s="2" t="n"/>
      <c r="E244" s="2" t="n"/>
      <c r="F244" s="2" t="n"/>
    </row>
    <row r="245" ht="15.75" customHeight="1" s="67">
      <c r="A245" s="2" t="n"/>
      <c r="B245" s="2" t="n"/>
      <c r="C245" s="2" t="n"/>
      <c r="D245" s="2" t="n"/>
      <c r="E245" s="2" t="n"/>
      <c r="F245" s="2" t="n"/>
    </row>
    <row r="246" ht="15.75" customHeight="1" s="67">
      <c r="A246" s="2" t="n"/>
      <c r="B246" s="2" t="n"/>
      <c r="C246" s="2" t="n"/>
      <c r="D246" s="2" t="n"/>
      <c r="E246" s="2" t="n"/>
      <c r="F246" s="2" t="n"/>
    </row>
    <row r="247" ht="15.75" customHeight="1" s="67">
      <c r="A247" s="2" t="n"/>
      <c r="B247" s="2" t="n"/>
      <c r="C247" s="2" t="n"/>
      <c r="D247" s="2" t="n"/>
      <c r="E247" s="2" t="n"/>
      <c r="F247" s="2" t="n"/>
    </row>
    <row r="248" ht="15.75" customHeight="1" s="67">
      <c r="A248" s="2" t="n"/>
      <c r="B248" s="2" t="n"/>
      <c r="C248" s="2" t="n"/>
      <c r="D248" s="2" t="n"/>
      <c r="E248" s="2" t="n"/>
      <c r="F248" s="2" t="n"/>
    </row>
    <row r="249" ht="15.75" customHeight="1" s="67">
      <c r="A249" s="2" t="n"/>
      <c r="B249" s="2" t="n"/>
      <c r="C249" s="2" t="n"/>
      <c r="D249" s="2" t="n"/>
      <c r="E249" s="2" t="n"/>
      <c r="F249" s="2" t="n"/>
    </row>
    <row r="250" ht="15.75" customHeight="1" s="67">
      <c r="A250" s="2" t="n"/>
      <c r="B250" s="2" t="n"/>
      <c r="C250" s="2" t="n"/>
      <c r="D250" s="2" t="n"/>
      <c r="E250" s="2" t="n"/>
      <c r="F250" s="2" t="n"/>
    </row>
    <row r="251" ht="15.75" customHeight="1" s="67">
      <c r="A251" s="2" t="n"/>
      <c r="B251" s="2" t="n"/>
      <c r="C251" s="2" t="n"/>
      <c r="D251" s="2" t="n"/>
      <c r="E251" s="2" t="n"/>
      <c r="F251" s="2" t="n"/>
    </row>
    <row r="252" ht="15.75" customHeight="1" s="67">
      <c r="A252" s="2" t="n"/>
      <c r="B252" s="2" t="n"/>
      <c r="C252" s="2" t="n"/>
      <c r="D252" s="2" t="n"/>
      <c r="E252" s="2" t="n"/>
      <c r="F252" s="2" t="n"/>
    </row>
    <row r="253" ht="15.75" customHeight="1" s="67">
      <c r="A253" s="2" t="n"/>
      <c r="B253" s="2" t="n"/>
      <c r="C253" s="2" t="n"/>
      <c r="D253" s="2" t="n"/>
      <c r="E253" s="2" t="n"/>
      <c r="F253" s="2" t="n"/>
    </row>
    <row r="254" ht="15.75" customHeight="1" s="67">
      <c r="A254" s="2" t="n"/>
      <c r="B254" s="2" t="n"/>
      <c r="C254" s="2" t="n"/>
      <c r="D254" s="2" t="n"/>
      <c r="E254" s="2" t="n"/>
      <c r="F254" s="2" t="n"/>
    </row>
    <row r="255" ht="15.75" customHeight="1" s="67">
      <c r="A255" s="2" t="n"/>
      <c r="B255" s="2" t="n"/>
      <c r="C255" s="2" t="n"/>
      <c r="D255" s="2" t="n"/>
      <c r="E255" s="2" t="n"/>
      <c r="F255" s="2" t="n"/>
    </row>
    <row r="256" ht="15.75" customHeight="1" s="67">
      <c r="A256" s="2" t="n"/>
      <c r="B256" s="2" t="n"/>
      <c r="C256" s="2" t="n"/>
      <c r="D256" s="2" t="n"/>
      <c r="E256" s="2" t="n"/>
      <c r="F256" s="2" t="n"/>
    </row>
    <row r="257" ht="15.75" customHeight="1" s="67">
      <c r="A257" s="2" t="n"/>
      <c r="B257" s="2" t="n"/>
      <c r="C257" s="2" t="n"/>
      <c r="D257" s="2" t="n"/>
      <c r="E257" s="2" t="n"/>
      <c r="F257" s="2" t="n"/>
    </row>
    <row r="258" ht="15.75" customHeight="1" s="67">
      <c r="A258" s="2" t="n"/>
      <c r="B258" s="2" t="n"/>
      <c r="C258" s="2" t="n"/>
      <c r="D258" s="2" t="n"/>
      <c r="E258" s="2" t="n"/>
      <c r="F258" s="2" t="n"/>
    </row>
    <row r="259" ht="15.75" customHeight="1" s="67">
      <c r="A259" s="2" t="n"/>
      <c r="B259" s="2" t="n"/>
      <c r="C259" s="2" t="n"/>
      <c r="D259" s="2" t="n"/>
      <c r="E259" s="2" t="n"/>
      <c r="F259" s="2" t="n"/>
    </row>
    <row r="260" ht="15.75" customHeight="1" s="67">
      <c r="A260" s="2" t="n"/>
      <c r="B260" s="2" t="n"/>
      <c r="C260" s="2" t="n"/>
      <c r="D260" s="2" t="n"/>
      <c r="E260" s="2" t="n"/>
      <c r="F260" s="2" t="n"/>
    </row>
    <row r="261" ht="15.75" customHeight="1" s="67">
      <c r="A261" s="2" t="n"/>
      <c r="B261" s="2" t="n"/>
      <c r="C261" s="2" t="n"/>
      <c r="D261" s="2" t="n"/>
      <c r="E261" s="2" t="n"/>
      <c r="F261" s="2" t="n"/>
    </row>
    <row r="262" ht="15.75" customHeight="1" s="67">
      <c r="A262" s="2" t="n"/>
      <c r="B262" s="2" t="n"/>
      <c r="C262" s="2" t="n"/>
      <c r="D262" s="2" t="n"/>
      <c r="E262" s="2" t="n"/>
      <c r="F262" s="2" t="n"/>
    </row>
    <row r="263" ht="15.75" customHeight="1" s="67">
      <c r="A263" s="2" t="n"/>
      <c r="B263" s="2" t="n"/>
      <c r="C263" s="2" t="n"/>
      <c r="D263" s="2" t="n"/>
      <c r="E263" s="2" t="n"/>
      <c r="F263" s="2" t="n"/>
    </row>
    <row r="264" ht="15.75" customHeight="1" s="67">
      <c r="A264" s="2" t="n"/>
      <c r="B264" s="2" t="n"/>
      <c r="C264" s="2" t="n"/>
      <c r="D264" s="2" t="n"/>
      <c r="E264" s="2" t="n"/>
      <c r="F264" s="2" t="n"/>
    </row>
    <row r="265" ht="15.75" customHeight="1" s="67">
      <c r="A265" s="2" t="n"/>
      <c r="B265" s="2" t="n"/>
      <c r="C265" s="2" t="n"/>
      <c r="D265" s="2" t="n"/>
      <c r="E265" s="2" t="n"/>
      <c r="F265" s="2" t="n"/>
    </row>
    <row r="266" ht="15.75" customHeight="1" s="67">
      <c r="A266" s="2" t="n"/>
      <c r="B266" s="2" t="n"/>
      <c r="C266" s="2" t="n"/>
      <c r="D266" s="2" t="n"/>
      <c r="E266" s="2" t="n"/>
      <c r="F266" s="2" t="n"/>
    </row>
    <row r="267" ht="15.75" customHeight="1" s="67">
      <c r="A267" s="2" t="n"/>
      <c r="B267" s="2" t="n"/>
      <c r="C267" s="2" t="n"/>
      <c r="D267" s="2" t="n"/>
      <c r="E267" s="2" t="n"/>
      <c r="F267" s="2" t="n"/>
    </row>
    <row r="268" ht="15.75" customHeight="1" s="67">
      <c r="A268" s="2" t="n"/>
      <c r="B268" s="2" t="n"/>
      <c r="C268" s="2" t="n"/>
      <c r="D268" s="2" t="n"/>
      <c r="E268" s="2" t="n"/>
      <c r="F268" s="2" t="n"/>
    </row>
    <row r="269" ht="15.75" customHeight="1" s="67">
      <c r="A269" s="2" t="n"/>
      <c r="B269" s="2" t="n"/>
      <c r="C269" s="2" t="n"/>
      <c r="D269" s="2" t="n"/>
      <c r="E269" s="2" t="n"/>
      <c r="F269" s="2" t="n"/>
    </row>
    <row r="270" ht="15.75" customHeight="1" s="67">
      <c r="A270" s="2" t="n"/>
      <c r="B270" s="2" t="n"/>
      <c r="C270" s="2" t="n"/>
      <c r="D270" s="2" t="n"/>
      <c r="E270" s="2" t="n"/>
      <c r="F270" s="2" t="n"/>
    </row>
    <row r="271" ht="15.75" customHeight="1" s="67">
      <c r="A271" s="2" t="n"/>
      <c r="B271" s="2" t="n"/>
      <c r="C271" s="2" t="n"/>
      <c r="D271" s="2" t="n"/>
      <c r="E271" s="2" t="n"/>
      <c r="F271" s="2" t="n"/>
    </row>
    <row r="272" ht="15.75" customHeight="1" s="67">
      <c r="A272" s="2" t="n"/>
      <c r="B272" s="2" t="n"/>
      <c r="C272" s="2" t="n"/>
      <c r="D272" s="2" t="n"/>
      <c r="E272" s="2" t="n"/>
      <c r="F272" s="2" t="n"/>
    </row>
    <row r="273" ht="15.75" customHeight="1" s="67">
      <c r="A273" s="2" t="n"/>
      <c r="B273" s="2" t="n"/>
      <c r="C273" s="2" t="n"/>
      <c r="D273" s="2" t="n"/>
      <c r="E273" s="2" t="n"/>
      <c r="F273" s="2" t="n"/>
    </row>
    <row r="274" ht="15.75" customHeight="1" s="67">
      <c r="A274" s="2" t="n"/>
      <c r="B274" s="2" t="n"/>
      <c r="C274" s="2" t="n"/>
      <c r="D274" s="2" t="n"/>
      <c r="E274" s="2" t="n"/>
      <c r="F274" s="2" t="n"/>
    </row>
    <row r="275" ht="15.75" customHeight="1" s="67">
      <c r="A275" s="2" t="n"/>
      <c r="B275" s="2" t="n"/>
      <c r="C275" s="2" t="n"/>
      <c r="D275" s="2" t="n"/>
      <c r="E275" s="2" t="n"/>
      <c r="F275" s="2" t="n"/>
    </row>
    <row r="276" ht="15.75" customHeight="1" s="67">
      <c r="A276" s="2" t="n"/>
      <c r="B276" s="2" t="n"/>
      <c r="C276" s="2" t="n"/>
      <c r="D276" s="2" t="n"/>
      <c r="E276" s="2" t="n"/>
      <c r="F276" s="2" t="n"/>
    </row>
    <row r="277" ht="15.75" customHeight="1" s="67">
      <c r="A277" s="2" t="n"/>
      <c r="B277" s="2" t="n"/>
      <c r="C277" s="2" t="n"/>
      <c r="D277" s="2" t="n"/>
      <c r="E277" s="2" t="n"/>
      <c r="F277" s="2" t="n"/>
    </row>
    <row r="278" ht="15.75" customHeight="1" s="67">
      <c r="A278" s="2" t="n"/>
      <c r="B278" s="2" t="n"/>
      <c r="C278" s="2" t="n"/>
      <c r="D278" s="2" t="n"/>
      <c r="E278" s="2" t="n"/>
      <c r="F278" s="2" t="n"/>
    </row>
    <row r="279" ht="15.75" customHeight="1" s="67">
      <c r="A279" s="2" t="n"/>
      <c r="B279" s="2" t="n"/>
      <c r="C279" s="2" t="n"/>
      <c r="D279" s="2" t="n"/>
      <c r="E279" s="2" t="n"/>
      <c r="F279" s="2" t="n"/>
    </row>
    <row r="280" ht="15.75" customHeight="1" s="67">
      <c r="A280" s="2" t="n"/>
      <c r="B280" s="2" t="n"/>
      <c r="C280" s="2" t="n"/>
      <c r="D280" s="2" t="n"/>
      <c r="E280" s="2" t="n"/>
      <c r="F280" s="2" t="n"/>
    </row>
    <row r="281" ht="15.75" customHeight="1" s="67">
      <c r="A281" s="2" t="n"/>
      <c r="B281" s="2" t="n"/>
      <c r="C281" s="2" t="n"/>
      <c r="D281" s="2" t="n"/>
      <c r="E281" s="2" t="n"/>
      <c r="F281" s="2" t="n"/>
    </row>
    <row r="282" ht="15.75" customHeight="1" s="67">
      <c r="A282" s="2" t="n"/>
      <c r="B282" s="2" t="n"/>
      <c r="C282" s="2" t="n"/>
      <c r="D282" s="2" t="n"/>
      <c r="E282" s="2" t="n"/>
      <c r="F282" s="2" t="n"/>
    </row>
    <row r="283" ht="15.75" customHeight="1" s="67">
      <c r="A283" s="2" t="n"/>
      <c r="B283" s="2" t="n"/>
      <c r="C283" s="2" t="n"/>
      <c r="D283" s="2" t="n"/>
      <c r="E283" s="2" t="n"/>
      <c r="F283" s="2" t="n"/>
    </row>
    <row r="284" ht="15.75" customHeight="1" s="67">
      <c r="A284" s="2" t="n"/>
      <c r="B284" s="2" t="n"/>
      <c r="C284" s="2" t="n"/>
      <c r="D284" s="2" t="n"/>
      <c r="E284" s="2" t="n"/>
      <c r="F284" s="2" t="n"/>
    </row>
    <row r="285" ht="15.75" customHeight="1" s="67">
      <c r="A285" s="2" t="n"/>
      <c r="B285" s="2" t="n"/>
      <c r="C285" s="2" t="n"/>
      <c r="D285" s="2" t="n"/>
      <c r="E285" s="2" t="n"/>
      <c r="F285" s="2" t="n"/>
    </row>
    <row r="286" ht="15.75" customHeight="1" s="67">
      <c r="A286" s="2" t="n"/>
      <c r="B286" s="2" t="n"/>
      <c r="C286" s="2" t="n"/>
      <c r="D286" s="2" t="n"/>
      <c r="E286" s="2" t="n"/>
      <c r="F286" s="2" t="n"/>
    </row>
    <row r="287" ht="15.75" customHeight="1" s="67">
      <c r="A287" s="2" t="n"/>
      <c r="B287" s="2" t="n"/>
      <c r="C287" s="2" t="n"/>
      <c r="D287" s="2" t="n"/>
      <c r="E287" s="2" t="n"/>
      <c r="F287" s="2" t="n"/>
    </row>
    <row r="288" ht="15.75" customHeight="1" s="67">
      <c r="A288" s="2" t="n"/>
      <c r="B288" s="2" t="n"/>
      <c r="C288" s="2" t="n"/>
      <c r="D288" s="2" t="n"/>
      <c r="E288" s="2" t="n"/>
      <c r="F288" s="2" t="n"/>
    </row>
    <row r="289" ht="15.75" customHeight="1" s="67">
      <c r="A289" s="2" t="n"/>
      <c r="B289" s="2" t="n"/>
      <c r="C289" s="2" t="n"/>
      <c r="D289" s="2" t="n"/>
      <c r="E289" s="2" t="n"/>
      <c r="F289" s="2" t="n"/>
    </row>
    <row r="290" ht="15.75" customHeight="1" s="67">
      <c r="A290" s="2" t="n"/>
      <c r="B290" s="2" t="n"/>
      <c r="C290" s="2" t="n"/>
      <c r="D290" s="2" t="n"/>
      <c r="E290" s="2" t="n"/>
      <c r="F290" s="2" t="n"/>
    </row>
    <row r="291" ht="15.75" customHeight="1" s="67">
      <c r="A291" s="2" t="n"/>
      <c r="B291" s="2" t="n"/>
      <c r="C291" s="2" t="n"/>
      <c r="D291" s="2" t="n"/>
      <c r="E291" s="2" t="n"/>
      <c r="F291" s="2" t="n"/>
    </row>
    <row r="292" ht="15.75" customHeight="1" s="67">
      <c r="A292" s="2" t="n"/>
      <c r="B292" s="2" t="n"/>
      <c r="C292" s="2" t="n"/>
      <c r="D292" s="2" t="n"/>
      <c r="E292" s="2" t="n"/>
      <c r="F292" s="2" t="n"/>
    </row>
    <row r="293" ht="15.75" customHeight="1" s="67">
      <c r="A293" s="2" t="n"/>
      <c r="B293" s="2" t="n"/>
      <c r="C293" s="2" t="n"/>
      <c r="D293" s="2" t="n"/>
      <c r="E293" s="2" t="n"/>
      <c r="F293" s="2" t="n"/>
    </row>
    <row r="294" ht="15.75" customHeight="1" s="67">
      <c r="A294" s="2" t="n"/>
      <c r="B294" s="2" t="n"/>
      <c r="C294" s="2" t="n"/>
      <c r="D294" s="2" t="n"/>
      <c r="E294" s="2" t="n"/>
      <c r="F294" s="2" t="n"/>
    </row>
    <row r="295" ht="15.75" customHeight="1" s="67">
      <c r="A295" s="2" t="n"/>
      <c r="B295" s="2" t="n"/>
      <c r="C295" s="2" t="n"/>
      <c r="D295" s="2" t="n"/>
      <c r="E295" s="2" t="n"/>
      <c r="F295" s="2" t="n"/>
    </row>
    <row r="296" ht="15.75" customHeight="1" s="67">
      <c r="A296" s="2" t="n"/>
      <c r="B296" s="2" t="n"/>
      <c r="C296" s="2" t="n"/>
      <c r="D296" s="2" t="n"/>
      <c r="E296" s="2" t="n"/>
      <c r="F296" s="2" t="n"/>
    </row>
    <row r="297" ht="15.75" customHeight="1" s="67">
      <c r="A297" s="2" t="n"/>
      <c r="B297" s="2" t="n"/>
      <c r="C297" s="2" t="n"/>
      <c r="D297" s="2" t="n"/>
      <c r="E297" s="2" t="n"/>
      <c r="F297" s="2" t="n"/>
    </row>
    <row r="298" ht="15.75" customHeight="1" s="67">
      <c r="A298" s="2" t="n"/>
      <c r="B298" s="2" t="n"/>
      <c r="C298" s="2" t="n"/>
      <c r="D298" s="2" t="n"/>
      <c r="E298" s="2" t="n"/>
      <c r="F298" s="2" t="n"/>
    </row>
    <row r="299" ht="15.75" customHeight="1" s="67">
      <c r="A299" s="2" t="n"/>
      <c r="B299" s="2" t="n"/>
      <c r="C299" s="2" t="n"/>
      <c r="D299" s="2" t="n"/>
      <c r="E299" s="2" t="n"/>
      <c r="F299" s="2" t="n"/>
    </row>
    <row r="300" ht="15.75" customHeight="1" s="67">
      <c r="A300" s="2" t="n"/>
      <c r="B300" s="2" t="n"/>
      <c r="C300" s="2" t="n"/>
      <c r="D300" s="2" t="n"/>
      <c r="E300" s="2" t="n"/>
      <c r="F300" s="2" t="n"/>
    </row>
    <row r="301" ht="15.75" customHeight="1" s="67">
      <c r="A301" s="2" t="n"/>
      <c r="B301" s="2" t="n"/>
      <c r="C301" s="2" t="n"/>
      <c r="D301" s="2" t="n"/>
      <c r="E301" s="2" t="n"/>
      <c r="F301" s="2" t="n"/>
    </row>
    <row r="302" ht="15.75" customHeight="1" s="67">
      <c r="A302" s="2" t="n"/>
      <c r="B302" s="2" t="n"/>
      <c r="C302" s="2" t="n"/>
      <c r="D302" s="2" t="n"/>
      <c r="E302" s="2" t="n"/>
      <c r="F302" s="2" t="n"/>
    </row>
    <row r="303" ht="15.75" customHeight="1" s="67">
      <c r="A303" s="2" t="n"/>
      <c r="B303" s="2" t="n"/>
      <c r="C303" s="2" t="n"/>
      <c r="D303" s="2" t="n"/>
      <c r="E303" s="2" t="n"/>
      <c r="F303" s="2" t="n"/>
    </row>
    <row r="304" ht="15.75" customHeight="1" s="67">
      <c r="A304" s="2" t="n"/>
      <c r="B304" s="2" t="n"/>
      <c r="C304" s="2" t="n"/>
      <c r="D304" s="2" t="n"/>
      <c r="E304" s="2" t="n"/>
      <c r="F304" s="2" t="n"/>
    </row>
    <row r="305" ht="15.75" customHeight="1" s="67">
      <c r="A305" s="2" t="n"/>
      <c r="B305" s="2" t="n"/>
      <c r="C305" s="2" t="n"/>
      <c r="D305" s="2" t="n"/>
      <c r="E305" s="2" t="n"/>
      <c r="F305" s="2" t="n"/>
    </row>
    <row r="306" ht="15.75" customHeight="1" s="67">
      <c r="A306" s="2" t="n"/>
      <c r="B306" s="2" t="n"/>
      <c r="C306" s="2" t="n"/>
      <c r="D306" s="2" t="n"/>
      <c r="E306" s="2" t="n"/>
      <c r="F306" s="2" t="n"/>
    </row>
    <row r="307" ht="15.75" customHeight="1" s="67">
      <c r="A307" s="2" t="n"/>
      <c r="B307" s="2" t="n"/>
      <c r="C307" s="2" t="n"/>
      <c r="D307" s="2" t="n"/>
      <c r="E307" s="2" t="n"/>
      <c r="F307" s="2" t="n"/>
    </row>
    <row r="308" ht="15.75" customHeight="1" s="67">
      <c r="A308" s="2" t="n"/>
      <c r="B308" s="2" t="n"/>
      <c r="C308" s="2" t="n"/>
      <c r="D308" s="2" t="n"/>
      <c r="E308" s="2" t="n"/>
      <c r="F308" s="2" t="n"/>
    </row>
    <row r="309" ht="15.75" customHeight="1" s="67">
      <c r="A309" s="2" t="n"/>
      <c r="B309" s="2" t="n"/>
      <c r="C309" s="2" t="n"/>
      <c r="D309" s="2" t="n"/>
      <c r="E309" s="2" t="n"/>
      <c r="F309" s="2" t="n"/>
    </row>
    <row r="310" ht="15.75" customHeight="1" s="67">
      <c r="A310" s="2" t="n"/>
      <c r="B310" s="2" t="n"/>
      <c r="C310" s="2" t="n"/>
      <c r="D310" s="2" t="n"/>
      <c r="E310" s="2" t="n"/>
      <c r="F310" s="2" t="n"/>
    </row>
    <row r="311" ht="15.75" customHeight="1" s="67">
      <c r="A311" s="2" t="n"/>
      <c r="B311" s="2" t="n"/>
      <c r="C311" s="2" t="n"/>
      <c r="D311" s="2" t="n"/>
      <c r="E311" s="2" t="n"/>
      <c r="F311" s="2" t="n"/>
    </row>
    <row r="312" ht="15.75" customHeight="1" s="67">
      <c r="A312" s="2" t="n"/>
      <c r="B312" s="2" t="n"/>
      <c r="C312" s="2" t="n"/>
      <c r="D312" s="2" t="n"/>
      <c r="E312" s="2" t="n"/>
      <c r="F312" s="2" t="n"/>
    </row>
    <row r="313" ht="15.75" customHeight="1" s="67">
      <c r="A313" s="2" t="n"/>
      <c r="B313" s="2" t="n"/>
      <c r="C313" s="2" t="n"/>
      <c r="D313" s="2" t="n"/>
      <c r="E313" s="2" t="n"/>
      <c r="F313" s="2" t="n"/>
    </row>
    <row r="314" ht="15.75" customHeight="1" s="67">
      <c r="A314" s="2" t="n"/>
      <c r="B314" s="2" t="n"/>
      <c r="C314" s="2" t="n"/>
      <c r="D314" s="2" t="n"/>
      <c r="E314" s="2" t="n"/>
      <c r="F314" s="2" t="n"/>
    </row>
    <row r="315" ht="15.75" customHeight="1" s="67">
      <c r="A315" s="2" t="n"/>
      <c r="B315" s="2" t="n"/>
      <c r="C315" s="2" t="n"/>
      <c r="D315" s="2" t="n"/>
      <c r="E315" s="2" t="n"/>
      <c r="F315" s="2" t="n"/>
    </row>
    <row r="316" ht="15.75" customHeight="1" s="67">
      <c r="A316" s="2" t="n"/>
      <c r="B316" s="2" t="n"/>
      <c r="C316" s="2" t="n"/>
      <c r="D316" s="2" t="n"/>
      <c r="E316" s="2" t="n"/>
      <c r="F316" s="2" t="n"/>
    </row>
    <row r="317" ht="15.75" customHeight="1" s="67">
      <c r="A317" s="2" t="n"/>
      <c r="B317" s="2" t="n"/>
      <c r="C317" s="2" t="n"/>
      <c r="D317" s="2" t="n"/>
      <c r="E317" s="2" t="n"/>
      <c r="F317" s="2" t="n"/>
    </row>
    <row r="318" ht="15.75" customHeight="1" s="67">
      <c r="A318" s="2" t="n"/>
      <c r="B318" s="2" t="n"/>
      <c r="C318" s="2" t="n"/>
      <c r="D318" s="2" t="n"/>
      <c r="E318" s="2" t="n"/>
      <c r="F318" s="2" t="n"/>
    </row>
    <row r="319" ht="15.75" customHeight="1" s="67">
      <c r="A319" s="2" t="n"/>
      <c r="B319" s="2" t="n"/>
      <c r="C319" s="2" t="n"/>
      <c r="D319" s="2" t="n"/>
      <c r="E319" s="2" t="n"/>
      <c r="F319" s="2" t="n"/>
    </row>
    <row r="320" ht="15.75" customHeight="1" s="67">
      <c r="A320" s="2" t="n"/>
      <c r="B320" s="2" t="n"/>
      <c r="C320" s="2" t="n"/>
      <c r="D320" s="2" t="n"/>
      <c r="E320" s="2" t="n"/>
      <c r="F320" s="2" t="n"/>
    </row>
    <row r="321" ht="15.75" customHeight="1" s="67">
      <c r="A321" s="2" t="n"/>
      <c r="B321" s="2" t="n"/>
      <c r="C321" s="2" t="n"/>
      <c r="D321" s="2" t="n"/>
      <c r="E321" s="2" t="n"/>
      <c r="F321" s="2" t="n"/>
    </row>
    <row r="322" ht="15.75" customHeight="1" s="67">
      <c r="A322" s="2" t="n"/>
      <c r="B322" s="2" t="n"/>
      <c r="C322" s="2" t="n"/>
      <c r="D322" s="2" t="n"/>
      <c r="E322" s="2" t="n"/>
      <c r="F322" s="2" t="n"/>
    </row>
    <row r="323" ht="15.75" customHeight="1" s="67">
      <c r="A323" s="2" t="n"/>
      <c r="B323" s="2" t="n"/>
      <c r="C323" s="2" t="n"/>
      <c r="D323" s="2" t="n"/>
      <c r="E323" s="2" t="n"/>
      <c r="F323" s="2" t="n"/>
    </row>
    <row r="324" ht="15.75" customHeight="1" s="67">
      <c r="A324" s="2" t="n"/>
      <c r="B324" s="2" t="n"/>
      <c r="C324" s="2" t="n"/>
      <c r="D324" s="2" t="n"/>
      <c r="E324" s="2" t="n"/>
      <c r="F324" s="2" t="n"/>
    </row>
    <row r="325" ht="15.75" customHeight="1" s="67">
      <c r="A325" s="2" t="n"/>
      <c r="B325" s="2" t="n"/>
      <c r="C325" s="2" t="n"/>
      <c r="D325" s="2" t="n"/>
      <c r="E325" s="2" t="n"/>
      <c r="F325" s="2" t="n"/>
    </row>
    <row r="326" ht="15.75" customHeight="1" s="67">
      <c r="A326" s="2" t="n"/>
      <c r="B326" s="2" t="n"/>
      <c r="C326" s="2" t="n"/>
      <c r="D326" s="2" t="n"/>
      <c r="E326" s="2" t="n"/>
      <c r="F326" s="2" t="n"/>
    </row>
    <row r="327" ht="15.75" customHeight="1" s="67">
      <c r="A327" s="2" t="n"/>
      <c r="B327" s="2" t="n"/>
      <c r="C327" s="2" t="n"/>
      <c r="D327" s="2" t="n"/>
      <c r="E327" s="2" t="n"/>
      <c r="F327" s="2" t="n"/>
    </row>
    <row r="328" ht="15.75" customHeight="1" s="67">
      <c r="A328" s="2" t="n"/>
      <c r="B328" s="2" t="n"/>
      <c r="C328" s="2" t="n"/>
      <c r="D328" s="2" t="n"/>
      <c r="E328" s="2" t="n"/>
      <c r="F328" s="2" t="n"/>
    </row>
    <row r="329" ht="15.75" customHeight="1" s="67">
      <c r="A329" s="2" t="n"/>
      <c r="B329" s="2" t="n"/>
      <c r="C329" s="2" t="n"/>
      <c r="D329" s="2" t="n"/>
      <c r="E329" s="2" t="n"/>
      <c r="F329" s="2" t="n"/>
    </row>
    <row r="330" ht="15.75" customHeight="1" s="67">
      <c r="A330" s="2" t="n"/>
      <c r="B330" s="2" t="n"/>
      <c r="C330" s="2" t="n"/>
      <c r="D330" s="2" t="n"/>
      <c r="E330" s="2" t="n"/>
      <c r="F330" s="2" t="n"/>
    </row>
    <row r="331" ht="15.75" customHeight="1" s="67">
      <c r="A331" s="2" t="n"/>
      <c r="B331" s="2" t="n"/>
      <c r="C331" s="2" t="n"/>
      <c r="D331" s="2" t="n"/>
      <c r="E331" s="2" t="n"/>
      <c r="F331" s="2" t="n"/>
    </row>
    <row r="332" ht="15.75" customHeight="1" s="67">
      <c r="A332" s="2" t="n"/>
      <c r="B332" s="2" t="n"/>
      <c r="C332" s="2" t="n"/>
      <c r="D332" s="2" t="n"/>
      <c r="E332" s="2" t="n"/>
      <c r="F332" s="2" t="n"/>
    </row>
    <row r="333" ht="15.75" customHeight="1" s="67">
      <c r="A333" s="2" t="n"/>
      <c r="B333" s="2" t="n"/>
      <c r="C333" s="2" t="n"/>
      <c r="D333" s="2" t="n"/>
      <c r="E333" s="2" t="n"/>
      <c r="F333" s="2" t="n"/>
    </row>
    <row r="334" ht="15.75" customHeight="1" s="67">
      <c r="A334" s="2" t="n"/>
      <c r="B334" s="2" t="n"/>
      <c r="C334" s="2" t="n"/>
      <c r="D334" s="2" t="n"/>
      <c r="E334" s="2" t="n"/>
      <c r="F334" s="2" t="n"/>
    </row>
    <row r="335" ht="15.75" customHeight="1" s="67">
      <c r="A335" s="2" t="n"/>
      <c r="B335" s="2" t="n"/>
      <c r="C335" s="2" t="n"/>
      <c r="D335" s="2" t="n"/>
      <c r="E335" s="2" t="n"/>
      <c r="F335" s="2" t="n"/>
    </row>
    <row r="336" ht="15.75" customHeight="1" s="67">
      <c r="A336" s="2" t="n"/>
      <c r="B336" s="2" t="n"/>
      <c r="C336" s="2" t="n"/>
      <c r="D336" s="2" t="n"/>
      <c r="E336" s="2" t="n"/>
      <c r="F336" s="2" t="n"/>
    </row>
    <row r="337" ht="15.75" customHeight="1" s="67">
      <c r="A337" s="2" t="n"/>
      <c r="B337" s="2" t="n"/>
      <c r="C337" s="2" t="n"/>
      <c r="D337" s="2" t="n"/>
      <c r="E337" s="2" t="n"/>
      <c r="F337" s="2" t="n"/>
    </row>
    <row r="338" ht="15.75" customHeight="1" s="67">
      <c r="A338" s="2" t="n"/>
      <c r="B338" s="2" t="n"/>
      <c r="C338" s="2" t="n"/>
      <c r="D338" s="2" t="n"/>
      <c r="E338" s="2" t="n"/>
      <c r="F338" s="2" t="n"/>
    </row>
    <row r="339" ht="15.75" customHeight="1" s="67">
      <c r="A339" s="2" t="n"/>
      <c r="B339" s="2" t="n"/>
      <c r="C339" s="2" t="n"/>
      <c r="D339" s="2" t="n"/>
      <c r="E339" s="2" t="n"/>
      <c r="F339" s="2" t="n"/>
    </row>
    <row r="340" ht="15.75" customHeight="1" s="67">
      <c r="A340" s="2" t="n"/>
      <c r="B340" s="2" t="n"/>
      <c r="C340" s="2" t="n"/>
      <c r="D340" s="2" t="n"/>
      <c r="E340" s="2" t="n"/>
      <c r="F340" s="2" t="n"/>
    </row>
    <row r="341" ht="15.75" customHeight="1" s="67">
      <c r="A341" s="2" t="n"/>
      <c r="B341" s="2" t="n"/>
      <c r="C341" s="2" t="n"/>
      <c r="D341" s="2" t="n"/>
      <c r="E341" s="2" t="n"/>
      <c r="F341" s="2" t="n"/>
    </row>
    <row r="342" ht="15.75" customHeight="1" s="67">
      <c r="A342" s="2" t="n"/>
      <c r="B342" s="2" t="n"/>
      <c r="C342" s="2" t="n"/>
      <c r="D342" s="2" t="n"/>
      <c r="E342" s="2" t="n"/>
      <c r="F342" s="2" t="n"/>
    </row>
    <row r="343" ht="15.75" customHeight="1" s="67">
      <c r="A343" s="2" t="n"/>
      <c r="B343" s="2" t="n"/>
      <c r="C343" s="2" t="n"/>
      <c r="D343" s="2" t="n"/>
      <c r="E343" s="2" t="n"/>
      <c r="F343" s="2" t="n"/>
    </row>
    <row r="344" ht="15.75" customHeight="1" s="67">
      <c r="A344" s="2" t="n"/>
      <c r="B344" s="2" t="n"/>
      <c r="C344" s="2" t="n"/>
      <c r="D344" s="2" t="n"/>
      <c r="E344" s="2" t="n"/>
      <c r="F344" s="2" t="n"/>
    </row>
    <row r="345" ht="15.75" customHeight="1" s="67">
      <c r="A345" s="2" t="n"/>
      <c r="B345" s="2" t="n"/>
      <c r="C345" s="2" t="n"/>
      <c r="D345" s="2" t="n"/>
      <c r="E345" s="2" t="n"/>
      <c r="F345" s="2" t="n"/>
    </row>
    <row r="346" ht="15.75" customHeight="1" s="67">
      <c r="A346" s="2" t="n"/>
      <c r="B346" s="2" t="n"/>
      <c r="C346" s="2" t="n"/>
      <c r="D346" s="2" t="n"/>
      <c r="E346" s="2" t="n"/>
      <c r="F346" s="2" t="n"/>
    </row>
    <row r="347" ht="15.75" customHeight="1" s="67">
      <c r="A347" s="2" t="n"/>
      <c r="B347" s="2" t="n"/>
      <c r="C347" s="2" t="n"/>
      <c r="D347" s="2" t="n"/>
      <c r="E347" s="2" t="n"/>
      <c r="F347" s="2" t="n"/>
    </row>
    <row r="348" ht="15.75" customHeight="1" s="67">
      <c r="A348" s="2" t="n"/>
      <c r="B348" s="2" t="n"/>
      <c r="C348" s="2" t="n"/>
      <c r="D348" s="2" t="n"/>
      <c r="E348" s="2" t="n"/>
      <c r="F348" s="2" t="n"/>
    </row>
    <row r="349" ht="15.75" customHeight="1" s="67">
      <c r="A349" s="2" t="n"/>
      <c r="B349" s="2" t="n"/>
      <c r="C349" s="2" t="n"/>
      <c r="D349" s="2" t="n"/>
      <c r="E349" s="2" t="n"/>
      <c r="F349" s="2" t="n"/>
    </row>
    <row r="350" ht="15.75" customHeight="1" s="67">
      <c r="A350" s="2" t="n"/>
      <c r="B350" s="2" t="n"/>
      <c r="C350" s="2" t="n"/>
      <c r="D350" s="2" t="n"/>
      <c r="E350" s="2" t="n"/>
      <c r="F350" s="2" t="n"/>
    </row>
    <row r="351" ht="15.75" customHeight="1" s="67">
      <c r="A351" s="2" t="n"/>
      <c r="B351" s="2" t="n"/>
      <c r="C351" s="2" t="n"/>
      <c r="D351" s="2" t="n"/>
      <c r="E351" s="2" t="n"/>
      <c r="F351" s="2" t="n"/>
    </row>
    <row r="352" ht="15.75" customHeight="1" s="67">
      <c r="A352" s="2" t="n"/>
      <c r="B352" s="2" t="n"/>
      <c r="C352" s="2" t="n"/>
      <c r="D352" s="2" t="n"/>
      <c r="E352" s="2" t="n"/>
      <c r="F352" s="2" t="n"/>
    </row>
    <row r="353" ht="15.75" customHeight="1" s="67">
      <c r="A353" s="2" t="n"/>
      <c r="B353" s="2" t="n"/>
      <c r="C353" s="2" t="n"/>
      <c r="D353" s="2" t="n"/>
      <c r="E353" s="2" t="n"/>
      <c r="F353" s="2" t="n"/>
    </row>
    <row r="354" ht="15.75" customHeight="1" s="67">
      <c r="A354" s="2" t="n"/>
      <c r="B354" s="2" t="n"/>
      <c r="C354" s="2" t="n"/>
      <c r="D354" s="2" t="n"/>
      <c r="E354" s="2" t="n"/>
      <c r="F354" s="2" t="n"/>
    </row>
    <row r="355" ht="15.75" customHeight="1" s="67">
      <c r="A355" s="2" t="n"/>
      <c r="B355" s="2" t="n"/>
      <c r="C355" s="2" t="n"/>
      <c r="D355" s="2" t="n"/>
      <c r="E355" s="2" t="n"/>
      <c r="F355" s="2" t="n"/>
    </row>
    <row r="356" ht="15.75" customHeight="1" s="67">
      <c r="A356" s="2" t="n"/>
      <c r="B356" s="2" t="n"/>
      <c r="C356" s="2" t="n"/>
      <c r="D356" s="2" t="n"/>
      <c r="E356" s="2" t="n"/>
      <c r="F356" s="2" t="n"/>
    </row>
    <row r="357" ht="15.75" customHeight="1" s="67">
      <c r="A357" s="2" t="n"/>
      <c r="B357" s="2" t="n"/>
      <c r="C357" s="2" t="n"/>
      <c r="D357" s="2" t="n"/>
      <c r="E357" s="2" t="n"/>
      <c r="F357" s="2" t="n"/>
    </row>
    <row r="358" ht="15.75" customHeight="1" s="67">
      <c r="A358" s="2" t="n"/>
      <c r="B358" s="2" t="n"/>
      <c r="C358" s="2" t="n"/>
      <c r="D358" s="2" t="n"/>
      <c r="E358" s="2" t="n"/>
      <c r="F358" s="2" t="n"/>
    </row>
    <row r="359" ht="15.75" customHeight="1" s="67">
      <c r="A359" s="2" t="n"/>
      <c r="B359" s="2" t="n"/>
      <c r="C359" s="2" t="n"/>
      <c r="D359" s="2" t="n"/>
      <c r="E359" s="2" t="n"/>
      <c r="F359" s="2" t="n"/>
    </row>
    <row r="360" ht="15.75" customHeight="1" s="67">
      <c r="A360" s="2" t="n"/>
      <c r="B360" s="2" t="n"/>
      <c r="C360" s="2" t="n"/>
      <c r="D360" s="2" t="n"/>
      <c r="E360" s="2" t="n"/>
      <c r="F360" s="2" t="n"/>
    </row>
    <row r="361" ht="15.75" customHeight="1" s="67">
      <c r="A361" s="2" t="n"/>
      <c r="B361" s="2" t="n"/>
      <c r="C361" s="2" t="n"/>
      <c r="D361" s="2" t="n"/>
      <c r="E361" s="2" t="n"/>
      <c r="F361" s="2" t="n"/>
    </row>
    <row r="362" ht="15.75" customHeight="1" s="67">
      <c r="A362" s="2" t="n"/>
      <c r="B362" s="2" t="n"/>
      <c r="C362" s="2" t="n"/>
      <c r="D362" s="2" t="n"/>
      <c r="E362" s="2" t="n"/>
      <c r="F362" s="2" t="n"/>
    </row>
    <row r="363" ht="15.75" customHeight="1" s="67">
      <c r="A363" s="2" t="n"/>
      <c r="B363" s="2" t="n"/>
      <c r="C363" s="2" t="n"/>
      <c r="D363" s="2" t="n"/>
      <c r="E363" s="2" t="n"/>
      <c r="F363" s="2" t="n"/>
    </row>
    <row r="364" ht="15.75" customHeight="1" s="67">
      <c r="A364" s="2" t="n"/>
      <c r="B364" s="2" t="n"/>
      <c r="C364" s="2" t="n"/>
      <c r="D364" s="2" t="n"/>
      <c r="E364" s="2" t="n"/>
      <c r="F364" s="2" t="n"/>
    </row>
    <row r="365" ht="15.75" customHeight="1" s="67">
      <c r="A365" s="2" t="n"/>
      <c r="B365" s="2" t="n"/>
      <c r="C365" s="2" t="n"/>
      <c r="D365" s="2" t="n"/>
      <c r="E365" s="2" t="n"/>
      <c r="F365" s="2" t="n"/>
    </row>
    <row r="366" ht="15.75" customHeight="1" s="67">
      <c r="A366" s="2" t="n"/>
      <c r="B366" s="2" t="n"/>
      <c r="C366" s="2" t="n"/>
      <c r="D366" s="2" t="n"/>
      <c r="E366" s="2" t="n"/>
      <c r="F366" s="2" t="n"/>
    </row>
    <row r="367" ht="15.75" customHeight="1" s="67">
      <c r="A367" s="2" t="n"/>
      <c r="B367" s="2" t="n"/>
      <c r="C367" s="2" t="n"/>
      <c r="D367" s="2" t="n"/>
      <c r="E367" s="2" t="n"/>
      <c r="F367" s="2" t="n"/>
    </row>
    <row r="368" ht="15.75" customHeight="1" s="67">
      <c r="A368" s="2" t="n"/>
      <c r="B368" s="2" t="n"/>
      <c r="C368" s="2" t="n"/>
      <c r="D368" s="2" t="n"/>
      <c r="E368" s="2" t="n"/>
      <c r="F368" s="2" t="n"/>
    </row>
    <row r="369" ht="15.75" customHeight="1" s="67">
      <c r="A369" s="2" t="n"/>
      <c r="B369" s="2" t="n"/>
      <c r="C369" s="2" t="n"/>
      <c r="D369" s="2" t="n"/>
      <c r="E369" s="2" t="n"/>
      <c r="F369" s="2" t="n"/>
    </row>
    <row r="370" ht="15.75" customHeight="1" s="67">
      <c r="A370" s="2" t="n"/>
      <c r="B370" s="2" t="n"/>
      <c r="C370" s="2" t="n"/>
      <c r="D370" s="2" t="n"/>
      <c r="E370" s="2" t="n"/>
      <c r="F370" s="2" t="n"/>
    </row>
    <row r="371" ht="15.75" customHeight="1" s="67">
      <c r="A371" s="2" t="n"/>
      <c r="B371" s="2" t="n"/>
      <c r="C371" s="2" t="n"/>
      <c r="D371" s="2" t="n"/>
      <c r="E371" s="2" t="n"/>
      <c r="F371" s="2" t="n"/>
    </row>
    <row r="372" ht="15.75" customHeight="1" s="67">
      <c r="A372" s="2" t="n"/>
      <c r="B372" s="2" t="n"/>
      <c r="C372" s="2" t="n"/>
      <c r="D372" s="2" t="n"/>
      <c r="E372" s="2" t="n"/>
      <c r="F372" s="2" t="n"/>
    </row>
    <row r="373" ht="15.75" customHeight="1" s="67">
      <c r="A373" s="2" t="n"/>
      <c r="B373" s="2" t="n"/>
      <c r="C373" s="2" t="n"/>
      <c r="D373" s="2" t="n"/>
      <c r="E373" s="2" t="n"/>
      <c r="F373" s="2" t="n"/>
    </row>
    <row r="374" ht="15.75" customHeight="1" s="67">
      <c r="A374" s="2" t="n"/>
      <c r="B374" s="2" t="n"/>
      <c r="C374" s="2" t="n"/>
      <c r="D374" s="2" t="n"/>
      <c r="E374" s="2" t="n"/>
      <c r="F374" s="2" t="n"/>
    </row>
    <row r="375" ht="15.75" customHeight="1" s="67">
      <c r="A375" s="2" t="n"/>
      <c r="B375" s="2" t="n"/>
      <c r="C375" s="2" t="n"/>
      <c r="D375" s="2" t="n"/>
      <c r="E375" s="2" t="n"/>
      <c r="F375" s="2" t="n"/>
    </row>
    <row r="376" ht="15.75" customHeight="1" s="67">
      <c r="A376" s="2" t="n"/>
      <c r="B376" s="2" t="n"/>
      <c r="C376" s="2" t="n"/>
      <c r="D376" s="2" t="n"/>
      <c r="E376" s="2" t="n"/>
      <c r="F376" s="2" t="n"/>
    </row>
    <row r="377" ht="15.75" customHeight="1" s="67">
      <c r="A377" s="2" t="n"/>
      <c r="B377" s="2" t="n"/>
      <c r="C377" s="2" t="n"/>
      <c r="D377" s="2" t="n"/>
      <c r="E377" s="2" t="n"/>
      <c r="F377" s="2" t="n"/>
    </row>
    <row r="378" ht="15.75" customHeight="1" s="67">
      <c r="A378" s="2" t="n"/>
      <c r="B378" s="2" t="n"/>
      <c r="C378" s="2" t="n"/>
      <c r="D378" s="2" t="n"/>
      <c r="E378" s="2" t="n"/>
      <c r="F378" s="2" t="n"/>
    </row>
    <row r="379" ht="15.75" customHeight="1" s="67">
      <c r="A379" s="2" t="n"/>
      <c r="B379" s="2" t="n"/>
      <c r="C379" s="2" t="n"/>
      <c r="D379" s="2" t="n"/>
      <c r="E379" s="2" t="n"/>
      <c r="F379" s="2" t="n"/>
    </row>
    <row r="380" ht="15.75" customHeight="1" s="67">
      <c r="A380" s="2" t="n"/>
      <c r="B380" s="2" t="n"/>
      <c r="C380" s="2" t="n"/>
      <c r="D380" s="2" t="n"/>
      <c r="E380" s="2" t="n"/>
      <c r="F380" s="2" t="n"/>
    </row>
    <row r="381" ht="15.75" customHeight="1" s="67">
      <c r="A381" s="2" t="n"/>
      <c r="B381" s="2" t="n"/>
      <c r="C381" s="2" t="n"/>
      <c r="D381" s="2" t="n"/>
      <c r="E381" s="2" t="n"/>
      <c r="F381" s="2" t="n"/>
    </row>
    <row r="382" ht="15.75" customHeight="1" s="67">
      <c r="A382" s="2" t="n"/>
      <c r="B382" s="2" t="n"/>
      <c r="C382" s="2" t="n"/>
      <c r="D382" s="2" t="n"/>
      <c r="E382" s="2" t="n"/>
      <c r="F382" s="2" t="n"/>
    </row>
    <row r="383" ht="15.75" customHeight="1" s="67">
      <c r="A383" s="2" t="n"/>
      <c r="B383" s="2" t="n"/>
      <c r="C383" s="2" t="n"/>
      <c r="D383" s="2" t="n"/>
      <c r="E383" s="2" t="n"/>
      <c r="F383" s="2" t="n"/>
    </row>
    <row r="384" ht="15.75" customHeight="1" s="67">
      <c r="A384" s="2" t="n"/>
      <c r="B384" s="2" t="n"/>
      <c r="C384" s="2" t="n"/>
      <c r="D384" s="2" t="n"/>
      <c r="E384" s="2" t="n"/>
      <c r="F384" s="2" t="n"/>
    </row>
    <row r="385" ht="15.75" customHeight="1" s="67">
      <c r="A385" s="2" t="n"/>
      <c r="B385" s="2" t="n"/>
      <c r="C385" s="2" t="n"/>
      <c r="D385" s="2" t="n"/>
      <c r="E385" s="2" t="n"/>
      <c r="F385" s="2" t="n"/>
    </row>
    <row r="386" ht="15.75" customHeight="1" s="67">
      <c r="A386" s="2" t="n"/>
      <c r="B386" s="2" t="n"/>
      <c r="C386" s="2" t="n"/>
      <c r="D386" s="2" t="n"/>
      <c r="E386" s="2" t="n"/>
      <c r="F386" s="2" t="n"/>
    </row>
    <row r="387" ht="15.75" customHeight="1" s="67">
      <c r="A387" s="2" t="n"/>
      <c r="B387" s="2" t="n"/>
      <c r="C387" s="2" t="n"/>
      <c r="D387" s="2" t="n"/>
      <c r="E387" s="2" t="n"/>
      <c r="F387" s="2" t="n"/>
    </row>
    <row r="388" ht="15.75" customHeight="1" s="67">
      <c r="A388" s="2" t="n"/>
      <c r="B388" s="2" t="n"/>
      <c r="C388" s="2" t="n"/>
      <c r="D388" s="2" t="n"/>
      <c r="E388" s="2" t="n"/>
      <c r="F388" s="2" t="n"/>
    </row>
    <row r="389" ht="15.75" customHeight="1" s="67">
      <c r="A389" s="2" t="n"/>
      <c r="B389" s="2" t="n"/>
      <c r="C389" s="2" t="n"/>
      <c r="D389" s="2" t="n"/>
      <c r="E389" s="2" t="n"/>
      <c r="F389" s="2" t="n"/>
    </row>
    <row r="390" ht="15.75" customHeight="1" s="67">
      <c r="A390" s="2" t="n"/>
      <c r="B390" s="2" t="n"/>
      <c r="C390" s="2" t="n"/>
      <c r="D390" s="2" t="n"/>
      <c r="E390" s="2" t="n"/>
      <c r="F390" s="2" t="n"/>
    </row>
    <row r="391" ht="15.75" customHeight="1" s="67">
      <c r="A391" s="2" t="n"/>
      <c r="B391" s="2" t="n"/>
      <c r="C391" s="2" t="n"/>
      <c r="D391" s="2" t="n"/>
      <c r="E391" s="2" t="n"/>
      <c r="F391" s="2" t="n"/>
    </row>
    <row r="392" ht="15.75" customHeight="1" s="67">
      <c r="A392" s="2" t="n"/>
      <c r="B392" s="2" t="n"/>
      <c r="C392" s="2" t="n"/>
      <c r="D392" s="2" t="n"/>
      <c r="E392" s="2" t="n"/>
      <c r="F392" s="2" t="n"/>
    </row>
    <row r="393" ht="15.75" customHeight="1" s="67">
      <c r="A393" s="2" t="n"/>
      <c r="B393" s="2" t="n"/>
      <c r="C393" s="2" t="n"/>
      <c r="D393" s="2" t="n"/>
      <c r="E393" s="2" t="n"/>
      <c r="F393" s="2" t="n"/>
    </row>
    <row r="394" ht="15.75" customHeight="1" s="67">
      <c r="A394" s="2" t="n"/>
      <c r="B394" s="2" t="n"/>
      <c r="C394" s="2" t="n"/>
      <c r="D394" s="2" t="n"/>
      <c r="E394" s="2" t="n"/>
      <c r="F394" s="2" t="n"/>
    </row>
    <row r="395" ht="15.75" customHeight="1" s="67">
      <c r="A395" s="2" t="n"/>
      <c r="B395" s="2" t="n"/>
      <c r="C395" s="2" t="n"/>
      <c r="D395" s="2" t="n"/>
      <c r="E395" s="2" t="n"/>
      <c r="F395" s="2" t="n"/>
    </row>
    <row r="396" ht="15.75" customHeight="1" s="67">
      <c r="A396" s="2" t="n"/>
      <c r="B396" s="2" t="n"/>
      <c r="C396" s="2" t="n"/>
      <c r="D396" s="2" t="n"/>
      <c r="E396" s="2" t="n"/>
      <c r="F396" s="2" t="n"/>
    </row>
    <row r="397" ht="15.75" customHeight="1" s="67">
      <c r="A397" s="2" t="n"/>
      <c r="B397" s="2" t="n"/>
      <c r="C397" s="2" t="n"/>
      <c r="D397" s="2" t="n"/>
      <c r="E397" s="2" t="n"/>
      <c r="F397" s="2" t="n"/>
    </row>
    <row r="398" ht="15.75" customHeight="1" s="67">
      <c r="A398" s="2" t="n"/>
      <c r="B398" s="2" t="n"/>
      <c r="C398" s="2" t="n"/>
      <c r="D398" s="2" t="n"/>
      <c r="E398" s="2" t="n"/>
      <c r="F398" s="2" t="n"/>
    </row>
    <row r="399" ht="15.75" customHeight="1" s="67">
      <c r="A399" s="2" t="n"/>
      <c r="B399" s="2" t="n"/>
      <c r="C399" s="2" t="n"/>
      <c r="D399" s="2" t="n"/>
      <c r="E399" s="2" t="n"/>
      <c r="F399" s="2" t="n"/>
    </row>
    <row r="400" ht="15.75" customHeight="1" s="67">
      <c r="A400" s="2" t="n"/>
      <c r="B400" s="2" t="n"/>
      <c r="C400" s="2" t="n"/>
      <c r="D400" s="2" t="n"/>
      <c r="E400" s="2" t="n"/>
      <c r="F400" s="2" t="n"/>
    </row>
    <row r="401" ht="15.75" customHeight="1" s="67">
      <c r="A401" s="2" t="n"/>
      <c r="B401" s="2" t="n"/>
      <c r="C401" s="2" t="n"/>
      <c r="D401" s="2" t="n"/>
      <c r="E401" s="2" t="n"/>
      <c r="F401" s="2" t="n"/>
    </row>
    <row r="402" ht="15.75" customHeight="1" s="67">
      <c r="A402" s="2" t="n"/>
      <c r="B402" s="2" t="n"/>
      <c r="C402" s="2" t="n"/>
      <c r="D402" s="2" t="n"/>
      <c r="E402" s="2" t="n"/>
      <c r="F402" s="2" t="n"/>
    </row>
    <row r="403" ht="15.75" customHeight="1" s="67">
      <c r="A403" s="2" t="n"/>
      <c r="B403" s="2" t="n"/>
      <c r="C403" s="2" t="n"/>
      <c r="D403" s="2" t="n"/>
      <c r="E403" s="2" t="n"/>
      <c r="F403" s="2" t="n"/>
    </row>
    <row r="404" ht="15.75" customHeight="1" s="67">
      <c r="A404" s="2" t="n"/>
      <c r="B404" s="2" t="n"/>
      <c r="C404" s="2" t="n"/>
      <c r="D404" s="2" t="n"/>
      <c r="E404" s="2" t="n"/>
      <c r="F404" s="2" t="n"/>
    </row>
    <row r="405" ht="15.75" customHeight="1" s="67">
      <c r="A405" s="2" t="n"/>
      <c r="B405" s="2" t="n"/>
      <c r="C405" s="2" t="n"/>
      <c r="D405" s="2" t="n"/>
      <c r="E405" s="2" t="n"/>
      <c r="F405" s="2" t="n"/>
    </row>
    <row r="406" ht="15.75" customHeight="1" s="67">
      <c r="A406" s="2" t="n"/>
      <c r="B406" s="2" t="n"/>
      <c r="C406" s="2" t="n"/>
      <c r="D406" s="2" t="n"/>
      <c r="E406" s="2" t="n"/>
      <c r="F406" s="2" t="n"/>
    </row>
    <row r="407" ht="15.75" customHeight="1" s="67">
      <c r="A407" s="2" t="n"/>
      <c r="B407" s="2" t="n"/>
      <c r="C407" s="2" t="n"/>
      <c r="D407" s="2" t="n"/>
      <c r="E407" s="2" t="n"/>
      <c r="F407" s="2" t="n"/>
    </row>
    <row r="408" ht="15.75" customHeight="1" s="67">
      <c r="A408" s="2" t="n"/>
      <c r="B408" s="2" t="n"/>
      <c r="C408" s="2" t="n"/>
      <c r="D408" s="2" t="n"/>
      <c r="E408" s="2" t="n"/>
      <c r="F408" s="2" t="n"/>
    </row>
    <row r="409" ht="15.75" customHeight="1" s="67">
      <c r="A409" s="2" t="n"/>
      <c r="B409" s="2" t="n"/>
      <c r="C409" s="2" t="n"/>
      <c r="D409" s="2" t="n"/>
      <c r="E409" s="2" t="n"/>
      <c r="F409" s="2" t="n"/>
    </row>
    <row r="410" ht="15.75" customHeight="1" s="67">
      <c r="A410" s="2" t="n"/>
      <c r="B410" s="2" t="n"/>
      <c r="C410" s="2" t="n"/>
      <c r="D410" s="2" t="n"/>
      <c r="E410" s="2" t="n"/>
      <c r="F410" s="2" t="n"/>
    </row>
    <row r="411" ht="15.75" customHeight="1" s="67">
      <c r="A411" s="2" t="n"/>
      <c r="B411" s="2" t="n"/>
      <c r="C411" s="2" t="n"/>
      <c r="D411" s="2" t="n"/>
      <c r="E411" s="2" t="n"/>
      <c r="F411" s="2" t="n"/>
    </row>
    <row r="412" ht="15.75" customHeight="1" s="67">
      <c r="A412" s="2" t="n"/>
      <c r="B412" s="2" t="n"/>
      <c r="C412" s="2" t="n"/>
      <c r="D412" s="2" t="n"/>
      <c r="E412" s="2" t="n"/>
      <c r="F412" s="2" t="n"/>
    </row>
    <row r="413" ht="15.75" customHeight="1" s="67">
      <c r="A413" s="2" t="n"/>
      <c r="B413" s="2" t="n"/>
      <c r="C413" s="2" t="n"/>
      <c r="D413" s="2" t="n"/>
      <c r="E413" s="2" t="n"/>
      <c r="F413" s="2" t="n"/>
    </row>
    <row r="414" ht="15.75" customHeight="1" s="67">
      <c r="A414" s="2" t="n"/>
      <c r="B414" s="2" t="n"/>
      <c r="C414" s="2" t="n"/>
      <c r="D414" s="2" t="n"/>
      <c r="E414" s="2" t="n"/>
      <c r="F414" s="2" t="n"/>
    </row>
    <row r="415" ht="15.75" customHeight="1" s="67">
      <c r="A415" s="2" t="n"/>
      <c r="B415" s="2" t="n"/>
      <c r="C415" s="2" t="n"/>
      <c r="D415" s="2" t="n"/>
      <c r="E415" s="2" t="n"/>
      <c r="F415" s="2" t="n"/>
    </row>
    <row r="416" ht="15.75" customHeight="1" s="67">
      <c r="A416" s="2" t="n"/>
      <c r="B416" s="2" t="n"/>
      <c r="C416" s="2" t="n"/>
      <c r="D416" s="2" t="n"/>
      <c r="E416" s="2" t="n"/>
      <c r="F416" s="2" t="n"/>
    </row>
    <row r="417" ht="15.75" customHeight="1" s="67">
      <c r="A417" s="2" t="n"/>
      <c r="B417" s="2" t="n"/>
      <c r="C417" s="2" t="n"/>
      <c r="D417" s="2" t="n"/>
      <c r="E417" s="2" t="n"/>
      <c r="F417" s="2" t="n"/>
    </row>
    <row r="418" ht="15.75" customHeight="1" s="67">
      <c r="A418" s="2" t="n"/>
      <c r="B418" s="2" t="n"/>
      <c r="C418" s="2" t="n"/>
      <c r="D418" s="2" t="n"/>
      <c r="E418" s="2" t="n"/>
      <c r="F418" s="2" t="n"/>
    </row>
    <row r="419" ht="15.75" customHeight="1" s="67">
      <c r="A419" s="2" t="n"/>
      <c r="B419" s="2" t="n"/>
      <c r="C419" s="2" t="n"/>
      <c r="D419" s="2" t="n"/>
      <c r="E419" s="2" t="n"/>
      <c r="F419" s="2" t="n"/>
    </row>
    <row r="420" ht="15.75" customHeight="1" s="67">
      <c r="A420" s="2" t="n"/>
      <c r="B420" s="2" t="n"/>
      <c r="C420" s="2" t="n"/>
      <c r="D420" s="2" t="n"/>
      <c r="E420" s="2" t="n"/>
      <c r="F420" s="2" t="n"/>
    </row>
    <row r="421" ht="15.75" customHeight="1" s="67">
      <c r="A421" s="2" t="n"/>
      <c r="B421" s="2" t="n"/>
      <c r="C421" s="2" t="n"/>
      <c r="D421" s="2" t="n"/>
      <c r="E421" s="2" t="n"/>
      <c r="F421" s="2" t="n"/>
    </row>
    <row r="422" ht="15.75" customHeight="1" s="67">
      <c r="A422" s="2" t="n"/>
      <c r="B422" s="2" t="n"/>
      <c r="C422" s="2" t="n"/>
      <c r="D422" s="2" t="n"/>
      <c r="E422" s="2" t="n"/>
      <c r="F422" s="2" t="n"/>
    </row>
    <row r="423" ht="15.75" customHeight="1" s="67">
      <c r="A423" s="2" t="n"/>
      <c r="B423" s="2" t="n"/>
      <c r="C423" s="2" t="n"/>
      <c r="D423" s="2" t="n"/>
      <c r="E423" s="2" t="n"/>
      <c r="F423" s="2" t="n"/>
    </row>
    <row r="424" ht="15.75" customHeight="1" s="67">
      <c r="A424" s="2" t="n"/>
      <c r="B424" s="2" t="n"/>
      <c r="C424" s="2" t="n"/>
      <c r="D424" s="2" t="n"/>
      <c r="E424" s="2" t="n"/>
      <c r="F424" s="2" t="n"/>
    </row>
    <row r="425" ht="15.75" customHeight="1" s="67">
      <c r="A425" s="2" t="n"/>
      <c r="B425" s="2" t="n"/>
      <c r="C425" s="2" t="n"/>
      <c r="D425" s="2" t="n"/>
      <c r="E425" s="2" t="n"/>
      <c r="F425" s="2" t="n"/>
    </row>
    <row r="426" ht="15.75" customHeight="1" s="67">
      <c r="A426" s="2" t="n"/>
      <c r="B426" s="2" t="n"/>
      <c r="C426" s="2" t="n"/>
      <c r="D426" s="2" t="n"/>
      <c r="E426" s="2" t="n"/>
      <c r="F426" s="2" t="n"/>
    </row>
    <row r="427" ht="15.75" customHeight="1" s="67">
      <c r="A427" s="2" t="n"/>
      <c r="B427" s="2" t="n"/>
      <c r="C427" s="2" t="n"/>
      <c r="D427" s="2" t="n"/>
      <c r="E427" s="2" t="n"/>
      <c r="F427" s="2" t="n"/>
    </row>
    <row r="428" ht="15.75" customHeight="1" s="67">
      <c r="A428" s="2" t="n"/>
      <c r="B428" s="2" t="n"/>
      <c r="C428" s="2" t="n"/>
      <c r="D428" s="2" t="n"/>
      <c r="E428" s="2" t="n"/>
      <c r="F428" s="2" t="n"/>
    </row>
    <row r="429" ht="15.75" customHeight="1" s="67">
      <c r="A429" s="2" t="n"/>
      <c r="B429" s="2" t="n"/>
      <c r="C429" s="2" t="n"/>
      <c r="D429" s="2" t="n"/>
      <c r="E429" s="2" t="n"/>
      <c r="F429" s="2" t="n"/>
    </row>
    <row r="430" ht="15.75" customHeight="1" s="67">
      <c r="A430" s="2" t="n"/>
      <c r="B430" s="2" t="n"/>
      <c r="C430" s="2" t="n"/>
      <c r="D430" s="2" t="n"/>
      <c r="E430" s="2" t="n"/>
      <c r="F430" s="2" t="n"/>
    </row>
    <row r="431" ht="15.75" customHeight="1" s="67">
      <c r="A431" s="2" t="n"/>
      <c r="B431" s="2" t="n"/>
      <c r="C431" s="2" t="n"/>
      <c r="D431" s="2" t="n"/>
      <c r="E431" s="2" t="n"/>
      <c r="F431" s="2" t="n"/>
    </row>
    <row r="432" ht="15.75" customHeight="1" s="67">
      <c r="A432" s="2" t="n"/>
      <c r="B432" s="2" t="n"/>
      <c r="C432" s="2" t="n"/>
      <c r="D432" s="2" t="n"/>
      <c r="E432" s="2" t="n"/>
      <c r="F432" s="2" t="n"/>
    </row>
    <row r="433" ht="15.75" customHeight="1" s="67">
      <c r="A433" s="2" t="n"/>
      <c r="B433" s="2" t="n"/>
      <c r="C433" s="2" t="n"/>
      <c r="D433" s="2" t="n"/>
      <c r="E433" s="2" t="n"/>
      <c r="F433" s="2" t="n"/>
    </row>
    <row r="434" ht="15.75" customHeight="1" s="67">
      <c r="A434" s="2" t="n"/>
      <c r="B434" s="2" t="n"/>
      <c r="C434" s="2" t="n"/>
      <c r="D434" s="2" t="n"/>
      <c r="E434" s="2" t="n"/>
      <c r="F434" s="2" t="n"/>
    </row>
    <row r="435" ht="15.75" customHeight="1" s="67">
      <c r="A435" s="2" t="n"/>
      <c r="B435" s="2" t="n"/>
      <c r="C435" s="2" t="n"/>
      <c r="D435" s="2" t="n"/>
      <c r="E435" s="2" t="n"/>
      <c r="F435" s="2" t="n"/>
    </row>
    <row r="436" ht="15.75" customHeight="1" s="67">
      <c r="A436" s="2" t="n"/>
      <c r="B436" s="2" t="n"/>
      <c r="C436" s="2" t="n"/>
      <c r="D436" s="2" t="n"/>
      <c r="E436" s="2" t="n"/>
      <c r="F436" s="2" t="n"/>
    </row>
    <row r="437" ht="15.75" customHeight="1" s="67">
      <c r="A437" s="2" t="n"/>
      <c r="B437" s="2" t="n"/>
      <c r="C437" s="2" t="n"/>
      <c r="D437" s="2" t="n"/>
      <c r="E437" s="2" t="n"/>
      <c r="F437" s="2" t="n"/>
    </row>
    <row r="438" ht="15.75" customHeight="1" s="67">
      <c r="A438" s="2" t="n"/>
      <c r="B438" s="2" t="n"/>
      <c r="C438" s="2" t="n"/>
      <c r="D438" s="2" t="n"/>
      <c r="E438" s="2" t="n"/>
      <c r="F438" s="2" t="n"/>
    </row>
    <row r="439" ht="15.75" customHeight="1" s="67">
      <c r="A439" s="2" t="n"/>
      <c r="B439" s="2" t="n"/>
      <c r="C439" s="2" t="n"/>
      <c r="D439" s="2" t="n"/>
      <c r="E439" s="2" t="n"/>
      <c r="F439" s="2" t="n"/>
    </row>
    <row r="440" ht="15.75" customHeight="1" s="67">
      <c r="A440" s="2" t="n"/>
      <c r="B440" s="2" t="n"/>
      <c r="C440" s="2" t="n"/>
      <c r="D440" s="2" t="n"/>
      <c r="E440" s="2" t="n"/>
      <c r="F440" s="2" t="n"/>
    </row>
    <row r="441" ht="15.75" customHeight="1" s="67">
      <c r="A441" s="2" t="n"/>
      <c r="B441" s="2" t="n"/>
      <c r="C441" s="2" t="n"/>
      <c r="D441" s="2" t="n"/>
      <c r="E441" s="2" t="n"/>
      <c r="F441" s="2" t="n"/>
    </row>
    <row r="442" ht="15.75" customHeight="1" s="67">
      <c r="A442" s="2" t="n"/>
      <c r="B442" s="2" t="n"/>
      <c r="C442" s="2" t="n"/>
      <c r="D442" s="2" t="n"/>
      <c r="E442" s="2" t="n"/>
      <c r="F442" s="2" t="n"/>
    </row>
    <row r="443" ht="15.75" customHeight="1" s="67">
      <c r="A443" s="2" t="n"/>
      <c r="B443" s="2" t="n"/>
      <c r="C443" s="2" t="n"/>
      <c r="D443" s="2" t="n"/>
      <c r="E443" s="2" t="n"/>
      <c r="F443" s="2" t="n"/>
    </row>
    <row r="444" ht="15.75" customHeight="1" s="67">
      <c r="A444" s="2" t="n"/>
      <c r="B444" s="2" t="n"/>
      <c r="C444" s="2" t="n"/>
      <c r="D444" s="2" t="n"/>
      <c r="E444" s="2" t="n"/>
      <c r="F444" s="2" t="n"/>
    </row>
    <row r="445" ht="15.75" customHeight="1" s="67">
      <c r="A445" s="2" t="n"/>
      <c r="B445" s="2" t="n"/>
      <c r="C445" s="2" t="n"/>
      <c r="D445" s="2" t="n"/>
      <c r="E445" s="2" t="n"/>
      <c r="F445" s="2" t="n"/>
    </row>
    <row r="446" ht="15.75" customHeight="1" s="67">
      <c r="A446" s="2" t="n"/>
      <c r="B446" s="2" t="n"/>
      <c r="C446" s="2" t="n"/>
      <c r="D446" s="2" t="n"/>
      <c r="E446" s="2" t="n"/>
      <c r="F446" s="2" t="n"/>
    </row>
    <row r="447" ht="15.75" customHeight="1" s="67">
      <c r="A447" s="2" t="n"/>
      <c r="B447" s="2" t="n"/>
      <c r="C447" s="2" t="n"/>
      <c r="D447" s="2" t="n"/>
      <c r="E447" s="2" t="n"/>
      <c r="F447" s="2" t="n"/>
    </row>
    <row r="448" ht="15.75" customHeight="1" s="67">
      <c r="A448" s="2" t="n"/>
      <c r="B448" s="2" t="n"/>
      <c r="C448" s="2" t="n"/>
      <c r="D448" s="2" t="n"/>
      <c r="E448" s="2" t="n"/>
      <c r="F448" s="2" t="n"/>
    </row>
    <row r="449" ht="15.75" customHeight="1" s="67">
      <c r="A449" s="2" t="n"/>
      <c r="B449" s="2" t="n"/>
      <c r="C449" s="2" t="n"/>
      <c r="D449" s="2" t="n"/>
      <c r="E449" s="2" t="n"/>
      <c r="F449" s="2" t="n"/>
    </row>
    <row r="450" ht="15.75" customHeight="1" s="67">
      <c r="A450" s="2" t="n"/>
      <c r="B450" s="2" t="n"/>
      <c r="C450" s="2" t="n"/>
      <c r="D450" s="2" t="n"/>
      <c r="E450" s="2" t="n"/>
      <c r="F450" s="2" t="n"/>
    </row>
    <row r="451" ht="15.75" customHeight="1" s="67">
      <c r="A451" s="2" t="n"/>
      <c r="B451" s="2" t="n"/>
      <c r="C451" s="2" t="n"/>
      <c r="D451" s="2" t="n"/>
      <c r="E451" s="2" t="n"/>
      <c r="F451" s="2" t="n"/>
    </row>
    <row r="452" ht="15.75" customHeight="1" s="67">
      <c r="A452" s="2" t="n"/>
      <c r="B452" s="2" t="n"/>
      <c r="C452" s="2" t="n"/>
      <c r="D452" s="2" t="n"/>
      <c r="E452" s="2" t="n"/>
      <c r="F452" s="2" t="n"/>
    </row>
    <row r="453" ht="15.75" customHeight="1" s="67">
      <c r="A453" s="2" t="n"/>
      <c r="B453" s="2" t="n"/>
      <c r="C453" s="2" t="n"/>
      <c r="D453" s="2" t="n"/>
      <c r="E453" s="2" t="n"/>
      <c r="F453" s="2" t="n"/>
    </row>
    <row r="454" ht="15.75" customHeight="1" s="67">
      <c r="A454" s="2" t="n"/>
      <c r="B454" s="2" t="n"/>
      <c r="C454" s="2" t="n"/>
      <c r="D454" s="2" t="n"/>
      <c r="E454" s="2" t="n"/>
      <c r="F454" s="2" t="n"/>
    </row>
    <row r="455" ht="15.75" customHeight="1" s="67">
      <c r="A455" s="2" t="n"/>
      <c r="B455" s="2" t="n"/>
      <c r="C455" s="2" t="n"/>
      <c r="D455" s="2" t="n"/>
      <c r="E455" s="2" t="n"/>
      <c r="F455" s="2" t="n"/>
    </row>
    <row r="456" ht="15.75" customHeight="1" s="67">
      <c r="A456" s="2" t="n"/>
      <c r="B456" s="2" t="n"/>
      <c r="C456" s="2" t="n"/>
      <c r="D456" s="2" t="n"/>
      <c r="E456" s="2" t="n"/>
      <c r="F456" s="2" t="n"/>
    </row>
    <row r="457" ht="15.75" customHeight="1" s="67">
      <c r="A457" s="2" t="n"/>
      <c r="B457" s="2" t="n"/>
      <c r="C457" s="2" t="n"/>
      <c r="D457" s="2" t="n"/>
      <c r="E457" s="2" t="n"/>
      <c r="F457" s="2" t="n"/>
    </row>
    <row r="458" ht="15.75" customHeight="1" s="67">
      <c r="A458" s="2" t="n"/>
      <c r="B458" s="2" t="n"/>
      <c r="C458" s="2" t="n"/>
      <c r="D458" s="2" t="n"/>
      <c r="E458" s="2" t="n"/>
      <c r="F458" s="2" t="n"/>
    </row>
    <row r="459" ht="15.75" customHeight="1" s="67">
      <c r="A459" s="2" t="n"/>
      <c r="B459" s="2" t="n"/>
      <c r="C459" s="2" t="n"/>
      <c r="D459" s="2" t="n"/>
      <c r="E459" s="2" t="n"/>
      <c r="F459" s="2" t="n"/>
    </row>
    <row r="460" ht="15.75" customHeight="1" s="67">
      <c r="A460" s="2" t="n"/>
      <c r="B460" s="2" t="n"/>
      <c r="C460" s="2" t="n"/>
      <c r="D460" s="2" t="n"/>
      <c r="E460" s="2" t="n"/>
      <c r="F460" s="2" t="n"/>
    </row>
    <row r="461" ht="15.75" customHeight="1" s="67">
      <c r="A461" s="2" t="n"/>
      <c r="B461" s="2" t="n"/>
      <c r="C461" s="2" t="n"/>
      <c r="D461" s="2" t="n"/>
      <c r="E461" s="2" t="n"/>
      <c r="F461" s="2" t="n"/>
    </row>
    <row r="462" ht="15.75" customHeight="1" s="67">
      <c r="A462" s="2" t="n"/>
      <c r="B462" s="2" t="n"/>
      <c r="C462" s="2" t="n"/>
      <c r="D462" s="2" t="n"/>
      <c r="E462" s="2" t="n"/>
      <c r="F462" s="2" t="n"/>
    </row>
    <row r="463" ht="15.75" customHeight="1" s="67">
      <c r="A463" s="2" t="n"/>
      <c r="B463" s="2" t="n"/>
      <c r="C463" s="2" t="n"/>
      <c r="D463" s="2" t="n"/>
      <c r="E463" s="2" t="n"/>
      <c r="F463" s="2" t="n"/>
    </row>
    <row r="464" ht="15.75" customHeight="1" s="67">
      <c r="A464" s="2" t="n"/>
      <c r="B464" s="2" t="n"/>
      <c r="C464" s="2" t="n"/>
      <c r="D464" s="2" t="n"/>
      <c r="E464" s="2" t="n"/>
      <c r="F464" s="2" t="n"/>
    </row>
    <row r="465" ht="15.75" customHeight="1" s="67">
      <c r="A465" s="2" t="n"/>
      <c r="B465" s="2" t="n"/>
      <c r="C465" s="2" t="n"/>
      <c r="D465" s="2" t="n"/>
      <c r="E465" s="2" t="n"/>
      <c r="F465" s="2" t="n"/>
    </row>
    <row r="466" ht="15.75" customHeight="1" s="67">
      <c r="A466" s="2" t="n"/>
      <c r="B466" s="2" t="n"/>
      <c r="C466" s="2" t="n"/>
      <c r="D466" s="2" t="n"/>
      <c r="E466" s="2" t="n"/>
      <c r="F466" s="2" t="n"/>
    </row>
    <row r="467" ht="15.75" customHeight="1" s="67">
      <c r="A467" s="2" t="n"/>
      <c r="B467" s="2" t="n"/>
      <c r="C467" s="2" t="n"/>
      <c r="D467" s="2" t="n"/>
      <c r="E467" s="2" t="n"/>
      <c r="F467" s="2" t="n"/>
    </row>
    <row r="468" ht="15.75" customHeight="1" s="67">
      <c r="A468" s="2" t="n"/>
      <c r="B468" s="2" t="n"/>
      <c r="C468" s="2" t="n"/>
      <c r="D468" s="2" t="n"/>
      <c r="E468" s="2" t="n"/>
      <c r="F468" s="2" t="n"/>
    </row>
    <row r="469" ht="15.75" customHeight="1" s="67">
      <c r="A469" s="2" t="n"/>
      <c r="B469" s="2" t="n"/>
      <c r="C469" s="2" t="n"/>
      <c r="D469" s="2" t="n"/>
      <c r="E469" s="2" t="n"/>
      <c r="F469" s="2" t="n"/>
    </row>
    <row r="470" ht="15.75" customHeight="1" s="67">
      <c r="A470" s="2" t="n"/>
      <c r="B470" s="2" t="n"/>
      <c r="C470" s="2" t="n"/>
      <c r="D470" s="2" t="n"/>
      <c r="E470" s="2" t="n"/>
      <c r="F470" s="2" t="n"/>
    </row>
    <row r="471" ht="15.75" customHeight="1" s="67">
      <c r="A471" s="2" t="n"/>
      <c r="B471" s="2" t="n"/>
      <c r="C471" s="2" t="n"/>
      <c r="D471" s="2" t="n"/>
      <c r="E471" s="2" t="n"/>
      <c r="F471" s="2" t="n"/>
    </row>
    <row r="472" ht="15.75" customHeight="1" s="67">
      <c r="A472" s="2" t="n"/>
      <c r="B472" s="2" t="n"/>
      <c r="C472" s="2" t="n"/>
      <c r="D472" s="2" t="n"/>
      <c r="E472" s="2" t="n"/>
      <c r="F472" s="2" t="n"/>
    </row>
    <row r="473" ht="15.75" customHeight="1" s="67">
      <c r="A473" s="2" t="n"/>
      <c r="B473" s="2" t="n"/>
      <c r="C473" s="2" t="n"/>
      <c r="D473" s="2" t="n"/>
      <c r="E473" s="2" t="n"/>
      <c r="F473" s="2" t="n"/>
    </row>
    <row r="474" ht="15.75" customHeight="1" s="67">
      <c r="A474" s="2" t="n"/>
      <c r="B474" s="2" t="n"/>
      <c r="C474" s="2" t="n"/>
      <c r="D474" s="2" t="n"/>
      <c r="E474" s="2" t="n"/>
      <c r="F474" s="2" t="n"/>
    </row>
    <row r="475" ht="15.75" customHeight="1" s="67">
      <c r="A475" s="2" t="n"/>
      <c r="B475" s="2" t="n"/>
      <c r="C475" s="2" t="n"/>
      <c r="D475" s="2" t="n"/>
      <c r="E475" s="2" t="n"/>
      <c r="F475" s="2" t="n"/>
    </row>
    <row r="476" ht="15.75" customHeight="1" s="67">
      <c r="A476" s="2" t="n"/>
      <c r="B476" s="2" t="n"/>
      <c r="C476" s="2" t="n"/>
      <c r="D476" s="2" t="n"/>
      <c r="E476" s="2" t="n"/>
      <c r="F476" s="2" t="n"/>
    </row>
    <row r="477" ht="15.75" customHeight="1" s="67">
      <c r="A477" s="2" t="n"/>
      <c r="B477" s="2" t="n"/>
      <c r="C477" s="2" t="n"/>
      <c r="D477" s="2" t="n"/>
      <c r="E477" s="2" t="n"/>
      <c r="F477" s="2" t="n"/>
    </row>
    <row r="478" ht="15.75" customHeight="1" s="67">
      <c r="A478" s="2" t="n"/>
      <c r="B478" s="2" t="n"/>
      <c r="C478" s="2" t="n"/>
      <c r="D478" s="2" t="n"/>
      <c r="E478" s="2" t="n"/>
      <c r="F478" s="2" t="n"/>
    </row>
    <row r="479" ht="15.75" customHeight="1" s="67">
      <c r="A479" s="2" t="n"/>
      <c r="B479" s="2" t="n"/>
      <c r="C479" s="2" t="n"/>
      <c r="D479" s="2" t="n"/>
      <c r="E479" s="2" t="n"/>
      <c r="F479" s="2" t="n"/>
    </row>
    <row r="480" ht="15.75" customHeight="1" s="67">
      <c r="A480" s="2" t="n"/>
      <c r="B480" s="2" t="n"/>
      <c r="C480" s="2" t="n"/>
      <c r="D480" s="2" t="n"/>
      <c r="E480" s="2" t="n"/>
      <c r="F480" s="2" t="n"/>
    </row>
    <row r="481" ht="15.75" customHeight="1" s="67">
      <c r="A481" s="2" t="n"/>
      <c r="B481" s="2" t="n"/>
      <c r="C481" s="2" t="n"/>
      <c r="D481" s="2" t="n"/>
      <c r="E481" s="2" t="n"/>
      <c r="F481" s="2" t="n"/>
    </row>
    <row r="482" ht="15.75" customHeight="1" s="67">
      <c r="A482" s="2" t="n"/>
      <c r="B482" s="2" t="n"/>
      <c r="C482" s="2" t="n"/>
      <c r="D482" s="2" t="n"/>
      <c r="E482" s="2" t="n"/>
      <c r="F482" s="2" t="n"/>
    </row>
    <row r="483" ht="15.75" customHeight="1" s="67">
      <c r="A483" s="2" t="n"/>
      <c r="B483" s="2" t="n"/>
      <c r="C483" s="2" t="n"/>
      <c r="D483" s="2" t="n"/>
      <c r="E483" s="2" t="n"/>
      <c r="F483" s="2" t="n"/>
    </row>
    <row r="484" ht="15.75" customHeight="1" s="67">
      <c r="A484" s="2" t="n"/>
      <c r="B484" s="2" t="n"/>
      <c r="C484" s="2" t="n"/>
      <c r="D484" s="2" t="n"/>
      <c r="E484" s="2" t="n"/>
      <c r="F484" s="2" t="n"/>
    </row>
    <row r="485" ht="15.75" customHeight="1" s="67">
      <c r="A485" s="2" t="n"/>
      <c r="B485" s="2" t="n"/>
      <c r="C485" s="2" t="n"/>
      <c r="D485" s="2" t="n"/>
      <c r="E485" s="2" t="n"/>
      <c r="F485" s="2" t="n"/>
    </row>
    <row r="486" ht="15.75" customHeight="1" s="67">
      <c r="A486" s="2" t="n"/>
      <c r="B486" s="2" t="n"/>
      <c r="C486" s="2" t="n"/>
      <c r="D486" s="2" t="n"/>
      <c r="E486" s="2" t="n"/>
      <c r="F486" s="2" t="n"/>
    </row>
    <row r="487" ht="15.75" customHeight="1" s="67">
      <c r="A487" s="2" t="n"/>
      <c r="B487" s="2" t="n"/>
      <c r="C487" s="2" t="n"/>
      <c r="D487" s="2" t="n"/>
      <c r="E487" s="2" t="n"/>
      <c r="F487" s="2" t="n"/>
    </row>
    <row r="488" ht="15.75" customHeight="1" s="67">
      <c r="A488" s="2" t="n"/>
      <c r="B488" s="2" t="n"/>
      <c r="C488" s="2" t="n"/>
      <c r="D488" s="2" t="n"/>
      <c r="E488" s="2" t="n"/>
      <c r="F488" s="2" t="n"/>
    </row>
    <row r="489" ht="15.75" customHeight="1" s="67">
      <c r="A489" s="2" t="n"/>
      <c r="B489" s="2" t="n"/>
      <c r="C489" s="2" t="n"/>
      <c r="D489" s="2" t="n"/>
      <c r="E489" s="2" t="n"/>
      <c r="F489" s="2" t="n"/>
    </row>
    <row r="490" ht="15.75" customHeight="1" s="67">
      <c r="A490" s="2" t="n"/>
      <c r="B490" s="2" t="n"/>
      <c r="C490" s="2" t="n"/>
      <c r="D490" s="2" t="n"/>
      <c r="E490" s="2" t="n"/>
      <c r="F490" s="2" t="n"/>
    </row>
    <row r="491" ht="15.75" customHeight="1" s="67">
      <c r="A491" s="2" t="n"/>
      <c r="B491" s="2" t="n"/>
      <c r="C491" s="2" t="n"/>
      <c r="D491" s="2" t="n"/>
      <c r="E491" s="2" t="n"/>
      <c r="F491" s="2" t="n"/>
    </row>
    <row r="492" ht="15.75" customHeight="1" s="67">
      <c r="A492" s="2" t="n"/>
      <c r="B492" s="2" t="n"/>
      <c r="C492" s="2" t="n"/>
      <c r="D492" s="2" t="n"/>
      <c r="E492" s="2" t="n"/>
      <c r="F492" s="2" t="n"/>
    </row>
    <row r="493" ht="15.75" customHeight="1" s="67">
      <c r="A493" s="2" t="n"/>
      <c r="B493" s="2" t="n"/>
      <c r="C493" s="2" t="n"/>
      <c r="D493" s="2" t="n"/>
      <c r="E493" s="2" t="n"/>
      <c r="F493" s="2" t="n"/>
    </row>
    <row r="494" ht="15.75" customHeight="1" s="67">
      <c r="A494" s="2" t="n"/>
      <c r="B494" s="2" t="n"/>
      <c r="C494" s="2" t="n"/>
      <c r="D494" s="2" t="n"/>
      <c r="E494" s="2" t="n"/>
      <c r="F494" s="2" t="n"/>
    </row>
    <row r="495" ht="15.75" customHeight="1" s="67">
      <c r="A495" s="2" t="n"/>
      <c r="B495" s="2" t="n"/>
      <c r="C495" s="2" t="n"/>
      <c r="D495" s="2" t="n"/>
      <c r="E495" s="2" t="n"/>
      <c r="F495" s="2" t="n"/>
    </row>
    <row r="496" ht="15.75" customHeight="1" s="67">
      <c r="A496" s="2" t="n"/>
      <c r="B496" s="2" t="n"/>
      <c r="C496" s="2" t="n"/>
      <c r="D496" s="2" t="n"/>
      <c r="E496" s="2" t="n"/>
      <c r="F496" s="2" t="n"/>
    </row>
    <row r="497" ht="15.75" customHeight="1" s="67">
      <c r="A497" s="2" t="n"/>
      <c r="B497" s="2" t="n"/>
      <c r="C497" s="2" t="n"/>
      <c r="D497" s="2" t="n"/>
      <c r="E497" s="2" t="n"/>
      <c r="F497" s="2" t="n"/>
    </row>
    <row r="498" ht="15.75" customHeight="1" s="67">
      <c r="A498" s="2" t="n"/>
      <c r="B498" s="2" t="n"/>
      <c r="C498" s="2" t="n"/>
      <c r="D498" s="2" t="n"/>
      <c r="E498" s="2" t="n"/>
      <c r="F498" s="2" t="n"/>
    </row>
    <row r="499" ht="15.75" customHeight="1" s="67">
      <c r="A499" s="2" t="n"/>
      <c r="B499" s="2" t="n"/>
      <c r="C499" s="2" t="n"/>
      <c r="D499" s="2" t="n"/>
      <c r="E499" s="2" t="n"/>
      <c r="F499" s="2" t="n"/>
    </row>
    <row r="500" ht="15.75" customHeight="1" s="67">
      <c r="A500" s="2" t="n"/>
      <c r="B500" s="2" t="n"/>
      <c r="C500" s="2" t="n"/>
      <c r="D500" s="2" t="n"/>
      <c r="E500" s="2" t="n"/>
      <c r="F500" s="2" t="n"/>
    </row>
    <row r="501" ht="15.75" customHeight="1" s="67">
      <c r="A501" s="2" t="n"/>
      <c r="B501" s="2" t="n"/>
      <c r="C501" s="2" t="n"/>
      <c r="D501" s="2" t="n"/>
      <c r="E501" s="2" t="n"/>
      <c r="F501" s="2" t="n"/>
    </row>
    <row r="502" ht="15.75" customHeight="1" s="67">
      <c r="A502" s="2" t="n"/>
      <c r="B502" s="2" t="n"/>
      <c r="C502" s="2" t="n"/>
      <c r="D502" s="2" t="n"/>
      <c r="E502" s="2" t="n"/>
      <c r="F502" s="2" t="n"/>
    </row>
    <row r="503" ht="15.75" customHeight="1" s="67">
      <c r="A503" s="2" t="n"/>
      <c r="B503" s="2" t="n"/>
      <c r="C503" s="2" t="n"/>
      <c r="D503" s="2" t="n"/>
      <c r="E503" s="2" t="n"/>
      <c r="F503" s="2" t="n"/>
    </row>
    <row r="504" ht="15.75" customHeight="1" s="67">
      <c r="A504" s="2" t="n"/>
      <c r="B504" s="2" t="n"/>
      <c r="C504" s="2" t="n"/>
      <c r="D504" s="2" t="n"/>
      <c r="E504" s="2" t="n"/>
      <c r="F504" s="2" t="n"/>
    </row>
    <row r="505" ht="15.75" customHeight="1" s="67">
      <c r="A505" s="2" t="n"/>
      <c r="B505" s="2" t="n"/>
      <c r="C505" s="2" t="n"/>
      <c r="D505" s="2" t="n"/>
      <c r="E505" s="2" t="n"/>
      <c r="F505" s="2" t="n"/>
    </row>
    <row r="506" ht="15.75" customHeight="1" s="67">
      <c r="A506" s="2" t="n"/>
      <c r="B506" s="2" t="n"/>
      <c r="C506" s="2" t="n"/>
      <c r="D506" s="2" t="n"/>
      <c r="E506" s="2" t="n"/>
      <c r="F506" s="2" t="n"/>
    </row>
    <row r="507" ht="15.75" customHeight="1" s="67">
      <c r="A507" s="2" t="n"/>
      <c r="B507" s="2" t="n"/>
      <c r="C507" s="2" t="n"/>
      <c r="D507" s="2" t="n"/>
      <c r="E507" s="2" t="n"/>
      <c r="F507" s="2" t="n"/>
    </row>
    <row r="508" ht="15.75" customHeight="1" s="67">
      <c r="A508" s="2" t="n"/>
      <c r="B508" s="2" t="n"/>
      <c r="C508" s="2" t="n"/>
      <c r="D508" s="2" t="n"/>
      <c r="E508" s="2" t="n"/>
      <c r="F508" s="2" t="n"/>
    </row>
    <row r="509" ht="15.75" customHeight="1" s="67">
      <c r="A509" s="2" t="n"/>
      <c r="B509" s="2" t="n"/>
      <c r="C509" s="2" t="n"/>
      <c r="D509" s="2" t="n"/>
      <c r="E509" s="2" t="n"/>
      <c r="F509" s="2" t="n"/>
    </row>
    <row r="510" ht="15.75" customHeight="1" s="67">
      <c r="A510" s="2" t="n"/>
      <c r="B510" s="2" t="n"/>
      <c r="C510" s="2" t="n"/>
      <c r="D510" s="2" t="n"/>
      <c r="E510" s="2" t="n"/>
      <c r="F510" s="2" t="n"/>
    </row>
    <row r="511" ht="15.75" customHeight="1" s="67">
      <c r="A511" s="2" t="n"/>
      <c r="B511" s="2" t="n"/>
      <c r="C511" s="2" t="n"/>
      <c r="D511" s="2" t="n"/>
      <c r="E511" s="2" t="n"/>
      <c r="F511" s="2" t="n"/>
    </row>
    <row r="512" ht="15.75" customHeight="1" s="67">
      <c r="A512" s="2" t="n"/>
      <c r="B512" s="2" t="n"/>
      <c r="C512" s="2" t="n"/>
      <c r="D512" s="2" t="n"/>
      <c r="E512" s="2" t="n"/>
      <c r="F512" s="2" t="n"/>
    </row>
    <row r="513" ht="15.75" customHeight="1" s="67">
      <c r="A513" s="2" t="n"/>
      <c r="B513" s="2" t="n"/>
      <c r="C513" s="2" t="n"/>
      <c r="D513" s="2" t="n"/>
      <c r="E513" s="2" t="n"/>
      <c r="F513" s="2" t="n"/>
    </row>
    <row r="514" ht="15.75" customHeight="1" s="67">
      <c r="A514" s="2" t="n"/>
      <c r="B514" s="2" t="n"/>
      <c r="C514" s="2" t="n"/>
      <c r="D514" s="2" t="n"/>
      <c r="E514" s="2" t="n"/>
      <c r="F514" s="2" t="n"/>
    </row>
    <row r="515" ht="15.75" customHeight="1" s="67">
      <c r="A515" s="2" t="n"/>
      <c r="B515" s="2" t="n"/>
      <c r="C515" s="2" t="n"/>
      <c r="D515" s="2" t="n"/>
      <c r="E515" s="2" t="n"/>
      <c r="F515" s="2" t="n"/>
    </row>
    <row r="516" ht="15.75" customHeight="1" s="67">
      <c r="A516" s="2" t="n"/>
      <c r="B516" s="2" t="n"/>
      <c r="C516" s="2" t="n"/>
      <c r="D516" s="2" t="n"/>
      <c r="E516" s="2" t="n"/>
      <c r="F516" s="2" t="n"/>
    </row>
    <row r="517" ht="15.75" customHeight="1" s="67">
      <c r="A517" s="2" t="n"/>
      <c r="B517" s="2" t="n"/>
      <c r="C517" s="2" t="n"/>
      <c r="D517" s="2" t="n"/>
      <c r="E517" s="2" t="n"/>
      <c r="F517" s="2" t="n"/>
    </row>
    <row r="518" ht="15.75" customHeight="1" s="67">
      <c r="A518" s="2" t="n"/>
      <c r="B518" s="2" t="n"/>
      <c r="C518" s="2" t="n"/>
      <c r="D518" s="2" t="n"/>
      <c r="E518" s="2" t="n"/>
      <c r="F518" s="2" t="n"/>
    </row>
    <row r="519" ht="15.75" customHeight="1" s="67">
      <c r="A519" s="2" t="n"/>
      <c r="B519" s="2" t="n"/>
      <c r="C519" s="2" t="n"/>
      <c r="D519" s="2" t="n"/>
      <c r="E519" s="2" t="n"/>
      <c r="F519" s="2" t="n"/>
    </row>
    <row r="520" ht="15.75" customHeight="1" s="67">
      <c r="A520" s="2" t="n"/>
      <c r="B520" s="2" t="n"/>
      <c r="C520" s="2" t="n"/>
      <c r="D520" s="2" t="n"/>
      <c r="E520" s="2" t="n"/>
      <c r="F520" s="2" t="n"/>
    </row>
    <row r="521" ht="15.75" customHeight="1" s="67">
      <c r="A521" s="2" t="n"/>
      <c r="B521" s="2" t="n"/>
      <c r="C521" s="2" t="n"/>
      <c r="D521" s="2" t="n"/>
      <c r="E521" s="2" t="n"/>
      <c r="F521" s="2" t="n"/>
    </row>
    <row r="522" ht="15.75" customHeight="1" s="67">
      <c r="A522" s="2" t="n"/>
      <c r="B522" s="2" t="n"/>
      <c r="C522" s="2" t="n"/>
      <c r="D522" s="2" t="n"/>
      <c r="E522" s="2" t="n"/>
      <c r="F522" s="2" t="n"/>
    </row>
    <row r="523" ht="15.75" customHeight="1" s="67">
      <c r="A523" s="2" t="n"/>
      <c r="B523" s="2" t="n"/>
      <c r="C523" s="2" t="n"/>
      <c r="D523" s="2" t="n"/>
      <c r="E523" s="2" t="n"/>
      <c r="F523" s="2" t="n"/>
    </row>
    <row r="524" ht="15.75" customHeight="1" s="67">
      <c r="A524" s="2" t="n"/>
      <c r="B524" s="2" t="n"/>
      <c r="C524" s="2" t="n"/>
      <c r="D524" s="2" t="n"/>
      <c r="E524" s="2" t="n"/>
      <c r="F524" s="2" t="n"/>
    </row>
    <row r="525" ht="15.75" customHeight="1" s="67">
      <c r="A525" s="2" t="n"/>
      <c r="B525" s="2" t="n"/>
      <c r="C525" s="2" t="n"/>
      <c r="D525" s="2" t="n"/>
      <c r="E525" s="2" t="n"/>
      <c r="F525" s="2" t="n"/>
    </row>
    <row r="526" ht="15.75" customHeight="1" s="67">
      <c r="A526" s="2" t="n"/>
      <c r="B526" s="2" t="n"/>
      <c r="C526" s="2" t="n"/>
      <c r="D526" s="2" t="n"/>
      <c r="E526" s="2" t="n"/>
      <c r="F526" s="2" t="n"/>
    </row>
    <row r="527" ht="15.75" customHeight="1" s="67">
      <c r="A527" s="2" t="n"/>
      <c r="B527" s="2" t="n"/>
      <c r="C527" s="2" t="n"/>
      <c r="D527" s="2" t="n"/>
      <c r="E527" s="2" t="n"/>
      <c r="F527" s="2" t="n"/>
    </row>
    <row r="528" ht="15.75" customHeight="1" s="67">
      <c r="A528" s="2" t="n"/>
      <c r="B528" s="2" t="n"/>
      <c r="C528" s="2" t="n"/>
      <c r="D528" s="2" t="n"/>
      <c r="E528" s="2" t="n"/>
      <c r="F528" s="2" t="n"/>
    </row>
    <row r="529" ht="15.75" customHeight="1" s="67">
      <c r="A529" s="2" t="n"/>
      <c r="B529" s="2" t="n"/>
      <c r="C529" s="2" t="n"/>
      <c r="D529" s="2" t="n"/>
      <c r="E529" s="2" t="n"/>
      <c r="F529" s="2" t="n"/>
    </row>
    <row r="530" ht="15.75" customHeight="1" s="67">
      <c r="A530" s="2" t="n"/>
      <c r="B530" s="2" t="n"/>
      <c r="C530" s="2" t="n"/>
      <c r="D530" s="2" t="n"/>
      <c r="E530" s="2" t="n"/>
      <c r="F530" s="2" t="n"/>
    </row>
    <row r="531" ht="15.75" customHeight="1" s="67">
      <c r="A531" s="2" t="n"/>
      <c r="B531" s="2" t="n"/>
      <c r="C531" s="2" t="n"/>
      <c r="D531" s="2" t="n"/>
      <c r="E531" s="2" t="n"/>
      <c r="F531" s="2" t="n"/>
    </row>
    <row r="532" ht="15.75" customHeight="1" s="67">
      <c r="A532" s="2" t="n"/>
      <c r="B532" s="2" t="n"/>
      <c r="C532" s="2" t="n"/>
      <c r="D532" s="2" t="n"/>
      <c r="E532" s="2" t="n"/>
      <c r="F532" s="2" t="n"/>
    </row>
    <row r="533" ht="15.75" customHeight="1" s="67">
      <c r="A533" s="2" t="n"/>
      <c r="B533" s="2" t="n"/>
      <c r="C533" s="2" t="n"/>
      <c r="D533" s="2" t="n"/>
      <c r="E533" s="2" t="n"/>
      <c r="F533" s="2" t="n"/>
    </row>
    <row r="534" ht="15.75" customHeight="1" s="67">
      <c r="A534" s="2" t="n"/>
      <c r="B534" s="2" t="n"/>
      <c r="C534" s="2" t="n"/>
      <c r="D534" s="2" t="n"/>
      <c r="E534" s="2" t="n"/>
      <c r="F534" s="2" t="n"/>
    </row>
    <row r="535" ht="15.75" customHeight="1" s="67">
      <c r="A535" s="2" t="n"/>
      <c r="B535" s="2" t="n"/>
      <c r="C535" s="2" t="n"/>
      <c r="D535" s="2" t="n"/>
      <c r="E535" s="2" t="n"/>
      <c r="F535" s="2" t="n"/>
    </row>
    <row r="536" ht="15.75" customHeight="1" s="67">
      <c r="A536" s="2" t="n"/>
      <c r="B536" s="2" t="n"/>
      <c r="C536" s="2" t="n"/>
      <c r="D536" s="2" t="n"/>
      <c r="E536" s="2" t="n"/>
      <c r="F536" s="2" t="n"/>
    </row>
    <row r="537" ht="15.75" customHeight="1" s="67">
      <c r="A537" s="2" t="n"/>
      <c r="B537" s="2" t="n"/>
      <c r="C537" s="2" t="n"/>
      <c r="D537" s="2" t="n"/>
      <c r="E537" s="2" t="n"/>
      <c r="F537" s="2" t="n"/>
    </row>
    <row r="538" ht="15.75" customHeight="1" s="67">
      <c r="A538" s="2" t="n"/>
      <c r="B538" s="2" t="n"/>
      <c r="C538" s="2" t="n"/>
      <c r="D538" s="2" t="n"/>
      <c r="E538" s="2" t="n"/>
      <c r="F538" s="2" t="n"/>
    </row>
    <row r="539" ht="15.75" customHeight="1" s="67">
      <c r="A539" s="2" t="n"/>
      <c r="B539" s="2" t="n"/>
      <c r="C539" s="2" t="n"/>
      <c r="D539" s="2" t="n"/>
      <c r="E539" s="2" t="n"/>
      <c r="F539" s="2" t="n"/>
    </row>
    <row r="540" ht="15.75" customHeight="1" s="67">
      <c r="A540" s="2" t="n"/>
      <c r="B540" s="2" t="n"/>
      <c r="C540" s="2" t="n"/>
      <c r="D540" s="2" t="n"/>
      <c r="E540" s="2" t="n"/>
      <c r="F540" s="2" t="n"/>
    </row>
    <row r="541" ht="15.75" customHeight="1" s="67">
      <c r="A541" s="2" t="n"/>
      <c r="B541" s="2" t="n"/>
      <c r="C541" s="2" t="n"/>
      <c r="D541" s="2" t="n"/>
      <c r="E541" s="2" t="n"/>
      <c r="F541" s="2" t="n"/>
    </row>
    <row r="542" ht="15.75" customHeight="1" s="67">
      <c r="A542" s="2" t="n"/>
      <c r="B542" s="2" t="n"/>
      <c r="C542" s="2" t="n"/>
      <c r="D542" s="2" t="n"/>
      <c r="E542" s="2" t="n"/>
      <c r="F542" s="2" t="n"/>
    </row>
    <row r="543" ht="15.75" customHeight="1" s="67">
      <c r="A543" s="2" t="n"/>
      <c r="B543" s="2" t="n"/>
      <c r="C543" s="2" t="n"/>
      <c r="D543" s="2" t="n"/>
      <c r="E543" s="2" t="n"/>
      <c r="F543" s="2" t="n"/>
    </row>
    <row r="544" ht="15.75" customHeight="1" s="67">
      <c r="A544" s="2" t="n"/>
      <c r="B544" s="2" t="n"/>
      <c r="C544" s="2" t="n"/>
      <c r="D544" s="2" t="n"/>
      <c r="E544" s="2" t="n"/>
      <c r="F544" s="2" t="n"/>
    </row>
    <row r="545" ht="15.75" customHeight="1" s="67">
      <c r="A545" s="2" t="n"/>
      <c r="B545" s="2" t="n"/>
      <c r="C545" s="2" t="n"/>
      <c r="D545" s="2" t="n"/>
      <c r="E545" s="2" t="n"/>
      <c r="F545" s="2" t="n"/>
    </row>
    <row r="546" ht="15.75" customHeight="1" s="67">
      <c r="A546" s="2" t="n"/>
      <c r="B546" s="2" t="n"/>
      <c r="C546" s="2" t="n"/>
      <c r="D546" s="2" t="n"/>
      <c r="E546" s="2" t="n"/>
      <c r="F546" s="2" t="n"/>
    </row>
    <row r="547" ht="15.75" customHeight="1" s="67">
      <c r="A547" s="2" t="n"/>
      <c r="B547" s="2" t="n"/>
      <c r="C547" s="2" t="n"/>
      <c r="D547" s="2" t="n"/>
      <c r="E547" s="2" t="n"/>
      <c r="F547" s="2" t="n"/>
    </row>
    <row r="548" ht="15.75" customHeight="1" s="67">
      <c r="A548" s="2" t="n"/>
      <c r="B548" s="2" t="n"/>
      <c r="C548" s="2" t="n"/>
      <c r="D548" s="2" t="n"/>
      <c r="E548" s="2" t="n"/>
      <c r="F548" s="2" t="n"/>
    </row>
    <row r="549" ht="15.75" customHeight="1" s="67">
      <c r="A549" s="2" t="n"/>
      <c r="B549" s="2" t="n"/>
      <c r="C549" s="2" t="n"/>
      <c r="D549" s="2" t="n"/>
      <c r="E549" s="2" t="n"/>
      <c r="F549" s="2" t="n"/>
    </row>
    <row r="550" ht="15.75" customHeight="1" s="67">
      <c r="A550" s="2" t="n"/>
      <c r="B550" s="2" t="n"/>
      <c r="C550" s="2" t="n"/>
      <c r="D550" s="2" t="n"/>
      <c r="E550" s="2" t="n"/>
      <c r="F550" s="2" t="n"/>
    </row>
    <row r="551" ht="15.75" customHeight="1" s="67">
      <c r="A551" s="2" t="n"/>
      <c r="B551" s="2" t="n"/>
      <c r="C551" s="2" t="n"/>
      <c r="D551" s="2" t="n"/>
      <c r="E551" s="2" t="n"/>
      <c r="F551" s="2" t="n"/>
    </row>
    <row r="552" ht="15.75" customHeight="1" s="67">
      <c r="A552" s="2" t="n"/>
      <c r="B552" s="2" t="n"/>
      <c r="C552" s="2" t="n"/>
      <c r="D552" s="2" t="n"/>
      <c r="E552" s="2" t="n"/>
      <c r="F552" s="2" t="n"/>
    </row>
    <row r="553" ht="15.75" customHeight="1" s="67">
      <c r="A553" s="2" t="n"/>
      <c r="B553" s="2" t="n"/>
      <c r="C553" s="2" t="n"/>
      <c r="D553" s="2" t="n"/>
      <c r="E553" s="2" t="n"/>
      <c r="F553" s="2" t="n"/>
    </row>
    <row r="554" ht="15.75" customHeight="1" s="67">
      <c r="A554" s="2" t="n"/>
      <c r="B554" s="2" t="n"/>
      <c r="C554" s="2" t="n"/>
      <c r="D554" s="2" t="n"/>
      <c r="E554" s="2" t="n"/>
      <c r="F554" s="2" t="n"/>
    </row>
    <row r="555" ht="15.75" customHeight="1" s="67">
      <c r="A555" s="2" t="n"/>
      <c r="B555" s="2" t="n"/>
      <c r="C555" s="2" t="n"/>
      <c r="D555" s="2" t="n"/>
      <c r="E555" s="2" t="n"/>
      <c r="F555" s="2" t="n"/>
    </row>
    <row r="556" ht="15.75" customHeight="1" s="67">
      <c r="A556" s="2" t="n"/>
      <c r="B556" s="2" t="n"/>
      <c r="C556" s="2" t="n"/>
      <c r="D556" s="2" t="n"/>
      <c r="E556" s="2" t="n"/>
      <c r="F556" s="2" t="n"/>
    </row>
    <row r="557" ht="15.75" customHeight="1" s="67">
      <c r="A557" s="2" t="n"/>
      <c r="B557" s="2" t="n"/>
      <c r="C557" s="2" t="n"/>
      <c r="D557" s="2" t="n"/>
      <c r="E557" s="2" t="n"/>
      <c r="F557" s="2" t="n"/>
    </row>
    <row r="558" ht="15.75" customHeight="1" s="67">
      <c r="A558" s="2" t="n"/>
      <c r="B558" s="2" t="n"/>
      <c r="C558" s="2" t="n"/>
      <c r="D558" s="2" t="n"/>
      <c r="E558" s="2" t="n"/>
      <c r="F558" s="2" t="n"/>
    </row>
    <row r="559" ht="15.75" customHeight="1" s="67">
      <c r="A559" s="2" t="n"/>
      <c r="B559" s="2" t="n"/>
      <c r="C559" s="2" t="n"/>
      <c r="D559" s="2" t="n"/>
      <c r="E559" s="2" t="n"/>
      <c r="F559" s="2" t="n"/>
    </row>
    <row r="560" ht="15.75" customHeight="1" s="67">
      <c r="A560" s="2" t="n"/>
      <c r="B560" s="2" t="n"/>
      <c r="C560" s="2" t="n"/>
      <c r="D560" s="2" t="n"/>
      <c r="E560" s="2" t="n"/>
      <c r="F560" s="2" t="n"/>
    </row>
    <row r="561" ht="15.75" customHeight="1" s="67">
      <c r="A561" s="2" t="n"/>
      <c r="B561" s="2" t="n"/>
      <c r="C561" s="2" t="n"/>
      <c r="D561" s="2" t="n"/>
      <c r="E561" s="2" t="n"/>
      <c r="F561" s="2" t="n"/>
    </row>
    <row r="562" ht="15.75" customHeight="1" s="67">
      <c r="A562" s="2" t="n"/>
      <c r="B562" s="2" t="n"/>
      <c r="C562" s="2" t="n"/>
      <c r="D562" s="2" t="n"/>
      <c r="E562" s="2" t="n"/>
      <c r="F562" s="2" t="n"/>
    </row>
    <row r="563" ht="15.75" customHeight="1" s="67">
      <c r="A563" s="2" t="n"/>
      <c r="B563" s="2" t="n"/>
      <c r="C563" s="2" t="n"/>
      <c r="D563" s="2" t="n"/>
      <c r="E563" s="2" t="n"/>
      <c r="F563" s="2" t="n"/>
    </row>
    <row r="564" ht="15.75" customHeight="1" s="67">
      <c r="A564" s="2" t="n"/>
      <c r="B564" s="2" t="n"/>
      <c r="C564" s="2" t="n"/>
      <c r="D564" s="2" t="n"/>
      <c r="E564" s="2" t="n"/>
      <c r="F564" s="2" t="n"/>
    </row>
    <row r="565" ht="15.75" customHeight="1" s="67">
      <c r="A565" s="2" t="n"/>
      <c r="B565" s="2" t="n"/>
      <c r="C565" s="2" t="n"/>
      <c r="D565" s="2" t="n"/>
      <c r="E565" s="2" t="n"/>
      <c r="F565" s="2" t="n"/>
    </row>
    <row r="566" ht="15.75" customHeight="1" s="67">
      <c r="A566" s="2" t="n"/>
      <c r="B566" s="2" t="n"/>
      <c r="C566" s="2" t="n"/>
      <c r="D566" s="2" t="n"/>
      <c r="E566" s="2" t="n"/>
      <c r="F566" s="2" t="n"/>
    </row>
    <row r="567" ht="15.75" customHeight="1" s="67">
      <c r="A567" s="2" t="n"/>
      <c r="B567" s="2" t="n"/>
      <c r="C567" s="2" t="n"/>
      <c r="D567" s="2" t="n"/>
      <c r="E567" s="2" t="n"/>
      <c r="F567" s="2" t="n"/>
    </row>
    <row r="568" ht="15.75" customHeight="1" s="67">
      <c r="A568" s="2" t="n"/>
      <c r="B568" s="2" t="n"/>
      <c r="C568" s="2" t="n"/>
      <c r="D568" s="2" t="n"/>
      <c r="E568" s="2" t="n"/>
      <c r="F568" s="2" t="n"/>
    </row>
    <row r="569" ht="15.75" customHeight="1" s="67">
      <c r="A569" s="2" t="n"/>
      <c r="B569" s="2" t="n"/>
      <c r="C569" s="2" t="n"/>
      <c r="D569" s="2" t="n"/>
      <c r="E569" s="2" t="n"/>
      <c r="F569" s="2" t="n"/>
    </row>
    <row r="570" ht="15.75" customHeight="1" s="67">
      <c r="A570" s="2" t="n"/>
      <c r="B570" s="2" t="n"/>
      <c r="C570" s="2" t="n"/>
      <c r="D570" s="2" t="n"/>
      <c r="E570" s="2" t="n"/>
      <c r="F570" s="2" t="n"/>
    </row>
    <row r="571" ht="15.75" customHeight="1" s="67">
      <c r="A571" s="2" t="n"/>
      <c r="B571" s="2" t="n"/>
      <c r="C571" s="2" t="n"/>
      <c r="D571" s="2" t="n"/>
      <c r="E571" s="2" t="n"/>
      <c r="F571" s="2" t="n"/>
    </row>
    <row r="572" ht="15.75" customHeight="1" s="67">
      <c r="A572" s="2" t="n"/>
      <c r="B572" s="2" t="n"/>
      <c r="C572" s="2" t="n"/>
      <c r="D572" s="2" t="n"/>
      <c r="E572" s="2" t="n"/>
      <c r="F572" s="2" t="n"/>
    </row>
    <row r="573" ht="15.75" customHeight="1" s="67">
      <c r="A573" s="2" t="n"/>
      <c r="B573" s="2" t="n"/>
      <c r="C573" s="2" t="n"/>
      <c r="D573" s="2" t="n"/>
      <c r="E573" s="2" t="n"/>
      <c r="F573" s="2" t="n"/>
    </row>
    <row r="574" ht="15.75" customHeight="1" s="67">
      <c r="A574" s="2" t="n"/>
      <c r="B574" s="2" t="n"/>
      <c r="C574" s="2" t="n"/>
      <c r="D574" s="2" t="n"/>
      <c r="E574" s="2" t="n"/>
      <c r="F574" s="2" t="n"/>
    </row>
    <row r="575" ht="15.75" customHeight="1" s="67">
      <c r="A575" s="2" t="n"/>
      <c r="B575" s="2" t="n"/>
      <c r="C575" s="2" t="n"/>
      <c r="D575" s="2" t="n"/>
      <c r="E575" s="2" t="n"/>
      <c r="F575" s="2" t="n"/>
    </row>
    <row r="576" ht="15.75" customHeight="1" s="67">
      <c r="A576" s="2" t="n"/>
      <c r="B576" s="2" t="n"/>
      <c r="C576" s="2" t="n"/>
      <c r="D576" s="2" t="n"/>
      <c r="E576" s="2" t="n"/>
      <c r="F576" s="2" t="n"/>
    </row>
    <row r="577" ht="15.75" customHeight="1" s="67">
      <c r="A577" s="2" t="n"/>
      <c r="B577" s="2" t="n"/>
      <c r="C577" s="2" t="n"/>
      <c r="D577" s="2" t="n"/>
      <c r="E577" s="2" t="n"/>
      <c r="F577" s="2" t="n"/>
    </row>
    <row r="578" ht="15.75" customHeight="1" s="67">
      <c r="A578" s="2" t="n"/>
      <c r="B578" s="2" t="n"/>
      <c r="C578" s="2" t="n"/>
      <c r="D578" s="2" t="n"/>
      <c r="E578" s="2" t="n"/>
      <c r="F578" s="2" t="n"/>
    </row>
    <row r="579" ht="15.75" customHeight="1" s="67">
      <c r="A579" s="2" t="n"/>
      <c r="B579" s="2" t="n"/>
      <c r="C579" s="2" t="n"/>
      <c r="D579" s="2" t="n"/>
      <c r="E579" s="2" t="n"/>
      <c r="F579" s="2" t="n"/>
    </row>
    <row r="580" ht="15.75" customHeight="1" s="67">
      <c r="A580" s="2" t="n"/>
      <c r="B580" s="2" t="n"/>
      <c r="C580" s="2" t="n"/>
      <c r="D580" s="2" t="n"/>
      <c r="E580" s="2" t="n"/>
      <c r="F580" s="2" t="n"/>
    </row>
    <row r="581" ht="15.75" customHeight="1" s="67">
      <c r="A581" s="2" t="n"/>
      <c r="B581" s="2" t="n"/>
      <c r="C581" s="2" t="n"/>
      <c r="D581" s="2" t="n"/>
      <c r="E581" s="2" t="n"/>
      <c r="F581" s="2" t="n"/>
    </row>
    <row r="582" ht="15.75" customHeight="1" s="67">
      <c r="A582" s="2" t="n"/>
      <c r="B582" s="2" t="n"/>
      <c r="C582" s="2" t="n"/>
      <c r="D582" s="2" t="n"/>
      <c r="E582" s="2" t="n"/>
      <c r="F582" s="2" t="n"/>
    </row>
    <row r="583" ht="15.75" customHeight="1" s="67">
      <c r="A583" s="2" t="n"/>
      <c r="B583" s="2" t="n"/>
      <c r="C583" s="2" t="n"/>
      <c r="D583" s="2" t="n"/>
      <c r="E583" s="2" t="n"/>
      <c r="F583" s="2" t="n"/>
    </row>
    <row r="584" ht="15.75" customHeight="1" s="67">
      <c r="A584" s="2" t="n"/>
      <c r="B584" s="2" t="n"/>
      <c r="C584" s="2" t="n"/>
      <c r="D584" s="2" t="n"/>
      <c r="E584" s="2" t="n"/>
      <c r="F584" s="2" t="n"/>
    </row>
    <row r="585" ht="15.75" customHeight="1" s="67">
      <c r="A585" s="2" t="n"/>
      <c r="B585" s="2" t="n"/>
      <c r="C585" s="2" t="n"/>
      <c r="D585" s="2" t="n"/>
      <c r="E585" s="2" t="n"/>
      <c r="F585" s="2" t="n"/>
    </row>
    <row r="586" ht="15.75" customHeight="1" s="67">
      <c r="A586" s="2" t="n"/>
      <c r="B586" s="2" t="n"/>
      <c r="C586" s="2" t="n"/>
      <c r="D586" s="2" t="n"/>
      <c r="E586" s="2" t="n"/>
      <c r="F586" s="2" t="n"/>
    </row>
    <row r="587" ht="15.75" customHeight="1" s="67">
      <c r="A587" s="2" t="n"/>
      <c r="B587" s="2" t="n"/>
      <c r="C587" s="2" t="n"/>
      <c r="D587" s="2" t="n"/>
      <c r="E587" s="2" t="n"/>
      <c r="F587" s="2" t="n"/>
    </row>
    <row r="588" ht="15.75" customHeight="1" s="67">
      <c r="A588" s="2" t="n"/>
      <c r="B588" s="2" t="n"/>
      <c r="C588" s="2" t="n"/>
      <c r="D588" s="2" t="n"/>
      <c r="E588" s="2" t="n"/>
      <c r="F588" s="2" t="n"/>
    </row>
    <row r="589" ht="15.75" customHeight="1" s="67">
      <c r="A589" s="2" t="n"/>
      <c r="B589" s="2" t="n"/>
      <c r="C589" s="2" t="n"/>
      <c r="D589" s="2" t="n"/>
      <c r="E589" s="2" t="n"/>
      <c r="F589" s="2" t="n"/>
    </row>
    <row r="590" ht="15.75" customHeight="1" s="67">
      <c r="A590" s="2" t="n"/>
      <c r="B590" s="2" t="n"/>
      <c r="C590" s="2" t="n"/>
      <c r="D590" s="2" t="n"/>
      <c r="E590" s="2" t="n"/>
      <c r="F590" s="2" t="n"/>
    </row>
    <row r="591" ht="15.75" customHeight="1" s="67">
      <c r="A591" s="2" t="n"/>
      <c r="B591" s="2" t="n"/>
      <c r="C591" s="2" t="n"/>
      <c r="D591" s="2" t="n"/>
      <c r="E591" s="2" t="n"/>
      <c r="F591" s="2" t="n"/>
    </row>
    <row r="592" ht="15.75" customHeight="1" s="67">
      <c r="A592" s="2" t="n"/>
      <c r="B592" s="2" t="n"/>
      <c r="C592" s="2" t="n"/>
      <c r="D592" s="2" t="n"/>
      <c r="E592" s="2" t="n"/>
      <c r="F592" s="2" t="n"/>
    </row>
    <row r="593" ht="15.75" customHeight="1" s="67">
      <c r="A593" s="2" t="n"/>
      <c r="B593" s="2" t="n"/>
      <c r="C593" s="2" t="n"/>
      <c r="D593" s="2" t="n"/>
      <c r="E593" s="2" t="n"/>
      <c r="F593" s="2" t="n"/>
    </row>
    <row r="594" ht="15.75" customHeight="1" s="67">
      <c r="A594" s="2" t="n"/>
      <c r="B594" s="2" t="n"/>
      <c r="C594" s="2" t="n"/>
      <c r="D594" s="2" t="n"/>
      <c r="E594" s="2" t="n"/>
      <c r="F594" s="2" t="n"/>
    </row>
    <row r="595" ht="15.75" customHeight="1" s="67">
      <c r="A595" s="2" t="n"/>
      <c r="B595" s="2" t="n"/>
      <c r="C595" s="2" t="n"/>
      <c r="D595" s="2" t="n"/>
      <c r="E595" s="2" t="n"/>
      <c r="F595" s="2" t="n"/>
    </row>
    <row r="596" ht="15.75" customHeight="1" s="67">
      <c r="A596" s="2" t="n"/>
      <c r="B596" s="2" t="n"/>
      <c r="C596" s="2" t="n"/>
      <c r="D596" s="2" t="n"/>
      <c r="E596" s="2" t="n"/>
      <c r="F596" s="2" t="n"/>
    </row>
    <row r="597" ht="15.75" customHeight="1" s="67">
      <c r="A597" s="2" t="n"/>
      <c r="B597" s="2" t="n"/>
      <c r="C597" s="2" t="n"/>
      <c r="D597" s="2" t="n"/>
      <c r="E597" s="2" t="n"/>
      <c r="F597" s="2" t="n"/>
    </row>
    <row r="598" ht="15.75" customHeight="1" s="67">
      <c r="A598" s="2" t="n"/>
      <c r="B598" s="2" t="n"/>
      <c r="C598" s="2" t="n"/>
      <c r="D598" s="2" t="n"/>
      <c r="E598" s="2" t="n"/>
      <c r="F598" s="2" t="n"/>
    </row>
    <row r="599" ht="15.75" customHeight="1" s="67">
      <c r="A599" s="2" t="n"/>
      <c r="B599" s="2" t="n"/>
      <c r="C599" s="2" t="n"/>
      <c r="D599" s="2" t="n"/>
      <c r="E599" s="2" t="n"/>
      <c r="F599" s="2" t="n"/>
    </row>
    <row r="600" ht="15.75" customHeight="1" s="67">
      <c r="A600" s="2" t="n"/>
      <c r="B600" s="2" t="n"/>
      <c r="C600" s="2" t="n"/>
      <c r="D600" s="2" t="n"/>
      <c r="E600" s="2" t="n"/>
      <c r="F600" s="2" t="n"/>
    </row>
    <row r="601" ht="15.75" customHeight="1" s="67">
      <c r="A601" s="2" t="n"/>
      <c r="B601" s="2" t="n"/>
      <c r="C601" s="2" t="n"/>
      <c r="D601" s="2" t="n"/>
      <c r="E601" s="2" t="n"/>
      <c r="F601" s="2" t="n"/>
    </row>
    <row r="602" ht="15.75" customHeight="1" s="67">
      <c r="A602" s="2" t="n"/>
      <c r="B602" s="2" t="n"/>
      <c r="C602" s="2" t="n"/>
      <c r="D602" s="2" t="n"/>
      <c r="E602" s="2" t="n"/>
      <c r="F602" s="2" t="n"/>
    </row>
    <row r="603" ht="15.75" customHeight="1" s="67">
      <c r="A603" s="2" t="n"/>
      <c r="B603" s="2" t="n"/>
      <c r="C603" s="2" t="n"/>
      <c r="D603" s="2" t="n"/>
      <c r="E603" s="2" t="n"/>
      <c r="F603" s="2" t="n"/>
    </row>
    <row r="604" ht="15.75" customHeight="1" s="67">
      <c r="A604" s="2" t="n"/>
      <c r="B604" s="2" t="n"/>
      <c r="C604" s="2" t="n"/>
      <c r="D604" s="2" t="n"/>
      <c r="E604" s="2" t="n"/>
      <c r="F604" s="2" t="n"/>
    </row>
    <row r="605" ht="15.75" customHeight="1" s="67">
      <c r="A605" s="2" t="n"/>
      <c r="B605" s="2" t="n"/>
      <c r="C605" s="2" t="n"/>
      <c r="D605" s="2" t="n"/>
      <c r="E605" s="2" t="n"/>
      <c r="F605" s="2" t="n"/>
    </row>
    <row r="606" ht="15.75" customHeight="1" s="67">
      <c r="A606" s="2" t="n"/>
      <c r="B606" s="2" t="n"/>
      <c r="C606" s="2" t="n"/>
      <c r="D606" s="2" t="n"/>
      <c r="E606" s="2" t="n"/>
      <c r="F606" s="2" t="n"/>
    </row>
    <row r="607" ht="15.75" customHeight="1" s="67">
      <c r="A607" s="2" t="n"/>
      <c r="B607" s="2" t="n"/>
      <c r="C607" s="2" t="n"/>
      <c r="D607" s="2" t="n"/>
      <c r="E607" s="2" t="n"/>
      <c r="F607" s="2" t="n"/>
    </row>
    <row r="608" ht="15.75" customHeight="1" s="67">
      <c r="A608" s="2" t="n"/>
      <c r="B608" s="2" t="n"/>
      <c r="C608" s="2" t="n"/>
      <c r="D608" s="2" t="n"/>
      <c r="E608" s="2" t="n"/>
      <c r="F608" s="2" t="n"/>
    </row>
    <row r="609" ht="15.75" customHeight="1" s="67">
      <c r="A609" s="2" t="n"/>
      <c r="B609" s="2" t="n"/>
      <c r="C609" s="2" t="n"/>
      <c r="D609" s="2" t="n"/>
      <c r="E609" s="2" t="n"/>
      <c r="F609" s="2" t="n"/>
    </row>
    <row r="610" ht="15.75" customHeight="1" s="67">
      <c r="A610" s="2" t="n"/>
      <c r="B610" s="2" t="n"/>
      <c r="C610" s="2" t="n"/>
      <c r="D610" s="2" t="n"/>
      <c r="E610" s="2" t="n"/>
      <c r="F610" s="2" t="n"/>
    </row>
    <row r="611" ht="15.75" customHeight="1" s="67">
      <c r="A611" s="2" t="n"/>
      <c r="B611" s="2" t="n"/>
      <c r="C611" s="2" t="n"/>
      <c r="D611" s="2" t="n"/>
      <c r="E611" s="2" t="n"/>
      <c r="F611" s="2" t="n"/>
    </row>
    <row r="612" ht="15.75" customHeight="1" s="67">
      <c r="A612" s="2" t="n"/>
      <c r="B612" s="2" t="n"/>
      <c r="C612" s="2" t="n"/>
      <c r="D612" s="2" t="n"/>
      <c r="E612" s="2" t="n"/>
      <c r="F612" s="2" t="n"/>
    </row>
    <row r="613" ht="15.75" customHeight="1" s="67">
      <c r="A613" s="2" t="n"/>
      <c r="B613" s="2" t="n"/>
      <c r="C613" s="2" t="n"/>
      <c r="D613" s="2" t="n"/>
      <c r="E613" s="2" t="n"/>
      <c r="F613" s="2" t="n"/>
    </row>
    <row r="614" ht="15.75" customHeight="1" s="67">
      <c r="A614" s="2" t="n"/>
      <c r="B614" s="2" t="n"/>
      <c r="C614" s="2" t="n"/>
      <c r="D614" s="2" t="n"/>
      <c r="E614" s="2" t="n"/>
      <c r="F614" s="2" t="n"/>
    </row>
    <row r="615" ht="15.75" customHeight="1" s="67">
      <c r="A615" s="2" t="n"/>
      <c r="B615" s="2" t="n"/>
      <c r="C615" s="2" t="n"/>
      <c r="D615" s="2" t="n"/>
      <c r="E615" s="2" t="n"/>
      <c r="F615" s="2" t="n"/>
    </row>
    <row r="616" ht="15.75" customHeight="1" s="67">
      <c r="A616" s="2" t="n"/>
      <c r="B616" s="2" t="n"/>
      <c r="C616" s="2" t="n"/>
      <c r="D616" s="2" t="n"/>
      <c r="E616" s="2" t="n"/>
      <c r="F616" s="2" t="n"/>
    </row>
    <row r="617" ht="15.75" customHeight="1" s="67">
      <c r="A617" s="2" t="n"/>
      <c r="B617" s="2" t="n"/>
      <c r="C617" s="2" t="n"/>
      <c r="D617" s="2" t="n"/>
      <c r="E617" s="2" t="n"/>
      <c r="F617" s="2" t="n"/>
    </row>
    <row r="618" ht="15.75" customHeight="1" s="67">
      <c r="A618" s="2" t="n"/>
      <c r="B618" s="2" t="n"/>
      <c r="C618" s="2" t="n"/>
      <c r="D618" s="2" t="n"/>
      <c r="E618" s="2" t="n"/>
      <c r="F618" s="2" t="n"/>
    </row>
    <row r="619" ht="15.75" customHeight="1" s="67">
      <c r="A619" s="2" t="n"/>
      <c r="B619" s="2" t="n"/>
      <c r="C619" s="2" t="n"/>
      <c r="D619" s="2" t="n"/>
      <c r="E619" s="2" t="n"/>
      <c r="F619" s="2" t="n"/>
    </row>
    <row r="620" ht="15.75" customHeight="1" s="67">
      <c r="A620" s="2" t="n"/>
      <c r="B620" s="2" t="n"/>
      <c r="C620" s="2" t="n"/>
      <c r="D620" s="2" t="n"/>
      <c r="E620" s="2" t="n"/>
      <c r="F620" s="2" t="n"/>
    </row>
    <row r="621" ht="15.75" customHeight="1" s="67">
      <c r="A621" s="2" t="n"/>
      <c r="B621" s="2" t="n"/>
      <c r="C621" s="2" t="n"/>
      <c r="D621" s="2" t="n"/>
      <c r="E621" s="2" t="n"/>
      <c r="F621" s="2" t="n"/>
    </row>
    <row r="622" ht="15.75" customHeight="1" s="67">
      <c r="A622" s="2" t="n"/>
      <c r="B622" s="2" t="n"/>
      <c r="C622" s="2" t="n"/>
      <c r="D622" s="2" t="n"/>
      <c r="E622" s="2" t="n"/>
      <c r="F622" s="2" t="n"/>
    </row>
    <row r="623" ht="15.75" customHeight="1" s="67">
      <c r="A623" s="2" t="n"/>
      <c r="B623" s="2" t="n"/>
      <c r="C623" s="2" t="n"/>
      <c r="D623" s="2" t="n"/>
      <c r="E623" s="2" t="n"/>
      <c r="F623" s="2" t="n"/>
    </row>
    <row r="624" ht="15.75" customHeight="1" s="67">
      <c r="A624" s="2" t="n"/>
      <c r="B624" s="2" t="n"/>
      <c r="C624" s="2" t="n"/>
      <c r="D624" s="2" t="n"/>
      <c r="E624" s="2" t="n"/>
      <c r="F624" s="2" t="n"/>
    </row>
    <row r="625" ht="15.75" customHeight="1" s="67">
      <c r="A625" s="2" t="n"/>
      <c r="B625" s="2" t="n"/>
      <c r="C625" s="2" t="n"/>
      <c r="D625" s="2" t="n"/>
      <c r="E625" s="2" t="n"/>
      <c r="F625" s="2" t="n"/>
    </row>
    <row r="626" ht="15.75" customHeight="1" s="67">
      <c r="A626" s="2" t="n"/>
      <c r="B626" s="2" t="n"/>
      <c r="C626" s="2" t="n"/>
      <c r="D626" s="2" t="n"/>
      <c r="E626" s="2" t="n"/>
      <c r="F626" s="2" t="n"/>
    </row>
    <row r="627" ht="15.75" customHeight="1" s="67">
      <c r="A627" s="2" t="n"/>
      <c r="B627" s="2" t="n"/>
      <c r="C627" s="2" t="n"/>
      <c r="D627" s="2" t="n"/>
      <c r="E627" s="2" t="n"/>
      <c r="F627" s="2" t="n"/>
    </row>
    <row r="628" ht="15.75" customHeight="1" s="67">
      <c r="A628" s="2" t="n"/>
      <c r="B628" s="2" t="n"/>
      <c r="C628" s="2" t="n"/>
      <c r="D628" s="2" t="n"/>
      <c r="E628" s="2" t="n"/>
      <c r="F628" s="2" t="n"/>
    </row>
    <row r="629" ht="15.75" customHeight="1" s="67">
      <c r="A629" s="2" t="n"/>
      <c r="B629" s="2" t="n"/>
      <c r="C629" s="2" t="n"/>
      <c r="D629" s="2" t="n"/>
      <c r="E629" s="2" t="n"/>
      <c r="F629" s="2" t="n"/>
    </row>
    <row r="630" ht="15.75" customHeight="1" s="67">
      <c r="A630" s="2" t="n"/>
      <c r="B630" s="2" t="n"/>
      <c r="C630" s="2" t="n"/>
      <c r="D630" s="2" t="n"/>
      <c r="E630" s="2" t="n"/>
      <c r="F630" s="2" t="n"/>
    </row>
    <row r="631" ht="15.75" customHeight="1" s="67">
      <c r="A631" s="2" t="n"/>
      <c r="B631" s="2" t="n"/>
      <c r="C631" s="2" t="n"/>
      <c r="D631" s="2" t="n"/>
      <c r="E631" s="2" t="n"/>
      <c r="F631" s="2" t="n"/>
    </row>
    <row r="632" ht="15.75" customHeight="1" s="67">
      <c r="A632" s="2" t="n"/>
      <c r="B632" s="2" t="n"/>
      <c r="C632" s="2" t="n"/>
      <c r="D632" s="2" t="n"/>
      <c r="E632" s="2" t="n"/>
      <c r="F632" s="2" t="n"/>
    </row>
    <row r="633" ht="15.75" customHeight="1" s="67">
      <c r="A633" s="2" t="n"/>
      <c r="B633" s="2" t="n"/>
      <c r="C633" s="2" t="n"/>
      <c r="D633" s="2" t="n"/>
      <c r="E633" s="2" t="n"/>
      <c r="F633" s="2" t="n"/>
    </row>
    <row r="634" ht="15.75" customHeight="1" s="67">
      <c r="A634" s="2" t="n"/>
      <c r="B634" s="2" t="n"/>
      <c r="C634" s="2" t="n"/>
      <c r="D634" s="2" t="n"/>
      <c r="E634" s="2" t="n"/>
      <c r="F634" s="2" t="n"/>
    </row>
    <row r="635" ht="15.75" customHeight="1" s="67">
      <c r="A635" s="2" t="n"/>
      <c r="B635" s="2" t="n"/>
      <c r="C635" s="2" t="n"/>
      <c r="D635" s="2" t="n"/>
      <c r="E635" s="2" t="n"/>
      <c r="F635" s="2" t="n"/>
    </row>
    <row r="636" ht="15.75" customHeight="1" s="67">
      <c r="A636" s="2" t="n"/>
      <c r="B636" s="2" t="n"/>
      <c r="C636" s="2" t="n"/>
      <c r="D636" s="2" t="n"/>
      <c r="E636" s="2" t="n"/>
      <c r="F636" s="2" t="n"/>
    </row>
    <row r="637" ht="15.75" customHeight="1" s="67">
      <c r="A637" s="2" t="n"/>
      <c r="B637" s="2" t="n"/>
      <c r="C637" s="2" t="n"/>
      <c r="D637" s="2" t="n"/>
      <c r="E637" s="2" t="n"/>
      <c r="F637" s="2" t="n"/>
    </row>
    <row r="638" ht="15.75" customHeight="1" s="67">
      <c r="A638" s="2" t="n"/>
      <c r="B638" s="2" t="n"/>
      <c r="C638" s="2" t="n"/>
      <c r="D638" s="2" t="n"/>
      <c r="E638" s="2" t="n"/>
      <c r="F638" s="2" t="n"/>
    </row>
    <row r="639" ht="15.75" customHeight="1" s="67">
      <c r="A639" s="2" t="n"/>
      <c r="B639" s="2" t="n"/>
      <c r="C639" s="2" t="n"/>
      <c r="D639" s="2" t="n"/>
      <c r="E639" s="2" t="n"/>
      <c r="F639" s="2" t="n"/>
    </row>
    <row r="640" ht="15.75" customHeight="1" s="67">
      <c r="A640" s="2" t="n"/>
      <c r="B640" s="2" t="n"/>
      <c r="C640" s="2" t="n"/>
      <c r="D640" s="2" t="n"/>
      <c r="E640" s="2" t="n"/>
      <c r="F640" s="2" t="n"/>
    </row>
    <row r="641" ht="15.75" customHeight="1" s="67">
      <c r="A641" s="2" t="n"/>
      <c r="B641" s="2" t="n"/>
      <c r="C641" s="2" t="n"/>
      <c r="D641" s="2" t="n"/>
      <c r="E641" s="2" t="n"/>
      <c r="F641" s="2" t="n"/>
    </row>
    <row r="642" ht="15.75" customHeight="1" s="67">
      <c r="A642" s="2" t="n"/>
      <c r="B642" s="2" t="n"/>
      <c r="C642" s="2" t="n"/>
      <c r="D642" s="2" t="n"/>
      <c r="E642" s="2" t="n"/>
      <c r="F642" s="2" t="n"/>
    </row>
    <row r="643" ht="15.75" customHeight="1" s="67">
      <c r="A643" s="2" t="n"/>
      <c r="B643" s="2" t="n"/>
      <c r="C643" s="2" t="n"/>
      <c r="D643" s="2" t="n"/>
      <c r="E643" s="2" t="n"/>
      <c r="F643" s="2" t="n"/>
    </row>
    <row r="644" ht="15.75" customHeight="1" s="67">
      <c r="A644" s="2" t="n"/>
      <c r="B644" s="2" t="n"/>
      <c r="C644" s="2" t="n"/>
      <c r="D644" s="2" t="n"/>
      <c r="E644" s="2" t="n"/>
      <c r="F644" s="2" t="n"/>
    </row>
    <row r="645" ht="15.75" customHeight="1" s="67">
      <c r="A645" s="2" t="n"/>
      <c r="B645" s="2" t="n"/>
      <c r="C645" s="2" t="n"/>
      <c r="D645" s="2" t="n"/>
      <c r="E645" s="2" t="n"/>
      <c r="F645" s="2" t="n"/>
    </row>
    <row r="646" ht="15.75" customHeight="1" s="67">
      <c r="A646" s="2" t="n"/>
      <c r="B646" s="2" t="n"/>
      <c r="C646" s="2" t="n"/>
      <c r="D646" s="2" t="n"/>
      <c r="E646" s="2" t="n"/>
      <c r="F646" s="2" t="n"/>
    </row>
    <row r="647" ht="15.75" customHeight="1" s="67">
      <c r="A647" s="2" t="n"/>
      <c r="B647" s="2" t="n"/>
      <c r="C647" s="2" t="n"/>
      <c r="D647" s="2" t="n"/>
      <c r="E647" s="2" t="n"/>
      <c r="F647" s="2" t="n"/>
    </row>
    <row r="648" ht="15.75" customHeight="1" s="67">
      <c r="A648" s="2" t="n"/>
      <c r="B648" s="2" t="n"/>
      <c r="C648" s="2" t="n"/>
      <c r="D648" s="2" t="n"/>
      <c r="E648" s="2" t="n"/>
      <c r="F648" s="2" t="n"/>
    </row>
    <row r="649" ht="15.75" customHeight="1" s="67">
      <c r="A649" s="2" t="n"/>
      <c r="B649" s="2" t="n"/>
      <c r="C649" s="2" t="n"/>
      <c r="D649" s="2" t="n"/>
      <c r="E649" s="2" t="n"/>
      <c r="F649" s="2" t="n"/>
    </row>
    <row r="650" ht="15.75" customHeight="1" s="67">
      <c r="A650" s="2" t="n"/>
      <c r="B650" s="2" t="n"/>
      <c r="C650" s="2" t="n"/>
      <c r="D650" s="2" t="n"/>
      <c r="E650" s="2" t="n"/>
      <c r="F650" s="2" t="n"/>
    </row>
    <row r="651" ht="15.75" customHeight="1" s="67">
      <c r="A651" s="2" t="n"/>
      <c r="B651" s="2" t="n"/>
      <c r="C651" s="2" t="n"/>
      <c r="D651" s="2" t="n"/>
      <c r="E651" s="2" t="n"/>
      <c r="F651" s="2" t="n"/>
    </row>
    <row r="652" ht="15.75" customHeight="1" s="67">
      <c r="A652" s="2" t="n"/>
      <c r="B652" s="2" t="n"/>
      <c r="C652" s="2" t="n"/>
      <c r="D652" s="2" t="n"/>
      <c r="E652" s="2" t="n"/>
      <c r="F652" s="2" t="n"/>
    </row>
    <row r="653" ht="15.75" customHeight="1" s="67">
      <c r="A653" s="2" t="n"/>
      <c r="B653" s="2" t="n"/>
      <c r="C653" s="2" t="n"/>
      <c r="D653" s="2" t="n"/>
      <c r="E653" s="2" t="n"/>
      <c r="F653" s="2" t="n"/>
    </row>
    <row r="654" ht="15.75" customHeight="1" s="67">
      <c r="A654" s="2" t="n"/>
      <c r="B654" s="2" t="n"/>
      <c r="C654" s="2" t="n"/>
      <c r="D654" s="2" t="n"/>
      <c r="E654" s="2" t="n"/>
      <c r="F654" s="2" t="n"/>
    </row>
    <row r="655" ht="15.75" customHeight="1" s="67">
      <c r="A655" s="2" t="n"/>
      <c r="B655" s="2" t="n"/>
      <c r="C655" s="2" t="n"/>
      <c r="D655" s="2" t="n"/>
      <c r="E655" s="2" t="n"/>
      <c r="F655" s="2" t="n"/>
    </row>
    <row r="656" ht="15.75" customHeight="1" s="67">
      <c r="A656" s="2" t="n"/>
      <c r="B656" s="2" t="n"/>
      <c r="C656" s="2" t="n"/>
      <c r="D656" s="2" t="n"/>
      <c r="E656" s="2" t="n"/>
      <c r="F656" s="2" t="n"/>
    </row>
    <row r="657" ht="15.75" customHeight="1" s="67">
      <c r="A657" s="2" t="n"/>
      <c r="B657" s="2" t="n"/>
      <c r="C657" s="2" t="n"/>
      <c r="D657" s="2" t="n"/>
      <c r="E657" s="2" t="n"/>
      <c r="F657" s="2" t="n"/>
    </row>
    <row r="658" ht="15.75" customHeight="1" s="67">
      <c r="A658" s="2" t="n"/>
      <c r="B658" s="2" t="n"/>
      <c r="C658" s="2" t="n"/>
      <c r="D658" s="2" t="n"/>
      <c r="E658" s="2" t="n"/>
      <c r="F658" s="2" t="n"/>
    </row>
    <row r="659" ht="15.75" customHeight="1" s="67">
      <c r="A659" s="2" t="n"/>
      <c r="B659" s="2" t="n"/>
      <c r="C659" s="2" t="n"/>
      <c r="D659" s="2" t="n"/>
      <c r="E659" s="2" t="n"/>
      <c r="F659" s="2" t="n"/>
    </row>
    <row r="660" ht="15.75" customHeight="1" s="67">
      <c r="A660" s="2" t="n"/>
      <c r="B660" s="2" t="n"/>
      <c r="C660" s="2" t="n"/>
      <c r="D660" s="2" t="n"/>
      <c r="E660" s="2" t="n"/>
      <c r="F660" s="2" t="n"/>
    </row>
    <row r="661" ht="15.75" customHeight="1" s="67">
      <c r="A661" s="2" t="n"/>
      <c r="B661" s="2" t="n"/>
      <c r="C661" s="2" t="n"/>
      <c r="D661" s="2" t="n"/>
      <c r="E661" s="2" t="n"/>
      <c r="F661" s="2" t="n"/>
    </row>
    <row r="662" ht="15.75" customHeight="1" s="67">
      <c r="A662" s="2" t="n"/>
      <c r="B662" s="2" t="n"/>
      <c r="C662" s="2" t="n"/>
      <c r="D662" s="2" t="n"/>
      <c r="E662" s="2" t="n"/>
      <c r="F662" s="2" t="n"/>
    </row>
    <row r="663" ht="15.75" customHeight="1" s="67">
      <c r="A663" s="2" t="n"/>
      <c r="B663" s="2" t="n"/>
      <c r="C663" s="2" t="n"/>
      <c r="D663" s="2" t="n"/>
      <c r="E663" s="2" t="n"/>
      <c r="F663" s="2" t="n"/>
    </row>
    <row r="664" ht="15.75" customHeight="1" s="67">
      <c r="A664" s="2" t="n"/>
      <c r="B664" s="2" t="n"/>
      <c r="C664" s="2" t="n"/>
      <c r="D664" s="2" t="n"/>
      <c r="E664" s="2" t="n"/>
      <c r="F664" s="2" t="n"/>
    </row>
    <row r="665" ht="15.75" customHeight="1" s="67">
      <c r="A665" s="2" t="n"/>
      <c r="B665" s="2" t="n"/>
      <c r="C665" s="2" t="n"/>
      <c r="D665" s="2" t="n"/>
      <c r="E665" s="2" t="n"/>
      <c r="F665" s="2" t="n"/>
    </row>
    <row r="666" ht="15.75" customHeight="1" s="67">
      <c r="A666" s="2" t="n"/>
      <c r="B666" s="2" t="n"/>
      <c r="C666" s="2" t="n"/>
      <c r="D666" s="2" t="n"/>
      <c r="E666" s="2" t="n"/>
      <c r="F666" s="2" t="n"/>
    </row>
    <row r="667" ht="15.75" customHeight="1" s="67">
      <c r="A667" s="2" t="n"/>
      <c r="B667" s="2" t="n"/>
      <c r="C667" s="2" t="n"/>
      <c r="D667" s="2" t="n"/>
      <c r="E667" s="2" t="n"/>
      <c r="F667" s="2" t="n"/>
    </row>
    <row r="668" ht="15.75" customHeight="1" s="67">
      <c r="A668" s="2" t="n"/>
      <c r="B668" s="2" t="n"/>
      <c r="C668" s="2" t="n"/>
      <c r="D668" s="2" t="n"/>
      <c r="E668" s="2" t="n"/>
      <c r="F668" s="2" t="n"/>
    </row>
    <row r="669" ht="15.75" customHeight="1" s="67">
      <c r="A669" s="2" t="n"/>
      <c r="B669" s="2" t="n"/>
      <c r="C669" s="2" t="n"/>
      <c r="D669" s="2" t="n"/>
      <c r="E669" s="2" t="n"/>
      <c r="F669" s="2" t="n"/>
    </row>
    <row r="670" ht="15.75" customHeight="1" s="67">
      <c r="A670" s="2" t="n"/>
      <c r="B670" s="2" t="n"/>
      <c r="C670" s="2" t="n"/>
      <c r="D670" s="2" t="n"/>
      <c r="E670" s="2" t="n"/>
      <c r="F670" s="2" t="n"/>
    </row>
    <row r="671" ht="15.75" customHeight="1" s="67">
      <c r="A671" s="2" t="n"/>
      <c r="B671" s="2" t="n"/>
      <c r="C671" s="2" t="n"/>
      <c r="D671" s="2" t="n"/>
      <c r="E671" s="2" t="n"/>
      <c r="F671" s="2" t="n"/>
    </row>
    <row r="672" ht="15.75" customHeight="1" s="67">
      <c r="A672" s="2" t="n"/>
      <c r="B672" s="2" t="n"/>
      <c r="C672" s="2" t="n"/>
      <c r="D672" s="2" t="n"/>
      <c r="E672" s="2" t="n"/>
      <c r="F672" s="2" t="n"/>
    </row>
    <row r="673" ht="15.75" customHeight="1" s="67">
      <c r="A673" s="2" t="n"/>
      <c r="B673" s="2" t="n"/>
      <c r="C673" s="2" t="n"/>
      <c r="D673" s="2" t="n"/>
      <c r="E673" s="2" t="n"/>
      <c r="F673" s="2" t="n"/>
    </row>
    <row r="674" ht="15.75" customHeight="1" s="67">
      <c r="A674" s="2" t="n"/>
      <c r="B674" s="2" t="n"/>
      <c r="C674" s="2" t="n"/>
      <c r="D674" s="2" t="n"/>
      <c r="E674" s="2" t="n"/>
      <c r="F674" s="2" t="n"/>
    </row>
    <row r="675" ht="15.75" customHeight="1" s="67">
      <c r="A675" s="2" t="n"/>
      <c r="B675" s="2" t="n"/>
      <c r="C675" s="2" t="n"/>
      <c r="D675" s="2" t="n"/>
      <c r="E675" s="2" t="n"/>
      <c r="F675" s="2" t="n"/>
    </row>
    <row r="676" ht="15.75" customHeight="1" s="67">
      <c r="A676" s="2" t="n"/>
      <c r="B676" s="2" t="n"/>
      <c r="C676" s="2" t="n"/>
      <c r="D676" s="2" t="n"/>
      <c r="E676" s="2" t="n"/>
      <c r="F676" s="2" t="n"/>
    </row>
    <row r="677" ht="15.75" customHeight="1" s="67">
      <c r="A677" s="2" t="n"/>
      <c r="B677" s="2" t="n"/>
      <c r="C677" s="2" t="n"/>
      <c r="D677" s="2" t="n"/>
      <c r="E677" s="2" t="n"/>
      <c r="F677" s="2" t="n"/>
    </row>
    <row r="678" ht="15.75" customHeight="1" s="67">
      <c r="A678" s="2" t="n"/>
      <c r="B678" s="2" t="n"/>
      <c r="C678" s="2" t="n"/>
      <c r="D678" s="2" t="n"/>
      <c r="E678" s="2" t="n"/>
      <c r="F678" s="2" t="n"/>
    </row>
    <row r="679" ht="15.75" customHeight="1" s="67">
      <c r="A679" s="2" t="n"/>
      <c r="B679" s="2" t="n"/>
      <c r="C679" s="2" t="n"/>
      <c r="D679" s="2" t="n"/>
      <c r="E679" s="2" t="n"/>
      <c r="F679" s="2" t="n"/>
    </row>
    <row r="680" ht="15.75" customHeight="1" s="67">
      <c r="A680" s="2" t="n"/>
      <c r="B680" s="2" t="n"/>
      <c r="C680" s="2" t="n"/>
      <c r="D680" s="2" t="n"/>
      <c r="E680" s="2" t="n"/>
      <c r="F680" s="2" t="n"/>
    </row>
    <row r="681" ht="15.75" customHeight="1" s="67">
      <c r="A681" s="2" t="n"/>
      <c r="B681" s="2" t="n"/>
      <c r="C681" s="2" t="n"/>
      <c r="D681" s="2" t="n"/>
      <c r="E681" s="2" t="n"/>
      <c r="F681" s="2" t="n"/>
    </row>
    <row r="682" ht="15.75" customHeight="1" s="67">
      <c r="A682" s="2" t="n"/>
      <c r="B682" s="2" t="n"/>
      <c r="C682" s="2" t="n"/>
      <c r="D682" s="2" t="n"/>
      <c r="E682" s="2" t="n"/>
      <c r="F682" s="2" t="n"/>
    </row>
    <row r="683" ht="15.75" customHeight="1" s="67">
      <c r="A683" s="2" t="n"/>
      <c r="B683" s="2" t="n"/>
      <c r="C683" s="2" t="n"/>
      <c r="D683" s="2" t="n"/>
      <c r="E683" s="2" t="n"/>
      <c r="F683" s="2" t="n"/>
    </row>
    <row r="684" ht="15.75" customHeight="1" s="67">
      <c r="A684" s="2" t="n"/>
      <c r="B684" s="2" t="n"/>
      <c r="C684" s="2" t="n"/>
      <c r="D684" s="2" t="n"/>
      <c r="E684" s="2" t="n"/>
      <c r="F684" s="2" t="n"/>
    </row>
    <row r="685" ht="15.75" customHeight="1" s="67">
      <c r="A685" s="2" t="n"/>
      <c r="B685" s="2" t="n"/>
      <c r="C685" s="2" t="n"/>
      <c r="D685" s="2" t="n"/>
      <c r="E685" s="2" t="n"/>
      <c r="F685" s="2" t="n"/>
    </row>
    <row r="686" ht="15.75" customHeight="1" s="67">
      <c r="A686" s="2" t="n"/>
      <c r="B686" s="2" t="n"/>
      <c r="C686" s="2" t="n"/>
      <c r="D686" s="2" t="n"/>
      <c r="E686" s="2" t="n"/>
      <c r="F686" s="2" t="n"/>
    </row>
    <row r="687" ht="15.75" customHeight="1" s="67">
      <c r="A687" s="2" t="n"/>
      <c r="B687" s="2" t="n"/>
      <c r="C687" s="2" t="n"/>
      <c r="D687" s="2" t="n"/>
      <c r="E687" s="2" t="n"/>
      <c r="F687" s="2" t="n"/>
    </row>
    <row r="688" ht="15.75" customHeight="1" s="67">
      <c r="A688" s="2" t="n"/>
      <c r="B688" s="2" t="n"/>
      <c r="C688" s="2" t="n"/>
      <c r="D688" s="2" t="n"/>
      <c r="E688" s="2" t="n"/>
      <c r="F688" s="2" t="n"/>
    </row>
    <row r="689" ht="15.75" customHeight="1" s="67">
      <c r="A689" s="2" t="n"/>
      <c r="B689" s="2" t="n"/>
      <c r="C689" s="2" t="n"/>
      <c r="D689" s="2" t="n"/>
      <c r="E689" s="2" t="n"/>
      <c r="F689" s="2" t="n"/>
    </row>
    <row r="690" ht="15.75" customHeight="1" s="67">
      <c r="A690" s="2" t="n"/>
      <c r="B690" s="2" t="n"/>
      <c r="C690" s="2" t="n"/>
      <c r="D690" s="2" t="n"/>
      <c r="E690" s="2" t="n"/>
      <c r="F690" s="2" t="n"/>
    </row>
    <row r="691" ht="15.75" customHeight="1" s="67">
      <c r="A691" s="2" t="n"/>
      <c r="B691" s="2" t="n"/>
      <c r="C691" s="2" t="n"/>
      <c r="D691" s="2" t="n"/>
      <c r="E691" s="2" t="n"/>
      <c r="F691" s="2" t="n"/>
    </row>
    <row r="692" ht="15.75" customHeight="1" s="67">
      <c r="A692" s="2" t="n"/>
      <c r="B692" s="2" t="n"/>
      <c r="C692" s="2" t="n"/>
      <c r="D692" s="2" t="n"/>
      <c r="E692" s="2" t="n"/>
      <c r="F692" s="2" t="n"/>
    </row>
    <row r="693" ht="15.75" customHeight="1" s="67">
      <c r="A693" s="2" t="n"/>
      <c r="B693" s="2" t="n"/>
      <c r="C693" s="2" t="n"/>
      <c r="D693" s="2" t="n"/>
      <c r="E693" s="2" t="n"/>
      <c r="F693" s="2" t="n"/>
    </row>
    <row r="694" ht="15.75" customHeight="1" s="67">
      <c r="A694" s="2" t="n"/>
      <c r="B694" s="2" t="n"/>
      <c r="C694" s="2" t="n"/>
      <c r="D694" s="2" t="n"/>
      <c r="E694" s="2" t="n"/>
      <c r="F694" s="2" t="n"/>
    </row>
    <row r="695" ht="15.75" customHeight="1" s="67">
      <c r="A695" s="2" t="n"/>
      <c r="B695" s="2" t="n"/>
      <c r="C695" s="2" t="n"/>
      <c r="D695" s="2" t="n"/>
      <c r="E695" s="2" t="n"/>
      <c r="F695" s="2" t="n"/>
    </row>
    <row r="696" ht="15.75" customHeight="1" s="67">
      <c r="A696" s="2" t="n"/>
      <c r="B696" s="2" t="n"/>
      <c r="C696" s="2" t="n"/>
      <c r="D696" s="2" t="n"/>
      <c r="E696" s="2" t="n"/>
      <c r="F696" s="2" t="n"/>
    </row>
    <row r="697" ht="15.75" customHeight="1" s="67">
      <c r="A697" s="2" t="n"/>
      <c r="B697" s="2" t="n"/>
      <c r="C697" s="2" t="n"/>
      <c r="D697" s="2" t="n"/>
      <c r="E697" s="2" t="n"/>
      <c r="F697" s="2" t="n"/>
    </row>
    <row r="698" ht="15.75" customHeight="1" s="67">
      <c r="A698" s="2" t="n"/>
      <c r="B698" s="2" t="n"/>
      <c r="C698" s="2" t="n"/>
      <c r="D698" s="2" t="n"/>
      <c r="E698" s="2" t="n"/>
      <c r="F698" s="2" t="n"/>
    </row>
    <row r="699" ht="15.75" customHeight="1" s="67">
      <c r="A699" s="2" t="n"/>
      <c r="B699" s="2" t="n"/>
      <c r="C699" s="2" t="n"/>
      <c r="D699" s="2" t="n"/>
      <c r="E699" s="2" t="n"/>
      <c r="F699" s="2" t="n"/>
    </row>
    <row r="700" ht="15.75" customHeight="1" s="67">
      <c r="A700" s="2" t="n"/>
      <c r="B700" s="2" t="n"/>
      <c r="C700" s="2" t="n"/>
      <c r="D700" s="2" t="n"/>
      <c r="E700" s="2" t="n"/>
      <c r="F700" s="2" t="n"/>
    </row>
    <row r="701" ht="15.75" customHeight="1" s="67">
      <c r="A701" s="2" t="n"/>
      <c r="B701" s="2" t="n"/>
      <c r="C701" s="2" t="n"/>
      <c r="D701" s="2" t="n"/>
      <c r="E701" s="2" t="n"/>
      <c r="F701" s="2" t="n"/>
    </row>
    <row r="702" ht="15.75" customHeight="1" s="67">
      <c r="A702" s="2" t="n"/>
      <c r="B702" s="2" t="n"/>
      <c r="C702" s="2" t="n"/>
      <c r="D702" s="2" t="n"/>
      <c r="E702" s="2" t="n"/>
      <c r="F702" s="2" t="n"/>
    </row>
    <row r="703" ht="15.75" customHeight="1" s="67">
      <c r="A703" s="2" t="n"/>
      <c r="B703" s="2" t="n"/>
      <c r="C703" s="2" t="n"/>
      <c r="D703" s="2" t="n"/>
      <c r="E703" s="2" t="n"/>
      <c r="F703" s="2" t="n"/>
    </row>
    <row r="704" ht="15.75" customHeight="1" s="67">
      <c r="A704" s="2" t="n"/>
      <c r="B704" s="2" t="n"/>
      <c r="C704" s="2" t="n"/>
      <c r="D704" s="2" t="n"/>
      <c r="E704" s="2" t="n"/>
      <c r="F704" s="2" t="n"/>
    </row>
    <row r="705" ht="15.75" customHeight="1" s="67">
      <c r="A705" s="2" t="n"/>
      <c r="B705" s="2" t="n"/>
      <c r="C705" s="2" t="n"/>
      <c r="D705" s="2" t="n"/>
      <c r="E705" s="2" t="n"/>
      <c r="F705" s="2" t="n"/>
    </row>
    <row r="706" ht="15.75" customHeight="1" s="67">
      <c r="A706" s="2" t="n"/>
      <c r="B706" s="2" t="n"/>
      <c r="C706" s="2" t="n"/>
      <c r="D706" s="2" t="n"/>
      <c r="E706" s="2" t="n"/>
      <c r="F706" s="2" t="n"/>
    </row>
    <row r="707" ht="15.75" customHeight="1" s="67">
      <c r="A707" s="2" t="n"/>
      <c r="B707" s="2" t="n"/>
      <c r="C707" s="2" t="n"/>
      <c r="D707" s="2" t="n"/>
      <c r="E707" s="2" t="n"/>
      <c r="F707" s="2" t="n"/>
    </row>
    <row r="708" ht="15.75" customHeight="1" s="67">
      <c r="A708" s="2" t="n"/>
      <c r="B708" s="2" t="n"/>
      <c r="C708" s="2" t="n"/>
      <c r="D708" s="2" t="n"/>
      <c r="E708" s="2" t="n"/>
      <c r="F708" s="2" t="n"/>
    </row>
    <row r="709" ht="15.75" customHeight="1" s="67">
      <c r="A709" s="2" t="n"/>
      <c r="B709" s="2" t="n"/>
      <c r="C709" s="2" t="n"/>
      <c r="D709" s="2" t="n"/>
      <c r="E709" s="2" t="n"/>
      <c r="F709" s="2" t="n"/>
    </row>
    <row r="710" ht="15.75" customHeight="1" s="67">
      <c r="A710" s="2" t="n"/>
      <c r="B710" s="2" t="n"/>
      <c r="C710" s="2" t="n"/>
      <c r="D710" s="2" t="n"/>
      <c r="E710" s="2" t="n"/>
      <c r="F710" s="2" t="n"/>
    </row>
    <row r="711" ht="15.75" customHeight="1" s="67">
      <c r="A711" s="2" t="n"/>
      <c r="B711" s="2" t="n"/>
      <c r="C711" s="2" t="n"/>
      <c r="D711" s="2" t="n"/>
      <c r="E711" s="2" t="n"/>
      <c r="F711" s="2" t="n"/>
    </row>
    <row r="712" ht="15.75" customHeight="1" s="67">
      <c r="A712" s="2" t="n"/>
      <c r="B712" s="2" t="n"/>
      <c r="C712" s="2" t="n"/>
      <c r="D712" s="2" t="n"/>
      <c r="E712" s="2" t="n"/>
      <c r="F712" s="2" t="n"/>
    </row>
    <row r="713" ht="15.75" customHeight="1" s="67">
      <c r="A713" s="2" t="n"/>
      <c r="B713" s="2" t="n"/>
      <c r="C713" s="2" t="n"/>
      <c r="D713" s="2" t="n"/>
      <c r="E713" s="2" t="n"/>
      <c r="F713" s="2" t="n"/>
    </row>
    <row r="714" ht="15.75" customHeight="1" s="67">
      <c r="A714" s="2" t="n"/>
      <c r="B714" s="2" t="n"/>
      <c r="C714" s="2" t="n"/>
      <c r="D714" s="2" t="n"/>
      <c r="E714" s="2" t="n"/>
      <c r="F714" s="2" t="n"/>
    </row>
    <row r="715" ht="15.75" customHeight="1" s="67">
      <c r="A715" s="2" t="n"/>
      <c r="B715" s="2" t="n"/>
      <c r="C715" s="2" t="n"/>
      <c r="D715" s="2" t="n"/>
      <c r="E715" s="2" t="n"/>
      <c r="F715" s="2" t="n"/>
    </row>
    <row r="716" ht="15.75" customHeight="1" s="67">
      <c r="A716" s="2" t="n"/>
      <c r="B716" s="2" t="n"/>
      <c r="C716" s="2" t="n"/>
      <c r="D716" s="2" t="n"/>
      <c r="E716" s="2" t="n"/>
      <c r="F716" s="2" t="n"/>
    </row>
    <row r="717" ht="15.75" customHeight="1" s="67">
      <c r="A717" s="2" t="n"/>
      <c r="B717" s="2" t="n"/>
      <c r="C717" s="2" t="n"/>
      <c r="D717" s="2" t="n"/>
      <c r="E717" s="2" t="n"/>
      <c r="F717" s="2" t="n"/>
    </row>
    <row r="718" ht="15.75" customHeight="1" s="67">
      <c r="A718" s="2" t="n"/>
      <c r="B718" s="2" t="n"/>
      <c r="C718" s="2" t="n"/>
      <c r="D718" s="2" t="n"/>
      <c r="E718" s="2" t="n"/>
      <c r="F718" s="2" t="n"/>
    </row>
    <row r="719" ht="15.75" customHeight="1" s="67">
      <c r="A719" s="2" t="n"/>
      <c r="B719" s="2" t="n"/>
      <c r="C719" s="2" t="n"/>
      <c r="D719" s="2" t="n"/>
      <c r="E719" s="2" t="n"/>
      <c r="F719" s="2" t="n"/>
    </row>
    <row r="720" ht="15.75" customHeight="1" s="67">
      <c r="A720" s="2" t="n"/>
      <c r="B720" s="2" t="n"/>
      <c r="C720" s="2" t="n"/>
      <c r="D720" s="2" t="n"/>
      <c r="E720" s="2" t="n"/>
      <c r="F720" s="2" t="n"/>
    </row>
    <row r="721" ht="15.75" customHeight="1" s="67">
      <c r="A721" s="2" t="n"/>
      <c r="B721" s="2" t="n"/>
      <c r="C721" s="2" t="n"/>
      <c r="D721" s="2" t="n"/>
      <c r="E721" s="2" t="n"/>
      <c r="F721" s="2" t="n"/>
    </row>
    <row r="722" ht="15.75" customHeight="1" s="67">
      <c r="A722" s="2" t="n"/>
      <c r="B722" s="2" t="n"/>
      <c r="C722" s="2" t="n"/>
      <c r="D722" s="2" t="n"/>
      <c r="E722" s="2" t="n"/>
      <c r="F722" s="2" t="n"/>
    </row>
    <row r="723" ht="15.75" customHeight="1" s="67">
      <c r="A723" s="2" t="n"/>
      <c r="B723" s="2" t="n"/>
      <c r="C723" s="2" t="n"/>
      <c r="D723" s="2" t="n"/>
      <c r="E723" s="2" t="n"/>
      <c r="F723" s="2" t="n"/>
    </row>
    <row r="724" ht="15.75" customHeight="1" s="67">
      <c r="A724" s="2" t="n"/>
      <c r="B724" s="2" t="n"/>
      <c r="C724" s="2" t="n"/>
      <c r="D724" s="2" t="n"/>
      <c r="E724" s="2" t="n"/>
      <c r="F724" s="2" t="n"/>
    </row>
    <row r="725" ht="15.75" customHeight="1" s="67">
      <c r="A725" s="2" t="n"/>
      <c r="B725" s="2" t="n"/>
      <c r="C725" s="2" t="n"/>
      <c r="D725" s="2" t="n"/>
      <c r="E725" s="2" t="n"/>
      <c r="F725" s="2" t="n"/>
    </row>
    <row r="726" ht="15.75" customHeight="1" s="67">
      <c r="A726" s="2" t="n"/>
      <c r="B726" s="2" t="n"/>
      <c r="C726" s="2" t="n"/>
      <c r="D726" s="2" t="n"/>
      <c r="E726" s="2" t="n"/>
      <c r="F726" s="2" t="n"/>
    </row>
    <row r="727" ht="15.75" customHeight="1" s="67">
      <c r="A727" s="2" t="n"/>
      <c r="B727" s="2" t="n"/>
      <c r="C727" s="2" t="n"/>
      <c r="D727" s="2" t="n"/>
      <c r="E727" s="2" t="n"/>
      <c r="F727" s="2" t="n"/>
    </row>
    <row r="728" ht="15.75" customHeight="1" s="67">
      <c r="A728" s="2" t="n"/>
      <c r="B728" s="2" t="n"/>
      <c r="C728" s="2" t="n"/>
      <c r="D728" s="2" t="n"/>
      <c r="E728" s="2" t="n"/>
      <c r="F728" s="2" t="n"/>
    </row>
    <row r="729" ht="15.75" customHeight="1" s="67">
      <c r="A729" s="2" t="n"/>
      <c r="B729" s="2" t="n"/>
      <c r="C729" s="2" t="n"/>
      <c r="D729" s="2" t="n"/>
      <c r="E729" s="2" t="n"/>
      <c r="F729" s="2" t="n"/>
    </row>
    <row r="730" ht="15.75" customHeight="1" s="67">
      <c r="A730" s="2" t="n"/>
      <c r="B730" s="2" t="n"/>
      <c r="C730" s="2" t="n"/>
      <c r="D730" s="2" t="n"/>
      <c r="E730" s="2" t="n"/>
      <c r="F730" s="2" t="n"/>
    </row>
    <row r="731" ht="15.75" customHeight="1" s="67">
      <c r="A731" s="2" t="n"/>
      <c r="B731" s="2" t="n"/>
      <c r="C731" s="2" t="n"/>
      <c r="D731" s="2" t="n"/>
      <c r="E731" s="2" t="n"/>
      <c r="F731" s="2" t="n"/>
    </row>
    <row r="732" ht="15.75" customHeight="1" s="67">
      <c r="A732" s="2" t="n"/>
      <c r="B732" s="2" t="n"/>
      <c r="C732" s="2" t="n"/>
      <c r="D732" s="2" t="n"/>
      <c r="E732" s="2" t="n"/>
      <c r="F732" s="2" t="n"/>
    </row>
    <row r="733" ht="15.75" customHeight="1" s="67">
      <c r="A733" s="2" t="n"/>
      <c r="B733" s="2" t="n"/>
      <c r="C733" s="2" t="n"/>
      <c r="D733" s="2" t="n"/>
      <c r="E733" s="2" t="n"/>
      <c r="F733" s="2" t="n"/>
    </row>
    <row r="734" ht="15.75" customHeight="1" s="67">
      <c r="A734" s="2" t="n"/>
      <c r="B734" s="2" t="n"/>
      <c r="C734" s="2" t="n"/>
      <c r="D734" s="2" t="n"/>
      <c r="E734" s="2" t="n"/>
      <c r="F734" s="2" t="n"/>
    </row>
    <row r="735" ht="15.75" customHeight="1" s="67">
      <c r="A735" s="2" t="n"/>
      <c r="B735" s="2" t="n"/>
      <c r="C735" s="2" t="n"/>
      <c r="D735" s="2" t="n"/>
      <c r="E735" s="2" t="n"/>
      <c r="F735" s="2" t="n"/>
    </row>
    <row r="736" ht="15.75" customHeight="1" s="67">
      <c r="A736" s="2" t="n"/>
      <c r="B736" s="2" t="n"/>
      <c r="C736" s="2" t="n"/>
      <c r="D736" s="2" t="n"/>
      <c r="E736" s="2" t="n"/>
      <c r="F736" s="2" t="n"/>
    </row>
    <row r="737" ht="15.75" customHeight="1" s="67">
      <c r="A737" s="2" t="n"/>
      <c r="B737" s="2" t="n"/>
      <c r="C737" s="2" t="n"/>
      <c r="D737" s="2" t="n"/>
      <c r="E737" s="2" t="n"/>
      <c r="F737" s="2" t="n"/>
    </row>
    <row r="738" ht="15.75" customHeight="1" s="67">
      <c r="A738" s="2" t="n"/>
      <c r="B738" s="2" t="n"/>
      <c r="C738" s="2" t="n"/>
      <c r="D738" s="2" t="n"/>
      <c r="E738" s="2" t="n"/>
      <c r="F738" s="2" t="n"/>
    </row>
    <row r="739" ht="15.75" customHeight="1" s="67">
      <c r="A739" s="2" t="n"/>
      <c r="B739" s="2" t="n"/>
      <c r="C739" s="2" t="n"/>
      <c r="D739" s="2" t="n"/>
      <c r="E739" s="2" t="n"/>
      <c r="F739" s="2" t="n"/>
    </row>
    <row r="740" ht="15.75" customHeight="1" s="67">
      <c r="A740" s="2" t="n"/>
      <c r="B740" s="2" t="n"/>
      <c r="C740" s="2" t="n"/>
      <c r="D740" s="2" t="n"/>
      <c r="E740" s="2" t="n"/>
      <c r="F740" s="2" t="n"/>
    </row>
    <row r="741" ht="15.75" customHeight="1" s="67">
      <c r="A741" s="2" t="n"/>
      <c r="B741" s="2" t="n"/>
      <c r="C741" s="2" t="n"/>
      <c r="D741" s="2" t="n"/>
      <c r="E741" s="2" t="n"/>
      <c r="F741" s="2" t="n"/>
    </row>
    <row r="742" ht="15.75" customHeight="1" s="67">
      <c r="A742" s="2" t="n"/>
      <c r="B742" s="2" t="n"/>
      <c r="C742" s="2" t="n"/>
      <c r="D742" s="2" t="n"/>
      <c r="E742" s="2" t="n"/>
      <c r="F742" s="2" t="n"/>
    </row>
    <row r="743" ht="15.75" customHeight="1" s="67">
      <c r="A743" s="2" t="n"/>
      <c r="B743" s="2" t="n"/>
      <c r="C743" s="2" t="n"/>
      <c r="D743" s="2" t="n"/>
      <c r="E743" s="2" t="n"/>
      <c r="F743" s="2" t="n"/>
    </row>
    <row r="744" ht="15.75" customHeight="1" s="67">
      <c r="A744" s="2" t="n"/>
      <c r="B744" s="2" t="n"/>
      <c r="C744" s="2" t="n"/>
      <c r="D744" s="2" t="n"/>
      <c r="E744" s="2" t="n"/>
      <c r="F744" s="2" t="n"/>
    </row>
    <row r="745" ht="15.75" customHeight="1" s="67">
      <c r="A745" s="2" t="n"/>
      <c r="B745" s="2" t="n"/>
      <c r="C745" s="2" t="n"/>
      <c r="D745" s="2" t="n"/>
      <c r="E745" s="2" t="n"/>
      <c r="F745" s="2" t="n"/>
    </row>
    <row r="746" ht="15.75" customHeight="1" s="67">
      <c r="A746" s="2" t="n"/>
      <c r="B746" s="2" t="n"/>
      <c r="C746" s="2" t="n"/>
      <c r="D746" s="2" t="n"/>
      <c r="E746" s="2" t="n"/>
      <c r="F746" s="2" t="n"/>
    </row>
    <row r="747" ht="15.75" customHeight="1" s="67">
      <c r="A747" s="2" t="n"/>
      <c r="B747" s="2" t="n"/>
      <c r="C747" s="2" t="n"/>
      <c r="D747" s="2" t="n"/>
      <c r="E747" s="2" t="n"/>
      <c r="F747" s="2" t="n"/>
    </row>
    <row r="748" ht="15.75" customHeight="1" s="67">
      <c r="A748" s="2" t="n"/>
      <c r="B748" s="2" t="n"/>
      <c r="C748" s="2" t="n"/>
      <c r="D748" s="2" t="n"/>
      <c r="E748" s="2" t="n"/>
      <c r="F748" s="2" t="n"/>
    </row>
    <row r="749" ht="15.75" customHeight="1" s="67">
      <c r="A749" s="2" t="n"/>
      <c r="B749" s="2" t="n"/>
      <c r="C749" s="2" t="n"/>
      <c r="D749" s="2" t="n"/>
      <c r="E749" s="2" t="n"/>
      <c r="F749" s="2" t="n"/>
    </row>
    <row r="750" ht="15.75" customHeight="1" s="67">
      <c r="A750" s="2" t="n"/>
      <c r="B750" s="2" t="n"/>
      <c r="C750" s="2" t="n"/>
      <c r="D750" s="2" t="n"/>
      <c r="E750" s="2" t="n"/>
      <c r="F750" s="2" t="n"/>
    </row>
    <row r="751" ht="15.75" customHeight="1" s="67">
      <c r="A751" s="2" t="n"/>
      <c r="B751" s="2" t="n"/>
      <c r="C751" s="2" t="n"/>
      <c r="D751" s="2" t="n"/>
      <c r="E751" s="2" t="n"/>
      <c r="F751" s="2" t="n"/>
    </row>
    <row r="752" ht="15.75" customHeight="1" s="67">
      <c r="A752" s="2" t="n"/>
      <c r="B752" s="2" t="n"/>
      <c r="C752" s="2" t="n"/>
      <c r="D752" s="2" t="n"/>
      <c r="E752" s="2" t="n"/>
      <c r="F752" s="2" t="n"/>
    </row>
    <row r="753" ht="15.75" customHeight="1" s="67">
      <c r="A753" s="2" t="n"/>
      <c r="B753" s="2" t="n"/>
      <c r="C753" s="2" t="n"/>
      <c r="D753" s="2" t="n"/>
      <c r="E753" s="2" t="n"/>
      <c r="F753" s="2" t="n"/>
    </row>
    <row r="754" ht="15.75" customHeight="1" s="67">
      <c r="A754" s="2" t="n"/>
      <c r="B754" s="2" t="n"/>
      <c r="C754" s="2" t="n"/>
      <c r="D754" s="2" t="n"/>
      <c r="E754" s="2" t="n"/>
      <c r="F754" s="2" t="n"/>
    </row>
    <row r="755" ht="15.75" customHeight="1" s="67">
      <c r="A755" s="2" t="n"/>
      <c r="B755" s="2" t="n"/>
      <c r="C755" s="2" t="n"/>
      <c r="D755" s="2" t="n"/>
      <c r="E755" s="2" t="n"/>
      <c r="F755" s="2" t="n"/>
    </row>
    <row r="756" ht="15.75" customHeight="1" s="67">
      <c r="A756" s="2" t="n"/>
      <c r="B756" s="2" t="n"/>
      <c r="C756" s="2" t="n"/>
      <c r="D756" s="2" t="n"/>
      <c r="E756" s="2" t="n"/>
      <c r="F756" s="2" t="n"/>
    </row>
    <row r="757" ht="15.75" customHeight="1" s="67">
      <c r="A757" s="2" t="n"/>
      <c r="B757" s="2" t="n"/>
      <c r="C757" s="2" t="n"/>
      <c r="D757" s="2" t="n"/>
      <c r="E757" s="2" t="n"/>
      <c r="F757" s="2" t="n"/>
    </row>
    <row r="758" ht="15.75" customHeight="1" s="67">
      <c r="A758" s="2" t="n"/>
      <c r="B758" s="2" t="n"/>
      <c r="C758" s="2" t="n"/>
      <c r="D758" s="2" t="n"/>
      <c r="E758" s="2" t="n"/>
      <c r="F758" s="2" t="n"/>
    </row>
    <row r="759" ht="15.75" customHeight="1" s="67">
      <c r="A759" s="2" t="n"/>
      <c r="B759" s="2" t="n"/>
      <c r="C759" s="2" t="n"/>
      <c r="D759" s="2" t="n"/>
      <c r="E759" s="2" t="n"/>
      <c r="F759" s="2" t="n"/>
    </row>
    <row r="760" ht="15.75" customHeight="1" s="67">
      <c r="A760" s="2" t="n"/>
      <c r="B760" s="2" t="n"/>
      <c r="C760" s="2" t="n"/>
      <c r="D760" s="2" t="n"/>
      <c r="E760" s="2" t="n"/>
      <c r="F760" s="2" t="n"/>
    </row>
    <row r="761" ht="15.75" customHeight="1" s="67">
      <c r="A761" s="2" t="n"/>
      <c r="B761" s="2" t="n"/>
      <c r="C761" s="2" t="n"/>
      <c r="D761" s="2" t="n"/>
      <c r="E761" s="2" t="n"/>
      <c r="F761" s="2" t="n"/>
    </row>
    <row r="762" ht="15.75" customHeight="1" s="67">
      <c r="A762" s="2" t="n"/>
      <c r="B762" s="2" t="n"/>
      <c r="C762" s="2" t="n"/>
      <c r="D762" s="2" t="n"/>
      <c r="E762" s="2" t="n"/>
      <c r="F762" s="2" t="n"/>
    </row>
    <row r="763" ht="15.75" customHeight="1" s="67">
      <c r="A763" s="2" t="n"/>
      <c r="B763" s="2" t="n"/>
      <c r="C763" s="2" t="n"/>
      <c r="D763" s="2" t="n"/>
      <c r="E763" s="2" t="n"/>
      <c r="F763" s="2" t="n"/>
    </row>
    <row r="764" ht="15.75" customHeight="1" s="67">
      <c r="A764" s="2" t="n"/>
      <c r="B764" s="2" t="n"/>
      <c r="C764" s="2" t="n"/>
      <c r="D764" s="2" t="n"/>
      <c r="E764" s="2" t="n"/>
      <c r="F764" s="2" t="n"/>
    </row>
    <row r="765" ht="15.75" customHeight="1" s="67">
      <c r="A765" s="2" t="n"/>
      <c r="B765" s="2" t="n"/>
      <c r="C765" s="2" t="n"/>
      <c r="D765" s="2" t="n"/>
      <c r="E765" s="2" t="n"/>
      <c r="F765" s="2" t="n"/>
    </row>
    <row r="766" ht="15.75" customHeight="1" s="67">
      <c r="A766" s="2" t="n"/>
      <c r="B766" s="2" t="n"/>
      <c r="C766" s="2" t="n"/>
      <c r="D766" s="2" t="n"/>
      <c r="E766" s="2" t="n"/>
      <c r="F766" s="2" t="n"/>
    </row>
    <row r="767" ht="15.75" customHeight="1" s="67">
      <c r="A767" s="2" t="n"/>
      <c r="B767" s="2" t="n"/>
      <c r="C767" s="2" t="n"/>
      <c r="D767" s="2" t="n"/>
      <c r="E767" s="2" t="n"/>
      <c r="F767" s="2" t="n"/>
    </row>
    <row r="768" ht="15.75" customHeight="1" s="67">
      <c r="A768" s="2" t="n"/>
      <c r="B768" s="2" t="n"/>
      <c r="C768" s="2" t="n"/>
      <c r="D768" s="2" t="n"/>
      <c r="E768" s="2" t="n"/>
      <c r="F768" s="2" t="n"/>
    </row>
    <row r="769" ht="15.75" customHeight="1" s="67">
      <c r="A769" s="2" t="n"/>
      <c r="B769" s="2" t="n"/>
      <c r="C769" s="2" t="n"/>
      <c r="D769" s="2" t="n"/>
      <c r="E769" s="2" t="n"/>
      <c r="F769" s="2" t="n"/>
    </row>
    <row r="770" ht="15.75" customHeight="1" s="67">
      <c r="A770" s="2" t="n"/>
      <c r="B770" s="2" t="n"/>
      <c r="C770" s="2" t="n"/>
      <c r="D770" s="2" t="n"/>
      <c r="E770" s="2" t="n"/>
      <c r="F770" s="2" t="n"/>
    </row>
    <row r="771" ht="15.75" customHeight="1" s="67">
      <c r="A771" s="2" t="n"/>
      <c r="B771" s="2" t="n"/>
      <c r="C771" s="2" t="n"/>
      <c r="D771" s="2" t="n"/>
      <c r="E771" s="2" t="n"/>
      <c r="F771" s="2" t="n"/>
    </row>
    <row r="772" ht="15.75" customHeight="1" s="67">
      <c r="A772" s="2" t="n"/>
      <c r="B772" s="2" t="n"/>
      <c r="C772" s="2" t="n"/>
      <c r="D772" s="2" t="n"/>
      <c r="E772" s="2" t="n"/>
      <c r="F772" s="2" t="n"/>
    </row>
    <row r="773" ht="15.75" customHeight="1" s="67">
      <c r="A773" s="2" t="n"/>
      <c r="B773" s="2" t="n"/>
      <c r="C773" s="2" t="n"/>
      <c r="D773" s="2" t="n"/>
      <c r="E773" s="2" t="n"/>
      <c r="F773" s="2" t="n"/>
    </row>
    <row r="774" ht="15.75" customHeight="1" s="67">
      <c r="A774" s="2" t="n"/>
      <c r="B774" s="2" t="n"/>
      <c r="C774" s="2" t="n"/>
      <c r="D774" s="2" t="n"/>
      <c r="E774" s="2" t="n"/>
      <c r="F774" s="2" t="n"/>
    </row>
    <row r="775" ht="15.75" customHeight="1" s="67">
      <c r="A775" s="2" t="n"/>
      <c r="B775" s="2" t="n"/>
      <c r="C775" s="2" t="n"/>
      <c r="D775" s="2" t="n"/>
      <c r="E775" s="2" t="n"/>
      <c r="F775" s="2" t="n"/>
    </row>
    <row r="776" ht="15.75" customHeight="1" s="67">
      <c r="A776" s="2" t="n"/>
      <c r="B776" s="2" t="n"/>
      <c r="C776" s="2" t="n"/>
      <c r="D776" s="2" t="n"/>
      <c r="E776" s="2" t="n"/>
      <c r="F776" s="2" t="n"/>
    </row>
    <row r="777" ht="15.75" customHeight="1" s="67">
      <c r="A777" s="2" t="n"/>
      <c r="B777" s="2" t="n"/>
      <c r="C777" s="2" t="n"/>
      <c r="D777" s="2" t="n"/>
      <c r="E777" s="2" t="n"/>
      <c r="F777" s="2" t="n"/>
    </row>
    <row r="778" ht="15.75" customHeight="1" s="67">
      <c r="A778" s="2" t="n"/>
      <c r="B778" s="2" t="n"/>
      <c r="C778" s="2" t="n"/>
      <c r="D778" s="2" t="n"/>
      <c r="E778" s="2" t="n"/>
      <c r="F778" s="2" t="n"/>
    </row>
    <row r="779" ht="15.75" customHeight="1" s="67">
      <c r="A779" s="2" t="n"/>
      <c r="B779" s="2" t="n"/>
      <c r="C779" s="2" t="n"/>
      <c r="D779" s="2" t="n"/>
      <c r="E779" s="2" t="n"/>
      <c r="F779" s="2" t="n"/>
    </row>
    <row r="780" ht="15.75" customHeight="1" s="67">
      <c r="A780" s="2" t="n"/>
      <c r="B780" s="2" t="n"/>
      <c r="C780" s="2" t="n"/>
      <c r="D780" s="2" t="n"/>
      <c r="E780" s="2" t="n"/>
      <c r="F780" s="2" t="n"/>
    </row>
    <row r="781" ht="15.75" customHeight="1" s="67">
      <c r="A781" s="2" t="n"/>
      <c r="B781" s="2" t="n"/>
      <c r="C781" s="2" t="n"/>
      <c r="D781" s="2" t="n"/>
      <c r="E781" s="2" t="n"/>
      <c r="F781" s="2" t="n"/>
    </row>
    <row r="782" ht="15.75" customHeight="1" s="67">
      <c r="A782" s="2" t="n"/>
      <c r="B782" s="2" t="n"/>
      <c r="C782" s="2" t="n"/>
      <c r="D782" s="2" t="n"/>
      <c r="E782" s="2" t="n"/>
      <c r="F782" s="2" t="n"/>
    </row>
    <row r="783" ht="15.75" customHeight="1" s="67">
      <c r="A783" s="2" t="n"/>
      <c r="B783" s="2" t="n"/>
      <c r="C783" s="2" t="n"/>
      <c r="D783" s="2" t="n"/>
      <c r="E783" s="2" t="n"/>
      <c r="F783" s="2" t="n"/>
    </row>
    <row r="784" ht="15.75" customHeight="1" s="67">
      <c r="A784" s="2" t="n"/>
      <c r="B784" s="2" t="n"/>
      <c r="C784" s="2" t="n"/>
      <c r="D784" s="2" t="n"/>
      <c r="E784" s="2" t="n"/>
      <c r="F784" s="2" t="n"/>
    </row>
    <row r="785" ht="15.75" customHeight="1" s="67">
      <c r="A785" s="2" t="n"/>
      <c r="B785" s="2" t="n"/>
      <c r="C785" s="2" t="n"/>
      <c r="D785" s="2" t="n"/>
      <c r="E785" s="2" t="n"/>
      <c r="F785" s="2" t="n"/>
    </row>
    <row r="786" ht="15.75" customHeight="1" s="67">
      <c r="A786" s="2" t="n"/>
      <c r="B786" s="2" t="n"/>
      <c r="C786" s="2" t="n"/>
      <c r="D786" s="2" t="n"/>
      <c r="E786" s="2" t="n"/>
      <c r="F786" s="2" t="n"/>
    </row>
    <row r="787" ht="15.75" customHeight="1" s="67">
      <c r="A787" s="2" t="n"/>
      <c r="B787" s="2" t="n"/>
      <c r="C787" s="2" t="n"/>
      <c r="D787" s="2" t="n"/>
      <c r="E787" s="2" t="n"/>
      <c r="F787" s="2" t="n"/>
    </row>
    <row r="788" ht="15.75" customHeight="1" s="67">
      <c r="A788" s="2" t="n"/>
      <c r="B788" s="2" t="n"/>
      <c r="C788" s="2" t="n"/>
      <c r="D788" s="2" t="n"/>
      <c r="E788" s="2" t="n"/>
      <c r="F788" s="2" t="n"/>
    </row>
    <row r="789" ht="15.75" customHeight="1" s="67">
      <c r="A789" s="2" t="n"/>
      <c r="B789" s="2" t="n"/>
      <c r="C789" s="2" t="n"/>
      <c r="D789" s="2" t="n"/>
      <c r="E789" s="2" t="n"/>
      <c r="F789" s="2" t="n"/>
    </row>
    <row r="790" ht="15.75" customHeight="1" s="67">
      <c r="A790" s="2" t="n"/>
      <c r="B790" s="2" t="n"/>
      <c r="C790" s="2" t="n"/>
      <c r="D790" s="2" t="n"/>
      <c r="E790" s="2" t="n"/>
      <c r="F790" s="2" t="n"/>
    </row>
    <row r="791" ht="15.75" customHeight="1" s="67">
      <c r="A791" s="2" t="n"/>
      <c r="B791" s="2" t="n"/>
      <c r="C791" s="2" t="n"/>
      <c r="D791" s="2" t="n"/>
      <c r="E791" s="2" t="n"/>
      <c r="F791" s="2" t="n"/>
    </row>
    <row r="792" ht="15.75" customHeight="1" s="67">
      <c r="A792" s="2" t="n"/>
      <c r="B792" s="2" t="n"/>
      <c r="C792" s="2" t="n"/>
      <c r="D792" s="2" t="n"/>
      <c r="E792" s="2" t="n"/>
      <c r="F792" s="2" t="n"/>
    </row>
    <row r="793" ht="15.75" customHeight="1" s="67">
      <c r="A793" s="2" t="n"/>
      <c r="B793" s="2" t="n"/>
      <c r="C793" s="2" t="n"/>
      <c r="D793" s="2" t="n"/>
      <c r="E793" s="2" t="n"/>
      <c r="F793" s="2" t="n"/>
    </row>
    <row r="794" ht="15.75" customHeight="1" s="67">
      <c r="A794" s="2" t="n"/>
      <c r="B794" s="2" t="n"/>
      <c r="C794" s="2" t="n"/>
      <c r="D794" s="2" t="n"/>
      <c r="E794" s="2" t="n"/>
      <c r="F794" s="2" t="n"/>
    </row>
    <row r="795" ht="15.75" customHeight="1" s="67">
      <c r="A795" s="2" t="n"/>
      <c r="B795" s="2" t="n"/>
      <c r="C795" s="2" t="n"/>
      <c r="D795" s="2" t="n"/>
      <c r="E795" s="2" t="n"/>
      <c r="F795" s="2" t="n"/>
    </row>
    <row r="796" ht="15.75" customHeight="1" s="67">
      <c r="A796" s="2" t="n"/>
      <c r="B796" s="2" t="n"/>
      <c r="C796" s="2" t="n"/>
      <c r="D796" s="2" t="n"/>
      <c r="E796" s="2" t="n"/>
      <c r="F796" s="2" t="n"/>
    </row>
    <row r="797" ht="15.75" customHeight="1" s="67">
      <c r="A797" s="2" t="n"/>
      <c r="B797" s="2" t="n"/>
      <c r="C797" s="2" t="n"/>
      <c r="D797" s="2" t="n"/>
      <c r="E797" s="2" t="n"/>
      <c r="F797" s="2" t="n"/>
    </row>
    <row r="798" ht="15.75" customHeight="1" s="67">
      <c r="A798" s="2" t="n"/>
      <c r="B798" s="2" t="n"/>
      <c r="C798" s="2" t="n"/>
      <c r="D798" s="2" t="n"/>
      <c r="E798" s="2" t="n"/>
      <c r="F798" s="2" t="n"/>
    </row>
    <row r="799" ht="15.75" customHeight="1" s="67">
      <c r="A799" s="2" t="n"/>
      <c r="B799" s="2" t="n"/>
      <c r="C799" s="2" t="n"/>
      <c r="D799" s="2" t="n"/>
      <c r="E799" s="2" t="n"/>
      <c r="F799" s="2" t="n"/>
    </row>
    <row r="800" ht="15.75" customHeight="1" s="67">
      <c r="A800" s="2" t="n"/>
      <c r="B800" s="2" t="n"/>
      <c r="C800" s="2" t="n"/>
      <c r="D800" s="2" t="n"/>
      <c r="E800" s="2" t="n"/>
      <c r="F800" s="2" t="n"/>
    </row>
    <row r="801" ht="15.75" customHeight="1" s="67">
      <c r="A801" s="2" t="n"/>
      <c r="B801" s="2" t="n"/>
      <c r="C801" s="2" t="n"/>
      <c r="D801" s="2" t="n"/>
      <c r="E801" s="2" t="n"/>
      <c r="F801" s="2" t="n"/>
    </row>
    <row r="802" ht="15.75" customHeight="1" s="67">
      <c r="A802" s="2" t="n"/>
      <c r="B802" s="2" t="n"/>
      <c r="C802" s="2" t="n"/>
      <c r="D802" s="2" t="n"/>
      <c r="E802" s="2" t="n"/>
      <c r="F802" s="2" t="n"/>
    </row>
    <row r="803" ht="15.75" customHeight="1" s="67">
      <c r="A803" s="2" t="n"/>
      <c r="B803" s="2" t="n"/>
      <c r="C803" s="2" t="n"/>
      <c r="D803" s="2" t="n"/>
      <c r="E803" s="2" t="n"/>
      <c r="F803" s="2" t="n"/>
    </row>
    <row r="804" ht="15.75" customHeight="1" s="67">
      <c r="A804" s="2" t="n"/>
      <c r="B804" s="2" t="n"/>
      <c r="C804" s="2" t="n"/>
      <c r="D804" s="2" t="n"/>
      <c r="E804" s="2" t="n"/>
      <c r="F804" s="2" t="n"/>
    </row>
    <row r="805" ht="15.75" customHeight="1" s="67">
      <c r="A805" s="2" t="n"/>
      <c r="B805" s="2" t="n"/>
      <c r="C805" s="2" t="n"/>
      <c r="D805" s="2" t="n"/>
      <c r="E805" s="2" t="n"/>
      <c r="F805" s="2" t="n"/>
    </row>
    <row r="806" ht="15.75" customHeight="1" s="67">
      <c r="A806" s="2" t="n"/>
      <c r="B806" s="2" t="n"/>
      <c r="C806" s="2" t="n"/>
      <c r="D806" s="2" t="n"/>
      <c r="E806" s="2" t="n"/>
      <c r="F806" s="2" t="n"/>
    </row>
    <row r="807" ht="15.75" customHeight="1" s="67">
      <c r="A807" s="2" t="n"/>
      <c r="B807" s="2" t="n"/>
      <c r="C807" s="2" t="n"/>
      <c r="D807" s="2" t="n"/>
      <c r="E807" s="2" t="n"/>
      <c r="F807" s="2" t="n"/>
    </row>
    <row r="808" ht="15.75" customHeight="1" s="67">
      <c r="A808" s="2" t="n"/>
      <c r="B808" s="2" t="n"/>
      <c r="C808" s="2" t="n"/>
      <c r="D808" s="2" t="n"/>
      <c r="E808" s="2" t="n"/>
      <c r="F808" s="2" t="n"/>
    </row>
    <row r="809" ht="15.75" customHeight="1" s="67">
      <c r="A809" s="2" t="n"/>
      <c r="B809" s="2" t="n"/>
      <c r="C809" s="2" t="n"/>
      <c r="D809" s="2" t="n"/>
      <c r="E809" s="2" t="n"/>
      <c r="F809" s="2" t="n"/>
    </row>
    <row r="810" ht="15.75" customHeight="1" s="67">
      <c r="A810" s="2" t="n"/>
      <c r="B810" s="2" t="n"/>
      <c r="C810" s="2" t="n"/>
      <c r="D810" s="2" t="n"/>
      <c r="E810" s="2" t="n"/>
      <c r="F810" s="2" t="n"/>
    </row>
    <row r="811" ht="15.75" customHeight="1" s="67">
      <c r="A811" s="2" t="n"/>
      <c r="B811" s="2" t="n"/>
      <c r="C811" s="2" t="n"/>
      <c r="D811" s="2" t="n"/>
      <c r="E811" s="2" t="n"/>
      <c r="F811" s="2" t="n"/>
    </row>
    <row r="812" ht="15.75" customHeight="1" s="67">
      <c r="A812" s="2" t="n"/>
      <c r="B812" s="2" t="n"/>
      <c r="C812" s="2" t="n"/>
      <c r="D812" s="2" t="n"/>
      <c r="E812" s="2" t="n"/>
      <c r="F812" s="2" t="n"/>
    </row>
    <row r="813" ht="15.75" customHeight="1" s="67">
      <c r="A813" s="2" t="n"/>
      <c r="B813" s="2" t="n"/>
      <c r="C813" s="2" t="n"/>
      <c r="D813" s="2" t="n"/>
      <c r="E813" s="2" t="n"/>
      <c r="F813" s="2" t="n"/>
    </row>
    <row r="814" ht="15.75" customHeight="1" s="67">
      <c r="A814" s="2" t="n"/>
      <c r="B814" s="2" t="n"/>
      <c r="C814" s="2" t="n"/>
      <c r="D814" s="2" t="n"/>
      <c r="E814" s="2" t="n"/>
      <c r="F814" s="2" t="n"/>
    </row>
    <row r="815" ht="15.75" customHeight="1" s="67">
      <c r="A815" s="2" t="n"/>
      <c r="B815" s="2" t="n"/>
      <c r="C815" s="2" t="n"/>
      <c r="D815" s="2" t="n"/>
      <c r="E815" s="2" t="n"/>
      <c r="F815" s="2" t="n"/>
    </row>
    <row r="816" ht="15.75" customHeight="1" s="67">
      <c r="A816" s="2" t="n"/>
      <c r="B816" s="2" t="n"/>
      <c r="C816" s="2" t="n"/>
      <c r="D816" s="2" t="n"/>
      <c r="E816" s="2" t="n"/>
      <c r="F816" s="2" t="n"/>
    </row>
    <row r="817" ht="15.75" customHeight="1" s="67">
      <c r="A817" s="2" t="n"/>
      <c r="B817" s="2" t="n"/>
      <c r="C817" s="2" t="n"/>
      <c r="D817" s="2" t="n"/>
      <c r="E817" s="2" t="n"/>
      <c r="F817" s="2" t="n"/>
    </row>
    <row r="818" ht="15.75" customHeight="1" s="67">
      <c r="A818" s="2" t="n"/>
      <c r="B818" s="2" t="n"/>
      <c r="C818" s="2" t="n"/>
      <c r="D818" s="2" t="n"/>
      <c r="E818" s="2" t="n"/>
      <c r="F818" s="2" t="n"/>
    </row>
    <row r="819" ht="15.75" customHeight="1" s="67">
      <c r="A819" s="2" t="n"/>
      <c r="B819" s="2" t="n"/>
      <c r="C819" s="2" t="n"/>
      <c r="D819" s="2" t="n"/>
      <c r="E819" s="2" t="n"/>
      <c r="F819" s="2" t="n"/>
    </row>
    <row r="820" ht="15.75" customHeight="1" s="67">
      <c r="A820" s="2" t="n"/>
      <c r="B820" s="2" t="n"/>
      <c r="C820" s="2" t="n"/>
      <c r="D820" s="2" t="n"/>
      <c r="E820" s="2" t="n"/>
      <c r="F820" s="2" t="n"/>
    </row>
    <row r="821" ht="15.75" customHeight="1" s="67">
      <c r="A821" s="2" t="n"/>
      <c r="B821" s="2" t="n"/>
      <c r="C821" s="2" t="n"/>
      <c r="D821" s="2" t="n"/>
      <c r="E821" s="2" t="n"/>
      <c r="F821" s="2" t="n"/>
    </row>
    <row r="822" ht="15.75" customHeight="1" s="67">
      <c r="A822" s="2" t="n"/>
      <c r="B822" s="2" t="n"/>
      <c r="C822" s="2" t="n"/>
      <c r="D822" s="2" t="n"/>
      <c r="E822" s="2" t="n"/>
      <c r="F822" s="2" t="n"/>
    </row>
    <row r="823" ht="15.75" customHeight="1" s="67">
      <c r="A823" s="2" t="n"/>
      <c r="B823" s="2" t="n"/>
      <c r="C823" s="2" t="n"/>
      <c r="D823" s="2" t="n"/>
      <c r="E823" s="2" t="n"/>
      <c r="F823" s="2" t="n"/>
    </row>
    <row r="824" ht="15.75" customHeight="1" s="67">
      <c r="A824" s="2" t="n"/>
      <c r="B824" s="2" t="n"/>
      <c r="C824" s="2" t="n"/>
      <c r="D824" s="2" t="n"/>
      <c r="E824" s="2" t="n"/>
      <c r="F824" s="2" t="n"/>
    </row>
    <row r="825" ht="15.75" customHeight="1" s="67">
      <c r="A825" s="2" t="n"/>
      <c r="B825" s="2" t="n"/>
      <c r="C825" s="2" t="n"/>
      <c r="D825" s="2" t="n"/>
      <c r="E825" s="2" t="n"/>
      <c r="F825" s="2" t="n"/>
    </row>
    <row r="826" ht="15.75" customHeight="1" s="67">
      <c r="A826" s="2" t="n"/>
      <c r="B826" s="2" t="n"/>
      <c r="C826" s="2" t="n"/>
      <c r="D826" s="2" t="n"/>
      <c r="E826" s="2" t="n"/>
      <c r="F826" s="2" t="n"/>
    </row>
    <row r="827" ht="15.75" customHeight="1" s="67">
      <c r="A827" s="2" t="n"/>
      <c r="B827" s="2" t="n"/>
      <c r="C827" s="2" t="n"/>
      <c r="D827" s="2" t="n"/>
      <c r="E827" s="2" t="n"/>
      <c r="F827" s="2" t="n"/>
    </row>
    <row r="828" ht="15.75" customHeight="1" s="67">
      <c r="A828" s="2" t="n"/>
      <c r="B828" s="2" t="n"/>
      <c r="C828" s="2" t="n"/>
      <c r="D828" s="2" t="n"/>
      <c r="E828" s="2" t="n"/>
      <c r="F828" s="2" t="n"/>
    </row>
    <row r="829" ht="15.75" customHeight="1" s="67">
      <c r="A829" s="2" t="n"/>
      <c r="B829" s="2" t="n"/>
      <c r="C829" s="2" t="n"/>
      <c r="D829" s="2" t="n"/>
      <c r="E829" s="2" t="n"/>
      <c r="F829" s="2" t="n"/>
    </row>
    <row r="830" ht="15.75" customHeight="1" s="67">
      <c r="A830" s="2" t="n"/>
      <c r="B830" s="2" t="n"/>
      <c r="C830" s="2" t="n"/>
      <c r="D830" s="2" t="n"/>
      <c r="E830" s="2" t="n"/>
      <c r="F830" s="2" t="n"/>
    </row>
    <row r="831" ht="15.75" customHeight="1" s="67">
      <c r="A831" s="2" t="n"/>
      <c r="B831" s="2" t="n"/>
      <c r="C831" s="2" t="n"/>
      <c r="D831" s="2" t="n"/>
      <c r="E831" s="2" t="n"/>
      <c r="F831" s="2" t="n"/>
    </row>
    <row r="832" ht="15.75" customHeight="1" s="67">
      <c r="A832" s="2" t="n"/>
      <c r="B832" s="2" t="n"/>
      <c r="C832" s="2" t="n"/>
      <c r="D832" s="2" t="n"/>
      <c r="E832" s="2" t="n"/>
      <c r="F832" s="2" t="n"/>
    </row>
    <row r="833" ht="15.75" customHeight="1" s="67">
      <c r="A833" s="2" t="n"/>
      <c r="B833" s="2" t="n"/>
      <c r="C833" s="2" t="n"/>
      <c r="D833" s="2" t="n"/>
      <c r="E833" s="2" t="n"/>
      <c r="F833" s="2" t="n"/>
    </row>
    <row r="834" ht="15.75" customHeight="1" s="67">
      <c r="A834" s="2" t="n"/>
      <c r="B834" s="2" t="n"/>
      <c r="C834" s="2" t="n"/>
      <c r="D834" s="2" t="n"/>
      <c r="E834" s="2" t="n"/>
      <c r="F834" s="2" t="n"/>
    </row>
    <row r="835" ht="15.75" customHeight="1" s="67">
      <c r="A835" s="2" t="n"/>
      <c r="B835" s="2" t="n"/>
      <c r="C835" s="2" t="n"/>
      <c r="D835" s="2" t="n"/>
      <c r="E835" s="2" t="n"/>
      <c r="F835" s="2" t="n"/>
    </row>
    <row r="836" ht="15.75" customHeight="1" s="67">
      <c r="A836" s="2" t="n"/>
      <c r="B836" s="2" t="n"/>
      <c r="C836" s="2" t="n"/>
      <c r="D836" s="2" t="n"/>
      <c r="E836" s="2" t="n"/>
      <c r="F836" s="2" t="n"/>
    </row>
    <row r="837" ht="15.75" customHeight="1" s="67">
      <c r="A837" s="2" t="n"/>
      <c r="B837" s="2" t="n"/>
      <c r="C837" s="2" t="n"/>
      <c r="D837" s="2" t="n"/>
      <c r="E837" s="2" t="n"/>
      <c r="F837" s="2" t="n"/>
    </row>
    <row r="838" ht="15.75" customHeight="1" s="67">
      <c r="A838" s="2" t="n"/>
      <c r="B838" s="2" t="n"/>
      <c r="C838" s="2" t="n"/>
      <c r="D838" s="2" t="n"/>
      <c r="E838" s="2" t="n"/>
      <c r="F838" s="2" t="n"/>
    </row>
    <row r="839" ht="15.75" customHeight="1" s="67">
      <c r="A839" s="2" t="n"/>
      <c r="B839" s="2" t="n"/>
      <c r="C839" s="2" t="n"/>
      <c r="D839" s="2" t="n"/>
      <c r="E839" s="2" t="n"/>
      <c r="F839" s="2" t="n"/>
    </row>
    <row r="840" ht="15.75" customHeight="1" s="67">
      <c r="A840" s="2" t="n"/>
      <c r="B840" s="2" t="n"/>
      <c r="C840" s="2" t="n"/>
      <c r="D840" s="2" t="n"/>
      <c r="E840" s="2" t="n"/>
      <c r="F840" s="2" t="n"/>
    </row>
    <row r="841" ht="15.75" customHeight="1" s="67">
      <c r="A841" s="2" t="n"/>
      <c r="B841" s="2" t="n"/>
      <c r="C841" s="2" t="n"/>
      <c r="D841" s="2" t="n"/>
      <c r="E841" s="2" t="n"/>
      <c r="F841" s="2" t="n"/>
    </row>
    <row r="842" ht="15.75" customHeight="1" s="67">
      <c r="A842" s="2" t="n"/>
      <c r="B842" s="2" t="n"/>
      <c r="C842" s="2" t="n"/>
      <c r="D842" s="2" t="n"/>
      <c r="E842" s="2" t="n"/>
      <c r="F842" s="2" t="n"/>
    </row>
    <row r="843" ht="15.75" customHeight="1" s="67">
      <c r="A843" s="2" t="n"/>
      <c r="B843" s="2" t="n"/>
      <c r="C843" s="2" t="n"/>
      <c r="D843" s="2" t="n"/>
      <c r="E843" s="2" t="n"/>
      <c r="F843" s="2" t="n"/>
    </row>
    <row r="844" ht="15.75" customHeight="1" s="67">
      <c r="A844" s="2" t="n"/>
      <c r="B844" s="2" t="n"/>
      <c r="C844" s="2" t="n"/>
      <c r="D844" s="2" t="n"/>
      <c r="E844" s="2" t="n"/>
      <c r="F844" s="2" t="n"/>
    </row>
    <row r="845" ht="15.75" customHeight="1" s="67">
      <c r="A845" s="2" t="n"/>
      <c r="B845" s="2" t="n"/>
      <c r="C845" s="2" t="n"/>
      <c r="D845" s="2" t="n"/>
      <c r="E845" s="2" t="n"/>
      <c r="F845" s="2" t="n"/>
    </row>
    <row r="846" ht="15.75" customHeight="1" s="67">
      <c r="A846" s="2" t="n"/>
      <c r="B846" s="2" t="n"/>
      <c r="C846" s="2" t="n"/>
      <c r="D846" s="2" t="n"/>
      <c r="E846" s="2" t="n"/>
      <c r="F846" s="2" t="n"/>
    </row>
    <row r="847" ht="15.75" customHeight="1" s="67">
      <c r="A847" s="2" t="n"/>
      <c r="B847" s="2" t="n"/>
      <c r="C847" s="2" t="n"/>
      <c r="D847" s="2" t="n"/>
      <c r="E847" s="2" t="n"/>
      <c r="F847" s="2" t="n"/>
    </row>
    <row r="848" ht="15.75" customHeight="1" s="67">
      <c r="A848" s="2" t="n"/>
      <c r="B848" s="2" t="n"/>
      <c r="C848" s="2" t="n"/>
      <c r="D848" s="2" t="n"/>
      <c r="E848" s="2" t="n"/>
      <c r="F848" s="2" t="n"/>
    </row>
    <row r="849" ht="15.75" customHeight="1" s="67">
      <c r="A849" s="2" t="n"/>
      <c r="B849" s="2" t="n"/>
      <c r="C849" s="2" t="n"/>
      <c r="D849" s="2" t="n"/>
      <c r="E849" s="2" t="n"/>
      <c r="F849" s="2" t="n"/>
    </row>
    <row r="850" ht="15.75" customHeight="1" s="67">
      <c r="A850" s="2" t="n"/>
      <c r="B850" s="2" t="n"/>
      <c r="C850" s="2" t="n"/>
      <c r="D850" s="2" t="n"/>
      <c r="E850" s="2" t="n"/>
      <c r="F850" s="2" t="n"/>
    </row>
    <row r="851" ht="15.75" customHeight="1" s="67">
      <c r="A851" s="2" t="n"/>
      <c r="B851" s="2" t="n"/>
      <c r="C851" s="2" t="n"/>
      <c r="D851" s="2" t="n"/>
      <c r="E851" s="2" t="n"/>
      <c r="F851" s="2" t="n"/>
    </row>
    <row r="852" ht="15.75" customHeight="1" s="67">
      <c r="A852" s="2" t="n"/>
      <c r="B852" s="2" t="n"/>
      <c r="C852" s="2" t="n"/>
      <c r="D852" s="2" t="n"/>
      <c r="E852" s="2" t="n"/>
      <c r="F852" s="2" t="n"/>
    </row>
    <row r="853" ht="15.75" customHeight="1" s="67">
      <c r="A853" s="2" t="n"/>
      <c r="B853" s="2" t="n"/>
      <c r="C853" s="2" t="n"/>
      <c r="D853" s="2" t="n"/>
      <c r="E853" s="2" t="n"/>
      <c r="F853" s="2" t="n"/>
    </row>
    <row r="854" ht="15.75" customHeight="1" s="67">
      <c r="A854" s="2" t="n"/>
      <c r="B854" s="2" t="n"/>
      <c r="C854" s="2" t="n"/>
      <c r="D854" s="2" t="n"/>
      <c r="E854" s="2" t="n"/>
      <c r="F854" s="2" t="n"/>
    </row>
    <row r="855" ht="15.75" customHeight="1" s="67">
      <c r="A855" s="2" t="n"/>
      <c r="B855" s="2" t="n"/>
      <c r="C855" s="2" t="n"/>
      <c r="D855" s="2" t="n"/>
      <c r="E855" s="2" t="n"/>
      <c r="F855" s="2" t="n"/>
    </row>
    <row r="856" ht="15.75" customHeight="1" s="67">
      <c r="A856" s="2" t="n"/>
      <c r="B856" s="2" t="n"/>
      <c r="C856" s="2" t="n"/>
      <c r="D856" s="2" t="n"/>
      <c r="E856" s="2" t="n"/>
      <c r="F856" s="2" t="n"/>
    </row>
    <row r="857" ht="15.75" customHeight="1" s="67">
      <c r="A857" s="2" t="n"/>
      <c r="B857" s="2" t="n"/>
      <c r="C857" s="2" t="n"/>
      <c r="D857" s="2" t="n"/>
      <c r="E857" s="2" t="n"/>
      <c r="F857" s="2" t="n"/>
    </row>
    <row r="858" ht="15.75" customHeight="1" s="67">
      <c r="A858" s="2" t="n"/>
      <c r="B858" s="2" t="n"/>
      <c r="C858" s="2" t="n"/>
      <c r="D858" s="2" t="n"/>
      <c r="E858" s="2" t="n"/>
      <c r="F858" s="2" t="n"/>
    </row>
    <row r="859" ht="15.75" customHeight="1" s="67">
      <c r="A859" s="2" t="n"/>
      <c r="B859" s="2" t="n"/>
      <c r="C859" s="2" t="n"/>
      <c r="D859" s="2" t="n"/>
      <c r="E859" s="2" t="n"/>
      <c r="F859" s="2" t="n"/>
    </row>
    <row r="860" ht="15.75" customHeight="1" s="67">
      <c r="A860" s="2" t="n"/>
      <c r="B860" s="2" t="n"/>
      <c r="C860" s="2" t="n"/>
      <c r="D860" s="2" t="n"/>
      <c r="E860" s="2" t="n"/>
      <c r="F860" s="2" t="n"/>
    </row>
    <row r="861" ht="15.75" customHeight="1" s="67">
      <c r="A861" s="2" t="n"/>
      <c r="B861" s="2" t="n"/>
      <c r="C861" s="2" t="n"/>
      <c r="D861" s="2" t="n"/>
      <c r="E861" s="2" t="n"/>
      <c r="F861" s="2" t="n"/>
    </row>
    <row r="862" ht="15.75" customHeight="1" s="67">
      <c r="A862" s="2" t="n"/>
      <c r="B862" s="2" t="n"/>
      <c r="C862" s="2" t="n"/>
      <c r="D862" s="2" t="n"/>
      <c r="E862" s="2" t="n"/>
      <c r="F862" s="2" t="n"/>
    </row>
    <row r="863" ht="15.75" customHeight="1" s="67">
      <c r="A863" s="2" t="n"/>
      <c r="B863" s="2" t="n"/>
      <c r="C863" s="2" t="n"/>
      <c r="D863" s="2" t="n"/>
      <c r="E863" s="2" t="n"/>
      <c r="F863" s="2" t="n"/>
    </row>
    <row r="864" ht="15.75" customHeight="1" s="67">
      <c r="A864" s="2" t="n"/>
      <c r="B864" s="2" t="n"/>
      <c r="C864" s="2" t="n"/>
      <c r="D864" s="2" t="n"/>
      <c r="E864" s="2" t="n"/>
      <c r="F864" s="2" t="n"/>
    </row>
    <row r="865" ht="15.75" customHeight="1" s="67">
      <c r="A865" s="2" t="n"/>
      <c r="B865" s="2" t="n"/>
      <c r="C865" s="2" t="n"/>
      <c r="D865" s="2" t="n"/>
      <c r="E865" s="2" t="n"/>
      <c r="F865" s="2" t="n"/>
    </row>
    <row r="866" ht="15.75" customHeight="1" s="67">
      <c r="A866" s="2" t="n"/>
      <c r="B866" s="2" t="n"/>
      <c r="C866" s="2" t="n"/>
      <c r="D866" s="2" t="n"/>
      <c r="E866" s="2" t="n"/>
      <c r="F866" s="2" t="n"/>
    </row>
    <row r="867" ht="15.75" customHeight="1" s="67">
      <c r="A867" s="2" t="n"/>
      <c r="B867" s="2" t="n"/>
      <c r="C867" s="2" t="n"/>
      <c r="D867" s="2" t="n"/>
      <c r="E867" s="2" t="n"/>
      <c r="F867" s="2" t="n"/>
    </row>
    <row r="868" ht="15.75" customHeight="1" s="67">
      <c r="A868" s="2" t="n"/>
      <c r="B868" s="2" t="n"/>
      <c r="C868" s="2" t="n"/>
      <c r="D868" s="2" t="n"/>
      <c r="E868" s="2" t="n"/>
      <c r="F868" s="2" t="n"/>
    </row>
    <row r="869" ht="15.75" customHeight="1" s="67">
      <c r="A869" s="2" t="n"/>
      <c r="B869" s="2" t="n"/>
      <c r="C869" s="2" t="n"/>
      <c r="D869" s="2" t="n"/>
      <c r="E869" s="2" t="n"/>
      <c r="F869" s="2" t="n"/>
    </row>
    <row r="870" ht="15.75" customHeight="1" s="67">
      <c r="A870" s="2" t="n"/>
      <c r="B870" s="2" t="n"/>
      <c r="C870" s="2" t="n"/>
      <c r="D870" s="2" t="n"/>
      <c r="E870" s="2" t="n"/>
      <c r="F870" s="2" t="n"/>
    </row>
    <row r="871" ht="15.75" customHeight="1" s="67">
      <c r="A871" s="2" t="n"/>
      <c r="B871" s="2" t="n"/>
      <c r="C871" s="2" t="n"/>
      <c r="D871" s="2" t="n"/>
      <c r="E871" s="2" t="n"/>
      <c r="F871" s="2" t="n"/>
    </row>
    <row r="872" ht="15.75" customHeight="1" s="67">
      <c r="A872" s="2" t="n"/>
      <c r="B872" s="2" t="n"/>
      <c r="C872" s="2" t="n"/>
      <c r="D872" s="2" t="n"/>
      <c r="E872" s="2" t="n"/>
      <c r="F872" s="2" t="n"/>
    </row>
    <row r="873" ht="15.75" customHeight="1" s="67">
      <c r="A873" s="2" t="n"/>
      <c r="B873" s="2" t="n"/>
      <c r="C873" s="2" t="n"/>
      <c r="D873" s="2" t="n"/>
      <c r="E873" s="2" t="n"/>
      <c r="F873" s="2" t="n"/>
    </row>
    <row r="874" ht="15.75" customHeight="1" s="67">
      <c r="A874" s="2" t="n"/>
      <c r="B874" s="2" t="n"/>
      <c r="C874" s="2" t="n"/>
      <c r="D874" s="2" t="n"/>
      <c r="E874" s="2" t="n"/>
      <c r="F874" s="2" t="n"/>
    </row>
    <row r="875" ht="15.75" customHeight="1" s="67">
      <c r="A875" s="2" t="n"/>
      <c r="B875" s="2" t="n"/>
      <c r="C875" s="2" t="n"/>
      <c r="D875" s="2" t="n"/>
      <c r="E875" s="2" t="n"/>
      <c r="F875" s="2" t="n"/>
    </row>
    <row r="876" ht="15.75" customHeight="1" s="67">
      <c r="A876" s="2" t="n"/>
      <c r="B876" s="2" t="n"/>
      <c r="C876" s="2" t="n"/>
      <c r="D876" s="2" t="n"/>
      <c r="E876" s="2" t="n"/>
      <c r="F876" s="2" t="n"/>
    </row>
    <row r="877" ht="15.75" customHeight="1" s="67">
      <c r="A877" s="2" t="n"/>
      <c r="B877" s="2" t="n"/>
      <c r="C877" s="2" t="n"/>
      <c r="D877" s="2" t="n"/>
      <c r="E877" s="2" t="n"/>
      <c r="F877" s="2" t="n"/>
    </row>
    <row r="878" ht="15.75" customHeight="1" s="67">
      <c r="A878" s="2" t="n"/>
      <c r="B878" s="2" t="n"/>
      <c r="C878" s="2" t="n"/>
      <c r="D878" s="2" t="n"/>
      <c r="E878" s="2" t="n"/>
      <c r="F878" s="2" t="n"/>
    </row>
    <row r="879" ht="15.75" customHeight="1" s="67">
      <c r="A879" s="2" t="n"/>
      <c r="B879" s="2" t="n"/>
      <c r="C879" s="2" t="n"/>
      <c r="D879" s="2" t="n"/>
      <c r="E879" s="2" t="n"/>
      <c r="F879" s="2" t="n"/>
    </row>
    <row r="880" ht="15.75" customHeight="1" s="67">
      <c r="A880" s="2" t="n"/>
      <c r="B880" s="2" t="n"/>
      <c r="C880" s="2" t="n"/>
      <c r="D880" s="2" t="n"/>
      <c r="E880" s="2" t="n"/>
      <c r="F880" s="2" t="n"/>
    </row>
    <row r="881" ht="15.75" customHeight="1" s="67">
      <c r="A881" s="2" t="n"/>
      <c r="B881" s="2" t="n"/>
      <c r="C881" s="2" t="n"/>
      <c r="D881" s="2" t="n"/>
      <c r="E881" s="2" t="n"/>
      <c r="F881" s="2" t="n"/>
    </row>
    <row r="882" ht="15.75" customHeight="1" s="67">
      <c r="A882" s="2" t="n"/>
      <c r="B882" s="2" t="n"/>
      <c r="C882" s="2" t="n"/>
      <c r="D882" s="2" t="n"/>
      <c r="E882" s="2" t="n"/>
      <c r="F882" s="2" t="n"/>
    </row>
    <row r="883" ht="15.75" customHeight="1" s="67">
      <c r="A883" s="2" t="n"/>
      <c r="B883" s="2" t="n"/>
      <c r="C883" s="2" t="n"/>
      <c r="D883" s="2" t="n"/>
      <c r="E883" s="2" t="n"/>
      <c r="F883" s="2" t="n"/>
    </row>
    <row r="884" ht="15.75" customHeight="1" s="67">
      <c r="A884" s="2" t="n"/>
      <c r="B884" s="2" t="n"/>
      <c r="C884" s="2" t="n"/>
      <c r="D884" s="2" t="n"/>
      <c r="E884" s="2" t="n"/>
      <c r="F884" s="2" t="n"/>
    </row>
    <row r="885" ht="15.75" customHeight="1" s="67">
      <c r="A885" s="2" t="n"/>
      <c r="B885" s="2" t="n"/>
      <c r="C885" s="2" t="n"/>
      <c r="D885" s="2" t="n"/>
      <c r="E885" s="2" t="n"/>
      <c r="F885" s="2" t="n"/>
    </row>
    <row r="886" ht="15.75" customHeight="1" s="67">
      <c r="A886" s="2" t="n"/>
      <c r="B886" s="2" t="n"/>
      <c r="C886" s="2" t="n"/>
      <c r="D886" s="2" t="n"/>
      <c r="E886" s="2" t="n"/>
      <c r="F886" s="2" t="n"/>
    </row>
    <row r="887" ht="15.75" customHeight="1" s="67">
      <c r="A887" s="2" t="n"/>
      <c r="B887" s="2" t="n"/>
      <c r="C887" s="2" t="n"/>
      <c r="D887" s="2" t="n"/>
      <c r="E887" s="2" t="n"/>
      <c r="F887" s="2" t="n"/>
    </row>
    <row r="888" ht="15.75" customHeight="1" s="67">
      <c r="A888" s="2" t="n"/>
      <c r="B888" s="2" t="n"/>
      <c r="C888" s="2" t="n"/>
      <c r="D888" s="2" t="n"/>
      <c r="E888" s="2" t="n"/>
      <c r="F888" s="2" t="n"/>
    </row>
    <row r="889" ht="15.75" customHeight="1" s="67">
      <c r="A889" s="2" t="n"/>
      <c r="B889" s="2" t="n"/>
      <c r="C889" s="2" t="n"/>
      <c r="D889" s="2" t="n"/>
      <c r="E889" s="2" t="n"/>
      <c r="F889" s="2" t="n"/>
    </row>
    <row r="890" ht="15.75" customHeight="1" s="67">
      <c r="A890" s="2" t="n"/>
      <c r="B890" s="2" t="n"/>
      <c r="C890" s="2" t="n"/>
      <c r="D890" s="2" t="n"/>
      <c r="E890" s="2" t="n"/>
      <c r="F890" s="2" t="n"/>
    </row>
    <row r="891" ht="15.75" customHeight="1" s="67">
      <c r="A891" s="2" t="n"/>
      <c r="B891" s="2" t="n"/>
      <c r="C891" s="2" t="n"/>
      <c r="D891" s="2" t="n"/>
      <c r="E891" s="2" t="n"/>
      <c r="F891" s="2" t="n"/>
    </row>
    <row r="892" ht="15.75" customHeight="1" s="67">
      <c r="A892" s="2" t="n"/>
      <c r="B892" s="2" t="n"/>
      <c r="C892" s="2" t="n"/>
      <c r="D892" s="2" t="n"/>
      <c r="E892" s="2" t="n"/>
      <c r="F892" s="2" t="n"/>
    </row>
    <row r="893" ht="15.75" customHeight="1" s="67">
      <c r="A893" s="2" t="n"/>
      <c r="B893" s="2" t="n"/>
      <c r="C893" s="2" t="n"/>
      <c r="D893" s="2" t="n"/>
      <c r="E893" s="2" t="n"/>
      <c r="F893" s="2" t="n"/>
    </row>
    <row r="894" ht="15.75" customHeight="1" s="67">
      <c r="A894" s="2" t="n"/>
      <c r="B894" s="2" t="n"/>
      <c r="C894" s="2" t="n"/>
      <c r="D894" s="2" t="n"/>
      <c r="E894" s="2" t="n"/>
      <c r="F894" s="2" t="n"/>
    </row>
    <row r="895" ht="15.75" customHeight="1" s="67">
      <c r="A895" s="2" t="n"/>
      <c r="B895" s="2" t="n"/>
      <c r="C895" s="2" t="n"/>
      <c r="D895" s="2" t="n"/>
      <c r="E895" s="2" t="n"/>
      <c r="F895" s="2" t="n"/>
    </row>
    <row r="896" ht="15.75" customHeight="1" s="67">
      <c r="A896" s="2" t="n"/>
      <c r="B896" s="2" t="n"/>
      <c r="C896" s="2" t="n"/>
      <c r="D896" s="2" t="n"/>
      <c r="E896" s="2" t="n"/>
      <c r="F896" s="2" t="n"/>
    </row>
    <row r="897" ht="15.75" customHeight="1" s="67">
      <c r="A897" s="2" t="n"/>
      <c r="B897" s="2" t="n"/>
      <c r="C897" s="2" t="n"/>
      <c r="D897" s="2" t="n"/>
      <c r="E897" s="2" t="n"/>
      <c r="F897" s="2" t="n"/>
    </row>
    <row r="898" ht="15.75" customHeight="1" s="67">
      <c r="A898" s="2" t="n"/>
      <c r="B898" s="2" t="n"/>
      <c r="C898" s="2" t="n"/>
      <c r="D898" s="2" t="n"/>
      <c r="E898" s="2" t="n"/>
      <c r="F898" s="2" t="n"/>
    </row>
    <row r="899" ht="15.75" customHeight="1" s="67">
      <c r="A899" s="2" t="n"/>
      <c r="B899" s="2" t="n"/>
      <c r="C899" s="2" t="n"/>
      <c r="D899" s="2" t="n"/>
      <c r="E899" s="2" t="n"/>
      <c r="F899" s="2" t="n"/>
    </row>
    <row r="900" ht="15.75" customHeight="1" s="67">
      <c r="A900" s="2" t="n"/>
      <c r="B900" s="2" t="n"/>
      <c r="C900" s="2" t="n"/>
      <c r="D900" s="2" t="n"/>
      <c r="E900" s="2" t="n"/>
      <c r="F900" s="2" t="n"/>
    </row>
    <row r="901" ht="15.75" customHeight="1" s="67">
      <c r="A901" s="2" t="n"/>
      <c r="B901" s="2" t="n"/>
      <c r="C901" s="2" t="n"/>
      <c r="D901" s="2" t="n"/>
      <c r="E901" s="2" t="n"/>
      <c r="F901" s="2" t="n"/>
    </row>
    <row r="902" ht="15.75" customHeight="1" s="67">
      <c r="A902" s="2" t="n"/>
      <c r="B902" s="2" t="n"/>
      <c r="C902" s="2" t="n"/>
      <c r="D902" s="2" t="n"/>
      <c r="E902" s="2" t="n"/>
      <c r="F902" s="2" t="n"/>
    </row>
    <row r="903" ht="15.75" customHeight="1" s="67">
      <c r="A903" s="2" t="n"/>
      <c r="B903" s="2" t="n"/>
      <c r="C903" s="2" t="n"/>
      <c r="D903" s="2" t="n"/>
      <c r="E903" s="2" t="n"/>
      <c r="F903" s="2" t="n"/>
    </row>
    <row r="904" ht="15.75" customHeight="1" s="67">
      <c r="A904" s="2" t="n"/>
      <c r="B904" s="2" t="n"/>
      <c r="C904" s="2" t="n"/>
      <c r="D904" s="2" t="n"/>
      <c r="E904" s="2" t="n"/>
      <c r="F904" s="2" t="n"/>
    </row>
    <row r="905" ht="15.75" customHeight="1" s="67">
      <c r="A905" s="2" t="n"/>
      <c r="B905" s="2" t="n"/>
      <c r="C905" s="2" t="n"/>
      <c r="D905" s="2" t="n"/>
      <c r="E905" s="2" t="n"/>
      <c r="F905" s="2" t="n"/>
    </row>
    <row r="906" ht="15.75" customHeight="1" s="67">
      <c r="A906" s="2" t="n"/>
      <c r="B906" s="2" t="n"/>
      <c r="C906" s="2" t="n"/>
      <c r="D906" s="2" t="n"/>
      <c r="E906" s="2" t="n"/>
      <c r="F906" s="2" t="n"/>
    </row>
    <row r="907" ht="15.75" customHeight="1" s="67">
      <c r="A907" s="2" t="n"/>
      <c r="B907" s="2" t="n"/>
      <c r="C907" s="2" t="n"/>
      <c r="D907" s="2" t="n"/>
      <c r="E907" s="2" t="n"/>
      <c r="F907" s="2" t="n"/>
    </row>
    <row r="908" ht="15.75" customHeight="1" s="67">
      <c r="A908" s="2" t="n"/>
      <c r="B908" s="2" t="n"/>
      <c r="C908" s="2" t="n"/>
      <c r="D908" s="2" t="n"/>
      <c r="E908" s="2" t="n"/>
      <c r="F908" s="2" t="n"/>
    </row>
    <row r="909" ht="15.75" customHeight="1" s="67">
      <c r="A909" s="2" t="n"/>
      <c r="B909" s="2" t="n"/>
      <c r="C909" s="2" t="n"/>
      <c r="D909" s="2" t="n"/>
      <c r="E909" s="2" t="n"/>
      <c r="F909" s="2" t="n"/>
    </row>
    <row r="910" ht="15.75" customHeight="1" s="67">
      <c r="A910" s="2" t="n"/>
      <c r="B910" s="2" t="n"/>
      <c r="C910" s="2" t="n"/>
      <c r="D910" s="2" t="n"/>
      <c r="E910" s="2" t="n"/>
      <c r="F910" s="2" t="n"/>
    </row>
    <row r="911" ht="15.75" customHeight="1" s="67">
      <c r="A911" s="2" t="n"/>
      <c r="B911" s="2" t="n"/>
      <c r="C911" s="2" t="n"/>
      <c r="D911" s="2" t="n"/>
      <c r="E911" s="2" t="n"/>
      <c r="F911" s="2" t="n"/>
    </row>
    <row r="912" ht="15.75" customHeight="1" s="67">
      <c r="A912" s="2" t="n"/>
      <c r="B912" s="2" t="n"/>
      <c r="C912" s="2" t="n"/>
      <c r="D912" s="2" t="n"/>
      <c r="E912" s="2" t="n"/>
      <c r="F912" s="2" t="n"/>
    </row>
    <row r="913" ht="15.75" customHeight="1" s="67">
      <c r="A913" s="2" t="n"/>
      <c r="B913" s="2" t="n"/>
      <c r="C913" s="2" t="n"/>
      <c r="D913" s="2" t="n"/>
      <c r="E913" s="2" t="n"/>
      <c r="F913" s="2" t="n"/>
    </row>
    <row r="914" ht="15.75" customHeight="1" s="67">
      <c r="A914" s="2" t="n"/>
      <c r="B914" s="2" t="n"/>
      <c r="C914" s="2" t="n"/>
      <c r="D914" s="2" t="n"/>
      <c r="E914" s="2" t="n"/>
      <c r="F914" s="2" t="n"/>
    </row>
    <row r="915" ht="15.75" customHeight="1" s="67">
      <c r="A915" s="2" t="n"/>
      <c r="B915" s="2" t="n"/>
      <c r="C915" s="2" t="n"/>
      <c r="D915" s="2" t="n"/>
      <c r="E915" s="2" t="n"/>
      <c r="F915" s="2" t="n"/>
    </row>
    <row r="916" ht="15.75" customHeight="1" s="67">
      <c r="A916" s="2" t="n"/>
      <c r="B916" s="2" t="n"/>
      <c r="C916" s="2" t="n"/>
      <c r="D916" s="2" t="n"/>
      <c r="E916" s="2" t="n"/>
      <c r="F916" s="2" t="n"/>
    </row>
    <row r="917" ht="15.75" customHeight="1" s="67">
      <c r="A917" s="2" t="n"/>
      <c r="B917" s="2" t="n"/>
      <c r="C917" s="2" t="n"/>
      <c r="D917" s="2" t="n"/>
      <c r="E917" s="2" t="n"/>
      <c r="F917" s="2" t="n"/>
    </row>
    <row r="918" ht="15.75" customHeight="1" s="67">
      <c r="A918" s="2" t="n"/>
      <c r="B918" s="2" t="n"/>
      <c r="C918" s="2" t="n"/>
      <c r="D918" s="2" t="n"/>
      <c r="E918" s="2" t="n"/>
      <c r="F918" s="2" t="n"/>
    </row>
    <row r="919" ht="15.75" customHeight="1" s="67">
      <c r="A919" s="2" t="n"/>
      <c r="B919" s="2" t="n"/>
      <c r="C919" s="2" t="n"/>
      <c r="D919" s="2" t="n"/>
      <c r="E919" s="2" t="n"/>
      <c r="F919" s="2" t="n"/>
    </row>
    <row r="920" ht="15.75" customHeight="1" s="67">
      <c r="A920" s="2" t="n"/>
      <c r="B920" s="2" t="n"/>
      <c r="C920" s="2" t="n"/>
      <c r="D920" s="2" t="n"/>
      <c r="E920" s="2" t="n"/>
      <c r="F920" s="2" t="n"/>
    </row>
    <row r="921" ht="15.75" customHeight="1" s="67">
      <c r="A921" s="2" t="n"/>
      <c r="B921" s="2" t="n"/>
      <c r="C921" s="2" t="n"/>
      <c r="D921" s="2" t="n"/>
      <c r="E921" s="2" t="n"/>
      <c r="F921" s="2" t="n"/>
    </row>
    <row r="922" ht="15.75" customHeight="1" s="67">
      <c r="A922" s="2" t="n"/>
      <c r="B922" s="2" t="n"/>
      <c r="C922" s="2" t="n"/>
      <c r="D922" s="2" t="n"/>
      <c r="E922" s="2" t="n"/>
      <c r="F922" s="2" t="n"/>
    </row>
    <row r="923" ht="15.75" customHeight="1" s="67">
      <c r="A923" s="2" t="n"/>
      <c r="B923" s="2" t="n"/>
      <c r="C923" s="2" t="n"/>
      <c r="D923" s="2" t="n"/>
      <c r="E923" s="2" t="n"/>
      <c r="F923" s="2" t="n"/>
    </row>
    <row r="924" ht="15.75" customHeight="1" s="67">
      <c r="A924" s="2" t="n"/>
      <c r="B924" s="2" t="n"/>
      <c r="C924" s="2" t="n"/>
      <c r="D924" s="2" t="n"/>
      <c r="E924" s="2" t="n"/>
      <c r="F924" s="2" t="n"/>
    </row>
    <row r="925" ht="15.75" customHeight="1" s="67">
      <c r="A925" s="2" t="n"/>
      <c r="B925" s="2" t="n"/>
      <c r="C925" s="2" t="n"/>
      <c r="D925" s="2" t="n"/>
      <c r="E925" s="2" t="n"/>
      <c r="F925" s="2" t="n"/>
    </row>
    <row r="926" ht="15.75" customHeight="1" s="67">
      <c r="A926" s="2" t="n"/>
      <c r="B926" s="2" t="n"/>
      <c r="C926" s="2" t="n"/>
      <c r="D926" s="2" t="n"/>
      <c r="E926" s="2" t="n"/>
      <c r="F926" s="2" t="n"/>
    </row>
    <row r="927" ht="15.75" customHeight="1" s="67">
      <c r="A927" s="2" t="n"/>
      <c r="B927" s="2" t="n"/>
      <c r="C927" s="2" t="n"/>
      <c r="D927" s="2" t="n"/>
      <c r="E927" s="2" t="n"/>
      <c r="F927" s="2" t="n"/>
    </row>
    <row r="928" ht="15.75" customHeight="1" s="67">
      <c r="A928" s="2" t="n"/>
      <c r="B928" s="2" t="n"/>
      <c r="C928" s="2" t="n"/>
      <c r="D928" s="2" t="n"/>
      <c r="E928" s="2" t="n"/>
      <c r="F928" s="2" t="n"/>
    </row>
    <row r="929" ht="15.75" customHeight="1" s="67">
      <c r="A929" s="2" t="n"/>
      <c r="B929" s="2" t="n"/>
      <c r="C929" s="2" t="n"/>
      <c r="D929" s="2" t="n"/>
      <c r="E929" s="2" t="n"/>
      <c r="F929" s="2" t="n"/>
    </row>
    <row r="930" ht="15.75" customHeight="1" s="67">
      <c r="A930" s="2" t="n"/>
      <c r="B930" s="2" t="n"/>
      <c r="C930" s="2" t="n"/>
      <c r="D930" s="2" t="n"/>
      <c r="E930" s="2" t="n"/>
      <c r="F930" s="2" t="n"/>
    </row>
    <row r="931" ht="15.75" customHeight="1" s="67">
      <c r="A931" s="2" t="n"/>
      <c r="B931" s="2" t="n"/>
      <c r="C931" s="2" t="n"/>
      <c r="D931" s="2" t="n"/>
      <c r="E931" s="2" t="n"/>
      <c r="F931" s="2" t="n"/>
    </row>
    <row r="932" ht="15.75" customHeight="1" s="67">
      <c r="A932" s="2" t="n"/>
      <c r="B932" s="2" t="n"/>
      <c r="C932" s="2" t="n"/>
      <c r="D932" s="2" t="n"/>
      <c r="E932" s="2" t="n"/>
      <c r="F932" s="2" t="n"/>
    </row>
    <row r="933" ht="15.75" customHeight="1" s="67">
      <c r="A933" s="2" t="n"/>
      <c r="B933" s="2" t="n"/>
      <c r="C933" s="2" t="n"/>
      <c r="D933" s="2" t="n"/>
      <c r="E933" s="2" t="n"/>
      <c r="F933" s="2" t="n"/>
    </row>
    <row r="934" ht="15.75" customHeight="1" s="67">
      <c r="A934" s="2" t="n"/>
      <c r="B934" s="2" t="n"/>
      <c r="C934" s="2" t="n"/>
      <c r="D934" s="2" t="n"/>
      <c r="E934" s="2" t="n"/>
      <c r="F934" s="2" t="n"/>
    </row>
    <row r="935" ht="15.75" customHeight="1" s="67">
      <c r="A935" s="2" t="n"/>
      <c r="B935" s="2" t="n"/>
      <c r="C935" s="2" t="n"/>
      <c r="D935" s="2" t="n"/>
      <c r="E935" s="2" t="n"/>
      <c r="F935" s="2" t="n"/>
    </row>
    <row r="936" ht="15.75" customHeight="1" s="67">
      <c r="A936" s="2" t="n"/>
      <c r="B936" s="2" t="n"/>
      <c r="C936" s="2" t="n"/>
      <c r="D936" s="2" t="n"/>
      <c r="E936" s="2" t="n"/>
      <c r="F936" s="2" t="n"/>
    </row>
    <row r="937" ht="15.75" customHeight="1" s="67">
      <c r="A937" s="2" t="n"/>
      <c r="B937" s="2" t="n"/>
      <c r="C937" s="2" t="n"/>
      <c r="D937" s="2" t="n"/>
      <c r="E937" s="2" t="n"/>
      <c r="F937" s="2" t="n"/>
    </row>
    <row r="938" ht="15.75" customHeight="1" s="67">
      <c r="A938" s="2" t="n"/>
      <c r="B938" s="2" t="n"/>
      <c r="C938" s="2" t="n"/>
      <c r="D938" s="2" t="n"/>
      <c r="E938" s="2" t="n"/>
      <c r="F938" s="2" t="n"/>
    </row>
    <row r="939" ht="15.75" customHeight="1" s="67">
      <c r="A939" s="2" t="n"/>
      <c r="B939" s="2" t="n"/>
      <c r="C939" s="2" t="n"/>
      <c r="D939" s="2" t="n"/>
      <c r="E939" s="2" t="n"/>
      <c r="F939" s="2" t="n"/>
    </row>
    <row r="940" ht="15.75" customHeight="1" s="67">
      <c r="A940" s="2" t="n"/>
      <c r="B940" s="2" t="n"/>
      <c r="C940" s="2" t="n"/>
      <c r="D940" s="2" t="n"/>
      <c r="E940" s="2" t="n"/>
      <c r="F940" s="2" t="n"/>
    </row>
    <row r="941" ht="15.75" customHeight="1" s="67">
      <c r="A941" s="2" t="n"/>
      <c r="B941" s="2" t="n"/>
      <c r="C941" s="2" t="n"/>
      <c r="D941" s="2" t="n"/>
      <c r="E941" s="2" t="n"/>
      <c r="F941" s="2" t="n"/>
    </row>
    <row r="942" ht="15.75" customHeight="1" s="67">
      <c r="A942" s="2" t="n"/>
      <c r="B942" s="2" t="n"/>
      <c r="C942" s="2" t="n"/>
      <c r="D942" s="2" t="n"/>
      <c r="E942" s="2" t="n"/>
      <c r="F942" s="2" t="n"/>
    </row>
    <row r="943" ht="15.75" customHeight="1" s="67">
      <c r="A943" s="2" t="n"/>
      <c r="B943" s="2" t="n"/>
      <c r="C943" s="2" t="n"/>
      <c r="D943" s="2" t="n"/>
      <c r="E943" s="2" t="n"/>
      <c r="F943" s="2" t="n"/>
    </row>
    <row r="944" ht="15.75" customHeight="1" s="67">
      <c r="A944" s="2" t="n"/>
      <c r="B944" s="2" t="n"/>
      <c r="C944" s="2" t="n"/>
      <c r="D944" s="2" t="n"/>
      <c r="E944" s="2" t="n"/>
      <c r="F944" s="2" t="n"/>
    </row>
    <row r="945" ht="15.75" customHeight="1" s="67">
      <c r="A945" s="2" t="n"/>
      <c r="B945" s="2" t="n"/>
      <c r="C945" s="2" t="n"/>
      <c r="D945" s="2" t="n"/>
      <c r="E945" s="2" t="n"/>
      <c r="F945" s="2" t="n"/>
    </row>
    <row r="946" ht="15.75" customHeight="1" s="67">
      <c r="A946" s="2" t="n"/>
      <c r="B946" s="2" t="n"/>
      <c r="C946" s="2" t="n"/>
      <c r="D946" s="2" t="n"/>
      <c r="E946" s="2" t="n"/>
      <c r="F946" s="2" t="n"/>
    </row>
    <row r="947" ht="15.75" customHeight="1" s="67">
      <c r="A947" s="2" t="n"/>
      <c r="B947" s="2" t="n"/>
      <c r="C947" s="2" t="n"/>
      <c r="D947" s="2" t="n"/>
      <c r="E947" s="2" t="n"/>
      <c r="F947" s="2" t="n"/>
    </row>
    <row r="948" ht="15.75" customHeight="1" s="67">
      <c r="A948" s="2" t="n"/>
      <c r="B948" s="2" t="n"/>
      <c r="C948" s="2" t="n"/>
      <c r="D948" s="2" t="n"/>
      <c r="E948" s="2" t="n"/>
      <c r="F948" s="2" t="n"/>
    </row>
    <row r="949" ht="15.75" customHeight="1" s="67">
      <c r="A949" s="2" t="n"/>
      <c r="B949" s="2" t="n"/>
      <c r="C949" s="2" t="n"/>
      <c r="D949" s="2" t="n"/>
      <c r="E949" s="2" t="n"/>
      <c r="F949" s="2" t="n"/>
    </row>
    <row r="950" ht="15.75" customHeight="1" s="67">
      <c r="A950" s="2" t="n"/>
      <c r="B950" s="2" t="n"/>
      <c r="C950" s="2" t="n"/>
      <c r="D950" s="2" t="n"/>
      <c r="E950" s="2" t="n"/>
      <c r="F950" s="2" t="n"/>
    </row>
    <row r="951" ht="15.75" customHeight="1" s="67">
      <c r="A951" s="2" t="n"/>
      <c r="B951" s="2" t="n"/>
      <c r="C951" s="2" t="n"/>
      <c r="D951" s="2" t="n"/>
      <c r="E951" s="2" t="n"/>
      <c r="F951" s="2" t="n"/>
    </row>
    <row r="952" ht="15.75" customHeight="1" s="67">
      <c r="A952" s="2" t="n"/>
      <c r="B952" s="2" t="n"/>
      <c r="C952" s="2" t="n"/>
      <c r="D952" s="2" t="n"/>
      <c r="E952" s="2" t="n"/>
      <c r="F952" s="2" t="n"/>
    </row>
    <row r="953" ht="15.75" customHeight="1" s="67">
      <c r="A953" s="2" t="n"/>
      <c r="B953" s="2" t="n"/>
      <c r="C953" s="2" t="n"/>
      <c r="D953" s="2" t="n"/>
      <c r="E953" s="2" t="n"/>
      <c r="F953" s="2" t="n"/>
    </row>
    <row r="954" ht="15.75" customHeight="1" s="67">
      <c r="A954" s="2" t="n"/>
      <c r="B954" s="2" t="n"/>
      <c r="C954" s="2" t="n"/>
      <c r="D954" s="2" t="n"/>
      <c r="E954" s="2" t="n"/>
      <c r="F954" s="2" t="n"/>
    </row>
    <row r="955" ht="15.75" customHeight="1" s="67">
      <c r="A955" s="2" t="n"/>
      <c r="B955" s="2" t="n"/>
      <c r="C955" s="2" t="n"/>
      <c r="D955" s="2" t="n"/>
      <c r="E955" s="2" t="n"/>
      <c r="F955" s="2" t="n"/>
    </row>
    <row r="956" ht="15.75" customHeight="1" s="67">
      <c r="A956" s="2" t="n"/>
      <c r="B956" s="2" t="n"/>
      <c r="C956" s="2" t="n"/>
      <c r="D956" s="2" t="n"/>
      <c r="E956" s="2" t="n"/>
      <c r="F956" s="2" t="n"/>
    </row>
    <row r="957" ht="15.75" customHeight="1" s="67">
      <c r="A957" s="2" t="n"/>
      <c r="B957" s="2" t="n"/>
      <c r="C957" s="2" t="n"/>
      <c r="D957" s="2" t="n"/>
      <c r="E957" s="2" t="n"/>
      <c r="F957" s="2" t="n"/>
    </row>
    <row r="958" ht="15.75" customHeight="1" s="67">
      <c r="A958" s="2" t="n"/>
      <c r="B958" s="2" t="n"/>
      <c r="C958" s="2" t="n"/>
      <c r="D958" s="2" t="n"/>
      <c r="E958" s="2" t="n"/>
      <c r="F958" s="2" t="n"/>
    </row>
    <row r="959" ht="15.75" customHeight="1" s="67">
      <c r="A959" s="2" t="n"/>
      <c r="B959" s="2" t="n"/>
      <c r="C959" s="2" t="n"/>
      <c r="D959" s="2" t="n"/>
      <c r="E959" s="2" t="n"/>
      <c r="F959" s="2" t="n"/>
    </row>
    <row r="960" ht="15.75" customHeight="1" s="67">
      <c r="A960" s="2" t="n"/>
      <c r="B960" s="2" t="n"/>
      <c r="C960" s="2" t="n"/>
      <c r="D960" s="2" t="n"/>
      <c r="E960" s="2" t="n"/>
      <c r="F960" s="2" t="n"/>
    </row>
    <row r="961" ht="15.75" customHeight="1" s="67">
      <c r="A961" s="2" t="n"/>
      <c r="B961" s="2" t="n"/>
      <c r="C961" s="2" t="n"/>
      <c r="D961" s="2" t="n"/>
      <c r="E961" s="2" t="n"/>
      <c r="F961" s="2" t="n"/>
    </row>
    <row r="962" ht="15.75" customHeight="1" s="67">
      <c r="A962" s="2" t="n"/>
      <c r="B962" s="2" t="n"/>
      <c r="C962" s="2" t="n"/>
      <c r="D962" s="2" t="n"/>
      <c r="E962" s="2" t="n"/>
      <c r="F962" s="2" t="n"/>
    </row>
    <row r="963" ht="15.75" customHeight="1" s="67">
      <c r="A963" s="2" t="n"/>
      <c r="B963" s="2" t="n"/>
      <c r="C963" s="2" t="n"/>
      <c r="D963" s="2" t="n"/>
      <c r="E963" s="2" t="n"/>
      <c r="F963" s="2" t="n"/>
    </row>
    <row r="964" ht="15.75" customHeight="1" s="67">
      <c r="A964" s="2" t="n"/>
      <c r="B964" s="2" t="n"/>
      <c r="C964" s="2" t="n"/>
      <c r="D964" s="2" t="n"/>
      <c r="E964" s="2" t="n"/>
      <c r="F964" s="2" t="n"/>
    </row>
    <row r="965" ht="15.75" customHeight="1" s="67">
      <c r="A965" s="2" t="n"/>
      <c r="B965" s="2" t="n"/>
      <c r="C965" s="2" t="n"/>
      <c r="D965" s="2" t="n"/>
      <c r="E965" s="2" t="n"/>
      <c r="F965" s="2" t="n"/>
    </row>
    <row r="966" ht="15.75" customHeight="1" s="67">
      <c r="A966" s="2" t="n"/>
      <c r="B966" s="2" t="n"/>
      <c r="C966" s="2" t="n"/>
      <c r="D966" s="2" t="n"/>
      <c r="E966" s="2" t="n"/>
      <c r="F966" s="2" t="n"/>
    </row>
    <row r="967" ht="15.75" customHeight="1" s="67">
      <c r="A967" s="2" t="n"/>
      <c r="B967" s="2" t="n"/>
      <c r="C967" s="2" t="n"/>
      <c r="D967" s="2" t="n"/>
      <c r="E967" s="2" t="n"/>
      <c r="F967" s="2" t="n"/>
    </row>
    <row r="968" ht="15.75" customHeight="1" s="67">
      <c r="A968" s="2" t="n"/>
      <c r="B968" s="2" t="n"/>
      <c r="C968" s="2" t="n"/>
      <c r="D968" s="2" t="n"/>
      <c r="E968" s="2" t="n"/>
      <c r="F968" s="2" t="n"/>
    </row>
    <row r="969" ht="15.75" customHeight="1" s="67">
      <c r="A969" s="2" t="n"/>
      <c r="B969" s="2" t="n"/>
      <c r="C969" s="2" t="n"/>
      <c r="D969" s="2" t="n"/>
      <c r="E969" s="2" t="n"/>
      <c r="F969" s="2" t="n"/>
    </row>
    <row r="970" ht="15.75" customHeight="1" s="67">
      <c r="A970" s="2" t="n"/>
      <c r="B970" s="2" t="n"/>
      <c r="C970" s="2" t="n"/>
      <c r="D970" s="2" t="n"/>
      <c r="E970" s="2" t="n"/>
      <c r="F970" s="2" t="n"/>
    </row>
    <row r="971" ht="15.75" customHeight="1" s="67">
      <c r="A971" s="2" t="n"/>
      <c r="B971" s="2" t="n"/>
      <c r="C971" s="2" t="n"/>
      <c r="D971" s="2" t="n"/>
      <c r="E971" s="2" t="n"/>
      <c r="F971" s="2" t="n"/>
    </row>
    <row r="972" ht="15.75" customHeight="1" s="67">
      <c r="A972" s="2" t="n"/>
      <c r="B972" s="2" t="n"/>
      <c r="C972" s="2" t="n"/>
      <c r="D972" s="2" t="n"/>
      <c r="E972" s="2" t="n"/>
      <c r="F972" s="2" t="n"/>
    </row>
    <row r="973" ht="15.75" customHeight="1" s="67">
      <c r="A973" s="2" t="n"/>
      <c r="B973" s="2" t="n"/>
      <c r="C973" s="2" t="n"/>
      <c r="D973" s="2" t="n"/>
      <c r="E973" s="2" t="n"/>
      <c r="F973" s="2" t="n"/>
    </row>
    <row r="974" ht="15.75" customHeight="1" s="67">
      <c r="A974" s="2" t="n"/>
      <c r="B974" s="2" t="n"/>
      <c r="C974" s="2" t="n"/>
      <c r="D974" s="2" t="n"/>
      <c r="E974" s="2" t="n"/>
      <c r="F974" s="2" t="n"/>
    </row>
    <row r="975" ht="15.75" customHeight="1" s="67">
      <c r="A975" s="2" t="n"/>
      <c r="B975" s="2" t="n"/>
      <c r="C975" s="2" t="n"/>
      <c r="D975" s="2" t="n"/>
      <c r="E975" s="2" t="n"/>
      <c r="F975" s="2" t="n"/>
    </row>
    <row r="976" ht="15.75" customHeight="1" s="67">
      <c r="A976" s="2" t="n"/>
      <c r="B976" s="2" t="n"/>
      <c r="C976" s="2" t="n"/>
      <c r="D976" s="2" t="n"/>
      <c r="E976" s="2" t="n"/>
      <c r="F976" s="2" t="n"/>
    </row>
    <row r="977" ht="15.75" customHeight="1" s="67">
      <c r="A977" s="2" t="n"/>
      <c r="B977" s="2" t="n"/>
      <c r="C977" s="2" t="n"/>
      <c r="D977" s="2" t="n"/>
      <c r="E977" s="2" t="n"/>
      <c r="F977" s="2" t="n"/>
    </row>
    <row r="978" ht="15.75" customHeight="1" s="67">
      <c r="A978" s="2" t="n"/>
      <c r="B978" s="2" t="n"/>
      <c r="C978" s="2" t="n"/>
      <c r="D978" s="2" t="n"/>
      <c r="E978" s="2" t="n"/>
      <c r="F978" s="2" t="n"/>
    </row>
    <row r="979" ht="15.75" customHeight="1" s="67">
      <c r="A979" s="2" t="n"/>
      <c r="B979" s="2" t="n"/>
      <c r="C979" s="2" t="n"/>
      <c r="D979" s="2" t="n"/>
      <c r="E979" s="2" t="n"/>
      <c r="F979" s="2" t="n"/>
    </row>
    <row r="980" ht="15.75" customHeight="1" s="67">
      <c r="A980" s="2" t="n"/>
      <c r="B980" s="2" t="n"/>
      <c r="C980" s="2" t="n"/>
      <c r="D980" s="2" t="n"/>
      <c r="E980" s="2" t="n"/>
      <c r="F980" s="2" t="n"/>
    </row>
    <row r="981" ht="15.75" customHeight="1" s="67">
      <c r="A981" s="2" t="n"/>
      <c r="B981" s="2" t="n"/>
      <c r="C981" s="2" t="n"/>
      <c r="D981" s="2" t="n"/>
      <c r="E981" s="2" t="n"/>
      <c r="F981" s="2" t="n"/>
    </row>
    <row r="982" ht="15.75" customHeight="1" s="67">
      <c r="A982" s="2" t="n"/>
      <c r="B982" s="2" t="n"/>
      <c r="C982" s="2" t="n"/>
      <c r="D982" s="2" t="n"/>
      <c r="E982" s="2" t="n"/>
      <c r="F982" s="2" t="n"/>
    </row>
    <row r="983" ht="15.75" customHeight="1" s="67">
      <c r="A983" s="2" t="n"/>
      <c r="B983" s="2" t="n"/>
      <c r="C983" s="2" t="n"/>
      <c r="D983" s="2" t="n"/>
      <c r="E983" s="2" t="n"/>
      <c r="F983" s="2" t="n"/>
    </row>
    <row r="984" ht="15.75" customHeight="1" s="67">
      <c r="A984" s="2" t="n"/>
      <c r="B984" s="2" t="n"/>
      <c r="C984" s="2" t="n"/>
      <c r="D984" s="2" t="n"/>
      <c r="E984" s="2" t="n"/>
      <c r="F984" s="2" t="n"/>
    </row>
    <row r="985" ht="15.75" customHeight="1" s="67">
      <c r="A985" s="2" t="n"/>
      <c r="B985" s="2" t="n"/>
      <c r="C985" s="2" t="n"/>
      <c r="D985" s="2" t="n"/>
      <c r="E985" s="2" t="n"/>
      <c r="F985" s="2" t="n"/>
    </row>
    <row r="986" ht="15.75" customHeight="1" s="67">
      <c r="A986" s="2" t="n"/>
      <c r="B986" s="2" t="n"/>
      <c r="C986" s="2" t="n"/>
      <c r="D986" s="2" t="n"/>
      <c r="E986" s="2" t="n"/>
      <c r="F986" s="2" t="n"/>
    </row>
    <row r="987" ht="15.75" customHeight="1" s="67">
      <c r="A987" s="2" t="n"/>
      <c r="B987" s="2" t="n"/>
      <c r="C987" s="2" t="n"/>
      <c r="D987" s="2" t="n"/>
      <c r="E987" s="2" t="n"/>
      <c r="F987" s="2" t="n"/>
    </row>
    <row r="988" ht="15.75" customHeight="1" s="67">
      <c r="A988" s="2" t="n"/>
      <c r="B988" s="2" t="n"/>
      <c r="C988" s="2" t="n"/>
      <c r="D988" s="2" t="n"/>
      <c r="E988" s="2" t="n"/>
      <c r="F988" s="2" t="n"/>
    </row>
    <row r="989" ht="15.75" customHeight="1" s="67">
      <c r="A989" s="2" t="n"/>
      <c r="B989" s="2" t="n"/>
      <c r="C989" s="2" t="n"/>
      <c r="D989" s="2" t="n"/>
      <c r="E989" s="2" t="n"/>
      <c r="F989" s="2" t="n"/>
    </row>
    <row r="990" ht="15.75" customHeight="1" s="67">
      <c r="A990" s="2" t="n"/>
      <c r="B990" s="2" t="n"/>
      <c r="C990" s="2" t="n"/>
      <c r="D990" s="2" t="n"/>
      <c r="E990" s="2" t="n"/>
      <c r="F990" s="2" t="n"/>
    </row>
    <row r="991" ht="15.75" customHeight="1" s="67">
      <c r="A991" s="2" t="n"/>
      <c r="B991" s="2" t="n"/>
      <c r="C991" s="2" t="n"/>
      <c r="D991" s="2" t="n"/>
      <c r="E991" s="2" t="n"/>
      <c r="F991" s="2" t="n"/>
    </row>
    <row r="992" ht="15.75" customHeight="1" s="67">
      <c r="A992" s="2" t="n"/>
      <c r="B992" s="2" t="n"/>
      <c r="C992" s="2" t="n"/>
      <c r="D992" s="2" t="n"/>
      <c r="E992" s="2" t="n"/>
      <c r="F992" s="2" t="n"/>
    </row>
    <row r="993" ht="15.75" customHeight="1" s="67">
      <c r="A993" s="2" t="n"/>
      <c r="B993" s="2" t="n"/>
      <c r="C993" s="2" t="n"/>
      <c r="D993" s="2" t="n"/>
      <c r="E993" s="2" t="n"/>
      <c r="F993" s="2" t="n"/>
    </row>
    <row r="994" ht="15.75" customHeight="1" s="67">
      <c r="A994" s="2" t="n"/>
      <c r="B994" s="2" t="n"/>
      <c r="C994" s="2" t="n"/>
      <c r="D994" s="2" t="n"/>
      <c r="E994" s="2" t="n"/>
      <c r="F994" s="2" t="n"/>
    </row>
    <row r="995" ht="15.75" customHeight="1" s="67">
      <c r="A995" s="2" t="n"/>
      <c r="B995" s="2" t="n"/>
      <c r="C995" s="2" t="n"/>
      <c r="D995" s="2" t="n"/>
      <c r="E995" s="2" t="n"/>
      <c r="F995" s="2" t="n"/>
    </row>
    <row r="996" ht="15.75" customHeight="1" s="67">
      <c r="A996" s="2" t="n"/>
      <c r="B996" s="2" t="n"/>
      <c r="C996" s="2" t="n"/>
      <c r="D996" s="2" t="n"/>
      <c r="E996" s="2" t="n"/>
      <c r="F996" s="2" t="n"/>
    </row>
    <row r="997" ht="15.75" customHeight="1" s="67">
      <c r="A997" s="2" t="n"/>
      <c r="B997" s="2" t="n"/>
      <c r="C997" s="2" t="n"/>
      <c r="D997" s="2" t="n"/>
      <c r="E997" s="2" t="n"/>
      <c r="F997" s="2" t="n"/>
    </row>
    <row r="998" ht="15.75" customHeight="1" s="67">
      <c r="A998" s="2" t="n"/>
      <c r="B998" s="2" t="n"/>
      <c r="C998" s="2" t="n"/>
      <c r="D998" s="2" t="n"/>
      <c r="E998" s="2" t="n"/>
      <c r="F998" s="2" t="n"/>
    </row>
    <row r="999" ht="15.75" customHeight="1" s="67">
      <c r="A999" s="2" t="n"/>
      <c r="B999" s="2" t="n"/>
      <c r="C999" s="2" t="n"/>
      <c r="D999" s="2" t="n"/>
      <c r="E999" s="2" t="n"/>
      <c r="F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</row>
  </sheetData>
  <mergeCells count="13">
    <mergeCell ref="A16:F16"/>
    <mergeCell ref="A28:F28"/>
    <mergeCell ref="D29:F29"/>
    <mergeCell ref="A42:F42"/>
    <mergeCell ref="D31:F31"/>
    <mergeCell ref="D32:F32"/>
    <mergeCell ref="D35:F35"/>
    <mergeCell ref="D36:F36"/>
    <mergeCell ref="C46:F46"/>
    <mergeCell ref="A4:F4"/>
    <mergeCell ref="D30:F30"/>
    <mergeCell ref="D33:F33"/>
    <mergeCell ref="D34:F34"/>
  </mergeCells>
  <dataValidations count="1">
    <dataValidation sqref="C30:C36" showDropDown="0" showInputMessage="1" showErrorMessage="1" allowBlank="1" prompt="Valor no válido - Elija un valor de la lista." type="list">
      <formula1>Listas!$B$2:$B$3</formula1>
    </dataValidation>
  </dataValidations>
  <printOptions horizontalCentered="1"/>
  <pageMargins left="0.5" right="0.5" top="1" bottom="1" header="0" footer="0"/>
  <pageSetup orientation="portrait" paperSize="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10" customWidth="1" style="67" min="1" max="1"/>
    <col width="8" customWidth="1" style="67" min="2" max="2"/>
    <col width="10" customWidth="1" style="67" min="3" max="3"/>
    <col width="13" customWidth="1" style="67" min="4" max="6"/>
    <col width="14" customWidth="1" style="67" min="7" max="7"/>
    <col width="24" customWidth="1" style="67" min="8" max="8"/>
    <col width="13" customWidth="1" style="67" min="9" max="9"/>
    <col width="16" customWidth="1" style="67" min="10" max="10"/>
    <col width="10" customWidth="1" style="67" min="11" max="11"/>
    <col width="13" customWidth="1" style="67" min="12" max="12"/>
    <col width="12" customWidth="1" style="67" min="13" max="13"/>
    <col width="44" customWidth="1" style="67" min="14" max="14"/>
    <col width="8.710000000000001" customWidth="1" style="67" min="15" max="26"/>
  </cols>
  <sheetData>
    <row r="1" ht="17.25" customHeight="1" s="67">
      <c r="A1" s="1" t="inlineStr">
        <is>
          <t>Pasos 2 y 5 · Registro de control de participantes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" customHeight="1" s="67">
      <c r="A2" s="3" t="inlineStr">
        <is>
          <t>Un participante por fila, solo códigos. Estado al cierre: Activo / Retirado / Excluido. Confirmación: Confirmado / Reprogramado / Pérdida muestral.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.25" customHeight="1" s="67">
      <c r="A3" s="7" t="inlineStr">
        <is>
          <t>Registrados</t>
        </is>
      </c>
      <c r="B3" s="12">
        <f>COUNTA(A6:A305)</f>
        <v/>
      </c>
      <c r="C3" s="7" t="inlineStr">
        <is>
          <t>Con pretest</t>
        </is>
      </c>
      <c r="D3" s="12">
        <f>COUNTIF(C6:C305,"Sí")</f>
        <v/>
      </c>
      <c r="E3" s="7" t="inlineStr">
        <is>
          <t>Con postest</t>
        </is>
      </c>
      <c r="F3" s="12">
        <f>COUNTIF(K6:K305,"Sí")</f>
        <v/>
      </c>
      <c r="G3" s="7" t="inlineStr">
        <is>
          <t>Pares analizados</t>
        </is>
      </c>
      <c r="H3" s="12">
        <f>SUM(M6:M305)</f>
        <v/>
      </c>
      <c r="I3" s="7" t="inlineStr">
        <is>
          <t>Retirados</t>
        </is>
      </c>
      <c r="J3" s="12">
        <f>COUNTIF(F6:F305,"Retirado")</f>
        <v/>
      </c>
      <c r="K3" s="7" t="inlineStr">
        <is>
          <t>Excluidos</t>
        </is>
      </c>
      <c r="L3" s="12">
        <f>COUNTIF(F6:F305,"Excluido")</f>
        <v/>
      </c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42" customHeight="1" s="67">
      <c r="A5" s="17" t="inlineStr">
        <is>
          <t>Código</t>
        </is>
      </c>
      <c r="B5" s="17" t="inlineStr">
        <is>
          <t>Grupo</t>
        </is>
      </c>
      <c r="C5" s="17" t="inlineStr">
        <is>
          <t>Pretest rendido</t>
        </is>
      </c>
      <c r="D5" s="17" t="inlineStr">
        <is>
          <t>Fecha del pretest</t>
        </is>
      </c>
      <c r="E5" s="17" t="inlineStr">
        <is>
          <t>Adherencia individual (%)</t>
        </is>
      </c>
      <c r="F5" s="17" t="inlineStr">
        <is>
          <t>Estado al cierre</t>
        </is>
      </c>
      <c r="G5" s="17" t="inlineStr">
        <is>
          <t>Fecha de retiro o exclusión</t>
        </is>
      </c>
      <c r="H5" s="17" t="inlineStr">
        <is>
          <t>Motivo</t>
        </is>
      </c>
      <c r="I5" s="17" t="inlineStr">
        <is>
          <t>Convocatoria (fecha)</t>
        </is>
      </c>
      <c r="J5" s="17" t="inlineStr">
        <is>
          <t>Confirmación</t>
        </is>
      </c>
      <c r="K5" s="17" t="inlineStr">
        <is>
          <t>Postest rendido</t>
        </is>
      </c>
      <c r="L5" s="17" t="inlineStr">
        <is>
          <t>Fecha del postest</t>
        </is>
      </c>
      <c r="M5" s="17" t="inlineStr">
        <is>
          <t>Par pretest–postest</t>
        </is>
      </c>
      <c r="N5" s="17" t="inlineStr">
        <is>
          <t>Observaciones</t>
        </is>
      </c>
    </row>
    <row r="6" ht="15" customHeight="1" s="67">
      <c r="A6" s="19" t="inlineStr">
        <is>
          <t>GU-TDH-002</t>
        </is>
      </c>
      <c r="B6" s="22" t="inlineStr">
        <is>
          <t>G</t>
        </is>
      </c>
      <c r="C6" s="22" t="inlineStr">
        <is>
          <t>Sí</t>
        </is>
      </c>
      <c r="D6" s="16" t="n">
        <v>46308</v>
      </c>
      <c r="E6" s="14" t="n">
        <v>100</v>
      </c>
      <c r="F6" s="22" t="inlineStr">
        <is>
          <t>Activo</t>
        </is>
      </c>
      <c r="G6" s="16" t="n"/>
      <c r="H6" s="19" t="n"/>
      <c r="I6" s="16" t="n">
        <v>46320</v>
      </c>
      <c r="J6" s="22" t="inlineStr">
        <is>
          <t>Confirmado</t>
        </is>
      </c>
      <c r="K6" s="22" t="inlineStr">
        <is>
          <t>Sí</t>
        </is>
      </c>
      <c r="L6" s="16" t="n">
        <v>46322</v>
      </c>
      <c r="M6" s="28">
        <f>IF(A6="","",IF(AND(C6="Sí",K6="Sí",F6&lt;&gt;"Excluido"),1,0))</f>
        <v/>
      </c>
      <c r="N6" s="2" t="n"/>
    </row>
    <row r="7" ht="15" customHeight="1" s="67">
      <c r="A7" s="19" t="inlineStr">
        <is>
          <t>GU-TDH-003</t>
        </is>
      </c>
      <c r="B7" s="22" t="inlineStr">
        <is>
          <t>G</t>
        </is>
      </c>
      <c r="C7" s="22" t="inlineStr">
        <is>
          <t>Sí</t>
        </is>
      </c>
      <c r="D7" s="16" t="n">
        <v>46307</v>
      </c>
      <c r="E7" s="14" t="n">
        <v>100</v>
      </c>
      <c r="F7" s="22" t="inlineStr">
        <is>
          <t>Activo</t>
        </is>
      </c>
      <c r="G7" s="16" t="n"/>
      <c r="H7" s="19" t="n"/>
      <c r="I7" s="16" t="n">
        <v>46320</v>
      </c>
      <c r="J7" s="22" t="inlineStr">
        <is>
          <t>Confirmado</t>
        </is>
      </c>
      <c r="K7" s="22" t="inlineStr">
        <is>
          <t>Sí</t>
        </is>
      </c>
      <c r="L7" s="16" t="n">
        <v>46321</v>
      </c>
      <c r="M7" s="28">
        <f>IF(A7="","",IF(AND(C7="Sí",K7="Sí",F7&lt;&gt;"Excluido"),1,0))</f>
        <v/>
      </c>
      <c r="N7" s="2" t="n"/>
    </row>
    <row r="8" ht="15" customHeight="1" s="67">
      <c r="A8" s="19" t="inlineStr">
        <is>
          <t>GU-TDH-004</t>
        </is>
      </c>
      <c r="B8" s="22" t="inlineStr">
        <is>
          <t>G</t>
        </is>
      </c>
      <c r="C8" s="22" t="inlineStr">
        <is>
          <t>Sí</t>
        </is>
      </c>
      <c r="D8" s="16" t="n">
        <v>46307</v>
      </c>
      <c r="E8" s="14" t="n">
        <v>100</v>
      </c>
      <c r="F8" s="22" t="inlineStr">
        <is>
          <t>Activo</t>
        </is>
      </c>
      <c r="G8" s="16" t="n"/>
      <c r="H8" s="19" t="n"/>
      <c r="I8" s="16" t="n">
        <v>46320</v>
      </c>
      <c r="J8" s="22" t="inlineStr">
        <is>
          <t>Confirmado</t>
        </is>
      </c>
      <c r="K8" s="22" t="inlineStr">
        <is>
          <t>Sí</t>
        </is>
      </c>
      <c r="L8" s="16" t="n">
        <v>46321</v>
      </c>
      <c r="M8" s="28">
        <f>IF(A8="","",IF(AND(C8="Sí",K8="Sí",F8&lt;&gt;"Excluido"),1,0))</f>
        <v/>
      </c>
      <c r="N8" s="2" t="n"/>
    </row>
    <row r="9" ht="15" customHeight="1" s="67">
      <c r="A9" s="19" t="inlineStr">
        <is>
          <t>GU-TDH-006</t>
        </is>
      </c>
      <c r="B9" s="22" t="inlineStr">
        <is>
          <t>G</t>
        </is>
      </c>
      <c r="C9" s="22" t="inlineStr">
        <is>
          <t>Sí</t>
        </is>
      </c>
      <c r="D9" s="16" t="n">
        <v>46310</v>
      </c>
      <c r="E9" s="14" t="n">
        <v>100</v>
      </c>
      <c r="F9" s="22" t="inlineStr">
        <is>
          <t>Activo</t>
        </is>
      </c>
      <c r="G9" s="16" t="n"/>
      <c r="H9" s="19" t="n"/>
      <c r="I9" s="16" t="n">
        <v>46320</v>
      </c>
      <c r="J9" s="22" t="inlineStr">
        <is>
          <t>Confirmado</t>
        </is>
      </c>
      <c r="K9" s="22" t="inlineStr">
        <is>
          <t>Sí</t>
        </is>
      </c>
      <c r="L9" s="16" t="n">
        <v>46324</v>
      </c>
      <c r="M9" s="28">
        <f>IF(A9="","",IF(AND(C9="Sí",K9="Sí",F9&lt;&gt;"Excluido"),1,0))</f>
        <v/>
      </c>
      <c r="N9" s="29" t="inlineStr">
        <is>
          <t>Usó la aplicación 0 día(s); no respondió a tres recordatorios ni a la reprogramación de 72 h.</t>
        </is>
      </c>
    </row>
    <row r="10" ht="15" customHeight="1" s="67">
      <c r="A10" s="19" t="inlineStr">
        <is>
          <t>GU-TDH-007</t>
        </is>
      </c>
      <c r="B10" s="22" t="inlineStr">
        <is>
          <t>G</t>
        </is>
      </c>
      <c r="C10" s="22" t="inlineStr">
        <is>
          <t>Sí</t>
        </is>
      </c>
      <c r="D10" s="16" t="n">
        <v>46307</v>
      </c>
      <c r="E10" s="14" t="n">
        <v>100</v>
      </c>
      <c r="F10" s="22" t="inlineStr">
        <is>
          <t>Activo</t>
        </is>
      </c>
      <c r="G10" s="16" t="n"/>
      <c r="H10" s="19" t="n"/>
      <c r="I10" s="16" t="n">
        <v>46320</v>
      </c>
      <c r="J10" s="22" t="inlineStr">
        <is>
          <t>Confirmado</t>
        </is>
      </c>
      <c r="K10" s="22" t="inlineStr">
        <is>
          <t>Sí</t>
        </is>
      </c>
      <c r="L10" s="16" t="n">
        <v>46321</v>
      </c>
      <c r="M10" s="28">
        <f>IF(A10="","",IF(AND(C10="Sí",K10="Sí",F10&lt;&gt;"Excluido"),1,0))</f>
        <v/>
      </c>
      <c r="N10" s="2" t="n"/>
    </row>
    <row r="11" ht="15" customHeight="1" s="67">
      <c r="A11" s="19" t="inlineStr">
        <is>
          <t>GU-TDH-008</t>
        </is>
      </c>
      <c r="B11" s="22" t="inlineStr">
        <is>
          <t>G</t>
        </is>
      </c>
      <c r="C11" s="22" t="inlineStr">
        <is>
          <t>Sí</t>
        </is>
      </c>
      <c r="D11" s="16" t="n">
        <v>46308</v>
      </c>
      <c r="E11" s="14" t="n">
        <v>100</v>
      </c>
      <c r="F11" s="22" t="inlineStr">
        <is>
          <t>Activo</t>
        </is>
      </c>
      <c r="G11" s="16" t="n"/>
      <c r="H11" s="19" t="n"/>
      <c r="I11" s="16" t="n">
        <v>46320</v>
      </c>
      <c r="J11" s="22" t="inlineStr">
        <is>
          <t>Confirmado</t>
        </is>
      </c>
      <c r="K11" s="22" t="inlineStr">
        <is>
          <t>Sí</t>
        </is>
      </c>
      <c r="L11" s="16" t="n">
        <v>46322</v>
      </c>
      <c r="M11" s="28">
        <f>IF(A11="","",IF(AND(C11="Sí",K11="Sí",F11&lt;&gt;"Excluido"),1,0))</f>
        <v/>
      </c>
      <c r="N11" s="2" t="n"/>
    </row>
    <row r="12" ht="15" customHeight="1" s="67">
      <c r="A12" s="19" t="inlineStr">
        <is>
          <t>GU-TDH-009</t>
        </is>
      </c>
      <c r="B12" s="22" t="inlineStr">
        <is>
          <t>G</t>
        </is>
      </c>
      <c r="C12" s="22" t="inlineStr">
        <is>
          <t>Sí</t>
        </is>
      </c>
      <c r="D12" s="16" t="n">
        <v>46310</v>
      </c>
      <c r="E12" s="14" t="n">
        <v>100</v>
      </c>
      <c r="F12" s="22" t="inlineStr">
        <is>
          <t>Activo</t>
        </is>
      </c>
      <c r="G12" s="16" t="n"/>
      <c r="H12" s="19" t="n"/>
      <c r="I12" s="16" t="n">
        <v>46320</v>
      </c>
      <c r="J12" s="22" t="inlineStr">
        <is>
          <t>Confirmado</t>
        </is>
      </c>
      <c r="K12" s="22" t="inlineStr">
        <is>
          <t>Sí</t>
        </is>
      </c>
      <c r="L12" s="16" t="n">
        <v>46324</v>
      </c>
      <c r="M12" s="28">
        <f>IF(A12="","",IF(AND(C12="Sí",K12="Sí",F12&lt;&gt;"Excluido"),1,0))</f>
        <v/>
      </c>
      <c r="N12" s="29" t="inlineStr">
        <is>
          <t>Reprogramado dentro de la ventana, en la misma franja horaria.</t>
        </is>
      </c>
    </row>
    <row r="13" ht="15" customHeight="1" s="67">
      <c r="A13" s="19" t="inlineStr">
        <is>
          <t>GU-TDH-010</t>
        </is>
      </c>
      <c r="B13" s="22" t="inlineStr">
        <is>
          <t>G</t>
        </is>
      </c>
      <c r="C13" s="22" t="inlineStr">
        <is>
          <t>Sí</t>
        </is>
      </c>
      <c r="D13" s="16" t="n">
        <v>46307</v>
      </c>
      <c r="E13" s="14" t="n">
        <v>100</v>
      </c>
      <c r="F13" s="22" t="inlineStr">
        <is>
          <t>Activo</t>
        </is>
      </c>
      <c r="G13" s="16" t="n"/>
      <c r="H13" s="19" t="n"/>
      <c r="I13" s="16" t="n">
        <v>46320</v>
      </c>
      <c r="J13" s="22" t="inlineStr">
        <is>
          <t>Confirmado</t>
        </is>
      </c>
      <c r="K13" s="22" t="inlineStr">
        <is>
          <t>Sí</t>
        </is>
      </c>
      <c r="L13" s="16" t="n">
        <v>46321</v>
      </c>
      <c r="M13" s="28">
        <f>IF(A13="","",IF(AND(C13="Sí",K13="Sí",F13&lt;&gt;"Excluido"),1,0))</f>
        <v/>
      </c>
      <c r="N13" s="2" t="n"/>
    </row>
    <row r="14" ht="15" customHeight="1" s="67">
      <c r="A14" s="19" t="inlineStr">
        <is>
          <t>GU-TDH-011</t>
        </is>
      </c>
      <c r="B14" s="22" t="inlineStr">
        <is>
          <t>G</t>
        </is>
      </c>
      <c r="C14" s="22" t="inlineStr">
        <is>
          <t>Sí</t>
        </is>
      </c>
      <c r="D14" s="16" t="n">
        <v>46308</v>
      </c>
      <c r="E14" s="14" t="n">
        <v>67</v>
      </c>
      <c r="F14" s="22" t="inlineStr">
        <is>
          <t>Activo</t>
        </is>
      </c>
      <c r="G14" s="16" t="n"/>
      <c r="H14" s="19" t="n"/>
      <c r="I14" s="16" t="n">
        <v>46320</v>
      </c>
      <c r="J14" s="22" t="inlineStr">
        <is>
          <t>Confirmado</t>
        </is>
      </c>
      <c r="K14" s="22" t="inlineStr">
        <is>
          <t>Sí</t>
        </is>
      </c>
      <c r="L14" s="16" t="n">
        <v>46322</v>
      </c>
      <c r="M14" s="28">
        <f>IF(A14="","",IF(AND(C14="Sí",K14="Sí",F14&lt;&gt;"Excluido"),1,0))</f>
        <v/>
      </c>
      <c r="N14" s="2" t="n"/>
    </row>
    <row r="15" ht="15" customHeight="1" s="67">
      <c r="A15" s="19" t="inlineStr">
        <is>
          <t>GU-TDH-012</t>
        </is>
      </c>
      <c r="B15" s="22" t="inlineStr">
        <is>
          <t>G</t>
        </is>
      </c>
      <c r="C15" s="22" t="inlineStr">
        <is>
          <t>Sí</t>
        </is>
      </c>
      <c r="D15" s="16" t="n">
        <v>46308</v>
      </c>
      <c r="E15" s="14" t="n">
        <v>100</v>
      </c>
      <c r="F15" s="22" t="inlineStr">
        <is>
          <t>Activo</t>
        </is>
      </c>
      <c r="G15" s="16" t="n"/>
      <c r="H15" s="19" t="n"/>
      <c r="I15" s="16" t="n">
        <v>46320</v>
      </c>
      <c r="J15" s="22" t="inlineStr">
        <is>
          <t>Confirmado</t>
        </is>
      </c>
      <c r="K15" s="22" t="inlineStr">
        <is>
          <t>Sí</t>
        </is>
      </c>
      <c r="L15" s="16" t="n">
        <v>46322</v>
      </c>
      <c r="M15" s="28">
        <f>IF(A15="","",IF(AND(C15="Sí",K15="Sí",F15&lt;&gt;"Excluido"),1,0))</f>
        <v/>
      </c>
      <c r="N15" s="2" t="n"/>
    </row>
    <row r="16" ht="15" customHeight="1" s="67">
      <c r="A16" s="19" t="inlineStr">
        <is>
          <t>GU-TDH-014</t>
        </is>
      </c>
      <c r="B16" s="22" t="inlineStr">
        <is>
          <t>G</t>
        </is>
      </c>
      <c r="C16" s="22" t="inlineStr">
        <is>
          <t>Sí</t>
        </is>
      </c>
      <c r="D16" s="16" t="n">
        <v>46307</v>
      </c>
      <c r="E16" s="14" t="n">
        <v>100</v>
      </c>
      <c r="F16" s="22" t="inlineStr">
        <is>
          <t>Activo</t>
        </is>
      </c>
      <c r="G16" s="16" t="n"/>
      <c r="H16" s="19" t="n"/>
      <c r="I16" s="16" t="n">
        <v>46320</v>
      </c>
      <c r="J16" s="22" t="inlineStr">
        <is>
          <t>Confirmado</t>
        </is>
      </c>
      <c r="K16" s="22" t="inlineStr">
        <is>
          <t>Sí</t>
        </is>
      </c>
      <c r="L16" s="16" t="n">
        <v>46321</v>
      </c>
      <c r="M16" s="28">
        <f>IF(A16="","",IF(AND(C16="Sí",K16="Sí",F16&lt;&gt;"Excluido"),1,0))</f>
        <v/>
      </c>
      <c r="N16" s="2" t="n"/>
    </row>
    <row r="17" ht="15" customHeight="1" s="67">
      <c r="A17" s="19" t="inlineStr">
        <is>
          <t>GU-TDH-015</t>
        </is>
      </c>
      <c r="B17" s="22" t="inlineStr">
        <is>
          <t>G</t>
        </is>
      </c>
      <c r="C17" s="22" t="inlineStr">
        <is>
          <t>Sí</t>
        </is>
      </c>
      <c r="D17" s="16" t="n">
        <v>46310</v>
      </c>
      <c r="E17" s="14" t="n">
        <v>0</v>
      </c>
      <c r="F17" s="22" t="inlineStr">
        <is>
          <t>Retirado</t>
        </is>
      </c>
      <c r="G17" s="16" t="n">
        <v>46316</v>
      </c>
      <c r="H17" s="19" t="inlineStr">
        <is>
          <t>Inasistencia fuera de la ventana</t>
        </is>
      </c>
      <c r="I17" s="16" t="n">
        <v>46320</v>
      </c>
      <c r="J17" s="22" t="inlineStr">
        <is>
          <t>Pérdida muestral</t>
        </is>
      </c>
      <c r="K17" s="22" t="inlineStr">
        <is>
          <t>No</t>
        </is>
      </c>
      <c r="L17" s="16" t="n"/>
      <c r="M17" s="28">
        <f>IF(A17="","",IF(AND(C17="Sí",K17="Sí",F17&lt;&gt;"Excluido"),1,0))</f>
        <v/>
      </c>
      <c r="N17" s="2" t="n"/>
    </row>
    <row r="18" ht="15" customHeight="1" s="67">
      <c r="A18" s="19" t="inlineStr">
        <is>
          <t>GU-TDH-016</t>
        </is>
      </c>
      <c r="B18" s="22" t="inlineStr">
        <is>
          <t>G</t>
        </is>
      </c>
      <c r="C18" s="22" t="inlineStr">
        <is>
          <t>Sí</t>
        </is>
      </c>
      <c r="D18" s="16" t="n">
        <v>46308</v>
      </c>
      <c r="E18" s="14" t="n">
        <v>100</v>
      </c>
      <c r="F18" s="22" t="inlineStr">
        <is>
          <t>Activo</t>
        </is>
      </c>
      <c r="G18" s="16" t="n"/>
      <c r="H18" s="19" t="n"/>
      <c r="I18" s="16" t="n">
        <v>46320</v>
      </c>
      <c r="J18" s="22" t="inlineStr">
        <is>
          <t>Confirmado</t>
        </is>
      </c>
      <c r="K18" s="22" t="inlineStr">
        <is>
          <t>Sí</t>
        </is>
      </c>
      <c r="L18" s="16" t="n">
        <v>46322</v>
      </c>
      <c r="M18" s="28">
        <f>IF(A18="","",IF(AND(C18="Sí",K18="Sí",F18&lt;&gt;"Excluido"),1,0))</f>
        <v/>
      </c>
      <c r="N18" s="2" t="n"/>
    </row>
    <row r="19" ht="15" customHeight="1" s="67">
      <c r="A19" s="19" t="inlineStr">
        <is>
          <t>GU-TDH-017</t>
        </is>
      </c>
      <c r="B19" s="22" t="inlineStr">
        <is>
          <t>G</t>
        </is>
      </c>
      <c r="C19" s="22" t="inlineStr">
        <is>
          <t>Sí</t>
        </is>
      </c>
      <c r="D19" s="16" t="n">
        <v>46308</v>
      </c>
      <c r="E19" s="14" t="n">
        <v>100</v>
      </c>
      <c r="F19" s="22" t="inlineStr">
        <is>
          <t>Activo</t>
        </is>
      </c>
      <c r="G19" s="16" t="n"/>
      <c r="H19" s="19" t="n"/>
      <c r="I19" s="16" t="n">
        <v>46320</v>
      </c>
      <c r="J19" s="22" t="inlineStr">
        <is>
          <t>Confirmado</t>
        </is>
      </c>
      <c r="K19" s="22" t="inlineStr">
        <is>
          <t>Sí</t>
        </is>
      </c>
      <c r="L19" s="16" t="n">
        <v>46322</v>
      </c>
      <c r="M19" s="28">
        <f>IF(A19="","",IF(AND(C19="Sí",K19="Sí",F19&lt;&gt;"Excluido"),1,0))</f>
        <v/>
      </c>
      <c r="N19" s="2" t="n"/>
    </row>
    <row r="20" ht="15" customHeight="1" s="67">
      <c r="A20" s="19" t="inlineStr">
        <is>
          <t>GU-TDH-019</t>
        </is>
      </c>
      <c r="B20" s="22" t="inlineStr">
        <is>
          <t>G</t>
        </is>
      </c>
      <c r="C20" s="22" t="inlineStr">
        <is>
          <t>Sí</t>
        </is>
      </c>
      <c r="D20" s="16" t="n">
        <v>46307</v>
      </c>
      <c r="E20" s="14" t="n">
        <v>100</v>
      </c>
      <c r="F20" s="22" t="inlineStr">
        <is>
          <t>Activo</t>
        </is>
      </c>
      <c r="G20" s="16" t="n"/>
      <c r="H20" s="19" t="n"/>
      <c r="I20" s="16" t="n">
        <v>46320</v>
      </c>
      <c r="J20" s="22" t="inlineStr">
        <is>
          <t>Confirmado</t>
        </is>
      </c>
      <c r="K20" s="22" t="inlineStr">
        <is>
          <t>Sí</t>
        </is>
      </c>
      <c r="L20" s="16" t="n">
        <v>46321</v>
      </c>
      <c r="M20" s="28">
        <f>IF(A20="","",IF(AND(C20="Sí",K20="Sí",F20&lt;&gt;"Excluido"),1,0))</f>
        <v/>
      </c>
      <c r="N20" s="2" t="n"/>
    </row>
    <row r="21" ht="15" customHeight="1" s="67">
      <c r="A21" s="19" t="inlineStr">
        <is>
          <t>GU-TDH-020</t>
        </is>
      </c>
      <c r="B21" s="22" t="inlineStr">
        <is>
          <t>G</t>
        </is>
      </c>
      <c r="C21" s="22" t="inlineStr">
        <is>
          <t>Sí</t>
        </is>
      </c>
      <c r="D21" s="16" t="n">
        <v>46309</v>
      </c>
      <c r="E21" s="14" t="n">
        <v>100</v>
      </c>
      <c r="F21" s="22" t="inlineStr">
        <is>
          <t>Activo</t>
        </is>
      </c>
      <c r="G21" s="16" t="n"/>
      <c r="H21" s="19" t="n"/>
      <c r="I21" s="16" t="n">
        <v>46320</v>
      </c>
      <c r="J21" s="22" t="inlineStr">
        <is>
          <t>Confirmado</t>
        </is>
      </c>
      <c r="K21" s="22" t="inlineStr">
        <is>
          <t>Sí</t>
        </is>
      </c>
      <c r="L21" s="16" t="n">
        <v>46323</v>
      </c>
      <c r="M21" s="28">
        <f>IF(A21="","",IF(AND(C21="Sí",K21="Sí",F21&lt;&gt;"Excluido"),1,0))</f>
        <v/>
      </c>
      <c r="N21" s="2" t="n"/>
    </row>
    <row r="22" ht="15" customHeight="1" s="67">
      <c r="A22" s="19" t="inlineStr">
        <is>
          <t>GU-TDH-021</t>
        </is>
      </c>
      <c r="B22" s="22" t="inlineStr">
        <is>
          <t>G</t>
        </is>
      </c>
      <c r="C22" s="22" t="inlineStr">
        <is>
          <t>Sí</t>
        </is>
      </c>
      <c r="D22" s="16" t="n">
        <v>46307</v>
      </c>
      <c r="E22" s="14" t="n">
        <v>100</v>
      </c>
      <c r="F22" s="22" t="inlineStr">
        <is>
          <t>Activo</t>
        </is>
      </c>
      <c r="G22" s="16" t="n"/>
      <c r="H22" s="19" t="n"/>
      <c r="I22" s="16" t="n">
        <v>46320</v>
      </c>
      <c r="J22" s="22" t="inlineStr">
        <is>
          <t>Confirmado</t>
        </is>
      </c>
      <c r="K22" s="22" t="inlineStr">
        <is>
          <t>Sí</t>
        </is>
      </c>
      <c r="L22" s="16" t="n">
        <v>46321</v>
      </c>
      <c r="M22" s="28">
        <f>IF(A22="","",IF(AND(C22="Sí",K22="Sí",F22&lt;&gt;"Excluido"),1,0))</f>
        <v/>
      </c>
      <c r="N22" s="2" t="n"/>
    </row>
    <row r="23" ht="15" customHeight="1" s="67">
      <c r="A23" s="19" t="inlineStr">
        <is>
          <t>GU-TDH-022</t>
        </is>
      </c>
      <c r="B23" s="22" t="inlineStr">
        <is>
          <t>G</t>
        </is>
      </c>
      <c r="C23" s="22" t="inlineStr">
        <is>
          <t>Sí</t>
        </is>
      </c>
      <c r="D23" s="16" t="n">
        <v>46309</v>
      </c>
      <c r="E23" s="14" t="n">
        <v>100</v>
      </c>
      <c r="F23" s="22" t="inlineStr">
        <is>
          <t>Activo</t>
        </is>
      </c>
      <c r="G23" s="16" t="n"/>
      <c r="H23" s="19" t="n"/>
      <c r="I23" s="16" t="n">
        <v>46320</v>
      </c>
      <c r="J23" s="22" t="inlineStr">
        <is>
          <t>Confirmado</t>
        </is>
      </c>
      <c r="K23" s="22" t="inlineStr">
        <is>
          <t>Sí</t>
        </is>
      </c>
      <c r="L23" s="16" t="n">
        <v>46323</v>
      </c>
      <c r="M23" s="28">
        <f>IF(A23="","",IF(AND(C23="Sí",K23="Sí",F23&lt;&gt;"Excluido"),1,0))</f>
        <v/>
      </c>
      <c r="N23" s="2" t="n"/>
    </row>
    <row r="24" ht="15" customHeight="1" s="67">
      <c r="A24" s="19" t="inlineStr">
        <is>
          <t>GU-TDH-023</t>
        </is>
      </c>
      <c r="B24" s="22" t="inlineStr">
        <is>
          <t>G</t>
        </is>
      </c>
      <c r="C24" s="22" t="inlineStr">
        <is>
          <t>Sí</t>
        </is>
      </c>
      <c r="D24" s="16" t="n">
        <v>46311</v>
      </c>
      <c r="E24" s="14" t="n">
        <v>100</v>
      </c>
      <c r="F24" s="22" t="inlineStr">
        <is>
          <t>Activo</t>
        </is>
      </c>
      <c r="G24" s="16" t="n"/>
      <c r="H24" s="19" t="n"/>
      <c r="I24" s="16" t="n">
        <v>46320</v>
      </c>
      <c r="J24" s="22" t="inlineStr">
        <is>
          <t>Confirmado</t>
        </is>
      </c>
      <c r="K24" s="22" t="inlineStr">
        <is>
          <t>Sí</t>
        </is>
      </c>
      <c r="L24" s="16" t="n">
        <v>46325</v>
      </c>
      <c r="M24" s="28">
        <f>IF(A24="","",IF(AND(C24="Sí",K24="Sí",F24&lt;&gt;"Excluido"),1,0))</f>
        <v/>
      </c>
      <c r="N24" s="2" t="n"/>
    </row>
    <row r="25" ht="15" customHeight="1" s="67">
      <c r="A25" s="19" t="inlineStr">
        <is>
          <t>GU-TDH-024</t>
        </is>
      </c>
      <c r="B25" s="22" t="inlineStr">
        <is>
          <t>G</t>
        </is>
      </c>
      <c r="C25" s="22" t="inlineStr">
        <is>
          <t>Sí</t>
        </is>
      </c>
      <c r="D25" s="16" t="n">
        <v>46309</v>
      </c>
      <c r="E25" s="14" t="n">
        <v>100</v>
      </c>
      <c r="F25" s="22" t="inlineStr">
        <is>
          <t>Activo</t>
        </is>
      </c>
      <c r="G25" s="16" t="n"/>
      <c r="H25" s="19" t="n"/>
      <c r="I25" s="16" t="n">
        <v>46320</v>
      </c>
      <c r="J25" s="22" t="inlineStr">
        <is>
          <t>Confirmado</t>
        </is>
      </c>
      <c r="K25" s="22" t="inlineStr">
        <is>
          <t>Sí</t>
        </is>
      </c>
      <c r="L25" s="16" t="n">
        <v>46323</v>
      </c>
      <c r="M25" s="28">
        <f>IF(A25="","",IF(AND(C25="Sí",K25="Sí",F25&lt;&gt;"Excluido"),1,0))</f>
        <v/>
      </c>
      <c r="N25" s="2" t="n"/>
    </row>
    <row r="26" ht="15" customHeight="1" s="67">
      <c r="A26" s="19" t="inlineStr">
        <is>
          <t>GU-TDH-025</t>
        </is>
      </c>
      <c r="B26" s="22" t="inlineStr">
        <is>
          <t>G</t>
        </is>
      </c>
      <c r="C26" s="22" t="inlineStr">
        <is>
          <t>Sí</t>
        </is>
      </c>
      <c r="D26" s="16" t="n">
        <v>46311</v>
      </c>
      <c r="E26" s="14" t="n">
        <v>100</v>
      </c>
      <c r="F26" s="22" t="inlineStr">
        <is>
          <t>Activo</t>
        </is>
      </c>
      <c r="G26" s="16" t="n"/>
      <c r="H26" s="19" t="n"/>
      <c r="I26" s="16" t="n">
        <v>46320</v>
      </c>
      <c r="J26" s="22" t="inlineStr">
        <is>
          <t>Confirmado</t>
        </is>
      </c>
      <c r="K26" s="22" t="inlineStr">
        <is>
          <t>Sí</t>
        </is>
      </c>
      <c r="L26" s="16" t="n">
        <v>46325</v>
      </c>
      <c r="M26" s="28">
        <f>IF(A26="","",IF(AND(C26="Sí",K26="Sí",F26&lt;&gt;"Excluido"),1,0))</f>
        <v/>
      </c>
      <c r="N26" s="2" t="n"/>
    </row>
    <row r="27" ht="15" customHeight="1" s="67">
      <c r="A27" s="19" t="inlineStr">
        <is>
          <t>GU-TDH-026</t>
        </is>
      </c>
      <c r="B27" s="22" t="inlineStr">
        <is>
          <t>G</t>
        </is>
      </c>
      <c r="C27" s="22" t="inlineStr">
        <is>
          <t>Sí</t>
        </is>
      </c>
      <c r="D27" s="16" t="n">
        <v>46312</v>
      </c>
      <c r="E27" s="14" t="n">
        <v>100</v>
      </c>
      <c r="F27" s="22" t="inlineStr">
        <is>
          <t>Activo</t>
        </is>
      </c>
      <c r="G27" s="16" t="n"/>
      <c r="H27" s="19" t="n"/>
      <c r="I27" s="16" t="n">
        <v>46320</v>
      </c>
      <c r="J27" s="22" t="inlineStr">
        <is>
          <t>Confirmado</t>
        </is>
      </c>
      <c r="K27" s="22" t="inlineStr">
        <is>
          <t>Sí</t>
        </is>
      </c>
      <c r="L27" s="16" t="n">
        <v>46326</v>
      </c>
      <c r="M27" s="28">
        <f>IF(A27="","",IF(AND(C27="Sí",K27="Sí",F27&lt;&gt;"Excluido"),1,0))</f>
        <v/>
      </c>
      <c r="N27" s="2" t="n"/>
    </row>
    <row r="28" ht="15" customHeight="1" s="67">
      <c r="A28" s="19" t="inlineStr">
        <is>
          <t>GU-TDH-027</t>
        </is>
      </c>
      <c r="B28" s="22" t="inlineStr">
        <is>
          <t>G</t>
        </is>
      </c>
      <c r="C28" s="22" t="inlineStr">
        <is>
          <t>Sí</t>
        </is>
      </c>
      <c r="D28" s="16" t="n">
        <v>46310</v>
      </c>
      <c r="E28" s="14" t="n">
        <v>100</v>
      </c>
      <c r="F28" s="22" t="inlineStr">
        <is>
          <t>Activo</t>
        </is>
      </c>
      <c r="G28" s="16" t="n"/>
      <c r="H28" s="19" t="n"/>
      <c r="I28" s="16" t="n">
        <v>46320</v>
      </c>
      <c r="J28" s="22" t="inlineStr">
        <is>
          <t>Confirmado</t>
        </is>
      </c>
      <c r="K28" s="22" t="inlineStr">
        <is>
          <t>Sí</t>
        </is>
      </c>
      <c r="L28" s="16" t="n">
        <v>46324</v>
      </c>
      <c r="M28" s="28">
        <f>IF(A28="","",IF(AND(C28="Sí",K28="Sí",F28&lt;&gt;"Excluido"),1,0))</f>
        <v/>
      </c>
      <c r="N28" s="2" t="n"/>
    </row>
    <row r="29" ht="15" customHeight="1" s="67">
      <c r="A29" s="19" t="inlineStr">
        <is>
          <t>GU-TDH-028</t>
        </is>
      </c>
      <c r="B29" s="22" t="inlineStr">
        <is>
          <t>G</t>
        </is>
      </c>
      <c r="C29" s="22" t="inlineStr">
        <is>
          <t>Sí</t>
        </is>
      </c>
      <c r="D29" s="16" t="n">
        <v>46307</v>
      </c>
      <c r="E29" s="14" t="n">
        <v>100</v>
      </c>
      <c r="F29" s="22" t="inlineStr">
        <is>
          <t>Activo</t>
        </is>
      </c>
      <c r="G29" s="16" t="n"/>
      <c r="H29" s="19" t="n"/>
      <c r="I29" s="16" t="n">
        <v>46320</v>
      </c>
      <c r="J29" s="22" t="inlineStr">
        <is>
          <t>Confirmado</t>
        </is>
      </c>
      <c r="K29" s="22" t="inlineStr">
        <is>
          <t>Sí</t>
        </is>
      </c>
      <c r="L29" s="16" t="n">
        <v>46321</v>
      </c>
      <c r="M29" s="28">
        <f>IF(A29="","",IF(AND(C29="Sí",K29="Sí",F29&lt;&gt;"Excluido"),1,0))</f>
        <v/>
      </c>
      <c r="N29" s="2" t="n"/>
    </row>
    <row r="30" ht="15" customHeight="1" s="67">
      <c r="A30" s="19" t="inlineStr">
        <is>
          <t>GU-TDH-029</t>
        </is>
      </c>
      <c r="B30" s="22" t="inlineStr">
        <is>
          <t>G</t>
        </is>
      </c>
      <c r="C30" s="22" t="inlineStr">
        <is>
          <t>Sí</t>
        </is>
      </c>
      <c r="D30" s="16" t="n">
        <v>46307</v>
      </c>
      <c r="E30" s="14" t="n">
        <v>100</v>
      </c>
      <c r="F30" s="22" t="inlineStr">
        <is>
          <t>Activo</t>
        </is>
      </c>
      <c r="G30" s="16" t="n"/>
      <c r="H30" s="19" t="n"/>
      <c r="I30" s="16" t="n">
        <v>46320</v>
      </c>
      <c r="J30" s="22" t="inlineStr">
        <is>
          <t>Confirmado</t>
        </is>
      </c>
      <c r="K30" s="22" t="inlineStr">
        <is>
          <t>Sí</t>
        </is>
      </c>
      <c r="L30" s="16" t="n">
        <v>46321</v>
      </c>
      <c r="M30" s="28">
        <f>IF(A30="","",IF(AND(C30="Sí",K30="Sí",F30&lt;&gt;"Excluido"),1,0))</f>
        <v/>
      </c>
      <c r="N30" s="2" t="n"/>
    </row>
    <row r="31" ht="15" customHeight="1" s="67">
      <c r="A31" s="19" t="inlineStr">
        <is>
          <t>GU-TDH-030</t>
        </is>
      </c>
      <c r="B31" s="22" t="inlineStr">
        <is>
          <t>G</t>
        </is>
      </c>
      <c r="C31" s="22" t="inlineStr">
        <is>
          <t>Sí</t>
        </is>
      </c>
      <c r="D31" s="16" t="n">
        <v>46307</v>
      </c>
      <c r="E31" s="14" t="n">
        <v>67</v>
      </c>
      <c r="F31" s="22" t="inlineStr">
        <is>
          <t>Activo</t>
        </is>
      </c>
      <c r="G31" s="16" t="n"/>
      <c r="H31" s="19" t="n"/>
      <c r="I31" s="16" t="n">
        <v>46320</v>
      </c>
      <c r="J31" s="22" t="inlineStr">
        <is>
          <t>Confirmado</t>
        </is>
      </c>
      <c r="K31" s="22" t="inlineStr">
        <is>
          <t>Sí</t>
        </is>
      </c>
      <c r="L31" s="16" t="n">
        <v>46321</v>
      </c>
      <c r="M31" s="28">
        <f>IF(A31="","",IF(AND(C31="Sí",K31="Sí",F31&lt;&gt;"Excluido"),1,0))</f>
        <v/>
      </c>
      <c r="N31" s="2" t="n"/>
    </row>
    <row r="32" ht="15" customHeight="1" s="67">
      <c r="A32" s="19" t="inlineStr">
        <is>
          <t>GU-TDH-032</t>
        </is>
      </c>
      <c r="B32" s="22" t="inlineStr">
        <is>
          <t>G</t>
        </is>
      </c>
      <c r="C32" s="22" t="inlineStr">
        <is>
          <t>Sí</t>
        </is>
      </c>
      <c r="D32" s="16" t="n">
        <v>46312</v>
      </c>
      <c r="E32" s="14" t="n">
        <v>100</v>
      </c>
      <c r="F32" s="22" t="inlineStr">
        <is>
          <t>Activo</t>
        </is>
      </c>
      <c r="G32" s="16" t="n"/>
      <c r="H32" s="19" t="n"/>
      <c r="I32" s="16" t="n">
        <v>46320</v>
      </c>
      <c r="J32" s="22" t="inlineStr">
        <is>
          <t>Confirmado</t>
        </is>
      </c>
      <c r="K32" s="22" t="inlineStr">
        <is>
          <t>Sí</t>
        </is>
      </c>
      <c r="L32" s="16" t="n">
        <v>46326</v>
      </c>
      <c r="M32" s="28">
        <f>IF(A32="","",IF(AND(C32="Sí",K32="Sí",F32&lt;&gt;"Excluido"),1,0))</f>
        <v/>
      </c>
      <c r="N32" s="2" t="n"/>
    </row>
    <row r="33" ht="15" customHeight="1" s="67">
      <c r="A33" s="19" t="inlineStr">
        <is>
          <t>GU-TDH-033</t>
        </is>
      </c>
      <c r="B33" s="22" t="inlineStr">
        <is>
          <t>G</t>
        </is>
      </c>
      <c r="C33" s="22" t="inlineStr">
        <is>
          <t>Sí</t>
        </is>
      </c>
      <c r="D33" s="16" t="n">
        <v>46311</v>
      </c>
      <c r="E33" s="14" t="n">
        <v>0</v>
      </c>
      <c r="F33" s="22" t="inlineStr">
        <is>
          <t>Retirado</t>
        </is>
      </c>
      <c r="G33" s="16" t="n">
        <v>46316</v>
      </c>
      <c r="H33" s="19" t="inlineStr">
        <is>
          <t>Inasistencia fuera de la ventana</t>
        </is>
      </c>
      <c r="I33" s="16" t="n">
        <v>46320</v>
      </c>
      <c r="J33" s="22" t="inlineStr">
        <is>
          <t>Pérdida muestral</t>
        </is>
      </c>
      <c r="K33" s="22" t="inlineStr">
        <is>
          <t>No</t>
        </is>
      </c>
      <c r="L33" s="16" t="n"/>
      <c r="M33" s="28">
        <f>IF(A33="","",IF(AND(C33="Sí",K33="Sí",F33&lt;&gt;"Excluido"),1,0))</f>
        <v/>
      </c>
      <c r="N33" s="2" t="n"/>
    </row>
    <row r="34" ht="15" customHeight="1" s="67">
      <c r="A34" s="19" t="inlineStr">
        <is>
          <t>GU-TDH-034</t>
        </is>
      </c>
      <c r="B34" s="22" t="inlineStr">
        <is>
          <t>G</t>
        </is>
      </c>
      <c r="C34" s="22" t="inlineStr">
        <is>
          <t>Sí</t>
        </is>
      </c>
      <c r="D34" s="16" t="n">
        <v>46308</v>
      </c>
      <c r="E34" s="14" t="n">
        <v>100</v>
      </c>
      <c r="F34" s="22" t="inlineStr">
        <is>
          <t>Activo</t>
        </is>
      </c>
      <c r="G34" s="16" t="n"/>
      <c r="H34" s="19" t="n"/>
      <c r="I34" s="16" t="n">
        <v>46320</v>
      </c>
      <c r="J34" s="22" t="inlineStr">
        <is>
          <t>Confirmado</t>
        </is>
      </c>
      <c r="K34" s="22" t="inlineStr">
        <is>
          <t>Sí</t>
        </is>
      </c>
      <c r="L34" s="16" t="n">
        <v>46322</v>
      </c>
      <c r="M34" s="28">
        <f>IF(A34="","",IF(AND(C34="Sí",K34="Sí",F34&lt;&gt;"Excluido"),1,0))</f>
        <v/>
      </c>
      <c r="N34" s="2" t="n"/>
    </row>
    <row r="35" ht="15" customHeight="1" s="67">
      <c r="A35" s="19" t="inlineStr">
        <is>
          <t>GU-TDH-035</t>
        </is>
      </c>
      <c r="B35" s="22" t="inlineStr">
        <is>
          <t>G</t>
        </is>
      </c>
      <c r="C35" s="22" t="inlineStr">
        <is>
          <t>Sí</t>
        </is>
      </c>
      <c r="D35" s="16" t="n">
        <v>46312</v>
      </c>
      <c r="E35" s="14" t="n">
        <v>100</v>
      </c>
      <c r="F35" s="22" t="inlineStr">
        <is>
          <t>Activo</t>
        </is>
      </c>
      <c r="G35" s="16" t="n"/>
      <c r="H35" s="19" t="n"/>
      <c r="I35" s="16" t="n">
        <v>46320</v>
      </c>
      <c r="J35" s="22" t="inlineStr">
        <is>
          <t>Confirmado</t>
        </is>
      </c>
      <c r="K35" s="22" t="inlineStr">
        <is>
          <t>Sí</t>
        </is>
      </c>
      <c r="L35" s="16" t="n">
        <v>46326</v>
      </c>
      <c r="M35" s="28">
        <f>IF(A35="","",IF(AND(C35="Sí",K35="Sí",F35&lt;&gt;"Excluido"),1,0))</f>
        <v/>
      </c>
      <c r="N35" s="29" t="inlineStr">
        <is>
          <t>Reprogramado dentro de la ventana, en la misma franja horaria.</t>
        </is>
      </c>
    </row>
    <row r="36" ht="15" customHeight="1" s="67">
      <c r="A36" s="19" t="inlineStr">
        <is>
          <t>GU-TDH-036</t>
        </is>
      </c>
      <c r="B36" s="22" t="inlineStr">
        <is>
          <t>G</t>
        </is>
      </c>
      <c r="C36" s="22" t="inlineStr">
        <is>
          <t>Sí</t>
        </is>
      </c>
      <c r="D36" s="16" t="n">
        <v>46307</v>
      </c>
      <c r="E36" s="14" t="n">
        <v>100</v>
      </c>
      <c r="F36" s="22" t="inlineStr">
        <is>
          <t>Activo</t>
        </is>
      </c>
      <c r="G36" s="16" t="n"/>
      <c r="H36" s="19" t="n"/>
      <c r="I36" s="16" t="n">
        <v>46320</v>
      </c>
      <c r="J36" s="22" t="inlineStr">
        <is>
          <t>Confirmado</t>
        </is>
      </c>
      <c r="K36" s="22" t="inlineStr">
        <is>
          <t>Sí</t>
        </is>
      </c>
      <c r="L36" s="16" t="n">
        <v>46321</v>
      </c>
      <c r="M36" s="28">
        <f>IF(A36="","",IF(AND(C36="Sí",K36="Sí",F36&lt;&gt;"Excluido"),1,0))</f>
        <v/>
      </c>
      <c r="N36" s="2" t="n"/>
    </row>
    <row r="37" ht="15" customHeight="1" s="67">
      <c r="A37" s="19" t="inlineStr">
        <is>
          <t>GU-TDH-038</t>
        </is>
      </c>
      <c r="B37" s="22" t="inlineStr">
        <is>
          <t>G</t>
        </is>
      </c>
      <c r="C37" s="22" t="inlineStr">
        <is>
          <t>Sí</t>
        </is>
      </c>
      <c r="D37" s="16" t="n">
        <v>46310</v>
      </c>
      <c r="E37" s="14" t="n">
        <v>100</v>
      </c>
      <c r="F37" s="22" t="inlineStr">
        <is>
          <t>Activo</t>
        </is>
      </c>
      <c r="G37" s="16" t="n"/>
      <c r="H37" s="19" t="n"/>
      <c r="I37" s="16" t="n">
        <v>46320</v>
      </c>
      <c r="J37" s="22" t="inlineStr">
        <is>
          <t>Confirmado</t>
        </is>
      </c>
      <c r="K37" s="22" t="inlineStr">
        <is>
          <t>Sí</t>
        </is>
      </c>
      <c r="L37" s="16" t="n">
        <v>46324</v>
      </c>
      <c r="M37" s="28">
        <f>IF(A37="","",IF(AND(C37="Sí",K37="Sí",F37&lt;&gt;"Excluido"),1,0))</f>
        <v/>
      </c>
      <c r="N37" s="2" t="n"/>
    </row>
    <row r="38" ht="15" customHeight="1" s="67">
      <c r="A38" s="19" t="inlineStr">
        <is>
          <t>GU-TDH-039</t>
        </is>
      </c>
      <c r="B38" s="22" t="inlineStr">
        <is>
          <t>G</t>
        </is>
      </c>
      <c r="C38" s="22" t="inlineStr">
        <is>
          <t>Sí</t>
        </is>
      </c>
      <c r="D38" s="16" t="n">
        <v>46309</v>
      </c>
      <c r="E38" s="14" t="n">
        <v>100</v>
      </c>
      <c r="F38" s="22" t="inlineStr">
        <is>
          <t>Activo</t>
        </is>
      </c>
      <c r="G38" s="16" t="n"/>
      <c r="H38" s="19" t="n"/>
      <c r="I38" s="16" t="n">
        <v>46320</v>
      </c>
      <c r="J38" s="22" t="inlineStr">
        <is>
          <t>Confirmado</t>
        </is>
      </c>
      <c r="K38" s="22" t="inlineStr">
        <is>
          <t>Sí</t>
        </is>
      </c>
      <c r="L38" s="16" t="n">
        <v>46323</v>
      </c>
      <c r="M38" s="28">
        <f>IF(A38="","",IF(AND(C38="Sí",K38="Sí",F38&lt;&gt;"Excluido"),1,0))</f>
        <v/>
      </c>
      <c r="N38" s="2" t="n"/>
    </row>
    <row r="39" ht="15" customHeight="1" s="67">
      <c r="A39" s="19" t="inlineStr">
        <is>
          <t>GU-TDH-040</t>
        </is>
      </c>
      <c r="B39" s="22" t="inlineStr">
        <is>
          <t>G</t>
        </is>
      </c>
      <c r="C39" s="22" t="inlineStr">
        <is>
          <t>Sí</t>
        </is>
      </c>
      <c r="D39" s="16" t="n">
        <v>46311</v>
      </c>
      <c r="E39" s="14" t="n">
        <v>100</v>
      </c>
      <c r="F39" s="22" t="inlineStr">
        <is>
          <t>Activo</t>
        </is>
      </c>
      <c r="G39" s="16" t="n"/>
      <c r="H39" s="19" t="n"/>
      <c r="I39" s="16" t="n">
        <v>46320</v>
      </c>
      <c r="J39" s="22" t="inlineStr">
        <is>
          <t>Confirmado</t>
        </is>
      </c>
      <c r="K39" s="22" t="inlineStr">
        <is>
          <t>Sí</t>
        </is>
      </c>
      <c r="L39" s="16" t="n">
        <v>46325</v>
      </c>
      <c r="M39" s="28">
        <f>IF(A39="","",IF(AND(C39="Sí",K39="Sí",F39&lt;&gt;"Excluido"),1,0))</f>
        <v/>
      </c>
      <c r="N39" s="2" t="n"/>
    </row>
    <row r="40" ht="15" customHeight="1" s="67">
      <c r="A40" s="19" t="inlineStr">
        <is>
          <t>GU-TDH-041</t>
        </is>
      </c>
      <c r="B40" s="22" t="inlineStr">
        <is>
          <t>G</t>
        </is>
      </c>
      <c r="C40" s="22" t="inlineStr">
        <is>
          <t>Sí</t>
        </is>
      </c>
      <c r="D40" s="16" t="n">
        <v>46311</v>
      </c>
      <c r="E40" s="14" t="n">
        <v>100</v>
      </c>
      <c r="F40" s="22" t="inlineStr">
        <is>
          <t>Activo</t>
        </is>
      </c>
      <c r="G40" s="16" t="n"/>
      <c r="H40" s="19" t="n"/>
      <c r="I40" s="16" t="n">
        <v>46320</v>
      </c>
      <c r="J40" s="22" t="inlineStr">
        <is>
          <t>Confirmado</t>
        </is>
      </c>
      <c r="K40" s="22" t="inlineStr">
        <is>
          <t>Sí</t>
        </is>
      </c>
      <c r="L40" s="16" t="n">
        <v>46325</v>
      </c>
      <c r="M40" s="28">
        <f>IF(A40="","",IF(AND(C40="Sí",K40="Sí",F40&lt;&gt;"Excluido"),1,0))</f>
        <v/>
      </c>
      <c r="N40" s="2" t="n"/>
    </row>
    <row r="41" ht="15" customHeight="1" s="67">
      <c r="A41" s="19" t="inlineStr">
        <is>
          <t>GU-TDH-042</t>
        </is>
      </c>
      <c r="B41" s="22" t="inlineStr">
        <is>
          <t>G</t>
        </is>
      </c>
      <c r="C41" s="22" t="inlineStr">
        <is>
          <t>Sí</t>
        </is>
      </c>
      <c r="D41" s="16" t="n">
        <v>46307</v>
      </c>
      <c r="E41" s="14" t="n">
        <v>100</v>
      </c>
      <c r="F41" s="22" t="inlineStr">
        <is>
          <t>Activo</t>
        </is>
      </c>
      <c r="G41" s="16" t="n"/>
      <c r="H41" s="19" t="n"/>
      <c r="I41" s="16" t="n">
        <v>46320</v>
      </c>
      <c r="J41" s="22" t="inlineStr">
        <is>
          <t>Confirmado</t>
        </is>
      </c>
      <c r="K41" s="22" t="inlineStr">
        <is>
          <t>Sí</t>
        </is>
      </c>
      <c r="L41" s="16" t="n">
        <v>46321</v>
      </c>
      <c r="M41" s="28">
        <f>IF(A41="","",IF(AND(C41="Sí",K41="Sí",F41&lt;&gt;"Excluido"),1,0))</f>
        <v/>
      </c>
      <c r="N41" s="2" t="n"/>
    </row>
    <row r="42" ht="15" customHeight="1" s="67">
      <c r="A42" s="19" t="inlineStr">
        <is>
          <t>GU-TDH-043</t>
        </is>
      </c>
      <c r="B42" s="22" t="inlineStr">
        <is>
          <t>G</t>
        </is>
      </c>
      <c r="C42" s="22" t="inlineStr">
        <is>
          <t>Sí</t>
        </is>
      </c>
      <c r="D42" s="16" t="n">
        <v>46309</v>
      </c>
      <c r="E42" s="14" t="n">
        <v>100</v>
      </c>
      <c r="F42" s="22" t="inlineStr">
        <is>
          <t>Activo</t>
        </is>
      </c>
      <c r="G42" s="16" t="n"/>
      <c r="H42" s="19" t="n"/>
      <c r="I42" s="16" t="n">
        <v>46320</v>
      </c>
      <c r="J42" s="22" t="inlineStr">
        <is>
          <t>Confirmado</t>
        </is>
      </c>
      <c r="K42" s="22" t="inlineStr">
        <is>
          <t>Sí</t>
        </is>
      </c>
      <c r="L42" s="16" t="n">
        <v>46323</v>
      </c>
      <c r="M42" s="28">
        <f>IF(A42="","",IF(AND(C42="Sí",K42="Sí",F42&lt;&gt;"Excluido"),1,0))</f>
        <v/>
      </c>
      <c r="N42" s="2" t="n"/>
    </row>
    <row r="43" ht="15" customHeight="1" s="67">
      <c r="A43" s="19" t="inlineStr">
        <is>
          <t>GU-TDH-045</t>
        </is>
      </c>
      <c r="B43" s="22" t="inlineStr">
        <is>
          <t>G</t>
        </is>
      </c>
      <c r="C43" s="22" t="inlineStr">
        <is>
          <t>Sí</t>
        </is>
      </c>
      <c r="D43" s="16" t="n">
        <v>46308</v>
      </c>
      <c r="E43" s="14" t="n">
        <v>100</v>
      </c>
      <c r="F43" s="22" t="inlineStr">
        <is>
          <t>Activo</t>
        </is>
      </c>
      <c r="G43" s="16" t="n"/>
      <c r="H43" s="19" t="n"/>
      <c r="I43" s="16" t="n">
        <v>46320</v>
      </c>
      <c r="J43" s="22" t="inlineStr">
        <is>
          <t>Confirmado</t>
        </is>
      </c>
      <c r="K43" s="22" t="inlineStr">
        <is>
          <t>Sí</t>
        </is>
      </c>
      <c r="L43" s="16" t="n">
        <v>46322</v>
      </c>
      <c r="M43" s="28">
        <f>IF(A43="","",IF(AND(C43="Sí",K43="Sí",F43&lt;&gt;"Excluido"),1,0))</f>
        <v/>
      </c>
      <c r="N43" s="2" t="n"/>
    </row>
    <row r="44" ht="15" customHeight="1" s="67">
      <c r="A44" s="19" t="n"/>
      <c r="B44" s="22" t="n"/>
      <c r="C44" s="22" t="n"/>
      <c r="D44" s="16" t="n"/>
      <c r="E44" s="14" t="n"/>
      <c r="F44" s="22" t="n"/>
      <c r="G44" s="16" t="n"/>
      <c r="H44" s="19" t="n"/>
      <c r="I44" s="16" t="n"/>
      <c r="J44" s="22" t="n"/>
      <c r="K44" s="22" t="n"/>
      <c r="L44" s="16" t="n"/>
      <c r="M44" s="28">
        <f>IF(A44="","",IF(AND(C44="Sí",K44="Sí",F44&lt;&gt;"Excluido"),1,0))</f>
        <v/>
      </c>
      <c r="N44" s="29" t="inlineStr">
        <is>
          <t>Excluido en la depuración del pretest (bitácora, Sesión 03); no ingresa a la intervención.</t>
        </is>
      </c>
    </row>
    <row r="45" ht="15" customHeight="1" s="67">
      <c r="A45" s="19" t="inlineStr">
        <is>
          <t>GU-TDH-047</t>
        </is>
      </c>
      <c r="B45" s="22" t="inlineStr">
        <is>
          <t>G</t>
        </is>
      </c>
      <c r="C45" s="22" t="inlineStr">
        <is>
          <t>Sí</t>
        </is>
      </c>
      <c r="D45" s="16" t="n">
        <v>46309</v>
      </c>
      <c r="E45" s="14" t="n">
        <v>100</v>
      </c>
      <c r="F45" s="22" t="inlineStr">
        <is>
          <t>Activo</t>
        </is>
      </c>
      <c r="G45" s="16" t="n"/>
      <c r="H45" s="19" t="n"/>
      <c r="I45" s="16" t="n">
        <v>46320</v>
      </c>
      <c r="J45" s="22" t="inlineStr">
        <is>
          <t>Confirmado</t>
        </is>
      </c>
      <c r="K45" s="22" t="inlineStr">
        <is>
          <t>Sí</t>
        </is>
      </c>
      <c r="L45" s="16" t="n">
        <v>46323</v>
      </c>
      <c r="M45" s="28">
        <f>IF(A45="","",IF(AND(C45="Sí",K45="Sí",F45&lt;&gt;"Excluido"),1,0))</f>
        <v/>
      </c>
      <c r="N45" s="2" t="n"/>
    </row>
    <row r="46" ht="15" customHeight="1" s="67">
      <c r="A46" s="19" t="inlineStr">
        <is>
          <t>GU-TDH-048</t>
        </is>
      </c>
      <c r="B46" s="22" t="inlineStr">
        <is>
          <t>G</t>
        </is>
      </c>
      <c r="C46" s="22" t="inlineStr">
        <is>
          <t>Sí</t>
        </is>
      </c>
      <c r="D46" s="16" t="n">
        <v>46310</v>
      </c>
      <c r="E46" s="14" t="n">
        <v>100</v>
      </c>
      <c r="F46" s="22" t="inlineStr">
        <is>
          <t>Activo</t>
        </is>
      </c>
      <c r="G46" s="16" t="n"/>
      <c r="H46" s="19" t="n"/>
      <c r="I46" s="16" t="n">
        <v>46320</v>
      </c>
      <c r="J46" s="22" t="inlineStr">
        <is>
          <t>Confirmado</t>
        </is>
      </c>
      <c r="K46" s="22" t="inlineStr">
        <is>
          <t>Sí</t>
        </is>
      </c>
      <c r="L46" s="16" t="n">
        <v>46324</v>
      </c>
      <c r="M46" s="28">
        <f>IF(A46="","",IF(AND(C46="Sí",K46="Sí",F46&lt;&gt;"Excluido"),1,0))</f>
        <v/>
      </c>
      <c r="N46" s="2" t="n"/>
    </row>
    <row r="47" ht="15" customHeight="1" s="67">
      <c r="A47" s="19" t="inlineStr">
        <is>
          <t>GU-TDH-049</t>
        </is>
      </c>
      <c r="B47" s="22" t="inlineStr">
        <is>
          <t>G</t>
        </is>
      </c>
      <c r="C47" s="22" t="inlineStr">
        <is>
          <t>Sí</t>
        </is>
      </c>
      <c r="D47" s="16" t="n">
        <v>46307</v>
      </c>
      <c r="E47" s="14" t="n">
        <v>100</v>
      </c>
      <c r="F47" s="22" t="inlineStr">
        <is>
          <t>Activo</t>
        </is>
      </c>
      <c r="G47" s="16" t="n"/>
      <c r="H47" s="19" t="n"/>
      <c r="I47" s="16" t="n">
        <v>46320</v>
      </c>
      <c r="J47" s="22" t="inlineStr">
        <is>
          <t>Confirmado</t>
        </is>
      </c>
      <c r="K47" s="22" t="inlineStr">
        <is>
          <t>Sí</t>
        </is>
      </c>
      <c r="L47" s="16" t="n">
        <v>46321</v>
      </c>
      <c r="M47" s="28">
        <f>IF(A47="","",IF(AND(C47="Sí",K47="Sí",F47&lt;&gt;"Excluido"),1,0))</f>
        <v/>
      </c>
      <c r="N47" s="2" t="n"/>
    </row>
    <row r="48" ht="15" customHeight="1" s="67">
      <c r="A48" s="19" t="inlineStr">
        <is>
          <t>GU-TDH-050</t>
        </is>
      </c>
      <c r="B48" s="22" t="inlineStr">
        <is>
          <t>G</t>
        </is>
      </c>
      <c r="C48" s="22" t="inlineStr">
        <is>
          <t>Sí</t>
        </is>
      </c>
      <c r="D48" s="16" t="n">
        <v>46309</v>
      </c>
      <c r="E48" s="14" t="n">
        <v>100</v>
      </c>
      <c r="F48" s="22" t="inlineStr">
        <is>
          <t>Activo</t>
        </is>
      </c>
      <c r="G48" s="16" t="n"/>
      <c r="H48" s="19" t="n"/>
      <c r="I48" s="16" t="n">
        <v>46320</v>
      </c>
      <c r="J48" s="22" t="inlineStr">
        <is>
          <t>Confirmado</t>
        </is>
      </c>
      <c r="K48" s="22" t="inlineStr">
        <is>
          <t>Sí</t>
        </is>
      </c>
      <c r="L48" s="16" t="n">
        <v>46323</v>
      </c>
      <c r="M48" s="28">
        <f>IF(A48="","",IF(AND(C48="Sí",K48="Sí",F48&lt;&gt;"Excluido"),1,0))</f>
        <v/>
      </c>
      <c r="N48" s="2" t="n"/>
    </row>
    <row r="49" ht="15" customHeight="1" s="67">
      <c r="A49" s="19" t="inlineStr">
        <is>
          <t>GU-TDH-051</t>
        </is>
      </c>
      <c r="B49" s="22" t="inlineStr">
        <is>
          <t>G</t>
        </is>
      </c>
      <c r="C49" s="22" t="inlineStr">
        <is>
          <t>Sí</t>
        </is>
      </c>
      <c r="D49" s="16" t="n">
        <v>46311</v>
      </c>
      <c r="E49" s="14" t="n">
        <v>100</v>
      </c>
      <c r="F49" s="22" t="inlineStr">
        <is>
          <t>Activo</t>
        </is>
      </c>
      <c r="G49" s="16" t="n"/>
      <c r="H49" s="19" t="n"/>
      <c r="I49" s="16" t="n">
        <v>46320</v>
      </c>
      <c r="J49" s="22" t="inlineStr">
        <is>
          <t>Confirmado</t>
        </is>
      </c>
      <c r="K49" s="22" t="inlineStr">
        <is>
          <t>Sí</t>
        </is>
      </c>
      <c r="L49" s="16" t="n">
        <v>46325</v>
      </c>
      <c r="M49" s="28">
        <f>IF(A49="","",IF(AND(C49="Sí",K49="Sí",F49&lt;&gt;"Excluido"),1,0))</f>
        <v/>
      </c>
      <c r="N49" s="2" t="n"/>
    </row>
    <row r="50" ht="15" customHeight="1" s="67">
      <c r="A50" s="19" t="inlineStr">
        <is>
          <t>GU-TDH-052</t>
        </is>
      </c>
      <c r="B50" s="22" t="inlineStr">
        <is>
          <t>G</t>
        </is>
      </c>
      <c r="C50" s="22" t="inlineStr">
        <is>
          <t>Sí</t>
        </is>
      </c>
      <c r="D50" s="16" t="n">
        <v>46308</v>
      </c>
      <c r="E50" s="14" t="n">
        <v>100</v>
      </c>
      <c r="F50" s="22" t="inlineStr">
        <is>
          <t>Activo</t>
        </is>
      </c>
      <c r="G50" s="16" t="n"/>
      <c r="H50" s="19" t="n"/>
      <c r="I50" s="16" t="n">
        <v>46320</v>
      </c>
      <c r="J50" s="22" t="inlineStr">
        <is>
          <t>Confirmado</t>
        </is>
      </c>
      <c r="K50" s="22" t="inlineStr">
        <is>
          <t>Sí</t>
        </is>
      </c>
      <c r="L50" s="16" t="n">
        <v>46322</v>
      </c>
      <c r="M50" s="28">
        <f>IF(A50="","",IF(AND(C50="Sí",K50="Sí",F50&lt;&gt;"Excluido"),1,0))</f>
        <v/>
      </c>
      <c r="N50" s="2" t="n"/>
    </row>
    <row r="51" ht="15" customHeight="1" s="67">
      <c r="A51" s="19" t="inlineStr">
        <is>
          <t>GU-TDH-053</t>
        </is>
      </c>
      <c r="B51" s="22" t="inlineStr">
        <is>
          <t>G</t>
        </is>
      </c>
      <c r="C51" s="22" t="inlineStr">
        <is>
          <t>Sí</t>
        </is>
      </c>
      <c r="D51" s="16" t="n">
        <v>46309</v>
      </c>
      <c r="E51" s="14" t="n">
        <v>0</v>
      </c>
      <c r="F51" s="22" t="inlineStr">
        <is>
          <t>Retirado</t>
        </is>
      </c>
      <c r="G51" s="16" t="n">
        <v>46316</v>
      </c>
      <c r="H51" s="19" t="inlineStr">
        <is>
          <t>Inasistencia fuera de la ventana</t>
        </is>
      </c>
      <c r="I51" s="16" t="n">
        <v>46320</v>
      </c>
      <c r="J51" s="22" t="inlineStr">
        <is>
          <t>Pérdida muestral</t>
        </is>
      </c>
      <c r="K51" s="22" t="inlineStr">
        <is>
          <t>No</t>
        </is>
      </c>
      <c r="L51" s="16" t="n"/>
      <c r="M51" s="28">
        <f>IF(A51="","",IF(AND(C51="Sí",K51="Sí",F51&lt;&gt;"Excluido"),1,0))</f>
        <v/>
      </c>
      <c r="N51" s="29" t="inlineStr">
        <is>
          <t>Usó la aplicación 1 día(s); no respondió a tres recordatorios ni a la reprogramación de 72 h.</t>
        </is>
      </c>
    </row>
    <row r="52" ht="15" customHeight="1" s="67">
      <c r="A52" s="19" t="inlineStr">
        <is>
          <t>GU-TDH-054</t>
        </is>
      </c>
      <c r="B52" s="22" t="inlineStr">
        <is>
          <t>G</t>
        </is>
      </c>
      <c r="C52" s="22" t="inlineStr">
        <is>
          <t>Sí</t>
        </is>
      </c>
      <c r="D52" s="16" t="n">
        <v>46310</v>
      </c>
      <c r="E52" s="14" t="n">
        <v>100</v>
      </c>
      <c r="F52" s="22" t="inlineStr">
        <is>
          <t>Activo</t>
        </is>
      </c>
      <c r="G52" s="16" t="n"/>
      <c r="H52" s="19" t="n"/>
      <c r="I52" s="16" t="n">
        <v>46320</v>
      </c>
      <c r="J52" s="22" t="inlineStr">
        <is>
          <t>Confirmado</t>
        </is>
      </c>
      <c r="K52" s="22" t="inlineStr">
        <is>
          <t>Sí</t>
        </is>
      </c>
      <c r="L52" s="16" t="n">
        <v>46324</v>
      </c>
      <c r="M52" s="28">
        <f>IF(A52="","",IF(AND(C52="Sí",K52="Sí",F52&lt;&gt;"Excluido"),1,0))</f>
        <v/>
      </c>
      <c r="N52" s="2" t="n"/>
    </row>
    <row r="53" ht="15" customHeight="1" s="67">
      <c r="A53" s="19" t="n"/>
      <c r="B53" s="22" t="n"/>
      <c r="C53" s="22" t="n"/>
      <c r="D53" s="16" t="n"/>
      <c r="E53" s="14" t="n"/>
      <c r="F53" s="22" t="n"/>
      <c r="G53" s="16" t="n"/>
      <c r="H53" s="19" t="n"/>
      <c r="I53" s="16" t="n"/>
      <c r="J53" s="22" t="n"/>
      <c r="K53" s="22" t="n"/>
      <c r="L53" s="16" t="n"/>
      <c r="M53" s="28">
        <f>IF(A53="","",IF(AND(C53="Sí",K53="Sí",F53&lt;&gt;"Excluido"),1,0))</f>
        <v/>
      </c>
      <c r="N53" s="29" t="inlineStr">
        <is>
          <t>Excluido en la depuración del pretest (bitácora, Sesión 03); no ingresa a la intervención.</t>
        </is>
      </c>
    </row>
    <row r="54" ht="15" customHeight="1" s="67">
      <c r="A54" s="19" t="inlineStr">
        <is>
          <t>GU-TDH-056</t>
        </is>
      </c>
      <c r="B54" s="22" t="inlineStr">
        <is>
          <t>G</t>
        </is>
      </c>
      <c r="C54" s="22" t="inlineStr">
        <is>
          <t>Sí</t>
        </is>
      </c>
      <c r="D54" s="16" t="n">
        <v>46311</v>
      </c>
      <c r="E54" s="14" t="n">
        <v>100</v>
      </c>
      <c r="F54" s="22" t="inlineStr">
        <is>
          <t>Activo</t>
        </is>
      </c>
      <c r="G54" s="16" t="n"/>
      <c r="H54" s="19" t="n"/>
      <c r="I54" s="16" t="n">
        <v>46320</v>
      </c>
      <c r="J54" s="22" t="inlineStr">
        <is>
          <t>Confirmado</t>
        </is>
      </c>
      <c r="K54" s="22" t="inlineStr">
        <is>
          <t>Sí</t>
        </is>
      </c>
      <c r="L54" s="16" t="n">
        <v>46325</v>
      </c>
      <c r="M54" s="28">
        <f>IF(A54="","",IF(AND(C54="Sí",K54="Sí",F54&lt;&gt;"Excluido"),1,0))</f>
        <v/>
      </c>
      <c r="N54" s="2" t="n"/>
    </row>
    <row r="55" ht="15" customHeight="1" s="67">
      <c r="A55" s="19" t="inlineStr">
        <is>
          <t>GU-TDH-057</t>
        </is>
      </c>
      <c r="B55" s="22" t="inlineStr">
        <is>
          <t>G</t>
        </is>
      </c>
      <c r="C55" s="22" t="inlineStr">
        <is>
          <t>Sí</t>
        </is>
      </c>
      <c r="D55" s="16" t="n">
        <v>46307</v>
      </c>
      <c r="E55" s="14" t="n">
        <v>100</v>
      </c>
      <c r="F55" s="22" t="inlineStr">
        <is>
          <t>Activo</t>
        </is>
      </c>
      <c r="G55" s="16" t="n"/>
      <c r="H55" s="19" t="n"/>
      <c r="I55" s="16" t="n">
        <v>46320</v>
      </c>
      <c r="J55" s="22" t="inlineStr">
        <is>
          <t>Confirmado</t>
        </is>
      </c>
      <c r="K55" s="22" t="inlineStr">
        <is>
          <t>Sí</t>
        </is>
      </c>
      <c r="L55" s="16" t="n">
        <v>46321</v>
      </c>
      <c r="M55" s="28">
        <f>IF(A55="","",IF(AND(C55="Sí",K55="Sí",F55&lt;&gt;"Excluido"),1,0))</f>
        <v/>
      </c>
      <c r="N55" s="2" t="n"/>
    </row>
    <row r="56" ht="15" customHeight="1" s="67">
      <c r="A56" s="19" t="inlineStr">
        <is>
          <t>GU-TDH-058</t>
        </is>
      </c>
      <c r="B56" s="22" t="inlineStr">
        <is>
          <t>G</t>
        </is>
      </c>
      <c r="C56" s="22" t="inlineStr">
        <is>
          <t>Sí</t>
        </is>
      </c>
      <c r="D56" s="16" t="n">
        <v>46308</v>
      </c>
      <c r="E56" s="14" t="n">
        <v>100</v>
      </c>
      <c r="F56" s="22" t="inlineStr">
        <is>
          <t>Activo</t>
        </is>
      </c>
      <c r="G56" s="16" t="n"/>
      <c r="H56" s="19" t="n"/>
      <c r="I56" s="16" t="n">
        <v>46320</v>
      </c>
      <c r="J56" s="22" t="inlineStr">
        <is>
          <t>Confirmado</t>
        </is>
      </c>
      <c r="K56" s="22" t="inlineStr">
        <is>
          <t>Sí</t>
        </is>
      </c>
      <c r="L56" s="16" t="n">
        <v>46322</v>
      </c>
      <c r="M56" s="28">
        <f>IF(A56="","",IF(AND(C56="Sí",K56="Sí",F56&lt;&gt;"Excluido"),1,0))</f>
        <v/>
      </c>
      <c r="N56" s="2" t="n"/>
    </row>
    <row r="57" ht="15" customHeight="1" s="67">
      <c r="A57" s="19" t="n"/>
      <c r="B57" s="22" t="n"/>
      <c r="C57" s="22" t="n"/>
      <c r="D57" s="16" t="n"/>
      <c r="E57" s="14" t="n"/>
      <c r="F57" s="22" t="n"/>
      <c r="G57" s="16" t="n"/>
      <c r="H57" s="19" t="n"/>
      <c r="I57" s="16" t="n"/>
      <c r="J57" s="22" t="n"/>
      <c r="K57" s="22" t="n"/>
      <c r="L57" s="16" t="n"/>
      <c r="M57" s="28">
        <f>IF(A57="","",IF(AND(C57="Sí",K57="Sí",F57&lt;&gt;"Excluido"),1,0))</f>
        <v/>
      </c>
      <c r="N57" s="29" t="inlineStr">
        <is>
          <t>Excluido en la depuración del pretest (bitácora, Sesión 03); no ingresa a la intervención.</t>
        </is>
      </c>
    </row>
    <row r="58" ht="15" customHeight="1" s="67">
      <c r="A58" s="19" t="inlineStr">
        <is>
          <t>GU-TDH-060</t>
        </is>
      </c>
      <c r="B58" s="22" t="inlineStr">
        <is>
          <t>G</t>
        </is>
      </c>
      <c r="C58" s="22" t="inlineStr">
        <is>
          <t>Sí</t>
        </is>
      </c>
      <c r="D58" s="16" t="n">
        <v>46309</v>
      </c>
      <c r="E58" s="14" t="n">
        <v>100</v>
      </c>
      <c r="F58" s="22" t="inlineStr">
        <is>
          <t>Activo</t>
        </is>
      </c>
      <c r="G58" s="16" t="n"/>
      <c r="H58" s="19" t="n"/>
      <c r="I58" s="16" t="n">
        <v>46320</v>
      </c>
      <c r="J58" s="22" t="inlineStr">
        <is>
          <t>Confirmado</t>
        </is>
      </c>
      <c r="K58" s="22" t="inlineStr">
        <is>
          <t>Sí</t>
        </is>
      </c>
      <c r="L58" s="16" t="n">
        <v>46323</v>
      </c>
      <c r="M58" s="28">
        <f>IF(A58="","",IF(AND(C58="Sí",K58="Sí",F58&lt;&gt;"Excluido"),1,0))</f>
        <v/>
      </c>
      <c r="N58" s="2" t="n"/>
    </row>
    <row r="59" ht="15" customHeight="1" s="67">
      <c r="A59" s="19" t="inlineStr">
        <is>
          <t>GU-TDH-061</t>
        </is>
      </c>
      <c r="B59" s="22" t="inlineStr">
        <is>
          <t>G</t>
        </is>
      </c>
      <c r="C59" s="22" t="inlineStr">
        <is>
          <t>Sí</t>
        </is>
      </c>
      <c r="D59" s="16" t="n">
        <v>46309</v>
      </c>
      <c r="E59" s="14" t="n">
        <v>100</v>
      </c>
      <c r="F59" s="22" t="inlineStr">
        <is>
          <t>Activo</t>
        </is>
      </c>
      <c r="G59" s="16" t="n"/>
      <c r="H59" s="19" t="n"/>
      <c r="I59" s="16" t="n">
        <v>46320</v>
      </c>
      <c r="J59" s="22" t="inlineStr">
        <is>
          <t>Confirmado</t>
        </is>
      </c>
      <c r="K59" s="22" t="inlineStr">
        <is>
          <t>Sí</t>
        </is>
      </c>
      <c r="L59" s="16" t="n">
        <v>46323</v>
      </c>
      <c r="M59" s="28">
        <f>IF(A59="","",IF(AND(C59="Sí",K59="Sí",F59&lt;&gt;"Excluido"),1,0))</f>
        <v/>
      </c>
      <c r="N59" s="2" t="n"/>
    </row>
    <row r="60" ht="15" customHeight="1" s="67">
      <c r="A60" s="19" t="inlineStr">
        <is>
          <t>GU-TDH-062</t>
        </is>
      </c>
      <c r="B60" s="22" t="inlineStr">
        <is>
          <t>G</t>
        </is>
      </c>
      <c r="C60" s="22" t="inlineStr">
        <is>
          <t>Sí</t>
        </is>
      </c>
      <c r="D60" s="16" t="n">
        <v>46307</v>
      </c>
      <c r="E60" s="14" t="n">
        <v>100</v>
      </c>
      <c r="F60" s="22" t="inlineStr">
        <is>
          <t>Activo</t>
        </is>
      </c>
      <c r="G60" s="16" t="n"/>
      <c r="H60" s="19" t="n"/>
      <c r="I60" s="16" t="n">
        <v>46320</v>
      </c>
      <c r="J60" s="22" t="inlineStr">
        <is>
          <t>Confirmado</t>
        </is>
      </c>
      <c r="K60" s="22" t="inlineStr">
        <is>
          <t>Sí</t>
        </is>
      </c>
      <c r="L60" s="16" t="n">
        <v>46321</v>
      </c>
      <c r="M60" s="28">
        <f>IF(A60="","",IF(AND(C60="Sí",K60="Sí",F60&lt;&gt;"Excluido"),1,0))</f>
        <v/>
      </c>
      <c r="N60" s="2" t="n"/>
    </row>
    <row r="61" ht="15" customHeight="1" s="67">
      <c r="A61" s="19" t="inlineStr">
        <is>
          <t>GU-TDH-063</t>
        </is>
      </c>
      <c r="B61" s="22" t="inlineStr">
        <is>
          <t>G</t>
        </is>
      </c>
      <c r="C61" s="22" t="inlineStr">
        <is>
          <t>Sí</t>
        </is>
      </c>
      <c r="D61" s="16" t="n">
        <v>46308</v>
      </c>
      <c r="E61" s="14" t="n">
        <v>100</v>
      </c>
      <c r="F61" s="22" t="inlineStr">
        <is>
          <t>Activo</t>
        </is>
      </c>
      <c r="G61" s="16" t="n"/>
      <c r="H61" s="19" t="n"/>
      <c r="I61" s="16" t="n">
        <v>46320</v>
      </c>
      <c r="J61" s="22" t="inlineStr">
        <is>
          <t>Confirmado</t>
        </is>
      </c>
      <c r="K61" s="22" t="inlineStr">
        <is>
          <t>Sí</t>
        </is>
      </c>
      <c r="L61" s="16" t="n">
        <v>46322</v>
      </c>
      <c r="M61" s="28">
        <f>IF(A61="","",IF(AND(C61="Sí",K61="Sí",F61&lt;&gt;"Excluido"),1,0))</f>
        <v/>
      </c>
      <c r="N61" s="2" t="n"/>
    </row>
    <row r="62" ht="15" customHeight="1" s="67">
      <c r="A62" s="19" t="inlineStr">
        <is>
          <t>GU-TDH-064</t>
        </is>
      </c>
      <c r="B62" s="22" t="inlineStr">
        <is>
          <t>G</t>
        </is>
      </c>
      <c r="C62" s="22" t="inlineStr">
        <is>
          <t>Sí</t>
        </is>
      </c>
      <c r="D62" s="16" t="n">
        <v>46312</v>
      </c>
      <c r="E62" s="14" t="n">
        <v>100</v>
      </c>
      <c r="F62" s="22" t="inlineStr">
        <is>
          <t>Activo</t>
        </is>
      </c>
      <c r="G62" s="16" t="n"/>
      <c r="H62" s="19" t="n"/>
      <c r="I62" s="16" t="n">
        <v>46320</v>
      </c>
      <c r="J62" s="22" t="inlineStr">
        <is>
          <t>Confirmado</t>
        </is>
      </c>
      <c r="K62" s="22" t="inlineStr">
        <is>
          <t>Sí</t>
        </is>
      </c>
      <c r="L62" s="16" t="n">
        <v>46326</v>
      </c>
      <c r="M62" s="28">
        <f>IF(A62="","",IF(AND(C62="Sí",K62="Sí",F62&lt;&gt;"Excluido"),1,0))</f>
        <v/>
      </c>
      <c r="N62" s="29" t="inlineStr">
        <is>
          <t>Reprogramado dentro de la ventana, en la misma franja horaria.</t>
        </is>
      </c>
    </row>
    <row r="63" ht="15" customHeight="1" s="67">
      <c r="A63" s="19" t="inlineStr">
        <is>
          <t>GU-TDH-065</t>
        </is>
      </c>
      <c r="B63" s="22" t="inlineStr">
        <is>
          <t>G</t>
        </is>
      </c>
      <c r="C63" s="22" t="inlineStr">
        <is>
          <t>Sí</t>
        </is>
      </c>
      <c r="D63" s="16" t="n">
        <v>46311</v>
      </c>
      <c r="E63" s="14" t="n">
        <v>100</v>
      </c>
      <c r="F63" s="22" t="inlineStr">
        <is>
          <t>Activo</t>
        </is>
      </c>
      <c r="G63" s="16" t="n"/>
      <c r="H63" s="19" t="n"/>
      <c r="I63" s="16" t="n">
        <v>46320</v>
      </c>
      <c r="J63" s="22" t="inlineStr">
        <is>
          <t>Confirmado</t>
        </is>
      </c>
      <c r="K63" s="22" t="inlineStr">
        <is>
          <t>Sí</t>
        </is>
      </c>
      <c r="L63" s="16" t="n">
        <v>46325</v>
      </c>
      <c r="M63" s="28">
        <f>IF(A63="","",IF(AND(C63="Sí",K63="Sí",F63&lt;&gt;"Excluido"),1,0))</f>
        <v/>
      </c>
      <c r="N63" s="2" t="n"/>
    </row>
    <row r="64" ht="15" customHeight="1" s="67">
      <c r="A64" s="19" t="inlineStr">
        <is>
          <t>GU-TDH-066</t>
        </is>
      </c>
      <c r="B64" s="22" t="inlineStr">
        <is>
          <t>G</t>
        </is>
      </c>
      <c r="C64" s="22" t="inlineStr">
        <is>
          <t>Sí</t>
        </is>
      </c>
      <c r="D64" s="16" t="n">
        <v>46310</v>
      </c>
      <c r="E64" s="14" t="n">
        <v>100</v>
      </c>
      <c r="F64" s="22" t="inlineStr">
        <is>
          <t>Activo</t>
        </is>
      </c>
      <c r="G64" s="16" t="n"/>
      <c r="H64" s="19" t="n"/>
      <c r="I64" s="16" t="n">
        <v>46320</v>
      </c>
      <c r="J64" s="22" t="inlineStr">
        <is>
          <t>Confirmado</t>
        </is>
      </c>
      <c r="K64" s="22" t="inlineStr">
        <is>
          <t>Sí</t>
        </is>
      </c>
      <c r="L64" s="16" t="n">
        <v>46324</v>
      </c>
      <c r="M64" s="28">
        <f>IF(A64="","",IF(AND(C64="Sí",K64="Sí",F64&lt;&gt;"Excluido"),1,0))</f>
        <v/>
      </c>
      <c r="N64" s="2" t="n"/>
    </row>
    <row r="65" ht="15" customHeight="1" s="67">
      <c r="A65" s="19" t="inlineStr">
        <is>
          <t>GU-TDH-067</t>
        </is>
      </c>
      <c r="B65" s="22" t="inlineStr">
        <is>
          <t>G</t>
        </is>
      </c>
      <c r="C65" s="22" t="inlineStr">
        <is>
          <t>Sí</t>
        </is>
      </c>
      <c r="D65" s="16" t="n">
        <v>46308</v>
      </c>
      <c r="E65" s="14" t="n">
        <v>100</v>
      </c>
      <c r="F65" s="22" t="inlineStr">
        <is>
          <t>Activo</t>
        </is>
      </c>
      <c r="G65" s="16" t="n"/>
      <c r="H65" s="19" t="n"/>
      <c r="I65" s="16" t="n">
        <v>46320</v>
      </c>
      <c r="J65" s="22" t="inlineStr">
        <is>
          <t>Confirmado</t>
        </is>
      </c>
      <c r="K65" s="22" t="inlineStr">
        <is>
          <t>Sí</t>
        </is>
      </c>
      <c r="L65" s="16" t="n">
        <v>46322</v>
      </c>
      <c r="M65" s="28">
        <f>IF(A65="","",IF(AND(C65="Sí",K65="Sí",F65&lt;&gt;"Excluido"),1,0))</f>
        <v/>
      </c>
      <c r="N65" s="2" t="n"/>
    </row>
    <row r="66" ht="15" customHeight="1" s="67">
      <c r="A66" s="19" t="inlineStr">
        <is>
          <t>GU-TDH-069</t>
        </is>
      </c>
      <c r="B66" s="22" t="inlineStr">
        <is>
          <t>G</t>
        </is>
      </c>
      <c r="C66" s="22" t="inlineStr">
        <is>
          <t>Sí</t>
        </is>
      </c>
      <c r="D66" s="16" t="n">
        <v>46309</v>
      </c>
      <c r="E66" s="14" t="n">
        <v>33</v>
      </c>
      <c r="F66" s="22" t="inlineStr">
        <is>
          <t>Activo</t>
        </is>
      </c>
      <c r="G66" s="16" t="n"/>
      <c r="H66" s="19" t="n"/>
      <c r="I66" s="16" t="n">
        <v>46320</v>
      </c>
      <c r="J66" s="22" t="inlineStr">
        <is>
          <t>Confirmado</t>
        </is>
      </c>
      <c r="K66" s="22" t="inlineStr">
        <is>
          <t>Sí</t>
        </is>
      </c>
      <c r="L66" s="16" t="n">
        <v>46321</v>
      </c>
      <c r="M66" s="28">
        <f>IF(A66="","",IF(AND(C66="Sí",K66="Sí",F66&lt;&gt;"Excluido"),1,0))</f>
        <v/>
      </c>
      <c r="N66" s="29" t="inlineStr">
        <is>
          <t>Usó la aplicación 1 día(s); no respondió a tres recordatorios ni a la reprogramación de 72 h.</t>
        </is>
      </c>
    </row>
    <row r="67" ht="15" customHeight="1" s="67">
      <c r="A67" s="19" t="inlineStr">
        <is>
          <t>GU-TDH-070</t>
        </is>
      </c>
      <c r="B67" s="22" t="inlineStr">
        <is>
          <t>G</t>
        </is>
      </c>
      <c r="C67" s="22" t="inlineStr">
        <is>
          <t>Sí</t>
        </is>
      </c>
      <c r="D67" s="16" t="n">
        <v>46309</v>
      </c>
      <c r="E67" s="14" t="n">
        <v>100</v>
      </c>
      <c r="F67" s="22" t="inlineStr">
        <is>
          <t>Activo</t>
        </is>
      </c>
      <c r="G67" s="16" t="n"/>
      <c r="H67" s="19" t="n"/>
      <c r="I67" s="16" t="n">
        <v>46320</v>
      </c>
      <c r="J67" s="22" t="inlineStr">
        <is>
          <t>Confirmado</t>
        </is>
      </c>
      <c r="K67" s="22" t="inlineStr">
        <is>
          <t>Sí</t>
        </is>
      </c>
      <c r="L67" s="16" t="n">
        <v>46323</v>
      </c>
      <c r="M67" s="28">
        <f>IF(A67="","",IF(AND(C67="Sí",K67="Sí",F67&lt;&gt;"Excluido"),1,0))</f>
        <v/>
      </c>
      <c r="N67" s="2" t="n"/>
    </row>
    <row r="68" ht="15" customHeight="1" s="67">
      <c r="A68" s="19" t="inlineStr">
        <is>
          <t>GU-TDH-071</t>
        </is>
      </c>
      <c r="B68" s="22" t="inlineStr">
        <is>
          <t>G</t>
        </is>
      </c>
      <c r="C68" s="22" t="inlineStr">
        <is>
          <t>Sí</t>
        </is>
      </c>
      <c r="D68" s="16" t="n">
        <v>46310</v>
      </c>
      <c r="E68" s="14" t="n">
        <v>100</v>
      </c>
      <c r="F68" s="22" t="inlineStr">
        <is>
          <t>Activo</t>
        </is>
      </c>
      <c r="G68" s="16" t="n"/>
      <c r="H68" s="19" t="n"/>
      <c r="I68" s="16" t="n">
        <v>46320</v>
      </c>
      <c r="J68" s="22" t="inlineStr">
        <is>
          <t>Confirmado</t>
        </is>
      </c>
      <c r="K68" s="22" t="inlineStr">
        <is>
          <t>Sí</t>
        </is>
      </c>
      <c r="L68" s="16" t="n">
        <v>46324</v>
      </c>
      <c r="M68" s="28">
        <f>IF(A68="","",IF(AND(C68="Sí",K68="Sí",F68&lt;&gt;"Excluido"),1,0))</f>
        <v/>
      </c>
      <c r="N68" s="2" t="n"/>
    </row>
    <row r="69" ht="15" customHeight="1" s="67">
      <c r="A69" s="19" t="inlineStr">
        <is>
          <t>GU-TDH-072</t>
        </is>
      </c>
      <c r="B69" s="22" t="inlineStr">
        <is>
          <t>G</t>
        </is>
      </c>
      <c r="C69" s="22" t="inlineStr">
        <is>
          <t>Sí</t>
        </is>
      </c>
      <c r="D69" s="16" t="n">
        <v>46312</v>
      </c>
      <c r="E69" s="14" t="n">
        <v>67</v>
      </c>
      <c r="F69" s="22" t="inlineStr">
        <is>
          <t>Activo</t>
        </is>
      </c>
      <c r="G69" s="16" t="n"/>
      <c r="H69" s="19" t="n"/>
      <c r="I69" s="16" t="n">
        <v>46320</v>
      </c>
      <c r="J69" s="22" t="inlineStr">
        <is>
          <t>Confirmado</t>
        </is>
      </c>
      <c r="K69" s="22" t="inlineStr">
        <is>
          <t>Sí</t>
        </is>
      </c>
      <c r="L69" s="16" t="n">
        <v>46326</v>
      </c>
      <c r="M69" s="28">
        <f>IF(A69="","",IF(AND(C69="Sí",K69="Sí",F69&lt;&gt;"Excluido"),1,0))</f>
        <v/>
      </c>
      <c r="N69" s="2" t="n"/>
    </row>
    <row r="70" ht="15" customHeight="1" s="67">
      <c r="A70" s="19" t="inlineStr">
        <is>
          <t>GU-TDH-073</t>
        </is>
      </c>
      <c r="B70" s="22" t="inlineStr">
        <is>
          <t>G</t>
        </is>
      </c>
      <c r="C70" s="22" t="inlineStr">
        <is>
          <t>Sí</t>
        </is>
      </c>
      <c r="D70" s="16" t="n">
        <v>46309</v>
      </c>
      <c r="E70" s="14" t="n">
        <v>100</v>
      </c>
      <c r="F70" s="22" t="inlineStr">
        <is>
          <t>Activo</t>
        </is>
      </c>
      <c r="G70" s="16" t="n"/>
      <c r="H70" s="19" t="n"/>
      <c r="I70" s="16" t="n">
        <v>46320</v>
      </c>
      <c r="J70" s="22" t="inlineStr">
        <is>
          <t>Confirmado</t>
        </is>
      </c>
      <c r="K70" s="22" t="inlineStr">
        <is>
          <t>Sí</t>
        </is>
      </c>
      <c r="L70" s="16" t="n">
        <v>46323</v>
      </c>
      <c r="M70" s="28">
        <f>IF(A70="","",IF(AND(C70="Sí",K70="Sí",F70&lt;&gt;"Excluido"),1,0))</f>
        <v/>
      </c>
      <c r="N70" s="2" t="n"/>
    </row>
    <row r="71" ht="15" customHeight="1" s="67">
      <c r="A71" s="19" t="inlineStr">
        <is>
          <t>GU-TDH-074</t>
        </is>
      </c>
      <c r="B71" s="22" t="inlineStr">
        <is>
          <t>G</t>
        </is>
      </c>
      <c r="C71" s="22" t="inlineStr">
        <is>
          <t>Sí</t>
        </is>
      </c>
      <c r="D71" s="16" t="n">
        <v>46310</v>
      </c>
      <c r="E71" s="14" t="n">
        <v>100</v>
      </c>
      <c r="F71" s="22" t="inlineStr">
        <is>
          <t>Activo</t>
        </is>
      </c>
      <c r="G71" s="16" t="n"/>
      <c r="H71" s="19" t="n"/>
      <c r="I71" s="16" t="n">
        <v>46320</v>
      </c>
      <c r="J71" s="22" t="inlineStr">
        <is>
          <t>Confirmado</t>
        </is>
      </c>
      <c r="K71" s="22" t="inlineStr">
        <is>
          <t>Sí</t>
        </is>
      </c>
      <c r="L71" s="16" t="n">
        <v>46324</v>
      </c>
      <c r="M71" s="28">
        <f>IF(A71="","",IF(AND(C71="Sí",K71="Sí",F71&lt;&gt;"Excluido"),1,0))</f>
        <v/>
      </c>
      <c r="N71" s="2" t="n"/>
    </row>
    <row r="72" ht="15" customHeight="1" s="67">
      <c r="A72" s="19" t="inlineStr">
        <is>
          <t>GU-TDH-075</t>
        </is>
      </c>
      <c r="B72" s="22" t="inlineStr">
        <is>
          <t>G</t>
        </is>
      </c>
      <c r="C72" s="22" t="inlineStr">
        <is>
          <t>Sí</t>
        </is>
      </c>
      <c r="D72" s="16" t="n">
        <v>46308</v>
      </c>
      <c r="E72" s="14" t="n">
        <v>100</v>
      </c>
      <c r="F72" s="22" t="inlineStr">
        <is>
          <t>Activo</t>
        </is>
      </c>
      <c r="G72" s="16" t="n"/>
      <c r="H72" s="19" t="n"/>
      <c r="I72" s="16" t="n">
        <v>46320</v>
      </c>
      <c r="J72" s="22" t="inlineStr">
        <is>
          <t>Confirmado</t>
        </is>
      </c>
      <c r="K72" s="22" t="inlineStr">
        <is>
          <t>Sí</t>
        </is>
      </c>
      <c r="L72" s="16" t="n">
        <v>46322</v>
      </c>
      <c r="M72" s="28">
        <f>IF(A72="","",IF(AND(C72="Sí",K72="Sí",F72&lt;&gt;"Excluido"),1,0))</f>
        <v/>
      </c>
      <c r="N72" s="2" t="n"/>
    </row>
    <row r="73" ht="15" customHeight="1" s="67">
      <c r="A73" s="19" t="inlineStr">
        <is>
          <t>GU-TDH-076</t>
        </is>
      </c>
      <c r="B73" s="22" t="inlineStr">
        <is>
          <t>G</t>
        </is>
      </c>
      <c r="C73" s="22" t="inlineStr">
        <is>
          <t>Sí</t>
        </is>
      </c>
      <c r="D73" s="16" t="n">
        <v>46309</v>
      </c>
      <c r="E73" s="14" t="n">
        <v>67</v>
      </c>
      <c r="F73" s="22" t="inlineStr">
        <is>
          <t>Activo</t>
        </is>
      </c>
      <c r="G73" s="16" t="n"/>
      <c r="H73" s="19" t="n"/>
      <c r="I73" s="16" t="n">
        <v>46320</v>
      </c>
      <c r="J73" s="22" t="inlineStr">
        <is>
          <t>Confirmado</t>
        </is>
      </c>
      <c r="K73" s="22" t="inlineStr">
        <is>
          <t>Sí</t>
        </is>
      </c>
      <c r="L73" s="16" t="n">
        <v>46323</v>
      </c>
      <c r="M73" s="28">
        <f>IF(A73="","",IF(AND(C73="Sí",K73="Sí",F73&lt;&gt;"Excluido"),1,0))</f>
        <v/>
      </c>
      <c r="N73" s="2" t="n"/>
    </row>
    <row r="74" ht="15" customHeight="1" s="67">
      <c r="A74" s="19" t="inlineStr">
        <is>
          <t>GU-TDH-077</t>
        </is>
      </c>
      <c r="B74" s="22" t="inlineStr">
        <is>
          <t>G</t>
        </is>
      </c>
      <c r="C74" s="22" t="inlineStr">
        <is>
          <t>Sí</t>
        </is>
      </c>
      <c r="D74" s="16" t="n">
        <v>46311</v>
      </c>
      <c r="E74" s="14" t="n">
        <v>100</v>
      </c>
      <c r="F74" s="22" t="inlineStr">
        <is>
          <t>Activo</t>
        </is>
      </c>
      <c r="G74" s="16" t="n"/>
      <c r="H74" s="19" t="n"/>
      <c r="I74" s="16" t="n">
        <v>46320</v>
      </c>
      <c r="J74" s="22" t="inlineStr">
        <is>
          <t>Confirmado</t>
        </is>
      </c>
      <c r="K74" s="22" t="inlineStr">
        <is>
          <t>Sí</t>
        </is>
      </c>
      <c r="L74" s="16" t="n">
        <v>46325</v>
      </c>
      <c r="M74" s="28">
        <f>IF(A74="","",IF(AND(C74="Sí",K74="Sí",F74&lt;&gt;"Excluido"),1,0))</f>
        <v/>
      </c>
      <c r="N74" s="2" t="n"/>
    </row>
    <row r="75" ht="15" customHeight="1" s="67">
      <c r="A75" s="19" t="inlineStr">
        <is>
          <t>GU-TDH-078</t>
        </is>
      </c>
      <c r="B75" s="22" t="inlineStr">
        <is>
          <t>G</t>
        </is>
      </c>
      <c r="C75" s="22" t="inlineStr">
        <is>
          <t>Sí</t>
        </is>
      </c>
      <c r="D75" s="16" t="n">
        <v>46310</v>
      </c>
      <c r="E75" s="14" t="n">
        <v>100</v>
      </c>
      <c r="F75" s="22" t="inlineStr">
        <is>
          <t>Activo</t>
        </is>
      </c>
      <c r="G75" s="16" t="n"/>
      <c r="H75" s="19" t="n"/>
      <c r="I75" s="16" t="n">
        <v>46320</v>
      </c>
      <c r="J75" s="22" t="inlineStr">
        <is>
          <t>Confirmado</t>
        </is>
      </c>
      <c r="K75" s="22" t="inlineStr">
        <is>
          <t>Sí</t>
        </is>
      </c>
      <c r="L75" s="16" t="n">
        <v>46324</v>
      </c>
      <c r="M75" s="28">
        <f>IF(A75="","",IF(AND(C75="Sí",K75="Sí",F75&lt;&gt;"Excluido"),1,0))</f>
        <v/>
      </c>
      <c r="N75" s="2" t="n"/>
    </row>
    <row r="76" ht="15" customHeight="1" s="67">
      <c r="A76" s="19" t="inlineStr">
        <is>
          <t>GU-TDH-079</t>
        </is>
      </c>
      <c r="B76" s="22" t="inlineStr">
        <is>
          <t>G</t>
        </is>
      </c>
      <c r="C76" s="22" t="inlineStr">
        <is>
          <t>Sí</t>
        </is>
      </c>
      <c r="D76" s="16" t="n">
        <v>46310</v>
      </c>
      <c r="E76" s="14" t="n">
        <v>100</v>
      </c>
      <c r="F76" s="22" t="inlineStr">
        <is>
          <t>Activo</t>
        </is>
      </c>
      <c r="G76" s="16" t="n"/>
      <c r="H76" s="19" t="n"/>
      <c r="I76" s="16" t="n">
        <v>46320</v>
      </c>
      <c r="J76" s="22" t="inlineStr">
        <is>
          <t>Confirmado</t>
        </is>
      </c>
      <c r="K76" s="22" t="inlineStr">
        <is>
          <t>Sí</t>
        </is>
      </c>
      <c r="L76" s="16" t="n">
        <v>46324</v>
      </c>
      <c r="M76" s="28">
        <f>IF(A76="","",IF(AND(C76="Sí",K76="Sí",F76&lt;&gt;"Excluido"),1,0))</f>
        <v/>
      </c>
      <c r="N76" s="2" t="n"/>
    </row>
    <row r="77" ht="15" customHeight="1" s="67">
      <c r="A77" s="19" t="inlineStr">
        <is>
          <t>GU-TDH-080</t>
        </is>
      </c>
      <c r="B77" s="22" t="inlineStr">
        <is>
          <t>G</t>
        </is>
      </c>
      <c r="C77" s="22" t="inlineStr">
        <is>
          <t>Sí</t>
        </is>
      </c>
      <c r="D77" s="16" t="n">
        <v>46307</v>
      </c>
      <c r="E77" s="14" t="n">
        <v>100</v>
      </c>
      <c r="F77" s="22" t="inlineStr">
        <is>
          <t>Activo</t>
        </is>
      </c>
      <c r="G77" s="16" t="n"/>
      <c r="H77" s="19" t="n"/>
      <c r="I77" s="16" t="n">
        <v>46320</v>
      </c>
      <c r="J77" s="22" t="inlineStr">
        <is>
          <t>Confirmado</t>
        </is>
      </c>
      <c r="K77" s="22" t="inlineStr">
        <is>
          <t>Sí</t>
        </is>
      </c>
      <c r="L77" s="16" t="n">
        <v>46321</v>
      </c>
      <c r="M77" s="28">
        <f>IF(A77="","",IF(AND(C77="Sí",K77="Sí",F77&lt;&gt;"Excluido"),1,0))</f>
        <v/>
      </c>
      <c r="N77" s="2" t="n"/>
    </row>
    <row r="78" ht="15" customHeight="1" s="67">
      <c r="A78" s="19" t="inlineStr">
        <is>
          <t>GU-TDH-081</t>
        </is>
      </c>
      <c r="B78" s="22" t="inlineStr">
        <is>
          <t>G</t>
        </is>
      </c>
      <c r="C78" s="22" t="inlineStr">
        <is>
          <t>Sí</t>
        </is>
      </c>
      <c r="D78" s="16" t="n">
        <v>46312</v>
      </c>
      <c r="E78" s="14" t="n">
        <v>100</v>
      </c>
      <c r="F78" s="22" t="inlineStr">
        <is>
          <t>Activo</t>
        </is>
      </c>
      <c r="G78" s="16" t="n"/>
      <c r="H78" s="19" t="n"/>
      <c r="I78" s="16" t="n">
        <v>46320</v>
      </c>
      <c r="J78" s="22" t="inlineStr">
        <is>
          <t>Confirmado</t>
        </is>
      </c>
      <c r="K78" s="22" t="inlineStr">
        <is>
          <t>Sí</t>
        </is>
      </c>
      <c r="L78" s="16" t="n">
        <v>46326</v>
      </c>
      <c r="M78" s="28">
        <f>IF(A78="","",IF(AND(C78="Sí",K78="Sí",F78&lt;&gt;"Excluido"),1,0))</f>
        <v/>
      </c>
      <c r="N78" s="2" t="n"/>
    </row>
    <row r="79" ht="15" customHeight="1" s="67">
      <c r="A79" s="19" t="inlineStr">
        <is>
          <t>GU-TDH-082</t>
        </is>
      </c>
      <c r="B79" s="22" t="inlineStr">
        <is>
          <t>G</t>
        </is>
      </c>
      <c r="C79" s="22" t="inlineStr">
        <is>
          <t>Sí</t>
        </is>
      </c>
      <c r="D79" s="16" t="n">
        <v>46309</v>
      </c>
      <c r="E79" s="14" t="n">
        <v>100</v>
      </c>
      <c r="F79" s="22" t="inlineStr">
        <is>
          <t>Activo</t>
        </is>
      </c>
      <c r="G79" s="16" t="n"/>
      <c r="H79" s="19" t="n"/>
      <c r="I79" s="16" t="n">
        <v>46320</v>
      </c>
      <c r="J79" s="22" t="inlineStr">
        <is>
          <t>Confirmado</t>
        </is>
      </c>
      <c r="K79" s="22" t="inlineStr">
        <is>
          <t>Sí</t>
        </is>
      </c>
      <c r="L79" s="16" t="n">
        <v>46323</v>
      </c>
      <c r="M79" s="28">
        <f>IF(A79="","",IF(AND(C79="Sí",K79="Sí",F79&lt;&gt;"Excluido"),1,0))</f>
        <v/>
      </c>
      <c r="N79" s="2" t="n"/>
    </row>
    <row r="80" ht="15" customHeight="1" s="67">
      <c r="A80" s="19" t="inlineStr">
        <is>
          <t>GU-TDH-083</t>
        </is>
      </c>
      <c r="B80" s="22" t="inlineStr">
        <is>
          <t>G</t>
        </is>
      </c>
      <c r="C80" s="22" t="inlineStr">
        <is>
          <t>Sí</t>
        </is>
      </c>
      <c r="D80" s="16" t="n">
        <v>46311</v>
      </c>
      <c r="E80" s="14" t="n">
        <v>100</v>
      </c>
      <c r="F80" s="22" t="inlineStr">
        <is>
          <t>Activo</t>
        </is>
      </c>
      <c r="G80" s="16" t="n"/>
      <c r="H80" s="19" t="n"/>
      <c r="I80" s="16" t="n">
        <v>46320</v>
      </c>
      <c r="J80" s="22" t="inlineStr">
        <is>
          <t>Confirmado</t>
        </is>
      </c>
      <c r="K80" s="22" t="inlineStr">
        <is>
          <t>Sí</t>
        </is>
      </c>
      <c r="L80" s="16" t="n">
        <v>46325</v>
      </c>
      <c r="M80" s="28">
        <f>IF(A80="","",IF(AND(C80="Sí",K80="Sí",F80&lt;&gt;"Excluido"),1,0))</f>
        <v/>
      </c>
      <c r="N80" s="2" t="n"/>
    </row>
    <row r="81" ht="15" customHeight="1" s="67">
      <c r="A81" s="19" t="inlineStr">
        <is>
          <t>GU-TDH-084</t>
        </is>
      </c>
      <c r="B81" s="22" t="inlineStr">
        <is>
          <t>G</t>
        </is>
      </c>
      <c r="C81" s="22" t="inlineStr">
        <is>
          <t>Sí</t>
        </is>
      </c>
      <c r="D81" s="16" t="n">
        <v>46310</v>
      </c>
      <c r="E81" s="14" t="n">
        <v>67</v>
      </c>
      <c r="F81" s="22" t="inlineStr">
        <is>
          <t>Activo</t>
        </is>
      </c>
      <c r="G81" s="16" t="n"/>
      <c r="H81" s="19" t="n"/>
      <c r="I81" s="16" t="n">
        <v>46320</v>
      </c>
      <c r="J81" s="22" t="inlineStr">
        <is>
          <t>Confirmado</t>
        </is>
      </c>
      <c r="K81" s="22" t="inlineStr">
        <is>
          <t>Sí</t>
        </is>
      </c>
      <c r="L81" s="16" t="n">
        <v>46324</v>
      </c>
      <c r="M81" s="28">
        <f>IF(A81="","",IF(AND(C81="Sí",K81="Sí",F81&lt;&gt;"Excluido"),1,0))</f>
        <v/>
      </c>
      <c r="N81" s="29" t="inlineStr">
        <is>
          <t>Usó la aplicación 2 día(s); no respondió a tres recordatorios ni a la reprogramación de 72 h.</t>
        </is>
      </c>
    </row>
    <row r="82" ht="15" customHeight="1" s="67">
      <c r="A82" s="19" t="inlineStr">
        <is>
          <t>GU-TDH-085</t>
        </is>
      </c>
      <c r="B82" s="22" t="inlineStr">
        <is>
          <t>G</t>
        </is>
      </c>
      <c r="C82" s="22" t="inlineStr">
        <is>
          <t>Sí</t>
        </is>
      </c>
      <c r="D82" s="16" t="n">
        <v>46307</v>
      </c>
      <c r="E82" s="14" t="n">
        <v>100</v>
      </c>
      <c r="F82" s="22" t="inlineStr">
        <is>
          <t>Activo</t>
        </is>
      </c>
      <c r="G82" s="16" t="n"/>
      <c r="H82" s="19" t="n"/>
      <c r="I82" s="16" t="n">
        <v>46320</v>
      </c>
      <c r="J82" s="22" t="inlineStr">
        <is>
          <t>Confirmado</t>
        </is>
      </c>
      <c r="K82" s="22" t="inlineStr">
        <is>
          <t>Sí</t>
        </is>
      </c>
      <c r="L82" s="16" t="n">
        <v>46321</v>
      </c>
      <c r="M82" s="28">
        <f>IF(A82="","",IF(AND(C82="Sí",K82="Sí",F82&lt;&gt;"Excluido"),1,0))</f>
        <v/>
      </c>
      <c r="N82" s="2" t="n"/>
    </row>
    <row r="83" ht="15" customHeight="1" s="67">
      <c r="A83" s="19" t="inlineStr">
        <is>
          <t>GU-TDH-086</t>
        </is>
      </c>
      <c r="B83" s="22" t="inlineStr">
        <is>
          <t>G</t>
        </is>
      </c>
      <c r="C83" s="22" t="inlineStr">
        <is>
          <t>Sí</t>
        </is>
      </c>
      <c r="D83" s="16" t="n">
        <v>46307</v>
      </c>
      <c r="E83" s="14" t="n">
        <v>100</v>
      </c>
      <c r="F83" s="22" t="inlineStr">
        <is>
          <t>Activo</t>
        </is>
      </c>
      <c r="G83" s="16" t="n"/>
      <c r="H83" s="19" t="n"/>
      <c r="I83" s="16" t="n">
        <v>46320</v>
      </c>
      <c r="J83" s="22" t="inlineStr">
        <is>
          <t>Confirmado</t>
        </is>
      </c>
      <c r="K83" s="22" t="inlineStr">
        <is>
          <t>Sí</t>
        </is>
      </c>
      <c r="L83" s="16" t="n">
        <v>46321</v>
      </c>
      <c r="M83" s="28">
        <f>IF(A83="","",IF(AND(C83="Sí",K83="Sí",F83&lt;&gt;"Excluido"),1,0))</f>
        <v/>
      </c>
      <c r="N83" s="2" t="n"/>
    </row>
    <row r="84" ht="15" customHeight="1" s="67">
      <c r="A84" s="19" t="inlineStr">
        <is>
          <t>GU-TDH-087</t>
        </is>
      </c>
      <c r="B84" s="22" t="inlineStr">
        <is>
          <t>G</t>
        </is>
      </c>
      <c r="C84" s="22" t="inlineStr">
        <is>
          <t>Sí</t>
        </is>
      </c>
      <c r="D84" s="16" t="n">
        <v>46308</v>
      </c>
      <c r="E84" s="14" t="n">
        <v>100</v>
      </c>
      <c r="F84" s="22" t="inlineStr">
        <is>
          <t>Activo</t>
        </is>
      </c>
      <c r="G84" s="16" t="n"/>
      <c r="H84" s="19" t="n"/>
      <c r="I84" s="16" t="n">
        <v>46320</v>
      </c>
      <c r="J84" s="22" t="inlineStr">
        <is>
          <t>Confirmado</t>
        </is>
      </c>
      <c r="K84" s="22" t="inlineStr">
        <is>
          <t>Sí</t>
        </is>
      </c>
      <c r="L84" s="16" t="n">
        <v>46322</v>
      </c>
      <c r="M84" s="28">
        <f>IF(A84="","",IF(AND(C84="Sí",K84="Sí",F84&lt;&gt;"Excluido"),1,0))</f>
        <v/>
      </c>
      <c r="N84" s="2" t="n"/>
    </row>
    <row r="85" ht="15" customHeight="1" s="67">
      <c r="A85" s="19" t="inlineStr">
        <is>
          <t>GU-TDH-088</t>
        </is>
      </c>
      <c r="B85" s="22" t="inlineStr">
        <is>
          <t>G</t>
        </is>
      </c>
      <c r="C85" s="22" t="inlineStr">
        <is>
          <t>Sí</t>
        </is>
      </c>
      <c r="D85" s="16" t="n">
        <v>46310</v>
      </c>
      <c r="E85" s="14" t="n">
        <v>100</v>
      </c>
      <c r="F85" s="22" t="inlineStr">
        <is>
          <t>Activo</t>
        </is>
      </c>
      <c r="G85" s="16" t="n"/>
      <c r="H85" s="19" t="n"/>
      <c r="I85" s="16" t="n">
        <v>46320</v>
      </c>
      <c r="J85" s="22" t="inlineStr">
        <is>
          <t>Confirmado</t>
        </is>
      </c>
      <c r="K85" s="22" t="inlineStr">
        <is>
          <t>Sí</t>
        </is>
      </c>
      <c r="L85" s="16" t="n">
        <v>46324</v>
      </c>
      <c r="M85" s="28">
        <f>IF(A85="","",IF(AND(C85="Sí",K85="Sí",F85&lt;&gt;"Excluido"),1,0))</f>
        <v/>
      </c>
      <c r="N85" s="2" t="n"/>
    </row>
    <row r="86" ht="15" customHeight="1" s="67">
      <c r="A86" s="19" t="inlineStr">
        <is>
          <t>GU-TDH-089</t>
        </is>
      </c>
      <c r="B86" s="22" t="inlineStr">
        <is>
          <t>G</t>
        </is>
      </c>
      <c r="C86" s="22" t="inlineStr">
        <is>
          <t>Sí</t>
        </is>
      </c>
      <c r="D86" s="16" t="n">
        <v>46307</v>
      </c>
      <c r="E86" s="14" t="n">
        <v>100</v>
      </c>
      <c r="F86" s="22" t="inlineStr">
        <is>
          <t>Activo</t>
        </is>
      </c>
      <c r="G86" s="16" t="n"/>
      <c r="H86" s="19" t="n"/>
      <c r="I86" s="16" t="n">
        <v>46320</v>
      </c>
      <c r="J86" s="22" t="inlineStr">
        <is>
          <t>Confirmado</t>
        </is>
      </c>
      <c r="K86" s="22" t="inlineStr">
        <is>
          <t>Sí</t>
        </is>
      </c>
      <c r="L86" s="16" t="n">
        <v>46321</v>
      </c>
      <c r="M86" s="28">
        <f>IF(A86="","",IF(AND(C86="Sí",K86="Sí",F86&lt;&gt;"Excluido"),1,0))</f>
        <v/>
      </c>
      <c r="N86" s="2" t="n"/>
    </row>
    <row r="87" ht="15" customHeight="1" s="67">
      <c r="A87" s="19" t="inlineStr">
        <is>
          <t>GU-TDH-090</t>
        </is>
      </c>
      <c r="B87" s="22" t="inlineStr">
        <is>
          <t>G</t>
        </is>
      </c>
      <c r="C87" s="22" t="inlineStr">
        <is>
          <t>Sí</t>
        </is>
      </c>
      <c r="D87" s="16" t="n">
        <v>46307</v>
      </c>
      <c r="E87" s="14" t="n">
        <v>100</v>
      </c>
      <c r="F87" s="22" t="inlineStr">
        <is>
          <t>Activo</t>
        </is>
      </c>
      <c r="G87" s="16" t="n"/>
      <c r="H87" s="19" t="n"/>
      <c r="I87" s="16" t="n">
        <v>46320</v>
      </c>
      <c r="J87" s="22" t="inlineStr">
        <is>
          <t>Confirmado</t>
        </is>
      </c>
      <c r="K87" s="22" t="inlineStr">
        <is>
          <t>Sí</t>
        </is>
      </c>
      <c r="L87" s="16" t="n">
        <v>46321</v>
      </c>
      <c r="M87" s="28">
        <f>IF(A87="","",IF(AND(C87="Sí",K87="Sí",F87&lt;&gt;"Excluido"),1,0))</f>
        <v/>
      </c>
      <c r="N87" s="29" t="inlineStr">
        <is>
          <t>Reprogramado dentro de la ventana, en la misma franja horaria.</t>
        </is>
      </c>
    </row>
    <row r="88" ht="15" customHeight="1" s="67">
      <c r="A88" s="19" t="inlineStr">
        <is>
          <t>GU-TDH-091</t>
        </is>
      </c>
      <c r="B88" s="22" t="inlineStr">
        <is>
          <t>G</t>
        </is>
      </c>
      <c r="C88" s="22" t="inlineStr">
        <is>
          <t>Sí</t>
        </is>
      </c>
      <c r="D88" s="16" t="n">
        <v>46307</v>
      </c>
      <c r="E88" s="14" t="n">
        <v>100</v>
      </c>
      <c r="F88" s="22" t="inlineStr">
        <is>
          <t>Activo</t>
        </is>
      </c>
      <c r="G88" s="16" t="n"/>
      <c r="H88" s="19" t="n"/>
      <c r="I88" s="16" t="n">
        <v>46320</v>
      </c>
      <c r="J88" s="22" t="inlineStr">
        <is>
          <t>Confirmado</t>
        </is>
      </c>
      <c r="K88" s="22" t="inlineStr">
        <is>
          <t>Sí</t>
        </is>
      </c>
      <c r="L88" s="16" t="n">
        <v>46321</v>
      </c>
      <c r="M88" s="28">
        <f>IF(A88="","",IF(AND(C88="Sí",K88="Sí",F88&lt;&gt;"Excluido"),1,0))</f>
        <v/>
      </c>
      <c r="N88" s="2" t="n"/>
    </row>
    <row r="89" ht="15" customHeight="1" s="67">
      <c r="A89" s="19" t="inlineStr">
        <is>
          <t>GU-TDH-092</t>
        </is>
      </c>
      <c r="B89" s="22" t="inlineStr">
        <is>
          <t>G</t>
        </is>
      </c>
      <c r="C89" s="22" t="inlineStr">
        <is>
          <t>Sí</t>
        </is>
      </c>
      <c r="D89" s="16" t="n">
        <v>46310</v>
      </c>
      <c r="E89" s="14" t="n">
        <v>100</v>
      </c>
      <c r="F89" s="22" t="inlineStr">
        <is>
          <t>Activo</t>
        </is>
      </c>
      <c r="G89" s="16" t="n"/>
      <c r="H89" s="19" t="n"/>
      <c r="I89" s="16" t="n">
        <v>46320</v>
      </c>
      <c r="J89" s="22" t="inlineStr">
        <is>
          <t>Confirmado</t>
        </is>
      </c>
      <c r="K89" s="22" t="inlineStr">
        <is>
          <t>Sí</t>
        </is>
      </c>
      <c r="L89" s="16" t="n">
        <v>46324</v>
      </c>
      <c r="M89" s="28">
        <f>IF(A89="","",IF(AND(C89="Sí",K89="Sí",F89&lt;&gt;"Excluido"),1,0))</f>
        <v/>
      </c>
      <c r="N89" s="2" t="n"/>
    </row>
    <row r="90" ht="15" customHeight="1" s="67">
      <c r="A90" s="19" t="inlineStr">
        <is>
          <t>GU-TDH-093</t>
        </is>
      </c>
      <c r="B90" s="22" t="inlineStr">
        <is>
          <t>G</t>
        </is>
      </c>
      <c r="C90" s="22" t="inlineStr">
        <is>
          <t>Sí</t>
        </is>
      </c>
      <c r="D90" s="16" t="n">
        <v>46310</v>
      </c>
      <c r="E90" s="14" t="n">
        <v>100</v>
      </c>
      <c r="F90" s="22" t="inlineStr">
        <is>
          <t>Activo</t>
        </is>
      </c>
      <c r="G90" s="16" t="n"/>
      <c r="H90" s="19" t="n"/>
      <c r="I90" s="16" t="n">
        <v>46320</v>
      </c>
      <c r="J90" s="22" t="inlineStr">
        <is>
          <t>Confirmado</t>
        </is>
      </c>
      <c r="K90" s="22" t="inlineStr">
        <is>
          <t>Sí</t>
        </is>
      </c>
      <c r="L90" s="16" t="n">
        <v>46324</v>
      </c>
      <c r="M90" s="28">
        <f>IF(A90="","",IF(AND(C90="Sí",K90="Sí",F90&lt;&gt;"Excluido"),1,0))</f>
        <v/>
      </c>
      <c r="N90" s="2" t="n"/>
    </row>
    <row r="91" ht="15" customHeight="1" s="67">
      <c r="A91" s="19" t="n"/>
      <c r="B91" s="22" t="n"/>
      <c r="C91" s="22" t="n"/>
      <c r="D91" s="16" t="n"/>
      <c r="E91" s="14" t="n"/>
      <c r="F91" s="22" t="n"/>
      <c r="G91" s="16" t="n"/>
      <c r="H91" s="19" t="n"/>
      <c r="I91" s="16" t="n"/>
      <c r="J91" s="22" t="n"/>
      <c r="K91" s="22" t="n"/>
      <c r="L91" s="16" t="n"/>
      <c r="M91" s="28">
        <f>IF(A91="","",IF(AND(C91="Sí",K91="Sí",F91&lt;&gt;"Excluido"),1,0))</f>
        <v/>
      </c>
      <c r="N91" s="29" t="inlineStr">
        <is>
          <t>Excluido en la depuración del pretest (bitácora, Sesión 03); no ingresa a la intervención.</t>
        </is>
      </c>
    </row>
    <row r="92" ht="15" customHeight="1" s="67">
      <c r="A92" s="19" t="inlineStr">
        <is>
          <t>GU-TDH-095</t>
        </is>
      </c>
      <c r="B92" s="22" t="inlineStr">
        <is>
          <t>G</t>
        </is>
      </c>
      <c r="C92" s="22" t="inlineStr">
        <is>
          <t>Sí</t>
        </is>
      </c>
      <c r="D92" s="16" t="n">
        <v>46308</v>
      </c>
      <c r="E92" s="14" t="n">
        <v>100</v>
      </c>
      <c r="F92" s="22" t="inlineStr">
        <is>
          <t>Activo</t>
        </is>
      </c>
      <c r="G92" s="16" t="n"/>
      <c r="H92" s="19" t="n"/>
      <c r="I92" s="16" t="n">
        <v>46320</v>
      </c>
      <c r="J92" s="22" t="inlineStr">
        <is>
          <t>Confirmado</t>
        </is>
      </c>
      <c r="K92" s="22" t="inlineStr">
        <is>
          <t>Sí</t>
        </is>
      </c>
      <c r="L92" s="16" t="n">
        <v>46322</v>
      </c>
      <c r="M92" s="28">
        <f>IF(A92="","",IF(AND(C92="Sí",K92="Sí",F92&lt;&gt;"Excluido"),1,0))</f>
        <v/>
      </c>
      <c r="N92" s="2" t="n"/>
    </row>
    <row r="93" ht="15" customHeight="1" s="67">
      <c r="A93" s="19" t="inlineStr">
        <is>
          <t>GU-TDH-097</t>
        </is>
      </c>
      <c r="B93" s="22" t="inlineStr">
        <is>
          <t>G</t>
        </is>
      </c>
      <c r="C93" s="22" t="inlineStr">
        <is>
          <t>Sí</t>
        </is>
      </c>
      <c r="D93" s="16" t="n">
        <v>46309</v>
      </c>
      <c r="E93" s="14" t="n">
        <v>100</v>
      </c>
      <c r="F93" s="22" t="inlineStr">
        <is>
          <t>Activo</t>
        </is>
      </c>
      <c r="G93" s="16" t="n"/>
      <c r="H93" s="19" t="n"/>
      <c r="I93" s="16" t="n">
        <v>46320</v>
      </c>
      <c r="J93" s="22" t="inlineStr">
        <is>
          <t>Confirmado</t>
        </is>
      </c>
      <c r="K93" s="22" t="inlineStr">
        <is>
          <t>Sí</t>
        </is>
      </c>
      <c r="L93" s="16" t="n">
        <v>46323</v>
      </c>
      <c r="M93" s="28">
        <f>IF(A93="","",IF(AND(C93="Sí",K93="Sí",F93&lt;&gt;"Excluido"),1,0))</f>
        <v/>
      </c>
      <c r="N93" s="2" t="n"/>
    </row>
    <row r="94" ht="15" customHeight="1" s="67">
      <c r="A94" s="19" t="inlineStr">
        <is>
          <t>GU-TDH-098</t>
        </is>
      </c>
      <c r="B94" s="22" t="inlineStr">
        <is>
          <t>G</t>
        </is>
      </c>
      <c r="C94" s="22" t="inlineStr">
        <is>
          <t>Sí</t>
        </is>
      </c>
      <c r="D94" s="16" t="n">
        <v>46311</v>
      </c>
      <c r="E94" s="14" t="n">
        <v>100</v>
      </c>
      <c r="F94" s="22" t="inlineStr">
        <is>
          <t>Activo</t>
        </is>
      </c>
      <c r="G94" s="16" t="n"/>
      <c r="H94" s="19" t="n"/>
      <c r="I94" s="16" t="n">
        <v>46320</v>
      </c>
      <c r="J94" s="22" t="inlineStr">
        <is>
          <t>Confirmado</t>
        </is>
      </c>
      <c r="K94" s="22" t="inlineStr">
        <is>
          <t>Sí</t>
        </is>
      </c>
      <c r="L94" s="16" t="n">
        <v>46325</v>
      </c>
      <c r="M94" s="28">
        <f>IF(A94="","",IF(AND(C94="Sí",K94="Sí",F94&lt;&gt;"Excluido"),1,0))</f>
        <v/>
      </c>
      <c r="N94" s="2" t="n"/>
    </row>
    <row r="95" ht="15" customHeight="1" s="67">
      <c r="A95" s="19" t="inlineStr">
        <is>
          <t>GU-TDH-099</t>
        </is>
      </c>
      <c r="B95" s="22" t="inlineStr">
        <is>
          <t>G</t>
        </is>
      </c>
      <c r="C95" s="22" t="inlineStr">
        <is>
          <t>Sí</t>
        </is>
      </c>
      <c r="D95" s="16" t="n">
        <v>46309</v>
      </c>
      <c r="E95" s="14" t="n">
        <v>100</v>
      </c>
      <c r="F95" s="22" t="inlineStr">
        <is>
          <t>Activo</t>
        </is>
      </c>
      <c r="G95" s="16" t="n"/>
      <c r="H95" s="19" t="n"/>
      <c r="I95" s="16" t="n">
        <v>46320</v>
      </c>
      <c r="J95" s="22" t="inlineStr">
        <is>
          <t>Confirmado</t>
        </is>
      </c>
      <c r="K95" s="22" t="inlineStr">
        <is>
          <t>Sí</t>
        </is>
      </c>
      <c r="L95" s="16" t="n">
        <v>46323</v>
      </c>
      <c r="M95" s="28">
        <f>IF(A95="","",IF(AND(C95="Sí",K95="Sí",F95&lt;&gt;"Excluido"),1,0))</f>
        <v/>
      </c>
      <c r="N95" s="2" t="n"/>
    </row>
    <row r="96" ht="15" customHeight="1" s="67">
      <c r="A96" s="19" t="inlineStr">
        <is>
          <t>GU-TDH-100</t>
        </is>
      </c>
      <c r="B96" s="22" t="inlineStr">
        <is>
          <t>G</t>
        </is>
      </c>
      <c r="C96" s="22" t="inlineStr">
        <is>
          <t>Sí</t>
        </is>
      </c>
      <c r="D96" s="16" t="n">
        <v>46310</v>
      </c>
      <c r="E96" s="14" t="n">
        <v>100</v>
      </c>
      <c r="F96" s="22" t="inlineStr">
        <is>
          <t>Activo</t>
        </is>
      </c>
      <c r="G96" s="16" t="n"/>
      <c r="H96" s="19" t="n"/>
      <c r="I96" s="16" t="n">
        <v>46320</v>
      </c>
      <c r="J96" s="22" t="inlineStr">
        <is>
          <t>Confirmado</t>
        </is>
      </c>
      <c r="K96" s="22" t="inlineStr">
        <is>
          <t>Sí</t>
        </is>
      </c>
      <c r="L96" s="16" t="n">
        <v>46324</v>
      </c>
      <c r="M96" s="28">
        <f>IF(A96="","",IF(AND(C96="Sí",K96="Sí",F96&lt;&gt;"Excluido"),1,0))</f>
        <v/>
      </c>
      <c r="N96" s="2" t="n"/>
    </row>
    <row r="97" ht="15" customHeight="1" s="67">
      <c r="A97" s="19" t="inlineStr">
        <is>
          <t>GU-TDH-101</t>
        </is>
      </c>
      <c r="B97" s="22" t="inlineStr">
        <is>
          <t>G</t>
        </is>
      </c>
      <c r="C97" s="22" t="inlineStr">
        <is>
          <t>Sí</t>
        </is>
      </c>
      <c r="D97" s="16" t="n">
        <v>46310</v>
      </c>
      <c r="E97" s="14" t="n">
        <v>100</v>
      </c>
      <c r="F97" s="22" t="inlineStr">
        <is>
          <t>Activo</t>
        </is>
      </c>
      <c r="G97" s="16" t="n"/>
      <c r="H97" s="19" t="n"/>
      <c r="I97" s="16" t="n">
        <v>46320</v>
      </c>
      <c r="J97" s="22" t="inlineStr">
        <is>
          <t>Confirmado</t>
        </is>
      </c>
      <c r="K97" s="22" t="inlineStr">
        <is>
          <t>Sí</t>
        </is>
      </c>
      <c r="L97" s="16" t="n">
        <v>46324</v>
      </c>
      <c r="M97" s="28">
        <f>IF(A97="","",IF(AND(C97="Sí",K97="Sí",F97&lt;&gt;"Excluido"),1,0))</f>
        <v/>
      </c>
      <c r="N97" s="2" t="n"/>
    </row>
    <row r="98" ht="15" customHeight="1" s="67">
      <c r="A98" s="19" t="inlineStr">
        <is>
          <t>GU-TDH-102</t>
        </is>
      </c>
      <c r="B98" s="22" t="inlineStr">
        <is>
          <t>G</t>
        </is>
      </c>
      <c r="C98" s="22" t="inlineStr">
        <is>
          <t>Sí</t>
        </is>
      </c>
      <c r="D98" s="16" t="n">
        <v>46310</v>
      </c>
      <c r="E98" s="14" t="n">
        <v>100</v>
      </c>
      <c r="F98" s="22" t="inlineStr">
        <is>
          <t>Activo</t>
        </is>
      </c>
      <c r="G98" s="16" t="n"/>
      <c r="H98" s="19" t="n"/>
      <c r="I98" s="16" t="n">
        <v>46320</v>
      </c>
      <c r="J98" s="22" t="inlineStr">
        <is>
          <t>Confirmado</t>
        </is>
      </c>
      <c r="K98" s="22" t="inlineStr">
        <is>
          <t>Sí</t>
        </is>
      </c>
      <c r="L98" s="16" t="n">
        <v>46324</v>
      </c>
      <c r="M98" s="28">
        <f>IF(A98="","",IF(AND(C98="Sí",K98="Sí",F98&lt;&gt;"Excluido"),1,0))</f>
        <v/>
      </c>
      <c r="N98" s="2" t="n"/>
    </row>
    <row r="99" ht="15" customHeight="1" s="67">
      <c r="A99" s="19" t="inlineStr">
        <is>
          <t>GU-TDH-103</t>
        </is>
      </c>
      <c r="B99" s="22" t="inlineStr">
        <is>
          <t>G</t>
        </is>
      </c>
      <c r="C99" s="22" t="inlineStr">
        <is>
          <t>Sí</t>
        </is>
      </c>
      <c r="D99" s="16" t="n">
        <v>46312</v>
      </c>
      <c r="E99" s="14" t="n">
        <v>100</v>
      </c>
      <c r="F99" s="22" t="inlineStr">
        <is>
          <t>Activo</t>
        </is>
      </c>
      <c r="G99" s="16" t="n"/>
      <c r="H99" s="19" t="n"/>
      <c r="I99" s="16" t="n">
        <v>46320</v>
      </c>
      <c r="J99" s="22" t="inlineStr">
        <is>
          <t>Confirmado</t>
        </is>
      </c>
      <c r="K99" s="22" t="inlineStr">
        <is>
          <t>Sí</t>
        </is>
      </c>
      <c r="L99" s="16" t="n">
        <v>46326</v>
      </c>
      <c r="M99" s="28">
        <f>IF(A99="","",IF(AND(C99="Sí",K99="Sí",F99&lt;&gt;"Excluido"),1,0))</f>
        <v/>
      </c>
      <c r="N99" s="2" t="n"/>
    </row>
    <row r="100" ht="15" customHeight="1" s="67">
      <c r="A100" s="19" t="inlineStr">
        <is>
          <t>GU-TDH-104</t>
        </is>
      </c>
      <c r="B100" s="22" t="inlineStr">
        <is>
          <t>G</t>
        </is>
      </c>
      <c r="C100" s="22" t="inlineStr">
        <is>
          <t>Sí</t>
        </is>
      </c>
      <c r="D100" s="16" t="n">
        <v>46312</v>
      </c>
      <c r="E100" s="14" t="n">
        <v>100</v>
      </c>
      <c r="F100" s="22" t="inlineStr">
        <is>
          <t>Activo</t>
        </is>
      </c>
      <c r="G100" s="16" t="n"/>
      <c r="H100" s="19" t="n"/>
      <c r="I100" s="16" t="n">
        <v>46320</v>
      </c>
      <c r="J100" s="22" t="inlineStr">
        <is>
          <t>Confirmado</t>
        </is>
      </c>
      <c r="K100" s="22" t="inlineStr">
        <is>
          <t>Sí</t>
        </is>
      </c>
      <c r="L100" s="16" t="n">
        <v>46326</v>
      </c>
      <c r="M100" s="28">
        <f>IF(A100="","",IF(AND(C100="Sí",K100="Sí",F100&lt;&gt;"Excluido"),1,0))</f>
        <v/>
      </c>
      <c r="N100" s="2" t="n"/>
    </row>
    <row r="101" ht="15" customHeight="1" s="67">
      <c r="A101" s="19" t="n"/>
      <c r="B101" s="22" t="n"/>
      <c r="C101" s="22" t="n"/>
      <c r="D101" s="16" t="n"/>
      <c r="E101" s="14" t="n"/>
      <c r="F101" s="22" t="n"/>
      <c r="G101" s="16" t="n"/>
      <c r="H101" s="19" t="n"/>
      <c r="I101" s="16" t="n"/>
      <c r="J101" s="22" t="n"/>
      <c r="K101" s="22" t="n"/>
      <c r="L101" s="16" t="n"/>
      <c r="M101" s="28">
        <f>IF(A101="","",IF(AND(C101="Sí",K101="Sí",F101&lt;&gt;"Excluido"),1,0))</f>
        <v/>
      </c>
      <c r="N101" s="29" t="inlineStr">
        <is>
          <t>Excluido en la depuración del pretest (bitácora, Sesión 03); no ingresa a la intervención.</t>
        </is>
      </c>
    </row>
    <row r="102" ht="15" customHeight="1" s="67">
      <c r="A102" s="19" t="inlineStr">
        <is>
          <t>GU-TDH-106</t>
        </is>
      </c>
      <c r="B102" s="22" t="inlineStr">
        <is>
          <t>G</t>
        </is>
      </c>
      <c r="C102" s="22" t="inlineStr">
        <is>
          <t>Sí</t>
        </is>
      </c>
      <c r="D102" s="16" t="n">
        <v>46310</v>
      </c>
      <c r="E102" s="14" t="n">
        <v>100</v>
      </c>
      <c r="F102" s="22" t="inlineStr">
        <is>
          <t>Activo</t>
        </is>
      </c>
      <c r="G102" s="16" t="n"/>
      <c r="H102" s="19" t="n"/>
      <c r="I102" s="16" t="n">
        <v>46320</v>
      </c>
      <c r="J102" s="22" t="inlineStr">
        <is>
          <t>Confirmado</t>
        </is>
      </c>
      <c r="K102" s="22" t="inlineStr">
        <is>
          <t>Sí</t>
        </is>
      </c>
      <c r="L102" s="16" t="n">
        <v>46324</v>
      </c>
      <c r="M102" s="28">
        <f>IF(A102="","",IF(AND(C102="Sí",K102="Sí",F102&lt;&gt;"Excluido"),1,0))</f>
        <v/>
      </c>
      <c r="N102" s="2" t="n"/>
    </row>
    <row r="103" ht="15" customHeight="1" s="67">
      <c r="A103" s="19" t="n"/>
      <c r="B103" s="22" t="n"/>
      <c r="C103" s="22" t="n"/>
      <c r="D103" s="16" t="n"/>
      <c r="E103" s="14" t="n"/>
      <c r="F103" s="22" t="n"/>
      <c r="G103" s="16" t="n"/>
      <c r="H103" s="19" t="n"/>
      <c r="I103" s="16" t="n"/>
      <c r="J103" s="22" t="n"/>
      <c r="K103" s="22" t="n"/>
      <c r="L103" s="16" t="n"/>
      <c r="M103" s="28">
        <f>IF(A103="","",IF(AND(C103="Sí",K103="Sí",F103&lt;&gt;"Excluido"),1,0))</f>
        <v/>
      </c>
      <c r="N103" s="29" t="inlineStr">
        <is>
          <t>Excluido en la depuración del pretest (bitácora, Sesión 03); no ingresa a la intervención.</t>
        </is>
      </c>
    </row>
    <row r="104" ht="15" customHeight="1" s="67">
      <c r="A104" s="19" t="inlineStr">
        <is>
          <t>GU-TDH-108</t>
        </is>
      </c>
      <c r="B104" s="22" t="inlineStr">
        <is>
          <t>G</t>
        </is>
      </c>
      <c r="C104" s="22" t="inlineStr">
        <is>
          <t>Sí</t>
        </is>
      </c>
      <c r="D104" s="16" t="n">
        <v>46312</v>
      </c>
      <c r="E104" s="14" t="n">
        <v>100</v>
      </c>
      <c r="F104" s="22" t="inlineStr">
        <is>
          <t>Activo</t>
        </is>
      </c>
      <c r="G104" s="16" t="n"/>
      <c r="H104" s="19" t="n"/>
      <c r="I104" s="16" t="n">
        <v>46320</v>
      </c>
      <c r="J104" s="22" t="inlineStr">
        <is>
          <t>Confirmado</t>
        </is>
      </c>
      <c r="K104" s="22" t="inlineStr">
        <is>
          <t>Sí</t>
        </is>
      </c>
      <c r="L104" s="16" t="n">
        <v>46326</v>
      </c>
      <c r="M104" s="28">
        <f>IF(A104="","",IF(AND(C104="Sí",K104="Sí",F104&lt;&gt;"Excluido"),1,0))</f>
        <v/>
      </c>
      <c r="N104" s="2" t="n"/>
    </row>
    <row r="105" ht="15" customHeight="1" s="67">
      <c r="A105" s="19" t="inlineStr">
        <is>
          <t>GU-TDH-109</t>
        </is>
      </c>
      <c r="B105" s="22" t="inlineStr">
        <is>
          <t>G</t>
        </is>
      </c>
      <c r="C105" s="22" t="inlineStr">
        <is>
          <t>Sí</t>
        </is>
      </c>
      <c r="D105" s="16" t="n">
        <v>46307</v>
      </c>
      <c r="E105" s="14" t="n">
        <v>33</v>
      </c>
      <c r="F105" s="22" t="inlineStr">
        <is>
          <t>Activo</t>
        </is>
      </c>
      <c r="G105" s="16" t="n"/>
      <c r="H105" s="19" t="n"/>
      <c r="I105" s="16" t="n">
        <v>46320</v>
      </c>
      <c r="J105" s="22" t="inlineStr">
        <is>
          <t>Confirmado</t>
        </is>
      </c>
      <c r="K105" s="22" t="inlineStr">
        <is>
          <t>Sí</t>
        </is>
      </c>
      <c r="L105" s="16" t="n">
        <v>46324</v>
      </c>
      <c r="M105" s="28">
        <f>IF(A105="","",IF(AND(C105="Sí",K105="Sí",F105&lt;&gt;"Excluido"),1,0))</f>
        <v/>
      </c>
      <c r="N105" s="29" t="inlineStr">
        <is>
          <t>Usó la aplicación 1 día(s); no respondió a tres recordatorios ni a la reprogramación de 72 h.</t>
        </is>
      </c>
    </row>
    <row r="106" ht="15" customHeight="1" s="67">
      <c r="A106" s="19" t="inlineStr">
        <is>
          <t>GU-TDH-110</t>
        </is>
      </c>
      <c r="B106" s="22" t="inlineStr">
        <is>
          <t>G</t>
        </is>
      </c>
      <c r="C106" s="22" t="inlineStr">
        <is>
          <t>Sí</t>
        </is>
      </c>
      <c r="D106" s="16" t="n">
        <v>46312</v>
      </c>
      <c r="E106" s="14" t="n">
        <v>67</v>
      </c>
      <c r="F106" s="22" t="inlineStr">
        <is>
          <t>Activo</t>
        </is>
      </c>
      <c r="G106" s="16" t="n"/>
      <c r="H106" s="19" t="n"/>
      <c r="I106" s="16" t="n">
        <v>46320</v>
      </c>
      <c r="J106" s="22" t="inlineStr">
        <is>
          <t>Confirmado</t>
        </is>
      </c>
      <c r="K106" s="22" t="inlineStr">
        <is>
          <t>Sí</t>
        </is>
      </c>
      <c r="L106" s="16" t="n">
        <v>46326</v>
      </c>
      <c r="M106" s="28">
        <f>IF(A106="","",IF(AND(C106="Sí",K106="Sí",F106&lt;&gt;"Excluido"),1,0))</f>
        <v/>
      </c>
      <c r="N106" s="2" t="n"/>
    </row>
    <row r="107" ht="15" customHeight="1" s="67">
      <c r="A107" s="19" t="inlineStr">
        <is>
          <t>GU-TDH-111</t>
        </is>
      </c>
      <c r="B107" s="22" t="inlineStr">
        <is>
          <t>G</t>
        </is>
      </c>
      <c r="C107" s="22" t="inlineStr">
        <is>
          <t>Sí</t>
        </is>
      </c>
      <c r="D107" s="16" t="n">
        <v>46312</v>
      </c>
      <c r="E107" s="14" t="n">
        <v>100</v>
      </c>
      <c r="F107" s="22" t="inlineStr">
        <is>
          <t>Activo</t>
        </is>
      </c>
      <c r="G107" s="16" t="n"/>
      <c r="H107" s="19" t="n"/>
      <c r="I107" s="16" t="n">
        <v>46320</v>
      </c>
      <c r="J107" s="22" t="inlineStr">
        <is>
          <t>Confirmado</t>
        </is>
      </c>
      <c r="K107" s="22" t="inlineStr">
        <is>
          <t>Sí</t>
        </is>
      </c>
      <c r="L107" s="16" t="n">
        <v>46326</v>
      </c>
      <c r="M107" s="28">
        <f>IF(A107="","",IF(AND(C107="Sí",K107="Sí",F107&lt;&gt;"Excluido"),1,0))</f>
        <v/>
      </c>
      <c r="N107" s="2" t="n"/>
    </row>
    <row r="108" ht="15" customHeight="1" s="67">
      <c r="A108" s="19" t="inlineStr">
        <is>
          <t>GU-TDH-113</t>
        </is>
      </c>
      <c r="B108" s="22" t="inlineStr">
        <is>
          <t>G</t>
        </is>
      </c>
      <c r="C108" s="22" t="inlineStr">
        <is>
          <t>Sí</t>
        </is>
      </c>
      <c r="D108" s="16" t="n">
        <v>46307</v>
      </c>
      <c r="E108" s="14" t="n">
        <v>100</v>
      </c>
      <c r="F108" s="22" t="inlineStr">
        <is>
          <t>Activo</t>
        </is>
      </c>
      <c r="G108" s="16" t="n"/>
      <c r="H108" s="19" t="n"/>
      <c r="I108" s="16" t="n">
        <v>46320</v>
      </c>
      <c r="J108" s="22" t="inlineStr">
        <is>
          <t>Confirmado</t>
        </is>
      </c>
      <c r="K108" s="22" t="inlineStr">
        <is>
          <t>Sí</t>
        </is>
      </c>
      <c r="L108" s="16" t="n">
        <v>46321</v>
      </c>
      <c r="M108" s="28">
        <f>IF(A108="","",IF(AND(C108="Sí",K108="Sí",F108&lt;&gt;"Excluido"),1,0))</f>
        <v/>
      </c>
      <c r="N108" s="2" t="n"/>
    </row>
    <row r="109" ht="15" customHeight="1" s="67">
      <c r="A109" s="19" t="inlineStr">
        <is>
          <t>GU-TDH-114</t>
        </is>
      </c>
      <c r="B109" s="22" t="inlineStr">
        <is>
          <t>G</t>
        </is>
      </c>
      <c r="C109" s="22" t="inlineStr">
        <is>
          <t>Sí</t>
        </is>
      </c>
      <c r="D109" s="16" t="n">
        <v>46312</v>
      </c>
      <c r="E109" s="14" t="n">
        <v>100</v>
      </c>
      <c r="F109" s="22" t="inlineStr">
        <is>
          <t>Activo</t>
        </is>
      </c>
      <c r="G109" s="16" t="n"/>
      <c r="H109" s="19" t="n"/>
      <c r="I109" s="16" t="n">
        <v>46320</v>
      </c>
      <c r="J109" s="22" t="inlineStr">
        <is>
          <t>Confirmado</t>
        </is>
      </c>
      <c r="K109" s="22" t="inlineStr">
        <is>
          <t>Sí</t>
        </is>
      </c>
      <c r="L109" s="16" t="n">
        <v>46326</v>
      </c>
      <c r="M109" s="28">
        <f>IF(A109="","",IF(AND(C109="Sí",K109="Sí",F109&lt;&gt;"Excluido"),1,0))</f>
        <v/>
      </c>
      <c r="N109" s="2" t="n"/>
    </row>
    <row r="110" ht="15" customHeight="1" s="67">
      <c r="A110" s="19" t="inlineStr">
        <is>
          <t>GU-TDH-115</t>
        </is>
      </c>
      <c r="B110" s="22" t="inlineStr">
        <is>
          <t>G</t>
        </is>
      </c>
      <c r="C110" s="22" t="inlineStr">
        <is>
          <t>Sí</t>
        </is>
      </c>
      <c r="D110" s="16" t="n">
        <v>46311</v>
      </c>
      <c r="E110" s="14" t="n">
        <v>100</v>
      </c>
      <c r="F110" s="22" t="inlineStr">
        <is>
          <t>Activo</t>
        </is>
      </c>
      <c r="G110" s="16" t="n"/>
      <c r="H110" s="19" t="n"/>
      <c r="I110" s="16" t="n">
        <v>46320</v>
      </c>
      <c r="J110" s="22" t="inlineStr">
        <is>
          <t>Confirmado</t>
        </is>
      </c>
      <c r="K110" s="22" t="inlineStr">
        <is>
          <t>Sí</t>
        </is>
      </c>
      <c r="L110" s="16" t="n">
        <v>46325</v>
      </c>
      <c r="M110" s="28">
        <f>IF(A110="","",IF(AND(C110="Sí",K110="Sí",F110&lt;&gt;"Excluido"),1,0))</f>
        <v/>
      </c>
      <c r="N110" s="2" t="n"/>
    </row>
    <row r="111" ht="15" customHeight="1" s="67">
      <c r="A111" s="19" t="inlineStr">
        <is>
          <t>GU-TDH-116</t>
        </is>
      </c>
      <c r="B111" s="22" t="inlineStr">
        <is>
          <t>G</t>
        </is>
      </c>
      <c r="C111" s="22" t="inlineStr">
        <is>
          <t>Sí</t>
        </is>
      </c>
      <c r="D111" s="16" t="n">
        <v>46307</v>
      </c>
      <c r="E111" s="14" t="n">
        <v>100</v>
      </c>
      <c r="F111" s="22" t="inlineStr">
        <is>
          <t>Activo</t>
        </is>
      </c>
      <c r="G111" s="16" t="n"/>
      <c r="H111" s="19" t="n"/>
      <c r="I111" s="16" t="n">
        <v>46320</v>
      </c>
      <c r="J111" s="22" t="inlineStr">
        <is>
          <t>Confirmado</t>
        </is>
      </c>
      <c r="K111" s="22" t="inlineStr">
        <is>
          <t>Sí</t>
        </is>
      </c>
      <c r="L111" s="16" t="n">
        <v>46321</v>
      </c>
      <c r="M111" s="28">
        <f>IF(A111="","",IF(AND(C111="Sí",K111="Sí",F111&lt;&gt;"Excluido"),1,0))</f>
        <v/>
      </c>
      <c r="N111" s="2" t="n"/>
    </row>
    <row r="112" ht="15" customHeight="1" s="67">
      <c r="A112" s="19" t="inlineStr">
        <is>
          <t>GU-TDH-117</t>
        </is>
      </c>
      <c r="B112" s="22" t="inlineStr">
        <is>
          <t>G</t>
        </is>
      </c>
      <c r="C112" s="22" t="inlineStr">
        <is>
          <t>Sí</t>
        </is>
      </c>
      <c r="D112" s="16" t="n">
        <v>46309</v>
      </c>
      <c r="E112" s="14" t="n">
        <v>100</v>
      </c>
      <c r="F112" s="22" t="inlineStr">
        <is>
          <t>Activo</t>
        </is>
      </c>
      <c r="G112" s="16" t="n"/>
      <c r="H112" s="19" t="n"/>
      <c r="I112" s="16" t="n">
        <v>46320</v>
      </c>
      <c r="J112" s="22" t="inlineStr">
        <is>
          <t>Confirmado</t>
        </is>
      </c>
      <c r="K112" s="22" t="inlineStr">
        <is>
          <t>Sí</t>
        </is>
      </c>
      <c r="L112" s="16" t="n">
        <v>46323</v>
      </c>
      <c r="M112" s="28">
        <f>IF(A112="","",IF(AND(C112="Sí",K112="Sí",F112&lt;&gt;"Excluido"),1,0))</f>
        <v/>
      </c>
      <c r="N112" s="2" t="n"/>
    </row>
    <row r="113" ht="15" customHeight="1" s="67">
      <c r="A113" s="19" t="inlineStr">
        <is>
          <t>GU-TDH-118</t>
        </is>
      </c>
      <c r="B113" s="22" t="inlineStr">
        <is>
          <t>G</t>
        </is>
      </c>
      <c r="C113" s="22" t="inlineStr">
        <is>
          <t>Sí</t>
        </is>
      </c>
      <c r="D113" s="16" t="n">
        <v>46308</v>
      </c>
      <c r="E113" s="14" t="n">
        <v>100</v>
      </c>
      <c r="F113" s="22" t="inlineStr">
        <is>
          <t>Activo</t>
        </is>
      </c>
      <c r="G113" s="16" t="n"/>
      <c r="H113" s="19" t="n"/>
      <c r="I113" s="16" t="n">
        <v>46320</v>
      </c>
      <c r="J113" s="22" t="inlineStr">
        <is>
          <t>Confirmado</t>
        </is>
      </c>
      <c r="K113" s="22" t="inlineStr">
        <is>
          <t>Sí</t>
        </is>
      </c>
      <c r="L113" s="16" t="n">
        <v>46322</v>
      </c>
      <c r="M113" s="28">
        <f>IF(A113="","",IF(AND(C113="Sí",K113="Sí",F113&lt;&gt;"Excluido"),1,0))</f>
        <v/>
      </c>
      <c r="N113" s="2" t="n"/>
    </row>
    <row r="114" ht="15" customHeight="1" s="67">
      <c r="A114" s="19" t="inlineStr">
        <is>
          <t>GU-TDH-119</t>
        </is>
      </c>
      <c r="B114" s="22" t="inlineStr">
        <is>
          <t>G</t>
        </is>
      </c>
      <c r="C114" s="22" t="inlineStr">
        <is>
          <t>Sí</t>
        </is>
      </c>
      <c r="D114" s="16" t="n">
        <v>46309</v>
      </c>
      <c r="E114" s="14" t="n">
        <v>100</v>
      </c>
      <c r="F114" s="22" t="inlineStr">
        <is>
          <t>Activo</t>
        </is>
      </c>
      <c r="G114" s="16" t="n"/>
      <c r="H114" s="19" t="n"/>
      <c r="I114" s="16" t="n">
        <v>46320</v>
      </c>
      <c r="J114" s="22" t="inlineStr">
        <is>
          <t>Confirmado</t>
        </is>
      </c>
      <c r="K114" s="22" t="inlineStr">
        <is>
          <t>Sí</t>
        </is>
      </c>
      <c r="L114" s="16" t="n">
        <v>46323</v>
      </c>
      <c r="M114" s="28">
        <f>IF(A114="","",IF(AND(C114="Sí",K114="Sí",F114&lt;&gt;"Excluido"),1,0))</f>
        <v/>
      </c>
      <c r="N114" s="2" t="n"/>
    </row>
    <row r="115" ht="15" customHeight="1" s="67">
      <c r="A115" s="19" t="inlineStr">
        <is>
          <t>GU-TDH-120</t>
        </is>
      </c>
      <c r="B115" s="22" t="inlineStr">
        <is>
          <t>G</t>
        </is>
      </c>
      <c r="C115" s="22" t="inlineStr">
        <is>
          <t>Sí</t>
        </is>
      </c>
      <c r="D115" s="16" t="n">
        <v>46311</v>
      </c>
      <c r="E115" s="14" t="n">
        <v>100</v>
      </c>
      <c r="F115" s="22" t="inlineStr">
        <is>
          <t>Activo</t>
        </is>
      </c>
      <c r="G115" s="16" t="n"/>
      <c r="H115" s="19" t="n"/>
      <c r="I115" s="16" t="n">
        <v>46320</v>
      </c>
      <c r="J115" s="22" t="inlineStr">
        <is>
          <t>Confirmado</t>
        </is>
      </c>
      <c r="K115" s="22" t="inlineStr">
        <is>
          <t>Sí</t>
        </is>
      </c>
      <c r="L115" s="16" t="n">
        <v>46325</v>
      </c>
      <c r="M115" s="28">
        <f>IF(A115="","",IF(AND(C115="Sí",K115="Sí",F115&lt;&gt;"Excluido"),1,0))</f>
        <v/>
      </c>
      <c r="N115" s="2" t="n"/>
    </row>
    <row r="116" ht="15" customHeight="1" s="67">
      <c r="A116" s="19" t="inlineStr">
        <is>
          <t>GU-TDH-121</t>
        </is>
      </c>
      <c r="B116" s="22" t="inlineStr">
        <is>
          <t>G</t>
        </is>
      </c>
      <c r="C116" s="22" t="inlineStr">
        <is>
          <t>Sí</t>
        </is>
      </c>
      <c r="D116" s="16" t="n">
        <v>46310</v>
      </c>
      <c r="E116" s="14" t="n">
        <v>100</v>
      </c>
      <c r="F116" s="22" t="inlineStr">
        <is>
          <t>Activo</t>
        </is>
      </c>
      <c r="G116" s="16" t="n"/>
      <c r="H116" s="19" t="n"/>
      <c r="I116" s="16" t="n">
        <v>46320</v>
      </c>
      <c r="J116" s="22" t="inlineStr">
        <is>
          <t>Confirmado</t>
        </is>
      </c>
      <c r="K116" s="22" t="inlineStr">
        <is>
          <t>Sí</t>
        </is>
      </c>
      <c r="L116" s="16" t="n">
        <v>46324</v>
      </c>
      <c r="M116" s="28">
        <f>IF(A116="","",IF(AND(C116="Sí",K116="Sí",F116&lt;&gt;"Excluido"),1,0))</f>
        <v/>
      </c>
      <c r="N116" s="2" t="n"/>
    </row>
    <row r="117" ht="15" customHeight="1" s="67">
      <c r="A117" s="19" t="inlineStr">
        <is>
          <t>GU-TDH-122</t>
        </is>
      </c>
      <c r="B117" s="22" t="inlineStr">
        <is>
          <t>G</t>
        </is>
      </c>
      <c r="C117" s="22" t="inlineStr">
        <is>
          <t>Sí</t>
        </is>
      </c>
      <c r="D117" s="16" t="n">
        <v>46308</v>
      </c>
      <c r="E117" s="14" t="n">
        <v>100</v>
      </c>
      <c r="F117" s="22" t="inlineStr">
        <is>
          <t>Activo</t>
        </is>
      </c>
      <c r="G117" s="16" t="n"/>
      <c r="H117" s="19" t="n"/>
      <c r="I117" s="16" t="n">
        <v>46320</v>
      </c>
      <c r="J117" s="22" t="inlineStr">
        <is>
          <t>Confirmado</t>
        </is>
      </c>
      <c r="K117" s="22" t="inlineStr">
        <is>
          <t>Sí</t>
        </is>
      </c>
      <c r="L117" s="16" t="n">
        <v>46322</v>
      </c>
      <c r="M117" s="28">
        <f>IF(A117="","",IF(AND(C117="Sí",K117="Sí",F117&lt;&gt;"Excluido"),1,0))</f>
        <v/>
      </c>
      <c r="N117" s="2" t="n"/>
    </row>
    <row r="118" ht="15" customHeight="1" s="67">
      <c r="A118" s="19" t="inlineStr">
        <is>
          <t>GU-TDH-124</t>
        </is>
      </c>
      <c r="B118" s="22" t="inlineStr">
        <is>
          <t>G</t>
        </is>
      </c>
      <c r="C118" s="22" t="inlineStr">
        <is>
          <t>Sí</t>
        </is>
      </c>
      <c r="D118" s="16" t="n">
        <v>46310</v>
      </c>
      <c r="E118" s="14" t="n">
        <v>100</v>
      </c>
      <c r="F118" s="22" t="inlineStr">
        <is>
          <t>Activo</t>
        </is>
      </c>
      <c r="G118" s="16" t="n"/>
      <c r="H118" s="19" t="n"/>
      <c r="I118" s="16" t="n">
        <v>46320</v>
      </c>
      <c r="J118" s="22" t="inlineStr">
        <is>
          <t>Confirmado</t>
        </is>
      </c>
      <c r="K118" s="22" t="inlineStr">
        <is>
          <t>Sí</t>
        </is>
      </c>
      <c r="L118" s="16" t="n">
        <v>46324</v>
      </c>
      <c r="M118" s="28">
        <f>IF(A118="","",IF(AND(C118="Sí",K118="Sí",F118&lt;&gt;"Excluido"),1,0))</f>
        <v/>
      </c>
      <c r="N118" s="2" t="n"/>
    </row>
    <row r="119" ht="15" customHeight="1" s="67">
      <c r="A119" s="19" t="inlineStr">
        <is>
          <t>GU-TDH-125</t>
        </is>
      </c>
      <c r="B119" s="22" t="inlineStr">
        <is>
          <t>G</t>
        </is>
      </c>
      <c r="C119" s="22" t="inlineStr">
        <is>
          <t>Sí</t>
        </is>
      </c>
      <c r="D119" s="16" t="n">
        <v>46309</v>
      </c>
      <c r="E119" s="14" t="n">
        <v>100</v>
      </c>
      <c r="F119" s="22" t="inlineStr">
        <is>
          <t>Activo</t>
        </is>
      </c>
      <c r="G119" s="16" t="n"/>
      <c r="H119" s="19" t="n"/>
      <c r="I119" s="16" t="n">
        <v>46320</v>
      </c>
      <c r="J119" s="22" t="inlineStr">
        <is>
          <t>Confirmado</t>
        </is>
      </c>
      <c r="K119" s="22" t="inlineStr">
        <is>
          <t>Sí</t>
        </is>
      </c>
      <c r="L119" s="16" t="n">
        <v>46323</v>
      </c>
      <c r="M119" s="28">
        <f>IF(A119="","",IF(AND(C119="Sí",K119="Sí",F119&lt;&gt;"Excluido"),1,0))</f>
        <v/>
      </c>
      <c r="N119" s="2" t="n"/>
    </row>
    <row r="120" ht="15" customHeight="1" s="67">
      <c r="A120" s="19" t="n"/>
      <c r="B120" s="22" t="n"/>
      <c r="C120" s="22" t="n"/>
      <c r="D120" s="16" t="n"/>
      <c r="E120" s="14" t="n"/>
      <c r="F120" s="22" t="n"/>
      <c r="G120" s="16" t="n"/>
      <c r="H120" s="19" t="n"/>
      <c r="I120" s="16" t="n"/>
      <c r="J120" s="22" t="n"/>
      <c r="K120" s="22" t="n"/>
      <c r="L120" s="16" t="n"/>
      <c r="M120" s="28">
        <f>IF(A120="","",IF(AND(C120="Sí",K120="Sí",F120&lt;&gt;"Excluido"),1,0))</f>
        <v/>
      </c>
      <c r="N120" s="2" t="n"/>
    </row>
    <row r="121" ht="15" customHeight="1" s="67">
      <c r="A121" s="19" t="n"/>
      <c r="B121" s="22" t="n"/>
      <c r="C121" s="22" t="n"/>
      <c r="D121" s="16" t="n"/>
      <c r="E121" s="14" t="n"/>
      <c r="F121" s="22" t="n"/>
      <c r="G121" s="16" t="n"/>
      <c r="H121" s="19" t="n"/>
      <c r="I121" s="16" t="n"/>
      <c r="J121" s="22" t="n"/>
      <c r="K121" s="22" t="n"/>
      <c r="L121" s="16" t="n"/>
      <c r="M121" s="28">
        <f>IF(A121="","",IF(AND(C121="Sí",K121="Sí",F121&lt;&gt;"Excluido"),1,0))</f>
        <v/>
      </c>
      <c r="N121" s="2" t="n"/>
    </row>
    <row r="122" ht="15" customHeight="1" s="67">
      <c r="A122" s="19" t="n"/>
      <c r="B122" s="22" t="n"/>
      <c r="C122" s="22" t="n"/>
      <c r="D122" s="16" t="n"/>
      <c r="E122" s="14" t="n"/>
      <c r="F122" s="22" t="n"/>
      <c r="G122" s="16" t="n"/>
      <c r="H122" s="19" t="n"/>
      <c r="I122" s="16" t="n"/>
      <c r="J122" s="22" t="n"/>
      <c r="K122" s="22" t="n"/>
      <c r="L122" s="16" t="n"/>
      <c r="M122" s="28">
        <f>IF(A122="","",IF(AND(C122="Sí",K122="Sí",F122&lt;&gt;"Excluido"),1,0))</f>
        <v/>
      </c>
      <c r="N122" s="2" t="n"/>
    </row>
    <row r="123" ht="15" customHeight="1" s="67">
      <c r="A123" s="19" t="n"/>
      <c r="B123" s="22" t="n"/>
      <c r="C123" s="22" t="n"/>
      <c r="D123" s="16" t="n"/>
      <c r="E123" s="14" t="n"/>
      <c r="F123" s="22" t="n"/>
      <c r="G123" s="16" t="n"/>
      <c r="H123" s="19" t="n"/>
      <c r="I123" s="16" t="n"/>
      <c r="J123" s="22" t="n"/>
      <c r="K123" s="22" t="n"/>
      <c r="L123" s="16" t="n"/>
      <c r="M123" s="28">
        <f>IF(A123="","",IF(AND(C123="Sí",K123="Sí",F123&lt;&gt;"Excluido"),1,0))</f>
        <v/>
      </c>
      <c r="N123" s="2" t="n"/>
    </row>
    <row r="124" ht="15" customHeight="1" s="67">
      <c r="A124" s="19" t="n"/>
      <c r="B124" s="22" t="n"/>
      <c r="C124" s="22" t="n"/>
      <c r="D124" s="16" t="n"/>
      <c r="E124" s="14" t="n"/>
      <c r="F124" s="22" t="n"/>
      <c r="G124" s="16" t="n"/>
      <c r="H124" s="19" t="n"/>
      <c r="I124" s="16" t="n"/>
      <c r="J124" s="22" t="n"/>
      <c r="K124" s="22" t="n"/>
      <c r="L124" s="16" t="n"/>
      <c r="M124" s="28">
        <f>IF(A124="","",IF(AND(C124="Sí",K124="Sí",F124&lt;&gt;"Excluido"),1,0))</f>
        <v/>
      </c>
      <c r="N124" s="2" t="n"/>
    </row>
    <row r="125" ht="15" customHeight="1" s="67">
      <c r="A125" s="19" t="n"/>
      <c r="B125" s="22" t="n"/>
      <c r="C125" s="22" t="n"/>
      <c r="D125" s="16" t="n"/>
      <c r="E125" s="14" t="n"/>
      <c r="F125" s="22" t="n"/>
      <c r="G125" s="16" t="n"/>
      <c r="H125" s="19" t="n"/>
      <c r="I125" s="16" t="n"/>
      <c r="J125" s="22" t="n"/>
      <c r="K125" s="22" t="n"/>
      <c r="L125" s="16" t="n"/>
      <c r="M125" s="28">
        <f>IF(A125="","",IF(AND(C125="Sí",K125="Sí",F125&lt;&gt;"Excluido"),1,0))</f>
        <v/>
      </c>
      <c r="N125" s="2" t="n"/>
    </row>
    <row r="126" ht="15" customHeight="1" s="67">
      <c r="A126" s="19" t="n"/>
      <c r="B126" s="22" t="n"/>
      <c r="C126" s="22" t="n"/>
      <c r="D126" s="16" t="n"/>
      <c r="E126" s="14" t="n"/>
      <c r="F126" s="22" t="n"/>
      <c r="G126" s="16" t="n"/>
      <c r="H126" s="19" t="n"/>
      <c r="I126" s="16" t="n"/>
      <c r="J126" s="22" t="n"/>
      <c r="K126" s="22" t="n"/>
      <c r="L126" s="16" t="n"/>
      <c r="M126" s="28">
        <f>IF(A126="","",IF(AND(C126="Sí",K126="Sí",F126&lt;&gt;"Excluido"),1,0))</f>
        <v/>
      </c>
      <c r="N126" s="2" t="n"/>
    </row>
    <row r="127" ht="15" customHeight="1" s="67">
      <c r="A127" s="19" t="n"/>
      <c r="B127" s="22" t="n"/>
      <c r="C127" s="22" t="n"/>
      <c r="D127" s="16" t="n"/>
      <c r="E127" s="14" t="n"/>
      <c r="F127" s="22" t="n"/>
      <c r="G127" s="16" t="n"/>
      <c r="H127" s="19" t="n"/>
      <c r="I127" s="16" t="n"/>
      <c r="J127" s="22" t="n"/>
      <c r="K127" s="22" t="n"/>
      <c r="L127" s="16" t="n"/>
      <c r="M127" s="28">
        <f>IF(A127="","",IF(AND(C127="Sí",K127="Sí",F127&lt;&gt;"Excluido"),1,0))</f>
        <v/>
      </c>
      <c r="N127" s="2" t="n"/>
    </row>
    <row r="128" ht="15" customHeight="1" s="67">
      <c r="A128" s="19" t="n"/>
      <c r="B128" s="22" t="n"/>
      <c r="C128" s="22" t="n"/>
      <c r="D128" s="16" t="n"/>
      <c r="E128" s="14" t="n"/>
      <c r="F128" s="22" t="n"/>
      <c r="G128" s="16" t="n"/>
      <c r="H128" s="19" t="n"/>
      <c r="I128" s="16" t="n"/>
      <c r="J128" s="22" t="n"/>
      <c r="K128" s="22" t="n"/>
      <c r="L128" s="16" t="n"/>
      <c r="M128" s="28">
        <f>IF(A128="","",IF(AND(C128="Sí",K128="Sí",F128&lt;&gt;"Excluido"),1,0))</f>
        <v/>
      </c>
      <c r="N128" s="2" t="n"/>
    </row>
    <row r="129" ht="15" customHeight="1" s="67">
      <c r="A129" s="19" t="n"/>
      <c r="B129" s="22" t="n"/>
      <c r="C129" s="22" t="n"/>
      <c r="D129" s="16" t="n"/>
      <c r="E129" s="14" t="n"/>
      <c r="F129" s="22" t="n"/>
      <c r="G129" s="16" t="n"/>
      <c r="H129" s="19" t="n"/>
      <c r="I129" s="16" t="n"/>
      <c r="J129" s="22" t="n"/>
      <c r="K129" s="22" t="n"/>
      <c r="L129" s="16" t="n"/>
      <c r="M129" s="28">
        <f>IF(A129="","",IF(AND(C129="Sí",K129="Sí",F129&lt;&gt;"Excluido"),1,0))</f>
        <v/>
      </c>
      <c r="N129" s="2" t="n"/>
    </row>
    <row r="130" ht="15" customHeight="1" s="67">
      <c r="A130" s="19" t="n"/>
      <c r="B130" s="22" t="n"/>
      <c r="C130" s="22" t="n"/>
      <c r="D130" s="16" t="n"/>
      <c r="E130" s="14" t="n"/>
      <c r="F130" s="22" t="n"/>
      <c r="G130" s="16" t="n"/>
      <c r="H130" s="19" t="n"/>
      <c r="I130" s="16" t="n"/>
      <c r="J130" s="22" t="n"/>
      <c r="K130" s="22" t="n"/>
      <c r="L130" s="16" t="n"/>
      <c r="M130" s="28">
        <f>IF(A130="","",IF(AND(C130="Sí",K130="Sí",F130&lt;&gt;"Excluido"),1,0))</f>
        <v/>
      </c>
      <c r="N130" s="2" t="n"/>
    </row>
    <row r="131" ht="15" customHeight="1" s="67">
      <c r="A131" s="19" t="n"/>
      <c r="B131" s="22" t="n"/>
      <c r="C131" s="22" t="n"/>
      <c r="D131" s="16" t="n"/>
      <c r="E131" s="14" t="n"/>
      <c r="F131" s="22" t="n"/>
      <c r="G131" s="16" t="n"/>
      <c r="H131" s="19" t="n"/>
      <c r="I131" s="16" t="n"/>
      <c r="J131" s="22" t="n"/>
      <c r="K131" s="22" t="n"/>
      <c r="L131" s="16" t="n"/>
      <c r="M131" s="28">
        <f>IF(A131="","",IF(AND(C131="Sí",K131="Sí",F131&lt;&gt;"Excluido"),1,0))</f>
        <v/>
      </c>
      <c r="N131" s="2" t="n"/>
    </row>
    <row r="132" ht="15" customHeight="1" s="67">
      <c r="A132" s="19" t="n"/>
      <c r="B132" s="22" t="n"/>
      <c r="C132" s="22" t="n"/>
      <c r="D132" s="16" t="n"/>
      <c r="E132" s="14" t="n"/>
      <c r="F132" s="22" t="n"/>
      <c r="G132" s="16" t="n"/>
      <c r="H132" s="19" t="n"/>
      <c r="I132" s="16" t="n"/>
      <c r="J132" s="22" t="n"/>
      <c r="K132" s="22" t="n"/>
      <c r="L132" s="16" t="n"/>
      <c r="M132" s="28">
        <f>IF(A132="","",IF(AND(C132="Sí",K132="Sí",F132&lt;&gt;"Excluido"),1,0))</f>
        <v/>
      </c>
      <c r="N132" s="2" t="n"/>
    </row>
    <row r="133" ht="15" customHeight="1" s="67">
      <c r="A133" s="19" t="n"/>
      <c r="B133" s="22" t="n"/>
      <c r="C133" s="22" t="n"/>
      <c r="D133" s="16" t="n"/>
      <c r="E133" s="14" t="n"/>
      <c r="F133" s="22" t="n"/>
      <c r="G133" s="16" t="n"/>
      <c r="H133" s="19" t="n"/>
      <c r="I133" s="16" t="n"/>
      <c r="J133" s="22" t="n"/>
      <c r="K133" s="22" t="n"/>
      <c r="L133" s="16" t="n"/>
      <c r="M133" s="28">
        <f>IF(A133="","",IF(AND(C133="Sí",K133="Sí",F133&lt;&gt;"Excluido"),1,0))</f>
        <v/>
      </c>
      <c r="N133" s="2" t="n"/>
    </row>
    <row r="134" ht="15" customHeight="1" s="67">
      <c r="A134" s="19" t="n"/>
      <c r="B134" s="22" t="n"/>
      <c r="C134" s="22" t="n"/>
      <c r="D134" s="16" t="n"/>
      <c r="E134" s="14" t="n"/>
      <c r="F134" s="22" t="n"/>
      <c r="G134" s="16" t="n"/>
      <c r="H134" s="19" t="n"/>
      <c r="I134" s="16" t="n"/>
      <c r="J134" s="22" t="n"/>
      <c r="K134" s="22" t="n"/>
      <c r="L134" s="16" t="n"/>
      <c r="M134" s="28">
        <f>IF(A134="","",IF(AND(C134="Sí",K134="Sí",F134&lt;&gt;"Excluido"),1,0))</f>
        <v/>
      </c>
      <c r="N134" s="2" t="n"/>
    </row>
    <row r="135" ht="15" customHeight="1" s="67">
      <c r="A135" s="19" t="n"/>
      <c r="B135" s="22" t="n"/>
      <c r="C135" s="22" t="n"/>
      <c r="D135" s="16" t="n"/>
      <c r="E135" s="14" t="n"/>
      <c r="F135" s="22" t="n"/>
      <c r="G135" s="16" t="n"/>
      <c r="H135" s="19" t="n"/>
      <c r="I135" s="16" t="n"/>
      <c r="J135" s="22" t="n"/>
      <c r="K135" s="22" t="n"/>
      <c r="L135" s="16" t="n"/>
      <c r="M135" s="28">
        <f>IF(A135="","",IF(AND(C135="Sí",K135="Sí",F135&lt;&gt;"Excluido"),1,0))</f>
        <v/>
      </c>
      <c r="N135" s="2" t="n"/>
    </row>
    <row r="136" ht="15" customHeight="1" s="67">
      <c r="A136" s="19" t="n"/>
      <c r="B136" s="22" t="n"/>
      <c r="C136" s="22" t="n"/>
      <c r="D136" s="16" t="n"/>
      <c r="E136" s="14" t="n"/>
      <c r="F136" s="22" t="n"/>
      <c r="G136" s="16" t="n"/>
      <c r="H136" s="19" t="n"/>
      <c r="I136" s="16" t="n"/>
      <c r="J136" s="22" t="n"/>
      <c r="K136" s="22" t="n"/>
      <c r="L136" s="16" t="n"/>
      <c r="M136" s="28">
        <f>IF(A136="","",IF(AND(C136="Sí",K136="Sí",F136&lt;&gt;"Excluido"),1,0))</f>
        <v/>
      </c>
      <c r="N136" s="2" t="n"/>
    </row>
    <row r="137" ht="15" customHeight="1" s="67">
      <c r="A137" s="19" t="n"/>
      <c r="B137" s="22" t="n"/>
      <c r="C137" s="22" t="n"/>
      <c r="D137" s="16" t="n"/>
      <c r="E137" s="14" t="n"/>
      <c r="F137" s="22" t="n"/>
      <c r="G137" s="16" t="n"/>
      <c r="H137" s="19" t="n"/>
      <c r="I137" s="16" t="n"/>
      <c r="J137" s="22" t="n"/>
      <c r="K137" s="22" t="n"/>
      <c r="L137" s="16" t="n"/>
      <c r="M137" s="28">
        <f>IF(A137="","",IF(AND(C137="Sí",K137="Sí",F137&lt;&gt;"Excluido"),1,0))</f>
        <v/>
      </c>
      <c r="N137" s="2" t="n"/>
    </row>
    <row r="138" ht="15" customHeight="1" s="67">
      <c r="A138" s="19" t="n"/>
      <c r="B138" s="22" t="n"/>
      <c r="C138" s="22" t="n"/>
      <c r="D138" s="16" t="n"/>
      <c r="E138" s="14" t="n"/>
      <c r="F138" s="22" t="n"/>
      <c r="G138" s="16" t="n"/>
      <c r="H138" s="19" t="n"/>
      <c r="I138" s="16" t="n"/>
      <c r="J138" s="22" t="n"/>
      <c r="K138" s="22" t="n"/>
      <c r="L138" s="16" t="n"/>
      <c r="M138" s="28">
        <f>IF(A138="","",IF(AND(C138="Sí",K138="Sí",F138&lt;&gt;"Excluido"),1,0))</f>
        <v/>
      </c>
      <c r="N138" s="2" t="n"/>
    </row>
    <row r="139" ht="15" customHeight="1" s="67">
      <c r="A139" s="19" t="n"/>
      <c r="B139" s="22" t="n"/>
      <c r="C139" s="22" t="n"/>
      <c r="D139" s="16" t="n"/>
      <c r="E139" s="14" t="n"/>
      <c r="F139" s="22" t="n"/>
      <c r="G139" s="16" t="n"/>
      <c r="H139" s="19" t="n"/>
      <c r="I139" s="16" t="n"/>
      <c r="J139" s="22" t="n"/>
      <c r="K139" s="22" t="n"/>
      <c r="L139" s="16" t="n"/>
      <c r="M139" s="28">
        <f>IF(A139="","",IF(AND(C139="Sí",K139="Sí",F139&lt;&gt;"Excluido"),1,0))</f>
        <v/>
      </c>
      <c r="N139" s="2" t="n"/>
    </row>
    <row r="140" ht="15" customHeight="1" s="67">
      <c r="A140" s="19" t="n"/>
      <c r="B140" s="22" t="n"/>
      <c r="C140" s="22" t="n"/>
      <c r="D140" s="16" t="n"/>
      <c r="E140" s="14" t="n"/>
      <c r="F140" s="22" t="n"/>
      <c r="G140" s="16" t="n"/>
      <c r="H140" s="19" t="n"/>
      <c r="I140" s="16" t="n"/>
      <c r="J140" s="22" t="n"/>
      <c r="K140" s="22" t="n"/>
      <c r="L140" s="16" t="n"/>
      <c r="M140" s="28">
        <f>IF(A140="","",IF(AND(C140="Sí",K140="Sí",F140&lt;&gt;"Excluido"),1,0))</f>
        <v/>
      </c>
      <c r="N140" s="2" t="n"/>
    </row>
    <row r="141" ht="15" customHeight="1" s="67">
      <c r="A141" s="19" t="n"/>
      <c r="B141" s="22" t="n"/>
      <c r="C141" s="22" t="n"/>
      <c r="D141" s="16" t="n"/>
      <c r="E141" s="14" t="n"/>
      <c r="F141" s="22" t="n"/>
      <c r="G141" s="16" t="n"/>
      <c r="H141" s="19" t="n"/>
      <c r="I141" s="16" t="n"/>
      <c r="J141" s="22" t="n"/>
      <c r="K141" s="22" t="n"/>
      <c r="L141" s="16" t="n"/>
      <c r="M141" s="28">
        <f>IF(A141="","",IF(AND(C141="Sí",K141="Sí",F141&lt;&gt;"Excluido"),1,0))</f>
        <v/>
      </c>
      <c r="N141" s="2" t="n"/>
    </row>
    <row r="142" ht="15" customHeight="1" s="67">
      <c r="A142" s="19" t="n"/>
      <c r="B142" s="22" t="n"/>
      <c r="C142" s="22" t="n"/>
      <c r="D142" s="16" t="n"/>
      <c r="E142" s="14" t="n"/>
      <c r="F142" s="22" t="n"/>
      <c r="G142" s="16" t="n"/>
      <c r="H142" s="19" t="n"/>
      <c r="I142" s="16" t="n"/>
      <c r="J142" s="22" t="n"/>
      <c r="K142" s="22" t="n"/>
      <c r="L142" s="16" t="n"/>
      <c r="M142" s="28">
        <f>IF(A142="","",IF(AND(C142="Sí",K142="Sí",F142&lt;&gt;"Excluido"),1,0))</f>
        <v/>
      </c>
      <c r="N142" s="2" t="n"/>
    </row>
    <row r="143" ht="15" customHeight="1" s="67">
      <c r="A143" s="19" t="n"/>
      <c r="B143" s="22" t="n"/>
      <c r="C143" s="22" t="n"/>
      <c r="D143" s="16" t="n"/>
      <c r="E143" s="14" t="n"/>
      <c r="F143" s="22" t="n"/>
      <c r="G143" s="16" t="n"/>
      <c r="H143" s="19" t="n"/>
      <c r="I143" s="16" t="n"/>
      <c r="J143" s="22" t="n"/>
      <c r="K143" s="22" t="n"/>
      <c r="L143" s="16" t="n"/>
      <c r="M143" s="28">
        <f>IF(A143="","",IF(AND(C143="Sí",K143="Sí",F143&lt;&gt;"Excluido"),1,0))</f>
        <v/>
      </c>
      <c r="N143" s="2" t="n"/>
    </row>
    <row r="144" ht="15" customHeight="1" s="67">
      <c r="A144" s="19" t="n"/>
      <c r="B144" s="22" t="n"/>
      <c r="C144" s="22" t="n"/>
      <c r="D144" s="16" t="n"/>
      <c r="E144" s="14" t="n"/>
      <c r="F144" s="22" t="n"/>
      <c r="G144" s="16" t="n"/>
      <c r="H144" s="19" t="n"/>
      <c r="I144" s="16" t="n"/>
      <c r="J144" s="22" t="n"/>
      <c r="K144" s="22" t="n"/>
      <c r="L144" s="16" t="n"/>
      <c r="M144" s="28">
        <f>IF(A144="","",IF(AND(C144="Sí",K144="Sí",F144&lt;&gt;"Excluido"),1,0))</f>
        <v/>
      </c>
      <c r="N144" s="2" t="n"/>
    </row>
    <row r="145" ht="15" customHeight="1" s="67">
      <c r="A145" s="19" t="n"/>
      <c r="B145" s="22" t="n"/>
      <c r="C145" s="22" t="n"/>
      <c r="D145" s="16" t="n"/>
      <c r="E145" s="14" t="n"/>
      <c r="F145" s="22" t="n"/>
      <c r="G145" s="16" t="n"/>
      <c r="H145" s="19" t="n"/>
      <c r="I145" s="16" t="n"/>
      <c r="J145" s="22" t="n"/>
      <c r="K145" s="22" t="n"/>
      <c r="L145" s="16" t="n"/>
      <c r="M145" s="28">
        <f>IF(A145="","",IF(AND(C145="Sí",K145="Sí",F145&lt;&gt;"Excluido"),1,0))</f>
        <v/>
      </c>
      <c r="N145" s="2" t="n"/>
    </row>
    <row r="146" ht="15" customHeight="1" s="67">
      <c r="A146" s="19" t="n"/>
      <c r="B146" s="22" t="n"/>
      <c r="C146" s="22" t="n"/>
      <c r="D146" s="16" t="n"/>
      <c r="E146" s="14" t="n"/>
      <c r="F146" s="22" t="n"/>
      <c r="G146" s="16" t="n"/>
      <c r="H146" s="19" t="n"/>
      <c r="I146" s="16" t="n"/>
      <c r="J146" s="22" t="n"/>
      <c r="K146" s="22" t="n"/>
      <c r="L146" s="16" t="n"/>
      <c r="M146" s="28">
        <f>IF(A146="","",IF(AND(C146="Sí",K146="Sí",F146&lt;&gt;"Excluido"),1,0))</f>
        <v/>
      </c>
      <c r="N146" s="2" t="n"/>
    </row>
    <row r="147" ht="15" customHeight="1" s="67">
      <c r="A147" s="19" t="n"/>
      <c r="B147" s="22" t="n"/>
      <c r="C147" s="22" t="n"/>
      <c r="D147" s="16" t="n"/>
      <c r="E147" s="14" t="n"/>
      <c r="F147" s="22" t="n"/>
      <c r="G147" s="16" t="n"/>
      <c r="H147" s="19" t="n"/>
      <c r="I147" s="16" t="n"/>
      <c r="J147" s="22" t="n"/>
      <c r="K147" s="22" t="n"/>
      <c r="L147" s="16" t="n"/>
      <c r="M147" s="28">
        <f>IF(A147="","",IF(AND(C147="Sí",K147="Sí",F147&lt;&gt;"Excluido"),1,0))</f>
        <v/>
      </c>
      <c r="N147" s="2" t="n"/>
    </row>
    <row r="148" ht="15" customHeight="1" s="67">
      <c r="A148" s="19" t="n"/>
      <c r="B148" s="22" t="n"/>
      <c r="C148" s="22" t="n"/>
      <c r="D148" s="16" t="n"/>
      <c r="E148" s="14" t="n"/>
      <c r="F148" s="22" t="n"/>
      <c r="G148" s="16" t="n"/>
      <c r="H148" s="19" t="n"/>
      <c r="I148" s="16" t="n"/>
      <c r="J148" s="22" t="n"/>
      <c r="K148" s="22" t="n"/>
      <c r="L148" s="16" t="n"/>
      <c r="M148" s="28">
        <f>IF(A148="","",IF(AND(C148="Sí",K148="Sí",F148&lt;&gt;"Excluido"),1,0))</f>
        <v/>
      </c>
      <c r="N148" s="2" t="n"/>
    </row>
    <row r="149" ht="15" customHeight="1" s="67">
      <c r="A149" s="19" t="n"/>
      <c r="B149" s="22" t="n"/>
      <c r="C149" s="22" t="n"/>
      <c r="D149" s="16" t="n"/>
      <c r="E149" s="14" t="n"/>
      <c r="F149" s="22" t="n"/>
      <c r="G149" s="16" t="n"/>
      <c r="H149" s="19" t="n"/>
      <c r="I149" s="16" t="n"/>
      <c r="J149" s="22" t="n"/>
      <c r="K149" s="22" t="n"/>
      <c r="L149" s="16" t="n"/>
      <c r="M149" s="28">
        <f>IF(A149="","",IF(AND(C149="Sí",K149="Sí",F149&lt;&gt;"Excluido"),1,0))</f>
        <v/>
      </c>
      <c r="N149" s="2" t="n"/>
    </row>
    <row r="150" ht="15" customHeight="1" s="67">
      <c r="A150" s="19" t="n"/>
      <c r="B150" s="22" t="n"/>
      <c r="C150" s="22" t="n"/>
      <c r="D150" s="16" t="n"/>
      <c r="E150" s="14" t="n"/>
      <c r="F150" s="22" t="n"/>
      <c r="G150" s="16" t="n"/>
      <c r="H150" s="19" t="n"/>
      <c r="I150" s="16" t="n"/>
      <c r="J150" s="22" t="n"/>
      <c r="K150" s="22" t="n"/>
      <c r="L150" s="16" t="n"/>
      <c r="M150" s="28">
        <f>IF(A150="","",IF(AND(C150="Sí",K150="Sí",F150&lt;&gt;"Excluido"),1,0))</f>
        <v/>
      </c>
      <c r="N150" s="2" t="n"/>
    </row>
    <row r="151" ht="15" customHeight="1" s="67">
      <c r="A151" s="19" t="n"/>
      <c r="B151" s="22" t="n"/>
      <c r="C151" s="22" t="n"/>
      <c r="D151" s="16" t="n"/>
      <c r="E151" s="14" t="n"/>
      <c r="F151" s="22" t="n"/>
      <c r="G151" s="16" t="n"/>
      <c r="H151" s="19" t="n"/>
      <c r="I151" s="16" t="n"/>
      <c r="J151" s="22" t="n"/>
      <c r="K151" s="22" t="n"/>
      <c r="L151" s="16" t="n"/>
      <c r="M151" s="28">
        <f>IF(A151="","",IF(AND(C151="Sí",K151="Sí",F151&lt;&gt;"Excluido"),1,0))</f>
        <v/>
      </c>
      <c r="N151" s="2" t="n"/>
    </row>
    <row r="152" ht="15" customHeight="1" s="67">
      <c r="A152" s="19" t="n"/>
      <c r="B152" s="22" t="n"/>
      <c r="C152" s="22" t="n"/>
      <c r="D152" s="16" t="n"/>
      <c r="E152" s="14" t="n"/>
      <c r="F152" s="22" t="n"/>
      <c r="G152" s="16" t="n"/>
      <c r="H152" s="19" t="n"/>
      <c r="I152" s="16" t="n"/>
      <c r="J152" s="22" t="n"/>
      <c r="K152" s="22" t="n"/>
      <c r="L152" s="16" t="n"/>
      <c r="M152" s="28">
        <f>IF(A152="","",IF(AND(C152="Sí",K152="Sí",F152&lt;&gt;"Excluido"),1,0))</f>
        <v/>
      </c>
      <c r="N152" s="2" t="n"/>
    </row>
    <row r="153" ht="15" customHeight="1" s="67">
      <c r="A153" s="19" t="n"/>
      <c r="B153" s="22" t="n"/>
      <c r="C153" s="22" t="n"/>
      <c r="D153" s="16" t="n"/>
      <c r="E153" s="14" t="n"/>
      <c r="F153" s="22" t="n"/>
      <c r="G153" s="16" t="n"/>
      <c r="H153" s="19" t="n"/>
      <c r="I153" s="16" t="n"/>
      <c r="J153" s="22" t="n"/>
      <c r="K153" s="22" t="n"/>
      <c r="L153" s="16" t="n"/>
      <c r="M153" s="28">
        <f>IF(A153="","",IF(AND(C153="Sí",K153="Sí",F153&lt;&gt;"Excluido"),1,0))</f>
        <v/>
      </c>
      <c r="N153" s="2" t="n"/>
    </row>
    <row r="154" ht="15" customHeight="1" s="67">
      <c r="A154" s="19" t="n"/>
      <c r="B154" s="22" t="n"/>
      <c r="C154" s="22" t="n"/>
      <c r="D154" s="16" t="n"/>
      <c r="E154" s="14" t="n"/>
      <c r="F154" s="22" t="n"/>
      <c r="G154" s="16" t="n"/>
      <c r="H154" s="19" t="n"/>
      <c r="I154" s="16" t="n"/>
      <c r="J154" s="22" t="n"/>
      <c r="K154" s="22" t="n"/>
      <c r="L154" s="16" t="n"/>
      <c r="M154" s="28">
        <f>IF(A154="","",IF(AND(C154="Sí",K154="Sí",F154&lt;&gt;"Excluido"),1,0))</f>
        <v/>
      </c>
      <c r="N154" s="2" t="n"/>
    </row>
    <row r="155" ht="15" customHeight="1" s="67">
      <c r="A155" s="19" t="n"/>
      <c r="B155" s="22" t="n"/>
      <c r="C155" s="22" t="n"/>
      <c r="D155" s="16" t="n"/>
      <c r="E155" s="14" t="n"/>
      <c r="F155" s="22" t="n"/>
      <c r="G155" s="16" t="n"/>
      <c r="H155" s="19" t="n"/>
      <c r="I155" s="16" t="n"/>
      <c r="J155" s="22" t="n"/>
      <c r="K155" s="22" t="n"/>
      <c r="L155" s="16" t="n"/>
      <c r="M155" s="28">
        <f>IF(A155="","",IF(AND(C155="Sí",K155="Sí",F155&lt;&gt;"Excluido"),1,0))</f>
        <v/>
      </c>
      <c r="N155" s="2" t="n"/>
    </row>
    <row r="156" ht="15" customHeight="1" s="67">
      <c r="A156" s="19" t="n"/>
      <c r="B156" s="22" t="n"/>
      <c r="C156" s="22" t="n"/>
      <c r="D156" s="16" t="n"/>
      <c r="E156" s="14" t="n"/>
      <c r="F156" s="22" t="n"/>
      <c r="G156" s="16" t="n"/>
      <c r="H156" s="19" t="n"/>
      <c r="I156" s="16" t="n"/>
      <c r="J156" s="22" t="n"/>
      <c r="K156" s="22" t="n"/>
      <c r="L156" s="16" t="n"/>
      <c r="M156" s="28">
        <f>IF(A156="","",IF(AND(C156="Sí",K156="Sí",F156&lt;&gt;"Excluido"),1,0))</f>
        <v/>
      </c>
      <c r="N156" s="2" t="n"/>
    </row>
    <row r="157" ht="15" customHeight="1" s="67">
      <c r="A157" s="19" t="n"/>
      <c r="B157" s="22" t="n"/>
      <c r="C157" s="22" t="n"/>
      <c r="D157" s="16" t="n"/>
      <c r="E157" s="14" t="n"/>
      <c r="F157" s="22" t="n"/>
      <c r="G157" s="16" t="n"/>
      <c r="H157" s="19" t="n"/>
      <c r="I157" s="16" t="n"/>
      <c r="J157" s="22" t="n"/>
      <c r="K157" s="22" t="n"/>
      <c r="L157" s="16" t="n"/>
      <c r="M157" s="28">
        <f>IF(A157="","",IF(AND(C157="Sí",K157="Sí",F157&lt;&gt;"Excluido"),1,0))</f>
        <v/>
      </c>
      <c r="N157" s="2" t="n"/>
    </row>
    <row r="158" ht="15" customHeight="1" s="67">
      <c r="A158" s="19" t="n"/>
      <c r="B158" s="22" t="n"/>
      <c r="C158" s="22" t="n"/>
      <c r="D158" s="16" t="n"/>
      <c r="E158" s="14" t="n"/>
      <c r="F158" s="22" t="n"/>
      <c r="G158" s="16" t="n"/>
      <c r="H158" s="19" t="n"/>
      <c r="I158" s="16" t="n"/>
      <c r="J158" s="22" t="n"/>
      <c r="K158" s="22" t="n"/>
      <c r="L158" s="16" t="n"/>
      <c r="M158" s="28">
        <f>IF(A158="","",IF(AND(C158="Sí",K158="Sí",F158&lt;&gt;"Excluido"),1,0))</f>
        <v/>
      </c>
      <c r="N158" s="2" t="n"/>
    </row>
    <row r="159" ht="15" customHeight="1" s="67">
      <c r="A159" s="19" t="n"/>
      <c r="B159" s="22" t="n"/>
      <c r="C159" s="22" t="n"/>
      <c r="D159" s="16" t="n"/>
      <c r="E159" s="14" t="n"/>
      <c r="F159" s="22" t="n"/>
      <c r="G159" s="16" t="n"/>
      <c r="H159" s="19" t="n"/>
      <c r="I159" s="16" t="n"/>
      <c r="J159" s="22" t="n"/>
      <c r="K159" s="22" t="n"/>
      <c r="L159" s="16" t="n"/>
      <c r="M159" s="28">
        <f>IF(A159="","",IF(AND(C159="Sí",K159="Sí",F159&lt;&gt;"Excluido"),1,0))</f>
        <v/>
      </c>
      <c r="N159" s="2" t="n"/>
    </row>
    <row r="160" ht="15" customHeight="1" s="67">
      <c r="A160" s="19" t="n"/>
      <c r="B160" s="22" t="n"/>
      <c r="C160" s="22" t="n"/>
      <c r="D160" s="16" t="n"/>
      <c r="E160" s="14" t="n"/>
      <c r="F160" s="22" t="n"/>
      <c r="G160" s="16" t="n"/>
      <c r="H160" s="19" t="n"/>
      <c r="I160" s="16" t="n"/>
      <c r="J160" s="22" t="n"/>
      <c r="K160" s="22" t="n"/>
      <c r="L160" s="16" t="n"/>
      <c r="M160" s="28">
        <f>IF(A160="","",IF(AND(C160="Sí",K160="Sí",F160&lt;&gt;"Excluido"),1,0))</f>
        <v/>
      </c>
      <c r="N160" s="2" t="n"/>
    </row>
    <row r="161" ht="15" customHeight="1" s="67">
      <c r="A161" s="19" t="n"/>
      <c r="B161" s="22" t="n"/>
      <c r="C161" s="22" t="n"/>
      <c r="D161" s="16" t="n"/>
      <c r="E161" s="14" t="n"/>
      <c r="F161" s="22" t="n"/>
      <c r="G161" s="16" t="n"/>
      <c r="H161" s="19" t="n"/>
      <c r="I161" s="16" t="n"/>
      <c r="J161" s="22" t="n"/>
      <c r="K161" s="22" t="n"/>
      <c r="L161" s="16" t="n"/>
      <c r="M161" s="28">
        <f>IF(A161="","",IF(AND(C161="Sí",K161="Sí",F161&lt;&gt;"Excluido"),1,0))</f>
        <v/>
      </c>
      <c r="N161" s="2" t="n"/>
    </row>
    <row r="162" ht="15" customHeight="1" s="67">
      <c r="A162" s="19" t="n"/>
      <c r="B162" s="22" t="n"/>
      <c r="C162" s="22" t="n"/>
      <c r="D162" s="16" t="n"/>
      <c r="E162" s="14" t="n"/>
      <c r="F162" s="22" t="n"/>
      <c r="G162" s="16" t="n"/>
      <c r="H162" s="19" t="n"/>
      <c r="I162" s="16" t="n"/>
      <c r="J162" s="22" t="n"/>
      <c r="K162" s="22" t="n"/>
      <c r="L162" s="16" t="n"/>
      <c r="M162" s="28">
        <f>IF(A162="","",IF(AND(C162="Sí",K162="Sí",F162&lt;&gt;"Excluido"),1,0))</f>
        <v/>
      </c>
      <c r="N162" s="2" t="n"/>
    </row>
    <row r="163" ht="15" customHeight="1" s="67">
      <c r="A163" s="19" t="n"/>
      <c r="B163" s="22" t="n"/>
      <c r="C163" s="22" t="n"/>
      <c r="D163" s="16" t="n"/>
      <c r="E163" s="14" t="n"/>
      <c r="F163" s="22" t="n"/>
      <c r="G163" s="16" t="n"/>
      <c r="H163" s="19" t="n"/>
      <c r="I163" s="16" t="n"/>
      <c r="J163" s="22" t="n"/>
      <c r="K163" s="22" t="n"/>
      <c r="L163" s="16" t="n"/>
      <c r="M163" s="28">
        <f>IF(A163="","",IF(AND(C163="Sí",K163="Sí",F163&lt;&gt;"Excluido"),1,0))</f>
        <v/>
      </c>
      <c r="N163" s="2" t="n"/>
    </row>
    <row r="164" ht="15" customHeight="1" s="67">
      <c r="A164" s="19" t="n"/>
      <c r="B164" s="22" t="n"/>
      <c r="C164" s="22" t="n"/>
      <c r="D164" s="16" t="n"/>
      <c r="E164" s="14" t="n"/>
      <c r="F164" s="22" t="n"/>
      <c r="G164" s="16" t="n"/>
      <c r="H164" s="19" t="n"/>
      <c r="I164" s="16" t="n"/>
      <c r="J164" s="22" t="n"/>
      <c r="K164" s="22" t="n"/>
      <c r="L164" s="16" t="n"/>
      <c r="M164" s="28">
        <f>IF(A164="","",IF(AND(C164="Sí",K164="Sí",F164&lt;&gt;"Excluido"),1,0))</f>
        <v/>
      </c>
      <c r="N164" s="2" t="n"/>
    </row>
    <row r="165" ht="15" customHeight="1" s="67">
      <c r="A165" s="19" t="n"/>
      <c r="B165" s="22" t="n"/>
      <c r="C165" s="22" t="n"/>
      <c r="D165" s="16" t="n"/>
      <c r="E165" s="14" t="n"/>
      <c r="F165" s="22" t="n"/>
      <c r="G165" s="16" t="n"/>
      <c r="H165" s="19" t="n"/>
      <c r="I165" s="16" t="n"/>
      <c r="J165" s="22" t="n"/>
      <c r="K165" s="22" t="n"/>
      <c r="L165" s="16" t="n"/>
      <c r="M165" s="28">
        <f>IF(A165="","",IF(AND(C165="Sí",K165="Sí",F165&lt;&gt;"Excluido"),1,0))</f>
        <v/>
      </c>
      <c r="N165" s="2" t="n"/>
    </row>
    <row r="166" ht="15" customHeight="1" s="67">
      <c r="A166" s="19" t="n"/>
      <c r="B166" s="22" t="n"/>
      <c r="C166" s="22" t="n"/>
      <c r="D166" s="16" t="n"/>
      <c r="E166" s="14" t="n"/>
      <c r="F166" s="22" t="n"/>
      <c r="G166" s="16" t="n"/>
      <c r="H166" s="19" t="n"/>
      <c r="I166" s="16" t="n"/>
      <c r="J166" s="22" t="n"/>
      <c r="K166" s="22" t="n"/>
      <c r="L166" s="16" t="n"/>
      <c r="M166" s="28">
        <f>IF(A166="","",IF(AND(C166="Sí",K166="Sí",F166&lt;&gt;"Excluido"),1,0))</f>
        <v/>
      </c>
      <c r="N166" s="2" t="n"/>
    </row>
    <row r="167" ht="15" customHeight="1" s="67">
      <c r="A167" s="19" t="n"/>
      <c r="B167" s="22" t="n"/>
      <c r="C167" s="22" t="n"/>
      <c r="D167" s="16" t="n"/>
      <c r="E167" s="14" t="n"/>
      <c r="F167" s="22" t="n"/>
      <c r="G167" s="16" t="n"/>
      <c r="H167" s="19" t="n"/>
      <c r="I167" s="16" t="n"/>
      <c r="J167" s="22" t="n"/>
      <c r="K167" s="22" t="n"/>
      <c r="L167" s="16" t="n"/>
      <c r="M167" s="28">
        <f>IF(A167="","",IF(AND(C167="Sí",K167="Sí",F167&lt;&gt;"Excluido"),1,0))</f>
        <v/>
      </c>
      <c r="N167" s="2" t="n"/>
    </row>
    <row r="168" ht="15" customHeight="1" s="67">
      <c r="A168" s="19" t="n"/>
      <c r="B168" s="22" t="n"/>
      <c r="C168" s="22" t="n"/>
      <c r="D168" s="16" t="n"/>
      <c r="E168" s="14" t="n"/>
      <c r="F168" s="22" t="n"/>
      <c r="G168" s="16" t="n"/>
      <c r="H168" s="19" t="n"/>
      <c r="I168" s="16" t="n"/>
      <c r="J168" s="22" t="n"/>
      <c r="K168" s="22" t="n"/>
      <c r="L168" s="16" t="n"/>
      <c r="M168" s="28">
        <f>IF(A168="","",IF(AND(C168="Sí",K168="Sí",F168&lt;&gt;"Excluido"),1,0))</f>
        <v/>
      </c>
      <c r="N168" s="2" t="n"/>
    </row>
    <row r="169" ht="15" customHeight="1" s="67">
      <c r="A169" s="19" t="n"/>
      <c r="B169" s="22" t="n"/>
      <c r="C169" s="22" t="n"/>
      <c r="D169" s="16" t="n"/>
      <c r="E169" s="14" t="n"/>
      <c r="F169" s="22" t="n"/>
      <c r="G169" s="16" t="n"/>
      <c r="H169" s="19" t="n"/>
      <c r="I169" s="16" t="n"/>
      <c r="J169" s="22" t="n"/>
      <c r="K169" s="22" t="n"/>
      <c r="L169" s="16" t="n"/>
      <c r="M169" s="28">
        <f>IF(A169="","",IF(AND(C169="Sí",K169="Sí",F169&lt;&gt;"Excluido"),1,0))</f>
        <v/>
      </c>
      <c r="N169" s="2" t="n"/>
    </row>
    <row r="170" ht="15" customHeight="1" s="67">
      <c r="A170" s="19" t="n"/>
      <c r="B170" s="22" t="n"/>
      <c r="C170" s="22" t="n"/>
      <c r="D170" s="16" t="n"/>
      <c r="E170" s="14" t="n"/>
      <c r="F170" s="22" t="n"/>
      <c r="G170" s="16" t="n"/>
      <c r="H170" s="19" t="n"/>
      <c r="I170" s="16" t="n"/>
      <c r="J170" s="22" t="n"/>
      <c r="K170" s="22" t="n"/>
      <c r="L170" s="16" t="n"/>
      <c r="M170" s="28">
        <f>IF(A170="","",IF(AND(C170="Sí",K170="Sí",F170&lt;&gt;"Excluido"),1,0))</f>
        <v/>
      </c>
      <c r="N170" s="2" t="n"/>
    </row>
    <row r="171" ht="15" customHeight="1" s="67">
      <c r="A171" s="19" t="n"/>
      <c r="B171" s="22" t="n"/>
      <c r="C171" s="22" t="n"/>
      <c r="D171" s="16" t="n"/>
      <c r="E171" s="14" t="n"/>
      <c r="F171" s="22" t="n"/>
      <c r="G171" s="16" t="n"/>
      <c r="H171" s="19" t="n"/>
      <c r="I171" s="16" t="n"/>
      <c r="J171" s="22" t="n"/>
      <c r="K171" s="22" t="n"/>
      <c r="L171" s="16" t="n"/>
      <c r="M171" s="28">
        <f>IF(A171="","",IF(AND(C171="Sí",K171="Sí",F171&lt;&gt;"Excluido"),1,0))</f>
        <v/>
      </c>
      <c r="N171" s="2" t="n"/>
    </row>
    <row r="172" ht="15" customHeight="1" s="67">
      <c r="A172" s="19" t="n"/>
      <c r="B172" s="22" t="n"/>
      <c r="C172" s="22" t="n"/>
      <c r="D172" s="16" t="n"/>
      <c r="E172" s="14" t="n"/>
      <c r="F172" s="22" t="n"/>
      <c r="G172" s="16" t="n"/>
      <c r="H172" s="19" t="n"/>
      <c r="I172" s="16" t="n"/>
      <c r="J172" s="22" t="n"/>
      <c r="K172" s="22" t="n"/>
      <c r="L172" s="16" t="n"/>
      <c r="M172" s="28">
        <f>IF(A172="","",IF(AND(C172="Sí",K172="Sí",F172&lt;&gt;"Excluido"),1,0))</f>
        <v/>
      </c>
      <c r="N172" s="2" t="n"/>
    </row>
    <row r="173" ht="15" customHeight="1" s="67">
      <c r="A173" s="19" t="n"/>
      <c r="B173" s="22" t="n"/>
      <c r="C173" s="22" t="n"/>
      <c r="D173" s="16" t="n"/>
      <c r="E173" s="14" t="n"/>
      <c r="F173" s="22" t="n"/>
      <c r="G173" s="16" t="n"/>
      <c r="H173" s="19" t="n"/>
      <c r="I173" s="16" t="n"/>
      <c r="J173" s="22" t="n"/>
      <c r="K173" s="22" t="n"/>
      <c r="L173" s="16" t="n"/>
      <c r="M173" s="28">
        <f>IF(A173="","",IF(AND(C173="Sí",K173="Sí",F173&lt;&gt;"Excluido"),1,0))</f>
        <v/>
      </c>
      <c r="N173" s="2" t="n"/>
    </row>
    <row r="174" ht="15" customHeight="1" s="67">
      <c r="A174" s="19" t="n"/>
      <c r="B174" s="22" t="n"/>
      <c r="C174" s="22" t="n"/>
      <c r="D174" s="16" t="n"/>
      <c r="E174" s="14" t="n"/>
      <c r="F174" s="22" t="n"/>
      <c r="G174" s="16" t="n"/>
      <c r="H174" s="19" t="n"/>
      <c r="I174" s="16" t="n"/>
      <c r="J174" s="22" t="n"/>
      <c r="K174" s="22" t="n"/>
      <c r="L174" s="16" t="n"/>
      <c r="M174" s="28">
        <f>IF(A174="","",IF(AND(C174="Sí",K174="Sí",F174&lt;&gt;"Excluido"),1,0))</f>
        <v/>
      </c>
      <c r="N174" s="2" t="n"/>
    </row>
    <row r="175" ht="15" customHeight="1" s="67">
      <c r="A175" s="19" t="n"/>
      <c r="B175" s="22" t="n"/>
      <c r="C175" s="22" t="n"/>
      <c r="D175" s="16" t="n"/>
      <c r="E175" s="14" t="n"/>
      <c r="F175" s="22" t="n"/>
      <c r="G175" s="16" t="n"/>
      <c r="H175" s="19" t="n"/>
      <c r="I175" s="16" t="n"/>
      <c r="J175" s="22" t="n"/>
      <c r="K175" s="22" t="n"/>
      <c r="L175" s="16" t="n"/>
      <c r="M175" s="28">
        <f>IF(A175="","",IF(AND(C175="Sí",K175="Sí",F175&lt;&gt;"Excluido"),1,0))</f>
        <v/>
      </c>
      <c r="N175" s="2" t="n"/>
    </row>
    <row r="176" ht="15" customHeight="1" s="67">
      <c r="A176" s="19" t="n"/>
      <c r="B176" s="22" t="n"/>
      <c r="C176" s="22" t="n"/>
      <c r="D176" s="16" t="n"/>
      <c r="E176" s="14" t="n"/>
      <c r="F176" s="22" t="n"/>
      <c r="G176" s="16" t="n"/>
      <c r="H176" s="19" t="n"/>
      <c r="I176" s="16" t="n"/>
      <c r="J176" s="22" t="n"/>
      <c r="K176" s="22" t="n"/>
      <c r="L176" s="16" t="n"/>
      <c r="M176" s="28">
        <f>IF(A176="","",IF(AND(C176="Sí",K176="Sí",F176&lt;&gt;"Excluido"),1,0))</f>
        <v/>
      </c>
      <c r="N176" s="2" t="n"/>
    </row>
    <row r="177" ht="15" customHeight="1" s="67">
      <c r="A177" s="19" t="n"/>
      <c r="B177" s="22" t="n"/>
      <c r="C177" s="22" t="n"/>
      <c r="D177" s="16" t="n"/>
      <c r="E177" s="14" t="n"/>
      <c r="F177" s="22" t="n"/>
      <c r="G177" s="16" t="n"/>
      <c r="H177" s="19" t="n"/>
      <c r="I177" s="16" t="n"/>
      <c r="J177" s="22" t="n"/>
      <c r="K177" s="22" t="n"/>
      <c r="L177" s="16" t="n"/>
      <c r="M177" s="28">
        <f>IF(A177="","",IF(AND(C177="Sí",K177="Sí",F177&lt;&gt;"Excluido"),1,0))</f>
        <v/>
      </c>
      <c r="N177" s="2" t="n"/>
    </row>
    <row r="178" ht="15" customHeight="1" s="67">
      <c r="A178" s="19" t="n"/>
      <c r="B178" s="22" t="n"/>
      <c r="C178" s="22" t="n"/>
      <c r="D178" s="16" t="n"/>
      <c r="E178" s="14" t="n"/>
      <c r="F178" s="22" t="n"/>
      <c r="G178" s="16" t="n"/>
      <c r="H178" s="19" t="n"/>
      <c r="I178" s="16" t="n"/>
      <c r="J178" s="22" t="n"/>
      <c r="K178" s="22" t="n"/>
      <c r="L178" s="16" t="n"/>
      <c r="M178" s="28">
        <f>IF(A178="","",IF(AND(C178="Sí",K178="Sí",F178&lt;&gt;"Excluido"),1,0))</f>
        <v/>
      </c>
      <c r="N178" s="2" t="n"/>
    </row>
    <row r="179" ht="15" customHeight="1" s="67">
      <c r="A179" s="19" t="n"/>
      <c r="B179" s="22" t="n"/>
      <c r="C179" s="22" t="n"/>
      <c r="D179" s="16" t="n"/>
      <c r="E179" s="14" t="n"/>
      <c r="F179" s="22" t="n"/>
      <c r="G179" s="16" t="n"/>
      <c r="H179" s="19" t="n"/>
      <c r="I179" s="16" t="n"/>
      <c r="J179" s="22" t="n"/>
      <c r="K179" s="22" t="n"/>
      <c r="L179" s="16" t="n"/>
      <c r="M179" s="28">
        <f>IF(A179="","",IF(AND(C179="Sí",K179="Sí",F179&lt;&gt;"Excluido"),1,0))</f>
        <v/>
      </c>
      <c r="N179" s="2" t="n"/>
    </row>
    <row r="180" ht="15" customHeight="1" s="67">
      <c r="A180" s="19" t="n"/>
      <c r="B180" s="22" t="n"/>
      <c r="C180" s="22" t="n"/>
      <c r="D180" s="16" t="n"/>
      <c r="E180" s="14" t="n"/>
      <c r="F180" s="22" t="n"/>
      <c r="G180" s="16" t="n"/>
      <c r="H180" s="19" t="n"/>
      <c r="I180" s="16" t="n"/>
      <c r="J180" s="22" t="n"/>
      <c r="K180" s="22" t="n"/>
      <c r="L180" s="16" t="n"/>
      <c r="M180" s="28">
        <f>IF(A180="","",IF(AND(C180="Sí",K180="Sí",F180&lt;&gt;"Excluido"),1,0))</f>
        <v/>
      </c>
      <c r="N180" s="2" t="n"/>
    </row>
    <row r="181" ht="15" customHeight="1" s="67">
      <c r="A181" s="19" t="n"/>
      <c r="B181" s="22" t="n"/>
      <c r="C181" s="22" t="n"/>
      <c r="D181" s="16" t="n"/>
      <c r="E181" s="14" t="n"/>
      <c r="F181" s="22" t="n"/>
      <c r="G181" s="16" t="n"/>
      <c r="H181" s="19" t="n"/>
      <c r="I181" s="16" t="n"/>
      <c r="J181" s="22" t="n"/>
      <c r="K181" s="22" t="n"/>
      <c r="L181" s="16" t="n"/>
      <c r="M181" s="28">
        <f>IF(A181="","",IF(AND(C181="Sí",K181="Sí",F181&lt;&gt;"Excluido"),1,0))</f>
        <v/>
      </c>
      <c r="N181" s="2" t="n"/>
    </row>
    <row r="182" ht="15" customHeight="1" s="67">
      <c r="A182" s="19" t="n"/>
      <c r="B182" s="22" t="n"/>
      <c r="C182" s="22" t="n"/>
      <c r="D182" s="16" t="n"/>
      <c r="E182" s="14" t="n"/>
      <c r="F182" s="22" t="n"/>
      <c r="G182" s="16" t="n"/>
      <c r="H182" s="19" t="n"/>
      <c r="I182" s="16" t="n"/>
      <c r="J182" s="22" t="n"/>
      <c r="K182" s="22" t="n"/>
      <c r="L182" s="16" t="n"/>
      <c r="M182" s="28">
        <f>IF(A182="","",IF(AND(C182="Sí",K182="Sí",F182&lt;&gt;"Excluido"),1,0))</f>
        <v/>
      </c>
      <c r="N182" s="2" t="n"/>
    </row>
    <row r="183" ht="15" customHeight="1" s="67">
      <c r="A183" s="19" t="n"/>
      <c r="B183" s="22" t="n"/>
      <c r="C183" s="22" t="n"/>
      <c r="D183" s="16" t="n"/>
      <c r="E183" s="14" t="n"/>
      <c r="F183" s="22" t="n"/>
      <c r="G183" s="16" t="n"/>
      <c r="H183" s="19" t="n"/>
      <c r="I183" s="16" t="n"/>
      <c r="J183" s="22" t="n"/>
      <c r="K183" s="22" t="n"/>
      <c r="L183" s="16" t="n"/>
      <c r="M183" s="28">
        <f>IF(A183="","",IF(AND(C183="Sí",K183="Sí",F183&lt;&gt;"Excluido"),1,0))</f>
        <v/>
      </c>
      <c r="N183" s="2" t="n"/>
    </row>
    <row r="184" ht="15" customHeight="1" s="67">
      <c r="A184" s="19" t="n"/>
      <c r="B184" s="22" t="n"/>
      <c r="C184" s="22" t="n"/>
      <c r="D184" s="16" t="n"/>
      <c r="E184" s="14" t="n"/>
      <c r="F184" s="22" t="n"/>
      <c r="G184" s="16" t="n"/>
      <c r="H184" s="19" t="n"/>
      <c r="I184" s="16" t="n"/>
      <c r="J184" s="22" t="n"/>
      <c r="K184" s="22" t="n"/>
      <c r="L184" s="16" t="n"/>
      <c r="M184" s="28">
        <f>IF(A184="","",IF(AND(C184="Sí",K184="Sí",F184&lt;&gt;"Excluido"),1,0))</f>
        <v/>
      </c>
      <c r="N184" s="2" t="n"/>
    </row>
    <row r="185" ht="15" customHeight="1" s="67">
      <c r="A185" s="19" t="n"/>
      <c r="B185" s="22" t="n"/>
      <c r="C185" s="22" t="n"/>
      <c r="D185" s="16" t="n"/>
      <c r="E185" s="14" t="n"/>
      <c r="F185" s="22" t="n"/>
      <c r="G185" s="16" t="n"/>
      <c r="H185" s="19" t="n"/>
      <c r="I185" s="16" t="n"/>
      <c r="J185" s="22" t="n"/>
      <c r="K185" s="22" t="n"/>
      <c r="L185" s="16" t="n"/>
      <c r="M185" s="28">
        <f>IF(A185="","",IF(AND(C185="Sí",K185="Sí",F185&lt;&gt;"Excluido"),1,0))</f>
        <v/>
      </c>
      <c r="N185" s="2" t="n"/>
    </row>
    <row r="186" ht="15" customHeight="1" s="67">
      <c r="A186" s="19" t="n"/>
      <c r="B186" s="22" t="n"/>
      <c r="C186" s="22" t="n"/>
      <c r="D186" s="16" t="n"/>
      <c r="E186" s="14" t="n"/>
      <c r="F186" s="22" t="n"/>
      <c r="G186" s="16" t="n"/>
      <c r="H186" s="19" t="n"/>
      <c r="I186" s="16" t="n"/>
      <c r="J186" s="22" t="n"/>
      <c r="K186" s="22" t="n"/>
      <c r="L186" s="16" t="n"/>
      <c r="M186" s="28">
        <f>IF(A186="","",IF(AND(C186="Sí",K186="Sí",F186&lt;&gt;"Excluido"),1,0))</f>
        <v/>
      </c>
      <c r="N186" s="2" t="n"/>
    </row>
    <row r="187" ht="15" customHeight="1" s="67">
      <c r="A187" s="19" t="n"/>
      <c r="B187" s="22" t="n"/>
      <c r="C187" s="22" t="n"/>
      <c r="D187" s="16" t="n"/>
      <c r="E187" s="14" t="n"/>
      <c r="F187" s="22" t="n"/>
      <c r="G187" s="16" t="n"/>
      <c r="H187" s="19" t="n"/>
      <c r="I187" s="16" t="n"/>
      <c r="J187" s="22" t="n"/>
      <c r="K187" s="22" t="n"/>
      <c r="L187" s="16" t="n"/>
      <c r="M187" s="28">
        <f>IF(A187="","",IF(AND(C187="Sí",K187="Sí",F187&lt;&gt;"Excluido"),1,0))</f>
        <v/>
      </c>
      <c r="N187" s="2" t="n"/>
    </row>
    <row r="188" ht="15" customHeight="1" s="67">
      <c r="A188" s="19" t="n"/>
      <c r="B188" s="22" t="n"/>
      <c r="C188" s="22" t="n"/>
      <c r="D188" s="16" t="n"/>
      <c r="E188" s="14" t="n"/>
      <c r="F188" s="22" t="n"/>
      <c r="G188" s="16" t="n"/>
      <c r="H188" s="19" t="n"/>
      <c r="I188" s="16" t="n"/>
      <c r="J188" s="22" t="n"/>
      <c r="K188" s="22" t="n"/>
      <c r="L188" s="16" t="n"/>
      <c r="M188" s="28">
        <f>IF(A188="","",IF(AND(C188="Sí",K188="Sí",F188&lt;&gt;"Excluido"),1,0))</f>
        <v/>
      </c>
      <c r="N188" s="2" t="n"/>
    </row>
    <row r="189" ht="15" customHeight="1" s="67">
      <c r="A189" s="19" t="n"/>
      <c r="B189" s="22" t="n"/>
      <c r="C189" s="22" t="n"/>
      <c r="D189" s="16" t="n"/>
      <c r="E189" s="14" t="n"/>
      <c r="F189" s="22" t="n"/>
      <c r="G189" s="16" t="n"/>
      <c r="H189" s="19" t="n"/>
      <c r="I189" s="16" t="n"/>
      <c r="J189" s="22" t="n"/>
      <c r="K189" s="22" t="n"/>
      <c r="L189" s="16" t="n"/>
      <c r="M189" s="28">
        <f>IF(A189="","",IF(AND(C189="Sí",K189="Sí",F189&lt;&gt;"Excluido"),1,0))</f>
        <v/>
      </c>
      <c r="N189" s="2" t="n"/>
    </row>
    <row r="190" ht="15" customHeight="1" s="67">
      <c r="A190" s="19" t="n"/>
      <c r="B190" s="22" t="n"/>
      <c r="C190" s="22" t="n"/>
      <c r="D190" s="16" t="n"/>
      <c r="E190" s="14" t="n"/>
      <c r="F190" s="22" t="n"/>
      <c r="G190" s="16" t="n"/>
      <c r="H190" s="19" t="n"/>
      <c r="I190" s="16" t="n"/>
      <c r="J190" s="22" t="n"/>
      <c r="K190" s="22" t="n"/>
      <c r="L190" s="16" t="n"/>
      <c r="M190" s="28">
        <f>IF(A190="","",IF(AND(C190="Sí",K190="Sí",F190&lt;&gt;"Excluido"),1,0))</f>
        <v/>
      </c>
      <c r="N190" s="2" t="n"/>
    </row>
    <row r="191" ht="15" customHeight="1" s="67">
      <c r="A191" s="19" t="n"/>
      <c r="B191" s="22" t="n"/>
      <c r="C191" s="22" t="n"/>
      <c r="D191" s="16" t="n"/>
      <c r="E191" s="14" t="n"/>
      <c r="F191" s="22" t="n"/>
      <c r="G191" s="16" t="n"/>
      <c r="H191" s="19" t="n"/>
      <c r="I191" s="16" t="n"/>
      <c r="J191" s="22" t="n"/>
      <c r="K191" s="22" t="n"/>
      <c r="L191" s="16" t="n"/>
      <c r="M191" s="28">
        <f>IF(A191="","",IF(AND(C191="Sí",K191="Sí",F191&lt;&gt;"Excluido"),1,0))</f>
        <v/>
      </c>
      <c r="N191" s="2" t="n"/>
    </row>
    <row r="192" ht="15" customHeight="1" s="67">
      <c r="A192" s="19" t="n"/>
      <c r="B192" s="22" t="n"/>
      <c r="C192" s="22" t="n"/>
      <c r="D192" s="16" t="n"/>
      <c r="E192" s="14" t="n"/>
      <c r="F192" s="22" t="n"/>
      <c r="G192" s="16" t="n"/>
      <c r="H192" s="19" t="n"/>
      <c r="I192" s="16" t="n"/>
      <c r="J192" s="22" t="n"/>
      <c r="K192" s="22" t="n"/>
      <c r="L192" s="16" t="n"/>
      <c r="M192" s="28">
        <f>IF(A192="","",IF(AND(C192="Sí",K192="Sí",F192&lt;&gt;"Excluido"),1,0))</f>
        <v/>
      </c>
      <c r="N192" s="2" t="n"/>
    </row>
    <row r="193" ht="15" customHeight="1" s="67">
      <c r="A193" s="19" t="n"/>
      <c r="B193" s="22" t="n"/>
      <c r="C193" s="22" t="n"/>
      <c r="D193" s="16" t="n"/>
      <c r="E193" s="14" t="n"/>
      <c r="F193" s="22" t="n"/>
      <c r="G193" s="16" t="n"/>
      <c r="H193" s="19" t="n"/>
      <c r="I193" s="16" t="n"/>
      <c r="J193" s="22" t="n"/>
      <c r="K193" s="22" t="n"/>
      <c r="L193" s="16" t="n"/>
      <c r="M193" s="28">
        <f>IF(A193="","",IF(AND(C193="Sí",K193="Sí",F193&lt;&gt;"Excluido"),1,0))</f>
        <v/>
      </c>
      <c r="N193" s="2" t="n"/>
    </row>
    <row r="194" ht="15" customHeight="1" s="67">
      <c r="A194" s="19" t="n"/>
      <c r="B194" s="22" t="n"/>
      <c r="C194" s="22" t="n"/>
      <c r="D194" s="16" t="n"/>
      <c r="E194" s="14" t="n"/>
      <c r="F194" s="22" t="n"/>
      <c r="G194" s="16" t="n"/>
      <c r="H194" s="19" t="n"/>
      <c r="I194" s="16" t="n"/>
      <c r="J194" s="22" t="n"/>
      <c r="K194" s="22" t="n"/>
      <c r="L194" s="16" t="n"/>
      <c r="M194" s="28">
        <f>IF(A194="","",IF(AND(C194="Sí",K194="Sí",F194&lt;&gt;"Excluido"),1,0))</f>
        <v/>
      </c>
      <c r="N194" s="2" t="n"/>
    </row>
    <row r="195" ht="15" customHeight="1" s="67">
      <c r="A195" s="19" t="n"/>
      <c r="B195" s="22" t="n"/>
      <c r="C195" s="22" t="n"/>
      <c r="D195" s="16" t="n"/>
      <c r="E195" s="14" t="n"/>
      <c r="F195" s="22" t="n"/>
      <c r="G195" s="16" t="n"/>
      <c r="H195" s="19" t="n"/>
      <c r="I195" s="16" t="n"/>
      <c r="J195" s="22" t="n"/>
      <c r="K195" s="22" t="n"/>
      <c r="L195" s="16" t="n"/>
      <c r="M195" s="28">
        <f>IF(A195="","",IF(AND(C195="Sí",K195="Sí",F195&lt;&gt;"Excluido"),1,0))</f>
        <v/>
      </c>
      <c r="N195" s="2" t="n"/>
    </row>
    <row r="196" ht="15" customHeight="1" s="67">
      <c r="A196" s="19" t="n"/>
      <c r="B196" s="22" t="n"/>
      <c r="C196" s="22" t="n"/>
      <c r="D196" s="16" t="n"/>
      <c r="E196" s="14" t="n"/>
      <c r="F196" s="22" t="n"/>
      <c r="G196" s="16" t="n"/>
      <c r="H196" s="19" t="n"/>
      <c r="I196" s="16" t="n"/>
      <c r="J196" s="22" t="n"/>
      <c r="K196" s="22" t="n"/>
      <c r="L196" s="16" t="n"/>
      <c r="M196" s="28">
        <f>IF(A196="","",IF(AND(C196="Sí",K196="Sí",F196&lt;&gt;"Excluido"),1,0))</f>
        <v/>
      </c>
      <c r="N196" s="2" t="n"/>
    </row>
    <row r="197" ht="15" customHeight="1" s="67">
      <c r="A197" s="19" t="n"/>
      <c r="B197" s="22" t="n"/>
      <c r="C197" s="22" t="n"/>
      <c r="D197" s="16" t="n"/>
      <c r="E197" s="14" t="n"/>
      <c r="F197" s="22" t="n"/>
      <c r="G197" s="16" t="n"/>
      <c r="H197" s="19" t="n"/>
      <c r="I197" s="16" t="n"/>
      <c r="J197" s="22" t="n"/>
      <c r="K197" s="22" t="n"/>
      <c r="L197" s="16" t="n"/>
      <c r="M197" s="28">
        <f>IF(A197="","",IF(AND(C197="Sí",K197="Sí",F197&lt;&gt;"Excluido"),1,0))</f>
        <v/>
      </c>
      <c r="N197" s="2" t="n"/>
    </row>
    <row r="198" ht="15" customHeight="1" s="67">
      <c r="A198" s="19" t="n"/>
      <c r="B198" s="22" t="n"/>
      <c r="C198" s="22" t="n"/>
      <c r="D198" s="16" t="n"/>
      <c r="E198" s="14" t="n"/>
      <c r="F198" s="22" t="n"/>
      <c r="G198" s="16" t="n"/>
      <c r="H198" s="19" t="n"/>
      <c r="I198" s="16" t="n"/>
      <c r="J198" s="22" t="n"/>
      <c r="K198" s="22" t="n"/>
      <c r="L198" s="16" t="n"/>
      <c r="M198" s="28">
        <f>IF(A198="","",IF(AND(C198="Sí",K198="Sí",F198&lt;&gt;"Excluido"),1,0))</f>
        <v/>
      </c>
      <c r="N198" s="2" t="n"/>
    </row>
    <row r="199" ht="15" customHeight="1" s="67">
      <c r="A199" s="19" t="n"/>
      <c r="B199" s="22" t="n"/>
      <c r="C199" s="22" t="n"/>
      <c r="D199" s="16" t="n"/>
      <c r="E199" s="14" t="n"/>
      <c r="F199" s="22" t="n"/>
      <c r="G199" s="16" t="n"/>
      <c r="H199" s="19" t="n"/>
      <c r="I199" s="16" t="n"/>
      <c r="J199" s="22" t="n"/>
      <c r="K199" s="22" t="n"/>
      <c r="L199" s="16" t="n"/>
      <c r="M199" s="28">
        <f>IF(A199="","",IF(AND(C199="Sí",K199="Sí",F199&lt;&gt;"Excluido"),1,0))</f>
        <v/>
      </c>
      <c r="N199" s="2" t="n"/>
    </row>
    <row r="200" ht="15" customHeight="1" s="67">
      <c r="A200" s="19" t="n"/>
      <c r="B200" s="22" t="n"/>
      <c r="C200" s="22" t="n"/>
      <c r="D200" s="16" t="n"/>
      <c r="E200" s="14" t="n"/>
      <c r="F200" s="22" t="n"/>
      <c r="G200" s="16" t="n"/>
      <c r="H200" s="19" t="n"/>
      <c r="I200" s="16" t="n"/>
      <c r="J200" s="22" t="n"/>
      <c r="K200" s="22" t="n"/>
      <c r="L200" s="16" t="n"/>
      <c r="M200" s="28">
        <f>IF(A200="","",IF(AND(C200="Sí",K200="Sí",F200&lt;&gt;"Excluido"),1,0))</f>
        <v/>
      </c>
      <c r="N200" s="2" t="n"/>
    </row>
    <row r="201" ht="15" customHeight="1" s="67">
      <c r="A201" s="19" t="n"/>
      <c r="B201" s="22" t="n"/>
      <c r="C201" s="22" t="n"/>
      <c r="D201" s="16" t="n"/>
      <c r="E201" s="14" t="n"/>
      <c r="F201" s="22" t="n"/>
      <c r="G201" s="16" t="n"/>
      <c r="H201" s="19" t="n"/>
      <c r="I201" s="16" t="n"/>
      <c r="J201" s="22" t="n"/>
      <c r="K201" s="22" t="n"/>
      <c r="L201" s="16" t="n"/>
      <c r="M201" s="28">
        <f>IF(A201="","",IF(AND(C201="Sí",K201="Sí",F201&lt;&gt;"Excluido"),1,0))</f>
        <v/>
      </c>
      <c r="N201" s="2" t="n"/>
    </row>
    <row r="202" ht="15" customHeight="1" s="67">
      <c r="A202" s="19" t="n"/>
      <c r="B202" s="22" t="n"/>
      <c r="C202" s="22" t="n"/>
      <c r="D202" s="16" t="n"/>
      <c r="E202" s="14" t="n"/>
      <c r="F202" s="22" t="n"/>
      <c r="G202" s="16" t="n"/>
      <c r="H202" s="19" t="n"/>
      <c r="I202" s="16" t="n"/>
      <c r="J202" s="22" t="n"/>
      <c r="K202" s="22" t="n"/>
      <c r="L202" s="16" t="n"/>
      <c r="M202" s="28">
        <f>IF(A202="","",IF(AND(C202="Sí",K202="Sí",F202&lt;&gt;"Excluido"),1,0))</f>
        <v/>
      </c>
      <c r="N202" s="2" t="n"/>
    </row>
    <row r="203" ht="15" customHeight="1" s="67">
      <c r="A203" s="19" t="n"/>
      <c r="B203" s="22" t="n"/>
      <c r="C203" s="22" t="n"/>
      <c r="D203" s="16" t="n"/>
      <c r="E203" s="14" t="n"/>
      <c r="F203" s="22" t="n"/>
      <c r="G203" s="16" t="n"/>
      <c r="H203" s="19" t="n"/>
      <c r="I203" s="16" t="n"/>
      <c r="J203" s="22" t="n"/>
      <c r="K203" s="22" t="n"/>
      <c r="L203" s="16" t="n"/>
      <c r="M203" s="28">
        <f>IF(A203="","",IF(AND(C203="Sí",K203="Sí",F203&lt;&gt;"Excluido"),1,0))</f>
        <v/>
      </c>
      <c r="N203" s="2" t="n"/>
    </row>
    <row r="204" ht="15" customHeight="1" s="67">
      <c r="A204" s="19" t="n"/>
      <c r="B204" s="22" t="n"/>
      <c r="C204" s="22" t="n"/>
      <c r="D204" s="16" t="n"/>
      <c r="E204" s="14" t="n"/>
      <c r="F204" s="22" t="n"/>
      <c r="G204" s="16" t="n"/>
      <c r="H204" s="19" t="n"/>
      <c r="I204" s="16" t="n"/>
      <c r="J204" s="22" t="n"/>
      <c r="K204" s="22" t="n"/>
      <c r="L204" s="16" t="n"/>
      <c r="M204" s="28">
        <f>IF(A204="","",IF(AND(C204="Sí",K204="Sí",F204&lt;&gt;"Excluido"),1,0))</f>
        <v/>
      </c>
      <c r="N204" s="2" t="n"/>
    </row>
    <row r="205" ht="15" customHeight="1" s="67">
      <c r="A205" s="19" t="n"/>
      <c r="B205" s="22" t="n"/>
      <c r="C205" s="22" t="n"/>
      <c r="D205" s="16" t="n"/>
      <c r="E205" s="14" t="n"/>
      <c r="F205" s="22" t="n"/>
      <c r="G205" s="16" t="n"/>
      <c r="H205" s="19" t="n"/>
      <c r="I205" s="16" t="n"/>
      <c r="J205" s="22" t="n"/>
      <c r="K205" s="22" t="n"/>
      <c r="L205" s="16" t="n"/>
      <c r="M205" s="28">
        <f>IF(A205="","",IF(AND(C205="Sí",K205="Sí",F205&lt;&gt;"Excluido"),1,0))</f>
        <v/>
      </c>
      <c r="N205" s="2" t="n"/>
    </row>
    <row r="206" ht="15" customHeight="1" s="67">
      <c r="A206" s="19" t="n"/>
      <c r="B206" s="22" t="n"/>
      <c r="C206" s="22" t="n"/>
      <c r="D206" s="16" t="n"/>
      <c r="E206" s="14" t="n"/>
      <c r="F206" s="22" t="n"/>
      <c r="G206" s="16" t="n"/>
      <c r="H206" s="19" t="n"/>
      <c r="I206" s="16" t="n"/>
      <c r="J206" s="22" t="n"/>
      <c r="K206" s="22" t="n"/>
      <c r="L206" s="16" t="n"/>
      <c r="M206" s="28">
        <f>IF(A206="","",IF(AND(C206="Sí",K206="Sí",F206&lt;&gt;"Excluido"),1,0))</f>
        <v/>
      </c>
      <c r="N206" s="2" t="n"/>
    </row>
    <row r="207" ht="15" customHeight="1" s="67">
      <c r="A207" s="19" t="n"/>
      <c r="B207" s="22" t="n"/>
      <c r="C207" s="22" t="n"/>
      <c r="D207" s="16" t="n"/>
      <c r="E207" s="14" t="n"/>
      <c r="F207" s="22" t="n"/>
      <c r="G207" s="16" t="n"/>
      <c r="H207" s="19" t="n"/>
      <c r="I207" s="16" t="n"/>
      <c r="J207" s="22" t="n"/>
      <c r="K207" s="22" t="n"/>
      <c r="L207" s="16" t="n"/>
      <c r="M207" s="28">
        <f>IF(A207="","",IF(AND(C207="Sí",K207="Sí",F207&lt;&gt;"Excluido"),1,0))</f>
        <v/>
      </c>
      <c r="N207" s="2" t="n"/>
    </row>
    <row r="208" ht="15" customHeight="1" s="67">
      <c r="A208" s="19" t="n"/>
      <c r="B208" s="22" t="n"/>
      <c r="C208" s="22" t="n"/>
      <c r="D208" s="16" t="n"/>
      <c r="E208" s="14" t="n"/>
      <c r="F208" s="22" t="n"/>
      <c r="G208" s="16" t="n"/>
      <c r="H208" s="19" t="n"/>
      <c r="I208" s="16" t="n"/>
      <c r="J208" s="22" t="n"/>
      <c r="K208" s="22" t="n"/>
      <c r="L208" s="16" t="n"/>
      <c r="M208" s="28">
        <f>IF(A208="","",IF(AND(C208="Sí",K208="Sí",F208&lt;&gt;"Excluido"),1,0))</f>
        <v/>
      </c>
      <c r="N208" s="2" t="n"/>
    </row>
    <row r="209" ht="15" customHeight="1" s="67">
      <c r="A209" s="19" t="n"/>
      <c r="B209" s="22" t="n"/>
      <c r="C209" s="22" t="n"/>
      <c r="D209" s="16" t="n"/>
      <c r="E209" s="14" t="n"/>
      <c r="F209" s="22" t="n"/>
      <c r="G209" s="16" t="n"/>
      <c r="H209" s="19" t="n"/>
      <c r="I209" s="16" t="n"/>
      <c r="J209" s="22" t="n"/>
      <c r="K209" s="22" t="n"/>
      <c r="L209" s="16" t="n"/>
      <c r="M209" s="28">
        <f>IF(A209="","",IF(AND(C209="Sí",K209="Sí",F209&lt;&gt;"Excluido"),1,0))</f>
        <v/>
      </c>
      <c r="N209" s="2" t="n"/>
    </row>
    <row r="210" ht="15" customHeight="1" s="67">
      <c r="A210" s="19" t="n"/>
      <c r="B210" s="22" t="n"/>
      <c r="C210" s="22" t="n"/>
      <c r="D210" s="16" t="n"/>
      <c r="E210" s="14" t="n"/>
      <c r="F210" s="22" t="n"/>
      <c r="G210" s="16" t="n"/>
      <c r="H210" s="19" t="n"/>
      <c r="I210" s="16" t="n"/>
      <c r="J210" s="22" t="n"/>
      <c r="K210" s="22" t="n"/>
      <c r="L210" s="16" t="n"/>
      <c r="M210" s="28">
        <f>IF(A210="","",IF(AND(C210="Sí",K210="Sí",F210&lt;&gt;"Excluido"),1,0))</f>
        <v/>
      </c>
      <c r="N210" s="2" t="n"/>
    </row>
    <row r="211" ht="15" customHeight="1" s="67">
      <c r="A211" s="19" t="n"/>
      <c r="B211" s="22" t="n"/>
      <c r="C211" s="22" t="n"/>
      <c r="D211" s="16" t="n"/>
      <c r="E211" s="14" t="n"/>
      <c r="F211" s="22" t="n"/>
      <c r="G211" s="16" t="n"/>
      <c r="H211" s="19" t="n"/>
      <c r="I211" s="16" t="n"/>
      <c r="J211" s="22" t="n"/>
      <c r="K211" s="22" t="n"/>
      <c r="L211" s="16" t="n"/>
      <c r="M211" s="28">
        <f>IF(A211="","",IF(AND(C211="Sí",K211="Sí",F211&lt;&gt;"Excluido"),1,0))</f>
        <v/>
      </c>
      <c r="N211" s="2" t="n"/>
    </row>
    <row r="212" ht="15" customHeight="1" s="67">
      <c r="A212" s="19" t="n"/>
      <c r="B212" s="22" t="n"/>
      <c r="C212" s="22" t="n"/>
      <c r="D212" s="16" t="n"/>
      <c r="E212" s="14" t="n"/>
      <c r="F212" s="22" t="n"/>
      <c r="G212" s="16" t="n"/>
      <c r="H212" s="19" t="n"/>
      <c r="I212" s="16" t="n"/>
      <c r="J212" s="22" t="n"/>
      <c r="K212" s="22" t="n"/>
      <c r="L212" s="16" t="n"/>
      <c r="M212" s="28">
        <f>IF(A212="","",IF(AND(C212="Sí",K212="Sí",F212&lt;&gt;"Excluido"),1,0))</f>
        <v/>
      </c>
      <c r="N212" s="2" t="n"/>
    </row>
    <row r="213" ht="15" customHeight="1" s="67">
      <c r="A213" s="19" t="n"/>
      <c r="B213" s="22" t="n"/>
      <c r="C213" s="22" t="n"/>
      <c r="D213" s="16" t="n"/>
      <c r="E213" s="14" t="n"/>
      <c r="F213" s="22" t="n"/>
      <c r="G213" s="16" t="n"/>
      <c r="H213" s="19" t="n"/>
      <c r="I213" s="16" t="n"/>
      <c r="J213" s="22" t="n"/>
      <c r="K213" s="22" t="n"/>
      <c r="L213" s="16" t="n"/>
      <c r="M213" s="28">
        <f>IF(A213="","",IF(AND(C213="Sí",K213="Sí",F213&lt;&gt;"Excluido"),1,0))</f>
        <v/>
      </c>
      <c r="N213" s="2" t="n"/>
    </row>
    <row r="214" ht="15" customHeight="1" s="67">
      <c r="A214" s="19" t="n"/>
      <c r="B214" s="22" t="n"/>
      <c r="C214" s="22" t="n"/>
      <c r="D214" s="16" t="n"/>
      <c r="E214" s="14" t="n"/>
      <c r="F214" s="22" t="n"/>
      <c r="G214" s="16" t="n"/>
      <c r="H214" s="19" t="n"/>
      <c r="I214" s="16" t="n"/>
      <c r="J214" s="22" t="n"/>
      <c r="K214" s="22" t="n"/>
      <c r="L214" s="16" t="n"/>
      <c r="M214" s="28">
        <f>IF(A214="","",IF(AND(C214="Sí",K214="Sí",F214&lt;&gt;"Excluido"),1,0))</f>
        <v/>
      </c>
      <c r="N214" s="2" t="n"/>
    </row>
    <row r="215" ht="15" customHeight="1" s="67">
      <c r="A215" s="19" t="n"/>
      <c r="B215" s="22" t="n"/>
      <c r="C215" s="22" t="n"/>
      <c r="D215" s="16" t="n"/>
      <c r="E215" s="14" t="n"/>
      <c r="F215" s="22" t="n"/>
      <c r="G215" s="16" t="n"/>
      <c r="H215" s="19" t="n"/>
      <c r="I215" s="16" t="n"/>
      <c r="J215" s="22" t="n"/>
      <c r="K215" s="22" t="n"/>
      <c r="L215" s="16" t="n"/>
      <c r="M215" s="28">
        <f>IF(A215="","",IF(AND(C215="Sí",K215="Sí",F215&lt;&gt;"Excluido"),1,0))</f>
        <v/>
      </c>
      <c r="N215" s="2" t="n"/>
    </row>
    <row r="216" ht="15" customHeight="1" s="67">
      <c r="A216" s="19" t="n"/>
      <c r="B216" s="22" t="n"/>
      <c r="C216" s="22" t="n"/>
      <c r="D216" s="16" t="n"/>
      <c r="E216" s="14" t="n"/>
      <c r="F216" s="22" t="n"/>
      <c r="G216" s="16" t="n"/>
      <c r="H216" s="19" t="n"/>
      <c r="I216" s="16" t="n"/>
      <c r="J216" s="22" t="n"/>
      <c r="K216" s="22" t="n"/>
      <c r="L216" s="16" t="n"/>
      <c r="M216" s="28">
        <f>IF(A216="","",IF(AND(C216="Sí",K216="Sí",F216&lt;&gt;"Excluido"),1,0))</f>
        <v/>
      </c>
      <c r="N216" s="2" t="n"/>
    </row>
    <row r="217" ht="15" customHeight="1" s="67">
      <c r="A217" s="19" t="n"/>
      <c r="B217" s="22" t="n"/>
      <c r="C217" s="22" t="n"/>
      <c r="D217" s="16" t="n"/>
      <c r="E217" s="14" t="n"/>
      <c r="F217" s="22" t="n"/>
      <c r="G217" s="16" t="n"/>
      <c r="H217" s="19" t="n"/>
      <c r="I217" s="16" t="n"/>
      <c r="J217" s="22" t="n"/>
      <c r="K217" s="22" t="n"/>
      <c r="L217" s="16" t="n"/>
      <c r="M217" s="28">
        <f>IF(A217="","",IF(AND(C217="Sí",K217="Sí",F217&lt;&gt;"Excluido"),1,0))</f>
        <v/>
      </c>
      <c r="N217" s="2" t="n"/>
    </row>
    <row r="218" ht="15" customHeight="1" s="67">
      <c r="A218" s="19" t="n"/>
      <c r="B218" s="22" t="n"/>
      <c r="C218" s="22" t="n"/>
      <c r="D218" s="16" t="n"/>
      <c r="E218" s="14" t="n"/>
      <c r="F218" s="22" t="n"/>
      <c r="G218" s="16" t="n"/>
      <c r="H218" s="19" t="n"/>
      <c r="I218" s="16" t="n"/>
      <c r="J218" s="22" t="n"/>
      <c r="K218" s="22" t="n"/>
      <c r="L218" s="16" t="n"/>
      <c r="M218" s="28">
        <f>IF(A218="","",IF(AND(C218="Sí",K218="Sí",F218&lt;&gt;"Excluido"),1,0))</f>
        <v/>
      </c>
      <c r="N218" s="2" t="n"/>
    </row>
    <row r="219" ht="15" customHeight="1" s="67">
      <c r="A219" s="19" t="n"/>
      <c r="B219" s="22" t="n"/>
      <c r="C219" s="22" t="n"/>
      <c r="D219" s="16" t="n"/>
      <c r="E219" s="14" t="n"/>
      <c r="F219" s="22" t="n"/>
      <c r="G219" s="16" t="n"/>
      <c r="H219" s="19" t="n"/>
      <c r="I219" s="16" t="n"/>
      <c r="J219" s="22" t="n"/>
      <c r="K219" s="22" t="n"/>
      <c r="L219" s="16" t="n"/>
      <c r="M219" s="28">
        <f>IF(A219="","",IF(AND(C219="Sí",K219="Sí",F219&lt;&gt;"Excluido"),1,0))</f>
        <v/>
      </c>
      <c r="N219" s="2" t="n"/>
    </row>
    <row r="220" ht="15" customHeight="1" s="67">
      <c r="A220" s="19" t="n"/>
      <c r="B220" s="22" t="n"/>
      <c r="C220" s="22" t="n"/>
      <c r="D220" s="16" t="n"/>
      <c r="E220" s="14" t="n"/>
      <c r="F220" s="22" t="n"/>
      <c r="G220" s="16" t="n"/>
      <c r="H220" s="19" t="n"/>
      <c r="I220" s="16" t="n"/>
      <c r="J220" s="22" t="n"/>
      <c r="K220" s="22" t="n"/>
      <c r="L220" s="16" t="n"/>
      <c r="M220" s="28">
        <f>IF(A220="","",IF(AND(C220="Sí",K220="Sí",F220&lt;&gt;"Excluido"),1,0))</f>
        <v/>
      </c>
      <c r="N220" s="2" t="n"/>
    </row>
    <row r="221" ht="15" customHeight="1" s="67">
      <c r="A221" s="19" t="n"/>
      <c r="B221" s="22" t="n"/>
      <c r="C221" s="22" t="n"/>
      <c r="D221" s="16" t="n"/>
      <c r="E221" s="14" t="n"/>
      <c r="F221" s="22" t="n"/>
      <c r="G221" s="16" t="n"/>
      <c r="H221" s="19" t="n"/>
      <c r="I221" s="16" t="n"/>
      <c r="J221" s="22" t="n"/>
      <c r="K221" s="22" t="n"/>
      <c r="L221" s="16" t="n"/>
      <c r="M221" s="28">
        <f>IF(A221="","",IF(AND(C221="Sí",K221="Sí",F221&lt;&gt;"Excluido"),1,0))</f>
        <v/>
      </c>
      <c r="N221" s="2" t="n"/>
    </row>
    <row r="222" ht="15" customHeight="1" s="67">
      <c r="A222" s="19" t="n"/>
      <c r="B222" s="22" t="n"/>
      <c r="C222" s="22" t="n"/>
      <c r="D222" s="16" t="n"/>
      <c r="E222" s="14" t="n"/>
      <c r="F222" s="22" t="n"/>
      <c r="G222" s="16" t="n"/>
      <c r="H222" s="19" t="n"/>
      <c r="I222" s="16" t="n"/>
      <c r="J222" s="22" t="n"/>
      <c r="K222" s="22" t="n"/>
      <c r="L222" s="16" t="n"/>
      <c r="M222" s="28">
        <f>IF(A222="","",IF(AND(C222="Sí",K222="Sí",F222&lt;&gt;"Excluido"),1,0))</f>
        <v/>
      </c>
      <c r="N222" s="2" t="n"/>
    </row>
    <row r="223" ht="15" customHeight="1" s="67">
      <c r="A223" s="19" t="n"/>
      <c r="B223" s="22" t="n"/>
      <c r="C223" s="22" t="n"/>
      <c r="D223" s="16" t="n"/>
      <c r="E223" s="14" t="n"/>
      <c r="F223" s="22" t="n"/>
      <c r="G223" s="16" t="n"/>
      <c r="H223" s="19" t="n"/>
      <c r="I223" s="16" t="n"/>
      <c r="J223" s="22" t="n"/>
      <c r="K223" s="22" t="n"/>
      <c r="L223" s="16" t="n"/>
      <c r="M223" s="28">
        <f>IF(A223="","",IF(AND(C223="Sí",K223="Sí",F223&lt;&gt;"Excluido"),1,0))</f>
        <v/>
      </c>
      <c r="N223" s="2" t="n"/>
    </row>
    <row r="224" ht="15" customHeight="1" s="67">
      <c r="A224" s="19" t="n"/>
      <c r="B224" s="22" t="n"/>
      <c r="C224" s="22" t="n"/>
      <c r="D224" s="16" t="n"/>
      <c r="E224" s="14" t="n"/>
      <c r="F224" s="22" t="n"/>
      <c r="G224" s="16" t="n"/>
      <c r="H224" s="19" t="n"/>
      <c r="I224" s="16" t="n"/>
      <c r="J224" s="22" t="n"/>
      <c r="K224" s="22" t="n"/>
      <c r="L224" s="16" t="n"/>
      <c r="M224" s="28">
        <f>IF(A224="","",IF(AND(C224="Sí",K224="Sí",F224&lt;&gt;"Excluido"),1,0))</f>
        <v/>
      </c>
      <c r="N224" s="2" t="n"/>
    </row>
    <row r="225" ht="15" customHeight="1" s="67">
      <c r="A225" s="19" t="n"/>
      <c r="B225" s="22" t="n"/>
      <c r="C225" s="22" t="n"/>
      <c r="D225" s="16" t="n"/>
      <c r="E225" s="14" t="n"/>
      <c r="F225" s="22" t="n"/>
      <c r="G225" s="16" t="n"/>
      <c r="H225" s="19" t="n"/>
      <c r="I225" s="16" t="n"/>
      <c r="J225" s="22" t="n"/>
      <c r="K225" s="22" t="n"/>
      <c r="L225" s="16" t="n"/>
      <c r="M225" s="28">
        <f>IF(A225="","",IF(AND(C225="Sí",K225="Sí",F225&lt;&gt;"Excluido"),1,0))</f>
        <v/>
      </c>
      <c r="N225" s="2" t="n"/>
    </row>
    <row r="226" ht="15" customHeight="1" s="67">
      <c r="A226" s="19" t="n"/>
      <c r="B226" s="22" t="n"/>
      <c r="C226" s="22" t="n"/>
      <c r="D226" s="16" t="n"/>
      <c r="E226" s="14" t="n"/>
      <c r="F226" s="22" t="n"/>
      <c r="G226" s="16" t="n"/>
      <c r="H226" s="19" t="n"/>
      <c r="I226" s="16" t="n"/>
      <c r="J226" s="22" t="n"/>
      <c r="K226" s="22" t="n"/>
      <c r="L226" s="16" t="n"/>
      <c r="M226" s="28">
        <f>IF(A226="","",IF(AND(C226="Sí",K226="Sí",F226&lt;&gt;"Excluido"),1,0))</f>
        <v/>
      </c>
      <c r="N226" s="2" t="n"/>
    </row>
    <row r="227" ht="15" customHeight="1" s="67">
      <c r="A227" s="19" t="n"/>
      <c r="B227" s="22" t="n"/>
      <c r="C227" s="22" t="n"/>
      <c r="D227" s="16" t="n"/>
      <c r="E227" s="14" t="n"/>
      <c r="F227" s="22" t="n"/>
      <c r="G227" s="16" t="n"/>
      <c r="H227" s="19" t="n"/>
      <c r="I227" s="16" t="n"/>
      <c r="J227" s="22" t="n"/>
      <c r="K227" s="22" t="n"/>
      <c r="L227" s="16" t="n"/>
      <c r="M227" s="28">
        <f>IF(A227="","",IF(AND(C227="Sí",K227="Sí",F227&lt;&gt;"Excluido"),1,0))</f>
        <v/>
      </c>
      <c r="N227" s="2" t="n"/>
    </row>
    <row r="228" ht="15" customHeight="1" s="67">
      <c r="A228" s="19" t="n"/>
      <c r="B228" s="22" t="n"/>
      <c r="C228" s="22" t="n"/>
      <c r="D228" s="16" t="n"/>
      <c r="E228" s="14" t="n"/>
      <c r="F228" s="22" t="n"/>
      <c r="G228" s="16" t="n"/>
      <c r="H228" s="19" t="n"/>
      <c r="I228" s="16" t="n"/>
      <c r="J228" s="22" t="n"/>
      <c r="K228" s="22" t="n"/>
      <c r="L228" s="16" t="n"/>
      <c r="M228" s="28">
        <f>IF(A228="","",IF(AND(C228="Sí",K228="Sí",F228&lt;&gt;"Excluido"),1,0))</f>
        <v/>
      </c>
      <c r="N228" s="2" t="n"/>
    </row>
    <row r="229" ht="15" customHeight="1" s="67">
      <c r="A229" s="19" t="n"/>
      <c r="B229" s="22" t="n"/>
      <c r="C229" s="22" t="n"/>
      <c r="D229" s="16" t="n"/>
      <c r="E229" s="14" t="n"/>
      <c r="F229" s="22" t="n"/>
      <c r="G229" s="16" t="n"/>
      <c r="H229" s="19" t="n"/>
      <c r="I229" s="16" t="n"/>
      <c r="J229" s="22" t="n"/>
      <c r="K229" s="22" t="n"/>
      <c r="L229" s="16" t="n"/>
      <c r="M229" s="28">
        <f>IF(A229="","",IF(AND(C229="Sí",K229="Sí",F229&lt;&gt;"Excluido"),1,0))</f>
        <v/>
      </c>
      <c r="N229" s="2" t="n"/>
    </row>
    <row r="230" ht="15" customHeight="1" s="67">
      <c r="A230" s="19" t="n"/>
      <c r="B230" s="22" t="n"/>
      <c r="C230" s="22" t="n"/>
      <c r="D230" s="16" t="n"/>
      <c r="E230" s="14" t="n"/>
      <c r="F230" s="22" t="n"/>
      <c r="G230" s="16" t="n"/>
      <c r="H230" s="19" t="n"/>
      <c r="I230" s="16" t="n"/>
      <c r="J230" s="22" t="n"/>
      <c r="K230" s="22" t="n"/>
      <c r="L230" s="16" t="n"/>
      <c r="M230" s="28">
        <f>IF(A230="","",IF(AND(C230="Sí",K230="Sí",F230&lt;&gt;"Excluido"),1,0))</f>
        <v/>
      </c>
      <c r="N230" s="2" t="n"/>
    </row>
    <row r="231" ht="15" customHeight="1" s="67">
      <c r="A231" s="19" t="n"/>
      <c r="B231" s="22" t="n"/>
      <c r="C231" s="22" t="n"/>
      <c r="D231" s="16" t="n"/>
      <c r="E231" s="14" t="n"/>
      <c r="F231" s="22" t="n"/>
      <c r="G231" s="16" t="n"/>
      <c r="H231" s="19" t="n"/>
      <c r="I231" s="16" t="n"/>
      <c r="J231" s="22" t="n"/>
      <c r="K231" s="22" t="n"/>
      <c r="L231" s="16" t="n"/>
      <c r="M231" s="28">
        <f>IF(A231="","",IF(AND(C231="Sí",K231="Sí",F231&lt;&gt;"Excluido"),1,0))</f>
        <v/>
      </c>
      <c r="N231" s="2" t="n"/>
    </row>
    <row r="232" ht="15" customHeight="1" s="67">
      <c r="A232" s="19" t="n"/>
      <c r="B232" s="22" t="n"/>
      <c r="C232" s="22" t="n"/>
      <c r="D232" s="16" t="n"/>
      <c r="E232" s="14" t="n"/>
      <c r="F232" s="22" t="n"/>
      <c r="G232" s="16" t="n"/>
      <c r="H232" s="19" t="n"/>
      <c r="I232" s="16" t="n"/>
      <c r="J232" s="22" t="n"/>
      <c r="K232" s="22" t="n"/>
      <c r="L232" s="16" t="n"/>
      <c r="M232" s="28">
        <f>IF(A232="","",IF(AND(C232="Sí",K232="Sí",F232&lt;&gt;"Excluido"),1,0))</f>
        <v/>
      </c>
      <c r="N232" s="2" t="n"/>
    </row>
    <row r="233" ht="15" customHeight="1" s="67">
      <c r="A233" s="19" t="n"/>
      <c r="B233" s="22" t="n"/>
      <c r="C233" s="22" t="n"/>
      <c r="D233" s="16" t="n"/>
      <c r="E233" s="14" t="n"/>
      <c r="F233" s="22" t="n"/>
      <c r="G233" s="16" t="n"/>
      <c r="H233" s="19" t="n"/>
      <c r="I233" s="16" t="n"/>
      <c r="J233" s="22" t="n"/>
      <c r="K233" s="22" t="n"/>
      <c r="L233" s="16" t="n"/>
      <c r="M233" s="28">
        <f>IF(A233="","",IF(AND(C233="Sí",K233="Sí",F233&lt;&gt;"Excluido"),1,0))</f>
        <v/>
      </c>
      <c r="N233" s="2" t="n"/>
    </row>
    <row r="234" ht="15" customHeight="1" s="67">
      <c r="A234" s="19" t="n"/>
      <c r="B234" s="22" t="n"/>
      <c r="C234" s="22" t="n"/>
      <c r="D234" s="16" t="n"/>
      <c r="E234" s="14" t="n"/>
      <c r="F234" s="22" t="n"/>
      <c r="G234" s="16" t="n"/>
      <c r="H234" s="19" t="n"/>
      <c r="I234" s="16" t="n"/>
      <c r="J234" s="22" t="n"/>
      <c r="K234" s="22" t="n"/>
      <c r="L234" s="16" t="n"/>
      <c r="M234" s="28">
        <f>IF(A234="","",IF(AND(C234="Sí",K234="Sí",F234&lt;&gt;"Excluido"),1,0))</f>
        <v/>
      </c>
      <c r="N234" s="2" t="n"/>
    </row>
    <row r="235" ht="15" customHeight="1" s="67">
      <c r="A235" s="19" t="n"/>
      <c r="B235" s="22" t="n"/>
      <c r="C235" s="22" t="n"/>
      <c r="D235" s="16" t="n"/>
      <c r="E235" s="14" t="n"/>
      <c r="F235" s="22" t="n"/>
      <c r="G235" s="16" t="n"/>
      <c r="H235" s="19" t="n"/>
      <c r="I235" s="16" t="n"/>
      <c r="J235" s="22" t="n"/>
      <c r="K235" s="22" t="n"/>
      <c r="L235" s="16" t="n"/>
      <c r="M235" s="28">
        <f>IF(A235="","",IF(AND(C235="Sí",K235="Sí",F235&lt;&gt;"Excluido"),1,0))</f>
        <v/>
      </c>
      <c r="N235" s="2" t="n"/>
    </row>
    <row r="236" ht="15" customHeight="1" s="67">
      <c r="A236" s="19" t="n"/>
      <c r="B236" s="22" t="n"/>
      <c r="C236" s="22" t="n"/>
      <c r="D236" s="16" t="n"/>
      <c r="E236" s="14" t="n"/>
      <c r="F236" s="22" t="n"/>
      <c r="G236" s="16" t="n"/>
      <c r="H236" s="19" t="n"/>
      <c r="I236" s="16" t="n"/>
      <c r="J236" s="22" t="n"/>
      <c r="K236" s="22" t="n"/>
      <c r="L236" s="16" t="n"/>
      <c r="M236" s="28">
        <f>IF(A236="","",IF(AND(C236="Sí",K236="Sí",F236&lt;&gt;"Excluido"),1,0))</f>
        <v/>
      </c>
      <c r="N236" s="2" t="n"/>
    </row>
    <row r="237" ht="15" customHeight="1" s="67">
      <c r="A237" s="19" t="n"/>
      <c r="B237" s="22" t="n"/>
      <c r="C237" s="22" t="n"/>
      <c r="D237" s="16" t="n"/>
      <c r="E237" s="14" t="n"/>
      <c r="F237" s="22" t="n"/>
      <c r="G237" s="16" t="n"/>
      <c r="H237" s="19" t="n"/>
      <c r="I237" s="16" t="n"/>
      <c r="J237" s="22" t="n"/>
      <c r="K237" s="22" t="n"/>
      <c r="L237" s="16" t="n"/>
      <c r="M237" s="28">
        <f>IF(A237="","",IF(AND(C237="Sí",K237="Sí",F237&lt;&gt;"Excluido"),1,0))</f>
        <v/>
      </c>
      <c r="N237" s="2" t="n"/>
    </row>
    <row r="238" ht="15" customHeight="1" s="67">
      <c r="A238" s="19" t="n"/>
      <c r="B238" s="22" t="n"/>
      <c r="C238" s="22" t="n"/>
      <c r="D238" s="16" t="n"/>
      <c r="E238" s="14" t="n"/>
      <c r="F238" s="22" t="n"/>
      <c r="G238" s="16" t="n"/>
      <c r="H238" s="19" t="n"/>
      <c r="I238" s="16" t="n"/>
      <c r="J238" s="22" t="n"/>
      <c r="K238" s="22" t="n"/>
      <c r="L238" s="16" t="n"/>
      <c r="M238" s="28">
        <f>IF(A238="","",IF(AND(C238="Sí",K238="Sí",F238&lt;&gt;"Excluido"),1,0))</f>
        <v/>
      </c>
      <c r="N238" s="2" t="n"/>
    </row>
    <row r="239" ht="15" customHeight="1" s="67">
      <c r="A239" s="19" t="n"/>
      <c r="B239" s="22" t="n"/>
      <c r="C239" s="22" t="n"/>
      <c r="D239" s="16" t="n"/>
      <c r="E239" s="14" t="n"/>
      <c r="F239" s="22" t="n"/>
      <c r="G239" s="16" t="n"/>
      <c r="H239" s="19" t="n"/>
      <c r="I239" s="16" t="n"/>
      <c r="J239" s="22" t="n"/>
      <c r="K239" s="22" t="n"/>
      <c r="L239" s="16" t="n"/>
      <c r="M239" s="28">
        <f>IF(A239="","",IF(AND(C239="Sí",K239="Sí",F239&lt;&gt;"Excluido"),1,0))</f>
        <v/>
      </c>
      <c r="N239" s="2" t="n"/>
    </row>
    <row r="240" ht="15" customHeight="1" s="67">
      <c r="A240" s="19" t="n"/>
      <c r="B240" s="22" t="n"/>
      <c r="C240" s="22" t="n"/>
      <c r="D240" s="16" t="n"/>
      <c r="E240" s="14" t="n"/>
      <c r="F240" s="22" t="n"/>
      <c r="G240" s="16" t="n"/>
      <c r="H240" s="19" t="n"/>
      <c r="I240" s="16" t="n"/>
      <c r="J240" s="22" t="n"/>
      <c r="K240" s="22" t="n"/>
      <c r="L240" s="16" t="n"/>
      <c r="M240" s="28">
        <f>IF(A240="","",IF(AND(C240="Sí",K240="Sí",F240&lt;&gt;"Excluido"),1,0))</f>
        <v/>
      </c>
      <c r="N240" s="2" t="n"/>
    </row>
    <row r="241" ht="15" customHeight="1" s="67">
      <c r="A241" s="19" t="n"/>
      <c r="B241" s="22" t="n"/>
      <c r="C241" s="22" t="n"/>
      <c r="D241" s="16" t="n"/>
      <c r="E241" s="14" t="n"/>
      <c r="F241" s="22" t="n"/>
      <c r="G241" s="16" t="n"/>
      <c r="H241" s="19" t="n"/>
      <c r="I241" s="16" t="n"/>
      <c r="J241" s="22" t="n"/>
      <c r="K241" s="22" t="n"/>
      <c r="L241" s="16" t="n"/>
      <c r="M241" s="28">
        <f>IF(A241="","",IF(AND(C241="Sí",K241="Sí",F241&lt;&gt;"Excluido"),1,0))</f>
        <v/>
      </c>
      <c r="N241" s="2" t="n"/>
    </row>
    <row r="242" ht="15" customHeight="1" s="67">
      <c r="A242" s="19" t="n"/>
      <c r="B242" s="22" t="n"/>
      <c r="C242" s="22" t="n"/>
      <c r="D242" s="16" t="n"/>
      <c r="E242" s="14" t="n"/>
      <c r="F242" s="22" t="n"/>
      <c r="G242" s="16" t="n"/>
      <c r="H242" s="19" t="n"/>
      <c r="I242" s="16" t="n"/>
      <c r="J242" s="22" t="n"/>
      <c r="K242" s="22" t="n"/>
      <c r="L242" s="16" t="n"/>
      <c r="M242" s="28">
        <f>IF(A242="","",IF(AND(C242="Sí",K242="Sí",F242&lt;&gt;"Excluido"),1,0))</f>
        <v/>
      </c>
      <c r="N242" s="2" t="n"/>
    </row>
    <row r="243" ht="15" customHeight="1" s="67">
      <c r="A243" s="19" t="n"/>
      <c r="B243" s="22" t="n"/>
      <c r="C243" s="22" t="n"/>
      <c r="D243" s="16" t="n"/>
      <c r="E243" s="14" t="n"/>
      <c r="F243" s="22" t="n"/>
      <c r="G243" s="16" t="n"/>
      <c r="H243" s="19" t="n"/>
      <c r="I243" s="16" t="n"/>
      <c r="J243" s="22" t="n"/>
      <c r="K243" s="22" t="n"/>
      <c r="L243" s="16" t="n"/>
      <c r="M243" s="28">
        <f>IF(A243="","",IF(AND(C243="Sí",K243="Sí",F243&lt;&gt;"Excluido"),1,0))</f>
        <v/>
      </c>
      <c r="N243" s="2" t="n"/>
    </row>
    <row r="244" ht="15" customHeight="1" s="67">
      <c r="A244" s="19" t="n"/>
      <c r="B244" s="22" t="n"/>
      <c r="C244" s="22" t="n"/>
      <c r="D244" s="16" t="n"/>
      <c r="E244" s="14" t="n"/>
      <c r="F244" s="22" t="n"/>
      <c r="G244" s="16" t="n"/>
      <c r="H244" s="19" t="n"/>
      <c r="I244" s="16" t="n"/>
      <c r="J244" s="22" t="n"/>
      <c r="K244" s="22" t="n"/>
      <c r="L244" s="16" t="n"/>
      <c r="M244" s="28">
        <f>IF(A244="","",IF(AND(C244="Sí",K244="Sí",F244&lt;&gt;"Excluido"),1,0))</f>
        <v/>
      </c>
      <c r="N244" s="2" t="n"/>
    </row>
    <row r="245" ht="15" customHeight="1" s="67">
      <c r="A245" s="19" t="n"/>
      <c r="B245" s="22" t="n"/>
      <c r="C245" s="22" t="n"/>
      <c r="D245" s="16" t="n"/>
      <c r="E245" s="14" t="n"/>
      <c r="F245" s="22" t="n"/>
      <c r="G245" s="16" t="n"/>
      <c r="H245" s="19" t="n"/>
      <c r="I245" s="16" t="n"/>
      <c r="J245" s="22" t="n"/>
      <c r="K245" s="22" t="n"/>
      <c r="L245" s="16" t="n"/>
      <c r="M245" s="28">
        <f>IF(A245="","",IF(AND(C245="Sí",K245="Sí",F245&lt;&gt;"Excluido"),1,0))</f>
        <v/>
      </c>
      <c r="N245" s="2" t="n"/>
    </row>
    <row r="246" ht="15" customHeight="1" s="67">
      <c r="A246" s="19" t="n"/>
      <c r="B246" s="22" t="n"/>
      <c r="C246" s="22" t="n"/>
      <c r="D246" s="16" t="n"/>
      <c r="E246" s="14" t="n"/>
      <c r="F246" s="22" t="n"/>
      <c r="G246" s="16" t="n"/>
      <c r="H246" s="19" t="n"/>
      <c r="I246" s="16" t="n"/>
      <c r="J246" s="22" t="n"/>
      <c r="K246" s="22" t="n"/>
      <c r="L246" s="16" t="n"/>
      <c r="M246" s="28">
        <f>IF(A246="","",IF(AND(C246="Sí",K246="Sí",F246&lt;&gt;"Excluido"),1,0))</f>
        <v/>
      </c>
      <c r="N246" s="2" t="n"/>
    </row>
    <row r="247" ht="15" customHeight="1" s="67">
      <c r="A247" s="19" t="n"/>
      <c r="B247" s="22" t="n"/>
      <c r="C247" s="22" t="n"/>
      <c r="D247" s="16" t="n"/>
      <c r="E247" s="14" t="n"/>
      <c r="F247" s="22" t="n"/>
      <c r="G247" s="16" t="n"/>
      <c r="H247" s="19" t="n"/>
      <c r="I247" s="16" t="n"/>
      <c r="J247" s="22" t="n"/>
      <c r="K247" s="22" t="n"/>
      <c r="L247" s="16" t="n"/>
      <c r="M247" s="28">
        <f>IF(A247="","",IF(AND(C247="Sí",K247="Sí",F247&lt;&gt;"Excluido"),1,0))</f>
        <v/>
      </c>
      <c r="N247" s="2" t="n"/>
    </row>
    <row r="248" ht="15" customHeight="1" s="67">
      <c r="A248" s="19" t="n"/>
      <c r="B248" s="22" t="n"/>
      <c r="C248" s="22" t="n"/>
      <c r="D248" s="16" t="n"/>
      <c r="E248" s="14" t="n"/>
      <c r="F248" s="22" t="n"/>
      <c r="G248" s="16" t="n"/>
      <c r="H248" s="19" t="n"/>
      <c r="I248" s="16" t="n"/>
      <c r="J248" s="22" t="n"/>
      <c r="K248" s="22" t="n"/>
      <c r="L248" s="16" t="n"/>
      <c r="M248" s="28">
        <f>IF(A248="","",IF(AND(C248="Sí",K248="Sí",F248&lt;&gt;"Excluido"),1,0))</f>
        <v/>
      </c>
      <c r="N248" s="2" t="n"/>
    </row>
    <row r="249" ht="15" customHeight="1" s="67">
      <c r="A249" s="19" t="n"/>
      <c r="B249" s="22" t="n"/>
      <c r="C249" s="22" t="n"/>
      <c r="D249" s="16" t="n"/>
      <c r="E249" s="14" t="n"/>
      <c r="F249" s="22" t="n"/>
      <c r="G249" s="16" t="n"/>
      <c r="H249" s="19" t="n"/>
      <c r="I249" s="16" t="n"/>
      <c r="J249" s="22" t="n"/>
      <c r="K249" s="22" t="n"/>
      <c r="L249" s="16" t="n"/>
      <c r="M249" s="28">
        <f>IF(A249="","",IF(AND(C249="Sí",K249="Sí",F249&lt;&gt;"Excluido"),1,0))</f>
        <v/>
      </c>
      <c r="N249" s="2" t="n"/>
    </row>
    <row r="250" ht="15" customHeight="1" s="67">
      <c r="A250" s="19" t="n"/>
      <c r="B250" s="22" t="n"/>
      <c r="C250" s="22" t="n"/>
      <c r="D250" s="16" t="n"/>
      <c r="E250" s="14" t="n"/>
      <c r="F250" s="22" t="n"/>
      <c r="G250" s="16" t="n"/>
      <c r="H250" s="19" t="n"/>
      <c r="I250" s="16" t="n"/>
      <c r="J250" s="22" t="n"/>
      <c r="K250" s="22" t="n"/>
      <c r="L250" s="16" t="n"/>
      <c r="M250" s="28">
        <f>IF(A250="","",IF(AND(C250="Sí",K250="Sí",F250&lt;&gt;"Excluido"),1,0))</f>
        <v/>
      </c>
      <c r="N250" s="2" t="n"/>
    </row>
    <row r="251" ht="15" customHeight="1" s="67">
      <c r="A251" s="19" t="n"/>
      <c r="B251" s="22" t="n"/>
      <c r="C251" s="22" t="n"/>
      <c r="D251" s="16" t="n"/>
      <c r="E251" s="14" t="n"/>
      <c r="F251" s="22" t="n"/>
      <c r="G251" s="16" t="n"/>
      <c r="H251" s="19" t="n"/>
      <c r="I251" s="16" t="n"/>
      <c r="J251" s="22" t="n"/>
      <c r="K251" s="22" t="n"/>
      <c r="L251" s="16" t="n"/>
      <c r="M251" s="28">
        <f>IF(A251="","",IF(AND(C251="Sí",K251="Sí",F251&lt;&gt;"Excluido"),1,0))</f>
        <v/>
      </c>
      <c r="N251" s="2" t="n"/>
    </row>
    <row r="252" ht="15" customHeight="1" s="67">
      <c r="A252" s="19" t="n"/>
      <c r="B252" s="22" t="n"/>
      <c r="C252" s="22" t="n"/>
      <c r="D252" s="16" t="n"/>
      <c r="E252" s="14" t="n"/>
      <c r="F252" s="22" t="n"/>
      <c r="G252" s="16" t="n"/>
      <c r="H252" s="19" t="n"/>
      <c r="I252" s="16" t="n"/>
      <c r="J252" s="22" t="n"/>
      <c r="K252" s="22" t="n"/>
      <c r="L252" s="16" t="n"/>
      <c r="M252" s="28">
        <f>IF(A252="","",IF(AND(C252="Sí",K252="Sí",F252&lt;&gt;"Excluido"),1,0))</f>
        <v/>
      </c>
      <c r="N252" s="2" t="n"/>
    </row>
    <row r="253" ht="15" customHeight="1" s="67">
      <c r="A253" s="19" t="n"/>
      <c r="B253" s="22" t="n"/>
      <c r="C253" s="22" t="n"/>
      <c r="D253" s="16" t="n"/>
      <c r="E253" s="14" t="n"/>
      <c r="F253" s="22" t="n"/>
      <c r="G253" s="16" t="n"/>
      <c r="H253" s="19" t="n"/>
      <c r="I253" s="16" t="n"/>
      <c r="J253" s="22" t="n"/>
      <c r="K253" s="22" t="n"/>
      <c r="L253" s="16" t="n"/>
      <c r="M253" s="28">
        <f>IF(A253="","",IF(AND(C253="Sí",K253="Sí",F253&lt;&gt;"Excluido"),1,0))</f>
        <v/>
      </c>
      <c r="N253" s="2" t="n"/>
    </row>
    <row r="254" ht="15" customHeight="1" s="67">
      <c r="A254" s="19" t="n"/>
      <c r="B254" s="22" t="n"/>
      <c r="C254" s="22" t="n"/>
      <c r="D254" s="16" t="n"/>
      <c r="E254" s="14" t="n"/>
      <c r="F254" s="22" t="n"/>
      <c r="G254" s="16" t="n"/>
      <c r="H254" s="19" t="n"/>
      <c r="I254" s="16" t="n"/>
      <c r="J254" s="22" t="n"/>
      <c r="K254" s="22" t="n"/>
      <c r="L254" s="16" t="n"/>
      <c r="M254" s="28">
        <f>IF(A254="","",IF(AND(C254="Sí",K254="Sí",F254&lt;&gt;"Excluido"),1,0))</f>
        <v/>
      </c>
      <c r="N254" s="2" t="n"/>
    </row>
    <row r="255" ht="15" customHeight="1" s="67">
      <c r="A255" s="19" t="n"/>
      <c r="B255" s="22" t="n"/>
      <c r="C255" s="22" t="n"/>
      <c r="D255" s="16" t="n"/>
      <c r="E255" s="14" t="n"/>
      <c r="F255" s="22" t="n"/>
      <c r="G255" s="16" t="n"/>
      <c r="H255" s="19" t="n"/>
      <c r="I255" s="16" t="n"/>
      <c r="J255" s="22" t="n"/>
      <c r="K255" s="22" t="n"/>
      <c r="L255" s="16" t="n"/>
      <c r="M255" s="28">
        <f>IF(A255="","",IF(AND(C255="Sí",K255="Sí",F255&lt;&gt;"Excluido"),1,0))</f>
        <v/>
      </c>
      <c r="N255" s="2" t="n"/>
    </row>
    <row r="256" ht="15" customHeight="1" s="67">
      <c r="A256" s="19" t="n"/>
      <c r="B256" s="22" t="n"/>
      <c r="C256" s="22" t="n"/>
      <c r="D256" s="16" t="n"/>
      <c r="E256" s="14" t="n"/>
      <c r="F256" s="22" t="n"/>
      <c r="G256" s="16" t="n"/>
      <c r="H256" s="19" t="n"/>
      <c r="I256" s="16" t="n"/>
      <c r="J256" s="22" t="n"/>
      <c r="K256" s="22" t="n"/>
      <c r="L256" s="16" t="n"/>
      <c r="M256" s="28">
        <f>IF(A256="","",IF(AND(C256="Sí",K256="Sí",F256&lt;&gt;"Excluido"),1,0))</f>
        <v/>
      </c>
      <c r="N256" s="2" t="n"/>
    </row>
    <row r="257" ht="15" customHeight="1" s="67">
      <c r="A257" s="19" t="n"/>
      <c r="B257" s="22" t="n"/>
      <c r="C257" s="22" t="n"/>
      <c r="D257" s="16" t="n"/>
      <c r="E257" s="14" t="n"/>
      <c r="F257" s="22" t="n"/>
      <c r="G257" s="16" t="n"/>
      <c r="H257" s="19" t="n"/>
      <c r="I257" s="16" t="n"/>
      <c r="J257" s="22" t="n"/>
      <c r="K257" s="22" t="n"/>
      <c r="L257" s="16" t="n"/>
      <c r="M257" s="28">
        <f>IF(A257="","",IF(AND(C257="Sí",K257="Sí",F257&lt;&gt;"Excluido"),1,0))</f>
        <v/>
      </c>
      <c r="N257" s="2" t="n"/>
    </row>
    <row r="258" ht="15" customHeight="1" s="67">
      <c r="A258" s="19" t="n"/>
      <c r="B258" s="22" t="n"/>
      <c r="C258" s="22" t="n"/>
      <c r="D258" s="16" t="n"/>
      <c r="E258" s="14" t="n"/>
      <c r="F258" s="22" t="n"/>
      <c r="G258" s="16" t="n"/>
      <c r="H258" s="19" t="n"/>
      <c r="I258" s="16" t="n"/>
      <c r="J258" s="22" t="n"/>
      <c r="K258" s="22" t="n"/>
      <c r="L258" s="16" t="n"/>
      <c r="M258" s="28">
        <f>IF(A258="","",IF(AND(C258="Sí",K258="Sí",F258&lt;&gt;"Excluido"),1,0))</f>
        <v/>
      </c>
      <c r="N258" s="2" t="n"/>
    </row>
    <row r="259" ht="15" customHeight="1" s="67">
      <c r="A259" s="19" t="n"/>
      <c r="B259" s="22" t="n"/>
      <c r="C259" s="22" t="n"/>
      <c r="D259" s="16" t="n"/>
      <c r="E259" s="14" t="n"/>
      <c r="F259" s="22" t="n"/>
      <c r="G259" s="16" t="n"/>
      <c r="H259" s="19" t="n"/>
      <c r="I259" s="16" t="n"/>
      <c r="J259" s="22" t="n"/>
      <c r="K259" s="22" t="n"/>
      <c r="L259" s="16" t="n"/>
      <c r="M259" s="28">
        <f>IF(A259="","",IF(AND(C259="Sí",K259="Sí",F259&lt;&gt;"Excluido"),1,0))</f>
        <v/>
      </c>
      <c r="N259" s="2" t="n"/>
    </row>
    <row r="260" ht="15" customHeight="1" s="67">
      <c r="A260" s="19" t="n"/>
      <c r="B260" s="22" t="n"/>
      <c r="C260" s="22" t="n"/>
      <c r="D260" s="16" t="n"/>
      <c r="E260" s="14" t="n"/>
      <c r="F260" s="22" t="n"/>
      <c r="G260" s="16" t="n"/>
      <c r="H260" s="19" t="n"/>
      <c r="I260" s="16" t="n"/>
      <c r="J260" s="22" t="n"/>
      <c r="K260" s="22" t="n"/>
      <c r="L260" s="16" t="n"/>
      <c r="M260" s="28">
        <f>IF(A260="","",IF(AND(C260="Sí",K260="Sí",F260&lt;&gt;"Excluido"),1,0))</f>
        <v/>
      </c>
      <c r="N260" s="2" t="n"/>
    </row>
    <row r="261" ht="15" customHeight="1" s="67">
      <c r="A261" s="19" t="n"/>
      <c r="B261" s="22" t="n"/>
      <c r="C261" s="22" t="n"/>
      <c r="D261" s="16" t="n"/>
      <c r="E261" s="14" t="n"/>
      <c r="F261" s="22" t="n"/>
      <c r="G261" s="16" t="n"/>
      <c r="H261" s="19" t="n"/>
      <c r="I261" s="16" t="n"/>
      <c r="J261" s="22" t="n"/>
      <c r="K261" s="22" t="n"/>
      <c r="L261" s="16" t="n"/>
      <c r="M261" s="28">
        <f>IF(A261="","",IF(AND(C261="Sí",K261="Sí",F261&lt;&gt;"Excluido"),1,0))</f>
        <v/>
      </c>
      <c r="N261" s="2" t="n"/>
    </row>
    <row r="262" ht="15" customHeight="1" s="67">
      <c r="A262" s="19" t="n"/>
      <c r="B262" s="22" t="n"/>
      <c r="C262" s="22" t="n"/>
      <c r="D262" s="16" t="n"/>
      <c r="E262" s="14" t="n"/>
      <c r="F262" s="22" t="n"/>
      <c r="G262" s="16" t="n"/>
      <c r="H262" s="19" t="n"/>
      <c r="I262" s="16" t="n"/>
      <c r="J262" s="22" t="n"/>
      <c r="K262" s="22" t="n"/>
      <c r="L262" s="16" t="n"/>
      <c r="M262" s="28">
        <f>IF(A262="","",IF(AND(C262="Sí",K262="Sí",F262&lt;&gt;"Excluido"),1,0))</f>
        <v/>
      </c>
      <c r="N262" s="2" t="n"/>
    </row>
    <row r="263" ht="15" customHeight="1" s="67">
      <c r="A263" s="19" t="n"/>
      <c r="B263" s="22" t="n"/>
      <c r="C263" s="22" t="n"/>
      <c r="D263" s="16" t="n"/>
      <c r="E263" s="14" t="n"/>
      <c r="F263" s="22" t="n"/>
      <c r="G263" s="16" t="n"/>
      <c r="H263" s="19" t="n"/>
      <c r="I263" s="16" t="n"/>
      <c r="J263" s="22" t="n"/>
      <c r="K263" s="22" t="n"/>
      <c r="L263" s="16" t="n"/>
      <c r="M263" s="28">
        <f>IF(A263="","",IF(AND(C263="Sí",K263="Sí",F263&lt;&gt;"Excluido"),1,0))</f>
        <v/>
      </c>
      <c r="N263" s="2" t="n"/>
    </row>
    <row r="264" ht="15" customHeight="1" s="67">
      <c r="A264" s="19" t="n"/>
      <c r="B264" s="22" t="n"/>
      <c r="C264" s="22" t="n"/>
      <c r="D264" s="16" t="n"/>
      <c r="E264" s="14" t="n"/>
      <c r="F264" s="22" t="n"/>
      <c r="G264" s="16" t="n"/>
      <c r="H264" s="19" t="n"/>
      <c r="I264" s="16" t="n"/>
      <c r="J264" s="22" t="n"/>
      <c r="K264" s="22" t="n"/>
      <c r="L264" s="16" t="n"/>
      <c r="M264" s="28">
        <f>IF(A264="","",IF(AND(C264="Sí",K264="Sí",F264&lt;&gt;"Excluido"),1,0))</f>
        <v/>
      </c>
      <c r="N264" s="2" t="n"/>
    </row>
    <row r="265" ht="15" customHeight="1" s="67">
      <c r="A265" s="19" t="n"/>
      <c r="B265" s="22" t="n"/>
      <c r="C265" s="22" t="n"/>
      <c r="D265" s="16" t="n"/>
      <c r="E265" s="14" t="n"/>
      <c r="F265" s="22" t="n"/>
      <c r="G265" s="16" t="n"/>
      <c r="H265" s="19" t="n"/>
      <c r="I265" s="16" t="n"/>
      <c r="J265" s="22" t="n"/>
      <c r="K265" s="22" t="n"/>
      <c r="L265" s="16" t="n"/>
      <c r="M265" s="28">
        <f>IF(A265="","",IF(AND(C265="Sí",K265="Sí",F265&lt;&gt;"Excluido"),1,0))</f>
        <v/>
      </c>
      <c r="N265" s="2" t="n"/>
    </row>
    <row r="266" ht="15" customHeight="1" s="67">
      <c r="A266" s="19" t="n"/>
      <c r="B266" s="22" t="n"/>
      <c r="C266" s="22" t="n"/>
      <c r="D266" s="16" t="n"/>
      <c r="E266" s="14" t="n"/>
      <c r="F266" s="22" t="n"/>
      <c r="G266" s="16" t="n"/>
      <c r="H266" s="19" t="n"/>
      <c r="I266" s="16" t="n"/>
      <c r="J266" s="22" t="n"/>
      <c r="K266" s="22" t="n"/>
      <c r="L266" s="16" t="n"/>
      <c r="M266" s="28">
        <f>IF(A266="","",IF(AND(C266="Sí",K266="Sí",F266&lt;&gt;"Excluido"),1,0))</f>
        <v/>
      </c>
      <c r="N266" s="2" t="n"/>
    </row>
    <row r="267" ht="15" customHeight="1" s="67">
      <c r="A267" s="19" t="n"/>
      <c r="B267" s="22" t="n"/>
      <c r="C267" s="22" t="n"/>
      <c r="D267" s="16" t="n"/>
      <c r="E267" s="14" t="n"/>
      <c r="F267" s="22" t="n"/>
      <c r="G267" s="16" t="n"/>
      <c r="H267" s="19" t="n"/>
      <c r="I267" s="16" t="n"/>
      <c r="J267" s="22" t="n"/>
      <c r="K267" s="22" t="n"/>
      <c r="L267" s="16" t="n"/>
      <c r="M267" s="28">
        <f>IF(A267="","",IF(AND(C267="Sí",K267="Sí",F267&lt;&gt;"Excluido"),1,0))</f>
        <v/>
      </c>
      <c r="N267" s="2" t="n"/>
    </row>
    <row r="268" ht="15" customHeight="1" s="67">
      <c r="A268" s="19" t="n"/>
      <c r="B268" s="22" t="n"/>
      <c r="C268" s="22" t="n"/>
      <c r="D268" s="16" t="n"/>
      <c r="E268" s="14" t="n"/>
      <c r="F268" s="22" t="n"/>
      <c r="G268" s="16" t="n"/>
      <c r="H268" s="19" t="n"/>
      <c r="I268" s="16" t="n"/>
      <c r="J268" s="22" t="n"/>
      <c r="K268" s="22" t="n"/>
      <c r="L268" s="16" t="n"/>
      <c r="M268" s="28">
        <f>IF(A268="","",IF(AND(C268="Sí",K268="Sí",F268&lt;&gt;"Excluido"),1,0))</f>
        <v/>
      </c>
      <c r="N268" s="2" t="n"/>
    </row>
    <row r="269" ht="15" customHeight="1" s="67">
      <c r="A269" s="19" t="n"/>
      <c r="B269" s="22" t="n"/>
      <c r="C269" s="22" t="n"/>
      <c r="D269" s="16" t="n"/>
      <c r="E269" s="14" t="n"/>
      <c r="F269" s="22" t="n"/>
      <c r="G269" s="16" t="n"/>
      <c r="H269" s="19" t="n"/>
      <c r="I269" s="16" t="n"/>
      <c r="J269" s="22" t="n"/>
      <c r="K269" s="22" t="n"/>
      <c r="L269" s="16" t="n"/>
      <c r="M269" s="28">
        <f>IF(A269="","",IF(AND(C269="Sí",K269="Sí",F269&lt;&gt;"Excluido"),1,0))</f>
        <v/>
      </c>
      <c r="N269" s="2" t="n"/>
    </row>
    <row r="270" ht="15" customHeight="1" s="67">
      <c r="A270" s="19" t="n"/>
      <c r="B270" s="22" t="n"/>
      <c r="C270" s="22" t="n"/>
      <c r="D270" s="16" t="n"/>
      <c r="E270" s="14" t="n"/>
      <c r="F270" s="22" t="n"/>
      <c r="G270" s="16" t="n"/>
      <c r="H270" s="19" t="n"/>
      <c r="I270" s="16" t="n"/>
      <c r="J270" s="22" t="n"/>
      <c r="K270" s="22" t="n"/>
      <c r="L270" s="16" t="n"/>
      <c r="M270" s="28">
        <f>IF(A270="","",IF(AND(C270="Sí",K270="Sí",F270&lt;&gt;"Excluido"),1,0))</f>
        <v/>
      </c>
      <c r="N270" s="2" t="n"/>
    </row>
    <row r="271" ht="15" customHeight="1" s="67">
      <c r="A271" s="19" t="n"/>
      <c r="B271" s="22" t="n"/>
      <c r="C271" s="22" t="n"/>
      <c r="D271" s="16" t="n"/>
      <c r="E271" s="14" t="n"/>
      <c r="F271" s="22" t="n"/>
      <c r="G271" s="16" t="n"/>
      <c r="H271" s="19" t="n"/>
      <c r="I271" s="16" t="n"/>
      <c r="J271" s="22" t="n"/>
      <c r="K271" s="22" t="n"/>
      <c r="L271" s="16" t="n"/>
      <c r="M271" s="28">
        <f>IF(A271="","",IF(AND(C271="Sí",K271="Sí",F271&lt;&gt;"Excluido"),1,0))</f>
        <v/>
      </c>
      <c r="N271" s="2" t="n"/>
    </row>
    <row r="272" ht="15" customHeight="1" s="67">
      <c r="A272" s="19" t="n"/>
      <c r="B272" s="22" t="n"/>
      <c r="C272" s="22" t="n"/>
      <c r="D272" s="16" t="n"/>
      <c r="E272" s="14" t="n"/>
      <c r="F272" s="22" t="n"/>
      <c r="G272" s="16" t="n"/>
      <c r="H272" s="19" t="n"/>
      <c r="I272" s="16" t="n"/>
      <c r="J272" s="22" t="n"/>
      <c r="K272" s="22" t="n"/>
      <c r="L272" s="16" t="n"/>
      <c r="M272" s="28">
        <f>IF(A272="","",IF(AND(C272="Sí",K272="Sí",F272&lt;&gt;"Excluido"),1,0))</f>
        <v/>
      </c>
      <c r="N272" s="2" t="n"/>
    </row>
    <row r="273" ht="15" customHeight="1" s="67">
      <c r="A273" s="19" t="n"/>
      <c r="B273" s="22" t="n"/>
      <c r="C273" s="22" t="n"/>
      <c r="D273" s="16" t="n"/>
      <c r="E273" s="14" t="n"/>
      <c r="F273" s="22" t="n"/>
      <c r="G273" s="16" t="n"/>
      <c r="H273" s="19" t="n"/>
      <c r="I273" s="16" t="n"/>
      <c r="J273" s="22" t="n"/>
      <c r="K273" s="22" t="n"/>
      <c r="L273" s="16" t="n"/>
      <c r="M273" s="28">
        <f>IF(A273="","",IF(AND(C273="Sí",K273="Sí",F273&lt;&gt;"Excluido"),1,0))</f>
        <v/>
      </c>
      <c r="N273" s="2" t="n"/>
    </row>
    <row r="274" ht="15" customHeight="1" s="67">
      <c r="A274" s="19" t="n"/>
      <c r="B274" s="22" t="n"/>
      <c r="C274" s="22" t="n"/>
      <c r="D274" s="16" t="n"/>
      <c r="E274" s="14" t="n"/>
      <c r="F274" s="22" t="n"/>
      <c r="G274" s="16" t="n"/>
      <c r="H274" s="19" t="n"/>
      <c r="I274" s="16" t="n"/>
      <c r="J274" s="22" t="n"/>
      <c r="K274" s="22" t="n"/>
      <c r="L274" s="16" t="n"/>
      <c r="M274" s="28">
        <f>IF(A274="","",IF(AND(C274="Sí",K274="Sí",F274&lt;&gt;"Excluido"),1,0))</f>
        <v/>
      </c>
      <c r="N274" s="2" t="n"/>
    </row>
    <row r="275" ht="15" customHeight="1" s="67">
      <c r="A275" s="19" t="n"/>
      <c r="B275" s="22" t="n"/>
      <c r="C275" s="22" t="n"/>
      <c r="D275" s="16" t="n"/>
      <c r="E275" s="14" t="n"/>
      <c r="F275" s="22" t="n"/>
      <c r="G275" s="16" t="n"/>
      <c r="H275" s="19" t="n"/>
      <c r="I275" s="16" t="n"/>
      <c r="J275" s="22" t="n"/>
      <c r="K275" s="22" t="n"/>
      <c r="L275" s="16" t="n"/>
      <c r="M275" s="28">
        <f>IF(A275="","",IF(AND(C275="Sí",K275="Sí",F275&lt;&gt;"Excluido"),1,0))</f>
        <v/>
      </c>
      <c r="N275" s="2" t="n"/>
    </row>
    <row r="276" ht="15" customHeight="1" s="67">
      <c r="A276" s="19" t="n"/>
      <c r="B276" s="22" t="n"/>
      <c r="C276" s="22" t="n"/>
      <c r="D276" s="16" t="n"/>
      <c r="E276" s="14" t="n"/>
      <c r="F276" s="22" t="n"/>
      <c r="G276" s="16" t="n"/>
      <c r="H276" s="19" t="n"/>
      <c r="I276" s="16" t="n"/>
      <c r="J276" s="22" t="n"/>
      <c r="K276" s="22" t="n"/>
      <c r="L276" s="16" t="n"/>
      <c r="M276" s="28">
        <f>IF(A276="","",IF(AND(C276="Sí",K276="Sí",F276&lt;&gt;"Excluido"),1,0))</f>
        <v/>
      </c>
      <c r="N276" s="2" t="n"/>
    </row>
    <row r="277" ht="15" customHeight="1" s="67">
      <c r="A277" s="19" t="n"/>
      <c r="B277" s="22" t="n"/>
      <c r="C277" s="22" t="n"/>
      <c r="D277" s="16" t="n"/>
      <c r="E277" s="14" t="n"/>
      <c r="F277" s="22" t="n"/>
      <c r="G277" s="16" t="n"/>
      <c r="H277" s="19" t="n"/>
      <c r="I277" s="16" t="n"/>
      <c r="J277" s="22" t="n"/>
      <c r="K277" s="22" t="n"/>
      <c r="L277" s="16" t="n"/>
      <c r="M277" s="28">
        <f>IF(A277="","",IF(AND(C277="Sí",K277="Sí",F277&lt;&gt;"Excluido"),1,0))</f>
        <v/>
      </c>
      <c r="N277" s="2" t="n"/>
    </row>
    <row r="278" ht="15" customHeight="1" s="67">
      <c r="A278" s="19" t="n"/>
      <c r="B278" s="22" t="n"/>
      <c r="C278" s="22" t="n"/>
      <c r="D278" s="16" t="n"/>
      <c r="E278" s="14" t="n"/>
      <c r="F278" s="22" t="n"/>
      <c r="G278" s="16" t="n"/>
      <c r="H278" s="19" t="n"/>
      <c r="I278" s="16" t="n"/>
      <c r="J278" s="22" t="n"/>
      <c r="K278" s="22" t="n"/>
      <c r="L278" s="16" t="n"/>
      <c r="M278" s="28">
        <f>IF(A278="","",IF(AND(C278="Sí",K278="Sí",F278&lt;&gt;"Excluido"),1,0))</f>
        <v/>
      </c>
      <c r="N278" s="2" t="n"/>
    </row>
    <row r="279" ht="15" customHeight="1" s="67">
      <c r="A279" s="19" t="n"/>
      <c r="B279" s="22" t="n"/>
      <c r="C279" s="22" t="n"/>
      <c r="D279" s="16" t="n"/>
      <c r="E279" s="14" t="n"/>
      <c r="F279" s="22" t="n"/>
      <c r="G279" s="16" t="n"/>
      <c r="H279" s="19" t="n"/>
      <c r="I279" s="16" t="n"/>
      <c r="J279" s="22" t="n"/>
      <c r="K279" s="22" t="n"/>
      <c r="L279" s="16" t="n"/>
      <c r="M279" s="28">
        <f>IF(A279="","",IF(AND(C279="Sí",K279="Sí",F279&lt;&gt;"Excluido"),1,0))</f>
        <v/>
      </c>
      <c r="N279" s="2" t="n"/>
    </row>
    <row r="280" ht="15" customHeight="1" s="67">
      <c r="A280" s="19" t="n"/>
      <c r="B280" s="22" t="n"/>
      <c r="C280" s="22" t="n"/>
      <c r="D280" s="16" t="n"/>
      <c r="E280" s="14" t="n"/>
      <c r="F280" s="22" t="n"/>
      <c r="G280" s="16" t="n"/>
      <c r="H280" s="19" t="n"/>
      <c r="I280" s="16" t="n"/>
      <c r="J280" s="22" t="n"/>
      <c r="K280" s="22" t="n"/>
      <c r="L280" s="16" t="n"/>
      <c r="M280" s="28">
        <f>IF(A280="","",IF(AND(C280="Sí",K280="Sí",F280&lt;&gt;"Excluido"),1,0))</f>
        <v/>
      </c>
      <c r="N280" s="2" t="n"/>
    </row>
    <row r="281" ht="15" customHeight="1" s="67">
      <c r="A281" s="19" t="n"/>
      <c r="B281" s="22" t="n"/>
      <c r="C281" s="22" t="n"/>
      <c r="D281" s="16" t="n"/>
      <c r="E281" s="14" t="n"/>
      <c r="F281" s="22" t="n"/>
      <c r="G281" s="16" t="n"/>
      <c r="H281" s="19" t="n"/>
      <c r="I281" s="16" t="n"/>
      <c r="J281" s="22" t="n"/>
      <c r="K281" s="22" t="n"/>
      <c r="L281" s="16" t="n"/>
      <c r="M281" s="28">
        <f>IF(A281="","",IF(AND(C281="Sí",K281="Sí",F281&lt;&gt;"Excluido"),1,0))</f>
        <v/>
      </c>
      <c r="N281" s="2" t="n"/>
    </row>
    <row r="282" ht="15" customHeight="1" s="67">
      <c r="A282" s="19" t="n"/>
      <c r="B282" s="22" t="n"/>
      <c r="C282" s="22" t="n"/>
      <c r="D282" s="16" t="n"/>
      <c r="E282" s="14" t="n"/>
      <c r="F282" s="22" t="n"/>
      <c r="G282" s="16" t="n"/>
      <c r="H282" s="19" t="n"/>
      <c r="I282" s="16" t="n"/>
      <c r="J282" s="22" t="n"/>
      <c r="K282" s="22" t="n"/>
      <c r="L282" s="16" t="n"/>
      <c r="M282" s="28">
        <f>IF(A282="","",IF(AND(C282="Sí",K282="Sí",F282&lt;&gt;"Excluido"),1,0))</f>
        <v/>
      </c>
      <c r="N282" s="2" t="n"/>
    </row>
    <row r="283" ht="15" customHeight="1" s="67">
      <c r="A283" s="19" t="n"/>
      <c r="B283" s="22" t="n"/>
      <c r="C283" s="22" t="n"/>
      <c r="D283" s="16" t="n"/>
      <c r="E283" s="14" t="n"/>
      <c r="F283" s="22" t="n"/>
      <c r="G283" s="16" t="n"/>
      <c r="H283" s="19" t="n"/>
      <c r="I283" s="16" t="n"/>
      <c r="J283" s="22" t="n"/>
      <c r="K283" s="22" t="n"/>
      <c r="L283" s="16" t="n"/>
      <c r="M283" s="28">
        <f>IF(A283="","",IF(AND(C283="Sí",K283="Sí",F283&lt;&gt;"Excluido"),1,0))</f>
        <v/>
      </c>
      <c r="N283" s="2" t="n"/>
    </row>
    <row r="284" ht="15" customHeight="1" s="67">
      <c r="A284" s="19" t="n"/>
      <c r="B284" s="22" t="n"/>
      <c r="C284" s="22" t="n"/>
      <c r="D284" s="16" t="n"/>
      <c r="E284" s="14" t="n"/>
      <c r="F284" s="22" t="n"/>
      <c r="G284" s="16" t="n"/>
      <c r="H284" s="19" t="n"/>
      <c r="I284" s="16" t="n"/>
      <c r="J284" s="22" t="n"/>
      <c r="K284" s="22" t="n"/>
      <c r="L284" s="16" t="n"/>
      <c r="M284" s="28">
        <f>IF(A284="","",IF(AND(C284="Sí",K284="Sí",F284&lt;&gt;"Excluido"),1,0))</f>
        <v/>
      </c>
      <c r="N284" s="2" t="n"/>
    </row>
    <row r="285" ht="15" customHeight="1" s="67">
      <c r="A285" s="19" t="n"/>
      <c r="B285" s="22" t="n"/>
      <c r="C285" s="22" t="n"/>
      <c r="D285" s="16" t="n"/>
      <c r="E285" s="14" t="n"/>
      <c r="F285" s="22" t="n"/>
      <c r="G285" s="16" t="n"/>
      <c r="H285" s="19" t="n"/>
      <c r="I285" s="16" t="n"/>
      <c r="J285" s="22" t="n"/>
      <c r="K285" s="22" t="n"/>
      <c r="L285" s="16" t="n"/>
      <c r="M285" s="28">
        <f>IF(A285="","",IF(AND(C285="Sí",K285="Sí",F285&lt;&gt;"Excluido"),1,0))</f>
        <v/>
      </c>
      <c r="N285" s="2" t="n"/>
    </row>
    <row r="286" ht="15" customHeight="1" s="67">
      <c r="A286" s="19" t="n"/>
      <c r="B286" s="22" t="n"/>
      <c r="C286" s="22" t="n"/>
      <c r="D286" s="16" t="n"/>
      <c r="E286" s="14" t="n"/>
      <c r="F286" s="22" t="n"/>
      <c r="G286" s="16" t="n"/>
      <c r="H286" s="19" t="n"/>
      <c r="I286" s="16" t="n"/>
      <c r="J286" s="22" t="n"/>
      <c r="K286" s="22" t="n"/>
      <c r="L286" s="16" t="n"/>
      <c r="M286" s="28">
        <f>IF(A286="","",IF(AND(C286="Sí",K286="Sí",F286&lt;&gt;"Excluido"),1,0))</f>
        <v/>
      </c>
      <c r="N286" s="2" t="n"/>
    </row>
    <row r="287" ht="15" customHeight="1" s="67">
      <c r="A287" s="19" t="n"/>
      <c r="B287" s="22" t="n"/>
      <c r="C287" s="22" t="n"/>
      <c r="D287" s="16" t="n"/>
      <c r="E287" s="14" t="n"/>
      <c r="F287" s="22" t="n"/>
      <c r="G287" s="16" t="n"/>
      <c r="H287" s="19" t="n"/>
      <c r="I287" s="16" t="n"/>
      <c r="J287" s="22" t="n"/>
      <c r="K287" s="22" t="n"/>
      <c r="L287" s="16" t="n"/>
      <c r="M287" s="28">
        <f>IF(A287="","",IF(AND(C287="Sí",K287="Sí",F287&lt;&gt;"Excluido"),1,0))</f>
        <v/>
      </c>
      <c r="N287" s="2" t="n"/>
    </row>
    <row r="288" ht="15" customHeight="1" s="67">
      <c r="A288" s="19" t="n"/>
      <c r="B288" s="22" t="n"/>
      <c r="C288" s="22" t="n"/>
      <c r="D288" s="16" t="n"/>
      <c r="E288" s="14" t="n"/>
      <c r="F288" s="22" t="n"/>
      <c r="G288" s="16" t="n"/>
      <c r="H288" s="19" t="n"/>
      <c r="I288" s="16" t="n"/>
      <c r="J288" s="22" t="n"/>
      <c r="K288" s="22" t="n"/>
      <c r="L288" s="16" t="n"/>
      <c r="M288" s="28">
        <f>IF(A288="","",IF(AND(C288="Sí",K288="Sí",F288&lt;&gt;"Excluido"),1,0))</f>
        <v/>
      </c>
      <c r="N288" s="2" t="n"/>
    </row>
    <row r="289" ht="15" customHeight="1" s="67">
      <c r="A289" s="19" t="n"/>
      <c r="B289" s="22" t="n"/>
      <c r="C289" s="22" t="n"/>
      <c r="D289" s="16" t="n"/>
      <c r="E289" s="14" t="n"/>
      <c r="F289" s="22" t="n"/>
      <c r="G289" s="16" t="n"/>
      <c r="H289" s="19" t="n"/>
      <c r="I289" s="16" t="n"/>
      <c r="J289" s="22" t="n"/>
      <c r="K289" s="22" t="n"/>
      <c r="L289" s="16" t="n"/>
      <c r="M289" s="28">
        <f>IF(A289="","",IF(AND(C289="Sí",K289="Sí",F289&lt;&gt;"Excluido"),1,0))</f>
        <v/>
      </c>
      <c r="N289" s="2" t="n"/>
    </row>
    <row r="290" ht="15" customHeight="1" s="67">
      <c r="A290" s="19" t="n"/>
      <c r="B290" s="22" t="n"/>
      <c r="C290" s="22" t="n"/>
      <c r="D290" s="16" t="n"/>
      <c r="E290" s="14" t="n"/>
      <c r="F290" s="22" t="n"/>
      <c r="G290" s="16" t="n"/>
      <c r="H290" s="19" t="n"/>
      <c r="I290" s="16" t="n"/>
      <c r="J290" s="22" t="n"/>
      <c r="K290" s="22" t="n"/>
      <c r="L290" s="16" t="n"/>
      <c r="M290" s="28">
        <f>IF(A290="","",IF(AND(C290="Sí",K290="Sí",F290&lt;&gt;"Excluido"),1,0))</f>
        <v/>
      </c>
      <c r="N290" s="2" t="n"/>
    </row>
    <row r="291" ht="15" customHeight="1" s="67">
      <c r="A291" s="19" t="n"/>
      <c r="B291" s="22" t="n"/>
      <c r="C291" s="22" t="n"/>
      <c r="D291" s="16" t="n"/>
      <c r="E291" s="14" t="n"/>
      <c r="F291" s="22" t="n"/>
      <c r="G291" s="16" t="n"/>
      <c r="H291" s="19" t="n"/>
      <c r="I291" s="16" t="n"/>
      <c r="J291" s="22" t="n"/>
      <c r="K291" s="22" t="n"/>
      <c r="L291" s="16" t="n"/>
      <c r="M291" s="28">
        <f>IF(A291="","",IF(AND(C291="Sí",K291="Sí",F291&lt;&gt;"Excluido"),1,0))</f>
        <v/>
      </c>
      <c r="N291" s="2" t="n"/>
    </row>
    <row r="292" ht="15" customHeight="1" s="67">
      <c r="A292" s="19" t="n"/>
      <c r="B292" s="22" t="n"/>
      <c r="C292" s="22" t="n"/>
      <c r="D292" s="16" t="n"/>
      <c r="E292" s="14" t="n"/>
      <c r="F292" s="22" t="n"/>
      <c r="G292" s="16" t="n"/>
      <c r="H292" s="19" t="n"/>
      <c r="I292" s="16" t="n"/>
      <c r="J292" s="22" t="n"/>
      <c r="K292" s="22" t="n"/>
      <c r="L292" s="16" t="n"/>
      <c r="M292" s="28">
        <f>IF(A292="","",IF(AND(C292="Sí",K292="Sí",F292&lt;&gt;"Excluido"),1,0))</f>
        <v/>
      </c>
      <c r="N292" s="2" t="n"/>
    </row>
    <row r="293" ht="15" customHeight="1" s="67">
      <c r="A293" s="19" t="n"/>
      <c r="B293" s="22" t="n"/>
      <c r="C293" s="22" t="n"/>
      <c r="D293" s="16" t="n"/>
      <c r="E293" s="14" t="n"/>
      <c r="F293" s="22" t="n"/>
      <c r="G293" s="16" t="n"/>
      <c r="H293" s="19" t="n"/>
      <c r="I293" s="16" t="n"/>
      <c r="J293" s="22" t="n"/>
      <c r="K293" s="22" t="n"/>
      <c r="L293" s="16" t="n"/>
      <c r="M293" s="28">
        <f>IF(A293="","",IF(AND(C293="Sí",K293="Sí",F293&lt;&gt;"Excluido"),1,0))</f>
        <v/>
      </c>
      <c r="N293" s="2" t="n"/>
    </row>
    <row r="294" ht="15" customHeight="1" s="67">
      <c r="A294" s="19" t="n"/>
      <c r="B294" s="22" t="n"/>
      <c r="C294" s="22" t="n"/>
      <c r="D294" s="16" t="n"/>
      <c r="E294" s="14" t="n"/>
      <c r="F294" s="22" t="n"/>
      <c r="G294" s="16" t="n"/>
      <c r="H294" s="19" t="n"/>
      <c r="I294" s="16" t="n"/>
      <c r="J294" s="22" t="n"/>
      <c r="K294" s="22" t="n"/>
      <c r="L294" s="16" t="n"/>
      <c r="M294" s="28">
        <f>IF(A294="","",IF(AND(C294="Sí",K294="Sí",F294&lt;&gt;"Excluido"),1,0))</f>
        <v/>
      </c>
      <c r="N294" s="2" t="n"/>
    </row>
    <row r="295" ht="15" customHeight="1" s="67">
      <c r="A295" s="19" t="n"/>
      <c r="B295" s="22" t="n"/>
      <c r="C295" s="22" t="n"/>
      <c r="D295" s="16" t="n"/>
      <c r="E295" s="14" t="n"/>
      <c r="F295" s="22" t="n"/>
      <c r="G295" s="16" t="n"/>
      <c r="H295" s="19" t="n"/>
      <c r="I295" s="16" t="n"/>
      <c r="J295" s="22" t="n"/>
      <c r="K295" s="22" t="n"/>
      <c r="L295" s="16" t="n"/>
      <c r="M295" s="28">
        <f>IF(A295="","",IF(AND(C295="Sí",K295="Sí",F295&lt;&gt;"Excluido"),1,0))</f>
        <v/>
      </c>
      <c r="N295" s="2" t="n"/>
    </row>
    <row r="296" ht="15" customHeight="1" s="67">
      <c r="A296" s="19" t="n"/>
      <c r="B296" s="22" t="n"/>
      <c r="C296" s="22" t="n"/>
      <c r="D296" s="16" t="n"/>
      <c r="E296" s="14" t="n"/>
      <c r="F296" s="22" t="n"/>
      <c r="G296" s="16" t="n"/>
      <c r="H296" s="19" t="n"/>
      <c r="I296" s="16" t="n"/>
      <c r="J296" s="22" t="n"/>
      <c r="K296" s="22" t="n"/>
      <c r="L296" s="16" t="n"/>
      <c r="M296" s="28">
        <f>IF(A296="","",IF(AND(C296="Sí",K296="Sí",F296&lt;&gt;"Excluido"),1,0))</f>
        <v/>
      </c>
      <c r="N296" s="2" t="n"/>
    </row>
    <row r="297" ht="15" customHeight="1" s="67">
      <c r="A297" s="19" t="n"/>
      <c r="B297" s="22" t="n"/>
      <c r="C297" s="22" t="n"/>
      <c r="D297" s="16" t="n"/>
      <c r="E297" s="14" t="n"/>
      <c r="F297" s="22" t="n"/>
      <c r="G297" s="16" t="n"/>
      <c r="H297" s="19" t="n"/>
      <c r="I297" s="16" t="n"/>
      <c r="J297" s="22" t="n"/>
      <c r="K297" s="22" t="n"/>
      <c r="L297" s="16" t="n"/>
      <c r="M297" s="28">
        <f>IF(A297="","",IF(AND(C297="Sí",K297="Sí",F297&lt;&gt;"Excluido"),1,0))</f>
        <v/>
      </c>
      <c r="N297" s="2" t="n"/>
    </row>
    <row r="298" ht="15" customHeight="1" s="67">
      <c r="A298" s="19" t="n"/>
      <c r="B298" s="22" t="n"/>
      <c r="C298" s="22" t="n"/>
      <c r="D298" s="16" t="n"/>
      <c r="E298" s="14" t="n"/>
      <c r="F298" s="22" t="n"/>
      <c r="G298" s="16" t="n"/>
      <c r="H298" s="19" t="n"/>
      <c r="I298" s="16" t="n"/>
      <c r="J298" s="22" t="n"/>
      <c r="K298" s="22" t="n"/>
      <c r="L298" s="16" t="n"/>
      <c r="M298" s="28">
        <f>IF(A298="","",IF(AND(C298="Sí",K298="Sí",F298&lt;&gt;"Excluido"),1,0))</f>
        <v/>
      </c>
      <c r="N298" s="2" t="n"/>
    </row>
    <row r="299" ht="15" customHeight="1" s="67">
      <c r="A299" s="19" t="n"/>
      <c r="B299" s="22" t="n"/>
      <c r="C299" s="22" t="n"/>
      <c r="D299" s="16" t="n"/>
      <c r="E299" s="14" t="n"/>
      <c r="F299" s="22" t="n"/>
      <c r="G299" s="16" t="n"/>
      <c r="H299" s="19" t="n"/>
      <c r="I299" s="16" t="n"/>
      <c r="J299" s="22" t="n"/>
      <c r="K299" s="22" t="n"/>
      <c r="L299" s="16" t="n"/>
      <c r="M299" s="28">
        <f>IF(A299="","",IF(AND(C299="Sí",K299="Sí",F299&lt;&gt;"Excluido"),1,0))</f>
        <v/>
      </c>
      <c r="N299" s="2" t="n"/>
    </row>
    <row r="300" ht="15" customHeight="1" s="67">
      <c r="A300" s="19" t="n"/>
      <c r="B300" s="22" t="n"/>
      <c r="C300" s="22" t="n"/>
      <c r="D300" s="16" t="n"/>
      <c r="E300" s="14" t="n"/>
      <c r="F300" s="22" t="n"/>
      <c r="G300" s="16" t="n"/>
      <c r="H300" s="19" t="n"/>
      <c r="I300" s="16" t="n"/>
      <c r="J300" s="22" t="n"/>
      <c r="K300" s="22" t="n"/>
      <c r="L300" s="16" t="n"/>
      <c r="M300" s="28">
        <f>IF(A300="","",IF(AND(C300="Sí",K300="Sí",F300&lt;&gt;"Excluido"),1,0))</f>
        <v/>
      </c>
      <c r="N300" s="2" t="n"/>
    </row>
    <row r="301" ht="15" customHeight="1" s="67">
      <c r="A301" s="19" t="n"/>
      <c r="B301" s="22" t="n"/>
      <c r="C301" s="22" t="n"/>
      <c r="D301" s="16" t="n"/>
      <c r="E301" s="14" t="n"/>
      <c r="F301" s="22" t="n"/>
      <c r="G301" s="16" t="n"/>
      <c r="H301" s="19" t="n"/>
      <c r="I301" s="16" t="n"/>
      <c r="J301" s="22" t="n"/>
      <c r="K301" s="22" t="n"/>
      <c r="L301" s="16" t="n"/>
      <c r="M301" s="28">
        <f>IF(A301="","",IF(AND(C301="Sí",K301="Sí",F301&lt;&gt;"Excluido"),1,0))</f>
        <v/>
      </c>
      <c r="N301" s="2" t="n"/>
    </row>
    <row r="302" ht="15" customHeight="1" s="67">
      <c r="A302" s="19" t="n"/>
      <c r="B302" s="22" t="n"/>
      <c r="C302" s="22" t="n"/>
      <c r="D302" s="16" t="n"/>
      <c r="E302" s="14" t="n"/>
      <c r="F302" s="22" t="n"/>
      <c r="G302" s="16" t="n"/>
      <c r="H302" s="19" t="n"/>
      <c r="I302" s="16" t="n"/>
      <c r="J302" s="22" t="n"/>
      <c r="K302" s="22" t="n"/>
      <c r="L302" s="16" t="n"/>
      <c r="M302" s="28">
        <f>IF(A302="","",IF(AND(C302="Sí",K302="Sí",F302&lt;&gt;"Excluido"),1,0))</f>
        <v/>
      </c>
      <c r="N302" s="2" t="n"/>
    </row>
    <row r="303" ht="15" customHeight="1" s="67">
      <c r="A303" s="19" t="n"/>
      <c r="B303" s="22" t="n"/>
      <c r="C303" s="22" t="n"/>
      <c r="D303" s="16" t="n"/>
      <c r="E303" s="14" t="n"/>
      <c r="F303" s="22" t="n"/>
      <c r="G303" s="16" t="n"/>
      <c r="H303" s="19" t="n"/>
      <c r="I303" s="16" t="n"/>
      <c r="J303" s="22" t="n"/>
      <c r="K303" s="22" t="n"/>
      <c r="L303" s="16" t="n"/>
      <c r="M303" s="28">
        <f>IF(A303="","",IF(AND(C303="Sí",K303="Sí",F303&lt;&gt;"Excluido"),1,0))</f>
        <v/>
      </c>
      <c r="N303" s="2" t="n"/>
    </row>
    <row r="304" ht="15" customHeight="1" s="67">
      <c r="A304" s="19" t="n"/>
      <c r="B304" s="22" t="n"/>
      <c r="C304" s="22" t="n"/>
      <c r="D304" s="16" t="n"/>
      <c r="E304" s="14" t="n"/>
      <c r="F304" s="22" t="n"/>
      <c r="G304" s="16" t="n"/>
      <c r="H304" s="19" t="n"/>
      <c r="I304" s="16" t="n"/>
      <c r="J304" s="22" t="n"/>
      <c r="K304" s="22" t="n"/>
      <c r="L304" s="16" t="n"/>
      <c r="M304" s="28">
        <f>IF(A304="","",IF(AND(C304="Sí",K304="Sí",F304&lt;&gt;"Excluido"),1,0))</f>
        <v/>
      </c>
      <c r="N304" s="2" t="n"/>
    </row>
    <row r="305" ht="15" customHeight="1" s="67">
      <c r="A305" s="19" t="n"/>
      <c r="B305" s="22" t="n"/>
      <c r="C305" s="22" t="n"/>
      <c r="D305" s="16" t="n"/>
      <c r="E305" s="14" t="n"/>
      <c r="F305" s="22" t="n"/>
      <c r="G305" s="16" t="n"/>
      <c r="H305" s="19" t="n"/>
      <c r="I305" s="16" t="n"/>
      <c r="J305" s="22" t="n"/>
      <c r="K305" s="22" t="n"/>
      <c r="L305" s="16" t="n"/>
      <c r="M305" s="28">
        <f>IF(A305="","",IF(AND(C305="Sí",K305="Sí",F305&lt;&gt;"Excluido"),1,0))</f>
        <v/>
      </c>
      <c r="N305" s="2" t="n"/>
    </row>
    <row r="306" ht="15.75" customHeight="1" s="6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 ht="15.75" customHeight="1" s="6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 ht="15.75" customHeight="1" s="6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 ht="15.75" customHeight="1" s="6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 ht="15.75" customHeight="1" s="6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 ht="15.75" customHeight="1" s="6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 ht="15.75" customHeight="1" s="6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 ht="15.75" customHeight="1" s="6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 ht="15.75" customHeight="1" s="6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 ht="15.75" customHeight="1" s="6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 ht="15.75" customHeight="1" s="6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 ht="15.75" customHeight="1" s="6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 ht="15.75" customHeight="1" s="6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 ht="15.75" customHeight="1" s="6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 ht="15.75" customHeight="1" s="6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 ht="15.75" customHeight="1" s="6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 ht="15.75" customHeight="1" s="6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 ht="15.75" customHeight="1" s="6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 ht="15.75" customHeight="1" s="6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 ht="15.75" customHeight="1" s="6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 ht="15.75" customHeight="1" s="6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 ht="15.75" customHeight="1" s="6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 ht="15.75" customHeight="1" s="6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 ht="15.75" customHeight="1" s="6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 ht="15.75" customHeight="1" s="6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 ht="15.75" customHeight="1" s="6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 ht="15.75" customHeight="1" s="6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 ht="15.75" customHeight="1" s="6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 ht="15.75" customHeight="1" s="6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 ht="15.75" customHeight="1" s="6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 ht="15.75" customHeight="1" s="6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 ht="15.75" customHeight="1" s="6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 ht="15.75" customHeight="1" s="6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 ht="15.75" customHeight="1" s="6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 ht="15.75" customHeight="1" s="6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 ht="15.75" customHeight="1" s="6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 ht="15.75" customHeight="1" s="6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 ht="15.75" customHeight="1" s="6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 ht="15.75" customHeight="1" s="6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 ht="15.75" customHeight="1" s="6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 ht="15.75" customHeight="1" s="6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 ht="15.75" customHeight="1" s="6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 ht="15.75" customHeight="1" s="6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 ht="15.75" customHeight="1" s="6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 ht="15.75" customHeight="1" s="6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 ht="15.75" customHeight="1" s="6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 ht="15.75" customHeight="1" s="6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 ht="15.75" customHeight="1" s="6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 ht="15.75" customHeight="1" s="6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 ht="15.75" customHeight="1" s="6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 ht="15.75" customHeight="1" s="6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 ht="15.75" customHeight="1" s="6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 ht="15.75" customHeight="1" s="6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 ht="15.75" customHeight="1" s="6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 ht="15.75" customHeight="1" s="6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 ht="15.75" customHeight="1" s="6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 ht="15.75" customHeight="1" s="6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 ht="15.75" customHeight="1" s="6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 ht="15.75" customHeight="1" s="6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 ht="15.75" customHeight="1" s="6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 ht="15.75" customHeight="1" s="6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 ht="15.75" customHeight="1" s="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 ht="15.75" customHeight="1" s="6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 ht="15.75" customHeight="1" s="6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 ht="15.75" customHeight="1" s="6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 ht="15.75" customHeight="1" s="6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 ht="15.75" customHeight="1" s="6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 ht="15.75" customHeight="1" s="6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 ht="15.75" customHeight="1" s="6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 ht="15.75" customHeight="1" s="6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 ht="15.75" customHeight="1" s="6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 ht="15.75" customHeight="1" s="6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 ht="15.75" customHeight="1" s="6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 ht="15.75" customHeight="1" s="6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 ht="15.75" customHeight="1" s="6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 ht="15.75" customHeight="1" s="6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 ht="15.75" customHeight="1" s="6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 ht="15.75" customHeight="1" s="6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 ht="15.75" customHeight="1" s="6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 ht="15.75" customHeight="1" s="6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 ht="15.75" customHeight="1" s="6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 ht="15.75" customHeight="1" s="6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 ht="15.75" customHeight="1" s="6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 ht="15.75" customHeight="1" s="6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 ht="15.75" customHeight="1" s="6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 ht="15.75" customHeight="1" s="6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 ht="15.75" customHeight="1" s="6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 ht="15.75" customHeight="1" s="6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 ht="15.75" customHeight="1" s="6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 ht="15.75" customHeight="1" s="6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 ht="15.75" customHeight="1" s="6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 ht="15.75" customHeight="1" s="6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 ht="15.75" customHeight="1" s="6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 ht="15.75" customHeight="1" s="6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 ht="15.75" customHeight="1" s="6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 ht="15.75" customHeight="1" s="6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 ht="15.75" customHeight="1" s="6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 ht="15.75" customHeight="1" s="6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 ht="15.75" customHeight="1" s="6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 ht="15.75" customHeight="1" s="6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 ht="15.75" customHeight="1" s="6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 ht="15.75" customHeight="1" s="6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 ht="15.75" customHeight="1" s="6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 ht="15.75" customHeight="1" s="6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 ht="15.75" customHeight="1" s="6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 ht="15.75" customHeight="1" s="6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 ht="15.75" customHeight="1" s="6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 ht="15.75" customHeight="1" s="6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 ht="15.75" customHeight="1" s="6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 ht="15.75" customHeight="1" s="6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 ht="15.75" customHeight="1" s="6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 ht="15.75" customHeight="1" s="6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 ht="15.75" customHeight="1" s="6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 ht="15.75" customHeight="1" s="6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 ht="15.75" customHeight="1" s="6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 ht="15.75" customHeight="1" s="6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 ht="15.75" customHeight="1" s="6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 ht="15.75" customHeight="1" s="6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 ht="15.75" customHeight="1" s="6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 ht="15.75" customHeight="1" s="6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 ht="15.75" customHeight="1" s="6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 ht="15.75" customHeight="1" s="6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 ht="15.75" customHeight="1" s="6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 ht="15.75" customHeight="1" s="6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 ht="15.75" customHeight="1" s="6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 ht="15.75" customHeight="1" s="6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 ht="15.75" customHeight="1" s="6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 ht="15.75" customHeight="1" s="6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 ht="15.75" customHeight="1" s="6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 ht="15.75" customHeight="1" s="6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 ht="15.75" customHeight="1" s="6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 ht="15.75" customHeight="1" s="6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 ht="15.75" customHeight="1" s="6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 ht="15.75" customHeight="1" s="6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 ht="15.75" customHeight="1" s="6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 ht="15.75" customHeight="1" s="6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 ht="15.75" customHeight="1" s="6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 ht="15.75" customHeight="1" s="6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 ht="15.75" customHeight="1" s="6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 ht="15.75" customHeight="1" s="6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 ht="15.75" customHeight="1" s="6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 ht="15.75" customHeight="1" s="6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 ht="15.75" customHeight="1" s="6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 ht="15.75" customHeight="1" s="6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 ht="15.75" customHeight="1" s="6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 ht="15.75" customHeight="1" s="6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 ht="15.75" customHeight="1" s="6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 ht="15.75" customHeight="1" s="6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 ht="15.75" customHeight="1" s="6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 ht="15.75" customHeight="1" s="6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 ht="15.75" customHeight="1" s="6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 ht="15.75" customHeight="1" s="6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 ht="15.75" customHeight="1" s="6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 ht="15.75" customHeight="1" s="6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 ht="15.75" customHeight="1" s="6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 ht="15.75" customHeight="1" s="6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 ht="15.75" customHeight="1" s="6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 ht="15.75" customHeight="1" s="6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 ht="15.75" customHeight="1" s="6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 ht="15.75" customHeight="1" s="6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 ht="15.75" customHeight="1" s="6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 ht="15.75" customHeight="1" s="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 ht="15.75" customHeight="1" s="6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 ht="15.75" customHeight="1" s="6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 ht="15.75" customHeight="1" s="6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 ht="15.75" customHeight="1" s="6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 ht="15.75" customHeight="1" s="6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 ht="15.75" customHeight="1" s="6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 ht="15.75" customHeight="1" s="6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 ht="15.75" customHeight="1" s="6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 ht="15.75" customHeight="1" s="6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 ht="15.75" customHeight="1" s="6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 ht="15.75" customHeight="1" s="6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 ht="15.75" customHeight="1" s="6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 ht="15.75" customHeight="1" s="6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 ht="15.75" customHeight="1" s="6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 ht="15.75" customHeight="1" s="6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 ht="15.75" customHeight="1" s="6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 ht="15.75" customHeight="1" s="6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 ht="15.75" customHeight="1" s="6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 ht="15.75" customHeight="1" s="6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 ht="15.75" customHeight="1" s="6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 ht="15.75" customHeight="1" s="6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 ht="15.75" customHeight="1" s="6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 ht="15.75" customHeight="1" s="6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 ht="15.75" customHeight="1" s="6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 ht="15.75" customHeight="1" s="6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 ht="15.75" customHeight="1" s="6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 ht="15.75" customHeight="1" s="6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 ht="15.75" customHeight="1" s="6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 ht="15.75" customHeight="1" s="6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 ht="15.75" customHeight="1" s="6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 ht="15.75" customHeight="1" s="6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 ht="15.75" customHeight="1" s="6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 ht="15.75" customHeight="1" s="6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 ht="15.75" customHeight="1" s="6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 ht="15.75" customHeight="1" s="6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 ht="15.75" customHeight="1" s="6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 ht="15.75" customHeight="1" s="6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 ht="15.75" customHeight="1" s="6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 ht="15.75" customHeight="1" s="6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 ht="15.75" customHeight="1" s="6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 ht="15.75" customHeight="1" s="6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 ht="15.75" customHeight="1" s="6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 ht="15.75" customHeight="1" s="6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 ht="15.75" customHeight="1" s="6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 ht="15.75" customHeight="1" s="6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 ht="15.75" customHeight="1" s="6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 ht="15.75" customHeight="1" s="6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 ht="15.75" customHeight="1" s="6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 ht="15.75" customHeight="1" s="6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 ht="15.75" customHeight="1" s="6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 ht="15.75" customHeight="1" s="6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 ht="15.75" customHeight="1" s="6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 ht="15.75" customHeight="1" s="6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 ht="15.75" customHeight="1" s="6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 ht="15.75" customHeight="1" s="6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 ht="15.75" customHeight="1" s="6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 ht="15.75" customHeight="1" s="6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 ht="15.75" customHeight="1" s="6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 ht="15.75" customHeight="1" s="6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 ht="15.75" customHeight="1" s="6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 ht="15.75" customHeight="1" s="6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 ht="15.75" customHeight="1" s="6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 ht="15.75" customHeight="1" s="6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 ht="15.75" customHeight="1" s="6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 ht="15.75" customHeight="1" s="6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 ht="15.75" customHeight="1" s="6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 ht="15.75" customHeight="1" s="6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 ht="15.75" customHeight="1" s="6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 ht="15.75" customHeight="1" s="6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 ht="15.75" customHeight="1" s="6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 ht="15.75" customHeight="1" s="6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 ht="15.75" customHeight="1" s="6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 ht="15.75" customHeight="1" s="6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 ht="15.75" customHeight="1" s="6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 ht="15.75" customHeight="1" s="6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 ht="15.75" customHeight="1" s="6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 ht="15.75" customHeight="1" s="6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 ht="15.75" customHeight="1" s="6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 ht="15.75" customHeight="1" s="6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 ht="15.75" customHeight="1" s="6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 ht="15.75" customHeight="1" s="6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 ht="15.75" customHeight="1" s="6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 ht="15.75" customHeight="1" s="6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 ht="15.75" customHeight="1" s="6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 ht="15.75" customHeight="1" s="6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 ht="15.75" customHeight="1" s="6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 ht="15.75" customHeight="1" s="6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 ht="15.75" customHeight="1" s="6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 ht="15.75" customHeight="1" s="6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 ht="15.75" customHeight="1" s="6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 ht="15.75" customHeight="1" s="6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 ht="15.75" customHeight="1" s="6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 ht="15.75" customHeight="1" s="6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 ht="15.75" customHeight="1" s="6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 ht="15.75" customHeight="1" s="6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 ht="15.75" customHeight="1" s="6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 ht="15.75" customHeight="1" s="6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 ht="15.75" customHeight="1" s="6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 ht="15.75" customHeight="1" s="6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 ht="15.75" customHeight="1" s="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 ht="15.75" customHeight="1" s="6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 ht="15.75" customHeight="1" s="6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 ht="15.75" customHeight="1" s="6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 ht="15.75" customHeight="1" s="6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 ht="15.75" customHeight="1" s="6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 ht="15.75" customHeight="1" s="6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 ht="15.75" customHeight="1" s="6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 ht="15.75" customHeight="1" s="6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 ht="15.75" customHeight="1" s="6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 ht="15.75" customHeight="1" s="6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 ht="15.75" customHeight="1" s="6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 ht="15.75" customHeight="1" s="6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 ht="15.75" customHeight="1" s="6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 ht="15.75" customHeight="1" s="6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 ht="15.75" customHeight="1" s="6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 ht="15.75" customHeight="1" s="6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 ht="15.75" customHeight="1" s="6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 ht="15.75" customHeight="1" s="6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 ht="15.75" customHeight="1" s="6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 ht="15.75" customHeight="1" s="6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 ht="15.75" customHeight="1" s="6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 ht="15.75" customHeight="1" s="6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 ht="15.75" customHeight="1" s="6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 ht="15.75" customHeight="1" s="6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 ht="15.75" customHeight="1" s="6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 ht="15.75" customHeight="1" s="6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 ht="15.75" customHeight="1" s="6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 ht="15.75" customHeight="1" s="6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 ht="15.75" customHeight="1" s="6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 ht="15.75" customHeight="1" s="6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 ht="15.75" customHeight="1" s="6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 ht="15.75" customHeight="1" s="6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 ht="15.75" customHeight="1" s="6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 ht="15.75" customHeight="1" s="6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 ht="15.75" customHeight="1" s="6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 ht="15.75" customHeight="1" s="6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 ht="15.75" customHeight="1" s="6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 ht="15.75" customHeight="1" s="6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 ht="15.75" customHeight="1" s="6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 ht="15.75" customHeight="1" s="6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 ht="15.75" customHeight="1" s="6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 ht="15.75" customHeight="1" s="6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 ht="15.75" customHeight="1" s="6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 ht="15.75" customHeight="1" s="6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 ht="15.75" customHeight="1" s="6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 ht="15.75" customHeight="1" s="6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 ht="15.75" customHeight="1" s="6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 ht="15.75" customHeight="1" s="6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 ht="15.75" customHeight="1" s="6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 ht="15.75" customHeight="1" s="6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 ht="15.75" customHeight="1" s="6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 ht="15.75" customHeight="1" s="6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 ht="15.75" customHeight="1" s="6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 ht="15.75" customHeight="1" s="6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 ht="15.75" customHeight="1" s="6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 ht="15.75" customHeight="1" s="6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 ht="15.75" customHeight="1" s="6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 ht="15.75" customHeight="1" s="6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 ht="15.75" customHeight="1" s="6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 ht="15.75" customHeight="1" s="6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 ht="15.75" customHeight="1" s="6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 ht="15.75" customHeight="1" s="6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 ht="15.75" customHeight="1" s="6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 ht="15.75" customHeight="1" s="6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 ht="15.75" customHeight="1" s="6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 ht="15.75" customHeight="1" s="6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 ht="15.75" customHeight="1" s="6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 ht="15.75" customHeight="1" s="6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 ht="15.75" customHeight="1" s="6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 ht="15.75" customHeight="1" s="6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 ht="15.75" customHeight="1" s="6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 ht="15.75" customHeight="1" s="6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 ht="15.75" customHeight="1" s="6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 ht="15.75" customHeight="1" s="6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 ht="15.75" customHeight="1" s="6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 ht="15.75" customHeight="1" s="6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 ht="15.75" customHeight="1" s="6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 ht="15.75" customHeight="1" s="6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 ht="15.75" customHeight="1" s="6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 ht="15.75" customHeight="1" s="6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 ht="15.75" customHeight="1" s="6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 ht="15.75" customHeight="1" s="6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 ht="15.75" customHeight="1" s="6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 ht="15.75" customHeight="1" s="6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 ht="15.75" customHeight="1" s="6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 ht="15.75" customHeight="1" s="6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 ht="15.75" customHeight="1" s="6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 ht="15.75" customHeight="1" s="6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 ht="15.75" customHeight="1" s="6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 ht="15.75" customHeight="1" s="6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 ht="15.75" customHeight="1" s="6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 ht="15.75" customHeight="1" s="6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 ht="15.75" customHeight="1" s="6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 ht="15.75" customHeight="1" s="6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 ht="15.75" customHeight="1" s="6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 ht="15.75" customHeight="1" s="6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 ht="15.75" customHeight="1" s="6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 ht="15.75" customHeight="1" s="6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 ht="15.75" customHeight="1" s="6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 ht="15.75" customHeight="1" s="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 ht="15.75" customHeight="1" s="6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 ht="15.75" customHeight="1" s="6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 ht="15.75" customHeight="1" s="6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 ht="15.75" customHeight="1" s="6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 ht="15.75" customHeight="1" s="6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 ht="15.75" customHeight="1" s="6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 ht="15.75" customHeight="1" s="6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 ht="15.75" customHeight="1" s="6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 ht="15.75" customHeight="1" s="6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 ht="15.75" customHeight="1" s="6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 ht="15.75" customHeight="1" s="6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 ht="15.75" customHeight="1" s="6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 ht="15.75" customHeight="1" s="6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 ht="15.75" customHeight="1" s="6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 ht="15.75" customHeight="1" s="6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 ht="15.75" customHeight="1" s="6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 ht="15.75" customHeight="1" s="6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 ht="15.75" customHeight="1" s="6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 ht="15.75" customHeight="1" s="6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 ht="15.75" customHeight="1" s="6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 ht="15.75" customHeight="1" s="6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 ht="15.75" customHeight="1" s="6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 ht="15.75" customHeight="1" s="6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 ht="15.75" customHeight="1" s="6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 ht="15.75" customHeight="1" s="6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 ht="15.75" customHeight="1" s="6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 ht="15.75" customHeight="1" s="6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 ht="15.75" customHeight="1" s="6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 ht="15.75" customHeight="1" s="6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 ht="15.75" customHeight="1" s="6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 ht="15.75" customHeight="1" s="6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 ht="15.75" customHeight="1" s="6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 ht="15.75" customHeight="1" s="6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 ht="15.75" customHeight="1" s="6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 ht="15.75" customHeight="1" s="6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 ht="15.75" customHeight="1" s="6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 ht="15.75" customHeight="1" s="6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 ht="15.75" customHeight="1" s="6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 ht="15.75" customHeight="1" s="6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 ht="15.75" customHeight="1" s="6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 ht="15.75" customHeight="1" s="6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 ht="15.75" customHeight="1" s="6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 ht="15.75" customHeight="1" s="6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 ht="15.75" customHeight="1" s="6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 ht="15.75" customHeight="1" s="6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 ht="15.75" customHeight="1" s="6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 ht="15.75" customHeight="1" s="6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 ht="15.75" customHeight="1" s="6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 ht="15.75" customHeight="1" s="6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 ht="15.75" customHeight="1" s="6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 ht="15.75" customHeight="1" s="6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 ht="15.75" customHeight="1" s="6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 ht="15.75" customHeight="1" s="6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 ht="15.75" customHeight="1" s="6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 ht="15.75" customHeight="1" s="6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 ht="15.75" customHeight="1" s="6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 ht="15.75" customHeight="1" s="6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 ht="15.75" customHeight="1" s="6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 ht="15.75" customHeight="1" s="6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 ht="15.75" customHeight="1" s="6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 ht="15.75" customHeight="1" s="6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 ht="15.75" customHeight="1" s="6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 ht="15.75" customHeight="1" s="6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 ht="15.75" customHeight="1" s="6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 ht="15.75" customHeight="1" s="6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 ht="15.75" customHeight="1" s="6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 ht="15.75" customHeight="1" s="6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 ht="15.75" customHeight="1" s="6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 ht="15.75" customHeight="1" s="6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 ht="15.75" customHeight="1" s="6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 ht="15.75" customHeight="1" s="6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 ht="15.75" customHeight="1" s="6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 ht="15.75" customHeight="1" s="6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 ht="15.75" customHeight="1" s="6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 ht="15.75" customHeight="1" s="6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 ht="15.75" customHeight="1" s="6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 ht="15.75" customHeight="1" s="6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 ht="15.75" customHeight="1" s="6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 ht="15.75" customHeight="1" s="6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 ht="15.75" customHeight="1" s="6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 ht="15.75" customHeight="1" s="6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 ht="15.75" customHeight="1" s="6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 ht="15.75" customHeight="1" s="6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 ht="15.75" customHeight="1" s="6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 ht="15.75" customHeight="1" s="6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 ht="15.75" customHeight="1" s="6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 ht="15.75" customHeight="1" s="6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 ht="15.75" customHeight="1" s="6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 ht="15.75" customHeight="1" s="6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 ht="15.75" customHeight="1" s="6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 ht="15.75" customHeight="1" s="6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 ht="15.75" customHeight="1" s="6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 ht="15.75" customHeight="1" s="6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 ht="15.75" customHeight="1" s="6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 ht="15.75" customHeight="1" s="6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 ht="15.75" customHeight="1" s="6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 ht="15.75" customHeight="1" s="6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 ht="15.75" customHeight="1" s="6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 ht="15.75" customHeight="1" s="6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 ht="15.75" customHeight="1" s="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 ht="15.75" customHeight="1" s="6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 ht="15.75" customHeight="1" s="6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 ht="15.75" customHeight="1" s="6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 ht="15.75" customHeight="1" s="6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 ht="15.75" customHeight="1" s="6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 ht="15.75" customHeight="1" s="6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 ht="15.75" customHeight="1" s="6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 ht="15.75" customHeight="1" s="6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 ht="15.75" customHeight="1" s="6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 ht="15.75" customHeight="1" s="6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 ht="15.75" customHeight="1" s="6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 ht="15.75" customHeight="1" s="6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 ht="15.75" customHeight="1" s="6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 ht="15.75" customHeight="1" s="6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 ht="15.75" customHeight="1" s="6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 ht="15.75" customHeight="1" s="6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 ht="15.75" customHeight="1" s="6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 ht="15.75" customHeight="1" s="6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 ht="15.75" customHeight="1" s="6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 ht="15.75" customHeight="1" s="6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 ht="15.75" customHeight="1" s="6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 ht="15.75" customHeight="1" s="6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 ht="15.75" customHeight="1" s="6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 ht="15.75" customHeight="1" s="6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 ht="15.75" customHeight="1" s="6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 ht="15.75" customHeight="1" s="6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 ht="15.75" customHeight="1" s="6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 ht="15.75" customHeight="1" s="6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 ht="15.75" customHeight="1" s="6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 ht="15.75" customHeight="1" s="6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 ht="15.75" customHeight="1" s="6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 ht="15.75" customHeight="1" s="6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 ht="15.75" customHeight="1" s="6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 ht="15.75" customHeight="1" s="6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 ht="15.75" customHeight="1" s="6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 ht="15.75" customHeight="1" s="6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 ht="15.75" customHeight="1" s="6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 ht="15.75" customHeight="1" s="6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 ht="15.75" customHeight="1" s="6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 ht="15.75" customHeight="1" s="6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 ht="15.75" customHeight="1" s="6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 ht="15.75" customHeight="1" s="6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 ht="15.75" customHeight="1" s="6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 ht="15.75" customHeight="1" s="6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 ht="15.75" customHeight="1" s="6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 ht="15.75" customHeight="1" s="6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 ht="15.75" customHeight="1" s="6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 ht="15.75" customHeight="1" s="6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 ht="15.75" customHeight="1" s="6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 ht="15.75" customHeight="1" s="6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 ht="15.75" customHeight="1" s="6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 ht="15.75" customHeight="1" s="6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 ht="15.75" customHeight="1" s="6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 ht="15.75" customHeight="1" s="6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 ht="15.75" customHeight="1" s="6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 ht="15.75" customHeight="1" s="6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 ht="15.75" customHeight="1" s="6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 ht="15.75" customHeight="1" s="6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 ht="15.75" customHeight="1" s="6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 ht="15.75" customHeight="1" s="6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 ht="15.75" customHeight="1" s="6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 ht="15.75" customHeight="1" s="6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 ht="15.75" customHeight="1" s="6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 ht="15.75" customHeight="1" s="6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 ht="15.75" customHeight="1" s="6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 ht="15.75" customHeight="1" s="6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 ht="15.75" customHeight="1" s="6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 ht="15.75" customHeight="1" s="6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 ht="15.75" customHeight="1" s="6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 ht="15.75" customHeight="1" s="6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 ht="15.75" customHeight="1" s="6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 ht="15.75" customHeight="1" s="6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 ht="15.75" customHeight="1" s="6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 ht="15.75" customHeight="1" s="6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 ht="15.75" customHeight="1" s="6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 ht="15.75" customHeight="1" s="6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 ht="15.75" customHeight="1" s="6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 ht="15.75" customHeight="1" s="6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 ht="15.75" customHeight="1" s="6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 ht="15.75" customHeight="1" s="6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 ht="15.75" customHeight="1" s="6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 ht="15.75" customHeight="1" s="6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 ht="15.75" customHeight="1" s="6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 ht="15.75" customHeight="1" s="6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 ht="15.75" customHeight="1" s="6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 ht="15.75" customHeight="1" s="6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 ht="15.75" customHeight="1" s="6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 ht="15.75" customHeight="1" s="6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 ht="15.75" customHeight="1" s="6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 ht="15.75" customHeight="1" s="6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 ht="15.75" customHeight="1" s="6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 ht="15.75" customHeight="1" s="6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 ht="15.75" customHeight="1" s="6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 ht="15.75" customHeight="1" s="6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 ht="15.75" customHeight="1" s="6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 ht="15.75" customHeight="1" s="6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 ht="15.75" customHeight="1" s="6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 ht="15.75" customHeight="1" s="6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 ht="15.75" customHeight="1" s="6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 ht="15.75" customHeight="1" s="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 ht="15.75" customHeight="1" s="6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 ht="15.75" customHeight="1" s="6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 ht="15.75" customHeight="1" s="6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 ht="15.75" customHeight="1" s="6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 ht="15.75" customHeight="1" s="6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 ht="15.75" customHeight="1" s="6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 ht="15.75" customHeight="1" s="6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 ht="15.75" customHeight="1" s="6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 ht="15.75" customHeight="1" s="6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 ht="15.75" customHeight="1" s="6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 ht="15.75" customHeight="1" s="6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 ht="15.75" customHeight="1" s="6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 ht="15.75" customHeight="1" s="6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 ht="15.75" customHeight="1" s="6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 ht="15.75" customHeight="1" s="6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 ht="15.75" customHeight="1" s="6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 ht="15.75" customHeight="1" s="6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 ht="15.75" customHeight="1" s="6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 ht="15.75" customHeight="1" s="6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 ht="15.75" customHeight="1" s="6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 ht="15.75" customHeight="1" s="6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 ht="15.75" customHeight="1" s="6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 ht="15.75" customHeight="1" s="6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 ht="15.75" customHeight="1" s="6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 ht="15.75" customHeight="1" s="6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 ht="15.75" customHeight="1" s="6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 ht="15.75" customHeight="1" s="6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 ht="15.75" customHeight="1" s="6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 ht="15.75" customHeight="1" s="6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 ht="15.75" customHeight="1" s="6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 ht="15.75" customHeight="1" s="6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 ht="15.75" customHeight="1" s="6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 ht="15.75" customHeight="1" s="6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 ht="15.75" customHeight="1" s="6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 ht="15.75" customHeight="1" s="6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 ht="15.75" customHeight="1" s="6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 ht="15.75" customHeight="1" s="6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 ht="15.75" customHeight="1" s="6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 ht="15.75" customHeight="1" s="6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 ht="15.75" customHeight="1" s="6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 ht="15.75" customHeight="1" s="6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 ht="15.75" customHeight="1" s="6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 ht="15.75" customHeight="1" s="6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 ht="15.75" customHeight="1" s="6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 ht="15.75" customHeight="1" s="6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 ht="15.75" customHeight="1" s="6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 ht="15.75" customHeight="1" s="6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 ht="15.75" customHeight="1" s="6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 ht="15.75" customHeight="1" s="6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 ht="15.75" customHeight="1" s="6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 ht="15.75" customHeight="1" s="6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 ht="15.75" customHeight="1" s="6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 ht="15.75" customHeight="1" s="6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 ht="15.75" customHeight="1" s="6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 ht="15.75" customHeight="1" s="6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 ht="15.75" customHeight="1" s="6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 ht="15.75" customHeight="1" s="6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 ht="15.75" customHeight="1" s="6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 ht="15.75" customHeight="1" s="6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 ht="15.75" customHeight="1" s="6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 ht="15.75" customHeight="1" s="6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 ht="15.75" customHeight="1" s="6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 ht="15.75" customHeight="1" s="6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 ht="15.75" customHeight="1" s="6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 ht="15.75" customHeight="1" s="6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 ht="15.75" customHeight="1" s="6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 ht="15.75" customHeight="1" s="6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 ht="15.75" customHeight="1" s="6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 ht="15.75" customHeight="1" s="6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 ht="15.75" customHeight="1" s="6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 ht="15.75" customHeight="1" s="6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 ht="15.75" customHeight="1" s="6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 ht="15.75" customHeight="1" s="6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 ht="15.75" customHeight="1" s="6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 ht="15.75" customHeight="1" s="6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 ht="15.75" customHeight="1" s="6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 ht="15.75" customHeight="1" s="6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 ht="15.75" customHeight="1" s="6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 ht="15.75" customHeight="1" s="6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 ht="15.75" customHeight="1" s="6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 ht="15.75" customHeight="1" s="6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 ht="15.75" customHeight="1" s="6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 ht="15.75" customHeight="1" s="6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 ht="15.75" customHeight="1" s="6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 ht="15.75" customHeight="1" s="6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 ht="15.75" customHeight="1" s="6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 ht="15.75" customHeight="1" s="6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 ht="15.75" customHeight="1" s="6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 ht="15.75" customHeight="1" s="6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 ht="15.75" customHeight="1" s="6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 ht="15.75" customHeight="1" s="6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 ht="15.75" customHeight="1" s="6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 ht="15.75" customHeight="1" s="6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 ht="15.75" customHeight="1" s="6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 ht="15.75" customHeight="1" s="6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 ht="15.75" customHeight="1" s="6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 ht="15.75" customHeight="1" s="6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 ht="15.75" customHeight="1" s="6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 ht="15.75" customHeight="1" s="6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 ht="15.75" customHeight="1" s="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 ht="15.75" customHeight="1" s="6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 ht="15.75" customHeight="1" s="6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 ht="15.75" customHeight="1" s="6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 ht="15.75" customHeight="1" s="6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 ht="15.75" customHeight="1" s="6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 ht="15.75" customHeight="1" s="6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 ht="15.75" customHeight="1" s="6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 ht="15.75" customHeight="1" s="6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 ht="15.75" customHeight="1" s="6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 ht="15.75" customHeight="1" s="6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 ht="15.75" customHeight="1" s="6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 ht="15.75" customHeight="1" s="6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 ht="15.75" customHeight="1" s="6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 ht="15.75" customHeight="1" s="6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 ht="15.75" customHeight="1" s="6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 ht="15.75" customHeight="1" s="6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 ht="15.75" customHeight="1" s="6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 ht="15.75" customHeight="1" s="6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 ht="15.75" customHeight="1" s="6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 ht="15.75" customHeight="1" s="6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 ht="15.75" customHeight="1" s="6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 ht="15.75" customHeight="1" s="6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 ht="15.75" customHeight="1" s="6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 ht="15.75" customHeight="1" s="6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 ht="15.75" customHeight="1" s="6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 ht="15.75" customHeight="1" s="6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 ht="15.75" customHeight="1" s="6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 ht="15.75" customHeight="1" s="6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 ht="15.75" customHeight="1" s="6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 ht="15.75" customHeight="1" s="6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 ht="15.75" customHeight="1" s="6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 ht="15.75" customHeight="1" s="6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dataValidations count="5">
    <dataValidation sqref="J6:J305" showDropDown="0" showInputMessage="1" showErrorMessage="1" allowBlank="1" prompt="Valor no válido - Elija un valor de la lista." type="list">
      <formula1>Listas!$E$2:$E$4</formula1>
    </dataValidation>
    <dataValidation sqref="B6:B305" showDropDown="0" showInputMessage="1" showErrorMessage="1" allowBlank="1" prompt="Valor no válido - Elija un valor de la lista." type="list">
      <formula1>Listas!$A$2:$A$4</formula1>
    </dataValidation>
    <dataValidation sqref="F6:F305" showDropDown="0" showInputMessage="1" showErrorMessage="1" allowBlank="1" prompt="Valor no válido - Elija un valor de la lista." type="list">
      <formula1>Listas!$C$2:$C$4</formula1>
    </dataValidation>
    <dataValidation sqref="C6:C305 K6:K305" showDropDown="0" showInputMessage="1" showErrorMessage="1" allowBlank="1" prompt="Valor no válido - Elija un valor de la lista." type="list">
      <formula1>Listas!$B$2:$B$3</formula1>
    </dataValidation>
    <dataValidation sqref="H6:H305" showDropDown="0" showInputMessage="1" showErrorMessage="1" allowBlank="1" prompt="Valor no válido - Elija un valor de la lista." type="list">
      <formula1>Listas!$D$2:$D$8</formula1>
    </dataValidation>
  </dataValidations>
  <printOptions horizontalCentered="1"/>
  <pageMargins left="0.5" right="0.5" top="1" bottom="1" header="0" footer="0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67" min="1" max="1"/>
    <col width="11" customWidth="1" style="67" min="2" max="4"/>
    <col width="13" customWidth="1" style="67" min="5" max="6"/>
    <col width="15" customWidth="1" style="67" min="7" max="7"/>
    <col width="16" customWidth="1" style="67" min="8" max="8"/>
    <col width="13" customWidth="1" style="67" min="9" max="9"/>
    <col width="20" customWidth="1" style="67" min="10" max="10"/>
    <col width="2" customWidth="1" style="67" min="11" max="11"/>
    <col width="10" customWidth="1" style="67" min="12" max="12"/>
    <col width="12" customWidth="1" style="67" min="13" max="14"/>
    <col width="8.710000000000001" customWidth="1" style="67" min="15" max="26"/>
  </cols>
  <sheetData>
    <row r="1" ht="17.25" customHeight="1" s="67">
      <c r="A1" s="1" t="inlineStr">
        <is>
          <t>Paso 5 · Mortalidad experimental, pérdida total y flujo de participantes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" customHeight="1" s="67">
      <c r="A2" s="3" t="inlineStr">
        <is>
          <t>Se calcula automáticamente a partir de la hoja 2_Participantes. Mortalidad experimental = retirados ÷ n pretest; pérdida total incluye además a los excluidos.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67">
      <c r="A4" s="68" t="inlineStr">
        <is>
          <t>Resumen por grupo</t>
        </is>
      </c>
      <c r="K4" s="2" t="n"/>
      <c r="L4" s="2" t="n"/>
      <c r="M4" s="2" t="n"/>
      <c r="N4" s="2" t="n"/>
    </row>
    <row r="5" ht="42" customHeight="1" s="67">
      <c r="A5" s="17" t="inlineStr">
        <is>
          <t>Grupo</t>
        </is>
      </c>
      <c r="B5" s="17" t="inlineStr">
        <is>
          <t>n pretest</t>
        </is>
      </c>
      <c r="C5" s="17" t="inlineStr">
        <is>
          <t>Retirados</t>
        </is>
      </c>
      <c r="D5" s="17" t="inlineStr">
        <is>
          <t>Excluidos</t>
        </is>
      </c>
      <c r="E5" s="17" t="inlineStr">
        <is>
          <t>Postest rendido</t>
        </is>
      </c>
      <c r="F5" s="17" t="inlineStr">
        <is>
          <t>Pares analizados</t>
        </is>
      </c>
      <c r="G5" s="17" t="inlineStr">
        <is>
          <t>Mortalidad experimental</t>
        </is>
      </c>
      <c r="H5" s="17" t="inlineStr">
        <is>
          <t>Clasificación</t>
        </is>
      </c>
      <c r="I5" s="17" t="inlineStr">
        <is>
          <t>Pérdida total</t>
        </is>
      </c>
      <c r="J5" s="17" t="inlineStr">
        <is>
          <t>Clasificación de la pérdida total</t>
        </is>
      </c>
      <c r="K5" s="2" t="n"/>
      <c r="L5" s="17" t="inlineStr">
        <is>
          <t>Grupo</t>
        </is>
      </c>
      <c r="M5" s="17" t="inlineStr">
        <is>
          <t>Pretest (n)</t>
        </is>
      </c>
      <c r="N5" s="17" t="inlineStr">
        <is>
          <t>Postest (n)</t>
        </is>
      </c>
    </row>
    <row r="6" ht="15" customHeight="1" s="67">
      <c r="A6" s="39" t="inlineStr">
        <is>
          <t>GE · experimental</t>
        </is>
      </c>
      <c r="B6" s="31">
        <f>COUNTIFS('2_Participantes'!$B$6:$B$305,"GE",'2_Participantes'!$C$6:$C$305,"Sí")</f>
        <v/>
      </c>
      <c r="C6" s="31">
        <f>COUNTIFS('2_Participantes'!$B$6:$B$305,"GE",'2_Participantes'!$F$6:$F$305,"Retirado")</f>
        <v/>
      </c>
      <c r="D6" s="31">
        <f>COUNTIFS('2_Participantes'!$B$6:$B$305,"GE",'2_Participantes'!$F$6:$F$305,"Excluido")</f>
        <v/>
      </c>
      <c r="E6" s="31">
        <f>COUNTIFS('2_Participantes'!$B$6:$B$305,"GE",'2_Participantes'!$K$6:$K$305,"Sí")</f>
        <v/>
      </c>
      <c r="F6" s="31">
        <f>SUMIFS('2_Participantes'!$M$6:$M$305,'2_Participantes'!$B$6:$B$305,"GE")</f>
        <v/>
      </c>
      <c r="G6" s="34">
        <f>IF(B6=0,"",C6/B6)</f>
        <v/>
      </c>
      <c r="H6" s="26">
        <f>IF(G6="","",IF(G6&lt;0.05,"Baja",IF(G6&lt;=0.2,"Moderada","Alta")))</f>
        <v/>
      </c>
      <c r="I6" s="34">
        <f>IF(B6=0,"",(B6-F6)/B6)</f>
        <v/>
      </c>
      <c r="J6" s="26">
        <f>IF(I6="","",IF(I6&lt;0.05,"Baja",IF(I6&lt;=0.2,"Moderada","Alta")))</f>
        <v/>
      </c>
      <c r="K6" s="2" t="n"/>
      <c r="L6" s="26" t="inlineStr">
        <is>
          <t>GE</t>
        </is>
      </c>
      <c r="M6" s="31">
        <f>B6</f>
        <v/>
      </c>
      <c r="N6" s="31">
        <f>E6</f>
        <v/>
      </c>
    </row>
    <row r="7" ht="15" customHeight="1" s="67">
      <c r="A7" s="39" t="inlineStr">
        <is>
          <t>GC · comparación</t>
        </is>
      </c>
      <c r="B7" s="31">
        <f>COUNTIFS('2_Participantes'!$B$6:$B$305,"GC",'2_Participantes'!$C$6:$C$305,"Sí")</f>
        <v/>
      </c>
      <c r="C7" s="31">
        <f>COUNTIFS('2_Participantes'!$B$6:$B$305,"GC",'2_Participantes'!$F$6:$F$305,"Retirado")</f>
        <v/>
      </c>
      <c r="D7" s="31">
        <f>COUNTIFS('2_Participantes'!$B$6:$B$305,"GC",'2_Participantes'!$F$6:$F$305,"Excluido")</f>
        <v/>
      </c>
      <c r="E7" s="31">
        <f>COUNTIFS('2_Participantes'!$B$6:$B$305,"GC",'2_Participantes'!$K$6:$K$305,"Sí")</f>
        <v/>
      </c>
      <c r="F7" s="31">
        <f>SUMIFS('2_Participantes'!$M$6:$M$305,'2_Participantes'!$B$6:$B$305,"GC")</f>
        <v/>
      </c>
      <c r="G7" s="34">
        <f>IF(B7=0,"",C7/B7)</f>
        <v/>
      </c>
      <c r="H7" s="26">
        <f>IF(G7="","",IF(G7&lt;0.05,"Baja",IF(G7&lt;=0.2,"Moderada","Alta")))</f>
        <v/>
      </c>
      <c r="I7" s="34">
        <f>IF(B7=0,"",(B7-F7)/B7)</f>
        <v/>
      </c>
      <c r="J7" s="26">
        <f>IF(I7="","",IF(I7&lt;0.05,"Baja",IF(I7&lt;=0.2,"Moderada","Alta")))</f>
        <v/>
      </c>
      <c r="K7" s="2" t="n"/>
      <c r="L7" s="26" t="inlineStr">
        <is>
          <t>GC</t>
        </is>
      </c>
      <c r="M7" s="31">
        <f>B7</f>
        <v/>
      </c>
      <c r="N7" s="31">
        <f>E7</f>
        <v/>
      </c>
    </row>
    <row r="8" ht="15" customHeight="1" s="67">
      <c r="A8" s="39" t="inlineStr">
        <is>
          <t>G · grupo único</t>
        </is>
      </c>
      <c r="B8" s="31">
        <f>COUNTIFS('2_Participantes'!$B$6:$B$305,"G",'2_Participantes'!$C$6:$C$305,"Sí")</f>
        <v/>
      </c>
      <c r="C8" s="31">
        <f>COUNTIFS('2_Participantes'!$B$6:$B$305,"G",'2_Participantes'!$F$6:$F$305,"Retirado")</f>
        <v/>
      </c>
      <c r="D8" s="31">
        <f>COUNTIFS('2_Participantes'!$B$6:$B$305,"G",'2_Participantes'!$F$6:$F$305,"Excluido")</f>
        <v/>
      </c>
      <c r="E8" s="31">
        <f>COUNTIFS('2_Participantes'!$B$6:$B$305,"G",'2_Participantes'!$K$6:$K$305,"Sí")</f>
        <v/>
      </c>
      <c r="F8" s="31">
        <f>SUMIFS('2_Participantes'!$M$6:$M$305,'2_Participantes'!$B$6:$B$305,"G")</f>
        <v/>
      </c>
      <c r="G8" s="34">
        <f>IF(B8=0,"",C8/B8)</f>
        <v/>
      </c>
      <c r="H8" s="26">
        <f>IF(G8="","",IF(G8&lt;0.05,"Baja",IF(G8&lt;=0.2,"Moderada","Alta")))</f>
        <v/>
      </c>
      <c r="I8" s="34">
        <f>IF(B8=0,"",(B8-F8)/B8)</f>
        <v/>
      </c>
      <c r="J8" s="26">
        <f>IF(I8="","",IF(I8&lt;0.05,"Baja",IF(I8&lt;=0.2,"Moderada","Alta")))</f>
        <v/>
      </c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" customHeight="1" s="67">
      <c r="A10" s="7" t="inlineStr">
        <is>
          <t>Mortalidad diferencial GE − GC (no aplica: diseño de grupo único)</t>
        </is>
      </c>
      <c r="B10" s="69" t="n"/>
      <c r="C10" s="69" t="n"/>
      <c r="D10" s="69" t="n"/>
      <c r="E10" s="69" t="n"/>
      <c r="F10" s="70" t="n"/>
      <c r="G10" s="34">
        <f>IF(OR(G6="",G7=""),"",ABS(G6-G7))</f>
        <v/>
      </c>
      <c r="H10" s="48">
        <f>IF(G10="","",IF(G10&lt;=0.05,"Diferencia pequeña","Revisar la equivalencia de los grupos"))</f>
        <v/>
      </c>
      <c r="I10" s="69" t="n"/>
      <c r="J10" s="70" t="n"/>
      <c r="K10" s="2" t="n"/>
      <c r="L10" s="2" t="n"/>
      <c r="M10" s="2" t="n"/>
      <c r="N10" s="2" t="n"/>
    </row>
    <row r="11" ht="30" customHeight="1" s="67">
      <c r="A11" s="18" t="inlineStr">
        <is>
          <t>Referencia (Schulz y Grimes, 2002): &lt; 5 % baja; 5 % a 20 % moderada (comparar la línea base de quienes se retiran con la de quienes permanecen); &gt; 20 % alta. Ningún participante perdido se reemplaza.</t>
        </is>
      </c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1.75" customHeight="1" s="67">
      <c r="A13" s="68" t="inlineStr">
        <is>
          <t>Motivos de retiro o exclusión</t>
        </is>
      </c>
      <c r="K13" s="2" t="n"/>
      <c r="L13" s="2" t="n"/>
      <c r="M13" s="2" t="n"/>
      <c r="N13" s="2" t="n"/>
    </row>
    <row r="14" ht="30" customHeight="1" s="67">
      <c r="A14" s="17" t="inlineStr">
        <is>
          <t>Motivo</t>
        </is>
      </c>
      <c r="B14" s="17" t="inlineStr">
        <is>
          <t>GE</t>
        </is>
      </c>
      <c r="C14" s="17" t="inlineStr">
        <is>
          <t>GC</t>
        </is>
      </c>
      <c r="D14" s="17" t="inlineStr">
        <is>
          <t>G</t>
        </is>
      </c>
      <c r="E14" s="17" t="inlineStr">
        <is>
          <t>Total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5" customHeight="1" s="67">
      <c r="A15" s="42" t="inlineStr">
        <is>
          <t>Renuncia</t>
        </is>
      </c>
      <c r="B15" s="31">
        <f>COUNTIFS('2_Participantes'!$B$6:$B$305,"GE",'2_Participantes'!$H$6:$H$305,"Renuncia")</f>
        <v/>
      </c>
      <c r="C15" s="31">
        <f>COUNTIFS('2_Participantes'!$B$6:$B$305,"GC",'2_Participantes'!$H$6:$H$305,"Renuncia")</f>
        <v/>
      </c>
      <c r="D15" s="31">
        <f>COUNTIFS('2_Participantes'!$B$6:$B$305,"G",'2_Participantes'!$H$6:$H$305,"Renuncia")</f>
        <v/>
      </c>
      <c r="E15" s="12">
        <f>SUM(B15:D15)</f>
        <v/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5" customHeight="1" s="67">
      <c r="A16" s="42" t="inlineStr">
        <is>
          <t>Licencia</t>
        </is>
      </c>
      <c r="B16" s="31">
        <f>COUNTIFS('2_Participantes'!$B$6:$B$305,"GE",'2_Participantes'!$H$6:$H$305,"Licencia")</f>
        <v/>
      </c>
      <c r="C16" s="31">
        <f>COUNTIFS('2_Participantes'!$B$6:$B$305,"GC",'2_Participantes'!$H$6:$H$305,"Licencia")</f>
        <v/>
      </c>
      <c r="D16" s="31">
        <f>COUNTIFS('2_Participantes'!$B$6:$B$305,"G",'2_Participantes'!$H$6:$H$305,"Licencia")</f>
        <v/>
      </c>
      <c r="E16" s="12">
        <f>SUM(B16:D16)</f>
        <v/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5" customHeight="1" s="67">
      <c r="A17" s="42" t="inlineStr">
        <is>
          <t>Rotación o cambio de sede</t>
        </is>
      </c>
      <c r="B17" s="31">
        <f>COUNTIFS('2_Participantes'!$B$6:$B$305,"GE",'2_Participantes'!$H$6:$H$305,"Rotación o cambio de sede")</f>
        <v/>
      </c>
      <c r="C17" s="31">
        <f>COUNTIFS('2_Participantes'!$B$6:$B$305,"GC",'2_Participantes'!$H$6:$H$305,"Rotación o cambio de sede")</f>
        <v/>
      </c>
      <c r="D17" s="31">
        <f>COUNTIFS('2_Participantes'!$B$6:$B$305,"G",'2_Participantes'!$H$6:$H$305,"Rotación o cambio de sede")</f>
        <v/>
      </c>
      <c r="E17" s="12">
        <f>SUM(B17:D17)</f>
        <v/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5" customHeight="1" s="67">
      <c r="A18" s="42" t="inlineStr">
        <is>
          <t>Retiro de consentimiento</t>
        </is>
      </c>
      <c r="B18" s="31">
        <f>COUNTIFS('2_Participantes'!$B$6:$B$305,"GE",'2_Participantes'!$H$6:$H$305,"Retiro de consentimiento")</f>
        <v/>
      </c>
      <c r="C18" s="31">
        <f>COUNTIFS('2_Participantes'!$B$6:$B$305,"GC",'2_Participantes'!$H$6:$H$305,"Retiro de consentimiento")</f>
        <v/>
      </c>
      <c r="D18" s="31">
        <f>COUNTIFS('2_Participantes'!$B$6:$B$305,"G",'2_Participantes'!$H$6:$H$305,"Retiro de consentimiento")</f>
        <v/>
      </c>
      <c r="E18" s="12">
        <f>SUM(B18:D18)</f>
        <v/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.25" customHeight="1" s="67">
      <c r="A19" s="42" t="inlineStr">
        <is>
          <t>Inasistencia fuera de la ventana</t>
        </is>
      </c>
      <c r="B19" s="31">
        <f>COUNTIFS('2_Participantes'!$B$6:$B$305,"GE",'2_Participantes'!$H$6:$H$305,"Inasistencia fuera de la ventana")</f>
        <v/>
      </c>
      <c r="C19" s="31">
        <f>COUNTIFS('2_Participantes'!$B$6:$B$305,"GC",'2_Participantes'!$H$6:$H$305,"Inasistencia fuera de la ventana")</f>
        <v/>
      </c>
      <c r="D19" s="31">
        <f>COUNTIFS('2_Participantes'!$B$6:$B$305,"G",'2_Participantes'!$H$6:$H$305,"Inasistencia fuera de la ventana")</f>
        <v/>
      </c>
      <c r="E19" s="12">
        <f>SUM(B19:D19)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5" customHeight="1" s="67">
      <c r="A20" s="42" t="inlineStr">
        <is>
          <t>Registro inutilizable</t>
        </is>
      </c>
      <c r="B20" s="31">
        <f>COUNTIFS('2_Participantes'!$B$6:$B$305,"GE",'2_Participantes'!$H$6:$H$305,"Registro inutilizable")</f>
        <v/>
      </c>
      <c r="C20" s="31">
        <f>COUNTIFS('2_Participantes'!$B$6:$B$305,"GC",'2_Participantes'!$H$6:$H$305,"Registro inutilizable")</f>
        <v/>
      </c>
      <c r="D20" s="31">
        <f>COUNTIFS('2_Participantes'!$B$6:$B$305,"G",'2_Participantes'!$H$6:$H$305,"Registro inutilizable")</f>
        <v/>
      </c>
      <c r="E20" s="12">
        <f>SUM(B20:D20)</f>
        <v/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5" customHeight="1" s="67">
      <c r="A21" s="42" t="inlineStr">
        <is>
          <t>Otro</t>
        </is>
      </c>
      <c r="B21" s="31">
        <f>COUNTIFS('2_Participantes'!$B$6:$B$305,"GE",'2_Participantes'!$H$6:$H$305,"Otro")</f>
        <v/>
      </c>
      <c r="C21" s="31">
        <f>COUNTIFS('2_Participantes'!$B$6:$B$305,"GC",'2_Participantes'!$H$6:$H$305,"Otro")</f>
        <v/>
      </c>
      <c r="D21" s="31">
        <f>COUNTIFS('2_Participantes'!$B$6:$B$305,"G",'2_Participantes'!$H$6:$H$305,"Otro")</f>
        <v/>
      </c>
      <c r="E21" s="12">
        <f>SUM(B21:D21)</f>
        <v/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5" customHeight="1" s="67">
      <c r="A22" s="43" t="inlineStr">
        <is>
          <t>Total</t>
        </is>
      </c>
      <c r="B22" s="12">
        <f>SUM(B15:B21)</f>
        <v/>
      </c>
      <c r="C22" s="12">
        <f>SUM(C15:C21)</f>
        <v/>
      </c>
      <c r="D22" s="12">
        <f>SUM(D15:D21)</f>
        <v/>
      </c>
      <c r="E22" s="12">
        <f>SUM(E15:E21)</f>
        <v/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5.75" customHeight="1" s="67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1.75" customHeight="1" s="67">
      <c r="A24" s="68" t="inlineStr">
        <is>
          <t>Flujo de participantes (texto para el informe y el diagrama)</t>
        </is>
      </c>
      <c r="K24" s="2" t="n"/>
      <c r="L24" s="2" t="n"/>
      <c r="M24" s="2" t="n"/>
      <c r="N24" s="2" t="n"/>
    </row>
    <row r="25" ht="15" customHeight="1" s="67">
      <c r="A25" s="7" t="inlineStr">
        <is>
          <t>Evaluados en el pretest (O₁)</t>
        </is>
      </c>
      <c r="B25" s="69" t="n"/>
      <c r="C25" s="70" t="n"/>
      <c r="D25" s="48">
        <f>"G (grupo único): n = "&amp;B8</f>
        <v/>
      </c>
      <c r="E25" s="69" t="n"/>
      <c r="F25" s="69" t="n"/>
      <c r="G25" s="69" t="n"/>
      <c r="H25" s="69" t="n"/>
      <c r="I25" s="69" t="n"/>
      <c r="J25" s="70" t="n"/>
      <c r="K25" s="2" t="n"/>
      <c r="L25" s="2" t="n"/>
      <c r="M25" s="2" t="n"/>
      <c r="N25" s="2" t="n"/>
    </row>
    <row r="26" ht="15" customHeight="1" s="67">
      <c r="A26" s="7" t="inlineStr">
        <is>
          <t>Retirados durante la intervención</t>
        </is>
      </c>
      <c r="B26" s="69" t="n"/>
      <c r="C26" s="70" t="n"/>
      <c r="D26" s="48">
        <f>"G: "&amp;C8</f>
        <v/>
      </c>
      <c r="E26" s="69" t="n"/>
      <c r="F26" s="69" t="n"/>
      <c r="G26" s="69" t="n"/>
      <c r="H26" s="69" t="n"/>
      <c r="I26" s="69" t="n"/>
      <c r="J26" s="70" t="n"/>
      <c r="K26" s="2" t="n"/>
      <c r="L26" s="2" t="n"/>
      <c r="M26" s="2" t="n"/>
      <c r="N26" s="2" t="n"/>
    </row>
    <row r="27" ht="15" customHeight="1" s="67">
      <c r="A27" s="7" t="inlineStr">
        <is>
          <t>Excluidos (p. ej., retiro del consentimiento)</t>
        </is>
      </c>
      <c r="B27" s="69" t="n"/>
      <c r="C27" s="70" t="n"/>
      <c r="D27" s="48">
        <f>"G: "&amp;D8</f>
        <v/>
      </c>
      <c r="E27" s="69" t="n"/>
      <c r="F27" s="69" t="n"/>
      <c r="G27" s="69" t="n"/>
      <c r="H27" s="69" t="n"/>
      <c r="I27" s="69" t="n"/>
      <c r="J27" s="70" t="n"/>
      <c r="K27" s="2" t="n"/>
      <c r="L27" s="2" t="n"/>
      <c r="M27" s="2" t="n"/>
      <c r="N27" s="2" t="n"/>
    </row>
    <row r="28" ht="15" customHeight="1" s="67">
      <c r="A28" s="7" t="inlineStr">
        <is>
          <t>Evaluados en el postest (O₂)</t>
        </is>
      </c>
      <c r="B28" s="69" t="n"/>
      <c r="C28" s="70" t="n"/>
      <c r="D28" s="48">
        <f>"G: n = "&amp;E8</f>
        <v/>
      </c>
      <c r="E28" s="69" t="n"/>
      <c r="F28" s="69" t="n"/>
      <c r="G28" s="69" t="n"/>
      <c r="H28" s="69" t="n"/>
      <c r="I28" s="69" t="n"/>
      <c r="J28" s="70" t="n"/>
      <c r="K28" s="2" t="n"/>
      <c r="L28" s="2" t="n"/>
      <c r="M28" s="2" t="n"/>
      <c r="N28" s="2" t="n"/>
    </row>
    <row r="29" ht="15" customHeight="1" s="67">
      <c r="A29" s="7" t="inlineStr">
        <is>
          <t>Pares pretest–postest analizados</t>
        </is>
      </c>
      <c r="B29" s="69" t="n"/>
      <c r="C29" s="70" t="n"/>
      <c r="D29" s="48">
        <f>"G: n = "&amp;F8&amp;" ("&amp;TEXT(IF(B8=0,0,F8/B8),"0.0%")&amp;")"</f>
        <v/>
      </c>
      <c r="E29" s="69" t="n"/>
      <c r="F29" s="69" t="n"/>
      <c r="G29" s="69" t="n"/>
      <c r="H29" s="69" t="n"/>
      <c r="I29" s="69" t="n"/>
      <c r="J29" s="70" t="n"/>
      <c r="K29" s="2" t="n"/>
      <c r="L29" s="2" t="n"/>
      <c r="M29" s="2" t="n"/>
      <c r="N29" s="2" t="n"/>
    </row>
    <row r="30" ht="15.75" customHeight="1" s="6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5.75" customHeight="1" s="6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5.75" customHeight="1" s="6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5.75" customHeight="1" s="6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5.75" customHeight="1" s="6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6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6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6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6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5.75" customHeight="1" s="6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5.75" customHeight="1" s="6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5.75" customHeight="1" s="6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5.75" customHeight="1" s="6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5.75" customHeight="1" s="6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5.75" customHeight="1" s="6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5.75" customHeight="1" s="6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5.75" customHeight="1" s="6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 ht="15.75" customHeight="1" s="6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5.75" customHeight="1" s="6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 ht="15.75" customHeight="1" s="6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 ht="15.75" customHeight="1" s="6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 ht="15.75" customHeight="1" s="6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 ht="15.75" customHeight="1" s="6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 ht="15.75" customHeight="1" s="6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 ht="15.75" customHeight="1" s="6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 ht="15.75" customHeight="1" s="6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 ht="15.75" customHeight="1" s="6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 ht="15.75" customHeight="1" s="6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5.75" customHeight="1" s="6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 ht="15.75" customHeight="1" s="6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 ht="15.75" customHeight="1" s="6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5.75" customHeight="1" s="6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5.75" customHeight="1" s="6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5.75" customHeight="1" s="6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5.75" customHeight="1" s="6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5.75" customHeight="1" s="6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5.75" customHeight="1" s="6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5.75" customHeight="1" s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5.75" customHeight="1" s="6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5.75" customHeight="1" s="6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5.75" customHeight="1" s="6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5.75" customHeight="1" s="6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5.75" customHeight="1" s="6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5.75" customHeight="1" s="6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5.75" customHeight="1" s="6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5.75" customHeight="1" s="6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5.75" customHeight="1" s="6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5.75" customHeight="1" s="6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5.75" customHeight="1" s="6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5.75" customHeight="1" s="6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 ht="15.75" customHeight="1" s="6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 ht="15.75" customHeight="1" s="6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 ht="15.75" customHeight="1" s="6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 ht="15.75" customHeight="1" s="6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 ht="15.75" customHeight="1" s="6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 ht="15.75" customHeight="1" s="6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 ht="15.75" customHeight="1" s="6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 ht="15.75" customHeight="1" s="6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 ht="15.75" customHeight="1" s="6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 ht="15.75" customHeight="1" s="6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 ht="15.75" customHeight="1" s="6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 ht="15.75" customHeight="1" s="6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 ht="15.75" customHeight="1" s="6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 ht="15.75" customHeight="1" s="6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 ht="15.75" customHeight="1" s="6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 ht="15.75" customHeight="1" s="6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 ht="15.75" customHeight="1" s="6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 ht="15.75" customHeight="1" s="6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 ht="15.75" customHeight="1" s="6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 ht="15.75" customHeight="1" s="6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 ht="15.75" customHeight="1" s="6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 ht="15.75" customHeight="1" s="6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 ht="15.75" customHeight="1" s="6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 ht="15.75" customHeight="1" s="6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 ht="15.75" customHeight="1" s="6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 ht="15.75" customHeight="1" s="6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 ht="15.75" customHeight="1" s="6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 ht="15.75" customHeight="1" s="6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 ht="15.75" customHeight="1" s="6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 ht="15.75" customHeight="1" s="6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 ht="15.75" customHeight="1" s="6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 ht="15.75" customHeight="1" s="6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 ht="15.75" customHeight="1" s="6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 ht="15.75" customHeight="1" s="6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 ht="15.75" customHeight="1" s="6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 ht="15.75" customHeight="1" s="6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 ht="15.75" customHeight="1" s="6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 ht="15.75" customHeight="1" s="6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 ht="15.75" customHeight="1" s="6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 ht="15.75" customHeight="1" s="6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 ht="15.75" customHeight="1" s="6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 ht="15.75" customHeight="1" s="6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 ht="15.75" customHeight="1" s="6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 ht="15.75" customHeight="1" s="6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 ht="15.75" customHeight="1" s="6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 ht="15.75" customHeight="1" s="6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 ht="15.75" customHeight="1" s="6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 ht="15.75" customHeight="1" s="6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 ht="15.75" customHeight="1" s="6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 ht="15.75" customHeight="1" s="6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 ht="15.75" customHeight="1" s="6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 ht="15.75" customHeight="1" s="6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 ht="15.75" customHeight="1" s="6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 ht="15.75" customHeight="1" s="6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 ht="15.75" customHeight="1" s="6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 ht="15.75" customHeight="1" s="6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 ht="15.75" customHeight="1" s="6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 ht="15.75" customHeight="1" s="6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 ht="15.75" customHeight="1" s="6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 ht="15.75" customHeight="1" s="6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 ht="15.75" customHeight="1" s="6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 ht="15.75" customHeight="1" s="6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 ht="15.75" customHeight="1" s="6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 ht="15.75" customHeight="1" s="6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 ht="15.75" customHeight="1" s="6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 ht="15.75" customHeight="1" s="6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 ht="15.75" customHeight="1" s="6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 ht="15.75" customHeight="1" s="6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 ht="15.75" customHeight="1" s="6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 ht="15.75" customHeight="1" s="6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 ht="15.75" customHeight="1" s="6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 ht="15.75" customHeight="1" s="6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 ht="15.75" customHeight="1" s="6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 ht="15.75" customHeight="1" s="6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 ht="15.75" customHeight="1" s="6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 ht="15.75" customHeight="1" s="6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 ht="15.75" customHeight="1" s="6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 ht="15.75" customHeight="1" s="6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 ht="15.75" customHeight="1" s="6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 ht="15.75" customHeight="1" s="6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 ht="15.75" customHeight="1" s="6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 ht="15.75" customHeight="1" s="6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 ht="15.75" customHeight="1" s="6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 ht="15.75" customHeight="1" s="6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 ht="15.75" customHeight="1" s="6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 ht="15.75" customHeight="1" s="6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 ht="15.75" customHeight="1" s="6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 ht="15.75" customHeight="1" s="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 ht="15.75" customHeight="1" s="6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 ht="15.75" customHeight="1" s="6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 ht="15.75" customHeight="1" s="6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 ht="15.75" customHeight="1" s="6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 ht="15.75" customHeight="1" s="6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 ht="15.75" customHeight="1" s="6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 ht="15.75" customHeight="1" s="6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 ht="15.75" customHeight="1" s="6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 ht="15.75" customHeight="1" s="6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 ht="15.75" customHeight="1" s="6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 ht="15.75" customHeight="1" s="6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 ht="15.75" customHeight="1" s="6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 ht="15.75" customHeight="1" s="6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 ht="15.75" customHeight="1" s="6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 ht="15.75" customHeight="1" s="6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 ht="15.75" customHeight="1" s="6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 ht="15.75" customHeight="1" s="6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 ht="15.75" customHeight="1" s="6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 ht="15.75" customHeight="1" s="6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 ht="15.75" customHeight="1" s="6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 ht="15.75" customHeight="1" s="6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 ht="15.75" customHeight="1" s="6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 ht="15.75" customHeight="1" s="6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 ht="15.75" customHeight="1" s="6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 ht="15.75" customHeight="1" s="6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 ht="15.75" customHeight="1" s="6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 ht="15.75" customHeight="1" s="6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 ht="15.75" customHeight="1" s="6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 ht="15.75" customHeight="1" s="6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 ht="15.75" customHeight="1" s="6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 ht="15.75" customHeight="1" s="6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 ht="15.75" customHeight="1" s="6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 ht="15.75" customHeight="1" s="6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 ht="15.75" customHeight="1" s="6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 ht="15.75" customHeight="1" s="6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 ht="15.75" customHeight="1" s="6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 ht="15.75" customHeight="1" s="6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 ht="15.75" customHeight="1" s="6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 ht="15.75" customHeight="1" s="6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 ht="15.75" customHeight="1" s="6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 ht="15.75" customHeight="1" s="6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 ht="15.75" customHeight="1" s="6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 ht="15.75" customHeight="1" s="6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 ht="15.75" customHeight="1" s="6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 ht="15.75" customHeight="1" s="6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 ht="15.75" customHeight="1" s="6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 ht="15.75" customHeight="1" s="6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 ht="15.75" customHeight="1" s="6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 ht="15.75" customHeight="1" s="6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 ht="15.75" customHeight="1" s="6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 ht="15.75" customHeight="1" s="6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 ht="15.75" customHeight="1" s="6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 ht="15.75" customHeight="1" s="6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 ht="15.75" customHeight="1" s="6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 ht="15.75" customHeight="1" s="6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 ht="15.75" customHeight="1" s="6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 ht="15.75" customHeight="1" s="6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 ht="15.75" customHeight="1" s="6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 ht="15.75" customHeight="1" s="6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 ht="15.75" customHeight="1" s="6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 ht="15.75" customHeight="1" s="6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 ht="15.75" customHeight="1" s="6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 ht="15.75" customHeight="1" s="6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 ht="15.75" customHeight="1" s="6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 ht="15.75" customHeight="1" s="6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 ht="15.75" customHeight="1" s="6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 ht="15.75" customHeight="1" s="6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 ht="15.75" customHeight="1" s="6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 ht="15.75" customHeight="1" s="6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 ht="15.75" customHeight="1" s="6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 ht="15.75" customHeight="1" s="6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 ht="15.75" customHeight="1" s="6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 ht="15.75" customHeight="1" s="6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 ht="15.75" customHeight="1" s="6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 ht="15.75" customHeight="1" s="6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 ht="15.75" customHeight="1" s="6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 ht="15.75" customHeight="1" s="6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 ht="15.75" customHeight="1" s="6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 ht="15.75" customHeight="1" s="6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 ht="15.75" customHeight="1" s="6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 ht="15.75" customHeight="1" s="6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 ht="15.75" customHeight="1" s="6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 ht="15.75" customHeight="1" s="6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 ht="15.75" customHeight="1" s="6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 ht="15.75" customHeight="1" s="6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 ht="15.75" customHeight="1" s="6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 ht="15.75" customHeight="1" s="6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 ht="15.75" customHeight="1" s="6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 ht="15.75" customHeight="1" s="6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 ht="15.75" customHeight="1" s="6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 ht="15.75" customHeight="1" s="6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 ht="15.75" customHeight="1" s="6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 ht="15.75" customHeight="1" s="6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 ht="15.75" customHeight="1" s="6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 ht="15.75" customHeight="1" s="6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 ht="15.75" customHeight="1" s="6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 ht="15.75" customHeight="1" s="6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 ht="15.75" customHeight="1" s="6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 ht="15.75" customHeight="1" s="6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 ht="15.75" customHeight="1" s="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 ht="15.75" customHeight="1" s="6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 ht="15.75" customHeight="1" s="6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 ht="15.75" customHeight="1" s="6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 ht="15.75" customHeight="1" s="6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 ht="15.75" customHeight="1" s="6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 ht="15.75" customHeight="1" s="6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 ht="15.75" customHeight="1" s="6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 ht="15.75" customHeight="1" s="6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 ht="15.75" customHeight="1" s="6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 ht="15.75" customHeight="1" s="6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 ht="15.75" customHeight="1" s="6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 ht="15.75" customHeight="1" s="6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 ht="15.75" customHeight="1" s="6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 ht="15.75" customHeight="1" s="6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 ht="15.75" customHeight="1" s="6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 ht="15.75" customHeight="1" s="6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 ht="15.75" customHeight="1" s="6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 ht="15.75" customHeight="1" s="6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 ht="15.75" customHeight="1" s="6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 ht="15.75" customHeight="1" s="6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 ht="15.75" customHeight="1" s="6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 ht="15.75" customHeight="1" s="6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 ht="15.75" customHeight="1" s="6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 ht="15.75" customHeight="1" s="6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 ht="15.75" customHeight="1" s="6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 ht="15.75" customHeight="1" s="6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 ht="15.75" customHeight="1" s="6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 ht="15.75" customHeight="1" s="6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 ht="15.75" customHeight="1" s="6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 ht="15.75" customHeight="1" s="6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 ht="15.75" customHeight="1" s="6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 ht="15.75" customHeight="1" s="6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 ht="15.75" customHeight="1" s="6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 ht="15.75" customHeight="1" s="6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 ht="15.75" customHeight="1" s="6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 ht="15.75" customHeight="1" s="6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 ht="15.75" customHeight="1" s="6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 ht="15.75" customHeight="1" s="6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 ht="15.75" customHeight="1" s="6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 ht="15.75" customHeight="1" s="6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 ht="15.75" customHeight="1" s="6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 ht="15.75" customHeight="1" s="6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 ht="15.75" customHeight="1" s="6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 ht="15.75" customHeight="1" s="6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 ht="15.75" customHeight="1" s="6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 ht="15.75" customHeight="1" s="6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 ht="15.75" customHeight="1" s="6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 ht="15.75" customHeight="1" s="6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 ht="15.75" customHeight="1" s="6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 ht="15.75" customHeight="1" s="6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 ht="15.75" customHeight="1" s="6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 ht="15.75" customHeight="1" s="6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 ht="15.75" customHeight="1" s="6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 ht="15.75" customHeight="1" s="6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 ht="15.75" customHeight="1" s="6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 ht="15.75" customHeight="1" s="6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 ht="15.75" customHeight="1" s="6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 ht="15.75" customHeight="1" s="6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 ht="15.75" customHeight="1" s="6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 ht="15.75" customHeight="1" s="6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 ht="15.75" customHeight="1" s="6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 ht="15.75" customHeight="1" s="6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 ht="15.75" customHeight="1" s="6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 ht="15.75" customHeight="1" s="6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 ht="15.75" customHeight="1" s="6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 ht="15.75" customHeight="1" s="6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 ht="15.75" customHeight="1" s="6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 ht="15.75" customHeight="1" s="6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 ht="15.75" customHeight="1" s="6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 ht="15.75" customHeight="1" s="6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 ht="15.75" customHeight="1" s="6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 ht="15.75" customHeight="1" s="6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 ht="15.75" customHeight="1" s="6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 ht="15.75" customHeight="1" s="6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 ht="15.75" customHeight="1" s="6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 ht="15.75" customHeight="1" s="6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 ht="15.75" customHeight="1" s="6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 ht="15.75" customHeight="1" s="6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 ht="15.75" customHeight="1" s="6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 ht="15.75" customHeight="1" s="6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 ht="15.75" customHeight="1" s="6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 ht="15.75" customHeight="1" s="6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 ht="15.75" customHeight="1" s="6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 ht="15.75" customHeight="1" s="6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 ht="15.75" customHeight="1" s="6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 ht="15.75" customHeight="1" s="6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 ht="15.75" customHeight="1" s="6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 ht="15.75" customHeight="1" s="6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 ht="15.75" customHeight="1" s="6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 ht="15.75" customHeight="1" s="6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 ht="15.75" customHeight="1" s="6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 ht="15.75" customHeight="1" s="6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 ht="15.75" customHeight="1" s="6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 ht="15.75" customHeight="1" s="6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 ht="15.75" customHeight="1" s="6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 ht="15.75" customHeight="1" s="6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 ht="15.75" customHeight="1" s="6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 ht="15.75" customHeight="1" s="6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 ht="15.75" customHeight="1" s="6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 ht="15.75" customHeight="1" s="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 ht="15.75" customHeight="1" s="6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 ht="15.75" customHeight="1" s="6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 ht="15.75" customHeight="1" s="6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 ht="15.75" customHeight="1" s="6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 ht="15.75" customHeight="1" s="6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 ht="15.75" customHeight="1" s="6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 ht="15.75" customHeight="1" s="6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 ht="15.75" customHeight="1" s="6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 ht="15.75" customHeight="1" s="6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 ht="15.75" customHeight="1" s="6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 ht="15.75" customHeight="1" s="6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 ht="15.75" customHeight="1" s="6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 ht="15.75" customHeight="1" s="6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 ht="15.75" customHeight="1" s="6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 ht="15.75" customHeight="1" s="6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 ht="15.75" customHeight="1" s="6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 ht="15.75" customHeight="1" s="6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 ht="15.75" customHeight="1" s="6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 ht="15.75" customHeight="1" s="6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 ht="15.75" customHeight="1" s="6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 ht="15.75" customHeight="1" s="6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 ht="15.75" customHeight="1" s="6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 ht="15.75" customHeight="1" s="6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 ht="15.75" customHeight="1" s="6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 ht="15.75" customHeight="1" s="6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 ht="15.75" customHeight="1" s="6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 ht="15.75" customHeight="1" s="6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 ht="15.75" customHeight="1" s="6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 ht="15.75" customHeight="1" s="6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 ht="15.75" customHeight="1" s="6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 ht="15.75" customHeight="1" s="6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 ht="15.75" customHeight="1" s="6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 ht="15.75" customHeight="1" s="6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 ht="15.75" customHeight="1" s="6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 ht="15.75" customHeight="1" s="6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 ht="15.75" customHeight="1" s="6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 ht="15.75" customHeight="1" s="6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 ht="15.75" customHeight="1" s="6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 ht="15.75" customHeight="1" s="6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 ht="15.75" customHeight="1" s="6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 ht="15.75" customHeight="1" s="6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 ht="15.75" customHeight="1" s="6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 ht="15.75" customHeight="1" s="6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 ht="15.75" customHeight="1" s="6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 ht="15.75" customHeight="1" s="6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 ht="15.75" customHeight="1" s="6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 ht="15.75" customHeight="1" s="6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 ht="15.75" customHeight="1" s="6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 ht="15.75" customHeight="1" s="6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 ht="15.75" customHeight="1" s="6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 ht="15.75" customHeight="1" s="6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 ht="15.75" customHeight="1" s="6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 ht="15.75" customHeight="1" s="6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 ht="15.75" customHeight="1" s="6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 ht="15.75" customHeight="1" s="6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 ht="15.75" customHeight="1" s="6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 ht="15.75" customHeight="1" s="6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 ht="15.75" customHeight="1" s="6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 ht="15.75" customHeight="1" s="6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 ht="15.75" customHeight="1" s="6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 ht="15.75" customHeight="1" s="6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 ht="15.75" customHeight="1" s="6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 ht="15.75" customHeight="1" s="6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 ht="15.75" customHeight="1" s="6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 ht="15.75" customHeight="1" s="6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 ht="15.75" customHeight="1" s="6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 ht="15.75" customHeight="1" s="6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 ht="15.75" customHeight="1" s="6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 ht="15.75" customHeight="1" s="6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 ht="15.75" customHeight="1" s="6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 ht="15.75" customHeight="1" s="6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 ht="15.75" customHeight="1" s="6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 ht="15.75" customHeight="1" s="6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 ht="15.75" customHeight="1" s="6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 ht="15.75" customHeight="1" s="6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 ht="15.75" customHeight="1" s="6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 ht="15.75" customHeight="1" s="6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 ht="15.75" customHeight="1" s="6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 ht="15.75" customHeight="1" s="6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 ht="15.75" customHeight="1" s="6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 ht="15.75" customHeight="1" s="6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 ht="15.75" customHeight="1" s="6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 ht="15.75" customHeight="1" s="6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 ht="15.75" customHeight="1" s="6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 ht="15.75" customHeight="1" s="6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 ht="15.75" customHeight="1" s="6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 ht="15.75" customHeight="1" s="6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 ht="15.75" customHeight="1" s="6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 ht="15.75" customHeight="1" s="6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 ht="15.75" customHeight="1" s="6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 ht="15.75" customHeight="1" s="6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 ht="15.75" customHeight="1" s="6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 ht="15.75" customHeight="1" s="6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 ht="15.75" customHeight="1" s="6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 ht="15.75" customHeight="1" s="6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 ht="15.75" customHeight="1" s="6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 ht="15.75" customHeight="1" s="6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 ht="15.75" customHeight="1" s="6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 ht="15.75" customHeight="1" s="6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 ht="15.75" customHeight="1" s="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 ht="15.75" customHeight="1" s="6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 ht="15.75" customHeight="1" s="6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 ht="15.75" customHeight="1" s="6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 ht="15.75" customHeight="1" s="6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 ht="15.75" customHeight="1" s="6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 ht="15.75" customHeight="1" s="6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 ht="15.75" customHeight="1" s="6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 ht="15.75" customHeight="1" s="6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 ht="15.75" customHeight="1" s="6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 ht="15.75" customHeight="1" s="6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 ht="15.75" customHeight="1" s="6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 ht="15.75" customHeight="1" s="6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 ht="15.75" customHeight="1" s="6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 ht="15.75" customHeight="1" s="6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 ht="15.75" customHeight="1" s="6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 ht="15.75" customHeight="1" s="6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 ht="15.75" customHeight="1" s="6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 ht="15.75" customHeight="1" s="6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 ht="15.75" customHeight="1" s="6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 ht="15.75" customHeight="1" s="6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 ht="15.75" customHeight="1" s="6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 ht="15.75" customHeight="1" s="6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 ht="15.75" customHeight="1" s="6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 ht="15.75" customHeight="1" s="6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 ht="15.75" customHeight="1" s="6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 ht="15.75" customHeight="1" s="6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 ht="15.75" customHeight="1" s="6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 ht="15.75" customHeight="1" s="6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 ht="15.75" customHeight="1" s="6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 ht="15.75" customHeight="1" s="6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 ht="15.75" customHeight="1" s="6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 ht="15.75" customHeight="1" s="6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 ht="15.75" customHeight="1" s="6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 ht="15.75" customHeight="1" s="6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 ht="15.75" customHeight="1" s="6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 ht="15.75" customHeight="1" s="6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 ht="15.75" customHeight="1" s="6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 ht="15.75" customHeight="1" s="6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 ht="15.75" customHeight="1" s="6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 ht="15.75" customHeight="1" s="6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 ht="15.75" customHeight="1" s="6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 ht="15.75" customHeight="1" s="6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 ht="15.75" customHeight="1" s="6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 ht="15.75" customHeight="1" s="6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 ht="15.75" customHeight="1" s="6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 ht="15.75" customHeight="1" s="6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 ht="15.75" customHeight="1" s="6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 ht="15.75" customHeight="1" s="6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 ht="15.75" customHeight="1" s="6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 ht="15.75" customHeight="1" s="6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 ht="15.75" customHeight="1" s="6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 ht="15.75" customHeight="1" s="6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 ht="15.75" customHeight="1" s="6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 ht="15.75" customHeight="1" s="6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 ht="15.75" customHeight="1" s="6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 ht="15.75" customHeight="1" s="6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 ht="15.75" customHeight="1" s="6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 ht="15.75" customHeight="1" s="6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 ht="15.75" customHeight="1" s="6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 ht="15.75" customHeight="1" s="6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 ht="15.75" customHeight="1" s="6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 ht="15.75" customHeight="1" s="6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 ht="15.75" customHeight="1" s="6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 ht="15.75" customHeight="1" s="6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 ht="15.75" customHeight="1" s="6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 ht="15.75" customHeight="1" s="6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 ht="15.75" customHeight="1" s="6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 ht="15.75" customHeight="1" s="6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 ht="15.75" customHeight="1" s="6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 ht="15.75" customHeight="1" s="6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 ht="15.75" customHeight="1" s="6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 ht="15.75" customHeight="1" s="6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 ht="15.75" customHeight="1" s="6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 ht="15.75" customHeight="1" s="6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 ht="15.75" customHeight="1" s="6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 ht="15.75" customHeight="1" s="6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 ht="15.75" customHeight="1" s="6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 ht="15.75" customHeight="1" s="6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 ht="15.75" customHeight="1" s="6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 ht="15.75" customHeight="1" s="6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 ht="15.75" customHeight="1" s="6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 ht="15.75" customHeight="1" s="6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 ht="15.75" customHeight="1" s="6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 ht="15.75" customHeight="1" s="6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 ht="15.75" customHeight="1" s="6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 ht="15.75" customHeight="1" s="6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 ht="15.75" customHeight="1" s="6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 ht="15.75" customHeight="1" s="6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 ht="15.75" customHeight="1" s="6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 ht="15.75" customHeight="1" s="6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 ht="15.75" customHeight="1" s="6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 ht="15.75" customHeight="1" s="6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 ht="15.75" customHeight="1" s="6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 ht="15.75" customHeight="1" s="6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 ht="15.75" customHeight="1" s="6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 ht="15.75" customHeight="1" s="6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 ht="15.75" customHeight="1" s="6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 ht="15.75" customHeight="1" s="6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 ht="15.75" customHeight="1" s="6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 ht="15.75" customHeight="1" s="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 ht="15.75" customHeight="1" s="6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 ht="15.75" customHeight="1" s="6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 ht="15.75" customHeight="1" s="6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 ht="15.75" customHeight="1" s="6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 ht="15.75" customHeight="1" s="6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 ht="15.75" customHeight="1" s="6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 ht="15.75" customHeight="1" s="6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 ht="15.75" customHeight="1" s="6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 ht="15.75" customHeight="1" s="6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 ht="15.75" customHeight="1" s="6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 ht="15.75" customHeight="1" s="6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 ht="15.75" customHeight="1" s="6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 ht="15.75" customHeight="1" s="6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 ht="15.75" customHeight="1" s="6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 ht="15.75" customHeight="1" s="6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 ht="15.75" customHeight="1" s="6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 ht="15.75" customHeight="1" s="6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 ht="15.75" customHeight="1" s="6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 ht="15.75" customHeight="1" s="6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 ht="15.75" customHeight="1" s="6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 ht="15.75" customHeight="1" s="6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 ht="15.75" customHeight="1" s="6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 ht="15.75" customHeight="1" s="6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 ht="15.75" customHeight="1" s="6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 ht="15.75" customHeight="1" s="6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 ht="15.75" customHeight="1" s="6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 ht="15.75" customHeight="1" s="6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 ht="15.75" customHeight="1" s="6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 ht="15.75" customHeight="1" s="6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 ht="15.75" customHeight="1" s="6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 ht="15.75" customHeight="1" s="6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 ht="15.75" customHeight="1" s="6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 ht="15.75" customHeight="1" s="6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 ht="15.75" customHeight="1" s="6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 ht="15.75" customHeight="1" s="6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 ht="15.75" customHeight="1" s="6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 ht="15.75" customHeight="1" s="6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 ht="15.75" customHeight="1" s="6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 ht="15.75" customHeight="1" s="6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 ht="15.75" customHeight="1" s="6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 ht="15.75" customHeight="1" s="6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 ht="15.75" customHeight="1" s="6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 ht="15.75" customHeight="1" s="6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 ht="15.75" customHeight="1" s="6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 ht="15.75" customHeight="1" s="6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 ht="15.75" customHeight="1" s="6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 ht="15.75" customHeight="1" s="6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 ht="15.75" customHeight="1" s="6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 ht="15.75" customHeight="1" s="6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 ht="15.75" customHeight="1" s="6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 ht="15.75" customHeight="1" s="6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 ht="15.75" customHeight="1" s="6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 ht="15.75" customHeight="1" s="6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 ht="15.75" customHeight="1" s="6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 ht="15.75" customHeight="1" s="6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 ht="15.75" customHeight="1" s="6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 ht="15.75" customHeight="1" s="6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 ht="15.75" customHeight="1" s="6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 ht="15.75" customHeight="1" s="6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 ht="15.75" customHeight="1" s="6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 ht="15.75" customHeight="1" s="6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 ht="15.75" customHeight="1" s="6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 ht="15.75" customHeight="1" s="6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 ht="15.75" customHeight="1" s="6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 ht="15.75" customHeight="1" s="6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 ht="15.75" customHeight="1" s="6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 ht="15.75" customHeight="1" s="6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 ht="15.75" customHeight="1" s="6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 ht="15.75" customHeight="1" s="6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 ht="15.75" customHeight="1" s="6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 ht="15.75" customHeight="1" s="6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 ht="15.75" customHeight="1" s="6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 ht="15.75" customHeight="1" s="6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 ht="15.75" customHeight="1" s="6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 ht="15.75" customHeight="1" s="6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 ht="15.75" customHeight="1" s="6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 ht="15.75" customHeight="1" s="6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 ht="15.75" customHeight="1" s="6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 ht="15.75" customHeight="1" s="6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 ht="15.75" customHeight="1" s="6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 ht="15.75" customHeight="1" s="6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 ht="15.75" customHeight="1" s="6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 ht="15.75" customHeight="1" s="6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 ht="15.75" customHeight="1" s="6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 ht="15.75" customHeight="1" s="6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 ht="15.75" customHeight="1" s="6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 ht="15.75" customHeight="1" s="6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 ht="15.75" customHeight="1" s="6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 ht="15.75" customHeight="1" s="6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 ht="15.75" customHeight="1" s="6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 ht="15.75" customHeight="1" s="6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 ht="15.75" customHeight="1" s="6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 ht="15.75" customHeight="1" s="6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 ht="15.75" customHeight="1" s="6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 ht="15.75" customHeight="1" s="6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 ht="15.75" customHeight="1" s="6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 ht="15.75" customHeight="1" s="6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 ht="15.75" customHeight="1" s="6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 ht="15.75" customHeight="1" s="6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 ht="15.75" customHeight="1" s="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 ht="15.75" customHeight="1" s="6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 ht="15.75" customHeight="1" s="6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 ht="15.75" customHeight="1" s="6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 ht="15.75" customHeight="1" s="6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 ht="15.75" customHeight="1" s="6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 ht="15.75" customHeight="1" s="6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 ht="15.75" customHeight="1" s="6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 ht="15.75" customHeight="1" s="6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 ht="15.75" customHeight="1" s="6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 ht="15.75" customHeight="1" s="6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 ht="15.75" customHeight="1" s="6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 ht="15.75" customHeight="1" s="6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 ht="15.75" customHeight="1" s="6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 ht="15.75" customHeight="1" s="6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 ht="15.75" customHeight="1" s="6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 ht="15.75" customHeight="1" s="6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 ht="15.75" customHeight="1" s="6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 ht="15.75" customHeight="1" s="6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 ht="15.75" customHeight="1" s="6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 ht="15.75" customHeight="1" s="6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 ht="15.75" customHeight="1" s="6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 ht="15.75" customHeight="1" s="6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 ht="15.75" customHeight="1" s="6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 ht="15.75" customHeight="1" s="6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 ht="15.75" customHeight="1" s="6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 ht="15.75" customHeight="1" s="6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 ht="15.75" customHeight="1" s="6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 ht="15.75" customHeight="1" s="6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 ht="15.75" customHeight="1" s="6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 ht="15.75" customHeight="1" s="6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 ht="15.75" customHeight="1" s="6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 ht="15.75" customHeight="1" s="6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 ht="15.75" customHeight="1" s="6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 ht="15.75" customHeight="1" s="6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 ht="15.75" customHeight="1" s="6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 ht="15.75" customHeight="1" s="6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 ht="15.75" customHeight="1" s="6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 ht="15.75" customHeight="1" s="6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 ht="15.75" customHeight="1" s="6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 ht="15.75" customHeight="1" s="6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 ht="15.75" customHeight="1" s="6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 ht="15.75" customHeight="1" s="6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 ht="15.75" customHeight="1" s="6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 ht="15.75" customHeight="1" s="6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 ht="15.75" customHeight="1" s="6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 ht="15.75" customHeight="1" s="6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 ht="15.75" customHeight="1" s="6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 ht="15.75" customHeight="1" s="6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 ht="15.75" customHeight="1" s="6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 ht="15.75" customHeight="1" s="6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 ht="15.75" customHeight="1" s="6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 ht="15.75" customHeight="1" s="6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 ht="15.75" customHeight="1" s="6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 ht="15.75" customHeight="1" s="6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 ht="15.75" customHeight="1" s="6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 ht="15.75" customHeight="1" s="6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 ht="15.75" customHeight="1" s="6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 ht="15.75" customHeight="1" s="6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 ht="15.75" customHeight="1" s="6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 ht="15.75" customHeight="1" s="6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 ht="15.75" customHeight="1" s="6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 ht="15.75" customHeight="1" s="6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 ht="15.75" customHeight="1" s="6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 ht="15.75" customHeight="1" s="6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 ht="15.75" customHeight="1" s="6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 ht="15.75" customHeight="1" s="6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 ht="15.75" customHeight="1" s="6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 ht="15.75" customHeight="1" s="6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 ht="15.75" customHeight="1" s="6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 ht="15.75" customHeight="1" s="6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 ht="15.75" customHeight="1" s="6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 ht="15.75" customHeight="1" s="6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 ht="15.75" customHeight="1" s="6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 ht="15.75" customHeight="1" s="6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 ht="15.75" customHeight="1" s="6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 ht="15.75" customHeight="1" s="6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 ht="15.75" customHeight="1" s="6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 ht="15.75" customHeight="1" s="6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 ht="15.75" customHeight="1" s="6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 ht="15.75" customHeight="1" s="6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 ht="15.75" customHeight="1" s="6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 ht="15.75" customHeight="1" s="6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 ht="15.75" customHeight="1" s="6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 ht="15.75" customHeight="1" s="6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 ht="15.75" customHeight="1" s="6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 ht="15.75" customHeight="1" s="6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 ht="15.75" customHeight="1" s="6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 ht="15.75" customHeight="1" s="6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 ht="15.75" customHeight="1" s="6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 ht="15.75" customHeight="1" s="6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 ht="15.75" customHeight="1" s="6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 ht="15.75" customHeight="1" s="6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 ht="15.75" customHeight="1" s="6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 ht="15.75" customHeight="1" s="6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 ht="15.75" customHeight="1" s="6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 ht="15.75" customHeight="1" s="6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 ht="15.75" customHeight="1" s="6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 ht="15.75" customHeight="1" s="6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 ht="15.75" customHeight="1" s="6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 ht="15.75" customHeight="1" s="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 ht="15.75" customHeight="1" s="6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 ht="15.75" customHeight="1" s="6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 ht="15.75" customHeight="1" s="6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 ht="15.75" customHeight="1" s="6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 ht="15.75" customHeight="1" s="6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 ht="15.75" customHeight="1" s="6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 ht="15.75" customHeight="1" s="6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 ht="15.75" customHeight="1" s="6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 ht="15.75" customHeight="1" s="6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 ht="15.75" customHeight="1" s="6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 ht="15.75" customHeight="1" s="6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 ht="15.75" customHeight="1" s="6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 ht="15.75" customHeight="1" s="6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 ht="15.75" customHeight="1" s="6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 ht="15.75" customHeight="1" s="6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 ht="15.75" customHeight="1" s="6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 ht="15.75" customHeight="1" s="6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 ht="15.75" customHeight="1" s="6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 ht="15.75" customHeight="1" s="6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 ht="15.75" customHeight="1" s="6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 ht="15.75" customHeight="1" s="6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 ht="15.75" customHeight="1" s="6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 ht="15.75" customHeight="1" s="6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 ht="15.75" customHeight="1" s="6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 ht="15.75" customHeight="1" s="6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 ht="15.75" customHeight="1" s="6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 ht="15.75" customHeight="1" s="6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 ht="15.75" customHeight="1" s="6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 ht="15.75" customHeight="1" s="6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 ht="15.75" customHeight="1" s="6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 ht="15.75" customHeight="1" s="6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 ht="15.75" customHeight="1" s="6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 ht="15.75" customHeight="1" s="6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 ht="15.75" customHeight="1" s="6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 ht="15.75" customHeight="1" s="6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 ht="15.75" customHeight="1" s="6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 ht="15.75" customHeight="1" s="6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 ht="15.75" customHeight="1" s="6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 ht="15.75" customHeight="1" s="6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 ht="15.75" customHeight="1" s="6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 ht="15.75" customHeight="1" s="6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 ht="15.75" customHeight="1" s="6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 ht="15.75" customHeight="1" s="6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 ht="15.75" customHeight="1" s="6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 ht="15.75" customHeight="1" s="6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 ht="15.75" customHeight="1" s="6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 ht="15.75" customHeight="1" s="6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 ht="15.75" customHeight="1" s="6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 ht="15.75" customHeight="1" s="6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 ht="15.75" customHeight="1" s="6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 ht="15.75" customHeight="1" s="6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 ht="15.75" customHeight="1" s="6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 ht="15.75" customHeight="1" s="6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 ht="15.75" customHeight="1" s="6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 ht="15.75" customHeight="1" s="6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 ht="15.75" customHeight="1" s="6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 ht="15.75" customHeight="1" s="6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 ht="15.75" customHeight="1" s="6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 ht="15.75" customHeight="1" s="6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 ht="15.75" customHeight="1" s="6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 ht="15.75" customHeight="1" s="6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 ht="15.75" customHeight="1" s="6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 ht="15.75" customHeight="1" s="6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 ht="15.75" customHeight="1" s="6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 ht="15.75" customHeight="1" s="6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 ht="15.75" customHeight="1" s="6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 ht="15.75" customHeight="1" s="6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 ht="15.75" customHeight="1" s="6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 ht="15.75" customHeight="1" s="6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 ht="15.75" customHeight="1" s="6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 ht="15.75" customHeight="1" s="6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 ht="15.75" customHeight="1" s="6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 ht="15.75" customHeight="1" s="6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 ht="15.75" customHeight="1" s="6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 ht="15.75" customHeight="1" s="6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 ht="15.75" customHeight="1" s="6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 ht="15.75" customHeight="1" s="6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 ht="15.75" customHeight="1" s="6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 ht="15.75" customHeight="1" s="6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 ht="15.75" customHeight="1" s="6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 ht="15.75" customHeight="1" s="6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 ht="15.75" customHeight="1" s="6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 ht="15.75" customHeight="1" s="6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 ht="15.75" customHeight="1" s="6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 ht="15.75" customHeight="1" s="6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 ht="15.75" customHeight="1" s="6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 ht="15.75" customHeight="1" s="6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 ht="15.75" customHeight="1" s="6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 ht="15.75" customHeight="1" s="6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 ht="15.75" customHeight="1" s="6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 ht="15.75" customHeight="1" s="6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 ht="15.75" customHeight="1" s="6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 ht="15.75" customHeight="1" s="6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 ht="15.75" customHeight="1" s="6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 ht="15.75" customHeight="1" s="6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 ht="15.75" customHeight="1" s="6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 ht="15.75" customHeight="1" s="6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 ht="15.75" customHeight="1" s="6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 ht="15.75" customHeight="1" s="6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 ht="15.75" customHeight="1" s="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 ht="15.75" customHeight="1" s="6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 ht="15.75" customHeight="1" s="6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 ht="15.75" customHeight="1" s="6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 ht="15.75" customHeight="1" s="6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 ht="15.75" customHeight="1" s="6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 ht="15.75" customHeight="1" s="6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 ht="15.75" customHeight="1" s="6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 ht="15.75" customHeight="1" s="6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 ht="15.75" customHeight="1" s="6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 ht="15.75" customHeight="1" s="6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 ht="15.75" customHeight="1" s="6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 ht="15.75" customHeight="1" s="6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 ht="15.75" customHeight="1" s="6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 ht="15.75" customHeight="1" s="6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 ht="15.75" customHeight="1" s="6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 ht="15.75" customHeight="1" s="6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 ht="15.75" customHeight="1" s="6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 ht="15.75" customHeight="1" s="6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 ht="15.75" customHeight="1" s="6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 ht="15.75" customHeight="1" s="6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 ht="15.75" customHeight="1" s="6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 ht="15.75" customHeight="1" s="6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 ht="15.75" customHeight="1" s="6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 ht="15.75" customHeight="1" s="6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 ht="15.75" customHeight="1" s="6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 ht="15.75" customHeight="1" s="6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 ht="15.75" customHeight="1" s="6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 ht="15.75" customHeight="1" s="6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 ht="15.75" customHeight="1" s="6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 ht="15.75" customHeight="1" s="6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 ht="15.75" customHeight="1" s="6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 ht="15.75" customHeight="1" s="6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 ht="15.75" customHeight="1" s="6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 ht="15.75" customHeight="1" s="6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 ht="15.75" customHeight="1" s="6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 ht="15.75" customHeight="1" s="6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 ht="15.75" customHeight="1" s="6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 ht="15.75" customHeight="1" s="6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 ht="15.75" customHeight="1" s="6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 ht="15.75" customHeight="1" s="6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 ht="15.75" customHeight="1" s="6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 ht="15.75" customHeight="1" s="6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 ht="15.75" customHeight="1" s="6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 ht="15.75" customHeight="1" s="6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 ht="15.75" customHeight="1" s="6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 ht="15.75" customHeight="1" s="6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 ht="15.75" customHeight="1" s="6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 ht="15.75" customHeight="1" s="6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 ht="15.75" customHeight="1" s="6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 ht="15.75" customHeight="1" s="6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 ht="15.75" customHeight="1" s="6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 ht="15.75" customHeight="1" s="6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 ht="15.75" customHeight="1" s="6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 ht="15.75" customHeight="1" s="6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 ht="15.75" customHeight="1" s="6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 ht="15.75" customHeight="1" s="6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 ht="15.75" customHeight="1" s="6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 ht="15.75" customHeight="1" s="6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 ht="15.75" customHeight="1" s="6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 ht="15.75" customHeight="1" s="6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 ht="15.75" customHeight="1" s="6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 ht="15.75" customHeight="1" s="6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 ht="15.75" customHeight="1" s="6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 ht="15.75" customHeight="1" s="6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 ht="15.75" customHeight="1" s="6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 ht="15.75" customHeight="1" s="6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 ht="15.75" customHeight="1" s="6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 ht="15.75" customHeight="1" s="6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 ht="15.75" customHeight="1" s="6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 ht="15.75" customHeight="1" s="6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 ht="15.75" customHeight="1" s="6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 ht="15.75" customHeight="1" s="6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 ht="15.75" customHeight="1" s="6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 ht="15.75" customHeight="1" s="6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 ht="15.75" customHeight="1" s="6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 ht="15.75" customHeight="1" s="6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 ht="15.75" customHeight="1" s="6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 ht="15.75" customHeight="1" s="6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 ht="15.75" customHeight="1" s="6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 ht="15.75" customHeight="1" s="6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 ht="15.75" customHeight="1" s="6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 ht="15.75" customHeight="1" s="6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 ht="15.75" customHeight="1" s="6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 ht="15.75" customHeight="1" s="6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 ht="15.75" customHeight="1" s="6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 ht="15.75" customHeight="1" s="6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 ht="15.75" customHeight="1" s="6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 ht="15.75" customHeight="1" s="6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 ht="15.75" customHeight="1" s="6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 ht="15.75" customHeight="1" s="6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 ht="15.75" customHeight="1" s="6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 ht="15.75" customHeight="1" s="6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 ht="15.75" customHeight="1" s="6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 ht="15.75" customHeight="1" s="6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 ht="15.75" customHeight="1" s="6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 ht="15.75" customHeight="1" s="6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 ht="15.75" customHeight="1" s="6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 ht="15.75" customHeight="1" s="6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 ht="15.75" customHeight="1" s="6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 ht="15.75" customHeight="1" s="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 ht="15.75" customHeight="1" s="6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 ht="15.75" customHeight="1" s="6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 ht="15.75" customHeight="1" s="6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 ht="15.75" customHeight="1" s="6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 ht="15.75" customHeight="1" s="6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 ht="15.75" customHeight="1" s="6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 ht="15.75" customHeight="1" s="6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 ht="15.75" customHeight="1" s="6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 ht="15.75" customHeight="1" s="6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 ht="15.75" customHeight="1" s="6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 ht="15.75" customHeight="1" s="6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 ht="15.75" customHeight="1" s="6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 ht="15.75" customHeight="1" s="6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 ht="15.75" customHeight="1" s="6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 ht="15.75" customHeight="1" s="6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 ht="15.75" customHeight="1" s="6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 ht="15.75" customHeight="1" s="6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 ht="15.75" customHeight="1" s="6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 ht="15.75" customHeight="1" s="6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 ht="15.75" customHeight="1" s="6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 ht="15.75" customHeight="1" s="6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 ht="15.75" customHeight="1" s="6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 ht="15.75" customHeight="1" s="6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 ht="15.75" customHeight="1" s="6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 ht="15.75" customHeight="1" s="6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 ht="15.75" customHeight="1" s="6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 ht="15.75" customHeight="1" s="6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 ht="15.75" customHeight="1" s="6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 ht="15.75" customHeight="1" s="6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 ht="15.75" customHeight="1" s="6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 ht="15.75" customHeight="1" s="6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 ht="15.75" customHeight="1" s="6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mergeCells count="16">
    <mergeCell ref="A28:C28"/>
    <mergeCell ref="D28:J28"/>
    <mergeCell ref="A25:C25"/>
    <mergeCell ref="H10:J10"/>
    <mergeCell ref="A10:F10"/>
    <mergeCell ref="D26:J26"/>
    <mergeCell ref="D25:J25"/>
    <mergeCell ref="A27:C27"/>
    <mergeCell ref="A4:J4"/>
    <mergeCell ref="A24:J24"/>
    <mergeCell ref="A29:C29"/>
    <mergeCell ref="D29:J29"/>
    <mergeCell ref="D27:J27"/>
    <mergeCell ref="A26:C26"/>
    <mergeCell ref="A13:J13"/>
    <mergeCell ref="A11:J11"/>
  </mergeCells>
  <printOptions horizontalCentered="1"/>
  <pageMargins left="0.5" right="0.5" top="1" bottom="1" header="0" footer="0"/>
  <pageSetup orientation="landscape" paperSize="9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67" min="1" max="1"/>
    <col width="40" customWidth="1" style="67" min="2" max="2"/>
    <col width="32" customWidth="1" style="67" min="3" max="3"/>
    <col width="34" customWidth="1" style="67" min="4" max="4"/>
    <col width="12" customWidth="1" style="67" min="5" max="5"/>
    <col width="44" customWidth="1" style="67" min="6" max="6"/>
    <col width="8.710000000000001" customWidth="1" style="67" min="7" max="26"/>
  </cols>
  <sheetData>
    <row r="1" ht="17.25" customHeight="1" s="67">
      <c r="A1" s="1" t="inlineStr">
        <is>
          <t>Paso 3 · Lista de cotejo de equivalencia de condiciones pretest–postest</t>
        </is>
      </c>
      <c r="B1" s="2" t="n"/>
      <c r="C1" s="2" t="n"/>
      <c r="D1" s="2" t="n"/>
      <c r="E1" s="2" t="n"/>
      <c r="F1" s="2" t="n"/>
    </row>
    <row r="2" ht="15" customHeight="1" s="67">
      <c r="A2" s="3" t="inlineStr">
        <is>
          <t>Coteje cada condición con el acta de aplicación del pretest antes de medir. Cada «No» exige una medida de control y una incidencia registrada.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6" customHeight="1" s="67">
      <c r="A4" s="17" t="inlineStr">
        <is>
          <t>N.º</t>
        </is>
      </c>
      <c r="B4" s="17" t="inlineStr">
        <is>
          <t>Condición</t>
        </is>
      </c>
      <c r="C4" s="17" t="inlineStr">
        <is>
          <t>Pretest (según acta)</t>
        </is>
      </c>
      <c r="D4" s="17" t="inlineStr">
        <is>
          <t>Postest (previsto o ejecutado)</t>
        </is>
      </c>
      <c r="E4" s="17" t="inlineStr">
        <is>
          <t>¿Equivale?</t>
        </is>
      </c>
      <c r="F4" s="17" t="inlineStr">
        <is>
          <t>Medida de control y evidencia</t>
        </is>
      </c>
    </row>
    <row r="5" ht="30" customHeight="1" s="67">
      <c r="A5" s="26" t="n">
        <v>1</v>
      </c>
      <c r="B5" s="42" t="inlineStr">
        <is>
          <t>Instrumento y versión</t>
        </is>
      </c>
      <c r="C5" s="36" t="inlineStr">
        <is>
          <t>Cuestionario SUS (10 ítems), cuestionario de satisfacción (8 ítems) y ficha de tiempos y clics, versión validada</t>
        </is>
      </c>
      <c r="D5" s="36" t="inlineStr">
        <is>
          <t>Los mismos instrumentos y la misma versión</t>
        </is>
      </c>
      <c r="E5" s="22" t="inlineStr">
        <is>
          <t>Sí</t>
        </is>
      </c>
      <c r="F5" s="36" t="inlineStr">
        <is>
          <t>Mismo módulo del experimento; versión de los cuestionarios sin cambios.</t>
        </is>
      </c>
    </row>
    <row r="6" ht="30" customHeight="1" s="67">
      <c r="A6" s="26" t="n">
        <v>2</v>
      </c>
      <c r="B6" s="42" t="inlineStr">
        <is>
          <t>Forma de aplicación (impreso o digital)</t>
        </is>
      </c>
      <c r="C6" s="36" t="inlineStr">
        <is>
          <t>Digital, en el módulo del experimento</t>
        </is>
      </c>
      <c r="D6" s="36" t="inlineStr">
        <is>
          <t>Digital, en el módulo del experimento</t>
        </is>
      </c>
      <c r="E6" s="22" t="inlineStr">
        <is>
          <t>Sí</t>
        </is>
      </c>
      <c r="F6" s="36" t="inlineStr">
        <is>
          <t>Misma interfaz de cuestionarios.</t>
        </is>
      </c>
    </row>
    <row r="7" ht="30" customHeight="1" s="67">
      <c r="A7" s="26" t="n">
        <v>3</v>
      </c>
      <c r="B7" s="42" t="inlineStr">
        <is>
          <t>Guion de instrucciones (textual)</t>
        </is>
      </c>
      <c r="C7" s="36" t="inlineStr">
        <is>
          <t>Guion de la Sesión 02, hoja 1</t>
        </is>
      </c>
      <c r="D7" s="36" t="inlineStr">
        <is>
          <t>El mismo guion, leído textualmente</t>
        </is>
      </c>
      <c r="E7" s="22" t="inlineStr">
        <is>
          <t>Sí</t>
        </is>
      </c>
      <c r="F7" s="36" t="inlineStr">
        <is>
          <t>Guion impreso y en PDF.</t>
        </is>
      </c>
    </row>
    <row r="8" ht="30" customHeight="1" s="67">
      <c r="A8" s="26" t="n">
        <v>4</v>
      </c>
      <c r="B8" s="42" t="inlineStr">
        <is>
          <t>Aplicador u observador</t>
        </is>
      </c>
      <c r="C8" s="36" t="inlineStr">
        <is>
          <t>M. Trujillo y A. Godoy</t>
        </is>
      </c>
      <c r="D8" s="36" t="inlineStr">
        <is>
          <t>M. Trujillo y A. Godoy</t>
        </is>
      </c>
      <c r="E8" s="22" t="inlineStr">
        <is>
          <t>Sí</t>
        </is>
      </c>
      <c r="F8" s="36" t="inlineStr">
        <is>
          <t>Mismo aplicador por participante en lo posible.</t>
        </is>
      </c>
    </row>
    <row r="9" ht="30" customHeight="1" s="67">
      <c r="A9" s="26" t="n">
        <v>5</v>
      </c>
      <c r="B9" s="42" t="inlineStr">
        <is>
          <t>Lugar, equipos y conectividad</t>
        </is>
      </c>
      <c r="C9" s="36" t="inlineStr">
        <is>
          <t>Dispositivo propio y conexión habitual; búsqueda en el portal actual</t>
        </is>
      </c>
      <c r="D9" s="36" t="inlineStr">
        <is>
          <t>Mismo tipo de dispositivo y conexión habitual; búsqueda en la aplicación</t>
        </is>
      </c>
      <c r="E9" s="22" t="inlineStr">
        <is>
          <t>Sí</t>
        </is>
      </c>
      <c r="F9" s="36" t="inlineStr">
        <is>
          <t>El cambio de plataforma es la intervención (X); el dispositivo se mantiene.</t>
        </is>
      </c>
    </row>
    <row r="10" ht="30" customHeight="1" s="67">
      <c r="A10" s="26" t="n">
        <v>6</v>
      </c>
      <c r="B10" s="42" t="inlineStr">
        <is>
          <t>Días de la semana y franja horaria</t>
        </is>
      </c>
      <c r="C10" s="36" t="inlineStr">
        <is>
          <t>Lunes a sábado; 10:00–13:00 o 16:00–19:00</t>
        </is>
      </c>
      <c r="D10" s="36" t="inlineStr">
        <is>
          <t>Lunes a sábado; misma franja y mismo día de la semana de su pretest</t>
        </is>
      </c>
      <c r="E10" s="22" t="inlineStr">
        <is>
          <t>Sí</t>
        </is>
      </c>
      <c r="F10" s="36" t="inlineStr">
        <is>
          <t>Postest programado 14 días después de cada pretest.</t>
        </is>
      </c>
    </row>
    <row r="11" ht="30" customHeight="1" s="67">
      <c r="A11" s="26" t="n">
        <v>7</v>
      </c>
      <c r="B11" s="42" t="inlineStr">
        <is>
          <t>Duración y número de observaciones</t>
        </is>
      </c>
      <c r="C11" s="36" t="inlineStr">
        <is>
          <t>2 tareas de búsqueda (máx. 300 s c/u) + SUS + satisfacción</t>
        </is>
      </c>
      <c r="D11" s="36" t="inlineStr">
        <is>
          <t>2 tareas de búsqueda (máx. 300 s c/u) + SUS + satisfacción</t>
        </is>
      </c>
      <c r="E11" s="22" t="inlineStr">
        <is>
          <t>Sí</t>
        </is>
      </c>
      <c r="F11" s="36" t="inlineStr">
        <is>
          <t>Noticias equivalentes en dificultad (tareas 3 y 4).</t>
        </is>
      </c>
    </row>
    <row r="12" ht="30" customHeight="1" s="67">
      <c r="A12" s="26" t="n">
        <v>8</v>
      </c>
      <c r="B12" s="42" t="inlineStr">
        <is>
          <t>Criterios de inicio y fin de cada medición</t>
        </is>
      </c>
      <c r="C12" s="36" t="inlineStr">
        <is>
          <t>Inicio: clic en «Comenzar tarea»; fin: apertura de la noticia correcta o 300 s</t>
        </is>
      </c>
      <c r="D12" s="36" t="inlineStr">
        <is>
          <t>Los mismos criterios</t>
        </is>
      </c>
      <c r="E12" s="22" t="inlineStr">
        <is>
          <t>Sí</t>
        </is>
      </c>
      <c r="F12" s="36" t="inlineStr">
        <is>
          <t>Mismo cronómetro del módulo.</t>
        </is>
      </c>
    </row>
    <row r="13" ht="30" customHeight="1" s="67">
      <c r="A13" s="26" t="n">
        <v>9</v>
      </c>
      <c r="B13" s="42" t="inlineStr">
        <is>
          <t>Unidad de medida y escala</t>
        </is>
      </c>
      <c r="C13" s="36" t="inlineStr">
        <is>
          <t>Segundos, clics, puntos SUS (0–100), satisfacción (8–40)</t>
        </is>
      </c>
      <c r="D13" s="36" t="inlineStr">
        <is>
          <t>Las mismas unidades</t>
        </is>
      </c>
      <c r="E13" s="22" t="inlineStr">
        <is>
          <t>Sí</t>
        </is>
      </c>
      <c r="F13" s="36" t="inlineStr">
        <is>
          <t>Diccionario de variables (Sesión 03).</t>
        </is>
      </c>
    </row>
    <row r="14" ht="30" customHeight="1" s="67">
      <c r="A14" s="26" t="n">
        <v>10</v>
      </c>
      <c r="B14" s="42" t="inlineStr">
        <is>
          <t>Codificación de participantes</t>
        </is>
      </c>
      <c r="C14" s="36" t="inlineStr">
        <is>
          <t>108 códigos GU-TDH de la base del pretest (sesión 3). Sin GU-TDH-001.</t>
        </is>
      </c>
      <c r="D14" s="36" t="inlineStr">
        <is>
          <t>Los mismos códigos</t>
        </is>
      </c>
      <c r="E14" s="22" t="inlineStr">
        <is>
          <t>Sí</t>
        </is>
      </c>
      <c r="F14" s="36" t="inlineStr">
        <is>
          <t>Verificación del código antes de habilitar las tareas.</t>
        </is>
      </c>
    </row>
    <row r="15" ht="30" customHeight="1" s="67">
      <c r="A15" s="26" t="n">
        <v>11</v>
      </c>
      <c r="B15" s="42" t="inlineStr">
        <is>
          <t>Secuencia de ítems o de tareas</t>
        </is>
      </c>
      <c r="C15" s="36" t="inlineStr">
        <is>
          <t>Tarea 1 → tarea 2 → SUS → satisfacción</t>
        </is>
      </c>
      <c r="D15" s="36" t="inlineStr">
        <is>
          <t>Tarea 3 → tarea 4 → SUS → satisfacción</t>
        </is>
      </c>
      <c r="E15" s="22" t="inlineStr">
        <is>
          <t>Sí</t>
        </is>
      </c>
      <c r="F15" s="36" t="inlineStr">
        <is>
          <t>Mismo orden de ítems.</t>
        </is>
      </c>
    </row>
    <row r="16" ht="30" customHeight="1" s="67">
      <c r="A16" s="26" t="n">
        <v>12</v>
      </c>
      <c r="B16" s="42" t="inlineStr">
        <is>
          <t>Ventana de aplicación (hasta 5 días hábiles tras el cierre)</t>
        </is>
      </c>
      <c r="C16" s="36" t="inlineStr">
        <is>
          <t>12–17/10/2026, antes de la intervención</t>
        </is>
      </c>
      <c r="D16" s="36" t="inlineStr">
        <is>
          <t>26–31/10/2026, de 1 a 5 días hábiles tras el cierre (02/11)</t>
        </is>
      </c>
      <c r="E16" s="22" t="inlineStr">
        <is>
          <t>Sí</t>
        </is>
      </c>
      <c r="F16" s="36" t="inlineStr">
        <is>
          <t>Ventana de 5 días hábiles respetada.</t>
        </is>
      </c>
    </row>
    <row r="17">
      <c r="A17" s="2" t="n"/>
      <c r="B17" s="2" t="n"/>
      <c r="C17" s="2" t="n"/>
      <c r="D17" s="2" t="n"/>
      <c r="E17" s="2" t="n"/>
      <c r="F17" s="2" t="n"/>
    </row>
    <row r="18" ht="15" customHeight="1" s="67">
      <c r="A18" s="2" t="n"/>
      <c r="B18" s="7" t="inlineStr">
        <is>
          <t>Condiciones equivalentes</t>
        </is>
      </c>
      <c r="C18" s="26">
        <f>COUNTIF(E5:E16,"Sí")&amp;" de 12"</f>
        <v/>
      </c>
      <c r="D18" s="2" t="n"/>
      <c r="E18" s="2" t="n"/>
      <c r="F18" s="2" t="n"/>
    </row>
    <row r="19" ht="12" customHeight="1" s="67">
      <c r="A19" s="2" t="n"/>
      <c r="B19" s="7" t="inlineStr">
        <is>
          <t>Resultado</t>
        </is>
      </c>
      <c r="C19" s="49">
        <f>IF(COUNTIF(E5:E16,"Sí")=12,"Equivalencia total: aplicar el postest",IF(COUNTIF(E5:E16,"Sí")&gt;=10,"Equivalente con observaciones: registrar cada No como incidencia con su medida de control","Revisar con el asesor antes de medir"))</f>
        <v/>
      </c>
      <c r="D19" s="69" t="n"/>
      <c r="E19" s="69" t="n"/>
      <c r="F19" s="70" t="n"/>
    </row>
    <row r="20" ht="32.25" customHeight="1" s="67">
      <c r="A20" s="2" t="n"/>
      <c r="B20" s="18" t="inlineStr">
        <is>
          <t>Las condiciones no equivalentes se reportan en el informe de postest como limitación, con la medida de control aplicada.</t>
        </is>
      </c>
      <c r="C20" s="2" t="n"/>
      <c r="D20" s="2" t="n"/>
      <c r="E20" s="2" t="n"/>
      <c r="F20" s="2" t="n"/>
    </row>
    <row r="21" ht="15.75" customHeight="1" s="67">
      <c r="A21" s="2" t="n"/>
      <c r="B21" s="2" t="n"/>
      <c r="C21" s="2" t="n"/>
      <c r="D21" s="2" t="n"/>
      <c r="E21" s="2" t="n"/>
      <c r="F21" s="2" t="n"/>
    </row>
    <row r="22" ht="15.75" customHeight="1" s="67">
      <c r="A22" s="2" t="n"/>
      <c r="B22" s="2" t="n"/>
      <c r="C22" s="2" t="n"/>
      <c r="D22" s="2" t="n"/>
      <c r="E22" s="2" t="n"/>
      <c r="F22" s="2" t="n"/>
    </row>
    <row r="23" ht="15.75" customHeight="1" s="67">
      <c r="A23" s="2" t="n"/>
      <c r="B23" s="2" t="n"/>
      <c r="C23" s="2" t="n"/>
      <c r="D23" s="2" t="n"/>
      <c r="E23" s="2" t="n"/>
      <c r="F23" s="2" t="n"/>
    </row>
    <row r="24" ht="15.75" customHeight="1" s="67">
      <c r="A24" s="2" t="n"/>
      <c r="B24" s="2" t="n"/>
      <c r="C24" s="2" t="n"/>
      <c r="D24" s="2" t="n"/>
      <c r="E24" s="2" t="n"/>
      <c r="F24" s="2" t="n"/>
    </row>
    <row r="25" ht="15.75" customHeight="1" s="67">
      <c r="A25" s="2" t="n"/>
      <c r="B25" s="2" t="n"/>
      <c r="C25" s="2" t="n"/>
      <c r="D25" s="2" t="n"/>
      <c r="E25" s="2" t="n"/>
      <c r="F25" s="2" t="n"/>
    </row>
    <row r="26" ht="15.75" customHeight="1" s="67">
      <c r="A26" s="2" t="n"/>
      <c r="B26" s="2" t="n"/>
      <c r="C26" s="2" t="n"/>
      <c r="D26" s="2" t="n"/>
      <c r="E26" s="2" t="n"/>
      <c r="F26" s="2" t="n"/>
    </row>
    <row r="27" ht="15.75" customHeight="1" s="67">
      <c r="A27" s="2" t="n"/>
      <c r="B27" s="2" t="n"/>
      <c r="C27" s="2" t="n"/>
      <c r="D27" s="2" t="n"/>
      <c r="E27" s="2" t="n"/>
      <c r="F27" s="2" t="n"/>
    </row>
    <row r="28" ht="15.75" customHeight="1" s="67">
      <c r="A28" s="2" t="n"/>
      <c r="B28" s="2" t="n"/>
      <c r="C28" s="2" t="n"/>
      <c r="D28" s="2" t="n"/>
      <c r="E28" s="2" t="n"/>
      <c r="F28" s="2" t="n"/>
    </row>
    <row r="29" ht="15.75" customHeight="1" s="67">
      <c r="A29" s="2" t="n"/>
      <c r="B29" s="2" t="n"/>
      <c r="C29" s="2" t="n"/>
      <c r="D29" s="2" t="n"/>
      <c r="E29" s="2" t="n"/>
      <c r="F29" s="2" t="n"/>
    </row>
    <row r="30" ht="15.75" customHeight="1" s="67">
      <c r="A30" s="2" t="n"/>
      <c r="B30" s="2" t="n"/>
      <c r="C30" s="2" t="n"/>
      <c r="D30" s="2" t="n"/>
      <c r="E30" s="2" t="n"/>
      <c r="F30" s="2" t="n"/>
    </row>
    <row r="31" ht="15.75" customHeight="1" s="67">
      <c r="A31" s="2" t="n"/>
      <c r="B31" s="2" t="n"/>
      <c r="C31" s="2" t="n"/>
      <c r="D31" s="2" t="n"/>
      <c r="E31" s="2" t="n"/>
      <c r="F31" s="2" t="n"/>
    </row>
    <row r="32" ht="15.75" customHeight="1" s="67">
      <c r="A32" s="2" t="n"/>
      <c r="B32" s="2" t="n"/>
      <c r="C32" s="2" t="n"/>
      <c r="D32" s="2" t="n"/>
      <c r="E32" s="2" t="n"/>
      <c r="F32" s="2" t="n"/>
    </row>
    <row r="33" ht="15.75" customHeight="1" s="67">
      <c r="A33" s="2" t="n"/>
      <c r="B33" s="2" t="n"/>
      <c r="C33" s="2" t="n"/>
      <c r="D33" s="2" t="n"/>
      <c r="E33" s="2" t="n"/>
      <c r="F33" s="2" t="n"/>
    </row>
    <row r="34" ht="15.75" customHeight="1" s="67">
      <c r="A34" s="2" t="n"/>
      <c r="B34" s="2" t="n"/>
      <c r="C34" s="2" t="n"/>
      <c r="D34" s="2" t="n"/>
      <c r="E34" s="2" t="n"/>
      <c r="F34" s="2" t="n"/>
    </row>
    <row r="35" ht="15.75" customHeight="1" s="67">
      <c r="A35" s="2" t="n"/>
      <c r="B35" s="2" t="n"/>
      <c r="C35" s="2" t="n"/>
      <c r="D35" s="2" t="n"/>
      <c r="E35" s="2" t="n"/>
      <c r="F35" s="2" t="n"/>
    </row>
    <row r="36" ht="15.75" customHeight="1" s="67">
      <c r="A36" s="2" t="n"/>
      <c r="B36" s="2" t="n"/>
      <c r="C36" s="2" t="n"/>
      <c r="D36" s="2" t="n"/>
      <c r="E36" s="2" t="n"/>
      <c r="F36" s="2" t="n"/>
    </row>
    <row r="37" ht="15.75" customHeight="1" s="67">
      <c r="A37" s="2" t="n"/>
      <c r="B37" s="2" t="n"/>
      <c r="C37" s="2" t="n"/>
      <c r="D37" s="2" t="n"/>
      <c r="E37" s="2" t="n"/>
      <c r="F37" s="2" t="n"/>
    </row>
    <row r="38" ht="15.75" customHeight="1" s="67">
      <c r="A38" s="2" t="n"/>
      <c r="B38" s="2" t="n"/>
      <c r="C38" s="2" t="n"/>
      <c r="D38" s="2" t="n"/>
      <c r="E38" s="2" t="n"/>
      <c r="F38" s="2" t="n"/>
    </row>
    <row r="39" ht="15.75" customHeight="1" s="67">
      <c r="A39" s="2" t="n"/>
      <c r="B39" s="2" t="n"/>
      <c r="C39" s="2" t="n"/>
      <c r="D39" s="2" t="n"/>
      <c r="E39" s="2" t="n"/>
      <c r="F39" s="2" t="n"/>
    </row>
    <row r="40" ht="15.75" customHeight="1" s="67">
      <c r="A40" s="2" t="n"/>
      <c r="B40" s="2" t="n"/>
      <c r="C40" s="2" t="n"/>
      <c r="D40" s="2" t="n"/>
      <c r="E40" s="2" t="n"/>
      <c r="F40" s="2" t="n"/>
    </row>
    <row r="41" ht="15.75" customHeight="1" s="67">
      <c r="A41" s="2" t="n"/>
      <c r="B41" s="2" t="n"/>
      <c r="C41" s="2" t="n"/>
      <c r="D41" s="2" t="n"/>
      <c r="E41" s="2" t="n"/>
      <c r="F41" s="2" t="n"/>
    </row>
    <row r="42" ht="15.75" customHeight="1" s="67">
      <c r="A42" s="2" t="n"/>
      <c r="B42" s="2" t="n"/>
      <c r="C42" s="2" t="n"/>
      <c r="D42" s="2" t="n"/>
      <c r="E42" s="2" t="n"/>
      <c r="F42" s="2" t="n"/>
    </row>
    <row r="43" ht="15.75" customHeight="1" s="67">
      <c r="A43" s="2" t="n"/>
      <c r="B43" s="2" t="n"/>
      <c r="C43" s="2" t="n"/>
      <c r="D43" s="2" t="n"/>
      <c r="E43" s="2" t="n"/>
      <c r="F43" s="2" t="n"/>
    </row>
    <row r="44" ht="15.75" customHeight="1" s="67">
      <c r="A44" s="2" t="n"/>
      <c r="B44" s="2" t="n"/>
      <c r="C44" s="2" t="n"/>
      <c r="D44" s="2" t="n"/>
      <c r="E44" s="2" t="n"/>
      <c r="F44" s="2" t="n"/>
    </row>
    <row r="45" ht="15.75" customHeight="1" s="67">
      <c r="A45" s="2" t="n"/>
      <c r="B45" s="2" t="n"/>
      <c r="C45" s="2" t="n"/>
      <c r="D45" s="2" t="n"/>
      <c r="E45" s="2" t="n"/>
      <c r="F45" s="2" t="n"/>
    </row>
    <row r="46" ht="15.75" customHeight="1" s="67">
      <c r="A46" s="2" t="n"/>
      <c r="B46" s="2" t="n"/>
      <c r="C46" s="2" t="n"/>
      <c r="D46" s="2" t="n"/>
      <c r="E46" s="2" t="n"/>
      <c r="F46" s="2" t="n"/>
    </row>
    <row r="47" ht="15.75" customHeight="1" s="67">
      <c r="A47" s="2" t="n"/>
      <c r="B47" s="2" t="n"/>
      <c r="C47" s="2" t="n"/>
      <c r="D47" s="2" t="n"/>
      <c r="E47" s="2" t="n"/>
      <c r="F47" s="2" t="n"/>
    </row>
    <row r="48" ht="15.75" customHeight="1" s="67">
      <c r="A48" s="2" t="n"/>
      <c r="B48" s="2" t="n"/>
      <c r="C48" s="2" t="n"/>
      <c r="D48" s="2" t="n"/>
      <c r="E48" s="2" t="n"/>
      <c r="F48" s="2" t="n"/>
    </row>
    <row r="49" ht="15.75" customHeight="1" s="67">
      <c r="A49" s="2" t="n"/>
      <c r="B49" s="2" t="n"/>
      <c r="C49" s="2" t="n"/>
      <c r="D49" s="2" t="n"/>
      <c r="E49" s="2" t="n"/>
      <c r="F49" s="2" t="n"/>
    </row>
    <row r="50" ht="15.75" customHeight="1" s="67">
      <c r="A50" s="2" t="n"/>
      <c r="B50" s="2" t="n"/>
      <c r="C50" s="2" t="n"/>
      <c r="D50" s="2" t="n"/>
      <c r="E50" s="2" t="n"/>
      <c r="F50" s="2" t="n"/>
    </row>
    <row r="51" ht="15.75" customHeight="1" s="67">
      <c r="A51" s="2" t="n"/>
      <c r="B51" s="2" t="n"/>
      <c r="C51" s="2" t="n"/>
      <c r="D51" s="2" t="n"/>
      <c r="E51" s="2" t="n"/>
      <c r="F51" s="2" t="n"/>
    </row>
    <row r="52" ht="15.75" customHeight="1" s="67">
      <c r="A52" s="2" t="n"/>
      <c r="B52" s="2" t="n"/>
      <c r="C52" s="2" t="n"/>
      <c r="D52" s="2" t="n"/>
      <c r="E52" s="2" t="n"/>
      <c r="F52" s="2" t="n"/>
    </row>
    <row r="53" ht="15.75" customHeight="1" s="67">
      <c r="A53" s="2" t="n"/>
      <c r="B53" s="2" t="n"/>
      <c r="C53" s="2" t="n"/>
      <c r="D53" s="2" t="n"/>
      <c r="E53" s="2" t="n"/>
      <c r="F53" s="2" t="n"/>
    </row>
    <row r="54" ht="15.75" customHeight="1" s="67">
      <c r="A54" s="2" t="n"/>
      <c r="B54" s="2" t="n"/>
      <c r="C54" s="2" t="n"/>
      <c r="D54" s="2" t="n"/>
      <c r="E54" s="2" t="n"/>
      <c r="F54" s="2" t="n"/>
    </row>
    <row r="55" ht="15.75" customHeight="1" s="67">
      <c r="A55" s="2" t="n"/>
      <c r="B55" s="2" t="n"/>
      <c r="C55" s="2" t="n"/>
      <c r="D55" s="2" t="n"/>
      <c r="E55" s="2" t="n"/>
      <c r="F55" s="2" t="n"/>
    </row>
    <row r="56" ht="15.75" customHeight="1" s="67">
      <c r="A56" s="2" t="n"/>
      <c r="B56" s="2" t="n"/>
      <c r="C56" s="2" t="n"/>
      <c r="D56" s="2" t="n"/>
      <c r="E56" s="2" t="n"/>
      <c r="F56" s="2" t="n"/>
    </row>
    <row r="57" ht="15.75" customHeight="1" s="67">
      <c r="A57" s="2" t="n"/>
      <c r="B57" s="2" t="n"/>
      <c r="C57" s="2" t="n"/>
      <c r="D57" s="2" t="n"/>
      <c r="E57" s="2" t="n"/>
      <c r="F57" s="2" t="n"/>
    </row>
    <row r="58" ht="15.75" customHeight="1" s="67">
      <c r="A58" s="2" t="n"/>
      <c r="B58" s="2" t="n"/>
      <c r="C58" s="2" t="n"/>
      <c r="D58" s="2" t="n"/>
      <c r="E58" s="2" t="n"/>
      <c r="F58" s="2" t="n"/>
    </row>
    <row r="59" ht="15.75" customHeight="1" s="67">
      <c r="A59" s="2" t="n"/>
      <c r="B59" s="2" t="n"/>
      <c r="C59" s="2" t="n"/>
      <c r="D59" s="2" t="n"/>
      <c r="E59" s="2" t="n"/>
      <c r="F59" s="2" t="n"/>
    </row>
    <row r="60" ht="15.75" customHeight="1" s="67">
      <c r="A60" s="2" t="n"/>
      <c r="B60" s="2" t="n"/>
      <c r="C60" s="2" t="n"/>
      <c r="D60" s="2" t="n"/>
      <c r="E60" s="2" t="n"/>
      <c r="F60" s="2" t="n"/>
    </row>
    <row r="61" ht="15.75" customHeight="1" s="67">
      <c r="A61" s="2" t="n"/>
      <c r="B61" s="2" t="n"/>
      <c r="C61" s="2" t="n"/>
      <c r="D61" s="2" t="n"/>
      <c r="E61" s="2" t="n"/>
      <c r="F61" s="2" t="n"/>
    </row>
    <row r="62" ht="15.75" customHeight="1" s="67">
      <c r="A62" s="2" t="n"/>
      <c r="B62" s="2" t="n"/>
      <c r="C62" s="2" t="n"/>
      <c r="D62" s="2" t="n"/>
      <c r="E62" s="2" t="n"/>
      <c r="F62" s="2" t="n"/>
    </row>
    <row r="63" ht="15.75" customHeight="1" s="67">
      <c r="A63" s="2" t="n"/>
      <c r="B63" s="2" t="n"/>
      <c r="C63" s="2" t="n"/>
      <c r="D63" s="2" t="n"/>
      <c r="E63" s="2" t="n"/>
      <c r="F63" s="2" t="n"/>
    </row>
    <row r="64" ht="15.75" customHeight="1" s="67">
      <c r="A64" s="2" t="n"/>
      <c r="B64" s="2" t="n"/>
      <c r="C64" s="2" t="n"/>
      <c r="D64" s="2" t="n"/>
      <c r="E64" s="2" t="n"/>
      <c r="F64" s="2" t="n"/>
    </row>
    <row r="65" ht="15.75" customHeight="1" s="67">
      <c r="A65" s="2" t="n"/>
      <c r="B65" s="2" t="n"/>
      <c r="C65" s="2" t="n"/>
      <c r="D65" s="2" t="n"/>
      <c r="E65" s="2" t="n"/>
      <c r="F65" s="2" t="n"/>
    </row>
    <row r="66" ht="15.75" customHeight="1" s="67">
      <c r="A66" s="2" t="n"/>
      <c r="B66" s="2" t="n"/>
      <c r="C66" s="2" t="n"/>
      <c r="D66" s="2" t="n"/>
      <c r="E66" s="2" t="n"/>
      <c r="F66" s="2" t="n"/>
    </row>
    <row r="67" ht="15.75" customHeight="1" s="67">
      <c r="A67" s="2" t="n"/>
      <c r="B67" s="2" t="n"/>
      <c r="C67" s="2" t="n"/>
      <c r="D67" s="2" t="n"/>
      <c r="E67" s="2" t="n"/>
      <c r="F67" s="2" t="n"/>
    </row>
    <row r="68" ht="15.75" customHeight="1" s="67">
      <c r="A68" s="2" t="n"/>
      <c r="B68" s="2" t="n"/>
      <c r="C68" s="2" t="n"/>
      <c r="D68" s="2" t="n"/>
      <c r="E68" s="2" t="n"/>
      <c r="F68" s="2" t="n"/>
    </row>
    <row r="69" ht="15.75" customHeight="1" s="67">
      <c r="A69" s="2" t="n"/>
      <c r="B69" s="2" t="n"/>
      <c r="C69" s="2" t="n"/>
      <c r="D69" s="2" t="n"/>
      <c r="E69" s="2" t="n"/>
      <c r="F69" s="2" t="n"/>
    </row>
    <row r="70" ht="15.75" customHeight="1" s="67">
      <c r="A70" s="2" t="n"/>
      <c r="B70" s="2" t="n"/>
      <c r="C70" s="2" t="n"/>
      <c r="D70" s="2" t="n"/>
      <c r="E70" s="2" t="n"/>
      <c r="F70" s="2" t="n"/>
    </row>
    <row r="71" ht="15.75" customHeight="1" s="67">
      <c r="A71" s="2" t="n"/>
      <c r="B71" s="2" t="n"/>
      <c r="C71" s="2" t="n"/>
      <c r="D71" s="2" t="n"/>
      <c r="E71" s="2" t="n"/>
      <c r="F71" s="2" t="n"/>
    </row>
    <row r="72" ht="15.75" customHeight="1" s="67">
      <c r="A72" s="2" t="n"/>
      <c r="B72" s="2" t="n"/>
      <c r="C72" s="2" t="n"/>
      <c r="D72" s="2" t="n"/>
      <c r="E72" s="2" t="n"/>
      <c r="F72" s="2" t="n"/>
    </row>
    <row r="73" ht="15.75" customHeight="1" s="67">
      <c r="A73" s="2" t="n"/>
      <c r="B73" s="2" t="n"/>
      <c r="C73" s="2" t="n"/>
      <c r="D73" s="2" t="n"/>
      <c r="E73" s="2" t="n"/>
      <c r="F73" s="2" t="n"/>
    </row>
    <row r="74" ht="15.75" customHeight="1" s="67">
      <c r="A74" s="2" t="n"/>
      <c r="B74" s="2" t="n"/>
      <c r="C74" s="2" t="n"/>
      <c r="D74" s="2" t="n"/>
      <c r="E74" s="2" t="n"/>
      <c r="F74" s="2" t="n"/>
    </row>
    <row r="75" ht="15.75" customHeight="1" s="67">
      <c r="A75" s="2" t="n"/>
      <c r="B75" s="2" t="n"/>
      <c r="C75" s="2" t="n"/>
      <c r="D75" s="2" t="n"/>
      <c r="E75" s="2" t="n"/>
      <c r="F75" s="2" t="n"/>
    </row>
    <row r="76" ht="15.75" customHeight="1" s="67">
      <c r="A76" s="2" t="n"/>
      <c r="B76" s="2" t="n"/>
      <c r="C76" s="2" t="n"/>
      <c r="D76" s="2" t="n"/>
      <c r="E76" s="2" t="n"/>
      <c r="F76" s="2" t="n"/>
    </row>
    <row r="77" ht="15.75" customHeight="1" s="67">
      <c r="A77" s="2" t="n"/>
      <c r="B77" s="2" t="n"/>
      <c r="C77" s="2" t="n"/>
      <c r="D77" s="2" t="n"/>
      <c r="E77" s="2" t="n"/>
      <c r="F77" s="2" t="n"/>
    </row>
    <row r="78" ht="15.75" customHeight="1" s="67">
      <c r="A78" s="2" t="n"/>
      <c r="B78" s="2" t="n"/>
      <c r="C78" s="2" t="n"/>
      <c r="D78" s="2" t="n"/>
      <c r="E78" s="2" t="n"/>
      <c r="F78" s="2" t="n"/>
    </row>
    <row r="79" ht="15.75" customHeight="1" s="67">
      <c r="A79" s="2" t="n"/>
      <c r="B79" s="2" t="n"/>
      <c r="C79" s="2" t="n"/>
      <c r="D79" s="2" t="n"/>
      <c r="E79" s="2" t="n"/>
      <c r="F79" s="2" t="n"/>
    </row>
    <row r="80" ht="15.75" customHeight="1" s="67">
      <c r="A80" s="2" t="n"/>
      <c r="B80" s="2" t="n"/>
      <c r="C80" s="2" t="n"/>
      <c r="D80" s="2" t="n"/>
      <c r="E80" s="2" t="n"/>
      <c r="F80" s="2" t="n"/>
    </row>
    <row r="81" ht="15.75" customHeight="1" s="67">
      <c r="A81" s="2" t="n"/>
      <c r="B81" s="2" t="n"/>
      <c r="C81" s="2" t="n"/>
      <c r="D81" s="2" t="n"/>
      <c r="E81" s="2" t="n"/>
      <c r="F81" s="2" t="n"/>
    </row>
    <row r="82" ht="15.75" customHeight="1" s="67">
      <c r="A82" s="2" t="n"/>
      <c r="B82" s="2" t="n"/>
      <c r="C82" s="2" t="n"/>
      <c r="D82" s="2" t="n"/>
      <c r="E82" s="2" t="n"/>
      <c r="F82" s="2" t="n"/>
    </row>
    <row r="83" ht="15.75" customHeight="1" s="67">
      <c r="A83" s="2" t="n"/>
      <c r="B83" s="2" t="n"/>
      <c r="C83" s="2" t="n"/>
      <c r="D83" s="2" t="n"/>
      <c r="E83" s="2" t="n"/>
      <c r="F83" s="2" t="n"/>
    </row>
    <row r="84" ht="15.75" customHeight="1" s="67">
      <c r="A84" s="2" t="n"/>
      <c r="B84" s="2" t="n"/>
      <c r="C84" s="2" t="n"/>
      <c r="D84" s="2" t="n"/>
      <c r="E84" s="2" t="n"/>
      <c r="F84" s="2" t="n"/>
    </row>
    <row r="85" ht="15.75" customHeight="1" s="67">
      <c r="A85" s="2" t="n"/>
      <c r="B85" s="2" t="n"/>
      <c r="C85" s="2" t="n"/>
      <c r="D85" s="2" t="n"/>
      <c r="E85" s="2" t="n"/>
      <c r="F85" s="2" t="n"/>
    </row>
    <row r="86" ht="15.75" customHeight="1" s="67">
      <c r="A86" s="2" t="n"/>
      <c r="B86" s="2" t="n"/>
      <c r="C86" s="2" t="n"/>
      <c r="D86" s="2" t="n"/>
      <c r="E86" s="2" t="n"/>
      <c r="F86" s="2" t="n"/>
    </row>
    <row r="87" ht="15.75" customHeight="1" s="67">
      <c r="A87" s="2" t="n"/>
      <c r="B87" s="2" t="n"/>
      <c r="C87" s="2" t="n"/>
      <c r="D87" s="2" t="n"/>
      <c r="E87" s="2" t="n"/>
      <c r="F87" s="2" t="n"/>
    </row>
    <row r="88" ht="15.75" customHeight="1" s="67">
      <c r="A88" s="2" t="n"/>
      <c r="B88" s="2" t="n"/>
      <c r="C88" s="2" t="n"/>
      <c r="D88" s="2" t="n"/>
      <c r="E88" s="2" t="n"/>
      <c r="F88" s="2" t="n"/>
    </row>
    <row r="89" ht="15.75" customHeight="1" s="67">
      <c r="A89" s="2" t="n"/>
      <c r="B89" s="2" t="n"/>
      <c r="C89" s="2" t="n"/>
      <c r="D89" s="2" t="n"/>
      <c r="E89" s="2" t="n"/>
      <c r="F89" s="2" t="n"/>
    </row>
    <row r="90" ht="15.75" customHeight="1" s="67">
      <c r="A90" s="2" t="n"/>
      <c r="B90" s="2" t="n"/>
      <c r="C90" s="2" t="n"/>
      <c r="D90" s="2" t="n"/>
      <c r="E90" s="2" t="n"/>
      <c r="F90" s="2" t="n"/>
    </row>
    <row r="91" ht="15.75" customHeight="1" s="67">
      <c r="A91" s="2" t="n"/>
      <c r="B91" s="2" t="n"/>
      <c r="C91" s="2" t="n"/>
      <c r="D91" s="2" t="n"/>
      <c r="E91" s="2" t="n"/>
      <c r="F91" s="2" t="n"/>
    </row>
    <row r="92" ht="15.75" customHeight="1" s="67">
      <c r="A92" s="2" t="n"/>
      <c r="B92" s="2" t="n"/>
      <c r="C92" s="2" t="n"/>
      <c r="D92" s="2" t="n"/>
      <c r="E92" s="2" t="n"/>
      <c r="F92" s="2" t="n"/>
    </row>
    <row r="93" ht="15.75" customHeight="1" s="67">
      <c r="A93" s="2" t="n"/>
      <c r="B93" s="2" t="n"/>
      <c r="C93" s="2" t="n"/>
      <c r="D93" s="2" t="n"/>
      <c r="E93" s="2" t="n"/>
      <c r="F93" s="2" t="n"/>
    </row>
    <row r="94" ht="15.75" customHeight="1" s="67">
      <c r="A94" s="2" t="n"/>
      <c r="B94" s="2" t="n"/>
      <c r="C94" s="2" t="n"/>
      <c r="D94" s="2" t="n"/>
      <c r="E94" s="2" t="n"/>
      <c r="F94" s="2" t="n"/>
    </row>
    <row r="95" ht="15.75" customHeight="1" s="67">
      <c r="A95" s="2" t="n"/>
      <c r="B95" s="2" t="n"/>
      <c r="C95" s="2" t="n"/>
      <c r="D95" s="2" t="n"/>
      <c r="E95" s="2" t="n"/>
      <c r="F95" s="2" t="n"/>
    </row>
    <row r="96" ht="15.75" customHeight="1" s="67">
      <c r="A96" s="2" t="n"/>
      <c r="B96" s="2" t="n"/>
      <c r="C96" s="2" t="n"/>
      <c r="D96" s="2" t="n"/>
      <c r="E96" s="2" t="n"/>
      <c r="F96" s="2" t="n"/>
    </row>
    <row r="97" ht="15.75" customHeight="1" s="67">
      <c r="A97" s="2" t="n"/>
      <c r="B97" s="2" t="n"/>
      <c r="C97" s="2" t="n"/>
      <c r="D97" s="2" t="n"/>
      <c r="E97" s="2" t="n"/>
      <c r="F97" s="2" t="n"/>
    </row>
    <row r="98" ht="15.75" customHeight="1" s="67">
      <c r="A98" s="2" t="n"/>
      <c r="B98" s="2" t="n"/>
      <c r="C98" s="2" t="n"/>
      <c r="D98" s="2" t="n"/>
      <c r="E98" s="2" t="n"/>
      <c r="F98" s="2" t="n"/>
    </row>
    <row r="99" ht="15.75" customHeight="1" s="67">
      <c r="A99" s="2" t="n"/>
      <c r="B99" s="2" t="n"/>
      <c r="C99" s="2" t="n"/>
      <c r="D99" s="2" t="n"/>
      <c r="E99" s="2" t="n"/>
      <c r="F99" s="2" t="n"/>
    </row>
    <row r="100" ht="15.75" customHeight="1" s="67">
      <c r="A100" s="2" t="n"/>
      <c r="B100" s="2" t="n"/>
      <c r="C100" s="2" t="n"/>
      <c r="D100" s="2" t="n"/>
      <c r="E100" s="2" t="n"/>
      <c r="F100" s="2" t="n"/>
    </row>
    <row r="101" ht="15.75" customHeight="1" s="67">
      <c r="A101" s="2" t="n"/>
      <c r="B101" s="2" t="n"/>
      <c r="C101" s="2" t="n"/>
      <c r="D101" s="2" t="n"/>
      <c r="E101" s="2" t="n"/>
      <c r="F101" s="2" t="n"/>
    </row>
    <row r="102" ht="15.75" customHeight="1" s="67">
      <c r="A102" s="2" t="n"/>
      <c r="B102" s="2" t="n"/>
      <c r="C102" s="2" t="n"/>
      <c r="D102" s="2" t="n"/>
      <c r="E102" s="2" t="n"/>
      <c r="F102" s="2" t="n"/>
    </row>
    <row r="103" ht="15.75" customHeight="1" s="67">
      <c r="A103" s="2" t="n"/>
      <c r="B103" s="2" t="n"/>
      <c r="C103" s="2" t="n"/>
      <c r="D103" s="2" t="n"/>
      <c r="E103" s="2" t="n"/>
      <c r="F103" s="2" t="n"/>
    </row>
    <row r="104" ht="15.75" customHeight="1" s="67">
      <c r="A104" s="2" t="n"/>
      <c r="B104" s="2" t="n"/>
      <c r="C104" s="2" t="n"/>
      <c r="D104" s="2" t="n"/>
      <c r="E104" s="2" t="n"/>
      <c r="F104" s="2" t="n"/>
    </row>
    <row r="105" ht="15.75" customHeight="1" s="67">
      <c r="A105" s="2" t="n"/>
      <c r="B105" s="2" t="n"/>
      <c r="C105" s="2" t="n"/>
      <c r="D105" s="2" t="n"/>
      <c r="E105" s="2" t="n"/>
      <c r="F105" s="2" t="n"/>
    </row>
    <row r="106" ht="15.75" customHeight="1" s="67">
      <c r="A106" s="2" t="n"/>
      <c r="B106" s="2" t="n"/>
      <c r="C106" s="2" t="n"/>
      <c r="D106" s="2" t="n"/>
      <c r="E106" s="2" t="n"/>
      <c r="F106" s="2" t="n"/>
    </row>
    <row r="107" ht="15.75" customHeight="1" s="67">
      <c r="A107" s="2" t="n"/>
      <c r="B107" s="2" t="n"/>
      <c r="C107" s="2" t="n"/>
      <c r="D107" s="2" t="n"/>
      <c r="E107" s="2" t="n"/>
      <c r="F107" s="2" t="n"/>
    </row>
    <row r="108" ht="15.75" customHeight="1" s="67">
      <c r="A108" s="2" t="n"/>
      <c r="B108" s="2" t="n"/>
      <c r="C108" s="2" t="n"/>
      <c r="D108" s="2" t="n"/>
      <c r="E108" s="2" t="n"/>
      <c r="F108" s="2" t="n"/>
    </row>
    <row r="109" ht="15.75" customHeight="1" s="67">
      <c r="A109" s="2" t="n"/>
      <c r="B109" s="2" t="n"/>
      <c r="C109" s="2" t="n"/>
      <c r="D109" s="2" t="n"/>
      <c r="E109" s="2" t="n"/>
      <c r="F109" s="2" t="n"/>
    </row>
    <row r="110" ht="15.75" customHeight="1" s="67">
      <c r="A110" s="2" t="n"/>
      <c r="B110" s="2" t="n"/>
      <c r="C110" s="2" t="n"/>
      <c r="D110" s="2" t="n"/>
      <c r="E110" s="2" t="n"/>
      <c r="F110" s="2" t="n"/>
    </row>
    <row r="111" ht="15.75" customHeight="1" s="67">
      <c r="A111" s="2" t="n"/>
      <c r="B111" s="2" t="n"/>
      <c r="C111" s="2" t="n"/>
      <c r="D111" s="2" t="n"/>
      <c r="E111" s="2" t="n"/>
      <c r="F111" s="2" t="n"/>
    </row>
    <row r="112" ht="15.75" customHeight="1" s="67">
      <c r="A112" s="2" t="n"/>
      <c r="B112" s="2" t="n"/>
      <c r="C112" s="2" t="n"/>
      <c r="D112" s="2" t="n"/>
      <c r="E112" s="2" t="n"/>
      <c r="F112" s="2" t="n"/>
    </row>
    <row r="113" ht="15.75" customHeight="1" s="67">
      <c r="A113" s="2" t="n"/>
      <c r="B113" s="2" t="n"/>
      <c r="C113" s="2" t="n"/>
      <c r="D113" s="2" t="n"/>
      <c r="E113" s="2" t="n"/>
      <c r="F113" s="2" t="n"/>
    </row>
    <row r="114" ht="15.75" customHeight="1" s="67">
      <c r="A114" s="2" t="n"/>
      <c r="B114" s="2" t="n"/>
      <c r="C114" s="2" t="n"/>
      <c r="D114" s="2" t="n"/>
      <c r="E114" s="2" t="n"/>
      <c r="F114" s="2" t="n"/>
    </row>
    <row r="115" ht="15.75" customHeight="1" s="67">
      <c r="A115" s="2" t="n"/>
      <c r="B115" s="2" t="n"/>
      <c r="C115" s="2" t="n"/>
      <c r="D115" s="2" t="n"/>
      <c r="E115" s="2" t="n"/>
      <c r="F115" s="2" t="n"/>
    </row>
    <row r="116" ht="15.75" customHeight="1" s="67">
      <c r="A116" s="2" t="n"/>
      <c r="B116" s="2" t="n"/>
      <c r="C116" s="2" t="n"/>
      <c r="D116" s="2" t="n"/>
      <c r="E116" s="2" t="n"/>
      <c r="F116" s="2" t="n"/>
    </row>
    <row r="117" ht="15.75" customHeight="1" s="67">
      <c r="A117" s="2" t="n"/>
      <c r="B117" s="2" t="n"/>
      <c r="C117" s="2" t="n"/>
      <c r="D117" s="2" t="n"/>
      <c r="E117" s="2" t="n"/>
      <c r="F117" s="2" t="n"/>
    </row>
    <row r="118" ht="15.75" customHeight="1" s="67">
      <c r="A118" s="2" t="n"/>
      <c r="B118" s="2" t="n"/>
      <c r="C118" s="2" t="n"/>
      <c r="D118" s="2" t="n"/>
      <c r="E118" s="2" t="n"/>
      <c r="F118" s="2" t="n"/>
    </row>
    <row r="119" ht="15.75" customHeight="1" s="67">
      <c r="A119" s="2" t="n"/>
      <c r="B119" s="2" t="n"/>
      <c r="C119" s="2" t="n"/>
      <c r="D119" s="2" t="n"/>
      <c r="E119" s="2" t="n"/>
      <c r="F119" s="2" t="n"/>
    </row>
    <row r="120" ht="15.75" customHeight="1" s="67">
      <c r="A120" s="2" t="n"/>
      <c r="B120" s="2" t="n"/>
      <c r="C120" s="2" t="n"/>
      <c r="D120" s="2" t="n"/>
      <c r="E120" s="2" t="n"/>
      <c r="F120" s="2" t="n"/>
    </row>
    <row r="121" ht="15.75" customHeight="1" s="67">
      <c r="A121" s="2" t="n"/>
      <c r="B121" s="2" t="n"/>
      <c r="C121" s="2" t="n"/>
      <c r="D121" s="2" t="n"/>
      <c r="E121" s="2" t="n"/>
      <c r="F121" s="2" t="n"/>
    </row>
    <row r="122" ht="15.75" customHeight="1" s="67">
      <c r="A122" s="2" t="n"/>
      <c r="B122" s="2" t="n"/>
      <c r="C122" s="2" t="n"/>
      <c r="D122" s="2" t="n"/>
      <c r="E122" s="2" t="n"/>
      <c r="F122" s="2" t="n"/>
    </row>
    <row r="123" ht="15.75" customHeight="1" s="67">
      <c r="A123" s="2" t="n"/>
      <c r="B123" s="2" t="n"/>
      <c r="C123" s="2" t="n"/>
      <c r="D123" s="2" t="n"/>
      <c r="E123" s="2" t="n"/>
      <c r="F123" s="2" t="n"/>
    </row>
    <row r="124" ht="15.75" customHeight="1" s="67">
      <c r="A124" s="2" t="n"/>
      <c r="B124" s="2" t="n"/>
      <c r="C124" s="2" t="n"/>
      <c r="D124" s="2" t="n"/>
      <c r="E124" s="2" t="n"/>
      <c r="F124" s="2" t="n"/>
    </row>
    <row r="125" ht="15.75" customHeight="1" s="67">
      <c r="A125" s="2" t="n"/>
      <c r="B125" s="2" t="n"/>
      <c r="C125" s="2" t="n"/>
      <c r="D125" s="2" t="n"/>
      <c r="E125" s="2" t="n"/>
      <c r="F125" s="2" t="n"/>
    </row>
    <row r="126" ht="15.75" customHeight="1" s="67">
      <c r="A126" s="2" t="n"/>
      <c r="B126" s="2" t="n"/>
      <c r="C126" s="2" t="n"/>
      <c r="D126" s="2" t="n"/>
      <c r="E126" s="2" t="n"/>
      <c r="F126" s="2" t="n"/>
    </row>
    <row r="127" ht="15.75" customHeight="1" s="67">
      <c r="A127" s="2" t="n"/>
      <c r="B127" s="2" t="n"/>
      <c r="C127" s="2" t="n"/>
      <c r="D127" s="2" t="n"/>
      <c r="E127" s="2" t="n"/>
      <c r="F127" s="2" t="n"/>
    </row>
    <row r="128" ht="15.75" customHeight="1" s="67">
      <c r="A128" s="2" t="n"/>
      <c r="B128" s="2" t="n"/>
      <c r="C128" s="2" t="n"/>
      <c r="D128" s="2" t="n"/>
      <c r="E128" s="2" t="n"/>
      <c r="F128" s="2" t="n"/>
    </row>
    <row r="129" ht="15.75" customHeight="1" s="67">
      <c r="A129" s="2" t="n"/>
      <c r="B129" s="2" t="n"/>
      <c r="C129" s="2" t="n"/>
      <c r="D129" s="2" t="n"/>
      <c r="E129" s="2" t="n"/>
      <c r="F129" s="2" t="n"/>
    </row>
    <row r="130" ht="15.75" customHeight="1" s="67">
      <c r="A130" s="2" t="n"/>
      <c r="B130" s="2" t="n"/>
      <c r="C130" s="2" t="n"/>
      <c r="D130" s="2" t="n"/>
      <c r="E130" s="2" t="n"/>
      <c r="F130" s="2" t="n"/>
    </row>
    <row r="131" ht="15.75" customHeight="1" s="67">
      <c r="A131" s="2" t="n"/>
      <c r="B131" s="2" t="n"/>
      <c r="C131" s="2" t="n"/>
      <c r="D131" s="2" t="n"/>
      <c r="E131" s="2" t="n"/>
      <c r="F131" s="2" t="n"/>
    </row>
    <row r="132" ht="15.75" customHeight="1" s="67">
      <c r="A132" s="2" t="n"/>
      <c r="B132" s="2" t="n"/>
      <c r="C132" s="2" t="n"/>
      <c r="D132" s="2" t="n"/>
      <c r="E132" s="2" t="n"/>
      <c r="F132" s="2" t="n"/>
    </row>
    <row r="133" ht="15.75" customHeight="1" s="67">
      <c r="A133" s="2" t="n"/>
      <c r="B133" s="2" t="n"/>
      <c r="C133" s="2" t="n"/>
      <c r="D133" s="2" t="n"/>
      <c r="E133" s="2" t="n"/>
      <c r="F133" s="2" t="n"/>
    </row>
    <row r="134" ht="15.75" customHeight="1" s="67">
      <c r="A134" s="2" t="n"/>
      <c r="B134" s="2" t="n"/>
      <c r="C134" s="2" t="n"/>
      <c r="D134" s="2" t="n"/>
      <c r="E134" s="2" t="n"/>
      <c r="F134" s="2" t="n"/>
    </row>
    <row r="135" ht="15.75" customHeight="1" s="67">
      <c r="A135" s="2" t="n"/>
      <c r="B135" s="2" t="n"/>
      <c r="C135" s="2" t="n"/>
      <c r="D135" s="2" t="n"/>
      <c r="E135" s="2" t="n"/>
      <c r="F135" s="2" t="n"/>
    </row>
    <row r="136" ht="15.75" customHeight="1" s="67">
      <c r="A136" s="2" t="n"/>
      <c r="B136" s="2" t="n"/>
      <c r="C136" s="2" t="n"/>
      <c r="D136" s="2" t="n"/>
      <c r="E136" s="2" t="n"/>
      <c r="F136" s="2" t="n"/>
    </row>
    <row r="137" ht="15.75" customHeight="1" s="67">
      <c r="A137" s="2" t="n"/>
      <c r="B137" s="2" t="n"/>
      <c r="C137" s="2" t="n"/>
      <c r="D137" s="2" t="n"/>
      <c r="E137" s="2" t="n"/>
      <c r="F137" s="2" t="n"/>
    </row>
    <row r="138" ht="15.75" customHeight="1" s="67">
      <c r="A138" s="2" t="n"/>
      <c r="B138" s="2" t="n"/>
      <c r="C138" s="2" t="n"/>
      <c r="D138" s="2" t="n"/>
      <c r="E138" s="2" t="n"/>
      <c r="F138" s="2" t="n"/>
    </row>
    <row r="139" ht="15.75" customHeight="1" s="67">
      <c r="A139" s="2" t="n"/>
      <c r="B139" s="2" t="n"/>
      <c r="C139" s="2" t="n"/>
      <c r="D139" s="2" t="n"/>
      <c r="E139" s="2" t="n"/>
      <c r="F139" s="2" t="n"/>
    </row>
    <row r="140" ht="15.75" customHeight="1" s="67">
      <c r="A140" s="2" t="n"/>
      <c r="B140" s="2" t="n"/>
      <c r="C140" s="2" t="n"/>
      <c r="D140" s="2" t="n"/>
      <c r="E140" s="2" t="n"/>
      <c r="F140" s="2" t="n"/>
    </row>
    <row r="141" ht="15.75" customHeight="1" s="67">
      <c r="A141" s="2" t="n"/>
      <c r="B141" s="2" t="n"/>
      <c r="C141" s="2" t="n"/>
      <c r="D141" s="2" t="n"/>
      <c r="E141" s="2" t="n"/>
      <c r="F141" s="2" t="n"/>
    </row>
    <row r="142" ht="15.75" customHeight="1" s="67">
      <c r="A142" s="2" t="n"/>
      <c r="B142" s="2" t="n"/>
      <c r="C142" s="2" t="n"/>
      <c r="D142" s="2" t="n"/>
      <c r="E142" s="2" t="n"/>
      <c r="F142" s="2" t="n"/>
    </row>
    <row r="143" ht="15.75" customHeight="1" s="67">
      <c r="A143" s="2" t="n"/>
      <c r="B143" s="2" t="n"/>
      <c r="C143" s="2" t="n"/>
      <c r="D143" s="2" t="n"/>
      <c r="E143" s="2" t="n"/>
      <c r="F143" s="2" t="n"/>
    </row>
    <row r="144" ht="15.75" customHeight="1" s="67">
      <c r="A144" s="2" t="n"/>
      <c r="B144" s="2" t="n"/>
      <c r="C144" s="2" t="n"/>
      <c r="D144" s="2" t="n"/>
      <c r="E144" s="2" t="n"/>
      <c r="F144" s="2" t="n"/>
    </row>
    <row r="145" ht="15.75" customHeight="1" s="67">
      <c r="A145" s="2" t="n"/>
      <c r="B145" s="2" t="n"/>
      <c r="C145" s="2" t="n"/>
      <c r="D145" s="2" t="n"/>
      <c r="E145" s="2" t="n"/>
      <c r="F145" s="2" t="n"/>
    </row>
    <row r="146" ht="15.75" customHeight="1" s="67">
      <c r="A146" s="2" t="n"/>
      <c r="B146" s="2" t="n"/>
      <c r="C146" s="2" t="n"/>
      <c r="D146" s="2" t="n"/>
      <c r="E146" s="2" t="n"/>
      <c r="F146" s="2" t="n"/>
    </row>
    <row r="147" ht="15.75" customHeight="1" s="67">
      <c r="A147" s="2" t="n"/>
      <c r="B147" s="2" t="n"/>
      <c r="C147" s="2" t="n"/>
      <c r="D147" s="2" t="n"/>
      <c r="E147" s="2" t="n"/>
      <c r="F147" s="2" t="n"/>
    </row>
    <row r="148" ht="15.75" customHeight="1" s="67">
      <c r="A148" s="2" t="n"/>
      <c r="B148" s="2" t="n"/>
      <c r="C148" s="2" t="n"/>
      <c r="D148" s="2" t="n"/>
      <c r="E148" s="2" t="n"/>
      <c r="F148" s="2" t="n"/>
    </row>
    <row r="149" ht="15.75" customHeight="1" s="67">
      <c r="A149" s="2" t="n"/>
      <c r="B149" s="2" t="n"/>
      <c r="C149" s="2" t="n"/>
      <c r="D149" s="2" t="n"/>
      <c r="E149" s="2" t="n"/>
      <c r="F149" s="2" t="n"/>
    </row>
    <row r="150" ht="15.75" customHeight="1" s="67">
      <c r="A150" s="2" t="n"/>
      <c r="B150" s="2" t="n"/>
      <c r="C150" s="2" t="n"/>
      <c r="D150" s="2" t="n"/>
      <c r="E150" s="2" t="n"/>
      <c r="F150" s="2" t="n"/>
    </row>
    <row r="151" ht="15.75" customHeight="1" s="67">
      <c r="A151" s="2" t="n"/>
      <c r="B151" s="2" t="n"/>
      <c r="C151" s="2" t="n"/>
      <c r="D151" s="2" t="n"/>
      <c r="E151" s="2" t="n"/>
      <c r="F151" s="2" t="n"/>
    </row>
    <row r="152" ht="15.75" customHeight="1" s="67">
      <c r="A152" s="2" t="n"/>
      <c r="B152" s="2" t="n"/>
      <c r="C152" s="2" t="n"/>
      <c r="D152" s="2" t="n"/>
      <c r="E152" s="2" t="n"/>
      <c r="F152" s="2" t="n"/>
    </row>
    <row r="153" ht="15.75" customHeight="1" s="67">
      <c r="A153" s="2" t="n"/>
      <c r="B153" s="2" t="n"/>
      <c r="C153" s="2" t="n"/>
      <c r="D153" s="2" t="n"/>
      <c r="E153" s="2" t="n"/>
      <c r="F153" s="2" t="n"/>
    </row>
    <row r="154" ht="15.75" customHeight="1" s="67">
      <c r="A154" s="2" t="n"/>
      <c r="B154" s="2" t="n"/>
      <c r="C154" s="2" t="n"/>
      <c r="D154" s="2" t="n"/>
      <c r="E154" s="2" t="n"/>
      <c r="F154" s="2" t="n"/>
    </row>
    <row r="155" ht="15.75" customHeight="1" s="67">
      <c r="A155" s="2" t="n"/>
      <c r="B155" s="2" t="n"/>
      <c r="C155" s="2" t="n"/>
      <c r="D155" s="2" t="n"/>
      <c r="E155" s="2" t="n"/>
      <c r="F155" s="2" t="n"/>
    </row>
    <row r="156" ht="15.75" customHeight="1" s="67">
      <c r="A156" s="2" t="n"/>
      <c r="B156" s="2" t="n"/>
      <c r="C156" s="2" t="n"/>
      <c r="D156" s="2" t="n"/>
      <c r="E156" s="2" t="n"/>
      <c r="F156" s="2" t="n"/>
    </row>
    <row r="157" ht="15.75" customHeight="1" s="67">
      <c r="A157" s="2" t="n"/>
      <c r="B157" s="2" t="n"/>
      <c r="C157" s="2" t="n"/>
      <c r="D157" s="2" t="n"/>
      <c r="E157" s="2" t="n"/>
      <c r="F157" s="2" t="n"/>
    </row>
    <row r="158" ht="15.75" customHeight="1" s="67">
      <c r="A158" s="2" t="n"/>
      <c r="B158" s="2" t="n"/>
      <c r="C158" s="2" t="n"/>
      <c r="D158" s="2" t="n"/>
      <c r="E158" s="2" t="n"/>
      <c r="F158" s="2" t="n"/>
    </row>
    <row r="159" ht="15.75" customHeight="1" s="67">
      <c r="A159" s="2" t="n"/>
      <c r="B159" s="2" t="n"/>
      <c r="C159" s="2" t="n"/>
      <c r="D159" s="2" t="n"/>
      <c r="E159" s="2" t="n"/>
      <c r="F159" s="2" t="n"/>
    </row>
    <row r="160" ht="15.75" customHeight="1" s="67">
      <c r="A160" s="2" t="n"/>
      <c r="B160" s="2" t="n"/>
      <c r="C160" s="2" t="n"/>
      <c r="D160" s="2" t="n"/>
      <c r="E160" s="2" t="n"/>
      <c r="F160" s="2" t="n"/>
    </row>
    <row r="161" ht="15.75" customHeight="1" s="67">
      <c r="A161" s="2" t="n"/>
      <c r="B161" s="2" t="n"/>
      <c r="C161" s="2" t="n"/>
      <c r="D161" s="2" t="n"/>
      <c r="E161" s="2" t="n"/>
      <c r="F161" s="2" t="n"/>
    </row>
    <row r="162" ht="15.75" customHeight="1" s="67">
      <c r="A162" s="2" t="n"/>
      <c r="B162" s="2" t="n"/>
      <c r="C162" s="2" t="n"/>
      <c r="D162" s="2" t="n"/>
      <c r="E162" s="2" t="n"/>
      <c r="F162" s="2" t="n"/>
    </row>
    <row r="163" ht="15.75" customHeight="1" s="67">
      <c r="A163" s="2" t="n"/>
      <c r="B163" s="2" t="n"/>
      <c r="C163" s="2" t="n"/>
      <c r="D163" s="2" t="n"/>
      <c r="E163" s="2" t="n"/>
      <c r="F163" s="2" t="n"/>
    </row>
    <row r="164" ht="15.75" customHeight="1" s="67">
      <c r="A164" s="2" t="n"/>
      <c r="B164" s="2" t="n"/>
      <c r="C164" s="2" t="n"/>
      <c r="D164" s="2" t="n"/>
      <c r="E164" s="2" t="n"/>
      <c r="F164" s="2" t="n"/>
    </row>
    <row r="165" ht="15.75" customHeight="1" s="67">
      <c r="A165" s="2" t="n"/>
      <c r="B165" s="2" t="n"/>
      <c r="C165" s="2" t="n"/>
      <c r="D165" s="2" t="n"/>
      <c r="E165" s="2" t="n"/>
      <c r="F165" s="2" t="n"/>
    </row>
    <row r="166" ht="15.75" customHeight="1" s="67">
      <c r="A166" s="2" t="n"/>
      <c r="B166" s="2" t="n"/>
      <c r="C166" s="2" t="n"/>
      <c r="D166" s="2" t="n"/>
      <c r="E166" s="2" t="n"/>
      <c r="F166" s="2" t="n"/>
    </row>
    <row r="167" ht="15.75" customHeight="1" s="67">
      <c r="A167" s="2" t="n"/>
      <c r="B167" s="2" t="n"/>
      <c r="C167" s="2" t="n"/>
      <c r="D167" s="2" t="n"/>
      <c r="E167" s="2" t="n"/>
      <c r="F167" s="2" t="n"/>
    </row>
    <row r="168" ht="15.75" customHeight="1" s="67">
      <c r="A168" s="2" t="n"/>
      <c r="B168" s="2" t="n"/>
      <c r="C168" s="2" t="n"/>
      <c r="D168" s="2" t="n"/>
      <c r="E168" s="2" t="n"/>
      <c r="F168" s="2" t="n"/>
    </row>
    <row r="169" ht="15.75" customHeight="1" s="67">
      <c r="A169" s="2" t="n"/>
      <c r="B169" s="2" t="n"/>
      <c r="C169" s="2" t="n"/>
      <c r="D169" s="2" t="n"/>
      <c r="E169" s="2" t="n"/>
      <c r="F169" s="2" t="n"/>
    </row>
    <row r="170" ht="15.75" customHeight="1" s="67">
      <c r="A170" s="2" t="n"/>
      <c r="B170" s="2" t="n"/>
      <c r="C170" s="2" t="n"/>
      <c r="D170" s="2" t="n"/>
      <c r="E170" s="2" t="n"/>
      <c r="F170" s="2" t="n"/>
    </row>
    <row r="171" ht="15.75" customHeight="1" s="67">
      <c r="A171" s="2" t="n"/>
      <c r="B171" s="2" t="n"/>
      <c r="C171" s="2" t="n"/>
      <c r="D171" s="2" t="n"/>
      <c r="E171" s="2" t="n"/>
      <c r="F171" s="2" t="n"/>
    </row>
    <row r="172" ht="15.75" customHeight="1" s="67">
      <c r="A172" s="2" t="n"/>
      <c r="B172" s="2" t="n"/>
      <c r="C172" s="2" t="n"/>
      <c r="D172" s="2" t="n"/>
      <c r="E172" s="2" t="n"/>
      <c r="F172" s="2" t="n"/>
    </row>
    <row r="173" ht="15.75" customHeight="1" s="67">
      <c r="A173" s="2" t="n"/>
      <c r="B173" s="2" t="n"/>
      <c r="C173" s="2" t="n"/>
      <c r="D173" s="2" t="n"/>
      <c r="E173" s="2" t="n"/>
      <c r="F173" s="2" t="n"/>
    </row>
    <row r="174" ht="15.75" customHeight="1" s="67">
      <c r="A174" s="2" t="n"/>
      <c r="B174" s="2" t="n"/>
      <c r="C174" s="2" t="n"/>
      <c r="D174" s="2" t="n"/>
      <c r="E174" s="2" t="n"/>
      <c r="F174" s="2" t="n"/>
    </row>
    <row r="175" ht="15.75" customHeight="1" s="67">
      <c r="A175" s="2" t="n"/>
      <c r="B175" s="2" t="n"/>
      <c r="C175" s="2" t="n"/>
      <c r="D175" s="2" t="n"/>
      <c r="E175" s="2" t="n"/>
      <c r="F175" s="2" t="n"/>
    </row>
    <row r="176" ht="15.75" customHeight="1" s="67">
      <c r="A176" s="2" t="n"/>
      <c r="B176" s="2" t="n"/>
      <c r="C176" s="2" t="n"/>
      <c r="D176" s="2" t="n"/>
      <c r="E176" s="2" t="n"/>
      <c r="F176" s="2" t="n"/>
    </row>
    <row r="177" ht="15.75" customHeight="1" s="67">
      <c r="A177" s="2" t="n"/>
      <c r="B177" s="2" t="n"/>
      <c r="C177" s="2" t="n"/>
      <c r="D177" s="2" t="n"/>
      <c r="E177" s="2" t="n"/>
      <c r="F177" s="2" t="n"/>
    </row>
    <row r="178" ht="15.75" customHeight="1" s="67">
      <c r="A178" s="2" t="n"/>
      <c r="B178" s="2" t="n"/>
      <c r="C178" s="2" t="n"/>
      <c r="D178" s="2" t="n"/>
      <c r="E178" s="2" t="n"/>
      <c r="F178" s="2" t="n"/>
    </row>
    <row r="179" ht="15.75" customHeight="1" s="67">
      <c r="A179" s="2" t="n"/>
      <c r="B179" s="2" t="n"/>
      <c r="C179" s="2" t="n"/>
      <c r="D179" s="2" t="n"/>
      <c r="E179" s="2" t="n"/>
      <c r="F179" s="2" t="n"/>
    </row>
    <row r="180" ht="15.75" customHeight="1" s="67">
      <c r="A180" s="2" t="n"/>
      <c r="B180" s="2" t="n"/>
      <c r="C180" s="2" t="n"/>
      <c r="D180" s="2" t="n"/>
      <c r="E180" s="2" t="n"/>
      <c r="F180" s="2" t="n"/>
    </row>
    <row r="181" ht="15.75" customHeight="1" s="67">
      <c r="A181" s="2" t="n"/>
      <c r="B181" s="2" t="n"/>
      <c r="C181" s="2" t="n"/>
      <c r="D181" s="2" t="n"/>
      <c r="E181" s="2" t="n"/>
      <c r="F181" s="2" t="n"/>
    </row>
    <row r="182" ht="15.75" customHeight="1" s="67">
      <c r="A182" s="2" t="n"/>
      <c r="B182" s="2" t="n"/>
      <c r="C182" s="2" t="n"/>
      <c r="D182" s="2" t="n"/>
      <c r="E182" s="2" t="n"/>
      <c r="F182" s="2" t="n"/>
    </row>
    <row r="183" ht="15.75" customHeight="1" s="67">
      <c r="A183" s="2" t="n"/>
      <c r="B183" s="2" t="n"/>
      <c r="C183" s="2" t="n"/>
      <c r="D183" s="2" t="n"/>
      <c r="E183" s="2" t="n"/>
      <c r="F183" s="2" t="n"/>
    </row>
    <row r="184" ht="15.75" customHeight="1" s="67">
      <c r="A184" s="2" t="n"/>
      <c r="B184" s="2" t="n"/>
      <c r="C184" s="2" t="n"/>
      <c r="D184" s="2" t="n"/>
      <c r="E184" s="2" t="n"/>
      <c r="F184" s="2" t="n"/>
    </row>
    <row r="185" ht="15.75" customHeight="1" s="67">
      <c r="A185" s="2" t="n"/>
      <c r="B185" s="2" t="n"/>
      <c r="C185" s="2" t="n"/>
      <c r="D185" s="2" t="n"/>
      <c r="E185" s="2" t="n"/>
      <c r="F185" s="2" t="n"/>
    </row>
    <row r="186" ht="15.75" customHeight="1" s="67">
      <c r="A186" s="2" t="n"/>
      <c r="B186" s="2" t="n"/>
      <c r="C186" s="2" t="n"/>
      <c r="D186" s="2" t="n"/>
      <c r="E186" s="2" t="n"/>
      <c r="F186" s="2" t="n"/>
    </row>
    <row r="187" ht="15.75" customHeight="1" s="67">
      <c r="A187" s="2" t="n"/>
      <c r="B187" s="2" t="n"/>
      <c r="C187" s="2" t="n"/>
      <c r="D187" s="2" t="n"/>
      <c r="E187" s="2" t="n"/>
      <c r="F187" s="2" t="n"/>
    </row>
    <row r="188" ht="15.75" customHeight="1" s="67">
      <c r="A188" s="2" t="n"/>
      <c r="B188" s="2" t="n"/>
      <c r="C188" s="2" t="n"/>
      <c r="D188" s="2" t="n"/>
      <c r="E188" s="2" t="n"/>
      <c r="F188" s="2" t="n"/>
    </row>
    <row r="189" ht="15.75" customHeight="1" s="67">
      <c r="A189" s="2" t="n"/>
      <c r="B189" s="2" t="n"/>
      <c r="C189" s="2" t="n"/>
      <c r="D189" s="2" t="n"/>
      <c r="E189" s="2" t="n"/>
      <c r="F189" s="2" t="n"/>
    </row>
    <row r="190" ht="15.75" customHeight="1" s="67">
      <c r="A190" s="2" t="n"/>
      <c r="B190" s="2" t="n"/>
      <c r="C190" s="2" t="n"/>
      <c r="D190" s="2" t="n"/>
      <c r="E190" s="2" t="n"/>
      <c r="F190" s="2" t="n"/>
    </row>
    <row r="191" ht="15.75" customHeight="1" s="67">
      <c r="A191" s="2" t="n"/>
      <c r="B191" s="2" t="n"/>
      <c r="C191" s="2" t="n"/>
      <c r="D191" s="2" t="n"/>
      <c r="E191" s="2" t="n"/>
      <c r="F191" s="2" t="n"/>
    </row>
    <row r="192" ht="15.75" customHeight="1" s="67">
      <c r="A192" s="2" t="n"/>
      <c r="B192" s="2" t="n"/>
      <c r="C192" s="2" t="n"/>
      <c r="D192" s="2" t="n"/>
      <c r="E192" s="2" t="n"/>
      <c r="F192" s="2" t="n"/>
    </row>
    <row r="193" ht="15.75" customHeight="1" s="67">
      <c r="A193" s="2" t="n"/>
      <c r="B193" s="2" t="n"/>
      <c r="C193" s="2" t="n"/>
      <c r="D193" s="2" t="n"/>
      <c r="E193" s="2" t="n"/>
      <c r="F193" s="2" t="n"/>
    </row>
    <row r="194" ht="15.75" customHeight="1" s="67">
      <c r="A194" s="2" t="n"/>
      <c r="B194" s="2" t="n"/>
      <c r="C194" s="2" t="n"/>
      <c r="D194" s="2" t="n"/>
      <c r="E194" s="2" t="n"/>
      <c r="F194" s="2" t="n"/>
    </row>
    <row r="195" ht="15.75" customHeight="1" s="67">
      <c r="A195" s="2" t="n"/>
      <c r="B195" s="2" t="n"/>
      <c r="C195" s="2" t="n"/>
      <c r="D195" s="2" t="n"/>
      <c r="E195" s="2" t="n"/>
      <c r="F195" s="2" t="n"/>
    </row>
    <row r="196" ht="15.75" customHeight="1" s="67">
      <c r="A196" s="2" t="n"/>
      <c r="B196" s="2" t="n"/>
      <c r="C196" s="2" t="n"/>
      <c r="D196" s="2" t="n"/>
      <c r="E196" s="2" t="n"/>
      <c r="F196" s="2" t="n"/>
    </row>
    <row r="197" ht="15.75" customHeight="1" s="67">
      <c r="A197" s="2" t="n"/>
      <c r="B197" s="2" t="n"/>
      <c r="C197" s="2" t="n"/>
      <c r="D197" s="2" t="n"/>
      <c r="E197" s="2" t="n"/>
      <c r="F197" s="2" t="n"/>
    </row>
    <row r="198" ht="15.75" customHeight="1" s="67">
      <c r="A198" s="2" t="n"/>
      <c r="B198" s="2" t="n"/>
      <c r="C198" s="2" t="n"/>
      <c r="D198" s="2" t="n"/>
      <c r="E198" s="2" t="n"/>
      <c r="F198" s="2" t="n"/>
    </row>
    <row r="199" ht="15.75" customHeight="1" s="67">
      <c r="A199" s="2" t="n"/>
      <c r="B199" s="2" t="n"/>
      <c r="C199" s="2" t="n"/>
      <c r="D199" s="2" t="n"/>
      <c r="E199" s="2" t="n"/>
      <c r="F199" s="2" t="n"/>
    </row>
    <row r="200" ht="15.75" customHeight="1" s="67">
      <c r="A200" s="2" t="n"/>
      <c r="B200" s="2" t="n"/>
      <c r="C200" s="2" t="n"/>
      <c r="D200" s="2" t="n"/>
      <c r="E200" s="2" t="n"/>
      <c r="F200" s="2" t="n"/>
    </row>
    <row r="201" ht="15.75" customHeight="1" s="67">
      <c r="A201" s="2" t="n"/>
      <c r="B201" s="2" t="n"/>
      <c r="C201" s="2" t="n"/>
      <c r="D201" s="2" t="n"/>
      <c r="E201" s="2" t="n"/>
      <c r="F201" s="2" t="n"/>
    </row>
    <row r="202" ht="15.75" customHeight="1" s="67">
      <c r="A202" s="2" t="n"/>
      <c r="B202" s="2" t="n"/>
      <c r="C202" s="2" t="n"/>
      <c r="D202" s="2" t="n"/>
      <c r="E202" s="2" t="n"/>
      <c r="F202" s="2" t="n"/>
    </row>
    <row r="203" ht="15.75" customHeight="1" s="67">
      <c r="A203" s="2" t="n"/>
      <c r="B203" s="2" t="n"/>
      <c r="C203" s="2" t="n"/>
      <c r="D203" s="2" t="n"/>
      <c r="E203" s="2" t="n"/>
      <c r="F203" s="2" t="n"/>
    </row>
    <row r="204" ht="15.75" customHeight="1" s="67">
      <c r="A204" s="2" t="n"/>
      <c r="B204" s="2" t="n"/>
      <c r="C204" s="2" t="n"/>
      <c r="D204" s="2" t="n"/>
      <c r="E204" s="2" t="n"/>
      <c r="F204" s="2" t="n"/>
    </row>
    <row r="205" ht="15.75" customHeight="1" s="67">
      <c r="A205" s="2" t="n"/>
      <c r="B205" s="2" t="n"/>
      <c r="C205" s="2" t="n"/>
      <c r="D205" s="2" t="n"/>
      <c r="E205" s="2" t="n"/>
      <c r="F205" s="2" t="n"/>
    </row>
    <row r="206" ht="15.75" customHeight="1" s="67">
      <c r="A206" s="2" t="n"/>
      <c r="B206" s="2" t="n"/>
      <c r="C206" s="2" t="n"/>
      <c r="D206" s="2" t="n"/>
      <c r="E206" s="2" t="n"/>
      <c r="F206" s="2" t="n"/>
    </row>
    <row r="207" ht="15.75" customHeight="1" s="67">
      <c r="A207" s="2" t="n"/>
      <c r="B207" s="2" t="n"/>
      <c r="C207" s="2" t="n"/>
      <c r="D207" s="2" t="n"/>
      <c r="E207" s="2" t="n"/>
      <c r="F207" s="2" t="n"/>
    </row>
    <row r="208" ht="15.75" customHeight="1" s="67">
      <c r="A208" s="2" t="n"/>
      <c r="B208" s="2" t="n"/>
      <c r="C208" s="2" t="n"/>
      <c r="D208" s="2" t="n"/>
      <c r="E208" s="2" t="n"/>
      <c r="F208" s="2" t="n"/>
    </row>
    <row r="209" ht="15.75" customHeight="1" s="67">
      <c r="A209" s="2" t="n"/>
      <c r="B209" s="2" t="n"/>
      <c r="C209" s="2" t="n"/>
      <c r="D209" s="2" t="n"/>
      <c r="E209" s="2" t="n"/>
      <c r="F209" s="2" t="n"/>
    </row>
    <row r="210" ht="15.75" customHeight="1" s="67">
      <c r="A210" s="2" t="n"/>
      <c r="B210" s="2" t="n"/>
      <c r="C210" s="2" t="n"/>
      <c r="D210" s="2" t="n"/>
      <c r="E210" s="2" t="n"/>
      <c r="F210" s="2" t="n"/>
    </row>
    <row r="211" ht="15.75" customHeight="1" s="67">
      <c r="A211" s="2" t="n"/>
      <c r="B211" s="2" t="n"/>
      <c r="C211" s="2" t="n"/>
      <c r="D211" s="2" t="n"/>
      <c r="E211" s="2" t="n"/>
      <c r="F211" s="2" t="n"/>
    </row>
    <row r="212" ht="15.75" customHeight="1" s="67">
      <c r="A212" s="2" t="n"/>
      <c r="B212" s="2" t="n"/>
      <c r="C212" s="2" t="n"/>
      <c r="D212" s="2" t="n"/>
      <c r="E212" s="2" t="n"/>
      <c r="F212" s="2" t="n"/>
    </row>
    <row r="213" ht="15.75" customHeight="1" s="67">
      <c r="A213" s="2" t="n"/>
      <c r="B213" s="2" t="n"/>
      <c r="C213" s="2" t="n"/>
      <c r="D213" s="2" t="n"/>
      <c r="E213" s="2" t="n"/>
      <c r="F213" s="2" t="n"/>
    </row>
    <row r="214" ht="15.75" customHeight="1" s="67">
      <c r="A214" s="2" t="n"/>
      <c r="B214" s="2" t="n"/>
      <c r="C214" s="2" t="n"/>
      <c r="D214" s="2" t="n"/>
      <c r="E214" s="2" t="n"/>
      <c r="F214" s="2" t="n"/>
    </row>
    <row r="215" ht="15.75" customHeight="1" s="67">
      <c r="A215" s="2" t="n"/>
      <c r="B215" s="2" t="n"/>
      <c r="C215" s="2" t="n"/>
      <c r="D215" s="2" t="n"/>
      <c r="E215" s="2" t="n"/>
      <c r="F215" s="2" t="n"/>
    </row>
    <row r="216" ht="15.75" customHeight="1" s="67">
      <c r="A216" s="2" t="n"/>
      <c r="B216" s="2" t="n"/>
      <c r="C216" s="2" t="n"/>
      <c r="D216" s="2" t="n"/>
      <c r="E216" s="2" t="n"/>
      <c r="F216" s="2" t="n"/>
    </row>
    <row r="217" ht="15.75" customHeight="1" s="67">
      <c r="A217" s="2" t="n"/>
      <c r="B217" s="2" t="n"/>
      <c r="C217" s="2" t="n"/>
      <c r="D217" s="2" t="n"/>
      <c r="E217" s="2" t="n"/>
      <c r="F217" s="2" t="n"/>
    </row>
    <row r="218" ht="15.75" customHeight="1" s="67">
      <c r="A218" s="2" t="n"/>
      <c r="B218" s="2" t="n"/>
      <c r="C218" s="2" t="n"/>
      <c r="D218" s="2" t="n"/>
      <c r="E218" s="2" t="n"/>
      <c r="F218" s="2" t="n"/>
    </row>
    <row r="219" ht="15.75" customHeight="1" s="67">
      <c r="A219" s="2" t="n"/>
      <c r="B219" s="2" t="n"/>
      <c r="C219" s="2" t="n"/>
      <c r="D219" s="2" t="n"/>
      <c r="E219" s="2" t="n"/>
      <c r="F219" s="2" t="n"/>
    </row>
    <row r="220" ht="15.75" customHeight="1" s="67">
      <c r="A220" s="2" t="n"/>
      <c r="B220" s="2" t="n"/>
      <c r="C220" s="2" t="n"/>
      <c r="D220" s="2" t="n"/>
      <c r="E220" s="2" t="n"/>
      <c r="F220" s="2" t="n"/>
    </row>
    <row r="221" ht="15.75" customHeight="1" s="67">
      <c r="A221" s="2" t="n"/>
      <c r="B221" s="2" t="n"/>
      <c r="C221" s="2" t="n"/>
      <c r="D221" s="2" t="n"/>
      <c r="E221" s="2" t="n"/>
      <c r="F221" s="2" t="n"/>
    </row>
    <row r="222" ht="15.75" customHeight="1" s="67">
      <c r="A222" s="2" t="n"/>
      <c r="B222" s="2" t="n"/>
      <c r="C222" s="2" t="n"/>
      <c r="D222" s="2" t="n"/>
      <c r="E222" s="2" t="n"/>
      <c r="F222" s="2" t="n"/>
    </row>
    <row r="223" ht="15.75" customHeight="1" s="67">
      <c r="A223" s="2" t="n"/>
      <c r="B223" s="2" t="n"/>
      <c r="C223" s="2" t="n"/>
      <c r="D223" s="2" t="n"/>
      <c r="E223" s="2" t="n"/>
      <c r="F223" s="2" t="n"/>
    </row>
    <row r="224" ht="15.75" customHeight="1" s="67">
      <c r="A224" s="2" t="n"/>
      <c r="B224" s="2" t="n"/>
      <c r="C224" s="2" t="n"/>
      <c r="D224" s="2" t="n"/>
      <c r="E224" s="2" t="n"/>
      <c r="F224" s="2" t="n"/>
    </row>
    <row r="225" ht="15.75" customHeight="1" s="67">
      <c r="A225" s="2" t="n"/>
      <c r="B225" s="2" t="n"/>
      <c r="C225" s="2" t="n"/>
      <c r="D225" s="2" t="n"/>
      <c r="E225" s="2" t="n"/>
      <c r="F225" s="2" t="n"/>
    </row>
    <row r="226" ht="15.75" customHeight="1" s="67">
      <c r="A226" s="2" t="n"/>
      <c r="B226" s="2" t="n"/>
      <c r="C226" s="2" t="n"/>
      <c r="D226" s="2" t="n"/>
      <c r="E226" s="2" t="n"/>
      <c r="F226" s="2" t="n"/>
    </row>
    <row r="227" ht="15.75" customHeight="1" s="67">
      <c r="A227" s="2" t="n"/>
      <c r="B227" s="2" t="n"/>
      <c r="C227" s="2" t="n"/>
      <c r="D227" s="2" t="n"/>
      <c r="E227" s="2" t="n"/>
      <c r="F227" s="2" t="n"/>
    </row>
    <row r="228" ht="15.75" customHeight="1" s="67">
      <c r="A228" s="2" t="n"/>
      <c r="B228" s="2" t="n"/>
      <c r="C228" s="2" t="n"/>
      <c r="D228" s="2" t="n"/>
      <c r="E228" s="2" t="n"/>
      <c r="F228" s="2" t="n"/>
    </row>
    <row r="229" ht="15.75" customHeight="1" s="67">
      <c r="A229" s="2" t="n"/>
      <c r="B229" s="2" t="n"/>
      <c r="C229" s="2" t="n"/>
      <c r="D229" s="2" t="n"/>
      <c r="E229" s="2" t="n"/>
      <c r="F229" s="2" t="n"/>
    </row>
    <row r="230" ht="15.75" customHeight="1" s="67">
      <c r="A230" s="2" t="n"/>
      <c r="B230" s="2" t="n"/>
      <c r="C230" s="2" t="n"/>
      <c r="D230" s="2" t="n"/>
      <c r="E230" s="2" t="n"/>
      <c r="F230" s="2" t="n"/>
    </row>
    <row r="231" ht="15.75" customHeight="1" s="67">
      <c r="A231" s="2" t="n"/>
      <c r="B231" s="2" t="n"/>
      <c r="C231" s="2" t="n"/>
      <c r="D231" s="2" t="n"/>
      <c r="E231" s="2" t="n"/>
      <c r="F231" s="2" t="n"/>
    </row>
    <row r="232" ht="15.75" customHeight="1" s="67">
      <c r="A232" s="2" t="n"/>
      <c r="B232" s="2" t="n"/>
      <c r="C232" s="2" t="n"/>
      <c r="D232" s="2" t="n"/>
      <c r="E232" s="2" t="n"/>
      <c r="F232" s="2" t="n"/>
    </row>
    <row r="233" ht="15.75" customHeight="1" s="67">
      <c r="A233" s="2" t="n"/>
      <c r="B233" s="2" t="n"/>
      <c r="C233" s="2" t="n"/>
      <c r="D233" s="2" t="n"/>
      <c r="E233" s="2" t="n"/>
      <c r="F233" s="2" t="n"/>
    </row>
    <row r="234" ht="15.75" customHeight="1" s="67">
      <c r="A234" s="2" t="n"/>
      <c r="B234" s="2" t="n"/>
      <c r="C234" s="2" t="n"/>
      <c r="D234" s="2" t="n"/>
      <c r="E234" s="2" t="n"/>
      <c r="F234" s="2" t="n"/>
    </row>
    <row r="235" ht="15.75" customHeight="1" s="67">
      <c r="A235" s="2" t="n"/>
      <c r="B235" s="2" t="n"/>
      <c r="C235" s="2" t="n"/>
      <c r="D235" s="2" t="n"/>
      <c r="E235" s="2" t="n"/>
      <c r="F235" s="2" t="n"/>
    </row>
    <row r="236" ht="15.75" customHeight="1" s="67">
      <c r="A236" s="2" t="n"/>
      <c r="B236" s="2" t="n"/>
      <c r="C236" s="2" t="n"/>
      <c r="D236" s="2" t="n"/>
      <c r="E236" s="2" t="n"/>
      <c r="F236" s="2" t="n"/>
    </row>
    <row r="237" ht="15.75" customHeight="1" s="67">
      <c r="A237" s="2" t="n"/>
      <c r="B237" s="2" t="n"/>
      <c r="C237" s="2" t="n"/>
      <c r="D237" s="2" t="n"/>
      <c r="E237" s="2" t="n"/>
      <c r="F237" s="2" t="n"/>
    </row>
    <row r="238" ht="15.75" customHeight="1" s="67">
      <c r="A238" s="2" t="n"/>
      <c r="B238" s="2" t="n"/>
      <c r="C238" s="2" t="n"/>
      <c r="D238" s="2" t="n"/>
      <c r="E238" s="2" t="n"/>
      <c r="F238" s="2" t="n"/>
    </row>
    <row r="239" ht="15.75" customHeight="1" s="67">
      <c r="A239" s="2" t="n"/>
      <c r="B239" s="2" t="n"/>
      <c r="C239" s="2" t="n"/>
      <c r="D239" s="2" t="n"/>
      <c r="E239" s="2" t="n"/>
      <c r="F239" s="2" t="n"/>
    </row>
    <row r="240" ht="15.75" customHeight="1" s="67">
      <c r="A240" s="2" t="n"/>
      <c r="B240" s="2" t="n"/>
      <c r="C240" s="2" t="n"/>
      <c r="D240" s="2" t="n"/>
      <c r="E240" s="2" t="n"/>
      <c r="F240" s="2" t="n"/>
    </row>
    <row r="241" ht="15.75" customHeight="1" s="67">
      <c r="A241" s="2" t="n"/>
      <c r="B241" s="2" t="n"/>
      <c r="C241" s="2" t="n"/>
      <c r="D241" s="2" t="n"/>
      <c r="E241" s="2" t="n"/>
      <c r="F241" s="2" t="n"/>
    </row>
    <row r="242" ht="15.75" customHeight="1" s="67">
      <c r="A242" s="2" t="n"/>
      <c r="B242" s="2" t="n"/>
      <c r="C242" s="2" t="n"/>
      <c r="D242" s="2" t="n"/>
      <c r="E242" s="2" t="n"/>
      <c r="F242" s="2" t="n"/>
    </row>
    <row r="243" ht="15.75" customHeight="1" s="67">
      <c r="A243" s="2" t="n"/>
      <c r="B243" s="2" t="n"/>
      <c r="C243" s="2" t="n"/>
      <c r="D243" s="2" t="n"/>
      <c r="E243" s="2" t="n"/>
      <c r="F243" s="2" t="n"/>
    </row>
    <row r="244" ht="15.75" customHeight="1" s="67">
      <c r="A244" s="2" t="n"/>
      <c r="B244" s="2" t="n"/>
      <c r="C244" s="2" t="n"/>
      <c r="D244" s="2" t="n"/>
      <c r="E244" s="2" t="n"/>
      <c r="F244" s="2" t="n"/>
    </row>
    <row r="245" ht="15.75" customHeight="1" s="67">
      <c r="A245" s="2" t="n"/>
      <c r="B245" s="2" t="n"/>
      <c r="C245" s="2" t="n"/>
      <c r="D245" s="2" t="n"/>
      <c r="E245" s="2" t="n"/>
      <c r="F245" s="2" t="n"/>
    </row>
    <row r="246" ht="15.75" customHeight="1" s="67">
      <c r="A246" s="2" t="n"/>
      <c r="B246" s="2" t="n"/>
      <c r="C246" s="2" t="n"/>
      <c r="D246" s="2" t="n"/>
      <c r="E246" s="2" t="n"/>
      <c r="F246" s="2" t="n"/>
    </row>
    <row r="247" ht="15.75" customHeight="1" s="67">
      <c r="A247" s="2" t="n"/>
      <c r="B247" s="2" t="n"/>
      <c r="C247" s="2" t="n"/>
      <c r="D247" s="2" t="n"/>
      <c r="E247" s="2" t="n"/>
      <c r="F247" s="2" t="n"/>
    </row>
    <row r="248" ht="15.75" customHeight="1" s="67">
      <c r="A248" s="2" t="n"/>
      <c r="B248" s="2" t="n"/>
      <c r="C248" s="2" t="n"/>
      <c r="D248" s="2" t="n"/>
      <c r="E248" s="2" t="n"/>
      <c r="F248" s="2" t="n"/>
    </row>
    <row r="249" ht="15.75" customHeight="1" s="67">
      <c r="A249" s="2" t="n"/>
      <c r="B249" s="2" t="n"/>
      <c r="C249" s="2" t="n"/>
      <c r="D249" s="2" t="n"/>
      <c r="E249" s="2" t="n"/>
      <c r="F249" s="2" t="n"/>
    </row>
    <row r="250" ht="15.75" customHeight="1" s="67">
      <c r="A250" s="2" t="n"/>
      <c r="B250" s="2" t="n"/>
      <c r="C250" s="2" t="n"/>
      <c r="D250" s="2" t="n"/>
      <c r="E250" s="2" t="n"/>
      <c r="F250" s="2" t="n"/>
    </row>
    <row r="251" ht="15.75" customHeight="1" s="67">
      <c r="A251" s="2" t="n"/>
      <c r="B251" s="2" t="n"/>
      <c r="C251" s="2" t="n"/>
      <c r="D251" s="2" t="n"/>
      <c r="E251" s="2" t="n"/>
      <c r="F251" s="2" t="n"/>
    </row>
    <row r="252" ht="15.75" customHeight="1" s="67">
      <c r="A252" s="2" t="n"/>
      <c r="B252" s="2" t="n"/>
      <c r="C252" s="2" t="n"/>
      <c r="D252" s="2" t="n"/>
      <c r="E252" s="2" t="n"/>
      <c r="F252" s="2" t="n"/>
    </row>
    <row r="253" ht="15.75" customHeight="1" s="67">
      <c r="A253" s="2" t="n"/>
      <c r="B253" s="2" t="n"/>
      <c r="C253" s="2" t="n"/>
      <c r="D253" s="2" t="n"/>
      <c r="E253" s="2" t="n"/>
      <c r="F253" s="2" t="n"/>
    </row>
    <row r="254" ht="15.75" customHeight="1" s="67">
      <c r="A254" s="2" t="n"/>
      <c r="B254" s="2" t="n"/>
      <c r="C254" s="2" t="n"/>
      <c r="D254" s="2" t="n"/>
      <c r="E254" s="2" t="n"/>
      <c r="F254" s="2" t="n"/>
    </row>
    <row r="255" ht="15.75" customHeight="1" s="67">
      <c r="A255" s="2" t="n"/>
      <c r="B255" s="2" t="n"/>
      <c r="C255" s="2" t="n"/>
      <c r="D255" s="2" t="n"/>
      <c r="E255" s="2" t="n"/>
      <c r="F255" s="2" t="n"/>
    </row>
    <row r="256" ht="15.75" customHeight="1" s="67">
      <c r="A256" s="2" t="n"/>
      <c r="B256" s="2" t="n"/>
      <c r="C256" s="2" t="n"/>
      <c r="D256" s="2" t="n"/>
      <c r="E256" s="2" t="n"/>
      <c r="F256" s="2" t="n"/>
    </row>
    <row r="257" ht="15.75" customHeight="1" s="67">
      <c r="A257" s="2" t="n"/>
      <c r="B257" s="2" t="n"/>
      <c r="C257" s="2" t="n"/>
      <c r="D257" s="2" t="n"/>
      <c r="E257" s="2" t="n"/>
      <c r="F257" s="2" t="n"/>
    </row>
    <row r="258" ht="15.75" customHeight="1" s="67">
      <c r="A258" s="2" t="n"/>
      <c r="B258" s="2" t="n"/>
      <c r="C258" s="2" t="n"/>
      <c r="D258" s="2" t="n"/>
      <c r="E258" s="2" t="n"/>
      <c r="F258" s="2" t="n"/>
    </row>
    <row r="259" ht="15.75" customHeight="1" s="67">
      <c r="A259" s="2" t="n"/>
      <c r="B259" s="2" t="n"/>
      <c r="C259" s="2" t="n"/>
      <c r="D259" s="2" t="n"/>
      <c r="E259" s="2" t="n"/>
      <c r="F259" s="2" t="n"/>
    </row>
    <row r="260" ht="15.75" customHeight="1" s="67">
      <c r="A260" s="2" t="n"/>
      <c r="B260" s="2" t="n"/>
      <c r="C260" s="2" t="n"/>
      <c r="D260" s="2" t="n"/>
      <c r="E260" s="2" t="n"/>
      <c r="F260" s="2" t="n"/>
    </row>
    <row r="261" ht="15.75" customHeight="1" s="67">
      <c r="A261" s="2" t="n"/>
      <c r="B261" s="2" t="n"/>
      <c r="C261" s="2" t="n"/>
      <c r="D261" s="2" t="n"/>
      <c r="E261" s="2" t="n"/>
      <c r="F261" s="2" t="n"/>
    </row>
    <row r="262" ht="15.75" customHeight="1" s="67">
      <c r="A262" s="2" t="n"/>
      <c r="B262" s="2" t="n"/>
      <c r="C262" s="2" t="n"/>
      <c r="D262" s="2" t="n"/>
      <c r="E262" s="2" t="n"/>
      <c r="F262" s="2" t="n"/>
    </row>
    <row r="263" ht="15.75" customHeight="1" s="67">
      <c r="A263" s="2" t="n"/>
      <c r="B263" s="2" t="n"/>
      <c r="C263" s="2" t="n"/>
      <c r="D263" s="2" t="n"/>
      <c r="E263" s="2" t="n"/>
      <c r="F263" s="2" t="n"/>
    </row>
    <row r="264" ht="15.75" customHeight="1" s="67">
      <c r="A264" s="2" t="n"/>
      <c r="B264" s="2" t="n"/>
      <c r="C264" s="2" t="n"/>
      <c r="D264" s="2" t="n"/>
      <c r="E264" s="2" t="n"/>
      <c r="F264" s="2" t="n"/>
    </row>
    <row r="265" ht="15.75" customHeight="1" s="67">
      <c r="A265" s="2" t="n"/>
      <c r="B265" s="2" t="n"/>
      <c r="C265" s="2" t="n"/>
      <c r="D265" s="2" t="n"/>
      <c r="E265" s="2" t="n"/>
      <c r="F265" s="2" t="n"/>
    </row>
    <row r="266" ht="15.75" customHeight="1" s="67">
      <c r="A266" s="2" t="n"/>
      <c r="B266" s="2" t="n"/>
      <c r="C266" s="2" t="n"/>
      <c r="D266" s="2" t="n"/>
      <c r="E266" s="2" t="n"/>
      <c r="F266" s="2" t="n"/>
    </row>
    <row r="267" ht="15.75" customHeight="1" s="67">
      <c r="A267" s="2" t="n"/>
      <c r="B267" s="2" t="n"/>
      <c r="C267" s="2" t="n"/>
      <c r="D267" s="2" t="n"/>
      <c r="E267" s="2" t="n"/>
      <c r="F267" s="2" t="n"/>
    </row>
    <row r="268" ht="15.75" customHeight="1" s="67">
      <c r="A268" s="2" t="n"/>
      <c r="B268" s="2" t="n"/>
      <c r="C268" s="2" t="n"/>
      <c r="D268" s="2" t="n"/>
      <c r="E268" s="2" t="n"/>
      <c r="F268" s="2" t="n"/>
    </row>
    <row r="269" ht="15.75" customHeight="1" s="67">
      <c r="A269" s="2" t="n"/>
      <c r="B269" s="2" t="n"/>
      <c r="C269" s="2" t="n"/>
      <c r="D269" s="2" t="n"/>
      <c r="E269" s="2" t="n"/>
      <c r="F269" s="2" t="n"/>
    </row>
    <row r="270" ht="15.75" customHeight="1" s="67">
      <c r="A270" s="2" t="n"/>
      <c r="B270" s="2" t="n"/>
      <c r="C270" s="2" t="n"/>
      <c r="D270" s="2" t="n"/>
      <c r="E270" s="2" t="n"/>
      <c r="F270" s="2" t="n"/>
    </row>
    <row r="271" ht="15.75" customHeight="1" s="67">
      <c r="A271" s="2" t="n"/>
      <c r="B271" s="2" t="n"/>
      <c r="C271" s="2" t="n"/>
      <c r="D271" s="2" t="n"/>
      <c r="E271" s="2" t="n"/>
      <c r="F271" s="2" t="n"/>
    </row>
    <row r="272" ht="15.75" customHeight="1" s="67">
      <c r="A272" s="2" t="n"/>
      <c r="B272" s="2" t="n"/>
      <c r="C272" s="2" t="n"/>
      <c r="D272" s="2" t="n"/>
      <c r="E272" s="2" t="n"/>
      <c r="F272" s="2" t="n"/>
    </row>
    <row r="273" ht="15.75" customHeight="1" s="67">
      <c r="A273" s="2" t="n"/>
      <c r="B273" s="2" t="n"/>
      <c r="C273" s="2" t="n"/>
      <c r="D273" s="2" t="n"/>
      <c r="E273" s="2" t="n"/>
      <c r="F273" s="2" t="n"/>
    </row>
    <row r="274" ht="15.75" customHeight="1" s="67">
      <c r="A274" s="2" t="n"/>
      <c r="B274" s="2" t="n"/>
      <c r="C274" s="2" t="n"/>
      <c r="D274" s="2" t="n"/>
      <c r="E274" s="2" t="n"/>
      <c r="F274" s="2" t="n"/>
    </row>
    <row r="275" ht="15.75" customHeight="1" s="67">
      <c r="A275" s="2" t="n"/>
      <c r="B275" s="2" t="n"/>
      <c r="C275" s="2" t="n"/>
      <c r="D275" s="2" t="n"/>
      <c r="E275" s="2" t="n"/>
      <c r="F275" s="2" t="n"/>
    </row>
    <row r="276" ht="15.75" customHeight="1" s="67">
      <c r="A276" s="2" t="n"/>
      <c r="B276" s="2" t="n"/>
      <c r="C276" s="2" t="n"/>
      <c r="D276" s="2" t="n"/>
      <c r="E276" s="2" t="n"/>
      <c r="F276" s="2" t="n"/>
    </row>
    <row r="277" ht="15.75" customHeight="1" s="67">
      <c r="A277" s="2" t="n"/>
      <c r="B277" s="2" t="n"/>
      <c r="C277" s="2" t="n"/>
      <c r="D277" s="2" t="n"/>
      <c r="E277" s="2" t="n"/>
      <c r="F277" s="2" t="n"/>
    </row>
    <row r="278" ht="15.75" customHeight="1" s="67">
      <c r="A278" s="2" t="n"/>
      <c r="B278" s="2" t="n"/>
      <c r="C278" s="2" t="n"/>
      <c r="D278" s="2" t="n"/>
      <c r="E278" s="2" t="n"/>
      <c r="F278" s="2" t="n"/>
    </row>
    <row r="279" ht="15.75" customHeight="1" s="67">
      <c r="A279" s="2" t="n"/>
      <c r="B279" s="2" t="n"/>
      <c r="C279" s="2" t="n"/>
      <c r="D279" s="2" t="n"/>
      <c r="E279" s="2" t="n"/>
      <c r="F279" s="2" t="n"/>
    </row>
    <row r="280" ht="15.75" customHeight="1" s="67">
      <c r="A280" s="2" t="n"/>
      <c r="B280" s="2" t="n"/>
      <c r="C280" s="2" t="n"/>
      <c r="D280" s="2" t="n"/>
      <c r="E280" s="2" t="n"/>
      <c r="F280" s="2" t="n"/>
    </row>
    <row r="281" ht="15.75" customHeight="1" s="67">
      <c r="A281" s="2" t="n"/>
      <c r="B281" s="2" t="n"/>
      <c r="C281" s="2" t="n"/>
      <c r="D281" s="2" t="n"/>
      <c r="E281" s="2" t="n"/>
      <c r="F281" s="2" t="n"/>
    </row>
    <row r="282" ht="15.75" customHeight="1" s="67">
      <c r="A282" s="2" t="n"/>
      <c r="B282" s="2" t="n"/>
      <c r="C282" s="2" t="n"/>
      <c r="D282" s="2" t="n"/>
      <c r="E282" s="2" t="n"/>
      <c r="F282" s="2" t="n"/>
    </row>
    <row r="283" ht="15.75" customHeight="1" s="67">
      <c r="A283" s="2" t="n"/>
      <c r="B283" s="2" t="n"/>
      <c r="C283" s="2" t="n"/>
      <c r="D283" s="2" t="n"/>
      <c r="E283" s="2" t="n"/>
      <c r="F283" s="2" t="n"/>
    </row>
    <row r="284" ht="15.75" customHeight="1" s="67">
      <c r="A284" s="2" t="n"/>
      <c r="B284" s="2" t="n"/>
      <c r="C284" s="2" t="n"/>
      <c r="D284" s="2" t="n"/>
      <c r="E284" s="2" t="n"/>
      <c r="F284" s="2" t="n"/>
    </row>
    <row r="285" ht="15.75" customHeight="1" s="67">
      <c r="A285" s="2" t="n"/>
      <c r="B285" s="2" t="n"/>
      <c r="C285" s="2" t="n"/>
      <c r="D285" s="2" t="n"/>
      <c r="E285" s="2" t="n"/>
      <c r="F285" s="2" t="n"/>
    </row>
    <row r="286" ht="15.75" customHeight="1" s="67">
      <c r="A286" s="2" t="n"/>
      <c r="B286" s="2" t="n"/>
      <c r="C286" s="2" t="n"/>
      <c r="D286" s="2" t="n"/>
      <c r="E286" s="2" t="n"/>
      <c r="F286" s="2" t="n"/>
    </row>
    <row r="287" ht="15.75" customHeight="1" s="67">
      <c r="A287" s="2" t="n"/>
      <c r="B287" s="2" t="n"/>
      <c r="C287" s="2" t="n"/>
      <c r="D287" s="2" t="n"/>
      <c r="E287" s="2" t="n"/>
      <c r="F287" s="2" t="n"/>
    </row>
    <row r="288" ht="15.75" customHeight="1" s="67">
      <c r="A288" s="2" t="n"/>
      <c r="B288" s="2" t="n"/>
      <c r="C288" s="2" t="n"/>
      <c r="D288" s="2" t="n"/>
      <c r="E288" s="2" t="n"/>
      <c r="F288" s="2" t="n"/>
    </row>
    <row r="289" ht="15.75" customHeight="1" s="67">
      <c r="A289" s="2" t="n"/>
      <c r="B289" s="2" t="n"/>
      <c r="C289" s="2" t="n"/>
      <c r="D289" s="2" t="n"/>
      <c r="E289" s="2" t="n"/>
      <c r="F289" s="2" t="n"/>
    </row>
    <row r="290" ht="15.75" customHeight="1" s="67">
      <c r="A290" s="2" t="n"/>
      <c r="B290" s="2" t="n"/>
      <c r="C290" s="2" t="n"/>
      <c r="D290" s="2" t="n"/>
      <c r="E290" s="2" t="n"/>
      <c r="F290" s="2" t="n"/>
    </row>
    <row r="291" ht="15.75" customHeight="1" s="67">
      <c r="A291" s="2" t="n"/>
      <c r="B291" s="2" t="n"/>
      <c r="C291" s="2" t="n"/>
      <c r="D291" s="2" t="n"/>
      <c r="E291" s="2" t="n"/>
      <c r="F291" s="2" t="n"/>
    </row>
    <row r="292" ht="15.75" customHeight="1" s="67">
      <c r="A292" s="2" t="n"/>
      <c r="B292" s="2" t="n"/>
      <c r="C292" s="2" t="n"/>
      <c r="D292" s="2" t="n"/>
      <c r="E292" s="2" t="n"/>
      <c r="F292" s="2" t="n"/>
    </row>
    <row r="293" ht="15.75" customHeight="1" s="67">
      <c r="A293" s="2" t="n"/>
      <c r="B293" s="2" t="n"/>
      <c r="C293" s="2" t="n"/>
      <c r="D293" s="2" t="n"/>
      <c r="E293" s="2" t="n"/>
      <c r="F293" s="2" t="n"/>
    </row>
    <row r="294" ht="15.75" customHeight="1" s="67">
      <c r="A294" s="2" t="n"/>
      <c r="B294" s="2" t="n"/>
      <c r="C294" s="2" t="n"/>
      <c r="D294" s="2" t="n"/>
      <c r="E294" s="2" t="n"/>
      <c r="F294" s="2" t="n"/>
    </row>
    <row r="295" ht="15.75" customHeight="1" s="67">
      <c r="A295" s="2" t="n"/>
      <c r="B295" s="2" t="n"/>
      <c r="C295" s="2" t="n"/>
      <c r="D295" s="2" t="n"/>
      <c r="E295" s="2" t="n"/>
      <c r="F295" s="2" t="n"/>
    </row>
    <row r="296" ht="15.75" customHeight="1" s="67">
      <c r="A296" s="2" t="n"/>
      <c r="B296" s="2" t="n"/>
      <c r="C296" s="2" t="n"/>
      <c r="D296" s="2" t="n"/>
      <c r="E296" s="2" t="n"/>
      <c r="F296" s="2" t="n"/>
    </row>
    <row r="297" ht="15.75" customHeight="1" s="67">
      <c r="A297" s="2" t="n"/>
      <c r="B297" s="2" t="n"/>
      <c r="C297" s="2" t="n"/>
      <c r="D297" s="2" t="n"/>
      <c r="E297" s="2" t="n"/>
      <c r="F297" s="2" t="n"/>
    </row>
    <row r="298" ht="15.75" customHeight="1" s="67">
      <c r="A298" s="2" t="n"/>
      <c r="B298" s="2" t="n"/>
      <c r="C298" s="2" t="n"/>
      <c r="D298" s="2" t="n"/>
      <c r="E298" s="2" t="n"/>
      <c r="F298" s="2" t="n"/>
    </row>
    <row r="299" ht="15.75" customHeight="1" s="67">
      <c r="A299" s="2" t="n"/>
      <c r="B299" s="2" t="n"/>
      <c r="C299" s="2" t="n"/>
      <c r="D299" s="2" t="n"/>
      <c r="E299" s="2" t="n"/>
      <c r="F299" s="2" t="n"/>
    </row>
    <row r="300" ht="15.75" customHeight="1" s="67">
      <c r="A300" s="2" t="n"/>
      <c r="B300" s="2" t="n"/>
      <c r="C300" s="2" t="n"/>
      <c r="D300" s="2" t="n"/>
      <c r="E300" s="2" t="n"/>
      <c r="F300" s="2" t="n"/>
    </row>
    <row r="301" ht="15.75" customHeight="1" s="67">
      <c r="A301" s="2" t="n"/>
      <c r="B301" s="2" t="n"/>
      <c r="C301" s="2" t="n"/>
      <c r="D301" s="2" t="n"/>
      <c r="E301" s="2" t="n"/>
      <c r="F301" s="2" t="n"/>
    </row>
    <row r="302" ht="15.75" customHeight="1" s="67">
      <c r="A302" s="2" t="n"/>
      <c r="B302" s="2" t="n"/>
      <c r="C302" s="2" t="n"/>
      <c r="D302" s="2" t="n"/>
      <c r="E302" s="2" t="n"/>
      <c r="F302" s="2" t="n"/>
    </row>
    <row r="303" ht="15.75" customHeight="1" s="67">
      <c r="A303" s="2" t="n"/>
      <c r="B303" s="2" t="n"/>
      <c r="C303" s="2" t="n"/>
      <c r="D303" s="2" t="n"/>
      <c r="E303" s="2" t="n"/>
      <c r="F303" s="2" t="n"/>
    </row>
    <row r="304" ht="15.75" customHeight="1" s="67">
      <c r="A304" s="2" t="n"/>
      <c r="B304" s="2" t="n"/>
      <c r="C304" s="2" t="n"/>
      <c r="D304" s="2" t="n"/>
      <c r="E304" s="2" t="n"/>
      <c r="F304" s="2" t="n"/>
    </row>
    <row r="305" ht="15.75" customHeight="1" s="67">
      <c r="A305" s="2" t="n"/>
      <c r="B305" s="2" t="n"/>
      <c r="C305" s="2" t="n"/>
      <c r="D305" s="2" t="n"/>
      <c r="E305" s="2" t="n"/>
      <c r="F305" s="2" t="n"/>
    </row>
    <row r="306" ht="15.75" customHeight="1" s="67">
      <c r="A306" s="2" t="n"/>
      <c r="B306" s="2" t="n"/>
      <c r="C306" s="2" t="n"/>
      <c r="D306" s="2" t="n"/>
      <c r="E306" s="2" t="n"/>
      <c r="F306" s="2" t="n"/>
    </row>
    <row r="307" ht="15.75" customHeight="1" s="67">
      <c r="A307" s="2" t="n"/>
      <c r="B307" s="2" t="n"/>
      <c r="C307" s="2" t="n"/>
      <c r="D307" s="2" t="n"/>
      <c r="E307" s="2" t="n"/>
      <c r="F307" s="2" t="n"/>
    </row>
    <row r="308" ht="15.75" customHeight="1" s="67">
      <c r="A308" s="2" t="n"/>
      <c r="B308" s="2" t="n"/>
      <c r="C308" s="2" t="n"/>
      <c r="D308" s="2" t="n"/>
      <c r="E308" s="2" t="n"/>
      <c r="F308" s="2" t="n"/>
    </row>
    <row r="309" ht="15.75" customHeight="1" s="67">
      <c r="A309" s="2" t="n"/>
      <c r="B309" s="2" t="n"/>
      <c r="C309" s="2" t="n"/>
      <c r="D309" s="2" t="n"/>
      <c r="E309" s="2" t="n"/>
      <c r="F309" s="2" t="n"/>
    </row>
    <row r="310" ht="15.75" customHeight="1" s="67">
      <c r="A310" s="2" t="n"/>
      <c r="B310" s="2" t="n"/>
      <c r="C310" s="2" t="n"/>
      <c r="D310" s="2" t="n"/>
      <c r="E310" s="2" t="n"/>
      <c r="F310" s="2" t="n"/>
    </row>
    <row r="311" ht="15.75" customHeight="1" s="67">
      <c r="A311" s="2" t="n"/>
      <c r="B311" s="2" t="n"/>
      <c r="C311" s="2" t="n"/>
      <c r="D311" s="2" t="n"/>
      <c r="E311" s="2" t="n"/>
      <c r="F311" s="2" t="n"/>
    </row>
    <row r="312" ht="15.75" customHeight="1" s="67">
      <c r="A312" s="2" t="n"/>
      <c r="B312" s="2" t="n"/>
      <c r="C312" s="2" t="n"/>
      <c r="D312" s="2" t="n"/>
      <c r="E312" s="2" t="n"/>
      <c r="F312" s="2" t="n"/>
    </row>
    <row r="313" ht="15.75" customHeight="1" s="67">
      <c r="A313" s="2" t="n"/>
      <c r="B313" s="2" t="n"/>
      <c r="C313" s="2" t="n"/>
      <c r="D313" s="2" t="n"/>
      <c r="E313" s="2" t="n"/>
      <c r="F313" s="2" t="n"/>
    </row>
    <row r="314" ht="15.75" customHeight="1" s="67">
      <c r="A314" s="2" t="n"/>
      <c r="B314" s="2" t="n"/>
      <c r="C314" s="2" t="n"/>
      <c r="D314" s="2" t="n"/>
      <c r="E314" s="2" t="n"/>
      <c r="F314" s="2" t="n"/>
    </row>
    <row r="315" ht="15.75" customHeight="1" s="67">
      <c r="A315" s="2" t="n"/>
      <c r="B315" s="2" t="n"/>
      <c r="C315" s="2" t="n"/>
      <c r="D315" s="2" t="n"/>
      <c r="E315" s="2" t="n"/>
      <c r="F315" s="2" t="n"/>
    </row>
    <row r="316" ht="15.75" customHeight="1" s="67">
      <c r="A316" s="2" t="n"/>
      <c r="B316" s="2" t="n"/>
      <c r="C316" s="2" t="n"/>
      <c r="D316" s="2" t="n"/>
      <c r="E316" s="2" t="n"/>
      <c r="F316" s="2" t="n"/>
    </row>
    <row r="317" ht="15.75" customHeight="1" s="67">
      <c r="A317" s="2" t="n"/>
      <c r="B317" s="2" t="n"/>
      <c r="C317" s="2" t="n"/>
      <c r="D317" s="2" t="n"/>
      <c r="E317" s="2" t="n"/>
      <c r="F317" s="2" t="n"/>
    </row>
    <row r="318" ht="15.75" customHeight="1" s="67">
      <c r="A318" s="2" t="n"/>
      <c r="B318" s="2" t="n"/>
      <c r="C318" s="2" t="n"/>
      <c r="D318" s="2" t="n"/>
      <c r="E318" s="2" t="n"/>
      <c r="F318" s="2" t="n"/>
    </row>
    <row r="319" ht="15.75" customHeight="1" s="67">
      <c r="A319" s="2" t="n"/>
      <c r="B319" s="2" t="n"/>
      <c r="C319" s="2" t="n"/>
      <c r="D319" s="2" t="n"/>
      <c r="E319" s="2" t="n"/>
      <c r="F319" s="2" t="n"/>
    </row>
    <row r="320" ht="15.75" customHeight="1" s="67">
      <c r="A320" s="2" t="n"/>
      <c r="B320" s="2" t="n"/>
      <c r="C320" s="2" t="n"/>
      <c r="D320" s="2" t="n"/>
      <c r="E320" s="2" t="n"/>
      <c r="F320" s="2" t="n"/>
    </row>
    <row r="321" ht="15.75" customHeight="1" s="67">
      <c r="A321" s="2" t="n"/>
      <c r="B321" s="2" t="n"/>
      <c r="C321" s="2" t="n"/>
      <c r="D321" s="2" t="n"/>
      <c r="E321" s="2" t="n"/>
      <c r="F321" s="2" t="n"/>
    </row>
    <row r="322" ht="15.75" customHeight="1" s="67">
      <c r="A322" s="2" t="n"/>
      <c r="B322" s="2" t="n"/>
      <c r="C322" s="2" t="n"/>
      <c r="D322" s="2" t="n"/>
      <c r="E322" s="2" t="n"/>
      <c r="F322" s="2" t="n"/>
    </row>
    <row r="323" ht="15.75" customHeight="1" s="67">
      <c r="A323" s="2" t="n"/>
      <c r="B323" s="2" t="n"/>
      <c r="C323" s="2" t="n"/>
      <c r="D323" s="2" t="n"/>
      <c r="E323" s="2" t="n"/>
      <c r="F323" s="2" t="n"/>
    </row>
    <row r="324" ht="15.75" customHeight="1" s="67">
      <c r="A324" s="2" t="n"/>
      <c r="B324" s="2" t="n"/>
      <c r="C324" s="2" t="n"/>
      <c r="D324" s="2" t="n"/>
      <c r="E324" s="2" t="n"/>
      <c r="F324" s="2" t="n"/>
    </row>
    <row r="325" ht="15.75" customHeight="1" s="67">
      <c r="A325" s="2" t="n"/>
      <c r="B325" s="2" t="n"/>
      <c r="C325" s="2" t="n"/>
      <c r="D325" s="2" t="n"/>
      <c r="E325" s="2" t="n"/>
      <c r="F325" s="2" t="n"/>
    </row>
    <row r="326" ht="15.75" customHeight="1" s="67">
      <c r="A326" s="2" t="n"/>
      <c r="B326" s="2" t="n"/>
      <c r="C326" s="2" t="n"/>
      <c r="D326" s="2" t="n"/>
      <c r="E326" s="2" t="n"/>
      <c r="F326" s="2" t="n"/>
    </row>
    <row r="327" ht="15.75" customHeight="1" s="67">
      <c r="A327" s="2" t="n"/>
      <c r="B327" s="2" t="n"/>
      <c r="C327" s="2" t="n"/>
      <c r="D327" s="2" t="n"/>
      <c r="E327" s="2" t="n"/>
      <c r="F327" s="2" t="n"/>
    </row>
    <row r="328" ht="15.75" customHeight="1" s="67">
      <c r="A328" s="2" t="n"/>
      <c r="B328" s="2" t="n"/>
      <c r="C328" s="2" t="n"/>
      <c r="D328" s="2" t="n"/>
      <c r="E328" s="2" t="n"/>
      <c r="F328" s="2" t="n"/>
    </row>
    <row r="329" ht="15.75" customHeight="1" s="67">
      <c r="A329" s="2" t="n"/>
      <c r="B329" s="2" t="n"/>
      <c r="C329" s="2" t="n"/>
      <c r="D329" s="2" t="n"/>
      <c r="E329" s="2" t="n"/>
      <c r="F329" s="2" t="n"/>
    </row>
    <row r="330" ht="15.75" customHeight="1" s="67">
      <c r="A330" s="2" t="n"/>
      <c r="B330" s="2" t="n"/>
      <c r="C330" s="2" t="n"/>
      <c r="D330" s="2" t="n"/>
      <c r="E330" s="2" t="n"/>
      <c r="F330" s="2" t="n"/>
    </row>
    <row r="331" ht="15.75" customHeight="1" s="67">
      <c r="A331" s="2" t="n"/>
      <c r="B331" s="2" t="n"/>
      <c r="C331" s="2" t="n"/>
      <c r="D331" s="2" t="n"/>
      <c r="E331" s="2" t="n"/>
      <c r="F331" s="2" t="n"/>
    </row>
    <row r="332" ht="15.75" customHeight="1" s="67">
      <c r="A332" s="2" t="n"/>
      <c r="B332" s="2" t="n"/>
      <c r="C332" s="2" t="n"/>
      <c r="D332" s="2" t="n"/>
      <c r="E332" s="2" t="n"/>
      <c r="F332" s="2" t="n"/>
    </row>
    <row r="333" ht="15.75" customHeight="1" s="67">
      <c r="A333" s="2" t="n"/>
      <c r="B333" s="2" t="n"/>
      <c r="C333" s="2" t="n"/>
      <c r="D333" s="2" t="n"/>
      <c r="E333" s="2" t="n"/>
      <c r="F333" s="2" t="n"/>
    </row>
    <row r="334" ht="15.75" customHeight="1" s="67">
      <c r="A334" s="2" t="n"/>
      <c r="B334" s="2" t="n"/>
      <c r="C334" s="2" t="n"/>
      <c r="D334" s="2" t="n"/>
      <c r="E334" s="2" t="n"/>
      <c r="F334" s="2" t="n"/>
    </row>
    <row r="335" ht="15.75" customHeight="1" s="67">
      <c r="A335" s="2" t="n"/>
      <c r="B335" s="2" t="n"/>
      <c r="C335" s="2" t="n"/>
      <c r="D335" s="2" t="n"/>
      <c r="E335" s="2" t="n"/>
      <c r="F335" s="2" t="n"/>
    </row>
    <row r="336" ht="15.75" customHeight="1" s="67">
      <c r="A336" s="2" t="n"/>
      <c r="B336" s="2" t="n"/>
      <c r="C336" s="2" t="n"/>
      <c r="D336" s="2" t="n"/>
      <c r="E336" s="2" t="n"/>
      <c r="F336" s="2" t="n"/>
    </row>
    <row r="337" ht="15.75" customHeight="1" s="67">
      <c r="A337" s="2" t="n"/>
      <c r="B337" s="2" t="n"/>
      <c r="C337" s="2" t="n"/>
      <c r="D337" s="2" t="n"/>
      <c r="E337" s="2" t="n"/>
      <c r="F337" s="2" t="n"/>
    </row>
    <row r="338" ht="15.75" customHeight="1" s="67">
      <c r="A338" s="2" t="n"/>
      <c r="B338" s="2" t="n"/>
      <c r="C338" s="2" t="n"/>
      <c r="D338" s="2" t="n"/>
      <c r="E338" s="2" t="n"/>
      <c r="F338" s="2" t="n"/>
    </row>
    <row r="339" ht="15.75" customHeight="1" s="67">
      <c r="A339" s="2" t="n"/>
      <c r="B339" s="2" t="n"/>
      <c r="C339" s="2" t="n"/>
      <c r="D339" s="2" t="n"/>
      <c r="E339" s="2" t="n"/>
      <c r="F339" s="2" t="n"/>
    </row>
    <row r="340" ht="15.75" customHeight="1" s="67">
      <c r="A340" s="2" t="n"/>
      <c r="B340" s="2" t="n"/>
      <c r="C340" s="2" t="n"/>
      <c r="D340" s="2" t="n"/>
      <c r="E340" s="2" t="n"/>
      <c r="F340" s="2" t="n"/>
    </row>
    <row r="341" ht="15.75" customHeight="1" s="67">
      <c r="A341" s="2" t="n"/>
      <c r="B341" s="2" t="n"/>
      <c r="C341" s="2" t="n"/>
      <c r="D341" s="2" t="n"/>
      <c r="E341" s="2" t="n"/>
      <c r="F341" s="2" t="n"/>
    </row>
    <row r="342" ht="15.75" customHeight="1" s="67">
      <c r="A342" s="2" t="n"/>
      <c r="B342" s="2" t="n"/>
      <c r="C342" s="2" t="n"/>
      <c r="D342" s="2" t="n"/>
      <c r="E342" s="2" t="n"/>
      <c r="F342" s="2" t="n"/>
    </row>
    <row r="343" ht="15.75" customHeight="1" s="67">
      <c r="A343" s="2" t="n"/>
      <c r="B343" s="2" t="n"/>
      <c r="C343" s="2" t="n"/>
      <c r="D343" s="2" t="n"/>
      <c r="E343" s="2" t="n"/>
      <c r="F343" s="2" t="n"/>
    </row>
    <row r="344" ht="15.75" customHeight="1" s="67">
      <c r="A344" s="2" t="n"/>
      <c r="B344" s="2" t="n"/>
      <c r="C344" s="2" t="n"/>
      <c r="D344" s="2" t="n"/>
      <c r="E344" s="2" t="n"/>
      <c r="F344" s="2" t="n"/>
    </row>
    <row r="345" ht="15.75" customHeight="1" s="67">
      <c r="A345" s="2" t="n"/>
      <c r="B345" s="2" t="n"/>
      <c r="C345" s="2" t="n"/>
      <c r="D345" s="2" t="n"/>
      <c r="E345" s="2" t="n"/>
      <c r="F345" s="2" t="n"/>
    </row>
    <row r="346" ht="15.75" customHeight="1" s="67">
      <c r="A346" s="2" t="n"/>
      <c r="B346" s="2" t="n"/>
      <c r="C346" s="2" t="n"/>
      <c r="D346" s="2" t="n"/>
      <c r="E346" s="2" t="n"/>
      <c r="F346" s="2" t="n"/>
    </row>
    <row r="347" ht="15.75" customHeight="1" s="67">
      <c r="A347" s="2" t="n"/>
      <c r="B347" s="2" t="n"/>
      <c r="C347" s="2" t="n"/>
      <c r="D347" s="2" t="n"/>
      <c r="E347" s="2" t="n"/>
      <c r="F347" s="2" t="n"/>
    </row>
    <row r="348" ht="15.75" customHeight="1" s="67">
      <c r="A348" s="2" t="n"/>
      <c r="B348" s="2" t="n"/>
      <c r="C348" s="2" t="n"/>
      <c r="D348" s="2" t="n"/>
      <c r="E348" s="2" t="n"/>
      <c r="F348" s="2" t="n"/>
    </row>
    <row r="349" ht="15.75" customHeight="1" s="67">
      <c r="A349" s="2" t="n"/>
      <c r="B349" s="2" t="n"/>
      <c r="C349" s="2" t="n"/>
      <c r="D349" s="2" t="n"/>
      <c r="E349" s="2" t="n"/>
      <c r="F349" s="2" t="n"/>
    </row>
    <row r="350" ht="15.75" customHeight="1" s="67">
      <c r="A350" s="2" t="n"/>
      <c r="B350" s="2" t="n"/>
      <c r="C350" s="2" t="n"/>
      <c r="D350" s="2" t="n"/>
      <c r="E350" s="2" t="n"/>
      <c r="F350" s="2" t="n"/>
    </row>
    <row r="351" ht="15.75" customHeight="1" s="67">
      <c r="A351" s="2" t="n"/>
      <c r="B351" s="2" t="n"/>
      <c r="C351" s="2" t="n"/>
      <c r="D351" s="2" t="n"/>
      <c r="E351" s="2" t="n"/>
      <c r="F351" s="2" t="n"/>
    </row>
    <row r="352" ht="15.75" customHeight="1" s="67">
      <c r="A352" s="2" t="n"/>
      <c r="B352" s="2" t="n"/>
      <c r="C352" s="2" t="n"/>
      <c r="D352" s="2" t="n"/>
      <c r="E352" s="2" t="n"/>
      <c r="F352" s="2" t="n"/>
    </row>
    <row r="353" ht="15.75" customHeight="1" s="67">
      <c r="A353" s="2" t="n"/>
      <c r="B353" s="2" t="n"/>
      <c r="C353" s="2" t="n"/>
      <c r="D353" s="2" t="n"/>
      <c r="E353" s="2" t="n"/>
      <c r="F353" s="2" t="n"/>
    </row>
    <row r="354" ht="15.75" customHeight="1" s="67">
      <c r="A354" s="2" t="n"/>
      <c r="B354" s="2" t="n"/>
      <c r="C354" s="2" t="n"/>
      <c r="D354" s="2" t="n"/>
      <c r="E354" s="2" t="n"/>
      <c r="F354" s="2" t="n"/>
    </row>
    <row r="355" ht="15.75" customHeight="1" s="67">
      <c r="A355" s="2" t="n"/>
      <c r="B355" s="2" t="n"/>
      <c r="C355" s="2" t="n"/>
      <c r="D355" s="2" t="n"/>
      <c r="E355" s="2" t="n"/>
      <c r="F355" s="2" t="n"/>
    </row>
    <row r="356" ht="15.75" customHeight="1" s="67">
      <c r="A356" s="2" t="n"/>
      <c r="B356" s="2" t="n"/>
      <c r="C356" s="2" t="n"/>
      <c r="D356" s="2" t="n"/>
      <c r="E356" s="2" t="n"/>
      <c r="F356" s="2" t="n"/>
    </row>
    <row r="357" ht="15.75" customHeight="1" s="67">
      <c r="A357" s="2" t="n"/>
      <c r="B357" s="2" t="n"/>
      <c r="C357" s="2" t="n"/>
      <c r="D357" s="2" t="n"/>
      <c r="E357" s="2" t="n"/>
      <c r="F357" s="2" t="n"/>
    </row>
    <row r="358" ht="15.75" customHeight="1" s="67">
      <c r="A358" s="2" t="n"/>
      <c r="B358" s="2" t="n"/>
      <c r="C358" s="2" t="n"/>
      <c r="D358" s="2" t="n"/>
      <c r="E358" s="2" t="n"/>
      <c r="F358" s="2" t="n"/>
    </row>
    <row r="359" ht="15.75" customHeight="1" s="67">
      <c r="A359" s="2" t="n"/>
      <c r="B359" s="2" t="n"/>
      <c r="C359" s="2" t="n"/>
      <c r="D359" s="2" t="n"/>
      <c r="E359" s="2" t="n"/>
      <c r="F359" s="2" t="n"/>
    </row>
    <row r="360" ht="15.75" customHeight="1" s="67">
      <c r="A360" s="2" t="n"/>
      <c r="B360" s="2" t="n"/>
      <c r="C360" s="2" t="n"/>
      <c r="D360" s="2" t="n"/>
      <c r="E360" s="2" t="n"/>
      <c r="F360" s="2" t="n"/>
    </row>
    <row r="361" ht="15.75" customHeight="1" s="67">
      <c r="A361" s="2" t="n"/>
      <c r="B361" s="2" t="n"/>
      <c r="C361" s="2" t="n"/>
      <c r="D361" s="2" t="n"/>
      <c r="E361" s="2" t="n"/>
      <c r="F361" s="2" t="n"/>
    </row>
    <row r="362" ht="15.75" customHeight="1" s="67">
      <c r="A362" s="2" t="n"/>
      <c r="B362" s="2" t="n"/>
      <c r="C362" s="2" t="n"/>
      <c r="D362" s="2" t="n"/>
      <c r="E362" s="2" t="n"/>
      <c r="F362" s="2" t="n"/>
    </row>
    <row r="363" ht="15.75" customHeight="1" s="67">
      <c r="A363" s="2" t="n"/>
      <c r="B363" s="2" t="n"/>
      <c r="C363" s="2" t="n"/>
      <c r="D363" s="2" t="n"/>
      <c r="E363" s="2" t="n"/>
      <c r="F363" s="2" t="n"/>
    </row>
    <row r="364" ht="15.75" customHeight="1" s="67">
      <c r="A364" s="2" t="n"/>
      <c r="B364" s="2" t="n"/>
      <c r="C364" s="2" t="n"/>
      <c r="D364" s="2" t="n"/>
      <c r="E364" s="2" t="n"/>
      <c r="F364" s="2" t="n"/>
    </row>
    <row r="365" ht="15.75" customHeight="1" s="67">
      <c r="A365" s="2" t="n"/>
      <c r="B365" s="2" t="n"/>
      <c r="C365" s="2" t="n"/>
      <c r="D365" s="2" t="n"/>
      <c r="E365" s="2" t="n"/>
      <c r="F365" s="2" t="n"/>
    </row>
    <row r="366" ht="15.75" customHeight="1" s="67">
      <c r="A366" s="2" t="n"/>
      <c r="B366" s="2" t="n"/>
      <c r="C366" s="2" t="n"/>
      <c r="D366" s="2" t="n"/>
      <c r="E366" s="2" t="n"/>
      <c r="F366" s="2" t="n"/>
    </row>
    <row r="367" ht="15.75" customHeight="1" s="67">
      <c r="A367" s="2" t="n"/>
      <c r="B367" s="2" t="n"/>
      <c r="C367" s="2" t="n"/>
      <c r="D367" s="2" t="n"/>
      <c r="E367" s="2" t="n"/>
      <c r="F367" s="2" t="n"/>
    </row>
    <row r="368" ht="15.75" customHeight="1" s="67">
      <c r="A368" s="2" t="n"/>
      <c r="B368" s="2" t="n"/>
      <c r="C368" s="2" t="n"/>
      <c r="D368" s="2" t="n"/>
      <c r="E368" s="2" t="n"/>
      <c r="F368" s="2" t="n"/>
    </row>
    <row r="369" ht="15.75" customHeight="1" s="67">
      <c r="A369" s="2" t="n"/>
      <c r="B369" s="2" t="n"/>
      <c r="C369" s="2" t="n"/>
      <c r="D369" s="2" t="n"/>
      <c r="E369" s="2" t="n"/>
      <c r="F369" s="2" t="n"/>
    </row>
    <row r="370" ht="15.75" customHeight="1" s="67">
      <c r="A370" s="2" t="n"/>
      <c r="B370" s="2" t="n"/>
      <c r="C370" s="2" t="n"/>
      <c r="D370" s="2" t="n"/>
      <c r="E370" s="2" t="n"/>
      <c r="F370" s="2" t="n"/>
    </row>
    <row r="371" ht="15.75" customHeight="1" s="67">
      <c r="A371" s="2" t="n"/>
      <c r="B371" s="2" t="n"/>
      <c r="C371" s="2" t="n"/>
      <c r="D371" s="2" t="n"/>
      <c r="E371" s="2" t="n"/>
      <c r="F371" s="2" t="n"/>
    </row>
    <row r="372" ht="15.75" customHeight="1" s="67">
      <c r="A372" s="2" t="n"/>
      <c r="B372" s="2" t="n"/>
      <c r="C372" s="2" t="n"/>
      <c r="D372" s="2" t="n"/>
      <c r="E372" s="2" t="n"/>
      <c r="F372" s="2" t="n"/>
    </row>
    <row r="373" ht="15.75" customHeight="1" s="67">
      <c r="A373" s="2" t="n"/>
      <c r="B373" s="2" t="n"/>
      <c r="C373" s="2" t="n"/>
      <c r="D373" s="2" t="n"/>
      <c r="E373" s="2" t="n"/>
      <c r="F373" s="2" t="n"/>
    </row>
    <row r="374" ht="15.75" customHeight="1" s="67">
      <c r="A374" s="2" t="n"/>
      <c r="B374" s="2" t="n"/>
      <c r="C374" s="2" t="n"/>
      <c r="D374" s="2" t="n"/>
      <c r="E374" s="2" t="n"/>
      <c r="F374" s="2" t="n"/>
    </row>
    <row r="375" ht="15.75" customHeight="1" s="67">
      <c r="A375" s="2" t="n"/>
      <c r="B375" s="2" t="n"/>
      <c r="C375" s="2" t="n"/>
      <c r="D375" s="2" t="n"/>
      <c r="E375" s="2" t="n"/>
      <c r="F375" s="2" t="n"/>
    </row>
    <row r="376" ht="15.75" customHeight="1" s="67">
      <c r="A376" s="2" t="n"/>
      <c r="B376" s="2" t="n"/>
      <c r="C376" s="2" t="n"/>
      <c r="D376" s="2" t="n"/>
      <c r="E376" s="2" t="n"/>
      <c r="F376" s="2" t="n"/>
    </row>
    <row r="377" ht="15.75" customHeight="1" s="67">
      <c r="A377" s="2" t="n"/>
      <c r="B377" s="2" t="n"/>
      <c r="C377" s="2" t="n"/>
      <c r="D377" s="2" t="n"/>
      <c r="E377" s="2" t="n"/>
      <c r="F377" s="2" t="n"/>
    </row>
    <row r="378" ht="15.75" customHeight="1" s="67">
      <c r="A378" s="2" t="n"/>
      <c r="B378" s="2" t="n"/>
      <c r="C378" s="2" t="n"/>
      <c r="D378" s="2" t="n"/>
      <c r="E378" s="2" t="n"/>
      <c r="F378" s="2" t="n"/>
    </row>
    <row r="379" ht="15.75" customHeight="1" s="67">
      <c r="A379" s="2" t="n"/>
      <c r="B379" s="2" t="n"/>
      <c r="C379" s="2" t="n"/>
      <c r="D379" s="2" t="n"/>
      <c r="E379" s="2" t="n"/>
      <c r="F379" s="2" t="n"/>
    </row>
    <row r="380" ht="15.75" customHeight="1" s="67">
      <c r="A380" s="2" t="n"/>
      <c r="B380" s="2" t="n"/>
      <c r="C380" s="2" t="n"/>
      <c r="D380" s="2" t="n"/>
      <c r="E380" s="2" t="n"/>
      <c r="F380" s="2" t="n"/>
    </row>
    <row r="381" ht="15.75" customHeight="1" s="67">
      <c r="A381" s="2" t="n"/>
      <c r="B381" s="2" t="n"/>
      <c r="C381" s="2" t="n"/>
      <c r="D381" s="2" t="n"/>
      <c r="E381" s="2" t="n"/>
      <c r="F381" s="2" t="n"/>
    </row>
    <row r="382" ht="15.75" customHeight="1" s="67">
      <c r="A382" s="2" t="n"/>
      <c r="B382" s="2" t="n"/>
      <c r="C382" s="2" t="n"/>
      <c r="D382" s="2" t="n"/>
      <c r="E382" s="2" t="n"/>
      <c r="F382" s="2" t="n"/>
    </row>
    <row r="383" ht="15.75" customHeight="1" s="67">
      <c r="A383" s="2" t="n"/>
      <c r="B383" s="2" t="n"/>
      <c r="C383" s="2" t="n"/>
      <c r="D383" s="2" t="n"/>
      <c r="E383" s="2" t="n"/>
      <c r="F383" s="2" t="n"/>
    </row>
    <row r="384" ht="15.75" customHeight="1" s="67">
      <c r="A384" s="2" t="n"/>
      <c r="B384" s="2" t="n"/>
      <c r="C384" s="2" t="n"/>
      <c r="D384" s="2" t="n"/>
      <c r="E384" s="2" t="n"/>
      <c r="F384" s="2" t="n"/>
    </row>
    <row r="385" ht="15.75" customHeight="1" s="67">
      <c r="A385" s="2" t="n"/>
      <c r="B385" s="2" t="n"/>
      <c r="C385" s="2" t="n"/>
      <c r="D385" s="2" t="n"/>
      <c r="E385" s="2" t="n"/>
      <c r="F385" s="2" t="n"/>
    </row>
    <row r="386" ht="15.75" customHeight="1" s="67">
      <c r="A386" s="2" t="n"/>
      <c r="B386" s="2" t="n"/>
      <c r="C386" s="2" t="n"/>
      <c r="D386" s="2" t="n"/>
      <c r="E386" s="2" t="n"/>
      <c r="F386" s="2" t="n"/>
    </row>
    <row r="387" ht="15.75" customHeight="1" s="67">
      <c r="A387" s="2" t="n"/>
      <c r="B387" s="2" t="n"/>
      <c r="C387" s="2" t="n"/>
      <c r="D387" s="2" t="n"/>
      <c r="E387" s="2" t="n"/>
      <c r="F387" s="2" t="n"/>
    </row>
    <row r="388" ht="15.75" customHeight="1" s="67">
      <c r="A388" s="2" t="n"/>
      <c r="B388" s="2" t="n"/>
      <c r="C388" s="2" t="n"/>
      <c r="D388" s="2" t="n"/>
      <c r="E388" s="2" t="n"/>
      <c r="F388" s="2" t="n"/>
    </row>
    <row r="389" ht="15.75" customHeight="1" s="67">
      <c r="A389" s="2" t="n"/>
      <c r="B389" s="2" t="n"/>
      <c r="C389" s="2" t="n"/>
      <c r="D389" s="2" t="n"/>
      <c r="E389" s="2" t="n"/>
      <c r="F389" s="2" t="n"/>
    </row>
    <row r="390" ht="15.75" customHeight="1" s="67">
      <c r="A390" s="2" t="n"/>
      <c r="B390" s="2" t="n"/>
      <c r="C390" s="2" t="n"/>
      <c r="D390" s="2" t="n"/>
      <c r="E390" s="2" t="n"/>
      <c r="F390" s="2" t="n"/>
    </row>
    <row r="391" ht="15.75" customHeight="1" s="67">
      <c r="A391" s="2" t="n"/>
      <c r="B391" s="2" t="n"/>
      <c r="C391" s="2" t="n"/>
      <c r="D391" s="2" t="n"/>
      <c r="E391" s="2" t="n"/>
      <c r="F391" s="2" t="n"/>
    </row>
    <row r="392" ht="15.75" customHeight="1" s="67">
      <c r="A392" s="2" t="n"/>
      <c r="B392" s="2" t="n"/>
      <c r="C392" s="2" t="n"/>
      <c r="D392" s="2" t="n"/>
      <c r="E392" s="2" t="n"/>
      <c r="F392" s="2" t="n"/>
    </row>
    <row r="393" ht="15.75" customHeight="1" s="67">
      <c r="A393" s="2" t="n"/>
      <c r="B393" s="2" t="n"/>
      <c r="C393" s="2" t="n"/>
      <c r="D393" s="2" t="n"/>
      <c r="E393" s="2" t="n"/>
      <c r="F393" s="2" t="n"/>
    </row>
    <row r="394" ht="15.75" customHeight="1" s="67">
      <c r="A394" s="2" t="n"/>
      <c r="B394" s="2" t="n"/>
      <c r="C394" s="2" t="n"/>
      <c r="D394" s="2" t="n"/>
      <c r="E394" s="2" t="n"/>
      <c r="F394" s="2" t="n"/>
    </row>
    <row r="395" ht="15.75" customHeight="1" s="67">
      <c r="A395" s="2" t="n"/>
      <c r="B395" s="2" t="n"/>
      <c r="C395" s="2" t="n"/>
      <c r="D395" s="2" t="n"/>
      <c r="E395" s="2" t="n"/>
      <c r="F395" s="2" t="n"/>
    </row>
    <row r="396" ht="15.75" customHeight="1" s="67">
      <c r="A396" s="2" t="n"/>
      <c r="B396" s="2" t="n"/>
      <c r="C396" s="2" t="n"/>
      <c r="D396" s="2" t="n"/>
      <c r="E396" s="2" t="n"/>
      <c r="F396" s="2" t="n"/>
    </row>
    <row r="397" ht="15.75" customHeight="1" s="67">
      <c r="A397" s="2" t="n"/>
      <c r="B397" s="2" t="n"/>
      <c r="C397" s="2" t="n"/>
      <c r="D397" s="2" t="n"/>
      <c r="E397" s="2" t="n"/>
      <c r="F397" s="2" t="n"/>
    </row>
    <row r="398" ht="15.75" customHeight="1" s="67">
      <c r="A398" s="2" t="n"/>
      <c r="B398" s="2" t="n"/>
      <c r="C398" s="2" t="n"/>
      <c r="D398" s="2" t="n"/>
      <c r="E398" s="2" t="n"/>
      <c r="F398" s="2" t="n"/>
    </row>
    <row r="399" ht="15.75" customHeight="1" s="67">
      <c r="A399" s="2" t="n"/>
      <c r="B399" s="2" t="n"/>
      <c r="C399" s="2" t="n"/>
      <c r="D399" s="2" t="n"/>
      <c r="E399" s="2" t="n"/>
      <c r="F399" s="2" t="n"/>
    </row>
    <row r="400" ht="15.75" customHeight="1" s="67">
      <c r="A400" s="2" t="n"/>
      <c r="B400" s="2" t="n"/>
      <c r="C400" s="2" t="n"/>
      <c r="D400" s="2" t="n"/>
      <c r="E400" s="2" t="n"/>
      <c r="F400" s="2" t="n"/>
    </row>
    <row r="401" ht="15.75" customHeight="1" s="67">
      <c r="A401" s="2" t="n"/>
      <c r="B401" s="2" t="n"/>
      <c r="C401" s="2" t="n"/>
      <c r="D401" s="2" t="n"/>
      <c r="E401" s="2" t="n"/>
      <c r="F401" s="2" t="n"/>
    </row>
    <row r="402" ht="15.75" customHeight="1" s="67">
      <c r="A402" s="2" t="n"/>
      <c r="B402" s="2" t="n"/>
      <c r="C402" s="2" t="n"/>
      <c r="D402" s="2" t="n"/>
      <c r="E402" s="2" t="n"/>
      <c r="F402" s="2" t="n"/>
    </row>
    <row r="403" ht="15.75" customHeight="1" s="67">
      <c r="A403" s="2" t="n"/>
      <c r="B403" s="2" t="n"/>
      <c r="C403" s="2" t="n"/>
      <c r="D403" s="2" t="n"/>
      <c r="E403" s="2" t="n"/>
      <c r="F403" s="2" t="n"/>
    </row>
    <row r="404" ht="15.75" customHeight="1" s="67">
      <c r="A404" s="2" t="n"/>
      <c r="B404" s="2" t="n"/>
      <c r="C404" s="2" t="n"/>
      <c r="D404" s="2" t="n"/>
      <c r="E404" s="2" t="n"/>
      <c r="F404" s="2" t="n"/>
    </row>
    <row r="405" ht="15.75" customHeight="1" s="67">
      <c r="A405" s="2" t="n"/>
      <c r="B405" s="2" t="n"/>
      <c r="C405" s="2" t="n"/>
      <c r="D405" s="2" t="n"/>
      <c r="E405" s="2" t="n"/>
      <c r="F405" s="2" t="n"/>
    </row>
    <row r="406" ht="15.75" customHeight="1" s="67">
      <c r="A406" s="2" t="n"/>
      <c r="B406" s="2" t="n"/>
      <c r="C406" s="2" t="n"/>
      <c r="D406" s="2" t="n"/>
      <c r="E406" s="2" t="n"/>
      <c r="F406" s="2" t="n"/>
    </row>
    <row r="407" ht="15.75" customHeight="1" s="67">
      <c r="A407" s="2" t="n"/>
      <c r="B407" s="2" t="n"/>
      <c r="C407" s="2" t="n"/>
      <c r="D407" s="2" t="n"/>
      <c r="E407" s="2" t="n"/>
      <c r="F407" s="2" t="n"/>
    </row>
    <row r="408" ht="15.75" customHeight="1" s="67">
      <c r="A408" s="2" t="n"/>
      <c r="B408" s="2" t="n"/>
      <c r="C408" s="2" t="n"/>
      <c r="D408" s="2" t="n"/>
      <c r="E408" s="2" t="n"/>
      <c r="F408" s="2" t="n"/>
    </row>
    <row r="409" ht="15.75" customHeight="1" s="67">
      <c r="A409" s="2" t="n"/>
      <c r="B409" s="2" t="n"/>
      <c r="C409" s="2" t="n"/>
      <c r="D409" s="2" t="n"/>
      <c r="E409" s="2" t="n"/>
      <c r="F409" s="2" t="n"/>
    </row>
    <row r="410" ht="15.75" customHeight="1" s="67">
      <c r="A410" s="2" t="n"/>
      <c r="B410" s="2" t="n"/>
      <c r="C410" s="2" t="n"/>
      <c r="D410" s="2" t="n"/>
      <c r="E410" s="2" t="n"/>
      <c r="F410" s="2" t="n"/>
    </row>
    <row r="411" ht="15.75" customHeight="1" s="67">
      <c r="A411" s="2" t="n"/>
      <c r="B411" s="2" t="n"/>
      <c r="C411" s="2" t="n"/>
      <c r="D411" s="2" t="n"/>
      <c r="E411" s="2" t="n"/>
      <c r="F411" s="2" t="n"/>
    </row>
    <row r="412" ht="15.75" customHeight="1" s="67">
      <c r="A412" s="2" t="n"/>
      <c r="B412" s="2" t="n"/>
      <c r="C412" s="2" t="n"/>
      <c r="D412" s="2" t="n"/>
      <c r="E412" s="2" t="n"/>
      <c r="F412" s="2" t="n"/>
    </row>
    <row r="413" ht="15.75" customHeight="1" s="67">
      <c r="A413" s="2" t="n"/>
      <c r="B413" s="2" t="n"/>
      <c r="C413" s="2" t="n"/>
      <c r="D413" s="2" t="n"/>
      <c r="E413" s="2" t="n"/>
      <c r="F413" s="2" t="n"/>
    </row>
    <row r="414" ht="15.75" customHeight="1" s="67">
      <c r="A414" s="2" t="n"/>
      <c r="B414" s="2" t="n"/>
      <c r="C414" s="2" t="n"/>
      <c r="D414" s="2" t="n"/>
      <c r="E414" s="2" t="n"/>
      <c r="F414" s="2" t="n"/>
    </row>
    <row r="415" ht="15.75" customHeight="1" s="67">
      <c r="A415" s="2" t="n"/>
      <c r="B415" s="2" t="n"/>
      <c r="C415" s="2" t="n"/>
      <c r="D415" s="2" t="n"/>
      <c r="E415" s="2" t="n"/>
      <c r="F415" s="2" t="n"/>
    </row>
    <row r="416" ht="15.75" customHeight="1" s="67">
      <c r="A416" s="2" t="n"/>
      <c r="B416" s="2" t="n"/>
      <c r="C416" s="2" t="n"/>
      <c r="D416" s="2" t="n"/>
      <c r="E416" s="2" t="n"/>
      <c r="F416" s="2" t="n"/>
    </row>
    <row r="417" ht="15.75" customHeight="1" s="67">
      <c r="A417" s="2" t="n"/>
      <c r="B417" s="2" t="n"/>
      <c r="C417" s="2" t="n"/>
      <c r="D417" s="2" t="n"/>
      <c r="E417" s="2" t="n"/>
      <c r="F417" s="2" t="n"/>
    </row>
    <row r="418" ht="15.75" customHeight="1" s="67">
      <c r="A418" s="2" t="n"/>
      <c r="B418" s="2" t="n"/>
      <c r="C418" s="2" t="n"/>
      <c r="D418" s="2" t="n"/>
      <c r="E418" s="2" t="n"/>
      <c r="F418" s="2" t="n"/>
    </row>
    <row r="419" ht="15.75" customHeight="1" s="67">
      <c r="A419" s="2" t="n"/>
      <c r="B419" s="2" t="n"/>
      <c r="C419" s="2" t="n"/>
      <c r="D419" s="2" t="n"/>
      <c r="E419" s="2" t="n"/>
      <c r="F419" s="2" t="n"/>
    </row>
    <row r="420" ht="15.75" customHeight="1" s="67">
      <c r="A420" s="2" t="n"/>
      <c r="B420" s="2" t="n"/>
      <c r="C420" s="2" t="n"/>
      <c r="D420" s="2" t="n"/>
      <c r="E420" s="2" t="n"/>
      <c r="F420" s="2" t="n"/>
    </row>
    <row r="421" ht="15.75" customHeight="1" s="67">
      <c r="A421" s="2" t="n"/>
      <c r="B421" s="2" t="n"/>
      <c r="C421" s="2" t="n"/>
      <c r="D421" s="2" t="n"/>
      <c r="E421" s="2" t="n"/>
      <c r="F421" s="2" t="n"/>
    </row>
    <row r="422" ht="15.75" customHeight="1" s="67">
      <c r="A422" s="2" t="n"/>
      <c r="B422" s="2" t="n"/>
      <c r="C422" s="2" t="n"/>
      <c r="D422" s="2" t="n"/>
      <c r="E422" s="2" t="n"/>
      <c r="F422" s="2" t="n"/>
    </row>
    <row r="423" ht="15.75" customHeight="1" s="67">
      <c r="A423" s="2" t="n"/>
      <c r="B423" s="2" t="n"/>
      <c r="C423" s="2" t="n"/>
      <c r="D423" s="2" t="n"/>
      <c r="E423" s="2" t="n"/>
      <c r="F423" s="2" t="n"/>
    </row>
    <row r="424" ht="15.75" customHeight="1" s="67">
      <c r="A424" s="2" t="n"/>
      <c r="B424" s="2" t="n"/>
      <c r="C424" s="2" t="n"/>
      <c r="D424" s="2" t="n"/>
      <c r="E424" s="2" t="n"/>
      <c r="F424" s="2" t="n"/>
    </row>
    <row r="425" ht="15.75" customHeight="1" s="67">
      <c r="A425" s="2" t="n"/>
      <c r="B425" s="2" t="n"/>
      <c r="C425" s="2" t="n"/>
      <c r="D425" s="2" t="n"/>
      <c r="E425" s="2" t="n"/>
      <c r="F425" s="2" t="n"/>
    </row>
    <row r="426" ht="15.75" customHeight="1" s="67">
      <c r="A426" s="2" t="n"/>
      <c r="B426" s="2" t="n"/>
      <c r="C426" s="2" t="n"/>
      <c r="D426" s="2" t="n"/>
      <c r="E426" s="2" t="n"/>
      <c r="F426" s="2" t="n"/>
    </row>
    <row r="427" ht="15.75" customHeight="1" s="67">
      <c r="A427" s="2" t="n"/>
      <c r="B427" s="2" t="n"/>
      <c r="C427" s="2" t="n"/>
      <c r="D427" s="2" t="n"/>
      <c r="E427" s="2" t="n"/>
      <c r="F427" s="2" t="n"/>
    </row>
    <row r="428" ht="15.75" customHeight="1" s="67">
      <c r="A428" s="2" t="n"/>
      <c r="B428" s="2" t="n"/>
      <c r="C428" s="2" t="n"/>
      <c r="D428" s="2" t="n"/>
      <c r="E428" s="2" t="n"/>
      <c r="F428" s="2" t="n"/>
    </row>
    <row r="429" ht="15.75" customHeight="1" s="67">
      <c r="A429" s="2" t="n"/>
      <c r="B429" s="2" t="n"/>
      <c r="C429" s="2" t="n"/>
      <c r="D429" s="2" t="n"/>
      <c r="E429" s="2" t="n"/>
      <c r="F429" s="2" t="n"/>
    </row>
    <row r="430" ht="15.75" customHeight="1" s="67">
      <c r="A430" s="2" t="n"/>
      <c r="B430" s="2" t="n"/>
      <c r="C430" s="2" t="n"/>
      <c r="D430" s="2" t="n"/>
      <c r="E430" s="2" t="n"/>
      <c r="F430" s="2" t="n"/>
    </row>
    <row r="431" ht="15.75" customHeight="1" s="67">
      <c r="A431" s="2" t="n"/>
      <c r="B431" s="2" t="n"/>
      <c r="C431" s="2" t="n"/>
      <c r="D431" s="2" t="n"/>
      <c r="E431" s="2" t="n"/>
      <c r="F431" s="2" t="n"/>
    </row>
    <row r="432" ht="15.75" customHeight="1" s="67">
      <c r="A432" s="2" t="n"/>
      <c r="B432" s="2" t="n"/>
      <c r="C432" s="2" t="n"/>
      <c r="D432" s="2" t="n"/>
      <c r="E432" s="2" t="n"/>
      <c r="F432" s="2" t="n"/>
    </row>
    <row r="433" ht="15.75" customHeight="1" s="67">
      <c r="A433" s="2" t="n"/>
      <c r="B433" s="2" t="n"/>
      <c r="C433" s="2" t="n"/>
      <c r="D433" s="2" t="n"/>
      <c r="E433" s="2" t="n"/>
      <c r="F433" s="2" t="n"/>
    </row>
    <row r="434" ht="15.75" customHeight="1" s="67">
      <c r="A434" s="2" t="n"/>
      <c r="B434" s="2" t="n"/>
      <c r="C434" s="2" t="n"/>
      <c r="D434" s="2" t="n"/>
      <c r="E434" s="2" t="n"/>
      <c r="F434" s="2" t="n"/>
    </row>
    <row r="435" ht="15.75" customHeight="1" s="67">
      <c r="A435" s="2" t="n"/>
      <c r="B435" s="2" t="n"/>
      <c r="C435" s="2" t="n"/>
      <c r="D435" s="2" t="n"/>
      <c r="E435" s="2" t="n"/>
      <c r="F435" s="2" t="n"/>
    </row>
    <row r="436" ht="15.75" customHeight="1" s="67">
      <c r="A436" s="2" t="n"/>
      <c r="B436" s="2" t="n"/>
      <c r="C436" s="2" t="n"/>
      <c r="D436" s="2" t="n"/>
      <c r="E436" s="2" t="n"/>
      <c r="F436" s="2" t="n"/>
    </row>
    <row r="437" ht="15.75" customHeight="1" s="67">
      <c r="A437" s="2" t="n"/>
      <c r="B437" s="2" t="n"/>
      <c r="C437" s="2" t="n"/>
      <c r="D437" s="2" t="n"/>
      <c r="E437" s="2" t="n"/>
      <c r="F437" s="2" t="n"/>
    </row>
    <row r="438" ht="15.75" customHeight="1" s="67">
      <c r="A438" s="2" t="n"/>
      <c r="B438" s="2" t="n"/>
      <c r="C438" s="2" t="n"/>
      <c r="D438" s="2" t="n"/>
      <c r="E438" s="2" t="n"/>
      <c r="F438" s="2" t="n"/>
    </row>
    <row r="439" ht="15.75" customHeight="1" s="67">
      <c r="A439" s="2" t="n"/>
      <c r="B439" s="2" t="n"/>
      <c r="C439" s="2" t="n"/>
      <c r="D439" s="2" t="n"/>
      <c r="E439" s="2" t="n"/>
      <c r="F439" s="2" t="n"/>
    </row>
    <row r="440" ht="15.75" customHeight="1" s="67">
      <c r="A440" s="2" t="n"/>
      <c r="B440" s="2" t="n"/>
      <c r="C440" s="2" t="n"/>
      <c r="D440" s="2" t="n"/>
      <c r="E440" s="2" t="n"/>
      <c r="F440" s="2" t="n"/>
    </row>
    <row r="441" ht="15.75" customHeight="1" s="67">
      <c r="A441" s="2" t="n"/>
      <c r="B441" s="2" t="n"/>
      <c r="C441" s="2" t="n"/>
      <c r="D441" s="2" t="n"/>
      <c r="E441" s="2" t="n"/>
      <c r="F441" s="2" t="n"/>
    </row>
    <row r="442" ht="15.75" customHeight="1" s="67">
      <c r="A442" s="2" t="n"/>
      <c r="B442" s="2" t="n"/>
      <c r="C442" s="2" t="n"/>
      <c r="D442" s="2" t="n"/>
      <c r="E442" s="2" t="n"/>
      <c r="F442" s="2" t="n"/>
    </row>
    <row r="443" ht="15.75" customHeight="1" s="67">
      <c r="A443" s="2" t="n"/>
      <c r="B443" s="2" t="n"/>
      <c r="C443" s="2" t="n"/>
      <c r="D443" s="2" t="n"/>
      <c r="E443" s="2" t="n"/>
      <c r="F443" s="2" t="n"/>
    </row>
    <row r="444" ht="15.75" customHeight="1" s="67">
      <c r="A444" s="2" t="n"/>
      <c r="B444" s="2" t="n"/>
      <c r="C444" s="2" t="n"/>
      <c r="D444" s="2" t="n"/>
      <c r="E444" s="2" t="n"/>
      <c r="F444" s="2" t="n"/>
    </row>
    <row r="445" ht="15.75" customHeight="1" s="67">
      <c r="A445" s="2" t="n"/>
      <c r="B445" s="2" t="n"/>
      <c r="C445" s="2" t="n"/>
      <c r="D445" s="2" t="n"/>
      <c r="E445" s="2" t="n"/>
      <c r="F445" s="2" t="n"/>
    </row>
    <row r="446" ht="15.75" customHeight="1" s="67">
      <c r="A446" s="2" t="n"/>
      <c r="B446" s="2" t="n"/>
      <c r="C446" s="2" t="n"/>
      <c r="D446" s="2" t="n"/>
      <c r="E446" s="2" t="n"/>
      <c r="F446" s="2" t="n"/>
    </row>
    <row r="447" ht="15.75" customHeight="1" s="67">
      <c r="A447" s="2" t="n"/>
      <c r="B447" s="2" t="n"/>
      <c r="C447" s="2" t="n"/>
      <c r="D447" s="2" t="n"/>
      <c r="E447" s="2" t="n"/>
      <c r="F447" s="2" t="n"/>
    </row>
    <row r="448" ht="15.75" customHeight="1" s="67">
      <c r="A448" s="2" t="n"/>
      <c r="B448" s="2" t="n"/>
      <c r="C448" s="2" t="n"/>
      <c r="D448" s="2" t="n"/>
      <c r="E448" s="2" t="n"/>
      <c r="F448" s="2" t="n"/>
    </row>
    <row r="449" ht="15.75" customHeight="1" s="67">
      <c r="A449" s="2" t="n"/>
      <c r="B449" s="2" t="n"/>
      <c r="C449" s="2" t="n"/>
      <c r="D449" s="2" t="n"/>
      <c r="E449" s="2" t="n"/>
      <c r="F449" s="2" t="n"/>
    </row>
    <row r="450" ht="15.75" customHeight="1" s="67">
      <c r="A450" s="2" t="n"/>
      <c r="B450" s="2" t="n"/>
      <c r="C450" s="2" t="n"/>
      <c r="D450" s="2" t="n"/>
      <c r="E450" s="2" t="n"/>
      <c r="F450" s="2" t="n"/>
    </row>
    <row r="451" ht="15.75" customHeight="1" s="67">
      <c r="A451" s="2" t="n"/>
      <c r="B451" s="2" t="n"/>
      <c r="C451" s="2" t="n"/>
      <c r="D451" s="2" t="n"/>
      <c r="E451" s="2" t="n"/>
      <c r="F451" s="2" t="n"/>
    </row>
    <row r="452" ht="15.75" customHeight="1" s="67">
      <c r="A452" s="2" t="n"/>
      <c r="B452" s="2" t="n"/>
      <c r="C452" s="2" t="n"/>
      <c r="D452" s="2" t="n"/>
      <c r="E452" s="2" t="n"/>
      <c r="F452" s="2" t="n"/>
    </row>
    <row r="453" ht="15.75" customHeight="1" s="67">
      <c r="A453" s="2" t="n"/>
      <c r="B453" s="2" t="n"/>
      <c r="C453" s="2" t="n"/>
      <c r="D453" s="2" t="n"/>
      <c r="E453" s="2" t="n"/>
      <c r="F453" s="2" t="n"/>
    </row>
    <row r="454" ht="15.75" customHeight="1" s="67">
      <c r="A454" s="2" t="n"/>
      <c r="B454" s="2" t="n"/>
      <c r="C454" s="2" t="n"/>
      <c r="D454" s="2" t="n"/>
      <c r="E454" s="2" t="n"/>
      <c r="F454" s="2" t="n"/>
    </row>
    <row r="455" ht="15.75" customHeight="1" s="67">
      <c r="A455" s="2" t="n"/>
      <c r="B455" s="2" t="n"/>
      <c r="C455" s="2" t="n"/>
      <c r="D455" s="2" t="n"/>
      <c r="E455" s="2" t="n"/>
      <c r="F455" s="2" t="n"/>
    </row>
    <row r="456" ht="15.75" customHeight="1" s="67">
      <c r="A456" s="2" t="n"/>
      <c r="B456" s="2" t="n"/>
      <c r="C456" s="2" t="n"/>
      <c r="D456" s="2" t="n"/>
      <c r="E456" s="2" t="n"/>
      <c r="F456" s="2" t="n"/>
    </row>
    <row r="457" ht="15.75" customHeight="1" s="67">
      <c r="A457" s="2" t="n"/>
      <c r="B457" s="2" t="n"/>
      <c r="C457" s="2" t="n"/>
      <c r="D457" s="2" t="n"/>
      <c r="E457" s="2" t="n"/>
      <c r="F457" s="2" t="n"/>
    </row>
    <row r="458" ht="15.75" customHeight="1" s="67">
      <c r="A458" s="2" t="n"/>
      <c r="B458" s="2" t="n"/>
      <c r="C458" s="2" t="n"/>
      <c r="D458" s="2" t="n"/>
      <c r="E458" s="2" t="n"/>
      <c r="F458" s="2" t="n"/>
    </row>
    <row r="459" ht="15.75" customHeight="1" s="67">
      <c r="A459" s="2" t="n"/>
      <c r="B459" s="2" t="n"/>
      <c r="C459" s="2" t="n"/>
      <c r="D459" s="2" t="n"/>
      <c r="E459" s="2" t="n"/>
      <c r="F459" s="2" t="n"/>
    </row>
    <row r="460" ht="15.75" customHeight="1" s="67">
      <c r="A460" s="2" t="n"/>
      <c r="B460" s="2" t="n"/>
      <c r="C460" s="2" t="n"/>
      <c r="D460" s="2" t="n"/>
      <c r="E460" s="2" t="n"/>
      <c r="F460" s="2" t="n"/>
    </row>
    <row r="461" ht="15.75" customHeight="1" s="67">
      <c r="A461" s="2" t="n"/>
      <c r="B461" s="2" t="n"/>
      <c r="C461" s="2" t="n"/>
      <c r="D461" s="2" t="n"/>
      <c r="E461" s="2" t="n"/>
      <c r="F461" s="2" t="n"/>
    </row>
    <row r="462" ht="15.75" customHeight="1" s="67">
      <c r="A462" s="2" t="n"/>
      <c r="B462" s="2" t="n"/>
      <c r="C462" s="2" t="n"/>
      <c r="D462" s="2" t="n"/>
      <c r="E462" s="2" t="n"/>
      <c r="F462" s="2" t="n"/>
    </row>
    <row r="463" ht="15.75" customHeight="1" s="67">
      <c r="A463" s="2" t="n"/>
      <c r="B463" s="2" t="n"/>
      <c r="C463" s="2" t="n"/>
      <c r="D463" s="2" t="n"/>
      <c r="E463" s="2" t="n"/>
      <c r="F463" s="2" t="n"/>
    </row>
    <row r="464" ht="15.75" customHeight="1" s="67">
      <c r="A464" s="2" t="n"/>
      <c r="B464" s="2" t="n"/>
      <c r="C464" s="2" t="n"/>
      <c r="D464" s="2" t="n"/>
      <c r="E464" s="2" t="n"/>
      <c r="F464" s="2" t="n"/>
    </row>
    <row r="465" ht="15.75" customHeight="1" s="67">
      <c r="A465" s="2" t="n"/>
      <c r="B465" s="2" t="n"/>
      <c r="C465" s="2" t="n"/>
      <c r="D465" s="2" t="n"/>
      <c r="E465" s="2" t="n"/>
      <c r="F465" s="2" t="n"/>
    </row>
    <row r="466" ht="15.75" customHeight="1" s="67">
      <c r="A466" s="2" t="n"/>
      <c r="B466" s="2" t="n"/>
      <c r="C466" s="2" t="n"/>
      <c r="D466" s="2" t="n"/>
      <c r="E466" s="2" t="n"/>
      <c r="F466" s="2" t="n"/>
    </row>
    <row r="467" ht="15.75" customHeight="1" s="67">
      <c r="A467" s="2" t="n"/>
      <c r="B467" s="2" t="n"/>
      <c r="C467" s="2" t="n"/>
      <c r="D467" s="2" t="n"/>
      <c r="E467" s="2" t="n"/>
      <c r="F467" s="2" t="n"/>
    </row>
    <row r="468" ht="15.75" customHeight="1" s="67">
      <c r="A468" s="2" t="n"/>
      <c r="B468" s="2" t="n"/>
      <c r="C468" s="2" t="n"/>
      <c r="D468" s="2" t="n"/>
      <c r="E468" s="2" t="n"/>
      <c r="F468" s="2" t="n"/>
    </row>
    <row r="469" ht="15.75" customHeight="1" s="67">
      <c r="A469" s="2" t="n"/>
      <c r="B469" s="2" t="n"/>
      <c r="C469" s="2" t="n"/>
      <c r="D469" s="2" t="n"/>
      <c r="E469" s="2" t="n"/>
      <c r="F469" s="2" t="n"/>
    </row>
    <row r="470" ht="15.75" customHeight="1" s="67">
      <c r="A470" s="2" t="n"/>
      <c r="B470" s="2" t="n"/>
      <c r="C470" s="2" t="n"/>
      <c r="D470" s="2" t="n"/>
      <c r="E470" s="2" t="n"/>
      <c r="F470" s="2" t="n"/>
    </row>
    <row r="471" ht="15.75" customHeight="1" s="67">
      <c r="A471" s="2" t="n"/>
      <c r="B471" s="2" t="n"/>
      <c r="C471" s="2" t="n"/>
      <c r="D471" s="2" t="n"/>
      <c r="E471" s="2" t="n"/>
      <c r="F471" s="2" t="n"/>
    </row>
    <row r="472" ht="15.75" customHeight="1" s="67">
      <c r="A472" s="2" t="n"/>
      <c r="B472" s="2" t="n"/>
      <c r="C472" s="2" t="n"/>
      <c r="D472" s="2" t="n"/>
      <c r="E472" s="2" t="n"/>
      <c r="F472" s="2" t="n"/>
    </row>
    <row r="473" ht="15.75" customHeight="1" s="67">
      <c r="A473" s="2" t="n"/>
      <c r="B473" s="2" t="n"/>
      <c r="C473" s="2" t="n"/>
      <c r="D473" s="2" t="n"/>
      <c r="E473" s="2" t="n"/>
      <c r="F473" s="2" t="n"/>
    </row>
    <row r="474" ht="15.75" customHeight="1" s="67">
      <c r="A474" s="2" t="n"/>
      <c r="B474" s="2" t="n"/>
      <c r="C474" s="2" t="n"/>
      <c r="D474" s="2" t="n"/>
      <c r="E474" s="2" t="n"/>
      <c r="F474" s="2" t="n"/>
    </row>
    <row r="475" ht="15.75" customHeight="1" s="67">
      <c r="A475" s="2" t="n"/>
      <c r="B475" s="2" t="n"/>
      <c r="C475" s="2" t="n"/>
      <c r="D475" s="2" t="n"/>
      <c r="E475" s="2" t="n"/>
      <c r="F475" s="2" t="n"/>
    </row>
    <row r="476" ht="15.75" customHeight="1" s="67">
      <c r="A476" s="2" t="n"/>
      <c r="B476" s="2" t="n"/>
      <c r="C476" s="2" t="n"/>
      <c r="D476" s="2" t="n"/>
      <c r="E476" s="2" t="n"/>
      <c r="F476" s="2" t="n"/>
    </row>
    <row r="477" ht="15.75" customHeight="1" s="67">
      <c r="A477" s="2" t="n"/>
      <c r="B477" s="2" t="n"/>
      <c r="C477" s="2" t="n"/>
      <c r="D477" s="2" t="n"/>
      <c r="E477" s="2" t="n"/>
      <c r="F477" s="2" t="n"/>
    </row>
    <row r="478" ht="15.75" customHeight="1" s="67">
      <c r="A478" s="2" t="n"/>
      <c r="B478" s="2" t="n"/>
      <c r="C478" s="2" t="n"/>
      <c r="D478" s="2" t="n"/>
      <c r="E478" s="2" t="n"/>
      <c r="F478" s="2" t="n"/>
    </row>
    <row r="479" ht="15.75" customHeight="1" s="67">
      <c r="A479" s="2" t="n"/>
      <c r="B479" s="2" t="n"/>
      <c r="C479" s="2" t="n"/>
      <c r="D479" s="2" t="n"/>
      <c r="E479" s="2" t="n"/>
      <c r="F479" s="2" t="n"/>
    </row>
    <row r="480" ht="15.75" customHeight="1" s="67">
      <c r="A480" s="2" t="n"/>
      <c r="B480" s="2" t="n"/>
      <c r="C480" s="2" t="n"/>
      <c r="D480" s="2" t="n"/>
      <c r="E480" s="2" t="n"/>
      <c r="F480" s="2" t="n"/>
    </row>
    <row r="481" ht="15.75" customHeight="1" s="67">
      <c r="A481" s="2" t="n"/>
      <c r="B481" s="2" t="n"/>
      <c r="C481" s="2" t="n"/>
      <c r="D481" s="2" t="n"/>
      <c r="E481" s="2" t="n"/>
      <c r="F481" s="2" t="n"/>
    </row>
    <row r="482" ht="15.75" customHeight="1" s="67">
      <c r="A482" s="2" t="n"/>
      <c r="B482" s="2" t="n"/>
      <c r="C482" s="2" t="n"/>
      <c r="D482" s="2" t="n"/>
      <c r="E482" s="2" t="n"/>
      <c r="F482" s="2" t="n"/>
    </row>
    <row r="483" ht="15.75" customHeight="1" s="67">
      <c r="A483" s="2" t="n"/>
      <c r="B483" s="2" t="n"/>
      <c r="C483" s="2" t="n"/>
      <c r="D483" s="2" t="n"/>
      <c r="E483" s="2" t="n"/>
      <c r="F483" s="2" t="n"/>
    </row>
    <row r="484" ht="15.75" customHeight="1" s="67">
      <c r="A484" s="2" t="n"/>
      <c r="B484" s="2" t="n"/>
      <c r="C484" s="2" t="n"/>
      <c r="D484" s="2" t="n"/>
      <c r="E484" s="2" t="n"/>
      <c r="F484" s="2" t="n"/>
    </row>
    <row r="485" ht="15.75" customHeight="1" s="67">
      <c r="A485" s="2" t="n"/>
      <c r="B485" s="2" t="n"/>
      <c r="C485" s="2" t="n"/>
      <c r="D485" s="2" t="n"/>
      <c r="E485" s="2" t="n"/>
      <c r="F485" s="2" t="n"/>
    </row>
    <row r="486" ht="15.75" customHeight="1" s="67">
      <c r="A486" s="2" t="n"/>
      <c r="B486" s="2" t="n"/>
      <c r="C486" s="2" t="n"/>
      <c r="D486" s="2" t="n"/>
      <c r="E486" s="2" t="n"/>
      <c r="F486" s="2" t="n"/>
    </row>
    <row r="487" ht="15.75" customHeight="1" s="67">
      <c r="A487" s="2" t="n"/>
      <c r="B487" s="2" t="n"/>
      <c r="C487" s="2" t="n"/>
      <c r="D487" s="2" t="n"/>
      <c r="E487" s="2" t="n"/>
      <c r="F487" s="2" t="n"/>
    </row>
    <row r="488" ht="15.75" customHeight="1" s="67">
      <c r="A488" s="2" t="n"/>
      <c r="B488" s="2" t="n"/>
      <c r="C488" s="2" t="n"/>
      <c r="D488" s="2" t="n"/>
      <c r="E488" s="2" t="n"/>
      <c r="F488" s="2" t="n"/>
    </row>
    <row r="489" ht="15.75" customHeight="1" s="67">
      <c r="A489" s="2" t="n"/>
      <c r="B489" s="2" t="n"/>
      <c r="C489" s="2" t="n"/>
      <c r="D489" s="2" t="n"/>
      <c r="E489" s="2" t="n"/>
      <c r="F489" s="2" t="n"/>
    </row>
    <row r="490" ht="15.75" customHeight="1" s="67">
      <c r="A490" s="2" t="n"/>
      <c r="B490" s="2" t="n"/>
      <c r="C490" s="2" t="n"/>
      <c r="D490" s="2" t="n"/>
      <c r="E490" s="2" t="n"/>
      <c r="F490" s="2" t="n"/>
    </row>
    <row r="491" ht="15.75" customHeight="1" s="67">
      <c r="A491" s="2" t="n"/>
      <c r="B491" s="2" t="n"/>
      <c r="C491" s="2" t="n"/>
      <c r="D491" s="2" t="n"/>
      <c r="E491" s="2" t="n"/>
      <c r="F491" s="2" t="n"/>
    </row>
    <row r="492" ht="15.75" customHeight="1" s="67">
      <c r="A492" s="2" t="n"/>
      <c r="B492" s="2" t="n"/>
      <c r="C492" s="2" t="n"/>
      <c r="D492" s="2" t="n"/>
      <c r="E492" s="2" t="n"/>
      <c r="F492" s="2" t="n"/>
    </row>
    <row r="493" ht="15.75" customHeight="1" s="67">
      <c r="A493" s="2" t="n"/>
      <c r="B493" s="2" t="n"/>
      <c r="C493" s="2" t="n"/>
      <c r="D493" s="2" t="n"/>
      <c r="E493" s="2" t="n"/>
      <c r="F493" s="2" t="n"/>
    </row>
    <row r="494" ht="15.75" customHeight="1" s="67">
      <c r="A494" s="2" t="n"/>
      <c r="B494" s="2" t="n"/>
      <c r="C494" s="2" t="n"/>
      <c r="D494" s="2" t="n"/>
      <c r="E494" s="2" t="n"/>
      <c r="F494" s="2" t="n"/>
    </row>
    <row r="495" ht="15.75" customHeight="1" s="67">
      <c r="A495" s="2" t="n"/>
      <c r="B495" s="2" t="n"/>
      <c r="C495" s="2" t="n"/>
      <c r="D495" s="2" t="n"/>
      <c r="E495" s="2" t="n"/>
      <c r="F495" s="2" t="n"/>
    </row>
    <row r="496" ht="15.75" customHeight="1" s="67">
      <c r="A496" s="2" t="n"/>
      <c r="B496" s="2" t="n"/>
      <c r="C496" s="2" t="n"/>
      <c r="D496" s="2" t="n"/>
      <c r="E496" s="2" t="n"/>
      <c r="F496" s="2" t="n"/>
    </row>
    <row r="497" ht="15.75" customHeight="1" s="67">
      <c r="A497" s="2" t="n"/>
      <c r="B497" s="2" t="n"/>
      <c r="C497" s="2" t="n"/>
      <c r="D497" s="2" t="n"/>
      <c r="E497" s="2" t="n"/>
      <c r="F497" s="2" t="n"/>
    </row>
    <row r="498" ht="15.75" customHeight="1" s="67">
      <c r="A498" s="2" t="n"/>
      <c r="B498" s="2" t="n"/>
      <c r="C498" s="2" t="n"/>
      <c r="D498" s="2" t="n"/>
      <c r="E498" s="2" t="n"/>
      <c r="F498" s="2" t="n"/>
    </row>
    <row r="499" ht="15.75" customHeight="1" s="67">
      <c r="A499" s="2" t="n"/>
      <c r="B499" s="2" t="n"/>
      <c r="C499" s="2" t="n"/>
      <c r="D499" s="2" t="n"/>
      <c r="E499" s="2" t="n"/>
      <c r="F499" s="2" t="n"/>
    </row>
    <row r="500" ht="15.75" customHeight="1" s="67">
      <c r="A500" s="2" t="n"/>
      <c r="B500" s="2" t="n"/>
      <c r="C500" s="2" t="n"/>
      <c r="D500" s="2" t="n"/>
      <c r="E500" s="2" t="n"/>
      <c r="F500" s="2" t="n"/>
    </row>
    <row r="501" ht="15.75" customHeight="1" s="67">
      <c r="A501" s="2" t="n"/>
      <c r="B501" s="2" t="n"/>
      <c r="C501" s="2" t="n"/>
      <c r="D501" s="2" t="n"/>
      <c r="E501" s="2" t="n"/>
      <c r="F501" s="2" t="n"/>
    </row>
    <row r="502" ht="15.75" customHeight="1" s="67">
      <c r="A502" s="2" t="n"/>
      <c r="B502" s="2" t="n"/>
      <c r="C502" s="2" t="n"/>
      <c r="D502" s="2" t="n"/>
      <c r="E502" s="2" t="n"/>
      <c r="F502" s="2" t="n"/>
    </row>
    <row r="503" ht="15.75" customHeight="1" s="67">
      <c r="A503" s="2" t="n"/>
      <c r="B503" s="2" t="n"/>
      <c r="C503" s="2" t="n"/>
      <c r="D503" s="2" t="n"/>
      <c r="E503" s="2" t="n"/>
      <c r="F503" s="2" t="n"/>
    </row>
    <row r="504" ht="15.75" customHeight="1" s="67">
      <c r="A504" s="2" t="n"/>
      <c r="B504" s="2" t="n"/>
      <c r="C504" s="2" t="n"/>
      <c r="D504" s="2" t="n"/>
      <c r="E504" s="2" t="n"/>
      <c r="F504" s="2" t="n"/>
    </row>
    <row r="505" ht="15.75" customHeight="1" s="67">
      <c r="A505" s="2" t="n"/>
      <c r="B505" s="2" t="n"/>
      <c r="C505" s="2" t="n"/>
      <c r="D505" s="2" t="n"/>
      <c r="E505" s="2" t="n"/>
      <c r="F505" s="2" t="n"/>
    </row>
    <row r="506" ht="15.75" customHeight="1" s="67">
      <c r="A506" s="2" t="n"/>
      <c r="B506" s="2" t="n"/>
      <c r="C506" s="2" t="n"/>
      <c r="D506" s="2" t="n"/>
      <c r="E506" s="2" t="n"/>
      <c r="F506" s="2" t="n"/>
    </row>
    <row r="507" ht="15.75" customHeight="1" s="67">
      <c r="A507" s="2" t="n"/>
      <c r="B507" s="2" t="n"/>
      <c r="C507" s="2" t="n"/>
      <c r="D507" s="2" t="n"/>
      <c r="E507" s="2" t="n"/>
      <c r="F507" s="2" t="n"/>
    </row>
    <row r="508" ht="15.75" customHeight="1" s="67">
      <c r="A508" s="2" t="n"/>
      <c r="B508" s="2" t="n"/>
      <c r="C508" s="2" t="n"/>
      <c r="D508" s="2" t="n"/>
      <c r="E508" s="2" t="n"/>
      <c r="F508" s="2" t="n"/>
    </row>
    <row r="509" ht="15.75" customHeight="1" s="67">
      <c r="A509" s="2" t="n"/>
      <c r="B509" s="2" t="n"/>
      <c r="C509" s="2" t="n"/>
      <c r="D509" s="2" t="n"/>
      <c r="E509" s="2" t="n"/>
      <c r="F509" s="2" t="n"/>
    </row>
    <row r="510" ht="15.75" customHeight="1" s="67">
      <c r="A510" s="2" t="n"/>
      <c r="B510" s="2" t="n"/>
      <c r="C510" s="2" t="n"/>
      <c r="D510" s="2" t="n"/>
      <c r="E510" s="2" t="n"/>
      <c r="F510" s="2" t="n"/>
    </row>
    <row r="511" ht="15.75" customHeight="1" s="67">
      <c r="A511" s="2" t="n"/>
      <c r="B511" s="2" t="n"/>
      <c r="C511" s="2" t="n"/>
      <c r="D511" s="2" t="n"/>
      <c r="E511" s="2" t="n"/>
      <c r="F511" s="2" t="n"/>
    </row>
    <row r="512" ht="15.75" customHeight="1" s="67">
      <c r="A512" s="2" t="n"/>
      <c r="B512" s="2" t="n"/>
      <c r="C512" s="2" t="n"/>
      <c r="D512" s="2" t="n"/>
      <c r="E512" s="2" t="n"/>
      <c r="F512" s="2" t="n"/>
    </row>
    <row r="513" ht="15.75" customHeight="1" s="67">
      <c r="A513" s="2" t="n"/>
      <c r="B513" s="2" t="n"/>
      <c r="C513" s="2" t="n"/>
      <c r="D513" s="2" t="n"/>
      <c r="E513" s="2" t="n"/>
      <c r="F513" s="2" t="n"/>
    </row>
    <row r="514" ht="15.75" customHeight="1" s="67">
      <c r="A514" s="2" t="n"/>
      <c r="B514" s="2" t="n"/>
      <c r="C514" s="2" t="n"/>
      <c r="D514" s="2" t="n"/>
      <c r="E514" s="2" t="n"/>
      <c r="F514" s="2" t="n"/>
    </row>
    <row r="515" ht="15.75" customHeight="1" s="67">
      <c r="A515" s="2" t="n"/>
      <c r="B515" s="2" t="n"/>
      <c r="C515" s="2" t="n"/>
      <c r="D515" s="2" t="n"/>
      <c r="E515" s="2" t="n"/>
      <c r="F515" s="2" t="n"/>
    </row>
    <row r="516" ht="15.75" customHeight="1" s="67">
      <c r="A516" s="2" t="n"/>
      <c r="B516" s="2" t="n"/>
      <c r="C516" s="2" t="n"/>
      <c r="D516" s="2" t="n"/>
      <c r="E516" s="2" t="n"/>
      <c r="F516" s="2" t="n"/>
    </row>
    <row r="517" ht="15.75" customHeight="1" s="67">
      <c r="A517" s="2" t="n"/>
      <c r="B517" s="2" t="n"/>
      <c r="C517" s="2" t="n"/>
      <c r="D517" s="2" t="n"/>
      <c r="E517" s="2" t="n"/>
      <c r="F517" s="2" t="n"/>
    </row>
    <row r="518" ht="15.75" customHeight="1" s="67">
      <c r="A518" s="2" t="n"/>
      <c r="B518" s="2" t="n"/>
      <c r="C518" s="2" t="n"/>
      <c r="D518" s="2" t="n"/>
      <c r="E518" s="2" t="n"/>
      <c r="F518" s="2" t="n"/>
    </row>
    <row r="519" ht="15.75" customHeight="1" s="67">
      <c r="A519" s="2" t="n"/>
      <c r="B519" s="2" t="n"/>
      <c r="C519" s="2" t="n"/>
      <c r="D519" s="2" t="n"/>
      <c r="E519" s="2" t="n"/>
      <c r="F519" s="2" t="n"/>
    </row>
    <row r="520" ht="15.75" customHeight="1" s="67">
      <c r="A520" s="2" t="n"/>
      <c r="B520" s="2" t="n"/>
      <c r="C520" s="2" t="n"/>
      <c r="D520" s="2" t="n"/>
      <c r="E520" s="2" t="n"/>
      <c r="F520" s="2" t="n"/>
    </row>
    <row r="521" ht="15.75" customHeight="1" s="67">
      <c r="A521" s="2" t="n"/>
      <c r="B521" s="2" t="n"/>
      <c r="C521" s="2" t="n"/>
      <c r="D521" s="2" t="n"/>
      <c r="E521" s="2" t="n"/>
      <c r="F521" s="2" t="n"/>
    </row>
    <row r="522" ht="15.75" customHeight="1" s="67">
      <c r="A522" s="2" t="n"/>
      <c r="B522" s="2" t="n"/>
      <c r="C522" s="2" t="n"/>
      <c r="D522" s="2" t="n"/>
      <c r="E522" s="2" t="n"/>
      <c r="F522" s="2" t="n"/>
    </row>
    <row r="523" ht="15.75" customHeight="1" s="67">
      <c r="A523" s="2" t="n"/>
      <c r="B523" s="2" t="n"/>
      <c r="C523" s="2" t="n"/>
      <c r="D523" s="2" t="n"/>
      <c r="E523" s="2" t="n"/>
      <c r="F523" s="2" t="n"/>
    </row>
    <row r="524" ht="15.75" customHeight="1" s="67">
      <c r="A524" s="2" t="n"/>
      <c r="B524" s="2" t="n"/>
      <c r="C524" s="2" t="n"/>
      <c r="D524" s="2" t="n"/>
      <c r="E524" s="2" t="n"/>
      <c r="F524" s="2" t="n"/>
    </row>
    <row r="525" ht="15.75" customHeight="1" s="67">
      <c r="A525" s="2" t="n"/>
      <c r="B525" s="2" t="n"/>
      <c r="C525" s="2" t="n"/>
      <c r="D525" s="2" t="n"/>
      <c r="E525" s="2" t="n"/>
      <c r="F525" s="2" t="n"/>
    </row>
    <row r="526" ht="15.75" customHeight="1" s="67">
      <c r="A526" s="2" t="n"/>
      <c r="B526" s="2" t="n"/>
      <c r="C526" s="2" t="n"/>
      <c r="D526" s="2" t="n"/>
      <c r="E526" s="2" t="n"/>
      <c r="F526" s="2" t="n"/>
    </row>
    <row r="527" ht="15.75" customHeight="1" s="67">
      <c r="A527" s="2" t="n"/>
      <c r="B527" s="2" t="n"/>
      <c r="C527" s="2" t="n"/>
      <c r="D527" s="2" t="n"/>
      <c r="E527" s="2" t="n"/>
      <c r="F527" s="2" t="n"/>
    </row>
    <row r="528" ht="15.75" customHeight="1" s="67">
      <c r="A528" s="2" t="n"/>
      <c r="B528" s="2" t="n"/>
      <c r="C528" s="2" t="n"/>
      <c r="D528" s="2" t="n"/>
      <c r="E528" s="2" t="n"/>
      <c r="F528" s="2" t="n"/>
    </row>
    <row r="529" ht="15.75" customHeight="1" s="67">
      <c r="A529" s="2" t="n"/>
      <c r="B529" s="2" t="n"/>
      <c r="C529" s="2" t="n"/>
      <c r="D529" s="2" t="n"/>
      <c r="E529" s="2" t="n"/>
      <c r="F529" s="2" t="n"/>
    </row>
    <row r="530" ht="15.75" customHeight="1" s="67">
      <c r="A530" s="2" t="n"/>
      <c r="B530" s="2" t="n"/>
      <c r="C530" s="2" t="n"/>
      <c r="D530" s="2" t="n"/>
      <c r="E530" s="2" t="n"/>
      <c r="F530" s="2" t="n"/>
    </row>
    <row r="531" ht="15.75" customHeight="1" s="67">
      <c r="A531" s="2" t="n"/>
      <c r="B531" s="2" t="n"/>
      <c r="C531" s="2" t="n"/>
      <c r="D531" s="2" t="n"/>
      <c r="E531" s="2" t="n"/>
      <c r="F531" s="2" t="n"/>
    </row>
    <row r="532" ht="15.75" customHeight="1" s="67">
      <c r="A532" s="2" t="n"/>
      <c r="B532" s="2" t="n"/>
      <c r="C532" s="2" t="n"/>
      <c r="D532" s="2" t="n"/>
      <c r="E532" s="2" t="n"/>
      <c r="F532" s="2" t="n"/>
    </row>
    <row r="533" ht="15.75" customHeight="1" s="67">
      <c r="A533" s="2" t="n"/>
      <c r="B533" s="2" t="n"/>
      <c r="C533" s="2" t="n"/>
      <c r="D533" s="2" t="n"/>
      <c r="E533" s="2" t="n"/>
      <c r="F533" s="2" t="n"/>
    </row>
    <row r="534" ht="15.75" customHeight="1" s="67">
      <c r="A534" s="2" t="n"/>
      <c r="B534" s="2" t="n"/>
      <c r="C534" s="2" t="n"/>
      <c r="D534" s="2" t="n"/>
      <c r="E534" s="2" t="n"/>
      <c r="F534" s="2" t="n"/>
    </row>
    <row r="535" ht="15.75" customHeight="1" s="67">
      <c r="A535" s="2" t="n"/>
      <c r="B535" s="2" t="n"/>
      <c r="C535" s="2" t="n"/>
      <c r="D535" s="2" t="n"/>
      <c r="E535" s="2" t="n"/>
      <c r="F535" s="2" t="n"/>
    </row>
    <row r="536" ht="15.75" customHeight="1" s="67">
      <c r="A536" s="2" t="n"/>
      <c r="B536" s="2" t="n"/>
      <c r="C536" s="2" t="n"/>
      <c r="D536" s="2" t="n"/>
      <c r="E536" s="2" t="n"/>
      <c r="F536" s="2" t="n"/>
    </row>
    <row r="537" ht="15.75" customHeight="1" s="67">
      <c r="A537" s="2" t="n"/>
      <c r="B537" s="2" t="n"/>
      <c r="C537" s="2" t="n"/>
      <c r="D537" s="2" t="n"/>
      <c r="E537" s="2" t="n"/>
      <c r="F537" s="2" t="n"/>
    </row>
    <row r="538" ht="15.75" customHeight="1" s="67">
      <c r="A538" s="2" t="n"/>
      <c r="B538" s="2" t="n"/>
      <c r="C538" s="2" t="n"/>
      <c r="D538" s="2" t="n"/>
      <c r="E538" s="2" t="n"/>
      <c r="F538" s="2" t="n"/>
    </row>
    <row r="539" ht="15.75" customHeight="1" s="67">
      <c r="A539" s="2" t="n"/>
      <c r="B539" s="2" t="n"/>
      <c r="C539" s="2" t="n"/>
      <c r="D539" s="2" t="n"/>
      <c r="E539" s="2" t="n"/>
      <c r="F539" s="2" t="n"/>
    </row>
    <row r="540" ht="15.75" customHeight="1" s="67">
      <c r="A540" s="2" t="n"/>
      <c r="B540" s="2" t="n"/>
      <c r="C540" s="2" t="n"/>
      <c r="D540" s="2" t="n"/>
      <c r="E540" s="2" t="n"/>
      <c r="F540" s="2" t="n"/>
    </row>
    <row r="541" ht="15.75" customHeight="1" s="67">
      <c r="A541" s="2" t="n"/>
      <c r="B541" s="2" t="n"/>
      <c r="C541" s="2" t="n"/>
      <c r="D541" s="2" t="n"/>
      <c r="E541" s="2" t="n"/>
      <c r="F541" s="2" t="n"/>
    </row>
    <row r="542" ht="15.75" customHeight="1" s="67">
      <c r="A542" s="2" t="n"/>
      <c r="B542" s="2" t="n"/>
      <c r="C542" s="2" t="n"/>
      <c r="D542" s="2" t="n"/>
      <c r="E542" s="2" t="n"/>
      <c r="F542" s="2" t="n"/>
    </row>
    <row r="543" ht="15.75" customHeight="1" s="67">
      <c r="A543" s="2" t="n"/>
      <c r="B543" s="2" t="n"/>
      <c r="C543" s="2" t="n"/>
      <c r="D543" s="2" t="n"/>
      <c r="E543" s="2" t="n"/>
      <c r="F543" s="2" t="n"/>
    </row>
    <row r="544" ht="15.75" customHeight="1" s="67">
      <c r="A544" s="2" t="n"/>
      <c r="B544" s="2" t="n"/>
      <c r="C544" s="2" t="n"/>
      <c r="D544" s="2" t="n"/>
      <c r="E544" s="2" t="n"/>
      <c r="F544" s="2" t="n"/>
    </row>
    <row r="545" ht="15.75" customHeight="1" s="67">
      <c r="A545" s="2" t="n"/>
      <c r="B545" s="2" t="n"/>
      <c r="C545" s="2" t="n"/>
      <c r="D545" s="2" t="n"/>
      <c r="E545" s="2" t="n"/>
      <c r="F545" s="2" t="n"/>
    </row>
    <row r="546" ht="15.75" customHeight="1" s="67">
      <c r="A546" s="2" t="n"/>
      <c r="B546" s="2" t="n"/>
      <c r="C546" s="2" t="n"/>
      <c r="D546" s="2" t="n"/>
      <c r="E546" s="2" t="n"/>
      <c r="F546" s="2" t="n"/>
    </row>
    <row r="547" ht="15.75" customHeight="1" s="67">
      <c r="A547" s="2" t="n"/>
      <c r="B547" s="2" t="n"/>
      <c r="C547" s="2" t="n"/>
      <c r="D547" s="2" t="n"/>
      <c r="E547" s="2" t="n"/>
      <c r="F547" s="2" t="n"/>
    </row>
    <row r="548" ht="15.75" customHeight="1" s="67">
      <c r="A548" s="2" t="n"/>
      <c r="B548" s="2" t="n"/>
      <c r="C548" s="2" t="n"/>
      <c r="D548" s="2" t="n"/>
      <c r="E548" s="2" t="n"/>
      <c r="F548" s="2" t="n"/>
    </row>
    <row r="549" ht="15.75" customHeight="1" s="67">
      <c r="A549" s="2" t="n"/>
      <c r="B549" s="2" t="n"/>
      <c r="C549" s="2" t="n"/>
      <c r="D549" s="2" t="n"/>
      <c r="E549" s="2" t="n"/>
      <c r="F549" s="2" t="n"/>
    </row>
    <row r="550" ht="15.75" customHeight="1" s="67">
      <c r="A550" s="2" t="n"/>
      <c r="B550" s="2" t="n"/>
      <c r="C550" s="2" t="n"/>
      <c r="D550" s="2" t="n"/>
      <c r="E550" s="2" t="n"/>
      <c r="F550" s="2" t="n"/>
    </row>
    <row r="551" ht="15.75" customHeight="1" s="67">
      <c r="A551" s="2" t="n"/>
      <c r="B551" s="2" t="n"/>
      <c r="C551" s="2" t="n"/>
      <c r="D551" s="2" t="n"/>
      <c r="E551" s="2" t="n"/>
      <c r="F551" s="2" t="n"/>
    </row>
    <row r="552" ht="15.75" customHeight="1" s="67">
      <c r="A552" s="2" t="n"/>
      <c r="B552" s="2" t="n"/>
      <c r="C552" s="2" t="n"/>
      <c r="D552" s="2" t="n"/>
      <c r="E552" s="2" t="n"/>
      <c r="F552" s="2" t="n"/>
    </row>
    <row r="553" ht="15.75" customHeight="1" s="67">
      <c r="A553" s="2" t="n"/>
      <c r="B553" s="2" t="n"/>
      <c r="C553" s="2" t="n"/>
      <c r="D553" s="2" t="n"/>
      <c r="E553" s="2" t="n"/>
      <c r="F553" s="2" t="n"/>
    </row>
    <row r="554" ht="15.75" customHeight="1" s="67">
      <c r="A554" s="2" t="n"/>
      <c r="B554" s="2" t="n"/>
      <c r="C554" s="2" t="n"/>
      <c r="D554" s="2" t="n"/>
      <c r="E554" s="2" t="n"/>
      <c r="F554" s="2" t="n"/>
    </row>
    <row r="555" ht="15.75" customHeight="1" s="67">
      <c r="A555" s="2" t="n"/>
      <c r="B555" s="2" t="n"/>
      <c r="C555" s="2" t="n"/>
      <c r="D555" s="2" t="n"/>
      <c r="E555" s="2" t="n"/>
      <c r="F555" s="2" t="n"/>
    </row>
    <row r="556" ht="15.75" customHeight="1" s="67">
      <c r="A556" s="2" t="n"/>
      <c r="B556" s="2" t="n"/>
      <c r="C556" s="2" t="n"/>
      <c r="D556" s="2" t="n"/>
      <c r="E556" s="2" t="n"/>
      <c r="F556" s="2" t="n"/>
    </row>
    <row r="557" ht="15.75" customHeight="1" s="67">
      <c r="A557" s="2" t="n"/>
      <c r="B557" s="2" t="n"/>
      <c r="C557" s="2" t="n"/>
      <c r="D557" s="2" t="n"/>
      <c r="E557" s="2" t="n"/>
      <c r="F557" s="2" t="n"/>
    </row>
    <row r="558" ht="15.75" customHeight="1" s="67">
      <c r="A558" s="2" t="n"/>
      <c r="B558" s="2" t="n"/>
      <c r="C558" s="2" t="n"/>
      <c r="D558" s="2" t="n"/>
      <c r="E558" s="2" t="n"/>
      <c r="F558" s="2" t="n"/>
    </row>
    <row r="559" ht="15.75" customHeight="1" s="67">
      <c r="A559" s="2" t="n"/>
      <c r="B559" s="2" t="n"/>
      <c r="C559" s="2" t="n"/>
      <c r="D559" s="2" t="n"/>
      <c r="E559" s="2" t="n"/>
      <c r="F559" s="2" t="n"/>
    </row>
    <row r="560" ht="15.75" customHeight="1" s="67">
      <c r="A560" s="2" t="n"/>
      <c r="B560" s="2" t="n"/>
      <c r="C560" s="2" t="n"/>
      <c r="D560" s="2" t="n"/>
      <c r="E560" s="2" t="n"/>
      <c r="F560" s="2" t="n"/>
    </row>
    <row r="561" ht="15.75" customHeight="1" s="67">
      <c r="A561" s="2" t="n"/>
      <c r="B561" s="2" t="n"/>
      <c r="C561" s="2" t="n"/>
      <c r="D561" s="2" t="n"/>
      <c r="E561" s="2" t="n"/>
      <c r="F561" s="2" t="n"/>
    </row>
    <row r="562" ht="15.75" customHeight="1" s="67">
      <c r="A562" s="2" t="n"/>
      <c r="B562" s="2" t="n"/>
      <c r="C562" s="2" t="n"/>
      <c r="D562" s="2" t="n"/>
      <c r="E562" s="2" t="n"/>
      <c r="F562" s="2" t="n"/>
    </row>
    <row r="563" ht="15.75" customHeight="1" s="67">
      <c r="A563" s="2" t="n"/>
      <c r="B563" s="2" t="n"/>
      <c r="C563" s="2" t="n"/>
      <c r="D563" s="2" t="n"/>
      <c r="E563" s="2" t="n"/>
      <c r="F563" s="2" t="n"/>
    </row>
    <row r="564" ht="15.75" customHeight="1" s="67">
      <c r="A564" s="2" t="n"/>
      <c r="B564" s="2" t="n"/>
      <c r="C564" s="2" t="n"/>
      <c r="D564" s="2" t="n"/>
      <c r="E564" s="2" t="n"/>
      <c r="F564" s="2" t="n"/>
    </row>
    <row r="565" ht="15.75" customHeight="1" s="67">
      <c r="A565" s="2" t="n"/>
      <c r="B565" s="2" t="n"/>
      <c r="C565" s="2" t="n"/>
      <c r="D565" s="2" t="n"/>
      <c r="E565" s="2" t="n"/>
      <c r="F565" s="2" t="n"/>
    </row>
    <row r="566" ht="15.75" customHeight="1" s="67">
      <c r="A566" s="2" t="n"/>
      <c r="B566" s="2" t="n"/>
      <c r="C566" s="2" t="n"/>
      <c r="D566" s="2" t="n"/>
      <c r="E566" s="2" t="n"/>
      <c r="F566" s="2" t="n"/>
    </row>
    <row r="567" ht="15.75" customHeight="1" s="67">
      <c r="A567" s="2" t="n"/>
      <c r="B567" s="2" t="n"/>
      <c r="C567" s="2" t="n"/>
      <c r="D567" s="2" t="n"/>
      <c r="E567" s="2" t="n"/>
      <c r="F567" s="2" t="n"/>
    </row>
    <row r="568" ht="15.75" customHeight="1" s="67">
      <c r="A568" s="2" t="n"/>
      <c r="B568" s="2" t="n"/>
      <c r="C568" s="2" t="n"/>
      <c r="D568" s="2" t="n"/>
      <c r="E568" s="2" t="n"/>
      <c r="F568" s="2" t="n"/>
    </row>
    <row r="569" ht="15.75" customHeight="1" s="67">
      <c r="A569" s="2" t="n"/>
      <c r="B569" s="2" t="n"/>
      <c r="C569" s="2" t="n"/>
      <c r="D569" s="2" t="n"/>
      <c r="E569" s="2" t="n"/>
      <c r="F569" s="2" t="n"/>
    </row>
    <row r="570" ht="15.75" customHeight="1" s="67">
      <c r="A570" s="2" t="n"/>
      <c r="B570" s="2" t="n"/>
      <c r="C570" s="2" t="n"/>
      <c r="D570" s="2" t="n"/>
      <c r="E570" s="2" t="n"/>
      <c r="F570" s="2" t="n"/>
    </row>
    <row r="571" ht="15.75" customHeight="1" s="67">
      <c r="A571" s="2" t="n"/>
      <c r="B571" s="2" t="n"/>
      <c r="C571" s="2" t="n"/>
      <c r="D571" s="2" t="n"/>
      <c r="E571" s="2" t="n"/>
      <c r="F571" s="2" t="n"/>
    </row>
    <row r="572" ht="15.75" customHeight="1" s="67">
      <c r="A572" s="2" t="n"/>
      <c r="B572" s="2" t="n"/>
      <c r="C572" s="2" t="n"/>
      <c r="D572" s="2" t="n"/>
      <c r="E572" s="2" t="n"/>
      <c r="F572" s="2" t="n"/>
    </row>
    <row r="573" ht="15.75" customHeight="1" s="67">
      <c r="A573" s="2" t="n"/>
      <c r="B573" s="2" t="n"/>
      <c r="C573" s="2" t="n"/>
      <c r="D573" s="2" t="n"/>
      <c r="E573" s="2" t="n"/>
      <c r="F573" s="2" t="n"/>
    </row>
    <row r="574" ht="15.75" customHeight="1" s="67">
      <c r="A574" s="2" t="n"/>
      <c r="B574" s="2" t="n"/>
      <c r="C574" s="2" t="n"/>
      <c r="D574" s="2" t="n"/>
      <c r="E574" s="2" t="n"/>
      <c r="F574" s="2" t="n"/>
    </row>
    <row r="575" ht="15.75" customHeight="1" s="67">
      <c r="A575" s="2" t="n"/>
      <c r="B575" s="2" t="n"/>
      <c r="C575" s="2" t="n"/>
      <c r="D575" s="2" t="n"/>
      <c r="E575" s="2" t="n"/>
      <c r="F575" s="2" t="n"/>
    </row>
    <row r="576" ht="15.75" customHeight="1" s="67">
      <c r="A576" s="2" t="n"/>
      <c r="B576" s="2" t="n"/>
      <c r="C576" s="2" t="n"/>
      <c r="D576" s="2" t="n"/>
      <c r="E576" s="2" t="n"/>
      <c r="F576" s="2" t="n"/>
    </row>
    <row r="577" ht="15.75" customHeight="1" s="67">
      <c r="A577" s="2" t="n"/>
      <c r="B577" s="2" t="n"/>
      <c r="C577" s="2" t="n"/>
      <c r="D577" s="2" t="n"/>
      <c r="E577" s="2" t="n"/>
      <c r="F577" s="2" t="n"/>
    </row>
    <row r="578" ht="15.75" customHeight="1" s="67">
      <c r="A578" s="2" t="n"/>
      <c r="B578" s="2" t="n"/>
      <c r="C578" s="2" t="n"/>
      <c r="D578" s="2" t="n"/>
      <c r="E578" s="2" t="n"/>
      <c r="F578" s="2" t="n"/>
    </row>
    <row r="579" ht="15.75" customHeight="1" s="67">
      <c r="A579" s="2" t="n"/>
      <c r="B579" s="2" t="n"/>
      <c r="C579" s="2" t="n"/>
      <c r="D579" s="2" t="n"/>
      <c r="E579" s="2" t="n"/>
      <c r="F579" s="2" t="n"/>
    </row>
    <row r="580" ht="15.75" customHeight="1" s="67">
      <c r="A580" s="2" t="n"/>
      <c r="B580" s="2" t="n"/>
      <c r="C580" s="2" t="n"/>
      <c r="D580" s="2" t="n"/>
      <c r="E580" s="2" t="n"/>
      <c r="F580" s="2" t="n"/>
    </row>
    <row r="581" ht="15.75" customHeight="1" s="67">
      <c r="A581" s="2" t="n"/>
      <c r="B581" s="2" t="n"/>
      <c r="C581" s="2" t="n"/>
      <c r="D581" s="2" t="n"/>
      <c r="E581" s="2" t="n"/>
      <c r="F581" s="2" t="n"/>
    </row>
    <row r="582" ht="15.75" customHeight="1" s="67">
      <c r="A582" s="2" t="n"/>
      <c r="B582" s="2" t="n"/>
      <c r="C582" s="2" t="n"/>
      <c r="D582" s="2" t="n"/>
      <c r="E582" s="2" t="n"/>
      <c r="F582" s="2" t="n"/>
    </row>
    <row r="583" ht="15.75" customHeight="1" s="67">
      <c r="A583" s="2" t="n"/>
      <c r="B583" s="2" t="n"/>
      <c r="C583" s="2" t="n"/>
      <c r="D583" s="2" t="n"/>
      <c r="E583" s="2" t="n"/>
      <c r="F583" s="2" t="n"/>
    </row>
    <row r="584" ht="15.75" customHeight="1" s="67">
      <c r="A584" s="2" t="n"/>
      <c r="B584" s="2" t="n"/>
      <c r="C584" s="2" t="n"/>
      <c r="D584" s="2" t="n"/>
      <c r="E584" s="2" t="n"/>
      <c r="F584" s="2" t="n"/>
    </row>
    <row r="585" ht="15.75" customHeight="1" s="67">
      <c r="A585" s="2" t="n"/>
      <c r="B585" s="2" t="n"/>
      <c r="C585" s="2" t="n"/>
      <c r="D585" s="2" t="n"/>
      <c r="E585" s="2" t="n"/>
      <c r="F585" s="2" t="n"/>
    </row>
    <row r="586" ht="15.75" customHeight="1" s="67">
      <c r="A586" s="2" t="n"/>
      <c r="B586" s="2" t="n"/>
      <c r="C586" s="2" t="n"/>
      <c r="D586" s="2" t="n"/>
      <c r="E586" s="2" t="n"/>
      <c r="F586" s="2" t="n"/>
    </row>
    <row r="587" ht="15.75" customHeight="1" s="67">
      <c r="A587" s="2" t="n"/>
      <c r="B587" s="2" t="n"/>
      <c r="C587" s="2" t="n"/>
      <c r="D587" s="2" t="n"/>
      <c r="E587" s="2" t="n"/>
      <c r="F587" s="2" t="n"/>
    </row>
    <row r="588" ht="15.75" customHeight="1" s="67">
      <c r="A588" s="2" t="n"/>
      <c r="B588" s="2" t="n"/>
      <c r="C588" s="2" t="n"/>
      <c r="D588" s="2" t="n"/>
      <c r="E588" s="2" t="n"/>
      <c r="F588" s="2" t="n"/>
    </row>
    <row r="589" ht="15.75" customHeight="1" s="67">
      <c r="A589" s="2" t="n"/>
      <c r="B589" s="2" t="n"/>
      <c r="C589" s="2" t="n"/>
      <c r="D589" s="2" t="n"/>
      <c r="E589" s="2" t="n"/>
      <c r="F589" s="2" t="n"/>
    </row>
    <row r="590" ht="15.75" customHeight="1" s="67">
      <c r="A590" s="2" t="n"/>
      <c r="B590" s="2" t="n"/>
      <c r="C590" s="2" t="n"/>
      <c r="D590" s="2" t="n"/>
      <c r="E590" s="2" t="n"/>
      <c r="F590" s="2" t="n"/>
    </row>
    <row r="591" ht="15.75" customHeight="1" s="67">
      <c r="A591" s="2" t="n"/>
      <c r="B591" s="2" t="n"/>
      <c r="C591" s="2" t="n"/>
      <c r="D591" s="2" t="n"/>
      <c r="E591" s="2" t="n"/>
      <c r="F591" s="2" t="n"/>
    </row>
    <row r="592" ht="15.75" customHeight="1" s="67">
      <c r="A592" s="2" t="n"/>
      <c r="B592" s="2" t="n"/>
      <c r="C592" s="2" t="n"/>
      <c r="D592" s="2" t="n"/>
      <c r="E592" s="2" t="n"/>
      <c r="F592" s="2" t="n"/>
    </row>
    <row r="593" ht="15.75" customHeight="1" s="67">
      <c r="A593" s="2" t="n"/>
      <c r="B593" s="2" t="n"/>
      <c r="C593" s="2" t="n"/>
      <c r="D593" s="2" t="n"/>
      <c r="E593" s="2" t="n"/>
      <c r="F593" s="2" t="n"/>
    </row>
    <row r="594" ht="15.75" customHeight="1" s="67">
      <c r="A594" s="2" t="n"/>
      <c r="B594" s="2" t="n"/>
      <c r="C594" s="2" t="n"/>
      <c r="D594" s="2" t="n"/>
      <c r="E594" s="2" t="n"/>
      <c r="F594" s="2" t="n"/>
    </row>
    <row r="595" ht="15.75" customHeight="1" s="67">
      <c r="A595" s="2" t="n"/>
      <c r="B595" s="2" t="n"/>
      <c r="C595" s="2" t="n"/>
      <c r="D595" s="2" t="n"/>
      <c r="E595" s="2" t="n"/>
      <c r="F595" s="2" t="n"/>
    </row>
    <row r="596" ht="15.75" customHeight="1" s="67">
      <c r="A596" s="2" t="n"/>
      <c r="B596" s="2" t="n"/>
      <c r="C596" s="2" t="n"/>
      <c r="D596" s="2" t="n"/>
      <c r="E596" s="2" t="n"/>
      <c r="F596" s="2" t="n"/>
    </row>
    <row r="597" ht="15.75" customHeight="1" s="67">
      <c r="A597" s="2" t="n"/>
      <c r="B597" s="2" t="n"/>
      <c r="C597" s="2" t="n"/>
      <c r="D597" s="2" t="n"/>
      <c r="E597" s="2" t="n"/>
      <c r="F597" s="2" t="n"/>
    </row>
    <row r="598" ht="15.75" customHeight="1" s="67">
      <c r="A598" s="2" t="n"/>
      <c r="B598" s="2" t="n"/>
      <c r="C598" s="2" t="n"/>
      <c r="D598" s="2" t="n"/>
      <c r="E598" s="2" t="n"/>
      <c r="F598" s="2" t="n"/>
    </row>
    <row r="599" ht="15.75" customHeight="1" s="67">
      <c r="A599" s="2" t="n"/>
      <c r="B599" s="2" t="n"/>
      <c r="C599" s="2" t="n"/>
      <c r="D599" s="2" t="n"/>
      <c r="E599" s="2" t="n"/>
      <c r="F599" s="2" t="n"/>
    </row>
    <row r="600" ht="15.75" customHeight="1" s="67">
      <c r="A600" s="2" t="n"/>
      <c r="B600" s="2" t="n"/>
      <c r="C600" s="2" t="n"/>
      <c r="D600" s="2" t="n"/>
      <c r="E600" s="2" t="n"/>
      <c r="F600" s="2" t="n"/>
    </row>
    <row r="601" ht="15.75" customHeight="1" s="67">
      <c r="A601" s="2" t="n"/>
      <c r="B601" s="2" t="n"/>
      <c r="C601" s="2" t="n"/>
      <c r="D601" s="2" t="n"/>
      <c r="E601" s="2" t="n"/>
      <c r="F601" s="2" t="n"/>
    </row>
    <row r="602" ht="15.75" customHeight="1" s="67">
      <c r="A602" s="2" t="n"/>
      <c r="B602" s="2" t="n"/>
      <c r="C602" s="2" t="n"/>
      <c r="D602" s="2" t="n"/>
      <c r="E602" s="2" t="n"/>
      <c r="F602" s="2" t="n"/>
    </row>
    <row r="603" ht="15.75" customHeight="1" s="67">
      <c r="A603" s="2" t="n"/>
      <c r="B603" s="2" t="n"/>
      <c r="C603" s="2" t="n"/>
      <c r="D603" s="2" t="n"/>
      <c r="E603" s="2" t="n"/>
      <c r="F603" s="2" t="n"/>
    </row>
    <row r="604" ht="15.75" customHeight="1" s="67">
      <c r="A604" s="2" t="n"/>
      <c r="B604" s="2" t="n"/>
      <c r="C604" s="2" t="n"/>
      <c r="D604" s="2" t="n"/>
      <c r="E604" s="2" t="n"/>
      <c r="F604" s="2" t="n"/>
    </row>
    <row r="605" ht="15.75" customHeight="1" s="67">
      <c r="A605" s="2" t="n"/>
      <c r="B605" s="2" t="n"/>
      <c r="C605" s="2" t="n"/>
      <c r="D605" s="2" t="n"/>
      <c r="E605" s="2" t="n"/>
      <c r="F605" s="2" t="n"/>
    </row>
    <row r="606" ht="15.75" customHeight="1" s="67">
      <c r="A606" s="2" t="n"/>
      <c r="B606" s="2" t="n"/>
      <c r="C606" s="2" t="n"/>
      <c r="D606" s="2" t="n"/>
      <c r="E606" s="2" t="n"/>
      <c r="F606" s="2" t="n"/>
    </row>
    <row r="607" ht="15.75" customHeight="1" s="67">
      <c r="A607" s="2" t="n"/>
      <c r="B607" s="2" t="n"/>
      <c r="C607" s="2" t="n"/>
      <c r="D607" s="2" t="n"/>
      <c r="E607" s="2" t="n"/>
      <c r="F607" s="2" t="n"/>
    </row>
    <row r="608" ht="15.75" customHeight="1" s="67">
      <c r="A608" s="2" t="n"/>
      <c r="B608" s="2" t="n"/>
      <c r="C608" s="2" t="n"/>
      <c r="D608" s="2" t="n"/>
      <c r="E608" s="2" t="n"/>
      <c r="F608" s="2" t="n"/>
    </row>
    <row r="609" ht="15.75" customHeight="1" s="67">
      <c r="A609" s="2" t="n"/>
      <c r="B609" s="2" t="n"/>
      <c r="C609" s="2" t="n"/>
      <c r="D609" s="2" t="n"/>
      <c r="E609" s="2" t="n"/>
      <c r="F609" s="2" t="n"/>
    </row>
    <row r="610" ht="15.75" customHeight="1" s="67">
      <c r="A610" s="2" t="n"/>
      <c r="B610" s="2" t="n"/>
      <c r="C610" s="2" t="n"/>
      <c r="D610" s="2" t="n"/>
      <c r="E610" s="2" t="n"/>
      <c r="F610" s="2" t="n"/>
    </row>
    <row r="611" ht="15.75" customHeight="1" s="67">
      <c r="A611" s="2" t="n"/>
      <c r="B611" s="2" t="n"/>
      <c r="C611" s="2" t="n"/>
      <c r="D611" s="2" t="n"/>
      <c r="E611" s="2" t="n"/>
      <c r="F611" s="2" t="n"/>
    </row>
    <row r="612" ht="15.75" customHeight="1" s="67">
      <c r="A612" s="2" t="n"/>
      <c r="B612" s="2" t="n"/>
      <c r="C612" s="2" t="n"/>
      <c r="D612" s="2" t="n"/>
      <c r="E612" s="2" t="n"/>
      <c r="F612" s="2" t="n"/>
    </row>
    <row r="613" ht="15.75" customHeight="1" s="67">
      <c r="A613" s="2" t="n"/>
      <c r="B613" s="2" t="n"/>
      <c r="C613" s="2" t="n"/>
      <c r="D613" s="2" t="n"/>
      <c r="E613" s="2" t="n"/>
      <c r="F613" s="2" t="n"/>
    </row>
    <row r="614" ht="15.75" customHeight="1" s="67">
      <c r="A614" s="2" t="n"/>
      <c r="B614" s="2" t="n"/>
      <c r="C614" s="2" t="n"/>
      <c r="D614" s="2" t="n"/>
      <c r="E614" s="2" t="n"/>
      <c r="F614" s="2" t="n"/>
    </row>
    <row r="615" ht="15.75" customHeight="1" s="67">
      <c r="A615" s="2" t="n"/>
      <c r="B615" s="2" t="n"/>
      <c r="C615" s="2" t="n"/>
      <c r="D615" s="2" t="n"/>
      <c r="E615" s="2" t="n"/>
      <c r="F615" s="2" t="n"/>
    </row>
    <row r="616" ht="15.75" customHeight="1" s="67">
      <c r="A616" s="2" t="n"/>
      <c r="B616" s="2" t="n"/>
      <c r="C616" s="2" t="n"/>
      <c r="D616" s="2" t="n"/>
      <c r="E616" s="2" t="n"/>
      <c r="F616" s="2" t="n"/>
    </row>
    <row r="617" ht="15.75" customHeight="1" s="67">
      <c r="A617" s="2" t="n"/>
      <c r="B617" s="2" t="n"/>
      <c r="C617" s="2" t="n"/>
      <c r="D617" s="2" t="n"/>
      <c r="E617" s="2" t="n"/>
      <c r="F617" s="2" t="n"/>
    </row>
    <row r="618" ht="15.75" customHeight="1" s="67">
      <c r="A618" s="2" t="n"/>
      <c r="B618" s="2" t="n"/>
      <c r="C618" s="2" t="n"/>
      <c r="D618" s="2" t="n"/>
      <c r="E618" s="2" t="n"/>
      <c r="F618" s="2" t="n"/>
    </row>
    <row r="619" ht="15.75" customHeight="1" s="67">
      <c r="A619" s="2" t="n"/>
      <c r="B619" s="2" t="n"/>
      <c r="C619" s="2" t="n"/>
      <c r="D619" s="2" t="n"/>
      <c r="E619" s="2" t="n"/>
      <c r="F619" s="2" t="n"/>
    </row>
    <row r="620" ht="15.75" customHeight="1" s="67">
      <c r="A620" s="2" t="n"/>
      <c r="B620" s="2" t="n"/>
      <c r="C620" s="2" t="n"/>
      <c r="D620" s="2" t="n"/>
      <c r="E620" s="2" t="n"/>
      <c r="F620" s="2" t="n"/>
    </row>
    <row r="621" ht="15.75" customHeight="1" s="67">
      <c r="A621" s="2" t="n"/>
      <c r="B621" s="2" t="n"/>
      <c r="C621" s="2" t="n"/>
      <c r="D621" s="2" t="n"/>
      <c r="E621" s="2" t="n"/>
      <c r="F621" s="2" t="n"/>
    </row>
    <row r="622" ht="15.75" customHeight="1" s="67">
      <c r="A622" s="2" t="n"/>
      <c r="B622" s="2" t="n"/>
      <c r="C622" s="2" t="n"/>
      <c r="D622" s="2" t="n"/>
      <c r="E622" s="2" t="n"/>
      <c r="F622" s="2" t="n"/>
    </row>
    <row r="623" ht="15.75" customHeight="1" s="67">
      <c r="A623" s="2" t="n"/>
      <c r="B623" s="2" t="n"/>
      <c r="C623" s="2" t="n"/>
      <c r="D623" s="2" t="n"/>
      <c r="E623" s="2" t="n"/>
      <c r="F623" s="2" t="n"/>
    </row>
    <row r="624" ht="15.75" customHeight="1" s="67">
      <c r="A624" s="2" t="n"/>
      <c r="B624" s="2" t="n"/>
      <c r="C624" s="2" t="n"/>
      <c r="D624" s="2" t="n"/>
      <c r="E624" s="2" t="n"/>
      <c r="F624" s="2" t="n"/>
    </row>
    <row r="625" ht="15.75" customHeight="1" s="67">
      <c r="A625" s="2" t="n"/>
      <c r="B625" s="2" t="n"/>
      <c r="C625" s="2" t="n"/>
      <c r="D625" s="2" t="n"/>
      <c r="E625" s="2" t="n"/>
      <c r="F625" s="2" t="n"/>
    </row>
    <row r="626" ht="15.75" customHeight="1" s="67">
      <c r="A626" s="2" t="n"/>
      <c r="B626" s="2" t="n"/>
      <c r="C626" s="2" t="n"/>
      <c r="D626" s="2" t="n"/>
      <c r="E626" s="2" t="n"/>
      <c r="F626" s="2" t="n"/>
    </row>
    <row r="627" ht="15.75" customHeight="1" s="67">
      <c r="A627" s="2" t="n"/>
      <c r="B627" s="2" t="n"/>
      <c r="C627" s="2" t="n"/>
      <c r="D627" s="2" t="n"/>
      <c r="E627" s="2" t="n"/>
      <c r="F627" s="2" t="n"/>
    </row>
    <row r="628" ht="15.75" customHeight="1" s="67">
      <c r="A628" s="2" t="n"/>
      <c r="B628" s="2" t="n"/>
      <c r="C628" s="2" t="n"/>
      <c r="D628" s="2" t="n"/>
      <c r="E628" s="2" t="n"/>
      <c r="F628" s="2" t="n"/>
    </row>
    <row r="629" ht="15.75" customHeight="1" s="67">
      <c r="A629" s="2" t="n"/>
      <c r="B629" s="2" t="n"/>
      <c r="C629" s="2" t="n"/>
      <c r="D629" s="2" t="n"/>
      <c r="E629" s="2" t="n"/>
      <c r="F629" s="2" t="n"/>
    </row>
    <row r="630" ht="15.75" customHeight="1" s="67">
      <c r="A630" s="2" t="n"/>
      <c r="B630" s="2" t="n"/>
      <c r="C630" s="2" t="n"/>
      <c r="D630" s="2" t="n"/>
      <c r="E630" s="2" t="n"/>
      <c r="F630" s="2" t="n"/>
    </row>
    <row r="631" ht="15.75" customHeight="1" s="67">
      <c r="A631" s="2" t="n"/>
      <c r="B631" s="2" t="n"/>
      <c r="C631" s="2" t="n"/>
      <c r="D631" s="2" t="n"/>
      <c r="E631" s="2" t="n"/>
      <c r="F631" s="2" t="n"/>
    </row>
    <row r="632" ht="15.75" customHeight="1" s="67">
      <c r="A632" s="2" t="n"/>
      <c r="B632" s="2" t="n"/>
      <c r="C632" s="2" t="n"/>
      <c r="D632" s="2" t="n"/>
      <c r="E632" s="2" t="n"/>
      <c r="F632" s="2" t="n"/>
    </row>
    <row r="633" ht="15.75" customHeight="1" s="67">
      <c r="A633" s="2" t="n"/>
      <c r="B633" s="2" t="n"/>
      <c r="C633" s="2" t="n"/>
      <c r="D633" s="2" t="n"/>
      <c r="E633" s="2" t="n"/>
      <c r="F633" s="2" t="n"/>
    </row>
    <row r="634" ht="15.75" customHeight="1" s="67">
      <c r="A634" s="2" t="n"/>
      <c r="B634" s="2" t="n"/>
      <c r="C634" s="2" t="n"/>
      <c r="D634" s="2" t="n"/>
      <c r="E634" s="2" t="n"/>
      <c r="F634" s="2" t="n"/>
    </row>
    <row r="635" ht="15.75" customHeight="1" s="67">
      <c r="A635" s="2" t="n"/>
      <c r="B635" s="2" t="n"/>
      <c r="C635" s="2" t="n"/>
      <c r="D635" s="2" t="n"/>
      <c r="E635" s="2" t="n"/>
      <c r="F635" s="2" t="n"/>
    </row>
    <row r="636" ht="15.75" customHeight="1" s="67">
      <c r="A636" s="2" t="n"/>
      <c r="B636" s="2" t="n"/>
      <c r="C636" s="2" t="n"/>
      <c r="D636" s="2" t="n"/>
      <c r="E636" s="2" t="n"/>
      <c r="F636" s="2" t="n"/>
    </row>
    <row r="637" ht="15.75" customHeight="1" s="67">
      <c r="A637" s="2" t="n"/>
      <c r="B637" s="2" t="n"/>
      <c r="C637" s="2" t="n"/>
      <c r="D637" s="2" t="n"/>
      <c r="E637" s="2" t="n"/>
      <c r="F637" s="2" t="n"/>
    </row>
    <row r="638" ht="15.75" customHeight="1" s="67">
      <c r="A638" s="2" t="n"/>
      <c r="B638" s="2" t="n"/>
      <c r="C638" s="2" t="n"/>
      <c r="D638" s="2" t="n"/>
      <c r="E638" s="2" t="n"/>
      <c r="F638" s="2" t="n"/>
    </row>
    <row r="639" ht="15.75" customHeight="1" s="67">
      <c r="A639" s="2" t="n"/>
      <c r="B639" s="2" t="n"/>
      <c r="C639" s="2" t="n"/>
      <c r="D639" s="2" t="n"/>
      <c r="E639" s="2" t="n"/>
      <c r="F639" s="2" t="n"/>
    </row>
    <row r="640" ht="15.75" customHeight="1" s="67">
      <c r="A640" s="2" t="n"/>
      <c r="B640" s="2" t="n"/>
      <c r="C640" s="2" t="n"/>
      <c r="D640" s="2" t="n"/>
      <c r="E640" s="2" t="n"/>
      <c r="F640" s="2" t="n"/>
    </row>
    <row r="641" ht="15.75" customHeight="1" s="67">
      <c r="A641" s="2" t="n"/>
      <c r="B641" s="2" t="n"/>
      <c r="C641" s="2" t="n"/>
      <c r="D641" s="2" t="n"/>
      <c r="E641" s="2" t="n"/>
      <c r="F641" s="2" t="n"/>
    </row>
    <row r="642" ht="15.75" customHeight="1" s="67">
      <c r="A642" s="2" t="n"/>
      <c r="B642" s="2" t="n"/>
      <c r="C642" s="2" t="n"/>
      <c r="D642" s="2" t="n"/>
      <c r="E642" s="2" t="n"/>
      <c r="F642" s="2" t="n"/>
    </row>
    <row r="643" ht="15.75" customHeight="1" s="67">
      <c r="A643" s="2" t="n"/>
      <c r="B643" s="2" t="n"/>
      <c r="C643" s="2" t="n"/>
      <c r="D643" s="2" t="n"/>
      <c r="E643" s="2" t="n"/>
      <c r="F643" s="2" t="n"/>
    </row>
    <row r="644" ht="15.75" customHeight="1" s="67">
      <c r="A644" s="2" t="n"/>
      <c r="B644" s="2" t="n"/>
      <c r="C644" s="2" t="n"/>
      <c r="D644" s="2" t="n"/>
      <c r="E644" s="2" t="n"/>
      <c r="F644" s="2" t="n"/>
    </row>
    <row r="645" ht="15.75" customHeight="1" s="67">
      <c r="A645" s="2" t="n"/>
      <c r="B645" s="2" t="n"/>
      <c r="C645" s="2" t="n"/>
      <c r="D645" s="2" t="n"/>
      <c r="E645" s="2" t="n"/>
      <c r="F645" s="2" t="n"/>
    </row>
    <row r="646" ht="15.75" customHeight="1" s="67">
      <c r="A646" s="2" t="n"/>
      <c r="B646" s="2" t="n"/>
      <c r="C646" s="2" t="n"/>
      <c r="D646" s="2" t="n"/>
      <c r="E646" s="2" t="n"/>
      <c r="F646" s="2" t="n"/>
    </row>
    <row r="647" ht="15.75" customHeight="1" s="67">
      <c r="A647" s="2" t="n"/>
      <c r="B647" s="2" t="n"/>
      <c r="C647" s="2" t="n"/>
      <c r="D647" s="2" t="n"/>
      <c r="E647" s="2" t="n"/>
      <c r="F647" s="2" t="n"/>
    </row>
    <row r="648" ht="15.75" customHeight="1" s="67">
      <c r="A648" s="2" t="n"/>
      <c r="B648" s="2" t="n"/>
      <c r="C648" s="2" t="n"/>
      <c r="D648" s="2" t="n"/>
      <c r="E648" s="2" t="n"/>
      <c r="F648" s="2" t="n"/>
    </row>
    <row r="649" ht="15.75" customHeight="1" s="67">
      <c r="A649" s="2" t="n"/>
      <c r="B649" s="2" t="n"/>
      <c r="C649" s="2" t="n"/>
      <c r="D649" s="2" t="n"/>
      <c r="E649" s="2" t="n"/>
      <c r="F649" s="2" t="n"/>
    </row>
    <row r="650" ht="15.75" customHeight="1" s="67">
      <c r="A650" s="2" t="n"/>
      <c r="B650" s="2" t="n"/>
      <c r="C650" s="2" t="n"/>
      <c r="D650" s="2" t="n"/>
      <c r="E650" s="2" t="n"/>
      <c r="F650" s="2" t="n"/>
    </row>
    <row r="651" ht="15.75" customHeight="1" s="67">
      <c r="A651" s="2" t="n"/>
      <c r="B651" s="2" t="n"/>
      <c r="C651" s="2" t="n"/>
      <c r="D651" s="2" t="n"/>
      <c r="E651" s="2" t="n"/>
      <c r="F651" s="2" t="n"/>
    </row>
    <row r="652" ht="15.75" customHeight="1" s="67">
      <c r="A652" s="2" t="n"/>
      <c r="B652" s="2" t="n"/>
      <c r="C652" s="2" t="n"/>
      <c r="D652" s="2" t="n"/>
      <c r="E652" s="2" t="n"/>
      <c r="F652" s="2" t="n"/>
    </row>
    <row r="653" ht="15.75" customHeight="1" s="67">
      <c r="A653" s="2" t="n"/>
      <c r="B653" s="2" t="n"/>
      <c r="C653" s="2" t="n"/>
      <c r="D653" s="2" t="n"/>
      <c r="E653" s="2" t="n"/>
      <c r="F653" s="2" t="n"/>
    </row>
    <row r="654" ht="15.75" customHeight="1" s="67">
      <c r="A654" s="2" t="n"/>
      <c r="B654" s="2" t="n"/>
      <c r="C654" s="2" t="n"/>
      <c r="D654" s="2" t="n"/>
      <c r="E654" s="2" t="n"/>
      <c r="F654" s="2" t="n"/>
    </row>
    <row r="655" ht="15.75" customHeight="1" s="67">
      <c r="A655" s="2" t="n"/>
      <c r="B655" s="2" t="n"/>
      <c r="C655" s="2" t="n"/>
      <c r="D655" s="2" t="n"/>
      <c r="E655" s="2" t="n"/>
      <c r="F655" s="2" t="n"/>
    </row>
    <row r="656" ht="15.75" customHeight="1" s="67">
      <c r="A656" s="2" t="n"/>
      <c r="B656" s="2" t="n"/>
      <c r="C656" s="2" t="n"/>
      <c r="D656" s="2" t="n"/>
      <c r="E656" s="2" t="n"/>
      <c r="F656" s="2" t="n"/>
    </row>
    <row r="657" ht="15.75" customHeight="1" s="67">
      <c r="A657" s="2" t="n"/>
      <c r="B657" s="2" t="n"/>
      <c r="C657" s="2" t="n"/>
      <c r="D657" s="2" t="n"/>
      <c r="E657" s="2" t="n"/>
      <c r="F657" s="2" t="n"/>
    </row>
    <row r="658" ht="15.75" customHeight="1" s="67">
      <c r="A658" s="2" t="n"/>
      <c r="B658" s="2" t="n"/>
      <c r="C658" s="2" t="n"/>
      <c r="D658" s="2" t="n"/>
      <c r="E658" s="2" t="n"/>
      <c r="F658" s="2" t="n"/>
    </row>
    <row r="659" ht="15.75" customHeight="1" s="67">
      <c r="A659" s="2" t="n"/>
      <c r="B659" s="2" t="n"/>
      <c r="C659" s="2" t="n"/>
      <c r="D659" s="2" t="n"/>
      <c r="E659" s="2" t="n"/>
      <c r="F659" s="2" t="n"/>
    </row>
    <row r="660" ht="15.75" customHeight="1" s="67">
      <c r="A660" s="2" t="n"/>
      <c r="B660" s="2" t="n"/>
      <c r="C660" s="2" t="n"/>
      <c r="D660" s="2" t="n"/>
      <c r="E660" s="2" t="n"/>
      <c r="F660" s="2" t="n"/>
    </row>
    <row r="661" ht="15.75" customHeight="1" s="67">
      <c r="A661" s="2" t="n"/>
      <c r="B661" s="2" t="n"/>
      <c r="C661" s="2" t="n"/>
      <c r="D661" s="2" t="n"/>
      <c r="E661" s="2" t="n"/>
      <c r="F661" s="2" t="n"/>
    </row>
    <row r="662" ht="15.75" customHeight="1" s="67">
      <c r="A662" s="2" t="n"/>
      <c r="B662" s="2" t="n"/>
      <c r="C662" s="2" t="n"/>
      <c r="D662" s="2" t="n"/>
      <c r="E662" s="2" t="n"/>
      <c r="F662" s="2" t="n"/>
    </row>
    <row r="663" ht="15.75" customHeight="1" s="67">
      <c r="A663" s="2" t="n"/>
      <c r="B663" s="2" t="n"/>
      <c r="C663" s="2" t="n"/>
      <c r="D663" s="2" t="n"/>
      <c r="E663" s="2" t="n"/>
      <c r="F663" s="2" t="n"/>
    </row>
    <row r="664" ht="15.75" customHeight="1" s="67">
      <c r="A664" s="2" t="n"/>
      <c r="B664" s="2" t="n"/>
      <c r="C664" s="2" t="n"/>
      <c r="D664" s="2" t="n"/>
      <c r="E664" s="2" t="n"/>
      <c r="F664" s="2" t="n"/>
    </row>
    <row r="665" ht="15.75" customHeight="1" s="67">
      <c r="A665" s="2" t="n"/>
      <c r="B665" s="2" t="n"/>
      <c r="C665" s="2" t="n"/>
      <c r="D665" s="2" t="n"/>
      <c r="E665" s="2" t="n"/>
      <c r="F665" s="2" t="n"/>
    </row>
    <row r="666" ht="15.75" customHeight="1" s="67">
      <c r="A666" s="2" t="n"/>
      <c r="B666" s="2" t="n"/>
      <c r="C666" s="2" t="n"/>
      <c r="D666" s="2" t="n"/>
      <c r="E666" s="2" t="n"/>
      <c r="F666" s="2" t="n"/>
    </row>
    <row r="667" ht="15.75" customHeight="1" s="67">
      <c r="A667" s="2" t="n"/>
      <c r="B667" s="2" t="n"/>
      <c r="C667" s="2" t="n"/>
      <c r="D667" s="2" t="n"/>
      <c r="E667" s="2" t="n"/>
      <c r="F667" s="2" t="n"/>
    </row>
    <row r="668" ht="15.75" customHeight="1" s="67">
      <c r="A668" s="2" t="n"/>
      <c r="B668" s="2" t="n"/>
      <c r="C668" s="2" t="n"/>
      <c r="D668" s="2" t="n"/>
      <c r="E668" s="2" t="n"/>
      <c r="F668" s="2" t="n"/>
    </row>
    <row r="669" ht="15.75" customHeight="1" s="67">
      <c r="A669" s="2" t="n"/>
      <c r="B669" s="2" t="n"/>
      <c r="C669" s="2" t="n"/>
      <c r="D669" s="2" t="n"/>
      <c r="E669" s="2" t="n"/>
      <c r="F669" s="2" t="n"/>
    </row>
    <row r="670" ht="15.75" customHeight="1" s="67">
      <c r="A670" s="2" t="n"/>
      <c r="B670" s="2" t="n"/>
      <c r="C670" s="2" t="n"/>
      <c r="D670" s="2" t="n"/>
      <c r="E670" s="2" t="n"/>
      <c r="F670" s="2" t="n"/>
    </row>
    <row r="671" ht="15.75" customHeight="1" s="67">
      <c r="A671" s="2" t="n"/>
      <c r="B671" s="2" t="n"/>
      <c r="C671" s="2" t="n"/>
      <c r="D671" s="2" t="n"/>
      <c r="E671" s="2" t="n"/>
      <c r="F671" s="2" t="n"/>
    </row>
    <row r="672" ht="15.75" customHeight="1" s="67">
      <c r="A672" s="2" t="n"/>
      <c r="B672" s="2" t="n"/>
      <c r="C672" s="2" t="n"/>
      <c r="D672" s="2" t="n"/>
      <c r="E672" s="2" t="n"/>
      <c r="F672" s="2" t="n"/>
    </row>
    <row r="673" ht="15.75" customHeight="1" s="67">
      <c r="A673" s="2" t="n"/>
      <c r="B673" s="2" t="n"/>
      <c r="C673" s="2" t="n"/>
      <c r="D673" s="2" t="n"/>
      <c r="E673" s="2" t="n"/>
      <c r="F673" s="2" t="n"/>
    </row>
    <row r="674" ht="15.75" customHeight="1" s="67">
      <c r="A674" s="2" t="n"/>
      <c r="B674" s="2" t="n"/>
      <c r="C674" s="2" t="n"/>
      <c r="D674" s="2" t="n"/>
      <c r="E674" s="2" t="n"/>
      <c r="F674" s="2" t="n"/>
    </row>
    <row r="675" ht="15.75" customHeight="1" s="67">
      <c r="A675" s="2" t="n"/>
      <c r="B675" s="2" t="n"/>
      <c r="C675" s="2" t="n"/>
      <c r="D675" s="2" t="n"/>
      <c r="E675" s="2" t="n"/>
      <c r="F675" s="2" t="n"/>
    </row>
    <row r="676" ht="15.75" customHeight="1" s="67">
      <c r="A676" s="2" t="n"/>
      <c r="B676" s="2" t="n"/>
      <c r="C676" s="2" t="n"/>
      <c r="D676" s="2" t="n"/>
      <c r="E676" s="2" t="n"/>
      <c r="F676" s="2" t="n"/>
    </row>
    <row r="677" ht="15.75" customHeight="1" s="67">
      <c r="A677" s="2" t="n"/>
      <c r="B677" s="2" t="n"/>
      <c r="C677" s="2" t="n"/>
      <c r="D677" s="2" t="n"/>
      <c r="E677" s="2" t="n"/>
      <c r="F677" s="2" t="n"/>
    </row>
    <row r="678" ht="15.75" customHeight="1" s="67">
      <c r="A678" s="2" t="n"/>
      <c r="B678" s="2" t="n"/>
      <c r="C678" s="2" t="n"/>
      <c r="D678" s="2" t="n"/>
      <c r="E678" s="2" t="n"/>
      <c r="F678" s="2" t="n"/>
    </row>
    <row r="679" ht="15.75" customHeight="1" s="67">
      <c r="A679" s="2" t="n"/>
      <c r="B679" s="2" t="n"/>
      <c r="C679" s="2" t="n"/>
      <c r="D679" s="2" t="n"/>
      <c r="E679" s="2" t="n"/>
      <c r="F679" s="2" t="n"/>
    </row>
    <row r="680" ht="15.75" customHeight="1" s="67">
      <c r="A680" s="2" t="n"/>
      <c r="B680" s="2" t="n"/>
      <c r="C680" s="2" t="n"/>
      <c r="D680" s="2" t="n"/>
      <c r="E680" s="2" t="n"/>
      <c r="F680" s="2" t="n"/>
    </row>
    <row r="681" ht="15.75" customHeight="1" s="67">
      <c r="A681" s="2" t="n"/>
      <c r="B681" s="2" t="n"/>
      <c r="C681" s="2" t="n"/>
      <c r="D681" s="2" t="n"/>
      <c r="E681" s="2" t="n"/>
      <c r="F681" s="2" t="n"/>
    </row>
    <row r="682" ht="15.75" customHeight="1" s="67">
      <c r="A682" s="2" t="n"/>
      <c r="B682" s="2" t="n"/>
      <c r="C682" s="2" t="n"/>
      <c r="D682" s="2" t="n"/>
      <c r="E682" s="2" t="n"/>
      <c r="F682" s="2" t="n"/>
    </row>
    <row r="683" ht="15.75" customHeight="1" s="67">
      <c r="A683" s="2" t="n"/>
      <c r="B683" s="2" t="n"/>
      <c r="C683" s="2" t="n"/>
      <c r="D683" s="2" t="n"/>
      <c r="E683" s="2" t="n"/>
      <c r="F683" s="2" t="n"/>
    </row>
    <row r="684" ht="15.75" customHeight="1" s="67">
      <c r="A684" s="2" t="n"/>
      <c r="B684" s="2" t="n"/>
      <c r="C684" s="2" t="n"/>
      <c r="D684" s="2" t="n"/>
      <c r="E684" s="2" t="n"/>
      <c r="F684" s="2" t="n"/>
    </row>
    <row r="685" ht="15.75" customHeight="1" s="67">
      <c r="A685" s="2" t="n"/>
      <c r="B685" s="2" t="n"/>
      <c r="C685" s="2" t="n"/>
      <c r="D685" s="2" t="n"/>
      <c r="E685" s="2" t="n"/>
      <c r="F685" s="2" t="n"/>
    </row>
    <row r="686" ht="15.75" customHeight="1" s="67">
      <c r="A686" s="2" t="n"/>
      <c r="B686" s="2" t="n"/>
      <c r="C686" s="2" t="n"/>
      <c r="D686" s="2" t="n"/>
      <c r="E686" s="2" t="n"/>
      <c r="F686" s="2" t="n"/>
    </row>
    <row r="687" ht="15.75" customHeight="1" s="67">
      <c r="A687" s="2" t="n"/>
      <c r="B687" s="2" t="n"/>
      <c r="C687" s="2" t="n"/>
      <c r="D687" s="2" t="n"/>
      <c r="E687" s="2" t="n"/>
      <c r="F687" s="2" t="n"/>
    </row>
    <row r="688" ht="15.75" customHeight="1" s="67">
      <c r="A688" s="2" t="n"/>
      <c r="B688" s="2" t="n"/>
      <c r="C688" s="2" t="n"/>
      <c r="D688" s="2" t="n"/>
      <c r="E688" s="2" t="n"/>
      <c r="F688" s="2" t="n"/>
    </row>
    <row r="689" ht="15.75" customHeight="1" s="67">
      <c r="A689" s="2" t="n"/>
      <c r="B689" s="2" t="n"/>
      <c r="C689" s="2" t="n"/>
      <c r="D689" s="2" t="n"/>
      <c r="E689" s="2" t="n"/>
      <c r="F689" s="2" t="n"/>
    </row>
    <row r="690" ht="15.75" customHeight="1" s="67">
      <c r="A690" s="2" t="n"/>
      <c r="B690" s="2" t="n"/>
      <c r="C690" s="2" t="n"/>
      <c r="D690" s="2" t="n"/>
      <c r="E690" s="2" t="n"/>
      <c r="F690" s="2" t="n"/>
    </row>
    <row r="691" ht="15.75" customHeight="1" s="67">
      <c r="A691" s="2" t="n"/>
      <c r="B691" s="2" t="n"/>
      <c r="C691" s="2" t="n"/>
      <c r="D691" s="2" t="n"/>
      <c r="E691" s="2" t="n"/>
      <c r="F691" s="2" t="n"/>
    </row>
    <row r="692" ht="15.75" customHeight="1" s="67">
      <c r="A692" s="2" t="n"/>
      <c r="B692" s="2" t="n"/>
      <c r="C692" s="2" t="n"/>
      <c r="D692" s="2" t="n"/>
      <c r="E692" s="2" t="n"/>
      <c r="F692" s="2" t="n"/>
    </row>
    <row r="693" ht="15.75" customHeight="1" s="67">
      <c r="A693" s="2" t="n"/>
      <c r="B693" s="2" t="n"/>
      <c r="C693" s="2" t="n"/>
      <c r="D693" s="2" t="n"/>
      <c r="E693" s="2" t="n"/>
      <c r="F693" s="2" t="n"/>
    </row>
    <row r="694" ht="15.75" customHeight="1" s="67">
      <c r="A694" s="2" t="n"/>
      <c r="B694" s="2" t="n"/>
      <c r="C694" s="2" t="n"/>
      <c r="D694" s="2" t="n"/>
      <c r="E694" s="2" t="n"/>
      <c r="F694" s="2" t="n"/>
    </row>
    <row r="695" ht="15.75" customHeight="1" s="67">
      <c r="A695" s="2" t="n"/>
      <c r="B695" s="2" t="n"/>
      <c r="C695" s="2" t="n"/>
      <c r="D695" s="2" t="n"/>
      <c r="E695" s="2" t="n"/>
      <c r="F695" s="2" t="n"/>
    </row>
    <row r="696" ht="15.75" customHeight="1" s="67">
      <c r="A696" s="2" t="n"/>
      <c r="B696" s="2" t="n"/>
      <c r="C696" s="2" t="n"/>
      <c r="D696" s="2" t="n"/>
      <c r="E696" s="2" t="n"/>
      <c r="F696" s="2" t="n"/>
    </row>
    <row r="697" ht="15.75" customHeight="1" s="67">
      <c r="A697" s="2" t="n"/>
      <c r="B697" s="2" t="n"/>
      <c r="C697" s="2" t="n"/>
      <c r="D697" s="2" t="n"/>
      <c r="E697" s="2" t="n"/>
      <c r="F697" s="2" t="n"/>
    </row>
    <row r="698" ht="15.75" customHeight="1" s="67">
      <c r="A698" s="2" t="n"/>
      <c r="B698" s="2" t="n"/>
      <c r="C698" s="2" t="n"/>
      <c r="D698" s="2" t="n"/>
      <c r="E698" s="2" t="n"/>
      <c r="F698" s="2" t="n"/>
    </row>
    <row r="699" ht="15.75" customHeight="1" s="67">
      <c r="A699" s="2" t="n"/>
      <c r="B699" s="2" t="n"/>
      <c r="C699" s="2" t="n"/>
      <c r="D699" s="2" t="n"/>
      <c r="E699" s="2" t="n"/>
      <c r="F699" s="2" t="n"/>
    </row>
    <row r="700" ht="15.75" customHeight="1" s="67">
      <c r="A700" s="2" t="n"/>
      <c r="B700" s="2" t="n"/>
      <c r="C700" s="2" t="n"/>
      <c r="D700" s="2" t="n"/>
      <c r="E700" s="2" t="n"/>
      <c r="F700" s="2" t="n"/>
    </row>
    <row r="701" ht="15.75" customHeight="1" s="67">
      <c r="A701" s="2" t="n"/>
      <c r="B701" s="2" t="n"/>
      <c r="C701" s="2" t="n"/>
      <c r="D701" s="2" t="n"/>
      <c r="E701" s="2" t="n"/>
      <c r="F701" s="2" t="n"/>
    </row>
    <row r="702" ht="15.75" customHeight="1" s="67">
      <c r="A702" s="2" t="n"/>
      <c r="B702" s="2" t="n"/>
      <c r="C702" s="2" t="n"/>
      <c r="D702" s="2" t="n"/>
      <c r="E702" s="2" t="n"/>
      <c r="F702" s="2" t="n"/>
    </row>
    <row r="703" ht="15.75" customHeight="1" s="67">
      <c r="A703" s="2" t="n"/>
      <c r="B703" s="2" t="n"/>
      <c r="C703" s="2" t="n"/>
      <c r="D703" s="2" t="n"/>
      <c r="E703" s="2" t="n"/>
      <c r="F703" s="2" t="n"/>
    </row>
    <row r="704" ht="15.75" customHeight="1" s="67">
      <c r="A704" s="2" t="n"/>
      <c r="B704" s="2" t="n"/>
      <c r="C704" s="2" t="n"/>
      <c r="D704" s="2" t="n"/>
      <c r="E704" s="2" t="n"/>
      <c r="F704" s="2" t="n"/>
    </row>
    <row r="705" ht="15.75" customHeight="1" s="67">
      <c r="A705" s="2" t="n"/>
      <c r="B705" s="2" t="n"/>
      <c r="C705" s="2" t="n"/>
      <c r="D705" s="2" t="n"/>
      <c r="E705" s="2" t="n"/>
      <c r="F705" s="2" t="n"/>
    </row>
    <row r="706" ht="15.75" customHeight="1" s="67">
      <c r="A706" s="2" t="n"/>
      <c r="B706" s="2" t="n"/>
      <c r="C706" s="2" t="n"/>
      <c r="D706" s="2" t="n"/>
      <c r="E706" s="2" t="n"/>
      <c r="F706" s="2" t="n"/>
    </row>
    <row r="707" ht="15.75" customHeight="1" s="67">
      <c r="A707" s="2" t="n"/>
      <c r="B707" s="2" t="n"/>
      <c r="C707" s="2" t="n"/>
      <c r="D707" s="2" t="n"/>
      <c r="E707" s="2" t="n"/>
      <c r="F707" s="2" t="n"/>
    </row>
    <row r="708" ht="15.75" customHeight="1" s="67">
      <c r="A708" s="2" t="n"/>
      <c r="B708" s="2" t="n"/>
      <c r="C708" s="2" t="n"/>
      <c r="D708" s="2" t="n"/>
      <c r="E708" s="2" t="n"/>
      <c r="F708" s="2" t="n"/>
    </row>
    <row r="709" ht="15.75" customHeight="1" s="67">
      <c r="A709" s="2" t="n"/>
      <c r="B709" s="2" t="n"/>
      <c r="C709" s="2" t="n"/>
      <c r="D709" s="2" t="n"/>
      <c r="E709" s="2" t="n"/>
      <c r="F709" s="2" t="n"/>
    </row>
    <row r="710" ht="15.75" customHeight="1" s="67">
      <c r="A710" s="2" t="n"/>
      <c r="B710" s="2" t="n"/>
      <c r="C710" s="2" t="n"/>
      <c r="D710" s="2" t="n"/>
      <c r="E710" s="2" t="n"/>
      <c r="F710" s="2" t="n"/>
    </row>
    <row r="711" ht="15.75" customHeight="1" s="67">
      <c r="A711" s="2" t="n"/>
      <c r="B711" s="2" t="n"/>
      <c r="C711" s="2" t="n"/>
      <c r="D711" s="2" t="n"/>
      <c r="E711" s="2" t="n"/>
      <c r="F711" s="2" t="n"/>
    </row>
    <row r="712" ht="15.75" customHeight="1" s="67">
      <c r="A712" s="2" t="n"/>
      <c r="B712" s="2" t="n"/>
      <c r="C712" s="2" t="n"/>
      <c r="D712" s="2" t="n"/>
      <c r="E712" s="2" t="n"/>
      <c r="F712" s="2" t="n"/>
    </row>
    <row r="713" ht="15.75" customHeight="1" s="67">
      <c r="A713" s="2" t="n"/>
      <c r="B713" s="2" t="n"/>
      <c r="C713" s="2" t="n"/>
      <c r="D713" s="2" t="n"/>
      <c r="E713" s="2" t="n"/>
      <c r="F713" s="2" t="n"/>
    </row>
    <row r="714" ht="15.75" customHeight="1" s="67">
      <c r="A714" s="2" t="n"/>
      <c r="B714" s="2" t="n"/>
      <c r="C714" s="2" t="n"/>
      <c r="D714" s="2" t="n"/>
      <c r="E714" s="2" t="n"/>
      <c r="F714" s="2" t="n"/>
    </row>
    <row r="715" ht="15.75" customHeight="1" s="67">
      <c r="A715" s="2" t="n"/>
      <c r="B715" s="2" t="n"/>
      <c r="C715" s="2" t="n"/>
      <c r="D715" s="2" t="n"/>
      <c r="E715" s="2" t="n"/>
      <c r="F715" s="2" t="n"/>
    </row>
    <row r="716" ht="15.75" customHeight="1" s="67">
      <c r="A716" s="2" t="n"/>
      <c r="B716" s="2" t="n"/>
      <c r="C716" s="2" t="n"/>
      <c r="D716" s="2" t="n"/>
      <c r="E716" s="2" t="n"/>
      <c r="F716" s="2" t="n"/>
    </row>
    <row r="717" ht="15.75" customHeight="1" s="67">
      <c r="A717" s="2" t="n"/>
      <c r="B717" s="2" t="n"/>
      <c r="C717" s="2" t="n"/>
      <c r="D717" s="2" t="n"/>
      <c r="E717" s="2" t="n"/>
      <c r="F717" s="2" t="n"/>
    </row>
    <row r="718" ht="15.75" customHeight="1" s="67">
      <c r="A718" s="2" t="n"/>
      <c r="B718" s="2" t="n"/>
      <c r="C718" s="2" t="n"/>
      <c r="D718" s="2" t="n"/>
      <c r="E718" s="2" t="n"/>
      <c r="F718" s="2" t="n"/>
    </row>
    <row r="719" ht="15.75" customHeight="1" s="67">
      <c r="A719" s="2" t="n"/>
      <c r="B719" s="2" t="n"/>
      <c r="C719" s="2" t="n"/>
      <c r="D719" s="2" t="n"/>
      <c r="E719" s="2" t="n"/>
      <c r="F719" s="2" t="n"/>
    </row>
    <row r="720" ht="15.75" customHeight="1" s="67">
      <c r="A720" s="2" t="n"/>
      <c r="B720" s="2" t="n"/>
      <c r="C720" s="2" t="n"/>
      <c r="D720" s="2" t="n"/>
      <c r="E720" s="2" t="n"/>
      <c r="F720" s="2" t="n"/>
    </row>
    <row r="721" ht="15.75" customHeight="1" s="67">
      <c r="A721" s="2" t="n"/>
      <c r="B721" s="2" t="n"/>
      <c r="C721" s="2" t="n"/>
      <c r="D721" s="2" t="n"/>
      <c r="E721" s="2" t="n"/>
      <c r="F721" s="2" t="n"/>
    </row>
    <row r="722" ht="15.75" customHeight="1" s="67">
      <c r="A722" s="2" t="n"/>
      <c r="B722" s="2" t="n"/>
      <c r="C722" s="2" t="n"/>
      <c r="D722" s="2" t="n"/>
      <c r="E722" s="2" t="n"/>
      <c r="F722" s="2" t="n"/>
    </row>
    <row r="723" ht="15.75" customHeight="1" s="67">
      <c r="A723" s="2" t="n"/>
      <c r="B723" s="2" t="n"/>
      <c r="C723" s="2" t="n"/>
      <c r="D723" s="2" t="n"/>
      <c r="E723" s="2" t="n"/>
      <c r="F723" s="2" t="n"/>
    </row>
    <row r="724" ht="15.75" customHeight="1" s="67">
      <c r="A724" s="2" t="n"/>
      <c r="B724" s="2" t="n"/>
      <c r="C724" s="2" t="n"/>
      <c r="D724" s="2" t="n"/>
      <c r="E724" s="2" t="n"/>
      <c r="F724" s="2" t="n"/>
    </row>
    <row r="725" ht="15.75" customHeight="1" s="67">
      <c r="A725" s="2" t="n"/>
      <c r="B725" s="2" t="n"/>
      <c r="C725" s="2" t="n"/>
      <c r="D725" s="2" t="n"/>
      <c r="E725" s="2" t="n"/>
      <c r="F725" s="2" t="n"/>
    </row>
    <row r="726" ht="15.75" customHeight="1" s="67">
      <c r="A726" s="2" t="n"/>
      <c r="B726" s="2" t="n"/>
      <c r="C726" s="2" t="n"/>
      <c r="D726" s="2" t="n"/>
      <c r="E726" s="2" t="n"/>
      <c r="F726" s="2" t="n"/>
    </row>
    <row r="727" ht="15.75" customHeight="1" s="67">
      <c r="A727" s="2" t="n"/>
      <c r="B727" s="2" t="n"/>
      <c r="C727" s="2" t="n"/>
      <c r="D727" s="2" t="n"/>
      <c r="E727" s="2" t="n"/>
      <c r="F727" s="2" t="n"/>
    </row>
    <row r="728" ht="15.75" customHeight="1" s="67">
      <c r="A728" s="2" t="n"/>
      <c r="B728" s="2" t="n"/>
      <c r="C728" s="2" t="n"/>
      <c r="D728" s="2" t="n"/>
      <c r="E728" s="2" t="n"/>
      <c r="F728" s="2" t="n"/>
    </row>
    <row r="729" ht="15.75" customHeight="1" s="67">
      <c r="A729" s="2" t="n"/>
      <c r="B729" s="2" t="n"/>
      <c r="C729" s="2" t="n"/>
      <c r="D729" s="2" t="n"/>
      <c r="E729" s="2" t="n"/>
      <c r="F729" s="2" t="n"/>
    </row>
    <row r="730" ht="15.75" customHeight="1" s="67">
      <c r="A730" s="2" t="n"/>
      <c r="B730" s="2" t="n"/>
      <c r="C730" s="2" t="n"/>
      <c r="D730" s="2" t="n"/>
      <c r="E730" s="2" t="n"/>
      <c r="F730" s="2" t="n"/>
    </row>
    <row r="731" ht="15.75" customHeight="1" s="67">
      <c r="A731" s="2" t="n"/>
      <c r="B731" s="2" t="n"/>
      <c r="C731" s="2" t="n"/>
      <c r="D731" s="2" t="n"/>
      <c r="E731" s="2" t="n"/>
      <c r="F731" s="2" t="n"/>
    </row>
    <row r="732" ht="15.75" customHeight="1" s="67">
      <c r="A732" s="2" t="n"/>
      <c r="B732" s="2" t="n"/>
      <c r="C732" s="2" t="n"/>
      <c r="D732" s="2" t="n"/>
      <c r="E732" s="2" t="n"/>
      <c r="F732" s="2" t="n"/>
    </row>
    <row r="733" ht="15.75" customHeight="1" s="67">
      <c r="A733" s="2" t="n"/>
      <c r="B733" s="2" t="n"/>
      <c r="C733" s="2" t="n"/>
      <c r="D733" s="2" t="n"/>
      <c r="E733" s="2" t="n"/>
      <c r="F733" s="2" t="n"/>
    </row>
    <row r="734" ht="15.75" customHeight="1" s="67">
      <c r="A734" s="2" t="n"/>
      <c r="B734" s="2" t="n"/>
      <c r="C734" s="2" t="n"/>
      <c r="D734" s="2" t="n"/>
      <c r="E734" s="2" t="n"/>
      <c r="F734" s="2" t="n"/>
    </row>
    <row r="735" ht="15.75" customHeight="1" s="67">
      <c r="A735" s="2" t="n"/>
      <c r="B735" s="2" t="n"/>
      <c r="C735" s="2" t="n"/>
      <c r="D735" s="2" t="n"/>
      <c r="E735" s="2" t="n"/>
      <c r="F735" s="2" t="n"/>
    </row>
    <row r="736" ht="15.75" customHeight="1" s="67">
      <c r="A736" s="2" t="n"/>
      <c r="B736" s="2" t="n"/>
      <c r="C736" s="2" t="n"/>
      <c r="D736" s="2" t="n"/>
      <c r="E736" s="2" t="n"/>
      <c r="F736" s="2" t="n"/>
    </row>
    <row r="737" ht="15.75" customHeight="1" s="67">
      <c r="A737" s="2" t="n"/>
      <c r="B737" s="2" t="n"/>
      <c r="C737" s="2" t="n"/>
      <c r="D737" s="2" t="n"/>
      <c r="E737" s="2" t="n"/>
      <c r="F737" s="2" t="n"/>
    </row>
    <row r="738" ht="15.75" customHeight="1" s="67">
      <c r="A738" s="2" t="n"/>
      <c r="B738" s="2" t="n"/>
      <c r="C738" s="2" t="n"/>
      <c r="D738" s="2" t="n"/>
      <c r="E738" s="2" t="n"/>
      <c r="F738" s="2" t="n"/>
    </row>
    <row r="739" ht="15.75" customHeight="1" s="67">
      <c r="A739" s="2" t="n"/>
      <c r="B739" s="2" t="n"/>
      <c r="C739" s="2" t="n"/>
      <c r="D739" s="2" t="n"/>
      <c r="E739" s="2" t="n"/>
      <c r="F739" s="2" t="n"/>
    </row>
    <row r="740" ht="15.75" customHeight="1" s="67">
      <c r="A740" s="2" t="n"/>
      <c r="B740" s="2" t="n"/>
      <c r="C740" s="2" t="n"/>
      <c r="D740" s="2" t="n"/>
      <c r="E740" s="2" t="n"/>
      <c r="F740" s="2" t="n"/>
    </row>
    <row r="741" ht="15.75" customHeight="1" s="67">
      <c r="A741" s="2" t="n"/>
      <c r="B741" s="2" t="n"/>
      <c r="C741" s="2" t="n"/>
      <c r="D741" s="2" t="n"/>
      <c r="E741" s="2" t="n"/>
      <c r="F741" s="2" t="n"/>
    </row>
    <row r="742" ht="15.75" customHeight="1" s="67">
      <c r="A742" s="2" t="n"/>
      <c r="B742" s="2" t="n"/>
      <c r="C742" s="2" t="n"/>
      <c r="D742" s="2" t="n"/>
      <c r="E742" s="2" t="n"/>
      <c r="F742" s="2" t="n"/>
    </row>
    <row r="743" ht="15.75" customHeight="1" s="67">
      <c r="A743" s="2" t="n"/>
      <c r="B743" s="2" t="n"/>
      <c r="C743" s="2" t="n"/>
      <c r="D743" s="2" t="n"/>
      <c r="E743" s="2" t="n"/>
      <c r="F743" s="2" t="n"/>
    </row>
    <row r="744" ht="15.75" customHeight="1" s="67">
      <c r="A744" s="2" t="n"/>
      <c r="B744" s="2" t="n"/>
      <c r="C744" s="2" t="n"/>
      <c r="D744" s="2" t="n"/>
      <c r="E744" s="2" t="n"/>
      <c r="F744" s="2" t="n"/>
    </row>
    <row r="745" ht="15.75" customHeight="1" s="67">
      <c r="A745" s="2" t="n"/>
      <c r="B745" s="2" t="n"/>
      <c r="C745" s="2" t="n"/>
      <c r="D745" s="2" t="n"/>
      <c r="E745" s="2" t="n"/>
      <c r="F745" s="2" t="n"/>
    </row>
    <row r="746" ht="15.75" customHeight="1" s="67">
      <c r="A746" s="2" t="n"/>
      <c r="B746" s="2" t="n"/>
      <c r="C746" s="2" t="n"/>
      <c r="D746" s="2" t="n"/>
      <c r="E746" s="2" t="n"/>
      <c r="F746" s="2" t="n"/>
    </row>
    <row r="747" ht="15.75" customHeight="1" s="67">
      <c r="A747" s="2" t="n"/>
      <c r="B747" s="2" t="n"/>
      <c r="C747" s="2" t="n"/>
      <c r="D747" s="2" t="n"/>
      <c r="E747" s="2" t="n"/>
      <c r="F747" s="2" t="n"/>
    </row>
    <row r="748" ht="15.75" customHeight="1" s="67">
      <c r="A748" s="2" t="n"/>
      <c r="B748" s="2" t="n"/>
      <c r="C748" s="2" t="n"/>
      <c r="D748" s="2" t="n"/>
      <c r="E748" s="2" t="n"/>
      <c r="F748" s="2" t="n"/>
    </row>
    <row r="749" ht="15.75" customHeight="1" s="67">
      <c r="A749" s="2" t="n"/>
      <c r="B749" s="2" t="n"/>
      <c r="C749" s="2" t="n"/>
      <c r="D749" s="2" t="n"/>
      <c r="E749" s="2" t="n"/>
      <c r="F749" s="2" t="n"/>
    </row>
    <row r="750" ht="15.75" customHeight="1" s="67">
      <c r="A750" s="2" t="n"/>
      <c r="B750" s="2" t="n"/>
      <c r="C750" s="2" t="n"/>
      <c r="D750" s="2" t="n"/>
      <c r="E750" s="2" t="n"/>
      <c r="F750" s="2" t="n"/>
    </row>
    <row r="751" ht="15.75" customHeight="1" s="67">
      <c r="A751" s="2" t="n"/>
      <c r="B751" s="2" t="n"/>
      <c r="C751" s="2" t="n"/>
      <c r="D751" s="2" t="n"/>
      <c r="E751" s="2" t="n"/>
      <c r="F751" s="2" t="n"/>
    </row>
    <row r="752" ht="15.75" customHeight="1" s="67">
      <c r="A752" s="2" t="n"/>
      <c r="B752" s="2" t="n"/>
      <c r="C752" s="2" t="n"/>
      <c r="D752" s="2" t="n"/>
      <c r="E752" s="2" t="n"/>
      <c r="F752" s="2" t="n"/>
    </row>
    <row r="753" ht="15.75" customHeight="1" s="67">
      <c r="A753" s="2" t="n"/>
      <c r="B753" s="2" t="n"/>
      <c r="C753" s="2" t="n"/>
      <c r="D753" s="2" t="n"/>
      <c r="E753" s="2" t="n"/>
      <c r="F753" s="2" t="n"/>
    </row>
    <row r="754" ht="15.75" customHeight="1" s="67">
      <c r="A754" s="2" t="n"/>
      <c r="B754" s="2" t="n"/>
      <c r="C754" s="2" t="n"/>
      <c r="D754" s="2" t="n"/>
      <c r="E754" s="2" t="n"/>
      <c r="F754" s="2" t="n"/>
    </row>
    <row r="755" ht="15.75" customHeight="1" s="67">
      <c r="A755" s="2" t="n"/>
      <c r="B755" s="2" t="n"/>
      <c r="C755" s="2" t="n"/>
      <c r="D755" s="2" t="n"/>
      <c r="E755" s="2" t="n"/>
      <c r="F755" s="2" t="n"/>
    </row>
    <row r="756" ht="15.75" customHeight="1" s="67">
      <c r="A756" s="2" t="n"/>
      <c r="B756" s="2" t="n"/>
      <c r="C756" s="2" t="n"/>
      <c r="D756" s="2" t="n"/>
      <c r="E756" s="2" t="n"/>
      <c r="F756" s="2" t="n"/>
    </row>
    <row r="757" ht="15.75" customHeight="1" s="67">
      <c r="A757" s="2" t="n"/>
      <c r="B757" s="2" t="n"/>
      <c r="C757" s="2" t="n"/>
      <c r="D757" s="2" t="n"/>
      <c r="E757" s="2" t="n"/>
      <c r="F757" s="2" t="n"/>
    </row>
    <row r="758" ht="15.75" customHeight="1" s="67">
      <c r="A758" s="2" t="n"/>
      <c r="B758" s="2" t="n"/>
      <c r="C758" s="2" t="n"/>
      <c r="D758" s="2" t="n"/>
      <c r="E758" s="2" t="n"/>
      <c r="F758" s="2" t="n"/>
    </row>
    <row r="759" ht="15.75" customHeight="1" s="67">
      <c r="A759" s="2" t="n"/>
      <c r="B759" s="2" t="n"/>
      <c r="C759" s="2" t="n"/>
      <c r="D759" s="2" t="n"/>
      <c r="E759" s="2" t="n"/>
      <c r="F759" s="2" t="n"/>
    </row>
    <row r="760" ht="15.75" customHeight="1" s="67">
      <c r="A760" s="2" t="n"/>
      <c r="B760" s="2" t="n"/>
      <c r="C760" s="2" t="n"/>
      <c r="D760" s="2" t="n"/>
      <c r="E760" s="2" t="n"/>
      <c r="F760" s="2" t="n"/>
    </row>
    <row r="761" ht="15.75" customHeight="1" s="67">
      <c r="A761" s="2" t="n"/>
      <c r="B761" s="2" t="n"/>
      <c r="C761" s="2" t="n"/>
      <c r="D761" s="2" t="n"/>
      <c r="E761" s="2" t="n"/>
      <c r="F761" s="2" t="n"/>
    </row>
    <row r="762" ht="15.75" customHeight="1" s="67">
      <c r="A762" s="2" t="n"/>
      <c r="B762" s="2" t="n"/>
      <c r="C762" s="2" t="n"/>
      <c r="D762" s="2" t="n"/>
      <c r="E762" s="2" t="n"/>
      <c r="F762" s="2" t="n"/>
    </row>
    <row r="763" ht="15.75" customHeight="1" s="67">
      <c r="A763" s="2" t="n"/>
      <c r="B763" s="2" t="n"/>
      <c r="C763" s="2" t="n"/>
      <c r="D763" s="2" t="n"/>
      <c r="E763" s="2" t="n"/>
      <c r="F763" s="2" t="n"/>
    </row>
    <row r="764" ht="15.75" customHeight="1" s="67">
      <c r="A764" s="2" t="n"/>
      <c r="B764" s="2" t="n"/>
      <c r="C764" s="2" t="n"/>
      <c r="D764" s="2" t="n"/>
      <c r="E764" s="2" t="n"/>
      <c r="F764" s="2" t="n"/>
    </row>
    <row r="765" ht="15.75" customHeight="1" s="67">
      <c r="A765" s="2" t="n"/>
      <c r="B765" s="2" t="n"/>
      <c r="C765" s="2" t="n"/>
      <c r="D765" s="2" t="n"/>
      <c r="E765" s="2" t="n"/>
      <c r="F765" s="2" t="n"/>
    </row>
    <row r="766" ht="15.75" customHeight="1" s="67">
      <c r="A766" s="2" t="n"/>
      <c r="B766" s="2" t="n"/>
      <c r="C766" s="2" t="n"/>
      <c r="D766" s="2" t="n"/>
      <c r="E766" s="2" t="n"/>
      <c r="F766" s="2" t="n"/>
    </row>
    <row r="767" ht="15.75" customHeight="1" s="67">
      <c r="A767" s="2" t="n"/>
      <c r="B767" s="2" t="n"/>
      <c r="C767" s="2" t="n"/>
      <c r="D767" s="2" t="n"/>
      <c r="E767" s="2" t="n"/>
      <c r="F767" s="2" t="n"/>
    </row>
    <row r="768" ht="15.75" customHeight="1" s="67">
      <c r="A768" s="2" t="n"/>
      <c r="B768" s="2" t="n"/>
      <c r="C768" s="2" t="n"/>
      <c r="D768" s="2" t="n"/>
      <c r="E768" s="2" t="n"/>
      <c r="F768" s="2" t="n"/>
    </row>
    <row r="769" ht="15.75" customHeight="1" s="67">
      <c r="A769" s="2" t="n"/>
      <c r="B769" s="2" t="n"/>
      <c r="C769" s="2" t="n"/>
      <c r="D769" s="2" t="n"/>
      <c r="E769" s="2" t="n"/>
      <c r="F769" s="2" t="n"/>
    </row>
    <row r="770" ht="15.75" customHeight="1" s="67">
      <c r="A770" s="2" t="n"/>
      <c r="B770" s="2" t="n"/>
      <c r="C770" s="2" t="n"/>
      <c r="D770" s="2" t="n"/>
      <c r="E770" s="2" t="n"/>
      <c r="F770" s="2" t="n"/>
    </row>
    <row r="771" ht="15.75" customHeight="1" s="67">
      <c r="A771" s="2" t="n"/>
      <c r="B771" s="2" t="n"/>
      <c r="C771" s="2" t="n"/>
      <c r="D771" s="2" t="n"/>
      <c r="E771" s="2" t="n"/>
      <c r="F771" s="2" t="n"/>
    </row>
    <row r="772" ht="15.75" customHeight="1" s="67">
      <c r="A772" s="2" t="n"/>
      <c r="B772" s="2" t="n"/>
      <c r="C772" s="2" t="n"/>
      <c r="D772" s="2" t="n"/>
      <c r="E772" s="2" t="n"/>
      <c r="F772" s="2" t="n"/>
    </row>
    <row r="773" ht="15.75" customHeight="1" s="67">
      <c r="A773" s="2" t="n"/>
      <c r="B773" s="2" t="n"/>
      <c r="C773" s="2" t="n"/>
      <c r="D773" s="2" t="n"/>
      <c r="E773" s="2" t="n"/>
      <c r="F773" s="2" t="n"/>
    </row>
    <row r="774" ht="15.75" customHeight="1" s="67">
      <c r="A774" s="2" t="n"/>
      <c r="B774" s="2" t="n"/>
      <c r="C774" s="2" t="n"/>
      <c r="D774" s="2" t="n"/>
      <c r="E774" s="2" t="n"/>
      <c r="F774" s="2" t="n"/>
    </row>
    <row r="775" ht="15.75" customHeight="1" s="67">
      <c r="A775" s="2" t="n"/>
      <c r="B775" s="2" t="n"/>
      <c r="C775" s="2" t="n"/>
      <c r="D775" s="2" t="n"/>
      <c r="E775" s="2" t="n"/>
      <c r="F775" s="2" t="n"/>
    </row>
    <row r="776" ht="15.75" customHeight="1" s="67">
      <c r="A776" s="2" t="n"/>
      <c r="B776" s="2" t="n"/>
      <c r="C776" s="2" t="n"/>
      <c r="D776" s="2" t="n"/>
      <c r="E776" s="2" t="n"/>
      <c r="F776" s="2" t="n"/>
    </row>
    <row r="777" ht="15.75" customHeight="1" s="67">
      <c r="A777" s="2" t="n"/>
      <c r="B777" s="2" t="n"/>
      <c r="C777" s="2" t="n"/>
      <c r="D777" s="2" t="n"/>
      <c r="E777" s="2" t="n"/>
      <c r="F777" s="2" t="n"/>
    </row>
    <row r="778" ht="15.75" customHeight="1" s="67">
      <c r="A778" s="2" t="n"/>
      <c r="B778" s="2" t="n"/>
      <c r="C778" s="2" t="n"/>
      <c r="D778" s="2" t="n"/>
      <c r="E778" s="2" t="n"/>
      <c r="F778" s="2" t="n"/>
    </row>
    <row r="779" ht="15.75" customHeight="1" s="67">
      <c r="A779" s="2" t="n"/>
      <c r="B779" s="2" t="n"/>
      <c r="C779" s="2" t="n"/>
      <c r="D779" s="2" t="n"/>
      <c r="E779" s="2" t="n"/>
      <c r="F779" s="2" t="n"/>
    </row>
    <row r="780" ht="15.75" customHeight="1" s="67">
      <c r="A780" s="2" t="n"/>
      <c r="B780" s="2" t="n"/>
      <c r="C780" s="2" t="n"/>
      <c r="D780" s="2" t="n"/>
      <c r="E780" s="2" t="n"/>
      <c r="F780" s="2" t="n"/>
    </row>
    <row r="781" ht="15.75" customHeight="1" s="67">
      <c r="A781" s="2" t="n"/>
      <c r="B781" s="2" t="n"/>
      <c r="C781" s="2" t="n"/>
      <c r="D781" s="2" t="n"/>
      <c r="E781" s="2" t="n"/>
      <c r="F781" s="2" t="n"/>
    </row>
    <row r="782" ht="15.75" customHeight="1" s="67">
      <c r="A782" s="2" t="n"/>
      <c r="B782" s="2" t="n"/>
      <c r="C782" s="2" t="n"/>
      <c r="D782" s="2" t="n"/>
      <c r="E782" s="2" t="n"/>
      <c r="F782" s="2" t="n"/>
    </row>
    <row r="783" ht="15.75" customHeight="1" s="67">
      <c r="A783" s="2" t="n"/>
      <c r="B783" s="2" t="n"/>
      <c r="C783" s="2" t="n"/>
      <c r="D783" s="2" t="n"/>
      <c r="E783" s="2" t="n"/>
      <c r="F783" s="2" t="n"/>
    </row>
    <row r="784" ht="15.75" customHeight="1" s="67">
      <c r="A784" s="2" t="n"/>
      <c r="B784" s="2" t="n"/>
      <c r="C784" s="2" t="n"/>
      <c r="D784" s="2" t="n"/>
      <c r="E784" s="2" t="n"/>
      <c r="F784" s="2" t="n"/>
    </row>
    <row r="785" ht="15.75" customHeight="1" s="67">
      <c r="A785" s="2" t="n"/>
      <c r="B785" s="2" t="n"/>
      <c r="C785" s="2" t="n"/>
      <c r="D785" s="2" t="n"/>
      <c r="E785" s="2" t="n"/>
      <c r="F785" s="2" t="n"/>
    </row>
    <row r="786" ht="15.75" customHeight="1" s="67">
      <c r="A786" s="2" t="n"/>
      <c r="B786" s="2" t="n"/>
      <c r="C786" s="2" t="n"/>
      <c r="D786" s="2" t="n"/>
      <c r="E786" s="2" t="n"/>
      <c r="F786" s="2" t="n"/>
    </row>
    <row r="787" ht="15.75" customHeight="1" s="67">
      <c r="A787" s="2" t="n"/>
      <c r="B787" s="2" t="n"/>
      <c r="C787" s="2" t="n"/>
      <c r="D787" s="2" t="n"/>
      <c r="E787" s="2" t="n"/>
      <c r="F787" s="2" t="n"/>
    </row>
    <row r="788" ht="15.75" customHeight="1" s="67">
      <c r="A788" s="2" t="n"/>
      <c r="B788" s="2" t="n"/>
      <c r="C788" s="2" t="n"/>
      <c r="D788" s="2" t="n"/>
      <c r="E788" s="2" t="n"/>
      <c r="F788" s="2" t="n"/>
    </row>
    <row r="789" ht="15.75" customHeight="1" s="67">
      <c r="A789" s="2" t="n"/>
      <c r="B789" s="2" t="n"/>
      <c r="C789" s="2" t="n"/>
      <c r="D789" s="2" t="n"/>
      <c r="E789" s="2" t="n"/>
      <c r="F789" s="2" t="n"/>
    </row>
    <row r="790" ht="15.75" customHeight="1" s="67">
      <c r="A790" s="2" t="n"/>
      <c r="B790" s="2" t="n"/>
      <c r="C790" s="2" t="n"/>
      <c r="D790" s="2" t="n"/>
      <c r="E790" s="2" t="n"/>
      <c r="F790" s="2" t="n"/>
    </row>
    <row r="791" ht="15.75" customHeight="1" s="67">
      <c r="A791" s="2" t="n"/>
      <c r="B791" s="2" t="n"/>
      <c r="C791" s="2" t="n"/>
      <c r="D791" s="2" t="n"/>
      <c r="E791" s="2" t="n"/>
      <c r="F791" s="2" t="n"/>
    </row>
    <row r="792" ht="15.75" customHeight="1" s="67">
      <c r="A792" s="2" t="n"/>
      <c r="B792" s="2" t="n"/>
      <c r="C792" s="2" t="n"/>
      <c r="D792" s="2" t="n"/>
      <c r="E792" s="2" t="n"/>
      <c r="F792" s="2" t="n"/>
    </row>
    <row r="793" ht="15.75" customHeight="1" s="67">
      <c r="A793" s="2" t="n"/>
      <c r="B793" s="2" t="n"/>
      <c r="C793" s="2" t="n"/>
      <c r="D793" s="2" t="n"/>
      <c r="E793" s="2" t="n"/>
      <c r="F793" s="2" t="n"/>
    </row>
    <row r="794" ht="15.75" customHeight="1" s="67">
      <c r="A794" s="2" t="n"/>
      <c r="B794" s="2" t="n"/>
      <c r="C794" s="2" t="n"/>
      <c r="D794" s="2" t="n"/>
      <c r="E794" s="2" t="n"/>
      <c r="F794" s="2" t="n"/>
    </row>
    <row r="795" ht="15.75" customHeight="1" s="67">
      <c r="A795" s="2" t="n"/>
      <c r="B795" s="2" t="n"/>
      <c r="C795" s="2" t="n"/>
      <c r="D795" s="2" t="n"/>
      <c r="E795" s="2" t="n"/>
      <c r="F795" s="2" t="n"/>
    </row>
    <row r="796" ht="15.75" customHeight="1" s="67">
      <c r="A796" s="2" t="n"/>
      <c r="B796" s="2" t="n"/>
      <c r="C796" s="2" t="n"/>
      <c r="D796" s="2" t="n"/>
      <c r="E796" s="2" t="n"/>
      <c r="F796" s="2" t="n"/>
    </row>
    <row r="797" ht="15.75" customHeight="1" s="67">
      <c r="A797" s="2" t="n"/>
      <c r="B797" s="2" t="n"/>
      <c r="C797" s="2" t="n"/>
      <c r="D797" s="2" t="n"/>
      <c r="E797" s="2" t="n"/>
      <c r="F797" s="2" t="n"/>
    </row>
    <row r="798" ht="15.75" customHeight="1" s="67">
      <c r="A798" s="2" t="n"/>
      <c r="B798" s="2" t="n"/>
      <c r="C798" s="2" t="n"/>
      <c r="D798" s="2" t="n"/>
      <c r="E798" s="2" t="n"/>
      <c r="F798" s="2" t="n"/>
    </row>
    <row r="799" ht="15.75" customHeight="1" s="67">
      <c r="A799" s="2" t="n"/>
      <c r="B799" s="2" t="n"/>
      <c r="C799" s="2" t="n"/>
      <c r="D799" s="2" t="n"/>
      <c r="E799" s="2" t="n"/>
      <c r="F799" s="2" t="n"/>
    </row>
    <row r="800" ht="15.75" customHeight="1" s="67">
      <c r="A800" s="2" t="n"/>
      <c r="B800" s="2" t="n"/>
      <c r="C800" s="2" t="n"/>
      <c r="D800" s="2" t="n"/>
      <c r="E800" s="2" t="n"/>
      <c r="F800" s="2" t="n"/>
    </row>
    <row r="801" ht="15.75" customHeight="1" s="67">
      <c r="A801" s="2" t="n"/>
      <c r="B801" s="2" t="n"/>
      <c r="C801" s="2" t="n"/>
      <c r="D801" s="2" t="n"/>
      <c r="E801" s="2" t="n"/>
      <c r="F801" s="2" t="n"/>
    </row>
    <row r="802" ht="15.75" customHeight="1" s="67">
      <c r="A802" s="2" t="n"/>
      <c r="B802" s="2" t="n"/>
      <c r="C802" s="2" t="n"/>
      <c r="D802" s="2" t="n"/>
      <c r="E802" s="2" t="n"/>
      <c r="F802" s="2" t="n"/>
    </row>
    <row r="803" ht="15.75" customHeight="1" s="67">
      <c r="A803" s="2" t="n"/>
      <c r="B803" s="2" t="n"/>
      <c r="C803" s="2" t="n"/>
      <c r="D803" s="2" t="n"/>
      <c r="E803" s="2" t="n"/>
      <c r="F803" s="2" t="n"/>
    </row>
    <row r="804" ht="15.75" customHeight="1" s="67">
      <c r="A804" s="2" t="n"/>
      <c r="B804" s="2" t="n"/>
      <c r="C804" s="2" t="n"/>
      <c r="D804" s="2" t="n"/>
      <c r="E804" s="2" t="n"/>
      <c r="F804" s="2" t="n"/>
    </row>
    <row r="805" ht="15.75" customHeight="1" s="67">
      <c r="A805" s="2" t="n"/>
      <c r="B805" s="2" t="n"/>
      <c r="C805" s="2" t="n"/>
      <c r="D805" s="2" t="n"/>
      <c r="E805" s="2" t="n"/>
      <c r="F805" s="2" t="n"/>
    </row>
    <row r="806" ht="15.75" customHeight="1" s="67">
      <c r="A806" s="2" t="n"/>
      <c r="B806" s="2" t="n"/>
      <c r="C806" s="2" t="n"/>
      <c r="D806" s="2" t="n"/>
      <c r="E806" s="2" t="n"/>
      <c r="F806" s="2" t="n"/>
    </row>
    <row r="807" ht="15.75" customHeight="1" s="67">
      <c r="A807" s="2" t="n"/>
      <c r="B807" s="2" t="n"/>
      <c r="C807" s="2" t="n"/>
      <c r="D807" s="2" t="n"/>
      <c r="E807" s="2" t="n"/>
      <c r="F807" s="2" t="n"/>
    </row>
    <row r="808" ht="15.75" customHeight="1" s="67">
      <c r="A808" s="2" t="n"/>
      <c r="B808" s="2" t="n"/>
      <c r="C808" s="2" t="n"/>
      <c r="D808" s="2" t="n"/>
      <c r="E808" s="2" t="n"/>
      <c r="F808" s="2" t="n"/>
    </row>
    <row r="809" ht="15.75" customHeight="1" s="67">
      <c r="A809" s="2" t="n"/>
      <c r="B809" s="2" t="n"/>
      <c r="C809" s="2" t="n"/>
      <c r="D809" s="2" t="n"/>
      <c r="E809" s="2" t="n"/>
      <c r="F809" s="2" t="n"/>
    </row>
    <row r="810" ht="15.75" customHeight="1" s="67">
      <c r="A810" s="2" t="n"/>
      <c r="B810" s="2" t="n"/>
      <c r="C810" s="2" t="n"/>
      <c r="D810" s="2" t="n"/>
      <c r="E810" s="2" t="n"/>
      <c r="F810" s="2" t="n"/>
    </row>
    <row r="811" ht="15.75" customHeight="1" s="67">
      <c r="A811" s="2" t="n"/>
      <c r="B811" s="2" t="n"/>
      <c r="C811" s="2" t="n"/>
      <c r="D811" s="2" t="n"/>
      <c r="E811" s="2" t="n"/>
      <c r="F811" s="2" t="n"/>
    </row>
    <row r="812" ht="15.75" customHeight="1" s="67">
      <c r="A812" s="2" t="n"/>
      <c r="B812" s="2" t="n"/>
      <c r="C812" s="2" t="n"/>
      <c r="D812" s="2" t="n"/>
      <c r="E812" s="2" t="n"/>
      <c r="F812" s="2" t="n"/>
    </row>
    <row r="813" ht="15.75" customHeight="1" s="67">
      <c r="A813" s="2" t="n"/>
      <c r="B813" s="2" t="n"/>
      <c r="C813" s="2" t="n"/>
      <c r="D813" s="2" t="n"/>
      <c r="E813" s="2" t="n"/>
      <c r="F813" s="2" t="n"/>
    </row>
    <row r="814" ht="15.75" customHeight="1" s="67">
      <c r="A814" s="2" t="n"/>
      <c r="B814" s="2" t="n"/>
      <c r="C814" s="2" t="n"/>
      <c r="D814" s="2" t="n"/>
      <c r="E814" s="2" t="n"/>
      <c r="F814" s="2" t="n"/>
    </row>
    <row r="815" ht="15.75" customHeight="1" s="67">
      <c r="A815" s="2" t="n"/>
      <c r="B815" s="2" t="n"/>
      <c r="C815" s="2" t="n"/>
      <c r="D815" s="2" t="n"/>
      <c r="E815" s="2" t="n"/>
      <c r="F815" s="2" t="n"/>
    </row>
    <row r="816" ht="15.75" customHeight="1" s="67">
      <c r="A816" s="2" t="n"/>
      <c r="B816" s="2" t="n"/>
      <c r="C816" s="2" t="n"/>
      <c r="D816" s="2" t="n"/>
      <c r="E816" s="2" t="n"/>
      <c r="F816" s="2" t="n"/>
    </row>
    <row r="817" ht="15.75" customHeight="1" s="67">
      <c r="A817" s="2" t="n"/>
      <c r="B817" s="2" t="n"/>
      <c r="C817" s="2" t="n"/>
      <c r="D817" s="2" t="n"/>
      <c r="E817" s="2" t="n"/>
      <c r="F817" s="2" t="n"/>
    </row>
    <row r="818" ht="15.75" customHeight="1" s="67">
      <c r="A818" s="2" t="n"/>
      <c r="B818" s="2" t="n"/>
      <c r="C818" s="2" t="n"/>
      <c r="D818" s="2" t="n"/>
      <c r="E818" s="2" t="n"/>
      <c r="F818" s="2" t="n"/>
    </row>
    <row r="819" ht="15.75" customHeight="1" s="67">
      <c r="A819" s="2" t="n"/>
      <c r="B819" s="2" t="n"/>
      <c r="C819" s="2" t="n"/>
      <c r="D819" s="2" t="n"/>
      <c r="E819" s="2" t="n"/>
      <c r="F819" s="2" t="n"/>
    </row>
    <row r="820" ht="15.75" customHeight="1" s="67">
      <c r="A820" s="2" t="n"/>
      <c r="B820" s="2" t="n"/>
      <c r="C820" s="2" t="n"/>
      <c r="D820" s="2" t="n"/>
      <c r="E820" s="2" t="n"/>
      <c r="F820" s="2" t="n"/>
    </row>
    <row r="821" ht="15.75" customHeight="1" s="67">
      <c r="A821" s="2" t="n"/>
      <c r="B821" s="2" t="n"/>
      <c r="C821" s="2" t="n"/>
      <c r="D821" s="2" t="n"/>
      <c r="E821" s="2" t="n"/>
      <c r="F821" s="2" t="n"/>
    </row>
    <row r="822" ht="15.75" customHeight="1" s="67">
      <c r="A822" s="2" t="n"/>
      <c r="B822" s="2" t="n"/>
      <c r="C822" s="2" t="n"/>
      <c r="D822" s="2" t="n"/>
      <c r="E822" s="2" t="n"/>
      <c r="F822" s="2" t="n"/>
    </row>
    <row r="823" ht="15.75" customHeight="1" s="67">
      <c r="A823" s="2" t="n"/>
      <c r="B823" s="2" t="n"/>
      <c r="C823" s="2" t="n"/>
      <c r="D823" s="2" t="n"/>
      <c r="E823" s="2" t="n"/>
      <c r="F823" s="2" t="n"/>
    </row>
    <row r="824" ht="15.75" customHeight="1" s="67">
      <c r="A824" s="2" t="n"/>
      <c r="B824" s="2" t="n"/>
      <c r="C824" s="2" t="n"/>
      <c r="D824" s="2" t="n"/>
      <c r="E824" s="2" t="n"/>
      <c r="F824" s="2" t="n"/>
    </row>
    <row r="825" ht="15.75" customHeight="1" s="67">
      <c r="A825" s="2" t="n"/>
      <c r="B825" s="2" t="n"/>
      <c r="C825" s="2" t="n"/>
      <c r="D825" s="2" t="n"/>
      <c r="E825" s="2" t="n"/>
      <c r="F825" s="2" t="n"/>
    </row>
    <row r="826" ht="15.75" customHeight="1" s="67">
      <c r="A826" s="2" t="n"/>
      <c r="B826" s="2" t="n"/>
      <c r="C826" s="2" t="n"/>
      <c r="D826" s="2" t="n"/>
      <c r="E826" s="2" t="n"/>
      <c r="F826" s="2" t="n"/>
    </row>
    <row r="827" ht="15.75" customHeight="1" s="67">
      <c r="A827" s="2" t="n"/>
      <c r="B827" s="2" t="n"/>
      <c r="C827" s="2" t="n"/>
      <c r="D827" s="2" t="n"/>
      <c r="E827" s="2" t="n"/>
      <c r="F827" s="2" t="n"/>
    </row>
    <row r="828" ht="15.75" customHeight="1" s="67">
      <c r="A828" s="2" t="n"/>
      <c r="B828" s="2" t="n"/>
      <c r="C828" s="2" t="n"/>
      <c r="D828" s="2" t="n"/>
      <c r="E828" s="2" t="n"/>
      <c r="F828" s="2" t="n"/>
    </row>
    <row r="829" ht="15.75" customHeight="1" s="67">
      <c r="A829" s="2" t="n"/>
      <c r="B829" s="2" t="n"/>
      <c r="C829" s="2" t="n"/>
      <c r="D829" s="2" t="n"/>
      <c r="E829" s="2" t="n"/>
      <c r="F829" s="2" t="n"/>
    </row>
    <row r="830" ht="15.75" customHeight="1" s="67">
      <c r="A830" s="2" t="n"/>
      <c r="B830" s="2" t="n"/>
      <c r="C830" s="2" t="n"/>
      <c r="D830" s="2" t="n"/>
      <c r="E830" s="2" t="n"/>
      <c r="F830" s="2" t="n"/>
    </row>
    <row r="831" ht="15.75" customHeight="1" s="67">
      <c r="A831" s="2" t="n"/>
      <c r="B831" s="2" t="n"/>
      <c r="C831" s="2" t="n"/>
      <c r="D831" s="2" t="n"/>
      <c r="E831" s="2" t="n"/>
      <c r="F831" s="2" t="n"/>
    </row>
    <row r="832" ht="15.75" customHeight="1" s="67">
      <c r="A832" s="2" t="n"/>
      <c r="B832" s="2" t="n"/>
      <c r="C832" s="2" t="n"/>
      <c r="D832" s="2" t="n"/>
      <c r="E832" s="2" t="n"/>
      <c r="F832" s="2" t="n"/>
    </row>
    <row r="833" ht="15.75" customHeight="1" s="67">
      <c r="A833" s="2" t="n"/>
      <c r="B833" s="2" t="n"/>
      <c r="C833" s="2" t="n"/>
      <c r="D833" s="2" t="n"/>
      <c r="E833" s="2" t="n"/>
      <c r="F833" s="2" t="n"/>
    </row>
    <row r="834" ht="15.75" customHeight="1" s="67">
      <c r="A834" s="2" t="n"/>
      <c r="B834" s="2" t="n"/>
      <c r="C834" s="2" t="n"/>
      <c r="D834" s="2" t="n"/>
      <c r="E834" s="2" t="n"/>
      <c r="F834" s="2" t="n"/>
    </row>
    <row r="835" ht="15.75" customHeight="1" s="67">
      <c r="A835" s="2" t="n"/>
      <c r="B835" s="2" t="n"/>
      <c r="C835" s="2" t="n"/>
      <c r="D835" s="2" t="n"/>
      <c r="E835" s="2" t="n"/>
      <c r="F835" s="2" t="n"/>
    </row>
    <row r="836" ht="15.75" customHeight="1" s="67">
      <c r="A836" s="2" t="n"/>
      <c r="B836" s="2" t="n"/>
      <c r="C836" s="2" t="n"/>
      <c r="D836" s="2" t="n"/>
      <c r="E836" s="2" t="n"/>
      <c r="F836" s="2" t="n"/>
    </row>
    <row r="837" ht="15.75" customHeight="1" s="67">
      <c r="A837" s="2" t="n"/>
      <c r="B837" s="2" t="n"/>
      <c r="C837" s="2" t="n"/>
      <c r="D837" s="2" t="n"/>
      <c r="E837" s="2" t="n"/>
      <c r="F837" s="2" t="n"/>
    </row>
    <row r="838" ht="15.75" customHeight="1" s="67">
      <c r="A838" s="2" t="n"/>
      <c r="B838" s="2" t="n"/>
      <c r="C838" s="2" t="n"/>
      <c r="D838" s="2" t="n"/>
      <c r="E838" s="2" t="n"/>
      <c r="F838" s="2" t="n"/>
    </row>
    <row r="839" ht="15.75" customHeight="1" s="67">
      <c r="A839" s="2" t="n"/>
      <c r="B839" s="2" t="n"/>
      <c r="C839" s="2" t="n"/>
      <c r="D839" s="2" t="n"/>
      <c r="E839" s="2" t="n"/>
      <c r="F839" s="2" t="n"/>
    </row>
    <row r="840" ht="15.75" customHeight="1" s="67">
      <c r="A840" s="2" t="n"/>
      <c r="B840" s="2" t="n"/>
      <c r="C840" s="2" t="n"/>
      <c r="D840" s="2" t="n"/>
      <c r="E840" s="2" t="n"/>
      <c r="F840" s="2" t="n"/>
    </row>
    <row r="841" ht="15.75" customHeight="1" s="67">
      <c r="A841" s="2" t="n"/>
      <c r="B841" s="2" t="n"/>
      <c r="C841" s="2" t="n"/>
      <c r="D841" s="2" t="n"/>
      <c r="E841" s="2" t="n"/>
      <c r="F841" s="2" t="n"/>
    </row>
    <row r="842" ht="15.75" customHeight="1" s="67">
      <c r="A842" s="2" t="n"/>
      <c r="B842" s="2" t="n"/>
      <c r="C842" s="2" t="n"/>
      <c r="D842" s="2" t="n"/>
      <c r="E842" s="2" t="n"/>
      <c r="F842" s="2" t="n"/>
    </row>
    <row r="843" ht="15.75" customHeight="1" s="67">
      <c r="A843" s="2" t="n"/>
      <c r="B843" s="2" t="n"/>
      <c r="C843" s="2" t="n"/>
      <c r="D843" s="2" t="n"/>
      <c r="E843" s="2" t="n"/>
      <c r="F843" s="2" t="n"/>
    </row>
    <row r="844" ht="15.75" customHeight="1" s="67">
      <c r="A844" s="2" t="n"/>
      <c r="B844" s="2" t="n"/>
      <c r="C844" s="2" t="n"/>
      <c r="D844" s="2" t="n"/>
      <c r="E844" s="2" t="n"/>
      <c r="F844" s="2" t="n"/>
    </row>
    <row r="845" ht="15.75" customHeight="1" s="67">
      <c r="A845" s="2" t="n"/>
      <c r="B845" s="2" t="n"/>
      <c r="C845" s="2" t="n"/>
      <c r="D845" s="2" t="n"/>
      <c r="E845" s="2" t="n"/>
      <c r="F845" s="2" t="n"/>
    </row>
    <row r="846" ht="15.75" customHeight="1" s="67">
      <c r="A846" s="2" t="n"/>
      <c r="B846" s="2" t="n"/>
      <c r="C846" s="2" t="n"/>
      <c r="D846" s="2" t="n"/>
      <c r="E846" s="2" t="n"/>
      <c r="F846" s="2" t="n"/>
    </row>
    <row r="847" ht="15.75" customHeight="1" s="67">
      <c r="A847" s="2" t="n"/>
      <c r="B847" s="2" t="n"/>
      <c r="C847" s="2" t="n"/>
      <c r="D847" s="2" t="n"/>
      <c r="E847" s="2" t="n"/>
      <c r="F847" s="2" t="n"/>
    </row>
    <row r="848" ht="15.75" customHeight="1" s="67">
      <c r="A848" s="2" t="n"/>
      <c r="B848" s="2" t="n"/>
      <c r="C848" s="2" t="n"/>
      <c r="D848" s="2" t="n"/>
      <c r="E848" s="2" t="n"/>
      <c r="F848" s="2" t="n"/>
    </row>
    <row r="849" ht="15.75" customHeight="1" s="67">
      <c r="A849" s="2" t="n"/>
      <c r="B849" s="2" t="n"/>
      <c r="C849" s="2" t="n"/>
      <c r="D849" s="2" t="n"/>
      <c r="E849" s="2" t="n"/>
      <c r="F849" s="2" t="n"/>
    </row>
    <row r="850" ht="15.75" customHeight="1" s="67">
      <c r="A850" s="2" t="n"/>
      <c r="B850" s="2" t="n"/>
      <c r="C850" s="2" t="n"/>
      <c r="D850" s="2" t="n"/>
      <c r="E850" s="2" t="n"/>
      <c r="F850" s="2" t="n"/>
    </row>
    <row r="851" ht="15.75" customHeight="1" s="67">
      <c r="A851" s="2" t="n"/>
      <c r="B851" s="2" t="n"/>
      <c r="C851" s="2" t="n"/>
      <c r="D851" s="2" t="n"/>
      <c r="E851" s="2" t="n"/>
      <c r="F851" s="2" t="n"/>
    </row>
    <row r="852" ht="15.75" customHeight="1" s="67">
      <c r="A852" s="2" t="n"/>
      <c r="B852" s="2" t="n"/>
      <c r="C852" s="2" t="n"/>
      <c r="D852" s="2" t="n"/>
      <c r="E852" s="2" t="n"/>
      <c r="F852" s="2" t="n"/>
    </row>
    <row r="853" ht="15.75" customHeight="1" s="67">
      <c r="A853" s="2" t="n"/>
      <c r="B853" s="2" t="n"/>
      <c r="C853" s="2" t="n"/>
      <c r="D853" s="2" t="n"/>
      <c r="E853" s="2" t="n"/>
      <c r="F853" s="2" t="n"/>
    </row>
    <row r="854" ht="15.75" customHeight="1" s="67">
      <c r="A854" s="2" t="n"/>
      <c r="B854" s="2" t="n"/>
      <c r="C854" s="2" t="n"/>
      <c r="D854" s="2" t="n"/>
      <c r="E854" s="2" t="n"/>
      <c r="F854" s="2" t="n"/>
    </row>
    <row r="855" ht="15.75" customHeight="1" s="67">
      <c r="A855" s="2" t="n"/>
      <c r="B855" s="2" t="n"/>
      <c r="C855" s="2" t="n"/>
      <c r="D855" s="2" t="n"/>
      <c r="E855" s="2" t="n"/>
      <c r="F855" s="2" t="n"/>
    </row>
    <row r="856" ht="15.75" customHeight="1" s="67">
      <c r="A856" s="2" t="n"/>
      <c r="B856" s="2" t="n"/>
      <c r="C856" s="2" t="n"/>
      <c r="D856" s="2" t="n"/>
      <c r="E856" s="2" t="n"/>
      <c r="F856" s="2" t="n"/>
    </row>
    <row r="857" ht="15.75" customHeight="1" s="67">
      <c r="A857" s="2" t="n"/>
      <c r="B857" s="2" t="n"/>
      <c r="C857" s="2" t="n"/>
      <c r="D857" s="2" t="n"/>
      <c r="E857" s="2" t="n"/>
      <c r="F857" s="2" t="n"/>
    </row>
    <row r="858" ht="15.75" customHeight="1" s="67">
      <c r="A858" s="2" t="n"/>
      <c r="B858" s="2" t="n"/>
      <c r="C858" s="2" t="n"/>
      <c r="D858" s="2" t="n"/>
      <c r="E858" s="2" t="n"/>
      <c r="F858" s="2" t="n"/>
    </row>
    <row r="859" ht="15.75" customHeight="1" s="67">
      <c r="A859" s="2" t="n"/>
      <c r="B859" s="2" t="n"/>
      <c r="C859" s="2" t="n"/>
      <c r="D859" s="2" t="n"/>
      <c r="E859" s="2" t="n"/>
      <c r="F859" s="2" t="n"/>
    </row>
    <row r="860" ht="15.75" customHeight="1" s="67">
      <c r="A860" s="2" t="n"/>
      <c r="B860" s="2" t="n"/>
      <c r="C860" s="2" t="n"/>
      <c r="D860" s="2" t="n"/>
      <c r="E860" s="2" t="n"/>
      <c r="F860" s="2" t="n"/>
    </row>
    <row r="861" ht="15.75" customHeight="1" s="67">
      <c r="A861" s="2" t="n"/>
      <c r="B861" s="2" t="n"/>
      <c r="C861" s="2" t="n"/>
      <c r="D861" s="2" t="n"/>
      <c r="E861" s="2" t="n"/>
      <c r="F861" s="2" t="n"/>
    </row>
    <row r="862" ht="15.75" customHeight="1" s="67">
      <c r="A862" s="2" t="n"/>
      <c r="B862" s="2" t="n"/>
      <c r="C862" s="2" t="n"/>
      <c r="D862" s="2" t="n"/>
      <c r="E862" s="2" t="n"/>
      <c r="F862" s="2" t="n"/>
    </row>
    <row r="863" ht="15.75" customHeight="1" s="67">
      <c r="A863" s="2" t="n"/>
      <c r="B863" s="2" t="n"/>
      <c r="C863" s="2" t="n"/>
      <c r="D863" s="2" t="n"/>
      <c r="E863" s="2" t="n"/>
      <c r="F863" s="2" t="n"/>
    </row>
    <row r="864" ht="15.75" customHeight="1" s="67">
      <c r="A864" s="2" t="n"/>
      <c r="B864" s="2" t="n"/>
      <c r="C864" s="2" t="n"/>
      <c r="D864" s="2" t="n"/>
      <c r="E864" s="2" t="n"/>
      <c r="F864" s="2" t="n"/>
    </row>
    <row r="865" ht="15.75" customHeight="1" s="67">
      <c r="A865" s="2" t="n"/>
      <c r="B865" s="2" t="n"/>
      <c r="C865" s="2" t="n"/>
      <c r="D865" s="2" t="n"/>
      <c r="E865" s="2" t="n"/>
      <c r="F865" s="2" t="n"/>
    </row>
    <row r="866" ht="15.75" customHeight="1" s="67">
      <c r="A866" s="2" t="n"/>
      <c r="B866" s="2" t="n"/>
      <c r="C866" s="2" t="n"/>
      <c r="D866" s="2" t="n"/>
      <c r="E866" s="2" t="n"/>
      <c r="F866" s="2" t="n"/>
    </row>
    <row r="867" ht="15.75" customHeight="1" s="67">
      <c r="A867" s="2" t="n"/>
      <c r="B867" s="2" t="n"/>
      <c r="C867" s="2" t="n"/>
      <c r="D867" s="2" t="n"/>
      <c r="E867" s="2" t="n"/>
      <c r="F867" s="2" t="n"/>
    </row>
    <row r="868" ht="15.75" customHeight="1" s="67">
      <c r="A868" s="2" t="n"/>
      <c r="B868" s="2" t="n"/>
      <c r="C868" s="2" t="n"/>
      <c r="D868" s="2" t="n"/>
      <c r="E868" s="2" t="n"/>
      <c r="F868" s="2" t="n"/>
    </row>
    <row r="869" ht="15.75" customHeight="1" s="67">
      <c r="A869" s="2" t="n"/>
      <c r="B869" s="2" t="n"/>
      <c r="C869" s="2" t="n"/>
      <c r="D869" s="2" t="n"/>
      <c r="E869" s="2" t="n"/>
      <c r="F869" s="2" t="n"/>
    </row>
    <row r="870" ht="15.75" customHeight="1" s="67">
      <c r="A870" s="2" t="n"/>
      <c r="B870" s="2" t="n"/>
      <c r="C870" s="2" t="n"/>
      <c r="D870" s="2" t="n"/>
      <c r="E870" s="2" t="n"/>
      <c r="F870" s="2" t="n"/>
    </row>
    <row r="871" ht="15.75" customHeight="1" s="67">
      <c r="A871" s="2" t="n"/>
      <c r="B871" s="2" t="n"/>
      <c r="C871" s="2" t="n"/>
      <c r="D871" s="2" t="n"/>
      <c r="E871" s="2" t="n"/>
      <c r="F871" s="2" t="n"/>
    </row>
    <row r="872" ht="15.75" customHeight="1" s="67">
      <c r="A872" s="2" t="n"/>
      <c r="B872" s="2" t="n"/>
      <c r="C872" s="2" t="n"/>
      <c r="D872" s="2" t="n"/>
      <c r="E872" s="2" t="n"/>
      <c r="F872" s="2" t="n"/>
    </row>
    <row r="873" ht="15.75" customHeight="1" s="67">
      <c r="A873" s="2" t="n"/>
      <c r="B873" s="2" t="n"/>
      <c r="C873" s="2" t="n"/>
      <c r="D873" s="2" t="n"/>
      <c r="E873" s="2" t="n"/>
      <c r="F873" s="2" t="n"/>
    </row>
    <row r="874" ht="15.75" customHeight="1" s="67">
      <c r="A874" s="2" t="n"/>
      <c r="B874" s="2" t="n"/>
      <c r="C874" s="2" t="n"/>
      <c r="D874" s="2" t="n"/>
      <c r="E874" s="2" t="n"/>
      <c r="F874" s="2" t="n"/>
    </row>
    <row r="875" ht="15.75" customHeight="1" s="67">
      <c r="A875" s="2" t="n"/>
      <c r="B875" s="2" t="n"/>
      <c r="C875" s="2" t="n"/>
      <c r="D875" s="2" t="n"/>
      <c r="E875" s="2" t="n"/>
      <c r="F875" s="2" t="n"/>
    </row>
    <row r="876" ht="15.75" customHeight="1" s="67">
      <c r="A876" s="2" t="n"/>
      <c r="B876" s="2" t="n"/>
      <c r="C876" s="2" t="n"/>
      <c r="D876" s="2" t="n"/>
      <c r="E876" s="2" t="n"/>
      <c r="F876" s="2" t="n"/>
    </row>
    <row r="877" ht="15.75" customHeight="1" s="67">
      <c r="A877" s="2" t="n"/>
      <c r="B877" s="2" t="n"/>
      <c r="C877" s="2" t="n"/>
      <c r="D877" s="2" t="n"/>
      <c r="E877" s="2" t="n"/>
      <c r="F877" s="2" t="n"/>
    </row>
    <row r="878" ht="15.75" customHeight="1" s="67">
      <c r="A878" s="2" t="n"/>
      <c r="B878" s="2" t="n"/>
      <c r="C878" s="2" t="n"/>
      <c r="D878" s="2" t="n"/>
      <c r="E878" s="2" t="n"/>
      <c r="F878" s="2" t="n"/>
    </row>
    <row r="879" ht="15.75" customHeight="1" s="67">
      <c r="A879" s="2" t="n"/>
      <c r="B879" s="2" t="n"/>
      <c r="C879" s="2" t="n"/>
      <c r="D879" s="2" t="n"/>
      <c r="E879" s="2" t="n"/>
      <c r="F879" s="2" t="n"/>
    </row>
    <row r="880" ht="15.75" customHeight="1" s="67">
      <c r="A880" s="2" t="n"/>
      <c r="B880" s="2" t="n"/>
      <c r="C880" s="2" t="n"/>
      <c r="D880" s="2" t="n"/>
      <c r="E880" s="2" t="n"/>
      <c r="F880" s="2" t="n"/>
    </row>
    <row r="881" ht="15.75" customHeight="1" s="67">
      <c r="A881" s="2" t="n"/>
      <c r="B881" s="2" t="n"/>
      <c r="C881" s="2" t="n"/>
      <c r="D881" s="2" t="n"/>
      <c r="E881" s="2" t="n"/>
      <c r="F881" s="2" t="n"/>
    </row>
    <row r="882" ht="15.75" customHeight="1" s="67">
      <c r="A882" s="2" t="n"/>
      <c r="B882" s="2" t="n"/>
      <c r="C882" s="2" t="n"/>
      <c r="D882" s="2" t="n"/>
      <c r="E882" s="2" t="n"/>
      <c r="F882" s="2" t="n"/>
    </row>
    <row r="883" ht="15.75" customHeight="1" s="67">
      <c r="A883" s="2" t="n"/>
      <c r="B883" s="2" t="n"/>
      <c r="C883" s="2" t="n"/>
      <c r="D883" s="2" t="n"/>
      <c r="E883" s="2" t="n"/>
      <c r="F883" s="2" t="n"/>
    </row>
    <row r="884" ht="15.75" customHeight="1" s="67">
      <c r="A884" s="2" t="n"/>
      <c r="B884" s="2" t="n"/>
      <c r="C884" s="2" t="n"/>
      <c r="D884" s="2" t="n"/>
      <c r="E884" s="2" t="n"/>
      <c r="F884" s="2" t="n"/>
    </row>
    <row r="885" ht="15.75" customHeight="1" s="67">
      <c r="A885" s="2" t="n"/>
      <c r="B885" s="2" t="n"/>
      <c r="C885" s="2" t="n"/>
      <c r="D885" s="2" t="n"/>
      <c r="E885" s="2" t="n"/>
      <c r="F885" s="2" t="n"/>
    </row>
    <row r="886" ht="15.75" customHeight="1" s="67">
      <c r="A886" s="2" t="n"/>
      <c r="B886" s="2" t="n"/>
      <c r="C886" s="2" t="n"/>
      <c r="D886" s="2" t="n"/>
      <c r="E886" s="2" t="n"/>
      <c r="F886" s="2" t="n"/>
    </row>
    <row r="887" ht="15.75" customHeight="1" s="67">
      <c r="A887" s="2" t="n"/>
      <c r="B887" s="2" t="n"/>
      <c r="C887" s="2" t="n"/>
      <c r="D887" s="2" t="n"/>
      <c r="E887" s="2" t="n"/>
      <c r="F887" s="2" t="n"/>
    </row>
    <row r="888" ht="15.75" customHeight="1" s="67">
      <c r="A888" s="2" t="n"/>
      <c r="B888" s="2" t="n"/>
      <c r="C888" s="2" t="n"/>
      <c r="D888" s="2" t="n"/>
      <c r="E888" s="2" t="n"/>
      <c r="F888" s="2" t="n"/>
    </row>
    <row r="889" ht="15.75" customHeight="1" s="67">
      <c r="A889" s="2" t="n"/>
      <c r="B889" s="2" t="n"/>
      <c r="C889" s="2" t="n"/>
      <c r="D889" s="2" t="n"/>
      <c r="E889" s="2" t="n"/>
      <c r="F889" s="2" t="n"/>
    </row>
    <row r="890" ht="15.75" customHeight="1" s="67">
      <c r="A890" s="2" t="n"/>
      <c r="B890" s="2" t="n"/>
      <c r="C890" s="2" t="n"/>
      <c r="D890" s="2" t="n"/>
      <c r="E890" s="2" t="n"/>
      <c r="F890" s="2" t="n"/>
    </row>
    <row r="891" ht="15.75" customHeight="1" s="67">
      <c r="A891" s="2" t="n"/>
      <c r="B891" s="2" t="n"/>
      <c r="C891" s="2" t="n"/>
      <c r="D891" s="2" t="n"/>
      <c r="E891" s="2" t="n"/>
      <c r="F891" s="2" t="n"/>
    </row>
    <row r="892" ht="15.75" customHeight="1" s="67">
      <c r="A892" s="2" t="n"/>
      <c r="B892" s="2" t="n"/>
      <c r="C892" s="2" t="n"/>
      <c r="D892" s="2" t="n"/>
      <c r="E892" s="2" t="n"/>
      <c r="F892" s="2" t="n"/>
    </row>
    <row r="893" ht="15.75" customHeight="1" s="67">
      <c r="A893" s="2" t="n"/>
      <c r="B893" s="2" t="n"/>
      <c r="C893" s="2" t="n"/>
      <c r="D893" s="2" t="n"/>
      <c r="E893" s="2" t="n"/>
      <c r="F893" s="2" t="n"/>
    </row>
    <row r="894" ht="15.75" customHeight="1" s="67">
      <c r="A894" s="2" t="n"/>
      <c r="B894" s="2" t="n"/>
      <c r="C894" s="2" t="n"/>
      <c r="D894" s="2" t="n"/>
      <c r="E894" s="2" t="n"/>
      <c r="F894" s="2" t="n"/>
    </row>
    <row r="895" ht="15.75" customHeight="1" s="67">
      <c r="A895" s="2" t="n"/>
      <c r="B895" s="2" t="n"/>
      <c r="C895" s="2" t="n"/>
      <c r="D895" s="2" t="n"/>
      <c r="E895" s="2" t="n"/>
      <c r="F895" s="2" t="n"/>
    </row>
    <row r="896" ht="15.75" customHeight="1" s="67">
      <c r="A896" s="2" t="n"/>
      <c r="B896" s="2" t="n"/>
      <c r="C896" s="2" t="n"/>
      <c r="D896" s="2" t="n"/>
      <c r="E896" s="2" t="n"/>
      <c r="F896" s="2" t="n"/>
    </row>
    <row r="897" ht="15.75" customHeight="1" s="67">
      <c r="A897" s="2" t="n"/>
      <c r="B897" s="2" t="n"/>
      <c r="C897" s="2" t="n"/>
      <c r="D897" s="2" t="n"/>
      <c r="E897" s="2" t="n"/>
      <c r="F897" s="2" t="n"/>
    </row>
    <row r="898" ht="15.75" customHeight="1" s="67">
      <c r="A898" s="2" t="n"/>
      <c r="B898" s="2" t="n"/>
      <c r="C898" s="2" t="n"/>
      <c r="D898" s="2" t="n"/>
      <c r="E898" s="2" t="n"/>
      <c r="F898" s="2" t="n"/>
    </row>
    <row r="899" ht="15.75" customHeight="1" s="67">
      <c r="A899" s="2" t="n"/>
      <c r="B899" s="2" t="n"/>
      <c r="C899" s="2" t="n"/>
      <c r="D899" s="2" t="n"/>
      <c r="E899" s="2" t="n"/>
      <c r="F899" s="2" t="n"/>
    </row>
    <row r="900" ht="15.75" customHeight="1" s="67">
      <c r="A900" s="2" t="n"/>
      <c r="B900" s="2" t="n"/>
      <c r="C900" s="2" t="n"/>
      <c r="D900" s="2" t="n"/>
      <c r="E900" s="2" t="n"/>
      <c r="F900" s="2" t="n"/>
    </row>
    <row r="901" ht="15.75" customHeight="1" s="67">
      <c r="A901" s="2" t="n"/>
      <c r="B901" s="2" t="n"/>
      <c r="C901" s="2" t="n"/>
      <c r="D901" s="2" t="n"/>
      <c r="E901" s="2" t="n"/>
      <c r="F901" s="2" t="n"/>
    </row>
    <row r="902" ht="15.75" customHeight="1" s="67">
      <c r="A902" s="2" t="n"/>
      <c r="B902" s="2" t="n"/>
      <c r="C902" s="2" t="n"/>
      <c r="D902" s="2" t="n"/>
      <c r="E902" s="2" t="n"/>
      <c r="F902" s="2" t="n"/>
    </row>
    <row r="903" ht="15.75" customHeight="1" s="67">
      <c r="A903" s="2" t="n"/>
      <c r="B903" s="2" t="n"/>
      <c r="C903" s="2" t="n"/>
      <c r="D903" s="2" t="n"/>
      <c r="E903" s="2" t="n"/>
      <c r="F903" s="2" t="n"/>
    </row>
    <row r="904" ht="15.75" customHeight="1" s="67">
      <c r="A904" s="2" t="n"/>
      <c r="B904" s="2" t="n"/>
      <c r="C904" s="2" t="n"/>
      <c r="D904" s="2" t="n"/>
      <c r="E904" s="2" t="n"/>
      <c r="F904" s="2" t="n"/>
    </row>
    <row r="905" ht="15.75" customHeight="1" s="67">
      <c r="A905" s="2" t="n"/>
      <c r="B905" s="2" t="n"/>
      <c r="C905" s="2" t="n"/>
      <c r="D905" s="2" t="n"/>
      <c r="E905" s="2" t="n"/>
      <c r="F905" s="2" t="n"/>
    </row>
    <row r="906" ht="15.75" customHeight="1" s="67">
      <c r="A906" s="2" t="n"/>
      <c r="B906" s="2" t="n"/>
      <c r="C906" s="2" t="n"/>
      <c r="D906" s="2" t="n"/>
      <c r="E906" s="2" t="n"/>
      <c r="F906" s="2" t="n"/>
    </row>
    <row r="907" ht="15.75" customHeight="1" s="67">
      <c r="A907" s="2" t="n"/>
      <c r="B907" s="2" t="n"/>
      <c r="C907" s="2" t="n"/>
      <c r="D907" s="2" t="n"/>
      <c r="E907" s="2" t="n"/>
      <c r="F907" s="2" t="n"/>
    </row>
    <row r="908" ht="15.75" customHeight="1" s="67">
      <c r="A908" s="2" t="n"/>
      <c r="B908" s="2" t="n"/>
      <c r="C908" s="2" t="n"/>
      <c r="D908" s="2" t="n"/>
      <c r="E908" s="2" t="n"/>
      <c r="F908" s="2" t="n"/>
    </row>
    <row r="909" ht="15.75" customHeight="1" s="67">
      <c r="A909" s="2" t="n"/>
      <c r="B909" s="2" t="n"/>
      <c r="C909" s="2" t="n"/>
      <c r="D909" s="2" t="n"/>
      <c r="E909" s="2" t="n"/>
      <c r="F909" s="2" t="n"/>
    </row>
    <row r="910" ht="15.75" customHeight="1" s="67">
      <c r="A910" s="2" t="n"/>
      <c r="B910" s="2" t="n"/>
      <c r="C910" s="2" t="n"/>
      <c r="D910" s="2" t="n"/>
      <c r="E910" s="2" t="n"/>
      <c r="F910" s="2" t="n"/>
    </row>
    <row r="911" ht="15.75" customHeight="1" s="67">
      <c r="A911" s="2" t="n"/>
      <c r="B911" s="2" t="n"/>
      <c r="C911" s="2" t="n"/>
      <c r="D911" s="2" t="n"/>
      <c r="E911" s="2" t="n"/>
      <c r="F911" s="2" t="n"/>
    </row>
    <row r="912" ht="15.75" customHeight="1" s="67">
      <c r="A912" s="2" t="n"/>
      <c r="B912" s="2" t="n"/>
      <c r="C912" s="2" t="n"/>
      <c r="D912" s="2" t="n"/>
      <c r="E912" s="2" t="n"/>
      <c r="F912" s="2" t="n"/>
    </row>
    <row r="913" ht="15.75" customHeight="1" s="67">
      <c r="A913" s="2" t="n"/>
      <c r="B913" s="2" t="n"/>
      <c r="C913" s="2" t="n"/>
      <c r="D913" s="2" t="n"/>
      <c r="E913" s="2" t="n"/>
      <c r="F913" s="2" t="n"/>
    </row>
    <row r="914" ht="15.75" customHeight="1" s="67">
      <c r="A914" s="2" t="n"/>
      <c r="B914" s="2" t="n"/>
      <c r="C914" s="2" t="n"/>
      <c r="D914" s="2" t="n"/>
      <c r="E914" s="2" t="n"/>
      <c r="F914" s="2" t="n"/>
    </row>
    <row r="915" ht="15.75" customHeight="1" s="67">
      <c r="A915" s="2" t="n"/>
      <c r="B915" s="2" t="n"/>
      <c r="C915" s="2" t="n"/>
      <c r="D915" s="2" t="n"/>
      <c r="E915" s="2" t="n"/>
      <c r="F915" s="2" t="n"/>
    </row>
    <row r="916" ht="15.75" customHeight="1" s="67">
      <c r="A916" s="2" t="n"/>
      <c r="B916" s="2" t="n"/>
      <c r="C916" s="2" t="n"/>
      <c r="D916" s="2" t="n"/>
      <c r="E916" s="2" t="n"/>
      <c r="F916" s="2" t="n"/>
    </row>
    <row r="917" ht="15.75" customHeight="1" s="67">
      <c r="A917" s="2" t="n"/>
      <c r="B917" s="2" t="n"/>
      <c r="C917" s="2" t="n"/>
      <c r="D917" s="2" t="n"/>
      <c r="E917" s="2" t="n"/>
      <c r="F917" s="2" t="n"/>
    </row>
    <row r="918" ht="15.75" customHeight="1" s="67">
      <c r="A918" s="2" t="n"/>
      <c r="B918" s="2" t="n"/>
      <c r="C918" s="2" t="n"/>
      <c r="D918" s="2" t="n"/>
      <c r="E918" s="2" t="n"/>
      <c r="F918" s="2" t="n"/>
    </row>
    <row r="919" ht="15.75" customHeight="1" s="67">
      <c r="A919" s="2" t="n"/>
      <c r="B919" s="2" t="n"/>
      <c r="C919" s="2" t="n"/>
      <c r="D919" s="2" t="n"/>
      <c r="E919" s="2" t="n"/>
      <c r="F919" s="2" t="n"/>
    </row>
    <row r="920" ht="15.75" customHeight="1" s="67">
      <c r="A920" s="2" t="n"/>
      <c r="B920" s="2" t="n"/>
      <c r="C920" s="2" t="n"/>
      <c r="D920" s="2" t="n"/>
      <c r="E920" s="2" t="n"/>
      <c r="F920" s="2" t="n"/>
    </row>
    <row r="921" ht="15.75" customHeight="1" s="67">
      <c r="A921" s="2" t="n"/>
      <c r="B921" s="2" t="n"/>
      <c r="C921" s="2" t="n"/>
      <c r="D921" s="2" t="n"/>
      <c r="E921" s="2" t="n"/>
      <c r="F921" s="2" t="n"/>
    </row>
    <row r="922" ht="15.75" customHeight="1" s="67">
      <c r="A922" s="2" t="n"/>
      <c r="B922" s="2" t="n"/>
      <c r="C922" s="2" t="n"/>
      <c r="D922" s="2" t="n"/>
      <c r="E922" s="2" t="n"/>
      <c r="F922" s="2" t="n"/>
    </row>
    <row r="923" ht="15.75" customHeight="1" s="67">
      <c r="A923" s="2" t="n"/>
      <c r="B923" s="2" t="n"/>
      <c r="C923" s="2" t="n"/>
      <c r="D923" s="2" t="n"/>
      <c r="E923" s="2" t="n"/>
      <c r="F923" s="2" t="n"/>
    </row>
    <row r="924" ht="15.75" customHeight="1" s="67">
      <c r="A924" s="2" t="n"/>
      <c r="B924" s="2" t="n"/>
      <c r="C924" s="2" t="n"/>
      <c r="D924" s="2" t="n"/>
      <c r="E924" s="2" t="n"/>
      <c r="F924" s="2" t="n"/>
    </row>
    <row r="925" ht="15.75" customHeight="1" s="67">
      <c r="A925" s="2" t="n"/>
      <c r="B925" s="2" t="n"/>
      <c r="C925" s="2" t="n"/>
      <c r="D925" s="2" t="n"/>
      <c r="E925" s="2" t="n"/>
      <c r="F925" s="2" t="n"/>
    </row>
    <row r="926" ht="15.75" customHeight="1" s="67">
      <c r="A926" s="2" t="n"/>
      <c r="B926" s="2" t="n"/>
      <c r="C926" s="2" t="n"/>
      <c r="D926" s="2" t="n"/>
      <c r="E926" s="2" t="n"/>
      <c r="F926" s="2" t="n"/>
    </row>
    <row r="927" ht="15.75" customHeight="1" s="67">
      <c r="A927" s="2" t="n"/>
      <c r="B927" s="2" t="n"/>
      <c r="C927" s="2" t="n"/>
      <c r="D927" s="2" t="n"/>
      <c r="E927" s="2" t="n"/>
      <c r="F927" s="2" t="n"/>
    </row>
    <row r="928" ht="15.75" customHeight="1" s="67">
      <c r="A928" s="2" t="n"/>
      <c r="B928" s="2" t="n"/>
      <c r="C928" s="2" t="n"/>
      <c r="D928" s="2" t="n"/>
      <c r="E928" s="2" t="n"/>
      <c r="F928" s="2" t="n"/>
    </row>
    <row r="929" ht="15.75" customHeight="1" s="67">
      <c r="A929" s="2" t="n"/>
      <c r="B929" s="2" t="n"/>
      <c r="C929" s="2" t="n"/>
      <c r="D929" s="2" t="n"/>
      <c r="E929" s="2" t="n"/>
      <c r="F929" s="2" t="n"/>
    </row>
    <row r="930" ht="15.75" customHeight="1" s="67">
      <c r="A930" s="2" t="n"/>
      <c r="B930" s="2" t="n"/>
      <c r="C930" s="2" t="n"/>
      <c r="D930" s="2" t="n"/>
      <c r="E930" s="2" t="n"/>
      <c r="F930" s="2" t="n"/>
    </row>
    <row r="931" ht="15.75" customHeight="1" s="67">
      <c r="A931" s="2" t="n"/>
      <c r="B931" s="2" t="n"/>
      <c r="C931" s="2" t="n"/>
      <c r="D931" s="2" t="n"/>
      <c r="E931" s="2" t="n"/>
      <c r="F931" s="2" t="n"/>
    </row>
    <row r="932" ht="15.75" customHeight="1" s="67">
      <c r="A932" s="2" t="n"/>
      <c r="B932" s="2" t="n"/>
      <c r="C932" s="2" t="n"/>
      <c r="D932" s="2" t="n"/>
      <c r="E932" s="2" t="n"/>
      <c r="F932" s="2" t="n"/>
    </row>
    <row r="933" ht="15.75" customHeight="1" s="67">
      <c r="A933" s="2" t="n"/>
      <c r="B933" s="2" t="n"/>
      <c r="C933" s="2" t="n"/>
      <c r="D933" s="2" t="n"/>
      <c r="E933" s="2" t="n"/>
      <c r="F933" s="2" t="n"/>
    </row>
    <row r="934" ht="15.75" customHeight="1" s="67">
      <c r="A934" s="2" t="n"/>
      <c r="B934" s="2" t="n"/>
      <c r="C934" s="2" t="n"/>
      <c r="D934" s="2" t="n"/>
      <c r="E934" s="2" t="n"/>
      <c r="F934" s="2" t="n"/>
    </row>
    <row r="935" ht="15.75" customHeight="1" s="67">
      <c r="A935" s="2" t="n"/>
      <c r="B935" s="2" t="n"/>
      <c r="C935" s="2" t="n"/>
      <c r="D935" s="2" t="n"/>
      <c r="E935" s="2" t="n"/>
      <c r="F935" s="2" t="n"/>
    </row>
    <row r="936" ht="15.75" customHeight="1" s="67">
      <c r="A936" s="2" t="n"/>
      <c r="B936" s="2" t="n"/>
      <c r="C936" s="2" t="n"/>
      <c r="D936" s="2" t="n"/>
      <c r="E936" s="2" t="n"/>
      <c r="F936" s="2" t="n"/>
    </row>
    <row r="937" ht="15.75" customHeight="1" s="67">
      <c r="A937" s="2" t="n"/>
      <c r="B937" s="2" t="n"/>
      <c r="C937" s="2" t="n"/>
      <c r="D937" s="2" t="n"/>
      <c r="E937" s="2" t="n"/>
      <c r="F937" s="2" t="n"/>
    </row>
    <row r="938" ht="15.75" customHeight="1" s="67">
      <c r="A938" s="2" t="n"/>
      <c r="B938" s="2" t="n"/>
      <c r="C938" s="2" t="n"/>
      <c r="D938" s="2" t="n"/>
      <c r="E938" s="2" t="n"/>
      <c r="F938" s="2" t="n"/>
    </row>
    <row r="939" ht="15.75" customHeight="1" s="67">
      <c r="A939" s="2" t="n"/>
      <c r="B939" s="2" t="n"/>
      <c r="C939" s="2" t="n"/>
      <c r="D939" s="2" t="n"/>
      <c r="E939" s="2" t="n"/>
      <c r="F939" s="2" t="n"/>
    </row>
    <row r="940" ht="15.75" customHeight="1" s="67">
      <c r="A940" s="2" t="n"/>
      <c r="B940" s="2" t="n"/>
      <c r="C940" s="2" t="n"/>
      <c r="D940" s="2" t="n"/>
      <c r="E940" s="2" t="n"/>
      <c r="F940" s="2" t="n"/>
    </row>
    <row r="941" ht="15.75" customHeight="1" s="67">
      <c r="A941" s="2" t="n"/>
      <c r="B941" s="2" t="n"/>
      <c r="C941" s="2" t="n"/>
      <c r="D941" s="2" t="n"/>
      <c r="E941" s="2" t="n"/>
      <c r="F941" s="2" t="n"/>
    </row>
    <row r="942" ht="15.75" customHeight="1" s="67">
      <c r="A942" s="2" t="n"/>
      <c r="B942" s="2" t="n"/>
      <c r="C942" s="2" t="n"/>
      <c r="D942" s="2" t="n"/>
      <c r="E942" s="2" t="n"/>
      <c r="F942" s="2" t="n"/>
    </row>
    <row r="943" ht="15.75" customHeight="1" s="67">
      <c r="A943" s="2" t="n"/>
      <c r="B943" s="2" t="n"/>
      <c r="C943" s="2" t="n"/>
      <c r="D943" s="2" t="n"/>
      <c r="E943" s="2" t="n"/>
      <c r="F943" s="2" t="n"/>
    </row>
    <row r="944" ht="15.75" customHeight="1" s="67">
      <c r="A944" s="2" t="n"/>
      <c r="B944" s="2" t="n"/>
      <c r="C944" s="2" t="n"/>
      <c r="D944" s="2" t="n"/>
      <c r="E944" s="2" t="n"/>
      <c r="F944" s="2" t="n"/>
    </row>
    <row r="945" ht="15.75" customHeight="1" s="67">
      <c r="A945" s="2" t="n"/>
      <c r="B945" s="2" t="n"/>
      <c r="C945" s="2" t="n"/>
      <c r="D945" s="2" t="n"/>
      <c r="E945" s="2" t="n"/>
      <c r="F945" s="2" t="n"/>
    </row>
    <row r="946" ht="15.75" customHeight="1" s="67">
      <c r="A946" s="2" t="n"/>
      <c r="B946" s="2" t="n"/>
      <c r="C946" s="2" t="n"/>
      <c r="D946" s="2" t="n"/>
      <c r="E946" s="2" t="n"/>
      <c r="F946" s="2" t="n"/>
    </row>
    <row r="947" ht="15.75" customHeight="1" s="67">
      <c r="A947" s="2" t="n"/>
      <c r="B947" s="2" t="n"/>
      <c r="C947" s="2" t="n"/>
      <c r="D947" s="2" t="n"/>
      <c r="E947" s="2" t="n"/>
      <c r="F947" s="2" t="n"/>
    </row>
    <row r="948" ht="15.75" customHeight="1" s="67">
      <c r="A948" s="2" t="n"/>
      <c r="B948" s="2" t="n"/>
      <c r="C948" s="2" t="n"/>
      <c r="D948" s="2" t="n"/>
      <c r="E948" s="2" t="n"/>
      <c r="F948" s="2" t="n"/>
    </row>
    <row r="949" ht="15.75" customHeight="1" s="67">
      <c r="A949" s="2" t="n"/>
      <c r="B949" s="2" t="n"/>
      <c r="C949" s="2" t="n"/>
      <c r="D949" s="2" t="n"/>
      <c r="E949" s="2" t="n"/>
      <c r="F949" s="2" t="n"/>
    </row>
    <row r="950" ht="15.75" customHeight="1" s="67">
      <c r="A950" s="2" t="n"/>
      <c r="B950" s="2" t="n"/>
      <c r="C950" s="2" t="n"/>
      <c r="D950" s="2" t="n"/>
      <c r="E950" s="2" t="n"/>
      <c r="F950" s="2" t="n"/>
    </row>
    <row r="951" ht="15.75" customHeight="1" s="67">
      <c r="A951" s="2" t="n"/>
      <c r="B951" s="2" t="n"/>
      <c r="C951" s="2" t="n"/>
      <c r="D951" s="2" t="n"/>
      <c r="E951" s="2" t="n"/>
      <c r="F951" s="2" t="n"/>
    </row>
    <row r="952" ht="15.75" customHeight="1" s="67">
      <c r="A952" s="2" t="n"/>
      <c r="B952" s="2" t="n"/>
      <c r="C952" s="2" t="n"/>
      <c r="D952" s="2" t="n"/>
      <c r="E952" s="2" t="n"/>
      <c r="F952" s="2" t="n"/>
    </row>
    <row r="953" ht="15.75" customHeight="1" s="67">
      <c r="A953" s="2" t="n"/>
      <c r="B953" s="2" t="n"/>
      <c r="C953" s="2" t="n"/>
      <c r="D953" s="2" t="n"/>
      <c r="E953" s="2" t="n"/>
      <c r="F953" s="2" t="n"/>
    </row>
    <row r="954" ht="15.75" customHeight="1" s="67">
      <c r="A954" s="2" t="n"/>
      <c r="B954" s="2" t="n"/>
      <c r="C954" s="2" t="n"/>
      <c r="D954" s="2" t="n"/>
      <c r="E954" s="2" t="n"/>
      <c r="F954" s="2" t="n"/>
    </row>
    <row r="955" ht="15.75" customHeight="1" s="67">
      <c r="A955" s="2" t="n"/>
      <c r="B955" s="2" t="n"/>
      <c r="C955" s="2" t="n"/>
      <c r="D955" s="2" t="n"/>
      <c r="E955" s="2" t="n"/>
      <c r="F955" s="2" t="n"/>
    </row>
    <row r="956" ht="15.75" customHeight="1" s="67">
      <c r="A956" s="2" t="n"/>
      <c r="B956" s="2" t="n"/>
      <c r="C956" s="2" t="n"/>
      <c r="D956" s="2" t="n"/>
      <c r="E956" s="2" t="n"/>
      <c r="F956" s="2" t="n"/>
    </row>
    <row r="957" ht="15.75" customHeight="1" s="67">
      <c r="A957" s="2" t="n"/>
      <c r="B957" s="2" t="n"/>
      <c r="C957" s="2" t="n"/>
      <c r="D957" s="2" t="n"/>
      <c r="E957" s="2" t="n"/>
      <c r="F957" s="2" t="n"/>
    </row>
    <row r="958" ht="15.75" customHeight="1" s="67">
      <c r="A958" s="2" t="n"/>
      <c r="B958" s="2" t="n"/>
      <c r="C958" s="2" t="n"/>
      <c r="D958" s="2" t="n"/>
      <c r="E958" s="2" t="n"/>
      <c r="F958" s="2" t="n"/>
    </row>
    <row r="959" ht="15.75" customHeight="1" s="67">
      <c r="A959" s="2" t="n"/>
      <c r="B959" s="2" t="n"/>
      <c r="C959" s="2" t="n"/>
      <c r="D959" s="2" t="n"/>
      <c r="E959" s="2" t="n"/>
      <c r="F959" s="2" t="n"/>
    </row>
    <row r="960" ht="15.75" customHeight="1" s="67">
      <c r="A960" s="2" t="n"/>
      <c r="B960" s="2" t="n"/>
      <c r="C960" s="2" t="n"/>
      <c r="D960" s="2" t="n"/>
      <c r="E960" s="2" t="n"/>
      <c r="F960" s="2" t="n"/>
    </row>
    <row r="961" ht="15.75" customHeight="1" s="67">
      <c r="A961" s="2" t="n"/>
      <c r="B961" s="2" t="n"/>
      <c r="C961" s="2" t="n"/>
      <c r="D961" s="2" t="n"/>
      <c r="E961" s="2" t="n"/>
      <c r="F961" s="2" t="n"/>
    </row>
    <row r="962" ht="15.75" customHeight="1" s="67">
      <c r="A962" s="2" t="n"/>
      <c r="B962" s="2" t="n"/>
      <c r="C962" s="2" t="n"/>
      <c r="D962" s="2" t="n"/>
      <c r="E962" s="2" t="n"/>
      <c r="F962" s="2" t="n"/>
    </row>
    <row r="963" ht="15.75" customHeight="1" s="67">
      <c r="A963" s="2" t="n"/>
      <c r="B963" s="2" t="n"/>
      <c r="C963" s="2" t="n"/>
      <c r="D963" s="2" t="n"/>
      <c r="E963" s="2" t="n"/>
      <c r="F963" s="2" t="n"/>
    </row>
    <row r="964" ht="15.75" customHeight="1" s="67">
      <c r="A964" s="2" t="n"/>
      <c r="B964" s="2" t="n"/>
      <c r="C964" s="2" t="n"/>
      <c r="D964" s="2" t="n"/>
      <c r="E964" s="2" t="n"/>
      <c r="F964" s="2" t="n"/>
    </row>
    <row r="965" ht="15.75" customHeight="1" s="67">
      <c r="A965" s="2" t="n"/>
      <c r="B965" s="2" t="n"/>
      <c r="C965" s="2" t="n"/>
      <c r="D965" s="2" t="n"/>
      <c r="E965" s="2" t="n"/>
      <c r="F965" s="2" t="n"/>
    </row>
    <row r="966" ht="15.75" customHeight="1" s="67">
      <c r="A966" s="2" t="n"/>
      <c r="B966" s="2" t="n"/>
      <c r="C966" s="2" t="n"/>
      <c r="D966" s="2" t="n"/>
      <c r="E966" s="2" t="n"/>
      <c r="F966" s="2" t="n"/>
    </row>
    <row r="967" ht="15.75" customHeight="1" s="67">
      <c r="A967" s="2" t="n"/>
      <c r="B967" s="2" t="n"/>
      <c r="C967" s="2" t="n"/>
      <c r="D967" s="2" t="n"/>
      <c r="E967" s="2" t="n"/>
      <c r="F967" s="2" t="n"/>
    </row>
    <row r="968" ht="15.75" customHeight="1" s="67">
      <c r="A968" s="2" t="n"/>
      <c r="B968" s="2" t="n"/>
      <c r="C968" s="2" t="n"/>
      <c r="D968" s="2" t="n"/>
      <c r="E968" s="2" t="n"/>
      <c r="F968" s="2" t="n"/>
    </row>
    <row r="969" ht="15.75" customHeight="1" s="67">
      <c r="A969" s="2" t="n"/>
      <c r="B969" s="2" t="n"/>
      <c r="C969" s="2" t="n"/>
      <c r="D969" s="2" t="n"/>
      <c r="E969" s="2" t="n"/>
      <c r="F969" s="2" t="n"/>
    </row>
    <row r="970" ht="15.75" customHeight="1" s="67">
      <c r="A970" s="2" t="n"/>
      <c r="B970" s="2" t="n"/>
      <c r="C970" s="2" t="n"/>
      <c r="D970" s="2" t="n"/>
      <c r="E970" s="2" t="n"/>
      <c r="F970" s="2" t="n"/>
    </row>
    <row r="971" ht="15.75" customHeight="1" s="67">
      <c r="A971" s="2" t="n"/>
      <c r="B971" s="2" t="n"/>
      <c r="C971" s="2" t="n"/>
      <c r="D971" s="2" t="n"/>
      <c r="E971" s="2" t="n"/>
      <c r="F971" s="2" t="n"/>
    </row>
    <row r="972" ht="15.75" customHeight="1" s="67">
      <c r="A972" s="2" t="n"/>
      <c r="B972" s="2" t="n"/>
      <c r="C972" s="2" t="n"/>
      <c r="D972" s="2" t="n"/>
      <c r="E972" s="2" t="n"/>
      <c r="F972" s="2" t="n"/>
    </row>
    <row r="973" ht="15.75" customHeight="1" s="67">
      <c r="A973" s="2" t="n"/>
      <c r="B973" s="2" t="n"/>
      <c r="C973" s="2" t="n"/>
      <c r="D973" s="2" t="n"/>
      <c r="E973" s="2" t="n"/>
      <c r="F973" s="2" t="n"/>
    </row>
    <row r="974" ht="15.75" customHeight="1" s="67">
      <c r="A974" s="2" t="n"/>
      <c r="B974" s="2" t="n"/>
      <c r="C974" s="2" t="n"/>
      <c r="D974" s="2" t="n"/>
      <c r="E974" s="2" t="n"/>
      <c r="F974" s="2" t="n"/>
    </row>
    <row r="975" ht="15.75" customHeight="1" s="67">
      <c r="A975" s="2" t="n"/>
      <c r="B975" s="2" t="n"/>
      <c r="C975" s="2" t="n"/>
      <c r="D975" s="2" t="n"/>
      <c r="E975" s="2" t="n"/>
      <c r="F975" s="2" t="n"/>
    </row>
    <row r="976" ht="15.75" customHeight="1" s="67">
      <c r="A976" s="2" t="n"/>
      <c r="B976" s="2" t="n"/>
      <c r="C976" s="2" t="n"/>
      <c r="D976" s="2" t="n"/>
      <c r="E976" s="2" t="n"/>
      <c r="F976" s="2" t="n"/>
    </row>
    <row r="977" ht="15.75" customHeight="1" s="67">
      <c r="A977" s="2" t="n"/>
      <c r="B977" s="2" t="n"/>
      <c r="C977" s="2" t="n"/>
      <c r="D977" s="2" t="n"/>
      <c r="E977" s="2" t="n"/>
      <c r="F977" s="2" t="n"/>
    </row>
    <row r="978" ht="15.75" customHeight="1" s="67">
      <c r="A978" s="2" t="n"/>
      <c r="B978" s="2" t="n"/>
      <c r="C978" s="2" t="n"/>
      <c r="D978" s="2" t="n"/>
      <c r="E978" s="2" t="n"/>
      <c r="F978" s="2" t="n"/>
    </row>
    <row r="979" ht="15.75" customHeight="1" s="67">
      <c r="A979" s="2" t="n"/>
      <c r="B979" s="2" t="n"/>
      <c r="C979" s="2" t="n"/>
      <c r="D979" s="2" t="n"/>
      <c r="E979" s="2" t="n"/>
      <c r="F979" s="2" t="n"/>
    </row>
    <row r="980" ht="15.75" customHeight="1" s="67">
      <c r="A980" s="2" t="n"/>
      <c r="B980" s="2" t="n"/>
      <c r="C980" s="2" t="n"/>
      <c r="D980" s="2" t="n"/>
      <c r="E980" s="2" t="n"/>
      <c r="F980" s="2" t="n"/>
    </row>
    <row r="981" ht="15.75" customHeight="1" s="67">
      <c r="A981" s="2" t="n"/>
      <c r="B981" s="2" t="n"/>
      <c r="C981" s="2" t="n"/>
      <c r="D981" s="2" t="n"/>
      <c r="E981" s="2" t="n"/>
      <c r="F981" s="2" t="n"/>
    </row>
    <row r="982" ht="15.75" customHeight="1" s="67">
      <c r="A982" s="2" t="n"/>
      <c r="B982" s="2" t="n"/>
      <c r="C982" s="2" t="n"/>
      <c r="D982" s="2" t="n"/>
      <c r="E982" s="2" t="n"/>
      <c r="F982" s="2" t="n"/>
    </row>
    <row r="983" ht="15.75" customHeight="1" s="67">
      <c r="A983" s="2" t="n"/>
      <c r="B983" s="2" t="n"/>
      <c r="C983" s="2" t="n"/>
      <c r="D983" s="2" t="n"/>
      <c r="E983" s="2" t="n"/>
      <c r="F983" s="2" t="n"/>
    </row>
    <row r="984" ht="15.75" customHeight="1" s="67">
      <c r="A984" s="2" t="n"/>
      <c r="B984" s="2" t="n"/>
      <c r="C984" s="2" t="n"/>
      <c r="D984" s="2" t="n"/>
      <c r="E984" s="2" t="n"/>
      <c r="F984" s="2" t="n"/>
    </row>
    <row r="985" ht="15.75" customHeight="1" s="67">
      <c r="A985" s="2" t="n"/>
      <c r="B985" s="2" t="n"/>
      <c r="C985" s="2" t="n"/>
      <c r="D985" s="2" t="n"/>
      <c r="E985" s="2" t="n"/>
      <c r="F985" s="2" t="n"/>
    </row>
    <row r="986" ht="15.75" customHeight="1" s="67">
      <c r="A986" s="2" t="n"/>
      <c r="B986" s="2" t="n"/>
      <c r="C986" s="2" t="n"/>
      <c r="D986" s="2" t="n"/>
      <c r="E986" s="2" t="n"/>
      <c r="F986" s="2" t="n"/>
    </row>
    <row r="987" ht="15.75" customHeight="1" s="67">
      <c r="A987" s="2" t="n"/>
      <c r="B987" s="2" t="n"/>
      <c r="C987" s="2" t="n"/>
      <c r="D987" s="2" t="n"/>
      <c r="E987" s="2" t="n"/>
      <c r="F987" s="2" t="n"/>
    </row>
    <row r="988" ht="15.75" customHeight="1" s="67">
      <c r="A988" s="2" t="n"/>
      <c r="B988" s="2" t="n"/>
      <c r="C988" s="2" t="n"/>
      <c r="D988" s="2" t="n"/>
      <c r="E988" s="2" t="n"/>
      <c r="F988" s="2" t="n"/>
    </row>
    <row r="989" ht="15.75" customHeight="1" s="67">
      <c r="A989" s="2" t="n"/>
      <c r="B989" s="2" t="n"/>
      <c r="C989" s="2" t="n"/>
      <c r="D989" s="2" t="n"/>
      <c r="E989" s="2" t="n"/>
      <c r="F989" s="2" t="n"/>
    </row>
    <row r="990" ht="15.75" customHeight="1" s="67">
      <c r="A990" s="2" t="n"/>
      <c r="B990" s="2" t="n"/>
      <c r="C990" s="2" t="n"/>
      <c r="D990" s="2" t="n"/>
      <c r="E990" s="2" t="n"/>
      <c r="F990" s="2" t="n"/>
    </row>
    <row r="991" ht="15.75" customHeight="1" s="67">
      <c r="A991" s="2" t="n"/>
      <c r="B991" s="2" t="n"/>
      <c r="C991" s="2" t="n"/>
      <c r="D991" s="2" t="n"/>
      <c r="E991" s="2" t="n"/>
      <c r="F991" s="2" t="n"/>
    </row>
    <row r="992" ht="15.75" customHeight="1" s="67">
      <c r="A992" s="2" t="n"/>
      <c r="B992" s="2" t="n"/>
      <c r="C992" s="2" t="n"/>
      <c r="D992" s="2" t="n"/>
      <c r="E992" s="2" t="n"/>
      <c r="F992" s="2" t="n"/>
    </row>
    <row r="993" ht="15.75" customHeight="1" s="67">
      <c r="A993" s="2" t="n"/>
      <c r="B993" s="2" t="n"/>
      <c r="C993" s="2" t="n"/>
      <c r="D993" s="2" t="n"/>
      <c r="E993" s="2" t="n"/>
      <c r="F993" s="2" t="n"/>
    </row>
    <row r="994" ht="15.75" customHeight="1" s="67">
      <c r="A994" s="2" t="n"/>
      <c r="B994" s="2" t="n"/>
      <c r="C994" s="2" t="n"/>
      <c r="D994" s="2" t="n"/>
      <c r="E994" s="2" t="n"/>
      <c r="F994" s="2" t="n"/>
    </row>
    <row r="995" ht="15.75" customHeight="1" s="67">
      <c r="A995" s="2" t="n"/>
      <c r="B995" s="2" t="n"/>
      <c r="C995" s="2" t="n"/>
      <c r="D995" s="2" t="n"/>
      <c r="E995" s="2" t="n"/>
      <c r="F995" s="2" t="n"/>
    </row>
    <row r="996" ht="15.75" customHeight="1" s="67">
      <c r="A996" s="2" t="n"/>
      <c r="B996" s="2" t="n"/>
      <c r="C996" s="2" t="n"/>
      <c r="D996" s="2" t="n"/>
      <c r="E996" s="2" t="n"/>
      <c r="F996" s="2" t="n"/>
    </row>
    <row r="997" ht="15.75" customHeight="1" s="67">
      <c r="A997" s="2" t="n"/>
      <c r="B997" s="2" t="n"/>
      <c r="C997" s="2" t="n"/>
      <c r="D997" s="2" t="n"/>
      <c r="E997" s="2" t="n"/>
      <c r="F997" s="2" t="n"/>
    </row>
    <row r="998" ht="15.75" customHeight="1" s="67">
      <c r="A998" s="2" t="n"/>
      <c r="B998" s="2" t="n"/>
      <c r="C998" s="2" t="n"/>
      <c r="D998" s="2" t="n"/>
      <c r="E998" s="2" t="n"/>
      <c r="F998" s="2" t="n"/>
    </row>
    <row r="999" ht="15.75" customHeight="1" s="67">
      <c r="A999" s="2" t="n"/>
      <c r="B999" s="2" t="n"/>
      <c r="C999" s="2" t="n"/>
      <c r="D999" s="2" t="n"/>
      <c r="E999" s="2" t="n"/>
      <c r="F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</row>
  </sheetData>
  <mergeCells count="1">
    <mergeCell ref="C19:F19"/>
  </mergeCells>
  <dataValidations count="1">
    <dataValidation sqref="E5:E16" showDropDown="0" showInputMessage="1" showErrorMessage="1" allowBlank="1" prompt="Valor no válido - Elija un valor de la lista." type="list">
      <formula1>Listas!$B$2:$B$3</formula1>
    </dataValidation>
  </dataValidations>
  <printOptions horizontalCentered="1"/>
  <pageMargins left="0.5" right="0.5" top="1" bottom="1" header="0" footer="0"/>
  <pageSetup orientation="landscape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6" customWidth="1" style="67" min="1" max="1"/>
    <col width="11" customWidth="1" style="67" min="2" max="2"/>
    <col width="8" customWidth="1" style="67" min="3" max="3"/>
    <col width="10" customWidth="1" style="67" min="4" max="4"/>
    <col width="12" customWidth="1" style="67" min="5" max="5"/>
    <col width="16" customWidth="1" style="67" min="6" max="6"/>
    <col width="42" customWidth="1" style="67" min="7" max="7"/>
    <col width="32" customWidth="1" style="67" min="8" max="8"/>
    <col width="40" customWidth="1" style="67" min="9" max="9"/>
    <col width="16" customWidth="1" style="67" min="10" max="10"/>
    <col width="12" customWidth="1" style="67" min="11" max="11"/>
    <col width="20" customWidth="1" style="67" min="12" max="12"/>
    <col width="26" customWidth="1" style="67" min="13" max="13"/>
    <col width="8.710000000000001" customWidth="1" style="67" min="14" max="26"/>
  </cols>
  <sheetData>
    <row r="1" ht="17.25" customHeight="1" s="67">
      <c r="A1" s="1" t="inlineStr">
        <is>
          <t>Paso 5 · Registro de incidencias del cierre y del postest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" customHeight="1" s="67">
      <c r="A2" s="3" t="inlineStr">
        <is>
          <t>La numeración continúa la del registro de monitoreo (semana 6). Tipos: técnica, metodológica, ética, logística y pérdida muestral.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3.25" customHeight="1" s="67">
      <c r="A3" s="7" t="inlineStr">
        <is>
          <t>Total</t>
        </is>
      </c>
      <c r="B3" s="12">
        <f>COUNTA(B6:B205)</f>
        <v/>
      </c>
      <c r="C3" s="2" t="n"/>
      <c r="D3" s="2" t="n"/>
      <c r="E3" s="2" t="n"/>
      <c r="F3" s="7" t="inlineStr">
        <is>
          <t>Por tipo:</t>
        </is>
      </c>
      <c r="G3" s="26">
        <f>"Técnica: "&amp;COUNTIF(F6:F205,"Técnica")</f>
        <v/>
      </c>
      <c r="H3" s="26">
        <f>"Metodológica: "&amp;COUNTIF(F6:F205,"Metodológica")</f>
        <v/>
      </c>
      <c r="I3" s="26">
        <f>"Ética: "&amp;COUNTIF(F6:F205,"Ética")</f>
        <v/>
      </c>
      <c r="J3" s="26">
        <f>"Logística: "&amp;COUNTIF(F6:F205,"Logística")</f>
        <v/>
      </c>
      <c r="K3" s="26">
        <f>"Pérdida muestral: "&amp;COUNTIF(F6:F205,"Pérdida muestral")</f>
        <v/>
      </c>
      <c r="L3" s="7" t="inlineStr">
        <is>
          <t>En curso</t>
        </is>
      </c>
      <c r="M3" s="12">
        <f>COUNTIF(L6:L205,"En curso")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36" customHeight="1" s="67">
      <c r="A5" s="17" t="inlineStr">
        <is>
          <t>N.º</t>
        </is>
      </c>
      <c r="B5" s="17" t="inlineStr">
        <is>
          <t>Fecha</t>
        </is>
      </c>
      <c r="C5" s="17" t="inlineStr">
        <is>
          <t>Hora</t>
        </is>
      </c>
      <c r="D5" s="17" t="inlineStr">
        <is>
          <t>Fase</t>
        </is>
      </c>
      <c r="E5" s="17" t="inlineStr">
        <is>
          <t>Código</t>
        </is>
      </c>
      <c r="F5" s="17" t="inlineStr">
        <is>
          <t>Tipo</t>
        </is>
      </c>
      <c r="G5" s="17" t="inlineStr">
        <is>
          <t>Descripción objetiva</t>
        </is>
      </c>
      <c r="H5" s="17" t="inlineStr">
        <is>
          <t>Efecto en la medición o en la muestra</t>
        </is>
      </c>
      <c r="I5" s="17" t="inlineStr">
        <is>
          <t>Acción tomada</t>
        </is>
      </c>
      <c r="J5" s="17" t="inlineStr">
        <is>
          <t>Responsable</t>
        </is>
      </c>
      <c r="K5" s="17" t="inlineStr">
        <is>
          <t>Fecha de la acción</t>
        </is>
      </c>
      <c r="L5" s="17" t="inlineStr">
        <is>
          <t>Estado</t>
        </is>
      </c>
      <c r="M5" s="17" t="inlineStr">
        <is>
          <t>Evidencia</t>
        </is>
      </c>
    </row>
    <row r="6" ht="23.25" customHeight="1" s="67">
      <c r="A6" s="31">
        <f>IF(B6="","",ROW()-5)</f>
        <v/>
      </c>
      <c r="B6" s="16" t="n">
        <v>46316</v>
      </c>
      <c r="C6" s="44" t="inlineStr">
        <is>
          <t>20:15</t>
        </is>
      </c>
      <c r="D6" s="22" t="inlineStr">
        <is>
          <t>Cierre</t>
        </is>
      </c>
      <c r="E6" s="22" t="inlineStr">
        <is>
          <t>G (grupo)</t>
        </is>
      </c>
      <c r="F6" s="19" t="inlineStr">
        <is>
          <t>Técnica</t>
        </is>
      </c>
      <c r="G6" s="36" t="inlineStr">
        <is>
          <t>Latencia alta del asistente (respuestas de más de 10 s) durante unos 25 minutos por saturación de la API del LLM.</t>
        </is>
      </c>
      <c r="H6" s="36" t="inlineStr">
        <is>
          <t>Posible menor uso ese día; no afecta la medición.</t>
        </is>
      </c>
      <c r="I6" s="36" t="inlineStr">
        <is>
          <t>Se activó la clave de API de respaldo y la caché semántica (matriz de riesgos, riesgo 16).</t>
        </is>
      </c>
      <c r="J6" s="19" t="inlineStr">
        <is>
          <t>Tesista (desarrollador)</t>
        </is>
      </c>
      <c r="K6" s="16" t="n">
        <v>46316</v>
      </c>
      <c r="L6" s="22" t="inlineStr">
        <is>
          <t>Resuelta</t>
        </is>
      </c>
      <c r="M6" s="36" t="inlineStr">
        <is>
          <t>Registro del servidor y bitácora de soporte</t>
        </is>
      </c>
    </row>
    <row r="7" ht="23.25" customHeight="1" s="67">
      <c r="A7" s="31">
        <f>IF(B7="","",ROW()-5)</f>
        <v/>
      </c>
      <c r="B7" s="16" t="n">
        <v>46318</v>
      </c>
      <c r="C7" s="44" t="inlineStr">
        <is>
          <t>11:40</t>
        </is>
      </c>
      <c r="D7" s="22" t="inlineStr">
        <is>
          <t>Cierre</t>
        </is>
      </c>
      <c r="E7" s="22" t="inlineStr">
        <is>
          <t>GU-TDH-017</t>
        </is>
      </c>
      <c r="F7" s="19" t="inlineStr">
        <is>
          <t>Técnica</t>
        </is>
      </c>
      <c r="G7" s="36" t="inlineStr">
        <is>
          <t>El lector reportó que la PWA no se instalaba en su celular (iOS).</t>
        </is>
      </c>
      <c r="H7" s="36" t="inlineStr">
        <is>
          <t>Ninguno: siguió usando la aplicación desde el navegador.</t>
        </is>
      </c>
      <c r="I7" s="36" t="inlineStr">
        <is>
          <t>Se envió por WhatsApp la guía para agregar a la pantalla de inicio.</t>
        </is>
      </c>
      <c r="J7" s="19" t="inlineStr">
        <is>
          <t>Tesista</t>
        </is>
      </c>
      <c r="K7" s="16" t="n">
        <v>46318</v>
      </c>
      <c r="L7" s="22" t="inlineStr">
        <is>
          <t>Resuelta</t>
        </is>
      </c>
      <c r="M7" s="36" t="inlineStr">
        <is>
          <t>Captura del chat de soporte</t>
        </is>
      </c>
    </row>
    <row r="8" ht="23.25" customHeight="1" s="67">
      <c r="A8" s="31">
        <f>IF(B8="","",ROW()-5)</f>
        <v/>
      </c>
      <c r="B8" s="16" t="n">
        <v>46327</v>
      </c>
      <c r="C8" s="44" t="n"/>
      <c r="D8" s="22" t="inlineStr">
        <is>
          <t>Postest</t>
        </is>
      </c>
      <c r="E8" s="22" t="inlineStr">
        <is>
          <t>GU-TDH-006</t>
        </is>
      </c>
      <c r="F8" s="19" t="inlineStr">
        <is>
          <t>Pérdida muestral</t>
        </is>
      </c>
      <c r="G8" s="36" t="inlineStr">
        <is>
          <t>No rindió el postest dentro de la ventana; usó la aplicación 0 día(s) durante la intervención.</t>
        </is>
      </c>
      <c r="H8" s="36" t="inlineStr">
        <is>
          <t>No hay par pretest–postest; se reduce el n analizado.</t>
        </is>
      </c>
      <c r="I8" s="36" t="inlineStr">
        <is>
          <t>Tres recordatorios y reprogramación de 72 h; se registró el motivo y no se reemplazó.</t>
        </is>
      </c>
      <c r="J8" s="19" t="inlineStr">
        <is>
          <t>Tesista</t>
        </is>
      </c>
      <c r="K8" s="16" t="n">
        <v>46327</v>
      </c>
      <c r="L8" s="22" t="inlineStr">
        <is>
          <t>Cerrada con limitación</t>
        </is>
      </c>
      <c r="M8" s="36" t="inlineStr">
        <is>
          <t>Libro de códigos y mensajes de WhatsApp</t>
        </is>
      </c>
    </row>
    <row r="9" ht="23.25" customHeight="1" s="67">
      <c r="A9" s="31">
        <f>IF(B9="","",ROW()-5)</f>
        <v/>
      </c>
      <c r="B9" s="16" t="n">
        <v>46327</v>
      </c>
      <c r="C9" s="44" t="n"/>
      <c r="D9" s="22" t="inlineStr">
        <is>
          <t>Postest</t>
        </is>
      </c>
      <c r="E9" s="22" t="inlineStr">
        <is>
          <t>GU-TDH-053</t>
        </is>
      </c>
      <c r="F9" s="19" t="inlineStr">
        <is>
          <t>Pérdida muestral</t>
        </is>
      </c>
      <c r="G9" s="36" t="inlineStr">
        <is>
          <t>No rindió el postest dentro de la ventana; usó la aplicación 1 día(s) durante la intervención.</t>
        </is>
      </c>
      <c r="H9" s="36" t="inlineStr">
        <is>
          <t>No hay par pretest–postest; se reduce el n analizado.</t>
        </is>
      </c>
      <c r="I9" s="36" t="inlineStr">
        <is>
          <t>Tres recordatorios y reprogramación de 72 h; se registró el motivo y no se reemplazó.</t>
        </is>
      </c>
      <c r="J9" s="19" t="inlineStr">
        <is>
          <t>Tesista</t>
        </is>
      </c>
      <c r="K9" s="16" t="n">
        <v>46327</v>
      </c>
      <c r="L9" s="22" t="inlineStr">
        <is>
          <t>Cerrada con limitación</t>
        </is>
      </c>
      <c r="M9" s="36" t="inlineStr">
        <is>
          <t>Libro de códigos y mensajes de WhatsApp</t>
        </is>
      </c>
    </row>
    <row r="10" ht="23.25" customHeight="1" s="67">
      <c r="A10" s="31">
        <f>IF(B10="","",ROW()-5)</f>
        <v/>
      </c>
      <c r="B10" s="16" t="n">
        <v>46327</v>
      </c>
      <c r="C10" s="44" t="n"/>
      <c r="D10" s="22" t="inlineStr">
        <is>
          <t>Postest</t>
        </is>
      </c>
      <c r="E10" s="22" t="inlineStr">
        <is>
          <t>GU-TDH-069</t>
        </is>
      </c>
      <c r="F10" s="19" t="inlineStr">
        <is>
          <t>Pérdida muestral</t>
        </is>
      </c>
      <c r="G10" s="36" t="inlineStr">
        <is>
          <t>No rindió el postest dentro de la ventana; usó la aplicación 1 día(s) durante la intervención.</t>
        </is>
      </c>
      <c r="H10" s="36" t="inlineStr">
        <is>
          <t>No hay par pretest–postest; se reduce el n analizado.</t>
        </is>
      </c>
      <c r="I10" s="36" t="inlineStr">
        <is>
          <t>Tres recordatorios y reprogramación de 72 h; se registró el motivo y no se reemplazó.</t>
        </is>
      </c>
      <c r="J10" s="19" t="inlineStr">
        <is>
          <t>Tesista</t>
        </is>
      </c>
      <c r="K10" s="16" t="n">
        <v>46327</v>
      </c>
      <c r="L10" s="22" t="inlineStr">
        <is>
          <t>Cerrada con limitación</t>
        </is>
      </c>
      <c r="M10" s="36" t="inlineStr">
        <is>
          <t>Libro de códigos y mensajes de WhatsApp</t>
        </is>
      </c>
    </row>
    <row r="11" ht="15" customHeight="1" s="67">
      <c r="A11" s="31">
        <f>IF(B11="","",ROW()-5)</f>
        <v/>
      </c>
      <c r="B11" s="16" t="n">
        <v>46327</v>
      </c>
      <c r="C11" s="44" t="n"/>
      <c r="D11" s="22" t="inlineStr">
        <is>
          <t>Postest</t>
        </is>
      </c>
      <c r="E11" s="22" t="inlineStr">
        <is>
          <t>GU-TDH-084</t>
        </is>
      </c>
      <c r="F11" s="19" t="inlineStr">
        <is>
          <t>Pérdida muestral</t>
        </is>
      </c>
      <c r="G11" s="36" t="inlineStr">
        <is>
          <t>No rindió el postest dentro de la ventana; usó la aplicación 2 día(s) durante la intervención.</t>
        </is>
      </c>
      <c r="H11" s="36" t="inlineStr">
        <is>
          <t>No hay par pretest–postest; se reduce el n analizado.</t>
        </is>
      </c>
      <c r="I11" s="36" t="inlineStr">
        <is>
          <t>Tres recordatorios y reprogramación de 72 h; se registró el motivo y no se reemplazó.</t>
        </is>
      </c>
      <c r="J11" s="19" t="inlineStr">
        <is>
          <t>Tesista</t>
        </is>
      </c>
      <c r="K11" s="16" t="n">
        <v>46327</v>
      </c>
      <c r="L11" s="22" t="inlineStr">
        <is>
          <t>Cerrada con limitación</t>
        </is>
      </c>
      <c r="M11" s="36" t="inlineStr">
        <is>
          <t>Libro de códigos y mensajes de WhatsApp</t>
        </is>
      </c>
    </row>
    <row r="12" ht="15" customHeight="1" s="67">
      <c r="A12" s="31">
        <f>IF(B12="","",ROW()-5)</f>
        <v/>
      </c>
      <c r="B12" s="16" t="n">
        <v>46327</v>
      </c>
      <c r="C12" s="44" t="n"/>
      <c r="D12" s="22" t="inlineStr">
        <is>
          <t>Postest</t>
        </is>
      </c>
      <c r="E12" s="22" t="inlineStr">
        <is>
          <t>GU-TDH-109</t>
        </is>
      </c>
      <c r="F12" s="19" t="inlineStr">
        <is>
          <t>Pérdida muestral</t>
        </is>
      </c>
      <c r="G12" s="36" t="inlineStr">
        <is>
          <t>No rindió el postest dentro de la ventana; usó la aplicación 1 día(s) durante la intervención.</t>
        </is>
      </c>
      <c r="H12" s="36" t="inlineStr">
        <is>
          <t>No hay par pretest–postest; se reduce el n analizado.</t>
        </is>
      </c>
      <c r="I12" s="36" t="inlineStr">
        <is>
          <t>Tres recordatorios y reprogramación de 72 h; se registró el motivo y no se reemplazó.</t>
        </is>
      </c>
      <c r="J12" s="19" t="inlineStr">
        <is>
          <t>Tesista</t>
        </is>
      </c>
      <c r="K12" s="16" t="n">
        <v>46327</v>
      </c>
      <c r="L12" s="22" t="inlineStr">
        <is>
          <t>Cerrada con limitación</t>
        </is>
      </c>
      <c r="M12" s="36" t="inlineStr">
        <is>
          <t>Libro de códigos y mensajes de WhatsApp</t>
        </is>
      </c>
    </row>
    <row r="13" ht="15" customHeight="1" s="67">
      <c r="A13" s="31">
        <f>IF(B13="","",ROW()-5)</f>
        <v/>
      </c>
      <c r="B13" s="16" t="n">
        <v>46321</v>
      </c>
      <c r="C13" s="44" t="inlineStr">
        <is>
          <t>10:25</t>
        </is>
      </c>
      <c r="D13" s="22" t="inlineStr">
        <is>
          <t>Postest</t>
        </is>
      </c>
      <c r="E13" s="22" t="inlineStr">
        <is>
          <t>GU-TDH-004</t>
        </is>
      </c>
      <c r="F13" s="19" t="inlineStr">
        <is>
          <t>Técnica</t>
        </is>
      </c>
      <c r="G13" s="36" t="inlineStr">
        <is>
          <t>Corte de internet del participante durante la tarea 3.</t>
        </is>
      </c>
      <c r="H13" s="36" t="inlineStr">
        <is>
          <t>Se repitió la tarea completa al reconectarse.</t>
        </is>
      </c>
      <c r="I13" s="36" t="inlineStr">
        <is>
          <t>Se conservó solo el segundo intento, según el protocolo del pretest.</t>
        </is>
      </c>
      <c r="J13" s="19" t="inlineStr">
        <is>
          <t>Aplicador de apoyo</t>
        </is>
      </c>
      <c r="K13" s="16" t="n">
        <v>46321</v>
      </c>
      <c r="L13" s="22" t="inlineStr">
        <is>
          <t>Resuelta</t>
        </is>
      </c>
      <c r="M13" s="36" t="inlineStr">
        <is>
          <t>Registro del módulo del experimento</t>
        </is>
      </c>
    </row>
    <row r="14" ht="15" customHeight="1" s="67">
      <c r="A14" s="31">
        <f>IF(B14="","",ROW()-5)</f>
        <v/>
      </c>
      <c r="B14" s="16" t="n">
        <v>46323</v>
      </c>
      <c r="C14" s="44" t="inlineStr">
        <is>
          <t>17:05</t>
        </is>
      </c>
      <c r="D14" s="22" t="inlineStr">
        <is>
          <t>Postest</t>
        </is>
      </c>
      <c r="E14" s="22" t="inlineStr">
        <is>
          <t>GU-TDH-047</t>
        </is>
      </c>
      <c r="F14" s="19" t="inlineStr">
        <is>
          <t>Metodológica</t>
        </is>
      </c>
      <c r="G14" s="36" t="inlineStr">
        <is>
          <t>No localizó la noticia de la tarea 4 en el tiempo límite.</t>
        </is>
      </c>
      <c r="H14" s="36" t="inlineStr">
        <is>
          <t>Se registra 300 s y «no completada».</t>
        </is>
      </c>
      <c r="I14" s="36" t="inlineStr">
        <is>
          <t>Se aplicó el criterio declarado (300 s = tope, dato válido).</t>
        </is>
      </c>
      <c r="J14" s="19" t="inlineStr">
        <is>
          <t>Tesista</t>
        </is>
      </c>
      <c r="K14" s="16" t="n">
        <v>46323</v>
      </c>
      <c r="L14" s="22" t="inlineStr">
        <is>
          <t>Resuelta</t>
        </is>
      </c>
      <c r="M14" s="36" t="inlineStr">
        <is>
          <t>Registro del módulo del experimento</t>
        </is>
      </c>
    </row>
    <row r="15" ht="15" customHeight="1" s="67">
      <c r="A15" s="31">
        <f>IF(B15="","",ROW()-5)</f>
        <v/>
      </c>
      <c r="B15" s="16" t="n">
        <v>46324</v>
      </c>
      <c r="C15" s="44" t="inlineStr">
        <is>
          <t>11:15</t>
        </is>
      </c>
      <c r="D15" s="22" t="inlineStr">
        <is>
          <t>Postest</t>
        </is>
      </c>
      <c r="E15" s="22" t="inlineStr">
        <is>
          <t>GU-TDH-050</t>
        </is>
      </c>
      <c r="F15" s="19" t="inlineStr">
        <is>
          <t>Logística</t>
        </is>
      </c>
      <c r="G15" s="36" t="inlineStr">
        <is>
          <t>Pidió cambiar su postest de la franja de mañana a la de tarde.</t>
        </is>
      </c>
      <c r="H15" s="36" t="inlineStr">
        <is>
          <t>Cambio de franja respecto a su pretest.</t>
        </is>
      </c>
      <c r="I15" s="36" t="inlineStr">
        <is>
          <t>Se mantuvo la franja de mañana con otro día de la ventana (mismo día de la semana no posible).</t>
        </is>
      </c>
      <c r="J15" s="19" t="inlineStr">
        <is>
          <t>Aplicador de apoyo</t>
        </is>
      </c>
      <c r="K15" s="16" t="n">
        <v>46325</v>
      </c>
      <c r="L15" s="22" t="inlineStr">
        <is>
          <t>Cerrada con limitación</t>
        </is>
      </c>
      <c r="M15" s="36" t="inlineStr">
        <is>
          <t>Correo de confirmación</t>
        </is>
      </c>
    </row>
    <row r="16" ht="15" customHeight="1" s="67">
      <c r="A16" s="31">
        <f>IF(B16="","",ROW()-5)</f>
        <v/>
      </c>
      <c r="B16" s="16" t="n">
        <v>46325</v>
      </c>
      <c r="C16" s="44" t="inlineStr">
        <is>
          <t>16:30</t>
        </is>
      </c>
      <c r="D16" s="22" t="inlineStr">
        <is>
          <t>Postest</t>
        </is>
      </c>
      <c r="E16" s="22" t="inlineStr">
        <is>
          <t>G (grupo)</t>
        </is>
      </c>
      <c r="F16" s="19" t="inlineStr">
        <is>
          <t>Ética</t>
        </is>
      </c>
      <c r="G16" s="36" t="inlineStr">
        <is>
          <t>Un participante preguntó si su opinión sería vista por el diario.</t>
        </is>
      </c>
      <c r="H16" s="36" t="inlineStr">
        <is>
          <t>Ninguno.</t>
        </is>
      </c>
      <c r="I16" s="36" t="inlineStr">
        <is>
          <t>Se repitió la cláusula de confidencialidad del consentimiento: solo se reporta con código.</t>
        </is>
      </c>
      <c r="J16" s="19" t="inlineStr">
        <is>
          <t>Tesista</t>
        </is>
      </c>
      <c r="K16" s="16" t="n">
        <v>46325</v>
      </c>
      <c r="L16" s="22" t="inlineStr">
        <is>
          <t>Resuelta</t>
        </is>
      </c>
      <c r="M16" s="36" t="inlineStr">
        <is>
          <t>Registro de soporte</t>
        </is>
      </c>
    </row>
    <row r="17" ht="15" customHeight="1" s="67">
      <c r="A17" s="31">
        <f>IF(B17="","",ROW()-5)</f>
        <v/>
      </c>
      <c r="B17" s="16" t="n"/>
      <c r="C17" s="44" t="n"/>
      <c r="D17" s="22" t="n"/>
      <c r="E17" s="22" t="n"/>
      <c r="F17" s="19" t="n"/>
      <c r="G17" s="19" t="n"/>
      <c r="H17" s="19" t="n"/>
      <c r="I17" s="19" t="n"/>
      <c r="J17" s="19" t="n"/>
      <c r="K17" s="16" t="n"/>
      <c r="L17" s="22" t="n"/>
      <c r="M17" s="19" t="n"/>
    </row>
    <row r="18" ht="15" customHeight="1" s="67">
      <c r="A18" s="31">
        <f>IF(B18="","",ROW()-5)</f>
        <v/>
      </c>
      <c r="B18" s="16" t="n"/>
      <c r="C18" s="44" t="n"/>
      <c r="D18" s="22" t="n"/>
      <c r="E18" s="22" t="n"/>
      <c r="F18" s="19" t="n"/>
      <c r="G18" s="19" t="n"/>
      <c r="H18" s="19" t="n"/>
      <c r="I18" s="19" t="n"/>
      <c r="J18" s="19" t="n"/>
      <c r="K18" s="16" t="n"/>
      <c r="L18" s="22" t="n"/>
      <c r="M18" s="19" t="n"/>
    </row>
    <row r="19" ht="15" customHeight="1" s="67">
      <c r="A19" s="31">
        <f>IF(B19="","",ROW()-5)</f>
        <v/>
      </c>
      <c r="B19" s="16" t="n"/>
      <c r="C19" s="44" t="n"/>
      <c r="D19" s="22" t="n"/>
      <c r="E19" s="22" t="n"/>
      <c r="F19" s="19" t="n"/>
      <c r="G19" s="19" t="n"/>
      <c r="H19" s="19" t="n"/>
      <c r="I19" s="19" t="n"/>
      <c r="J19" s="19" t="n"/>
      <c r="K19" s="16" t="n"/>
      <c r="L19" s="22" t="n"/>
      <c r="M19" s="19" t="n"/>
    </row>
    <row r="20" ht="15" customHeight="1" s="67">
      <c r="A20" s="31">
        <f>IF(B20="","",ROW()-5)</f>
        <v/>
      </c>
      <c r="B20" s="16" t="n"/>
      <c r="C20" s="44" t="n"/>
      <c r="D20" s="22" t="n"/>
      <c r="E20" s="22" t="n"/>
      <c r="F20" s="19" t="n"/>
      <c r="G20" s="19" t="n"/>
      <c r="H20" s="19" t="n"/>
      <c r="I20" s="19" t="n"/>
      <c r="J20" s="19" t="n"/>
      <c r="K20" s="16" t="n"/>
      <c r="L20" s="22" t="n"/>
      <c r="M20" s="19" t="n"/>
    </row>
    <row r="21" ht="15" customHeight="1" s="67">
      <c r="A21" s="31">
        <f>IF(B21="","",ROW()-5)</f>
        <v/>
      </c>
      <c r="B21" s="16" t="n"/>
      <c r="C21" s="44" t="n"/>
      <c r="D21" s="22" t="n"/>
      <c r="E21" s="22" t="n"/>
      <c r="F21" s="19" t="n"/>
      <c r="G21" s="19" t="n"/>
      <c r="H21" s="19" t="n"/>
      <c r="I21" s="19" t="n"/>
      <c r="J21" s="19" t="n"/>
      <c r="K21" s="16" t="n"/>
      <c r="L21" s="22" t="n"/>
      <c r="M21" s="19" t="n"/>
    </row>
    <row r="22" ht="15" customHeight="1" s="67">
      <c r="A22" s="31">
        <f>IF(B22="","",ROW()-5)</f>
        <v/>
      </c>
      <c r="B22" s="16" t="n"/>
      <c r="C22" s="44" t="n"/>
      <c r="D22" s="22" t="n"/>
      <c r="E22" s="22" t="n"/>
      <c r="F22" s="19" t="n"/>
      <c r="G22" s="19" t="n"/>
      <c r="H22" s="19" t="n"/>
      <c r="I22" s="19" t="n"/>
      <c r="J22" s="19" t="n"/>
      <c r="K22" s="16" t="n"/>
      <c r="L22" s="22" t="n"/>
      <c r="M22" s="19" t="n"/>
    </row>
    <row r="23" ht="15" customHeight="1" s="67">
      <c r="A23" s="31">
        <f>IF(B23="","",ROW()-5)</f>
        <v/>
      </c>
      <c r="B23" s="16" t="n"/>
      <c r="C23" s="44" t="n"/>
      <c r="D23" s="22" t="n"/>
      <c r="E23" s="22" t="n"/>
      <c r="F23" s="19" t="n"/>
      <c r="G23" s="19" t="n"/>
      <c r="H23" s="19" t="n"/>
      <c r="I23" s="19" t="n"/>
      <c r="J23" s="19" t="n"/>
      <c r="K23" s="16" t="n"/>
      <c r="L23" s="22" t="n"/>
      <c r="M23" s="19" t="n"/>
    </row>
    <row r="24" ht="15" customHeight="1" s="67">
      <c r="A24" s="31">
        <f>IF(B24="","",ROW()-5)</f>
        <v/>
      </c>
      <c r="B24" s="16" t="n"/>
      <c r="C24" s="44" t="n"/>
      <c r="D24" s="22" t="n"/>
      <c r="E24" s="22" t="n"/>
      <c r="F24" s="19" t="n"/>
      <c r="G24" s="19" t="n"/>
      <c r="H24" s="19" t="n"/>
      <c r="I24" s="19" t="n"/>
      <c r="J24" s="19" t="n"/>
      <c r="K24" s="16" t="n"/>
      <c r="L24" s="22" t="n"/>
      <c r="M24" s="19" t="n"/>
    </row>
    <row r="25" ht="15" customHeight="1" s="67">
      <c r="A25" s="31">
        <f>IF(B25="","",ROW()-5)</f>
        <v/>
      </c>
      <c r="B25" s="16" t="n"/>
      <c r="C25" s="44" t="n"/>
      <c r="D25" s="22" t="n"/>
      <c r="E25" s="22" t="n"/>
      <c r="F25" s="19" t="n"/>
      <c r="G25" s="19" t="n"/>
      <c r="H25" s="19" t="n"/>
      <c r="I25" s="19" t="n"/>
      <c r="J25" s="19" t="n"/>
      <c r="K25" s="16" t="n"/>
      <c r="L25" s="22" t="n"/>
      <c r="M25" s="19" t="n"/>
    </row>
    <row r="26" ht="15" customHeight="1" s="67">
      <c r="A26" s="31">
        <f>IF(B26="","",ROW()-5)</f>
        <v/>
      </c>
      <c r="B26" s="16" t="n"/>
      <c r="C26" s="44" t="n"/>
      <c r="D26" s="22" t="n"/>
      <c r="E26" s="22" t="n"/>
      <c r="F26" s="19" t="n"/>
      <c r="G26" s="19" t="n"/>
      <c r="H26" s="19" t="n"/>
      <c r="I26" s="19" t="n"/>
      <c r="J26" s="19" t="n"/>
      <c r="K26" s="16" t="n"/>
      <c r="L26" s="22" t="n"/>
      <c r="M26" s="19" t="n"/>
    </row>
    <row r="27" ht="15" customHeight="1" s="67">
      <c r="A27" s="31">
        <f>IF(B27="","",ROW()-5)</f>
        <v/>
      </c>
      <c r="B27" s="16" t="n"/>
      <c r="C27" s="44" t="n"/>
      <c r="D27" s="22" t="n"/>
      <c r="E27" s="22" t="n"/>
      <c r="F27" s="19" t="n"/>
      <c r="G27" s="19" t="n"/>
      <c r="H27" s="19" t="n"/>
      <c r="I27" s="19" t="n"/>
      <c r="J27" s="19" t="n"/>
      <c r="K27" s="16" t="n"/>
      <c r="L27" s="22" t="n"/>
      <c r="M27" s="19" t="n"/>
    </row>
    <row r="28" ht="15" customHeight="1" s="67">
      <c r="A28" s="31">
        <f>IF(B28="","",ROW()-5)</f>
        <v/>
      </c>
      <c r="B28" s="16" t="n"/>
      <c r="C28" s="44" t="n"/>
      <c r="D28" s="22" t="n"/>
      <c r="E28" s="22" t="n"/>
      <c r="F28" s="19" t="n"/>
      <c r="G28" s="19" t="n"/>
      <c r="H28" s="19" t="n"/>
      <c r="I28" s="19" t="n"/>
      <c r="J28" s="19" t="n"/>
      <c r="K28" s="16" t="n"/>
      <c r="L28" s="22" t="n"/>
      <c r="M28" s="19" t="n"/>
    </row>
    <row r="29" ht="15" customHeight="1" s="67">
      <c r="A29" s="31">
        <f>IF(B29="","",ROW()-5)</f>
        <v/>
      </c>
      <c r="B29" s="16" t="n"/>
      <c r="C29" s="44" t="n"/>
      <c r="D29" s="22" t="n"/>
      <c r="E29" s="22" t="n"/>
      <c r="F29" s="19" t="n"/>
      <c r="G29" s="19" t="n"/>
      <c r="H29" s="19" t="n"/>
      <c r="I29" s="19" t="n"/>
      <c r="J29" s="19" t="n"/>
      <c r="K29" s="16" t="n"/>
      <c r="L29" s="22" t="n"/>
      <c r="M29" s="19" t="n"/>
    </row>
    <row r="30" ht="15" customHeight="1" s="67">
      <c r="A30" s="31">
        <f>IF(B30="","",ROW()-5)</f>
        <v/>
      </c>
      <c r="B30" s="16" t="n"/>
      <c r="C30" s="44" t="n"/>
      <c r="D30" s="22" t="n"/>
      <c r="E30" s="22" t="n"/>
      <c r="F30" s="19" t="n"/>
      <c r="G30" s="19" t="n"/>
      <c r="H30" s="19" t="n"/>
      <c r="I30" s="19" t="n"/>
      <c r="J30" s="19" t="n"/>
      <c r="K30" s="16" t="n"/>
      <c r="L30" s="22" t="n"/>
      <c r="M30" s="19" t="n"/>
    </row>
    <row r="31" ht="15" customHeight="1" s="67">
      <c r="A31" s="31">
        <f>IF(B31="","",ROW()-5)</f>
        <v/>
      </c>
      <c r="B31" s="16" t="n"/>
      <c r="C31" s="44" t="n"/>
      <c r="D31" s="22" t="n"/>
      <c r="E31" s="22" t="n"/>
      <c r="F31" s="19" t="n"/>
      <c r="G31" s="19" t="n"/>
      <c r="H31" s="19" t="n"/>
      <c r="I31" s="19" t="n"/>
      <c r="J31" s="19" t="n"/>
      <c r="K31" s="16" t="n"/>
      <c r="L31" s="22" t="n"/>
      <c r="M31" s="19" t="n"/>
    </row>
    <row r="32" ht="15" customHeight="1" s="67">
      <c r="A32" s="31">
        <f>IF(B32="","",ROW()-5)</f>
        <v/>
      </c>
      <c r="B32" s="16" t="n"/>
      <c r="C32" s="44" t="n"/>
      <c r="D32" s="22" t="n"/>
      <c r="E32" s="22" t="n"/>
      <c r="F32" s="19" t="n"/>
      <c r="G32" s="19" t="n"/>
      <c r="H32" s="19" t="n"/>
      <c r="I32" s="19" t="n"/>
      <c r="J32" s="19" t="n"/>
      <c r="K32" s="16" t="n"/>
      <c r="L32" s="22" t="n"/>
      <c r="M32" s="19" t="n"/>
    </row>
    <row r="33" ht="15" customHeight="1" s="67">
      <c r="A33" s="31">
        <f>IF(B33="","",ROW()-5)</f>
        <v/>
      </c>
      <c r="B33" s="16" t="n"/>
      <c r="C33" s="44" t="n"/>
      <c r="D33" s="22" t="n"/>
      <c r="E33" s="22" t="n"/>
      <c r="F33" s="19" t="n"/>
      <c r="G33" s="19" t="n"/>
      <c r="H33" s="19" t="n"/>
      <c r="I33" s="19" t="n"/>
      <c r="J33" s="19" t="n"/>
      <c r="K33" s="16" t="n"/>
      <c r="L33" s="22" t="n"/>
      <c r="M33" s="19" t="n"/>
    </row>
    <row r="34" ht="15" customHeight="1" s="67">
      <c r="A34" s="31">
        <f>IF(B34="","",ROW()-5)</f>
        <v/>
      </c>
      <c r="B34" s="16" t="n"/>
      <c r="C34" s="44" t="n"/>
      <c r="D34" s="22" t="n"/>
      <c r="E34" s="22" t="n"/>
      <c r="F34" s="19" t="n"/>
      <c r="G34" s="19" t="n"/>
      <c r="H34" s="19" t="n"/>
      <c r="I34" s="19" t="n"/>
      <c r="J34" s="19" t="n"/>
      <c r="K34" s="16" t="n"/>
      <c r="L34" s="22" t="n"/>
      <c r="M34" s="19" t="n"/>
    </row>
    <row r="35" ht="15" customHeight="1" s="67">
      <c r="A35" s="31">
        <f>IF(B35="","",ROW()-5)</f>
        <v/>
      </c>
      <c r="B35" s="16" t="n"/>
      <c r="C35" s="44" t="n"/>
      <c r="D35" s="22" t="n"/>
      <c r="E35" s="22" t="n"/>
      <c r="F35" s="19" t="n"/>
      <c r="G35" s="19" t="n"/>
      <c r="H35" s="19" t="n"/>
      <c r="I35" s="19" t="n"/>
      <c r="J35" s="19" t="n"/>
      <c r="K35" s="16" t="n"/>
      <c r="L35" s="22" t="n"/>
      <c r="M35" s="19" t="n"/>
    </row>
    <row r="36" ht="15" customHeight="1" s="67">
      <c r="A36" s="31">
        <f>IF(B36="","",ROW()-5)</f>
        <v/>
      </c>
      <c r="B36" s="16" t="n"/>
      <c r="C36" s="44" t="n"/>
      <c r="D36" s="22" t="n"/>
      <c r="E36" s="22" t="n"/>
      <c r="F36" s="19" t="n"/>
      <c r="G36" s="19" t="n"/>
      <c r="H36" s="19" t="n"/>
      <c r="I36" s="19" t="n"/>
      <c r="J36" s="19" t="n"/>
      <c r="K36" s="16" t="n"/>
      <c r="L36" s="22" t="n"/>
      <c r="M36" s="19" t="n"/>
    </row>
    <row r="37" ht="15" customHeight="1" s="67">
      <c r="A37" s="31">
        <f>IF(B37="","",ROW()-5)</f>
        <v/>
      </c>
      <c r="B37" s="16" t="n"/>
      <c r="C37" s="44" t="n"/>
      <c r="D37" s="22" t="n"/>
      <c r="E37" s="22" t="n"/>
      <c r="F37" s="19" t="n"/>
      <c r="G37" s="19" t="n"/>
      <c r="H37" s="19" t="n"/>
      <c r="I37" s="19" t="n"/>
      <c r="J37" s="19" t="n"/>
      <c r="K37" s="16" t="n"/>
      <c r="L37" s="22" t="n"/>
      <c r="M37" s="19" t="n"/>
    </row>
    <row r="38" ht="15" customHeight="1" s="67">
      <c r="A38" s="31">
        <f>IF(B38="","",ROW()-5)</f>
        <v/>
      </c>
      <c r="B38" s="16" t="n"/>
      <c r="C38" s="44" t="n"/>
      <c r="D38" s="22" t="n"/>
      <c r="E38" s="22" t="n"/>
      <c r="F38" s="19" t="n"/>
      <c r="G38" s="19" t="n"/>
      <c r="H38" s="19" t="n"/>
      <c r="I38" s="19" t="n"/>
      <c r="J38" s="19" t="n"/>
      <c r="K38" s="16" t="n"/>
      <c r="L38" s="22" t="n"/>
      <c r="M38" s="19" t="n"/>
    </row>
    <row r="39" ht="15" customHeight="1" s="67">
      <c r="A39" s="31">
        <f>IF(B39="","",ROW()-5)</f>
        <v/>
      </c>
      <c r="B39" s="16" t="n"/>
      <c r="C39" s="44" t="n"/>
      <c r="D39" s="22" t="n"/>
      <c r="E39" s="22" t="n"/>
      <c r="F39" s="19" t="n"/>
      <c r="G39" s="19" t="n"/>
      <c r="H39" s="19" t="n"/>
      <c r="I39" s="19" t="n"/>
      <c r="J39" s="19" t="n"/>
      <c r="K39" s="16" t="n"/>
      <c r="L39" s="22" t="n"/>
      <c r="M39" s="19" t="n"/>
    </row>
    <row r="40" ht="15" customHeight="1" s="67">
      <c r="A40" s="31">
        <f>IF(B40="","",ROW()-5)</f>
        <v/>
      </c>
      <c r="B40" s="16" t="n"/>
      <c r="C40" s="44" t="n"/>
      <c r="D40" s="22" t="n"/>
      <c r="E40" s="22" t="n"/>
      <c r="F40" s="19" t="n"/>
      <c r="G40" s="19" t="n"/>
      <c r="H40" s="19" t="n"/>
      <c r="I40" s="19" t="n"/>
      <c r="J40" s="19" t="n"/>
      <c r="K40" s="16" t="n"/>
      <c r="L40" s="22" t="n"/>
      <c r="M40" s="19" t="n"/>
    </row>
    <row r="41" ht="15" customHeight="1" s="67">
      <c r="A41" s="31">
        <f>IF(B41="","",ROW()-5)</f>
        <v/>
      </c>
      <c r="B41" s="16" t="n"/>
      <c r="C41" s="44" t="n"/>
      <c r="D41" s="22" t="n"/>
      <c r="E41" s="22" t="n"/>
      <c r="F41" s="19" t="n"/>
      <c r="G41" s="19" t="n"/>
      <c r="H41" s="19" t="n"/>
      <c r="I41" s="19" t="n"/>
      <c r="J41" s="19" t="n"/>
      <c r="K41" s="16" t="n"/>
      <c r="L41" s="22" t="n"/>
      <c r="M41" s="19" t="n"/>
    </row>
    <row r="42" ht="15" customHeight="1" s="67">
      <c r="A42" s="31">
        <f>IF(B42="","",ROW()-5)</f>
        <v/>
      </c>
      <c r="B42" s="16" t="n"/>
      <c r="C42" s="44" t="n"/>
      <c r="D42" s="22" t="n"/>
      <c r="E42" s="22" t="n"/>
      <c r="F42" s="19" t="n"/>
      <c r="G42" s="19" t="n"/>
      <c r="H42" s="19" t="n"/>
      <c r="I42" s="19" t="n"/>
      <c r="J42" s="19" t="n"/>
      <c r="K42" s="16" t="n"/>
      <c r="L42" s="22" t="n"/>
      <c r="M42" s="19" t="n"/>
    </row>
    <row r="43" ht="15" customHeight="1" s="67">
      <c r="A43" s="31">
        <f>IF(B43="","",ROW()-5)</f>
        <v/>
      </c>
      <c r="B43" s="16" t="n"/>
      <c r="C43" s="44" t="n"/>
      <c r="D43" s="22" t="n"/>
      <c r="E43" s="22" t="n"/>
      <c r="F43" s="19" t="n"/>
      <c r="G43" s="19" t="n"/>
      <c r="H43" s="19" t="n"/>
      <c r="I43" s="19" t="n"/>
      <c r="J43" s="19" t="n"/>
      <c r="K43" s="16" t="n"/>
      <c r="L43" s="22" t="n"/>
      <c r="M43" s="19" t="n"/>
    </row>
    <row r="44" ht="15" customHeight="1" s="67">
      <c r="A44" s="31">
        <f>IF(B44="","",ROW()-5)</f>
        <v/>
      </c>
      <c r="B44" s="16" t="n"/>
      <c r="C44" s="44" t="n"/>
      <c r="D44" s="22" t="n"/>
      <c r="E44" s="22" t="n"/>
      <c r="F44" s="19" t="n"/>
      <c r="G44" s="19" t="n"/>
      <c r="H44" s="19" t="n"/>
      <c r="I44" s="19" t="n"/>
      <c r="J44" s="19" t="n"/>
      <c r="K44" s="16" t="n"/>
      <c r="L44" s="22" t="n"/>
      <c r="M44" s="19" t="n"/>
    </row>
    <row r="45" ht="15" customHeight="1" s="67">
      <c r="A45" s="31">
        <f>IF(B45="","",ROW()-5)</f>
        <v/>
      </c>
      <c r="B45" s="16" t="n"/>
      <c r="C45" s="44" t="n"/>
      <c r="D45" s="22" t="n"/>
      <c r="E45" s="22" t="n"/>
      <c r="F45" s="19" t="n"/>
      <c r="G45" s="19" t="n"/>
      <c r="H45" s="19" t="n"/>
      <c r="I45" s="19" t="n"/>
      <c r="J45" s="19" t="n"/>
      <c r="K45" s="16" t="n"/>
      <c r="L45" s="22" t="n"/>
      <c r="M45" s="19" t="n"/>
    </row>
    <row r="46" ht="15" customHeight="1" s="67">
      <c r="A46" s="31">
        <f>IF(B46="","",ROW()-5)</f>
        <v/>
      </c>
      <c r="B46" s="16" t="n"/>
      <c r="C46" s="44" t="n"/>
      <c r="D46" s="22" t="n"/>
      <c r="E46" s="22" t="n"/>
      <c r="F46" s="19" t="n"/>
      <c r="G46" s="19" t="n"/>
      <c r="H46" s="19" t="n"/>
      <c r="I46" s="19" t="n"/>
      <c r="J46" s="19" t="n"/>
      <c r="K46" s="16" t="n"/>
      <c r="L46" s="22" t="n"/>
      <c r="M46" s="19" t="n"/>
    </row>
    <row r="47" ht="15" customHeight="1" s="67">
      <c r="A47" s="31">
        <f>IF(B47="","",ROW()-5)</f>
        <v/>
      </c>
      <c r="B47" s="16" t="n"/>
      <c r="C47" s="44" t="n"/>
      <c r="D47" s="22" t="n"/>
      <c r="E47" s="22" t="n"/>
      <c r="F47" s="19" t="n"/>
      <c r="G47" s="19" t="n"/>
      <c r="H47" s="19" t="n"/>
      <c r="I47" s="19" t="n"/>
      <c r="J47" s="19" t="n"/>
      <c r="K47" s="16" t="n"/>
      <c r="L47" s="22" t="n"/>
      <c r="M47" s="19" t="n"/>
    </row>
    <row r="48" ht="15" customHeight="1" s="67">
      <c r="A48" s="31">
        <f>IF(B48="","",ROW()-5)</f>
        <v/>
      </c>
      <c r="B48" s="16" t="n"/>
      <c r="C48" s="44" t="n"/>
      <c r="D48" s="22" t="n"/>
      <c r="E48" s="22" t="n"/>
      <c r="F48" s="19" t="n"/>
      <c r="G48" s="19" t="n"/>
      <c r="H48" s="19" t="n"/>
      <c r="I48" s="19" t="n"/>
      <c r="J48" s="19" t="n"/>
      <c r="K48" s="16" t="n"/>
      <c r="L48" s="22" t="n"/>
      <c r="M48" s="19" t="n"/>
    </row>
    <row r="49" ht="15" customHeight="1" s="67">
      <c r="A49" s="31">
        <f>IF(B49="","",ROW()-5)</f>
        <v/>
      </c>
      <c r="B49" s="16" t="n"/>
      <c r="C49" s="44" t="n"/>
      <c r="D49" s="22" t="n"/>
      <c r="E49" s="22" t="n"/>
      <c r="F49" s="19" t="n"/>
      <c r="G49" s="19" t="n"/>
      <c r="H49" s="19" t="n"/>
      <c r="I49" s="19" t="n"/>
      <c r="J49" s="19" t="n"/>
      <c r="K49" s="16" t="n"/>
      <c r="L49" s="22" t="n"/>
      <c r="M49" s="19" t="n"/>
    </row>
    <row r="50" ht="15" customHeight="1" s="67">
      <c r="A50" s="31">
        <f>IF(B50="","",ROW()-5)</f>
        <v/>
      </c>
      <c r="B50" s="16" t="n"/>
      <c r="C50" s="44" t="n"/>
      <c r="D50" s="22" t="n"/>
      <c r="E50" s="22" t="n"/>
      <c r="F50" s="19" t="n"/>
      <c r="G50" s="19" t="n"/>
      <c r="H50" s="19" t="n"/>
      <c r="I50" s="19" t="n"/>
      <c r="J50" s="19" t="n"/>
      <c r="K50" s="16" t="n"/>
      <c r="L50" s="22" t="n"/>
      <c r="M50" s="19" t="n"/>
    </row>
    <row r="51" ht="15" customHeight="1" s="67">
      <c r="A51" s="31">
        <f>IF(B51="","",ROW()-5)</f>
        <v/>
      </c>
      <c r="B51" s="16" t="n"/>
      <c r="C51" s="44" t="n"/>
      <c r="D51" s="22" t="n"/>
      <c r="E51" s="22" t="n"/>
      <c r="F51" s="19" t="n"/>
      <c r="G51" s="19" t="n"/>
      <c r="H51" s="19" t="n"/>
      <c r="I51" s="19" t="n"/>
      <c r="J51" s="19" t="n"/>
      <c r="K51" s="16" t="n"/>
      <c r="L51" s="22" t="n"/>
      <c r="M51" s="19" t="n"/>
    </row>
    <row r="52" ht="15" customHeight="1" s="67">
      <c r="A52" s="31">
        <f>IF(B52="","",ROW()-5)</f>
        <v/>
      </c>
      <c r="B52" s="16" t="n"/>
      <c r="C52" s="44" t="n"/>
      <c r="D52" s="22" t="n"/>
      <c r="E52" s="22" t="n"/>
      <c r="F52" s="19" t="n"/>
      <c r="G52" s="19" t="n"/>
      <c r="H52" s="19" t="n"/>
      <c r="I52" s="19" t="n"/>
      <c r="J52" s="19" t="n"/>
      <c r="K52" s="16" t="n"/>
      <c r="L52" s="22" t="n"/>
      <c r="M52" s="19" t="n"/>
    </row>
    <row r="53" ht="15" customHeight="1" s="67">
      <c r="A53" s="31">
        <f>IF(B53="","",ROW()-5)</f>
        <v/>
      </c>
      <c r="B53" s="16" t="n"/>
      <c r="C53" s="44" t="n"/>
      <c r="D53" s="22" t="n"/>
      <c r="E53" s="22" t="n"/>
      <c r="F53" s="19" t="n"/>
      <c r="G53" s="19" t="n"/>
      <c r="H53" s="19" t="n"/>
      <c r="I53" s="19" t="n"/>
      <c r="J53" s="19" t="n"/>
      <c r="K53" s="16" t="n"/>
      <c r="L53" s="22" t="n"/>
      <c r="M53" s="19" t="n"/>
    </row>
    <row r="54" ht="15" customHeight="1" s="67">
      <c r="A54" s="31">
        <f>IF(B54="","",ROW()-5)</f>
        <v/>
      </c>
      <c r="B54" s="16" t="n"/>
      <c r="C54" s="44" t="n"/>
      <c r="D54" s="22" t="n"/>
      <c r="E54" s="22" t="n"/>
      <c r="F54" s="19" t="n"/>
      <c r="G54" s="19" t="n"/>
      <c r="H54" s="19" t="n"/>
      <c r="I54" s="19" t="n"/>
      <c r="J54" s="19" t="n"/>
      <c r="K54" s="16" t="n"/>
      <c r="L54" s="22" t="n"/>
      <c r="M54" s="19" t="n"/>
    </row>
    <row r="55" ht="15" customHeight="1" s="67">
      <c r="A55" s="31">
        <f>IF(B55="","",ROW()-5)</f>
        <v/>
      </c>
      <c r="B55" s="16" t="n"/>
      <c r="C55" s="44" t="n"/>
      <c r="D55" s="22" t="n"/>
      <c r="E55" s="22" t="n"/>
      <c r="F55" s="19" t="n"/>
      <c r="G55" s="19" t="n"/>
      <c r="H55" s="19" t="n"/>
      <c r="I55" s="19" t="n"/>
      <c r="J55" s="19" t="n"/>
      <c r="K55" s="16" t="n"/>
      <c r="L55" s="22" t="n"/>
      <c r="M55" s="19" t="n"/>
    </row>
    <row r="56" ht="15" customHeight="1" s="67">
      <c r="A56" s="31">
        <f>IF(B56="","",ROW()-5)</f>
        <v/>
      </c>
      <c r="B56" s="16" t="n"/>
      <c r="C56" s="44" t="n"/>
      <c r="D56" s="22" t="n"/>
      <c r="E56" s="22" t="n"/>
      <c r="F56" s="19" t="n"/>
      <c r="G56" s="19" t="n"/>
      <c r="H56" s="19" t="n"/>
      <c r="I56" s="19" t="n"/>
      <c r="J56" s="19" t="n"/>
      <c r="K56" s="16" t="n"/>
      <c r="L56" s="22" t="n"/>
      <c r="M56" s="19" t="n"/>
    </row>
    <row r="57" ht="15" customHeight="1" s="67">
      <c r="A57" s="31">
        <f>IF(B57="","",ROW()-5)</f>
        <v/>
      </c>
      <c r="B57" s="16" t="n"/>
      <c r="C57" s="44" t="n"/>
      <c r="D57" s="22" t="n"/>
      <c r="E57" s="22" t="n"/>
      <c r="F57" s="19" t="n"/>
      <c r="G57" s="19" t="n"/>
      <c r="H57" s="19" t="n"/>
      <c r="I57" s="19" t="n"/>
      <c r="J57" s="19" t="n"/>
      <c r="K57" s="16" t="n"/>
      <c r="L57" s="22" t="n"/>
      <c r="M57" s="19" t="n"/>
    </row>
    <row r="58" ht="15" customHeight="1" s="67">
      <c r="A58" s="31">
        <f>IF(B58="","",ROW()-5)</f>
        <v/>
      </c>
      <c r="B58" s="16" t="n"/>
      <c r="C58" s="44" t="n"/>
      <c r="D58" s="22" t="n"/>
      <c r="E58" s="22" t="n"/>
      <c r="F58" s="19" t="n"/>
      <c r="G58" s="19" t="n"/>
      <c r="H58" s="19" t="n"/>
      <c r="I58" s="19" t="n"/>
      <c r="J58" s="19" t="n"/>
      <c r="K58" s="16" t="n"/>
      <c r="L58" s="22" t="n"/>
      <c r="M58" s="19" t="n"/>
    </row>
    <row r="59" ht="15" customHeight="1" s="67">
      <c r="A59" s="31">
        <f>IF(B59="","",ROW()-5)</f>
        <v/>
      </c>
      <c r="B59" s="16" t="n"/>
      <c r="C59" s="44" t="n"/>
      <c r="D59" s="22" t="n"/>
      <c r="E59" s="22" t="n"/>
      <c r="F59" s="19" t="n"/>
      <c r="G59" s="19" t="n"/>
      <c r="H59" s="19" t="n"/>
      <c r="I59" s="19" t="n"/>
      <c r="J59" s="19" t="n"/>
      <c r="K59" s="16" t="n"/>
      <c r="L59" s="22" t="n"/>
      <c r="M59" s="19" t="n"/>
    </row>
    <row r="60" ht="15" customHeight="1" s="67">
      <c r="A60" s="31">
        <f>IF(B60="","",ROW()-5)</f>
        <v/>
      </c>
      <c r="B60" s="16" t="n"/>
      <c r="C60" s="44" t="n"/>
      <c r="D60" s="22" t="n"/>
      <c r="E60" s="22" t="n"/>
      <c r="F60" s="19" t="n"/>
      <c r="G60" s="19" t="n"/>
      <c r="H60" s="19" t="n"/>
      <c r="I60" s="19" t="n"/>
      <c r="J60" s="19" t="n"/>
      <c r="K60" s="16" t="n"/>
      <c r="L60" s="22" t="n"/>
      <c r="M60" s="19" t="n"/>
    </row>
    <row r="61" ht="15" customHeight="1" s="67">
      <c r="A61" s="31">
        <f>IF(B61="","",ROW()-5)</f>
        <v/>
      </c>
      <c r="B61" s="16" t="n"/>
      <c r="C61" s="44" t="n"/>
      <c r="D61" s="22" t="n"/>
      <c r="E61" s="22" t="n"/>
      <c r="F61" s="19" t="n"/>
      <c r="G61" s="19" t="n"/>
      <c r="H61" s="19" t="n"/>
      <c r="I61" s="19" t="n"/>
      <c r="J61" s="19" t="n"/>
      <c r="K61" s="16" t="n"/>
      <c r="L61" s="22" t="n"/>
      <c r="M61" s="19" t="n"/>
    </row>
    <row r="62" ht="15" customHeight="1" s="67">
      <c r="A62" s="31">
        <f>IF(B62="","",ROW()-5)</f>
        <v/>
      </c>
      <c r="B62" s="16" t="n"/>
      <c r="C62" s="44" t="n"/>
      <c r="D62" s="22" t="n"/>
      <c r="E62" s="22" t="n"/>
      <c r="F62" s="19" t="n"/>
      <c r="G62" s="19" t="n"/>
      <c r="H62" s="19" t="n"/>
      <c r="I62" s="19" t="n"/>
      <c r="J62" s="19" t="n"/>
      <c r="K62" s="16" t="n"/>
      <c r="L62" s="22" t="n"/>
      <c r="M62" s="19" t="n"/>
    </row>
    <row r="63" ht="15" customHeight="1" s="67">
      <c r="A63" s="31">
        <f>IF(B63="","",ROW()-5)</f>
        <v/>
      </c>
      <c r="B63" s="16" t="n"/>
      <c r="C63" s="44" t="n"/>
      <c r="D63" s="22" t="n"/>
      <c r="E63" s="22" t="n"/>
      <c r="F63" s="19" t="n"/>
      <c r="G63" s="19" t="n"/>
      <c r="H63" s="19" t="n"/>
      <c r="I63" s="19" t="n"/>
      <c r="J63" s="19" t="n"/>
      <c r="K63" s="16" t="n"/>
      <c r="L63" s="22" t="n"/>
      <c r="M63" s="19" t="n"/>
    </row>
    <row r="64" ht="15" customHeight="1" s="67">
      <c r="A64" s="31">
        <f>IF(B64="","",ROW()-5)</f>
        <v/>
      </c>
      <c r="B64" s="16" t="n"/>
      <c r="C64" s="44" t="n"/>
      <c r="D64" s="22" t="n"/>
      <c r="E64" s="22" t="n"/>
      <c r="F64" s="19" t="n"/>
      <c r="G64" s="19" t="n"/>
      <c r="H64" s="19" t="n"/>
      <c r="I64" s="19" t="n"/>
      <c r="J64" s="19" t="n"/>
      <c r="K64" s="16" t="n"/>
      <c r="L64" s="22" t="n"/>
      <c r="M64" s="19" t="n"/>
    </row>
    <row r="65" ht="15" customHeight="1" s="67">
      <c r="A65" s="31">
        <f>IF(B65="","",ROW()-5)</f>
        <v/>
      </c>
      <c r="B65" s="16" t="n"/>
      <c r="C65" s="44" t="n"/>
      <c r="D65" s="22" t="n"/>
      <c r="E65" s="22" t="n"/>
      <c r="F65" s="19" t="n"/>
      <c r="G65" s="19" t="n"/>
      <c r="H65" s="19" t="n"/>
      <c r="I65" s="19" t="n"/>
      <c r="J65" s="19" t="n"/>
      <c r="K65" s="16" t="n"/>
      <c r="L65" s="22" t="n"/>
      <c r="M65" s="19" t="n"/>
    </row>
    <row r="66" ht="15" customHeight="1" s="67">
      <c r="A66" s="31">
        <f>IF(B66="","",ROW()-5)</f>
        <v/>
      </c>
      <c r="B66" s="16" t="n"/>
      <c r="C66" s="44" t="n"/>
      <c r="D66" s="22" t="n"/>
      <c r="E66" s="22" t="n"/>
      <c r="F66" s="19" t="n"/>
      <c r="G66" s="19" t="n"/>
      <c r="H66" s="19" t="n"/>
      <c r="I66" s="19" t="n"/>
      <c r="J66" s="19" t="n"/>
      <c r="K66" s="16" t="n"/>
      <c r="L66" s="22" t="n"/>
      <c r="M66" s="19" t="n"/>
    </row>
    <row r="67" ht="15" customHeight="1" s="67">
      <c r="A67" s="31">
        <f>IF(B67="","",ROW()-5)</f>
        <v/>
      </c>
      <c r="B67" s="16" t="n"/>
      <c r="C67" s="44" t="n"/>
      <c r="D67" s="22" t="n"/>
      <c r="E67" s="22" t="n"/>
      <c r="F67" s="19" t="n"/>
      <c r="G67" s="19" t="n"/>
      <c r="H67" s="19" t="n"/>
      <c r="I67" s="19" t="n"/>
      <c r="J67" s="19" t="n"/>
      <c r="K67" s="16" t="n"/>
      <c r="L67" s="22" t="n"/>
      <c r="M67" s="19" t="n"/>
    </row>
    <row r="68" ht="15" customHeight="1" s="67">
      <c r="A68" s="31">
        <f>IF(B68="","",ROW()-5)</f>
        <v/>
      </c>
      <c r="B68" s="16" t="n"/>
      <c r="C68" s="44" t="n"/>
      <c r="D68" s="22" t="n"/>
      <c r="E68" s="22" t="n"/>
      <c r="F68" s="19" t="n"/>
      <c r="G68" s="19" t="n"/>
      <c r="H68" s="19" t="n"/>
      <c r="I68" s="19" t="n"/>
      <c r="J68" s="19" t="n"/>
      <c r="K68" s="16" t="n"/>
      <c r="L68" s="22" t="n"/>
      <c r="M68" s="19" t="n"/>
    </row>
    <row r="69" ht="15" customHeight="1" s="67">
      <c r="A69" s="31">
        <f>IF(B69="","",ROW()-5)</f>
        <v/>
      </c>
      <c r="B69" s="16" t="n"/>
      <c r="C69" s="44" t="n"/>
      <c r="D69" s="22" t="n"/>
      <c r="E69" s="22" t="n"/>
      <c r="F69" s="19" t="n"/>
      <c r="G69" s="19" t="n"/>
      <c r="H69" s="19" t="n"/>
      <c r="I69" s="19" t="n"/>
      <c r="J69" s="19" t="n"/>
      <c r="K69" s="16" t="n"/>
      <c r="L69" s="22" t="n"/>
      <c r="M69" s="19" t="n"/>
    </row>
    <row r="70" ht="15" customHeight="1" s="67">
      <c r="A70" s="31">
        <f>IF(B70="","",ROW()-5)</f>
        <v/>
      </c>
      <c r="B70" s="16" t="n"/>
      <c r="C70" s="44" t="n"/>
      <c r="D70" s="22" t="n"/>
      <c r="E70" s="22" t="n"/>
      <c r="F70" s="19" t="n"/>
      <c r="G70" s="19" t="n"/>
      <c r="H70" s="19" t="n"/>
      <c r="I70" s="19" t="n"/>
      <c r="J70" s="19" t="n"/>
      <c r="K70" s="16" t="n"/>
      <c r="L70" s="22" t="n"/>
      <c r="M70" s="19" t="n"/>
    </row>
    <row r="71" ht="15" customHeight="1" s="67">
      <c r="A71" s="31">
        <f>IF(B71="","",ROW()-5)</f>
        <v/>
      </c>
      <c r="B71" s="16" t="n"/>
      <c r="C71" s="44" t="n"/>
      <c r="D71" s="22" t="n"/>
      <c r="E71" s="22" t="n"/>
      <c r="F71" s="19" t="n"/>
      <c r="G71" s="19" t="n"/>
      <c r="H71" s="19" t="n"/>
      <c r="I71" s="19" t="n"/>
      <c r="J71" s="19" t="n"/>
      <c r="K71" s="16" t="n"/>
      <c r="L71" s="22" t="n"/>
      <c r="M71" s="19" t="n"/>
    </row>
    <row r="72" ht="15" customHeight="1" s="67">
      <c r="A72" s="31">
        <f>IF(B72="","",ROW()-5)</f>
        <v/>
      </c>
      <c r="B72" s="16" t="n"/>
      <c r="C72" s="44" t="n"/>
      <c r="D72" s="22" t="n"/>
      <c r="E72" s="22" t="n"/>
      <c r="F72" s="19" t="n"/>
      <c r="G72" s="19" t="n"/>
      <c r="H72" s="19" t="n"/>
      <c r="I72" s="19" t="n"/>
      <c r="J72" s="19" t="n"/>
      <c r="K72" s="16" t="n"/>
      <c r="L72" s="22" t="n"/>
      <c r="M72" s="19" t="n"/>
    </row>
    <row r="73" ht="15" customHeight="1" s="67">
      <c r="A73" s="31">
        <f>IF(B73="","",ROW()-5)</f>
        <v/>
      </c>
      <c r="B73" s="16" t="n"/>
      <c r="C73" s="44" t="n"/>
      <c r="D73" s="22" t="n"/>
      <c r="E73" s="22" t="n"/>
      <c r="F73" s="19" t="n"/>
      <c r="G73" s="19" t="n"/>
      <c r="H73" s="19" t="n"/>
      <c r="I73" s="19" t="n"/>
      <c r="J73" s="19" t="n"/>
      <c r="K73" s="16" t="n"/>
      <c r="L73" s="22" t="n"/>
      <c r="M73" s="19" t="n"/>
    </row>
    <row r="74" ht="15" customHeight="1" s="67">
      <c r="A74" s="31">
        <f>IF(B74="","",ROW()-5)</f>
        <v/>
      </c>
      <c r="B74" s="16" t="n"/>
      <c r="C74" s="44" t="n"/>
      <c r="D74" s="22" t="n"/>
      <c r="E74" s="22" t="n"/>
      <c r="F74" s="19" t="n"/>
      <c r="G74" s="19" t="n"/>
      <c r="H74" s="19" t="n"/>
      <c r="I74" s="19" t="n"/>
      <c r="J74" s="19" t="n"/>
      <c r="K74" s="16" t="n"/>
      <c r="L74" s="22" t="n"/>
      <c r="M74" s="19" t="n"/>
    </row>
    <row r="75" ht="15" customHeight="1" s="67">
      <c r="A75" s="31">
        <f>IF(B75="","",ROW()-5)</f>
        <v/>
      </c>
      <c r="B75" s="16" t="n"/>
      <c r="C75" s="44" t="n"/>
      <c r="D75" s="22" t="n"/>
      <c r="E75" s="22" t="n"/>
      <c r="F75" s="19" t="n"/>
      <c r="G75" s="19" t="n"/>
      <c r="H75" s="19" t="n"/>
      <c r="I75" s="19" t="n"/>
      <c r="J75" s="19" t="n"/>
      <c r="K75" s="16" t="n"/>
      <c r="L75" s="22" t="n"/>
      <c r="M75" s="19" t="n"/>
    </row>
    <row r="76" ht="15" customHeight="1" s="67">
      <c r="A76" s="31">
        <f>IF(B76="","",ROW()-5)</f>
        <v/>
      </c>
      <c r="B76" s="16" t="n"/>
      <c r="C76" s="44" t="n"/>
      <c r="D76" s="22" t="n"/>
      <c r="E76" s="22" t="n"/>
      <c r="F76" s="19" t="n"/>
      <c r="G76" s="19" t="n"/>
      <c r="H76" s="19" t="n"/>
      <c r="I76" s="19" t="n"/>
      <c r="J76" s="19" t="n"/>
      <c r="K76" s="16" t="n"/>
      <c r="L76" s="22" t="n"/>
      <c r="M76" s="19" t="n"/>
    </row>
    <row r="77" ht="15" customHeight="1" s="67">
      <c r="A77" s="31">
        <f>IF(B77="","",ROW()-5)</f>
        <v/>
      </c>
      <c r="B77" s="16" t="n"/>
      <c r="C77" s="44" t="n"/>
      <c r="D77" s="22" t="n"/>
      <c r="E77" s="22" t="n"/>
      <c r="F77" s="19" t="n"/>
      <c r="G77" s="19" t="n"/>
      <c r="H77" s="19" t="n"/>
      <c r="I77" s="19" t="n"/>
      <c r="J77" s="19" t="n"/>
      <c r="K77" s="16" t="n"/>
      <c r="L77" s="22" t="n"/>
      <c r="M77" s="19" t="n"/>
    </row>
    <row r="78" ht="15" customHeight="1" s="67">
      <c r="A78" s="31">
        <f>IF(B78="","",ROW()-5)</f>
        <v/>
      </c>
      <c r="B78" s="16" t="n"/>
      <c r="C78" s="44" t="n"/>
      <c r="D78" s="22" t="n"/>
      <c r="E78" s="22" t="n"/>
      <c r="F78" s="19" t="n"/>
      <c r="G78" s="19" t="n"/>
      <c r="H78" s="19" t="n"/>
      <c r="I78" s="19" t="n"/>
      <c r="J78" s="19" t="n"/>
      <c r="K78" s="16" t="n"/>
      <c r="L78" s="22" t="n"/>
      <c r="M78" s="19" t="n"/>
    </row>
    <row r="79" ht="15" customHeight="1" s="67">
      <c r="A79" s="31">
        <f>IF(B79="","",ROW()-5)</f>
        <v/>
      </c>
      <c r="B79" s="16" t="n"/>
      <c r="C79" s="44" t="n"/>
      <c r="D79" s="22" t="n"/>
      <c r="E79" s="22" t="n"/>
      <c r="F79" s="19" t="n"/>
      <c r="G79" s="19" t="n"/>
      <c r="H79" s="19" t="n"/>
      <c r="I79" s="19" t="n"/>
      <c r="J79" s="19" t="n"/>
      <c r="K79" s="16" t="n"/>
      <c r="L79" s="22" t="n"/>
      <c r="M79" s="19" t="n"/>
    </row>
    <row r="80" ht="15" customHeight="1" s="67">
      <c r="A80" s="31">
        <f>IF(B80="","",ROW()-5)</f>
        <v/>
      </c>
      <c r="B80" s="16" t="n"/>
      <c r="C80" s="44" t="n"/>
      <c r="D80" s="22" t="n"/>
      <c r="E80" s="22" t="n"/>
      <c r="F80" s="19" t="n"/>
      <c r="G80" s="19" t="n"/>
      <c r="H80" s="19" t="n"/>
      <c r="I80" s="19" t="n"/>
      <c r="J80" s="19" t="n"/>
      <c r="K80" s="16" t="n"/>
      <c r="L80" s="22" t="n"/>
      <c r="M80" s="19" t="n"/>
    </row>
    <row r="81" ht="15" customHeight="1" s="67">
      <c r="A81" s="31">
        <f>IF(B81="","",ROW()-5)</f>
        <v/>
      </c>
      <c r="B81" s="16" t="n"/>
      <c r="C81" s="44" t="n"/>
      <c r="D81" s="22" t="n"/>
      <c r="E81" s="22" t="n"/>
      <c r="F81" s="19" t="n"/>
      <c r="G81" s="19" t="n"/>
      <c r="H81" s="19" t="n"/>
      <c r="I81" s="19" t="n"/>
      <c r="J81" s="19" t="n"/>
      <c r="K81" s="16" t="n"/>
      <c r="L81" s="22" t="n"/>
      <c r="M81" s="19" t="n"/>
    </row>
    <row r="82" ht="15" customHeight="1" s="67">
      <c r="A82" s="31">
        <f>IF(B82="","",ROW()-5)</f>
        <v/>
      </c>
      <c r="B82" s="16" t="n"/>
      <c r="C82" s="44" t="n"/>
      <c r="D82" s="22" t="n"/>
      <c r="E82" s="22" t="n"/>
      <c r="F82" s="19" t="n"/>
      <c r="G82" s="19" t="n"/>
      <c r="H82" s="19" t="n"/>
      <c r="I82" s="19" t="n"/>
      <c r="J82" s="19" t="n"/>
      <c r="K82" s="16" t="n"/>
      <c r="L82" s="22" t="n"/>
      <c r="M82" s="19" t="n"/>
    </row>
    <row r="83" ht="15" customHeight="1" s="67">
      <c r="A83" s="31">
        <f>IF(B83="","",ROW()-5)</f>
        <v/>
      </c>
      <c r="B83" s="16" t="n"/>
      <c r="C83" s="44" t="n"/>
      <c r="D83" s="22" t="n"/>
      <c r="E83" s="22" t="n"/>
      <c r="F83" s="19" t="n"/>
      <c r="G83" s="19" t="n"/>
      <c r="H83" s="19" t="n"/>
      <c r="I83" s="19" t="n"/>
      <c r="J83" s="19" t="n"/>
      <c r="K83" s="16" t="n"/>
      <c r="L83" s="22" t="n"/>
      <c r="M83" s="19" t="n"/>
    </row>
    <row r="84" ht="15" customHeight="1" s="67">
      <c r="A84" s="31">
        <f>IF(B84="","",ROW()-5)</f>
        <v/>
      </c>
      <c r="B84" s="16" t="n"/>
      <c r="C84" s="44" t="n"/>
      <c r="D84" s="22" t="n"/>
      <c r="E84" s="22" t="n"/>
      <c r="F84" s="19" t="n"/>
      <c r="G84" s="19" t="n"/>
      <c r="H84" s="19" t="n"/>
      <c r="I84" s="19" t="n"/>
      <c r="J84" s="19" t="n"/>
      <c r="K84" s="16" t="n"/>
      <c r="L84" s="22" t="n"/>
      <c r="M84" s="19" t="n"/>
    </row>
    <row r="85" ht="15" customHeight="1" s="67">
      <c r="A85" s="31">
        <f>IF(B85="","",ROW()-5)</f>
        <v/>
      </c>
      <c r="B85" s="16" t="n"/>
      <c r="C85" s="44" t="n"/>
      <c r="D85" s="22" t="n"/>
      <c r="E85" s="22" t="n"/>
      <c r="F85" s="19" t="n"/>
      <c r="G85" s="19" t="n"/>
      <c r="H85" s="19" t="n"/>
      <c r="I85" s="19" t="n"/>
      <c r="J85" s="19" t="n"/>
      <c r="K85" s="16" t="n"/>
      <c r="L85" s="22" t="n"/>
      <c r="M85" s="19" t="n"/>
    </row>
    <row r="86" ht="15" customHeight="1" s="67">
      <c r="A86" s="31">
        <f>IF(B86="","",ROW()-5)</f>
        <v/>
      </c>
      <c r="B86" s="16" t="n"/>
      <c r="C86" s="44" t="n"/>
      <c r="D86" s="22" t="n"/>
      <c r="E86" s="22" t="n"/>
      <c r="F86" s="19" t="n"/>
      <c r="G86" s="19" t="n"/>
      <c r="H86" s="19" t="n"/>
      <c r="I86" s="19" t="n"/>
      <c r="J86" s="19" t="n"/>
      <c r="K86" s="16" t="n"/>
      <c r="L86" s="22" t="n"/>
      <c r="M86" s="19" t="n"/>
    </row>
    <row r="87" ht="15" customHeight="1" s="67">
      <c r="A87" s="31">
        <f>IF(B87="","",ROW()-5)</f>
        <v/>
      </c>
      <c r="B87" s="16" t="n"/>
      <c r="C87" s="44" t="n"/>
      <c r="D87" s="22" t="n"/>
      <c r="E87" s="22" t="n"/>
      <c r="F87" s="19" t="n"/>
      <c r="G87" s="19" t="n"/>
      <c r="H87" s="19" t="n"/>
      <c r="I87" s="19" t="n"/>
      <c r="J87" s="19" t="n"/>
      <c r="K87" s="16" t="n"/>
      <c r="L87" s="22" t="n"/>
      <c r="M87" s="19" t="n"/>
    </row>
    <row r="88" ht="15" customHeight="1" s="67">
      <c r="A88" s="31">
        <f>IF(B88="","",ROW()-5)</f>
        <v/>
      </c>
      <c r="B88" s="16" t="n"/>
      <c r="C88" s="44" t="n"/>
      <c r="D88" s="22" t="n"/>
      <c r="E88" s="22" t="n"/>
      <c r="F88" s="19" t="n"/>
      <c r="G88" s="19" t="n"/>
      <c r="H88" s="19" t="n"/>
      <c r="I88" s="19" t="n"/>
      <c r="J88" s="19" t="n"/>
      <c r="K88" s="16" t="n"/>
      <c r="L88" s="22" t="n"/>
      <c r="M88" s="19" t="n"/>
    </row>
    <row r="89" ht="15" customHeight="1" s="67">
      <c r="A89" s="31">
        <f>IF(B89="","",ROW()-5)</f>
        <v/>
      </c>
      <c r="B89" s="16" t="n"/>
      <c r="C89" s="44" t="n"/>
      <c r="D89" s="22" t="n"/>
      <c r="E89" s="22" t="n"/>
      <c r="F89" s="19" t="n"/>
      <c r="G89" s="19" t="n"/>
      <c r="H89" s="19" t="n"/>
      <c r="I89" s="19" t="n"/>
      <c r="J89" s="19" t="n"/>
      <c r="K89" s="16" t="n"/>
      <c r="L89" s="22" t="n"/>
      <c r="M89" s="19" t="n"/>
    </row>
    <row r="90" ht="15" customHeight="1" s="67">
      <c r="A90" s="31">
        <f>IF(B90="","",ROW()-5)</f>
        <v/>
      </c>
      <c r="B90" s="16" t="n"/>
      <c r="C90" s="44" t="n"/>
      <c r="D90" s="22" t="n"/>
      <c r="E90" s="22" t="n"/>
      <c r="F90" s="19" t="n"/>
      <c r="G90" s="19" t="n"/>
      <c r="H90" s="19" t="n"/>
      <c r="I90" s="19" t="n"/>
      <c r="J90" s="19" t="n"/>
      <c r="K90" s="16" t="n"/>
      <c r="L90" s="22" t="n"/>
      <c r="M90" s="19" t="n"/>
    </row>
    <row r="91" ht="15" customHeight="1" s="67">
      <c r="A91" s="31">
        <f>IF(B91="","",ROW()-5)</f>
        <v/>
      </c>
      <c r="B91" s="16" t="n"/>
      <c r="C91" s="44" t="n"/>
      <c r="D91" s="22" t="n"/>
      <c r="E91" s="22" t="n"/>
      <c r="F91" s="19" t="n"/>
      <c r="G91" s="19" t="n"/>
      <c r="H91" s="19" t="n"/>
      <c r="I91" s="19" t="n"/>
      <c r="J91" s="19" t="n"/>
      <c r="K91" s="16" t="n"/>
      <c r="L91" s="22" t="n"/>
      <c r="M91" s="19" t="n"/>
    </row>
    <row r="92" ht="15" customHeight="1" s="67">
      <c r="A92" s="31">
        <f>IF(B92="","",ROW()-5)</f>
        <v/>
      </c>
      <c r="B92" s="16" t="n"/>
      <c r="C92" s="44" t="n"/>
      <c r="D92" s="22" t="n"/>
      <c r="E92" s="22" t="n"/>
      <c r="F92" s="19" t="n"/>
      <c r="G92" s="19" t="n"/>
      <c r="H92" s="19" t="n"/>
      <c r="I92" s="19" t="n"/>
      <c r="J92" s="19" t="n"/>
      <c r="K92" s="16" t="n"/>
      <c r="L92" s="22" t="n"/>
      <c r="M92" s="19" t="n"/>
    </row>
    <row r="93" ht="15" customHeight="1" s="67">
      <c r="A93" s="31">
        <f>IF(B93="","",ROW()-5)</f>
        <v/>
      </c>
      <c r="B93" s="16" t="n"/>
      <c r="C93" s="44" t="n"/>
      <c r="D93" s="22" t="n"/>
      <c r="E93" s="22" t="n"/>
      <c r="F93" s="19" t="n"/>
      <c r="G93" s="19" t="n"/>
      <c r="H93" s="19" t="n"/>
      <c r="I93" s="19" t="n"/>
      <c r="J93" s="19" t="n"/>
      <c r="K93" s="16" t="n"/>
      <c r="L93" s="22" t="n"/>
      <c r="M93" s="19" t="n"/>
    </row>
    <row r="94" ht="15" customHeight="1" s="67">
      <c r="A94" s="31">
        <f>IF(B94="","",ROW()-5)</f>
        <v/>
      </c>
      <c r="B94" s="16" t="n"/>
      <c r="C94" s="44" t="n"/>
      <c r="D94" s="22" t="n"/>
      <c r="E94" s="22" t="n"/>
      <c r="F94" s="19" t="n"/>
      <c r="G94" s="19" t="n"/>
      <c r="H94" s="19" t="n"/>
      <c r="I94" s="19" t="n"/>
      <c r="J94" s="19" t="n"/>
      <c r="K94" s="16" t="n"/>
      <c r="L94" s="22" t="n"/>
      <c r="M94" s="19" t="n"/>
    </row>
    <row r="95" ht="15" customHeight="1" s="67">
      <c r="A95" s="31">
        <f>IF(B95="","",ROW()-5)</f>
        <v/>
      </c>
      <c r="B95" s="16" t="n"/>
      <c r="C95" s="44" t="n"/>
      <c r="D95" s="22" t="n"/>
      <c r="E95" s="22" t="n"/>
      <c r="F95" s="19" t="n"/>
      <c r="G95" s="19" t="n"/>
      <c r="H95" s="19" t="n"/>
      <c r="I95" s="19" t="n"/>
      <c r="J95" s="19" t="n"/>
      <c r="K95" s="16" t="n"/>
      <c r="L95" s="22" t="n"/>
      <c r="M95" s="19" t="n"/>
    </row>
    <row r="96" ht="15" customHeight="1" s="67">
      <c r="A96" s="31">
        <f>IF(B96="","",ROW()-5)</f>
        <v/>
      </c>
      <c r="B96" s="16" t="n"/>
      <c r="C96" s="44" t="n"/>
      <c r="D96" s="22" t="n"/>
      <c r="E96" s="22" t="n"/>
      <c r="F96" s="19" t="n"/>
      <c r="G96" s="19" t="n"/>
      <c r="H96" s="19" t="n"/>
      <c r="I96" s="19" t="n"/>
      <c r="J96" s="19" t="n"/>
      <c r="K96" s="16" t="n"/>
      <c r="L96" s="22" t="n"/>
      <c r="M96" s="19" t="n"/>
    </row>
    <row r="97" ht="15" customHeight="1" s="67">
      <c r="A97" s="31">
        <f>IF(B97="","",ROW()-5)</f>
        <v/>
      </c>
      <c r="B97" s="16" t="n"/>
      <c r="C97" s="44" t="n"/>
      <c r="D97" s="22" t="n"/>
      <c r="E97" s="22" t="n"/>
      <c r="F97" s="19" t="n"/>
      <c r="G97" s="19" t="n"/>
      <c r="H97" s="19" t="n"/>
      <c r="I97" s="19" t="n"/>
      <c r="J97" s="19" t="n"/>
      <c r="K97" s="16" t="n"/>
      <c r="L97" s="22" t="n"/>
      <c r="M97" s="19" t="n"/>
    </row>
    <row r="98" ht="15" customHeight="1" s="67">
      <c r="A98" s="31">
        <f>IF(B98="","",ROW()-5)</f>
        <v/>
      </c>
      <c r="B98" s="16" t="n"/>
      <c r="C98" s="44" t="n"/>
      <c r="D98" s="22" t="n"/>
      <c r="E98" s="22" t="n"/>
      <c r="F98" s="19" t="n"/>
      <c r="G98" s="19" t="n"/>
      <c r="H98" s="19" t="n"/>
      <c r="I98" s="19" t="n"/>
      <c r="J98" s="19" t="n"/>
      <c r="K98" s="16" t="n"/>
      <c r="L98" s="22" t="n"/>
      <c r="M98" s="19" t="n"/>
    </row>
    <row r="99" ht="15" customHeight="1" s="67">
      <c r="A99" s="31">
        <f>IF(B99="","",ROW()-5)</f>
        <v/>
      </c>
      <c r="B99" s="16" t="n"/>
      <c r="C99" s="44" t="n"/>
      <c r="D99" s="22" t="n"/>
      <c r="E99" s="22" t="n"/>
      <c r="F99" s="19" t="n"/>
      <c r="G99" s="19" t="n"/>
      <c r="H99" s="19" t="n"/>
      <c r="I99" s="19" t="n"/>
      <c r="J99" s="19" t="n"/>
      <c r="K99" s="16" t="n"/>
      <c r="L99" s="22" t="n"/>
      <c r="M99" s="19" t="n"/>
    </row>
    <row r="100" ht="15" customHeight="1" s="67">
      <c r="A100" s="31">
        <f>IF(B100="","",ROW()-5)</f>
        <v/>
      </c>
      <c r="B100" s="16" t="n"/>
      <c r="C100" s="44" t="n"/>
      <c r="D100" s="22" t="n"/>
      <c r="E100" s="22" t="n"/>
      <c r="F100" s="19" t="n"/>
      <c r="G100" s="19" t="n"/>
      <c r="H100" s="19" t="n"/>
      <c r="I100" s="19" t="n"/>
      <c r="J100" s="19" t="n"/>
      <c r="K100" s="16" t="n"/>
      <c r="L100" s="22" t="n"/>
      <c r="M100" s="19" t="n"/>
    </row>
    <row r="101" ht="15" customHeight="1" s="67">
      <c r="A101" s="31">
        <f>IF(B101="","",ROW()-5)</f>
        <v/>
      </c>
      <c r="B101" s="16" t="n"/>
      <c r="C101" s="44" t="n"/>
      <c r="D101" s="22" t="n"/>
      <c r="E101" s="22" t="n"/>
      <c r="F101" s="19" t="n"/>
      <c r="G101" s="19" t="n"/>
      <c r="H101" s="19" t="n"/>
      <c r="I101" s="19" t="n"/>
      <c r="J101" s="19" t="n"/>
      <c r="K101" s="16" t="n"/>
      <c r="L101" s="22" t="n"/>
      <c r="M101" s="19" t="n"/>
    </row>
    <row r="102" ht="15" customHeight="1" s="67">
      <c r="A102" s="31">
        <f>IF(B102="","",ROW()-5)</f>
        <v/>
      </c>
      <c r="B102" s="16" t="n"/>
      <c r="C102" s="44" t="n"/>
      <c r="D102" s="22" t="n"/>
      <c r="E102" s="22" t="n"/>
      <c r="F102" s="19" t="n"/>
      <c r="G102" s="19" t="n"/>
      <c r="H102" s="19" t="n"/>
      <c r="I102" s="19" t="n"/>
      <c r="J102" s="19" t="n"/>
      <c r="K102" s="16" t="n"/>
      <c r="L102" s="22" t="n"/>
      <c r="M102" s="19" t="n"/>
    </row>
    <row r="103" ht="15" customHeight="1" s="67">
      <c r="A103" s="31">
        <f>IF(B103="","",ROW()-5)</f>
        <v/>
      </c>
      <c r="B103" s="16" t="n"/>
      <c r="C103" s="44" t="n"/>
      <c r="D103" s="22" t="n"/>
      <c r="E103" s="22" t="n"/>
      <c r="F103" s="19" t="n"/>
      <c r="G103" s="19" t="n"/>
      <c r="H103" s="19" t="n"/>
      <c r="I103" s="19" t="n"/>
      <c r="J103" s="19" t="n"/>
      <c r="K103" s="16" t="n"/>
      <c r="L103" s="22" t="n"/>
      <c r="M103" s="19" t="n"/>
    </row>
    <row r="104" ht="15" customHeight="1" s="67">
      <c r="A104" s="31">
        <f>IF(B104="","",ROW()-5)</f>
        <v/>
      </c>
      <c r="B104" s="16" t="n"/>
      <c r="C104" s="44" t="n"/>
      <c r="D104" s="22" t="n"/>
      <c r="E104" s="22" t="n"/>
      <c r="F104" s="19" t="n"/>
      <c r="G104" s="19" t="n"/>
      <c r="H104" s="19" t="n"/>
      <c r="I104" s="19" t="n"/>
      <c r="J104" s="19" t="n"/>
      <c r="K104" s="16" t="n"/>
      <c r="L104" s="22" t="n"/>
      <c r="M104" s="19" t="n"/>
    </row>
    <row r="105" ht="15" customHeight="1" s="67">
      <c r="A105" s="31">
        <f>IF(B105="","",ROW()-5)</f>
        <v/>
      </c>
      <c r="B105" s="16" t="n"/>
      <c r="C105" s="44" t="n"/>
      <c r="D105" s="22" t="n"/>
      <c r="E105" s="22" t="n"/>
      <c r="F105" s="19" t="n"/>
      <c r="G105" s="19" t="n"/>
      <c r="H105" s="19" t="n"/>
      <c r="I105" s="19" t="n"/>
      <c r="J105" s="19" t="n"/>
      <c r="K105" s="16" t="n"/>
      <c r="L105" s="22" t="n"/>
      <c r="M105" s="19" t="n"/>
    </row>
    <row r="106" ht="15" customHeight="1" s="67">
      <c r="A106" s="31">
        <f>IF(B106="","",ROW()-5)</f>
        <v/>
      </c>
      <c r="B106" s="16" t="n"/>
      <c r="C106" s="44" t="n"/>
      <c r="D106" s="22" t="n"/>
      <c r="E106" s="22" t="n"/>
      <c r="F106" s="19" t="n"/>
      <c r="G106" s="19" t="n"/>
      <c r="H106" s="19" t="n"/>
      <c r="I106" s="19" t="n"/>
      <c r="J106" s="19" t="n"/>
      <c r="K106" s="16" t="n"/>
      <c r="L106" s="22" t="n"/>
      <c r="M106" s="19" t="n"/>
    </row>
    <row r="107" ht="15" customHeight="1" s="67">
      <c r="A107" s="31">
        <f>IF(B107="","",ROW()-5)</f>
        <v/>
      </c>
      <c r="B107" s="16" t="n"/>
      <c r="C107" s="44" t="n"/>
      <c r="D107" s="22" t="n"/>
      <c r="E107" s="22" t="n"/>
      <c r="F107" s="19" t="n"/>
      <c r="G107" s="19" t="n"/>
      <c r="H107" s="19" t="n"/>
      <c r="I107" s="19" t="n"/>
      <c r="J107" s="19" t="n"/>
      <c r="K107" s="16" t="n"/>
      <c r="L107" s="22" t="n"/>
      <c r="M107" s="19" t="n"/>
    </row>
    <row r="108" ht="15" customHeight="1" s="67">
      <c r="A108" s="31">
        <f>IF(B108="","",ROW()-5)</f>
        <v/>
      </c>
      <c r="B108" s="16" t="n"/>
      <c r="C108" s="44" t="n"/>
      <c r="D108" s="22" t="n"/>
      <c r="E108" s="22" t="n"/>
      <c r="F108" s="19" t="n"/>
      <c r="G108" s="19" t="n"/>
      <c r="H108" s="19" t="n"/>
      <c r="I108" s="19" t="n"/>
      <c r="J108" s="19" t="n"/>
      <c r="K108" s="16" t="n"/>
      <c r="L108" s="22" t="n"/>
      <c r="M108" s="19" t="n"/>
    </row>
    <row r="109" ht="15" customHeight="1" s="67">
      <c r="A109" s="31">
        <f>IF(B109="","",ROW()-5)</f>
        <v/>
      </c>
      <c r="B109" s="16" t="n"/>
      <c r="C109" s="44" t="n"/>
      <c r="D109" s="22" t="n"/>
      <c r="E109" s="22" t="n"/>
      <c r="F109" s="19" t="n"/>
      <c r="G109" s="19" t="n"/>
      <c r="H109" s="19" t="n"/>
      <c r="I109" s="19" t="n"/>
      <c r="J109" s="19" t="n"/>
      <c r="K109" s="16" t="n"/>
      <c r="L109" s="22" t="n"/>
      <c r="M109" s="19" t="n"/>
    </row>
    <row r="110" ht="15" customHeight="1" s="67">
      <c r="A110" s="31">
        <f>IF(B110="","",ROW()-5)</f>
        <v/>
      </c>
      <c r="B110" s="16" t="n"/>
      <c r="C110" s="44" t="n"/>
      <c r="D110" s="22" t="n"/>
      <c r="E110" s="22" t="n"/>
      <c r="F110" s="19" t="n"/>
      <c r="G110" s="19" t="n"/>
      <c r="H110" s="19" t="n"/>
      <c r="I110" s="19" t="n"/>
      <c r="J110" s="19" t="n"/>
      <c r="K110" s="16" t="n"/>
      <c r="L110" s="22" t="n"/>
      <c r="M110" s="19" t="n"/>
    </row>
    <row r="111" ht="15" customHeight="1" s="67">
      <c r="A111" s="31">
        <f>IF(B111="","",ROW()-5)</f>
        <v/>
      </c>
      <c r="B111" s="16" t="n"/>
      <c r="C111" s="44" t="n"/>
      <c r="D111" s="22" t="n"/>
      <c r="E111" s="22" t="n"/>
      <c r="F111" s="19" t="n"/>
      <c r="G111" s="19" t="n"/>
      <c r="H111" s="19" t="n"/>
      <c r="I111" s="19" t="n"/>
      <c r="J111" s="19" t="n"/>
      <c r="K111" s="16" t="n"/>
      <c r="L111" s="22" t="n"/>
      <c r="M111" s="19" t="n"/>
    </row>
    <row r="112" ht="15" customHeight="1" s="67">
      <c r="A112" s="31">
        <f>IF(B112="","",ROW()-5)</f>
        <v/>
      </c>
      <c r="B112" s="16" t="n"/>
      <c r="C112" s="44" t="n"/>
      <c r="D112" s="22" t="n"/>
      <c r="E112" s="22" t="n"/>
      <c r="F112" s="19" t="n"/>
      <c r="G112" s="19" t="n"/>
      <c r="H112" s="19" t="n"/>
      <c r="I112" s="19" t="n"/>
      <c r="J112" s="19" t="n"/>
      <c r="K112" s="16" t="n"/>
      <c r="L112" s="22" t="n"/>
      <c r="M112" s="19" t="n"/>
    </row>
    <row r="113" ht="15" customHeight="1" s="67">
      <c r="A113" s="31">
        <f>IF(B113="","",ROW()-5)</f>
        <v/>
      </c>
      <c r="B113" s="16" t="n"/>
      <c r="C113" s="44" t="n"/>
      <c r="D113" s="22" t="n"/>
      <c r="E113" s="22" t="n"/>
      <c r="F113" s="19" t="n"/>
      <c r="G113" s="19" t="n"/>
      <c r="H113" s="19" t="n"/>
      <c r="I113" s="19" t="n"/>
      <c r="J113" s="19" t="n"/>
      <c r="K113" s="16" t="n"/>
      <c r="L113" s="22" t="n"/>
      <c r="M113" s="19" t="n"/>
    </row>
    <row r="114" ht="15" customHeight="1" s="67">
      <c r="A114" s="31">
        <f>IF(B114="","",ROW()-5)</f>
        <v/>
      </c>
      <c r="B114" s="16" t="n"/>
      <c r="C114" s="44" t="n"/>
      <c r="D114" s="22" t="n"/>
      <c r="E114" s="22" t="n"/>
      <c r="F114" s="19" t="n"/>
      <c r="G114" s="19" t="n"/>
      <c r="H114" s="19" t="n"/>
      <c r="I114" s="19" t="n"/>
      <c r="J114" s="19" t="n"/>
      <c r="K114" s="16" t="n"/>
      <c r="L114" s="22" t="n"/>
      <c r="M114" s="19" t="n"/>
    </row>
    <row r="115" ht="15" customHeight="1" s="67">
      <c r="A115" s="31">
        <f>IF(B115="","",ROW()-5)</f>
        <v/>
      </c>
      <c r="B115" s="16" t="n"/>
      <c r="C115" s="44" t="n"/>
      <c r="D115" s="22" t="n"/>
      <c r="E115" s="22" t="n"/>
      <c r="F115" s="19" t="n"/>
      <c r="G115" s="19" t="n"/>
      <c r="H115" s="19" t="n"/>
      <c r="I115" s="19" t="n"/>
      <c r="J115" s="19" t="n"/>
      <c r="K115" s="16" t="n"/>
      <c r="L115" s="22" t="n"/>
      <c r="M115" s="19" t="n"/>
    </row>
    <row r="116" ht="15" customHeight="1" s="67">
      <c r="A116" s="31">
        <f>IF(B116="","",ROW()-5)</f>
        <v/>
      </c>
      <c r="B116" s="16" t="n"/>
      <c r="C116" s="44" t="n"/>
      <c r="D116" s="22" t="n"/>
      <c r="E116" s="22" t="n"/>
      <c r="F116" s="19" t="n"/>
      <c r="G116" s="19" t="n"/>
      <c r="H116" s="19" t="n"/>
      <c r="I116" s="19" t="n"/>
      <c r="J116" s="19" t="n"/>
      <c r="K116" s="16" t="n"/>
      <c r="L116" s="22" t="n"/>
      <c r="M116" s="19" t="n"/>
    </row>
    <row r="117" ht="15" customHeight="1" s="67">
      <c r="A117" s="31">
        <f>IF(B117="","",ROW()-5)</f>
        <v/>
      </c>
      <c r="B117" s="16" t="n"/>
      <c r="C117" s="44" t="n"/>
      <c r="D117" s="22" t="n"/>
      <c r="E117" s="22" t="n"/>
      <c r="F117" s="19" t="n"/>
      <c r="G117" s="19" t="n"/>
      <c r="H117" s="19" t="n"/>
      <c r="I117" s="19" t="n"/>
      <c r="J117" s="19" t="n"/>
      <c r="K117" s="16" t="n"/>
      <c r="L117" s="22" t="n"/>
      <c r="M117" s="19" t="n"/>
    </row>
    <row r="118" ht="15" customHeight="1" s="67">
      <c r="A118" s="31">
        <f>IF(B118="","",ROW()-5)</f>
        <v/>
      </c>
      <c r="B118" s="16" t="n"/>
      <c r="C118" s="44" t="n"/>
      <c r="D118" s="22" t="n"/>
      <c r="E118" s="22" t="n"/>
      <c r="F118" s="19" t="n"/>
      <c r="G118" s="19" t="n"/>
      <c r="H118" s="19" t="n"/>
      <c r="I118" s="19" t="n"/>
      <c r="J118" s="19" t="n"/>
      <c r="K118" s="16" t="n"/>
      <c r="L118" s="22" t="n"/>
      <c r="M118" s="19" t="n"/>
    </row>
    <row r="119" ht="15" customHeight="1" s="67">
      <c r="A119" s="31">
        <f>IF(B119="","",ROW()-5)</f>
        <v/>
      </c>
      <c r="B119" s="16" t="n"/>
      <c r="C119" s="44" t="n"/>
      <c r="D119" s="22" t="n"/>
      <c r="E119" s="22" t="n"/>
      <c r="F119" s="19" t="n"/>
      <c r="G119" s="19" t="n"/>
      <c r="H119" s="19" t="n"/>
      <c r="I119" s="19" t="n"/>
      <c r="J119" s="19" t="n"/>
      <c r="K119" s="16" t="n"/>
      <c r="L119" s="22" t="n"/>
      <c r="M119" s="19" t="n"/>
    </row>
    <row r="120" ht="15" customHeight="1" s="67">
      <c r="A120" s="31">
        <f>IF(B120="","",ROW()-5)</f>
        <v/>
      </c>
      <c r="B120" s="16" t="n"/>
      <c r="C120" s="44" t="n"/>
      <c r="D120" s="22" t="n"/>
      <c r="E120" s="22" t="n"/>
      <c r="F120" s="19" t="n"/>
      <c r="G120" s="19" t="n"/>
      <c r="H120" s="19" t="n"/>
      <c r="I120" s="19" t="n"/>
      <c r="J120" s="19" t="n"/>
      <c r="K120" s="16" t="n"/>
      <c r="L120" s="22" t="n"/>
      <c r="M120" s="19" t="n"/>
    </row>
    <row r="121" ht="15" customHeight="1" s="67">
      <c r="A121" s="31">
        <f>IF(B121="","",ROW()-5)</f>
        <v/>
      </c>
      <c r="B121" s="16" t="n"/>
      <c r="C121" s="44" t="n"/>
      <c r="D121" s="22" t="n"/>
      <c r="E121" s="22" t="n"/>
      <c r="F121" s="19" t="n"/>
      <c r="G121" s="19" t="n"/>
      <c r="H121" s="19" t="n"/>
      <c r="I121" s="19" t="n"/>
      <c r="J121" s="19" t="n"/>
      <c r="K121" s="16" t="n"/>
      <c r="L121" s="22" t="n"/>
      <c r="M121" s="19" t="n"/>
    </row>
    <row r="122" ht="15" customHeight="1" s="67">
      <c r="A122" s="31">
        <f>IF(B122="","",ROW()-5)</f>
        <v/>
      </c>
      <c r="B122" s="16" t="n"/>
      <c r="C122" s="44" t="n"/>
      <c r="D122" s="22" t="n"/>
      <c r="E122" s="22" t="n"/>
      <c r="F122" s="19" t="n"/>
      <c r="G122" s="19" t="n"/>
      <c r="H122" s="19" t="n"/>
      <c r="I122" s="19" t="n"/>
      <c r="J122" s="19" t="n"/>
      <c r="K122" s="16" t="n"/>
      <c r="L122" s="22" t="n"/>
      <c r="M122" s="19" t="n"/>
    </row>
    <row r="123" ht="15" customHeight="1" s="67">
      <c r="A123" s="31">
        <f>IF(B123="","",ROW()-5)</f>
        <v/>
      </c>
      <c r="B123" s="16" t="n"/>
      <c r="C123" s="44" t="n"/>
      <c r="D123" s="22" t="n"/>
      <c r="E123" s="22" t="n"/>
      <c r="F123" s="19" t="n"/>
      <c r="G123" s="19" t="n"/>
      <c r="H123" s="19" t="n"/>
      <c r="I123" s="19" t="n"/>
      <c r="J123" s="19" t="n"/>
      <c r="K123" s="16" t="n"/>
      <c r="L123" s="22" t="n"/>
      <c r="M123" s="19" t="n"/>
    </row>
    <row r="124" ht="15" customHeight="1" s="67">
      <c r="A124" s="31">
        <f>IF(B124="","",ROW()-5)</f>
        <v/>
      </c>
      <c r="B124" s="16" t="n"/>
      <c r="C124" s="44" t="n"/>
      <c r="D124" s="22" t="n"/>
      <c r="E124" s="22" t="n"/>
      <c r="F124" s="19" t="n"/>
      <c r="G124" s="19" t="n"/>
      <c r="H124" s="19" t="n"/>
      <c r="I124" s="19" t="n"/>
      <c r="J124" s="19" t="n"/>
      <c r="K124" s="16" t="n"/>
      <c r="L124" s="22" t="n"/>
      <c r="M124" s="19" t="n"/>
    </row>
    <row r="125" ht="15" customHeight="1" s="67">
      <c r="A125" s="31">
        <f>IF(B125="","",ROW()-5)</f>
        <v/>
      </c>
      <c r="B125" s="16" t="n"/>
      <c r="C125" s="44" t="n"/>
      <c r="D125" s="22" t="n"/>
      <c r="E125" s="22" t="n"/>
      <c r="F125" s="19" t="n"/>
      <c r="G125" s="19" t="n"/>
      <c r="H125" s="19" t="n"/>
      <c r="I125" s="19" t="n"/>
      <c r="J125" s="19" t="n"/>
      <c r="K125" s="16" t="n"/>
      <c r="L125" s="22" t="n"/>
      <c r="M125" s="19" t="n"/>
    </row>
    <row r="126" ht="15" customHeight="1" s="67">
      <c r="A126" s="31">
        <f>IF(B126="","",ROW()-5)</f>
        <v/>
      </c>
      <c r="B126" s="16" t="n"/>
      <c r="C126" s="44" t="n"/>
      <c r="D126" s="22" t="n"/>
      <c r="E126" s="22" t="n"/>
      <c r="F126" s="19" t="n"/>
      <c r="G126" s="19" t="n"/>
      <c r="H126" s="19" t="n"/>
      <c r="I126" s="19" t="n"/>
      <c r="J126" s="19" t="n"/>
      <c r="K126" s="16" t="n"/>
      <c r="L126" s="22" t="n"/>
      <c r="M126" s="19" t="n"/>
    </row>
    <row r="127" ht="15" customHeight="1" s="67">
      <c r="A127" s="31">
        <f>IF(B127="","",ROW()-5)</f>
        <v/>
      </c>
      <c r="B127" s="16" t="n"/>
      <c r="C127" s="44" t="n"/>
      <c r="D127" s="22" t="n"/>
      <c r="E127" s="22" t="n"/>
      <c r="F127" s="19" t="n"/>
      <c r="G127" s="19" t="n"/>
      <c r="H127" s="19" t="n"/>
      <c r="I127" s="19" t="n"/>
      <c r="J127" s="19" t="n"/>
      <c r="K127" s="16" t="n"/>
      <c r="L127" s="22" t="n"/>
      <c r="M127" s="19" t="n"/>
    </row>
    <row r="128" ht="15" customHeight="1" s="67">
      <c r="A128" s="31">
        <f>IF(B128="","",ROW()-5)</f>
        <v/>
      </c>
      <c r="B128" s="16" t="n"/>
      <c r="C128" s="44" t="n"/>
      <c r="D128" s="22" t="n"/>
      <c r="E128" s="22" t="n"/>
      <c r="F128" s="19" t="n"/>
      <c r="G128" s="19" t="n"/>
      <c r="H128" s="19" t="n"/>
      <c r="I128" s="19" t="n"/>
      <c r="J128" s="19" t="n"/>
      <c r="K128" s="16" t="n"/>
      <c r="L128" s="22" t="n"/>
      <c r="M128" s="19" t="n"/>
    </row>
    <row r="129" ht="15" customHeight="1" s="67">
      <c r="A129" s="31">
        <f>IF(B129="","",ROW()-5)</f>
        <v/>
      </c>
      <c r="B129" s="16" t="n"/>
      <c r="C129" s="44" t="n"/>
      <c r="D129" s="22" t="n"/>
      <c r="E129" s="22" t="n"/>
      <c r="F129" s="19" t="n"/>
      <c r="G129" s="19" t="n"/>
      <c r="H129" s="19" t="n"/>
      <c r="I129" s="19" t="n"/>
      <c r="J129" s="19" t="n"/>
      <c r="K129" s="16" t="n"/>
      <c r="L129" s="22" t="n"/>
      <c r="M129" s="19" t="n"/>
    </row>
    <row r="130" ht="15" customHeight="1" s="67">
      <c r="A130" s="31">
        <f>IF(B130="","",ROW()-5)</f>
        <v/>
      </c>
      <c r="B130" s="16" t="n"/>
      <c r="C130" s="44" t="n"/>
      <c r="D130" s="22" t="n"/>
      <c r="E130" s="22" t="n"/>
      <c r="F130" s="19" t="n"/>
      <c r="G130" s="19" t="n"/>
      <c r="H130" s="19" t="n"/>
      <c r="I130" s="19" t="n"/>
      <c r="J130" s="19" t="n"/>
      <c r="K130" s="16" t="n"/>
      <c r="L130" s="22" t="n"/>
      <c r="M130" s="19" t="n"/>
    </row>
    <row r="131" ht="15" customHeight="1" s="67">
      <c r="A131" s="31">
        <f>IF(B131="","",ROW()-5)</f>
        <v/>
      </c>
      <c r="B131" s="16" t="n"/>
      <c r="C131" s="44" t="n"/>
      <c r="D131" s="22" t="n"/>
      <c r="E131" s="22" t="n"/>
      <c r="F131" s="19" t="n"/>
      <c r="G131" s="19" t="n"/>
      <c r="H131" s="19" t="n"/>
      <c r="I131" s="19" t="n"/>
      <c r="J131" s="19" t="n"/>
      <c r="K131" s="16" t="n"/>
      <c r="L131" s="22" t="n"/>
      <c r="M131" s="19" t="n"/>
    </row>
    <row r="132" ht="15" customHeight="1" s="67">
      <c r="A132" s="31">
        <f>IF(B132="","",ROW()-5)</f>
        <v/>
      </c>
      <c r="B132" s="16" t="n"/>
      <c r="C132" s="44" t="n"/>
      <c r="D132" s="22" t="n"/>
      <c r="E132" s="22" t="n"/>
      <c r="F132" s="19" t="n"/>
      <c r="G132" s="19" t="n"/>
      <c r="H132" s="19" t="n"/>
      <c r="I132" s="19" t="n"/>
      <c r="J132" s="19" t="n"/>
      <c r="K132" s="16" t="n"/>
      <c r="L132" s="22" t="n"/>
      <c r="M132" s="19" t="n"/>
    </row>
    <row r="133" ht="15" customHeight="1" s="67">
      <c r="A133" s="31">
        <f>IF(B133="","",ROW()-5)</f>
        <v/>
      </c>
      <c r="B133" s="16" t="n"/>
      <c r="C133" s="44" t="n"/>
      <c r="D133" s="22" t="n"/>
      <c r="E133" s="22" t="n"/>
      <c r="F133" s="19" t="n"/>
      <c r="G133" s="19" t="n"/>
      <c r="H133" s="19" t="n"/>
      <c r="I133" s="19" t="n"/>
      <c r="J133" s="19" t="n"/>
      <c r="K133" s="16" t="n"/>
      <c r="L133" s="22" t="n"/>
      <c r="M133" s="19" t="n"/>
    </row>
    <row r="134" ht="15" customHeight="1" s="67">
      <c r="A134" s="31">
        <f>IF(B134="","",ROW()-5)</f>
        <v/>
      </c>
      <c r="B134" s="16" t="n"/>
      <c r="C134" s="44" t="n"/>
      <c r="D134" s="22" t="n"/>
      <c r="E134" s="22" t="n"/>
      <c r="F134" s="19" t="n"/>
      <c r="G134" s="19" t="n"/>
      <c r="H134" s="19" t="n"/>
      <c r="I134" s="19" t="n"/>
      <c r="J134" s="19" t="n"/>
      <c r="K134" s="16" t="n"/>
      <c r="L134" s="22" t="n"/>
      <c r="M134" s="19" t="n"/>
    </row>
    <row r="135" ht="15" customHeight="1" s="67">
      <c r="A135" s="31">
        <f>IF(B135="","",ROW()-5)</f>
        <v/>
      </c>
      <c r="B135" s="16" t="n"/>
      <c r="C135" s="44" t="n"/>
      <c r="D135" s="22" t="n"/>
      <c r="E135" s="22" t="n"/>
      <c r="F135" s="19" t="n"/>
      <c r="G135" s="19" t="n"/>
      <c r="H135" s="19" t="n"/>
      <c r="I135" s="19" t="n"/>
      <c r="J135" s="19" t="n"/>
      <c r="K135" s="16" t="n"/>
      <c r="L135" s="22" t="n"/>
      <c r="M135" s="19" t="n"/>
    </row>
    <row r="136" ht="15" customHeight="1" s="67">
      <c r="A136" s="31">
        <f>IF(B136="","",ROW()-5)</f>
        <v/>
      </c>
      <c r="B136" s="16" t="n"/>
      <c r="C136" s="44" t="n"/>
      <c r="D136" s="22" t="n"/>
      <c r="E136" s="22" t="n"/>
      <c r="F136" s="19" t="n"/>
      <c r="G136" s="19" t="n"/>
      <c r="H136" s="19" t="n"/>
      <c r="I136" s="19" t="n"/>
      <c r="J136" s="19" t="n"/>
      <c r="K136" s="16" t="n"/>
      <c r="L136" s="22" t="n"/>
      <c r="M136" s="19" t="n"/>
    </row>
    <row r="137" ht="15" customHeight="1" s="67">
      <c r="A137" s="31">
        <f>IF(B137="","",ROW()-5)</f>
        <v/>
      </c>
      <c r="B137" s="16" t="n"/>
      <c r="C137" s="44" t="n"/>
      <c r="D137" s="22" t="n"/>
      <c r="E137" s="22" t="n"/>
      <c r="F137" s="19" t="n"/>
      <c r="G137" s="19" t="n"/>
      <c r="H137" s="19" t="n"/>
      <c r="I137" s="19" t="n"/>
      <c r="J137" s="19" t="n"/>
      <c r="K137" s="16" t="n"/>
      <c r="L137" s="22" t="n"/>
      <c r="M137" s="19" t="n"/>
    </row>
    <row r="138" ht="15" customHeight="1" s="67">
      <c r="A138" s="31">
        <f>IF(B138="","",ROW()-5)</f>
        <v/>
      </c>
      <c r="B138" s="16" t="n"/>
      <c r="C138" s="44" t="n"/>
      <c r="D138" s="22" t="n"/>
      <c r="E138" s="22" t="n"/>
      <c r="F138" s="19" t="n"/>
      <c r="G138" s="19" t="n"/>
      <c r="H138" s="19" t="n"/>
      <c r="I138" s="19" t="n"/>
      <c r="J138" s="19" t="n"/>
      <c r="K138" s="16" t="n"/>
      <c r="L138" s="22" t="n"/>
      <c r="M138" s="19" t="n"/>
    </row>
    <row r="139" ht="15" customHeight="1" s="67">
      <c r="A139" s="31">
        <f>IF(B139="","",ROW()-5)</f>
        <v/>
      </c>
      <c r="B139" s="16" t="n"/>
      <c r="C139" s="44" t="n"/>
      <c r="D139" s="22" t="n"/>
      <c r="E139" s="22" t="n"/>
      <c r="F139" s="19" t="n"/>
      <c r="G139" s="19" t="n"/>
      <c r="H139" s="19" t="n"/>
      <c r="I139" s="19" t="n"/>
      <c r="J139" s="19" t="n"/>
      <c r="K139" s="16" t="n"/>
      <c r="L139" s="22" t="n"/>
      <c r="M139" s="19" t="n"/>
    </row>
    <row r="140" ht="15" customHeight="1" s="67">
      <c r="A140" s="31">
        <f>IF(B140="","",ROW()-5)</f>
        <v/>
      </c>
      <c r="B140" s="16" t="n"/>
      <c r="C140" s="44" t="n"/>
      <c r="D140" s="22" t="n"/>
      <c r="E140" s="22" t="n"/>
      <c r="F140" s="19" t="n"/>
      <c r="G140" s="19" t="n"/>
      <c r="H140" s="19" t="n"/>
      <c r="I140" s="19" t="n"/>
      <c r="J140" s="19" t="n"/>
      <c r="K140" s="16" t="n"/>
      <c r="L140" s="22" t="n"/>
      <c r="M140" s="19" t="n"/>
    </row>
    <row r="141" ht="15" customHeight="1" s="67">
      <c r="A141" s="31">
        <f>IF(B141="","",ROW()-5)</f>
        <v/>
      </c>
      <c r="B141" s="16" t="n"/>
      <c r="C141" s="44" t="n"/>
      <c r="D141" s="22" t="n"/>
      <c r="E141" s="22" t="n"/>
      <c r="F141" s="19" t="n"/>
      <c r="G141" s="19" t="n"/>
      <c r="H141" s="19" t="n"/>
      <c r="I141" s="19" t="n"/>
      <c r="J141" s="19" t="n"/>
      <c r="K141" s="16" t="n"/>
      <c r="L141" s="22" t="n"/>
      <c r="M141" s="19" t="n"/>
    </row>
    <row r="142" ht="15" customHeight="1" s="67">
      <c r="A142" s="31">
        <f>IF(B142="","",ROW()-5)</f>
        <v/>
      </c>
      <c r="B142" s="16" t="n"/>
      <c r="C142" s="44" t="n"/>
      <c r="D142" s="22" t="n"/>
      <c r="E142" s="22" t="n"/>
      <c r="F142" s="19" t="n"/>
      <c r="G142" s="19" t="n"/>
      <c r="H142" s="19" t="n"/>
      <c r="I142" s="19" t="n"/>
      <c r="J142" s="19" t="n"/>
      <c r="K142" s="16" t="n"/>
      <c r="L142" s="22" t="n"/>
      <c r="M142" s="19" t="n"/>
    </row>
    <row r="143" ht="15" customHeight="1" s="67">
      <c r="A143" s="31">
        <f>IF(B143="","",ROW()-5)</f>
        <v/>
      </c>
      <c r="B143" s="16" t="n"/>
      <c r="C143" s="44" t="n"/>
      <c r="D143" s="22" t="n"/>
      <c r="E143" s="22" t="n"/>
      <c r="F143" s="19" t="n"/>
      <c r="G143" s="19" t="n"/>
      <c r="H143" s="19" t="n"/>
      <c r="I143" s="19" t="n"/>
      <c r="J143" s="19" t="n"/>
      <c r="K143" s="16" t="n"/>
      <c r="L143" s="22" t="n"/>
      <c r="M143" s="19" t="n"/>
    </row>
    <row r="144" ht="15" customHeight="1" s="67">
      <c r="A144" s="31">
        <f>IF(B144="","",ROW()-5)</f>
        <v/>
      </c>
      <c r="B144" s="16" t="n"/>
      <c r="C144" s="44" t="n"/>
      <c r="D144" s="22" t="n"/>
      <c r="E144" s="22" t="n"/>
      <c r="F144" s="19" t="n"/>
      <c r="G144" s="19" t="n"/>
      <c r="H144" s="19" t="n"/>
      <c r="I144" s="19" t="n"/>
      <c r="J144" s="19" t="n"/>
      <c r="K144" s="16" t="n"/>
      <c r="L144" s="22" t="n"/>
      <c r="M144" s="19" t="n"/>
    </row>
    <row r="145" ht="15" customHeight="1" s="67">
      <c r="A145" s="31">
        <f>IF(B145="","",ROW()-5)</f>
        <v/>
      </c>
      <c r="B145" s="16" t="n"/>
      <c r="C145" s="44" t="n"/>
      <c r="D145" s="22" t="n"/>
      <c r="E145" s="22" t="n"/>
      <c r="F145" s="19" t="n"/>
      <c r="G145" s="19" t="n"/>
      <c r="H145" s="19" t="n"/>
      <c r="I145" s="19" t="n"/>
      <c r="J145" s="19" t="n"/>
      <c r="K145" s="16" t="n"/>
      <c r="L145" s="22" t="n"/>
      <c r="M145" s="19" t="n"/>
    </row>
    <row r="146" ht="15" customHeight="1" s="67">
      <c r="A146" s="31">
        <f>IF(B146="","",ROW()-5)</f>
        <v/>
      </c>
      <c r="B146" s="16" t="n"/>
      <c r="C146" s="44" t="n"/>
      <c r="D146" s="22" t="n"/>
      <c r="E146" s="22" t="n"/>
      <c r="F146" s="19" t="n"/>
      <c r="G146" s="19" t="n"/>
      <c r="H146" s="19" t="n"/>
      <c r="I146" s="19" t="n"/>
      <c r="J146" s="19" t="n"/>
      <c r="K146" s="16" t="n"/>
      <c r="L146" s="22" t="n"/>
      <c r="M146" s="19" t="n"/>
    </row>
    <row r="147" ht="15" customHeight="1" s="67">
      <c r="A147" s="31">
        <f>IF(B147="","",ROW()-5)</f>
        <v/>
      </c>
      <c r="B147" s="16" t="n"/>
      <c r="C147" s="44" t="n"/>
      <c r="D147" s="22" t="n"/>
      <c r="E147" s="22" t="n"/>
      <c r="F147" s="19" t="n"/>
      <c r="G147" s="19" t="n"/>
      <c r="H147" s="19" t="n"/>
      <c r="I147" s="19" t="n"/>
      <c r="J147" s="19" t="n"/>
      <c r="K147" s="16" t="n"/>
      <c r="L147" s="22" t="n"/>
      <c r="M147" s="19" t="n"/>
    </row>
    <row r="148" ht="15" customHeight="1" s="67">
      <c r="A148" s="31">
        <f>IF(B148="","",ROW()-5)</f>
        <v/>
      </c>
      <c r="B148" s="16" t="n"/>
      <c r="C148" s="44" t="n"/>
      <c r="D148" s="22" t="n"/>
      <c r="E148" s="22" t="n"/>
      <c r="F148" s="19" t="n"/>
      <c r="G148" s="19" t="n"/>
      <c r="H148" s="19" t="n"/>
      <c r="I148" s="19" t="n"/>
      <c r="J148" s="19" t="n"/>
      <c r="K148" s="16" t="n"/>
      <c r="L148" s="22" t="n"/>
      <c r="M148" s="19" t="n"/>
    </row>
    <row r="149" ht="15" customHeight="1" s="67">
      <c r="A149" s="31">
        <f>IF(B149="","",ROW()-5)</f>
        <v/>
      </c>
      <c r="B149" s="16" t="n"/>
      <c r="C149" s="44" t="n"/>
      <c r="D149" s="22" t="n"/>
      <c r="E149" s="22" t="n"/>
      <c r="F149" s="19" t="n"/>
      <c r="G149" s="19" t="n"/>
      <c r="H149" s="19" t="n"/>
      <c r="I149" s="19" t="n"/>
      <c r="J149" s="19" t="n"/>
      <c r="K149" s="16" t="n"/>
      <c r="L149" s="22" t="n"/>
      <c r="M149" s="19" t="n"/>
    </row>
    <row r="150" ht="15" customHeight="1" s="67">
      <c r="A150" s="31">
        <f>IF(B150="","",ROW()-5)</f>
        <v/>
      </c>
      <c r="B150" s="16" t="n"/>
      <c r="C150" s="44" t="n"/>
      <c r="D150" s="22" t="n"/>
      <c r="E150" s="22" t="n"/>
      <c r="F150" s="19" t="n"/>
      <c r="G150" s="19" t="n"/>
      <c r="H150" s="19" t="n"/>
      <c r="I150" s="19" t="n"/>
      <c r="J150" s="19" t="n"/>
      <c r="K150" s="16" t="n"/>
      <c r="L150" s="22" t="n"/>
      <c r="M150" s="19" t="n"/>
    </row>
    <row r="151" ht="15" customHeight="1" s="67">
      <c r="A151" s="31">
        <f>IF(B151="","",ROW()-5)</f>
        <v/>
      </c>
      <c r="B151" s="16" t="n"/>
      <c r="C151" s="44" t="n"/>
      <c r="D151" s="22" t="n"/>
      <c r="E151" s="22" t="n"/>
      <c r="F151" s="19" t="n"/>
      <c r="G151" s="19" t="n"/>
      <c r="H151" s="19" t="n"/>
      <c r="I151" s="19" t="n"/>
      <c r="J151" s="19" t="n"/>
      <c r="K151" s="16" t="n"/>
      <c r="L151" s="22" t="n"/>
      <c r="M151" s="19" t="n"/>
    </row>
    <row r="152" ht="15" customHeight="1" s="67">
      <c r="A152" s="31">
        <f>IF(B152="","",ROW()-5)</f>
        <v/>
      </c>
      <c r="B152" s="16" t="n"/>
      <c r="C152" s="44" t="n"/>
      <c r="D152" s="22" t="n"/>
      <c r="E152" s="22" t="n"/>
      <c r="F152" s="19" t="n"/>
      <c r="G152" s="19" t="n"/>
      <c r="H152" s="19" t="n"/>
      <c r="I152" s="19" t="n"/>
      <c r="J152" s="19" t="n"/>
      <c r="K152" s="16" t="n"/>
      <c r="L152" s="22" t="n"/>
      <c r="M152" s="19" t="n"/>
    </row>
    <row r="153" ht="15" customHeight="1" s="67">
      <c r="A153" s="31">
        <f>IF(B153="","",ROW()-5)</f>
        <v/>
      </c>
      <c r="B153" s="16" t="n"/>
      <c r="C153" s="44" t="n"/>
      <c r="D153" s="22" t="n"/>
      <c r="E153" s="22" t="n"/>
      <c r="F153" s="19" t="n"/>
      <c r="G153" s="19" t="n"/>
      <c r="H153" s="19" t="n"/>
      <c r="I153" s="19" t="n"/>
      <c r="J153" s="19" t="n"/>
      <c r="K153" s="16" t="n"/>
      <c r="L153" s="22" t="n"/>
      <c r="M153" s="19" t="n"/>
    </row>
    <row r="154" ht="15" customHeight="1" s="67">
      <c r="A154" s="31">
        <f>IF(B154="","",ROW()-5)</f>
        <v/>
      </c>
      <c r="B154" s="16" t="n"/>
      <c r="C154" s="44" t="n"/>
      <c r="D154" s="22" t="n"/>
      <c r="E154" s="22" t="n"/>
      <c r="F154" s="19" t="n"/>
      <c r="G154" s="19" t="n"/>
      <c r="H154" s="19" t="n"/>
      <c r="I154" s="19" t="n"/>
      <c r="J154" s="19" t="n"/>
      <c r="K154" s="16" t="n"/>
      <c r="L154" s="22" t="n"/>
      <c r="M154" s="19" t="n"/>
    </row>
    <row r="155" ht="15" customHeight="1" s="67">
      <c r="A155" s="31">
        <f>IF(B155="","",ROW()-5)</f>
        <v/>
      </c>
      <c r="B155" s="16" t="n"/>
      <c r="C155" s="44" t="n"/>
      <c r="D155" s="22" t="n"/>
      <c r="E155" s="22" t="n"/>
      <c r="F155" s="19" t="n"/>
      <c r="G155" s="19" t="n"/>
      <c r="H155" s="19" t="n"/>
      <c r="I155" s="19" t="n"/>
      <c r="J155" s="19" t="n"/>
      <c r="K155" s="16" t="n"/>
      <c r="L155" s="22" t="n"/>
      <c r="M155" s="19" t="n"/>
    </row>
    <row r="156" ht="15" customHeight="1" s="67">
      <c r="A156" s="31">
        <f>IF(B156="","",ROW()-5)</f>
        <v/>
      </c>
      <c r="B156" s="16" t="n"/>
      <c r="C156" s="44" t="n"/>
      <c r="D156" s="22" t="n"/>
      <c r="E156" s="22" t="n"/>
      <c r="F156" s="19" t="n"/>
      <c r="G156" s="19" t="n"/>
      <c r="H156" s="19" t="n"/>
      <c r="I156" s="19" t="n"/>
      <c r="J156" s="19" t="n"/>
      <c r="K156" s="16" t="n"/>
      <c r="L156" s="22" t="n"/>
      <c r="M156" s="19" t="n"/>
    </row>
    <row r="157" ht="15" customHeight="1" s="67">
      <c r="A157" s="31">
        <f>IF(B157="","",ROW()-5)</f>
        <v/>
      </c>
      <c r="B157" s="16" t="n"/>
      <c r="C157" s="44" t="n"/>
      <c r="D157" s="22" t="n"/>
      <c r="E157" s="22" t="n"/>
      <c r="F157" s="19" t="n"/>
      <c r="G157" s="19" t="n"/>
      <c r="H157" s="19" t="n"/>
      <c r="I157" s="19" t="n"/>
      <c r="J157" s="19" t="n"/>
      <c r="K157" s="16" t="n"/>
      <c r="L157" s="22" t="n"/>
      <c r="M157" s="19" t="n"/>
    </row>
    <row r="158" ht="15" customHeight="1" s="67">
      <c r="A158" s="31">
        <f>IF(B158="","",ROW()-5)</f>
        <v/>
      </c>
      <c r="B158" s="16" t="n"/>
      <c r="C158" s="44" t="n"/>
      <c r="D158" s="22" t="n"/>
      <c r="E158" s="22" t="n"/>
      <c r="F158" s="19" t="n"/>
      <c r="G158" s="19" t="n"/>
      <c r="H158" s="19" t="n"/>
      <c r="I158" s="19" t="n"/>
      <c r="J158" s="19" t="n"/>
      <c r="K158" s="16" t="n"/>
      <c r="L158" s="22" t="n"/>
      <c r="M158" s="19" t="n"/>
    </row>
    <row r="159" ht="15" customHeight="1" s="67">
      <c r="A159" s="31">
        <f>IF(B159="","",ROW()-5)</f>
        <v/>
      </c>
      <c r="B159" s="16" t="n"/>
      <c r="C159" s="44" t="n"/>
      <c r="D159" s="22" t="n"/>
      <c r="E159" s="22" t="n"/>
      <c r="F159" s="19" t="n"/>
      <c r="G159" s="19" t="n"/>
      <c r="H159" s="19" t="n"/>
      <c r="I159" s="19" t="n"/>
      <c r="J159" s="19" t="n"/>
      <c r="K159" s="16" t="n"/>
      <c r="L159" s="22" t="n"/>
      <c r="M159" s="19" t="n"/>
    </row>
    <row r="160" ht="15" customHeight="1" s="67">
      <c r="A160" s="31">
        <f>IF(B160="","",ROW()-5)</f>
        <v/>
      </c>
      <c r="B160" s="16" t="n"/>
      <c r="C160" s="44" t="n"/>
      <c r="D160" s="22" t="n"/>
      <c r="E160" s="22" t="n"/>
      <c r="F160" s="19" t="n"/>
      <c r="G160" s="19" t="n"/>
      <c r="H160" s="19" t="n"/>
      <c r="I160" s="19" t="n"/>
      <c r="J160" s="19" t="n"/>
      <c r="K160" s="16" t="n"/>
      <c r="L160" s="22" t="n"/>
      <c r="M160" s="19" t="n"/>
    </row>
    <row r="161" ht="15" customHeight="1" s="67">
      <c r="A161" s="31">
        <f>IF(B161="","",ROW()-5)</f>
        <v/>
      </c>
      <c r="B161" s="16" t="n"/>
      <c r="C161" s="44" t="n"/>
      <c r="D161" s="22" t="n"/>
      <c r="E161" s="22" t="n"/>
      <c r="F161" s="19" t="n"/>
      <c r="G161" s="19" t="n"/>
      <c r="H161" s="19" t="n"/>
      <c r="I161" s="19" t="n"/>
      <c r="J161" s="19" t="n"/>
      <c r="K161" s="16" t="n"/>
      <c r="L161" s="22" t="n"/>
      <c r="M161" s="19" t="n"/>
    </row>
    <row r="162" ht="15" customHeight="1" s="67">
      <c r="A162" s="31">
        <f>IF(B162="","",ROW()-5)</f>
        <v/>
      </c>
      <c r="B162" s="16" t="n"/>
      <c r="C162" s="44" t="n"/>
      <c r="D162" s="22" t="n"/>
      <c r="E162" s="22" t="n"/>
      <c r="F162" s="19" t="n"/>
      <c r="G162" s="19" t="n"/>
      <c r="H162" s="19" t="n"/>
      <c r="I162" s="19" t="n"/>
      <c r="J162" s="19" t="n"/>
      <c r="K162" s="16" t="n"/>
      <c r="L162" s="22" t="n"/>
      <c r="M162" s="19" t="n"/>
    </row>
    <row r="163" ht="15" customHeight="1" s="67">
      <c r="A163" s="31">
        <f>IF(B163="","",ROW()-5)</f>
        <v/>
      </c>
      <c r="B163" s="16" t="n"/>
      <c r="C163" s="44" t="n"/>
      <c r="D163" s="22" t="n"/>
      <c r="E163" s="22" t="n"/>
      <c r="F163" s="19" t="n"/>
      <c r="G163" s="19" t="n"/>
      <c r="H163" s="19" t="n"/>
      <c r="I163" s="19" t="n"/>
      <c r="J163" s="19" t="n"/>
      <c r="K163" s="16" t="n"/>
      <c r="L163" s="22" t="n"/>
      <c r="M163" s="19" t="n"/>
    </row>
    <row r="164" ht="15" customHeight="1" s="67">
      <c r="A164" s="31">
        <f>IF(B164="","",ROW()-5)</f>
        <v/>
      </c>
      <c r="B164" s="16" t="n"/>
      <c r="C164" s="44" t="n"/>
      <c r="D164" s="22" t="n"/>
      <c r="E164" s="22" t="n"/>
      <c r="F164" s="19" t="n"/>
      <c r="G164" s="19" t="n"/>
      <c r="H164" s="19" t="n"/>
      <c r="I164" s="19" t="n"/>
      <c r="J164" s="19" t="n"/>
      <c r="K164" s="16" t="n"/>
      <c r="L164" s="22" t="n"/>
      <c r="M164" s="19" t="n"/>
    </row>
    <row r="165" ht="15" customHeight="1" s="67">
      <c r="A165" s="31">
        <f>IF(B165="","",ROW()-5)</f>
        <v/>
      </c>
      <c r="B165" s="16" t="n"/>
      <c r="C165" s="44" t="n"/>
      <c r="D165" s="22" t="n"/>
      <c r="E165" s="22" t="n"/>
      <c r="F165" s="19" t="n"/>
      <c r="G165" s="19" t="n"/>
      <c r="H165" s="19" t="n"/>
      <c r="I165" s="19" t="n"/>
      <c r="J165" s="19" t="n"/>
      <c r="K165" s="16" t="n"/>
      <c r="L165" s="22" t="n"/>
      <c r="M165" s="19" t="n"/>
    </row>
    <row r="166" ht="15" customHeight="1" s="67">
      <c r="A166" s="31">
        <f>IF(B166="","",ROW()-5)</f>
        <v/>
      </c>
      <c r="B166" s="16" t="n"/>
      <c r="C166" s="44" t="n"/>
      <c r="D166" s="22" t="n"/>
      <c r="E166" s="22" t="n"/>
      <c r="F166" s="19" t="n"/>
      <c r="G166" s="19" t="n"/>
      <c r="H166" s="19" t="n"/>
      <c r="I166" s="19" t="n"/>
      <c r="J166" s="19" t="n"/>
      <c r="K166" s="16" t="n"/>
      <c r="L166" s="22" t="n"/>
      <c r="M166" s="19" t="n"/>
    </row>
    <row r="167" ht="15" customHeight="1" s="67">
      <c r="A167" s="31">
        <f>IF(B167="","",ROW()-5)</f>
        <v/>
      </c>
      <c r="B167" s="16" t="n"/>
      <c r="C167" s="44" t="n"/>
      <c r="D167" s="22" t="n"/>
      <c r="E167" s="22" t="n"/>
      <c r="F167" s="19" t="n"/>
      <c r="G167" s="19" t="n"/>
      <c r="H167" s="19" t="n"/>
      <c r="I167" s="19" t="n"/>
      <c r="J167" s="19" t="n"/>
      <c r="K167" s="16" t="n"/>
      <c r="L167" s="22" t="n"/>
      <c r="M167" s="19" t="n"/>
    </row>
    <row r="168" ht="15" customHeight="1" s="67">
      <c r="A168" s="31">
        <f>IF(B168="","",ROW()-5)</f>
        <v/>
      </c>
      <c r="B168" s="16" t="n"/>
      <c r="C168" s="44" t="n"/>
      <c r="D168" s="22" t="n"/>
      <c r="E168" s="22" t="n"/>
      <c r="F168" s="19" t="n"/>
      <c r="G168" s="19" t="n"/>
      <c r="H168" s="19" t="n"/>
      <c r="I168" s="19" t="n"/>
      <c r="J168" s="19" t="n"/>
      <c r="K168" s="16" t="n"/>
      <c r="L168" s="22" t="n"/>
      <c r="M168" s="19" t="n"/>
    </row>
    <row r="169" ht="15" customHeight="1" s="67">
      <c r="A169" s="31">
        <f>IF(B169="","",ROW()-5)</f>
        <v/>
      </c>
      <c r="B169" s="16" t="n"/>
      <c r="C169" s="44" t="n"/>
      <c r="D169" s="22" t="n"/>
      <c r="E169" s="22" t="n"/>
      <c r="F169" s="19" t="n"/>
      <c r="G169" s="19" t="n"/>
      <c r="H169" s="19" t="n"/>
      <c r="I169" s="19" t="n"/>
      <c r="J169" s="19" t="n"/>
      <c r="K169" s="16" t="n"/>
      <c r="L169" s="22" t="n"/>
      <c r="M169" s="19" t="n"/>
    </row>
    <row r="170" ht="15" customHeight="1" s="67">
      <c r="A170" s="31">
        <f>IF(B170="","",ROW()-5)</f>
        <v/>
      </c>
      <c r="B170" s="16" t="n"/>
      <c r="C170" s="44" t="n"/>
      <c r="D170" s="22" t="n"/>
      <c r="E170" s="22" t="n"/>
      <c r="F170" s="19" t="n"/>
      <c r="G170" s="19" t="n"/>
      <c r="H170" s="19" t="n"/>
      <c r="I170" s="19" t="n"/>
      <c r="J170" s="19" t="n"/>
      <c r="K170" s="16" t="n"/>
      <c r="L170" s="22" t="n"/>
      <c r="M170" s="19" t="n"/>
    </row>
    <row r="171" ht="15" customHeight="1" s="67">
      <c r="A171" s="31">
        <f>IF(B171="","",ROW()-5)</f>
        <v/>
      </c>
      <c r="B171" s="16" t="n"/>
      <c r="C171" s="44" t="n"/>
      <c r="D171" s="22" t="n"/>
      <c r="E171" s="22" t="n"/>
      <c r="F171" s="19" t="n"/>
      <c r="G171" s="19" t="n"/>
      <c r="H171" s="19" t="n"/>
      <c r="I171" s="19" t="n"/>
      <c r="J171" s="19" t="n"/>
      <c r="K171" s="16" t="n"/>
      <c r="L171" s="22" t="n"/>
      <c r="M171" s="19" t="n"/>
    </row>
    <row r="172" ht="15" customHeight="1" s="67">
      <c r="A172" s="31">
        <f>IF(B172="","",ROW()-5)</f>
        <v/>
      </c>
      <c r="B172" s="16" t="n"/>
      <c r="C172" s="44" t="n"/>
      <c r="D172" s="22" t="n"/>
      <c r="E172" s="22" t="n"/>
      <c r="F172" s="19" t="n"/>
      <c r="G172" s="19" t="n"/>
      <c r="H172" s="19" t="n"/>
      <c r="I172" s="19" t="n"/>
      <c r="J172" s="19" t="n"/>
      <c r="K172" s="16" t="n"/>
      <c r="L172" s="22" t="n"/>
      <c r="M172" s="19" t="n"/>
    </row>
    <row r="173" ht="15" customHeight="1" s="67">
      <c r="A173" s="31">
        <f>IF(B173="","",ROW()-5)</f>
        <v/>
      </c>
      <c r="B173" s="16" t="n"/>
      <c r="C173" s="44" t="n"/>
      <c r="D173" s="22" t="n"/>
      <c r="E173" s="22" t="n"/>
      <c r="F173" s="19" t="n"/>
      <c r="G173" s="19" t="n"/>
      <c r="H173" s="19" t="n"/>
      <c r="I173" s="19" t="n"/>
      <c r="J173" s="19" t="n"/>
      <c r="K173" s="16" t="n"/>
      <c r="L173" s="22" t="n"/>
      <c r="M173" s="19" t="n"/>
    </row>
    <row r="174" ht="15" customHeight="1" s="67">
      <c r="A174" s="31">
        <f>IF(B174="","",ROW()-5)</f>
        <v/>
      </c>
      <c r="B174" s="16" t="n"/>
      <c r="C174" s="44" t="n"/>
      <c r="D174" s="22" t="n"/>
      <c r="E174" s="22" t="n"/>
      <c r="F174" s="19" t="n"/>
      <c r="G174" s="19" t="n"/>
      <c r="H174" s="19" t="n"/>
      <c r="I174" s="19" t="n"/>
      <c r="J174" s="19" t="n"/>
      <c r="K174" s="16" t="n"/>
      <c r="L174" s="22" t="n"/>
      <c r="M174" s="19" t="n"/>
    </row>
    <row r="175" ht="15" customHeight="1" s="67">
      <c r="A175" s="31">
        <f>IF(B175="","",ROW()-5)</f>
        <v/>
      </c>
      <c r="B175" s="16" t="n"/>
      <c r="C175" s="44" t="n"/>
      <c r="D175" s="22" t="n"/>
      <c r="E175" s="22" t="n"/>
      <c r="F175" s="19" t="n"/>
      <c r="G175" s="19" t="n"/>
      <c r="H175" s="19" t="n"/>
      <c r="I175" s="19" t="n"/>
      <c r="J175" s="19" t="n"/>
      <c r="K175" s="16" t="n"/>
      <c r="L175" s="22" t="n"/>
      <c r="M175" s="19" t="n"/>
    </row>
    <row r="176" ht="15" customHeight="1" s="67">
      <c r="A176" s="31">
        <f>IF(B176="","",ROW()-5)</f>
        <v/>
      </c>
      <c r="B176" s="16" t="n"/>
      <c r="C176" s="44" t="n"/>
      <c r="D176" s="22" t="n"/>
      <c r="E176" s="22" t="n"/>
      <c r="F176" s="19" t="n"/>
      <c r="G176" s="19" t="n"/>
      <c r="H176" s="19" t="n"/>
      <c r="I176" s="19" t="n"/>
      <c r="J176" s="19" t="n"/>
      <c r="K176" s="16" t="n"/>
      <c r="L176" s="22" t="n"/>
      <c r="M176" s="19" t="n"/>
    </row>
    <row r="177" ht="15" customHeight="1" s="67">
      <c r="A177" s="31">
        <f>IF(B177="","",ROW()-5)</f>
        <v/>
      </c>
      <c r="B177" s="16" t="n"/>
      <c r="C177" s="44" t="n"/>
      <c r="D177" s="22" t="n"/>
      <c r="E177" s="22" t="n"/>
      <c r="F177" s="19" t="n"/>
      <c r="G177" s="19" t="n"/>
      <c r="H177" s="19" t="n"/>
      <c r="I177" s="19" t="n"/>
      <c r="J177" s="19" t="n"/>
      <c r="K177" s="16" t="n"/>
      <c r="L177" s="22" t="n"/>
      <c r="M177" s="19" t="n"/>
    </row>
    <row r="178" ht="15" customHeight="1" s="67">
      <c r="A178" s="31">
        <f>IF(B178="","",ROW()-5)</f>
        <v/>
      </c>
      <c r="B178" s="16" t="n"/>
      <c r="C178" s="44" t="n"/>
      <c r="D178" s="22" t="n"/>
      <c r="E178" s="22" t="n"/>
      <c r="F178" s="19" t="n"/>
      <c r="G178" s="19" t="n"/>
      <c r="H178" s="19" t="n"/>
      <c r="I178" s="19" t="n"/>
      <c r="J178" s="19" t="n"/>
      <c r="K178" s="16" t="n"/>
      <c r="L178" s="22" t="n"/>
      <c r="M178" s="19" t="n"/>
    </row>
    <row r="179" ht="15" customHeight="1" s="67">
      <c r="A179" s="31">
        <f>IF(B179="","",ROW()-5)</f>
        <v/>
      </c>
      <c r="B179" s="16" t="n"/>
      <c r="C179" s="44" t="n"/>
      <c r="D179" s="22" t="n"/>
      <c r="E179" s="22" t="n"/>
      <c r="F179" s="19" t="n"/>
      <c r="G179" s="19" t="n"/>
      <c r="H179" s="19" t="n"/>
      <c r="I179" s="19" t="n"/>
      <c r="J179" s="19" t="n"/>
      <c r="K179" s="16" t="n"/>
      <c r="L179" s="22" t="n"/>
      <c r="M179" s="19" t="n"/>
    </row>
    <row r="180" ht="15" customHeight="1" s="67">
      <c r="A180" s="31">
        <f>IF(B180="","",ROW()-5)</f>
        <v/>
      </c>
      <c r="B180" s="16" t="n"/>
      <c r="C180" s="44" t="n"/>
      <c r="D180" s="22" t="n"/>
      <c r="E180" s="22" t="n"/>
      <c r="F180" s="19" t="n"/>
      <c r="G180" s="19" t="n"/>
      <c r="H180" s="19" t="n"/>
      <c r="I180" s="19" t="n"/>
      <c r="J180" s="19" t="n"/>
      <c r="K180" s="16" t="n"/>
      <c r="L180" s="22" t="n"/>
      <c r="M180" s="19" t="n"/>
    </row>
    <row r="181" ht="15" customHeight="1" s="67">
      <c r="A181" s="31">
        <f>IF(B181="","",ROW()-5)</f>
        <v/>
      </c>
      <c r="B181" s="16" t="n"/>
      <c r="C181" s="44" t="n"/>
      <c r="D181" s="22" t="n"/>
      <c r="E181" s="22" t="n"/>
      <c r="F181" s="19" t="n"/>
      <c r="G181" s="19" t="n"/>
      <c r="H181" s="19" t="n"/>
      <c r="I181" s="19" t="n"/>
      <c r="J181" s="19" t="n"/>
      <c r="K181" s="16" t="n"/>
      <c r="L181" s="22" t="n"/>
      <c r="M181" s="19" t="n"/>
    </row>
    <row r="182" ht="15" customHeight="1" s="67">
      <c r="A182" s="31">
        <f>IF(B182="","",ROW()-5)</f>
        <v/>
      </c>
      <c r="B182" s="16" t="n"/>
      <c r="C182" s="44" t="n"/>
      <c r="D182" s="22" t="n"/>
      <c r="E182" s="22" t="n"/>
      <c r="F182" s="19" t="n"/>
      <c r="G182" s="19" t="n"/>
      <c r="H182" s="19" t="n"/>
      <c r="I182" s="19" t="n"/>
      <c r="J182" s="19" t="n"/>
      <c r="K182" s="16" t="n"/>
      <c r="L182" s="22" t="n"/>
      <c r="M182" s="19" t="n"/>
    </row>
    <row r="183" ht="15" customHeight="1" s="67">
      <c r="A183" s="31">
        <f>IF(B183="","",ROW()-5)</f>
        <v/>
      </c>
      <c r="B183" s="16" t="n"/>
      <c r="C183" s="44" t="n"/>
      <c r="D183" s="22" t="n"/>
      <c r="E183" s="22" t="n"/>
      <c r="F183" s="19" t="n"/>
      <c r="G183" s="19" t="n"/>
      <c r="H183" s="19" t="n"/>
      <c r="I183" s="19" t="n"/>
      <c r="J183" s="19" t="n"/>
      <c r="K183" s="16" t="n"/>
      <c r="L183" s="22" t="n"/>
      <c r="M183" s="19" t="n"/>
    </row>
    <row r="184" ht="15" customHeight="1" s="67">
      <c r="A184" s="31">
        <f>IF(B184="","",ROW()-5)</f>
        <v/>
      </c>
      <c r="B184" s="16" t="n"/>
      <c r="C184" s="44" t="n"/>
      <c r="D184" s="22" t="n"/>
      <c r="E184" s="22" t="n"/>
      <c r="F184" s="19" t="n"/>
      <c r="G184" s="19" t="n"/>
      <c r="H184" s="19" t="n"/>
      <c r="I184" s="19" t="n"/>
      <c r="J184" s="19" t="n"/>
      <c r="K184" s="16" t="n"/>
      <c r="L184" s="22" t="n"/>
      <c r="M184" s="19" t="n"/>
    </row>
    <row r="185" ht="15" customHeight="1" s="67">
      <c r="A185" s="31">
        <f>IF(B185="","",ROW()-5)</f>
        <v/>
      </c>
      <c r="B185" s="16" t="n"/>
      <c r="C185" s="44" t="n"/>
      <c r="D185" s="22" t="n"/>
      <c r="E185" s="22" t="n"/>
      <c r="F185" s="19" t="n"/>
      <c r="G185" s="19" t="n"/>
      <c r="H185" s="19" t="n"/>
      <c r="I185" s="19" t="n"/>
      <c r="J185" s="19" t="n"/>
      <c r="K185" s="16" t="n"/>
      <c r="L185" s="22" t="n"/>
      <c r="M185" s="19" t="n"/>
    </row>
    <row r="186" ht="15" customHeight="1" s="67">
      <c r="A186" s="31">
        <f>IF(B186="","",ROW()-5)</f>
        <v/>
      </c>
      <c r="B186" s="16" t="n"/>
      <c r="C186" s="44" t="n"/>
      <c r="D186" s="22" t="n"/>
      <c r="E186" s="22" t="n"/>
      <c r="F186" s="19" t="n"/>
      <c r="G186" s="19" t="n"/>
      <c r="H186" s="19" t="n"/>
      <c r="I186" s="19" t="n"/>
      <c r="J186" s="19" t="n"/>
      <c r="K186" s="16" t="n"/>
      <c r="L186" s="22" t="n"/>
      <c r="M186" s="19" t="n"/>
    </row>
    <row r="187" ht="15" customHeight="1" s="67">
      <c r="A187" s="31">
        <f>IF(B187="","",ROW()-5)</f>
        <v/>
      </c>
      <c r="B187" s="16" t="n"/>
      <c r="C187" s="44" t="n"/>
      <c r="D187" s="22" t="n"/>
      <c r="E187" s="22" t="n"/>
      <c r="F187" s="19" t="n"/>
      <c r="G187" s="19" t="n"/>
      <c r="H187" s="19" t="n"/>
      <c r="I187" s="19" t="n"/>
      <c r="J187" s="19" t="n"/>
      <c r="K187" s="16" t="n"/>
      <c r="L187" s="22" t="n"/>
      <c r="M187" s="19" t="n"/>
    </row>
    <row r="188" ht="15" customHeight="1" s="67">
      <c r="A188" s="31">
        <f>IF(B188="","",ROW()-5)</f>
        <v/>
      </c>
      <c r="B188" s="16" t="n"/>
      <c r="C188" s="44" t="n"/>
      <c r="D188" s="22" t="n"/>
      <c r="E188" s="22" t="n"/>
      <c r="F188" s="19" t="n"/>
      <c r="G188" s="19" t="n"/>
      <c r="H188" s="19" t="n"/>
      <c r="I188" s="19" t="n"/>
      <c r="J188" s="19" t="n"/>
      <c r="K188" s="16" t="n"/>
      <c r="L188" s="22" t="n"/>
      <c r="M188" s="19" t="n"/>
    </row>
    <row r="189" ht="15" customHeight="1" s="67">
      <c r="A189" s="31">
        <f>IF(B189="","",ROW()-5)</f>
        <v/>
      </c>
      <c r="B189" s="16" t="n"/>
      <c r="C189" s="44" t="n"/>
      <c r="D189" s="22" t="n"/>
      <c r="E189" s="22" t="n"/>
      <c r="F189" s="19" t="n"/>
      <c r="G189" s="19" t="n"/>
      <c r="H189" s="19" t="n"/>
      <c r="I189" s="19" t="n"/>
      <c r="J189" s="19" t="n"/>
      <c r="K189" s="16" t="n"/>
      <c r="L189" s="22" t="n"/>
      <c r="M189" s="19" t="n"/>
    </row>
    <row r="190" ht="15" customHeight="1" s="67">
      <c r="A190" s="31">
        <f>IF(B190="","",ROW()-5)</f>
        <v/>
      </c>
      <c r="B190" s="16" t="n"/>
      <c r="C190" s="44" t="n"/>
      <c r="D190" s="22" t="n"/>
      <c r="E190" s="22" t="n"/>
      <c r="F190" s="19" t="n"/>
      <c r="G190" s="19" t="n"/>
      <c r="H190" s="19" t="n"/>
      <c r="I190" s="19" t="n"/>
      <c r="J190" s="19" t="n"/>
      <c r="K190" s="16" t="n"/>
      <c r="L190" s="22" t="n"/>
      <c r="M190" s="19" t="n"/>
    </row>
    <row r="191" ht="15" customHeight="1" s="67">
      <c r="A191" s="31">
        <f>IF(B191="","",ROW()-5)</f>
        <v/>
      </c>
      <c r="B191" s="16" t="n"/>
      <c r="C191" s="44" t="n"/>
      <c r="D191" s="22" t="n"/>
      <c r="E191" s="22" t="n"/>
      <c r="F191" s="19" t="n"/>
      <c r="G191" s="19" t="n"/>
      <c r="H191" s="19" t="n"/>
      <c r="I191" s="19" t="n"/>
      <c r="J191" s="19" t="n"/>
      <c r="K191" s="16" t="n"/>
      <c r="L191" s="22" t="n"/>
      <c r="M191" s="19" t="n"/>
    </row>
    <row r="192" ht="15" customHeight="1" s="67">
      <c r="A192" s="31">
        <f>IF(B192="","",ROW()-5)</f>
        <v/>
      </c>
      <c r="B192" s="16" t="n"/>
      <c r="C192" s="44" t="n"/>
      <c r="D192" s="22" t="n"/>
      <c r="E192" s="22" t="n"/>
      <c r="F192" s="19" t="n"/>
      <c r="G192" s="19" t="n"/>
      <c r="H192" s="19" t="n"/>
      <c r="I192" s="19" t="n"/>
      <c r="J192" s="19" t="n"/>
      <c r="K192" s="16" t="n"/>
      <c r="L192" s="22" t="n"/>
      <c r="M192" s="19" t="n"/>
    </row>
    <row r="193" ht="15" customHeight="1" s="67">
      <c r="A193" s="31">
        <f>IF(B193="","",ROW()-5)</f>
        <v/>
      </c>
      <c r="B193" s="16" t="n"/>
      <c r="C193" s="44" t="n"/>
      <c r="D193" s="22" t="n"/>
      <c r="E193" s="22" t="n"/>
      <c r="F193" s="19" t="n"/>
      <c r="G193" s="19" t="n"/>
      <c r="H193" s="19" t="n"/>
      <c r="I193" s="19" t="n"/>
      <c r="J193" s="19" t="n"/>
      <c r="K193" s="16" t="n"/>
      <c r="L193" s="22" t="n"/>
      <c r="M193" s="19" t="n"/>
    </row>
    <row r="194" ht="15" customHeight="1" s="67">
      <c r="A194" s="31">
        <f>IF(B194="","",ROW()-5)</f>
        <v/>
      </c>
      <c r="B194" s="16" t="n"/>
      <c r="C194" s="44" t="n"/>
      <c r="D194" s="22" t="n"/>
      <c r="E194" s="22" t="n"/>
      <c r="F194" s="19" t="n"/>
      <c r="G194" s="19" t="n"/>
      <c r="H194" s="19" t="n"/>
      <c r="I194" s="19" t="n"/>
      <c r="J194" s="19" t="n"/>
      <c r="K194" s="16" t="n"/>
      <c r="L194" s="22" t="n"/>
      <c r="M194" s="19" t="n"/>
    </row>
    <row r="195" ht="15" customHeight="1" s="67">
      <c r="A195" s="31">
        <f>IF(B195="","",ROW()-5)</f>
        <v/>
      </c>
      <c r="B195" s="16" t="n"/>
      <c r="C195" s="44" t="n"/>
      <c r="D195" s="22" t="n"/>
      <c r="E195" s="22" t="n"/>
      <c r="F195" s="19" t="n"/>
      <c r="G195" s="19" t="n"/>
      <c r="H195" s="19" t="n"/>
      <c r="I195" s="19" t="n"/>
      <c r="J195" s="19" t="n"/>
      <c r="K195" s="16" t="n"/>
      <c r="L195" s="22" t="n"/>
      <c r="M195" s="19" t="n"/>
    </row>
    <row r="196" ht="15" customHeight="1" s="67">
      <c r="A196" s="31">
        <f>IF(B196="","",ROW()-5)</f>
        <v/>
      </c>
      <c r="B196" s="16" t="n"/>
      <c r="C196" s="44" t="n"/>
      <c r="D196" s="22" t="n"/>
      <c r="E196" s="22" t="n"/>
      <c r="F196" s="19" t="n"/>
      <c r="G196" s="19" t="n"/>
      <c r="H196" s="19" t="n"/>
      <c r="I196" s="19" t="n"/>
      <c r="J196" s="19" t="n"/>
      <c r="K196" s="16" t="n"/>
      <c r="L196" s="22" t="n"/>
      <c r="M196" s="19" t="n"/>
    </row>
    <row r="197" ht="15" customHeight="1" s="67">
      <c r="A197" s="31">
        <f>IF(B197="","",ROW()-5)</f>
        <v/>
      </c>
      <c r="B197" s="16" t="n"/>
      <c r="C197" s="44" t="n"/>
      <c r="D197" s="22" t="n"/>
      <c r="E197" s="22" t="n"/>
      <c r="F197" s="19" t="n"/>
      <c r="G197" s="19" t="n"/>
      <c r="H197" s="19" t="n"/>
      <c r="I197" s="19" t="n"/>
      <c r="J197" s="19" t="n"/>
      <c r="K197" s="16" t="n"/>
      <c r="L197" s="22" t="n"/>
      <c r="M197" s="19" t="n"/>
    </row>
    <row r="198" ht="15" customHeight="1" s="67">
      <c r="A198" s="31">
        <f>IF(B198="","",ROW()-5)</f>
        <v/>
      </c>
      <c r="B198" s="16" t="n"/>
      <c r="C198" s="44" t="n"/>
      <c r="D198" s="22" t="n"/>
      <c r="E198" s="22" t="n"/>
      <c r="F198" s="19" t="n"/>
      <c r="G198" s="19" t="n"/>
      <c r="H198" s="19" t="n"/>
      <c r="I198" s="19" t="n"/>
      <c r="J198" s="19" t="n"/>
      <c r="K198" s="16" t="n"/>
      <c r="L198" s="22" t="n"/>
      <c r="M198" s="19" t="n"/>
    </row>
    <row r="199" ht="15" customHeight="1" s="67">
      <c r="A199" s="31">
        <f>IF(B199="","",ROW()-5)</f>
        <v/>
      </c>
      <c r="B199" s="16" t="n"/>
      <c r="C199" s="44" t="n"/>
      <c r="D199" s="22" t="n"/>
      <c r="E199" s="22" t="n"/>
      <c r="F199" s="19" t="n"/>
      <c r="G199" s="19" t="n"/>
      <c r="H199" s="19" t="n"/>
      <c r="I199" s="19" t="n"/>
      <c r="J199" s="19" t="n"/>
      <c r="K199" s="16" t="n"/>
      <c r="L199" s="22" t="n"/>
      <c r="M199" s="19" t="n"/>
    </row>
    <row r="200" ht="15" customHeight="1" s="67">
      <c r="A200" s="31">
        <f>IF(B200="","",ROW()-5)</f>
        <v/>
      </c>
      <c r="B200" s="16" t="n"/>
      <c r="C200" s="44" t="n"/>
      <c r="D200" s="22" t="n"/>
      <c r="E200" s="22" t="n"/>
      <c r="F200" s="19" t="n"/>
      <c r="G200" s="19" t="n"/>
      <c r="H200" s="19" t="n"/>
      <c r="I200" s="19" t="n"/>
      <c r="J200" s="19" t="n"/>
      <c r="K200" s="16" t="n"/>
      <c r="L200" s="22" t="n"/>
      <c r="M200" s="19" t="n"/>
    </row>
    <row r="201" ht="15" customHeight="1" s="67">
      <c r="A201" s="31">
        <f>IF(B201="","",ROW()-5)</f>
        <v/>
      </c>
      <c r="B201" s="16" t="n"/>
      <c r="C201" s="44" t="n"/>
      <c r="D201" s="22" t="n"/>
      <c r="E201" s="22" t="n"/>
      <c r="F201" s="19" t="n"/>
      <c r="G201" s="19" t="n"/>
      <c r="H201" s="19" t="n"/>
      <c r="I201" s="19" t="n"/>
      <c r="J201" s="19" t="n"/>
      <c r="K201" s="16" t="n"/>
      <c r="L201" s="22" t="n"/>
      <c r="M201" s="19" t="n"/>
    </row>
    <row r="202" ht="15" customHeight="1" s="67">
      <c r="A202" s="31">
        <f>IF(B202="","",ROW()-5)</f>
        <v/>
      </c>
      <c r="B202" s="16" t="n"/>
      <c r="C202" s="44" t="n"/>
      <c r="D202" s="22" t="n"/>
      <c r="E202" s="22" t="n"/>
      <c r="F202" s="19" t="n"/>
      <c r="G202" s="19" t="n"/>
      <c r="H202" s="19" t="n"/>
      <c r="I202" s="19" t="n"/>
      <c r="J202" s="19" t="n"/>
      <c r="K202" s="16" t="n"/>
      <c r="L202" s="22" t="n"/>
      <c r="M202" s="19" t="n"/>
    </row>
    <row r="203" ht="15" customHeight="1" s="67">
      <c r="A203" s="31">
        <f>IF(B203="","",ROW()-5)</f>
        <v/>
      </c>
      <c r="B203" s="16" t="n"/>
      <c r="C203" s="44" t="n"/>
      <c r="D203" s="22" t="n"/>
      <c r="E203" s="22" t="n"/>
      <c r="F203" s="19" t="n"/>
      <c r="G203" s="19" t="n"/>
      <c r="H203" s="19" t="n"/>
      <c r="I203" s="19" t="n"/>
      <c r="J203" s="19" t="n"/>
      <c r="K203" s="16" t="n"/>
      <c r="L203" s="22" t="n"/>
      <c r="M203" s="19" t="n"/>
    </row>
    <row r="204" ht="15" customHeight="1" s="67">
      <c r="A204" s="31">
        <f>IF(B204="","",ROW()-5)</f>
        <v/>
      </c>
      <c r="B204" s="16" t="n"/>
      <c r="C204" s="44" t="n"/>
      <c r="D204" s="22" t="n"/>
      <c r="E204" s="22" t="n"/>
      <c r="F204" s="19" t="n"/>
      <c r="G204" s="19" t="n"/>
      <c r="H204" s="19" t="n"/>
      <c r="I204" s="19" t="n"/>
      <c r="J204" s="19" t="n"/>
      <c r="K204" s="16" t="n"/>
      <c r="L204" s="22" t="n"/>
      <c r="M204" s="19" t="n"/>
    </row>
    <row r="205" ht="15" customHeight="1" s="67">
      <c r="A205" s="31">
        <f>IF(B205="","",ROW()-5)</f>
        <v/>
      </c>
      <c r="B205" s="16" t="n"/>
      <c r="C205" s="44" t="n"/>
      <c r="D205" s="22" t="n"/>
      <c r="E205" s="22" t="n"/>
      <c r="F205" s="19" t="n"/>
      <c r="G205" s="19" t="n"/>
      <c r="H205" s="19" t="n"/>
      <c r="I205" s="19" t="n"/>
      <c r="J205" s="19" t="n"/>
      <c r="K205" s="16" t="n"/>
      <c r="L205" s="22" t="n"/>
      <c r="M205" s="19" t="n"/>
    </row>
    <row r="206" ht="15.75" customHeight="1" s="6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 ht="15.75" customHeight="1" s="6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 ht="15.75" customHeight="1" s="6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 ht="15.75" customHeight="1" s="6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 ht="15.75" customHeight="1" s="6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 ht="15.75" customHeight="1" s="6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 ht="15.75" customHeight="1" s="6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 ht="15.75" customHeight="1" s="6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 ht="15.75" customHeight="1" s="6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 ht="15.75" customHeight="1" s="6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 ht="15.75" customHeight="1" s="6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 ht="15.75" customHeight="1" s="6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 ht="15.75" customHeight="1" s="6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 ht="15.75" customHeight="1" s="6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 ht="15.75" customHeight="1" s="6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 ht="15.75" customHeight="1" s="6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 ht="15.75" customHeight="1" s="6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 ht="15.75" customHeight="1" s="6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 ht="15.75" customHeight="1" s="6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 ht="15.75" customHeight="1" s="6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 ht="15.75" customHeight="1" s="6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 ht="15.75" customHeight="1" s="6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 ht="15.75" customHeight="1" s="6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 ht="15.75" customHeight="1" s="6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 ht="15.75" customHeight="1" s="6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 ht="15.75" customHeight="1" s="6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 ht="15.75" customHeight="1" s="6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 ht="15.75" customHeight="1" s="6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 ht="15.75" customHeight="1" s="6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 ht="15.75" customHeight="1" s="6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 ht="15.75" customHeight="1" s="6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 ht="15.75" customHeight="1" s="6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 ht="15.75" customHeight="1" s="6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 ht="15.75" customHeight="1" s="6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 ht="15.75" customHeight="1" s="6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 ht="15.75" customHeight="1" s="6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 ht="15.75" customHeight="1" s="6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 ht="15.75" customHeight="1" s="6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 ht="15.75" customHeight="1" s="6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 ht="15.75" customHeight="1" s="6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 ht="15.75" customHeight="1" s="6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 ht="15.75" customHeight="1" s="6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 ht="15.75" customHeight="1" s="6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 ht="15.75" customHeight="1" s="6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 ht="15.75" customHeight="1" s="6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 ht="15.75" customHeight="1" s="6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 ht="15.75" customHeight="1" s="6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 ht="15.75" customHeight="1" s="6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 ht="15.75" customHeight="1" s="6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 ht="15.75" customHeight="1" s="6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 ht="15.75" customHeight="1" s="6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 ht="15.75" customHeight="1" s="6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 ht="15.75" customHeight="1" s="6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 ht="15.75" customHeight="1" s="6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 ht="15.75" customHeight="1" s="6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 ht="15.75" customHeight="1" s="6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 ht="15.75" customHeight="1" s="6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 ht="15.75" customHeight="1" s="6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 ht="15.75" customHeight="1" s="6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 ht="15.75" customHeight="1" s="6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 ht="15.75" customHeight="1" s="6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 ht="15.75" customHeight="1" s="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 ht="15.75" customHeight="1" s="6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 ht="15.75" customHeight="1" s="6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 ht="15.75" customHeight="1" s="6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 ht="15.75" customHeight="1" s="6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 ht="15.75" customHeight="1" s="6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 ht="15.75" customHeight="1" s="6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 ht="15.75" customHeight="1" s="6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 ht="15.75" customHeight="1" s="6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 ht="15.75" customHeight="1" s="6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 ht="15.75" customHeight="1" s="6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 ht="15.75" customHeight="1" s="6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 ht="15.75" customHeight="1" s="6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 ht="15.75" customHeight="1" s="6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 ht="15.75" customHeight="1" s="6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 ht="15.75" customHeight="1" s="6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 ht="15.75" customHeight="1" s="6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 ht="15.75" customHeight="1" s="6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 ht="15.75" customHeight="1" s="6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 ht="15.75" customHeight="1" s="6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 ht="15.75" customHeight="1" s="6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 ht="15.75" customHeight="1" s="6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 ht="15.75" customHeight="1" s="6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 ht="15.75" customHeight="1" s="6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 ht="15.75" customHeight="1" s="6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 ht="15.75" customHeight="1" s="6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 ht="15.75" customHeight="1" s="6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 ht="15.75" customHeight="1" s="6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 ht="15.75" customHeight="1" s="6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 ht="15.75" customHeight="1" s="6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 ht="15.75" customHeight="1" s="6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 ht="15.75" customHeight="1" s="6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 ht="15.75" customHeight="1" s="6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 ht="15.75" customHeight="1" s="6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 ht="15.75" customHeight="1" s="6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 ht="15.75" customHeight="1" s="6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 ht="15.75" customHeight="1" s="6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 ht="15.75" customHeight="1" s="6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 ht="15.75" customHeight="1" s="6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 ht="15.75" customHeight="1" s="6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 ht="15.75" customHeight="1" s="6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 ht="15.75" customHeight="1" s="6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 ht="15.75" customHeight="1" s="6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 ht="15.75" customHeight="1" s="6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 ht="15.75" customHeight="1" s="6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 ht="15.75" customHeight="1" s="6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 ht="15.75" customHeight="1" s="6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 ht="15.75" customHeight="1" s="6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 ht="15.75" customHeight="1" s="6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 ht="15.75" customHeight="1" s="6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 ht="15.75" customHeight="1" s="6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 ht="15.75" customHeight="1" s="6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 ht="15.75" customHeight="1" s="6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 ht="15.75" customHeight="1" s="6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 ht="15.75" customHeight="1" s="6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 ht="15.75" customHeight="1" s="6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 ht="15.75" customHeight="1" s="6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 ht="15.75" customHeight="1" s="6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 ht="15.75" customHeight="1" s="6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 ht="15.75" customHeight="1" s="6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 ht="15.75" customHeight="1" s="6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 ht="15.75" customHeight="1" s="6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 ht="15.75" customHeight="1" s="6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 ht="15.75" customHeight="1" s="6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 ht="15.75" customHeight="1" s="6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 ht="15.75" customHeight="1" s="6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 ht="15.75" customHeight="1" s="6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 ht="15.75" customHeight="1" s="6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 ht="15.75" customHeight="1" s="6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 ht="15.75" customHeight="1" s="6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 ht="15.75" customHeight="1" s="6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 ht="15.75" customHeight="1" s="6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 ht="15.75" customHeight="1" s="6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 ht="15.75" customHeight="1" s="6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 ht="15.75" customHeight="1" s="6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 ht="15.75" customHeight="1" s="6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 ht="15.75" customHeight="1" s="6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 ht="15.75" customHeight="1" s="6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 ht="15.75" customHeight="1" s="6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 ht="15.75" customHeight="1" s="6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 ht="15.75" customHeight="1" s="6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 ht="15.75" customHeight="1" s="6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 ht="15.75" customHeight="1" s="6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 ht="15.75" customHeight="1" s="6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 ht="15.75" customHeight="1" s="6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 ht="15.75" customHeight="1" s="6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 ht="15.75" customHeight="1" s="6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 ht="15.75" customHeight="1" s="6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 ht="15.75" customHeight="1" s="6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 ht="15.75" customHeight="1" s="6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 ht="15.75" customHeight="1" s="6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 ht="15.75" customHeight="1" s="6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 ht="15.75" customHeight="1" s="6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 ht="15.75" customHeight="1" s="6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 ht="15.75" customHeight="1" s="6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 ht="15.75" customHeight="1" s="6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 ht="15.75" customHeight="1" s="6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 ht="15.75" customHeight="1" s="6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 ht="15.75" customHeight="1" s="6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 ht="15.75" customHeight="1" s="6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 ht="15.75" customHeight="1" s="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 ht="15.75" customHeight="1" s="6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 ht="15.75" customHeight="1" s="6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 ht="15.75" customHeight="1" s="6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 ht="15.75" customHeight="1" s="6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 ht="15.75" customHeight="1" s="6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 ht="15.75" customHeight="1" s="6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 ht="15.75" customHeight="1" s="6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 ht="15.75" customHeight="1" s="6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 ht="15.75" customHeight="1" s="6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 ht="15.75" customHeight="1" s="6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 ht="15.75" customHeight="1" s="6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 ht="15.75" customHeight="1" s="6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 ht="15.75" customHeight="1" s="6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 ht="15.75" customHeight="1" s="6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 ht="15.75" customHeight="1" s="6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 ht="15.75" customHeight="1" s="6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 ht="15.75" customHeight="1" s="6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 ht="15.75" customHeight="1" s="6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 ht="15.75" customHeight="1" s="6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 ht="15.75" customHeight="1" s="6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 ht="15.75" customHeight="1" s="6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 ht="15.75" customHeight="1" s="6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 ht="15.75" customHeight="1" s="6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 ht="15.75" customHeight="1" s="6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 ht="15.75" customHeight="1" s="6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 ht="15.75" customHeight="1" s="6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 ht="15.75" customHeight="1" s="6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 ht="15.75" customHeight="1" s="6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 ht="15.75" customHeight="1" s="6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 ht="15.75" customHeight="1" s="6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 ht="15.75" customHeight="1" s="6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 ht="15.75" customHeight="1" s="6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 ht="15.75" customHeight="1" s="6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 ht="15.75" customHeight="1" s="6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 ht="15.75" customHeight="1" s="6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 ht="15.75" customHeight="1" s="6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 ht="15.75" customHeight="1" s="6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 ht="15.75" customHeight="1" s="6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 ht="15.75" customHeight="1" s="6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 ht="15.75" customHeight="1" s="6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 ht="15.75" customHeight="1" s="6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 ht="15.75" customHeight="1" s="6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 ht="15.75" customHeight="1" s="6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 ht="15.75" customHeight="1" s="6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 ht="15.75" customHeight="1" s="6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 ht="15.75" customHeight="1" s="6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 ht="15.75" customHeight="1" s="6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 ht="15.75" customHeight="1" s="6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 ht="15.75" customHeight="1" s="6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 ht="15.75" customHeight="1" s="6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 ht="15.75" customHeight="1" s="6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 ht="15.75" customHeight="1" s="6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 ht="15.75" customHeight="1" s="6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 ht="15.75" customHeight="1" s="6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 ht="15.75" customHeight="1" s="6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 ht="15.75" customHeight="1" s="6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 ht="15.75" customHeight="1" s="6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 ht="15.75" customHeight="1" s="6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 ht="15.75" customHeight="1" s="6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 ht="15.75" customHeight="1" s="6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 ht="15.75" customHeight="1" s="6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 ht="15.75" customHeight="1" s="6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 ht="15.75" customHeight="1" s="6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 ht="15.75" customHeight="1" s="6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 ht="15.75" customHeight="1" s="6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 ht="15.75" customHeight="1" s="6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 ht="15.75" customHeight="1" s="6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 ht="15.75" customHeight="1" s="6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 ht="15.75" customHeight="1" s="6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 ht="15.75" customHeight="1" s="6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 ht="15.75" customHeight="1" s="6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 ht="15.75" customHeight="1" s="6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 ht="15.75" customHeight="1" s="6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 ht="15.75" customHeight="1" s="6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 ht="15.75" customHeight="1" s="6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 ht="15.75" customHeight="1" s="6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 ht="15.75" customHeight="1" s="6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 ht="15.75" customHeight="1" s="6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 ht="15.75" customHeight="1" s="6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 ht="15.75" customHeight="1" s="6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 ht="15.75" customHeight="1" s="6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 ht="15.75" customHeight="1" s="6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 ht="15.75" customHeight="1" s="6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 ht="15.75" customHeight="1" s="6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 ht="15.75" customHeight="1" s="6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 ht="15.75" customHeight="1" s="6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 ht="15.75" customHeight="1" s="6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 ht="15.75" customHeight="1" s="6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 ht="15.75" customHeight="1" s="6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 ht="15.75" customHeight="1" s="6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 ht="15.75" customHeight="1" s="6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 ht="15.75" customHeight="1" s="6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 ht="15.75" customHeight="1" s="6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 ht="15.75" customHeight="1" s="6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 ht="15.75" customHeight="1" s="6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 ht="15.75" customHeight="1" s="6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 ht="15.75" customHeight="1" s="6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 ht="15.75" customHeight="1" s="6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 ht="15.75" customHeight="1" s="6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 ht="15.75" customHeight="1" s="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 ht="15.75" customHeight="1" s="6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 ht="15.75" customHeight="1" s="6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 ht="15.75" customHeight="1" s="6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 ht="15.75" customHeight="1" s="6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 ht="15.75" customHeight="1" s="6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 ht="15.75" customHeight="1" s="6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 ht="15.75" customHeight="1" s="6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 ht="15.75" customHeight="1" s="6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 ht="15.75" customHeight="1" s="6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 ht="15.75" customHeight="1" s="6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 ht="15.75" customHeight="1" s="6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 ht="15.75" customHeight="1" s="6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 ht="15.75" customHeight="1" s="6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 ht="15.75" customHeight="1" s="6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 ht="15.75" customHeight="1" s="6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 ht="15.75" customHeight="1" s="6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 ht="15.75" customHeight="1" s="6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 ht="15.75" customHeight="1" s="6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 ht="15.75" customHeight="1" s="6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 ht="15.75" customHeight="1" s="6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 ht="15.75" customHeight="1" s="6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 ht="15.75" customHeight="1" s="6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 ht="15.75" customHeight="1" s="6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 ht="15.75" customHeight="1" s="6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 ht="15.75" customHeight="1" s="6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 ht="15.75" customHeight="1" s="6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 ht="15.75" customHeight="1" s="6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 ht="15.75" customHeight="1" s="6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 ht="15.75" customHeight="1" s="6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 ht="15.75" customHeight="1" s="6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 ht="15.75" customHeight="1" s="6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 ht="15.75" customHeight="1" s="6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 ht="15.75" customHeight="1" s="6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 ht="15.75" customHeight="1" s="6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 ht="15.75" customHeight="1" s="6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 ht="15.75" customHeight="1" s="6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 ht="15.75" customHeight="1" s="6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 ht="15.75" customHeight="1" s="6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 ht="15.75" customHeight="1" s="6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 ht="15.75" customHeight="1" s="6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 ht="15.75" customHeight="1" s="6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 ht="15.75" customHeight="1" s="6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 ht="15.75" customHeight="1" s="6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 ht="15.75" customHeight="1" s="6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 ht="15.75" customHeight="1" s="6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 ht="15.75" customHeight="1" s="6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 ht="15.75" customHeight="1" s="6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 ht="15.75" customHeight="1" s="6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 ht="15.75" customHeight="1" s="6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 ht="15.75" customHeight="1" s="6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 ht="15.75" customHeight="1" s="6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 ht="15.75" customHeight="1" s="6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 ht="15.75" customHeight="1" s="6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 ht="15.75" customHeight="1" s="6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 ht="15.75" customHeight="1" s="6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 ht="15.75" customHeight="1" s="6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 ht="15.75" customHeight="1" s="6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 ht="15.75" customHeight="1" s="6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 ht="15.75" customHeight="1" s="6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 ht="15.75" customHeight="1" s="6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 ht="15.75" customHeight="1" s="6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 ht="15.75" customHeight="1" s="6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 ht="15.75" customHeight="1" s="6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 ht="15.75" customHeight="1" s="6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 ht="15.75" customHeight="1" s="6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 ht="15.75" customHeight="1" s="6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 ht="15.75" customHeight="1" s="6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 ht="15.75" customHeight="1" s="6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 ht="15.75" customHeight="1" s="6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 ht="15.75" customHeight="1" s="6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 ht="15.75" customHeight="1" s="6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 ht="15.75" customHeight="1" s="6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 ht="15.75" customHeight="1" s="6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 ht="15.75" customHeight="1" s="6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 ht="15.75" customHeight="1" s="6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 ht="15.75" customHeight="1" s="6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 ht="15.75" customHeight="1" s="6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 ht="15.75" customHeight="1" s="6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 ht="15.75" customHeight="1" s="6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 ht="15.75" customHeight="1" s="6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 ht="15.75" customHeight="1" s="6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 ht="15.75" customHeight="1" s="6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 ht="15.75" customHeight="1" s="6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 ht="15.75" customHeight="1" s="6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 ht="15.75" customHeight="1" s="6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 ht="15.75" customHeight="1" s="6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 ht="15.75" customHeight="1" s="6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 ht="15.75" customHeight="1" s="6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 ht="15.75" customHeight="1" s="6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 ht="15.75" customHeight="1" s="6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 ht="15.75" customHeight="1" s="6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 ht="15.75" customHeight="1" s="6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 ht="15.75" customHeight="1" s="6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 ht="15.75" customHeight="1" s="6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 ht="15.75" customHeight="1" s="6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 ht="15.75" customHeight="1" s="6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 ht="15.75" customHeight="1" s="6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 ht="15.75" customHeight="1" s="6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 ht="15.75" customHeight="1" s="6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 ht="15.75" customHeight="1" s="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 ht="15.75" customHeight="1" s="6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 ht="15.75" customHeight="1" s="6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 ht="15.75" customHeight="1" s="6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 ht="15.75" customHeight="1" s="6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 ht="15.75" customHeight="1" s="6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 ht="15.75" customHeight="1" s="6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 ht="15.75" customHeight="1" s="6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 ht="15.75" customHeight="1" s="6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 ht="15.75" customHeight="1" s="6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 ht="15.75" customHeight="1" s="6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 ht="15.75" customHeight="1" s="6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 ht="15.75" customHeight="1" s="6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 ht="15.75" customHeight="1" s="6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 ht="15.75" customHeight="1" s="6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 ht="15.75" customHeight="1" s="6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 ht="15.75" customHeight="1" s="6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 ht="15.75" customHeight="1" s="6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 ht="15.75" customHeight="1" s="6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 ht="15.75" customHeight="1" s="6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 ht="15.75" customHeight="1" s="6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 ht="15.75" customHeight="1" s="6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 ht="15.75" customHeight="1" s="6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 ht="15.75" customHeight="1" s="6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 ht="15.75" customHeight="1" s="6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 ht="15.75" customHeight="1" s="6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 ht="15.75" customHeight="1" s="6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 ht="15.75" customHeight="1" s="6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 ht="15.75" customHeight="1" s="6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 ht="15.75" customHeight="1" s="6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 ht="15.75" customHeight="1" s="6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 ht="15.75" customHeight="1" s="6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 ht="15.75" customHeight="1" s="6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 ht="15.75" customHeight="1" s="6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 ht="15.75" customHeight="1" s="6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 ht="15.75" customHeight="1" s="6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 ht="15.75" customHeight="1" s="6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 ht="15.75" customHeight="1" s="6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 ht="15.75" customHeight="1" s="6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 ht="15.75" customHeight="1" s="6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 ht="15.75" customHeight="1" s="6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 ht="15.75" customHeight="1" s="6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 ht="15.75" customHeight="1" s="6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 ht="15.75" customHeight="1" s="6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 ht="15.75" customHeight="1" s="6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 ht="15.75" customHeight="1" s="6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 ht="15.75" customHeight="1" s="6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 ht="15.75" customHeight="1" s="6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 ht="15.75" customHeight="1" s="6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 ht="15.75" customHeight="1" s="6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 ht="15.75" customHeight="1" s="6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 ht="15.75" customHeight="1" s="6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 ht="15.75" customHeight="1" s="6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 ht="15.75" customHeight="1" s="6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 ht="15.75" customHeight="1" s="6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 ht="15.75" customHeight="1" s="6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 ht="15.75" customHeight="1" s="6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 ht="15.75" customHeight="1" s="6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 ht="15.75" customHeight="1" s="6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 ht="15.75" customHeight="1" s="6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 ht="15.75" customHeight="1" s="6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 ht="15.75" customHeight="1" s="6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 ht="15.75" customHeight="1" s="6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 ht="15.75" customHeight="1" s="6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 ht="15.75" customHeight="1" s="6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 ht="15.75" customHeight="1" s="6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 ht="15.75" customHeight="1" s="6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 ht="15.75" customHeight="1" s="6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 ht="15.75" customHeight="1" s="6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 ht="15.75" customHeight="1" s="6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 ht="15.75" customHeight="1" s="6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 ht="15.75" customHeight="1" s="6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 ht="15.75" customHeight="1" s="6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 ht="15.75" customHeight="1" s="6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 ht="15.75" customHeight="1" s="6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 ht="15.75" customHeight="1" s="6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 ht="15.75" customHeight="1" s="6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 ht="15.75" customHeight="1" s="6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 ht="15.75" customHeight="1" s="6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 ht="15.75" customHeight="1" s="6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 ht="15.75" customHeight="1" s="6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 ht="15.75" customHeight="1" s="6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 ht="15.75" customHeight="1" s="6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 ht="15.75" customHeight="1" s="6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 ht="15.75" customHeight="1" s="6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 ht="15.75" customHeight="1" s="6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 ht="15.75" customHeight="1" s="6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 ht="15.75" customHeight="1" s="6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 ht="15.75" customHeight="1" s="6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 ht="15.75" customHeight="1" s="6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 ht="15.75" customHeight="1" s="6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 ht="15.75" customHeight="1" s="6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 ht="15.75" customHeight="1" s="6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 ht="15.75" customHeight="1" s="6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 ht="15.75" customHeight="1" s="6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 ht="15.75" customHeight="1" s="6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 ht="15.75" customHeight="1" s="6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 ht="15.75" customHeight="1" s="6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 ht="15.75" customHeight="1" s="6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 ht="15.75" customHeight="1" s="6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 ht="15.75" customHeight="1" s="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 ht="15.75" customHeight="1" s="6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 ht="15.75" customHeight="1" s="6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 ht="15.75" customHeight="1" s="6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 ht="15.75" customHeight="1" s="6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 ht="15.75" customHeight="1" s="6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 ht="15.75" customHeight="1" s="6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 ht="15.75" customHeight="1" s="6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 ht="15.75" customHeight="1" s="6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 ht="15.75" customHeight="1" s="6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 ht="15.75" customHeight="1" s="6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 ht="15.75" customHeight="1" s="6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 ht="15.75" customHeight="1" s="6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 ht="15.75" customHeight="1" s="6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 ht="15.75" customHeight="1" s="6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 ht="15.75" customHeight="1" s="6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 ht="15.75" customHeight="1" s="6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 ht="15.75" customHeight="1" s="6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 ht="15.75" customHeight="1" s="6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 ht="15.75" customHeight="1" s="6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 ht="15.75" customHeight="1" s="6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 ht="15.75" customHeight="1" s="6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 ht="15.75" customHeight="1" s="6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 ht="15.75" customHeight="1" s="6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 ht="15.75" customHeight="1" s="6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 ht="15.75" customHeight="1" s="6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 ht="15.75" customHeight="1" s="6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 ht="15.75" customHeight="1" s="6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 ht="15.75" customHeight="1" s="6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 ht="15.75" customHeight="1" s="6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 ht="15.75" customHeight="1" s="6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 ht="15.75" customHeight="1" s="6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 ht="15.75" customHeight="1" s="6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 ht="15.75" customHeight="1" s="6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 ht="15.75" customHeight="1" s="6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 ht="15.75" customHeight="1" s="6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 ht="15.75" customHeight="1" s="6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 ht="15.75" customHeight="1" s="6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 ht="15.75" customHeight="1" s="6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 ht="15.75" customHeight="1" s="6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 ht="15.75" customHeight="1" s="6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 ht="15.75" customHeight="1" s="6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 ht="15.75" customHeight="1" s="6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 ht="15.75" customHeight="1" s="6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 ht="15.75" customHeight="1" s="6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 ht="15.75" customHeight="1" s="6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 ht="15.75" customHeight="1" s="6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 ht="15.75" customHeight="1" s="6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 ht="15.75" customHeight="1" s="6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 ht="15.75" customHeight="1" s="6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 ht="15.75" customHeight="1" s="6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 ht="15.75" customHeight="1" s="6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 ht="15.75" customHeight="1" s="6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 ht="15.75" customHeight="1" s="6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 ht="15.75" customHeight="1" s="6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 ht="15.75" customHeight="1" s="6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 ht="15.75" customHeight="1" s="6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 ht="15.75" customHeight="1" s="6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 ht="15.75" customHeight="1" s="6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 ht="15.75" customHeight="1" s="6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 ht="15.75" customHeight="1" s="6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 ht="15.75" customHeight="1" s="6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 ht="15.75" customHeight="1" s="6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 ht="15.75" customHeight="1" s="6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 ht="15.75" customHeight="1" s="6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 ht="15.75" customHeight="1" s="6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 ht="15.75" customHeight="1" s="6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 ht="15.75" customHeight="1" s="6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 ht="15.75" customHeight="1" s="6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 ht="15.75" customHeight="1" s="6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 ht="15.75" customHeight="1" s="6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 ht="15.75" customHeight="1" s="6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 ht="15.75" customHeight="1" s="6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 ht="15.75" customHeight="1" s="6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 ht="15.75" customHeight="1" s="6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 ht="15.75" customHeight="1" s="6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 ht="15.75" customHeight="1" s="6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 ht="15.75" customHeight="1" s="6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 ht="15.75" customHeight="1" s="6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 ht="15.75" customHeight="1" s="6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 ht="15.75" customHeight="1" s="6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 ht="15.75" customHeight="1" s="6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 ht="15.75" customHeight="1" s="6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 ht="15.75" customHeight="1" s="6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 ht="15.75" customHeight="1" s="6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 ht="15.75" customHeight="1" s="6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 ht="15.75" customHeight="1" s="6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 ht="15.75" customHeight="1" s="6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 ht="15.75" customHeight="1" s="6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 ht="15.75" customHeight="1" s="6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 ht="15.75" customHeight="1" s="6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 ht="15.75" customHeight="1" s="6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 ht="15.75" customHeight="1" s="6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 ht="15.75" customHeight="1" s="6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 ht="15.75" customHeight="1" s="6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 ht="15.75" customHeight="1" s="6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 ht="15.75" customHeight="1" s="6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 ht="15.75" customHeight="1" s="6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 ht="15.75" customHeight="1" s="6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 ht="15.75" customHeight="1" s="6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 ht="15.75" customHeight="1" s="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 ht="15.75" customHeight="1" s="6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 ht="15.75" customHeight="1" s="6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 ht="15.75" customHeight="1" s="6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 ht="15.75" customHeight="1" s="6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 ht="15.75" customHeight="1" s="6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 ht="15.75" customHeight="1" s="6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 ht="15.75" customHeight="1" s="6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 ht="15.75" customHeight="1" s="6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 ht="15.75" customHeight="1" s="6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 ht="15.75" customHeight="1" s="6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 ht="15.75" customHeight="1" s="6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 ht="15.75" customHeight="1" s="6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 ht="15.75" customHeight="1" s="6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 ht="15.75" customHeight="1" s="6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 ht="15.75" customHeight="1" s="6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 ht="15.75" customHeight="1" s="6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 ht="15.75" customHeight="1" s="6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 ht="15.75" customHeight="1" s="6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 ht="15.75" customHeight="1" s="6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 ht="15.75" customHeight="1" s="6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 ht="15.75" customHeight="1" s="6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 ht="15.75" customHeight="1" s="6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 ht="15.75" customHeight="1" s="6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 ht="15.75" customHeight="1" s="6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 ht="15.75" customHeight="1" s="6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 ht="15.75" customHeight="1" s="6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 ht="15.75" customHeight="1" s="6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 ht="15.75" customHeight="1" s="6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 ht="15.75" customHeight="1" s="6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 ht="15.75" customHeight="1" s="6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 ht="15.75" customHeight="1" s="6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 ht="15.75" customHeight="1" s="6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 ht="15.75" customHeight="1" s="6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 ht="15.75" customHeight="1" s="6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 ht="15.75" customHeight="1" s="6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 ht="15.75" customHeight="1" s="6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 ht="15.75" customHeight="1" s="6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 ht="15.75" customHeight="1" s="6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 ht="15.75" customHeight="1" s="6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 ht="15.75" customHeight="1" s="6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 ht="15.75" customHeight="1" s="6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 ht="15.75" customHeight="1" s="6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 ht="15.75" customHeight="1" s="6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 ht="15.75" customHeight="1" s="6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 ht="15.75" customHeight="1" s="6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 ht="15.75" customHeight="1" s="6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 ht="15.75" customHeight="1" s="6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 ht="15.75" customHeight="1" s="6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 ht="15.75" customHeight="1" s="6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 ht="15.75" customHeight="1" s="6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 ht="15.75" customHeight="1" s="6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 ht="15.75" customHeight="1" s="6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 ht="15.75" customHeight="1" s="6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 ht="15.75" customHeight="1" s="6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 ht="15.75" customHeight="1" s="6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 ht="15.75" customHeight="1" s="6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 ht="15.75" customHeight="1" s="6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 ht="15.75" customHeight="1" s="6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 ht="15.75" customHeight="1" s="6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 ht="15.75" customHeight="1" s="6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 ht="15.75" customHeight="1" s="6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 ht="15.75" customHeight="1" s="6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 ht="15.75" customHeight="1" s="6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 ht="15.75" customHeight="1" s="6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 ht="15.75" customHeight="1" s="6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 ht="15.75" customHeight="1" s="6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 ht="15.75" customHeight="1" s="6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 ht="15.75" customHeight="1" s="6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 ht="15.75" customHeight="1" s="6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 ht="15.75" customHeight="1" s="6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 ht="15.75" customHeight="1" s="6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 ht="15.75" customHeight="1" s="6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 ht="15.75" customHeight="1" s="6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 ht="15.75" customHeight="1" s="6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 ht="15.75" customHeight="1" s="6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 ht="15.75" customHeight="1" s="6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 ht="15.75" customHeight="1" s="6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 ht="15.75" customHeight="1" s="6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 ht="15.75" customHeight="1" s="6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 ht="15.75" customHeight="1" s="6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 ht="15.75" customHeight="1" s="6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 ht="15.75" customHeight="1" s="6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 ht="15.75" customHeight="1" s="6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 ht="15.75" customHeight="1" s="6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 ht="15.75" customHeight="1" s="6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 ht="15.75" customHeight="1" s="6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 ht="15.75" customHeight="1" s="6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 ht="15.75" customHeight="1" s="6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 ht="15.75" customHeight="1" s="6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 ht="15.75" customHeight="1" s="6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 ht="15.75" customHeight="1" s="6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 ht="15.75" customHeight="1" s="6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 ht="15.75" customHeight="1" s="6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 ht="15.75" customHeight="1" s="6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 ht="15.75" customHeight="1" s="6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 ht="15.75" customHeight="1" s="6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 ht="15.75" customHeight="1" s="6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 ht="15.75" customHeight="1" s="6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 ht="15.75" customHeight="1" s="6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 ht="15.75" customHeight="1" s="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 ht="15.75" customHeight="1" s="6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 ht="15.75" customHeight="1" s="6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 ht="15.75" customHeight="1" s="6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 ht="15.75" customHeight="1" s="6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 ht="15.75" customHeight="1" s="6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 ht="15.75" customHeight="1" s="6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 ht="15.75" customHeight="1" s="6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 ht="15.75" customHeight="1" s="6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 ht="15.75" customHeight="1" s="6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 ht="15.75" customHeight="1" s="6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 ht="15.75" customHeight="1" s="6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 ht="15.75" customHeight="1" s="6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 ht="15.75" customHeight="1" s="6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 ht="15.75" customHeight="1" s="6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 ht="15.75" customHeight="1" s="6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 ht="15.75" customHeight="1" s="6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 ht="15.75" customHeight="1" s="6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 ht="15.75" customHeight="1" s="6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 ht="15.75" customHeight="1" s="6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 ht="15.75" customHeight="1" s="6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 ht="15.75" customHeight="1" s="6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 ht="15.75" customHeight="1" s="6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 ht="15.75" customHeight="1" s="6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 ht="15.75" customHeight="1" s="6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 ht="15.75" customHeight="1" s="6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 ht="15.75" customHeight="1" s="6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 ht="15.75" customHeight="1" s="6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 ht="15.75" customHeight="1" s="6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 ht="15.75" customHeight="1" s="6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 ht="15.75" customHeight="1" s="6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 ht="15.75" customHeight="1" s="6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 ht="15.75" customHeight="1" s="6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 ht="15.75" customHeight="1" s="6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 ht="15.75" customHeight="1" s="6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 ht="15.75" customHeight="1" s="6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 ht="15.75" customHeight="1" s="6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 ht="15.75" customHeight="1" s="6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 ht="15.75" customHeight="1" s="6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 ht="15.75" customHeight="1" s="6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 ht="15.75" customHeight="1" s="6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 ht="15.75" customHeight="1" s="6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 ht="15.75" customHeight="1" s="6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 ht="15.75" customHeight="1" s="6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 ht="15.75" customHeight="1" s="6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 ht="15.75" customHeight="1" s="6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 ht="15.75" customHeight="1" s="6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 ht="15.75" customHeight="1" s="6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 ht="15.75" customHeight="1" s="6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 ht="15.75" customHeight="1" s="6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 ht="15.75" customHeight="1" s="6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 ht="15.75" customHeight="1" s="6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 ht="15.75" customHeight="1" s="6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 ht="15.75" customHeight="1" s="6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 ht="15.75" customHeight="1" s="6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 ht="15.75" customHeight="1" s="6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 ht="15.75" customHeight="1" s="6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 ht="15.75" customHeight="1" s="6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 ht="15.75" customHeight="1" s="6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 ht="15.75" customHeight="1" s="6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 ht="15.75" customHeight="1" s="6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 ht="15.75" customHeight="1" s="6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 ht="15.75" customHeight="1" s="6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 ht="15.75" customHeight="1" s="6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 ht="15.75" customHeight="1" s="6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 ht="15.75" customHeight="1" s="6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 ht="15.75" customHeight="1" s="6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 ht="15.75" customHeight="1" s="6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 ht="15.75" customHeight="1" s="6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 ht="15.75" customHeight="1" s="6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 ht="15.75" customHeight="1" s="6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 ht="15.75" customHeight="1" s="6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 ht="15.75" customHeight="1" s="6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 ht="15.75" customHeight="1" s="6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 ht="15.75" customHeight="1" s="6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 ht="15.75" customHeight="1" s="6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 ht="15.75" customHeight="1" s="6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 ht="15.75" customHeight="1" s="6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 ht="15.75" customHeight="1" s="6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 ht="15.75" customHeight="1" s="6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 ht="15.75" customHeight="1" s="6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 ht="15.75" customHeight="1" s="6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 ht="15.75" customHeight="1" s="6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 ht="15.75" customHeight="1" s="6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 ht="15.75" customHeight="1" s="6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 ht="15.75" customHeight="1" s="6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 ht="15.75" customHeight="1" s="6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 ht="15.75" customHeight="1" s="6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 ht="15.75" customHeight="1" s="6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 ht="15.75" customHeight="1" s="6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 ht="15.75" customHeight="1" s="6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 ht="15.75" customHeight="1" s="6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 ht="15.75" customHeight="1" s="6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 ht="15.75" customHeight="1" s="6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 ht="15.75" customHeight="1" s="6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 ht="15.75" customHeight="1" s="6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 ht="15.75" customHeight="1" s="6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 ht="15.75" customHeight="1" s="6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 ht="15.75" customHeight="1" s="6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 ht="15.75" customHeight="1" s="6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 ht="15.75" customHeight="1" s="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 ht="15.75" customHeight="1" s="6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 ht="15.75" customHeight="1" s="6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 ht="15.75" customHeight="1" s="6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 ht="15.75" customHeight="1" s="6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 ht="15.75" customHeight="1" s="6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 ht="15.75" customHeight="1" s="6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 ht="15.75" customHeight="1" s="6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 ht="15.75" customHeight="1" s="6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 ht="15.75" customHeight="1" s="6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 ht="15.75" customHeight="1" s="6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 ht="15.75" customHeight="1" s="6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 ht="15.75" customHeight="1" s="6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 ht="15.75" customHeight="1" s="6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 ht="15.75" customHeight="1" s="6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 ht="15.75" customHeight="1" s="6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 ht="15.75" customHeight="1" s="6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 ht="15.75" customHeight="1" s="6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 ht="15.75" customHeight="1" s="6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 ht="15.75" customHeight="1" s="6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 ht="15.75" customHeight="1" s="6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 ht="15.75" customHeight="1" s="6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 ht="15.75" customHeight="1" s="6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 ht="15.75" customHeight="1" s="6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 ht="15.75" customHeight="1" s="6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 ht="15.75" customHeight="1" s="6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 ht="15.75" customHeight="1" s="6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 ht="15.75" customHeight="1" s="6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 ht="15.75" customHeight="1" s="6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 ht="15.75" customHeight="1" s="6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 ht="15.75" customHeight="1" s="6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 ht="15.75" customHeight="1" s="6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 ht="15.75" customHeight="1" s="6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dataValidations count="3">
    <dataValidation sqref="D6:D205" showDropDown="0" showInputMessage="1" showErrorMessage="1" allowBlank="1" prompt="Valor no válido - Elija un valor de la lista." type="list">
      <formula1>Listas!$G$2:$G$3</formula1>
    </dataValidation>
    <dataValidation sqref="F6:F205" showDropDown="0" showInputMessage="1" showErrorMessage="1" allowBlank="1" prompt="Valor no válido - Elija un valor de la lista." type="list">
      <formula1>Listas!$F$2:$F$6</formula1>
    </dataValidation>
    <dataValidation sqref="L6:L205" showDropDown="0" showInputMessage="1" showErrorMessage="1" allowBlank="1" prompt="Valor no válido - Elija un valor de la lista." type="list">
      <formula1>Listas!$H$2:$H$4</formula1>
    </dataValidation>
  </dataValidations>
  <printOptions horizontalCentered="1"/>
  <pageMargins left="0.5" right="0.5" top="1" bottom="1" header="0" footer="0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10" customWidth="1" style="67" min="1" max="1"/>
    <col width="9" customWidth="1" style="67" min="2" max="2"/>
    <col width="10" customWidth="1" style="67" min="3" max="4"/>
    <col width="14" customWidth="1" style="67" min="5" max="5"/>
    <col width="9" customWidth="1" style="67" min="6" max="6"/>
    <col width="13" customWidth="1" style="67" min="7" max="7"/>
    <col width="12" customWidth="1" style="67" min="8" max="8"/>
    <col width="13" customWidth="1" style="67" min="9" max="9"/>
    <col width="30" customWidth="1" style="67" min="10" max="10"/>
    <col width="2" customWidth="1" style="67" min="11" max="11"/>
    <col width="32" customWidth="1" style="67" min="12" max="12"/>
    <col width="14" customWidth="1" style="67" min="13" max="15"/>
    <col width="16" customWidth="1" style="67" min="16" max="16"/>
    <col width="12" customWidth="1" style="67" min="17" max="18"/>
    <col width="8.710000000000001" customWidth="1" style="67" min="19" max="26"/>
  </cols>
  <sheetData>
    <row r="1" ht="17.25" customHeight="1" s="67">
      <c r="A1" s="1" t="inlineStr">
        <is>
          <t>Paso 6 · Base consolidada pretest–postest y verificación de correspondencia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5" customHeight="1" s="67">
      <c r="A2" s="3" t="inlineStr">
        <is>
          <t>Una fila por código. GRUPO, ADH, ESTADO y FECHA_POST se toman automáticamente de 2_Participantes; VD_PRE proviene de la base del pretest (semana 3) y VD_POST del postest. VD_POST es SUS simulado, no medición de campo.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36" customHeight="1" s="67">
      <c r="A5" s="17" t="inlineStr">
        <is>
          <t>CODIGO</t>
        </is>
      </c>
      <c r="B5" s="17" t="inlineStr">
        <is>
          <t>GRUPO</t>
        </is>
      </c>
      <c r="C5" s="17" t="inlineStr">
        <is>
          <t>VD_PRE</t>
        </is>
      </c>
      <c r="D5" s="17" t="inlineStr">
        <is>
          <t>VD_POST</t>
        </is>
      </c>
      <c r="E5" s="17" t="inlineStr">
        <is>
          <t>DIF (POST − PRE)</t>
        </is>
      </c>
      <c r="F5" s="17" t="inlineStr">
        <is>
          <t>ADH (%)</t>
        </is>
      </c>
      <c r="G5" s="17" t="inlineStr">
        <is>
          <t>ESTADO</t>
        </is>
      </c>
      <c r="H5" s="17" t="inlineStr">
        <is>
          <t>FECHA_POST</t>
        </is>
      </c>
      <c r="I5" s="17" t="inlineStr">
        <is>
          <t>PAR_COMPLETO</t>
        </is>
      </c>
      <c r="J5" s="17" t="inlineStr">
        <is>
          <t>CONTROL DE CALIDAD</t>
        </is>
      </c>
      <c r="K5" s="2" t="n"/>
      <c r="L5" s="45" t="inlineStr">
        <is>
          <t>Verificación de la base</t>
        </is>
      </c>
      <c r="M5" s="46" t="n"/>
      <c r="N5" s="2" t="n"/>
      <c r="O5" s="2" t="n"/>
      <c r="P5" s="2" t="n"/>
      <c r="Q5" s="2" t="n"/>
      <c r="R5" s="2" t="n"/>
    </row>
    <row r="6" ht="15" customHeight="1" s="67">
      <c r="A6" s="22" t="inlineStr">
        <is>
          <t>GU-TDH-002</t>
        </is>
      </c>
      <c r="B6" s="26">
        <f t="array" ref="B6">IF(A6="","",IFERROR(IF(INDEX('2_Participantes'!$B$6:$B$305,MATCH(A6,'2_Participantes'!$A$6:$A$305,0))="","",INDEX('2_Participantes'!$B$6:$B$305,MATCH(A6,'2_Participantes'!$A$6:$A$305,0))),"No registrado"))</f>
        <v/>
      </c>
      <c r="C6" s="15" t="n">
        <v>75</v>
      </c>
      <c r="D6" s="15" t="n">
        <v>90</v>
      </c>
      <c r="E6" s="32">
        <f>IF(AND(ISNUMBER(C6),ISNUMBER(D6)),D6-C6,"")</f>
        <v/>
      </c>
      <c r="F6" s="31">
        <f t="array" ref="F6">IF(A6="","",IFERROR(IF(INDEX('2_Participantes'!$E$6:$E$305,MATCH(A6,'2_Participantes'!$A$6:$A$305,0))="","",INDEX('2_Participantes'!$E$6:$E$305,MATCH(A6,'2_Participantes'!$A$6:$A$305,0))),""))</f>
        <v/>
      </c>
      <c r="G6" s="26">
        <f t="array" ref="G6">IF(A6="","",IFERROR(IF(INDEX('2_Participantes'!$F$6:$F$305,MATCH(A6,'2_Participantes'!$A$6:$A$305,0))="","",INDEX('2_Participantes'!$F$6:$F$305,MATCH(A6,'2_Participantes'!$A$6:$A$305,0))),"No registrado"))</f>
        <v/>
      </c>
      <c r="H6" s="47">
        <f t="array" ref="H6">IF(A6="","",IFERROR(IF(INDEX('2_Participantes'!$L$6:$L$305,MATCH(A6,'2_Participantes'!$A$6:$A$305,0))="","",INDEX('2_Participantes'!$L$6:$L$305,MATCH(A6,'2_Participantes'!$A$6:$A$305,0))),""))</f>
        <v/>
      </c>
      <c r="I6" s="31">
        <f>IF(A6="","",IF(AND(ISNUMBER(C6),ISNUMBER(D6),G6&lt;&gt;"Excluido"),1,0))</f>
        <v/>
      </c>
      <c r="J6" s="48">
        <f>IF(A6="","",IF(G6="No registrado","Código ausente en 2_Participantes",IF(AND(ISNUMBER(D6),NOT(ISNUMBER(C6))),"Postest sin pretest (huérfano)",IF(OR(AND(ISNUMBER(C6),OR(C6&lt;Inicio!$C$18,C6&gt;Inicio!$C$19)),AND(ISNUMBER(D6),OR(D6&lt;Inicio!$C$18,D6&gt;Inicio!$C$19))),"Fuera de rango",IF(COUNTIF($A$6:$A$305,A6)&gt;1,"Código duplicado","OK")))))</f>
        <v/>
      </c>
      <c r="K6" s="2" t="n"/>
      <c r="L6" s="7" t="inlineStr">
        <is>
          <t>Registros (códigos)</t>
        </is>
      </c>
      <c r="M6" s="31">
        <f>COUNTA(A6:A305)</f>
        <v/>
      </c>
      <c r="N6" s="2" t="n"/>
      <c r="O6" s="2" t="n"/>
      <c r="P6" s="2" t="n"/>
      <c r="Q6" s="2" t="n"/>
      <c r="R6" s="2" t="n"/>
    </row>
    <row r="7" ht="15" customHeight="1" s="67">
      <c r="A7" s="22" t="inlineStr">
        <is>
          <t>GU-TDH-003</t>
        </is>
      </c>
      <c r="B7" s="26">
        <f t="array" ref="B7">IF(A7="","",IFERROR(IF(INDEX('2_Participantes'!$B$6:$B$305,MATCH(A7,'2_Participantes'!$A$6:$A$305,0))="","",INDEX('2_Participantes'!$B$6:$B$305,MATCH(A7,'2_Participantes'!$A$6:$A$305,0))),"No registrado"))</f>
        <v/>
      </c>
      <c r="C7" s="15" t="n">
        <v>55</v>
      </c>
      <c r="D7" s="15" t="n">
        <v>75</v>
      </c>
      <c r="E7" s="32">
        <f>IF(AND(ISNUMBER(C7),ISNUMBER(D7)),D7-C7,"")</f>
        <v/>
      </c>
      <c r="F7" s="31">
        <f t="array" ref="F7">IF(A7="","",IFERROR(IF(INDEX('2_Participantes'!$E$6:$E$305,MATCH(A7,'2_Participantes'!$A$6:$A$305,0))="","",INDEX('2_Participantes'!$E$6:$E$305,MATCH(A7,'2_Participantes'!$A$6:$A$305,0))),""))</f>
        <v/>
      </c>
      <c r="G7" s="26">
        <f t="array" ref="G7">IF(A7="","",IFERROR(IF(INDEX('2_Participantes'!$F$6:$F$305,MATCH(A7,'2_Participantes'!$A$6:$A$305,0))="","",INDEX('2_Participantes'!$F$6:$F$305,MATCH(A7,'2_Participantes'!$A$6:$A$305,0))),"No registrado"))</f>
        <v/>
      </c>
      <c r="H7" s="47">
        <f t="array" ref="H7">IF(A7="","",IFERROR(IF(INDEX('2_Participantes'!$L$6:$L$305,MATCH(A7,'2_Participantes'!$A$6:$A$305,0))="","",INDEX('2_Participantes'!$L$6:$L$305,MATCH(A7,'2_Participantes'!$A$6:$A$305,0))),""))</f>
        <v/>
      </c>
      <c r="I7" s="31">
        <f>IF(A7="","",IF(AND(ISNUMBER(C7),ISNUMBER(D7),G7&lt;&gt;"Excluido"),1,0))</f>
        <v/>
      </c>
      <c r="J7" s="48">
        <f>IF(A7="","",IF(G7="No registrado","Código ausente en 2_Participantes",IF(AND(ISNUMBER(D7),NOT(ISNUMBER(C7))),"Postest sin pretest (huérfano)",IF(OR(AND(ISNUMBER(C7),OR(C7&lt;Inicio!$C$18,C7&gt;Inicio!$C$19)),AND(ISNUMBER(D7),OR(D7&lt;Inicio!$C$18,D7&gt;Inicio!$C$19))),"Fuera de rango",IF(COUNTIF($A$6:$A$305,A7)&gt;1,"Código duplicado","OK")))))</f>
        <v/>
      </c>
      <c r="K7" s="2" t="n"/>
      <c r="L7" s="7" t="inlineStr">
        <is>
          <t>Con VD_PRE</t>
        </is>
      </c>
      <c r="M7" s="31">
        <f>COUNT(C6:C305)</f>
        <v/>
      </c>
      <c r="N7" s="2" t="n"/>
      <c r="O7" s="2" t="n"/>
      <c r="P7" s="2" t="n"/>
      <c r="Q7" s="2" t="n"/>
      <c r="R7" s="2" t="n"/>
    </row>
    <row r="8" ht="15" customHeight="1" s="67">
      <c r="A8" s="22" t="inlineStr">
        <is>
          <t>GU-TDH-004</t>
        </is>
      </c>
      <c r="B8" s="26">
        <f t="array" ref="B8">IF(A8="","",IFERROR(IF(INDEX('2_Participantes'!$B$6:$B$305,MATCH(A8,'2_Participantes'!$A$6:$A$305,0))="","",INDEX('2_Participantes'!$B$6:$B$305,MATCH(A8,'2_Participantes'!$A$6:$A$305,0))),"No registrado"))</f>
        <v/>
      </c>
      <c r="C8" s="15" t="n">
        <v>42.5</v>
      </c>
      <c r="D8" s="15" t="n">
        <v>67.5</v>
      </c>
      <c r="E8" s="32">
        <f>IF(AND(ISNUMBER(C8),ISNUMBER(D8)),D8-C8,"")</f>
        <v/>
      </c>
      <c r="F8" s="31">
        <f t="array" ref="F8">IF(A8="","",IFERROR(IF(INDEX('2_Participantes'!$E$6:$E$305,MATCH(A8,'2_Participantes'!$A$6:$A$305,0))="","",INDEX('2_Participantes'!$E$6:$E$305,MATCH(A8,'2_Participantes'!$A$6:$A$305,0))),""))</f>
        <v/>
      </c>
      <c r="G8" s="26">
        <f t="array" ref="G8">IF(A8="","",IFERROR(IF(INDEX('2_Participantes'!$F$6:$F$305,MATCH(A8,'2_Participantes'!$A$6:$A$305,0))="","",INDEX('2_Participantes'!$F$6:$F$305,MATCH(A8,'2_Participantes'!$A$6:$A$305,0))),"No registrado"))</f>
        <v/>
      </c>
      <c r="H8" s="47">
        <f t="array" ref="H8">IF(A8="","",IFERROR(IF(INDEX('2_Participantes'!$L$6:$L$305,MATCH(A8,'2_Participantes'!$A$6:$A$305,0))="","",INDEX('2_Participantes'!$L$6:$L$305,MATCH(A8,'2_Participantes'!$A$6:$A$305,0))),""))</f>
        <v/>
      </c>
      <c r="I8" s="31">
        <f>IF(A8="","",IF(AND(ISNUMBER(C8),ISNUMBER(D8),G8&lt;&gt;"Excluido"),1,0))</f>
        <v/>
      </c>
      <c r="J8" s="48">
        <f>IF(A8="","",IF(G8="No registrado","Código ausente en 2_Participantes",IF(AND(ISNUMBER(D8),NOT(ISNUMBER(C8))),"Postest sin pretest (huérfano)",IF(OR(AND(ISNUMBER(C8),OR(C8&lt;Inicio!$C$18,C8&gt;Inicio!$C$19)),AND(ISNUMBER(D8),OR(D8&lt;Inicio!$C$18,D8&gt;Inicio!$C$19))),"Fuera de rango",IF(COUNTIF($A$6:$A$305,A8)&gt;1,"Código duplicado","OK")))))</f>
        <v/>
      </c>
      <c r="K8" s="2" t="n"/>
      <c r="L8" s="7" t="inlineStr">
        <is>
          <t>Con VD_POST</t>
        </is>
      </c>
      <c r="M8" s="31">
        <f>COUNT(D6:D305)</f>
        <v/>
      </c>
      <c r="N8" s="2" t="n"/>
      <c r="O8" s="2" t="n"/>
      <c r="P8" s="2" t="n"/>
      <c r="Q8" s="2" t="n"/>
      <c r="R8" s="2" t="n"/>
    </row>
    <row r="9" ht="15" customHeight="1" s="67">
      <c r="A9" s="22" t="inlineStr">
        <is>
          <t>GU-TDH-006</t>
        </is>
      </c>
      <c r="B9" s="26">
        <f t="array" ref="B9">IF(A9="","",IFERROR(IF(INDEX('2_Participantes'!$B$6:$B$305,MATCH(A9,'2_Participantes'!$A$6:$A$305,0))="","",INDEX('2_Participantes'!$B$6:$B$305,MATCH(A9,'2_Participantes'!$A$6:$A$305,0))),"No registrado"))</f>
        <v/>
      </c>
      <c r="C9" s="15" t="n">
        <v>75</v>
      </c>
      <c r="D9" s="15" t="n">
        <v>80</v>
      </c>
      <c r="E9" s="32">
        <f>IF(AND(ISNUMBER(C9),ISNUMBER(D9)),D9-C9,"")</f>
        <v/>
      </c>
      <c r="F9" s="31">
        <f t="array" ref="F9">IF(A9="","",IFERROR(IF(INDEX('2_Participantes'!$E$6:$E$305,MATCH(A9,'2_Participantes'!$A$6:$A$305,0))="","",INDEX('2_Participantes'!$E$6:$E$305,MATCH(A9,'2_Participantes'!$A$6:$A$305,0))),""))</f>
        <v/>
      </c>
      <c r="G9" s="26">
        <f t="array" ref="G9">IF(A9="","",IFERROR(IF(INDEX('2_Participantes'!$F$6:$F$305,MATCH(A9,'2_Participantes'!$A$6:$A$305,0))="","",INDEX('2_Participantes'!$F$6:$F$305,MATCH(A9,'2_Participantes'!$A$6:$A$305,0))),"No registrado"))</f>
        <v/>
      </c>
      <c r="H9" s="47">
        <f t="array" ref="H9">IF(A9="","",IFERROR(IF(INDEX('2_Participantes'!$L$6:$L$305,MATCH(A9,'2_Participantes'!$A$6:$A$305,0))="","",INDEX('2_Participantes'!$L$6:$L$305,MATCH(A9,'2_Participantes'!$A$6:$A$305,0))),""))</f>
        <v/>
      </c>
      <c r="I9" s="31">
        <f>IF(A9="","",IF(AND(ISNUMBER(C9),ISNUMBER(D9),G9&lt;&gt;"Excluido"),1,0))</f>
        <v/>
      </c>
      <c r="J9" s="48">
        <f>IF(A9="","",IF(G9="No registrado","Código ausente en 2_Participantes",IF(AND(ISNUMBER(D9),NOT(ISNUMBER(C9))),"Postest sin pretest (huérfano)",IF(OR(AND(ISNUMBER(C9),OR(C9&lt;Inicio!$C$18,C9&gt;Inicio!$C$19)),AND(ISNUMBER(D9),OR(D9&lt;Inicio!$C$18,D9&gt;Inicio!$C$19))),"Fuera de rango",IF(COUNTIF($A$6:$A$305,A9)&gt;1,"Código duplicado","OK")))))</f>
        <v/>
      </c>
      <c r="K9" s="2" t="n"/>
      <c r="L9" s="7" t="inlineStr">
        <is>
          <t>Pares completos analizables</t>
        </is>
      </c>
      <c r="M9" s="31">
        <f>SUM(I6:I305)</f>
        <v/>
      </c>
      <c r="N9" s="2" t="n"/>
      <c r="O9" s="2" t="n"/>
      <c r="P9" s="2" t="n"/>
      <c r="Q9" s="2" t="n"/>
      <c r="R9" s="2" t="n"/>
    </row>
    <row r="10" ht="15" customHeight="1" s="67">
      <c r="A10" s="22" t="inlineStr">
        <is>
          <t>GU-TDH-007</t>
        </is>
      </c>
      <c r="B10" s="26">
        <f t="array" ref="B10">IF(A10="","",IFERROR(IF(INDEX('2_Participantes'!$B$6:$B$305,MATCH(A10,'2_Participantes'!$A$6:$A$305,0))="","",INDEX('2_Participantes'!$B$6:$B$305,MATCH(A10,'2_Participantes'!$A$6:$A$305,0))),"No registrado"))</f>
        <v/>
      </c>
      <c r="C10" s="15" t="n">
        <v>55</v>
      </c>
      <c r="D10" s="15" t="n">
        <v>85</v>
      </c>
      <c r="E10" s="32">
        <f>IF(AND(ISNUMBER(C10),ISNUMBER(D10)),D10-C10,"")</f>
        <v/>
      </c>
      <c r="F10" s="31">
        <f t="array" ref="F10">IF(A10="","",IFERROR(IF(INDEX('2_Participantes'!$E$6:$E$305,MATCH(A10,'2_Participantes'!$A$6:$A$305,0))="","",INDEX('2_Participantes'!$E$6:$E$305,MATCH(A10,'2_Participantes'!$A$6:$A$305,0))),""))</f>
        <v/>
      </c>
      <c r="G10" s="26">
        <f t="array" ref="G10">IF(A10="","",IFERROR(IF(INDEX('2_Participantes'!$F$6:$F$305,MATCH(A10,'2_Participantes'!$A$6:$A$305,0))="","",INDEX('2_Participantes'!$F$6:$F$305,MATCH(A10,'2_Participantes'!$A$6:$A$305,0))),"No registrado"))</f>
        <v/>
      </c>
      <c r="H10" s="47">
        <f t="array" ref="H10">IF(A10="","",IFERROR(IF(INDEX('2_Participantes'!$L$6:$L$305,MATCH(A10,'2_Participantes'!$A$6:$A$305,0))="","",INDEX('2_Participantes'!$L$6:$L$305,MATCH(A10,'2_Participantes'!$A$6:$A$305,0))),""))</f>
        <v/>
      </c>
      <c r="I10" s="31">
        <f>IF(A10="","",IF(AND(ISNUMBER(C10),ISNUMBER(D10),G10&lt;&gt;"Excluido"),1,0))</f>
        <v/>
      </c>
      <c r="J10" s="48">
        <f>IF(A10="","",IF(G10="No registrado","Código ausente en 2_Participantes",IF(AND(ISNUMBER(D10),NOT(ISNUMBER(C10))),"Postest sin pretest (huérfano)",IF(OR(AND(ISNUMBER(C10),OR(C10&lt;Inicio!$C$18,C10&gt;Inicio!$C$19)),AND(ISNUMBER(D10),OR(D10&lt;Inicio!$C$18,D10&gt;Inicio!$C$19))),"Fuera de rango",IF(COUNTIF($A$6:$A$305,A10)&gt;1,"Código duplicado","OK")))))</f>
        <v/>
      </c>
      <c r="K10" s="2" t="n"/>
      <c r="L10" s="7" t="inlineStr">
        <is>
          <t>Códigos duplicados</t>
        </is>
      </c>
      <c r="M10" s="31">
        <f>COUNTIF(J6:J305,"Código duplicado")</f>
        <v/>
      </c>
      <c r="N10" s="2" t="n"/>
      <c r="O10" s="2" t="n"/>
      <c r="P10" s="2" t="n"/>
      <c r="Q10" s="2" t="n"/>
      <c r="R10" s="2" t="n"/>
    </row>
    <row r="11" ht="15" customHeight="1" s="67">
      <c r="A11" s="22" t="inlineStr">
        <is>
          <t>GU-TDH-008</t>
        </is>
      </c>
      <c r="B11" s="26">
        <f t="array" ref="B11">IF(A11="","",IFERROR(IF(INDEX('2_Participantes'!$B$6:$B$305,MATCH(A11,'2_Participantes'!$A$6:$A$305,0))="","",INDEX('2_Participantes'!$B$6:$B$305,MATCH(A11,'2_Participantes'!$A$6:$A$305,0))),"No registrado"))</f>
        <v/>
      </c>
      <c r="C11" s="15" t="n">
        <v>40</v>
      </c>
      <c r="D11" s="15" t="n">
        <v>50</v>
      </c>
      <c r="E11" s="32">
        <f>IF(AND(ISNUMBER(C11),ISNUMBER(D11)),D11-C11,"")</f>
        <v/>
      </c>
      <c r="F11" s="31">
        <f t="array" ref="F11">IF(A11="","",IFERROR(IF(INDEX('2_Participantes'!$E$6:$E$305,MATCH(A11,'2_Participantes'!$A$6:$A$305,0))="","",INDEX('2_Participantes'!$E$6:$E$305,MATCH(A11,'2_Participantes'!$A$6:$A$305,0))),""))</f>
        <v/>
      </c>
      <c r="G11" s="26">
        <f t="array" ref="G11">IF(A11="","",IFERROR(IF(INDEX('2_Participantes'!$F$6:$F$305,MATCH(A11,'2_Participantes'!$A$6:$A$305,0))="","",INDEX('2_Participantes'!$F$6:$F$305,MATCH(A11,'2_Participantes'!$A$6:$A$305,0))),"No registrado"))</f>
        <v/>
      </c>
      <c r="H11" s="47">
        <f t="array" ref="H11">IF(A11="","",IFERROR(IF(INDEX('2_Participantes'!$L$6:$L$305,MATCH(A11,'2_Participantes'!$A$6:$A$305,0))="","",INDEX('2_Participantes'!$L$6:$L$305,MATCH(A11,'2_Participantes'!$A$6:$A$305,0))),""))</f>
        <v/>
      </c>
      <c r="I11" s="31">
        <f>IF(A11="","",IF(AND(ISNUMBER(C11),ISNUMBER(D11),G11&lt;&gt;"Excluido"),1,0))</f>
        <v/>
      </c>
      <c r="J11" s="48">
        <f>IF(A11="","",IF(G11="No registrado","Código ausente en 2_Participantes",IF(AND(ISNUMBER(D11),NOT(ISNUMBER(C11))),"Postest sin pretest (huérfano)",IF(OR(AND(ISNUMBER(C11),OR(C11&lt;Inicio!$C$18,C11&gt;Inicio!$C$19)),AND(ISNUMBER(D11),OR(D11&lt;Inicio!$C$18,D11&gt;Inicio!$C$19))),"Fuera de rango",IF(COUNTIF($A$6:$A$305,A11)&gt;1,"Código duplicado","OK")))))</f>
        <v/>
      </c>
      <c r="K11" s="2" t="n"/>
      <c r="L11" s="7" t="inlineStr">
        <is>
          <t>Postest sin pretest (huérfanos)</t>
        </is>
      </c>
      <c r="M11" s="31">
        <f>COUNTIF(J6:J305,"Postest sin pretest (huérfano)")</f>
        <v/>
      </c>
      <c r="N11" s="2" t="n"/>
      <c r="O11" s="2" t="n"/>
      <c r="P11" s="2" t="n"/>
      <c r="Q11" s="2" t="n"/>
      <c r="R11" s="2" t="n"/>
    </row>
    <row r="12" ht="15" customHeight="1" s="67">
      <c r="A12" s="22" t="inlineStr">
        <is>
          <t>GU-TDH-009</t>
        </is>
      </c>
      <c r="B12" s="26">
        <f t="array" ref="B12">IF(A12="","",IFERROR(IF(INDEX('2_Participantes'!$B$6:$B$305,MATCH(A12,'2_Participantes'!$A$6:$A$305,0))="","",INDEX('2_Participantes'!$B$6:$B$305,MATCH(A12,'2_Participantes'!$A$6:$A$305,0))),"No registrado"))</f>
        <v/>
      </c>
      <c r="C12" s="15" t="n">
        <v>50</v>
      </c>
      <c r="D12" s="15" t="n">
        <v>65</v>
      </c>
      <c r="E12" s="32">
        <f>IF(AND(ISNUMBER(C12),ISNUMBER(D12)),D12-C12,"")</f>
        <v/>
      </c>
      <c r="F12" s="31">
        <f t="array" ref="F12">IF(A12="","",IFERROR(IF(INDEX('2_Participantes'!$E$6:$E$305,MATCH(A12,'2_Participantes'!$A$6:$A$305,0))="","",INDEX('2_Participantes'!$E$6:$E$305,MATCH(A12,'2_Participantes'!$A$6:$A$305,0))),""))</f>
        <v/>
      </c>
      <c r="G12" s="26">
        <f t="array" ref="G12">IF(A12="","",IFERROR(IF(INDEX('2_Participantes'!$F$6:$F$305,MATCH(A12,'2_Participantes'!$A$6:$A$305,0))="","",INDEX('2_Participantes'!$F$6:$F$305,MATCH(A12,'2_Participantes'!$A$6:$A$305,0))),"No registrado"))</f>
        <v/>
      </c>
      <c r="H12" s="47">
        <f t="array" ref="H12">IF(A12="","",IFERROR(IF(INDEX('2_Participantes'!$L$6:$L$305,MATCH(A12,'2_Participantes'!$A$6:$A$305,0))="","",INDEX('2_Participantes'!$L$6:$L$305,MATCH(A12,'2_Participantes'!$A$6:$A$305,0))),""))</f>
        <v/>
      </c>
      <c r="I12" s="31">
        <f>IF(A12="","",IF(AND(ISNUMBER(C12),ISNUMBER(D12),G12&lt;&gt;"Excluido"),1,0))</f>
        <v/>
      </c>
      <c r="J12" s="48">
        <f>IF(A12="","",IF(G12="No registrado","Código ausente en 2_Participantes",IF(AND(ISNUMBER(D12),NOT(ISNUMBER(C12))),"Postest sin pretest (huérfano)",IF(OR(AND(ISNUMBER(C12),OR(C12&lt;Inicio!$C$18,C12&gt;Inicio!$C$19)),AND(ISNUMBER(D12),OR(D12&lt;Inicio!$C$18,D12&gt;Inicio!$C$19))),"Fuera de rango",IF(COUNTIF($A$6:$A$305,A12)&gt;1,"Código duplicado","OK")))))</f>
        <v/>
      </c>
      <c r="K12" s="2" t="n"/>
      <c r="L12" s="7" t="inlineStr">
        <is>
          <t>Valores fuera de rango</t>
        </is>
      </c>
      <c r="M12" s="31">
        <f>COUNTIF(J6:J305,"Fuera de rango")</f>
        <v/>
      </c>
      <c r="N12" s="2" t="n"/>
      <c r="O12" s="2" t="n"/>
      <c r="P12" s="2" t="n"/>
      <c r="Q12" s="2" t="n"/>
      <c r="R12" s="2" t="n"/>
    </row>
    <row r="13" ht="23.25" customHeight="1" s="67">
      <c r="A13" s="22" t="inlineStr">
        <is>
          <t>GU-TDH-010</t>
        </is>
      </c>
      <c r="B13" s="26">
        <f t="array" ref="B13">IF(A13="","",IFERROR(IF(INDEX('2_Participantes'!$B$6:$B$305,MATCH(A13,'2_Participantes'!$A$6:$A$305,0))="","",INDEX('2_Participantes'!$B$6:$B$305,MATCH(A13,'2_Participantes'!$A$6:$A$305,0))),"No registrado"))</f>
        <v/>
      </c>
      <c r="C13" s="15" t="n">
        <v>80</v>
      </c>
      <c r="D13" s="15" t="n">
        <v>90</v>
      </c>
      <c r="E13" s="32">
        <f>IF(AND(ISNUMBER(C13),ISNUMBER(D13)),D13-C13,"")</f>
        <v/>
      </c>
      <c r="F13" s="31">
        <f t="array" ref="F13">IF(A13="","",IFERROR(IF(INDEX('2_Participantes'!$E$6:$E$305,MATCH(A13,'2_Participantes'!$A$6:$A$305,0))="","",INDEX('2_Participantes'!$E$6:$E$305,MATCH(A13,'2_Participantes'!$A$6:$A$305,0))),""))</f>
        <v/>
      </c>
      <c r="G13" s="26">
        <f t="array" ref="G13">IF(A13="","",IFERROR(IF(INDEX('2_Participantes'!$F$6:$F$305,MATCH(A13,'2_Participantes'!$A$6:$A$305,0))="","",INDEX('2_Participantes'!$F$6:$F$305,MATCH(A13,'2_Participantes'!$A$6:$A$305,0))),"No registrado"))</f>
        <v/>
      </c>
      <c r="H13" s="47">
        <f t="array" ref="H13">IF(A13="","",IFERROR(IF(INDEX('2_Participantes'!$L$6:$L$305,MATCH(A13,'2_Participantes'!$A$6:$A$305,0))="","",INDEX('2_Participantes'!$L$6:$L$305,MATCH(A13,'2_Participantes'!$A$6:$A$305,0))),""))</f>
        <v/>
      </c>
      <c r="I13" s="31">
        <f>IF(A13="","",IF(AND(ISNUMBER(C13),ISNUMBER(D13),G13&lt;&gt;"Excluido"),1,0))</f>
        <v/>
      </c>
      <c r="J13" s="48">
        <f>IF(A13="","",IF(G13="No registrado","Código ausente en 2_Participantes",IF(AND(ISNUMBER(D13),NOT(ISNUMBER(C13))),"Postest sin pretest (huérfano)",IF(OR(AND(ISNUMBER(C13),OR(C13&lt;Inicio!$C$18,C13&gt;Inicio!$C$19)),AND(ISNUMBER(D13),OR(D13&lt;Inicio!$C$18,D13&gt;Inicio!$C$19))),"Fuera de rango",IF(COUNTIF($A$6:$A$305,A13)&gt;1,"Código duplicado","OK")))))</f>
        <v/>
      </c>
      <c r="K13" s="2" t="n"/>
      <c r="L13" s="7" t="inlineStr">
        <is>
          <t>Códigos ausentes en 2_Participantes</t>
        </is>
      </c>
      <c r="M13" s="31">
        <f>COUNTIF(J6:J305,"Código ausente en 2_Participantes")</f>
        <v/>
      </c>
      <c r="N13" s="2" t="n"/>
      <c r="O13" s="2" t="n"/>
      <c r="P13" s="2" t="n"/>
      <c r="Q13" s="2" t="n"/>
      <c r="R13" s="2" t="n"/>
    </row>
    <row r="14" ht="57" customHeight="1" s="67">
      <c r="A14" s="22" t="inlineStr">
        <is>
          <t>GU-TDH-011</t>
        </is>
      </c>
      <c r="B14" s="26">
        <f t="array" ref="B14">IF(A14="","",IFERROR(IF(INDEX('2_Participantes'!$B$6:$B$305,MATCH(A14,'2_Participantes'!$A$6:$A$305,0))="","",INDEX('2_Participantes'!$B$6:$B$305,MATCH(A14,'2_Participantes'!$A$6:$A$305,0))),"No registrado"))</f>
        <v/>
      </c>
      <c r="C14" s="15" t="n">
        <v>30</v>
      </c>
      <c r="D14" s="15" t="n">
        <v>67.5</v>
      </c>
      <c r="E14" s="32">
        <f>IF(AND(ISNUMBER(C14),ISNUMBER(D14)),D14-C14,"")</f>
        <v/>
      </c>
      <c r="F14" s="31">
        <f t="array" ref="F14">IF(A14="","",IFERROR(IF(INDEX('2_Participantes'!$E$6:$E$305,MATCH(A14,'2_Participantes'!$A$6:$A$305,0))="","",INDEX('2_Participantes'!$E$6:$E$305,MATCH(A14,'2_Participantes'!$A$6:$A$305,0))),""))</f>
        <v/>
      </c>
      <c r="G14" s="26">
        <f t="array" ref="G14">IF(A14="","",IFERROR(IF(INDEX('2_Participantes'!$F$6:$F$305,MATCH(A14,'2_Participantes'!$A$6:$A$305,0))="","",INDEX('2_Participantes'!$F$6:$F$305,MATCH(A14,'2_Participantes'!$A$6:$A$305,0))),"No registrado"))</f>
        <v/>
      </c>
      <c r="H14" s="47">
        <f t="array" ref="H14">IF(A14="","",IFERROR(IF(INDEX('2_Participantes'!$L$6:$L$305,MATCH(A14,'2_Participantes'!$A$6:$A$305,0))="","",INDEX('2_Participantes'!$L$6:$L$305,MATCH(A14,'2_Participantes'!$A$6:$A$305,0))),""))</f>
        <v/>
      </c>
      <c r="I14" s="31">
        <f>IF(A14="","",IF(AND(ISNUMBER(C14),ISNUMBER(D14),G14&lt;&gt;"Excluido"),1,0))</f>
        <v/>
      </c>
      <c r="J14" s="48">
        <f>IF(A14="","",IF(G14="No registrado","Código ausente en 2_Participantes",IF(AND(ISNUMBER(D14),NOT(ISNUMBER(C14))),"Postest sin pretest (huérfano)",IF(OR(AND(ISNUMBER(C14),OR(C14&lt;Inicio!$C$18,C14&gt;Inicio!$C$19)),AND(ISNUMBER(D14),OR(D14&lt;Inicio!$C$18,D14&gt;Inicio!$C$19))),"Fuera de rango",IF(COUNTIF($A$6:$A$305,A14)&gt;1,"Código duplicado","OK")))))</f>
        <v/>
      </c>
      <c r="K14" s="2" t="n"/>
      <c r="L14" s="7" t="inlineStr">
        <is>
          <t>Resultado</t>
        </is>
      </c>
      <c r="M14" s="49">
        <f>IF(SUM(M10:M13)=0,"Base consolidada sin inconsistencias","Corregir las filas marcadas en CONTROL DE CALIDAD")</f>
        <v/>
      </c>
      <c r="N14" s="2" t="n"/>
      <c r="O14" s="2" t="n"/>
      <c r="P14" s="2" t="n"/>
      <c r="Q14" s="2" t="n"/>
      <c r="R14" s="2" t="n"/>
    </row>
    <row r="15" ht="15" customHeight="1" s="67">
      <c r="A15" s="22" t="inlineStr">
        <is>
          <t>GU-TDH-012</t>
        </is>
      </c>
      <c r="B15" s="26">
        <f t="array" ref="B15">IF(A15="","",IFERROR(IF(INDEX('2_Participantes'!$B$6:$B$305,MATCH(A15,'2_Participantes'!$A$6:$A$305,0))="","",INDEX('2_Participantes'!$B$6:$B$305,MATCH(A15,'2_Participantes'!$A$6:$A$305,0))),"No registrado"))</f>
        <v/>
      </c>
      <c r="C15" s="15" t="n">
        <v>65</v>
      </c>
      <c r="D15" s="15" t="n">
        <v>80</v>
      </c>
      <c r="E15" s="32">
        <f>IF(AND(ISNUMBER(C15),ISNUMBER(D15)),D15-C15,"")</f>
        <v/>
      </c>
      <c r="F15" s="31">
        <f t="array" ref="F15">IF(A15="","",IFERROR(IF(INDEX('2_Participantes'!$E$6:$E$305,MATCH(A15,'2_Participantes'!$A$6:$A$305,0))="","",INDEX('2_Participantes'!$E$6:$E$305,MATCH(A15,'2_Participantes'!$A$6:$A$305,0))),""))</f>
        <v/>
      </c>
      <c r="G15" s="26">
        <f t="array" ref="G15">IF(A15="","",IFERROR(IF(INDEX('2_Participantes'!$F$6:$F$305,MATCH(A15,'2_Participantes'!$A$6:$A$305,0))="","",INDEX('2_Participantes'!$F$6:$F$305,MATCH(A15,'2_Participantes'!$A$6:$A$305,0))),"No registrado"))</f>
        <v/>
      </c>
      <c r="H15" s="47">
        <f t="array" ref="H15">IF(A15="","",IFERROR(IF(INDEX('2_Participantes'!$L$6:$L$305,MATCH(A15,'2_Participantes'!$A$6:$A$305,0))="","",INDEX('2_Participantes'!$L$6:$L$305,MATCH(A15,'2_Participantes'!$A$6:$A$305,0))),""))</f>
        <v/>
      </c>
      <c r="I15" s="31">
        <f>IF(A15="","",IF(AND(ISNUMBER(C15),ISNUMBER(D15),G15&lt;&gt;"Excluido"),1,0))</f>
        <v/>
      </c>
      <c r="J15" s="48">
        <f>IF(A15="","",IF(G15="No registrado","Código ausente en 2_Participantes",IF(AND(ISNUMBER(D15),NOT(ISNUMBER(C15))),"Postest sin pretest (huérfano)",IF(OR(AND(ISNUMBER(C15),OR(C15&lt;Inicio!$C$18,C15&gt;Inicio!$C$19)),AND(ISNUMBER(D15),OR(D15&lt;Inicio!$C$18,D15&gt;Inicio!$C$19))),"Fuera de rango",IF(COUNTIF($A$6:$A$305,A15)&gt;1,"Código duplicado","OK")))))</f>
        <v/>
      </c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15" customHeight="1" s="67">
      <c r="A16" s="22" t="inlineStr">
        <is>
          <t>GU-TDH-014</t>
        </is>
      </c>
      <c r="B16" s="26">
        <f t="array" ref="B16">IF(A16="","",IFERROR(IF(INDEX('2_Participantes'!$B$6:$B$305,MATCH(A16,'2_Participantes'!$A$6:$A$305,0))="","",INDEX('2_Participantes'!$B$6:$B$305,MATCH(A16,'2_Participantes'!$A$6:$A$305,0))),"No registrado"))</f>
        <v/>
      </c>
      <c r="C16" s="15" t="n">
        <v>55</v>
      </c>
      <c r="D16" s="15" t="n">
        <v>65</v>
      </c>
      <c r="E16" s="32">
        <f>IF(AND(ISNUMBER(C16),ISNUMBER(D16)),D16-C16,"")</f>
        <v/>
      </c>
      <c r="F16" s="31">
        <f t="array" ref="F16">IF(A16="","",IFERROR(IF(INDEX('2_Participantes'!$E$6:$E$305,MATCH(A16,'2_Participantes'!$A$6:$A$305,0))="","",INDEX('2_Participantes'!$E$6:$E$305,MATCH(A16,'2_Participantes'!$A$6:$A$305,0))),""))</f>
        <v/>
      </c>
      <c r="G16" s="26">
        <f t="array" ref="G16">IF(A16="","",IFERROR(IF(INDEX('2_Participantes'!$F$6:$F$305,MATCH(A16,'2_Participantes'!$A$6:$A$305,0))="","",INDEX('2_Participantes'!$F$6:$F$305,MATCH(A16,'2_Participantes'!$A$6:$A$305,0))),"No registrado"))</f>
        <v/>
      </c>
      <c r="H16" s="47">
        <f t="array" ref="H16">IF(A16="","",IFERROR(IF(INDEX('2_Participantes'!$L$6:$L$305,MATCH(A16,'2_Participantes'!$A$6:$A$305,0))="","",INDEX('2_Participantes'!$L$6:$L$305,MATCH(A16,'2_Participantes'!$A$6:$A$305,0))),""))</f>
        <v/>
      </c>
      <c r="I16" s="31">
        <f>IF(A16="","",IF(AND(ISNUMBER(C16),ISNUMBER(D16),G16&lt;&gt;"Excluido"),1,0))</f>
        <v/>
      </c>
      <c r="J16" s="48">
        <f>IF(A16="","",IF(G16="No registrado","Código ausente en 2_Participantes",IF(AND(ISNUMBER(D16),NOT(ISNUMBER(C16))),"Postest sin pretest (huérfano)",IF(OR(AND(ISNUMBER(C16),OR(C16&lt;Inicio!$C$18,C16&gt;Inicio!$C$19)),AND(ISNUMBER(D16),OR(D16&lt;Inicio!$C$18,D16&gt;Inicio!$C$19))),"Fuera de rango",IF(COUNTIF($A$6:$A$305,A16)&gt;1,"Código duplicado","OK")))))</f>
        <v/>
      </c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15" customHeight="1" s="67">
      <c r="A17" s="22" t="inlineStr">
        <is>
          <t>GU-TDH-015</t>
        </is>
      </c>
      <c r="B17" s="26">
        <f t="array" ref="B17">IF(A17="","",IFERROR(IF(INDEX('2_Participantes'!$B$6:$B$305,MATCH(A17,'2_Participantes'!$A$6:$A$305,0))="","",INDEX('2_Participantes'!$B$6:$B$305,MATCH(A17,'2_Participantes'!$A$6:$A$305,0))),"No registrado"))</f>
        <v/>
      </c>
      <c r="C17" s="15" t="n">
        <v>72.5</v>
      </c>
      <c r="D17" s="15" t="n"/>
      <c r="E17" s="32">
        <f>IF(AND(ISNUMBER(C17),ISNUMBER(D17)),D17-C17,"")</f>
        <v/>
      </c>
      <c r="F17" s="31">
        <f t="array" ref="F17">IF(A17="","",IFERROR(IF(INDEX('2_Participantes'!$E$6:$E$305,MATCH(A17,'2_Participantes'!$A$6:$A$305,0))="","",INDEX('2_Participantes'!$E$6:$E$305,MATCH(A17,'2_Participantes'!$A$6:$A$305,0))),""))</f>
        <v/>
      </c>
      <c r="G17" s="26">
        <f t="array" ref="G17">IF(A17="","",IFERROR(IF(INDEX('2_Participantes'!$F$6:$F$305,MATCH(A17,'2_Participantes'!$A$6:$A$305,0))="","",INDEX('2_Participantes'!$F$6:$F$305,MATCH(A17,'2_Participantes'!$A$6:$A$305,0))),"No registrado"))</f>
        <v/>
      </c>
      <c r="H17" s="47">
        <f t="array" ref="H17">IF(A17="","",IFERROR(IF(INDEX('2_Participantes'!$L$6:$L$305,MATCH(A17,'2_Participantes'!$A$6:$A$305,0))="","",INDEX('2_Participantes'!$L$6:$L$305,MATCH(A17,'2_Participantes'!$A$6:$A$305,0))),""))</f>
        <v/>
      </c>
      <c r="I17" s="31">
        <f>IF(A17="","",IF(AND(ISNUMBER(C17),ISNUMBER(D17),G17&lt;&gt;"Excluido"),1,0))</f>
        <v/>
      </c>
      <c r="J17" s="48">
        <f>IF(A17="","",IF(G17="No registrado","Código ausente en 2_Participantes",IF(AND(ISNUMBER(D17),NOT(ISNUMBER(C17))),"Postest sin pretest (huérfano)",IF(OR(AND(ISNUMBER(C17),OR(C17&lt;Inicio!$C$18,C17&gt;Inicio!$C$19)),AND(ISNUMBER(D17),OR(D17&lt;Inicio!$C$18,D17&gt;Inicio!$C$19))),"Fuera de rango",IF(COUNTIF($A$6:$A$305,A17)&gt;1,"Código duplicado","OK")))))</f>
        <v/>
      </c>
      <c r="K17" s="2" t="n"/>
      <c r="L17" s="45" t="inlineStr">
        <is>
          <t>Descriptivos de los pares analizados</t>
        </is>
      </c>
      <c r="M17" s="46" t="n"/>
      <c r="N17" s="46" t="n"/>
      <c r="O17" s="46" t="n"/>
      <c r="P17" s="2" t="n"/>
      <c r="Q17" s="2" t="n"/>
      <c r="R17" s="2" t="n"/>
    </row>
    <row r="18" ht="36" customHeight="1" s="67">
      <c r="A18" s="22" t="inlineStr">
        <is>
          <t>GU-TDH-016</t>
        </is>
      </c>
      <c r="B18" s="26">
        <f t="array" ref="B18">IF(A18="","",IFERROR(IF(INDEX('2_Participantes'!$B$6:$B$305,MATCH(A18,'2_Participantes'!$A$6:$A$305,0))="","",INDEX('2_Participantes'!$B$6:$B$305,MATCH(A18,'2_Participantes'!$A$6:$A$305,0))),"No registrado"))</f>
        <v/>
      </c>
      <c r="C18" s="15" t="n">
        <v>42.5</v>
      </c>
      <c r="D18" s="15" t="n">
        <v>82.5</v>
      </c>
      <c r="E18" s="32">
        <f>IF(AND(ISNUMBER(C18),ISNUMBER(D18)),D18-C18,"")</f>
        <v/>
      </c>
      <c r="F18" s="31">
        <f t="array" ref="F18">IF(A18="","",IFERROR(IF(INDEX('2_Participantes'!$E$6:$E$305,MATCH(A18,'2_Participantes'!$A$6:$A$305,0))="","",INDEX('2_Participantes'!$E$6:$E$305,MATCH(A18,'2_Participantes'!$A$6:$A$305,0))),""))</f>
        <v/>
      </c>
      <c r="G18" s="26">
        <f t="array" ref="G18">IF(A18="","",IFERROR(IF(INDEX('2_Participantes'!$F$6:$F$305,MATCH(A18,'2_Participantes'!$A$6:$A$305,0))="","",INDEX('2_Participantes'!$F$6:$F$305,MATCH(A18,'2_Participantes'!$A$6:$A$305,0))),"No registrado"))</f>
        <v/>
      </c>
      <c r="H18" s="47">
        <f t="array" ref="H18">IF(A18="","",IFERROR(IF(INDEX('2_Participantes'!$L$6:$L$305,MATCH(A18,'2_Participantes'!$A$6:$A$305,0))="","",INDEX('2_Participantes'!$L$6:$L$305,MATCH(A18,'2_Participantes'!$A$6:$A$305,0))),""))</f>
        <v/>
      </c>
      <c r="I18" s="31">
        <f>IF(A18="","",IF(AND(ISNUMBER(C18),ISNUMBER(D18),G18&lt;&gt;"Excluido"),1,0))</f>
        <v/>
      </c>
      <c r="J18" s="48">
        <f>IF(A18="","",IF(G18="No registrado","Código ausente en 2_Participantes",IF(AND(ISNUMBER(D18),NOT(ISNUMBER(C18))),"Postest sin pretest (huérfano)",IF(OR(AND(ISNUMBER(C18),OR(C18&lt;Inicio!$C$18,C18&gt;Inicio!$C$19)),AND(ISNUMBER(D18),OR(D18&lt;Inicio!$C$18,D18&gt;Inicio!$C$19))),"Fuera de rango",IF(COUNTIF($A$6:$A$305,A18)&gt;1,"Código duplicado","OK")))))</f>
        <v/>
      </c>
      <c r="K18" s="2" t="n"/>
      <c r="L18" s="17" t="inlineStr">
        <is>
          <t>Grupo</t>
        </is>
      </c>
      <c r="M18" s="17" t="inlineStr">
        <is>
          <t>n pares</t>
        </is>
      </c>
      <c r="N18" s="17" t="inlineStr">
        <is>
          <t>Media VD_PRE</t>
        </is>
      </c>
      <c r="O18" s="17" t="inlineStr">
        <is>
          <t>Media VD_POST</t>
        </is>
      </c>
      <c r="P18" s="17" t="inlineStr">
        <is>
          <t>Diferencia de medias</t>
        </is>
      </c>
      <c r="Q18" s="17" t="inlineStr">
        <is>
          <t>DE VD_PRE</t>
        </is>
      </c>
      <c r="R18" s="17" t="inlineStr">
        <is>
          <t>DE VD_POST</t>
        </is>
      </c>
    </row>
    <row r="19" ht="15" customHeight="1" s="67">
      <c r="A19" s="22" t="inlineStr">
        <is>
          <t>GU-TDH-017</t>
        </is>
      </c>
      <c r="B19" s="26">
        <f t="array" ref="B19">IF(A19="","",IFERROR(IF(INDEX('2_Participantes'!$B$6:$B$305,MATCH(A19,'2_Participantes'!$A$6:$A$305,0))="","",INDEX('2_Participantes'!$B$6:$B$305,MATCH(A19,'2_Participantes'!$A$6:$A$305,0))),"No registrado"))</f>
        <v/>
      </c>
      <c r="C19" s="15" t="n">
        <v>62.5</v>
      </c>
      <c r="D19" s="15" t="n">
        <v>75</v>
      </c>
      <c r="E19" s="32">
        <f>IF(AND(ISNUMBER(C19),ISNUMBER(D19)),D19-C19,"")</f>
        <v/>
      </c>
      <c r="F19" s="31">
        <f t="array" ref="F19">IF(A19="","",IFERROR(IF(INDEX('2_Participantes'!$E$6:$E$305,MATCH(A19,'2_Participantes'!$A$6:$A$305,0))="","",INDEX('2_Participantes'!$E$6:$E$305,MATCH(A19,'2_Participantes'!$A$6:$A$305,0))),""))</f>
        <v/>
      </c>
      <c r="G19" s="26">
        <f t="array" ref="G19">IF(A19="","",IFERROR(IF(INDEX('2_Participantes'!$F$6:$F$305,MATCH(A19,'2_Participantes'!$A$6:$A$305,0))="","",INDEX('2_Participantes'!$F$6:$F$305,MATCH(A19,'2_Participantes'!$A$6:$A$305,0))),"No registrado"))</f>
        <v/>
      </c>
      <c r="H19" s="47">
        <f t="array" ref="H19">IF(A19="","",IFERROR(IF(INDEX('2_Participantes'!$L$6:$L$305,MATCH(A19,'2_Participantes'!$A$6:$A$305,0))="","",INDEX('2_Participantes'!$L$6:$L$305,MATCH(A19,'2_Participantes'!$A$6:$A$305,0))),""))</f>
        <v/>
      </c>
      <c r="I19" s="31">
        <f>IF(A19="","",IF(AND(ISNUMBER(C19),ISNUMBER(D19),G19&lt;&gt;"Excluido"),1,0))</f>
        <v/>
      </c>
      <c r="J19" s="48">
        <f>IF(A19="","",IF(G19="No registrado","Código ausente en 2_Participantes",IF(AND(ISNUMBER(D19),NOT(ISNUMBER(C19))),"Postest sin pretest (huérfano)",IF(OR(AND(ISNUMBER(C19),OR(C19&lt;Inicio!$C$18,C19&gt;Inicio!$C$19)),AND(ISNUMBER(D19),OR(D19&lt;Inicio!$C$18,D19&gt;Inicio!$C$19))),"Fuera de rango",IF(COUNTIF($A$6:$A$305,A19)&gt;1,"Código duplicado","OK")))))</f>
        <v/>
      </c>
      <c r="K19" s="2" t="n"/>
      <c r="L19" s="50" t="inlineStr">
        <is>
          <t>GE</t>
        </is>
      </c>
      <c r="M19" s="31">
        <f>COUNTIFS(B6:B305,"GE",I6:I305,1)</f>
        <v/>
      </c>
      <c r="N19" s="51">
        <f>IFERROR(AVERAGEIFS(C6:C305,B6:B305,"GE",I6:I305,1),"")</f>
        <v/>
      </c>
      <c r="O19" s="51">
        <f>IFERROR(AVERAGEIFS(D6:D305,B6:B305,"GE",I6:I305,1),"")</f>
        <v/>
      </c>
      <c r="P19" s="52">
        <f>IF(OR(N19="",O19=""),"",O19-N19)</f>
        <v/>
      </c>
      <c r="Q19" s="51">
        <f>IF(M19&lt;2,"",SQRT((SUMPRODUCT((B6:B305="GE")*(I6:I305=1)*(C6:C305)^2)-M19*N19^2)/(M19-1)))</f>
        <v/>
      </c>
      <c r="R19" s="51">
        <f>IF(M19&lt;2,"",SQRT((SUMPRODUCT((B6:B305="GE")*(I6:I305=1)*(D6:D305)^2)-M19*O19^2)/(M19-1)))</f>
        <v/>
      </c>
    </row>
    <row r="20" ht="15" customHeight="1" s="67">
      <c r="A20" s="22" t="inlineStr">
        <is>
          <t>GU-TDH-019</t>
        </is>
      </c>
      <c r="B20" s="26">
        <f t="array" ref="B20">IF(A20="","",IFERROR(IF(INDEX('2_Participantes'!$B$6:$B$305,MATCH(A20,'2_Participantes'!$A$6:$A$305,0))="","",INDEX('2_Participantes'!$B$6:$B$305,MATCH(A20,'2_Participantes'!$A$6:$A$305,0))),"No registrado"))</f>
        <v/>
      </c>
      <c r="C20" s="15" t="n">
        <v>67.5</v>
      </c>
      <c r="D20" s="15" t="n">
        <v>85</v>
      </c>
      <c r="E20" s="32">
        <f>IF(AND(ISNUMBER(C20),ISNUMBER(D20)),D20-C20,"")</f>
        <v/>
      </c>
      <c r="F20" s="31">
        <f t="array" ref="F20">IF(A20="","",IFERROR(IF(INDEX('2_Participantes'!$E$6:$E$305,MATCH(A20,'2_Participantes'!$A$6:$A$305,0))="","",INDEX('2_Participantes'!$E$6:$E$305,MATCH(A20,'2_Participantes'!$A$6:$A$305,0))),""))</f>
        <v/>
      </c>
      <c r="G20" s="26">
        <f t="array" ref="G20">IF(A20="","",IFERROR(IF(INDEX('2_Participantes'!$F$6:$F$305,MATCH(A20,'2_Participantes'!$A$6:$A$305,0))="","",INDEX('2_Participantes'!$F$6:$F$305,MATCH(A20,'2_Participantes'!$A$6:$A$305,0))),"No registrado"))</f>
        <v/>
      </c>
      <c r="H20" s="47">
        <f t="array" ref="H20">IF(A20="","",IFERROR(IF(INDEX('2_Participantes'!$L$6:$L$305,MATCH(A20,'2_Participantes'!$A$6:$A$305,0))="","",INDEX('2_Participantes'!$L$6:$L$305,MATCH(A20,'2_Participantes'!$A$6:$A$305,0))),""))</f>
        <v/>
      </c>
      <c r="I20" s="31">
        <f>IF(A20="","",IF(AND(ISNUMBER(C20),ISNUMBER(D20),G20&lt;&gt;"Excluido"),1,0))</f>
        <v/>
      </c>
      <c r="J20" s="48">
        <f>IF(A20="","",IF(G20="No registrado","Código ausente en 2_Participantes",IF(AND(ISNUMBER(D20),NOT(ISNUMBER(C20))),"Postest sin pretest (huérfano)",IF(OR(AND(ISNUMBER(C20),OR(C20&lt;Inicio!$C$18,C20&gt;Inicio!$C$19)),AND(ISNUMBER(D20),OR(D20&lt;Inicio!$C$18,D20&gt;Inicio!$C$19))),"Fuera de rango",IF(COUNTIF($A$6:$A$305,A20)&gt;1,"Código duplicado","OK")))))</f>
        <v/>
      </c>
      <c r="K20" s="2" t="n"/>
      <c r="L20" s="50" t="inlineStr">
        <is>
          <t>GC</t>
        </is>
      </c>
      <c r="M20" s="31">
        <f>COUNTIFS(B6:B305,"GC",I6:I305,1)</f>
        <v/>
      </c>
      <c r="N20" s="51">
        <f>IFERROR(AVERAGEIFS(C6:C305,B6:B305,"GC",I6:I305,1),"")</f>
        <v/>
      </c>
      <c r="O20" s="51">
        <f>IFERROR(AVERAGEIFS(D6:D305,B6:B305,"GC",I6:I305,1),"")</f>
        <v/>
      </c>
      <c r="P20" s="52">
        <f>IF(OR(N20="",O20=""),"",O20-N20)</f>
        <v/>
      </c>
      <c r="Q20" s="51">
        <f>IF(M20&lt;2,"",SQRT((SUMPRODUCT((B6:B305="GC")*(I6:I305=1)*(C6:C305)^2)-M20*N20^2)/(M20-1)))</f>
        <v/>
      </c>
      <c r="R20" s="51">
        <f>IF(M20&lt;2,"",SQRT((SUMPRODUCT((B6:B305="GC")*(I6:I305=1)*(D6:D305)^2)-M20*O20^2)/(M20-1)))</f>
        <v/>
      </c>
    </row>
    <row r="21" ht="15" customHeight="1" s="67">
      <c r="A21" s="22" t="inlineStr">
        <is>
          <t>GU-TDH-020</t>
        </is>
      </c>
      <c r="B21" s="26">
        <f t="array" ref="B21">IF(A21="","",IFERROR(IF(INDEX('2_Participantes'!$B$6:$B$305,MATCH(A21,'2_Participantes'!$A$6:$A$305,0))="","",INDEX('2_Participantes'!$B$6:$B$305,MATCH(A21,'2_Participantes'!$A$6:$A$305,0))),"No registrado"))</f>
        <v/>
      </c>
      <c r="C21" s="15" t="n">
        <v>57.5</v>
      </c>
      <c r="D21" s="15" t="n">
        <v>67.5</v>
      </c>
      <c r="E21" s="32">
        <f>IF(AND(ISNUMBER(C21),ISNUMBER(D21)),D21-C21,"")</f>
        <v/>
      </c>
      <c r="F21" s="31">
        <f t="array" ref="F21">IF(A21="","",IFERROR(IF(INDEX('2_Participantes'!$E$6:$E$305,MATCH(A21,'2_Participantes'!$A$6:$A$305,0))="","",INDEX('2_Participantes'!$E$6:$E$305,MATCH(A21,'2_Participantes'!$A$6:$A$305,0))),""))</f>
        <v/>
      </c>
      <c r="G21" s="26">
        <f t="array" ref="G21">IF(A21="","",IFERROR(IF(INDEX('2_Participantes'!$F$6:$F$305,MATCH(A21,'2_Participantes'!$A$6:$A$305,0))="","",INDEX('2_Participantes'!$F$6:$F$305,MATCH(A21,'2_Participantes'!$A$6:$A$305,0))),"No registrado"))</f>
        <v/>
      </c>
      <c r="H21" s="47">
        <f t="array" ref="H21">IF(A21="","",IFERROR(IF(INDEX('2_Participantes'!$L$6:$L$305,MATCH(A21,'2_Participantes'!$A$6:$A$305,0))="","",INDEX('2_Participantes'!$L$6:$L$305,MATCH(A21,'2_Participantes'!$A$6:$A$305,0))),""))</f>
        <v/>
      </c>
      <c r="I21" s="31">
        <f>IF(A21="","",IF(AND(ISNUMBER(C21),ISNUMBER(D21),G21&lt;&gt;"Excluido"),1,0))</f>
        <v/>
      </c>
      <c r="J21" s="48">
        <f>IF(A21="","",IF(G21="No registrado","Código ausente en 2_Participantes",IF(AND(ISNUMBER(D21),NOT(ISNUMBER(C21))),"Postest sin pretest (huérfano)",IF(OR(AND(ISNUMBER(C21),OR(C21&lt;Inicio!$C$18,C21&gt;Inicio!$C$19)),AND(ISNUMBER(D21),OR(D21&lt;Inicio!$C$18,D21&gt;Inicio!$C$19))),"Fuera de rango",IF(COUNTIF($A$6:$A$305,A21)&gt;1,"Código duplicado","OK")))))</f>
        <v/>
      </c>
      <c r="K21" s="2" t="n"/>
      <c r="L21" s="50" t="inlineStr">
        <is>
          <t>G</t>
        </is>
      </c>
      <c r="M21" s="31">
        <f>COUNTIFS(B6:B305,"G",I6:I305,1)</f>
        <v/>
      </c>
      <c r="N21" s="51">
        <f>IFERROR(AVERAGEIFS(C6:C305,B6:B305,"G",I6:I305,1),"")</f>
        <v/>
      </c>
      <c r="O21" s="51">
        <f>IFERROR(AVERAGEIFS(D6:D305,B6:B305,"G",I6:I305,1),"")</f>
        <v/>
      </c>
      <c r="P21" s="52">
        <f>IF(OR(N21="",O21=""),"",O21-N21)</f>
        <v/>
      </c>
      <c r="Q21" s="51">
        <f>IF(M21&lt;2,"",SQRT((SUMPRODUCT((B6:B305="G")*(I6:I305=1)*(C6:C305)^2)-M21*N21^2)/(M21-1)))</f>
        <v/>
      </c>
      <c r="R21" s="51">
        <f>IF(M21&lt;2,"",SQRT((SUMPRODUCT((B6:B305="G")*(I6:I305=1)*(D6:D305)^2)-M21*O21^2)/(M21-1)))</f>
        <v/>
      </c>
    </row>
    <row r="22" ht="39.75" customHeight="1" s="67">
      <c r="A22" s="22" t="inlineStr">
        <is>
          <t>GU-TDH-021</t>
        </is>
      </c>
      <c r="B22" s="26">
        <f t="array" ref="B22">IF(A22="","",IFERROR(IF(INDEX('2_Participantes'!$B$6:$B$305,MATCH(A22,'2_Participantes'!$A$6:$A$305,0))="","",INDEX('2_Participantes'!$B$6:$B$305,MATCH(A22,'2_Participantes'!$A$6:$A$305,0))),"No registrado"))</f>
        <v/>
      </c>
      <c r="C22" s="15" t="n">
        <v>55</v>
      </c>
      <c r="D22" s="15" t="n">
        <v>80</v>
      </c>
      <c r="E22" s="32">
        <f>IF(AND(ISNUMBER(C22),ISNUMBER(D22)),D22-C22,"")</f>
        <v/>
      </c>
      <c r="F22" s="31">
        <f t="array" ref="F22">IF(A22="","",IFERROR(IF(INDEX('2_Participantes'!$E$6:$E$305,MATCH(A22,'2_Participantes'!$A$6:$A$305,0))="","",INDEX('2_Participantes'!$E$6:$E$305,MATCH(A22,'2_Participantes'!$A$6:$A$305,0))),""))</f>
        <v/>
      </c>
      <c r="G22" s="26">
        <f t="array" ref="G22">IF(A22="","",IFERROR(IF(INDEX('2_Participantes'!$F$6:$F$305,MATCH(A22,'2_Participantes'!$A$6:$A$305,0))="","",INDEX('2_Participantes'!$F$6:$F$305,MATCH(A22,'2_Participantes'!$A$6:$A$305,0))),"No registrado"))</f>
        <v/>
      </c>
      <c r="H22" s="47">
        <f t="array" ref="H22">IF(A22="","",IFERROR(IF(INDEX('2_Participantes'!$L$6:$L$305,MATCH(A22,'2_Participantes'!$A$6:$A$305,0))="","",INDEX('2_Participantes'!$L$6:$L$305,MATCH(A22,'2_Participantes'!$A$6:$A$305,0))),""))</f>
        <v/>
      </c>
      <c r="I22" s="31">
        <f>IF(A22="","",IF(AND(ISNUMBER(C22),ISNUMBER(D22),G22&lt;&gt;"Excluido"),1,0))</f>
        <v/>
      </c>
      <c r="J22" s="48">
        <f>IF(A22="","",IF(G22="No registrado","Código ausente en 2_Participantes",IF(AND(ISNUMBER(D22),NOT(ISNUMBER(C22))),"Postest sin pretest (huérfano)",IF(OR(AND(ISNUMBER(C22),OR(C22&lt;Inicio!$C$18,C22&gt;Inicio!$C$19)),AND(ISNUMBER(D22),OR(D22&lt;Inicio!$C$18,D22&gt;Inicio!$C$19))),"Fuera de rango",IF(COUNTIF($A$6:$A$305,A22)&gt;1,"Código duplicado","OK")))))</f>
        <v/>
      </c>
      <c r="K22" s="2" t="n"/>
      <c r="L22" s="18" t="inlineStr">
        <is>
          <t>DE = desviación estándar muestral de los pares analizados. La comparación de la línea base de quienes se retiraron frente a quienes completaron (ESTADO = Activo) es el análisis del sesgo por atrición que pide la rúbrica.</t>
        </is>
      </c>
    </row>
    <row r="23" ht="15" customHeight="1" s="67">
      <c r="A23" s="22" t="inlineStr">
        <is>
          <t>GU-TDH-022</t>
        </is>
      </c>
      <c r="B23" s="26">
        <f t="array" ref="B23">IF(A23="","",IFERROR(IF(INDEX('2_Participantes'!$B$6:$B$305,MATCH(A23,'2_Participantes'!$A$6:$A$305,0))="","",INDEX('2_Participantes'!$B$6:$B$305,MATCH(A23,'2_Participantes'!$A$6:$A$305,0))),"No registrado"))</f>
        <v/>
      </c>
      <c r="C23" s="15" t="n">
        <v>52.5</v>
      </c>
      <c r="D23" s="15" t="n">
        <v>87.5</v>
      </c>
      <c r="E23" s="32">
        <f>IF(AND(ISNUMBER(C23),ISNUMBER(D23)),D23-C23,"")</f>
        <v/>
      </c>
      <c r="F23" s="31">
        <f t="array" ref="F23">IF(A23="","",IFERROR(IF(INDEX('2_Participantes'!$E$6:$E$305,MATCH(A23,'2_Participantes'!$A$6:$A$305,0))="","",INDEX('2_Participantes'!$E$6:$E$305,MATCH(A23,'2_Participantes'!$A$6:$A$305,0))),""))</f>
        <v/>
      </c>
      <c r="G23" s="26">
        <f t="array" ref="G23">IF(A23="","",IFERROR(IF(INDEX('2_Participantes'!$F$6:$F$305,MATCH(A23,'2_Participantes'!$A$6:$A$305,0))="","",INDEX('2_Participantes'!$F$6:$F$305,MATCH(A23,'2_Participantes'!$A$6:$A$305,0))),"No registrado"))</f>
        <v/>
      </c>
      <c r="H23" s="47">
        <f t="array" ref="H23">IF(A23="","",IFERROR(IF(INDEX('2_Participantes'!$L$6:$L$305,MATCH(A23,'2_Participantes'!$A$6:$A$305,0))="","",INDEX('2_Participantes'!$L$6:$L$305,MATCH(A23,'2_Participantes'!$A$6:$A$305,0))),""))</f>
        <v/>
      </c>
      <c r="I23" s="31">
        <f>IF(A23="","",IF(AND(ISNUMBER(C23),ISNUMBER(D23),G23&lt;&gt;"Excluido"),1,0))</f>
        <v/>
      </c>
      <c r="J23" s="48">
        <f>IF(A23="","",IF(G23="No registrado","Código ausente en 2_Participantes",IF(AND(ISNUMBER(D23),NOT(ISNUMBER(C23))),"Postest sin pretest (huérfano)",IF(OR(AND(ISNUMBER(C23),OR(C23&lt;Inicio!$C$18,C23&gt;Inicio!$C$19)),AND(ISNUMBER(D23),OR(D23&lt;Inicio!$C$18,D23&gt;Inicio!$C$19))),"Fuera de rango",IF(COUNTIF($A$6:$A$305,A23)&gt;1,"Código duplicado","OK")))))</f>
        <v/>
      </c>
      <c r="K23" s="2" t="n"/>
      <c r="L23" s="2" t="n"/>
      <c r="M23" s="2" t="n"/>
      <c r="N23" s="2" t="n"/>
      <c r="O23" s="2" t="n"/>
      <c r="P23" s="2" t="n"/>
      <c r="Q23" s="2" t="n"/>
      <c r="R23" s="2" t="n"/>
    </row>
    <row r="24" ht="36" customHeight="1" s="67">
      <c r="A24" s="22" t="inlineStr">
        <is>
          <t>GU-TDH-023</t>
        </is>
      </c>
      <c r="B24" s="26">
        <f t="array" ref="B24">IF(A24="","",IFERROR(IF(INDEX('2_Participantes'!$B$6:$B$305,MATCH(A24,'2_Participantes'!$A$6:$A$305,0))="","",INDEX('2_Participantes'!$B$6:$B$305,MATCH(A24,'2_Participantes'!$A$6:$A$305,0))),"No registrado"))</f>
        <v/>
      </c>
      <c r="C24" s="15" t="n">
        <v>50</v>
      </c>
      <c r="D24" s="15" t="n">
        <v>95</v>
      </c>
      <c r="E24" s="32">
        <f>IF(AND(ISNUMBER(C24),ISNUMBER(D24)),D24-C24,"")</f>
        <v/>
      </c>
      <c r="F24" s="31">
        <f t="array" ref="F24">IF(A24="","",IFERROR(IF(INDEX('2_Participantes'!$E$6:$E$305,MATCH(A24,'2_Participantes'!$A$6:$A$305,0))="","",INDEX('2_Participantes'!$E$6:$E$305,MATCH(A24,'2_Participantes'!$A$6:$A$305,0))),""))</f>
        <v/>
      </c>
      <c r="G24" s="26">
        <f t="array" ref="G24">IF(A24="","",IFERROR(IF(INDEX('2_Participantes'!$F$6:$F$305,MATCH(A24,'2_Participantes'!$A$6:$A$305,0))="","",INDEX('2_Participantes'!$F$6:$F$305,MATCH(A24,'2_Participantes'!$A$6:$A$305,0))),"No registrado"))</f>
        <v/>
      </c>
      <c r="H24" s="47">
        <f t="array" ref="H24">IF(A24="","",IFERROR(IF(INDEX('2_Participantes'!$L$6:$L$305,MATCH(A24,'2_Participantes'!$A$6:$A$305,0))="","",INDEX('2_Participantes'!$L$6:$L$305,MATCH(A24,'2_Participantes'!$A$6:$A$305,0))),""))</f>
        <v/>
      </c>
      <c r="I24" s="31">
        <f>IF(A24="","",IF(AND(ISNUMBER(C24),ISNUMBER(D24),G24&lt;&gt;"Excluido"),1,0))</f>
        <v/>
      </c>
      <c r="J24" s="48">
        <f>IF(A24="","",IF(G24="No registrado","Código ausente en 2_Participantes",IF(AND(ISNUMBER(D24),NOT(ISNUMBER(C24))),"Postest sin pretest (huérfano)",IF(OR(AND(ISNUMBER(C24),OR(C24&lt;Inicio!$C$18,C24&gt;Inicio!$C$19)),AND(ISNUMBER(D24),OR(D24&lt;Inicio!$C$18,D24&gt;Inicio!$C$19))),"Fuera de rango",IF(COUNTIF($A$6:$A$305,A24)&gt;1,"Código duplicado","OK")))))</f>
        <v/>
      </c>
      <c r="K24" s="2" t="n"/>
      <c r="L24" s="17" t="inlineStr">
        <is>
          <t>Grupo</t>
        </is>
      </c>
      <c r="M24" s="17" t="inlineStr">
        <is>
          <t>Media VD_PRE de retirados</t>
        </is>
      </c>
      <c r="N24" s="17" t="inlineStr">
        <is>
          <t>Media VD_PRE de quienes completaron</t>
        </is>
      </c>
      <c r="O24" s="17" t="inlineStr">
        <is>
          <t>Diferencia</t>
        </is>
      </c>
      <c r="P24" s="2" t="n"/>
      <c r="Q24" s="2" t="n"/>
      <c r="R24" s="2" t="n"/>
    </row>
    <row r="25" ht="15" customHeight="1" s="67">
      <c r="A25" s="22" t="inlineStr">
        <is>
          <t>GU-TDH-024</t>
        </is>
      </c>
      <c r="B25" s="26">
        <f t="array" ref="B25">IF(A25="","",IFERROR(IF(INDEX('2_Participantes'!$B$6:$B$305,MATCH(A25,'2_Participantes'!$A$6:$A$305,0))="","",INDEX('2_Participantes'!$B$6:$B$305,MATCH(A25,'2_Participantes'!$A$6:$A$305,0))),"No registrado"))</f>
        <v/>
      </c>
      <c r="C25" s="15" t="n">
        <v>57.5</v>
      </c>
      <c r="D25" s="15" t="n">
        <v>80</v>
      </c>
      <c r="E25" s="32">
        <f>IF(AND(ISNUMBER(C25),ISNUMBER(D25)),D25-C25,"")</f>
        <v/>
      </c>
      <c r="F25" s="31">
        <f t="array" ref="F25">IF(A25="","",IFERROR(IF(INDEX('2_Participantes'!$E$6:$E$305,MATCH(A25,'2_Participantes'!$A$6:$A$305,0))="","",INDEX('2_Participantes'!$E$6:$E$305,MATCH(A25,'2_Participantes'!$A$6:$A$305,0))),""))</f>
        <v/>
      </c>
      <c r="G25" s="26">
        <f t="array" ref="G25">IF(A25="","",IFERROR(IF(INDEX('2_Participantes'!$F$6:$F$305,MATCH(A25,'2_Participantes'!$A$6:$A$305,0))="","",INDEX('2_Participantes'!$F$6:$F$305,MATCH(A25,'2_Participantes'!$A$6:$A$305,0))),"No registrado"))</f>
        <v/>
      </c>
      <c r="H25" s="47">
        <f t="array" ref="H25">IF(A25="","",IFERROR(IF(INDEX('2_Participantes'!$L$6:$L$305,MATCH(A25,'2_Participantes'!$A$6:$A$305,0))="","",INDEX('2_Participantes'!$L$6:$L$305,MATCH(A25,'2_Participantes'!$A$6:$A$305,0))),""))</f>
        <v/>
      </c>
      <c r="I25" s="31">
        <f>IF(A25="","",IF(AND(ISNUMBER(C25),ISNUMBER(D25),G25&lt;&gt;"Excluido"),1,0))</f>
        <v/>
      </c>
      <c r="J25" s="48">
        <f>IF(A25="","",IF(G25="No registrado","Código ausente en 2_Participantes",IF(AND(ISNUMBER(D25),NOT(ISNUMBER(C25))),"Postest sin pretest (huérfano)",IF(OR(AND(ISNUMBER(C25),OR(C25&lt;Inicio!$C$18,C25&gt;Inicio!$C$19)),AND(ISNUMBER(D25),OR(D25&lt;Inicio!$C$18,D25&gt;Inicio!$C$19))),"Fuera de rango",IF(COUNTIF($A$6:$A$305,A25)&gt;1,"Código duplicado","OK")))))</f>
        <v/>
      </c>
      <c r="K25" s="2" t="n"/>
      <c r="L25" s="50" t="inlineStr">
        <is>
          <t>GE</t>
        </is>
      </c>
      <c r="M25" s="51">
        <f>IFERROR(AVERAGEIFS(C6:C305,B6:B305,"GE",G6:G305,"Retirado"),"")</f>
        <v/>
      </c>
      <c r="N25" s="51">
        <f>IFERROR(AVERAGEIFS(C6:C305,B6:B305,"GE",G6:G305,"Activo"),"")</f>
        <v/>
      </c>
      <c r="O25" s="52">
        <f>IF(OR(M25="",N25=""),"",M25-N25)</f>
        <v/>
      </c>
      <c r="P25" s="2" t="n"/>
      <c r="Q25" s="2" t="n"/>
      <c r="R25" s="2" t="n"/>
    </row>
    <row r="26" ht="15" customHeight="1" s="67">
      <c r="A26" s="22" t="inlineStr">
        <is>
          <t>GU-TDH-025</t>
        </is>
      </c>
      <c r="B26" s="26">
        <f t="array" ref="B26">IF(A26="","",IFERROR(IF(INDEX('2_Participantes'!$B$6:$B$305,MATCH(A26,'2_Participantes'!$A$6:$A$305,0))="","",INDEX('2_Participantes'!$B$6:$B$305,MATCH(A26,'2_Participantes'!$A$6:$A$305,0))),"No registrado"))</f>
        <v/>
      </c>
      <c r="C26" s="15" t="n">
        <v>62.5</v>
      </c>
      <c r="D26" s="15" t="n">
        <v>75</v>
      </c>
      <c r="E26" s="32">
        <f>IF(AND(ISNUMBER(C26),ISNUMBER(D26)),D26-C26,"")</f>
        <v/>
      </c>
      <c r="F26" s="31">
        <f t="array" ref="F26">IF(A26="","",IFERROR(IF(INDEX('2_Participantes'!$E$6:$E$305,MATCH(A26,'2_Participantes'!$A$6:$A$305,0))="","",INDEX('2_Participantes'!$E$6:$E$305,MATCH(A26,'2_Participantes'!$A$6:$A$305,0))),""))</f>
        <v/>
      </c>
      <c r="G26" s="26">
        <f t="array" ref="G26">IF(A26="","",IFERROR(IF(INDEX('2_Participantes'!$F$6:$F$305,MATCH(A26,'2_Participantes'!$A$6:$A$305,0))="","",INDEX('2_Participantes'!$F$6:$F$305,MATCH(A26,'2_Participantes'!$A$6:$A$305,0))),"No registrado"))</f>
        <v/>
      </c>
      <c r="H26" s="47">
        <f t="array" ref="H26">IF(A26="","",IFERROR(IF(INDEX('2_Participantes'!$L$6:$L$305,MATCH(A26,'2_Participantes'!$A$6:$A$305,0))="","",INDEX('2_Participantes'!$L$6:$L$305,MATCH(A26,'2_Participantes'!$A$6:$A$305,0))),""))</f>
        <v/>
      </c>
      <c r="I26" s="31">
        <f>IF(A26="","",IF(AND(ISNUMBER(C26),ISNUMBER(D26),G26&lt;&gt;"Excluido"),1,0))</f>
        <v/>
      </c>
      <c r="J26" s="48">
        <f>IF(A26="","",IF(G26="No registrado","Código ausente en 2_Participantes",IF(AND(ISNUMBER(D26),NOT(ISNUMBER(C26))),"Postest sin pretest (huérfano)",IF(OR(AND(ISNUMBER(C26),OR(C26&lt;Inicio!$C$18,C26&gt;Inicio!$C$19)),AND(ISNUMBER(D26),OR(D26&lt;Inicio!$C$18,D26&gt;Inicio!$C$19))),"Fuera de rango",IF(COUNTIF($A$6:$A$305,A26)&gt;1,"Código duplicado","OK")))))</f>
        <v/>
      </c>
      <c r="K26" s="2" t="n"/>
      <c r="L26" s="50" t="inlineStr">
        <is>
          <t>GC</t>
        </is>
      </c>
      <c r="M26" s="51">
        <f>IFERROR(AVERAGEIFS(C6:C305,B6:B305,"GC",G6:G305,"Retirado"),"")</f>
        <v/>
      </c>
      <c r="N26" s="51">
        <f>IFERROR(AVERAGEIFS(C6:C305,B6:B305,"GC",G6:G305,"Activo"),"")</f>
        <v/>
      </c>
      <c r="O26" s="52">
        <f>IF(OR(M26="",N26=""),"",M26-N26)</f>
        <v/>
      </c>
      <c r="P26" s="2" t="n"/>
      <c r="Q26" s="2" t="n"/>
      <c r="R26" s="2" t="n"/>
    </row>
    <row r="27" ht="15" customHeight="1" s="67">
      <c r="A27" s="22" t="inlineStr">
        <is>
          <t>GU-TDH-026</t>
        </is>
      </c>
      <c r="B27" s="26">
        <f t="array" ref="B27">IF(A27="","",IFERROR(IF(INDEX('2_Participantes'!$B$6:$B$305,MATCH(A27,'2_Participantes'!$A$6:$A$305,0))="","",INDEX('2_Participantes'!$B$6:$B$305,MATCH(A27,'2_Participantes'!$A$6:$A$305,0))),"No registrado"))</f>
        <v/>
      </c>
      <c r="C27" s="15" t="n">
        <v>55</v>
      </c>
      <c r="D27" s="15" t="n">
        <v>40</v>
      </c>
      <c r="E27" s="32">
        <f>IF(AND(ISNUMBER(C27),ISNUMBER(D27)),D27-C27,"")</f>
        <v/>
      </c>
      <c r="F27" s="31">
        <f t="array" ref="F27">IF(A27="","",IFERROR(IF(INDEX('2_Participantes'!$E$6:$E$305,MATCH(A27,'2_Participantes'!$A$6:$A$305,0))="","",INDEX('2_Participantes'!$E$6:$E$305,MATCH(A27,'2_Participantes'!$A$6:$A$305,0))),""))</f>
        <v/>
      </c>
      <c r="G27" s="26">
        <f t="array" ref="G27">IF(A27="","",IFERROR(IF(INDEX('2_Participantes'!$F$6:$F$305,MATCH(A27,'2_Participantes'!$A$6:$A$305,0))="","",INDEX('2_Participantes'!$F$6:$F$305,MATCH(A27,'2_Participantes'!$A$6:$A$305,0))),"No registrado"))</f>
        <v/>
      </c>
      <c r="H27" s="47">
        <f t="array" ref="H27">IF(A27="","",IFERROR(IF(INDEX('2_Participantes'!$L$6:$L$305,MATCH(A27,'2_Participantes'!$A$6:$A$305,0))="","",INDEX('2_Participantes'!$L$6:$L$305,MATCH(A27,'2_Participantes'!$A$6:$A$305,0))),""))</f>
        <v/>
      </c>
      <c r="I27" s="31">
        <f>IF(A27="","",IF(AND(ISNUMBER(C27),ISNUMBER(D27),G27&lt;&gt;"Excluido"),1,0))</f>
        <v/>
      </c>
      <c r="J27" s="48">
        <f>IF(A27="","",IF(G27="No registrado","Código ausente en 2_Participantes",IF(AND(ISNUMBER(D27),NOT(ISNUMBER(C27))),"Postest sin pretest (huérfano)",IF(OR(AND(ISNUMBER(C27),OR(C27&lt;Inicio!$C$18,C27&gt;Inicio!$C$19)),AND(ISNUMBER(D27),OR(D27&lt;Inicio!$C$18,D27&gt;Inicio!$C$19))),"Fuera de rango",IF(COUNTIF($A$6:$A$305,A27)&gt;1,"Código duplicado","OK")))))</f>
        <v/>
      </c>
      <c r="K27" s="2" t="n"/>
      <c r="L27" s="50" t="inlineStr">
        <is>
          <t>G</t>
        </is>
      </c>
      <c r="M27" s="51">
        <f>IFERROR(AVERAGEIFS(C6:C305,B6:B305,"G",G6:G305,"Retirado"),"")</f>
        <v/>
      </c>
      <c r="N27" s="51">
        <f>IFERROR(AVERAGEIFS(C6:C305,B6:B305,"G",G6:G305,"Activo"),"")</f>
        <v/>
      </c>
      <c r="O27" s="52">
        <f>IF(OR(M27="",N27=""),"",M27-N27)</f>
        <v/>
      </c>
      <c r="P27" s="2" t="n"/>
      <c r="Q27" s="2" t="n"/>
      <c r="R27" s="2" t="n"/>
    </row>
    <row r="28" ht="15" customHeight="1" s="67">
      <c r="A28" s="22" t="inlineStr">
        <is>
          <t>GU-TDH-027</t>
        </is>
      </c>
      <c r="B28" s="26">
        <f t="array" ref="B28">IF(A28="","",IFERROR(IF(INDEX('2_Participantes'!$B$6:$B$305,MATCH(A28,'2_Participantes'!$A$6:$A$305,0))="","",INDEX('2_Participantes'!$B$6:$B$305,MATCH(A28,'2_Participantes'!$A$6:$A$305,0))),"No registrado"))</f>
        <v/>
      </c>
      <c r="C28" s="15" t="n">
        <v>45</v>
      </c>
      <c r="D28" s="15" t="n">
        <v>72.5</v>
      </c>
      <c r="E28" s="32">
        <f>IF(AND(ISNUMBER(C28),ISNUMBER(D28)),D28-C28,"")</f>
        <v/>
      </c>
      <c r="F28" s="31">
        <f t="array" ref="F28">IF(A28="","",IFERROR(IF(INDEX('2_Participantes'!$E$6:$E$305,MATCH(A28,'2_Participantes'!$A$6:$A$305,0))="","",INDEX('2_Participantes'!$E$6:$E$305,MATCH(A28,'2_Participantes'!$A$6:$A$305,0))),""))</f>
        <v/>
      </c>
      <c r="G28" s="26">
        <f t="array" ref="G28">IF(A28="","",IFERROR(IF(INDEX('2_Participantes'!$F$6:$F$305,MATCH(A28,'2_Participantes'!$A$6:$A$305,0))="","",INDEX('2_Participantes'!$F$6:$F$305,MATCH(A28,'2_Participantes'!$A$6:$A$305,0))),"No registrado"))</f>
        <v/>
      </c>
      <c r="H28" s="47">
        <f t="array" ref="H28">IF(A28="","",IFERROR(IF(INDEX('2_Participantes'!$L$6:$L$305,MATCH(A28,'2_Participantes'!$A$6:$A$305,0))="","",INDEX('2_Participantes'!$L$6:$L$305,MATCH(A28,'2_Participantes'!$A$6:$A$305,0))),""))</f>
        <v/>
      </c>
      <c r="I28" s="31">
        <f>IF(A28="","",IF(AND(ISNUMBER(C28),ISNUMBER(D28),G28&lt;&gt;"Excluido"),1,0))</f>
        <v/>
      </c>
      <c r="J28" s="48">
        <f>IF(A28="","",IF(G28="No registrado","Código ausente en 2_Participantes",IF(AND(ISNUMBER(D28),NOT(ISNUMBER(C28))),"Postest sin pretest (huérfano)",IF(OR(AND(ISNUMBER(C28),OR(C28&lt;Inicio!$C$18,C28&gt;Inicio!$C$19)),AND(ISNUMBER(D28),OR(D28&lt;Inicio!$C$18,D28&gt;Inicio!$C$19))),"Fuera de rango",IF(COUNTIF($A$6:$A$305,A28)&gt;1,"Código duplicado","OK")))))</f>
        <v/>
      </c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15" customHeight="1" s="67">
      <c r="A29" s="22" t="inlineStr">
        <is>
          <t>GU-TDH-028</t>
        </is>
      </c>
      <c r="B29" s="26">
        <f t="array" ref="B29">IF(A29="","",IFERROR(IF(INDEX('2_Participantes'!$B$6:$B$305,MATCH(A29,'2_Participantes'!$A$6:$A$305,0))="","",INDEX('2_Participantes'!$B$6:$B$305,MATCH(A29,'2_Participantes'!$A$6:$A$305,0))),"No registrado"))</f>
        <v/>
      </c>
      <c r="C29" s="15" t="n">
        <v>52.5</v>
      </c>
      <c r="D29" s="15" t="n">
        <v>70</v>
      </c>
      <c r="E29" s="32">
        <f>IF(AND(ISNUMBER(C29),ISNUMBER(D29)),D29-C29,"")</f>
        <v/>
      </c>
      <c r="F29" s="31">
        <f t="array" ref="F29">IF(A29="","",IFERROR(IF(INDEX('2_Participantes'!$E$6:$E$305,MATCH(A29,'2_Participantes'!$A$6:$A$305,0))="","",INDEX('2_Participantes'!$E$6:$E$305,MATCH(A29,'2_Participantes'!$A$6:$A$305,0))),""))</f>
        <v/>
      </c>
      <c r="G29" s="26">
        <f t="array" ref="G29">IF(A29="","",IFERROR(IF(INDEX('2_Participantes'!$F$6:$F$305,MATCH(A29,'2_Participantes'!$A$6:$A$305,0))="","",INDEX('2_Participantes'!$F$6:$F$305,MATCH(A29,'2_Participantes'!$A$6:$A$305,0))),"No registrado"))</f>
        <v/>
      </c>
      <c r="H29" s="47">
        <f t="array" ref="H29">IF(A29="","",IFERROR(IF(INDEX('2_Participantes'!$L$6:$L$305,MATCH(A29,'2_Participantes'!$A$6:$A$305,0))="","",INDEX('2_Participantes'!$L$6:$L$305,MATCH(A29,'2_Participantes'!$A$6:$A$305,0))),""))</f>
        <v/>
      </c>
      <c r="I29" s="31">
        <f>IF(A29="","",IF(AND(ISNUMBER(C29),ISNUMBER(D29),G29&lt;&gt;"Excluido"),1,0))</f>
        <v/>
      </c>
      <c r="J29" s="48">
        <f>IF(A29="","",IF(G29="No registrado","Código ausente en 2_Participantes",IF(AND(ISNUMBER(D29),NOT(ISNUMBER(C29))),"Postest sin pretest (huérfano)",IF(OR(AND(ISNUMBER(C29),OR(C29&lt;Inicio!$C$18,C29&gt;Inicio!$C$19)),AND(ISNUMBER(D29),OR(D29&lt;Inicio!$C$18,D29&gt;Inicio!$C$19))),"Fuera de rango",IF(COUNTIF($A$6:$A$305,A29)&gt;1,"Código duplicado","OK")))))</f>
        <v/>
      </c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15" customHeight="1" s="67">
      <c r="A30" s="22" t="inlineStr">
        <is>
          <t>GU-TDH-029</t>
        </is>
      </c>
      <c r="B30" s="26">
        <f t="array" ref="B30">IF(A30="","",IFERROR(IF(INDEX('2_Participantes'!$B$6:$B$305,MATCH(A30,'2_Participantes'!$A$6:$A$305,0))="","",INDEX('2_Participantes'!$B$6:$B$305,MATCH(A30,'2_Participantes'!$A$6:$A$305,0))),"No registrado"))</f>
        <v/>
      </c>
      <c r="C30" s="15" t="n">
        <v>57.5</v>
      </c>
      <c r="D30" s="15" t="n">
        <v>85</v>
      </c>
      <c r="E30" s="32">
        <f>IF(AND(ISNUMBER(C30),ISNUMBER(D30)),D30-C30,"")</f>
        <v/>
      </c>
      <c r="F30" s="31">
        <f t="array" ref="F30">IF(A30="","",IFERROR(IF(INDEX('2_Participantes'!$E$6:$E$305,MATCH(A30,'2_Participantes'!$A$6:$A$305,0))="","",INDEX('2_Participantes'!$E$6:$E$305,MATCH(A30,'2_Participantes'!$A$6:$A$305,0))),""))</f>
        <v/>
      </c>
      <c r="G30" s="26">
        <f t="array" ref="G30">IF(A30="","",IFERROR(IF(INDEX('2_Participantes'!$F$6:$F$305,MATCH(A30,'2_Participantes'!$A$6:$A$305,0))="","",INDEX('2_Participantes'!$F$6:$F$305,MATCH(A30,'2_Participantes'!$A$6:$A$305,0))),"No registrado"))</f>
        <v/>
      </c>
      <c r="H30" s="47">
        <f t="array" ref="H30">IF(A30="","",IFERROR(IF(INDEX('2_Participantes'!$L$6:$L$305,MATCH(A30,'2_Participantes'!$A$6:$A$305,0))="","",INDEX('2_Participantes'!$L$6:$L$305,MATCH(A30,'2_Participantes'!$A$6:$A$305,0))),""))</f>
        <v/>
      </c>
      <c r="I30" s="31">
        <f>IF(A30="","",IF(AND(ISNUMBER(C30),ISNUMBER(D30),G30&lt;&gt;"Excluido"),1,0))</f>
        <v/>
      </c>
      <c r="J30" s="48">
        <f>IF(A30="","",IF(G30="No registrado","Código ausente en 2_Participantes",IF(AND(ISNUMBER(D30),NOT(ISNUMBER(C30))),"Postest sin pretest (huérfano)",IF(OR(AND(ISNUMBER(C30),OR(C30&lt;Inicio!$C$18,C30&gt;Inicio!$C$19)),AND(ISNUMBER(D30),OR(D30&lt;Inicio!$C$18,D30&gt;Inicio!$C$19))),"Fuera de rango",IF(COUNTIF($A$6:$A$305,A30)&gt;1,"Código duplicado","OK")))))</f>
        <v/>
      </c>
      <c r="K30" s="2" t="n"/>
      <c r="L30" s="2" t="n"/>
      <c r="M30" s="2" t="n"/>
      <c r="N30" s="2" t="n"/>
      <c r="O30" s="2" t="n"/>
      <c r="P30" s="2" t="n"/>
      <c r="Q30" s="2" t="n"/>
      <c r="R30" s="2" t="n"/>
    </row>
    <row r="31" ht="15" customHeight="1" s="67">
      <c r="A31" s="22" t="inlineStr">
        <is>
          <t>GU-TDH-030</t>
        </is>
      </c>
      <c r="B31" s="26">
        <f t="array" ref="B31">IF(A31="","",IFERROR(IF(INDEX('2_Participantes'!$B$6:$B$305,MATCH(A31,'2_Participantes'!$A$6:$A$305,0))="","",INDEX('2_Participantes'!$B$6:$B$305,MATCH(A31,'2_Participantes'!$A$6:$A$305,0))),"No registrado"))</f>
        <v/>
      </c>
      <c r="C31" s="15" t="n">
        <v>60</v>
      </c>
      <c r="D31" s="15" t="n">
        <v>75</v>
      </c>
      <c r="E31" s="32">
        <f>IF(AND(ISNUMBER(C31),ISNUMBER(D31)),D31-C31,"")</f>
        <v/>
      </c>
      <c r="F31" s="31">
        <f t="array" ref="F31">IF(A31="","",IFERROR(IF(INDEX('2_Participantes'!$E$6:$E$305,MATCH(A31,'2_Participantes'!$A$6:$A$305,0))="","",INDEX('2_Participantes'!$E$6:$E$305,MATCH(A31,'2_Participantes'!$A$6:$A$305,0))),""))</f>
        <v/>
      </c>
      <c r="G31" s="26">
        <f t="array" ref="G31">IF(A31="","",IFERROR(IF(INDEX('2_Participantes'!$F$6:$F$305,MATCH(A31,'2_Participantes'!$A$6:$A$305,0))="","",INDEX('2_Participantes'!$F$6:$F$305,MATCH(A31,'2_Participantes'!$A$6:$A$305,0))),"No registrado"))</f>
        <v/>
      </c>
      <c r="H31" s="47">
        <f t="array" ref="H31">IF(A31="","",IFERROR(IF(INDEX('2_Participantes'!$L$6:$L$305,MATCH(A31,'2_Participantes'!$A$6:$A$305,0))="","",INDEX('2_Participantes'!$L$6:$L$305,MATCH(A31,'2_Participantes'!$A$6:$A$305,0))),""))</f>
        <v/>
      </c>
      <c r="I31" s="31">
        <f>IF(A31="","",IF(AND(ISNUMBER(C31),ISNUMBER(D31),G31&lt;&gt;"Excluido"),1,0))</f>
        <v/>
      </c>
      <c r="J31" s="48">
        <f>IF(A31="","",IF(G31="No registrado","Código ausente en 2_Participantes",IF(AND(ISNUMBER(D31),NOT(ISNUMBER(C31))),"Postest sin pretest (huérfano)",IF(OR(AND(ISNUMBER(C31),OR(C31&lt;Inicio!$C$18,C31&gt;Inicio!$C$19)),AND(ISNUMBER(D31),OR(D31&lt;Inicio!$C$18,D31&gt;Inicio!$C$19))),"Fuera de rango",IF(COUNTIF($A$6:$A$305,A31)&gt;1,"Código duplicado","OK")))))</f>
        <v/>
      </c>
      <c r="K31" s="2" t="n"/>
      <c r="L31" s="2" t="n"/>
      <c r="M31" s="2" t="n"/>
      <c r="N31" s="2" t="n"/>
      <c r="O31" s="2" t="n"/>
      <c r="P31" s="2" t="n"/>
      <c r="Q31" s="2" t="n"/>
      <c r="R31" s="2" t="n"/>
    </row>
    <row r="32" ht="15" customHeight="1" s="67">
      <c r="A32" s="22" t="inlineStr">
        <is>
          <t>GU-TDH-032</t>
        </is>
      </c>
      <c r="B32" s="26">
        <f t="array" ref="B32">IF(A32="","",IFERROR(IF(INDEX('2_Participantes'!$B$6:$B$305,MATCH(A32,'2_Participantes'!$A$6:$A$305,0))="","",INDEX('2_Participantes'!$B$6:$B$305,MATCH(A32,'2_Participantes'!$A$6:$A$305,0))),"No registrado"))</f>
        <v/>
      </c>
      <c r="C32" s="15" t="n">
        <v>77.5</v>
      </c>
      <c r="D32" s="15" t="n">
        <v>90</v>
      </c>
      <c r="E32" s="32">
        <f>IF(AND(ISNUMBER(C32),ISNUMBER(D32)),D32-C32,"")</f>
        <v/>
      </c>
      <c r="F32" s="31">
        <f t="array" ref="F32">IF(A32="","",IFERROR(IF(INDEX('2_Participantes'!$E$6:$E$305,MATCH(A32,'2_Participantes'!$A$6:$A$305,0))="","",INDEX('2_Participantes'!$E$6:$E$305,MATCH(A32,'2_Participantes'!$A$6:$A$305,0))),""))</f>
        <v/>
      </c>
      <c r="G32" s="26">
        <f t="array" ref="G32">IF(A32="","",IFERROR(IF(INDEX('2_Participantes'!$F$6:$F$305,MATCH(A32,'2_Participantes'!$A$6:$A$305,0))="","",INDEX('2_Participantes'!$F$6:$F$305,MATCH(A32,'2_Participantes'!$A$6:$A$305,0))),"No registrado"))</f>
        <v/>
      </c>
      <c r="H32" s="47">
        <f t="array" ref="H32">IF(A32="","",IFERROR(IF(INDEX('2_Participantes'!$L$6:$L$305,MATCH(A32,'2_Participantes'!$A$6:$A$305,0))="","",INDEX('2_Participantes'!$L$6:$L$305,MATCH(A32,'2_Participantes'!$A$6:$A$305,0))),""))</f>
        <v/>
      </c>
      <c r="I32" s="31">
        <f>IF(A32="","",IF(AND(ISNUMBER(C32),ISNUMBER(D32),G32&lt;&gt;"Excluido"),1,0))</f>
        <v/>
      </c>
      <c r="J32" s="48">
        <f>IF(A32="","",IF(G32="No registrado","Código ausente en 2_Participantes",IF(AND(ISNUMBER(D32),NOT(ISNUMBER(C32))),"Postest sin pretest (huérfano)",IF(OR(AND(ISNUMBER(C32),OR(C32&lt;Inicio!$C$18,C32&gt;Inicio!$C$19)),AND(ISNUMBER(D32),OR(D32&lt;Inicio!$C$18,D32&gt;Inicio!$C$19))),"Fuera de rango",IF(COUNTIF($A$6:$A$305,A32)&gt;1,"Código duplicado","OK")))))</f>
        <v/>
      </c>
      <c r="K32" s="2" t="n"/>
      <c r="L32" s="2" t="n"/>
      <c r="M32" s="2" t="n"/>
      <c r="N32" s="2" t="n"/>
      <c r="O32" s="2" t="n"/>
      <c r="P32" s="2" t="n"/>
      <c r="Q32" s="2" t="n"/>
      <c r="R32" s="2" t="n"/>
    </row>
    <row r="33" ht="15" customHeight="1" s="67">
      <c r="A33" s="22" t="inlineStr">
        <is>
          <t>GU-TDH-033</t>
        </is>
      </c>
      <c r="B33" s="26">
        <f t="array" ref="B33">IF(A33="","",IFERROR(IF(INDEX('2_Participantes'!$B$6:$B$305,MATCH(A33,'2_Participantes'!$A$6:$A$305,0))="","",INDEX('2_Participantes'!$B$6:$B$305,MATCH(A33,'2_Participantes'!$A$6:$A$305,0))),"No registrado"))</f>
        <v/>
      </c>
      <c r="C33" s="15" t="n">
        <v>67.5</v>
      </c>
      <c r="D33" s="15" t="n"/>
      <c r="E33" s="32">
        <f>IF(AND(ISNUMBER(C33),ISNUMBER(D33)),D33-C33,"")</f>
        <v/>
      </c>
      <c r="F33" s="31">
        <f t="array" ref="F33">IF(A33="","",IFERROR(IF(INDEX('2_Participantes'!$E$6:$E$305,MATCH(A33,'2_Participantes'!$A$6:$A$305,0))="","",INDEX('2_Participantes'!$E$6:$E$305,MATCH(A33,'2_Participantes'!$A$6:$A$305,0))),""))</f>
        <v/>
      </c>
      <c r="G33" s="26">
        <f t="array" ref="G33">IF(A33="","",IFERROR(IF(INDEX('2_Participantes'!$F$6:$F$305,MATCH(A33,'2_Participantes'!$A$6:$A$305,0))="","",INDEX('2_Participantes'!$F$6:$F$305,MATCH(A33,'2_Participantes'!$A$6:$A$305,0))),"No registrado"))</f>
        <v/>
      </c>
      <c r="H33" s="47">
        <f t="array" ref="H33">IF(A33="","",IFERROR(IF(INDEX('2_Participantes'!$L$6:$L$305,MATCH(A33,'2_Participantes'!$A$6:$A$305,0))="","",INDEX('2_Participantes'!$L$6:$L$305,MATCH(A33,'2_Participantes'!$A$6:$A$305,0))),""))</f>
        <v/>
      </c>
      <c r="I33" s="31">
        <f>IF(A33="","",IF(AND(ISNUMBER(C33),ISNUMBER(D33),G33&lt;&gt;"Excluido"),1,0))</f>
        <v/>
      </c>
      <c r="J33" s="48">
        <f>IF(A33="","",IF(G33="No registrado","Código ausente en 2_Participantes",IF(AND(ISNUMBER(D33),NOT(ISNUMBER(C33))),"Postest sin pretest (huérfano)",IF(OR(AND(ISNUMBER(C33),OR(C33&lt;Inicio!$C$18,C33&gt;Inicio!$C$19)),AND(ISNUMBER(D33),OR(D33&lt;Inicio!$C$18,D33&gt;Inicio!$C$19))),"Fuera de rango",IF(COUNTIF($A$6:$A$305,A33)&gt;1,"Código duplicado","OK")))))</f>
        <v/>
      </c>
      <c r="K33" s="2" t="n"/>
      <c r="L33" s="2" t="n"/>
      <c r="M33" s="2" t="n"/>
      <c r="N33" s="2" t="n"/>
      <c r="O33" s="2" t="n"/>
      <c r="P33" s="2" t="n"/>
      <c r="Q33" s="2" t="n"/>
      <c r="R33" s="2" t="n"/>
    </row>
    <row r="34" ht="15" customHeight="1" s="67">
      <c r="A34" s="22" t="inlineStr">
        <is>
          <t>GU-TDH-034</t>
        </is>
      </c>
      <c r="B34" s="26">
        <f t="array" ref="B34">IF(A34="","",IFERROR(IF(INDEX('2_Participantes'!$B$6:$B$305,MATCH(A34,'2_Participantes'!$A$6:$A$305,0))="","",INDEX('2_Participantes'!$B$6:$B$305,MATCH(A34,'2_Participantes'!$A$6:$A$305,0))),"No registrado"))</f>
        <v/>
      </c>
      <c r="C34" s="15" t="n">
        <v>57.5</v>
      </c>
      <c r="D34" s="15" t="n">
        <v>72.5</v>
      </c>
      <c r="E34" s="32">
        <f>IF(AND(ISNUMBER(C34),ISNUMBER(D34)),D34-C34,"")</f>
        <v/>
      </c>
      <c r="F34" s="31">
        <f t="array" ref="F34">IF(A34="","",IFERROR(IF(INDEX('2_Participantes'!$E$6:$E$305,MATCH(A34,'2_Participantes'!$A$6:$A$305,0))="","",INDEX('2_Participantes'!$E$6:$E$305,MATCH(A34,'2_Participantes'!$A$6:$A$305,0))),""))</f>
        <v/>
      </c>
      <c r="G34" s="26">
        <f t="array" ref="G34">IF(A34="","",IFERROR(IF(INDEX('2_Participantes'!$F$6:$F$305,MATCH(A34,'2_Participantes'!$A$6:$A$305,0))="","",INDEX('2_Participantes'!$F$6:$F$305,MATCH(A34,'2_Participantes'!$A$6:$A$305,0))),"No registrado"))</f>
        <v/>
      </c>
      <c r="H34" s="47">
        <f t="array" ref="H34">IF(A34="","",IFERROR(IF(INDEX('2_Participantes'!$L$6:$L$305,MATCH(A34,'2_Participantes'!$A$6:$A$305,0))="","",INDEX('2_Participantes'!$L$6:$L$305,MATCH(A34,'2_Participantes'!$A$6:$A$305,0))),""))</f>
        <v/>
      </c>
      <c r="I34" s="31">
        <f>IF(A34="","",IF(AND(ISNUMBER(C34),ISNUMBER(D34),G34&lt;&gt;"Excluido"),1,0))</f>
        <v/>
      </c>
      <c r="J34" s="48">
        <f>IF(A34="","",IF(G34="No registrado","Código ausente en 2_Participantes",IF(AND(ISNUMBER(D34),NOT(ISNUMBER(C34))),"Postest sin pretest (huérfano)",IF(OR(AND(ISNUMBER(C34),OR(C34&lt;Inicio!$C$18,C34&gt;Inicio!$C$19)),AND(ISNUMBER(D34),OR(D34&lt;Inicio!$C$18,D34&gt;Inicio!$C$19))),"Fuera de rango",IF(COUNTIF($A$6:$A$305,A34)&gt;1,"Código duplicado","OK")))))</f>
        <v/>
      </c>
      <c r="K34" s="2" t="n"/>
      <c r="L34" s="2" t="n"/>
      <c r="M34" s="2" t="n"/>
      <c r="N34" s="2" t="n"/>
      <c r="O34" s="2" t="n"/>
      <c r="P34" s="2" t="n"/>
      <c r="Q34" s="2" t="n"/>
      <c r="R34" s="2" t="n"/>
    </row>
    <row r="35" ht="15" customHeight="1" s="67">
      <c r="A35" s="22" t="inlineStr">
        <is>
          <t>GU-TDH-035</t>
        </is>
      </c>
      <c r="B35" s="26">
        <f t="array" ref="B35">IF(A35="","",IFERROR(IF(INDEX('2_Participantes'!$B$6:$B$305,MATCH(A35,'2_Participantes'!$A$6:$A$305,0))="","",INDEX('2_Participantes'!$B$6:$B$305,MATCH(A35,'2_Participantes'!$A$6:$A$305,0))),"No registrado"))</f>
        <v/>
      </c>
      <c r="C35" s="15" t="n">
        <v>37.5</v>
      </c>
      <c r="D35" s="15" t="n">
        <v>50</v>
      </c>
      <c r="E35" s="32">
        <f>IF(AND(ISNUMBER(C35),ISNUMBER(D35)),D35-C35,"")</f>
        <v/>
      </c>
      <c r="F35" s="31">
        <f t="array" ref="F35">IF(A35="","",IFERROR(IF(INDEX('2_Participantes'!$E$6:$E$305,MATCH(A35,'2_Participantes'!$A$6:$A$305,0))="","",INDEX('2_Participantes'!$E$6:$E$305,MATCH(A35,'2_Participantes'!$A$6:$A$305,0))),""))</f>
        <v/>
      </c>
      <c r="G35" s="26">
        <f t="array" ref="G35">IF(A35="","",IFERROR(IF(INDEX('2_Participantes'!$F$6:$F$305,MATCH(A35,'2_Participantes'!$A$6:$A$305,0))="","",INDEX('2_Participantes'!$F$6:$F$305,MATCH(A35,'2_Participantes'!$A$6:$A$305,0))),"No registrado"))</f>
        <v/>
      </c>
      <c r="H35" s="47">
        <f t="array" ref="H35">IF(A35="","",IFERROR(IF(INDEX('2_Participantes'!$L$6:$L$305,MATCH(A35,'2_Participantes'!$A$6:$A$305,0))="","",INDEX('2_Participantes'!$L$6:$L$305,MATCH(A35,'2_Participantes'!$A$6:$A$305,0))),""))</f>
        <v/>
      </c>
      <c r="I35" s="31">
        <f>IF(A35="","",IF(AND(ISNUMBER(C35),ISNUMBER(D35),G35&lt;&gt;"Excluido"),1,0))</f>
        <v/>
      </c>
      <c r="J35" s="48">
        <f>IF(A35="","",IF(G35="No registrado","Código ausente en 2_Participantes",IF(AND(ISNUMBER(D35),NOT(ISNUMBER(C35))),"Postest sin pretest (huérfano)",IF(OR(AND(ISNUMBER(C35),OR(C35&lt;Inicio!$C$18,C35&gt;Inicio!$C$19)),AND(ISNUMBER(D35),OR(D35&lt;Inicio!$C$18,D35&gt;Inicio!$C$19))),"Fuera de rango",IF(COUNTIF($A$6:$A$305,A35)&gt;1,"Código duplicado","OK")))))</f>
        <v/>
      </c>
      <c r="K35" s="2" t="n"/>
      <c r="L35" s="2" t="n"/>
      <c r="M35" s="2" t="n"/>
      <c r="N35" s="2" t="n"/>
      <c r="O35" s="2" t="n"/>
      <c r="P35" s="2" t="n"/>
      <c r="Q35" s="2" t="n"/>
      <c r="R35" s="2" t="n"/>
    </row>
    <row r="36" ht="15" customHeight="1" s="67">
      <c r="A36" s="22" t="inlineStr">
        <is>
          <t>GU-TDH-036</t>
        </is>
      </c>
      <c r="B36" s="26">
        <f t="array" ref="B36">IF(A36="","",IFERROR(IF(INDEX('2_Participantes'!$B$6:$B$305,MATCH(A36,'2_Participantes'!$A$6:$A$305,0))="","",INDEX('2_Participantes'!$B$6:$B$305,MATCH(A36,'2_Participantes'!$A$6:$A$305,0))),"No registrado"))</f>
        <v/>
      </c>
      <c r="C36" s="15" t="n">
        <v>50</v>
      </c>
      <c r="D36" s="15" t="n">
        <v>47.5</v>
      </c>
      <c r="E36" s="32">
        <f>IF(AND(ISNUMBER(C36),ISNUMBER(D36)),D36-C36,"")</f>
        <v/>
      </c>
      <c r="F36" s="31">
        <f t="array" ref="F36">IF(A36="","",IFERROR(IF(INDEX('2_Participantes'!$E$6:$E$305,MATCH(A36,'2_Participantes'!$A$6:$A$305,0))="","",INDEX('2_Participantes'!$E$6:$E$305,MATCH(A36,'2_Participantes'!$A$6:$A$305,0))),""))</f>
        <v/>
      </c>
      <c r="G36" s="26">
        <f t="array" ref="G36">IF(A36="","",IFERROR(IF(INDEX('2_Participantes'!$F$6:$F$305,MATCH(A36,'2_Participantes'!$A$6:$A$305,0))="","",INDEX('2_Participantes'!$F$6:$F$305,MATCH(A36,'2_Participantes'!$A$6:$A$305,0))),"No registrado"))</f>
        <v/>
      </c>
      <c r="H36" s="47">
        <f t="array" ref="H36">IF(A36="","",IFERROR(IF(INDEX('2_Participantes'!$L$6:$L$305,MATCH(A36,'2_Participantes'!$A$6:$A$305,0))="","",INDEX('2_Participantes'!$L$6:$L$305,MATCH(A36,'2_Participantes'!$A$6:$A$305,0))),""))</f>
        <v/>
      </c>
      <c r="I36" s="31">
        <f>IF(A36="","",IF(AND(ISNUMBER(C36),ISNUMBER(D36),G36&lt;&gt;"Excluido"),1,0))</f>
        <v/>
      </c>
      <c r="J36" s="48">
        <f>IF(A36="","",IF(G36="No registrado","Código ausente en 2_Participantes",IF(AND(ISNUMBER(D36),NOT(ISNUMBER(C36))),"Postest sin pretest (huérfano)",IF(OR(AND(ISNUMBER(C36),OR(C36&lt;Inicio!$C$18,C36&gt;Inicio!$C$19)),AND(ISNUMBER(D36),OR(D36&lt;Inicio!$C$18,D36&gt;Inicio!$C$19))),"Fuera de rango",IF(COUNTIF($A$6:$A$305,A36)&gt;1,"Código duplicado","OK")))))</f>
        <v/>
      </c>
      <c r="K36" s="2" t="n"/>
      <c r="L36" s="2" t="n"/>
      <c r="M36" s="2" t="n"/>
      <c r="N36" s="2" t="n"/>
      <c r="O36" s="2" t="n"/>
      <c r="P36" s="2" t="n"/>
      <c r="Q36" s="2" t="n"/>
      <c r="R36" s="2" t="n"/>
    </row>
    <row r="37" ht="15" customHeight="1" s="67">
      <c r="A37" s="22" t="inlineStr">
        <is>
          <t>GU-TDH-038</t>
        </is>
      </c>
      <c r="B37" s="26">
        <f t="array" ref="B37">IF(A37="","",IFERROR(IF(INDEX('2_Participantes'!$B$6:$B$305,MATCH(A37,'2_Participantes'!$A$6:$A$305,0))="","",INDEX('2_Participantes'!$B$6:$B$305,MATCH(A37,'2_Participantes'!$A$6:$A$305,0))),"No registrado"))</f>
        <v/>
      </c>
      <c r="C37" s="15" t="n">
        <v>62.5</v>
      </c>
      <c r="D37" s="15" t="n">
        <v>65</v>
      </c>
      <c r="E37" s="32">
        <f>IF(AND(ISNUMBER(C37),ISNUMBER(D37)),D37-C37,"")</f>
        <v/>
      </c>
      <c r="F37" s="31">
        <f t="array" ref="F37">IF(A37="","",IFERROR(IF(INDEX('2_Participantes'!$E$6:$E$305,MATCH(A37,'2_Participantes'!$A$6:$A$305,0))="","",INDEX('2_Participantes'!$E$6:$E$305,MATCH(A37,'2_Participantes'!$A$6:$A$305,0))),""))</f>
        <v/>
      </c>
      <c r="G37" s="26">
        <f t="array" ref="G37">IF(A37="","",IFERROR(IF(INDEX('2_Participantes'!$F$6:$F$305,MATCH(A37,'2_Participantes'!$A$6:$A$305,0))="","",INDEX('2_Participantes'!$F$6:$F$305,MATCH(A37,'2_Participantes'!$A$6:$A$305,0))),"No registrado"))</f>
        <v/>
      </c>
      <c r="H37" s="47">
        <f t="array" ref="H37">IF(A37="","",IFERROR(IF(INDEX('2_Participantes'!$L$6:$L$305,MATCH(A37,'2_Participantes'!$A$6:$A$305,0))="","",INDEX('2_Participantes'!$L$6:$L$305,MATCH(A37,'2_Participantes'!$A$6:$A$305,0))),""))</f>
        <v/>
      </c>
      <c r="I37" s="31">
        <f>IF(A37="","",IF(AND(ISNUMBER(C37),ISNUMBER(D37),G37&lt;&gt;"Excluido"),1,0))</f>
        <v/>
      </c>
      <c r="J37" s="48">
        <f>IF(A37="","",IF(G37="No registrado","Código ausente en 2_Participantes",IF(AND(ISNUMBER(D37),NOT(ISNUMBER(C37))),"Postest sin pretest (huérfano)",IF(OR(AND(ISNUMBER(C37),OR(C37&lt;Inicio!$C$18,C37&gt;Inicio!$C$19)),AND(ISNUMBER(D37),OR(D37&lt;Inicio!$C$18,D37&gt;Inicio!$C$19))),"Fuera de rango",IF(COUNTIF($A$6:$A$305,A37)&gt;1,"Código duplicado","OK")))))</f>
        <v/>
      </c>
      <c r="K37" s="2" t="n"/>
      <c r="L37" s="2" t="n"/>
      <c r="M37" s="2" t="n"/>
      <c r="N37" s="2" t="n"/>
      <c r="O37" s="2" t="n"/>
      <c r="P37" s="2" t="n"/>
      <c r="Q37" s="2" t="n"/>
      <c r="R37" s="2" t="n"/>
    </row>
    <row r="38" ht="15" customHeight="1" s="67">
      <c r="A38" s="22" t="inlineStr">
        <is>
          <t>GU-TDH-039</t>
        </is>
      </c>
      <c r="B38" s="26">
        <f t="array" ref="B38">IF(A38="","",IFERROR(IF(INDEX('2_Participantes'!$B$6:$B$305,MATCH(A38,'2_Participantes'!$A$6:$A$305,0))="","",INDEX('2_Participantes'!$B$6:$B$305,MATCH(A38,'2_Participantes'!$A$6:$A$305,0))),"No registrado"))</f>
        <v/>
      </c>
      <c r="C38" s="15" t="n">
        <v>35</v>
      </c>
      <c r="D38" s="15" t="n">
        <v>47.5</v>
      </c>
      <c r="E38" s="32">
        <f>IF(AND(ISNUMBER(C38),ISNUMBER(D38)),D38-C38,"")</f>
        <v/>
      </c>
      <c r="F38" s="31">
        <f t="array" ref="F38">IF(A38="","",IFERROR(IF(INDEX('2_Participantes'!$E$6:$E$305,MATCH(A38,'2_Participantes'!$A$6:$A$305,0))="","",INDEX('2_Participantes'!$E$6:$E$305,MATCH(A38,'2_Participantes'!$A$6:$A$305,0))),""))</f>
        <v/>
      </c>
      <c r="G38" s="26">
        <f t="array" ref="G38">IF(A38="","",IFERROR(IF(INDEX('2_Participantes'!$F$6:$F$305,MATCH(A38,'2_Participantes'!$A$6:$A$305,0))="","",INDEX('2_Participantes'!$F$6:$F$305,MATCH(A38,'2_Participantes'!$A$6:$A$305,0))),"No registrado"))</f>
        <v/>
      </c>
      <c r="H38" s="47">
        <f t="array" ref="H38">IF(A38="","",IFERROR(IF(INDEX('2_Participantes'!$L$6:$L$305,MATCH(A38,'2_Participantes'!$A$6:$A$305,0))="","",INDEX('2_Participantes'!$L$6:$L$305,MATCH(A38,'2_Participantes'!$A$6:$A$305,0))),""))</f>
        <v/>
      </c>
      <c r="I38" s="31">
        <f>IF(A38="","",IF(AND(ISNUMBER(C38),ISNUMBER(D38),G38&lt;&gt;"Excluido"),1,0))</f>
        <v/>
      </c>
      <c r="J38" s="48">
        <f>IF(A38="","",IF(G38="No registrado","Código ausente en 2_Participantes",IF(AND(ISNUMBER(D38),NOT(ISNUMBER(C38))),"Postest sin pretest (huérfano)",IF(OR(AND(ISNUMBER(C38),OR(C38&lt;Inicio!$C$18,C38&gt;Inicio!$C$19)),AND(ISNUMBER(D38),OR(D38&lt;Inicio!$C$18,D38&gt;Inicio!$C$19))),"Fuera de rango",IF(COUNTIF($A$6:$A$305,A38)&gt;1,"Código duplicado","OK")))))</f>
        <v/>
      </c>
      <c r="K38" s="2" t="n"/>
      <c r="L38" s="2" t="n"/>
      <c r="M38" s="2" t="n"/>
      <c r="N38" s="2" t="n"/>
      <c r="O38" s="2" t="n"/>
      <c r="P38" s="2" t="n"/>
      <c r="Q38" s="2" t="n"/>
      <c r="R38" s="2" t="n"/>
    </row>
    <row r="39" ht="15" customHeight="1" s="67">
      <c r="A39" s="22" t="inlineStr">
        <is>
          <t>GU-TDH-040</t>
        </is>
      </c>
      <c r="B39" s="26">
        <f t="array" ref="B39">IF(A39="","",IFERROR(IF(INDEX('2_Participantes'!$B$6:$B$305,MATCH(A39,'2_Participantes'!$A$6:$A$305,0))="","",INDEX('2_Participantes'!$B$6:$B$305,MATCH(A39,'2_Participantes'!$A$6:$A$305,0))),"No registrado"))</f>
        <v/>
      </c>
      <c r="C39" s="15" t="n">
        <v>45</v>
      </c>
      <c r="D39" s="15" t="n">
        <v>50</v>
      </c>
      <c r="E39" s="32">
        <f>IF(AND(ISNUMBER(C39),ISNUMBER(D39)),D39-C39,"")</f>
        <v/>
      </c>
      <c r="F39" s="31">
        <f t="array" ref="F39">IF(A39="","",IFERROR(IF(INDEX('2_Participantes'!$E$6:$E$305,MATCH(A39,'2_Participantes'!$A$6:$A$305,0))="","",INDEX('2_Participantes'!$E$6:$E$305,MATCH(A39,'2_Participantes'!$A$6:$A$305,0))),""))</f>
        <v/>
      </c>
      <c r="G39" s="26">
        <f t="array" ref="G39">IF(A39="","",IFERROR(IF(INDEX('2_Participantes'!$F$6:$F$305,MATCH(A39,'2_Participantes'!$A$6:$A$305,0))="","",INDEX('2_Participantes'!$F$6:$F$305,MATCH(A39,'2_Participantes'!$A$6:$A$305,0))),"No registrado"))</f>
        <v/>
      </c>
      <c r="H39" s="47">
        <f t="array" ref="H39">IF(A39="","",IFERROR(IF(INDEX('2_Participantes'!$L$6:$L$305,MATCH(A39,'2_Participantes'!$A$6:$A$305,0))="","",INDEX('2_Participantes'!$L$6:$L$305,MATCH(A39,'2_Participantes'!$A$6:$A$305,0))),""))</f>
        <v/>
      </c>
      <c r="I39" s="31">
        <f>IF(A39="","",IF(AND(ISNUMBER(C39),ISNUMBER(D39),G39&lt;&gt;"Excluido"),1,0))</f>
        <v/>
      </c>
      <c r="J39" s="48">
        <f>IF(A39="","",IF(G39="No registrado","Código ausente en 2_Participantes",IF(AND(ISNUMBER(D39),NOT(ISNUMBER(C39))),"Postest sin pretest (huérfano)",IF(OR(AND(ISNUMBER(C39),OR(C39&lt;Inicio!$C$18,C39&gt;Inicio!$C$19)),AND(ISNUMBER(D39),OR(D39&lt;Inicio!$C$18,D39&gt;Inicio!$C$19))),"Fuera de rango",IF(COUNTIF($A$6:$A$305,A39)&gt;1,"Código duplicado","OK")))))</f>
        <v/>
      </c>
      <c r="K39" s="2" t="n"/>
      <c r="L39" s="2" t="n"/>
      <c r="M39" s="2" t="n"/>
      <c r="N39" s="2" t="n"/>
      <c r="O39" s="2" t="n"/>
      <c r="P39" s="2" t="n"/>
      <c r="Q39" s="2" t="n"/>
      <c r="R39" s="2" t="n"/>
    </row>
    <row r="40" ht="15" customHeight="1" s="67">
      <c r="A40" s="22" t="inlineStr">
        <is>
          <t>GU-TDH-041</t>
        </is>
      </c>
      <c r="B40" s="26">
        <f t="array" ref="B40">IF(A40="","",IFERROR(IF(INDEX('2_Participantes'!$B$6:$B$305,MATCH(A40,'2_Participantes'!$A$6:$A$305,0))="","",INDEX('2_Participantes'!$B$6:$B$305,MATCH(A40,'2_Participantes'!$A$6:$A$305,0))),"No registrado"))</f>
        <v/>
      </c>
      <c r="C40" s="15" t="n">
        <v>67.5</v>
      </c>
      <c r="D40" s="15" t="n">
        <v>75</v>
      </c>
      <c r="E40" s="32">
        <f>IF(AND(ISNUMBER(C40),ISNUMBER(D40)),D40-C40,"")</f>
        <v/>
      </c>
      <c r="F40" s="31">
        <f t="array" ref="F40">IF(A40="","",IFERROR(IF(INDEX('2_Participantes'!$E$6:$E$305,MATCH(A40,'2_Participantes'!$A$6:$A$305,0))="","",INDEX('2_Participantes'!$E$6:$E$305,MATCH(A40,'2_Participantes'!$A$6:$A$305,0))),""))</f>
        <v/>
      </c>
      <c r="G40" s="26">
        <f t="array" ref="G40">IF(A40="","",IFERROR(IF(INDEX('2_Participantes'!$F$6:$F$305,MATCH(A40,'2_Participantes'!$A$6:$A$305,0))="","",INDEX('2_Participantes'!$F$6:$F$305,MATCH(A40,'2_Participantes'!$A$6:$A$305,0))),"No registrado"))</f>
        <v/>
      </c>
      <c r="H40" s="47">
        <f t="array" ref="H40">IF(A40="","",IFERROR(IF(INDEX('2_Participantes'!$L$6:$L$305,MATCH(A40,'2_Participantes'!$A$6:$A$305,0))="","",INDEX('2_Participantes'!$L$6:$L$305,MATCH(A40,'2_Participantes'!$A$6:$A$305,0))),""))</f>
        <v/>
      </c>
      <c r="I40" s="31">
        <f>IF(A40="","",IF(AND(ISNUMBER(C40),ISNUMBER(D40),G40&lt;&gt;"Excluido"),1,0))</f>
        <v/>
      </c>
      <c r="J40" s="48">
        <f>IF(A40="","",IF(G40="No registrado","Código ausente en 2_Participantes",IF(AND(ISNUMBER(D40),NOT(ISNUMBER(C40))),"Postest sin pretest (huérfano)",IF(OR(AND(ISNUMBER(C40),OR(C40&lt;Inicio!$C$18,C40&gt;Inicio!$C$19)),AND(ISNUMBER(D40),OR(D40&lt;Inicio!$C$18,D40&gt;Inicio!$C$19))),"Fuera de rango",IF(COUNTIF($A$6:$A$305,A40)&gt;1,"Código duplicado","OK")))))</f>
        <v/>
      </c>
      <c r="K40" s="2" t="n"/>
      <c r="L40" s="2" t="n"/>
      <c r="M40" s="2" t="n"/>
      <c r="N40" s="2" t="n"/>
      <c r="O40" s="2" t="n"/>
      <c r="P40" s="2" t="n"/>
      <c r="Q40" s="2" t="n"/>
      <c r="R40" s="2" t="n"/>
    </row>
    <row r="41" ht="15" customHeight="1" s="67">
      <c r="A41" s="22" t="inlineStr">
        <is>
          <t>GU-TDH-042</t>
        </is>
      </c>
      <c r="B41" s="26">
        <f t="array" ref="B41">IF(A41="","",IFERROR(IF(INDEX('2_Participantes'!$B$6:$B$305,MATCH(A41,'2_Participantes'!$A$6:$A$305,0))="","",INDEX('2_Participantes'!$B$6:$B$305,MATCH(A41,'2_Participantes'!$A$6:$A$305,0))),"No registrado"))</f>
        <v/>
      </c>
      <c r="C41" s="15" t="n">
        <v>75</v>
      </c>
      <c r="D41" s="15" t="n">
        <v>95</v>
      </c>
      <c r="E41" s="32">
        <f>IF(AND(ISNUMBER(C41),ISNUMBER(D41)),D41-C41,"")</f>
        <v/>
      </c>
      <c r="F41" s="31">
        <f t="array" ref="F41">IF(A41="","",IFERROR(IF(INDEX('2_Participantes'!$E$6:$E$305,MATCH(A41,'2_Participantes'!$A$6:$A$305,0))="","",INDEX('2_Participantes'!$E$6:$E$305,MATCH(A41,'2_Participantes'!$A$6:$A$305,0))),""))</f>
        <v/>
      </c>
      <c r="G41" s="26">
        <f t="array" ref="G41">IF(A41="","",IFERROR(IF(INDEX('2_Participantes'!$F$6:$F$305,MATCH(A41,'2_Participantes'!$A$6:$A$305,0))="","",INDEX('2_Participantes'!$F$6:$F$305,MATCH(A41,'2_Participantes'!$A$6:$A$305,0))),"No registrado"))</f>
        <v/>
      </c>
      <c r="H41" s="47">
        <f t="array" ref="H41">IF(A41="","",IFERROR(IF(INDEX('2_Participantes'!$L$6:$L$305,MATCH(A41,'2_Participantes'!$A$6:$A$305,0))="","",INDEX('2_Participantes'!$L$6:$L$305,MATCH(A41,'2_Participantes'!$A$6:$A$305,0))),""))</f>
        <v/>
      </c>
      <c r="I41" s="31">
        <f>IF(A41="","",IF(AND(ISNUMBER(C41),ISNUMBER(D41),G41&lt;&gt;"Excluido"),1,0))</f>
        <v/>
      </c>
      <c r="J41" s="48">
        <f>IF(A41="","",IF(G41="No registrado","Código ausente en 2_Participantes",IF(AND(ISNUMBER(D41),NOT(ISNUMBER(C41))),"Postest sin pretest (huérfano)",IF(OR(AND(ISNUMBER(C41),OR(C41&lt;Inicio!$C$18,C41&gt;Inicio!$C$19)),AND(ISNUMBER(D41),OR(D41&lt;Inicio!$C$18,D41&gt;Inicio!$C$19))),"Fuera de rango",IF(COUNTIF($A$6:$A$305,A41)&gt;1,"Código duplicado","OK")))))</f>
        <v/>
      </c>
      <c r="K41" s="2" t="n"/>
      <c r="L41" s="2" t="n"/>
      <c r="M41" s="2" t="n"/>
      <c r="N41" s="2" t="n"/>
      <c r="O41" s="2" t="n"/>
      <c r="P41" s="2" t="n"/>
      <c r="Q41" s="2" t="n"/>
      <c r="R41" s="2" t="n"/>
    </row>
    <row r="42" ht="15" customHeight="1" s="67">
      <c r="A42" s="22" t="inlineStr">
        <is>
          <t>GU-TDH-043</t>
        </is>
      </c>
      <c r="B42" s="26">
        <f t="array" ref="B42">IF(A42="","",IFERROR(IF(INDEX('2_Participantes'!$B$6:$B$305,MATCH(A42,'2_Participantes'!$A$6:$A$305,0))="","",INDEX('2_Participantes'!$B$6:$B$305,MATCH(A42,'2_Participantes'!$A$6:$A$305,0))),"No registrado"))</f>
        <v/>
      </c>
      <c r="C42" s="15" t="n">
        <v>32.5</v>
      </c>
      <c r="D42" s="15" t="n">
        <v>70</v>
      </c>
      <c r="E42" s="32">
        <f>IF(AND(ISNUMBER(C42),ISNUMBER(D42)),D42-C42,"")</f>
        <v/>
      </c>
      <c r="F42" s="31">
        <f t="array" ref="F42">IF(A42="","",IFERROR(IF(INDEX('2_Participantes'!$E$6:$E$305,MATCH(A42,'2_Participantes'!$A$6:$A$305,0))="","",INDEX('2_Participantes'!$E$6:$E$305,MATCH(A42,'2_Participantes'!$A$6:$A$305,0))),""))</f>
        <v/>
      </c>
      <c r="G42" s="26">
        <f t="array" ref="G42">IF(A42="","",IFERROR(IF(INDEX('2_Participantes'!$F$6:$F$305,MATCH(A42,'2_Participantes'!$A$6:$A$305,0))="","",INDEX('2_Participantes'!$F$6:$F$305,MATCH(A42,'2_Participantes'!$A$6:$A$305,0))),"No registrado"))</f>
        <v/>
      </c>
      <c r="H42" s="47">
        <f t="array" ref="H42">IF(A42="","",IFERROR(IF(INDEX('2_Participantes'!$L$6:$L$305,MATCH(A42,'2_Participantes'!$A$6:$A$305,0))="","",INDEX('2_Participantes'!$L$6:$L$305,MATCH(A42,'2_Participantes'!$A$6:$A$305,0))),""))</f>
        <v/>
      </c>
      <c r="I42" s="31">
        <f>IF(A42="","",IF(AND(ISNUMBER(C42),ISNUMBER(D42),G42&lt;&gt;"Excluido"),1,0))</f>
        <v/>
      </c>
      <c r="J42" s="48">
        <f>IF(A42="","",IF(G42="No registrado","Código ausente en 2_Participantes",IF(AND(ISNUMBER(D42),NOT(ISNUMBER(C42))),"Postest sin pretest (huérfano)",IF(OR(AND(ISNUMBER(C42),OR(C42&lt;Inicio!$C$18,C42&gt;Inicio!$C$19)),AND(ISNUMBER(D42),OR(D42&lt;Inicio!$C$18,D42&gt;Inicio!$C$19))),"Fuera de rango",IF(COUNTIF($A$6:$A$305,A42)&gt;1,"Código duplicado","OK")))))</f>
        <v/>
      </c>
      <c r="K42" s="2" t="n"/>
      <c r="L42" s="2" t="n"/>
      <c r="M42" s="2" t="n"/>
      <c r="N42" s="2" t="n"/>
      <c r="O42" s="2" t="n"/>
      <c r="P42" s="2" t="n"/>
      <c r="Q42" s="2" t="n"/>
      <c r="R42" s="2" t="n"/>
    </row>
    <row r="43" ht="15" customHeight="1" s="67">
      <c r="A43" s="22" t="inlineStr">
        <is>
          <t>GU-TDH-045</t>
        </is>
      </c>
      <c r="B43" s="26">
        <f t="array" ref="B43">IF(A43="","",IFERROR(IF(INDEX('2_Participantes'!$B$6:$B$305,MATCH(A43,'2_Participantes'!$A$6:$A$305,0))="","",INDEX('2_Participantes'!$B$6:$B$305,MATCH(A43,'2_Participantes'!$A$6:$A$305,0))),"No registrado"))</f>
        <v/>
      </c>
      <c r="C43" s="15" t="n">
        <v>65</v>
      </c>
      <c r="D43" s="15" t="n">
        <v>75</v>
      </c>
      <c r="E43" s="32">
        <f>IF(AND(ISNUMBER(C43),ISNUMBER(D43)),D43-C43,"")</f>
        <v/>
      </c>
      <c r="F43" s="31">
        <f t="array" ref="F43">IF(A43="","",IFERROR(IF(INDEX('2_Participantes'!$E$6:$E$305,MATCH(A43,'2_Participantes'!$A$6:$A$305,0))="","",INDEX('2_Participantes'!$E$6:$E$305,MATCH(A43,'2_Participantes'!$A$6:$A$305,0))),""))</f>
        <v/>
      </c>
      <c r="G43" s="26">
        <f t="array" ref="G43">IF(A43="","",IFERROR(IF(INDEX('2_Participantes'!$F$6:$F$305,MATCH(A43,'2_Participantes'!$A$6:$A$305,0))="","",INDEX('2_Participantes'!$F$6:$F$305,MATCH(A43,'2_Participantes'!$A$6:$A$305,0))),"No registrado"))</f>
        <v/>
      </c>
      <c r="H43" s="47">
        <f t="array" ref="H43">IF(A43="","",IFERROR(IF(INDEX('2_Participantes'!$L$6:$L$305,MATCH(A43,'2_Participantes'!$A$6:$A$305,0))="","",INDEX('2_Participantes'!$L$6:$L$305,MATCH(A43,'2_Participantes'!$A$6:$A$305,0))),""))</f>
        <v/>
      </c>
      <c r="I43" s="31">
        <f>IF(A43="","",IF(AND(ISNUMBER(C43),ISNUMBER(D43),G43&lt;&gt;"Excluido"),1,0))</f>
        <v/>
      </c>
      <c r="J43" s="48">
        <f>IF(A43="","",IF(G43="No registrado","Código ausente en 2_Participantes",IF(AND(ISNUMBER(D43),NOT(ISNUMBER(C43))),"Postest sin pretest (huérfano)",IF(OR(AND(ISNUMBER(C43),OR(C43&lt;Inicio!$C$18,C43&gt;Inicio!$C$19)),AND(ISNUMBER(D43),OR(D43&lt;Inicio!$C$18,D43&gt;Inicio!$C$19))),"Fuera de rango",IF(COUNTIF($A$6:$A$305,A43)&gt;1,"Código duplicado","OK")))))</f>
        <v/>
      </c>
      <c r="K43" s="2" t="n"/>
      <c r="L43" s="2" t="n"/>
      <c r="M43" s="2" t="n"/>
      <c r="N43" s="2" t="n"/>
      <c r="O43" s="2" t="n"/>
      <c r="P43" s="2" t="n"/>
      <c r="Q43" s="2" t="n"/>
      <c r="R43" s="2" t="n"/>
    </row>
    <row r="44" ht="15" customHeight="1" s="67">
      <c r="A44" s="22" t="n"/>
      <c r="B44" s="26">
        <f t="array" ref="B44">IF(A44="","",IFERROR(IF(INDEX('2_Participantes'!$B$6:$B$305,MATCH(A44,'2_Participantes'!$A$6:$A$305,0))="","",INDEX('2_Participantes'!$B$6:$B$305,MATCH(A44,'2_Participantes'!$A$6:$A$305,0))),"No registrado"))</f>
        <v/>
      </c>
      <c r="C44" s="15" t="n"/>
      <c r="D44" s="15" t="n"/>
      <c r="E44" s="32">
        <f>IF(AND(ISNUMBER(C44),ISNUMBER(D44)),D44-C44,"")</f>
        <v/>
      </c>
      <c r="F44" s="31">
        <f t="array" ref="F44">IF(A44="","",IFERROR(IF(INDEX('2_Participantes'!$E$6:$E$305,MATCH(A44,'2_Participantes'!$A$6:$A$305,0))="","",INDEX('2_Participantes'!$E$6:$E$305,MATCH(A44,'2_Participantes'!$A$6:$A$305,0))),""))</f>
        <v/>
      </c>
      <c r="G44" s="26">
        <f t="array" ref="G44">IF(A44="","",IFERROR(IF(INDEX('2_Participantes'!$F$6:$F$305,MATCH(A44,'2_Participantes'!$A$6:$A$305,0))="","",INDEX('2_Participantes'!$F$6:$F$305,MATCH(A44,'2_Participantes'!$A$6:$A$305,0))),"No registrado"))</f>
        <v/>
      </c>
      <c r="H44" s="47">
        <f t="array" ref="H44">IF(A44="","",IFERROR(IF(INDEX('2_Participantes'!$L$6:$L$305,MATCH(A44,'2_Participantes'!$A$6:$A$305,0))="","",INDEX('2_Participantes'!$L$6:$L$305,MATCH(A44,'2_Participantes'!$A$6:$A$305,0))),""))</f>
        <v/>
      </c>
      <c r="I44" s="31">
        <f>IF(A44="","",IF(AND(ISNUMBER(C44),ISNUMBER(D44),G44&lt;&gt;"Excluido"),1,0))</f>
        <v/>
      </c>
      <c r="J44" s="48">
        <f>IF(A44="","",IF(G44="No registrado","Código ausente en 2_Participantes",IF(AND(ISNUMBER(D44),NOT(ISNUMBER(C44))),"Postest sin pretest (huérfano)",IF(OR(AND(ISNUMBER(C44),OR(C44&lt;Inicio!$C$18,C44&gt;Inicio!$C$19)),AND(ISNUMBER(D44),OR(D44&lt;Inicio!$C$18,D44&gt;Inicio!$C$19))),"Fuera de rango",IF(COUNTIF($A$6:$A$305,A44)&gt;1,"Código duplicado","OK")))))</f>
        <v/>
      </c>
      <c r="K44" s="2" t="n"/>
      <c r="L44" s="2" t="n"/>
      <c r="M44" s="2" t="n"/>
      <c r="N44" s="2" t="n"/>
      <c r="O44" s="2" t="n"/>
      <c r="P44" s="2" t="n"/>
      <c r="Q44" s="2" t="n"/>
      <c r="R44" s="2" t="n"/>
    </row>
    <row r="45" ht="15" customHeight="1" s="67">
      <c r="A45" s="22" t="inlineStr">
        <is>
          <t>GU-TDH-047</t>
        </is>
      </c>
      <c r="B45" s="26">
        <f t="array" ref="B45">IF(A45="","",IFERROR(IF(INDEX('2_Participantes'!$B$6:$B$305,MATCH(A45,'2_Participantes'!$A$6:$A$305,0))="","",INDEX('2_Participantes'!$B$6:$B$305,MATCH(A45,'2_Participantes'!$A$6:$A$305,0))),"No registrado"))</f>
        <v/>
      </c>
      <c r="C45" s="15" t="n">
        <v>30</v>
      </c>
      <c r="D45" s="15" t="n">
        <v>87.5</v>
      </c>
      <c r="E45" s="32">
        <f>IF(AND(ISNUMBER(C45),ISNUMBER(D45)),D45-C45,"")</f>
        <v/>
      </c>
      <c r="F45" s="31">
        <f t="array" ref="F45">IF(A45="","",IFERROR(IF(INDEX('2_Participantes'!$E$6:$E$305,MATCH(A45,'2_Participantes'!$A$6:$A$305,0))="","",INDEX('2_Participantes'!$E$6:$E$305,MATCH(A45,'2_Participantes'!$A$6:$A$305,0))),""))</f>
        <v/>
      </c>
      <c r="G45" s="26">
        <f t="array" ref="G45">IF(A45="","",IFERROR(IF(INDEX('2_Participantes'!$F$6:$F$305,MATCH(A45,'2_Participantes'!$A$6:$A$305,0))="","",INDEX('2_Participantes'!$F$6:$F$305,MATCH(A45,'2_Participantes'!$A$6:$A$305,0))),"No registrado"))</f>
        <v/>
      </c>
      <c r="H45" s="47">
        <f t="array" ref="H45">IF(A45="","",IFERROR(IF(INDEX('2_Participantes'!$L$6:$L$305,MATCH(A45,'2_Participantes'!$A$6:$A$305,0))="","",INDEX('2_Participantes'!$L$6:$L$305,MATCH(A45,'2_Participantes'!$A$6:$A$305,0))),""))</f>
        <v/>
      </c>
      <c r="I45" s="31">
        <f>IF(A45="","",IF(AND(ISNUMBER(C45),ISNUMBER(D45),G45&lt;&gt;"Excluido"),1,0))</f>
        <v/>
      </c>
      <c r="J45" s="48">
        <f>IF(A45="","",IF(G45="No registrado","Código ausente en 2_Participantes",IF(AND(ISNUMBER(D45),NOT(ISNUMBER(C45))),"Postest sin pretest (huérfano)",IF(OR(AND(ISNUMBER(C45),OR(C45&lt;Inicio!$C$18,C45&gt;Inicio!$C$19)),AND(ISNUMBER(D45),OR(D45&lt;Inicio!$C$18,D45&gt;Inicio!$C$19))),"Fuera de rango",IF(COUNTIF($A$6:$A$305,A45)&gt;1,"Código duplicado","OK")))))</f>
        <v/>
      </c>
      <c r="K45" s="2" t="n"/>
      <c r="L45" s="2" t="n"/>
      <c r="M45" s="2" t="n"/>
      <c r="N45" s="2" t="n"/>
      <c r="O45" s="2" t="n"/>
      <c r="P45" s="2" t="n"/>
      <c r="Q45" s="2" t="n"/>
      <c r="R45" s="2" t="n"/>
    </row>
    <row r="46" ht="15" customHeight="1" s="67">
      <c r="A46" s="22" t="inlineStr">
        <is>
          <t>GU-TDH-048</t>
        </is>
      </c>
      <c r="B46" s="26">
        <f t="array" ref="B46">IF(A46="","",IFERROR(IF(INDEX('2_Participantes'!$B$6:$B$305,MATCH(A46,'2_Participantes'!$A$6:$A$305,0))="","",INDEX('2_Participantes'!$B$6:$B$305,MATCH(A46,'2_Participantes'!$A$6:$A$305,0))),"No registrado"))</f>
        <v/>
      </c>
      <c r="C46" s="15" t="n">
        <v>55</v>
      </c>
      <c r="D46" s="15" t="n">
        <v>75</v>
      </c>
      <c r="E46" s="32">
        <f>IF(AND(ISNUMBER(C46),ISNUMBER(D46)),D46-C46,"")</f>
        <v/>
      </c>
      <c r="F46" s="31">
        <f t="array" ref="F46">IF(A46="","",IFERROR(IF(INDEX('2_Participantes'!$E$6:$E$305,MATCH(A46,'2_Participantes'!$A$6:$A$305,0))="","",INDEX('2_Participantes'!$E$6:$E$305,MATCH(A46,'2_Participantes'!$A$6:$A$305,0))),""))</f>
        <v/>
      </c>
      <c r="G46" s="26">
        <f t="array" ref="G46">IF(A46="","",IFERROR(IF(INDEX('2_Participantes'!$F$6:$F$305,MATCH(A46,'2_Participantes'!$A$6:$A$305,0))="","",INDEX('2_Participantes'!$F$6:$F$305,MATCH(A46,'2_Participantes'!$A$6:$A$305,0))),"No registrado"))</f>
        <v/>
      </c>
      <c r="H46" s="47">
        <f t="array" ref="H46">IF(A46="","",IFERROR(IF(INDEX('2_Participantes'!$L$6:$L$305,MATCH(A46,'2_Participantes'!$A$6:$A$305,0))="","",INDEX('2_Participantes'!$L$6:$L$305,MATCH(A46,'2_Participantes'!$A$6:$A$305,0))),""))</f>
        <v/>
      </c>
      <c r="I46" s="31">
        <f>IF(A46="","",IF(AND(ISNUMBER(C46),ISNUMBER(D46),G46&lt;&gt;"Excluido"),1,0))</f>
        <v/>
      </c>
      <c r="J46" s="48">
        <f>IF(A46="","",IF(G46="No registrado","Código ausente en 2_Participantes",IF(AND(ISNUMBER(D46),NOT(ISNUMBER(C46))),"Postest sin pretest (huérfano)",IF(OR(AND(ISNUMBER(C46),OR(C46&lt;Inicio!$C$18,C46&gt;Inicio!$C$19)),AND(ISNUMBER(D46),OR(D46&lt;Inicio!$C$18,D46&gt;Inicio!$C$19))),"Fuera de rango",IF(COUNTIF($A$6:$A$305,A46)&gt;1,"Código duplicado","OK")))))</f>
        <v/>
      </c>
      <c r="K46" s="2" t="n"/>
      <c r="L46" s="2" t="n"/>
      <c r="M46" s="2" t="n"/>
      <c r="N46" s="2" t="n"/>
      <c r="O46" s="2" t="n"/>
      <c r="P46" s="2" t="n"/>
      <c r="Q46" s="2" t="n"/>
      <c r="R46" s="2" t="n"/>
    </row>
    <row r="47" ht="15" customHeight="1" s="67">
      <c r="A47" s="22" t="inlineStr">
        <is>
          <t>GU-TDH-049</t>
        </is>
      </c>
      <c r="B47" s="26">
        <f t="array" ref="B47">IF(A47="","",IFERROR(IF(INDEX('2_Participantes'!$B$6:$B$305,MATCH(A47,'2_Participantes'!$A$6:$A$305,0))="","",INDEX('2_Participantes'!$B$6:$B$305,MATCH(A47,'2_Participantes'!$A$6:$A$305,0))),"No registrado"))</f>
        <v/>
      </c>
      <c r="C47" s="15" t="n">
        <v>45</v>
      </c>
      <c r="D47" s="15" t="n">
        <v>80</v>
      </c>
      <c r="E47" s="32">
        <f>IF(AND(ISNUMBER(C47),ISNUMBER(D47)),D47-C47,"")</f>
        <v/>
      </c>
      <c r="F47" s="31">
        <f t="array" ref="F47">IF(A47="","",IFERROR(IF(INDEX('2_Participantes'!$E$6:$E$305,MATCH(A47,'2_Participantes'!$A$6:$A$305,0))="","",INDEX('2_Participantes'!$E$6:$E$305,MATCH(A47,'2_Participantes'!$A$6:$A$305,0))),""))</f>
        <v/>
      </c>
      <c r="G47" s="26">
        <f t="array" ref="G47">IF(A47="","",IFERROR(IF(INDEX('2_Participantes'!$F$6:$F$305,MATCH(A47,'2_Participantes'!$A$6:$A$305,0))="","",INDEX('2_Participantes'!$F$6:$F$305,MATCH(A47,'2_Participantes'!$A$6:$A$305,0))),"No registrado"))</f>
        <v/>
      </c>
      <c r="H47" s="47">
        <f t="array" ref="H47">IF(A47="","",IFERROR(IF(INDEX('2_Participantes'!$L$6:$L$305,MATCH(A47,'2_Participantes'!$A$6:$A$305,0))="","",INDEX('2_Participantes'!$L$6:$L$305,MATCH(A47,'2_Participantes'!$A$6:$A$305,0))),""))</f>
        <v/>
      </c>
      <c r="I47" s="31">
        <f>IF(A47="","",IF(AND(ISNUMBER(C47),ISNUMBER(D47),G47&lt;&gt;"Excluido"),1,0))</f>
        <v/>
      </c>
      <c r="J47" s="48">
        <f>IF(A47="","",IF(G47="No registrado","Código ausente en 2_Participantes",IF(AND(ISNUMBER(D47),NOT(ISNUMBER(C47))),"Postest sin pretest (huérfano)",IF(OR(AND(ISNUMBER(C47),OR(C47&lt;Inicio!$C$18,C47&gt;Inicio!$C$19)),AND(ISNUMBER(D47),OR(D47&lt;Inicio!$C$18,D47&gt;Inicio!$C$19))),"Fuera de rango",IF(COUNTIF($A$6:$A$305,A47)&gt;1,"Código duplicado","OK")))))</f>
        <v/>
      </c>
      <c r="K47" s="2" t="n"/>
      <c r="L47" s="2" t="n"/>
      <c r="M47" s="2" t="n"/>
      <c r="N47" s="2" t="n"/>
      <c r="O47" s="2" t="n"/>
      <c r="P47" s="2" t="n"/>
      <c r="Q47" s="2" t="n"/>
      <c r="R47" s="2" t="n"/>
    </row>
    <row r="48" ht="15" customHeight="1" s="67">
      <c r="A48" s="22" t="inlineStr">
        <is>
          <t>GU-TDH-050</t>
        </is>
      </c>
      <c r="B48" s="26">
        <f t="array" ref="B48">IF(A48="","",IFERROR(IF(INDEX('2_Participantes'!$B$6:$B$305,MATCH(A48,'2_Participantes'!$A$6:$A$305,0))="","",INDEX('2_Participantes'!$B$6:$B$305,MATCH(A48,'2_Participantes'!$A$6:$A$305,0))),"No registrado"))</f>
        <v/>
      </c>
      <c r="C48" s="15" t="n">
        <v>40</v>
      </c>
      <c r="D48" s="15" t="n">
        <v>70</v>
      </c>
      <c r="E48" s="32">
        <f>IF(AND(ISNUMBER(C48),ISNUMBER(D48)),D48-C48,"")</f>
        <v/>
      </c>
      <c r="F48" s="31">
        <f t="array" ref="F48">IF(A48="","",IFERROR(IF(INDEX('2_Participantes'!$E$6:$E$305,MATCH(A48,'2_Participantes'!$A$6:$A$305,0))="","",INDEX('2_Participantes'!$E$6:$E$305,MATCH(A48,'2_Participantes'!$A$6:$A$305,0))),""))</f>
        <v/>
      </c>
      <c r="G48" s="26">
        <f t="array" ref="G48">IF(A48="","",IFERROR(IF(INDEX('2_Participantes'!$F$6:$F$305,MATCH(A48,'2_Participantes'!$A$6:$A$305,0))="","",INDEX('2_Participantes'!$F$6:$F$305,MATCH(A48,'2_Participantes'!$A$6:$A$305,0))),"No registrado"))</f>
        <v/>
      </c>
      <c r="H48" s="47">
        <f t="array" ref="H48">IF(A48="","",IFERROR(IF(INDEX('2_Participantes'!$L$6:$L$305,MATCH(A48,'2_Participantes'!$A$6:$A$305,0))="","",INDEX('2_Participantes'!$L$6:$L$305,MATCH(A48,'2_Participantes'!$A$6:$A$305,0))),""))</f>
        <v/>
      </c>
      <c r="I48" s="31">
        <f>IF(A48="","",IF(AND(ISNUMBER(C48),ISNUMBER(D48),G48&lt;&gt;"Excluido"),1,0))</f>
        <v/>
      </c>
      <c r="J48" s="48">
        <f>IF(A48="","",IF(G48="No registrado","Código ausente en 2_Participantes",IF(AND(ISNUMBER(D48),NOT(ISNUMBER(C48))),"Postest sin pretest (huérfano)",IF(OR(AND(ISNUMBER(C48),OR(C48&lt;Inicio!$C$18,C48&gt;Inicio!$C$19)),AND(ISNUMBER(D48),OR(D48&lt;Inicio!$C$18,D48&gt;Inicio!$C$19))),"Fuera de rango",IF(COUNTIF($A$6:$A$305,A48)&gt;1,"Código duplicado","OK")))))</f>
        <v/>
      </c>
      <c r="K48" s="2" t="n"/>
      <c r="L48" s="2" t="n"/>
      <c r="M48" s="2" t="n"/>
      <c r="N48" s="2" t="n"/>
      <c r="O48" s="2" t="n"/>
      <c r="P48" s="2" t="n"/>
      <c r="Q48" s="2" t="n"/>
      <c r="R48" s="2" t="n"/>
    </row>
    <row r="49" ht="15" customHeight="1" s="67">
      <c r="A49" s="22" t="inlineStr">
        <is>
          <t>GU-TDH-051</t>
        </is>
      </c>
      <c r="B49" s="26">
        <f t="array" ref="B49">IF(A49="","",IFERROR(IF(INDEX('2_Participantes'!$B$6:$B$305,MATCH(A49,'2_Participantes'!$A$6:$A$305,0))="","",INDEX('2_Participantes'!$B$6:$B$305,MATCH(A49,'2_Participantes'!$A$6:$A$305,0))),"No registrado"))</f>
        <v/>
      </c>
      <c r="C49" s="15" t="n">
        <v>62.5</v>
      </c>
      <c r="D49" s="15" t="n">
        <v>87.5</v>
      </c>
      <c r="E49" s="32">
        <f>IF(AND(ISNUMBER(C49),ISNUMBER(D49)),D49-C49,"")</f>
        <v/>
      </c>
      <c r="F49" s="31">
        <f t="array" ref="F49">IF(A49="","",IFERROR(IF(INDEX('2_Participantes'!$E$6:$E$305,MATCH(A49,'2_Participantes'!$A$6:$A$305,0))="","",INDEX('2_Participantes'!$E$6:$E$305,MATCH(A49,'2_Participantes'!$A$6:$A$305,0))),""))</f>
        <v/>
      </c>
      <c r="G49" s="26">
        <f t="array" ref="G49">IF(A49="","",IFERROR(IF(INDEX('2_Participantes'!$F$6:$F$305,MATCH(A49,'2_Participantes'!$A$6:$A$305,0))="","",INDEX('2_Participantes'!$F$6:$F$305,MATCH(A49,'2_Participantes'!$A$6:$A$305,0))),"No registrado"))</f>
        <v/>
      </c>
      <c r="H49" s="47">
        <f t="array" ref="H49">IF(A49="","",IFERROR(IF(INDEX('2_Participantes'!$L$6:$L$305,MATCH(A49,'2_Participantes'!$A$6:$A$305,0))="","",INDEX('2_Participantes'!$L$6:$L$305,MATCH(A49,'2_Participantes'!$A$6:$A$305,0))),""))</f>
        <v/>
      </c>
      <c r="I49" s="31">
        <f>IF(A49="","",IF(AND(ISNUMBER(C49),ISNUMBER(D49),G49&lt;&gt;"Excluido"),1,0))</f>
        <v/>
      </c>
      <c r="J49" s="48">
        <f>IF(A49="","",IF(G49="No registrado","Código ausente en 2_Participantes",IF(AND(ISNUMBER(D49),NOT(ISNUMBER(C49))),"Postest sin pretest (huérfano)",IF(OR(AND(ISNUMBER(C49),OR(C49&lt;Inicio!$C$18,C49&gt;Inicio!$C$19)),AND(ISNUMBER(D49),OR(D49&lt;Inicio!$C$18,D49&gt;Inicio!$C$19))),"Fuera de rango",IF(COUNTIF($A$6:$A$305,A49)&gt;1,"Código duplicado","OK")))))</f>
        <v/>
      </c>
      <c r="K49" s="2" t="n"/>
      <c r="L49" s="2" t="n"/>
      <c r="M49" s="2" t="n"/>
      <c r="N49" s="2" t="n"/>
      <c r="O49" s="2" t="n"/>
      <c r="P49" s="2" t="n"/>
      <c r="Q49" s="2" t="n"/>
      <c r="R49" s="2" t="n"/>
    </row>
    <row r="50" ht="15" customHeight="1" s="67">
      <c r="A50" s="22" t="inlineStr">
        <is>
          <t>GU-TDH-052</t>
        </is>
      </c>
      <c r="B50" s="26">
        <f t="array" ref="B50">IF(A50="","",IFERROR(IF(INDEX('2_Participantes'!$B$6:$B$305,MATCH(A50,'2_Participantes'!$A$6:$A$305,0))="","",INDEX('2_Participantes'!$B$6:$B$305,MATCH(A50,'2_Participantes'!$A$6:$A$305,0))),"No registrado"))</f>
        <v/>
      </c>
      <c r="C50" s="15" t="n">
        <v>47.5</v>
      </c>
      <c r="D50" s="15" t="n">
        <v>70</v>
      </c>
      <c r="E50" s="32">
        <f>IF(AND(ISNUMBER(C50),ISNUMBER(D50)),D50-C50,"")</f>
        <v/>
      </c>
      <c r="F50" s="31">
        <f t="array" ref="F50">IF(A50="","",IFERROR(IF(INDEX('2_Participantes'!$E$6:$E$305,MATCH(A50,'2_Participantes'!$A$6:$A$305,0))="","",INDEX('2_Participantes'!$E$6:$E$305,MATCH(A50,'2_Participantes'!$A$6:$A$305,0))),""))</f>
        <v/>
      </c>
      <c r="G50" s="26">
        <f t="array" ref="G50">IF(A50="","",IFERROR(IF(INDEX('2_Participantes'!$F$6:$F$305,MATCH(A50,'2_Participantes'!$A$6:$A$305,0))="","",INDEX('2_Participantes'!$F$6:$F$305,MATCH(A50,'2_Participantes'!$A$6:$A$305,0))),"No registrado"))</f>
        <v/>
      </c>
      <c r="H50" s="47">
        <f t="array" ref="H50">IF(A50="","",IFERROR(IF(INDEX('2_Participantes'!$L$6:$L$305,MATCH(A50,'2_Participantes'!$A$6:$A$305,0))="","",INDEX('2_Participantes'!$L$6:$L$305,MATCH(A50,'2_Participantes'!$A$6:$A$305,0))),""))</f>
        <v/>
      </c>
      <c r="I50" s="31">
        <f>IF(A50="","",IF(AND(ISNUMBER(C50),ISNUMBER(D50),G50&lt;&gt;"Excluido"),1,0))</f>
        <v/>
      </c>
      <c r="J50" s="48">
        <f>IF(A50="","",IF(G50="No registrado","Código ausente en 2_Participantes",IF(AND(ISNUMBER(D50),NOT(ISNUMBER(C50))),"Postest sin pretest (huérfano)",IF(OR(AND(ISNUMBER(C50),OR(C50&lt;Inicio!$C$18,C50&gt;Inicio!$C$19)),AND(ISNUMBER(D50),OR(D50&lt;Inicio!$C$18,D50&gt;Inicio!$C$19))),"Fuera de rango",IF(COUNTIF($A$6:$A$305,A50)&gt;1,"Código duplicado","OK")))))</f>
        <v/>
      </c>
      <c r="K50" s="2" t="n"/>
      <c r="L50" s="2" t="n"/>
      <c r="M50" s="2" t="n"/>
      <c r="N50" s="2" t="n"/>
      <c r="O50" s="2" t="n"/>
      <c r="P50" s="2" t="n"/>
      <c r="Q50" s="2" t="n"/>
      <c r="R50" s="2" t="n"/>
    </row>
    <row r="51" ht="15" customHeight="1" s="67">
      <c r="A51" s="22" t="inlineStr">
        <is>
          <t>GU-TDH-053</t>
        </is>
      </c>
      <c r="B51" s="26">
        <f t="array" ref="B51">IF(A51="","",IFERROR(IF(INDEX('2_Participantes'!$B$6:$B$305,MATCH(A51,'2_Participantes'!$A$6:$A$305,0))="","",INDEX('2_Participantes'!$B$6:$B$305,MATCH(A51,'2_Participantes'!$A$6:$A$305,0))),"No registrado"))</f>
        <v/>
      </c>
      <c r="C51" s="15" t="n">
        <v>62.5</v>
      </c>
      <c r="D51" s="15" t="n"/>
      <c r="E51" s="32">
        <f>IF(AND(ISNUMBER(C51),ISNUMBER(D51)),D51-C51,"")</f>
        <v/>
      </c>
      <c r="F51" s="31">
        <f t="array" ref="F51">IF(A51="","",IFERROR(IF(INDEX('2_Participantes'!$E$6:$E$305,MATCH(A51,'2_Participantes'!$A$6:$A$305,0))="","",INDEX('2_Participantes'!$E$6:$E$305,MATCH(A51,'2_Participantes'!$A$6:$A$305,0))),""))</f>
        <v/>
      </c>
      <c r="G51" s="26">
        <f t="array" ref="G51">IF(A51="","",IFERROR(IF(INDEX('2_Participantes'!$F$6:$F$305,MATCH(A51,'2_Participantes'!$A$6:$A$305,0))="","",INDEX('2_Participantes'!$F$6:$F$305,MATCH(A51,'2_Participantes'!$A$6:$A$305,0))),"No registrado"))</f>
        <v/>
      </c>
      <c r="H51" s="47">
        <f t="array" ref="H51">IF(A51="","",IFERROR(IF(INDEX('2_Participantes'!$L$6:$L$305,MATCH(A51,'2_Participantes'!$A$6:$A$305,0))="","",INDEX('2_Participantes'!$L$6:$L$305,MATCH(A51,'2_Participantes'!$A$6:$A$305,0))),""))</f>
        <v/>
      </c>
      <c r="I51" s="31">
        <f>IF(A51="","",IF(AND(ISNUMBER(C51),ISNUMBER(D51),G51&lt;&gt;"Excluido"),1,0))</f>
        <v/>
      </c>
      <c r="J51" s="48">
        <f>IF(A51="","",IF(G51="No registrado","Código ausente en 2_Participantes",IF(AND(ISNUMBER(D51),NOT(ISNUMBER(C51))),"Postest sin pretest (huérfano)",IF(OR(AND(ISNUMBER(C51),OR(C51&lt;Inicio!$C$18,C51&gt;Inicio!$C$19)),AND(ISNUMBER(D51),OR(D51&lt;Inicio!$C$18,D51&gt;Inicio!$C$19))),"Fuera de rango",IF(COUNTIF($A$6:$A$305,A51)&gt;1,"Código duplicado","OK")))))</f>
        <v/>
      </c>
      <c r="K51" s="2" t="n"/>
      <c r="L51" s="2" t="n"/>
      <c r="M51" s="2" t="n"/>
      <c r="N51" s="2" t="n"/>
      <c r="O51" s="2" t="n"/>
      <c r="P51" s="2" t="n"/>
      <c r="Q51" s="2" t="n"/>
      <c r="R51" s="2" t="n"/>
    </row>
    <row r="52" ht="15" customHeight="1" s="67">
      <c r="A52" s="22" t="inlineStr">
        <is>
          <t>GU-TDH-054</t>
        </is>
      </c>
      <c r="B52" s="26">
        <f t="array" ref="B52">IF(A52="","",IFERROR(IF(INDEX('2_Participantes'!$B$6:$B$305,MATCH(A52,'2_Participantes'!$A$6:$A$305,0))="","",INDEX('2_Participantes'!$B$6:$B$305,MATCH(A52,'2_Participantes'!$A$6:$A$305,0))),"No registrado"))</f>
        <v/>
      </c>
      <c r="C52" s="15" t="n">
        <v>62.5</v>
      </c>
      <c r="D52" s="15" t="n">
        <v>95</v>
      </c>
      <c r="E52" s="32">
        <f>IF(AND(ISNUMBER(C52),ISNUMBER(D52)),D52-C52,"")</f>
        <v/>
      </c>
      <c r="F52" s="31">
        <f t="array" ref="F52">IF(A52="","",IFERROR(IF(INDEX('2_Participantes'!$E$6:$E$305,MATCH(A52,'2_Participantes'!$A$6:$A$305,0))="","",INDEX('2_Participantes'!$E$6:$E$305,MATCH(A52,'2_Participantes'!$A$6:$A$305,0))),""))</f>
        <v/>
      </c>
      <c r="G52" s="26">
        <f t="array" ref="G52">IF(A52="","",IFERROR(IF(INDEX('2_Participantes'!$F$6:$F$305,MATCH(A52,'2_Participantes'!$A$6:$A$305,0))="","",INDEX('2_Participantes'!$F$6:$F$305,MATCH(A52,'2_Participantes'!$A$6:$A$305,0))),"No registrado"))</f>
        <v/>
      </c>
      <c r="H52" s="47">
        <f t="array" ref="H52">IF(A52="","",IFERROR(IF(INDEX('2_Participantes'!$L$6:$L$305,MATCH(A52,'2_Participantes'!$A$6:$A$305,0))="","",INDEX('2_Participantes'!$L$6:$L$305,MATCH(A52,'2_Participantes'!$A$6:$A$305,0))),""))</f>
        <v/>
      </c>
      <c r="I52" s="31">
        <f>IF(A52="","",IF(AND(ISNUMBER(C52),ISNUMBER(D52),G52&lt;&gt;"Excluido"),1,0))</f>
        <v/>
      </c>
      <c r="J52" s="48">
        <f>IF(A52="","",IF(G52="No registrado","Código ausente en 2_Participantes",IF(AND(ISNUMBER(D52),NOT(ISNUMBER(C52))),"Postest sin pretest (huérfano)",IF(OR(AND(ISNUMBER(C52),OR(C52&lt;Inicio!$C$18,C52&gt;Inicio!$C$19)),AND(ISNUMBER(D52),OR(D52&lt;Inicio!$C$18,D52&gt;Inicio!$C$19))),"Fuera de rango",IF(COUNTIF($A$6:$A$305,A52)&gt;1,"Código duplicado","OK")))))</f>
        <v/>
      </c>
      <c r="K52" s="2" t="n"/>
      <c r="L52" s="2" t="n"/>
      <c r="M52" s="2" t="n"/>
      <c r="N52" s="2" t="n"/>
      <c r="O52" s="2" t="n"/>
      <c r="P52" s="2" t="n"/>
      <c r="Q52" s="2" t="n"/>
      <c r="R52" s="2" t="n"/>
    </row>
    <row r="53" ht="15" customHeight="1" s="67">
      <c r="A53" s="22" t="n"/>
      <c r="B53" s="26">
        <f t="array" ref="B53">IF(A53="","",IFERROR(IF(INDEX('2_Participantes'!$B$6:$B$305,MATCH(A53,'2_Participantes'!$A$6:$A$305,0))="","",INDEX('2_Participantes'!$B$6:$B$305,MATCH(A53,'2_Participantes'!$A$6:$A$305,0))),"No registrado"))</f>
        <v/>
      </c>
      <c r="C53" s="15" t="n"/>
      <c r="D53" s="15" t="n"/>
      <c r="E53" s="32">
        <f>IF(AND(ISNUMBER(C53),ISNUMBER(D53)),D53-C53,"")</f>
        <v/>
      </c>
      <c r="F53" s="31">
        <f t="array" ref="F53">IF(A53="","",IFERROR(IF(INDEX('2_Participantes'!$E$6:$E$305,MATCH(A53,'2_Participantes'!$A$6:$A$305,0))="","",INDEX('2_Participantes'!$E$6:$E$305,MATCH(A53,'2_Participantes'!$A$6:$A$305,0))),""))</f>
        <v/>
      </c>
      <c r="G53" s="26">
        <f t="array" ref="G53">IF(A53="","",IFERROR(IF(INDEX('2_Participantes'!$F$6:$F$305,MATCH(A53,'2_Participantes'!$A$6:$A$305,0))="","",INDEX('2_Participantes'!$F$6:$F$305,MATCH(A53,'2_Participantes'!$A$6:$A$305,0))),"No registrado"))</f>
        <v/>
      </c>
      <c r="H53" s="47">
        <f t="array" ref="H53">IF(A53="","",IFERROR(IF(INDEX('2_Participantes'!$L$6:$L$305,MATCH(A53,'2_Participantes'!$A$6:$A$305,0))="","",INDEX('2_Participantes'!$L$6:$L$305,MATCH(A53,'2_Participantes'!$A$6:$A$305,0))),""))</f>
        <v/>
      </c>
      <c r="I53" s="31">
        <f>IF(A53="","",IF(AND(ISNUMBER(C53),ISNUMBER(D53),G53&lt;&gt;"Excluido"),1,0))</f>
        <v/>
      </c>
      <c r="J53" s="48">
        <f>IF(A53="","",IF(G53="No registrado","Código ausente en 2_Participantes",IF(AND(ISNUMBER(D53),NOT(ISNUMBER(C53))),"Postest sin pretest (huérfano)",IF(OR(AND(ISNUMBER(C53),OR(C53&lt;Inicio!$C$18,C53&gt;Inicio!$C$19)),AND(ISNUMBER(D53),OR(D53&lt;Inicio!$C$18,D53&gt;Inicio!$C$19))),"Fuera de rango",IF(COUNTIF($A$6:$A$305,A53)&gt;1,"Código duplicado","OK")))))</f>
        <v/>
      </c>
      <c r="K53" s="2" t="n"/>
      <c r="L53" s="2" t="n"/>
      <c r="M53" s="2" t="n"/>
      <c r="N53" s="2" t="n"/>
      <c r="O53" s="2" t="n"/>
      <c r="P53" s="2" t="n"/>
      <c r="Q53" s="2" t="n"/>
      <c r="R53" s="2" t="n"/>
    </row>
    <row r="54" ht="15" customHeight="1" s="67">
      <c r="A54" s="22" t="inlineStr">
        <is>
          <t>GU-TDH-056</t>
        </is>
      </c>
      <c r="B54" s="26">
        <f t="array" ref="B54">IF(A54="","",IFERROR(IF(INDEX('2_Participantes'!$B$6:$B$305,MATCH(A54,'2_Participantes'!$A$6:$A$305,0))="","",INDEX('2_Participantes'!$B$6:$B$305,MATCH(A54,'2_Participantes'!$A$6:$A$305,0))),"No registrado"))</f>
        <v/>
      </c>
      <c r="C54" s="15" t="n">
        <v>45</v>
      </c>
      <c r="D54" s="15" t="n">
        <v>67.5</v>
      </c>
      <c r="E54" s="32">
        <f>IF(AND(ISNUMBER(C54),ISNUMBER(D54)),D54-C54,"")</f>
        <v/>
      </c>
      <c r="F54" s="31">
        <f t="array" ref="F54">IF(A54="","",IFERROR(IF(INDEX('2_Participantes'!$E$6:$E$305,MATCH(A54,'2_Participantes'!$A$6:$A$305,0))="","",INDEX('2_Participantes'!$E$6:$E$305,MATCH(A54,'2_Participantes'!$A$6:$A$305,0))),""))</f>
        <v/>
      </c>
      <c r="G54" s="26">
        <f t="array" ref="G54">IF(A54="","",IFERROR(IF(INDEX('2_Participantes'!$F$6:$F$305,MATCH(A54,'2_Participantes'!$A$6:$A$305,0))="","",INDEX('2_Participantes'!$F$6:$F$305,MATCH(A54,'2_Participantes'!$A$6:$A$305,0))),"No registrado"))</f>
        <v/>
      </c>
      <c r="H54" s="47">
        <f t="array" ref="H54">IF(A54="","",IFERROR(IF(INDEX('2_Participantes'!$L$6:$L$305,MATCH(A54,'2_Participantes'!$A$6:$A$305,0))="","",INDEX('2_Participantes'!$L$6:$L$305,MATCH(A54,'2_Participantes'!$A$6:$A$305,0))),""))</f>
        <v/>
      </c>
      <c r="I54" s="31">
        <f>IF(A54="","",IF(AND(ISNUMBER(C54),ISNUMBER(D54),G54&lt;&gt;"Excluido"),1,0))</f>
        <v/>
      </c>
      <c r="J54" s="48">
        <f>IF(A54="","",IF(G54="No registrado","Código ausente en 2_Participantes",IF(AND(ISNUMBER(D54),NOT(ISNUMBER(C54))),"Postest sin pretest (huérfano)",IF(OR(AND(ISNUMBER(C54),OR(C54&lt;Inicio!$C$18,C54&gt;Inicio!$C$19)),AND(ISNUMBER(D54),OR(D54&lt;Inicio!$C$18,D54&gt;Inicio!$C$19))),"Fuera de rango",IF(COUNTIF($A$6:$A$305,A54)&gt;1,"Código duplicado","OK")))))</f>
        <v/>
      </c>
      <c r="K54" s="2" t="n"/>
      <c r="L54" s="2" t="n"/>
      <c r="M54" s="2" t="n"/>
      <c r="N54" s="2" t="n"/>
      <c r="O54" s="2" t="n"/>
      <c r="P54" s="2" t="n"/>
      <c r="Q54" s="2" t="n"/>
      <c r="R54" s="2" t="n"/>
    </row>
    <row r="55" ht="15" customHeight="1" s="67">
      <c r="A55" s="22" t="inlineStr">
        <is>
          <t>GU-TDH-057</t>
        </is>
      </c>
      <c r="B55" s="26">
        <f t="array" ref="B55">IF(A55="","",IFERROR(IF(INDEX('2_Participantes'!$B$6:$B$305,MATCH(A55,'2_Participantes'!$A$6:$A$305,0))="","",INDEX('2_Participantes'!$B$6:$B$305,MATCH(A55,'2_Participantes'!$A$6:$A$305,0))),"No registrado"))</f>
        <v/>
      </c>
      <c r="C55" s="15" t="n">
        <v>55</v>
      </c>
      <c r="D55" s="15" t="n">
        <v>62.5</v>
      </c>
      <c r="E55" s="32">
        <f>IF(AND(ISNUMBER(C55),ISNUMBER(D55)),D55-C55,"")</f>
        <v/>
      </c>
      <c r="F55" s="31">
        <f t="array" ref="F55">IF(A55="","",IFERROR(IF(INDEX('2_Participantes'!$E$6:$E$305,MATCH(A55,'2_Participantes'!$A$6:$A$305,0))="","",INDEX('2_Participantes'!$E$6:$E$305,MATCH(A55,'2_Participantes'!$A$6:$A$305,0))),""))</f>
        <v/>
      </c>
      <c r="G55" s="26">
        <f t="array" ref="G55">IF(A55="","",IFERROR(IF(INDEX('2_Participantes'!$F$6:$F$305,MATCH(A55,'2_Participantes'!$A$6:$A$305,0))="","",INDEX('2_Participantes'!$F$6:$F$305,MATCH(A55,'2_Participantes'!$A$6:$A$305,0))),"No registrado"))</f>
        <v/>
      </c>
      <c r="H55" s="47">
        <f t="array" ref="H55">IF(A55="","",IFERROR(IF(INDEX('2_Participantes'!$L$6:$L$305,MATCH(A55,'2_Participantes'!$A$6:$A$305,0))="","",INDEX('2_Participantes'!$L$6:$L$305,MATCH(A55,'2_Participantes'!$A$6:$A$305,0))),""))</f>
        <v/>
      </c>
      <c r="I55" s="31">
        <f>IF(A55="","",IF(AND(ISNUMBER(C55),ISNUMBER(D55),G55&lt;&gt;"Excluido"),1,0))</f>
        <v/>
      </c>
      <c r="J55" s="48">
        <f>IF(A55="","",IF(G55="No registrado","Código ausente en 2_Participantes",IF(AND(ISNUMBER(D55),NOT(ISNUMBER(C55))),"Postest sin pretest (huérfano)",IF(OR(AND(ISNUMBER(C55),OR(C55&lt;Inicio!$C$18,C55&gt;Inicio!$C$19)),AND(ISNUMBER(D55),OR(D55&lt;Inicio!$C$18,D55&gt;Inicio!$C$19))),"Fuera de rango",IF(COUNTIF($A$6:$A$305,A55)&gt;1,"Código duplicado","OK")))))</f>
        <v/>
      </c>
      <c r="K55" s="2" t="n"/>
      <c r="L55" s="2" t="n"/>
      <c r="M55" s="2" t="n"/>
      <c r="N55" s="2" t="n"/>
      <c r="O55" s="2" t="n"/>
      <c r="P55" s="2" t="n"/>
      <c r="Q55" s="2" t="n"/>
      <c r="R55" s="2" t="n"/>
    </row>
    <row r="56" ht="15" customHeight="1" s="67">
      <c r="A56" s="22" t="inlineStr">
        <is>
          <t>GU-TDH-058</t>
        </is>
      </c>
      <c r="B56" s="26">
        <f t="array" ref="B56">IF(A56="","",IFERROR(IF(INDEX('2_Participantes'!$B$6:$B$305,MATCH(A56,'2_Participantes'!$A$6:$A$305,0))="","",INDEX('2_Participantes'!$B$6:$B$305,MATCH(A56,'2_Participantes'!$A$6:$A$305,0))),"No registrado"))</f>
        <v/>
      </c>
      <c r="C56" s="15" t="n">
        <v>80</v>
      </c>
      <c r="D56" s="15" t="n">
        <v>90</v>
      </c>
      <c r="E56" s="32">
        <f>IF(AND(ISNUMBER(C56),ISNUMBER(D56)),D56-C56,"")</f>
        <v/>
      </c>
      <c r="F56" s="31">
        <f t="array" ref="F56">IF(A56="","",IFERROR(IF(INDEX('2_Participantes'!$E$6:$E$305,MATCH(A56,'2_Participantes'!$A$6:$A$305,0))="","",INDEX('2_Participantes'!$E$6:$E$305,MATCH(A56,'2_Participantes'!$A$6:$A$305,0))),""))</f>
        <v/>
      </c>
      <c r="G56" s="26">
        <f t="array" ref="G56">IF(A56="","",IFERROR(IF(INDEX('2_Participantes'!$F$6:$F$305,MATCH(A56,'2_Participantes'!$A$6:$A$305,0))="","",INDEX('2_Participantes'!$F$6:$F$305,MATCH(A56,'2_Participantes'!$A$6:$A$305,0))),"No registrado"))</f>
        <v/>
      </c>
      <c r="H56" s="47">
        <f t="array" ref="H56">IF(A56="","",IFERROR(IF(INDEX('2_Participantes'!$L$6:$L$305,MATCH(A56,'2_Participantes'!$A$6:$A$305,0))="","",INDEX('2_Participantes'!$L$6:$L$305,MATCH(A56,'2_Participantes'!$A$6:$A$305,0))),""))</f>
        <v/>
      </c>
      <c r="I56" s="31">
        <f>IF(A56="","",IF(AND(ISNUMBER(C56),ISNUMBER(D56),G56&lt;&gt;"Excluido"),1,0))</f>
        <v/>
      </c>
      <c r="J56" s="48">
        <f>IF(A56="","",IF(G56="No registrado","Código ausente en 2_Participantes",IF(AND(ISNUMBER(D56),NOT(ISNUMBER(C56))),"Postest sin pretest (huérfano)",IF(OR(AND(ISNUMBER(C56),OR(C56&lt;Inicio!$C$18,C56&gt;Inicio!$C$19)),AND(ISNUMBER(D56),OR(D56&lt;Inicio!$C$18,D56&gt;Inicio!$C$19))),"Fuera de rango",IF(COUNTIF($A$6:$A$305,A56)&gt;1,"Código duplicado","OK")))))</f>
        <v/>
      </c>
      <c r="K56" s="2" t="n"/>
      <c r="L56" s="2" t="n"/>
      <c r="M56" s="2" t="n"/>
      <c r="N56" s="2" t="n"/>
      <c r="O56" s="2" t="n"/>
      <c r="P56" s="2" t="n"/>
      <c r="Q56" s="2" t="n"/>
      <c r="R56" s="2" t="n"/>
    </row>
    <row r="57" ht="15" customHeight="1" s="67">
      <c r="A57" s="22" t="n"/>
      <c r="B57" s="26">
        <f t="array" ref="B57">IF(A57="","",IFERROR(IF(INDEX('2_Participantes'!$B$6:$B$305,MATCH(A57,'2_Participantes'!$A$6:$A$305,0))="","",INDEX('2_Participantes'!$B$6:$B$305,MATCH(A57,'2_Participantes'!$A$6:$A$305,0))),"No registrado"))</f>
        <v/>
      </c>
      <c r="C57" s="15" t="n"/>
      <c r="D57" s="15" t="n"/>
      <c r="E57" s="32">
        <f>IF(AND(ISNUMBER(C57),ISNUMBER(D57)),D57-C57,"")</f>
        <v/>
      </c>
      <c r="F57" s="31">
        <f t="array" ref="F57">IF(A57="","",IFERROR(IF(INDEX('2_Participantes'!$E$6:$E$305,MATCH(A57,'2_Participantes'!$A$6:$A$305,0))="","",INDEX('2_Participantes'!$E$6:$E$305,MATCH(A57,'2_Participantes'!$A$6:$A$305,0))),""))</f>
        <v/>
      </c>
      <c r="G57" s="26">
        <f t="array" ref="G57">IF(A57="","",IFERROR(IF(INDEX('2_Participantes'!$F$6:$F$305,MATCH(A57,'2_Participantes'!$A$6:$A$305,0))="","",INDEX('2_Participantes'!$F$6:$F$305,MATCH(A57,'2_Participantes'!$A$6:$A$305,0))),"No registrado"))</f>
        <v/>
      </c>
      <c r="H57" s="47">
        <f t="array" ref="H57">IF(A57="","",IFERROR(IF(INDEX('2_Participantes'!$L$6:$L$305,MATCH(A57,'2_Participantes'!$A$6:$A$305,0))="","",INDEX('2_Participantes'!$L$6:$L$305,MATCH(A57,'2_Participantes'!$A$6:$A$305,0))),""))</f>
        <v/>
      </c>
      <c r="I57" s="31">
        <f>IF(A57="","",IF(AND(ISNUMBER(C57),ISNUMBER(D57),G57&lt;&gt;"Excluido"),1,0))</f>
        <v/>
      </c>
      <c r="J57" s="48">
        <f>IF(A57="","",IF(G57="No registrado","Código ausente en 2_Participantes",IF(AND(ISNUMBER(D57),NOT(ISNUMBER(C57))),"Postest sin pretest (huérfano)",IF(OR(AND(ISNUMBER(C57),OR(C57&lt;Inicio!$C$18,C57&gt;Inicio!$C$19)),AND(ISNUMBER(D57),OR(D57&lt;Inicio!$C$18,D57&gt;Inicio!$C$19))),"Fuera de rango",IF(COUNTIF($A$6:$A$305,A57)&gt;1,"Código duplicado","OK")))))</f>
        <v/>
      </c>
      <c r="K57" s="2" t="n"/>
      <c r="L57" s="2" t="n"/>
      <c r="M57" s="2" t="n"/>
      <c r="N57" s="2" t="n"/>
      <c r="O57" s="2" t="n"/>
      <c r="P57" s="2" t="n"/>
      <c r="Q57" s="2" t="n"/>
      <c r="R57" s="2" t="n"/>
    </row>
    <row r="58" ht="15" customHeight="1" s="67">
      <c r="A58" s="22" t="inlineStr">
        <is>
          <t>GU-TDH-060</t>
        </is>
      </c>
      <c r="B58" s="26">
        <f t="array" ref="B58">IF(A58="","",IFERROR(IF(INDEX('2_Participantes'!$B$6:$B$305,MATCH(A58,'2_Participantes'!$A$6:$A$305,0))="","",INDEX('2_Participantes'!$B$6:$B$305,MATCH(A58,'2_Participantes'!$A$6:$A$305,0))),"No registrado"))</f>
        <v/>
      </c>
      <c r="C58" s="15" t="n">
        <v>52.5</v>
      </c>
      <c r="D58" s="15" t="n">
        <v>70</v>
      </c>
      <c r="E58" s="32">
        <f>IF(AND(ISNUMBER(C58),ISNUMBER(D58)),D58-C58,"")</f>
        <v/>
      </c>
      <c r="F58" s="31">
        <f t="array" ref="F58">IF(A58="","",IFERROR(IF(INDEX('2_Participantes'!$E$6:$E$305,MATCH(A58,'2_Participantes'!$A$6:$A$305,0))="","",INDEX('2_Participantes'!$E$6:$E$305,MATCH(A58,'2_Participantes'!$A$6:$A$305,0))),""))</f>
        <v/>
      </c>
      <c r="G58" s="26">
        <f t="array" ref="G58">IF(A58="","",IFERROR(IF(INDEX('2_Participantes'!$F$6:$F$305,MATCH(A58,'2_Participantes'!$A$6:$A$305,0))="","",INDEX('2_Participantes'!$F$6:$F$305,MATCH(A58,'2_Participantes'!$A$6:$A$305,0))),"No registrado"))</f>
        <v/>
      </c>
      <c r="H58" s="47">
        <f t="array" ref="H58">IF(A58="","",IFERROR(IF(INDEX('2_Participantes'!$L$6:$L$305,MATCH(A58,'2_Participantes'!$A$6:$A$305,0))="","",INDEX('2_Participantes'!$L$6:$L$305,MATCH(A58,'2_Participantes'!$A$6:$A$305,0))),""))</f>
        <v/>
      </c>
      <c r="I58" s="31">
        <f>IF(A58="","",IF(AND(ISNUMBER(C58),ISNUMBER(D58),G58&lt;&gt;"Excluido"),1,0))</f>
        <v/>
      </c>
      <c r="J58" s="48">
        <f>IF(A58="","",IF(G58="No registrado","Código ausente en 2_Participantes",IF(AND(ISNUMBER(D58),NOT(ISNUMBER(C58))),"Postest sin pretest (huérfano)",IF(OR(AND(ISNUMBER(C58),OR(C58&lt;Inicio!$C$18,C58&gt;Inicio!$C$19)),AND(ISNUMBER(D58),OR(D58&lt;Inicio!$C$18,D58&gt;Inicio!$C$19))),"Fuera de rango",IF(COUNTIF($A$6:$A$305,A58)&gt;1,"Código duplicado","OK")))))</f>
        <v/>
      </c>
      <c r="K58" s="2" t="n"/>
      <c r="L58" s="2" t="n"/>
      <c r="M58" s="2" t="n"/>
      <c r="N58" s="2" t="n"/>
      <c r="O58" s="2" t="n"/>
      <c r="P58" s="2" t="n"/>
      <c r="Q58" s="2" t="n"/>
      <c r="R58" s="2" t="n"/>
    </row>
    <row r="59" ht="15" customHeight="1" s="67">
      <c r="A59" s="22" t="inlineStr">
        <is>
          <t>GU-TDH-061</t>
        </is>
      </c>
      <c r="B59" s="26">
        <f t="array" ref="B59">IF(A59="","",IFERROR(IF(INDEX('2_Participantes'!$B$6:$B$305,MATCH(A59,'2_Participantes'!$A$6:$A$305,0))="","",INDEX('2_Participantes'!$B$6:$B$305,MATCH(A59,'2_Participantes'!$A$6:$A$305,0))),"No registrado"))</f>
        <v/>
      </c>
      <c r="C59" s="15" t="n">
        <v>55</v>
      </c>
      <c r="D59" s="15" t="n">
        <v>65</v>
      </c>
      <c r="E59" s="32">
        <f>IF(AND(ISNUMBER(C59),ISNUMBER(D59)),D59-C59,"")</f>
        <v/>
      </c>
      <c r="F59" s="31">
        <f t="array" ref="F59">IF(A59="","",IFERROR(IF(INDEX('2_Participantes'!$E$6:$E$305,MATCH(A59,'2_Participantes'!$A$6:$A$305,0))="","",INDEX('2_Participantes'!$E$6:$E$305,MATCH(A59,'2_Participantes'!$A$6:$A$305,0))),""))</f>
        <v/>
      </c>
      <c r="G59" s="26">
        <f t="array" ref="G59">IF(A59="","",IFERROR(IF(INDEX('2_Participantes'!$F$6:$F$305,MATCH(A59,'2_Participantes'!$A$6:$A$305,0))="","",INDEX('2_Participantes'!$F$6:$F$305,MATCH(A59,'2_Participantes'!$A$6:$A$305,0))),"No registrado"))</f>
        <v/>
      </c>
      <c r="H59" s="47">
        <f t="array" ref="H59">IF(A59="","",IFERROR(IF(INDEX('2_Participantes'!$L$6:$L$305,MATCH(A59,'2_Participantes'!$A$6:$A$305,0))="","",INDEX('2_Participantes'!$L$6:$L$305,MATCH(A59,'2_Participantes'!$A$6:$A$305,0))),""))</f>
        <v/>
      </c>
      <c r="I59" s="31">
        <f>IF(A59="","",IF(AND(ISNUMBER(C59),ISNUMBER(D59),G59&lt;&gt;"Excluido"),1,0))</f>
        <v/>
      </c>
      <c r="J59" s="48">
        <f>IF(A59="","",IF(G59="No registrado","Código ausente en 2_Participantes",IF(AND(ISNUMBER(D59),NOT(ISNUMBER(C59))),"Postest sin pretest (huérfano)",IF(OR(AND(ISNUMBER(C59),OR(C59&lt;Inicio!$C$18,C59&gt;Inicio!$C$19)),AND(ISNUMBER(D59),OR(D59&lt;Inicio!$C$18,D59&gt;Inicio!$C$19))),"Fuera de rango",IF(COUNTIF($A$6:$A$305,A59)&gt;1,"Código duplicado","OK")))))</f>
        <v/>
      </c>
      <c r="K59" s="2" t="n"/>
      <c r="L59" s="2" t="n"/>
      <c r="M59" s="2" t="n"/>
      <c r="N59" s="2" t="n"/>
      <c r="O59" s="2" t="n"/>
      <c r="P59" s="2" t="n"/>
      <c r="Q59" s="2" t="n"/>
      <c r="R59" s="2" t="n"/>
    </row>
    <row r="60" ht="15" customHeight="1" s="67">
      <c r="A60" s="22" t="inlineStr">
        <is>
          <t>GU-TDH-062</t>
        </is>
      </c>
      <c r="B60" s="26">
        <f t="array" ref="B60">IF(A60="","",IFERROR(IF(INDEX('2_Participantes'!$B$6:$B$305,MATCH(A60,'2_Participantes'!$A$6:$A$305,0))="","",INDEX('2_Participantes'!$B$6:$B$305,MATCH(A60,'2_Participantes'!$A$6:$A$305,0))),"No registrado"))</f>
        <v/>
      </c>
      <c r="C60" s="15" t="n">
        <v>62.5</v>
      </c>
      <c r="D60" s="15" t="n">
        <v>82.5</v>
      </c>
      <c r="E60" s="32">
        <f>IF(AND(ISNUMBER(C60),ISNUMBER(D60)),D60-C60,"")</f>
        <v/>
      </c>
      <c r="F60" s="31">
        <f t="array" ref="F60">IF(A60="","",IFERROR(IF(INDEX('2_Participantes'!$E$6:$E$305,MATCH(A60,'2_Participantes'!$A$6:$A$305,0))="","",INDEX('2_Participantes'!$E$6:$E$305,MATCH(A60,'2_Participantes'!$A$6:$A$305,0))),""))</f>
        <v/>
      </c>
      <c r="G60" s="26">
        <f t="array" ref="G60">IF(A60="","",IFERROR(IF(INDEX('2_Participantes'!$F$6:$F$305,MATCH(A60,'2_Participantes'!$A$6:$A$305,0))="","",INDEX('2_Participantes'!$F$6:$F$305,MATCH(A60,'2_Participantes'!$A$6:$A$305,0))),"No registrado"))</f>
        <v/>
      </c>
      <c r="H60" s="47">
        <f t="array" ref="H60">IF(A60="","",IFERROR(IF(INDEX('2_Participantes'!$L$6:$L$305,MATCH(A60,'2_Participantes'!$A$6:$A$305,0))="","",INDEX('2_Participantes'!$L$6:$L$305,MATCH(A60,'2_Participantes'!$A$6:$A$305,0))),""))</f>
        <v/>
      </c>
      <c r="I60" s="31">
        <f>IF(A60="","",IF(AND(ISNUMBER(C60),ISNUMBER(D60),G60&lt;&gt;"Excluido"),1,0))</f>
        <v/>
      </c>
      <c r="J60" s="48">
        <f>IF(A60="","",IF(G60="No registrado","Código ausente en 2_Participantes",IF(AND(ISNUMBER(D60),NOT(ISNUMBER(C60))),"Postest sin pretest (huérfano)",IF(OR(AND(ISNUMBER(C60),OR(C60&lt;Inicio!$C$18,C60&gt;Inicio!$C$19)),AND(ISNUMBER(D60),OR(D60&lt;Inicio!$C$18,D60&gt;Inicio!$C$19))),"Fuera de rango",IF(COUNTIF($A$6:$A$305,A60)&gt;1,"Código duplicado","OK")))))</f>
        <v/>
      </c>
      <c r="K60" s="2" t="n"/>
      <c r="L60" s="2" t="n"/>
      <c r="M60" s="2" t="n"/>
      <c r="N60" s="2" t="n"/>
      <c r="O60" s="2" t="n"/>
      <c r="P60" s="2" t="n"/>
      <c r="Q60" s="2" t="n"/>
      <c r="R60" s="2" t="n"/>
    </row>
    <row r="61" ht="15" customHeight="1" s="67">
      <c r="A61" s="22" t="inlineStr">
        <is>
          <t>GU-TDH-063</t>
        </is>
      </c>
      <c r="B61" s="26">
        <f t="array" ref="B61">IF(A61="","",IFERROR(IF(INDEX('2_Participantes'!$B$6:$B$305,MATCH(A61,'2_Participantes'!$A$6:$A$305,0))="","",INDEX('2_Participantes'!$B$6:$B$305,MATCH(A61,'2_Participantes'!$A$6:$A$305,0))),"No registrado"))</f>
        <v/>
      </c>
      <c r="C61" s="15" t="n">
        <v>47.5</v>
      </c>
      <c r="D61" s="15" t="n">
        <v>57.5</v>
      </c>
      <c r="E61" s="32">
        <f>IF(AND(ISNUMBER(C61),ISNUMBER(D61)),D61-C61,"")</f>
        <v/>
      </c>
      <c r="F61" s="31">
        <f t="array" ref="F61">IF(A61="","",IFERROR(IF(INDEX('2_Participantes'!$E$6:$E$305,MATCH(A61,'2_Participantes'!$A$6:$A$305,0))="","",INDEX('2_Participantes'!$E$6:$E$305,MATCH(A61,'2_Participantes'!$A$6:$A$305,0))),""))</f>
        <v/>
      </c>
      <c r="G61" s="26">
        <f t="array" ref="G61">IF(A61="","",IFERROR(IF(INDEX('2_Participantes'!$F$6:$F$305,MATCH(A61,'2_Participantes'!$A$6:$A$305,0))="","",INDEX('2_Participantes'!$F$6:$F$305,MATCH(A61,'2_Participantes'!$A$6:$A$305,0))),"No registrado"))</f>
        <v/>
      </c>
      <c r="H61" s="47">
        <f t="array" ref="H61">IF(A61="","",IFERROR(IF(INDEX('2_Participantes'!$L$6:$L$305,MATCH(A61,'2_Participantes'!$A$6:$A$305,0))="","",INDEX('2_Participantes'!$L$6:$L$305,MATCH(A61,'2_Participantes'!$A$6:$A$305,0))),""))</f>
        <v/>
      </c>
      <c r="I61" s="31">
        <f>IF(A61="","",IF(AND(ISNUMBER(C61),ISNUMBER(D61),G61&lt;&gt;"Excluido"),1,0))</f>
        <v/>
      </c>
      <c r="J61" s="48">
        <f>IF(A61="","",IF(G61="No registrado","Código ausente en 2_Participantes",IF(AND(ISNUMBER(D61),NOT(ISNUMBER(C61))),"Postest sin pretest (huérfano)",IF(OR(AND(ISNUMBER(C61),OR(C61&lt;Inicio!$C$18,C61&gt;Inicio!$C$19)),AND(ISNUMBER(D61),OR(D61&lt;Inicio!$C$18,D61&gt;Inicio!$C$19))),"Fuera de rango",IF(COUNTIF($A$6:$A$305,A61)&gt;1,"Código duplicado","OK")))))</f>
        <v/>
      </c>
      <c r="K61" s="2" t="n"/>
      <c r="L61" s="2" t="n"/>
      <c r="M61" s="2" t="n"/>
      <c r="N61" s="2" t="n"/>
      <c r="O61" s="2" t="n"/>
      <c r="P61" s="2" t="n"/>
      <c r="Q61" s="2" t="n"/>
      <c r="R61" s="2" t="n"/>
    </row>
    <row r="62" ht="15" customHeight="1" s="67">
      <c r="A62" s="22" t="inlineStr">
        <is>
          <t>GU-TDH-064</t>
        </is>
      </c>
      <c r="B62" s="26">
        <f t="array" ref="B62">IF(A62="","",IFERROR(IF(INDEX('2_Participantes'!$B$6:$B$305,MATCH(A62,'2_Participantes'!$A$6:$A$305,0))="","",INDEX('2_Participantes'!$B$6:$B$305,MATCH(A62,'2_Participantes'!$A$6:$A$305,0))),"No registrado"))</f>
        <v/>
      </c>
      <c r="C62" s="15" t="n">
        <v>50</v>
      </c>
      <c r="D62" s="15" t="n">
        <v>75</v>
      </c>
      <c r="E62" s="32">
        <f>IF(AND(ISNUMBER(C62),ISNUMBER(D62)),D62-C62,"")</f>
        <v/>
      </c>
      <c r="F62" s="31">
        <f t="array" ref="F62">IF(A62="","",IFERROR(IF(INDEX('2_Participantes'!$E$6:$E$305,MATCH(A62,'2_Participantes'!$A$6:$A$305,0))="","",INDEX('2_Participantes'!$E$6:$E$305,MATCH(A62,'2_Participantes'!$A$6:$A$305,0))),""))</f>
        <v/>
      </c>
      <c r="G62" s="26">
        <f t="array" ref="G62">IF(A62="","",IFERROR(IF(INDEX('2_Participantes'!$F$6:$F$305,MATCH(A62,'2_Participantes'!$A$6:$A$305,0))="","",INDEX('2_Participantes'!$F$6:$F$305,MATCH(A62,'2_Participantes'!$A$6:$A$305,0))),"No registrado"))</f>
        <v/>
      </c>
      <c r="H62" s="47">
        <f t="array" ref="H62">IF(A62="","",IFERROR(IF(INDEX('2_Participantes'!$L$6:$L$305,MATCH(A62,'2_Participantes'!$A$6:$A$305,0))="","",INDEX('2_Participantes'!$L$6:$L$305,MATCH(A62,'2_Participantes'!$A$6:$A$305,0))),""))</f>
        <v/>
      </c>
      <c r="I62" s="31">
        <f>IF(A62="","",IF(AND(ISNUMBER(C62),ISNUMBER(D62),G62&lt;&gt;"Excluido"),1,0))</f>
        <v/>
      </c>
      <c r="J62" s="48">
        <f>IF(A62="","",IF(G62="No registrado","Código ausente en 2_Participantes",IF(AND(ISNUMBER(D62),NOT(ISNUMBER(C62))),"Postest sin pretest (huérfano)",IF(OR(AND(ISNUMBER(C62),OR(C62&lt;Inicio!$C$18,C62&gt;Inicio!$C$19)),AND(ISNUMBER(D62),OR(D62&lt;Inicio!$C$18,D62&gt;Inicio!$C$19))),"Fuera de rango",IF(COUNTIF($A$6:$A$305,A62)&gt;1,"Código duplicado","OK")))))</f>
        <v/>
      </c>
      <c r="K62" s="2" t="n"/>
      <c r="L62" s="2" t="n"/>
      <c r="M62" s="2" t="n"/>
      <c r="N62" s="2" t="n"/>
      <c r="O62" s="2" t="n"/>
      <c r="P62" s="2" t="n"/>
      <c r="Q62" s="2" t="n"/>
      <c r="R62" s="2" t="n"/>
    </row>
    <row r="63" ht="15" customHeight="1" s="67">
      <c r="A63" s="22" t="inlineStr">
        <is>
          <t>GU-TDH-065</t>
        </is>
      </c>
      <c r="B63" s="26">
        <f t="array" ref="B63">IF(A63="","",IFERROR(IF(INDEX('2_Participantes'!$B$6:$B$305,MATCH(A63,'2_Participantes'!$A$6:$A$305,0))="","",INDEX('2_Participantes'!$B$6:$B$305,MATCH(A63,'2_Participantes'!$A$6:$A$305,0))),"No registrado"))</f>
        <v/>
      </c>
      <c r="C63" s="15" t="n">
        <v>72.5</v>
      </c>
      <c r="D63" s="15" t="n">
        <v>85</v>
      </c>
      <c r="E63" s="32">
        <f>IF(AND(ISNUMBER(C63),ISNUMBER(D63)),D63-C63,"")</f>
        <v/>
      </c>
      <c r="F63" s="31">
        <f t="array" ref="F63">IF(A63="","",IFERROR(IF(INDEX('2_Participantes'!$E$6:$E$305,MATCH(A63,'2_Participantes'!$A$6:$A$305,0))="","",INDEX('2_Participantes'!$E$6:$E$305,MATCH(A63,'2_Participantes'!$A$6:$A$305,0))),""))</f>
        <v/>
      </c>
      <c r="G63" s="26">
        <f t="array" ref="G63">IF(A63="","",IFERROR(IF(INDEX('2_Participantes'!$F$6:$F$305,MATCH(A63,'2_Participantes'!$A$6:$A$305,0))="","",INDEX('2_Participantes'!$F$6:$F$305,MATCH(A63,'2_Participantes'!$A$6:$A$305,0))),"No registrado"))</f>
        <v/>
      </c>
      <c r="H63" s="47">
        <f t="array" ref="H63">IF(A63="","",IFERROR(IF(INDEX('2_Participantes'!$L$6:$L$305,MATCH(A63,'2_Participantes'!$A$6:$A$305,0))="","",INDEX('2_Participantes'!$L$6:$L$305,MATCH(A63,'2_Participantes'!$A$6:$A$305,0))),""))</f>
        <v/>
      </c>
      <c r="I63" s="31">
        <f>IF(A63="","",IF(AND(ISNUMBER(C63),ISNUMBER(D63),G63&lt;&gt;"Excluido"),1,0))</f>
        <v/>
      </c>
      <c r="J63" s="48">
        <f>IF(A63="","",IF(G63="No registrado","Código ausente en 2_Participantes",IF(AND(ISNUMBER(D63),NOT(ISNUMBER(C63))),"Postest sin pretest (huérfano)",IF(OR(AND(ISNUMBER(C63),OR(C63&lt;Inicio!$C$18,C63&gt;Inicio!$C$19)),AND(ISNUMBER(D63),OR(D63&lt;Inicio!$C$18,D63&gt;Inicio!$C$19))),"Fuera de rango",IF(COUNTIF($A$6:$A$305,A63)&gt;1,"Código duplicado","OK")))))</f>
        <v/>
      </c>
      <c r="K63" s="2" t="n"/>
      <c r="L63" s="2" t="n"/>
      <c r="M63" s="2" t="n"/>
      <c r="N63" s="2" t="n"/>
      <c r="O63" s="2" t="n"/>
      <c r="P63" s="2" t="n"/>
      <c r="Q63" s="2" t="n"/>
      <c r="R63" s="2" t="n"/>
    </row>
    <row r="64" ht="15" customHeight="1" s="67">
      <c r="A64" s="22" t="inlineStr">
        <is>
          <t>GU-TDH-066</t>
        </is>
      </c>
      <c r="B64" s="26">
        <f t="array" ref="B64">IF(A64="","",IFERROR(IF(INDEX('2_Participantes'!$B$6:$B$305,MATCH(A64,'2_Participantes'!$A$6:$A$305,0))="","",INDEX('2_Participantes'!$B$6:$B$305,MATCH(A64,'2_Participantes'!$A$6:$A$305,0))),"No registrado"))</f>
        <v/>
      </c>
      <c r="C64" s="15" t="n">
        <v>37.5</v>
      </c>
      <c r="D64" s="15" t="n">
        <v>75</v>
      </c>
      <c r="E64" s="32">
        <f>IF(AND(ISNUMBER(C64),ISNUMBER(D64)),D64-C64,"")</f>
        <v/>
      </c>
      <c r="F64" s="31">
        <f t="array" ref="F64">IF(A64="","",IFERROR(IF(INDEX('2_Participantes'!$E$6:$E$305,MATCH(A64,'2_Participantes'!$A$6:$A$305,0))="","",INDEX('2_Participantes'!$E$6:$E$305,MATCH(A64,'2_Participantes'!$A$6:$A$305,0))),""))</f>
        <v/>
      </c>
      <c r="G64" s="26">
        <f t="array" ref="G64">IF(A64="","",IFERROR(IF(INDEX('2_Participantes'!$F$6:$F$305,MATCH(A64,'2_Participantes'!$A$6:$A$305,0))="","",INDEX('2_Participantes'!$F$6:$F$305,MATCH(A64,'2_Participantes'!$A$6:$A$305,0))),"No registrado"))</f>
        <v/>
      </c>
      <c r="H64" s="47">
        <f t="array" ref="H64">IF(A64="","",IFERROR(IF(INDEX('2_Participantes'!$L$6:$L$305,MATCH(A64,'2_Participantes'!$A$6:$A$305,0))="","",INDEX('2_Participantes'!$L$6:$L$305,MATCH(A64,'2_Participantes'!$A$6:$A$305,0))),""))</f>
        <v/>
      </c>
      <c r="I64" s="31">
        <f>IF(A64="","",IF(AND(ISNUMBER(C64),ISNUMBER(D64),G64&lt;&gt;"Excluido"),1,0))</f>
        <v/>
      </c>
      <c r="J64" s="48">
        <f>IF(A64="","",IF(G64="No registrado","Código ausente en 2_Participantes",IF(AND(ISNUMBER(D64),NOT(ISNUMBER(C64))),"Postest sin pretest (huérfano)",IF(OR(AND(ISNUMBER(C64),OR(C64&lt;Inicio!$C$18,C64&gt;Inicio!$C$19)),AND(ISNUMBER(D64),OR(D64&lt;Inicio!$C$18,D64&gt;Inicio!$C$19))),"Fuera de rango",IF(COUNTIF($A$6:$A$305,A64)&gt;1,"Código duplicado","OK")))))</f>
        <v/>
      </c>
      <c r="K64" s="2" t="n"/>
      <c r="L64" s="2" t="n"/>
      <c r="M64" s="2" t="n"/>
      <c r="N64" s="2" t="n"/>
      <c r="O64" s="2" t="n"/>
      <c r="P64" s="2" t="n"/>
      <c r="Q64" s="2" t="n"/>
      <c r="R64" s="2" t="n"/>
    </row>
    <row r="65" ht="15" customHeight="1" s="67">
      <c r="A65" s="22" t="inlineStr">
        <is>
          <t>GU-TDH-067</t>
        </is>
      </c>
      <c r="B65" s="26">
        <f t="array" ref="B65">IF(A65="","",IFERROR(IF(INDEX('2_Participantes'!$B$6:$B$305,MATCH(A65,'2_Participantes'!$A$6:$A$305,0))="","",INDEX('2_Participantes'!$B$6:$B$305,MATCH(A65,'2_Participantes'!$A$6:$A$305,0))),"No registrado"))</f>
        <v/>
      </c>
      <c r="C65" s="15" t="n">
        <v>40</v>
      </c>
      <c r="D65" s="15" t="n">
        <v>85</v>
      </c>
      <c r="E65" s="32">
        <f>IF(AND(ISNUMBER(C65),ISNUMBER(D65)),D65-C65,"")</f>
        <v/>
      </c>
      <c r="F65" s="31">
        <f t="array" ref="F65">IF(A65="","",IFERROR(IF(INDEX('2_Participantes'!$E$6:$E$305,MATCH(A65,'2_Participantes'!$A$6:$A$305,0))="","",INDEX('2_Participantes'!$E$6:$E$305,MATCH(A65,'2_Participantes'!$A$6:$A$305,0))),""))</f>
        <v/>
      </c>
      <c r="G65" s="26">
        <f t="array" ref="G65">IF(A65="","",IFERROR(IF(INDEX('2_Participantes'!$F$6:$F$305,MATCH(A65,'2_Participantes'!$A$6:$A$305,0))="","",INDEX('2_Participantes'!$F$6:$F$305,MATCH(A65,'2_Participantes'!$A$6:$A$305,0))),"No registrado"))</f>
        <v/>
      </c>
      <c r="H65" s="47">
        <f t="array" ref="H65">IF(A65="","",IFERROR(IF(INDEX('2_Participantes'!$L$6:$L$305,MATCH(A65,'2_Participantes'!$A$6:$A$305,0))="","",INDEX('2_Participantes'!$L$6:$L$305,MATCH(A65,'2_Participantes'!$A$6:$A$305,0))),""))</f>
        <v/>
      </c>
      <c r="I65" s="31">
        <f>IF(A65="","",IF(AND(ISNUMBER(C65),ISNUMBER(D65),G65&lt;&gt;"Excluido"),1,0))</f>
        <v/>
      </c>
      <c r="J65" s="48">
        <f>IF(A65="","",IF(G65="No registrado","Código ausente en 2_Participantes",IF(AND(ISNUMBER(D65),NOT(ISNUMBER(C65))),"Postest sin pretest (huérfano)",IF(OR(AND(ISNUMBER(C65),OR(C65&lt;Inicio!$C$18,C65&gt;Inicio!$C$19)),AND(ISNUMBER(D65),OR(D65&lt;Inicio!$C$18,D65&gt;Inicio!$C$19))),"Fuera de rango",IF(COUNTIF($A$6:$A$305,A65)&gt;1,"Código duplicado","OK")))))</f>
        <v/>
      </c>
      <c r="K65" s="2" t="n"/>
      <c r="L65" s="2" t="n"/>
      <c r="M65" s="2" t="n"/>
      <c r="N65" s="2" t="n"/>
      <c r="O65" s="2" t="n"/>
      <c r="P65" s="2" t="n"/>
      <c r="Q65" s="2" t="n"/>
      <c r="R65" s="2" t="n"/>
    </row>
    <row r="66" ht="15" customHeight="1" s="67">
      <c r="A66" s="22" t="inlineStr">
        <is>
          <t>GU-TDH-069</t>
        </is>
      </c>
      <c r="B66" s="26">
        <f t="array" ref="B66">IF(A66="","",IFERROR(IF(INDEX('2_Participantes'!$B$6:$B$305,MATCH(A66,'2_Participantes'!$A$6:$A$305,0))="","",INDEX('2_Participantes'!$B$6:$B$305,MATCH(A66,'2_Participantes'!$A$6:$A$305,0))),"No registrado"))</f>
        <v/>
      </c>
      <c r="C66" s="15" t="n">
        <v>50</v>
      </c>
      <c r="D66" s="15" t="n">
        <v>60</v>
      </c>
      <c r="E66" s="32">
        <f>IF(AND(ISNUMBER(C66),ISNUMBER(D66)),D66-C66,"")</f>
        <v/>
      </c>
      <c r="F66" s="31">
        <f t="array" ref="F66">IF(A66="","",IFERROR(IF(INDEX('2_Participantes'!$E$6:$E$305,MATCH(A66,'2_Participantes'!$A$6:$A$305,0))="","",INDEX('2_Participantes'!$E$6:$E$305,MATCH(A66,'2_Participantes'!$A$6:$A$305,0))),""))</f>
        <v/>
      </c>
      <c r="G66" s="26">
        <f t="array" ref="G66">IF(A66="","",IFERROR(IF(INDEX('2_Participantes'!$F$6:$F$305,MATCH(A66,'2_Participantes'!$A$6:$A$305,0))="","",INDEX('2_Participantes'!$F$6:$F$305,MATCH(A66,'2_Participantes'!$A$6:$A$305,0))),"No registrado"))</f>
        <v/>
      </c>
      <c r="H66" s="47">
        <f t="array" ref="H66">IF(A66="","",IFERROR(IF(INDEX('2_Participantes'!$L$6:$L$305,MATCH(A66,'2_Participantes'!$A$6:$A$305,0))="","",INDEX('2_Participantes'!$L$6:$L$305,MATCH(A66,'2_Participantes'!$A$6:$A$305,0))),""))</f>
        <v/>
      </c>
      <c r="I66" s="31">
        <f>IF(A66="","",IF(AND(ISNUMBER(C66),ISNUMBER(D66),G66&lt;&gt;"Excluido"),1,0))</f>
        <v/>
      </c>
      <c r="J66" s="48">
        <f>IF(A66="","",IF(G66="No registrado","Código ausente en 2_Participantes",IF(AND(ISNUMBER(D66),NOT(ISNUMBER(C66))),"Postest sin pretest (huérfano)",IF(OR(AND(ISNUMBER(C66),OR(C66&lt;Inicio!$C$18,C66&gt;Inicio!$C$19)),AND(ISNUMBER(D66),OR(D66&lt;Inicio!$C$18,D66&gt;Inicio!$C$19))),"Fuera de rango",IF(COUNTIF($A$6:$A$305,A66)&gt;1,"Código duplicado","OK")))))</f>
        <v/>
      </c>
      <c r="K66" s="2" t="n"/>
      <c r="L66" s="2" t="n"/>
      <c r="M66" s="2" t="n"/>
      <c r="N66" s="2" t="n"/>
      <c r="O66" s="2" t="n"/>
      <c r="P66" s="2" t="n"/>
      <c r="Q66" s="2" t="n"/>
      <c r="R66" s="2" t="n"/>
    </row>
    <row r="67" ht="15" customHeight="1" s="67">
      <c r="A67" s="22" t="inlineStr">
        <is>
          <t>GU-TDH-070</t>
        </is>
      </c>
      <c r="B67" s="26">
        <f t="array" ref="B67">IF(A67="","",IFERROR(IF(INDEX('2_Participantes'!$B$6:$B$305,MATCH(A67,'2_Participantes'!$A$6:$A$305,0))="","",INDEX('2_Participantes'!$B$6:$B$305,MATCH(A67,'2_Participantes'!$A$6:$A$305,0))),"No registrado"))</f>
        <v/>
      </c>
      <c r="C67" s="15" t="n">
        <v>67.5</v>
      </c>
      <c r="D67" s="15" t="n">
        <v>97.5</v>
      </c>
      <c r="E67" s="32">
        <f>IF(AND(ISNUMBER(C67),ISNUMBER(D67)),D67-C67,"")</f>
        <v/>
      </c>
      <c r="F67" s="31">
        <f t="array" ref="F67">IF(A67="","",IFERROR(IF(INDEX('2_Participantes'!$E$6:$E$305,MATCH(A67,'2_Participantes'!$A$6:$A$305,0))="","",INDEX('2_Participantes'!$E$6:$E$305,MATCH(A67,'2_Participantes'!$A$6:$A$305,0))),""))</f>
        <v/>
      </c>
      <c r="G67" s="26">
        <f t="array" ref="G67">IF(A67="","",IFERROR(IF(INDEX('2_Participantes'!$F$6:$F$305,MATCH(A67,'2_Participantes'!$A$6:$A$305,0))="","",INDEX('2_Participantes'!$F$6:$F$305,MATCH(A67,'2_Participantes'!$A$6:$A$305,0))),"No registrado"))</f>
        <v/>
      </c>
      <c r="H67" s="47">
        <f t="array" ref="H67">IF(A67="","",IFERROR(IF(INDEX('2_Participantes'!$L$6:$L$305,MATCH(A67,'2_Participantes'!$A$6:$A$305,0))="","",INDEX('2_Participantes'!$L$6:$L$305,MATCH(A67,'2_Participantes'!$A$6:$A$305,0))),""))</f>
        <v/>
      </c>
      <c r="I67" s="31">
        <f>IF(A67="","",IF(AND(ISNUMBER(C67),ISNUMBER(D67),G67&lt;&gt;"Excluido"),1,0))</f>
        <v/>
      </c>
      <c r="J67" s="48">
        <f>IF(A67="","",IF(G67="No registrado","Código ausente en 2_Participantes",IF(AND(ISNUMBER(D67),NOT(ISNUMBER(C67))),"Postest sin pretest (huérfano)",IF(OR(AND(ISNUMBER(C67),OR(C67&lt;Inicio!$C$18,C67&gt;Inicio!$C$19)),AND(ISNUMBER(D67),OR(D67&lt;Inicio!$C$18,D67&gt;Inicio!$C$19))),"Fuera de rango",IF(COUNTIF($A$6:$A$305,A67)&gt;1,"Código duplicado","OK")))))</f>
        <v/>
      </c>
      <c r="K67" s="2" t="n"/>
      <c r="L67" s="2" t="n"/>
      <c r="M67" s="2" t="n"/>
      <c r="N67" s="2" t="n"/>
      <c r="O67" s="2" t="n"/>
      <c r="P67" s="2" t="n"/>
      <c r="Q67" s="2" t="n"/>
      <c r="R67" s="2" t="n"/>
    </row>
    <row r="68" ht="15" customHeight="1" s="67">
      <c r="A68" s="22" t="inlineStr">
        <is>
          <t>GU-TDH-071</t>
        </is>
      </c>
      <c r="B68" s="26">
        <f t="array" ref="B68">IF(A68="","",IFERROR(IF(INDEX('2_Participantes'!$B$6:$B$305,MATCH(A68,'2_Participantes'!$A$6:$A$305,0))="","",INDEX('2_Participantes'!$B$6:$B$305,MATCH(A68,'2_Participantes'!$A$6:$A$305,0))),"No registrado"))</f>
        <v/>
      </c>
      <c r="C68" s="15" t="n">
        <v>40</v>
      </c>
      <c r="D68" s="15" t="n">
        <v>75</v>
      </c>
      <c r="E68" s="32">
        <f>IF(AND(ISNUMBER(C68),ISNUMBER(D68)),D68-C68,"")</f>
        <v/>
      </c>
      <c r="F68" s="31">
        <f t="array" ref="F68">IF(A68="","",IFERROR(IF(INDEX('2_Participantes'!$E$6:$E$305,MATCH(A68,'2_Participantes'!$A$6:$A$305,0))="","",INDEX('2_Participantes'!$E$6:$E$305,MATCH(A68,'2_Participantes'!$A$6:$A$305,0))),""))</f>
        <v/>
      </c>
      <c r="G68" s="26">
        <f t="array" ref="G68">IF(A68="","",IFERROR(IF(INDEX('2_Participantes'!$F$6:$F$305,MATCH(A68,'2_Participantes'!$A$6:$A$305,0))="","",INDEX('2_Participantes'!$F$6:$F$305,MATCH(A68,'2_Participantes'!$A$6:$A$305,0))),"No registrado"))</f>
        <v/>
      </c>
      <c r="H68" s="47">
        <f t="array" ref="H68">IF(A68="","",IFERROR(IF(INDEX('2_Participantes'!$L$6:$L$305,MATCH(A68,'2_Participantes'!$A$6:$A$305,0))="","",INDEX('2_Participantes'!$L$6:$L$305,MATCH(A68,'2_Participantes'!$A$6:$A$305,0))),""))</f>
        <v/>
      </c>
      <c r="I68" s="31">
        <f>IF(A68="","",IF(AND(ISNUMBER(C68),ISNUMBER(D68),G68&lt;&gt;"Excluido"),1,0))</f>
        <v/>
      </c>
      <c r="J68" s="48">
        <f>IF(A68="","",IF(G68="No registrado","Código ausente en 2_Participantes",IF(AND(ISNUMBER(D68),NOT(ISNUMBER(C68))),"Postest sin pretest (huérfano)",IF(OR(AND(ISNUMBER(C68),OR(C68&lt;Inicio!$C$18,C68&gt;Inicio!$C$19)),AND(ISNUMBER(D68),OR(D68&lt;Inicio!$C$18,D68&gt;Inicio!$C$19))),"Fuera de rango",IF(COUNTIF($A$6:$A$305,A68)&gt;1,"Código duplicado","OK")))))</f>
        <v/>
      </c>
      <c r="K68" s="2" t="n"/>
      <c r="L68" s="2" t="n"/>
      <c r="M68" s="2" t="n"/>
      <c r="N68" s="2" t="n"/>
      <c r="O68" s="2" t="n"/>
      <c r="P68" s="2" t="n"/>
      <c r="Q68" s="2" t="n"/>
      <c r="R68" s="2" t="n"/>
    </row>
    <row r="69" ht="15" customHeight="1" s="67">
      <c r="A69" s="22" t="inlineStr">
        <is>
          <t>GU-TDH-072</t>
        </is>
      </c>
      <c r="B69" s="26">
        <f t="array" ref="B69">IF(A69="","",IFERROR(IF(INDEX('2_Participantes'!$B$6:$B$305,MATCH(A69,'2_Participantes'!$A$6:$A$305,0))="","",INDEX('2_Participantes'!$B$6:$B$305,MATCH(A69,'2_Participantes'!$A$6:$A$305,0))),"No registrado"))</f>
        <v/>
      </c>
      <c r="C69" s="15" t="n">
        <v>60</v>
      </c>
      <c r="D69" s="15" t="n">
        <v>90</v>
      </c>
      <c r="E69" s="32">
        <f>IF(AND(ISNUMBER(C69),ISNUMBER(D69)),D69-C69,"")</f>
        <v/>
      </c>
      <c r="F69" s="31">
        <f t="array" ref="F69">IF(A69="","",IFERROR(IF(INDEX('2_Participantes'!$E$6:$E$305,MATCH(A69,'2_Participantes'!$A$6:$A$305,0))="","",INDEX('2_Participantes'!$E$6:$E$305,MATCH(A69,'2_Participantes'!$A$6:$A$305,0))),""))</f>
        <v/>
      </c>
      <c r="G69" s="26">
        <f t="array" ref="G69">IF(A69="","",IFERROR(IF(INDEX('2_Participantes'!$F$6:$F$305,MATCH(A69,'2_Participantes'!$A$6:$A$305,0))="","",INDEX('2_Participantes'!$F$6:$F$305,MATCH(A69,'2_Participantes'!$A$6:$A$305,0))),"No registrado"))</f>
        <v/>
      </c>
      <c r="H69" s="47">
        <f t="array" ref="H69">IF(A69="","",IFERROR(IF(INDEX('2_Participantes'!$L$6:$L$305,MATCH(A69,'2_Participantes'!$A$6:$A$305,0))="","",INDEX('2_Participantes'!$L$6:$L$305,MATCH(A69,'2_Participantes'!$A$6:$A$305,0))),""))</f>
        <v/>
      </c>
      <c r="I69" s="31">
        <f>IF(A69="","",IF(AND(ISNUMBER(C69),ISNUMBER(D69),G69&lt;&gt;"Excluido"),1,0))</f>
        <v/>
      </c>
      <c r="J69" s="48">
        <f>IF(A69="","",IF(G69="No registrado","Código ausente en 2_Participantes",IF(AND(ISNUMBER(D69),NOT(ISNUMBER(C69))),"Postest sin pretest (huérfano)",IF(OR(AND(ISNUMBER(C69),OR(C69&lt;Inicio!$C$18,C69&gt;Inicio!$C$19)),AND(ISNUMBER(D69),OR(D69&lt;Inicio!$C$18,D69&gt;Inicio!$C$19))),"Fuera de rango",IF(COUNTIF($A$6:$A$305,A69)&gt;1,"Código duplicado","OK")))))</f>
        <v/>
      </c>
      <c r="K69" s="2" t="n"/>
      <c r="L69" s="2" t="n"/>
      <c r="M69" s="2" t="n"/>
      <c r="N69" s="2" t="n"/>
      <c r="O69" s="2" t="n"/>
      <c r="P69" s="2" t="n"/>
      <c r="Q69" s="2" t="n"/>
      <c r="R69" s="2" t="n"/>
    </row>
    <row r="70" ht="15" customHeight="1" s="67">
      <c r="A70" s="22" t="inlineStr">
        <is>
          <t>GU-TDH-073</t>
        </is>
      </c>
      <c r="B70" s="26">
        <f t="array" ref="B70">IF(A70="","",IFERROR(IF(INDEX('2_Participantes'!$B$6:$B$305,MATCH(A70,'2_Participantes'!$A$6:$A$305,0))="","",INDEX('2_Participantes'!$B$6:$B$305,MATCH(A70,'2_Participantes'!$A$6:$A$305,0))),"No registrado"))</f>
        <v/>
      </c>
      <c r="C70" s="15" t="n">
        <v>52.5</v>
      </c>
      <c r="D70" s="15" t="n">
        <v>70</v>
      </c>
      <c r="E70" s="32">
        <f>IF(AND(ISNUMBER(C70),ISNUMBER(D70)),D70-C70,"")</f>
        <v/>
      </c>
      <c r="F70" s="31">
        <f t="array" ref="F70">IF(A70="","",IFERROR(IF(INDEX('2_Participantes'!$E$6:$E$305,MATCH(A70,'2_Participantes'!$A$6:$A$305,0))="","",INDEX('2_Participantes'!$E$6:$E$305,MATCH(A70,'2_Participantes'!$A$6:$A$305,0))),""))</f>
        <v/>
      </c>
      <c r="G70" s="26">
        <f t="array" ref="G70">IF(A70="","",IFERROR(IF(INDEX('2_Participantes'!$F$6:$F$305,MATCH(A70,'2_Participantes'!$A$6:$A$305,0))="","",INDEX('2_Participantes'!$F$6:$F$305,MATCH(A70,'2_Participantes'!$A$6:$A$305,0))),"No registrado"))</f>
        <v/>
      </c>
      <c r="H70" s="47">
        <f t="array" ref="H70">IF(A70="","",IFERROR(IF(INDEX('2_Participantes'!$L$6:$L$305,MATCH(A70,'2_Participantes'!$A$6:$A$305,0))="","",INDEX('2_Participantes'!$L$6:$L$305,MATCH(A70,'2_Participantes'!$A$6:$A$305,0))),""))</f>
        <v/>
      </c>
      <c r="I70" s="31">
        <f>IF(A70="","",IF(AND(ISNUMBER(C70),ISNUMBER(D70),G70&lt;&gt;"Excluido"),1,0))</f>
        <v/>
      </c>
      <c r="J70" s="48">
        <f>IF(A70="","",IF(G70="No registrado","Código ausente en 2_Participantes",IF(AND(ISNUMBER(D70),NOT(ISNUMBER(C70))),"Postest sin pretest (huérfano)",IF(OR(AND(ISNUMBER(C70),OR(C70&lt;Inicio!$C$18,C70&gt;Inicio!$C$19)),AND(ISNUMBER(D70),OR(D70&lt;Inicio!$C$18,D70&gt;Inicio!$C$19))),"Fuera de rango",IF(COUNTIF($A$6:$A$305,A70)&gt;1,"Código duplicado","OK")))))</f>
        <v/>
      </c>
      <c r="K70" s="2" t="n"/>
      <c r="L70" s="2" t="n"/>
      <c r="M70" s="2" t="n"/>
      <c r="N70" s="2" t="n"/>
      <c r="O70" s="2" t="n"/>
      <c r="P70" s="2" t="n"/>
      <c r="Q70" s="2" t="n"/>
      <c r="R70" s="2" t="n"/>
    </row>
    <row r="71" ht="15" customHeight="1" s="67">
      <c r="A71" s="22" t="inlineStr">
        <is>
          <t>GU-TDH-074</t>
        </is>
      </c>
      <c r="B71" s="26">
        <f t="array" ref="B71">IF(A71="","",IFERROR(IF(INDEX('2_Participantes'!$B$6:$B$305,MATCH(A71,'2_Participantes'!$A$6:$A$305,0))="","",INDEX('2_Participantes'!$B$6:$B$305,MATCH(A71,'2_Participantes'!$A$6:$A$305,0))),"No registrado"))</f>
        <v/>
      </c>
      <c r="C71" s="15" t="n">
        <v>72.5</v>
      </c>
      <c r="D71" s="15" t="n">
        <v>85</v>
      </c>
      <c r="E71" s="32">
        <f>IF(AND(ISNUMBER(C71),ISNUMBER(D71)),D71-C71,"")</f>
        <v/>
      </c>
      <c r="F71" s="31">
        <f t="array" ref="F71">IF(A71="","",IFERROR(IF(INDEX('2_Participantes'!$E$6:$E$305,MATCH(A71,'2_Participantes'!$A$6:$A$305,0))="","",INDEX('2_Participantes'!$E$6:$E$305,MATCH(A71,'2_Participantes'!$A$6:$A$305,0))),""))</f>
        <v/>
      </c>
      <c r="G71" s="26">
        <f t="array" ref="G71">IF(A71="","",IFERROR(IF(INDEX('2_Participantes'!$F$6:$F$305,MATCH(A71,'2_Participantes'!$A$6:$A$305,0))="","",INDEX('2_Participantes'!$F$6:$F$305,MATCH(A71,'2_Participantes'!$A$6:$A$305,0))),"No registrado"))</f>
        <v/>
      </c>
      <c r="H71" s="47">
        <f t="array" ref="H71">IF(A71="","",IFERROR(IF(INDEX('2_Participantes'!$L$6:$L$305,MATCH(A71,'2_Participantes'!$A$6:$A$305,0))="","",INDEX('2_Participantes'!$L$6:$L$305,MATCH(A71,'2_Participantes'!$A$6:$A$305,0))),""))</f>
        <v/>
      </c>
      <c r="I71" s="31">
        <f>IF(A71="","",IF(AND(ISNUMBER(C71),ISNUMBER(D71),G71&lt;&gt;"Excluido"),1,0))</f>
        <v/>
      </c>
      <c r="J71" s="48">
        <f>IF(A71="","",IF(G71="No registrado","Código ausente en 2_Participantes",IF(AND(ISNUMBER(D71),NOT(ISNUMBER(C71))),"Postest sin pretest (huérfano)",IF(OR(AND(ISNUMBER(C71),OR(C71&lt;Inicio!$C$18,C71&gt;Inicio!$C$19)),AND(ISNUMBER(D71),OR(D71&lt;Inicio!$C$18,D71&gt;Inicio!$C$19))),"Fuera de rango",IF(COUNTIF($A$6:$A$305,A71)&gt;1,"Código duplicado","OK")))))</f>
        <v/>
      </c>
      <c r="K71" s="2" t="n"/>
      <c r="L71" s="2" t="n"/>
      <c r="M71" s="2" t="n"/>
      <c r="N71" s="2" t="n"/>
      <c r="O71" s="2" t="n"/>
      <c r="P71" s="2" t="n"/>
      <c r="Q71" s="2" t="n"/>
      <c r="R71" s="2" t="n"/>
    </row>
    <row r="72" ht="15" customHeight="1" s="67">
      <c r="A72" s="22" t="inlineStr">
        <is>
          <t>GU-TDH-075</t>
        </is>
      </c>
      <c r="B72" s="26">
        <f t="array" ref="B72">IF(A72="","",IFERROR(IF(INDEX('2_Participantes'!$B$6:$B$305,MATCH(A72,'2_Participantes'!$A$6:$A$305,0))="","",INDEX('2_Participantes'!$B$6:$B$305,MATCH(A72,'2_Participantes'!$A$6:$A$305,0))),"No registrado"))</f>
        <v/>
      </c>
      <c r="C72" s="15" t="n">
        <v>85</v>
      </c>
      <c r="D72" s="15" t="n">
        <v>97.5</v>
      </c>
      <c r="E72" s="32">
        <f>IF(AND(ISNUMBER(C72),ISNUMBER(D72)),D72-C72,"")</f>
        <v/>
      </c>
      <c r="F72" s="31">
        <f t="array" ref="F72">IF(A72="","",IFERROR(IF(INDEX('2_Participantes'!$E$6:$E$305,MATCH(A72,'2_Participantes'!$A$6:$A$305,0))="","",INDEX('2_Participantes'!$E$6:$E$305,MATCH(A72,'2_Participantes'!$A$6:$A$305,0))),""))</f>
        <v/>
      </c>
      <c r="G72" s="26">
        <f t="array" ref="G72">IF(A72="","",IFERROR(IF(INDEX('2_Participantes'!$F$6:$F$305,MATCH(A72,'2_Participantes'!$A$6:$A$305,0))="","",INDEX('2_Participantes'!$F$6:$F$305,MATCH(A72,'2_Participantes'!$A$6:$A$305,0))),"No registrado"))</f>
        <v/>
      </c>
      <c r="H72" s="47">
        <f t="array" ref="H72">IF(A72="","",IFERROR(IF(INDEX('2_Participantes'!$L$6:$L$305,MATCH(A72,'2_Participantes'!$A$6:$A$305,0))="","",INDEX('2_Participantes'!$L$6:$L$305,MATCH(A72,'2_Participantes'!$A$6:$A$305,0))),""))</f>
        <v/>
      </c>
      <c r="I72" s="31">
        <f>IF(A72="","",IF(AND(ISNUMBER(C72),ISNUMBER(D72),G72&lt;&gt;"Excluido"),1,0))</f>
        <v/>
      </c>
      <c r="J72" s="48">
        <f>IF(A72="","",IF(G72="No registrado","Código ausente en 2_Participantes",IF(AND(ISNUMBER(D72),NOT(ISNUMBER(C72))),"Postest sin pretest (huérfano)",IF(OR(AND(ISNUMBER(C72),OR(C72&lt;Inicio!$C$18,C72&gt;Inicio!$C$19)),AND(ISNUMBER(D72),OR(D72&lt;Inicio!$C$18,D72&gt;Inicio!$C$19))),"Fuera de rango",IF(COUNTIF($A$6:$A$305,A72)&gt;1,"Código duplicado","OK")))))</f>
        <v/>
      </c>
      <c r="K72" s="2" t="n"/>
      <c r="L72" s="2" t="n"/>
      <c r="M72" s="2" t="n"/>
      <c r="N72" s="2" t="n"/>
      <c r="O72" s="2" t="n"/>
      <c r="P72" s="2" t="n"/>
      <c r="Q72" s="2" t="n"/>
      <c r="R72" s="2" t="n"/>
    </row>
    <row r="73" ht="15" customHeight="1" s="67">
      <c r="A73" s="22" t="inlineStr">
        <is>
          <t>GU-TDH-076</t>
        </is>
      </c>
      <c r="B73" s="26">
        <f t="array" ref="B73">IF(A73="","",IFERROR(IF(INDEX('2_Participantes'!$B$6:$B$305,MATCH(A73,'2_Participantes'!$A$6:$A$305,0))="","",INDEX('2_Participantes'!$B$6:$B$305,MATCH(A73,'2_Participantes'!$A$6:$A$305,0))),"No registrado"))</f>
        <v/>
      </c>
      <c r="C73" s="15" t="n">
        <v>65</v>
      </c>
      <c r="D73" s="15" t="n">
        <v>65</v>
      </c>
      <c r="E73" s="32">
        <f>IF(AND(ISNUMBER(C73),ISNUMBER(D73)),D73-C73,"")</f>
        <v/>
      </c>
      <c r="F73" s="31">
        <f t="array" ref="F73">IF(A73="","",IFERROR(IF(INDEX('2_Participantes'!$E$6:$E$305,MATCH(A73,'2_Participantes'!$A$6:$A$305,0))="","",INDEX('2_Participantes'!$E$6:$E$305,MATCH(A73,'2_Participantes'!$A$6:$A$305,0))),""))</f>
        <v/>
      </c>
      <c r="G73" s="26">
        <f t="array" ref="G73">IF(A73="","",IFERROR(IF(INDEX('2_Participantes'!$F$6:$F$305,MATCH(A73,'2_Participantes'!$A$6:$A$305,0))="","",INDEX('2_Participantes'!$F$6:$F$305,MATCH(A73,'2_Participantes'!$A$6:$A$305,0))),"No registrado"))</f>
        <v/>
      </c>
      <c r="H73" s="47">
        <f t="array" ref="H73">IF(A73="","",IFERROR(IF(INDEX('2_Participantes'!$L$6:$L$305,MATCH(A73,'2_Participantes'!$A$6:$A$305,0))="","",INDEX('2_Participantes'!$L$6:$L$305,MATCH(A73,'2_Participantes'!$A$6:$A$305,0))),""))</f>
        <v/>
      </c>
      <c r="I73" s="31">
        <f>IF(A73="","",IF(AND(ISNUMBER(C73),ISNUMBER(D73),G73&lt;&gt;"Excluido"),1,0))</f>
        <v/>
      </c>
      <c r="J73" s="48">
        <f>IF(A73="","",IF(G73="No registrado","Código ausente en 2_Participantes",IF(AND(ISNUMBER(D73),NOT(ISNUMBER(C73))),"Postest sin pretest (huérfano)",IF(OR(AND(ISNUMBER(C73),OR(C73&lt;Inicio!$C$18,C73&gt;Inicio!$C$19)),AND(ISNUMBER(D73),OR(D73&lt;Inicio!$C$18,D73&gt;Inicio!$C$19))),"Fuera de rango",IF(COUNTIF($A$6:$A$305,A73)&gt;1,"Código duplicado","OK")))))</f>
        <v/>
      </c>
      <c r="K73" s="2" t="n"/>
      <c r="L73" s="2" t="n"/>
      <c r="M73" s="2" t="n"/>
      <c r="N73" s="2" t="n"/>
      <c r="O73" s="2" t="n"/>
      <c r="P73" s="2" t="n"/>
      <c r="Q73" s="2" t="n"/>
      <c r="R73" s="2" t="n"/>
    </row>
    <row r="74" ht="15" customHeight="1" s="67">
      <c r="A74" s="22" t="inlineStr">
        <is>
          <t>GU-TDH-077</t>
        </is>
      </c>
      <c r="B74" s="26">
        <f t="array" ref="B74">IF(A74="","",IFERROR(IF(INDEX('2_Participantes'!$B$6:$B$305,MATCH(A74,'2_Participantes'!$A$6:$A$305,0))="","",INDEX('2_Participantes'!$B$6:$B$305,MATCH(A74,'2_Participantes'!$A$6:$A$305,0))),"No registrado"))</f>
        <v/>
      </c>
      <c r="C74" s="15" t="n">
        <v>52.5</v>
      </c>
      <c r="D74" s="15" t="n">
        <v>80</v>
      </c>
      <c r="E74" s="32">
        <f>IF(AND(ISNUMBER(C74),ISNUMBER(D74)),D74-C74,"")</f>
        <v/>
      </c>
      <c r="F74" s="31">
        <f t="array" ref="F74">IF(A74="","",IFERROR(IF(INDEX('2_Participantes'!$E$6:$E$305,MATCH(A74,'2_Participantes'!$A$6:$A$305,0))="","",INDEX('2_Participantes'!$E$6:$E$305,MATCH(A74,'2_Participantes'!$A$6:$A$305,0))),""))</f>
        <v/>
      </c>
      <c r="G74" s="26">
        <f t="array" ref="G74">IF(A74="","",IFERROR(IF(INDEX('2_Participantes'!$F$6:$F$305,MATCH(A74,'2_Participantes'!$A$6:$A$305,0))="","",INDEX('2_Participantes'!$F$6:$F$305,MATCH(A74,'2_Participantes'!$A$6:$A$305,0))),"No registrado"))</f>
        <v/>
      </c>
      <c r="H74" s="47">
        <f t="array" ref="H74">IF(A74="","",IFERROR(IF(INDEX('2_Participantes'!$L$6:$L$305,MATCH(A74,'2_Participantes'!$A$6:$A$305,0))="","",INDEX('2_Participantes'!$L$6:$L$305,MATCH(A74,'2_Participantes'!$A$6:$A$305,0))),""))</f>
        <v/>
      </c>
      <c r="I74" s="31">
        <f>IF(A74="","",IF(AND(ISNUMBER(C74),ISNUMBER(D74),G74&lt;&gt;"Excluido"),1,0))</f>
        <v/>
      </c>
      <c r="J74" s="48">
        <f>IF(A74="","",IF(G74="No registrado","Código ausente en 2_Participantes",IF(AND(ISNUMBER(D74),NOT(ISNUMBER(C74))),"Postest sin pretest (huérfano)",IF(OR(AND(ISNUMBER(C74),OR(C74&lt;Inicio!$C$18,C74&gt;Inicio!$C$19)),AND(ISNUMBER(D74),OR(D74&lt;Inicio!$C$18,D74&gt;Inicio!$C$19))),"Fuera de rango",IF(COUNTIF($A$6:$A$305,A74)&gt;1,"Código duplicado","OK")))))</f>
        <v/>
      </c>
      <c r="K74" s="2" t="n"/>
      <c r="L74" s="2" t="n"/>
      <c r="M74" s="2" t="n"/>
      <c r="N74" s="2" t="n"/>
      <c r="O74" s="2" t="n"/>
      <c r="P74" s="2" t="n"/>
      <c r="Q74" s="2" t="n"/>
      <c r="R74" s="2" t="n"/>
    </row>
    <row r="75" ht="15" customHeight="1" s="67">
      <c r="A75" s="22" t="inlineStr">
        <is>
          <t>GU-TDH-078</t>
        </is>
      </c>
      <c r="B75" s="26">
        <f t="array" ref="B75">IF(A75="","",IFERROR(IF(INDEX('2_Participantes'!$B$6:$B$305,MATCH(A75,'2_Participantes'!$A$6:$A$305,0))="","",INDEX('2_Participantes'!$B$6:$B$305,MATCH(A75,'2_Participantes'!$A$6:$A$305,0))),"No registrado"))</f>
        <v/>
      </c>
      <c r="C75" s="15" t="n">
        <v>62.5</v>
      </c>
      <c r="D75" s="15" t="n">
        <v>90</v>
      </c>
      <c r="E75" s="32">
        <f>IF(AND(ISNUMBER(C75),ISNUMBER(D75)),D75-C75,"")</f>
        <v/>
      </c>
      <c r="F75" s="31">
        <f t="array" ref="F75">IF(A75="","",IFERROR(IF(INDEX('2_Participantes'!$E$6:$E$305,MATCH(A75,'2_Participantes'!$A$6:$A$305,0))="","",INDEX('2_Participantes'!$E$6:$E$305,MATCH(A75,'2_Participantes'!$A$6:$A$305,0))),""))</f>
        <v/>
      </c>
      <c r="G75" s="26">
        <f t="array" ref="G75">IF(A75="","",IFERROR(IF(INDEX('2_Participantes'!$F$6:$F$305,MATCH(A75,'2_Participantes'!$A$6:$A$305,0))="","",INDEX('2_Participantes'!$F$6:$F$305,MATCH(A75,'2_Participantes'!$A$6:$A$305,0))),"No registrado"))</f>
        <v/>
      </c>
      <c r="H75" s="47">
        <f t="array" ref="H75">IF(A75="","",IFERROR(IF(INDEX('2_Participantes'!$L$6:$L$305,MATCH(A75,'2_Participantes'!$A$6:$A$305,0))="","",INDEX('2_Participantes'!$L$6:$L$305,MATCH(A75,'2_Participantes'!$A$6:$A$305,0))),""))</f>
        <v/>
      </c>
      <c r="I75" s="31">
        <f>IF(A75="","",IF(AND(ISNUMBER(C75),ISNUMBER(D75),G75&lt;&gt;"Excluido"),1,0))</f>
        <v/>
      </c>
      <c r="J75" s="48">
        <f>IF(A75="","",IF(G75="No registrado","Código ausente en 2_Participantes",IF(AND(ISNUMBER(D75),NOT(ISNUMBER(C75))),"Postest sin pretest (huérfano)",IF(OR(AND(ISNUMBER(C75),OR(C75&lt;Inicio!$C$18,C75&gt;Inicio!$C$19)),AND(ISNUMBER(D75),OR(D75&lt;Inicio!$C$18,D75&gt;Inicio!$C$19))),"Fuera de rango",IF(COUNTIF($A$6:$A$305,A75)&gt;1,"Código duplicado","OK")))))</f>
        <v/>
      </c>
      <c r="K75" s="2" t="n"/>
      <c r="L75" s="2" t="n"/>
      <c r="M75" s="2" t="n"/>
      <c r="N75" s="2" t="n"/>
      <c r="O75" s="2" t="n"/>
      <c r="P75" s="2" t="n"/>
      <c r="Q75" s="2" t="n"/>
      <c r="R75" s="2" t="n"/>
    </row>
    <row r="76" ht="15" customHeight="1" s="67">
      <c r="A76" s="22" t="inlineStr">
        <is>
          <t>GU-TDH-079</t>
        </is>
      </c>
      <c r="B76" s="26">
        <f t="array" ref="B76">IF(A76="","",IFERROR(IF(INDEX('2_Participantes'!$B$6:$B$305,MATCH(A76,'2_Participantes'!$A$6:$A$305,0))="","",INDEX('2_Participantes'!$B$6:$B$305,MATCH(A76,'2_Participantes'!$A$6:$A$305,0))),"No registrado"))</f>
        <v/>
      </c>
      <c r="C76" s="15" t="n">
        <v>45</v>
      </c>
      <c r="D76" s="15" t="n">
        <v>50</v>
      </c>
      <c r="E76" s="32">
        <f>IF(AND(ISNUMBER(C76),ISNUMBER(D76)),D76-C76,"")</f>
        <v/>
      </c>
      <c r="F76" s="31">
        <f t="array" ref="F76">IF(A76="","",IFERROR(IF(INDEX('2_Participantes'!$E$6:$E$305,MATCH(A76,'2_Participantes'!$A$6:$A$305,0))="","",INDEX('2_Participantes'!$E$6:$E$305,MATCH(A76,'2_Participantes'!$A$6:$A$305,0))),""))</f>
        <v/>
      </c>
      <c r="G76" s="26">
        <f t="array" ref="G76">IF(A76="","",IFERROR(IF(INDEX('2_Participantes'!$F$6:$F$305,MATCH(A76,'2_Participantes'!$A$6:$A$305,0))="","",INDEX('2_Participantes'!$F$6:$F$305,MATCH(A76,'2_Participantes'!$A$6:$A$305,0))),"No registrado"))</f>
        <v/>
      </c>
      <c r="H76" s="47">
        <f t="array" ref="H76">IF(A76="","",IFERROR(IF(INDEX('2_Participantes'!$L$6:$L$305,MATCH(A76,'2_Participantes'!$A$6:$A$305,0))="","",INDEX('2_Participantes'!$L$6:$L$305,MATCH(A76,'2_Participantes'!$A$6:$A$305,0))),""))</f>
        <v/>
      </c>
      <c r="I76" s="31">
        <f>IF(A76="","",IF(AND(ISNUMBER(C76),ISNUMBER(D76),G76&lt;&gt;"Excluido"),1,0))</f>
        <v/>
      </c>
      <c r="J76" s="48">
        <f>IF(A76="","",IF(G76="No registrado","Código ausente en 2_Participantes",IF(AND(ISNUMBER(D76),NOT(ISNUMBER(C76))),"Postest sin pretest (huérfano)",IF(OR(AND(ISNUMBER(C76),OR(C76&lt;Inicio!$C$18,C76&gt;Inicio!$C$19)),AND(ISNUMBER(D76),OR(D76&lt;Inicio!$C$18,D76&gt;Inicio!$C$19))),"Fuera de rango",IF(COUNTIF($A$6:$A$305,A76)&gt;1,"Código duplicado","OK")))))</f>
        <v/>
      </c>
      <c r="K76" s="2" t="n"/>
      <c r="L76" s="2" t="n"/>
      <c r="M76" s="2" t="n"/>
      <c r="N76" s="2" t="n"/>
      <c r="O76" s="2" t="n"/>
      <c r="P76" s="2" t="n"/>
      <c r="Q76" s="2" t="n"/>
      <c r="R76" s="2" t="n"/>
    </row>
    <row r="77" ht="15" customHeight="1" s="67">
      <c r="A77" s="22" t="inlineStr">
        <is>
          <t>GU-TDH-080</t>
        </is>
      </c>
      <c r="B77" s="26">
        <f t="array" ref="B77">IF(A77="","",IFERROR(IF(INDEX('2_Participantes'!$B$6:$B$305,MATCH(A77,'2_Participantes'!$A$6:$A$305,0))="","",INDEX('2_Participantes'!$B$6:$B$305,MATCH(A77,'2_Participantes'!$A$6:$A$305,0))),"No registrado"))</f>
        <v/>
      </c>
      <c r="C77" s="15" t="n">
        <v>67.5</v>
      </c>
      <c r="D77" s="15" t="n">
        <v>87.5</v>
      </c>
      <c r="E77" s="32">
        <f>IF(AND(ISNUMBER(C77),ISNUMBER(D77)),D77-C77,"")</f>
        <v/>
      </c>
      <c r="F77" s="31">
        <f t="array" ref="F77">IF(A77="","",IFERROR(IF(INDEX('2_Participantes'!$E$6:$E$305,MATCH(A77,'2_Participantes'!$A$6:$A$305,0))="","",INDEX('2_Participantes'!$E$6:$E$305,MATCH(A77,'2_Participantes'!$A$6:$A$305,0))),""))</f>
        <v/>
      </c>
      <c r="G77" s="26">
        <f t="array" ref="G77">IF(A77="","",IFERROR(IF(INDEX('2_Participantes'!$F$6:$F$305,MATCH(A77,'2_Participantes'!$A$6:$A$305,0))="","",INDEX('2_Participantes'!$F$6:$F$305,MATCH(A77,'2_Participantes'!$A$6:$A$305,0))),"No registrado"))</f>
        <v/>
      </c>
      <c r="H77" s="47">
        <f t="array" ref="H77">IF(A77="","",IFERROR(IF(INDEX('2_Participantes'!$L$6:$L$305,MATCH(A77,'2_Participantes'!$A$6:$A$305,0))="","",INDEX('2_Participantes'!$L$6:$L$305,MATCH(A77,'2_Participantes'!$A$6:$A$305,0))),""))</f>
        <v/>
      </c>
      <c r="I77" s="31">
        <f>IF(A77="","",IF(AND(ISNUMBER(C77),ISNUMBER(D77),G77&lt;&gt;"Excluido"),1,0))</f>
        <v/>
      </c>
      <c r="J77" s="48">
        <f>IF(A77="","",IF(G77="No registrado","Código ausente en 2_Participantes",IF(AND(ISNUMBER(D77),NOT(ISNUMBER(C77))),"Postest sin pretest (huérfano)",IF(OR(AND(ISNUMBER(C77),OR(C77&lt;Inicio!$C$18,C77&gt;Inicio!$C$19)),AND(ISNUMBER(D77),OR(D77&lt;Inicio!$C$18,D77&gt;Inicio!$C$19))),"Fuera de rango",IF(COUNTIF($A$6:$A$305,A77)&gt;1,"Código duplicado","OK")))))</f>
        <v/>
      </c>
      <c r="K77" s="2" t="n"/>
      <c r="L77" s="2" t="n"/>
      <c r="M77" s="2" t="n"/>
      <c r="N77" s="2" t="n"/>
      <c r="O77" s="2" t="n"/>
      <c r="P77" s="2" t="n"/>
      <c r="Q77" s="2" t="n"/>
      <c r="R77" s="2" t="n"/>
    </row>
    <row r="78" ht="15" customHeight="1" s="67">
      <c r="A78" s="22" t="inlineStr">
        <is>
          <t>GU-TDH-081</t>
        </is>
      </c>
      <c r="B78" s="26">
        <f t="array" ref="B78">IF(A78="","",IFERROR(IF(INDEX('2_Participantes'!$B$6:$B$305,MATCH(A78,'2_Participantes'!$A$6:$A$305,0))="","",INDEX('2_Participantes'!$B$6:$B$305,MATCH(A78,'2_Participantes'!$A$6:$A$305,0))),"No registrado"))</f>
        <v/>
      </c>
      <c r="C78" s="15" t="n">
        <v>55</v>
      </c>
      <c r="D78" s="15" t="n">
        <v>75</v>
      </c>
      <c r="E78" s="32">
        <f>IF(AND(ISNUMBER(C78),ISNUMBER(D78)),D78-C78,"")</f>
        <v/>
      </c>
      <c r="F78" s="31">
        <f t="array" ref="F78">IF(A78="","",IFERROR(IF(INDEX('2_Participantes'!$E$6:$E$305,MATCH(A78,'2_Participantes'!$A$6:$A$305,0))="","",INDEX('2_Participantes'!$E$6:$E$305,MATCH(A78,'2_Participantes'!$A$6:$A$305,0))),""))</f>
        <v/>
      </c>
      <c r="G78" s="26">
        <f t="array" ref="G78">IF(A78="","",IFERROR(IF(INDEX('2_Participantes'!$F$6:$F$305,MATCH(A78,'2_Participantes'!$A$6:$A$305,0))="","",INDEX('2_Participantes'!$F$6:$F$305,MATCH(A78,'2_Participantes'!$A$6:$A$305,0))),"No registrado"))</f>
        <v/>
      </c>
      <c r="H78" s="47">
        <f t="array" ref="H78">IF(A78="","",IFERROR(IF(INDEX('2_Participantes'!$L$6:$L$305,MATCH(A78,'2_Participantes'!$A$6:$A$305,0))="","",INDEX('2_Participantes'!$L$6:$L$305,MATCH(A78,'2_Participantes'!$A$6:$A$305,0))),""))</f>
        <v/>
      </c>
      <c r="I78" s="31">
        <f>IF(A78="","",IF(AND(ISNUMBER(C78),ISNUMBER(D78),G78&lt;&gt;"Excluido"),1,0))</f>
        <v/>
      </c>
      <c r="J78" s="48">
        <f>IF(A78="","",IF(G78="No registrado","Código ausente en 2_Participantes",IF(AND(ISNUMBER(D78),NOT(ISNUMBER(C78))),"Postest sin pretest (huérfano)",IF(OR(AND(ISNUMBER(C78),OR(C78&lt;Inicio!$C$18,C78&gt;Inicio!$C$19)),AND(ISNUMBER(D78),OR(D78&lt;Inicio!$C$18,D78&gt;Inicio!$C$19))),"Fuera de rango",IF(COUNTIF($A$6:$A$305,A78)&gt;1,"Código duplicado","OK")))))</f>
        <v/>
      </c>
      <c r="K78" s="2" t="n"/>
      <c r="L78" s="2" t="n"/>
      <c r="M78" s="2" t="n"/>
      <c r="N78" s="2" t="n"/>
      <c r="O78" s="2" t="n"/>
      <c r="P78" s="2" t="n"/>
      <c r="Q78" s="2" t="n"/>
      <c r="R78" s="2" t="n"/>
    </row>
    <row r="79" ht="15" customHeight="1" s="67">
      <c r="A79" s="22" t="inlineStr">
        <is>
          <t>GU-TDH-082</t>
        </is>
      </c>
      <c r="B79" s="26">
        <f t="array" ref="B79">IF(A79="","",IFERROR(IF(INDEX('2_Participantes'!$B$6:$B$305,MATCH(A79,'2_Participantes'!$A$6:$A$305,0))="","",INDEX('2_Participantes'!$B$6:$B$305,MATCH(A79,'2_Participantes'!$A$6:$A$305,0))),"No registrado"))</f>
        <v/>
      </c>
      <c r="C79" s="15" t="n">
        <v>65</v>
      </c>
      <c r="D79" s="15" t="n">
        <v>80</v>
      </c>
      <c r="E79" s="32">
        <f>IF(AND(ISNUMBER(C79),ISNUMBER(D79)),D79-C79,"")</f>
        <v/>
      </c>
      <c r="F79" s="31">
        <f t="array" ref="F79">IF(A79="","",IFERROR(IF(INDEX('2_Participantes'!$E$6:$E$305,MATCH(A79,'2_Participantes'!$A$6:$A$305,0))="","",INDEX('2_Participantes'!$E$6:$E$305,MATCH(A79,'2_Participantes'!$A$6:$A$305,0))),""))</f>
        <v/>
      </c>
      <c r="G79" s="26">
        <f t="array" ref="G79">IF(A79="","",IFERROR(IF(INDEX('2_Participantes'!$F$6:$F$305,MATCH(A79,'2_Participantes'!$A$6:$A$305,0))="","",INDEX('2_Participantes'!$F$6:$F$305,MATCH(A79,'2_Participantes'!$A$6:$A$305,0))),"No registrado"))</f>
        <v/>
      </c>
      <c r="H79" s="47">
        <f t="array" ref="H79">IF(A79="","",IFERROR(IF(INDEX('2_Participantes'!$L$6:$L$305,MATCH(A79,'2_Participantes'!$A$6:$A$305,0))="","",INDEX('2_Participantes'!$L$6:$L$305,MATCH(A79,'2_Participantes'!$A$6:$A$305,0))),""))</f>
        <v/>
      </c>
      <c r="I79" s="31">
        <f>IF(A79="","",IF(AND(ISNUMBER(C79),ISNUMBER(D79),G79&lt;&gt;"Excluido"),1,0))</f>
        <v/>
      </c>
      <c r="J79" s="48">
        <f>IF(A79="","",IF(G79="No registrado","Código ausente en 2_Participantes",IF(AND(ISNUMBER(D79),NOT(ISNUMBER(C79))),"Postest sin pretest (huérfano)",IF(OR(AND(ISNUMBER(C79),OR(C79&lt;Inicio!$C$18,C79&gt;Inicio!$C$19)),AND(ISNUMBER(D79),OR(D79&lt;Inicio!$C$18,D79&gt;Inicio!$C$19))),"Fuera de rango",IF(COUNTIF($A$6:$A$305,A79)&gt;1,"Código duplicado","OK")))))</f>
        <v/>
      </c>
      <c r="K79" s="2" t="n"/>
      <c r="L79" s="2" t="n"/>
      <c r="M79" s="2" t="n"/>
      <c r="N79" s="2" t="n"/>
      <c r="O79" s="2" t="n"/>
      <c r="P79" s="2" t="n"/>
      <c r="Q79" s="2" t="n"/>
      <c r="R79" s="2" t="n"/>
    </row>
    <row r="80" ht="15" customHeight="1" s="67">
      <c r="A80" s="22" t="inlineStr">
        <is>
          <t>GU-TDH-083</t>
        </is>
      </c>
      <c r="B80" s="26">
        <f t="array" ref="B80">IF(A80="","",IFERROR(IF(INDEX('2_Participantes'!$B$6:$B$305,MATCH(A80,'2_Participantes'!$A$6:$A$305,0))="","",INDEX('2_Participantes'!$B$6:$B$305,MATCH(A80,'2_Participantes'!$A$6:$A$305,0))),"No registrado"))</f>
        <v/>
      </c>
      <c r="C80" s="15" t="n">
        <v>55</v>
      </c>
      <c r="D80" s="15" t="n">
        <v>82.5</v>
      </c>
      <c r="E80" s="32">
        <f>IF(AND(ISNUMBER(C80),ISNUMBER(D80)),D80-C80,"")</f>
        <v/>
      </c>
      <c r="F80" s="31">
        <f t="array" ref="F80">IF(A80="","",IFERROR(IF(INDEX('2_Participantes'!$E$6:$E$305,MATCH(A80,'2_Participantes'!$A$6:$A$305,0))="","",INDEX('2_Participantes'!$E$6:$E$305,MATCH(A80,'2_Participantes'!$A$6:$A$305,0))),""))</f>
        <v/>
      </c>
      <c r="G80" s="26">
        <f t="array" ref="G80">IF(A80="","",IFERROR(IF(INDEX('2_Participantes'!$F$6:$F$305,MATCH(A80,'2_Participantes'!$A$6:$A$305,0))="","",INDEX('2_Participantes'!$F$6:$F$305,MATCH(A80,'2_Participantes'!$A$6:$A$305,0))),"No registrado"))</f>
        <v/>
      </c>
      <c r="H80" s="47">
        <f t="array" ref="H80">IF(A80="","",IFERROR(IF(INDEX('2_Participantes'!$L$6:$L$305,MATCH(A80,'2_Participantes'!$A$6:$A$305,0))="","",INDEX('2_Participantes'!$L$6:$L$305,MATCH(A80,'2_Participantes'!$A$6:$A$305,0))),""))</f>
        <v/>
      </c>
      <c r="I80" s="31">
        <f>IF(A80="","",IF(AND(ISNUMBER(C80),ISNUMBER(D80),G80&lt;&gt;"Excluido"),1,0))</f>
        <v/>
      </c>
      <c r="J80" s="48">
        <f>IF(A80="","",IF(G80="No registrado","Código ausente en 2_Participantes",IF(AND(ISNUMBER(D80),NOT(ISNUMBER(C80))),"Postest sin pretest (huérfano)",IF(OR(AND(ISNUMBER(C80),OR(C80&lt;Inicio!$C$18,C80&gt;Inicio!$C$19)),AND(ISNUMBER(D80),OR(D80&lt;Inicio!$C$18,D80&gt;Inicio!$C$19))),"Fuera de rango",IF(COUNTIF($A$6:$A$305,A80)&gt;1,"Código duplicado","OK")))))</f>
        <v/>
      </c>
      <c r="K80" s="2" t="n"/>
      <c r="L80" s="2" t="n"/>
      <c r="M80" s="2" t="n"/>
      <c r="N80" s="2" t="n"/>
      <c r="O80" s="2" t="n"/>
      <c r="P80" s="2" t="n"/>
      <c r="Q80" s="2" t="n"/>
      <c r="R80" s="2" t="n"/>
    </row>
    <row r="81" ht="15" customHeight="1" s="67">
      <c r="A81" s="22" t="inlineStr">
        <is>
          <t>GU-TDH-084</t>
        </is>
      </c>
      <c r="B81" s="26">
        <f t="array" ref="B81">IF(A81="","",IFERROR(IF(INDEX('2_Participantes'!$B$6:$B$305,MATCH(A81,'2_Participantes'!$A$6:$A$305,0))="","",INDEX('2_Participantes'!$B$6:$B$305,MATCH(A81,'2_Participantes'!$A$6:$A$305,0))),"No registrado"))</f>
        <v/>
      </c>
      <c r="C81" s="15" t="n">
        <v>47.5</v>
      </c>
      <c r="D81" s="15" t="n">
        <v>62.5</v>
      </c>
      <c r="E81" s="32">
        <f>IF(AND(ISNUMBER(C81),ISNUMBER(D81)),D81-C81,"")</f>
        <v/>
      </c>
      <c r="F81" s="31">
        <f t="array" ref="F81">IF(A81="","",IFERROR(IF(INDEX('2_Participantes'!$E$6:$E$305,MATCH(A81,'2_Participantes'!$A$6:$A$305,0))="","",INDEX('2_Participantes'!$E$6:$E$305,MATCH(A81,'2_Participantes'!$A$6:$A$305,0))),""))</f>
        <v/>
      </c>
      <c r="G81" s="26">
        <f t="array" ref="G81">IF(A81="","",IFERROR(IF(INDEX('2_Participantes'!$F$6:$F$305,MATCH(A81,'2_Participantes'!$A$6:$A$305,0))="","",INDEX('2_Participantes'!$F$6:$F$305,MATCH(A81,'2_Participantes'!$A$6:$A$305,0))),"No registrado"))</f>
        <v/>
      </c>
      <c r="H81" s="47">
        <f t="array" ref="H81">IF(A81="","",IFERROR(IF(INDEX('2_Participantes'!$L$6:$L$305,MATCH(A81,'2_Participantes'!$A$6:$A$305,0))="","",INDEX('2_Participantes'!$L$6:$L$305,MATCH(A81,'2_Participantes'!$A$6:$A$305,0))),""))</f>
        <v/>
      </c>
      <c r="I81" s="31">
        <f>IF(A81="","",IF(AND(ISNUMBER(C81),ISNUMBER(D81),G81&lt;&gt;"Excluido"),1,0))</f>
        <v/>
      </c>
      <c r="J81" s="48">
        <f>IF(A81="","",IF(G81="No registrado","Código ausente en 2_Participantes",IF(AND(ISNUMBER(D81),NOT(ISNUMBER(C81))),"Postest sin pretest (huérfano)",IF(OR(AND(ISNUMBER(C81),OR(C81&lt;Inicio!$C$18,C81&gt;Inicio!$C$19)),AND(ISNUMBER(D81),OR(D81&lt;Inicio!$C$18,D81&gt;Inicio!$C$19))),"Fuera de rango",IF(COUNTIF($A$6:$A$305,A81)&gt;1,"Código duplicado","OK")))))</f>
        <v/>
      </c>
      <c r="K81" s="2" t="n"/>
      <c r="L81" s="2" t="n"/>
      <c r="M81" s="2" t="n"/>
      <c r="N81" s="2" t="n"/>
      <c r="O81" s="2" t="n"/>
      <c r="P81" s="2" t="n"/>
      <c r="Q81" s="2" t="n"/>
      <c r="R81" s="2" t="n"/>
    </row>
    <row r="82" ht="15" customHeight="1" s="67">
      <c r="A82" s="22" t="inlineStr">
        <is>
          <t>GU-TDH-085</t>
        </is>
      </c>
      <c r="B82" s="26">
        <f t="array" ref="B82">IF(A82="","",IFERROR(IF(INDEX('2_Participantes'!$B$6:$B$305,MATCH(A82,'2_Participantes'!$A$6:$A$305,0))="","",INDEX('2_Participantes'!$B$6:$B$305,MATCH(A82,'2_Participantes'!$A$6:$A$305,0))),"No registrado"))</f>
        <v/>
      </c>
      <c r="C82" s="15" t="n">
        <v>62.5</v>
      </c>
      <c r="D82" s="15" t="n">
        <v>85</v>
      </c>
      <c r="E82" s="32">
        <f>IF(AND(ISNUMBER(C82),ISNUMBER(D82)),D82-C82,"")</f>
        <v/>
      </c>
      <c r="F82" s="31">
        <f t="array" ref="F82">IF(A82="","",IFERROR(IF(INDEX('2_Participantes'!$E$6:$E$305,MATCH(A82,'2_Participantes'!$A$6:$A$305,0))="","",INDEX('2_Participantes'!$E$6:$E$305,MATCH(A82,'2_Participantes'!$A$6:$A$305,0))),""))</f>
        <v/>
      </c>
      <c r="G82" s="26">
        <f t="array" ref="G82">IF(A82="","",IFERROR(IF(INDEX('2_Participantes'!$F$6:$F$305,MATCH(A82,'2_Participantes'!$A$6:$A$305,0))="","",INDEX('2_Participantes'!$F$6:$F$305,MATCH(A82,'2_Participantes'!$A$6:$A$305,0))),"No registrado"))</f>
        <v/>
      </c>
      <c r="H82" s="47">
        <f t="array" ref="H82">IF(A82="","",IFERROR(IF(INDEX('2_Participantes'!$L$6:$L$305,MATCH(A82,'2_Participantes'!$A$6:$A$305,0))="","",INDEX('2_Participantes'!$L$6:$L$305,MATCH(A82,'2_Participantes'!$A$6:$A$305,0))),""))</f>
        <v/>
      </c>
      <c r="I82" s="31">
        <f>IF(A82="","",IF(AND(ISNUMBER(C82),ISNUMBER(D82),G82&lt;&gt;"Excluido"),1,0))</f>
        <v/>
      </c>
      <c r="J82" s="48">
        <f>IF(A82="","",IF(G82="No registrado","Código ausente en 2_Participantes",IF(AND(ISNUMBER(D82),NOT(ISNUMBER(C82))),"Postest sin pretest (huérfano)",IF(OR(AND(ISNUMBER(C82),OR(C82&lt;Inicio!$C$18,C82&gt;Inicio!$C$19)),AND(ISNUMBER(D82),OR(D82&lt;Inicio!$C$18,D82&gt;Inicio!$C$19))),"Fuera de rango",IF(COUNTIF($A$6:$A$305,A82)&gt;1,"Código duplicado","OK")))))</f>
        <v/>
      </c>
      <c r="K82" s="2" t="n"/>
      <c r="L82" s="2" t="n"/>
      <c r="M82" s="2" t="n"/>
      <c r="N82" s="2" t="n"/>
      <c r="O82" s="2" t="n"/>
      <c r="P82" s="2" t="n"/>
      <c r="Q82" s="2" t="n"/>
      <c r="R82" s="2" t="n"/>
    </row>
    <row r="83" ht="15" customHeight="1" s="67">
      <c r="A83" s="22" t="inlineStr">
        <is>
          <t>GU-TDH-086</t>
        </is>
      </c>
      <c r="B83" s="26">
        <f t="array" ref="B83">IF(A83="","",IFERROR(IF(INDEX('2_Participantes'!$B$6:$B$305,MATCH(A83,'2_Participantes'!$A$6:$A$305,0))="","",INDEX('2_Participantes'!$B$6:$B$305,MATCH(A83,'2_Participantes'!$A$6:$A$305,0))),"No registrado"))</f>
        <v/>
      </c>
      <c r="C83" s="15" t="n">
        <v>47.5</v>
      </c>
      <c r="D83" s="15" t="n">
        <v>77.5</v>
      </c>
      <c r="E83" s="32">
        <f>IF(AND(ISNUMBER(C83),ISNUMBER(D83)),D83-C83,"")</f>
        <v/>
      </c>
      <c r="F83" s="31">
        <f t="array" ref="F83">IF(A83="","",IFERROR(IF(INDEX('2_Participantes'!$E$6:$E$305,MATCH(A83,'2_Participantes'!$A$6:$A$305,0))="","",INDEX('2_Participantes'!$E$6:$E$305,MATCH(A83,'2_Participantes'!$A$6:$A$305,0))),""))</f>
        <v/>
      </c>
      <c r="G83" s="26">
        <f t="array" ref="G83">IF(A83="","",IFERROR(IF(INDEX('2_Participantes'!$F$6:$F$305,MATCH(A83,'2_Participantes'!$A$6:$A$305,0))="","",INDEX('2_Participantes'!$F$6:$F$305,MATCH(A83,'2_Participantes'!$A$6:$A$305,0))),"No registrado"))</f>
        <v/>
      </c>
      <c r="H83" s="47">
        <f t="array" ref="H83">IF(A83="","",IFERROR(IF(INDEX('2_Participantes'!$L$6:$L$305,MATCH(A83,'2_Participantes'!$A$6:$A$305,0))="","",INDEX('2_Participantes'!$L$6:$L$305,MATCH(A83,'2_Participantes'!$A$6:$A$305,0))),""))</f>
        <v/>
      </c>
      <c r="I83" s="31">
        <f>IF(A83="","",IF(AND(ISNUMBER(C83),ISNUMBER(D83),G83&lt;&gt;"Excluido"),1,0))</f>
        <v/>
      </c>
      <c r="J83" s="48">
        <f>IF(A83="","",IF(G83="No registrado","Código ausente en 2_Participantes",IF(AND(ISNUMBER(D83),NOT(ISNUMBER(C83))),"Postest sin pretest (huérfano)",IF(OR(AND(ISNUMBER(C83),OR(C83&lt;Inicio!$C$18,C83&gt;Inicio!$C$19)),AND(ISNUMBER(D83),OR(D83&lt;Inicio!$C$18,D83&gt;Inicio!$C$19))),"Fuera de rango",IF(COUNTIF($A$6:$A$305,A83)&gt;1,"Código duplicado","OK")))))</f>
        <v/>
      </c>
      <c r="K83" s="2" t="n"/>
      <c r="L83" s="2" t="n"/>
      <c r="M83" s="2" t="n"/>
      <c r="N83" s="2" t="n"/>
      <c r="O83" s="2" t="n"/>
      <c r="P83" s="2" t="n"/>
      <c r="Q83" s="2" t="n"/>
      <c r="R83" s="2" t="n"/>
    </row>
    <row r="84" ht="15" customHeight="1" s="67">
      <c r="A84" s="22" t="inlineStr">
        <is>
          <t>GU-TDH-087</t>
        </is>
      </c>
      <c r="B84" s="26">
        <f t="array" ref="B84">IF(A84="","",IFERROR(IF(INDEX('2_Participantes'!$B$6:$B$305,MATCH(A84,'2_Participantes'!$A$6:$A$305,0))="","",INDEX('2_Participantes'!$B$6:$B$305,MATCH(A84,'2_Participantes'!$A$6:$A$305,0))),"No registrado"))</f>
        <v/>
      </c>
      <c r="C84" s="15" t="n">
        <v>67.5</v>
      </c>
      <c r="D84" s="15" t="n">
        <v>82.5</v>
      </c>
      <c r="E84" s="32">
        <f>IF(AND(ISNUMBER(C84),ISNUMBER(D84)),D84-C84,"")</f>
        <v/>
      </c>
      <c r="F84" s="31">
        <f t="array" ref="F84">IF(A84="","",IFERROR(IF(INDEX('2_Participantes'!$E$6:$E$305,MATCH(A84,'2_Participantes'!$A$6:$A$305,0))="","",INDEX('2_Participantes'!$E$6:$E$305,MATCH(A84,'2_Participantes'!$A$6:$A$305,0))),""))</f>
        <v/>
      </c>
      <c r="G84" s="26">
        <f t="array" ref="G84">IF(A84="","",IFERROR(IF(INDEX('2_Participantes'!$F$6:$F$305,MATCH(A84,'2_Participantes'!$A$6:$A$305,0))="","",INDEX('2_Participantes'!$F$6:$F$305,MATCH(A84,'2_Participantes'!$A$6:$A$305,0))),"No registrado"))</f>
        <v/>
      </c>
      <c r="H84" s="47">
        <f t="array" ref="H84">IF(A84="","",IFERROR(IF(INDEX('2_Participantes'!$L$6:$L$305,MATCH(A84,'2_Participantes'!$A$6:$A$305,0))="","",INDEX('2_Participantes'!$L$6:$L$305,MATCH(A84,'2_Participantes'!$A$6:$A$305,0))),""))</f>
        <v/>
      </c>
      <c r="I84" s="31">
        <f>IF(A84="","",IF(AND(ISNUMBER(C84),ISNUMBER(D84),G84&lt;&gt;"Excluido"),1,0))</f>
        <v/>
      </c>
      <c r="J84" s="48">
        <f>IF(A84="","",IF(G84="No registrado","Código ausente en 2_Participantes",IF(AND(ISNUMBER(D84),NOT(ISNUMBER(C84))),"Postest sin pretest (huérfano)",IF(OR(AND(ISNUMBER(C84),OR(C84&lt;Inicio!$C$18,C84&gt;Inicio!$C$19)),AND(ISNUMBER(D84),OR(D84&lt;Inicio!$C$18,D84&gt;Inicio!$C$19))),"Fuera de rango",IF(COUNTIF($A$6:$A$305,A84)&gt;1,"Código duplicado","OK")))))</f>
        <v/>
      </c>
      <c r="K84" s="2" t="n"/>
      <c r="L84" s="2" t="n"/>
      <c r="M84" s="2" t="n"/>
      <c r="N84" s="2" t="n"/>
      <c r="O84" s="2" t="n"/>
      <c r="P84" s="2" t="n"/>
      <c r="Q84" s="2" t="n"/>
      <c r="R84" s="2" t="n"/>
    </row>
    <row r="85" ht="15" customHeight="1" s="67">
      <c r="A85" s="22" t="inlineStr">
        <is>
          <t>GU-TDH-088</t>
        </is>
      </c>
      <c r="B85" s="26">
        <f t="array" ref="B85">IF(A85="","",IFERROR(IF(INDEX('2_Participantes'!$B$6:$B$305,MATCH(A85,'2_Participantes'!$A$6:$A$305,0))="","",INDEX('2_Participantes'!$B$6:$B$305,MATCH(A85,'2_Participantes'!$A$6:$A$305,0))),"No registrado"))</f>
        <v/>
      </c>
      <c r="C85" s="15" t="n">
        <v>65</v>
      </c>
      <c r="D85" s="15" t="n">
        <v>70</v>
      </c>
      <c r="E85" s="32">
        <f>IF(AND(ISNUMBER(C85),ISNUMBER(D85)),D85-C85,"")</f>
        <v/>
      </c>
      <c r="F85" s="31">
        <f t="array" ref="F85">IF(A85="","",IFERROR(IF(INDEX('2_Participantes'!$E$6:$E$305,MATCH(A85,'2_Participantes'!$A$6:$A$305,0))="","",INDEX('2_Participantes'!$E$6:$E$305,MATCH(A85,'2_Participantes'!$A$6:$A$305,0))),""))</f>
        <v/>
      </c>
      <c r="G85" s="26">
        <f t="array" ref="G85">IF(A85="","",IFERROR(IF(INDEX('2_Participantes'!$F$6:$F$305,MATCH(A85,'2_Participantes'!$A$6:$A$305,0))="","",INDEX('2_Participantes'!$F$6:$F$305,MATCH(A85,'2_Participantes'!$A$6:$A$305,0))),"No registrado"))</f>
        <v/>
      </c>
      <c r="H85" s="47">
        <f t="array" ref="H85">IF(A85="","",IFERROR(IF(INDEX('2_Participantes'!$L$6:$L$305,MATCH(A85,'2_Participantes'!$A$6:$A$305,0))="","",INDEX('2_Participantes'!$L$6:$L$305,MATCH(A85,'2_Participantes'!$A$6:$A$305,0))),""))</f>
        <v/>
      </c>
      <c r="I85" s="31">
        <f>IF(A85="","",IF(AND(ISNUMBER(C85),ISNUMBER(D85),G85&lt;&gt;"Excluido"),1,0))</f>
        <v/>
      </c>
      <c r="J85" s="48">
        <f>IF(A85="","",IF(G85="No registrado","Código ausente en 2_Participantes",IF(AND(ISNUMBER(D85),NOT(ISNUMBER(C85))),"Postest sin pretest (huérfano)",IF(OR(AND(ISNUMBER(C85),OR(C85&lt;Inicio!$C$18,C85&gt;Inicio!$C$19)),AND(ISNUMBER(D85),OR(D85&lt;Inicio!$C$18,D85&gt;Inicio!$C$19))),"Fuera de rango",IF(COUNTIF($A$6:$A$305,A85)&gt;1,"Código duplicado","OK")))))</f>
        <v/>
      </c>
      <c r="K85" s="2" t="n"/>
      <c r="L85" s="2" t="n"/>
      <c r="M85" s="2" t="n"/>
      <c r="N85" s="2" t="n"/>
      <c r="O85" s="2" t="n"/>
      <c r="P85" s="2" t="n"/>
      <c r="Q85" s="2" t="n"/>
      <c r="R85" s="2" t="n"/>
    </row>
    <row r="86" ht="15" customHeight="1" s="67">
      <c r="A86" s="22" t="inlineStr">
        <is>
          <t>GU-TDH-089</t>
        </is>
      </c>
      <c r="B86" s="26">
        <f t="array" ref="B86">IF(A86="","",IFERROR(IF(INDEX('2_Participantes'!$B$6:$B$305,MATCH(A86,'2_Participantes'!$A$6:$A$305,0))="","",INDEX('2_Participantes'!$B$6:$B$305,MATCH(A86,'2_Participantes'!$A$6:$A$305,0))),"No registrado"))</f>
        <v/>
      </c>
      <c r="C86" s="15" t="n">
        <v>62.5</v>
      </c>
      <c r="D86" s="15" t="n">
        <v>97.5</v>
      </c>
      <c r="E86" s="32">
        <f>IF(AND(ISNUMBER(C86),ISNUMBER(D86)),D86-C86,"")</f>
        <v/>
      </c>
      <c r="F86" s="31">
        <f t="array" ref="F86">IF(A86="","",IFERROR(IF(INDEX('2_Participantes'!$E$6:$E$305,MATCH(A86,'2_Participantes'!$A$6:$A$305,0))="","",INDEX('2_Participantes'!$E$6:$E$305,MATCH(A86,'2_Participantes'!$A$6:$A$305,0))),""))</f>
        <v/>
      </c>
      <c r="G86" s="26">
        <f t="array" ref="G86">IF(A86="","",IFERROR(IF(INDEX('2_Participantes'!$F$6:$F$305,MATCH(A86,'2_Participantes'!$A$6:$A$305,0))="","",INDEX('2_Participantes'!$F$6:$F$305,MATCH(A86,'2_Participantes'!$A$6:$A$305,0))),"No registrado"))</f>
        <v/>
      </c>
      <c r="H86" s="47">
        <f t="array" ref="H86">IF(A86="","",IFERROR(IF(INDEX('2_Participantes'!$L$6:$L$305,MATCH(A86,'2_Participantes'!$A$6:$A$305,0))="","",INDEX('2_Participantes'!$L$6:$L$305,MATCH(A86,'2_Participantes'!$A$6:$A$305,0))),""))</f>
        <v/>
      </c>
      <c r="I86" s="31">
        <f>IF(A86="","",IF(AND(ISNUMBER(C86),ISNUMBER(D86),G86&lt;&gt;"Excluido"),1,0))</f>
        <v/>
      </c>
      <c r="J86" s="48">
        <f>IF(A86="","",IF(G86="No registrado","Código ausente en 2_Participantes",IF(AND(ISNUMBER(D86),NOT(ISNUMBER(C86))),"Postest sin pretest (huérfano)",IF(OR(AND(ISNUMBER(C86),OR(C86&lt;Inicio!$C$18,C86&gt;Inicio!$C$19)),AND(ISNUMBER(D86),OR(D86&lt;Inicio!$C$18,D86&gt;Inicio!$C$19))),"Fuera de rango",IF(COUNTIF($A$6:$A$305,A86)&gt;1,"Código duplicado","OK")))))</f>
        <v/>
      </c>
      <c r="K86" s="2" t="n"/>
      <c r="L86" s="2" t="n"/>
      <c r="M86" s="2" t="n"/>
      <c r="N86" s="2" t="n"/>
      <c r="O86" s="2" t="n"/>
      <c r="P86" s="2" t="n"/>
      <c r="Q86" s="2" t="n"/>
      <c r="R86" s="2" t="n"/>
    </row>
    <row r="87" ht="15" customHeight="1" s="67">
      <c r="A87" s="22" t="inlineStr">
        <is>
          <t>GU-TDH-090</t>
        </is>
      </c>
      <c r="B87" s="26">
        <f t="array" ref="B87">IF(A87="","",IFERROR(IF(INDEX('2_Participantes'!$B$6:$B$305,MATCH(A87,'2_Participantes'!$A$6:$A$305,0))="","",INDEX('2_Participantes'!$B$6:$B$305,MATCH(A87,'2_Participantes'!$A$6:$A$305,0))),"No registrado"))</f>
        <v/>
      </c>
      <c r="C87" s="15" t="n">
        <v>62.5</v>
      </c>
      <c r="D87" s="15" t="n">
        <v>90</v>
      </c>
      <c r="E87" s="32">
        <f>IF(AND(ISNUMBER(C87),ISNUMBER(D87)),D87-C87,"")</f>
        <v/>
      </c>
      <c r="F87" s="31">
        <f t="array" ref="F87">IF(A87="","",IFERROR(IF(INDEX('2_Participantes'!$E$6:$E$305,MATCH(A87,'2_Participantes'!$A$6:$A$305,0))="","",INDEX('2_Participantes'!$E$6:$E$305,MATCH(A87,'2_Participantes'!$A$6:$A$305,0))),""))</f>
        <v/>
      </c>
      <c r="G87" s="26">
        <f t="array" ref="G87">IF(A87="","",IFERROR(IF(INDEX('2_Participantes'!$F$6:$F$305,MATCH(A87,'2_Participantes'!$A$6:$A$305,0))="","",INDEX('2_Participantes'!$F$6:$F$305,MATCH(A87,'2_Participantes'!$A$6:$A$305,0))),"No registrado"))</f>
        <v/>
      </c>
      <c r="H87" s="47">
        <f t="array" ref="H87">IF(A87="","",IFERROR(IF(INDEX('2_Participantes'!$L$6:$L$305,MATCH(A87,'2_Participantes'!$A$6:$A$305,0))="","",INDEX('2_Participantes'!$L$6:$L$305,MATCH(A87,'2_Participantes'!$A$6:$A$305,0))),""))</f>
        <v/>
      </c>
      <c r="I87" s="31">
        <f>IF(A87="","",IF(AND(ISNUMBER(C87),ISNUMBER(D87),G87&lt;&gt;"Excluido"),1,0))</f>
        <v/>
      </c>
      <c r="J87" s="48">
        <f>IF(A87="","",IF(G87="No registrado","Código ausente en 2_Participantes",IF(AND(ISNUMBER(D87),NOT(ISNUMBER(C87))),"Postest sin pretest (huérfano)",IF(OR(AND(ISNUMBER(C87),OR(C87&lt;Inicio!$C$18,C87&gt;Inicio!$C$19)),AND(ISNUMBER(D87),OR(D87&lt;Inicio!$C$18,D87&gt;Inicio!$C$19))),"Fuera de rango",IF(COUNTIF($A$6:$A$305,A87)&gt;1,"Código duplicado","OK")))))</f>
        <v/>
      </c>
      <c r="K87" s="2" t="n"/>
      <c r="L87" s="2" t="n"/>
      <c r="M87" s="2" t="n"/>
      <c r="N87" s="2" t="n"/>
      <c r="O87" s="2" t="n"/>
      <c r="P87" s="2" t="n"/>
      <c r="Q87" s="2" t="n"/>
      <c r="R87" s="2" t="n"/>
    </row>
    <row r="88" ht="15" customHeight="1" s="67">
      <c r="A88" s="22" t="inlineStr">
        <is>
          <t>GU-TDH-091</t>
        </is>
      </c>
      <c r="B88" s="26">
        <f t="array" ref="B88">IF(A88="","",IFERROR(IF(INDEX('2_Participantes'!$B$6:$B$305,MATCH(A88,'2_Participantes'!$A$6:$A$305,0))="","",INDEX('2_Participantes'!$B$6:$B$305,MATCH(A88,'2_Participantes'!$A$6:$A$305,0))),"No registrado"))</f>
        <v/>
      </c>
      <c r="C88" s="15" t="n">
        <v>52.5</v>
      </c>
      <c r="D88" s="15" t="n">
        <v>77.5</v>
      </c>
      <c r="E88" s="32">
        <f>IF(AND(ISNUMBER(C88),ISNUMBER(D88)),D88-C88,"")</f>
        <v/>
      </c>
      <c r="F88" s="31">
        <f t="array" ref="F88">IF(A88="","",IFERROR(IF(INDEX('2_Participantes'!$E$6:$E$305,MATCH(A88,'2_Participantes'!$A$6:$A$305,0))="","",INDEX('2_Participantes'!$E$6:$E$305,MATCH(A88,'2_Participantes'!$A$6:$A$305,0))),""))</f>
        <v/>
      </c>
      <c r="G88" s="26">
        <f t="array" ref="G88">IF(A88="","",IFERROR(IF(INDEX('2_Participantes'!$F$6:$F$305,MATCH(A88,'2_Participantes'!$A$6:$A$305,0))="","",INDEX('2_Participantes'!$F$6:$F$305,MATCH(A88,'2_Participantes'!$A$6:$A$305,0))),"No registrado"))</f>
        <v/>
      </c>
      <c r="H88" s="47">
        <f t="array" ref="H88">IF(A88="","",IFERROR(IF(INDEX('2_Participantes'!$L$6:$L$305,MATCH(A88,'2_Participantes'!$A$6:$A$305,0))="","",INDEX('2_Participantes'!$L$6:$L$305,MATCH(A88,'2_Participantes'!$A$6:$A$305,0))),""))</f>
        <v/>
      </c>
      <c r="I88" s="31">
        <f>IF(A88="","",IF(AND(ISNUMBER(C88),ISNUMBER(D88),G88&lt;&gt;"Excluido"),1,0))</f>
        <v/>
      </c>
      <c r="J88" s="48">
        <f>IF(A88="","",IF(G88="No registrado","Código ausente en 2_Participantes",IF(AND(ISNUMBER(D88),NOT(ISNUMBER(C88))),"Postest sin pretest (huérfano)",IF(OR(AND(ISNUMBER(C88),OR(C88&lt;Inicio!$C$18,C88&gt;Inicio!$C$19)),AND(ISNUMBER(D88),OR(D88&lt;Inicio!$C$18,D88&gt;Inicio!$C$19))),"Fuera de rango",IF(COUNTIF($A$6:$A$305,A88)&gt;1,"Código duplicado","OK")))))</f>
        <v/>
      </c>
      <c r="K88" s="2" t="n"/>
      <c r="L88" s="2" t="n"/>
      <c r="M88" s="2" t="n"/>
      <c r="N88" s="2" t="n"/>
      <c r="O88" s="2" t="n"/>
      <c r="P88" s="2" t="n"/>
      <c r="Q88" s="2" t="n"/>
      <c r="R88" s="2" t="n"/>
    </row>
    <row r="89" ht="15" customHeight="1" s="67">
      <c r="A89" s="22" t="inlineStr">
        <is>
          <t>GU-TDH-092</t>
        </is>
      </c>
      <c r="B89" s="26">
        <f t="array" ref="B89">IF(A89="","",IFERROR(IF(INDEX('2_Participantes'!$B$6:$B$305,MATCH(A89,'2_Participantes'!$A$6:$A$305,0))="","",INDEX('2_Participantes'!$B$6:$B$305,MATCH(A89,'2_Participantes'!$A$6:$A$305,0))),"No registrado"))</f>
        <v/>
      </c>
      <c r="C89" s="15" t="n">
        <v>65</v>
      </c>
      <c r="D89" s="15" t="n">
        <v>92.5</v>
      </c>
      <c r="E89" s="32">
        <f>IF(AND(ISNUMBER(C89),ISNUMBER(D89)),D89-C89,"")</f>
        <v/>
      </c>
      <c r="F89" s="31">
        <f t="array" ref="F89">IF(A89="","",IFERROR(IF(INDEX('2_Participantes'!$E$6:$E$305,MATCH(A89,'2_Participantes'!$A$6:$A$305,0))="","",INDEX('2_Participantes'!$E$6:$E$305,MATCH(A89,'2_Participantes'!$A$6:$A$305,0))),""))</f>
        <v/>
      </c>
      <c r="G89" s="26">
        <f t="array" ref="G89">IF(A89="","",IFERROR(IF(INDEX('2_Participantes'!$F$6:$F$305,MATCH(A89,'2_Participantes'!$A$6:$A$305,0))="","",INDEX('2_Participantes'!$F$6:$F$305,MATCH(A89,'2_Participantes'!$A$6:$A$305,0))),"No registrado"))</f>
        <v/>
      </c>
      <c r="H89" s="47">
        <f t="array" ref="H89">IF(A89="","",IFERROR(IF(INDEX('2_Participantes'!$L$6:$L$305,MATCH(A89,'2_Participantes'!$A$6:$A$305,0))="","",INDEX('2_Participantes'!$L$6:$L$305,MATCH(A89,'2_Participantes'!$A$6:$A$305,0))),""))</f>
        <v/>
      </c>
      <c r="I89" s="31">
        <f>IF(A89="","",IF(AND(ISNUMBER(C89),ISNUMBER(D89),G89&lt;&gt;"Excluido"),1,0))</f>
        <v/>
      </c>
      <c r="J89" s="48">
        <f>IF(A89="","",IF(G89="No registrado","Código ausente en 2_Participantes",IF(AND(ISNUMBER(D89),NOT(ISNUMBER(C89))),"Postest sin pretest (huérfano)",IF(OR(AND(ISNUMBER(C89),OR(C89&lt;Inicio!$C$18,C89&gt;Inicio!$C$19)),AND(ISNUMBER(D89),OR(D89&lt;Inicio!$C$18,D89&gt;Inicio!$C$19))),"Fuera de rango",IF(COUNTIF($A$6:$A$305,A89)&gt;1,"Código duplicado","OK")))))</f>
        <v/>
      </c>
      <c r="K89" s="2" t="n"/>
      <c r="L89" s="2" t="n"/>
      <c r="M89" s="2" t="n"/>
      <c r="N89" s="2" t="n"/>
      <c r="O89" s="2" t="n"/>
      <c r="P89" s="2" t="n"/>
      <c r="Q89" s="2" t="n"/>
      <c r="R89" s="2" t="n"/>
    </row>
    <row r="90" ht="15" customHeight="1" s="67">
      <c r="A90" s="22" t="inlineStr">
        <is>
          <t>GU-TDH-093</t>
        </is>
      </c>
      <c r="B90" s="26">
        <f t="array" ref="B90">IF(A90="","",IFERROR(IF(INDEX('2_Participantes'!$B$6:$B$305,MATCH(A90,'2_Participantes'!$A$6:$A$305,0))="","",INDEX('2_Participantes'!$B$6:$B$305,MATCH(A90,'2_Participantes'!$A$6:$A$305,0))),"No registrado"))</f>
        <v/>
      </c>
      <c r="C90" s="15" t="n">
        <v>42.5</v>
      </c>
      <c r="D90" s="15" t="n">
        <v>75</v>
      </c>
      <c r="E90" s="32">
        <f>IF(AND(ISNUMBER(C90),ISNUMBER(D90)),D90-C90,"")</f>
        <v/>
      </c>
      <c r="F90" s="31">
        <f t="array" ref="F90">IF(A90="","",IFERROR(IF(INDEX('2_Participantes'!$E$6:$E$305,MATCH(A90,'2_Participantes'!$A$6:$A$305,0))="","",INDEX('2_Participantes'!$E$6:$E$305,MATCH(A90,'2_Participantes'!$A$6:$A$305,0))),""))</f>
        <v/>
      </c>
      <c r="G90" s="26">
        <f t="array" ref="G90">IF(A90="","",IFERROR(IF(INDEX('2_Participantes'!$F$6:$F$305,MATCH(A90,'2_Participantes'!$A$6:$A$305,0))="","",INDEX('2_Participantes'!$F$6:$F$305,MATCH(A90,'2_Participantes'!$A$6:$A$305,0))),"No registrado"))</f>
        <v/>
      </c>
      <c r="H90" s="47">
        <f t="array" ref="H90">IF(A90="","",IFERROR(IF(INDEX('2_Participantes'!$L$6:$L$305,MATCH(A90,'2_Participantes'!$A$6:$A$305,0))="","",INDEX('2_Participantes'!$L$6:$L$305,MATCH(A90,'2_Participantes'!$A$6:$A$305,0))),""))</f>
        <v/>
      </c>
      <c r="I90" s="31">
        <f>IF(A90="","",IF(AND(ISNUMBER(C90),ISNUMBER(D90),G90&lt;&gt;"Excluido"),1,0))</f>
        <v/>
      </c>
      <c r="J90" s="48">
        <f>IF(A90="","",IF(G90="No registrado","Código ausente en 2_Participantes",IF(AND(ISNUMBER(D90),NOT(ISNUMBER(C90))),"Postest sin pretest (huérfano)",IF(OR(AND(ISNUMBER(C90),OR(C90&lt;Inicio!$C$18,C90&gt;Inicio!$C$19)),AND(ISNUMBER(D90),OR(D90&lt;Inicio!$C$18,D90&gt;Inicio!$C$19))),"Fuera de rango",IF(COUNTIF($A$6:$A$305,A90)&gt;1,"Código duplicado","OK")))))</f>
        <v/>
      </c>
      <c r="K90" s="2" t="n"/>
      <c r="L90" s="2" t="n"/>
      <c r="M90" s="2" t="n"/>
      <c r="N90" s="2" t="n"/>
      <c r="O90" s="2" t="n"/>
      <c r="P90" s="2" t="n"/>
      <c r="Q90" s="2" t="n"/>
      <c r="R90" s="2" t="n"/>
    </row>
    <row r="91" ht="15" customHeight="1" s="67">
      <c r="A91" s="22" t="n"/>
      <c r="B91" s="26">
        <f t="array" ref="B91">IF(A91="","",IFERROR(IF(INDEX('2_Participantes'!$B$6:$B$305,MATCH(A91,'2_Participantes'!$A$6:$A$305,0))="","",INDEX('2_Participantes'!$B$6:$B$305,MATCH(A91,'2_Participantes'!$A$6:$A$305,0))),"No registrado"))</f>
        <v/>
      </c>
      <c r="C91" s="15" t="n"/>
      <c r="D91" s="15" t="n"/>
      <c r="E91" s="32">
        <f>IF(AND(ISNUMBER(C91),ISNUMBER(D91)),D91-C91,"")</f>
        <v/>
      </c>
      <c r="F91" s="31">
        <f t="array" ref="F91">IF(A91="","",IFERROR(IF(INDEX('2_Participantes'!$E$6:$E$305,MATCH(A91,'2_Participantes'!$A$6:$A$305,0))="","",INDEX('2_Participantes'!$E$6:$E$305,MATCH(A91,'2_Participantes'!$A$6:$A$305,0))),""))</f>
        <v/>
      </c>
      <c r="G91" s="26">
        <f t="array" ref="G91">IF(A91="","",IFERROR(IF(INDEX('2_Participantes'!$F$6:$F$305,MATCH(A91,'2_Participantes'!$A$6:$A$305,0))="","",INDEX('2_Participantes'!$F$6:$F$305,MATCH(A91,'2_Participantes'!$A$6:$A$305,0))),"No registrado"))</f>
        <v/>
      </c>
      <c r="H91" s="47">
        <f t="array" ref="H91">IF(A91="","",IFERROR(IF(INDEX('2_Participantes'!$L$6:$L$305,MATCH(A91,'2_Participantes'!$A$6:$A$305,0))="","",INDEX('2_Participantes'!$L$6:$L$305,MATCH(A91,'2_Participantes'!$A$6:$A$305,0))),""))</f>
        <v/>
      </c>
      <c r="I91" s="31">
        <f>IF(A91="","",IF(AND(ISNUMBER(C91),ISNUMBER(D91),G91&lt;&gt;"Excluido"),1,0))</f>
        <v/>
      </c>
      <c r="J91" s="48">
        <f>IF(A91="","",IF(G91="No registrado","Código ausente en 2_Participantes",IF(AND(ISNUMBER(D91),NOT(ISNUMBER(C91))),"Postest sin pretest (huérfano)",IF(OR(AND(ISNUMBER(C91),OR(C91&lt;Inicio!$C$18,C91&gt;Inicio!$C$19)),AND(ISNUMBER(D91),OR(D91&lt;Inicio!$C$18,D91&gt;Inicio!$C$19))),"Fuera de rango",IF(COUNTIF($A$6:$A$305,A91)&gt;1,"Código duplicado","OK")))))</f>
        <v/>
      </c>
      <c r="K91" s="2" t="n"/>
      <c r="L91" s="2" t="n"/>
      <c r="M91" s="2" t="n"/>
      <c r="N91" s="2" t="n"/>
      <c r="O91" s="2" t="n"/>
      <c r="P91" s="2" t="n"/>
      <c r="Q91" s="2" t="n"/>
      <c r="R91" s="2" t="n"/>
    </row>
    <row r="92" ht="15" customHeight="1" s="67">
      <c r="A92" s="22" t="inlineStr">
        <is>
          <t>GU-TDH-095</t>
        </is>
      </c>
      <c r="B92" s="26">
        <f t="array" ref="B92">IF(A92="","",IFERROR(IF(INDEX('2_Participantes'!$B$6:$B$305,MATCH(A92,'2_Participantes'!$A$6:$A$305,0))="","",INDEX('2_Participantes'!$B$6:$B$305,MATCH(A92,'2_Participantes'!$A$6:$A$305,0))),"No registrado"))</f>
        <v/>
      </c>
      <c r="C92" s="15" t="n">
        <v>72.5</v>
      </c>
      <c r="D92" s="15" t="n">
        <v>90</v>
      </c>
      <c r="E92" s="32">
        <f>IF(AND(ISNUMBER(C92),ISNUMBER(D92)),D92-C92,"")</f>
        <v/>
      </c>
      <c r="F92" s="31">
        <f t="array" ref="F92">IF(A92="","",IFERROR(IF(INDEX('2_Participantes'!$E$6:$E$305,MATCH(A92,'2_Participantes'!$A$6:$A$305,0))="","",INDEX('2_Participantes'!$E$6:$E$305,MATCH(A92,'2_Participantes'!$A$6:$A$305,0))),""))</f>
        <v/>
      </c>
      <c r="G92" s="26">
        <f t="array" ref="G92">IF(A92="","",IFERROR(IF(INDEX('2_Participantes'!$F$6:$F$305,MATCH(A92,'2_Participantes'!$A$6:$A$305,0))="","",INDEX('2_Participantes'!$F$6:$F$305,MATCH(A92,'2_Participantes'!$A$6:$A$305,0))),"No registrado"))</f>
        <v/>
      </c>
      <c r="H92" s="47">
        <f t="array" ref="H92">IF(A92="","",IFERROR(IF(INDEX('2_Participantes'!$L$6:$L$305,MATCH(A92,'2_Participantes'!$A$6:$A$305,0))="","",INDEX('2_Participantes'!$L$6:$L$305,MATCH(A92,'2_Participantes'!$A$6:$A$305,0))),""))</f>
        <v/>
      </c>
      <c r="I92" s="31">
        <f>IF(A92="","",IF(AND(ISNUMBER(C92),ISNUMBER(D92),G92&lt;&gt;"Excluido"),1,0))</f>
        <v/>
      </c>
      <c r="J92" s="48">
        <f>IF(A92="","",IF(G92="No registrado","Código ausente en 2_Participantes",IF(AND(ISNUMBER(D92),NOT(ISNUMBER(C92))),"Postest sin pretest (huérfano)",IF(OR(AND(ISNUMBER(C92),OR(C92&lt;Inicio!$C$18,C92&gt;Inicio!$C$19)),AND(ISNUMBER(D92),OR(D92&lt;Inicio!$C$18,D92&gt;Inicio!$C$19))),"Fuera de rango",IF(COUNTIF($A$6:$A$305,A92)&gt;1,"Código duplicado","OK")))))</f>
        <v/>
      </c>
      <c r="K92" s="2" t="n"/>
      <c r="L92" s="2" t="n"/>
      <c r="M92" s="2" t="n"/>
      <c r="N92" s="2" t="n"/>
      <c r="O92" s="2" t="n"/>
      <c r="P92" s="2" t="n"/>
      <c r="Q92" s="2" t="n"/>
      <c r="R92" s="2" t="n"/>
    </row>
    <row r="93" ht="15" customHeight="1" s="67">
      <c r="A93" s="22" t="inlineStr">
        <is>
          <t>GU-TDH-097</t>
        </is>
      </c>
      <c r="B93" s="26">
        <f t="array" ref="B93">IF(A93="","",IFERROR(IF(INDEX('2_Participantes'!$B$6:$B$305,MATCH(A93,'2_Participantes'!$A$6:$A$305,0))="","",INDEX('2_Participantes'!$B$6:$B$305,MATCH(A93,'2_Participantes'!$A$6:$A$305,0))),"No registrado"))</f>
        <v/>
      </c>
      <c r="C93" s="15" t="n">
        <v>47.5</v>
      </c>
      <c r="D93" s="15" t="n">
        <v>75</v>
      </c>
      <c r="E93" s="32">
        <f>IF(AND(ISNUMBER(C93),ISNUMBER(D93)),D93-C93,"")</f>
        <v/>
      </c>
      <c r="F93" s="31">
        <f t="array" ref="F93">IF(A93="","",IFERROR(IF(INDEX('2_Participantes'!$E$6:$E$305,MATCH(A93,'2_Participantes'!$A$6:$A$305,0))="","",INDEX('2_Participantes'!$E$6:$E$305,MATCH(A93,'2_Participantes'!$A$6:$A$305,0))),""))</f>
        <v/>
      </c>
      <c r="G93" s="26">
        <f t="array" ref="G93">IF(A93="","",IFERROR(IF(INDEX('2_Participantes'!$F$6:$F$305,MATCH(A93,'2_Participantes'!$A$6:$A$305,0))="","",INDEX('2_Participantes'!$F$6:$F$305,MATCH(A93,'2_Participantes'!$A$6:$A$305,0))),"No registrado"))</f>
        <v/>
      </c>
      <c r="H93" s="47">
        <f t="array" ref="H93">IF(A93="","",IFERROR(IF(INDEX('2_Participantes'!$L$6:$L$305,MATCH(A93,'2_Participantes'!$A$6:$A$305,0))="","",INDEX('2_Participantes'!$L$6:$L$305,MATCH(A93,'2_Participantes'!$A$6:$A$305,0))),""))</f>
        <v/>
      </c>
      <c r="I93" s="31">
        <f>IF(A93="","",IF(AND(ISNUMBER(C93),ISNUMBER(D93),G93&lt;&gt;"Excluido"),1,0))</f>
        <v/>
      </c>
      <c r="J93" s="48">
        <f>IF(A93="","",IF(G93="No registrado","Código ausente en 2_Participantes",IF(AND(ISNUMBER(D93),NOT(ISNUMBER(C93))),"Postest sin pretest (huérfano)",IF(OR(AND(ISNUMBER(C93),OR(C93&lt;Inicio!$C$18,C93&gt;Inicio!$C$19)),AND(ISNUMBER(D93),OR(D93&lt;Inicio!$C$18,D93&gt;Inicio!$C$19))),"Fuera de rango",IF(COUNTIF($A$6:$A$305,A93)&gt;1,"Código duplicado","OK")))))</f>
        <v/>
      </c>
      <c r="K93" s="2" t="n"/>
      <c r="L93" s="2" t="n"/>
      <c r="M93" s="2" t="n"/>
      <c r="N93" s="2" t="n"/>
      <c r="O93" s="2" t="n"/>
      <c r="P93" s="2" t="n"/>
      <c r="Q93" s="2" t="n"/>
      <c r="R93" s="2" t="n"/>
    </row>
    <row r="94" ht="15" customHeight="1" s="67">
      <c r="A94" s="22" t="inlineStr">
        <is>
          <t>GU-TDH-098</t>
        </is>
      </c>
      <c r="B94" s="26">
        <f t="array" ref="B94">IF(A94="","",IFERROR(IF(INDEX('2_Participantes'!$B$6:$B$305,MATCH(A94,'2_Participantes'!$A$6:$A$305,0))="","",INDEX('2_Participantes'!$B$6:$B$305,MATCH(A94,'2_Participantes'!$A$6:$A$305,0))),"No registrado"))</f>
        <v/>
      </c>
      <c r="C94" s="15" t="n">
        <v>45</v>
      </c>
      <c r="D94" s="15" t="n">
        <v>50</v>
      </c>
      <c r="E94" s="32">
        <f>IF(AND(ISNUMBER(C94),ISNUMBER(D94)),D94-C94,"")</f>
        <v/>
      </c>
      <c r="F94" s="31">
        <f t="array" ref="F94">IF(A94="","",IFERROR(IF(INDEX('2_Participantes'!$E$6:$E$305,MATCH(A94,'2_Participantes'!$A$6:$A$305,0))="","",INDEX('2_Participantes'!$E$6:$E$305,MATCH(A94,'2_Participantes'!$A$6:$A$305,0))),""))</f>
        <v/>
      </c>
      <c r="G94" s="26">
        <f t="array" ref="G94">IF(A94="","",IFERROR(IF(INDEX('2_Participantes'!$F$6:$F$305,MATCH(A94,'2_Participantes'!$A$6:$A$305,0))="","",INDEX('2_Participantes'!$F$6:$F$305,MATCH(A94,'2_Participantes'!$A$6:$A$305,0))),"No registrado"))</f>
        <v/>
      </c>
      <c r="H94" s="47">
        <f t="array" ref="H94">IF(A94="","",IFERROR(IF(INDEX('2_Participantes'!$L$6:$L$305,MATCH(A94,'2_Participantes'!$A$6:$A$305,0))="","",INDEX('2_Participantes'!$L$6:$L$305,MATCH(A94,'2_Participantes'!$A$6:$A$305,0))),""))</f>
        <v/>
      </c>
      <c r="I94" s="31">
        <f>IF(A94="","",IF(AND(ISNUMBER(C94),ISNUMBER(D94),G94&lt;&gt;"Excluido"),1,0))</f>
        <v/>
      </c>
      <c r="J94" s="48">
        <f>IF(A94="","",IF(G94="No registrado","Código ausente en 2_Participantes",IF(AND(ISNUMBER(D94),NOT(ISNUMBER(C94))),"Postest sin pretest (huérfano)",IF(OR(AND(ISNUMBER(C94),OR(C94&lt;Inicio!$C$18,C94&gt;Inicio!$C$19)),AND(ISNUMBER(D94),OR(D94&lt;Inicio!$C$18,D94&gt;Inicio!$C$19))),"Fuera de rango",IF(COUNTIF($A$6:$A$305,A94)&gt;1,"Código duplicado","OK")))))</f>
        <v/>
      </c>
      <c r="K94" s="2" t="n"/>
      <c r="L94" s="2" t="n"/>
      <c r="M94" s="2" t="n"/>
      <c r="N94" s="2" t="n"/>
      <c r="O94" s="2" t="n"/>
      <c r="P94" s="2" t="n"/>
      <c r="Q94" s="2" t="n"/>
      <c r="R94" s="2" t="n"/>
    </row>
    <row r="95" ht="15" customHeight="1" s="67">
      <c r="A95" s="22" t="inlineStr">
        <is>
          <t>GU-TDH-099</t>
        </is>
      </c>
      <c r="B95" s="26">
        <f t="array" ref="B95">IF(A95="","",IFERROR(IF(INDEX('2_Participantes'!$B$6:$B$305,MATCH(A95,'2_Participantes'!$A$6:$A$305,0))="","",INDEX('2_Participantes'!$B$6:$B$305,MATCH(A95,'2_Participantes'!$A$6:$A$305,0))),"No registrado"))</f>
        <v/>
      </c>
      <c r="C95" s="15" t="n">
        <v>50</v>
      </c>
      <c r="D95" s="15" t="n">
        <v>55</v>
      </c>
      <c r="E95" s="32">
        <f>IF(AND(ISNUMBER(C95),ISNUMBER(D95)),D95-C95,"")</f>
        <v/>
      </c>
      <c r="F95" s="31">
        <f t="array" ref="F95">IF(A95="","",IFERROR(IF(INDEX('2_Participantes'!$E$6:$E$305,MATCH(A95,'2_Participantes'!$A$6:$A$305,0))="","",INDEX('2_Participantes'!$E$6:$E$305,MATCH(A95,'2_Participantes'!$A$6:$A$305,0))),""))</f>
        <v/>
      </c>
      <c r="G95" s="26">
        <f t="array" ref="G95">IF(A95="","",IFERROR(IF(INDEX('2_Participantes'!$F$6:$F$305,MATCH(A95,'2_Participantes'!$A$6:$A$305,0))="","",INDEX('2_Participantes'!$F$6:$F$305,MATCH(A95,'2_Participantes'!$A$6:$A$305,0))),"No registrado"))</f>
        <v/>
      </c>
      <c r="H95" s="47">
        <f t="array" ref="H95">IF(A95="","",IFERROR(IF(INDEX('2_Participantes'!$L$6:$L$305,MATCH(A95,'2_Participantes'!$A$6:$A$305,0))="","",INDEX('2_Participantes'!$L$6:$L$305,MATCH(A95,'2_Participantes'!$A$6:$A$305,0))),""))</f>
        <v/>
      </c>
      <c r="I95" s="31">
        <f>IF(A95="","",IF(AND(ISNUMBER(C95),ISNUMBER(D95),G95&lt;&gt;"Excluido"),1,0))</f>
        <v/>
      </c>
      <c r="J95" s="48">
        <f>IF(A95="","",IF(G95="No registrado","Código ausente en 2_Participantes",IF(AND(ISNUMBER(D95),NOT(ISNUMBER(C95))),"Postest sin pretest (huérfano)",IF(OR(AND(ISNUMBER(C95),OR(C95&lt;Inicio!$C$18,C95&gt;Inicio!$C$19)),AND(ISNUMBER(D95),OR(D95&lt;Inicio!$C$18,D95&gt;Inicio!$C$19))),"Fuera de rango",IF(COUNTIF($A$6:$A$305,A95)&gt;1,"Código duplicado","OK")))))</f>
        <v/>
      </c>
      <c r="K95" s="2" t="n"/>
      <c r="L95" s="2" t="n"/>
      <c r="M95" s="2" t="n"/>
      <c r="N95" s="2" t="n"/>
      <c r="O95" s="2" t="n"/>
      <c r="P95" s="2" t="n"/>
      <c r="Q95" s="2" t="n"/>
      <c r="R95" s="2" t="n"/>
    </row>
    <row r="96" ht="15" customHeight="1" s="67">
      <c r="A96" s="22" t="inlineStr">
        <is>
          <t>GU-TDH-100</t>
        </is>
      </c>
      <c r="B96" s="26">
        <f t="array" ref="B96">IF(A96="","",IFERROR(IF(INDEX('2_Participantes'!$B$6:$B$305,MATCH(A96,'2_Participantes'!$A$6:$A$305,0))="","",INDEX('2_Participantes'!$B$6:$B$305,MATCH(A96,'2_Participantes'!$A$6:$A$305,0))),"No registrado"))</f>
        <v/>
      </c>
      <c r="C96" s="15" t="n">
        <v>60</v>
      </c>
      <c r="D96" s="15" t="n">
        <v>80</v>
      </c>
      <c r="E96" s="32">
        <f>IF(AND(ISNUMBER(C96),ISNUMBER(D96)),D96-C96,"")</f>
        <v/>
      </c>
      <c r="F96" s="31">
        <f t="array" ref="F96">IF(A96="","",IFERROR(IF(INDEX('2_Participantes'!$E$6:$E$305,MATCH(A96,'2_Participantes'!$A$6:$A$305,0))="","",INDEX('2_Participantes'!$E$6:$E$305,MATCH(A96,'2_Participantes'!$A$6:$A$305,0))),""))</f>
        <v/>
      </c>
      <c r="G96" s="26">
        <f t="array" ref="G96">IF(A96="","",IFERROR(IF(INDEX('2_Participantes'!$F$6:$F$305,MATCH(A96,'2_Participantes'!$A$6:$A$305,0))="","",INDEX('2_Participantes'!$F$6:$F$305,MATCH(A96,'2_Participantes'!$A$6:$A$305,0))),"No registrado"))</f>
        <v/>
      </c>
      <c r="H96" s="47">
        <f t="array" ref="H96">IF(A96="","",IFERROR(IF(INDEX('2_Participantes'!$L$6:$L$305,MATCH(A96,'2_Participantes'!$A$6:$A$305,0))="","",INDEX('2_Participantes'!$L$6:$L$305,MATCH(A96,'2_Participantes'!$A$6:$A$305,0))),""))</f>
        <v/>
      </c>
      <c r="I96" s="31">
        <f>IF(A96="","",IF(AND(ISNUMBER(C96),ISNUMBER(D96),G96&lt;&gt;"Excluido"),1,0))</f>
        <v/>
      </c>
      <c r="J96" s="48">
        <f>IF(A96="","",IF(G96="No registrado","Código ausente en 2_Participantes",IF(AND(ISNUMBER(D96),NOT(ISNUMBER(C96))),"Postest sin pretest (huérfano)",IF(OR(AND(ISNUMBER(C96),OR(C96&lt;Inicio!$C$18,C96&gt;Inicio!$C$19)),AND(ISNUMBER(D96),OR(D96&lt;Inicio!$C$18,D96&gt;Inicio!$C$19))),"Fuera de rango",IF(COUNTIF($A$6:$A$305,A96)&gt;1,"Código duplicado","OK")))))</f>
        <v/>
      </c>
      <c r="K96" s="2" t="n"/>
      <c r="L96" s="2" t="n"/>
      <c r="M96" s="2" t="n"/>
      <c r="N96" s="2" t="n"/>
      <c r="O96" s="2" t="n"/>
      <c r="P96" s="2" t="n"/>
      <c r="Q96" s="2" t="n"/>
      <c r="R96" s="2" t="n"/>
    </row>
    <row r="97" ht="15" customHeight="1" s="67">
      <c r="A97" s="22" t="inlineStr">
        <is>
          <t>GU-TDH-101</t>
        </is>
      </c>
      <c r="B97" s="26">
        <f t="array" ref="B97">IF(A97="","",IFERROR(IF(INDEX('2_Participantes'!$B$6:$B$305,MATCH(A97,'2_Participantes'!$A$6:$A$305,0))="","",INDEX('2_Participantes'!$B$6:$B$305,MATCH(A97,'2_Participantes'!$A$6:$A$305,0))),"No registrado"))</f>
        <v/>
      </c>
      <c r="C97" s="15" t="n">
        <v>47.5</v>
      </c>
      <c r="D97" s="15" t="n">
        <v>75</v>
      </c>
      <c r="E97" s="32">
        <f>IF(AND(ISNUMBER(C97),ISNUMBER(D97)),D97-C97,"")</f>
        <v/>
      </c>
      <c r="F97" s="31">
        <f t="array" ref="F97">IF(A97="","",IFERROR(IF(INDEX('2_Participantes'!$E$6:$E$305,MATCH(A97,'2_Participantes'!$A$6:$A$305,0))="","",INDEX('2_Participantes'!$E$6:$E$305,MATCH(A97,'2_Participantes'!$A$6:$A$305,0))),""))</f>
        <v/>
      </c>
      <c r="G97" s="26">
        <f t="array" ref="G97">IF(A97="","",IFERROR(IF(INDEX('2_Participantes'!$F$6:$F$305,MATCH(A97,'2_Participantes'!$A$6:$A$305,0))="","",INDEX('2_Participantes'!$F$6:$F$305,MATCH(A97,'2_Participantes'!$A$6:$A$305,0))),"No registrado"))</f>
        <v/>
      </c>
      <c r="H97" s="47">
        <f t="array" ref="H97">IF(A97="","",IFERROR(IF(INDEX('2_Participantes'!$L$6:$L$305,MATCH(A97,'2_Participantes'!$A$6:$A$305,0))="","",INDEX('2_Participantes'!$L$6:$L$305,MATCH(A97,'2_Participantes'!$A$6:$A$305,0))),""))</f>
        <v/>
      </c>
      <c r="I97" s="31">
        <f>IF(A97="","",IF(AND(ISNUMBER(C97),ISNUMBER(D97),G97&lt;&gt;"Excluido"),1,0))</f>
        <v/>
      </c>
      <c r="J97" s="48">
        <f>IF(A97="","",IF(G97="No registrado","Código ausente en 2_Participantes",IF(AND(ISNUMBER(D97),NOT(ISNUMBER(C97))),"Postest sin pretest (huérfano)",IF(OR(AND(ISNUMBER(C97),OR(C97&lt;Inicio!$C$18,C97&gt;Inicio!$C$19)),AND(ISNUMBER(D97),OR(D97&lt;Inicio!$C$18,D97&gt;Inicio!$C$19))),"Fuera de rango",IF(COUNTIF($A$6:$A$305,A97)&gt;1,"Código duplicado","OK")))))</f>
        <v/>
      </c>
      <c r="K97" s="2" t="n"/>
      <c r="L97" s="2" t="n"/>
      <c r="M97" s="2" t="n"/>
      <c r="N97" s="2" t="n"/>
      <c r="O97" s="2" t="n"/>
      <c r="P97" s="2" t="n"/>
      <c r="Q97" s="2" t="n"/>
      <c r="R97" s="2" t="n"/>
    </row>
    <row r="98" ht="15" customHeight="1" s="67">
      <c r="A98" s="22" t="inlineStr">
        <is>
          <t>GU-TDH-102</t>
        </is>
      </c>
      <c r="B98" s="26">
        <f t="array" ref="B98">IF(A98="","",IFERROR(IF(INDEX('2_Participantes'!$B$6:$B$305,MATCH(A98,'2_Participantes'!$A$6:$A$305,0))="","",INDEX('2_Participantes'!$B$6:$B$305,MATCH(A98,'2_Participantes'!$A$6:$A$305,0))),"No registrado"))</f>
        <v/>
      </c>
      <c r="C98" s="15" t="n">
        <v>67.5</v>
      </c>
      <c r="D98" s="15" t="n">
        <v>92.5</v>
      </c>
      <c r="E98" s="32">
        <f>IF(AND(ISNUMBER(C98),ISNUMBER(D98)),D98-C98,"")</f>
        <v/>
      </c>
      <c r="F98" s="31">
        <f t="array" ref="F98">IF(A98="","",IFERROR(IF(INDEX('2_Participantes'!$E$6:$E$305,MATCH(A98,'2_Participantes'!$A$6:$A$305,0))="","",INDEX('2_Participantes'!$E$6:$E$305,MATCH(A98,'2_Participantes'!$A$6:$A$305,0))),""))</f>
        <v/>
      </c>
      <c r="G98" s="26">
        <f t="array" ref="G98">IF(A98="","",IFERROR(IF(INDEX('2_Participantes'!$F$6:$F$305,MATCH(A98,'2_Participantes'!$A$6:$A$305,0))="","",INDEX('2_Participantes'!$F$6:$F$305,MATCH(A98,'2_Participantes'!$A$6:$A$305,0))),"No registrado"))</f>
        <v/>
      </c>
      <c r="H98" s="47">
        <f t="array" ref="H98">IF(A98="","",IFERROR(IF(INDEX('2_Participantes'!$L$6:$L$305,MATCH(A98,'2_Participantes'!$A$6:$A$305,0))="","",INDEX('2_Participantes'!$L$6:$L$305,MATCH(A98,'2_Participantes'!$A$6:$A$305,0))),""))</f>
        <v/>
      </c>
      <c r="I98" s="31">
        <f>IF(A98="","",IF(AND(ISNUMBER(C98),ISNUMBER(D98),G98&lt;&gt;"Excluido"),1,0))</f>
        <v/>
      </c>
      <c r="J98" s="48">
        <f>IF(A98="","",IF(G98="No registrado","Código ausente en 2_Participantes",IF(AND(ISNUMBER(D98),NOT(ISNUMBER(C98))),"Postest sin pretest (huérfano)",IF(OR(AND(ISNUMBER(C98),OR(C98&lt;Inicio!$C$18,C98&gt;Inicio!$C$19)),AND(ISNUMBER(D98),OR(D98&lt;Inicio!$C$18,D98&gt;Inicio!$C$19))),"Fuera de rango",IF(COUNTIF($A$6:$A$305,A98)&gt;1,"Código duplicado","OK")))))</f>
        <v/>
      </c>
      <c r="K98" s="2" t="n"/>
      <c r="L98" s="2" t="n"/>
      <c r="M98" s="2" t="n"/>
      <c r="N98" s="2" t="n"/>
      <c r="O98" s="2" t="n"/>
      <c r="P98" s="2" t="n"/>
      <c r="Q98" s="2" t="n"/>
      <c r="R98" s="2" t="n"/>
    </row>
    <row r="99" ht="15" customHeight="1" s="67">
      <c r="A99" s="22" t="inlineStr">
        <is>
          <t>GU-TDH-103</t>
        </is>
      </c>
      <c r="B99" s="26">
        <f t="array" ref="B99">IF(A99="","",IFERROR(IF(INDEX('2_Participantes'!$B$6:$B$305,MATCH(A99,'2_Participantes'!$A$6:$A$305,0))="","",INDEX('2_Participantes'!$B$6:$B$305,MATCH(A99,'2_Participantes'!$A$6:$A$305,0))),"No registrado"))</f>
        <v/>
      </c>
      <c r="C99" s="15" t="n">
        <v>55</v>
      </c>
      <c r="D99" s="15" t="n">
        <v>77.5</v>
      </c>
      <c r="E99" s="32">
        <f>IF(AND(ISNUMBER(C99),ISNUMBER(D99)),D99-C99,"")</f>
        <v/>
      </c>
      <c r="F99" s="31">
        <f t="array" ref="F99">IF(A99="","",IFERROR(IF(INDEX('2_Participantes'!$E$6:$E$305,MATCH(A99,'2_Participantes'!$A$6:$A$305,0))="","",INDEX('2_Participantes'!$E$6:$E$305,MATCH(A99,'2_Participantes'!$A$6:$A$305,0))),""))</f>
        <v/>
      </c>
      <c r="G99" s="26">
        <f t="array" ref="G99">IF(A99="","",IFERROR(IF(INDEX('2_Participantes'!$F$6:$F$305,MATCH(A99,'2_Participantes'!$A$6:$A$305,0))="","",INDEX('2_Participantes'!$F$6:$F$305,MATCH(A99,'2_Participantes'!$A$6:$A$305,0))),"No registrado"))</f>
        <v/>
      </c>
      <c r="H99" s="47">
        <f t="array" ref="H99">IF(A99="","",IFERROR(IF(INDEX('2_Participantes'!$L$6:$L$305,MATCH(A99,'2_Participantes'!$A$6:$A$305,0))="","",INDEX('2_Participantes'!$L$6:$L$305,MATCH(A99,'2_Participantes'!$A$6:$A$305,0))),""))</f>
        <v/>
      </c>
      <c r="I99" s="31">
        <f>IF(A99="","",IF(AND(ISNUMBER(C99),ISNUMBER(D99),G99&lt;&gt;"Excluido"),1,0))</f>
        <v/>
      </c>
      <c r="J99" s="48">
        <f>IF(A99="","",IF(G99="No registrado","Código ausente en 2_Participantes",IF(AND(ISNUMBER(D99),NOT(ISNUMBER(C99))),"Postest sin pretest (huérfano)",IF(OR(AND(ISNUMBER(C99),OR(C99&lt;Inicio!$C$18,C99&gt;Inicio!$C$19)),AND(ISNUMBER(D99),OR(D99&lt;Inicio!$C$18,D99&gt;Inicio!$C$19))),"Fuera de rango",IF(COUNTIF($A$6:$A$305,A99)&gt;1,"Código duplicado","OK")))))</f>
        <v/>
      </c>
      <c r="K99" s="2" t="n"/>
      <c r="L99" s="2" t="n"/>
      <c r="M99" s="2" t="n"/>
      <c r="N99" s="2" t="n"/>
      <c r="O99" s="2" t="n"/>
      <c r="P99" s="2" t="n"/>
      <c r="Q99" s="2" t="n"/>
      <c r="R99" s="2" t="n"/>
    </row>
    <row r="100" ht="15" customHeight="1" s="67">
      <c r="A100" s="22" t="inlineStr">
        <is>
          <t>GU-TDH-104</t>
        </is>
      </c>
      <c r="B100" s="26">
        <f t="array" ref="B100">IF(A100="","",IFERROR(IF(INDEX('2_Participantes'!$B$6:$B$305,MATCH(A100,'2_Participantes'!$A$6:$A$305,0))="","",INDEX('2_Participantes'!$B$6:$B$305,MATCH(A100,'2_Participantes'!$A$6:$A$305,0))),"No registrado"))</f>
        <v/>
      </c>
      <c r="C100" s="15" t="n">
        <v>35</v>
      </c>
      <c r="D100" s="15" t="n">
        <v>60</v>
      </c>
      <c r="E100" s="32">
        <f>IF(AND(ISNUMBER(C100),ISNUMBER(D100)),D100-C100,"")</f>
        <v/>
      </c>
      <c r="F100" s="31">
        <f t="array" ref="F100">IF(A100="","",IFERROR(IF(INDEX('2_Participantes'!$E$6:$E$305,MATCH(A100,'2_Participantes'!$A$6:$A$305,0))="","",INDEX('2_Participantes'!$E$6:$E$305,MATCH(A100,'2_Participantes'!$A$6:$A$305,0))),""))</f>
        <v/>
      </c>
      <c r="G100" s="26">
        <f t="array" ref="G100">IF(A100="","",IFERROR(IF(INDEX('2_Participantes'!$F$6:$F$305,MATCH(A100,'2_Participantes'!$A$6:$A$305,0))="","",INDEX('2_Participantes'!$F$6:$F$305,MATCH(A100,'2_Participantes'!$A$6:$A$305,0))),"No registrado"))</f>
        <v/>
      </c>
      <c r="H100" s="47">
        <f t="array" ref="H100">IF(A100="","",IFERROR(IF(INDEX('2_Participantes'!$L$6:$L$305,MATCH(A100,'2_Participantes'!$A$6:$A$305,0))="","",INDEX('2_Participantes'!$L$6:$L$305,MATCH(A100,'2_Participantes'!$A$6:$A$305,0))),""))</f>
        <v/>
      </c>
      <c r="I100" s="31">
        <f>IF(A100="","",IF(AND(ISNUMBER(C100),ISNUMBER(D100),G100&lt;&gt;"Excluido"),1,0))</f>
        <v/>
      </c>
      <c r="J100" s="48">
        <f>IF(A100="","",IF(G100="No registrado","Código ausente en 2_Participantes",IF(AND(ISNUMBER(D100),NOT(ISNUMBER(C100))),"Postest sin pretest (huérfano)",IF(OR(AND(ISNUMBER(C100),OR(C100&lt;Inicio!$C$18,C100&gt;Inicio!$C$19)),AND(ISNUMBER(D100),OR(D100&lt;Inicio!$C$18,D100&gt;Inicio!$C$19))),"Fuera de rango",IF(COUNTIF($A$6:$A$305,A100)&gt;1,"Código duplicado","OK")))))</f>
        <v/>
      </c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 ht="15" customHeight="1" s="67">
      <c r="A101" s="22" t="n"/>
      <c r="B101" s="26">
        <f t="array" ref="B101">IF(A101="","",IFERROR(IF(INDEX('2_Participantes'!$B$6:$B$305,MATCH(A101,'2_Participantes'!$A$6:$A$305,0))="","",INDEX('2_Participantes'!$B$6:$B$305,MATCH(A101,'2_Participantes'!$A$6:$A$305,0))),"No registrado"))</f>
        <v/>
      </c>
      <c r="C101" s="15" t="n"/>
      <c r="D101" s="15" t="n"/>
      <c r="E101" s="32">
        <f>IF(AND(ISNUMBER(C101),ISNUMBER(D101)),D101-C101,"")</f>
        <v/>
      </c>
      <c r="F101" s="31">
        <f t="array" ref="F101">IF(A101="","",IFERROR(IF(INDEX('2_Participantes'!$E$6:$E$305,MATCH(A101,'2_Participantes'!$A$6:$A$305,0))="","",INDEX('2_Participantes'!$E$6:$E$305,MATCH(A101,'2_Participantes'!$A$6:$A$305,0))),""))</f>
        <v/>
      </c>
      <c r="G101" s="26">
        <f t="array" ref="G101">IF(A101="","",IFERROR(IF(INDEX('2_Participantes'!$F$6:$F$305,MATCH(A101,'2_Participantes'!$A$6:$A$305,0))="","",INDEX('2_Participantes'!$F$6:$F$305,MATCH(A101,'2_Participantes'!$A$6:$A$305,0))),"No registrado"))</f>
        <v/>
      </c>
      <c r="H101" s="47">
        <f t="array" ref="H101">IF(A101="","",IFERROR(IF(INDEX('2_Participantes'!$L$6:$L$305,MATCH(A101,'2_Participantes'!$A$6:$A$305,0))="","",INDEX('2_Participantes'!$L$6:$L$305,MATCH(A101,'2_Participantes'!$A$6:$A$305,0))),""))</f>
        <v/>
      </c>
      <c r="I101" s="31">
        <f>IF(A101="","",IF(AND(ISNUMBER(C101),ISNUMBER(D101),G101&lt;&gt;"Excluido"),1,0))</f>
        <v/>
      </c>
      <c r="J101" s="48">
        <f>IF(A101="","",IF(G101="No registrado","Código ausente en 2_Participantes",IF(AND(ISNUMBER(D101),NOT(ISNUMBER(C101))),"Postest sin pretest (huérfano)",IF(OR(AND(ISNUMBER(C101),OR(C101&lt;Inicio!$C$18,C101&gt;Inicio!$C$19)),AND(ISNUMBER(D101),OR(D101&lt;Inicio!$C$18,D101&gt;Inicio!$C$19))),"Fuera de rango",IF(COUNTIF($A$6:$A$305,A101)&gt;1,"Código duplicado","OK")))))</f>
        <v/>
      </c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 ht="15" customHeight="1" s="67">
      <c r="A102" s="22" t="inlineStr">
        <is>
          <t>GU-TDH-106</t>
        </is>
      </c>
      <c r="B102" s="26">
        <f t="array" ref="B102">IF(A102="","",IFERROR(IF(INDEX('2_Participantes'!$B$6:$B$305,MATCH(A102,'2_Participantes'!$A$6:$A$305,0))="","",INDEX('2_Participantes'!$B$6:$B$305,MATCH(A102,'2_Participantes'!$A$6:$A$305,0))),"No registrado"))</f>
        <v/>
      </c>
      <c r="C102" s="15" t="n">
        <v>55</v>
      </c>
      <c r="D102" s="15" t="n">
        <v>67.5</v>
      </c>
      <c r="E102" s="32">
        <f>IF(AND(ISNUMBER(C102),ISNUMBER(D102)),D102-C102,"")</f>
        <v/>
      </c>
      <c r="F102" s="31">
        <f t="array" ref="F102">IF(A102="","",IFERROR(IF(INDEX('2_Participantes'!$E$6:$E$305,MATCH(A102,'2_Participantes'!$A$6:$A$305,0))="","",INDEX('2_Participantes'!$E$6:$E$305,MATCH(A102,'2_Participantes'!$A$6:$A$305,0))),""))</f>
        <v/>
      </c>
      <c r="G102" s="26">
        <f t="array" ref="G102">IF(A102="","",IFERROR(IF(INDEX('2_Participantes'!$F$6:$F$305,MATCH(A102,'2_Participantes'!$A$6:$A$305,0))="","",INDEX('2_Participantes'!$F$6:$F$305,MATCH(A102,'2_Participantes'!$A$6:$A$305,0))),"No registrado"))</f>
        <v/>
      </c>
      <c r="H102" s="47">
        <f t="array" ref="H102">IF(A102="","",IFERROR(IF(INDEX('2_Participantes'!$L$6:$L$305,MATCH(A102,'2_Participantes'!$A$6:$A$305,0))="","",INDEX('2_Participantes'!$L$6:$L$305,MATCH(A102,'2_Participantes'!$A$6:$A$305,0))),""))</f>
        <v/>
      </c>
      <c r="I102" s="31">
        <f>IF(A102="","",IF(AND(ISNUMBER(C102),ISNUMBER(D102),G102&lt;&gt;"Excluido"),1,0))</f>
        <v/>
      </c>
      <c r="J102" s="48">
        <f>IF(A102="","",IF(G102="No registrado","Código ausente en 2_Participantes",IF(AND(ISNUMBER(D102),NOT(ISNUMBER(C102))),"Postest sin pretest (huérfano)",IF(OR(AND(ISNUMBER(C102),OR(C102&lt;Inicio!$C$18,C102&gt;Inicio!$C$19)),AND(ISNUMBER(D102),OR(D102&lt;Inicio!$C$18,D102&gt;Inicio!$C$19))),"Fuera de rango",IF(COUNTIF($A$6:$A$305,A102)&gt;1,"Código duplicado","OK")))))</f>
        <v/>
      </c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 ht="15" customHeight="1" s="67">
      <c r="A103" s="22" t="n"/>
      <c r="B103" s="26">
        <f t="array" ref="B103">IF(A103="","",IFERROR(IF(INDEX('2_Participantes'!$B$6:$B$305,MATCH(A103,'2_Participantes'!$A$6:$A$305,0))="","",INDEX('2_Participantes'!$B$6:$B$305,MATCH(A103,'2_Participantes'!$A$6:$A$305,0))),"No registrado"))</f>
        <v/>
      </c>
      <c r="C103" s="15" t="n"/>
      <c r="D103" s="15" t="n"/>
      <c r="E103" s="32">
        <f>IF(AND(ISNUMBER(C103),ISNUMBER(D103)),D103-C103,"")</f>
        <v/>
      </c>
      <c r="F103" s="31">
        <f t="array" ref="F103">IF(A103="","",IFERROR(IF(INDEX('2_Participantes'!$E$6:$E$305,MATCH(A103,'2_Participantes'!$A$6:$A$305,0))="","",INDEX('2_Participantes'!$E$6:$E$305,MATCH(A103,'2_Participantes'!$A$6:$A$305,0))),""))</f>
        <v/>
      </c>
      <c r="G103" s="26">
        <f t="array" ref="G103">IF(A103="","",IFERROR(IF(INDEX('2_Participantes'!$F$6:$F$305,MATCH(A103,'2_Participantes'!$A$6:$A$305,0))="","",INDEX('2_Participantes'!$F$6:$F$305,MATCH(A103,'2_Participantes'!$A$6:$A$305,0))),"No registrado"))</f>
        <v/>
      </c>
      <c r="H103" s="47">
        <f t="array" ref="H103">IF(A103="","",IFERROR(IF(INDEX('2_Participantes'!$L$6:$L$305,MATCH(A103,'2_Participantes'!$A$6:$A$305,0))="","",INDEX('2_Participantes'!$L$6:$L$305,MATCH(A103,'2_Participantes'!$A$6:$A$305,0))),""))</f>
        <v/>
      </c>
      <c r="I103" s="31">
        <f>IF(A103="","",IF(AND(ISNUMBER(C103),ISNUMBER(D103),G103&lt;&gt;"Excluido"),1,0))</f>
        <v/>
      </c>
      <c r="J103" s="48">
        <f>IF(A103="","",IF(G103="No registrado","Código ausente en 2_Participantes",IF(AND(ISNUMBER(D103),NOT(ISNUMBER(C103))),"Postest sin pretest (huérfano)",IF(OR(AND(ISNUMBER(C103),OR(C103&lt;Inicio!$C$18,C103&gt;Inicio!$C$19)),AND(ISNUMBER(D103),OR(D103&lt;Inicio!$C$18,D103&gt;Inicio!$C$19))),"Fuera de rango",IF(COUNTIF($A$6:$A$305,A103)&gt;1,"Código duplicado","OK")))))</f>
        <v/>
      </c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 ht="15" customHeight="1" s="67">
      <c r="A104" s="22" t="inlineStr">
        <is>
          <t>GU-TDH-108</t>
        </is>
      </c>
      <c r="B104" s="26">
        <f t="array" ref="B104">IF(A104="","",IFERROR(IF(INDEX('2_Participantes'!$B$6:$B$305,MATCH(A104,'2_Participantes'!$A$6:$A$305,0))="","",INDEX('2_Participantes'!$B$6:$B$305,MATCH(A104,'2_Participantes'!$A$6:$A$305,0))),"No registrado"))</f>
        <v/>
      </c>
      <c r="C104" s="15" t="n">
        <v>30</v>
      </c>
      <c r="D104" s="15" t="n">
        <v>92.5</v>
      </c>
      <c r="E104" s="32">
        <f>IF(AND(ISNUMBER(C104),ISNUMBER(D104)),D104-C104,"")</f>
        <v/>
      </c>
      <c r="F104" s="31">
        <f t="array" ref="F104">IF(A104="","",IFERROR(IF(INDEX('2_Participantes'!$E$6:$E$305,MATCH(A104,'2_Participantes'!$A$6:$A$305,0))="","",INDEX('2_Participantes'!$E$6:$E$305,MATCH(A104,'2_Participantes'!$A$6:$A$305,0))),""))</f>
        <v/>
      </c>
      <c r="G104" s="26">
        <f t="array" ref="G104">IF(A104="","",IFERROR(IF(INDEX('2_Participantes'!$F$6:$F$305,MATCH(A104,'2_Participantes'!$A$6:$A$305,0))="","",INDEX('2_Participantes'!$F$6:$F$305,MATCH(A104,'2_Participantes'!$A$6:$A$305,0))),"No registrado"))</f>
        <v/>
      </c>
      <c r="H104" s="47">
        <f t="array" ref="H104">IF(A104="","",IFERROR(IF(INDEX('2_Participantes'!$L$6:$L$305,MATCH(A104,'2_Participantes'!$A$6:$A$305,0))="","",INDEX('2_Participantes'!$L$6:$L$305,MATCH(A104,'2_Participantes'!$A$6:$A$305,0))),""))</f>
        <v/>
      </c>
      <c r="I104" s="31">
        <f>IF(A104="","",IF(AND(ISNUMBER(C104),ISNUMBER(D104),G104&lt;&gt;"Excluido"),1,0))</f>
        <v/>
      </c>
      <c r="J104" s="48">
        <f>IF(A104="","",IF(G104="No registrado","Código ausente en 2_Participantes",IF(AND(ISNUMBER(D104),NOT(ISNUMBER(C104))),"Postest sin pretest (huérfano)",IF(OR(AND(ISNUMBER(C104),OR(C104&lt;Inicio!$C$18,C104&gt;Inicio!$C$19)),AND(ISNUMBER(D104),OR(D104&lt;Inicio!$C$18,D104&gt;Inicio!$C$19))),"Fuera de rango",IF(COUNTIF($A$6:$A$305,A104)&gt;1,"Código duplicado","OK")))))</f>
        <v/>
      </c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 ht="15" customHeight="1" s="67">
      <c r="A105" s="22" t="inlineStr">
        <is>
          <t>GU-TDH-109</t>
        </is>
      </c>
      <c r="B105" s="26">
        <f t="array" ref="B105">IF(A105="","",IFERROR(IF(INDEX('2_Participantes'!$B$6:$B$305,MATCH(A105,'2_Participantes'!$A$6:$A$305,0))="","",INDEX('2_Participantes'!$B$6:$B$305,MATCH(A105,'2_Participantes'!$A$6:$A$305,0))),"No registrado"))</f>
        <v/>
      </c>
      <c r="C105" s="15" t="n">
        <v>82.5</v>
      </c>
      <c r="D105" s="15" t="n">
        <v>95</v>
      </c>
      <c r="E105" s="32">
        <f>IF(AND(ISNUMBER(C105),ISNUMBER(D105)),D105-C105,"")</f>
        <v/>
      </c>
      <c r="F105" s="31">
        <f t="array" ref="F105">IF(A105="","",IFERROR(IF(INDEX('2_Participantes'!$E$6:$E$305,MATCH(A105,'2_Participantes'!$A$6:$A$305,0))="","",INDEX('2_Participantes'!$E$6:$E$305,MATCH(A105,'2_Participantes'!$A$6:$A$305,0))),""))</f>
        <v/>
      </c>
      <c r="G105" s="26">
        <f t="array" ref="G105">IF(A105="","",IFERROR(IF(INDEX('2_Participantes'!$F$6:$F$305,MATCH(A105,'2_Participantes'!$A$6:$A$305,0))="","",INDEX('2_Participantes'!$F$6:$F$305,MATCH(A105,'2_Participantes'!$A$6:$A$305,0))),"No registrado"))</f>
        <v/>
      </c>
      <c r="H105" s="47">
        <f t="array" ref="H105">IF(A105="","",IFERROR(IF(INDEX('2_Participantes'!$L$6:$L$305,MATCH(A105,'2_Participantes'!$A$6:$A$305,0))="","",INDEX('2_Participantes'!$L$6:$L$305,MATCH(A105,'2_Participantes'!$A$6:$A$305,0))),""))</f>
        <v/>
      </c>
      <c r="I105" s="31">
        <f>IF(A105="","",IF(AND(ISNUMBER(C105),ISNUMBER(D105),G105&lt;&gt;"Excluido"),1,0))</f>
        <v/>
      </c>
      <c r="J105" s="48">
        <f>IF(A105="","",IF(G105="No registrado","Código ausente en 2_Participantes",IF(AND(ISNUMBER(D105),NOT(ISNUMBER(C105))),"Postest sin pretest (huérfano)",IF(OR(AND(ISNUMBER(C105),OR(C105&lt;Inicio!$C$18,C105&gt;Inicio!$C$19)),AND(ISNUMBER(D105),OR(D105&lt;Inicio!$C$18,D105&gt;Inicio!$C$19))),"Fuera de rango",IF(COUNTIF($A$6:$A$305,A105)&gt;1,"Código duplicado","OK")))))</f>
        <v/>
      </c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 ht="15" customHeight="1" s="67">
      <c r="A106" s="22" t="inlineStr">
        <is>
          <t>GU-TDH-110</t>
        </is>
      </c>
      <c r="B106" s="26">
        <f t="array" ref="B106">IF(A106="","",IFERROR(IF(INDEX('2_Participantes'!$B$6:$B$305,MATCH(A106,'2_Participantes'!$A$6:$A$305,0))="","",INDEX('2_Participantes'!$B$6:$B$305,MATCH(A106,'2_Participantes'!$A$6:$A$305,0))),"No registrado"))</f>
        <v/>
      </c>
      <c r="C106" s="15" t="n">
        <v>57.5</v>
      </c>
      <c r="D106" s="15" t="n">
        <v>70</v>
      </c>
      <c r="E106" s="32">
        <f>IF(AND(ISNUMBER(C106),ISNUMBER(D106)),D106-C106,"")</f>
        <v/>
      </c>
      <c r="F106" s="31">
        <f t="array" ref="F106">IF(A106="","",IFERROR(IF(INDEX('2_Participantes'!$E$6:$E$305,MATCH(A106,'2_Participantes'!$A$6:$A$305,0))="","",INDEX('2_Participantes'!$E$6:$E$305,MATCH(A106,'2_Participantes'!$A$6:$A$305,0))),""))</f>
        <v/>
      </c>
      <c r="G106" s="26">
        <f t="array" ref="G106">IF(A106="","",IFERROR(IF(INDEX('2_Participantes'!$F$6:$F$305,MATCH(A106,'2_Participantes'!$A$6:$A$305,0))="","",INDEX('2_Participantes'!$F$6:$F$305,MATCH(A106,'2_Participantes'!$A$6:$A$305,0))),"No registrado"))</f>
        <v/>
      </c>
      <c r="H106" s="47">
        <f t="array" ref="H106">IF(A106="","",IFERROR(IF(INDEX('2_Participantes'!$L$6:$L$305,MATCH(A106,'2_Participantes'!$A$6:$A$305,0))="","",INDEX('2_Participantes'!$L$6:$L$305,MATCH(A106,'2_Participantes'!$A$6:$A$305,0))),""))</f>
        <v/>
      </c>
      <c r="I106" s="31">
        <f>IF(A106="","",IF(AND(ISNUMBER(C106),ISNUMBER(D106),G106&lt;&gt;"Excluido"),1,0))</f>
        <v/>
      </c>
      <c r="J106" s="48">
        <f>IF(A106="","",IF(G106="No registrado","Código ausente en 2_Participantes",IF(AND(ISNUMBER(D106),NOT(ISNUMBER(C106))),"Postest sin pretest (huérfano)",IF(OR(AND(ISNUMBER(C106),OR(C106&lt;Inicio!$C$18,C106&gt;Inicio!$C$19)),AND(ISNUMBER(D106),OR(D106&lt;Inicio!$C$18,D106&gt;Inicio!$C$19))),"Fuera de rango",IF(COUNTIF($A$6:$A$305,A106)&gt;1,"Código duplicado","OK")))))</f>
        <v/>
      </c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 ht="15" customHeight="1" s="67">
      <c r="A107" s="22" t="inlineStr">
        <is>
          <t>GU-TDH-111</t>
        </is>
      </c>
      <c r="B107" s="26">
        <f t="array" ref="B107">IF(A107="","",IFERROR(IF(INDEX('2_Participantes'!$B$6:$B$305,MATCH(A107,'2_Participantes'!$A$6:$A$305,0))="","",INDEX('2_Participantes'!$B$6:$B$305,MATCH(A107,'2_Participantes'!$A$6:$A$305,0))),"No registrado"))</f>
        <v/>
      </c>
      <c r="C107" s="15" t="n">
        <v>47.5</v>
      </c>
      <c r="D107" s="15" t="n">
        <v>72.5</v>
      </c>
      <c r="E107" s="32">
        <f>IF(AND(ISNUMBER(C107),ISNUMBER(D107)),D107-C107,"")</f>
        <v/>
      </c>
      <c r="F107" s="31">
        <f t="array" ref="F107">IF(A107="","",IFERROR(IF(INDEX('2_Participantes'!$E$6:$E$305,MATCH(A107,'2_Participantes'!$A$6:$A$305,0))="","",INDEX('2_Participantes'!$E$6:$E$305,MATCH(A107,'2_Participantes'!$A$6:$A$305,0))),""))</f>
        <v/>
      </c>
      <c r="G107" s="26">
        <f t="array" ref="G107">IF(A107="","",IFERROR(IF(INDEX('2_Participantes'!$F$6:$F$305,MATCH(A107,'2_Participantes'!$A$6:$A$305,0))="","",INDEX('2_Participantes'!$F$6:$F$305,MATCH(A107,'2_Participantes'!$A$6:$A$305,0))),"No registrado"))</f>
        <v/>
      </c>
      <c r="H107" s="47">
        <f t="array" ref="H107">IF(A107="","",IFERROR(IF(INDEX('2_Participantes'!$L$6:$L$305,MATCH(A107,'2_Participantes'!$A$6:$A$305,0))="","",INDEX('2_Participantes'!$L$6:$L$305,MATCH(A107,'2_Participantes'!$A$6:$A$305,0))),""))</f>
        <v/>
      </c>
      <c r="I107" s="31">
        <f>IF(A107="","",IF(AND(ISNUMBER(C107),ISNUMBER(D107),G107&lt;&gt;"Excluido"),1,0))</f>
        <v/>
      </c>
      <c r="J107" s="48">
        <f>IF(A107="","",IF(G107="No registrado","Código ausente en 2_Participantes",IF(AND(ISNUMBER(D107),NOT(ISNUMBER(C107))),"Postest sin pretest (huérfano)",IF(OR(AND(ISNUMBER(C107),OR(C107&lt;Inicio!$C$18,C107&gt;Inicio!$C$19)),AND(ISNUMBER(D107),OR(D107&lt;Inicio!$C$18,D107&gt;Inicio!$C$19))),"Fuera de rango",IF(COUNTIF($A$6:$A$305,A107)&gt;1,"Código duplicado","OK")))))</f>
        <v/>
      </c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 ht="15" customHeight="1" s="67">
      <c r="A108" s="22" t="inlineStr">
        <is>
          <t>GU-TDH-113</t>
        </is>
      </c>
      <c r="B108" s="26">
        <f t="array" ref="B108">IF(A108="","",IFERROR(IF(INDEX('2_Participantes'!$B$6:$B$305,MATCH(A108,'2_Participantes'!$A$6:$A$305,0))="","",INDEX('2_Participantes'!$B$6:$B$305,MATCH(A108,'2_Participantes'!$A$6:$A$305,0))),"No registrado"))</f>
        <v/>
      </c>
      <c r="C108" s="15" t="n">
        <v>37.5</v>
      </c>
      <c r="D108" s="15" t="n">
        <v>75</v>
      </c>
      <c r="E108" s="32">
        <f>IF(AND(ISNUMBER(C108),ISNUMBER(D108)),D108-C108,"")</f>
        <v/>
      </c>
      <c r="F108" s="31">
        <f t="array" ref="F108">IF(A108="","",IFERROR(IF(INDEX('2_Participantes'!$E$6:$E$305,MATCH(A108,'2_Participantes'!$A$6:$A$305,0))="","",INDEX('2_Participantes'!$E$6:$E$305,MATCH(A108,'2_Participantes'!$A$6:$A$305,0))),""))</f>
        <v/>
      </c>
      <c r="G108" s="26">
        <f t="array" ref="G108">IF(A108="","",IFERROR(IF(INDEX('2_Participantes'!$F$6:$F$305,MATCH(A108,'2_Participantes'!$A$6:$A$305,0))="","",INDEX('2_Participantes'!$F$6:$F$305,MATCH(A108,'2_Participantes'!$A$6:$A$305,0))),"No registrado"))</f>
        <v/>
      </c>
      <c r="H108" s="47">
        <f t="array" ref="H108">IF(A108="","",IFERROR(IF(INDEX('2_Participantes'!$L$6:$L$305,MATCH(A108,'2_Participantes'!$A$6:$A$305,0))="","",INDEX('2_Participantes'!$L$6:$L$305,MATCH(A108,'2_Participantes'!$A$6:$A$305,0))),""))</f>
        <v/>
      </c>
      <c r="I108" s="31">
        <f>IF(A108="","",IF(AND(ISNUMBER(C108),ISNUMBER(D108),G108&lt;&gt;"Excluido"),1,0))</f>
        <v/>
      </c>
      <c r="J108" s="48">
        <f>IF(A108="","",IF(G108="No registrado","Código ausente en 2_Participantes",IF(AND(ISNUMBER(D108),NOT(ISNUMBER(C108))),"Postest sin pretest (huérfano)",IF(OR(AND(ISNUMBER(C108),OR(C108&lt;Inicio!$C$18,C108&gt;Inicio!$C$19)),AND(ISNUMBER(D108),OR(D108&lt;Inicio!$C$18,D108&gt;Inicio!$C$19))),"Fuera de rango",IF(COUNTIF($A$6:$A$305,A108)&gt;1,"Código duplicado","OK")))))</f>
        <v/>
      </c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 ht="15" customHeight="1" s="67">
      <c r="A109" s="22" t="inlineStr">
        <is>
          <t>GU-TDH-114</t>
        </is>
      </c>
      <c r="B109" s="26">
        <f t="array" ref="B109">IF(A109="","",IFERROR(IF(INDEX('2_Participantes'!$B$6:$B$305,MATCH(A109,'2_Participantes'!$A$6:$A$305,0))="","",INDEX('2_Participantes'!$B$6:$B$305,MATCH(A109,'2_Participantes'!$A$6:$A$305,0))),"No registrado"))</f>
        <v/>
      </c>
      <c r="C109" s="15" t="n">
        <v>60</v>
      </c>
      <c r="D109" s="15" t="n">
        <v>77.5</v>
      </c>
      <c r="E109" s="32">
        <f>IF(AND(ISNUMBER(C109),ISNUMBER(D109)),D109-C109,"")</f>
        <v/>
      </c>
      <c r="F109" s="31">
        <f t="array" ref="F109">IF(A109="","",IFERROR(IF(INDEX('2_Participantes'!$E$6:$E$305,MATCH(A109,'2_Participantes'!$A$6:$A$305,0))="","",INDEX('2_Participantes'!$E$6:$E$305,MATCH(A109,'2_Participantes'!$A$6:$A$305,0))),""))</f>
        <v/>
      </c>
      <c r="G109" s="26">
        <f t="array" ref="G109">IF(A109="","",IFERROR(IF(INDEX('2_Participantes'!$F$6:$F$305,MATCH(A109,'2_Participantes'!$A$6:$A$305,0))="","",INDEX('2_Participantes'!$F$6:$F$305,MATCH(A109,'2_Participantes'!$A$6:$A$305,0))),"No registrado"))</f>
        <v/>
      </c>
      <c r="H109" s="47">
        <f t="array" ref="H109">IF(A109="","",IFERROR(IF(INDEX('2_Participantes'!$L$6:$L$305,MATCH(A109,'2_Participantes'!$A$6:$A$305,0))="","",INDEX('2_Participantes'!$L$6:$L$305,MATCH(A109,'2_Participantes'!$A$6:$A$305,0))),""))</f>
        <v/>
      </c>
      <c r="I109" s="31">
        <f>IF(A109="","",IF(AND(ISNUMBER(C109),ISNUMBER(D109),G109&lt;&gt;"Excluido"),1,0))</f>
        <v/>
      </c>
      <c r="J109" s="48">
        <f>IF(A109="","",IF(G109="No registrado","Código ausente en 2_Participantes",IF(AND(ISNUMBER(D109),NOT(ISNUMBER(C109))),"Postest sin pretest (huérfano)",IF(OR(AND(ISNUMBER(C109),OR(C109&lt;Inicio!$C$18,C109&gt;Inicio!$C$19)),AND(ISNUMBER(D109),OR(D109&lt;Inicio!$C$18,D109&gt;Inicio!$C$19))),"Fuera de rango",IF(COUNTIF($A$6:$A$305,A109)&gt;1,"Código duplicado","OK")))))</f>
        <v/>
      </c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 ht="15" customHeight="1" s="67">
      <c r="A110" s="22" t="inlineStr">
        <is>
          <t>GU-TDH-115</t>
        </is>
      </c>
      <c r="B110" s="26">
        <f t="array" ref="B110">IF(A110="","",IFERROR(IF(INDEX('2_Participantes'!$B$6:$B$305,MATCH(A110,'2_Participantes'!$A$6:$A$305,0))="","",INDEX('2_Participantes'!$B$6:$B$305,MATCH(A110,'2_Participantes'!$A$6:$A$305,0))),"No registrado"))</f>
        <v/>
      </c>
      <c r="C110" s="15" t="n">
        <v>57.5</v>
      </c>
      <c r="D110" s="15" t="n">
        <v>72.5</v>
      </c>
      <c r="E110" s="32">
        <f>IF(AND(ISNUMBER(C110),ISNUMBER(D110)),D110-C110,"")</f>
        <v/>
      </c>
      <c r="F110" s="31">
        <f t="array" ref="F110">IF(A110="","",IFERROR(IF(INDEX('2_Participantes'!$E$6:$E$305,MATCH(A110,'2_Participantes'!$A$6:$A$305,0))="","",INDEX('2_Participantes'!$E$6:$E$305,MATCH(A110,'2_Participantes'!$A$6:$A$305,0))),""))</f>
        <v/>
      </c>
      <c r="G110" s="26">
        <f t="array" ref="G110">IF(A110="","",IFERROR(IF(INDEX('2_Participantes'!$F$6:$F$305,MATCH(A110,'2_Participantes'!$A$6:$A$305,0))="","",INDEX('2_Participantes'!$F$6:$F$305,MATCH(A110,'2_Participantes'!$A$6:$A$305,0))),"No registrado"))</f>
        <v/>
      </c>
      <c r="H110" s="47">
        <f t="array" ref="H110">IF(A110="","",IFERROR(IF(INDEX('2_Participantes'!$L$6:$L$305,MATCH(A110,'2_Participantes'!$A$6:$A$305,0))="","",INDEX('2_Participantes'!$L$6:$L$305,MATCH(A110,'2_Participantes'!$A$6:$A$305,0))),""))</f>
        <v/>
      </c>
      <c r="I110" s="31">
        <f>IF(A110="","",IF(AND(ISNUMBER(C110),ISNUMBER(D110),G110&lt;&gt;"Excluido"),1,0))</f>
        <v/>
      </c>
      <c r="J110" s="48">
        <f>IF(A110="","",IF(G110="No registrado","Código ausente en 2_Participantes",IF(AND(ISNUMBER(D110),NOT(ISNUMBER(C110))),"Postest sin pretest (huérfano)",IF(OR(AND(ISNUMBER(C110),OR(C110&lt;Inicio!$C$18,C110&gt;Inicio!$C$19)),AND(ISNUMBER(D110),OR(D110&lt;Inicio!$C$18,D110&gt;Inicio!$C$19))),"Fuera de rango",IF(COUNTIF($A$6:$A$305,A110)&gt;1,"Código duplicado","OK")))))</f>
        <v/>
      </c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 ht="15" customHeight="1" s="67">
      <c r="A111" s="22" t="inlineStr">
        <is>
          <t>GU-TDH-116</t>
        </is>
      </c>
      <c r="B111" s="26">
        <f t="array" ref="B111">IF(A111="","",IFERROR(IF(INDEX('2_Participantes'!$B$6:$B$305,MATCH(A111,'2_Participantes'!$A$6:$A$305,0))="","",INDEX('2_Participantes'!$B$6:$B$305,MATCH(A111,'2_Participantes'!$A$6:$A$305,0))),"No registrado"))</f>
        <v/>
      </c>
      <c r="C111" s="15" t="n">
        <v>77.5</v>
      </c>
      <c r="D111" s="15" t="n">
        <v>87.5</v>
      </c>
      <c r="E111" s="32">
        <f>IF(AND(ISNUMBER(C111),ISNUMBER(D111)),D111-C111,"")</f>
        <v/>
      </c>
      <c r="F111" s="31">
        <f t="array" ref="F111">IF(A111="","",IFERROR(IF(INDEX('2_Participantes'!$E$6:$E$305,MATCH(A111,'2_Participantes'!$A$6:$A$305,0))="","",INDEX('2_Participantes'!$E$6:$E$305,MATCH(A111,'2_Participantes'!$A$6:$A$305,0))),""))</f>
        <v/>
      </c>
      <c r="G111" s="26">
        <f t="array" ref="G111">IF(A111="","",IFERROR(IF(INDEX('2_Participantes'!$F$6:$F$305,MATCH(A111,'2_Participantes'!$A$6:$A$305,0))="","",INDEX('2_Participantes'!$F$6:$F$305,MATCH(A111,'2_Participantes'!$A$6:$A$305,0))),"No registrado"))</f>
        <v/>
      </c>
      <c r="H111" s="47">
        <f t="array" ref="H111">IF(A111="","",IFERROR(IF(INDEX('2_Participantes'!$L$6:$L$305,MATCH(A111,'2_Participantes'!$A$6:$A$305,0))="","",INDEX('2_Participantes'!$L$6:$L$305,MATCH(A111,'2_Participantes'!$A$6:$A$305,0))),""))</f>
        <v/>
      </c>
      <c r="I111" s="31">
        <f>IF(A111="","",IF(AND(ISNUMBER(C111),ISNUMBER(D111),G111&lt;&gt;"Excluido"),1,0))</f>
        <v/>
      </c>
      <c r="J111" s="48">
        <f>IF(A111="","",IF(G111="No registrado","Código ausente en 2_Participantes",IF(AND(ISNUMBER(D111),NOT(ISNUMBER(C111))),"Postest sin pretest (huérfano)",IF(OR(AND(ISNUMBER(C111),OR(C111&lt;Inicio!$C$18,C111&gt;Inicio!$C$19)),AND(ISNUMBER(D111),OR(D111&lt;Inicio!$C$18,D111&gt;Inicio!$C$19))),"Fuera de rango",IF(COUNTIF($A$6:$A$305,A111)&gt;1,"Código duplicado","OK")))))</f>
        <v/>
      </c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 ht="15" customHeight="1" s="67">
      <c r="A112" s="22" t="inlineStr">
        <is>
          <t>GU-TDH-117</t>
        </is>
      </c>
      <c r="B112" s="26">
        <f t="array" ref="B112">IF(A112="","",IFERROR(IF(INDEX('2_Participantes'!$B$6:$B$305,MATCH(A112,'2_Participantes'!$A$6:$A$305,0))="","",INDEX('2_Participantes'!$B$6:$B$305,MATCH(A112,'2_Participantes'!$A$6:$A$305,0))),"No registrado"))</f>
        <v/>
      </c>
      <c r="C112" s="15" t="n">
        <v>72.5</v>
      </c>
      <c r="D112" s="15" t="n">
        <v>90</v>
      </c>
      <c r="E112" s="32">
        <f>IF(AND(ISNUMBER(C112),ISNUMBER(D112)),D112-C112,"")</f>
        <v/>
      </c>
      <c r="F112" s="31">
        <f t="array" ref="F112">IF(A112="","",IFERROR(IF(INDEX('2_Participantes'!$E$6:$E$305,MATCH(A112,'2_Participantes'!$A$6:$A$305,0))="","",INDEX('2_Participantes'!$E$6:$E$305,MATCH(A112,'2_Participantes'!$A$6:$A$305,0))),""))</f>
        <v/>
      </c>
      <c r="G112" s="26">
        <f t="array" ref="G112">IF(A112="","",IFERROR(IF(INDEX('2_Participantes'!$F$6:$F$305,MATCH(A112,'2_Participantes'!$A$6:$A$305,0))="","",INDEX('2_Participantes'!$F$6:$F$305,MATCH(A112,'2_Participantes'!$A$6:$A$305,0))),"No registrado"))</f>
        <v/>
      </c>
      <c r="H112" s="47">
        <f t="array" ref="H112">IF(A112="","",IFERROR(IF(INDEX('2_Participantes'!$L$6:$L$305,MATCH(A112,'2_Participantes'!$A$6:$A$305,0))="","",INDEX('2_Participantes'!$L$6:$L$305,MATCH(A112,'2_Participantes'!$A$6:$A$305,0))),""))</f>
        <v/>
      </c>
      <c r="I112" s="31">
        <f>IF(A112="","",IF(AND(ISNUMBER(C112),ISNUMBER(D112),G112&lt;&gt;"Excluido"),1,0))</f>
        <v/>
      </c>
      <c r="J112" s="48">
        <f>IF(A112="","",IF(G112="No registrado","Código ausente en 2_Participantes",IF(AND(ISNUMBER(D112),NOT(ISNUMBER(C112))),"Postest sin pretest (huérfano)",IF(OR(AND(ISNUMBER(C112),OR(C112&lt;Inicio!$C$18,C112&gt;Inicio!$C$19)),AND(ISNUMBER(D112),OR(D112&lt;Inicio!$C$18,D112&gt;Inicio!$C$19))),"Fuera de rango",IF(COUNTIF($A$6:$A$305,A112)&gt;1,"Código duplicado","OK")))))</f>
        <v/>
      </c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 ht="15" customHeight="1" s="67">
      <c r="A113" s="22" t="inlineStr">
        <is>
          <t>GU-TDH-118</t>
        </is>
      </c>
      <c r="B113" s="26">
        <f t="array" ref="B113">IF(A113="","",IFERROR(IF(INDEX('2_Participantes'!$B$6:$B$305,MATCH(A113,'2_Participantes'!$A$6:$A$305,0))="","",INDEX('2_Participantes'!$B$6:$B$305,MATCH(A113,'2_Participantes'!$A$6:$A$305,0))),"No registrado"))</f>
        <v/>
      </c>
      <c r="C113" s="15" t="n">
        <v>72.5</v>
      </c>
      <c r="D113" s="15" t="n">
        <v>100</v>
      </c>
      <c r="E113" s="32">
        <f>IF(AND(ISNUMBER(C113),ISNUMBER(D113)),D113-C113,"")</f>
        <v/>
      </c>
      <c r="F113" s="31">
        <f t="array" ref="F113">IF(A113="","",IFERROR(IF(INDEX('2_Participantes'!$E$6:$E$305,MATCH(A113,'2_Participantes'!$A$6:$A$305,0))="","",INDEX('2_Participantes'!$E$6:$E$305,MATCH(A113,'2_Participantes'!$A$6:$A$305,0))),""))</f>
        <v/>
      </c>
      <c r="G113" s="26">
        <f t="array" ref="G113">IF(A113="","",IFERROR(IF(INDEX('2_Participantes'!$F$6:$F$305,MATCH(A113,'2_Participantes'!$A$6:$A$305,0))="","",INDEX('2_Participantes'!$F$6:$F$305,MATCH(A113,'2_Participantes'!$A$6:$A$305,0))),"No registrado"))</f>
        <v/>
      </c>
      <c r="H113" s="47">
        <f t="array" ref="H113">IF(A113="","",IFERROR(IF(INDEX('2_Participantes'!$L$6:$L$305,MATCH(A113,'2_Participantes'!$A$6:$A$305,0))="","",INDEX('2_Participantes'!$L$6:$L$305,MATCH(A113,'2_Participantes'!$A$6:$A$305,0))),""))</f>
        <v/>
      </c>
      <c r="I113" s="31">
        <f>IF(A113="","",IF(AND(ISNUMBER(C113),ISNUMBER(D113),G113&lt;&gt;"Excluido"),1,0))</f>
        <v/>
      </c>
      <c r="J113" s="48">
        <f>IF(A113="","",IF(G113="No registrado","Código ausente en 2_Participantes",IF(AND(ISNUMBER(D113),NOT(ISNUMBER(C113))),"Postest sin pretest (huérfano)",IF(OR(AND(ISNUMBER(C113),OR(C113&lt;Inicio!$C$18,C113&gt;Inicio!$C$19)),AND(ISNUMBER(D113),OR(D113&lt;Inicio!$C$18,D113&gt;Inicio!$C$19))),"Fuera de rango",IF(COUNTIF($A$6:$A$305,A113)&gt;1,"Código duplicado","OK")))))</f>
        <v/>
      </c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 ht="15" customHeight="1" s="67">
      <c r="A114" s="22" t="inlineStr">
        <is>
          <t>GU-TDH-119</t>
        </is>
      </c>
      <c r="B114" s="26">
        <f t="array" ref="B114">IF(A114="","",IFERROR(IF(INDEX('2_Participantes'!$B$6:$B$305,MATCH(A114,'2_Participantes'!$A$6:$A$305,0))="","",INDEX('2_Participantes'!$B$6:$B$305,MATCH(A114,'2_Participantes'!$A$6:$A$305,0))),"No registrado"))</f>
        <v/>
      </c>
      <c r="C114" s="15" t="n">
        <v>70</v>
      </c>
      <c r="D114" s="15" t="n">
        <v>92.5</v>
      </c>
      <c r="E114" s="32">
        <f>IF(AND(ISNUMBER(C114),ISNUMBER(D114)),D114-C114,"")</f>
        <v/>
      </c>
      <c r="F114" s="31">
        <f t="array" ref="F114">IF(A114="","",IFERROR(IF(INDEX('2_Participantes'!$E$6:$E$305,MATCH(A114,'2_Participantes'!$A$6:$A$305,0))="","",INDEX('2_Participantes'!$E$6:$E$305,MATCH(A114,'2_Participantes'!$A$6:$A$305,0))),""))</f>
        <v/>
      </c>
      <c r="G114" s="26">
        <f t="array" ref="G114">IF(A114="","",IFERROR(IF(INDEX('2_Participantes'!$F$6:$F$305,MATCH(A114,'2_Participantes'!$A$6:$A$305,0))="","",INDEX('2_Participantes'!$F$6:$F$305,MATCH(A114,'2_Participantes'!$A$6:$A$305,0))),"No registrado"))</f>
        <v/>
      </c>
      <c r="H114" s="47">
        <f t="array" ref="H114">IF(A114="","",IFERROR(IF(INDEX('2_Participantes'!$L$6:$L$305,MATCH(A114,'2_Participantes'!$A$6:$A$305,0))="","",INDEX('2_Participantes'!$L$6:$L$305,MATCH(A114,'2_Participantes'!$A$6:$A$305,0))),""))</f>
        <v/>
      </c>
      <c r="I114" s="31">
        <f>IF(A114="","",IF(AND(ISNUMBER(C114),ISNUMBER(D114),G114&lt;&gt;"Excluido"),1,0))</f>
        <v/>
      </c>
      <c r="J114" s="48">
        <f>IF(A114="","",IF(G114="No registrado","Código ausente en 2_Participantes",IF(AND(ISNUMBER(D114),NOT(ISNUMBER(C114))),"Postest sin pretest (huérfano)",IF(OR(AND(ISNUMBER(C114),OR(C114&lt;Inicio!$C$18,C114&gt;Inicio!$C$19)),AND(ISNUMBER(D114),OR(D114&lt;Inicio!$C$18,D114&gt;Inicio!$C$19))),"Fuera de rango",IF(COUNTIF($A$6:$A$305,A114)&gt;1,"Código duplicado","OK")))))</f>
        <v/>
      </c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 ht="15" customHeight="1" s="67">
      <c r="A115" s="22" t="inlineStr">
        <is>
          <t>GU-TDH-120</t>
        </is>
      </c>
      <c r="B115" s="26">
        <f t="array" ref="B115">IF(A115="","",IFERROR(IF(INDEX('2_Participantes'!$B$6:$B$305,MATCH(A115,'2_Participantes'!$A$6:$A$305,0))="","",INDEX('2_Participantes'!$B$6:$B$305,MATCH(A115,'2_Participantes'!$A$6:$A$305,0))),"No registrado"))</f>
        <v/>
      </c>
      <c r="C115" s="15" t="n">
        <v>80</v>
      </c>
      <c r="D115" s="15" t="n">
        <v>80</v>
      </c>
      <c r="E115" s="32">
        <f>IF(AND(ISNUMBER(C115),ISNUMBER(D115)),D115-C115,"")</f>
        <v/>
      </c>
      <c r="F115" s="31">
        <f t="array" ref="F115">IF(A115="","",IFERROR(IF(INDEX('2_Participantes'!$E$6:$E$305,MATCH(A115,'2_Participantes'!$A$6:$A$305,0))="","",INDEX('2_Participantes'!$E$6:$E$305,MATCH(A115,'2_Participantes'!$A$6:$A$305,0))),""))</f>
        <v/>
      </c>
      <c r="G115" s="26">
        <f t="array" ref="G115">IF(A115="","",IFERROR(IF(INDEX('2_Participantes'!$F$6:$F$305,MATCH(A115,'2_Participantes'!$A$6:$A$305,0))="","",INDEX('2_Participantes'!$F$6:$F$305,MATCH(A115,'2_Participantes'!$A$6:$A$305,0))),"No registrado"))</f>
        <v/>
      </c>
      <c r="H115" s="47">
        <f t="array" ref="H115">IF(A115="","",IFERROR(IF(INDEX('2_Participantes'!$L$6:$L$305,MATCH(A115,'2_Participantes'!$A$6:$A$305,0))="","",INDEX('2_Participantes'!$L$6:$L$305,MATCH(A115,'2_Participantes'!$A$6:$A$305,0))),""))</f>
        <v/>
      </c>
      <c r="I115" s="31">
        <f>IF(A115="","",IF(AND(ISNUMBER(C115),ISNUMBER(D115),G115&lt;&gt;"Excluido"),1,0))</f>
        <v/>
      </c>
      <c r="J115" s="48">
        <f>IF(A115="","",IF(G115="No registrado","Código ausente en 2_Participantes",IF(AND(ISNUMBER(D115),NOT(ISNUMBER(C115))),"Postest sin pretest (huérfano)",IF(OR(AND(ISNUMBER(C115),OR(C115&lt;Inicio!$C$18,C115&gt;Inicio!$C$19)),AND(ISNUMBER(D115),OR(D115&lt;Inicio!$C$18,D115&gt;Inicio!$C$19))),"Fuera de rango",IF(COUNTIF($A$6:$A$305,A115)&gt;1,"Código duplicado","OK")))))</f>
        <v/>
      </c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 ht="15" customHeight="1" s="67">
      <c r="A116" s="22" t="inlineStr">
        <is>
          <t>GU-TDH-121</t>
        </is>
      </c>
      <c r="B116" s="26">
        <f t="array" ref="B116">IF(A116="","",IFERROR(IF(INDEX('2_Participantes'!$B$6:$B$305,MATCH(A116,'2_Participantes'!$A$6:$A$305,0))="","",INDEX('2_Participantes'!$B$6:$B$305,MATCH(A116,'2_Participantes'!$A$6:$A$305,0))),"No registrado"))</f>
        <v/>
      </c>
      <c r="C116" s="15" t="n">
        <v>70</v>
      </c>
      <c r="D116" s="15" t="n">
        <v>80</v>
      </c>
      <c r="E116" s="32">
        <f>IF(AND(ISNUMBER(C116),ISNUMBER(D116)),D116-C116,"")</f>
        <v/>
      </c>
      <c r="F116" s="31">
        <f t="array" ref="F116">IF(A116="","",IFERROR(IF(INDEX('2_Participantes'!$E$6:$E$305,MATCH(A116,'2_Participantes'!$A$6:$A$305,0))="","",INDEX('2_Participantes'!$E$6:$E$305,MATCH(A116,'2_Participantes'!$A$6:$A$305,0))),""))</f>
        <v/>
      </c>
      <c r="G116" s="26">
        <f t="array" ref="G116">IF(A116="","",IFERROR(IF(INDEX('2_Participantes'!$F$6:$F$305,MATCH(A116,'2_Participantes'!$A$6:$A$305,0))="","",INDEX('2_Participantes'!$F$6:$F$305,MATCH(A116,'2_Participantes'!$A$6:$A$305,0))),"No registrado"))</f>
        <v/>
      </c>
      <c r="H116" s="47">
        <f t="array" ref="H116">IF(A116="","",IFERROR(IF(INDEX('2_Participantes'!$L$6:$L$305,MATCH(A116,'2_Participantes'!$A$6:$A$305,0))="","",INDEX('2_Participantes'!$L$6:$L$305,MATCH(A116,'2_Participantes'!$A$6:$A$305,0))),""))</f>
        <v/>
      </c>
      <c r="I116" s="31">
        <f>IF(A116="","",IF(AND(ISNUMBER(C116),ISNUMBER(D116),G116&lt;&gt;"Excluido"),1,0))</f>
        <v/>
      </c>
      <c r="J116" s="48">
        <f>IF(A116="","",IF(G116="No registrado","Código ausente en 2_Participantes",IF(AND(ISNUMBER(D116),NOT(ISNUMBER(C116))),"Postest sin pretest (huérfano)",IF(OR(AND(ISNUMBER(C116),OR(C116&lt;Inicio!$C$18,C116&gt;Inicio!$C$19)),AND(ISNUMBER(D116),OR(D116&lt;Inicio!$C$18,D116&gt;Inicio!$C$19))),"Fuera de rango",IF(COUNTIF($A$6:$A$305,A116)&gt;1,"Código duplicado","OK")))))</f>
        <v/>
      </c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 ht="15" customHeight="1" s="67">
      <c r="A117" s="22" t="inlineStr">
        <is>
          <t>GU-TDH-122</t>
        </is>
      </c>
      <c r="B117" s="26">
        <f t="array" ref="B117">IF(A117="","",IFERROR(IF(INDEX('2_Participantes'!$B$6:$B$305,MATCH(A117,'2_Participantes'!$A$6:$A$305,0))="","",INDEX('2_Participantes'!$B$6:$B$305,MATCH(A117,'2_Participantes'!$A$6:$A$305,0))),"No registrado"))</f>
        <v/>
      </c>
      <c r="C117" s="15" t="n">
        <v>65</v>
      </c>
      <c r="D117" s="15" t="n">
        <v>90</v>
      </c>
      <c r="E117" s="32">
        <f>IF(AND(ISNUMBER(C117),ISNUMBER(D117)),D117-C117,"")</f>
        <v/>
      </c>
      <c r="F117" s="31">
        <f t="array" ref="F117">IF(A117="","",IFERROR(IF(INDEX('2_Participantes'!$E$6:$E$305,MATCH(A117,'2_Participantes'!$A$6:$A$305,0))="","",INDEX('2_Participantes'!$E$6:$E$305,MATCH(A117,'2_Participantes'!$A$6:$A$305,0))),""))</f>
        <v/>
      </c>
      <c r="G117" s="26">
        <f t="array" ref="G117">IF(A117="","",IFERROR(IF(INDEX('2_Participantes'!$F$6:$F$305,MATCH(A117,'2_Participantes'!$A$6:$A$305,0))="","",INDEX('2_Participantes'!$F$6:$F$305,MATCH(A117,'2_Participantes'!$A$6:$A$305,0))),"No registrado"))</f>
        <v/>
      </c>
      <c r="H117" s="47">
        <f t="array" ref="H117">IF(A117="","",IFERROR(IF(INDEX('2_Participantes'!$L$6:$L$305,MATCH(A117,'2_Participantes'!$A$6:$A$305,0))="","",INDEX('2_Participantes'!$L$6:$L$305,MATCH(A117,'2_Participantes'!$A$6:$A$305,0))),""))</f>
        <v/>
      </c>
      <c r="I117" s="31">
        <f>IF(A117="","",IF(AND(ISNUMBER(C117),ISNUMBER(D117),G117&lt;&gt;"Excluido"),1,0))</f>
        <v/>
      </c>
      <c r="J117" s="48">
        <f>IF(A117="","",IF(G117="No registrado","Código ausente en 2_Participantes",IF(AND(ISNUMBER(D117),NOT(ISNUMBER(C117))),"Postest sin pretest (huérfano)",IF(OR(AND(ISNUMBER(C117),OR(C117&lt;Inicio!$C$18,C117&gt;Inicio!$C$19)),AND(ISNUMBER(D117),OR(D117&lt;Inicio!$C$18,D117&gt;Inicio!$C$19))),"Fuera de rango",IF(COUNTIF($A$6:$A$305,A117)&gt;1,"Código duplicado","OK")))))</f>
        <v/>
      </c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 ht="15" customHeight="1" s="67">
      <c r="A118" s="22" t="inlineStr">
        <is>
          <t>GU-TDH-124</t>
        </is>
      </c>
      <c r="B118" s="26">
        <f t="array" ref="B118">IF(A118="","",IFERROR(IF(INDEX('2_Participantes'!$B$6:$B$305,MATCH(A118,'2_Participantes'!$A$6:$A$305,0))="","",INDEX('2_Participantes'!$B$6:$B$305,MATCH(A118,'2_Participantes'!$A$6:$A$305,0))),"No registrado"))</f>
        <v/>
      </c>
      <c r="C118" s="15" t="n">
        <v>27.5</v>
      </c>
      <c r="D118" s="15" t="n">
        <v>70</v>
      </c>
      <c r="E118" s="32">
        <f>IF(AND(ISNUMBER(C118),ISNUMBER(D118)),D118-C118,"")</f>
        <v/>
      </c>
      <c r="F118" s="31">
        <f t="array" ref="F118">IF(A118="","",IFERROR(IF(INDEX('2_Participantes'!$E$6:$E$305,MATCH(A118,'2_Participantes'!$A$6:$A$305,0))="","",INDEX('2_Participantes'!$E$6:$E$305,MATCH(A118,'2_Participantes'!$A$6:$A$305,0))),""))</f>
        <v/>
      </c>
      <c r="G118" s="26">
        <f t="array" ref="G118">IF(A118="","",IFERROR(IF(INDEX('2_Participantes'!$F$6:$F$305,MATCH(A118,'2_Participantes'!$A$6:$A$305,0))="","",INDEX('2_Participantes'!$F$6:$F$305,MATCH(A118,'2_Participantes'!$A$6:$A$305,0))),"No registrado"))</f>
        <v/>
      </c>
      <c r="H118" s="47">
        <f t="array" ref="H118">IF(A118="","",IFERROR(IF(INDEX('2_Participantes'!$L$6:$L$305,MATCH(A118,'2_Participantes'!$A$6:$A$305,0))="","",INDEX('2_Participantes'!$L$6:$L$305,MATCH(A118,'2_Participantes'!$A$6:$A$305,0))),""))</f>
        <v/>
      </c>
      <c r="I118" s="31">
        <f>IF(A118="","",IF(AND(ISNUMBER(C118),ISNUMBER(D118),G118&lt;&gt;"Excluido"),1,0))</f>
        <v/>
      </c>
      <c r="J118" s="48">
        <f>IF(A118="","",IF(G118="No registrado","Código ausente en 2_Participantes",IF(AND(ISNUMBER(D118),NOT(ISNUMBER(C118))),"Postest sin pretest (huérfano)",IF(OR(AND(ISNUMBER(C118),OR(C118&lt;Inicio!$C$18,C118&gt;Inicio!$C$19)),AND(ISNUMBER(D118),OR(D118&lt;Inicio!$C$18,D118&gt;Inicio!$C$19))),"Fuera de rango",IF(COUNTIF($A$6:$A$305,A118)&gt;1,"Código duplicado","OK")))))</f>
        <v/>
      </c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 ht="15" customHeight="1" s="67">
      <c r="A119" s="22" t="inlineStr">
        <is>
          <t>GU-TDH-125</t>
        </is>
      </c>
      <c r="B119" s="26">
        <f t="array" ref="B119">IF(A119="","",IFERROR(IF(INDEX('2_Participantes'!$B$6:$B$305,MATCH(A119,'2_Participantes'!$A$6:$A$305,0))="","",INDEX('2_Participantes'!$B$6:$B$305,MATCH(A119,'2_Participantes'!$A$6:$A$305,0))),"No registrado"))</f>
        <v/>
      </c>
      <c r="C119" s="15" t="n">
        <v>57.5</v>
      </c>
      <c r="D119" s="15" t="n">
        <v>70</v>
      </c>
      <c r="E119" s="32">
        <f>IF(AND(ISNUMBER(C119),ISNUMBER(D119)),D119-C119,"")</f>
        <v/>
      </c>
      <c r="F119" s="31">
        <f t="array" ref="F119">IF(A119="","",IFERROR(IF(INDEX('2_Participantes'!$E$6:$E$305,MATCH(A119,'2_Participantes'!$A$6:$A$305,0))="","",INDEX('2_Participantes'!$E$6:$E$305,MATCH(A119,'2_Participantes'!$A$6:$A$305,0))),""))</f>
        <v/>
      </c>
      <c r="G119" s="26">
        <f t="array" ref="G119">IF(A119="","",IFERROR(IF(INDEX('2_Participantes'!$F$6:$F$305,MATCH(A119,'2_Participantes'!$A$6:$A$305,0))="","",INDEX('2_Participantes'!$F$6:$F$305,MATCH(A119,'2_Participantes'!$A$6:$A$305,0))),"No registrado"))</f>
        <v/>
      </c>
      <c r="H119" s="47">
        <f t="array" ref="H119">IF(A119="","",IFERROR(IF(INDEX('2_Participantes'!$L$6:$L$305,MATCH(A119,'2_Participantes'!$A$6:$A$305,0))="","",INDEX('2_Participantes'!$L$6:$L$305,MATCH(A119,'2_Participantes'!$A$6:$A$305,0))),""))</f>
        <v/>
      </c>
      <c r="I119" s="31">
        <f>IF(A119="","",IF(AND(ISNUMBER(C119),ISNUMBER(D119),G119&lt;&gt;"Excluido"),1,0))</f>
        <v/>
      </c>
      <c r="J119" s="48">
        <f>IF(A119="","",IF(G119="No registrado","Código ausente en 2_Participantes",IF(AND(ISNUMBER(D119),NOT(ISNUMBER(C119))),"Postest sin pretest (huérfano)",IF(OR(AND(ISNUMBER(C119),OR(C119&lt;Inicio!$C$18,C119&gt;Inicio!$C$19)),AND(ISNUMBER(D119),OR(D119&lt;Inicio!$C$18,D119&gt;Inicio!$C$19))),"Fuera de rango",IF(COUNTIF($A$6:$A$305,A119)&gt;1,"Código duplicado","OK")))))</f>
        <v/>
      </c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 ht="15" customHeight="1" s="67">
      <c r="A120" s="22" t="n"/>
      <c r="B120" s="26" t="n"/>
      <c r="C120" s="15" t="n"/>
      <c r="D120" s="15" t="n"/>
      <c r="E120" s="32" t="n"/>
      <c r="F120" s="31" t="n"/>
      <c r="G120" s="26" t="n"/>
      <c r="H120" s="47" t="n"/>
      <c r="I120" s="31" t="n"/>
      <c r="J120" s="48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 ht="15" customHeight="1" s="67">
      <c r="A121" s="22" t="n"/>
      <c r="B121" s="26" t="n"/>
      <c r="C121" s="15" t="n"/>
      <c r="D121" s="15" t="n"/>
      <c r="E121" s="32" t="n"/>
      <c r="F121" s="31" t="n"/>
      <c r="G121" s="26" t="n"/>
      <c r="H121" s="47" t="n"/>
      <c r="I121" s="31" t="n"/>
      <c r="J121" s="48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 ht="15" customHeight="1" s="67">
      <c r="A122" s="22" t="n"/>
      <c r="B122" s="26" t="n"/>
      <c r="C122" s="15" t="n"/>
      <c r="D122" s="15" t="n"/>
      <c r="E122" s="32" t="n"/>
      <c r="F122" s="31" t="n"/>
      <c r="G122" s="26" t="n"/>
      <c r="H122" s="47" t="n"/>
      <c r="I122" s="31" t="n"/>
      <c r="J122" s="48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 ht="15" customHeight="1" s="67">
      <c r="A123" s="22" t="n"/>
      <c r="B123" s="26" t="n"/>
      <c r="C123" s="15" t="n"/>
      <c r="D123" s="15" t="n"/>
      <c r="E123" s="32" t="n"/>
      <c r="F123" s="31" t="n"/>
      <c r="G123" s="26" t="n"/>
      <c r="H123" s="47" t="n"/>
      <c r="I123" s="31" t="n"/>
      <c r="J123" s="48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 ht="15" customHeight="1" s="67">
      <c r="A124" s="22" t="n"/>
      <c r="B124" s="26" t="n"/>
      <c r="C124" s="15" t="n"/>
      <c r="D124" s="15" t="n"/>
      <c r="E124" s="32" t="n"/>
      <c r="F124" s="31" t="n"/>
      <c r="G124" s="26" t="n"/>
      <c r="H124" s="47" t="n"/>
      <c r="I124" s="31" t="n"/>
      <c r="J124" s="48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 ht="15" customHeight="1" s="67">
      <c r="A125" s="22" t="n"/>
      <c r="B125" s="26" t="n"/>
      <c r="C125" s="15" t="n"/>
      <c r="D125" s="15" t="n"/>
      <c r="E125" s="32" t="n"/>
      <c r="F125" s="31" t="n"/>
      <c r="G125" s="26" t="n"/>
      <c r="H125" s="47" t="n"/>
      <c r="I125" s="31" t="n"/>
      <c r="J125" s="48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 ht="15" customHeight="1" s="67">
      <c r="A126" s="22" t="n"/>
      <c r="B126" s="26" t="n"/>
      <c r="C126" s="15" t="n"/>
      <c r="D126" s="15" t="n"/>
      <c r="E126" s="32" t="n"/>
      <c r="F126" s="31" t="n"/>
      <c r="G126" s="26" t="n"/>
      <c r="H126" s="47" t="n"/>
      <c r="I126" s="31" t="n"/>
      <c r="J126" s="48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 ht="15" customHeight="1" s="67">
      <c r="A127" s="22" t="n"/>
      <c r="B127" s="26" t="n"/>
      <c r="C127" s="15" t="n"/>
      <c r="D127" s="15" t="n"/>
      <c r="E127" s="32" t="n"/>
      <c r="F127" s="31" t="n"/>
      <c r="G127" s="26" t="n"/>
      <c r="H127" s="47" t="n"/>
      <c r="I127" s="31" t="n"/>
      <c r="J127" s="48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 ht="15" customHeight="1" s="67">
      <c r="A128" s="22" t="n"/>
      <c r="B128" s="26" t="n"/>
      <c r="C128" s="15" t="n"/>
      <c r="D128" s="15" t="n"/>
      <c r="E128" s="32" t="n"/>
      <c r="F128" s="31" t="n"/>
      <c r="G128" s="26" t="n"/>
      <c r="H128" s="47" t="n"/>
      <c r="I128" s="31" t="n"/>
      <c r="J128" s="48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 ht="15" customHeight="1" s="67">
      <c r="A129" s="22" t="n"/>
      <c r="B129" s="26" t="n"/>
      <c r="C129" s="15" t="n"/>
      <c r="D129" s="15" t="n"/>
      <c r="E129" s="32" t="n"/>
      <c r="F129" s="31" t="n"/>
      <c r="G129" s="26" t="n"/>
      <c r="H129" s="47" t="n"/>
      <c r="I129" s="31" t="n"/>
      <c r="J129" s="48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 ht="15" customHeight="1" s="67">
      <c r="A130" s="22" t="n"/>
      <c r="B130" s="26" t="n"/>
      <c r="C130" s="15" t="n"/>
      <c r="D130" s="15" t="n"/>
      <c r="E130" s="32" t="n"/>
      <c r="F130" s="31" t="n"/>
      <c r="G130" s="26" t="n"/>
      <c r="H130" s="47" t="n"/>
      <c r="I130" s="31" t="n"/>
      <c r="J130" s="48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 ht="15" customHeight="1" s="67">
      <c r="A131" s="22" t="n"/>
      <c r="B131" s="26" t="n"/>
      <c r="C131" s="15" t="n"/>
      <c r="D131" s="15" t="n"/>
      <c r="E131" s="32" t="n"/>
      <c r="F131" s="31" t="n"/>
      <c r="G131" s="26" t="n"/>
      <c r="H131" s="47" t="n"/>
      <c r="I131" s="31" t="n"/>
      <c r="J131" s="48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 ht="15" customHeight="1" s="67">
      <c r="A132" s="22" t="n"/>
      <c r="B132" s="26" t="n"/>
      <c r="C132" s="15" t="n"/>
      <c r="D132" s="15" t="n"/>
      <c r="E132" s="32" t="n"/>
      <c r="F132" s="31" t="n"/>
      <c r="G132" s="26" t="n"/>
      <c r="H132" s="47" t="n"/>
      <c r="I132" s="31" t="n"/>
      <c r="J132" s="48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 ht="15" customHeight="1" s="67">
      <c r="A133" s="22" t="n"/>
      <c r="B133" s="26" t="n"/>
      <c r="C133" s="15" t="n"/>
      <c r="D133" s="15" t="n"/>
      <c r="E133" s="32" t="n"/>
      <c r="F133" s="31" t="n"/>
      <c r="G133" s="26" t="n"/>
      <c r="H133" s="47" t="n"/>
      <c r="I133" s="31" t="n"/>
      <c r="J133" s="48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 ht="15" customHeight="1" s="67">
      <c r="A134" s="22" t="n"/>
      <c r="B134" s="26" t="n"/>
      <c r="C134" s="15" t="n"/>
      <c r="D134" s="15" t="n"/>
      <c r="E134" s="32" t="n"/>
      <c r="F134" s="31" t="n"/>
      <c r="G134" s="26" t="n"/>
      <c r="H134" s="47" t="n"/>
      <c r="I134" s="31" t="n"/>
      <c r="J134" s="48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 ht="15" customHeight="1" s="67">
      <c r="A135" s="22" t="n"/>
      <c r="B135" s="26" t="n"/>
      <c r="C135" s="15" t="n"/>
      <c r="D135" s="15" t="n"/>
      <c r="E135" s="32" t="n"/>
      <c r="F135" s="31" t="n"/>
      <c r="G135" s="26" t="n"/>
      <c r="H135" s="47" t="n"/>
      <c r="I135" s="31" t="n"/>
      <c r="J135" s="48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 ht="15" customHeight="1" s="67">
      <c r="A136" s="22" t="n"/>
      <c r="B136" s="26" t="n"/>
      <c r="C136" s="15" t="n"/>
      <c r="D136" s="15" t="n"/>
      <c r="E136" s="32" t="n"/>
      <c r="F136" s="31" t="n"/>
      <c r="G136" s="26" t="n"/>
      <c r="H136" s="47" t="n"/>
      <c r="I136" s="31" t="n"/>
      <c r="J136" s="48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 ht="15" customHeight="1" s="67">
      <c r="A137" s="22" t="n"/>
      <c r="B137" s="26" t="n"/>
      <c r="C137" s="15" t="n"/>
      <c r="D137" s="15" t="n"/>
      <c r="E137" s="32" t="n"/>
      <c r="F137" s="31" t="n"/>
      <c r="G137" s="26" t="n"/>
      <c r="H137" s="47" t="n"/>
      <c r="I137" s="31" t="n"/>
      <c r="J137" s="48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 ht="15" customHeight="1" s="67">
      <c r="A138" s="22" t="n"/>
      <c r="B138" s="26" t="n"/>
      <c r="C138" s="15" t="n"/>
      <c r="D138" s="15" t="n"/>
      <c r="E138" s="32" t="n"/>
      <c r="F138" s="31" t="n"/>
      <c r="G138" s="26" t="n"/>
      <c r="H138" s="47" t="n"/>
      <c r="I138" s="31" t="n"/>
      <c r="J138" s="48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 ht="15" customHeight="1" s="67">
      <c r="A139" s="22" t="n"/>
      <c r="B139" s="26" t="n"/>
      <c r="C139" s="15" t="n"/>
      <c r="D139" s="15" t="n"/>
      <c r="E139" s="32" t="n"/>
      <c r="F139" s="31" t="n"/>
      <c r="G139" s="26" t="n"/>
      <c r="H139" s="47" t="n"/>
      <c r="I139" s="31" t="n"/>
      <c r="J139" s="48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 ht="15" customHeight="1" s="67">
      <c r="A140" s="22" t="n"/>
      <c r="B140" s="26" t="n"/>
      <c r="C140" s="15" t="n"/>
      <c r="D140" s="15" t="n"/>
      <c r="E140" s="32" t="n"/>
      <c r="F140" s="31" t="n"/>
      <c r="G140" s="26" t="n"/>
      <c r="H140" s="47" t="n"/>
      <c r="I140" s="31" t="n"/>
      <c r="J140" s="48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 ht="15" customHeight="1" s="67">
      <c r="A141" s="22" t="n"/>
      <c r="B141" s="26" t="n"/>
      <c r="C141" s="15" t="n"/>
      <c r="D141" s="15" t="n"/>
      <c r="E141" s="32" t="n"/>
      <c r="F141" s="31" t="n"/>
      <c r="G141" s="26" t="n"/>
      <c r="H141" s="47" t="n"/>
      <c r="I141" s="31" t="n"/>
      <c r="J141" s="48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 ht="15" customHeight="1" s="67">
      <c r="A142" s="22" t="n"/>
      <c r="B142" s="26" t="n"/>
      <c r="C142" s="15" t="n"/>
      <c r="D142" s="15" t="n"/>
      <c r="E142" s="32" t="n"/>
      <c r="F142" s="31" t="n"/>
      <c r="G142" s="26" t="n"/>
      <c r="H142" s="47" t="n"/>
      <c r="I142" s="31" t="n"/>
      <c r="J142" s="48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 ht="15" customHeight="1" s="67">
      <c r="A143" s="22" t="n"/>
      <c r="B143" s="26" t="n"/>
      <c r="C143" s="15" t="n"/>
      <c r="D143" s="15" t="n"/>
      <c r="E143" s="32" t="n"/>
      <c r="F143" s="31" t="n"/>
      <c r="G143" s="26" t="n"/>
      <c r="H143" s="47" t="n"/>
      <c r="I143" s="31" t="n"/>
      <c r="J143" s="48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 ht="15" customHeight="1" s="67">
      <c r="A144" s="22" t="n"/>
      <c r="B144" s="26" t="n"/>
      <c r="C144" s="15" t="n"/>
      <c r="D144" s="15" t="n"/>
      <c r="E144" s="32" t="n"/>
      <c r="F144" s="31" t="n"/>
      <c r="G144" s="26" t="n"/>
      <c r="H144" s="47" t="n"/>
      <c r="I144" s="31" t="n"/>
      <c r="J144" s="48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 ht="15" customHeight="1" s="67">
      <c r="A145" s="22" t="n"/>
      <c r="B145" s="26" t="n"/>
      <c r="C145" s="15" t="n"/>
      <c r="D145" s="15" t="n"/>
      <c r="E145" s="32" t="n"/>
      <c r="F145" s="31" t="n"/>
      <c r="G145" s="26" t="n"/>
      <c r="H145" s="47" t="n"/>
      <c r="I145" s="31" t="n"/>
      <c r="J145" s="48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 ht="15" customHeight="1" s="67">
      <c r="A146" s="22" t="n"/>
      <c r="B146" s="26" t="n"/>
      <c r="C146" s="15" t="n"/>
      <c r="D146" s="15" t="n"/>
      <c r="E146" s="32" t="n"/>
      <c r="F146" s="31" t="n"/>
      <c r="G146" s="26" t="n"/>
      <c r="H146" s="47" t="n"/>
      <c r="I146" s="31" t="n"/>
      <c r="J146" s="48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 ht="15" customHeight="1" s="67">
      <c r="A147" s="22" t="n"/>
      <c r="B147" s="26" t="n"/>
      <c r="C147" s="15" t="n"/>
      <c r="D147" s="15" t="n"/>
      <c r="E147" s="32" t="n"/>
      <c r="F147" s="31" t="n"/>
      <c r="G147" s="26" t="n"/>
      <c r="H147" s="47" t="n"/>
      <c r="I147" s="31" t="n"/>
      <c r="J147" s="48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 ht="15" customHeight="1" s="67">
      <c r="A148" s="22" t="n"/>
      <c r="B148" s="26" t="n"/>
      <c r="C148" s="15" t="n"/>
      <c r="D148" s="15" t="n"/>
      <c r="E148" s="32" t="n"/>
      <c r="F148" s="31" t="n"/>
      <c r="G148" s="26" t="n"/>
      <c r="H148" s="47" t="n"/>
      <c r="I148" s="31" t="n"/>
      <c r="J148" s="48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 ht="15" customHeight="1" s="67">
      <c r="A149" s="22" t="n"/>
      <c r="B149" s="26" t="n"/>
      <c r="C149" s="15" t="n"/>
      <c r="D149" s="15" t="n"/>
      <c r="E149" s="32" t="n"/>
      <c r="F149" s="31" t="n"/>
      <c r="G149" s="26" t="n"/>
      <c r="H149" s="47" t="n"/>
      <c r="I149" s="31" t="n"/>
      <c r="J149" s="48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 ht="15" customHeight="1" s="67">
      <c r="A150" s="22" t="n"/>
      <c r="B150" s="26" t="n"/>
      <c r="C150" s="15" t="n"/>
      <c r="D150" s="15" t="n"/>
      <c r="E150" s="32" t="n"/>
      <c r="F150" s="31" t="n"/>
      <c r="G150" s="26" t="n"/>
      <c r="H150" s="47" t="n"/>
      <c r="I150" s="31" t="n"/>
      <c r="J150" s="48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 ht="15" customHeight="1" s="67">
      <c r="A151" s="22" t="n"/>
      <c r="B151" s="26" t="n"/>
      <c r="C151" s="15" t="n"/>
      <c r="D151" s="15" t="n"/>
      <c r="E151" s="32" t="n"/>
      <c r="F151" s="31" t="n"/>
      <c r="G151" s="26" t="n"/>
      <c r="H151" s="47" t="n"/>
      <c r="I151" s="31" t="n"/>
      <c r="J151" s="48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 ht="15" customHeight="1" s="67">
      <c r="A152" s="22" t="n"/>
      <c r="B152" s="26" t="n"/>
      <c r="C152" s="15" t="n"/>
      <c r="D152" s="15" t="n"/>
      <c r="E152" s="32" t="n"/>
      <c r="F152" s="31" t="n"/>
      <c r="G152" s="26" t="n"/>
      <c r="H152" s="47" t="n"/>
      <c r="I152" s="31" t="n"/>
      <c r="J152" s="48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 ht="15" customHeight="1" s="67">
      <c r="A153" s="22" t="n"/>
      <c r="B153" s="26" t="n"/>
      <c r="C153" s="15" t="n"/>
      <c r="D153" s="15" t="n"/>
      <c r="E153" s="32" t="n"/>
      <c r="F153" s="31" t="n"/>
      <c r="G153" s="26" t="n"/>
      <c r="H153" s="47" t="n"/>
      <c r="I153" s="31" t="n"/>
      <c r="J153" s="48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 ht="15" customHeight="1" s="67">
      <c r="A154" s="22" t="n"/>
      <c r="B154" s="26" t="n"/>
      <c r="C154" s="15" t="n"/>
      <c r="D154" s="15" t="n"/>
      <c r="E154" s="32" t="n"/>
      <c r="F154" s="31" t="n"/>
      <c r="G154" s="26" t="n"/>
      <c r="H154" s="47" t="n"/>
      <c r="I154" s="31" t="n"/>
      <c r="J154" s="48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 ht="15" customHeight="1" s="67">
      <c r="A155" s="22" t="n"/>
      <c r="B155" s="26" t="n"/>
      <c r="C155" s="15" t="n"/>
      <c r="D155" s="15" t="n"/>
      <c r="E155" s="32" t="n"/>
      <c r="F155" s="31" t="n"/>
      <c r="G155" s="26" t="n"/>
      <c r="H155" s="47" t="n"/>
      <c r="I155" s="31" t="n"/>
      <c r="J155" s="48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 ht="15" customHeight="1" s="67">
      <c r="A156" s="22" t="n"/>
      <c r="B156" s="26" t="n"/>
      <c r="C156" s="15" t="n"/>
      <c r="D156" s="15" t="n"/>
      <c r="E156" s="32" t="n"/>
      <c r="F156" s="31" t="n"/>
      <c r="G156" s="26" t="n"/>
      <c r="H156" s="47" t="n"/>
      <c r="I156" s="31" t="n"/>
      <c r="J156" s="48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 ht="15" customHeight="1" s="67">
      <c r="A157" s="22" t="n"/>
      <c r="B157" s="26" t="n"/>
      <c r="C157" s="15" t="n"/>
      <c r="D157" s="15" t="n"/>
      <c r="E157" s="32" t="n"/>
      <c r="F157" s="31" t="n"/>
      <c r="G157" s="26" t="n"/>
      <c r="H157" s="47" t="n"/>
      <c r="I157" s="31" t="n"/>
      <c r="J157" s="48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 ht="15" customHeight="1" s="67">
      <c r="A158" s="22" t="n"/>
      <c r="B158" s="26" t="n"/>
      <c r="C158" s="15" t="n"/>
      <c r="D158" s="15" t="n"/>
      <c r="E158" s="32" t="n"/>
      <c r="F158" s="31" t="n"/>
      <c r="G158" s="26" t="n"/>
      <c r="H158" s="47" t="n"/>
      <c r="I158" s="31" t="n"/>
      <c r="J158" s="48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 ht="15" customHeight="1" s="67">
      <c r="A159" s="22" t="n"/>
      <c r="B159" s="26" t="n"/>
      <c r="C159" s="15" t="n"/>
      <c r="D159" s="15" t="n"/>
      <c r="E159" s="32" t="n"/>
      <c r="F159" s="31" t="n"/>
      <c r="G159" s="26" t="n"/>
      <c r="H159" s="47" t="n"/>
      <c r="I159" s="31" t="n"/>
      <c r="J159" s="48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 ht="15" customHeight="1" s="67">
      <c r="A160" s="22" t="n"/>
      <c r="B160" s="26" t="n"/>
      <c r="C160" s="15" t="n"/>
      <c r="D160" s="15" t="n"/>
      <c r="E160" s="32" t="n"/>
      <c r="F160" s="31" t="n"/>
      <c r="G160" s="26" t="n"/>
      <c r="H160" s="47" t="n"/>
      <c r="I160" s="31" t="n"/>
      <c r="J160" s="48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 ht="15" customHeight="1" s="67">
      <c r="A161" s="22" t="n"/>
      <c r="B161" s="26" t="n"/>
      <c r="C161" s="15" t="n"/>
      <c r="D161" s="15" t="n"/>
      <c r="E161" s="32" t="n"/>
      <c r="F161" s="31" t="n"/>
      <c r="G161" s="26" t="n"/>
      <c r="H161" s="47" t="n"/>
      <c r="I161" s="31" t="n"/>
      <c r="J161" s="48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 ht="15" customHeight="1" s="67">
      <c r="A162" s="22" t="n"/>
      <c r="B162" s="26" t="n"/>
      <c r="C162" s="15" t="n"/>
      <c r="D162" s="15" t="n"/>
      <c r="E162" s="32" t="n"/>
      <c r="F162" s="31" t="n"/>
      <c r="G162" s="26" t="n"/>
      <c r="H162" s="47" t="n"/>
      <c r="I162" s="31" t="n"/>
      <c r="J162" s="48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 ht="15" customHeight="1" s="67">
      <c r="A163" s="22" t="n"/>
      <c r="B163" s="26" t="n"/>
      <c r="C163" s="15" t="n"/>
      <c r="D163" s="15" t="n"/>
      <c r="E163" s="32" t="n"/>
      <c r="F163" s="31" t="n"/>
      <c r="G163" s="26" t="n"/>
      <c r="H163" s="47" t="n"/>
      <c r="I163" s="31" t="n"/>
      <c r="J163" s="48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 ht="15" customHeight="1" s="67">
      <c r="A164" s="22" t="n"/>
      <c r="B164" s="26" t="n"/>
      <c r="C164" s="15" t="n"/>
      <c r="D164" s="15" t="n"/>
      <c r="E164" s="32" t="n"/>
      <c r="F164" s="31" t="n"/>
      <c r="G164" s="26" t="n"/>
      <c r="H164" s="47" t="n"/>
      <c r="I164" s="31" t="n"/>
      <c r="J164" s="48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 ht="15" customHeight="1" s="67">
      <c r="A165" s="22" t="n"/>
      <c r="B165" s="26" t="n"/>
      <c r="C165" s="15" t="n"/>
      <c r="D165" s="15" t="n"/>
      <c r="E165" s="32" t="n"/>
      <c r="F165" s="31" t="n"/>
      <c r="G165" s="26" t="n"/>
      <c r="H165" s="47" t="n"/>
      <c r="I165" s="31" t="n"/>
      <c r="J165" s="48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 ht="15" customHeight="1" s="67">
      <c r="A166" s="22" t="n"/>
      <c r="B166" s="26" t="n"/>
      <c r="C166" s="15" t="n"/>
      <c r="D166" s="15" t="n"/>
      <c r="E166" s="32" t="n"/>
      <c r="F166" s="31" t="n"/>
      <c r="G166" s="26" t="n"/>
      <c r="H166" s="47" t="n"/>
      <c r="I166" s="31" t="n"/>
      <c r="J166" s="48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 ht="15" customHeight="1" s="67">
      <c r="A167" s="22" t="n"/>
      <c r="B167" s="26" t="n"/>
      <c r="C167" s="15" t="n"/>
      <c r="D167" s="15" t="n"/>
      <c r="E167" s="32" t="n"/>
      <c r="F167" s="31" t="n"/>
      <c r="G167" s="26" t="n"/>
      <c r="H167" s="47" t="n"/>
      <c r="I167" s="31" t="n"/>
      <c r="J167" s="48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 ht="15" customHeight="1" s="67">
      <c r="A168" s="22" t="n"/>
      <c r="B168" s="26" t="n"/>
      <c r="C168" s="15" t="n"/>
      <c r="D168" s="15" t="n"/>
      <c r="E168" s="32" t="n"/>
      <c r="F168" s="31" t="n"/>
      <c r="G168" s="26" t="n"/>
      <c r="H168" s="47" t="n"/>
      <c r="I168" s="31" t="n"/>
      <c r="J168" s="48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 ht="15" customHeight="1" s="67">
      <c r="A169" s="22" t="n"/>
      <c r="B169" s="26" t="n"/>
      <c r="C169" s="15" t="n"/>
      <c r="D169" s="15" t="n"/>
      <c r="E169" s="32" t="n"/>
      <c r="F169" s="31" t="n"/>
      <c r="G169" s="26" t="n"/>
      <c r="H169" s="47" t="n"/>
      <c r="I169" s="31" t="n"/>
      <c r="J169" s="48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 ht="15" customHeight="1" s="67">
      <c r="A170" s="22" t="n"/>
      <c r="B170" s="26" t="n"/>
      <c r="C170" s="15" t="n"/>
      <c r="D170" s="15" t="n"/>
      <c r="E170" s="32" t="n"/>
      <c r="F170" s="31" t="n"/>
      <c r="G170" s="26" t="n"/>
      <c r="H170" s="47" t="n"/>
      <c r="I170" s="31" t="n"/>
      <c r="J170" s="48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 ht="15" customHeight="1" s="67">
      <c r="A171" s="22" t="n"/>
      <c r="B171" s="26" t="n"/>
      <c r="C171" s="15" t="n"/>
      <c r="D171" s="15" t="n"/>
      <c r="E171" s="32" t="n"/>
      <c r="F171" s="31" t="n"/>
      <c r="G171" s="26" t="n"/>
      <c r="H171" s="47" t="n"/>
      <c r="I171" s="31" t="n"/>
      <c r="J171" s="48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 ht="15" customHeight="1" s="67">
      <c r="A172" s="22" t="n"/>
      <c r="B172" s="26" t="n"/>
      <c r="C172" s="15" t="n"/>
      <c r="D172" s="15" t="n"/>
      <c r="E172" s="32" t="n"/>
      <c r="F172" s="31" t="n"/>
      <c r="G172" s="26" t="n"/>
      <c r="H172" s="47" t="n"/>
      <c r="I172" s="31" t="n"/>
      <c r="J172" s="48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 ht="15" customHeight="1" s="67">
      <c r="A173" s="22" t="n"/>
      <c r="B173" s="26" t="n"/>
      <c r="C173" s="15" t="n"/>
      <c r="D173" s="15" t="n"/>
      <c r="E173" s="32" t="n"/>
      <c r="F173" s="31" t="n"/>
      <c r="G173" s="26" t="n"/>
      <c r="H173" s="47" t="n"/>
      <c r="I173" s="31" t="n"/>
      <c r="J173" s="48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 ht="15" customHeight="1" s="67">
      <c r="A174" s="22" t="n"/>
      <c r="B174" s="26" t="n"/>
      <c r="C174" s="15" t="n"/>
      <c r="D174" s="15" t="n"/>
      <c r="E174" s="32" t="n"/>
      <c r="F174" s="31" t="n"/>
      <c r="G174" s="26" t="n"/>
      <c r="H174" s="47" t="n"/>
      <c r="I174" s="31" t="n"/>
      <c r="J174" s="48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 ht="15" customHeight="1" s="67">
      <c r="A175" s="22" t="n"/>
      <c r="B175" s="26" t="n"/>
      <c r="C175" s="15" t="n"/>
      <c r="D175" s="15" t="n"/>
      <c r="E175" s="32" t="n"/>
      <c r="F175" s="31" t="n"/>
      <c r="G175" s="26" t="n"/>
      <c r="H175" s="47" t="n"/>
      <c r="I175" s="31" t="n"/>
      <c r="J175" s="48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 ht="15" customHeight="1" s="67">
      <c r="A176" s="22" t="n"/>
      <c r="B176" s="26" t="n"/>
      <c r="C176" s="15" t="n"/>
      <c r="D176" s="15" t="n"/>
      <c r="E176" s="32" t="n"/>
      <c r="F176" s="31" t="n"/>
      <c r="G176" s="26" t="n"/>
      <c r="H176" s="47" t="n"/>
      <c r="I176" s="31" t="n"/>
      <c r="J176" s="48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 ht="15" customHeight="1" s="67">
      <c r="A177" s="22" t="n"/>
      <c r="B177" s="26" t="n"/>
      <c r="C177" s="15" t="n"/>
      <c r="D177" s="15" t="n"/>
      <c r="E177" s="32" t="n"/>
      <c r="F177" s="31" t="n"/>
      <c r="G177" s="26" t="n"/>
      <c r="H177" s="47" t="n"/>
      <c r="I177" s="31" t="n"/>
      <c r="J177" s="48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 ht="15" customHeight="1" s="67">
      <c r="A178" s="22" t="n"/>
      <c r="B178" s="26" t="n"/>
      <c r="C178" s="15" t="n"/>
      <c r="D178" s="15" t="n"/>
      <c r="E178" s="32" t="n"/>
      <c r="F178" s="31" t="n"/>
      <c r="G178" s="26" t="n"/>
      <c r="H178" s="47" t="n"/>
      <c r="I178" s="31" t="n"/>
      <c r="J178" s="48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 ht="15" customHeight="1" s="67">
      <c r="A179" s="22" t="n"/>
      <c r="B179" s="26" t="n"/>
      <c r="C179" s="15" t="n"/>
      <c r="D179" s="15" t="n"/>
      <c r="E179" s="32" t="n"/>
      <c r="F179" s="31" t="n"/>
      <c r="G179" s="26" t="n"/>
      <c r="H179" s="47" t="n"/>
      <c r="I179" s="31" t="n"/>
      <c r="J179" s="48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 ht="15" customHeight="1" s="67">
      <c r="A180" s="22" t="n"/>
      <c r="B180" s="26" t="n"/>
      <c r="C180" s="15" t="n"/>
      <c r="D180" s="15" t="n"/>
      <c r="E180" s="32" t="n"/>
      <c r="F180" s="31" t="n"/>
      <c r="G180" s="26" t="n"/>
      <c r="H180" s="47" t="n"/>
      <c r="I180" s="31" t="n"/>
      <c r="J180" s="48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 ht="15" customHeight="1" s="67">
      <c r="A181" s="22" t="n"/>
      <c r="B181" s="26" t="n"/>
      <c r="C181" s="15" t="n"/>
      <c r="D181" s="15" t="n"/>
      <c r="E181" s="32" t="n"/>
      <c r="F181" s="31" t="n"/>
      <c r="G181" s="26" t="n"/>
      <c r="H181" s="47" t="n"/>
      <c r="I181" s="31" t="n"/>
      <c r="J181" s="48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 ht="15" customHeight="1" s="67">
      <c r="A182" s="22" t="n"/>
      <c r="B182" s="26" t="n"/>
      <c r="C182" s="15" t="n"/>
      <c r="D182" s="15" t="n"/>
      <c r="E182" s="32" t="n"/>
      <c r="F182" s="31" t="n"/>
      <c r="G182" s="26" t="n"/>
      <c r="H182" s="47" t="n"/>
      <c r="I182" s="31" t="n"/>
      <c r="J182" s="48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 ht="15" customHeight="1" s="67">
      <c r="A183" s="22" t="n"/>
      <c r="B183" s="26" t="n"/>
      <c r="C183" s="15" t="n"/>
      <c r="D183" s="15" t="n"/>
      <c r="E183" s="32" t="n"/>
      <c r="F183" s="31" t="n"/>
      <c r="G183" s="26" t="n"/>
      <c r="H183" s="47" t="n"/>
      <c r="I183" s="31" t="n"/>
      <c r="J183" s="48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 ht="15" customHeight="1" s="67">
      <c r="A184" s="22" t="n"/>
      <c r="B184" s="26" t="n"/>
      <c r="C184" s="15" t="n"/>
      <c r="D184" s="15" t="n"/>
      <c r="E184" s="32" t="n"/>
      <c r="F184" s="31" t="n"/>
      <c r="G184" s="26" t="n"/>
      <c r="H184" s="47" t="n"/>
      <c r="I184" s="31" t="n"/>
      <c r="J184" s="48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 ht="15" customHeight="1" s="67">
      <c r="A185" s="22" t="n"/>
      <c r="B185" s="26" t="n"/>
      <c r="C185" s="15" t="n"/>
      <c r="D185" s="15" t="n"/>
      <c r="E185" s="32" t="n"/>
      <c r="F185" s="31" t="n"/>
      <c r="G185" s="26" t="n"/>
      <c r="H185" s="47" t="n"/>
      <c r="I185" s="31" t="n"/>
      <c r="J185" s="48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 ht="15" customHeight="1" s="67">
      <c r="A186" s="22" t="n"/>
      <c r="B186" s="26" t="n"/>
      <c r="C186" s="15" t="n"/>
      <c r="D186" s="15" t="n"/>
      <c r="E186" s="32" t="n"/>
      <c r="F186" s="31" t="n"/>
      <c r="G186" s="26" t="n"/>
      <c r="H186" s="47" t="n"/>
      <c r="I186" s="31" t="n"/>
      <c r="J186" s="48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 ht="15" customHeight="1" s="67">
      <c r="A187" s="22" t="n"/>
      <c r="B187" s="26" t="n"/>
      <c r="C187" s="15" t="n"/>
      <c r="D187" s="15" t="n"/>
      <c r="E187" s="32" t="n"/>
      <c r="F187" s="31" t="n"/>
      <c r="G187" s="26" t="n"/>
      <c r="H187" s="47" t="n"/>
      <c r="I187" s="31" t="n"/>
      <c r="J187" s="48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 ht="15" customHeight="1" s="67">
      <c r="A188" s="22" t="n"/>
      <c r="B188" s="26" t="n"/>
      <c r="C188" s="15" t="n"/>
      <c r="D188" s="15" t="n"/>
      <c r="E188" s="32" t="n"/>
      <c r="F188" s="31" t="n"/>
      <c r="G188" s="26" t="n"/>
      <c r="H188" s="47" t="n"/>
      <c r="I188" s="31" t="n"/>
      <c r="J188" s="48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 ht="15" customHeight="1" s="67">
      <c r="A189" s="22" t="n"/>
      <c r="B189" s="26" t="n"/>
      <c r="C189" s="15" t="n"/>
      <c r="D189" s="15" t="n"/>
      <c r="E189" s="32" t="n"/>
      <c r="F189" s="31" t="n"/>
      <c r="G189" s="26" t="n"/>
      <c r="H189" s="47" t="n"/>
      <c r="I189" s="31" t="n"/>
      <c r="J189" s="48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 ht="15" customHeight="1" s="67">
      <c r="A190" s="22" t="n"/>
      <c r="B190" s="26" t="n"/>
      <c r="C190" s="15" t="n"/>
      <c r="D190" s="15" t="n"/>
      <c r="E190" s="32" t="n"/>
      <c r="F190" s="31" t="n"/>
      <c r="G190" s="26" t="n"/>
      <c r="H190" s="47" t="n"/>
      <c r="I190" s="31" t="n"/>
      <c r="J190" s="48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 ht="15" customHeight="1" s="67">
      <c r="A191" s="22" t="n"/>
      <c r="B191" s="26" t="n"/>
      <c r="C191" s="15" t="n"/>
      <c r="D191" s="15" t="n"/>
      <c r="E191" s="32" t="n"/>
      <c r="F191" s="31" t="n"/>
      <c r="G191" s="26" t="n"/>
      <c r="H191" s="47" t="n"/>
      <c r="I191" s="31" t="n"/>
      <c r="J191" s="48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 ht="15" customHeight="1" s="67">
      <c r="A192" s="22" t="n"/>
      <c r="B192" s="26" t="n"/>
      <c r="C192" s="15" t="n"/>
      <c r="D192" s="15" t="n"/>
      <c r="E192" s="32" t="n"/>
      <c r="F192" s="31" t="n"/>
      <c r="G192" s="26" t="n"/>
      <c r="H192" s="47" t="n"/>
      <c r="I192" s="31" t="n"/>
      <c r="J192" s="48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 ht="15" customHeight="1" s="67">
      <c r="A193" s="22" t="n"/>
      <c r="B193" s="26" t="n"/>
      <c r="C193" s="15" t="n"/>
      <c r="D193" s="15" t="n"/>
      <c r="E193" s="32" t="n"/>
      <c r="F193" s="31" t="n"/>
      <c r="G193" s="26" t="n"/>
      <c r="H193" s="47" t="n"/>
      <c r="I193" s="31" t="n"/>
      <c r="J193" s="48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 ht="15" customHeight="1" s="67">
      <c r="A194" s="22" t="n"/>
      <c r="B194" s="26" t="n"/>
      <c r="C194" s="15" t="n"/>
      <c r="D194" s="15" t="n"/>
      <c r="E194" s="32" t="n"/>
      <c r="F194" s="31" t="n"/>
      <c r="G194" s="26" t="n"/>
      <c r="H194" s="47" t="n"/>
      <c r="I194" s="31" t="n"/>
      <c r="J194" s="48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 ht="15" customHeight="1" s="67">
      <c r="A195" s="22" t="n"/>
      <c r="B195" s="26" t="n"/>
      <c r="C195" s="15" t="n"/>
      <c r="D195" s="15" t="n"/>
      <c r="E195" s="32" t="n"/>
      <c r="F195" s="31" t="n"/>
      <c r="G195" s="26" t="n"/>
      <c r="H195" s="47" t="n"/>
      <c r="I195" s="31" t="n"/>
      <c r="J195" s="48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 ht="15" customHeight="1" s="67">
      <c r="A196" s="22" t="n"/>
      <c r="B196" s="26" t="n"/>
      <c r="C196" s="15" t="n"/>
      <c r="D196" s="15" t="n"/>
      <c r="E196" s="32" t="n"/>
      <c r="F196" s="31" t="n"/>
      <c r="G196" s="26" t="n"/>
      <c r="H196" s="47" t="n"/>
      <c r="I196" s="31" t="n"/>
      <c r="J196" s="48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 ht="15" customHeight="1" s="67">
      <c r="A197" s="22" t="n"/>
      <c r="B197" s="26" t="n"/>
      <c r="C197" s="15" t="n"/>
      <c r="D197" s="15" t="n"/>
      <c r="E197" s="32" t="n"/>
      <c r="F197" s="31" t="n"/>
      <c r="G197" s="26" t="n"/>
      <c r="H197" s="47" t="n"/>
      <c r="I197" s="31" t="n"/>
      <c r="J197" s="48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 ht="15" customHeight="1" s="67">
      <c r="A198" s="22" t="n"/>
      <c r="B198" s="26" t="n"/>
      <c r="C198" s="15" t="n"/>
      <c r="D198" s="15" t="n"/>
      <c r="E198" s="32" t="n"/>
      <c r="F198" s="31" t="n"/>
      <c r="G198" s="26" t="n"/>
      <c r="H198" s="47" t="n"/>
      <c r="I198" s="31" t="n"/>
      <c r="J198" s="48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 ht="15" customHeight="1" s="67">
      <c r="A199" s="22" t="n"/>
      <c r="B199" s="26" t="n"/>
      <c r="C199" s="15" t="n"/>
      <c r="D199" s="15" t="n"/>
      <c r="E199" s="32" t="n"/>
      <c r="F199" s="31" t="n"/>
      <c r="G199" s="26" t="n"/>
      <c r="H199" s="47" t="n"/>
      <c r="I199" s="31" t="n"/>
      <c r="J199" s="48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 ht="15" customHeight="1" s="67">
      <c r="A200" s="22" t="n"/>
      <c r="B200" s="26" t="n"/>
      <c r="C200" s="15" t="n"/>
      <c r="D200" s="15" t="n"/>
      <c r="E200" s="32" t="n"/>
      <c r="F200" s="31" t="n"/>
      <c r="G200" s="26" t="n"/>
      <c r="H200" s="47" t="n"/>
      <c r="I200" s="31" t="n"/>
      <c r="J200" s="48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 ht="15" customHeight="1" s="67">
      <c r="A201" s="22" t="n"/>
      <c r="B201" s="26" t="n"/>
      <c r="C201" s="15" t="n"/>
      <c r="D201" s="15" t="n"/>
      <c r="E201" s="32" t="n"/>
      <c r="F201" s="31" t="n"/>
      <c r="G201" s="26" t="n"/>
      <c r="H201" s="47" t="n"/>
      <c r="I201" s="31" t="n"/>
      <c r="J201" s="48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 ht="15" customHeight="1" s="67">
      <c r="A202" s="22" t="n"/>
      <c r="B202" s="26" t="n"/>
      <c r="C202" s="15" t="n"/>
      <c r="D202" s="15" t="n"/>
      <c r="E202" s="32" t="n"/>
      <c r="F202" s="31" t="n"/>
      <c r="G202" s="26" t="n"/>
      <c r="H202" s="47" t="n"/>
      <c r="I202" s="31" t="n"/>
      <c r="J202" s="48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 ht="15" customHeight="1" s="67">
      <c r="A203" s="22" t="n"/>
      <c r="B203" s="26" t="n"/>
      <c r="C203" s="15" t="n"/>
      <c r="D203" s="15" t="n"/>
      <c r="E203" s="32" t="n"/>
      <c r="F203" s="31" t="n"/>
      <c r="G203" s="26" t="n"/>
      <c r="H203" s="47" t="n"/>
      <c r="I203" s="31" t="n"/>
      <c r="J203" s="48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 ht="15" customHeight="1" s="67">
      <c r="A204" s="22" t="n"/>
      <c r="B204" s="26" t="n"/>
      <c r="C204" s="15" t="n"/>
      <c r="D204" s="15" t="n"/>
      <c r="E204" s="32" t="n"/>
      <c r="F204" s="31" t="n"/>
      <c r="G204" s="26" t="n"/>
      <c r="H204" s="47" t="n"/>
      <c r="I204" s="31" t="n"/>
      <c r="J204" s="48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 ht="15" customHeight="1" s="67">
      <c r="A205" s="22" t="n"/>
      <c r="B205" s="26" t="n"/>
      <c r="C205" s="15" t="n"/>
      <c r="D205" s="15" t="n"/>
      <c r="E205" s="32" t="n"/>
      <c r="F205" s="31" t="n"/>
      <c r="G205" s="26" t="n"/>
      <c r="H205" s="47" t="n"/>
      <c r="I205" s="31" t="n"/>
      <c r="J205" s="48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 ht="15" customHeight="1" s="67">
      <c r="A206" s="22" t="n"/>
      <c r="B206" s="26" t="n"/>
      <c r="C206" s="15" t="n"/>
      <c r="D206" s="15" t="n"/>
      <c r="E206" s="32" t="n"/>
      <c r="F206" s="31" t="n"/>
      <c r="G206" s="26" t="n"/>
      <c r="H206" s="47" t="n"/>
      <c r="I206" s="31" t="n"/>
      <c r="J206" s="48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 ht="15" customHeight="1" s="67">
      <c r="A207" s="22" t="n"/>
      <c r="B207" s="26" t="n"/>
      <c r="C207" s="15" t="n"/>
      <c r="D207" s="15" t="n"/>
      <c r="E207" s="32" t="n"/>
      <c r="F207" s="31" t="n"/>
      <c r="G207" s="26" t="n"/>
      <c r="H207" s="47" t="n"/>
      <c r="I207" s="31" t="n"/>
      <c r="J207" s="48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 ht="15" customHeight="1" s="67">
      <c r="A208" s="22" t="n"/>
      <c r="B208" s="26" t="n"/>
      <c r="C208" s="15" t="n"/>
      <c r="D208" s="15" t="n"/>
      <c r="E208" s="32" t="n"/>
      <c r="F208" s="31" t="n"/>
      <c r="G208" s="26" t="n"/>
      <c r="H208" s="47" t="n"/>
      <c r="I208" s="31" t="n"/>
      <c r="J208" s="48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 ht="15" customHeight="1" s="67">
      <c r="A209" s="22" t="n"/>
      <c r="B209" s="26" t="n"/>
      <c r="C209" s="15" t="n"/>
      <c r="D209" s="15" t="n"/>
      <c r="E209" s="32" t="n"/>
      <c r="F209" s="31" t="n"/>
      <c r="G209" s="26" t="n"/>
      <c r="H209" s="47" t="n"/>
      <c r="I209" s="31" t="n"/>
      <c r="J209" s="48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 ht="15" customHeight="1" s="67">
      <c r="A210" s="22" t="n"/>
      <c r="B210" s="26" t="n"/>
      <c r="C210" s="15" t="n"/>
      <c r="D210" s="15" t="n"/>
      <c r="E210" s="32" t="n"/>
      <c r="F210" s="31" t="n"/>
      <c r="G210" s="26" t="n"/>
      <c r="H210" s="47" t="n"/>
      <c r="I210" s="31" t="n"/>
      <c r="J210" s="48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 ht="15" customHeight="1" s="67">
      <c r="A211" s="22" t="n"/>
      <c r="B211" s="26" t="n"/>
      <c r="C211" s="15" t="n"/>
      <c r="D211" s="15" t="n"/>
      <c r="E211" s="32" t="n"/>
      <c r="F211" s="31" t="n"/>
      <c r="G211" s="26" t="n"/>
      <c r="H211" s="47" t="n"/>
      <c r="I211" s="31" t="n"/>
      <c r="J211" s="48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 ht="15" customHeight="1" s="67">
      <c r="A212" s="22" t="n"/>
      <c r="B212" s="26" t="n"/>
      <c r="C212" s="15" t="n"/>
      <c r="D212" s="15" t="n"/>
      <c r="E212" s="32" t="n"/>
      <c r="F212" s="31" t="n"/>
      <c r="G212" s="26" t="n"/>
      <c r="H212" s="47" t="n"/>
      <c r="I212" s="31" t="n"/>
      <c r="J212" s="48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 ht="15" customHeight="1" s="67">
      <c r="A213" s="22" t="n"/>
      <c r="B213" s="26" t="n"/>
      <c r="C213" s="15" t="n"/>
      <c r="D213" s="15" t="n"/>
      <c r="E213" s="32" t="n"/>
      <c r="F213" s="31" t="n"/>
      <c r="G213" s="26" t="n"/>
      <c r="H213" s="47" t="n"/>
      <c r="I213" s="31" t="n"/>
      <c r="J213" s="48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 ht="15" customHeight="1" s="67">
      <c r="A214" s="22" t="n"/>
      <c r="B214" s="26" t="n"/>
      <c r="C214" s="15" t="n"/>
      <c r="D214" s="15" t="n"/>
      <c r="E214" s="32" t="n"/>
      <c r="F214" s="31" t="n"/>
      <c r="G214" s="26" t="n"/>
      <c r="H214" s="47" t="n"/>
      <c r="I214" s="31" t="n"/>
      <c r="J214" s="48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 ht="15" customHeight="1" s="67">
      <c r="A215" s="22" t="n"/>
      <c r="B215" s="26" t="n"/>
      <c r="C215" s="15" t="n"/>
      <c r="D215" s="15" t="n"/>
      <c r="E215" s="32" t="n"/>
      <c r="F215" s="31" t="n"/>
      <c r="G215" s="26" t="n"/>
      <c r="H215" s="47" t="n"/>
      <c r="I215" s="31" t="n"/>
      <c r="J215" s="48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 ht="15" customHeight="1" s="67">
      <c r="A216" s="22" t="n"/>
      <c r="B216" s="26" t="n"/>
      <c r="C216" s="15" t="n"/>
      <c r="D216" s="15" t="n"/>
      <c r="E216" s="32" t="n"/>
      <c r="F216" s="31" t="n"/>
      <c r="G216" s="26" t="n"/>
      <c r="H216" s="47" t="n"/>
      <c r="I216" s="31" t="n"/>
      <c r="J216" s="48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 ht="15" customHeight="1" s="67">
      <c r="A217" s="22" t="n"/>
      <c r="B217" s="26" t="n"/>
      <c r="C217" s="15" t="n"/>
      <c r="D217" s="15" t="n"/>
      <c r="E217" s="32" t="n"/>
      <c r="F217" s="31" t="n"/>
      <c r="G217" s="26" t="n"/>
      <c r="H217" s="47" t="n"/>
      <c r="I217" s="31" t="n"/>
      <c r="J217" s="48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 ht="15" customHeight="1" s="67">
      <c r="A218" s="22" t="n"/>
      <c r="B218" s="26" t="n"/>
      <c r="C218" s="15" t="n"/>
      <c r="D218" s="15" t="n"/>
      <c r="E218" s="32" t="n"/>
      <c r="F218" s="31" t="n"/>
      <c r="G218" s="26" t="n"/>
      <c r="H218" s="47" t="n"/>
      <c r="I218" s="31" t="n"/>
      <c r="J218" s="48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 ht="15" customHeight="1" s="67">
      <c r="A219" s="22" t="n"/>
      <c r="B219" s="26" t="n"/>
      <c r="C219" s="15" t="n"/>
      <c r="D219" s="15" t="n"/>
      <c r="E219" s="32" t="n"/>
      <c r="F219" s="31" t="n"/>
      <c r="G219" s="26" t="n"/>
      <c r="H219" s="47" t="n"/>
      <c r="I219" s="31" t="n"/>
      <c r="J219" s="48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 ht="15" customHeight="1" s="67">
      <c r="A220" s="22" t="n"/>
      <c r="B220" s="26" t="n"/>
      <c r="C220" s="15" t="n"/>
      <c r="D220" s="15" t="n"/>
      <c r="E220" s="32" t="n"/>
      <c r="F220" s="31" t="n"/>
      <c r="G220" s="26" t="n"/>
      <c r="H220" s="47" t="n"/>
      <c r="I220" s="31" t="n"/>
      <c r="J220" s="48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 ht="15" customHeight="1" s="67">
      <c r="A221" s="22" t="n"/>
      <c r="B221" s="26" t="n"/>
      <c r="C221" s="15" t="n"/>
      <c r="D221" s="15" t="n"/>
      <c r="E221" s="32" t="n"/>
      <c r="F221" s="31" t="n"/>
      <c r="G221" s="26" t="n"/>
      <c r="H221" s="47" t="n"/>
      <c r="I221" s="31" t="n"/>
      <c r="J221" s="48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 ht="15" customHeight="1" s="67">
      <c r="A222" s="22" t="n"/>
      <c r="B222" s="26" t="n"/>
      <c r="C222" s="15" t="n"/>
      <c r="D222" s="15" t="n"/>
      <c r="E222" s="32" t="n"/>
      <c r="F222" s="31" t="n"/>
      <c r="G222" s="26" t="n"/>
      <c r="H222" s="47" t="n"/>
      <c r="I222" s="31" t="n"/>
      <c r="J222" s="48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 ht="15" customHeight="1" s="67">
      <c r="A223" s="22" t="n"/>
      <c r="B223" s="26" t="n"/>
      <c r="C223" s="15" t="n"/>
      <c r="D223" s="15" t="n"/>
      <c r="E223" s="32" t="n"/>
      <c r="F223" s="31" t="n"/>
      <c r="G223" s="26" t="n"/>
      <c r="H223" s="47" t="n"/>
      <c r="I223" s="31" t="n"/>
      <c r="J223" s="48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 ht="15" customHeight="1" s="67">
      <c r="A224" s="22" t="n"/>
      <c r="B224" s="26" t="n"/>
      <c r="C224" s="15" t="n"/>
      <c r="D224" s="15" t="n"/>
      <c r="E224" s="32" t="n"/>
      <c r="F224" s="31" t="n"/>
      <c r="G224" s="26" t="n"/>
      <c r="H224" s="47" t="n"/>
      <c r="I224" s="31" t="n"/>
      <c r="J224" s="48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 ht="15" customHeight="1" s="67">
      <c r="A225" s="22" t="n"/>
      <c r="B225" s="26" t="n"/>
      <c r="C225" s="15" t="n"/>
      <c r="D225" s="15" t="n"/>
      <c r="E225" s="32" t="n"/>
      <c r="F225" s="31" t="n"/>
      <c r="G225" s="26" t="n"/>
      <c r="H225" s="47" t="n"/>
      <c r="I225" s="31" t="n"/>
      <c r="J225" s="48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 ht="15" customHeight="1" s="67">
      <c r="A226" s="22" t="n"/>
      <c r="B226" s="26" t="n"/>
      <c r="C226" s="15" t="n"/>
      <c r="D226" s="15" t="n"/>
      <c r="E226" s="32" t="n"/>
      <c r="F226" s="31" t="n"/>
      <c r="G226" s="26" t="n"/>
      <c r="H226" s="47" t="n"/>
      <c r="I226" s="31" t="n"/>
      <c r="J226" s="48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 ht="15" customHeight="1" s="67">
      <c r="A227" s="22" t="n"/>
      <c r="B227" s="26" t="n"/>
      <c r="C227" s="15" t="n"/>
      <c r="D227" s="15" t="n"/>
      <c r="E227" s="32" t="n"/>
      <c r="F227" s="31" t="n"/>
      <c r="G227" s="26" t="n"/>
      <c r="H227" s="47" t="n"/>
      <c r="I227" s="31" t="n"/>
      <c r="J227" s="48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 ht="15" customHeight="1" s="67">
      <c r="A228" s="22" t="n"/>
      <c r="B228" s="26" t="n"/>
      <c r="C228" s="15" t="n"/>
      <c r="D228" s="15" t="n"/>
      <c r="E228" s="32" t="n"/>
      <c r="F228" s="31" t="n"/>
      <c r="G228" s="26" t="n"/>
      <c r="H228" s="47" t="n"/>
      <c r="I228" s="31" t="n"/>
      <c r="J228" s="48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 ht="15" customHeight="1" s="67">
      <c r="A229" s="22" t="n"/>
      <c r="B229" s="26" t="n"/>
      <c r="C229" s="15" t="n"/>
      <c r="D229" s="15" t="n"/>
      <c r="E229" s="32" t="n"/>
      <c r="F229" s="31" t="n"/>
      <c r="G229" s="26" t="n"/>
      <c r="H229" s="47" t="n"/>
      <c r="I229" s="31" t="n"/>
      <c r="J229" s="48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 ht="15" customHeight="1" s="67">
      <c r="A230" s="22" t="n"/>
      <c r="B230" s="26" t="n"/>
      <c r="C230" s="15" t="n"/>
      <c r="D230" s="15" t="n"/>
      <c r="E230" s="32" t="n"/>
      <c r="F230" s="31" t="n"/>
      <c r="G230" s="26" t="n"/>
      <c r="H230" s="47" t="n"/>
      <c r="I230" s="31" t="n"/>
      <c r="J230" s="48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 ht="15" customHeight="1" s="67">
      <c r="A231" s="22" t="n"/>
      <c r="B231" s="26" t="n"/>
      <c r="C231" s="15" t="n"/>
      <c r="D231" s="15" t="n"/>
      <c r="E231" s="32" t="n"/>
      <c r="F231" s="31" t="n"/>
      <c r="G231" s="26" t="n"/>
      <c r="H231" s="47" t="n"/>
      <c r="I231" s="31" t="n"/>
      <c r="J231" s="48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 ht="15" customHeight="1" s="67">
      <c r="A232" s="22" t="n"/>
      <c r="B232" s="26" t="n"/>
      <c r="C232" s="15" t="n"/>
      <c r="D232" s="15" t="n"/>
      <c r="E232" s="32" t="n"/>
      <c r="F232" s="31" t="n"/>
      <c r="G232" s="26" t="n"/>
      <c r="H232" s="47" t="n"/>
      <c r="I232" s="31" t="n"/>
      <c r="J232" s="48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 ht="15" customHeight="1" s="67">
      <c r="A233" s="22" t="n"/>
      <c r="B233" s="26" t="n"/>
      <c r="C233" s="15" t="n"/>
      <c r="D233" s="15" t="n"/>
      <c r="E233" s="32" t="n"/>
      <c r="F233" s="31" t="n"/>
      <c r="G233" s="26" t="n"/>
      <c r="H233" s="47" t="n"/>
      <c r="I233" s="31" t="n"/>
      <c r="J233" s="48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 ht="15" customHeight="1" s="67">
      <c r="A234" s="22" t="n"/>
      <c r="B234" s="26" t="n"/>
      <c r="C234" s="15" t="n"/>
      <c r="D234" s="15" t="n"/>
      <c r="E234" s="32" t="n"/>
      <c r="F234" s="31" t="n"/>
      <c r="G234" s="26" t="n"/>
      <c r="H234" s="47" t="n"/>
      <c r="I234" s="31" t="n"/>
      <c r="J234" s="48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 ht="15" customHeight="1" s="67">
      <c r="A235" s="22" t="n"/>
      <c r="B235" s="26" t="n"/>
      <c r="C235" s="15" t="n"/>
      <c r="D235" s="15" t="n"/>
      <c r="E235" s="32" t="n"/>
      <c r="F235" s="31" t="n"/>
      <c r="G235" s="26" t="n"/>
      <c r="H235" s="47" t="n"/>
      <c r="I235" s="31" t="n"/>
      <c r="J235" s="48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 ht="15" customHeight="1" s="67">
      <c r="A236" s="22" t="n"/>
      <c r="B236" s="26" t="n"/>
      <c r="C236" s="15" t="n"/>
      <c r="D236" s="15" t="n"/>
      <c r="E236" s="32" t="n"/>
      <c r="F236" s="31" t="n"/>
      <c r="G236" s="26" t="n"/>
      <c r="H236" s="47" t="n"/>
      <c r="I236" s="31" t="n"/>
      <c r="J236" s="48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 ht="15" customHeight="1" s="67">
      <c r="A237" s="22" t="n"/>
      <c r="B237" s="26" t="n"/>
      <c r="C237" s="15" t="n"/>
      <c r="D237" s="15" t="n"/>
      <c r="E237" s="32" t="n"/>
      <c r="F237" s="31" t="n"/>
      <c r="G237" s="26" t="n"/>
      <c r="H237" s="47" t="n"/>
      <c r="I237" s="31" t="n"/>
      <c r="J237" s="48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 ht="15" customHeight="1" s="67">
      <c r="A238" s="22" t="n"/>
      <c r="B238" s="26" t="n"/>
      <c r="C238" s="15" t="n"/>
      <c r="D238" s="15" t="n"/>
      <c r="E238" s="32" t="n"/>
      <c r="F238" s="31" t="n"/>
      <c r="G238" s="26" t="n"/>
      <c r="H238" s="47" t="n"/>
      <c r="I238" s="31" t="n"/>
      <c r="J238" s="48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 ht="15" customHeight="1" s="67">
      <c r="A239" s="22" t="n"/>
      <c r="B239" s="26" t="n"/>
      <c r="C239" s="15" t="n"/>
      <c r="D239" s="15" t="n"/>
      <c r="E239" s="32" t="n"/>
      <c r="F239" s="31" t="n"/>
      <c r="G239" s="26" t="n"/>
      <c r="H239" s="47" t="n"/>
      <c r="I239" s="31" t="n"/>
      <c r="J239" s="48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 ht="15" customHeight="1" s="67">
      <c r="A240" s="22" t="n"/>
      <c r="B240" s="26" t="n"/>
      <c r="C240" s="15" t="n"/>
      <c r="D240" s="15" t="n"/>
      <c r="E240" s="32" t="n"/>
      <c r="F240" s="31" t="n"/>
      <c r="G240" s="26" t="n"/>
      <c r="H240" s="47" t="n"/>
      <c r="I240" s="31" t="n"/>
      <c r="J240" s="48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 ht="15" customHeight="1" s="67">
      <c r="A241" s="22" t="n"/>
      <c r="B241" s="26" t="n"/>
      <c r="C241" s="15" t="n"/>
      <c r="D241" s="15" t="n"/>
      <c r="E241" s="32" t="n"/>
      <c r="F241" s="31" t="n"/>
      <c r="G241" s="26" t="n"/>
      <c r="H241" s="47" t="n"/>
      <c r="I241" s="31" t="n"/>
      <c r="J241" s="48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 ht="15" customHeight="1" s="67">
      <c r="A242" s="22" t="n"/>
      <c r="B242" s="26" t="n"/>
      <c r="C242" s="15" t="n"/>
      <c r="D242" s="15" t="n"/>
      <c r="E242" s="32" t="n"/>
      <c r="F242" s="31" t="n"/>
      <c r="G242" s="26" t="n"/>
      <c r="H242" s="47" t="n"/>
      <c r="I242" s="31" t="n"/>
      <c r="J242" s="48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 ht="15" customHeight="1" s="67">
      <c r="A243" s="22" t="n"/>
      <c r="B243" s="26" t="n"/>
      <c r="C243" s="15" t="n"/>
      <c r="D243" s="15" t="n"/>
      <c r="E243" s="32" t="n"/>
      <c r="F243" s="31" t="n"/>
      <c r="G243" s="26" t="n"/>
      <c r="H243" s="47" t="n"/>
      <c r="I243" s="31" t="n"/>
      <c r="J243" s="48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 ht="15" customHeight="1" s="67">
      <c r="A244" s="22" t="n"/>
      <c r="B244" s="26" t="n"/>
      <c r="C244" s="15" t="n"/>
      <c r="D244" s="15" t="n"/>
      <c r="E244" s="32" t="n"/>
      <c r="F244" s="31" t="n"/>
      <c r="G244" s="26" t="n"/>
      <c r="H244" s="47" t="n"/>
      <c r="I244" s="31" t="n"/>
      <c r="J244" s="48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 ht="15" customHeight="1" s="67">
      <c r="A245" s="22" t="n"/>
      <c r="B245" s="26" t="n"/>
      <c r="C245" s="15" t="n"/>
      <c r="D245" s="15" t="n"/>
      <c r="E245" s="32" t="n"/>
      <c r="F245" s="31" t="n"/>
      <c r="G245" s="26" t="n"/>
      <c r="H245" s="47" t="n"/>
      <c r="I245" s="31" t="n"/>
      <c r="J245" s="48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 ht="15" customHeight="1" s="67">
      <c r="A246" s="22" t="n"/>
      <c r="B246" s="26" t="n"/>
      <c r="C246" s="15" t="n"/>
      <c r="D246" s="15" t="n"/>
      <c r="E246" s="32" t="n"/>
      <c r="F246" s="31" t="n"/>
      <c r="G246" s="26" t="n"/>
      <c r="H246" s="47" t="n"/>
      <c r="I246" s="31" t="n"/>
      <c r="J246" s="48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 ht="15" customHeight="1" s="67">
      <c r="A247" s="22" t="n"/>
      <c r="B247" s="26" t="n"/>
      <c r="C247" s="15" t="n"/>
      <c r="D247" s="15" t="n"/>
      <c r="E247" s="32" t="n"/>
      <c r="F247" s="31" t="n"/>
      <c r="G247" s="26" t="n"/>
      <c r="H247" s="47" t="n"/>
      <c r="I247" s="31" t="n"/>
      <c r="J247" s="48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 ht="15" customHeight="1" s="67">
      <c r="A248" s="22" t="n"/>
      <c r="B248" s="26" t="n"/>
      <c r="C248" s="15" t="n"/>
      <c r="D248" s="15" t="n"/>
      <c r="E248" s="32" t="n"/>
      <c r="F248" s="31" t="n"/>
      <c r="G248" s="26" t="n"/>
      <c r="H248" s="47" t="n"/>
      <c r="I248" s="31" t="n"/>
      <c r="J248" s="48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 ht="15" customHeight="1" s="67">
      <c r="A249" s="22" t="n"/>
      <c r="B249" s="26" t="n"/>
      <c r="C249" s="15" t="n"/>
      <c r="D249" s="15" t="n"/>
      <c r="E249" s="32" t="n"/>
      <c r="F249" s="31" t="n"/>
      <c r="G249" s="26" t="n"/>
      <c r="H249" s="47" t="n"/>
      <c r="I249" s="31" t="n"/>
      <c r="J249" s="48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 ht="15" customHeight="1" s="67">
      <c r="A250" s="22" t="n"/>
      <c r="B250" s="26" t="n"/>
      <c r="C250" s="15" t="n"/>
      <c r="D250" s="15" t="n"/>
      <c r="E250" s="32" t="n"/>
      <c r="F250" s="31" t="n"/>
      <c r="G250" s="26" t="n"/>
      <c r="H250" s="47" t="n"/>
      <c r="I250" s="31" t="n"/>
      <c r="J250" s="48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 ht="15" customHeight="1" s="67">
      <c r="A251" s="22" t="n"/>
      <c r="B251" s="26" t="n"/>
      <c r="C251" s="15" t="n"/>
      <c r="D251" s="15" t="n"/>
      <c r="E251" s="32" t="n"/>
      <c r="F251" s="31" t="n"/>
      <c r="G251" s="26" t="n"/>
      <c r="H251" s="47" t="n"/>
      <c r="I251" s="31" t="n"/>
      <c r="J251" s="48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 ht="15" customHeight="1" s="67">
      <c r="A252" s="22" t="n"/>
      <c r="B252" s="26" t="n"/>
      <c r="C252" s="15" t="n"/>
      <c r="D252" s="15" t="n"/>
      <c r="E252" s="32" t="n"/>
      <c r="F252" s="31" t="n"/>
      <c r="G252" s="26" t="n"/>
      <c r="H252" s="47" t="n"/>
      <c r="I252" s="31" t="n"/>
      <c r="J252" s="48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 ht="15" customHeight="1" s="67">
      <c r="A253" s="22" t="n"/>
      <c r="B253" s="26" t="n"/>
      <c r="C253" s="15" t="n"/>
      <c r="D253" s="15" t="n"/>
      <c r="E253" s="32" t="n"/>
      <c r="F253" s="31" t="n"/>
      <c r="G253" s="26" t="n"/>
      <c r="H253" s="47" t="n"/>
      <c r="I253" s="31" t="n"/>
      <c r="J253" s="48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 ht="15" customHeight="1" s="67">
      <c r="A254" s="22" t="n"/>
      <c r="B254" s="26" t="n"/>
      <c r="C254" s="15" t="n"/>
      <c r="D254" s="15" t="n"/>
      <c r="E254" s="32" t="n"/>
      <c r="F254" s="31" t="n"/>
      <c r="G254" s="26" t="n"/>
      <c r="H254" s="47" t="n"/>
      <c r="I254" s="31" t="n"/>
      <c r="J254" s="48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 ht="15" customHeight="1" s="67">
      <c r="A255" s="22" t="n"/>
      <c r="B255" s="26" t="n"/>
      <c r="C255" s="15" t="n"/>
      <c r="D255" s="15" t="n"/>
      <c r="E255" s="32" t="n"/>
      <c r="F255" s="31" t="n"/>
      <c r="G255" s="26" t="n"/>
      <c r="H255" s="47" t="n"/>
      <c r="I255" s="31" t="n"/>
      <c r="J255" s="48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 ht="15" customHeight="1" s="67">
      <c r="A256" s="22" t="n"/>
      <c r="B256" s="26" t="n"/>
      <c r="C256" s="15" t="n"/>
      <c r="D256" s="15" t="n"/>
      <c r="E256" s="32" t="n"/>
      <c r="F256" s="31" t="n"/>
      <c r="G256" s="26" t="n"/>
      <c r="H256" s="47" t="n"/>
      <c r="I256" s="31" t="n"/>
      <c r="J256" s="48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 ht="15" customHeight="1" s="67">
      <c r="A257" s="22" t="n"/>
      <c r="B257" s="26" t="n"/>
      <c r="C257" s="15" t="n"/>
      <c r="D257" s="15" t="n"/>
      <c r="E257" s="32" t="n"/>
      <c r="F257" s="31" t="n"/>
      <c r="G257" s="26" t="n"/>
      <c r="H257" s="47" t="n"/>
      <c r="I257" s="31" t="n"/>
      <c r="J257" s="48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 ht="15" customHeight="1" s="67">
      <c r="A258" s="22" t="n"/>
      <c r="B258" s="26" t="n"/>
      <c r="C258" s="15" t="n"/>
      <c r="D258" s="15" t="n"/>
      <c r="E258" s="32" t="n"/>
      <c r="F258" s="31" t="n"/>
      <c r="G258" s="26" t="n"/>
      <c r="H258" s="47" t="n"/>
      <c r="I258" s="31" t="n"/>
      <c r="J258" s="48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 ht="15" customHeight="1" s="67">
      <c r="A259" s="22" t="n"/>
      <c r="B259" s="26" t="n"/>
      <c r="C259" s="15" t="n"/>
      <c r="D259" s="15" t="n"/>
      <c r="E259" s="32" t="n"/>
      <c r="F259" s="31" t="n"/>
      <c r="G259" s="26" t="n"/>
      <c r="H259" s="47" t="n"/>
      <c r="I259" s="31" t="n"/>
      <c r="J259" s="48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 ht="15" customHeight="1" s="67">
      <c r="A260" s="22" t="n"/>
      <c r="B260" s="26" t="n"/>
      <c r="C260" s="15" t="n"/>
      <c r="D260" s="15" t="n"/>
      <c r="E260" s="32" t="n"/>
      <c r="F260" s="31" t="n"/>
      <c r="G260" s="26" t="n"/>
      <c r="H260" s="47" t="n"/>
      <c r="I260" s="31" t="n"/>
      <c r="J260" s="48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 ht="15" customHeight="1" s="67">
      <c r="A261" s="22" t="n"/>
      <c r="B261" s="26" t="n"/>
      <c r="C261" s="15" t="n"/>
      <c r="D261" s="15" t="n"/>
      <c r="E261" s="32" t="n"/>
      <c r="F261" s="31" t="n"/>
      <c r="G261" s="26" t="n"/>
      <c r="H261" s="47" t="n"/>
      <c r="I261" s="31" t="n"/>
      <c r="J261" s="48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 ht="15" customHeight="1" s="67">
      <c r="A262" s="22" t="n"/>
      <c r="B262" s="26" t="n"/>
      <c r="C262" s="15" t="n"/>
      <c r="D262" s="15" t="n"/>
      <c r="E262" s="32" t="n"/>
      <c r="F262" s="31" t="n"/>
      <c r="G262" s="26" t="n"/>
      <c r="H262" s="47" t="n"/>
      <c r="I262" s="31" t="n"/>
      <c r="J262" s="48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 ht="15" customHeight="1" s="67">
      <c r="A263" s="22" t="n"/>
      <c r="B263" s="26" t="n"/>
      <c r="C263" s="15" t="n"/>
      <c r="D263" s="15" t="n"/>
      <c r="E263" s="32" t="n"/>
      <c r="F263" s="31" t="n"/>
      <c r="G263" s="26" t="n"/>
      <c r="H263" s="47" t="n"/>
      <c r="I263" s="31" t="n"/>
      <c r="J263" s="48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 ht="15" customHeight="1" s="67">
      <c r="A264" s="22" t="n"/>
      <c r="B264" s="26" t="n"/>
      <c r="C264" s="15" t="n"/>
      <c r="D264" s="15" t="n"/>
      <c r="E264" s="32" t="n"/>
      <c r="F264" s="31" t="n"/>
      <c r="G264" s="26" t="n"/>
      <c r="H264" s="47" t="n"/>
      <c r="I264" s="31" t="n"/>
      <c r="J264" s="48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 ht="15" customHeight="1" s="67">
      <c r="A265" s="22" t="n"/>
      <c r="B265" s="26" t="n"/>
      <c r="C265" s="15" t="n"/>
      <c r="D265" s="15" t="n"/>
      <c r="E265" s="32" t="n"/>
      <c r="F265" s="31" t="n"/>
      <c r="G265" s="26" t="n"/>
      <c r="H265" s="47" t="n"/>
      <c r="I265" s="31" t="n"/>
      <c r="J265" s="48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 ht="15" customHeight="1" s="67">
      <c r="A266" s="22" t="n"/>
      <c r="B266" s="26" t="n"/>
      <c r="C266" s="15" t="n"/>
      <c r="D266" s="15" t="n"/>
      <c r="E266" s="32" t="n"/>
      <c r="F266" s="31" t="n"/>
      <c r="G266" s="26" t="n"/>
      <c r="H266" s="47" t="n"/>
      <c r="I266" s="31" t="n"/>
      <c r="J266" s="48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 ht="15" customHeight="1" s="67">
      <c r="A267" s="22" t="n"/>
      <c r="B267" s="26" t="n"/>
      <c r="C267" s="15" t="n"/>
      <c r="D267" s="15" t="n"/>
      <c r="E267" s="32" t="n"/>
      <c r="F267" s="31" t="n"/>
      <c r="G267" s="26" t="n"/>
      <c r="H267" s="47" t="n"/>
      <c r="I267" s="31" t="n"/>
      <c r="J267" s="48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 ht="15" customHeight="1" s="67">
      <c r="A268" s="22" t="n"/>
      <c r="B268" s="26" t="n"/>
      <c r="C268" s="15" t="n"/>
      <c r="D268" s="15" t="n"/>
      <c r="E268" s="32" t="n"/>
      <c r="F268" s="31" t="n"/>
      <c r="G268" s="26" t="n"/>
      <c r="H268" s="47" t="n"/>
      <c r="I268" s="31" t="n"/>
      <c r="J268" s="48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 ht="15" customHeight="1" s="67">
      <c r="A269" s="22" t="n"/>
      <c r="B269" s="26" t="n"/>
      <c r="C269" s="15" t="n"/>
      <c r="D269" s="15" t="n"/>
      <c r="E269" s="32" t="n"/>
      <c r="F269" s="31" t="n"/>
      <c r="G269" s="26" t="n"/>
      <c r="H269" s="47" t="n"/>
      <c r="I269" s="31" t="n"/>
      <c r="J269" s="48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 ht="15" customHeight="1" s="67">
      <c r="A270" s="22" t="n"/>
      <c r="B270" s="26" t="n"/>
      <c r="C270" s="15" t="n"/>
      <c r="D270" s="15" t="n"/>
      <c r="E270" s="32" t="n"/>
      <c r="F270" s="31" t="n"/>
      <c r="G270" s="26" t="n"/>
      <c r="H270" s="47" t="n"/>
      <c r="I270" s="31" t="n"/>
      <c r="J270" s="48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 ht="15" customHeight="1" s="67">
      <c r="A271" s="22" t="n"/>
      <c r="B271" s="26" t="n"/>
      <c r="C271" s="15" t="n"/>
      <c r="D271" s="15" t="n"/>
      <c r="E271" s="32" t="n"/>
      <c r="F271" s="31" t="n"/>
      <c r="G271" s="26" t="n"/>
      <c r="H271" s="47" t="n"/>
      <c r="I271" s="31" t="n"/>
      <c r="J271" s="48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 ht="15" customHeight="1" s="67">
      <c r="A272" s="22" t="n"/>
      <c r="B272" s="26" t="n"/>
      <c r="C272" s="15" t="n"/>
      <c r="D272" s="15" t="n"/>
      <c r="E272" s="32" t="n"/>
      <c r="F272" s="31" t="n"/>
      <c r="G272" s="26" t="n"/>
      <c r="H272" s="47" t="n"/>
      <c r="I272" s="31" t="n"/>
      <c r="J272" s="48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 ht="15" customHeight="1" s="67">
      <c r="A273" s="22" t="n"/>
      <c r="B273" s="26" t="n"/>
      <c r="C273" s="15" t="n"/>
      <c r="D273" s="15" t="n"/>
      <c r="E273" s="32" t="n"/>
      <c r="F273" s="31" t="n"/>
      <c r="G273" s="26" t="n"/>
      <c r="H273" s="47" t="n"/>
      <c r="I273" s="31" t="n"/>
      <c r="J273" s="48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 ht="15" customHeight="1" s="67">
      <c r="A274" s="22" t="n"/>
      <c r="B274" s="26" t="n"/>
      <c r="C274" s="15" t="n"/>
      <c r="D274" s="15" t="n"/>
      <c r="E274" s="32" t="n"/>
      <c r="F274" s="31" t="n"/>
      <c r="G274" s="26" t="n"/>
      <c r="H274" s="47" t="n"/>
      <c r="I274" s="31" t="n"/>
      <c r="J274" s="48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 ht="15" customHeight="1" s="67">
      <c r="A275" s="22" t="n"/>
      <c r="B275" s="26" t="n"/>
      <c r="C275" s="15" t="n"/>
      <c r="D275" s="15" t="n"/>
      <c r="E275" s="32" t="n"/>
      <c r="F275" s="31" t="n"/>
      <c r="G275" s="26" t="n"/>
      <c r="H275" s="47" t="n"/>
      <c r="I275" s="31" t="n"/>
      <c r="J275" s="48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 ht="15" customHeight="1" s="67">
      <c r="A276" s="22" t="n"/>
      <c r="B276" s="26" t="n"/>
      <c r="C276" s="15" t="n"/>
      <c r="D276" s="15" t="n"/>
      <c r="E276" s="32" t="n"/>
      <c r="F276" s="31" t="n"/>
      <c r="G276" s="26" t="n"/>
      <c r="H276" s="47" t="n"/>
      <c r="I276" s="31" t="n"/>
      <c r="J276" s="48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 ht="15" customHeight="1" s="67">
      <c r="A277" s="22" t="n"/>
      <c r="B277" s="26" t="n"/>
      <c r="C277" s="15" t="n"/>
      <c r="D277" s="15" t="n"/>
      <c r="E277" s="32" t="n"/>
      <c r="F277" s="31" t="n"/>
      <c r="G277" s="26" t="n"/>
      <c r="H277" s="47" t="n"/>
      <c r="I277" s="31" t="n"/>
      <c r="J277" s="48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 ht="15" customHeight="1" s="67">
      <c r="A278" s="22" t="n"/>
      <c r="B278" s="26" t="n"/>
      <c r="C278" s="15" t="n"/>
      <c r="D278" s="15" t="n"/>
      <c r="E278" s="32" t="n"/>
      <c r="F278" s="31" t="n"/>
      <c r="G278" s="26" t="n"/>
      <c r="H278" s="47" t="n"/>
      <c r="I278" s="31" t="n"/>
      <c r="J278" s="48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 ht="15" customHeight="1" s="67">
      <c r="A279" s="22" t="n"/>
      <c r="B279" s="26" t="n"/>
      <c r="C279" s="15" t="n"/>
      <c r="D279" s="15" t="n"/>
      <c r="E279" s="32" t="n"/>
      <c r="F279" s="31" t="n"/>
      <c r="G279" s="26" t="n"/>
      <c r="H279" s="47" t="n"/>
      <c r="I279" s="31" t="n"/>
      <c r="J279" s="48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 ht="15" customHeight="1" s="67">
      <c r="A280" s="22" t="n"/>
      <c r="B280" s="26" t="n"/>
      <c r="C280" s="15" t="n"/>
      <c r="D280" s="15" t="n"/>
      <c r="E280" s="32" t="n"/>
      <c r="F280" s="31" t="n"/>
      <c r="G280" s="26" t="n"/>
      <c r="H280" s="47" t="n"/>
      <c r="I280" s="31" t="n"/>
      <c r="J280" s="48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 ht="15" customHeight="1" s="67">
      <c r="A281" s="22" t="n"/>
      <c r="B281" s="26" t="n"/>
      <c r="C281" s="15" t="n"/>
      <c r="D281" s="15" t="n"/>
      <c r="E281" s="32" t="n"/>
      <c r="F281" s="31" t="n"/>
      <c r="G281" s="26" t="n"/>
      <c r="H281" s="47" t="n"/>
      <c r="I281" s="31" t="n"/>
      <c r="J281" s="48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 ht="15" customHeight="1" s="67">
      <c r="A282" s="22" t="n"/>
      <c r="B282" s="26" t="n"/>
      <c r="C282" s="15" t="n"/>
      <c r="D282" s="15" t="n"/>
      <c r="E282" s="32" t="n"/>
      <c r="F282" s="31" t="n"/>
      <c r="G282" s="26" t="n"/>
      <c r="H282" s="47" t="n"/>
      <c r="I282" s="31" t="n"/>
      <c r="J282" s="48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 ht="15" customHeight="1" s="67">
      <c r="A283" s="22" t="n"/>
      <c r="B283" s="26" t="n"/>
      <c r="C283" s="15" t="n"/>
      <c r="D283" s="15" t="n"/>
      <c r="E283" s="32" t="n"/>
      <c r="F283" s="31" t="n"/>
      <c r="G283" s="26" t="n"/>
      <c r="H283" s="47" t="n"/>
      <c r="I283" s="31" t="n"/>
      <c r="J283" s="48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 ht="15" customHeight="1" s="67">
      <c r="A284" s="22" t="n"/>
      <c r="B284" s="26" t="n"/>
      <c r="C284" s="15" t="n"/>
      <c r="D284" s="15" t="n"/>
      <c r="E284" s="32" t="n"/>
      <c r="F284" s="31" t="n"/>
      <c r="G284" s="26" t="n"/>
      <c r="H284" s="47" t="n"/>
      <c r="I284" s="31" t="n"/>
      <c r="J284" s="48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 ht="15" customHeight="1" s="67">
      <c r="A285" s="22" t="n"/>
      <c r="B285" s="26" t="n"/>
      <c r="C285" s="15" t="n"/>
      <c r="D285" s="15" t="n"/>
      <c r="E285" s="32" t="n"/>
      <c r="F285" s="31" t="n"/>
      <c r="G285" s="26" t="n"/>
      <c r="H285" s="47" t="n"/>
      <c r="I285" s="31" t="n"/>
      <c r="J285" s="48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 ht="15" customHeight="1" s="67">
      <c r="A286" s="22" t="n"/>
      <c r="B286" s="26" t="n"/>
      <c r="C286" s="15" t="n"/>
      <c r="D286" s="15" t="n"/>
      <c r="E286" s="32" t="n"/>
      <c r="F286" s="31" t="n"/>
      <c r="G286" s="26" t="n"/>
      <c r="H286" s="47" t="n"/>
      <c r="I286" s="31" t="n"/>
      <c r="J286" s="48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 ht="15" customHeight="1" s="67">
      <c r="A287" s="22" t="n"/>
      <c r="B287" s="26" t="n"/>
      <c r="C287" s="15" t="n"/>
      <c r="D287" s="15" t="n"/>
      <c r="E287" s="32" t="n"/>
      <c r="F287" s="31" t="n"/>
      <c r="G287" s="26" t="n"/>
      <c r="H287" s="47" t="n"/>
      <c r="I287" s="31" t="n"/>
      <c r="J287" s="48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 ht="15" customHeight="1" s="67">
      <c r="A288" s="22" t="n"/>
      <c r="B288" s="26" t="n"/>
      <c r="C288" s="15" t="n"/>
      <c r="D288" s="15" t="n"/>
      <c r="E288" s="32" t="n"/>
      <c r="F288" s="31" t="n"/>
      <c r="G288" s="26" t="n"/>
      <c r="H288" s="47" t="n"/>
      <c r="I288" s="31" t="n"/>
      <c r="J288" s="48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 ht="15" customHeight="1" s="67">
      <c r="A289" s="22" t="n"/>
      <c r="B289" s="26" t="n"/>
      <c r="C289" s="15" t="n"/>
      <c r="D289" s="15" t="n"/>
      <c r="E289" s="32" t="n"/>
      <c r="F289" s="31" t="n"/>
      <c r="G289" s="26" t="n"/>
      <c r="H289" s="47" t="n"/>
      <c r="I289" s="31" t="n"/>
      <c r="J289" s="48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 ht="15" customHeight="1" s="67">
      <c r="A290" s="22" t="n"/>
      <c r="B290" s="26" t="n"/>
      <c r="C290" s="15" t="n"/>
      <c r="D290" s="15" t="n"/>
      <c r="E290" s="32" t="n"/>
      <c r="F290" s="31" t="n"/>
      <c r="G290" s="26" t="n"/>
      <c r="H290" s="47" t="n"/>
      <c r="I290" s="31" t="n"/>
      <c r="J290" s="48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 ht="15" customHeight="1" s="67">
      <c r="A291" s="22" t="n"/>
      <c r="B291" s="26" t="n"/>
      <c r="C291" s="15" t="n"/>
      <c r="D291" s="15" t="n"/>
      <c r="E291" s="32" t="n"/>
      <c r="F291" s="31" t="n"/>
      <c r="G291" s="26" t="n"/>
      <c r="H291" s="47" t="n"/>
      <c r="I291" s="31" t="n"/>
      <c r="J291" s="48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 ht="15" customHeight="1" s="67">
      <c r="A292" s="22" t="n"/>
      <c r="B292" s="26" t="n"/>
      <c r="C292" s="15" t="n"/>
      <c r="D292" s="15" t="n"/>
      <c r="E292" s="32" t="n"/>
      <c r="F292" s="31" t="n"/>
      <c r="G292" s="26" t="n"/>
      <c r="H292" s="47" t="n"/>
      <c r="I292" s="31" t="n"/>
      <c r="J292" s="48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 ht="15" customHeight="1" s="67">
      <c r="A293" s="22" t="n"/>
      <c r="B293" s="26" t="n"/>
      <c r="C293" s="15" t="n"/>
      <c r="D293" s="15" t="n"/>
      <c r="E293" s="32" t="n"/>
      <c r="F293" s="31" t="n"/>
      <c r="G293" s="26" t="n"/>
      <c r="H293" s="47" t="n"/>
      <c r="I293" s="31" t="n"/>
      <c r="J293" s="48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 ht="15" customHeight="1" s="67">
      <c r="A294" s="22" t="n"/>
      <c r="B294" s="26" t="n"/>
      <c r="C294" s="15" t="n"/>
      <c r="D294" s="15" t="n"/>
      <c r="E294" s="32" t="n"/>
      <c r="F294" s="31" t="n"/>
      <c r="G294" s="26" t="n"/>
      <c r="H294" s="47" t="n"/>
      <c r="I294" s="31" t="n"/>
      <c r="J294" s="48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 ht="15" customHeight="1" s="67">
      <c r="A295" s="22" t="n"/>
      <c r="B295" s="26" t="n"/>
      <c r="C295" s="15" t="n"/>
      <c r="D295" s="15" t="n"/>
      <c r="E295" s="32" t="n"/>
      <c r="F295" s="31" t="n"/>
      <c r="G295" s="26" t="n"/>
      <c r="H295" s="47" t="n"/>
      <c r="I295" s="31" t="n"/>
      <c r="J295" s="48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 ht="15" customHeight="1" s="67">
      <c r="A296" s="22" t="n"/>
      <c r="B296" s="26" t="n"/>
      <c r="C296" s="15" t="n"/>
      <c r="D296" s="15" t="n"/>
      <c r="E296" s="32" t="n"/>
      <c r="F296" s="31" t="n"/>
      <c r="G296" s="26" t="n"/>
      <c r="H296" s="47" t="n"/>
      <c r="I296" s="31" t="n"/>
      <c r="J296" s="48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 ht="15" customHeight="1" s="67">
      <c r="A297" s="22" t="n"/>
      <c r="B297" s="26" t="n"/>
      <c r="C297" s="15" t="n"/>
      <c r="D297" s="15" t="n"/>
      <c r="E297" s="32" t="n"/>
      <c r="F297" s="31" t="n"/>
      <c r="G297" s="26" t="n"/>
      <c r="H297" s="47" t="n"/>
      <c r="I297" s="31" t="n"/>
      <c r="J297" s="48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 ht="15" customHeight="1" s="67">
      <c r="A298" s="22" t="n"/>
      <c r="B298" s="26" t="n"/>
      <c r="C298" s="15" t="n"/>
      <c r="D298" s="15" t="n"/>
      <c r="E298" s="32" t="n"/>
      <c r="F298" s="31" t="n"/>
      <c r="G298" s="26" t="n"/>
      <c r="H298" s="47" t="n"/>
      <c r="I298" s="31" t="n"/>
      <c r="J298" s="48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 ht="15" customHeight="1" s="67">
      <c r="A299" s="22" t="n"/>
      <c r="B299" s="26" t="n"/>
      <c r="C299" s="15" t="n"/>
      <c r="D299" s="15" t="n"/>
      <c r="E299" s="32" t="n"/>
      <c r="F299" s="31" t="n"/>
      <c r="G299" s="26" t="n"/>
      <c r="H299" s="47" t="n"/>
      <c r="I299" s="31" t="n"/>
      <c r="J299" s="48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 ht="15" customHeight="1" s="67">
      <c r="A300" s="22" t="n"/>
      <c r="B300" s="26" t="n"/>
      <c r="C300" s="15" t="n"/>
      <c r="D300" s="15" t="n"/>
      <c r="E300" s="32" t="n"/>
      <c r="F300" s="31" t="n"/>
      <c r="G300" s="26" t="n"/>
      <c r="H300" s="47" t="n"/>
      <c r="I300" s="31" t="n"/>
      <c r="J300" s="48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 ht="15" customHeight="1" s="67">
      <c r="A301" s="22" t="n"/>
      <c r="B301" s="26" t="n"/>
      <c r="C301" s="15" t="n"/>
      <c r="D301" s="15" t="n"/>
      <c r="E301" s="32" t="n"/>
      <c r="F301" s="31" t="n"/>
      <c r="G301" s="26" t="n"/>
      <c r="H301" s="47" t="n"/>
      <c r="I301" s="31" t="n"/>
      <c r="J301" s="48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 ht="15" customHeight="1" s="67">
      <c r="A302" s="22" t="n"/>
      <c r="B302" s="26" t="n"/>
      <c r="C302" s="15" t="n"/>
      <c r="D302" s="15" t="n"/>
      <c r="E302" s="32" t="n"/>
      <c r="F302" s="31" t="n"/>
      <c r="G302" s="26" t="n"/>
      <c r="H302" s="47" t="n"/>
      <c r="I302" s="31" t="n"/>
      <c r="J302" s="48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 ht="15" customHeight="1" s="67">
      <c r="A303" s="22" t="n"/>
      <c r="B303" s="26" t="n"/>
      <c r="C303" s="15" t="n"/>
      <c r="D303" s="15" t="n"/>
      <c r="E303" s="32" t="n"/>
      <c r="F303" s="31" t="n"/>
      <c r="G303" s="26" t="n"/>
      <c r="H303" s="47" t="n"/>
      <c r="I303" s="31" t="n"/>
      <c r="J303" s="48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 ht="15" customHeight="1" s="67">
      <c r="A304" s="22" t="n"/>
      <c r="B304" s="26" t="n"/>
      <c r="C304" s="15" t="n"/>
      <c r="D304" s="15" t="n"/>
      <c r="E304" s="32" t="n"/>
      <c r="F304" s="31" t="n"/>
      <c r="G304" s="26" t="n"/>
      <c r="H304" s="47" t="n"/>
      <c r="I304" s="31" t="n"/>
      <c r="J304" s="48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 ht="15" customHeight="1" s="67">
      <c r="A305" s="22" t="n"/>
      <c r="B305" s="26" t="n"/>
      <c r="C305" s="15" t="n"/>
      <c r="D305" s="15" t="n"/>
      <c r="E305" s="32" t="n"/>
      <c r="F305" s="31" t="n"/>
      <c r="G305" s="26" t="n"/>
      <c r="H305" s="47" t="n"/>
      <c r="I305" s="31" t="n"/>
      <c r="J305" s="48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 ht="15.75" customHeight="1" s="6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 ht="15.75" customHeight="1" s="6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 ht="15.75" customHeight="1" s="6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 ht="15.75" customHeight="1" s="6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 ht="15.75" customHeight="1" s="6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 ht="15.75" customHeight="1" s="6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 ht="15.75" customHeight="1" s="6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 ht="15.75" customHeight="1" s="6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 ht="15.75" customHeight="1" s="6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 ht="15.75" customHeight="1" s="6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 ht="15.75" customHeight="1" s="6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 ht="15.75" customHeight="1" s="6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 ht="15.75" customHeight="1" s="6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 ht="15.75" customHeight="1" s="6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 ht="15.75" customHeight="1" s="6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 ht="15.75" customHeight="1" s="6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 ht="15.75" customHeight="1" s="6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 ht="15.75" customHeight="1" s="6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 ht="15.75" customHeight="1" s="6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 ht="15.75" customHeight="1" s="6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 ht="15.75" customHeight="1" s="6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 ht="15.75" customHeight="1" s="6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 ht="15.75" customHeight="1" s="6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 ht="15.75" customHeight="1" s="6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 ht="15.75" customHeight="1" s="6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 ht="15.75" customHeight="1" s="6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 ht="15.75" customHeight="1" s="6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 ht="15.75" customHeight="1" s="6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 ht="15.75" customHeight="1" s="6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 ht="15.75" customHeight="1" s="6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 ht="15.75" customHeight="1" s="6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 ht="15.75" customHeight="1" s="6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 ht="15.75" customHeight="1" s="6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 ht="15.75" customHeight="1" s="6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 ht="15.75" customHeight="1" s="6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 ht="15.75" customHeight="1" s="6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 ht="15.75" customHeight="1" s="6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 ht="15.75" customHeight="1" s="6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 ht="15.75" customHeight="1" s="6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 ht="15.75" customHeight="1" s="6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 ht="15.75" customHeight="1" s="6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 ht="15.75" customHeight="1" s="6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 ht="15.75" customHeight="1" s="6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 ht="15.75" customHeight="1" s="6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 ht="15.75" customHeight="1" s="6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 ht="15.75" customHeight="1" s="6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 ht="15.75" customHeight="1" s="6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 ht="15.75" customHeight="1" s="6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 ht="15.75" customHeight="1" s="6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 ht="15.75" customHeight="1" s="6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 ht="15.75" customHeight="1" s="6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 ht="15.75" customHeight="1" s="6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 ht="15.75" customHeight="1" s="6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 ht="15.75" customHeight="1" s="6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 ht="15.75" customHeight="1" s="6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 ht="15.75" customHeight="1" s="6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 ht="15.75" customHeight="1" s="6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 ht="15.75" customHeight="1" s="6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 ht="15.75" customHeight="1" s="6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 ht="15.75" customHeight="1" s="6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 ht="15.75" customHeight="1" s="6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 ht="15.75" customHeight="1" s="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 ht="15.75" customHeight="1" s="6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 ht="15.75" customHeight="1" s="6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 ht="15.75" customHeight="1" s="6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 ht="15.75" customHeight="1" s="6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 ht="15.75" customHeight="1" s="6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 ht="15.75" customHeight="1" s="6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 ht="15.75" customHeight="1" s="6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 ht="15.75" customHeight="1" s="6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 ht="15.75" customHeight="1" s="6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 ht="15.75" customHeight="1" s="6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 ht="15.75" customHeight="1" s="6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 ht="15.75" customHeight="1" s="6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 ht="15.75" customHeight="1" s="6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 ht="15.75" customHeight="1" s="6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 ht="15.75" customHeight="1" s="6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 ht="15.75" customHeight="1" s="6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 ht="15.75" customHeight="1" s="6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 ht="15.75" customHeight="1" s="6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 ht="15.75" customHeight="1" s="6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 ht="15.75" customHeight="1" s="6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 ht="15.75" customHeight="1" s="6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 ht="15.75" customHeight="1" s="6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 ht="15.75" customHeight="1" s="6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 ht="15.75" customHeight="1" s="6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 ht="15.75" customHeight="1" s="6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 ht="15.75" customHeight="1" s="6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 ht="15.75" customHeight="1" s="6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 ht="15.75" customHeight="1" s="6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 ht="15.75" customHeight="1" s="6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 ht="15.75" customHeight="1" s="6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 ht="15.75" customHeight="1" s="6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 ht="15.75" customHeight="1" s="6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 ht="15.75" customHeight="1" s="6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 ht="15.75" customHeight="1" s="6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 ht="15.75" customHeight="1" s="6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 ht="15.75" customHeight="1" s="6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 ht="15.75" customHeight="1" s="6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 ht="15.75" customHeight="1" s="6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 ht="15.75" customHeight="1" s="6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 ht="15.75" customHeight="1" s="6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 ht="15.75" customHeight="1" s="6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 ht="15.75" customHeight="1" s="6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 ht="15.75" customHeight="1" s="6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 ht="15.75" customHeight="1" s="6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 ht="15.75" customHeight="1" s="6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 ht="15.75" customHeight="1" s="6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 ht="15.75" customHeight="1" s="6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 ht="15.75" customHeight="1" s="6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 ht="15.75" customHeight="1" s="6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 ht="15.75" customHeight="1" s="6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 ht="15.75" customHeight="1" s="6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 ht="15.75" customHeight="1" s="6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 ht="15.75" customHeight="1" s="6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 ht="15.75" customHeight="1" s="6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 ht="15.75" customHeight="1" s="6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 ht="15.75" customHeight="1" s="6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 ht="15.75" customHeight="1" s="6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 ht="15.75" customHeight="1" s="6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 ht="15.75" customHeight="1" s="6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 ht="15.75" customHeight="1" s="6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 ht="15.75" customHeight="1" s="6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 ht="15.75" customHeight="1" s="6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 ht="15.75" customHeight="1" s="6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 ht="15.75" customHeight="1" s="6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 ht="15.75" customHeight="1" s="6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 ht="15.75" customHeight="1" s="6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 ht="15.75" customHeight="1" s="6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 ht="15.75" customHeight="1" s="6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 ht="15.75" customHeight="1" s="6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 ht="15.75" customHeight="1" s="6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 ht="15.75" customHeight="1" s="6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 ht="15.75" customHeight="1" s="6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 ht="15.75" customHeight="1" s="6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 ht="15.75" customHeight="1" s="6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 ht="15.75" customHeight="1" s="6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 ht="15.75" customHeight="1" s="6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 ht="15.75" customHeight="1" s="6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 ht="15.75" customHeight="1" s="6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 ht="15.75" customHeight="1" s="6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 ht="15.75" customHeight="1" s="6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 ht="15.75" customHeight="1" s="6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 ht="15.75" customHeight="1" s="6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 ht="15.75" customHeight="1" s="6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 ht="15.75" customHeight="1" s="6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 ht="15.75" customHeight="1" s="6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 ht="15.75" customHeight="1" s="6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 ht="15.75" customHeight="1" s="6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 ht="15.75" customHeight="1" s="6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 ht="15.75" customHeight="1" s="6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 ht="15.75" customHeight="1" s="6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 ht="15.75" customHeight="1" s="6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 ht="15.75" customHeight="1" s="6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 ht="15.75" customHeight="1" s="6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 ht="15.75" customHeight="1" s="6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 ht="15.75" customHeight="1" s="6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 ht="15.75" customHeight="1" s="6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 ht="15.75" customHeight="1" s="6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 ht="15.75" customHeight="1" s="6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 ht="15.75" customHeight="1" s="6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 ht="15.75" customHeight="1" s="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 ht="15.75" customHeight="1" s="6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 ht="15.75" customHeight="1" s="6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 ht="15.75" customHeight="1" s="6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 ht="15.75" customHeight="1" s="6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 ht="15.75" customHeight="1" s="6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 ht="15.75" customHeight="1" s="6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 ht="15.75" customHeight="1" s="6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 ht="15.75" customHeight="1" s="6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 ht="15.75" customHeight="1" s="6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 ht="15.75" customHeight="1" s="6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 ht="15.75" customHeight="1" s="6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 ht="15.75" customHeight="1" s="6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 ht="15.75" customHeight="1" s="6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 ht="15.75" customHeight="1" s="6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 ht="15.75" customHeight="1" s="6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 ht="15.75" customHeight="1" s="6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 ht="15.75" customHeight="1" s="6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 ht="15.75" customHeight="1" s="6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 ht="15.75" customHeight="1" s="6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 ht="15.75" customHeight="1" s="6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 ht="15.75" customHeight="1" s="6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 ht="15.75" customHeight="1" s="6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 ht="15.75" customHeight="1" s="6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 ht="15.75" customHeight="1" s="6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 ht="15.75" customHeight="1" s="6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 ht="15.75" customHeight="1" s="6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 ht="15.75" customHeight="1" s="6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 ht="15.75" customHeight="1" s="6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 ht="15.75" customHeight="1" s="6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 ht="15.75" customHeight="1" s="6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 ht="15.75" customHeight="1" s="6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 ht="15.75" customHeight="1" s="6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 ht="15.75" customHeight="1" s="6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 ht="15.75" customHeight="1" s="6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 ht="15.75" customHeight="1" s="6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 ht="15.75" customHeight="1" s="6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 ht="15.75" customHeight="1" s="6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 ht="15.75" customHeight="1" s="6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 ht="15.75" customHeight="1" s="6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 ht="15.75" customHeight="1" s="6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 ht="15.75" customHeight="1" s="6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 ht="15.75" customHeight="1" s="6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 ht="15.75" customHeight="1" s="6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 ht="15.75" customHeight="1" s="6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 ht="15.75" customHeight="1" s="6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 ht="15.75" customHeight="1" s="6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 ht="15.75" customHeight="1" s="6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 ht="15.75" customHeight="1" s="6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 ht="15.75" customHeight="1" s="6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 ht="15.75" customHeight="1" s="6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 ht="15.75" customHeight="1" s="6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 ht="15.75" customHeight="1" s="6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 ht="15.75" customHeight="1" s="6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 ht="15.75" customHeight="1" s="6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 ht="15.75" customHeight="1" s="6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 ht="15.75" customHeight="1" s="6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 ht="15.75" customHeight="1" s="6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 ht="15.75" customHeight="1" s="6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 ht="15.75" customHeight="1" s="6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 ht="15.75" customHeight="1" s="6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 ht="15.75" customHeight="1" s="6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 ht="15.75" customHeight="1" s="6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 ht="15.75" customHeight="1" s="6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 ht="15.75" customHeight="1" s="6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 ht="15.75" customHeight="1" s="6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 ht="15.75" customHeight="1" s="6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 ht="15.75" customHeight="1" s="6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 ht="15.75" customHeight="1" s="6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 ht="15.75" customHeight="1" s="6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 ht="15.75" customHeight="1" s="6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 ht="15.75" customHeight="1" s="6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 ht="15.75" customHeight="1" s="6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 ht="15.75" customHeight="1" s="6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 ht="15.75" customHeight="1" s="6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 ht="15.75" customHeight="1" s="6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 ht="15.75" customHeight="1" s="6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 ht="15.75" customHeight="1" s="6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 ht="15.75" customHeight="1" s="6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 ht="15.75" customHeight="1" s="6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 ht="15.75" customHeight="1" s="6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 ht="15.75" customHeight="1" s="6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 ht="15.75" customHeight="1" s="6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 ht="15.75" customHeight="1" s="6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 ht="15.75" customHeight="1" s="6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 ht="15.75" customHeight="1" s="6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 ht="15.75" customHeight="1" s="6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 ht="15.75" customHeight="1" s="6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 ht="15.75" customHeight="1" s="6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 ht="15.75" customHeight="1" s="6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 ht="15.75" customHeight="1" s="6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 ht="15.75" customHeight="1" s="6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 ht="15.75" customHeight="1" s="6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 ht="15.75" customHeight="1" s="6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 ht="15.75" customHeight="1" s="6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 ht="15.75" customHeight="1" s="6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 ht="15.75" customHeight="1" s="6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 ht="15.75" customHeight="1" s="6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 ht="15.75" customHeight="1" s="6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 ht="15.75" customHeight="1" s="6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 ht="15.75" customHeight="1" s="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 ht="15.75" customHeight="1" s="6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 ht="15.75" customHeight="1" s="6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 ht="15.75" customHeight="1" s="6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 ht="15.75" customHeight="1" s="6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 ht="15.75" customHeight="1" s="6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 ht="15.75" customHeight="1" s="6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 ht="15.75" customHeight="1" s="6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 ht="15.75" customHeight="1" s="6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 ht="15.75" customHeight="1" s="6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 ht="15.75" customHeight="1" s="6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 ht="15.75" customHeight="1" s="6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 ht="15.75" customHeight="1" s="6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 ht="15.75" customHeight="1" s="6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 ht="15.75" customHeight="1" s="6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 ht="15.75" customHeight="1" s="6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 ht="15.75" customHeight="1" s="6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 ht="15.75" customHeight="1" s="6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 ht="15.75" customHeight="1" s="6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 ht="15.75" customHeight="1" s="6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 ht="15.75" customHeight="1" s="6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 ht="15.75" customHeight="1" s="6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 ht="15.75" customHeight="1" s="6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 ht="15.75" customHeight="1" s="6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 ht="15.75" customHeight="1" s="6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 ht="15.75" customHeight="1" s="6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 ht="15.75" customHeight="1" s="6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 ht="15.75" customHeight="1" s="6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 ht="15.75" customHeight="1" s="6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 ht="15.75" customHeight="1" s="6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 ht="15.75" customHeight="1" s="6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 ht="15.75" customHeight="1" s="6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 ht="15.75" customHeight="1" s="6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 ht="15.75" customHeight="1" s="6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 ht="15.75" customHeight="1" s="6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 ht="15.75" customHeight="1" s="6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 ht="15.75" customHeight="1" s="6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 ht="15.75" customHeight="1" s="6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 ht="15.75" customHeight="1" s="6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 ht="15.75" customHeight="1" s="6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 ht="15.75" customHeight="1" s="6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 ht="15.75" customHeight="1" s="6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 ht="15.75" customHeight="1" s="6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 ht="15.75" customHeight="1" s="6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 ht="15.75" customHeight="1" s="6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 ht="15.75" customHeight="1" s="6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 ht="15.75" customHeight="1" s="6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 ht="15.75" customHeight="1" s="6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 ht="15.75" customHeight="1" s="6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 ht="15.75" customHeight="1" s="6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 ht="15.75" customHeight="1" s="6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 ht="15.75" customHeight="1" s="6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 ht="15.75" customHeight="1" s="6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 ht="15.75" customHeight="1" s="6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 ht="15.75" customHeight="1" s="6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 ht="15.75" customHeight="1" s="6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 ht="15.75" customHeight="1" s="6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 ht="15.75" customHeight="1" s="6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 ht="15.75" customHeight="1" s="6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 ht="15.75" customHeight="1" s="6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 ht="15.75" customHeight="1" s="6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 ht="15.75" customHeight="1" s="6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 ht="15.75" customHeight="1" s="6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 ht="15.75" customHeight="1" s="6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 ht="15.75" customHeight="1" s="6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 ht="15.75" customHeight="1" s="6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 ht="15.75" customHeight="1" s="6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 ht="15.75" customHeight="1" s="6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 ht="15.75" customHeight="1" s="6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 ht="15.75" customHeight="1" s="6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 ht="15.75" customHeight="1" s="6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 ht="15.75" customHeight="1" s="6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 ht="15.75" customHeight="1" s="6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 ht="15.75" customHeight="1" s="6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 ht="15.75" customHeight="1" s="6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 ht="15.75" customHeight="1" s="6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 ht="15.75" customHeight="1" s="6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 ht="15.75" customHeight="1" s="6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 ht="15.75" customHeight="1" s="6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 ht="15.75" customHeight="1" s="6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 ht="15.75" customHeight="1" s="6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 ht="15.75" customHeight="1" s="6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 ht="15.75" customHeight="1" s="6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 ht="15.75" customHeight="1" s="6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 ht="15.75" customHeight="1" s="6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 ht="15.75" customHeight="1" s="6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 ht="15.75" customHeight="1" s="6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 ht="15.75" customHeight="1" s="6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 ht="15.75" customHeight="1" s="6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 ht="15.75" customHeight="1" s="6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 ht="15.75" customHeight="1" s="6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 ht="15.75" customHeight="1" s="6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 ht="15.75" customHeight="1" s="6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 ht="15.75" customHeight="1" s="6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 ht="15.75" customHeight="1" s="6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 ht="15.75" customHeight="1" s="6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 ht="15.75" customHeight="1" s="6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 ht="15.75" customHeight="1" s="6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 ht="15.75" customHeight="1" s="6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 ht="15.75" customHeight="1" s="6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 ht="15.75" customHeight="1" s="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 ht="15.75" customHeight="1" s="6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 ht="15.75" customHeight="1" s="6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 ht="15.75" customHeight="1" s="6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 ht="15.75" customHeight="1" s="6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 ht="15.75" customHeight="1" s="6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 ht="15.75" customHeight="1" s="6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 ht="15.75" customHeight="1" s="6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 ht="15.75" customHeight="1" s="6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 ht="15.75" customHeight="1" s="6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 ht="15.75" customHeight="1" s="6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 ht="15.75" customHeight="1" s="6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 ht="15.75" customHeight="1" s="6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 ht="15.75" customHeight="1" s="6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 ht="15.75" customHeight="1" s="6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 ht="15.75" customHeight="1" s="6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 ht="15.75" customHeight="1" s="6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 ht="15.75" customHeight="1" s="6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 ht="15.75" customHeight="1" s="6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 ht="15.75" customHeight="1" s="6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 ht="15.75" customHeight="1" s="6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 ht="15.75" customHeight="1" s="6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 ht="15.75" customHeight="1" s="6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 ht="15.75" customHeight="1" s="6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 ht="15.75" customHeight="1" s="6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 ht="15.75" customHeight="1" s="6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 ht="15.75" customHeight="1" s="6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 ht="15.75" customHeight="1" s="6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 ht="15.75" customHeight="1" s="6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 ht="15.75" customHeight="1" s="6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 ht="15.75" customHeight="1" s="6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 ht="15.75" customHeight="1" s="6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 ht="15.75" customHeight="1" s="6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 ht="15.75" customHeight="1" s="6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 ht="15.75" customHeight="1" s="6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 ht="15.75" customHeight="1" s="6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 ht="15.75" customHeight="1" s="6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 ht="15.75" customHeight="1" s="6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 ht="15.75" customHeight="1" s="6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 ht="15.75" customHeight="1" s="6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 ht="15.75" customHeight="1" s="6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 ht="15.75" customHeight="1" s="6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 ht="15.75" customHeight="1" s="6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 ht="15.75" customHeight="1" s="6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 ht="15.75" customHeight="1" s="6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 ht="15.75" customHeight="1" s="6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 ht="15.75" customHeight="1" s="6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 ht="15.75" customHeight="1" s="6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 ht="15.75" customHeight="1" s="6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 ht="15.75" customHeight="1" s="6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 ht="15.75" customHeight="1" s="6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 ht="15.75" customHeight="1" s="6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 ht="15.75" customHeight="1" s="6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 ht="15.75" customHeight="1" s="6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 ht="15.75" customHeight="1" s="6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 ht="15.75" customHeight="1" s="6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 ht="15.75" customHeight="1" s="6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 ht="15.75" customHeight="1" s="6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 ht="15.75" customHeight="1" s="6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 ht="15.75" customHeight="1" s="6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 ht="15.75" customHeight="1" s="6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 ht="15.75" customHeight="1" s="6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 ht="15.75" customHeight="1" s="6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 ht="15.75" customHeight="1" s="6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 ht="15.75" customHeight="1" s="6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 ht="15.75" customHeight="1" s="6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 ht="15.75" customHeight="1" s="6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 ht="15.75" customHeight="1" s="6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 ht="15.75" customHeight="1" s="6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 ht="15.75" customHeight="1" s="6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 ht="15.75" customHeight="1" s="6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 ht="15.75" customHeight="1" s="6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 ht="15.75" customHeight="1" s="6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 ht="15.75" customHeight="1" s="6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 ht="15.75" customHeight="1" s="6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 ht="15.75" customHeight="1" s="6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 ht="15.75" customHeight="1" s="6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 ht="15.75" customHeight="1" s="6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 ht="15.75" customHeight="1" s="6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 ht="15.75" customHeight="1" s="6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 ht="15.75" customHeight="1" s="6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 ht="15.75" customHeight="1" s="6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 ht="15.75" customHeight="1" s="6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 ht="15.75" customHeight="1" s="6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 ht="15.75" customHeight="1" s="6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 ht="15.75" customHeight="1" s="6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 ht="15.75" customHeight="1" s="6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 ht="15.75" customHeight="1" s="6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 ht="15.75" customHeight="1" s="6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 ht="15.75" customHeight="1" s="6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 ht="15.75" customHeight="1" s="6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 ht="15.75" customHeight="1" s="6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 ht="15.75" customHeight="1" s="6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 ht="15.75" customHeight="1" s="6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 ht="15.75" customHeight="1" s="6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 ht="15.75" customHeight="1" s="6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 ht="15.75" customHeight="1" s="6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 ht="15.75" customHeight="1" s="6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 ht="15.75" customHeight="1" s="6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 ht="15.75" customHeight="1" s="6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 ht="15.75" customHeight="1" s="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 ht="15.75" customHeight="1" s="6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 ht="15.75" customHeight="1" s="6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 ht="15.75" customHeight="1" s="6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 ht="15.75" customHeight="1" s="6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 ht="15.75" customHeight="1" s="6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 ht="15.75" customHeight="1" s="6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 ht="15.75" customHeight="1" s="6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 ht="15.75" customHeight="1" s="6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 ht="15.75" customHeight="1" s="6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 ht="15.75" customHeight="1" s="6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 ht="15.75" customHeight="1" s="6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 ht="15.75" customHeight="1" s="6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 ht="15.75" customHeight="1" s="6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 ht="15.75" customHeight="1" s="6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 ht="15.75" customHeight="1" s="6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 ht="15.75" customHeight="1" s="6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 ht="15.75" customHeight="1" s="6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 ht="15.75" customHeight="1" s="6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 ht="15.75" customHeight="1" s="6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 ht="15.75" customHeight="1" s="6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 ht="15.75" customHeight="1" s="6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 ht="15.75" customHeight="1" s="6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 ht="15.75" customHeight="1" s="6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 ht="15.75" customHeight="1" s="6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 ht="15.75" customHeight="1" s="6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 ht="15.75" customHeight="1" s="6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 ht="15.75" customHeight="1" s="6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 ht="15.75" customHeight="1" s="6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 ht="15.75" customHeight="1" s="6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 ht="15.75" customHeight="1" s="6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 ht="15.75" customHeight="1" s="6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 ht="15.75" customHeight="1" s="6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 ht="15.75" customHeight="1" s="6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 ht="15.75" customHeight="1" s="6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 ht="15.75" customHeight="1" s="6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 ht="15.75" customHeight="1" s="6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 ht="15.75" customHeight="1" s="6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 ht="15.75" customHeight="1" s="6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 ht="15.75" customHeight="1" s="6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 ht="15.75" customHeight="1" s="6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 ht="15.75" customHeight="1" s="6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 ht="15.75" customHeight="1" s="6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 ht="15.75" customHeight="1" s="6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 ht="15.75" customHeight="1" s="6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 ht="15.75" customHeight="1" s="6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 ht="15.75" customHeight="1" s="6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 ht="15.75" customHeight="1" s="6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 ht="15.75" customHeight="1" s="6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 ht="15.75" customHeight="1" s="6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 ht="15.75" customHeight="1" s="6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 ht="15.75" customHeight="1" s="6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 ht="15.75" customHeight="1" s="6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 ht="15.75" customHeight="1" s="6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 ht="15.75" customHeight="1" s="6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 ht="15.75" customHeight="1" s="6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 ht="15.75" customHeight="1" s="6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 ht="15.75" customHeight="1" s="6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 ht="15.75" customHeight="1" s="6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 ht="15.75" customHeight="1" s="6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 ht="15.75" customHeight="1" s="6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 ht="15.75" customHeight="1" s="6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 ht="15.75" customHeight="1" s="6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 ht="15.75" customHeight="1" s="6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 ht="15.75" customHeight="1" s="6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 ht="15.75" customHeight="1" s="6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 ht="15.75" customHeight="1" s="6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 ht="15.75" customHeight="1" s="6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 ht="15.75" customHeight="1" s="6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 ht="15.75" customHeight="1" s="6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 ht="15.75" customHeight="1" s="6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 ht="15.75" customHeight="1" s="6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 ht="15.75" customHeight="1" s="6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 ht="15.75" customHeight="1" s="6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 ht="15.75" customHeight="1" s="6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 ht="15.75" customHeight="1" s="6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 ht="15.75" customHeight="1" s="6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 ht="15.75" customHeight="1" s="6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 ht="15.75" customHeight="1" s="6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 ht="15.75" customHeight="1" s="6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 ht="15.75" customHeight="1" s="6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 ht="15.75" customHeight="1" s="6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 ht="15.75" customHeight="1" s="6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 ht="15.75" customHeight="1" s="6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 ht="15.75" customHeight="1" s="6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 ht="15.75" customHeight="1" s="6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 ht="15.75" customHeight="1" s="6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 ht="15.75" customHeight="1" s="6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 ht="15.75" customHeight="1" s="6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 ht="15.75" customHeight="1" s="6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 ht="15.75" customHeight="1" s="6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 ht="15.75" customHeight="1" s="6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 ht="15.75" customHeight="1" s="6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 ht="15.75" customHeight="1" s="6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 ht="15.75" customHeight="1" s="6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 ht="15.75" customHeight="1" s="6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 ht="15.75" customHeight="1" s="6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 ht="15.75" customHeight="1" s="6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 ht="15.75" customHeight="1" s="6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 ht="15.75" customHeight="1" s="6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 ht="15.75" customHeight="1" s="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 ht="15.75" customHeight="1" s="6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 ht="15.75" customHeight="1" s="6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 ht="15.75" customHeight="1" s="6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 ht="15.75" customHeight="1" s="6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 ht="15.75" customHeight="1" s="6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 ht="15.75" customHeight="1" s="6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 ht="15.75" customHeight="1" s="6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 ht="15.75" customHeight="1" s="6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 ht="15.75" customHeight="1" s="6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 ht="15.75" customHeight="1" s="6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 ht="15.75" customHeight="1" s="6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 ht="15.75" customHeight="1" s="6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 ht="15.75" customHeight="1" s="6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 ht="15.75" customHeight="1" s="6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 ht="15.75" customHeight="1" s="6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 ht="15.75" customHeight="1" s="6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 ht="15.75" customHeight="1" s="6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 ht="15.75" customHeight="1" s="6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 ht="15.75" customHeight="1" s="6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 ht="15.75" customHeight="1" s="6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 ht="15.75" customHeight="1" s="6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 ht="15.75" customHeight="1" s="6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 ht="15.75" customHeight="1" s="6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 ht="15.75" customHeight="1" s="6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 ht="15.75" customHeight="1" s="6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 ht="15.75" customHeight="1" s="6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 ht="15.75" customHeight="1" s="6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 ht="15.75" customHeight="1" s="6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 ht="15.75" customHeight="1" s="6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 ht="15.75" customHeight="1" s="6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 ht="15.75" customHeight="1" s="6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 ht="15.75" customHeight="1" s="6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 ht="15.75" customHeight="1" s="6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 ht="15.75" customHeight="1" s="6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 ht="15.75" customHeight="1" s="6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 ht="15.75" customHeight="1" s="6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 ht="15.75" customHeight="1" s="6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 ht="15.75" customHeight="1" s="6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 ht="15.75" customHeight="1" s="6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 ht="15.75" customHeight="1" s="6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 ht="15.75" customHeight="1" s="6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 ht="15.75" customHeight="1" s="6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 ht="15.75" customHeight="1" s="6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 ht="15.75" customHeight="1" s="6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 ht="15.75" customHeight="1" s="6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 ht="15.75" customHeight="1" s="6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 ht="15.75" customHeight="1" s="6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 ht="15.75" customHeight="1" s="6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 ht="15.75" customHeight="1" s="6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 ht="15.75" customHeight="1" s="6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 ht="15.75" customHeight="1" s="6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 ht="15.75" customHeight="1" s="6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 ht="15.75" customHeight="1" s="6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 ht="15.75" customHeight="1" s="6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 ht="15.75" customHeight="1" s="6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 ht="15.75" customHeight="1" s="6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 ht="15.75" customHeight="1" s="6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 ht="15.75" customHeight="1" s="6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 ht="15.75" customHeight="1" s="6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 ht="15.75" customHeight="1" s="6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 ht="15.75" customHeight="1" s="6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 ht="15.75" customHeight="1" s="6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 ht="15.75" customHeight="1" s="6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 ht="15.75" customHeight="1" s="6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 ht="15.75" customHeight="1" s="6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 ht="15.75" customHeight="1" s="6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 ht="15.75" customHeight="1" s="6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 ht="15.75" customHeight="1" s="6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 ht="15.75" customHeight="1" s="6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 ht="15.75" customHeight="1" s="6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 ht="15.75" customHeight="1" s="6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 ht="15.75" customHeight="1" s="6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 ht="15.75" customHeight="1" s="6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 ht="15.75" customHeight="1" s="6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 ht="15.75" customHeight="1" s="6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 ht="15.75" customHeight="1" s="6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 ht="15.75" customHeight="1" s="6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 ht="15.75" customHeight="1" s="6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 ht="15.75" customHeight="1" s="6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 ht="15.75" customHeight="1" s="6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 ht="15.75" customHeight="1" s="6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 ht="15.75" customHeight="1" s="6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 ht="15.75" customHeight="1" s="6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 ht="15.75" customHeight="1" s="6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 ht="15.75" customHeight="1" s="6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 ht="15.75" customHeight="1" s="6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 ht="15.75" customHeight="1" s="6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 ht="15.75" customHeight="1" s="6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 ht="15.75" customHeight="1" s="6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 ht="15.75" customHeight="1" s="6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 ht="15.75" customHeight="1" s="6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 ht="15.75" customHeight="1" s="6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 ht="15.75" customHeight="1" s="6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 ht="15.75" customHeight="1" s="6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 ht="15.75" customHeight="1" s="6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 ht="15.75" customHeight="1" s="6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 ht="15.75" customHeight="1" s="6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 ht="15.75" customHeight="1" s="6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 ht="15.75" customHeight="1" s="6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 ht="15.75" customHeight="1" s="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 ht="15.75" customHeight="1" s="6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 ht="15.75" customHeight="1" s="6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 ht="15.75" customHeight="1" s="6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 ht="15.75" customHeight="1" s="6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 ht="15.75" customHeight="1" s="6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 ht="15.75" customHeight="1" s="6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 ht="15.75" customHeight="1" s="6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 ht="15.75" customHeight="1" s="6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 ht="15.75" customHeight="1" s="6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 ht="15.75" customHeight="1" s="6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 ht="15.75" customHeight="1" s="6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 ht="15.75" customHeight="1" s="6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 ht="15.75" customHeight="1" s="6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 ht="15.75" customHeight="1" s="6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 ht="15.75" customHeight="1" s="6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 ht="15.75" customHeight="1" s="6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 ht="15.75" customHeight="1" s="6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 ht="15.75" customHeight="1" s="6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 ht="15.75" customHeight="1" s="6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 ht="15.75" customHeight="1" s="6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 ht="15.75" customHeight="1" s="6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 ht="15.75" customHeight="1" s="6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 ht="15.75" customHeight="1" s="6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 ht="15.75" customHeight="1" s="6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 ht="15.75" customHeight="1" s="6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 ht="15.75" customHeight="1" s="6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 ht="15.75" customHeight="1" s="6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 ht="15.75" customHeight="1" s="6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 ht="15.75" customHeight="1" s="6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 ht="15.75" customHeight="1" s="6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 ht="15.75" customHeight="1" s="6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 ht="15.75" customHeight="1" s="6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mergeCells count="1">
    <mergeCell ref="L22:R22"/>
  </mergeCells>
  <printOptions horizontalCentered="1"/>
  <pageMargins left="0.5" right="0.5" top="1" bottom="1" header="0" footer="0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14" customWidth="1" style="67" min="1" max="2"/>
    <col width="11" customWidth="1" style="67" min="3" max="37"/>
  </cols>
  <sheetData>
    <row r="1">
      <c r="A1" s="53" t="inlineStr">
        <is>
          <t>Paso 6 · Base completa pretest–postest de los pares analizados (todos los indicadores)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</row>
    <row r="2" ht="45" customHeight="1" s="67">
      <c r="A2" s="55" t="inlineStr">
        <is>
          <t>Una fila por par completo (n = 103). Ítems y tareas del postest (tareas 3 y 4); puntajes del pretest tomados de la base de la Sesión 03. SUS_POST, TAM_POST, TIEMPO_POST y CLICS_POST se calculan con fórmula. TIEMPO = promedio de las dos tareas (s); CLICS = suma de las dos tareas.</t>
        </is>
      </c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</row>
    <row r="4">
      <c r="A4" s="56" t="inlineStr">
        <is>
          <t>CODIGO</t>
        </is>
      </c>
      <c r="B4" s="56" t="inlineStr">
        <is>
          <t>GRUPO</t>
        </is>
      </c>
      <c r="C4" s="56" t="inlineStr">
        <is>
          <t>sus01_post</t>
        </is>
      </c>
      <c r="D4" s="56" t="inlineStr">
        <is>
          <t>sus02_post</t>
        </is>
      </c>
      <c r="E4" s="56" t="inlineStr">
        <is>
          <t>sus03_post</t>
        </is>
      </c>
      <c r="F4" s="56" t="inlineStr">
        <is>
          <t>sus04_post</t>
        </is>
      </c>
      <c r="G4" s="56" t="inlineStr">
        <is>
          <t>sus05_post</t>
        </is>
      </c>
      <c r="H4" s="56" t="inlineStr">
        <is>
          <t>sus06_post</t>
        </is>
      </c>
      <c r="I4" s="56" t="inlineStr">
        <is>
          <t>sus07_post</t>
        </is>
      </c>
      <c r="J4" s="56" t="inlineStr">
        <is>
          <t>sus08_post</t>
        </is>
      </c>
      <c r="K4" s="56" t="inlineStr">
        <is>
          <t>sus09_post</t>
        </is>
      </c>
      <c r="L4" s="56" t="inlineStr">
        <is>
          <t>sus10_post</t>
        </is>
      </c>
      <c r="M4" s="56" t="inlineStr">
        <is>
          <t>tam01_post</t>
        </is>
      </c>
      <c r="N4" s="56" t="inlineStr">
        <is>
          <t>tam02_post</t>
        </is>
      </c>
      <c r="O4" s="56" t="inlineStr">
        <is>
          <t>tam03_post</t>
        </is>
      </c>
      <c r="P4" s="56" t="inlineStr">
        <is>
          <t>tam04_post</t>
        </is>
      </c>
      <c r="Q4" s="56" t="inlineStr">
        <is>
          <t>tam05_post</t>
        </is>
      </c>
      <c r="R4" s="56" t="inlineStr">
        <is>
          <t>tam06_post</t>
        </is>
      </c>
      <c r="S4" s="56" t="inlineStr">
        <is>
          <t>tam07_post</t>
        </is>
      </c>
      <c r="T4" s="56" t="inlineStr">
        <is>
          <t>tam08_post</t>
        </is>
      </c>
      <c r="U4" s="56" t="inlineStr">
        <is>
          <t>t3_seg</t>
        </is>
      </c>
      <c r="V4" s="56" t="inlineStr">
        <is>
          <t>t3_clics</t>
        </is>
      </c>
      <c r="W4" s="56" t="inlineStr">
        <is>
          <t>t4_seg</t>
        </is>
      </c>
      <c r="X4" s="56" t="inlineStr">
        <is>
          <t>t4_clics</t>
        </is>
      </c>
      <c r="Y4" s="56" t="inlineStr">
        <is>
          <t>SUS_PRE</t>
        </is>
      </c>
      <c r="Z4" s="56" t="inlineStr">
        <is>
          <t>SUS_POST</t>
        </is>
      </c>
      <c r="AA4" s="56" t="inlineStr">
        <is>
          <t>TAM_PRE</t>
        </is>
      </c>
      <c r="AB4" s="56" t="inlineStr">
        <is>
          <t>TAM_POST</t>
        </is>
      </c>
      <c r="AC4" s="56" t="inlineStr">
        <is>
          <t>TIEMPO_PRE</t>
        </is>
      </c>
      <c r="AD4" s="56" t="inlineStr">
        <is>
          <t>TIEMPO_POST</t>
        </is>
      </c>
      <c r="AE4" s="56" t="inlineStr">
        <is>
          <t>CLICS_PRE</t>
        </is>
      </c>
      <c r="AF4" s="56" t="inlineStr">
        <is>
          <t>CLICS_POST</t>
        </is>
      </c>
      <c r="AG4" s="56" t="inlineStr">
        <is>
          <t>DIAS_USO</t>
        </is>
      </c>
      <c r="AH4" s="56" t="inlineStr">
        <is>
          <t>DIF_SUS</t>
        </is>
      </c>
      <c r="AI4" s="56" t="inlineStr">
        <is>
          <t>DIF_TAM</t>
        </is>
      </c>
      <c r="AJ4" s="56" t="inlineStr">
        <is>
          <t>DIF_TIEMPO</t>
        </is>
      </c>
      <c r="AK4" s="56" t="inlineStr">
        <is>
          <t>DIF_CLICS</t>
        </is>
      </c>
    </row>
    <row r="5">
      <c r="A5" s="57" t="inlineStr">
        <is>
          <t>GU-TDH-002</t>
        </is>
      </c>
      <c r="B5" s="57" t="inlineStr">
        <is>
          <t>G</t>
        </is>
      </c>
      <c r="C5" s="57" t="n">
        <v>5</v>
      </c>
      <c r="D5" s="57" t="n">
        <v>1</v>
      </c>
      <c r="E5" s="57" t="n">
        <v>4</v>
      </c>
      <c r="F5" s="57" t="n">
        <v>2</v>
      </c>
      <c r="G5" s="57" t="n">
        <v>5</v>
      </c>
      <c r="H5" s="57" t="n">
        <v>1</v>
      </c>
      <c r="I5" s="57" t="n">
        <v>4</v>
      </c>
      <c r="J5" s="57" t="n">
        <v>1</v>
      </c>
      <c r="K5" s="57" t="n">
        <v>5</v>
      </c>
      <c r="L5" s="57" t="n">
        <v>2</v>
      </c>
      <c r="M5" s="57" t="n">
        <v>4</v>
      </c>
      <c r="N5" s="57" t="n">
        <v>4</v>
      </c>
      <c r="O5" s="57" t="n">
        <v>4</v>
      </c>
      <c r="P5" s="57" t="n">
        <v>4</v>
      </c>
      <c r="Q5" s="57" t="n">
        <v>4</v>
      </c>
      <c r="R5" s="57" t="n">
        <v>5</v>
      </c>
      <c r="S5" s="57" t="n">
        <v>5</v>
      </c>
      <c r="T5" s="57" t="n">
        <v>4</v>
      </c>
      <c r="U5" s="57" t="n">
        <v>68</v>
      </c>
      <c r="V5" s="57" t="n">
        <v>4</v>
      </c>
      <c r="W5" s="57" t="n">
        <v>58</v>
      </c>
      <c r="X5" s="57" t="n">
        <v>4</v>
      </c>
      <c r="Y5" s="57" t="n">
        <v>75</v>
      </c>
      <c r="Z5" s="58">
        <f>2.5*((C5-1)+(5-D5)+(E5-1)+(5-F5)+(G5-1)+(5-H5)+(I5-1)+(5-J5)+(K5-1)+(5-L5))</f>
        <v/>
      </c>
      <c r="AA5" s="57" t="n">
        <v>28</v>
      </c>
      <c r="AB5" s="58">
        <f>SUM(M5:T5)</f>
        <v/>
      </c>
      <c r="AC5" s="57" t="n">
        <v>170.5</v>
      </c>
      <c r="AD5" s="58">
        <f>AVERAGE(U5,W5)</f>
        <v/>
      </c>
      <c r="AE5" s="57" t="n">
        <v>19</v>
      </c>
      <c r="AF5" s="58">
        <f>V5+X5</f>
        <v/>
      </c>
      <c r="AG5" s="57" t="n">
        <v>4</v>
      </c>
      <c r="AH5" s="58">
        <f>Z5-Y5</f>
        <v/>
      </c>
      <c r="AI5" s="58">
        <f>AB5-AA5</f>
        <v/>
      </c>
      <c r="AJ5" s="58">
        <f>AD5-AC5</f>
        <v/>
      </c>
      <c r="AK5" s="58">
        <f>AF5-AE5</f>
        <v/>
      </c>
    </row>
    <row r="6">
      <c r="A6" s="57" t="inlineStr">
        <is>
          <t>GU-TDH-003</t>
        </is>
      </c>
      <c r="B6" s="57" t="inlineStr">
        <is>
          <t>G</t>
        </is>
      </c>
      <c r="C6" s="57" t="n">
        <v>4</v>
      </c>
      <c r="D6" s="57" t="n">
        <v>3</v>
      </c>
      <c r="E6" s="57" t="n">
        <v>4</v>
      </c>
      <c r="F6" s="57" t="n">
        <v>2</v>
      </c>
      <c r="G6" s="57" t="n">
        <v>3</v>
      </c>
      <c r="H6" s="57" t="n">
        <v>1</v>
      </c>
      <c r="I6" s="57" t="n">
        <v>4</v>
      </c>
      <c r="J6" s="57" t="n">
        <v>2</v>
      </c>
      <c r="K6" s="57" t="n">
        <v>4</v>
      </c>
      <c r="L6" s="57" t="n">
        <v>1</v>
      </c>
      <c r="M6" s="57" t="n">
        <v>4</v>
      </c>
      <c r="N6" s="57" t="n">
        <v>3</v>
      </c>
      <c r="O6" s="57" t="n">
        <v>4</v>
      </c>
      <c r="P6" s="57" t="n">
        <v>3</v>
      </c>
      <c r="Q6" s="57" t="n">
        <v>4</v>
      </c>
      <c r="R6" s="57" t="n">
        <v>4</v>
      </c>
      <c r="S6" s="57" t="n">
        <v>3</v>
      </c>
      <c r="T6" s="57" t="n">
        <v>3</v>
      </c>
      <c r="U6" s="57" t="n">
        <v>85</v>
      </c>
      <c r="V6" s="57" t="n">
        <v>7</v>
      </c>
      <c r="W6" s="57" t="n">
        <v>99</v>
      </c>
      <c r="X6" s="57" t="n">
        <v>6</v>
      </c>
      <c r="Y6" s="57" t="n">
        <v>55</v>
      </c>
      <c r="Z6" s="58">
        <f>2.5*((C6-1)+(5-D6)+(E6-1)+(5-F6)+(G6-1)+(5-H6)+(I6-1)+(5-J6)+(K6-1)+(5-L6))</f>
        <v/>
      </c>
      <c r="AA6" s="57" t="n">
        <v>19</v>
      </c>
      <c r="AB6" s="58">
        <f>SUM(M6:T6)</f>
        <v/>
      </c>
      <c r="AC6" s="57" t="n">
        <v>225.5</v>
      </c>
      <c r="AD6" s="58">
        <f>AVERAGE(U6,W6)</f>
        <v/>
      </c>
      <c r="AE6" s="57" t="n">
        <v>25</v>
      </c>
      <c r="AF6" s="58">
        <f>V6+X6</f>
        <v/>
      </c>
      <c r="AG6" s="57" t="n">
        <v>3</v>
      </c>
      <c r="AH6" s="58">
        <f>Z6-Y6</f>
        <v/>
      </c>
      <c r="AI6" s="58">
        <f>AB6-AA6</f>
        <v/>
      </c>
      <c r="AJ6" s="58">
        <f>AD6-AC6</f>
        <v/>
      </c>
      <c r="AK6" s="58">
        <f>AF6-AE6</f>
        <v/>
      </c>
    </row>
    <row r="7">
      <c r="A7" s="57" t="inlineStr">
        <is>
          <t>GU-TDH-004</t>
        </is>
      </c>
      <c r="B7" s="57" t="inlineStr">
        <is>
          <t>G</t>
        </is>
      </c>
      <c r="C7" s="57" t="n">
        <v>4</v>
      </c>
      <c r="D7" s="57" t="n">
        <v>3</v>
      </c>
      <c r="E7" s="57" t="n">
        <v>4</v>
      </c>
      <c r="F7" s="57" t="n">
        <v>3</v>
      </c>
      <c r="G7" s="57" t="n">
        <v>5</v>
      </c>
      <c r="H7" s="57" t="n">
        <v>3</v>
      </c>
      <c r="I7" s="57" t="n">
        <v>4</v>
      </c>
      <c r="J7" s="57" t="n">
        <v>3</v>
      </c>
      <c r="K7" s="57" t="n">
        <v>4</v>
      </c>
      <c r="L7" s="57" t="n">
        <v>2</v>
      </c>
      <c r="M7" s="57" t="n">
        <v>4</v>
      </c>
      <c r="N7" s="57" t="n">
        <v>3</v>
      </c>
      <c r="O7" s="57" t="n">
        <v>4</v>
      </c>
      <c r="P7" s="57" t="n">
        <v>3</v>
      </c>
      <c r="Q7" s="57" t="n">
        <v>3</v>
      </c>
      <c r="R7" s="57" t="n">
        <v>3</v>
      </c>
      <c r="S7" s="57" t="n">
        <v>4</v>
      </c>
      <c r="T7" s="57" t="n">
        <v>4</v>
      </c>
      <c r="U7" s="57" t="n">
        <v>95</v>
      </c>
      <c r="V7" s="57" t="n">
        <v>8</v>
      </c>
      <c r="W7" s="57" t="n">
        <v>67</v>
      </c>
      <c r="X7" s="57" t="n">
        <v>6</v>
      </c>
      <c r="Y7" s="57" t="n">
        <v>42.5</v>
      </c>
      <c r="Z7" s="58">
        <f>2.5*((C7-1)+(5-D7)+(E7-1)+(5-F7)+(G7-1)+(5-H7)+(I7-1)+(5-J7)+(K7-1)+(5-L7))</f>
        <v/>
      </c>
      <c r="AA7" s="57" t="n">
        <v>16</v>
      </c>
      <c r="AB7" s="58">
        <f>SUM(M7:T7)</f>
        <v/>
      </c>
      <c r="AC7" s="57" t="n">
        <v>230.5</v>
      </c>
      <c r="AD7" s="58">
        <f>AVERAGE(U7,W7)</f>
        <v/>
      </c>
      <c r="AE7" s="57" t="n">
        <v>23</v>
      </c>
      <c r="AF7" s="58">
        <f>V7+X7</f>
        <v/>
      </c>
      <c r="AG7" s="57" t="n">
        <v>3</v>
      </c>
      <c r="AH7" s="58">
        <f>Z7-Y7</f>
        <v/>
      </c>
      <c r="AI7" s="58">
        <f>AB7-AA7</f>
        <v/>
      </c>
      <c r="AJ7" s="58">
        <f>AD7-AC7</f>
        <v/>
      </c>
      <c r="AK7" s="58">
        <f>AF7-AE7</f>
        <v/>
      </c>
    </row>
    <row r="8">
      <c r="A8" s="57" t="inlineStr">
        <is>
          <t>GU-TDH-007</t>
        </is>
      </c>
      <c r="B8" s="57" t="inlineStr">
        <is>
          <t>G</t>
        </is>
      </c>
      <c r="C8" s="57" t="n">
        <v>4</v>
      </c>
      <c r="D8" s="57" t="n">
        <v>2</v>
      </c>
      <c r="E8" s="57" t="n">
        <v>5</v>
      </c>
      <c r="F8" s="57" t="n">
        <v>1</v>
      </c>
      <c r="G8" s="57" t="n">
        <v>4</v>
      </c>
      <c r="H8" s="57" t="n">
        <v>2</v>
      </c>
      <c r="I8" s="57" t="n">
        <v>5</v>
      </c>
      <c r="J8" s="57" t="n">
        <v>2</v>
      </c>
      <c r="K8" s="57" t="n">
        <v>4</v>
      </c>
      <c r="L8" s="57" t="n">
        <v>1</v>
      </c>
      <c r="M8" s="57" t="n">
        <v>4</v>
      </c>
      <c r="N8" s="57" t="n">
        <v>4</v>
      </c>
      <c r="O8" s="57" t="n">
        <v>4</v>
      </c>
      <c r="P8" s="57" t="n">
        <v>5</v>
      </c>
      <c r="Q8" s="57" t="n">
        <v>4</v>
      </c>
      <c r="R8" s="57" t="n">
        <v>4</v>
      </c>
      <c r="S8" s="57" t="n">
        <v>4</v>
      </c>
      <c r="T8" s="57" t="n">
        <v>4</v>
      </c>
      <c r="U8" s="57" t="n">
        <v>103</v>
      </c>
      <c r="V8" s="57" t="n">
        <v>6</v>
      </c>
      <c r="W8" s="57" t="n">
        <v>52</v>
      </c>
      <c r="X8" s="57" t="n">
        <v>5</v>
      </c>
      <c r="Y8" s="57" t="n">
        <v>55</v>
      </c>
      <c r="Z8" s="58">
        <f>2.5*((C8-1)+(5-D8)+(E8-1)+(5-F8)+(G8-1)+(5-H8)+(I8-1)+(5-J8)+(K8-1)+(5-L8))</f>
        <v/>
      </c>
      <c r="AA8" s="57" t="n">
        <v>20</v>
      </c>
      <c r="AB8" s="58">
        <f>SUM(M8:T8)</f>
        <v/>
      </c>
      <c r="AC8" s="57" t="n">
        <v>166.5</v>
      </c>
      <c r="AD8" s="58">
        <f>AVERAGE(U8,W8)</f>
        <v/>
      </c>
      <c r="AE8" s="57" t="n">
        <v>11</v>
      </c>
      <c r="AF8" s="58">
        <f>V8+X8</f>
        <v/>
      </c>
      <c r="AG8" s="57" t="n">
        <v>3</v>
      </c>
      <c r="AH8" s="58">
        <f>Z8-Y8</f>
        <v/>
      </c>
      <c r="AI8" s="58">
        <f>AB8-AA8</f>
        <v/>
      </c>
      <c r="AJ8" s="58">
        <f>AD8-AC8</f>
        <v/>
      </c>
      <c r="AK8" s="58">
        <f>AF8-AE8</f>
        <v/>
      </c>
    </row>
    <row r="9">
      <c r="A9" s="57" t="inlineStr">
        <is>
          <t>GU-TDH-008</t>
        </is>
      </c>
      <c r="B9" s="57" t="inlineStr">
        <is>
          <t>G</t>
        </is>
      </c>
      <c r="C9" s="57" t="n">
        <v>4</v>
      </c>
      <c r="D9" s="57" t="n">
        <v>3</v>
      </c>
      <c r="E9" s="57" t="n">
        <v>4</v>
      </c>
      <c r="F9" s="57" t="n">
        <v>4</v>
      </c>
      <c r="G9" s="57" t="n">
        <v>3</v>
      </c>
      <c r="H9" s="57" t="n">
        <v>4</v>
      </c>
      <c r="I9" s="57" t="n">
        <v>3</v>
      </c>
      <c r="J9" s="57" t="n">
        <v>3</v>
      </c>
      <c r="K9" s="57" t="n">
        <v>2</v>
      </c>
      <c r="L9" s="57" t="n">
        <v>2</v>
      </c>
      <c r="M9" s="57" t="n">
        <v>3</v>
      </c>
      <c r="N9" s="57" t="n">
        <v>4</v>
      </c>
      <c r="O9" s="57" t="n">
        <v>4</v>
      </c>
      <c r="P9" s="57" t="n">
        <v>4</v>
      </c>
      <c r="Q9" s="57" t="n">
        <v>4</v>
      </c>
      <c r="R9" s="57" t="n">
        <v>4</v>
      </c>
      <c r="S9" s="57" t="n">
        <v>3</v>
      </c>
      <c r="T9" s="57" t="n">
        <v>4</v>
      </c>
      <c r="U9" s="57" t="n">
        <v>96</v>
      </c>
      <c r="V9" s="57" t="n">
        <v>8</v>
      </c>
      <c r="W9" s="57" t="n">
        <v>93</v>
      </c>
      <c r="X9" s="57" t="n">
        <v>7</v>
      </c>
      <c r="Y9" s="57" t="n">
        <v>40</v>
      </c>
      <c r="Z9" s="58">
        <f>2.5*((C9-1)+(5-D9)+(E9-1)+(5-F9)+(G9-1)+(5-H9)+(I9-1)+(5-J9)+(K9-1)+(5-L9))</f>
        <v/>
      </c>
      <c r="AA9" s="57" t="n">
        <v>13</v>
      </c>
      <c r="AB9" s="58">
        <f>SUM(M9:T9)</f>
        <v/>
      </c>
      <c r="AC9" s="57" t="n">
        <v>283</v>
      </c>
      <c r="AD9" s="58">
        <f>AVERAGE(U9,W9)</f>
        <v/>
      </c>
      <c r="AE9" s="57" t="n">
        <v>29</v>
      </c>
      <c r="AF9" s="58">
        <f>V9+X9</f>
        <v/>
      </c>
      <c r="AG9" s="57" t="n">
        <v>4</v>
      </c>
      <c r="AH9" s="58">
        <f>Z9-Y9</f>
        <v/>
      </c>
      <c r="AI9" s="58">
        <f>AB9-AA9</f>
        <v/>
      </c>
      <c r="AJ9" s="58">
        <f>AD9-AC9</f>
        <v/>
      </c>
      <c r="AK9" s="58">
        <f>AF9-AE9</f>
        <v/>
      </c>
    </row>
    <row r="10">
      <c r="A10" s="57" t="inlineStr">
        <is>
          <t>GU-TDH-009</t>
        </is>
      </c>
      <c r="B10" s="57" t="inlineStr">
        <is>
          <t>G</t>
        </is>
      </c>
      <c r="C10" s="57" t="n">
        <v>3</v>
      </c>
      <c r="D10" s="57" t="n">
        <v>3</v>
      </c>
      <c r="E10" s="57" t="n">
        <v>4</v>
      </c>
      <c r="F10" s="57" t="n">
        <v>2</v>
      </c>
      <c r="G10" s="57" t="n">
        <v>4</v>
      </c>
      <c r="H10" s="57" t="n">
        <v>2</v>
      </c>
      <c r="I10" s="57" t="n">
        <v>4</v>
      </c>
      <c r="J10" s="57" t="n">
        <v>2</v>
      </c>
      <c r="K10" s="57" t="n">
        <v>3</v>
      </c>
      <c r="L10" s="57" t="n">
        <v>3</v>
      </c>
      <c r="M10" s="57" t="n">
        <v>3</v>
      </c>
      <c r="N10" s="57" t="n">
        <v>3</v>
      </c>
      <c r="O10" s="57" t="n">
        <v>3</v>
      </c>
      <c r="P10" s="57" t="n">
        <v>4</v>
      </c>
      <c r="Q10" s="57" t="n">
        <v>4</v>
      </c>
      <c r="R10" s="57" t="n">
        <v>5</v>
      </c>
      <c r="S10" s="57" t="n">
        <v>4</v>
      </c>
      <c r="T10" s="57" t="n">
        <v>3</v>
      </c>
      <c r="U10" s="57" t="n">
        <v>112</v>
      </c>
      <c r="V10" s="57" t="n">
        <v>7</v>
      </c>
      <c r="W10" s="57" t="n">
        <v>83</v>
      </c>
      <c r="X10" s="57" t="n">
        <v>5</v>
      </c>
      <c r="Y10" s="57" t="n">
        <v>50</v>
      </c>
      <c r="Z10" s="58">
        <f>2.5*((C10-1)+(5-D10)+(E10-1)+(5-F10)+(G10-1)+(5-H10)+(I10-1)+(5-J10)+(K10-1)+(5-L10))</f>
        <v/>
      </c>
      <c r="AA10" s="57" t="n">
        <v>21</v>
      </c>
      <c r="AB10" s="58">
        <f>SUM(M10:T10)</f>
        <v/>
      </c>
      <c r="AC10" s="57" t="n">
        <v>252.5</v>
      </c>
      <c r="AD10" s="58">
        <f>AVERAGE(U10,W10)</f>
        <v/>
      </c>
      <c r="AE10" s="57" t="n">
        <v>28</v>
      </c>
      <c r="AF10" s="58">
        <f>V10+X10</f>
        <v/>
      </c>
      <c r="AG10" s="57" t="n">
        <v>6</v>
      </c>
      <c r="AH10" s="58">
        <f>Z10-Y10</f>
        <v/>
      </c>
      <c r="AI10" s="58">
        <f>AB10-AA10</f>
        <v/>
      </c>
      <c r="AJ10" s="58">
        <f>AD10-AC10</f>
        <v/>
      </c>
      <c r="AK10" s="58">
        <f>AF10-AE10</f>
        <v/>
      </c>
    </row>
    <row r="11">
      <c r="A11" s="57" t="inlineStr">
        <is>
          <t>GU-TDH-010</t>
        </is>
      </c>
      <c r="B11" s="57" t="inlineStr">
        <is>
          <t>G</t>
        </is>
      </c>
      <c r="C11" s="57" t="n">
        <v>5</v>
      </c>
      <c r="D11" s="57" t="n">
        <v>2</v>
      </c>
      <c r="E11" s="57" t="n">
        <v>4</v>
      </c>
      <c r="F11" s="57" t="n">
        <v>1</v>
      </c>
      <c r="G11" s="57" t="n">
        <v>5</v>
      </c>
      <c r="H11" s="57" t="n">
        <v>2</v>
      </c>
      <c r="I11" s="57" t="n">
        <v>5</v>
      </c>
      <c r="J11" s="57" t="n">
        <v>2</v>
      </c>
      <c r="K11" s="57" t="n">
        <v>5</v>
      </c>
      <c r="L11" s="57" t="n">
        <v>1</v>
      </c>
      <c r="M11" s="57" t="n">
        <v>5</v>
      </c>
      <c r="N11" s="57" t="n">
        <v>5</v>
      </c>
      <c r="O11" s="57" t="n">
        <v>5</v>
      </c>
      <c r="P11" s="57" t="n">
        <v>5</v>
      </c>
      <c r="Q11" s="57" t="n">
        <v>5</v>
      </c>
      <c r="R11" s="57" t="n">
        <v>5</v>
      </c>
      <c r="S11" s="57" t="n">
        <v>5</v>
      </c>
      <c r="T11" s="57" t="n">
        <v>5</v>
      </c>
      <c r="U11" s="57" t="n">
        <v>33</v>
      </c>
      <c r="V11" s="57" t="n">
        <v>2</v>
      </c>
      <c r="W11" s="57" t="n">
        <v>46</v>
      </c>
      <c r="X11" s="57" t="n">
        <v>4</v>
      </c>
      <c r="Y11" s="57" t="n">
        <v>80</v>
      </c>
      <c r="Z11" s="58">
        <f>2.5*((C11-1)+(5-D11)+(E11-1)+(5-F11)+(G11-1)+(5-H11)+(I11-1)+(5-J11)+(K11-1)+(5-L11))</f>
        <v/>
      </c>
      <c r="AA11" s="57" t="n">
        <v>34</v>
      </c>
      <c r="AB11" s="58">
        <f>SUM(M11:T11)</f>
        <v/>
      </c>
      <c r="AC11" s="57" t="n">
        <v>98</v>
      </c>
      <c r="AD11" s="58">
        <f>AVERAGE(U11,W11)</f>
        <v/>
      </c>
      <c r="AE11" s="57" t="n">
        <v>11</v>
      </c>
      <c r="AF11" s="58">
        <f>V11+X11</f>
        <v/>
      </c>
      <c r="AG11" s="57" t="n">
        <v>4</v>
      </c>
      <c r="AH11" s="58">
        <f>Z11-Y11</f>
        <v/>
      </c>
      <c r="AI11" s="58">
        <f>AB11-AA11</f>
        <v/>
      </c>
      <c r="AJ11" s="58">
        <f>AD11-AC11</f>
        <v/>
      </c>
      <c r="AK11" s="58">
        <f>AF11-AE11</f>
        <v/>
      </c>
    </row>
    <row r="12">
      <c r="A12" s="57" t="inlineStr">
        <is>
          <t>GU-TDH-011</t>
        </is>
      </c>
      <c r="B12" s="57" t="inlineStr">
        <is>
          <t>G</t>
        </is>
      </c>
      <c r="C12" s="57" t="n">
        <v>3</v>
      </c>
      <c r="D12" s="57" t="n">
        <v>1</v>
      </c>
      <c r="E12" s="57" t="n">
        <v>4</v>
      </c>
      <c r="F12" s="57" t="n">
        <v>3</v>
      </c>
      <c r="G12" s="57" t="n">
        <v>4</v>
      </c>
      <c r="H12" s="57" t="n">
        <v>1</v>
      </c>
      <c r="I12" s="57" t="n">
        <v>3</v>
      </c>
      <c r="J12" s="57" t="n">
        <v>2</v>
      </c>
      <c r="K12" s="57" t="n">
        <v>3</v>
      </c>
      <c r="L12" s="57" t="n">
        <v>3</v>
      </c>
      <c r="M12" s="57" t="n">
        <v>5</v>
      </c>
      <c r="N12" s="57" t="n">
        <v>4</v>
      </c>
      <c r="O12" s="57" t="n">
        <v>5</v>
      </c>
      <c r="P12" s="57" t="n">
        <v>5</v>
      </c>
      <c r="Q12" s="57" t="n">
        <v>5</v>
      </c>
      <c r="R12" s="57" t="n">
        <v>5</v>
      </c>
      <c r="S12" s="57" t="n">
        <v>4</v>
      </c>
      <c r="T12" s="57" t="n">
        <v>4</v>
      </c>
      <c r="U12" s="57" t="n">
        <v>79</v>
      </c>
      <c r="V12" s="57" t="n">
        <v>7</v>
      </c>
      <c r="W12" s="57" t="n">
        <v>47</v>
      </c>
      <c r="X12" s="57" t="n">
        <v>4</v>
      </c>
      <c r="Y12" s="57" t="n">
        <v>30</v>
      </c>
      <c r="Z12" s="58">
        <f>2.5*((C12-1)+(5-D12)+(E12-1)+(5-F12)+(G12-1)+(5-H12)+(I12-1)+(5-J12)+(K12-1)+(5-L12))</f>
        <v/>
      </c>
      <c r="AA12" s="57" t="n">
        <v>25</v>
      </c>
      <c r="AB12" s="58">
        <f>SUM(M12:T12)</f>
        <v/>
      </c>
      <c r="AC12" s="57" t="n">
        <v>258</v>
      </c>
      <c r="AD12" s="58">
        <f>AVERAGE(U12,W12)</f>
        <v/>
      </c>
      <c r="AE12" s="57" t="n">
        <v>27</v>
      </c>
      <c r="AF12" s="58">
        <f>V12+X12</f>
        <v/>
      </c>
      <c r="AG12" s="57" t="n">
        <v>2</v>
      </c>
      <c r="AH12" s="58">
        <f>Z12-Y12</f>
        <v/>
      </c>
      <c r="AI12" s="58">
        <f>AB12-AA12</f>
        <v/>
      </c>
      <c r="AJ12" s="58">
        <f>AD12-AC12</f>
        <v/>
      </c>
      <c r="AK12" s="58">
        <f>AF12-AE12</f>
        <v/>
      </c>
    </row>
    <row r="13">
      <c r="A13" s="57" t="inlineStr">
        <is>
          <t>GU-TDH-012</t>
        </is>
      </c>
      <c r="B13" s="57" t="inlineStr">
        <is>
          <t>G</t>
        </is>
      </c>
      <c r="C13" s="57" t="n">
        <v>4</v>
      </c>
      <c r="D13" s="57" t="n">
        <v>1</v>
      </c>
      <c r="E13" s="57" t="n">
        <v>4</v>
      </c>
      <c r="F13" s="57" t="n">
        <v>2</v>
      </c>
      <c r="G13" s="57" t="n">
        <v>5</v>
      </c>
      <c r="H13" s="57" t="n">
        <v>2</v>
      </c>
      <c r="I13" s="57" t="n">
        <v>4</v>
      </c>
      <c r="J13" s="57" t="n">
        <v>2</v>
      </c>
      <c r="K13" s="57" t="n">
        <v>4</v>
      </c>
      <c r="L13" s="57" t="n">
        <v>2</v>
      </c>
      <c r="M13" s="57" t="n">
        <v>3</v>
      </c>
      <c r="N13" s="57" t="n">
        <v>4</v>
      </c>
      <c r="O13" s="57" t="n">
        <v>3</v>
      </c>
      <c r="P13" s="57" t="n">
        <v>4</v>
      </c>
      <c r="Q13" s="57" t="n">
        <v>2</v>
      </c>
      <c r="R13" s="57" t="n">
        <v>4</v>
      </c>
      <c r="S13" s="57" t="n">
        <v>4</v>
      </c>
      <c r="T13" s="57" t="n">
        <v>3</v>
      </c>
      <c r="U13" s="57" t="n">
        <v>105</v>
      </c>
      <c r="V13" s="57" t="n">
        <v>6</v>
      </c>
      <c r="W13" s="57" t="n">
        <v>94</v>
      </c>
      <c r="X13" s="57" t="n">
        <v>7</v>
      </c>
      <c r="Y13" s="57" t="n">
        <v>65</v>
      </c>
      <c r="Z13" s="58">
        <f>2.5*((C13-1)+(5-D13)+(E13-1)+(5-F13)+(G13-1)+(5-H13)+(I13-1)+(5-J13)+(K13-1)+(5-L13))</f>
        <v/>
      </c>
      <c r="AA13" s="57" t="n">
        <v>19</v>
      </c>
      <c r="AB13" s="58">
        <f>SUM(M13:T13)</f>
        <v/>
      </c>
      <c r="AC13" s="57" t="n">
        <v>170.5</v>
      </c>
      <c r="AD13" s="58">
        <f>AVERAGE(U13,W13)</f>
        <v/>
      </c>
      <c r="AE13" s="57" t="n">
        <v>23</v>
      </c>
      <c r="AF13" s="58">
        <f>V13+X13</f>
        <v/>
      </c>
      <c r="AG13" s="57" t="n">
        <v>7</v>
      </c>
      <c r="AH13" s="58">
        <f>Z13-Y13</f>
        <v/>
      </c>
      <c r="AI13" s="58">
        <f>AB13-AA13</f>
        <v/>
      </c>
      <c r="AJ13" s="58">
        <f>AD13-AC13</f>
        <v/>
      </c>
      <c r="AK13" s="58">
        <f>AF13-AE13</f>
        <v/>
      </c>
    </row>
    <row r="14">
      <c r="A14" s="57" t="inlineStr">
        <is>
          <t>GU-TDH-014</t>
        </is>
      </c>
      <c r="B14" s="57" t="inlineStr">
        <is>
          <t>G</t>
        </is>
      </c>
      <c r="C14" s="57" t="n">
        <v>4</v>
      </c>
      <c r="D14" s="57" t="n">
        <v>3</v>
      </c>
      <c r="E14" s="57" t="n">
        <v>3</v>
      </c>
      <c r="F14" s="57" t="n">
        <v>2</v>
      </c>
      <c r="G14" s="57" t="n">
        <v>4</v>
      </c>
      <c r="H14" s="57" t="n">
        <v>2</v>
      </c>
      <c r="I14" s="57" t="n">
        <v>3</v>
      </c>
      <c r="J14" s="57" t="n">
        <v>1</v>
      </c>
      <c r="K14" s="57" t="n">
        <v>3</v>
      </c>
      <c r="L14" s="57" t="n">
        <v>3</v>
      </c>
      <c r="M14" s="57" t="n">
        <v>4</v>
      </c>
      <c r="N14" s="57" t="n">
        <v>5</v>
      </c>
      <c r="O14" s="57" t="n">
        <v>4</v>
      </c>
      <c r="P14" s="57" t="n">
        <v>5</v>
      </c>
      <c r="Q14" s="57" t="n">
        <v>5</v>
      </c>
      <c r="R14" s="57" t="n">
        <v>5</v>
      </c>
      <c r="S14" s="57" t="n">
        <v>4</v>
      </c>
      <c r="T14" s="57" t="n">
        <v>4</v>
      </c>
      <c r="U14" s="57" t="n">
        <v>56</v>
      </c>
      <c r="V14" s="57" t="n">
        <v>3</v>
      </c>
      <c r="W14" s="57" t="n">
        <v>47</v>
      </c>
      <c r="X14" s="57" t="n">
        <v>3</v>
      </c>
      <c r="Y14" s="57" t="n">
        <v>55</v>
      </c>
      <c r="Z14" s="58">
        <f>2.5*((C14-1)+(5-D14)+(E14-1)+(5-F14)+(G14-1)+(5-H14)+(I14-1)+(5-J14)+(K14-1)+(5-L14))</f>
        <v/>
      </c>
      <c r="AA14" s="57" t="n">
        <v>30</v>
      </c>
      <c r="AB14" s="58">
        <f>SUM(M14:T14)</f>
        <v/>
      </c>
      <c r="AC14" s="57" t="n">
        <v>135.5</v>
      </c>
      <c r="AD14" s="58">
        <f>AVERAGE(U14,W14)</f>
        <v/>
      </c>
      <c r="AE14" s="57" t="n">
        <v>11</v>
      </c>
      <c r="AF14" s="58">
        <f>V14+X14</f>
        <v/>
      </c>
      <c r="AG14" s="57" t="n">
        <v>3</v>
      </c>
      <c r="AH14" s="58">
        <f>Z14-Y14</f>
        <v/>
      </c>
      <c r="AI14" s="58">
        <f>AB14-AA14</f>
        <v/>
      </c>
      <c r="AJ14" s="58">
        <f>AD14-AC14</f>
        <v/>
      </c>
      <c r="AK14" s="58">
        <f>AF14-AE14</f>
        <v/>
      </c>
    </row>
    <row r="15">
      <c r="A15" s="57" t="inlineStr">
        <is>
          <t>GU-TDH-015</t>
        </is>
      </c>
      <c r="B15" s="57" t="inlineStr">
        <is>
          <t>G</t>
        </is>
      </c>
      <c r="C15" s="57" t="n">
        <v>4</v>
      </c>
      <c r="D15" s="57" t="n">
        <v>2</v>
      </c>
      <c r="E15" s="57" t="n">
        <v>5</v>
      </c>
      <c r="F15" s="57" t="n">
        <v>1</v>
      </c>
      <c r="G15" s="57" t="n">
        <v>4</v>
      </c>
      <c r="H15" s="57" t="n">
        <v>1</v>
      </c>
      <c r="I15" s="57" t="n">
        <v>5</v>
      </c>
      <c r="J15" s="57" t="n">
        <v>2</v>
      </c>
      <c r="K15" s="57" t="n">
        <v>3</v>
      </c>
      <c r="L15" s="57" t="n">
        <v>2</v>
      </c>
      <c r="M15" s="57" t="n">
        <v>4</v>
      </c>
      <c r="N15" s="57" t="n">
        <v>4</v>
      </c>
      <c r="O15" s="57" t="n">
        <v>5</v>
      </c>
      <c r="P15" s="57" t="n">
        <v>4</v>
      </c>
      <c r="Q15" s="57" t="n">
        <v>4</v>
      </c>
      <c r="R15" s="57" t="n">
        <v>5</v>
      </c>
      <c r="S15" s="57" t="n">
        <v>3</v>
      </c>
      <c r="T15" s="57" t="n">
        <v>4</v>
      </c>
      <c r="U15" s="57" t="n">
        <v>81</v>
      </c>
      <c r="V15" s="57" t="n">
        <v>6</v>
      </c>
      <c r="W15" s="57" t="n">
        <v>88</v>
      </c>
      <c r="X15" s="57" t="n">
        <v>6</v>
      </c>
      <c r="Y15" s="57" t="n">
        <v>72.5</v>
      </c>
      <c r="Z15" s="58">
        <f>2.5*((C15-1)+(5-D15)+(E15-1)+(5-F15)+(G15-1)+(5-H15)+(I15-1)+(5-J15)+(K15-1)+(5-L15))</f>
        <v/>
      </c>
      <c r="AA15" s="57" t="n">
        <v>26</v>
      </c>
      <c r="AB15" s="58">
        <f>SUM(M15:T15)</f>
        <v/>
      </c>
      <c r="AC15" s="57" t="n">
        <v>196</v>
      </c>
      <c r="AD15" s="58">
        <f>AVERAGE(U15,W15)</f>
        <v/>
      </c>
      <c r="AE15" s="57" t="n">
        <v>23</v>
      </c>
      <c r="AF15" s="58">
        <f>V15+X15</f>
        <v/>
      </c>
      <c r="AG15" s="57" t="n">
        <v>7</v>
      </c>
      <c r="AH15" s="58">
        <f>Z15-Y15</f>
        <v/>
      </c>
      <c r="AI15" s="58">
        <f>AB15-AA15</f>
        <v/>
      </c>
      <c r="AJ15" s="58">
        <f>AD15-AC15</f>
        <v/>
      </c>
      <c r="AK15" s="58">
        <f>AF15-AE15</f>
        <v/>
      </c>
    </row>
    <row r="16">
      <c r="A16" s="57" t="inlineStr">
        <is>
          <t>GU-TDH-016</t>
        </is>
      </c>
      <c r="B16" s="57" t="inlineStr">
        <is>
          <t>G</t>
        </is>
      </c>
      <c r="C16" s="57" t="n">
        <v>3</v>
      </c>
      <c r="D16" s="57" t="n">
        <v>2</v>
      </c>
      <c r="E16" s="57" t="n">
        <v>5</v>
      </c>
      <c r="F16" s="57" t="n">
        <v>2</v>
      </c>
      <c r="G16" s="57" t="n">
        <v>5</v>
      </c>
      <c r="H16" s="57" t="n">
        <v>2</v>
      </c>
      <c r="I16" s="57" t="n">
        <v>4</v>
      </c>
      <c r="J16" s="57" t="n">
        <v>1</v>
      </c>
      <c r="K16" s="57" t="n">
        <v>5</v>
      </c>
      <c r="L16" s="57" t="n">
        <v>2</v>
      </c>
      <c r="M16" s="57" t="n">
        <v>3</v>
      </c>
      <c r="N16" s="57" t="n">
        <v>3</v>
      </c>
      <c r="O16" s="57" t="n">
        <v>3</v>
      </c>
      <c r="P16" s="57" t="n">
        <v>3</v>
      </c>
      <c r="Q16" s="57" t="n">
        <v>4</v>
      </c>
      <c r="R16" s="57" t="n">
        <v>2</v>
      </c>
      <c r="S16" s="57" t="n">
        <v>3</v>
      </c>
      <c r="T16" s="57" t="n">
        <v>3</v>
      </c>
      <c r="U16" s="57" t="n">
        <v>88</v>
      </c>
      <c r="V16" s="57" t="n">
        <v>5</v>
      </c>
      <c r="W16" s="57" t="n">
        <v>42</v>
      </c>
      <c r="X16" s="57" t="n">
        <v>1</v>
      </c>
      <c r="Y16" s="57" t="n">
        <v>42.5</v>
      </c>
      <c r="Z16" s="58">
        <f>2.5*((C16-1)+(5-D16)+(E16-1)+(5-F16)+(G16-1)+(5-H16)+(I16-1)+(5-J16)+(K16-1)+(5-L16))</f>
        <v/>
      </c>
      <c r="AA16" s="57" t="n">
        <v>10</v>
      </c>
      <c r="AB16" s="58">
        <f>SUM(M16:T16)</f>
        <v/>
      </c>
      <c r="AC16" s="57" t="n">
        <v>174.5</v>
      </c>
      <c r="AD16" s="58">
        <f>AVERAGE(U16,W16)</f>
        <v/>
      </c>
      <c r="AE16" s="57" t="n">
        <v>21</v>
      </c>
      <c r="AF16" s="58">
        <f>V16+X16</f>
        <v/>
      </c>
      <c r="AG16" s="57" t="n">
        <v>3</v>
      </c>
      <c r="AH16" s="58">
        <f>Z16-Y16</f>
        <v/>
      </c>
      <c r="AI16" s="58">
        <f>AB16-AA16</f>
        <v/>
      </c>
      <c r="AJ16" s="58">
        <f>AD16-AC16</f>
        <v/>
      </c>
      <c r="AK16" s="58">
        <f>AF16-AE16</f>
        <v/>
      </c>
    </row>
    <row r="17">
      <c r="A17" s="57" t="inlineStr">
        <is>
          <t>GU-TDH-017</t>
        </is>
      </c>
      <c r="B17" s="57" t="inlineStr">
        <is>
          <t>G</t>
        </is>
      </c>
      <c r="C17" s="57" t="n">
        <v>3</v>
      </c>
      <c r="D17" s="57" t="n">
        <v>2</v>
      </c>
      <c r="E17" s="57" t="n">
        <v>3</v>
      </c>
      <c r="F17" s="57" t="n">
        <v>1</v>
      </c>
      <c r="G17" s="57" t="n">
        <v>4</v>
      </c>
      <c r="H17" s="57" t="n">
        <v>1</v>
      </c>
      <c r="I17" s="57" t="n">
        <v>3</v>
      </c>
      <c r="J17" s="57" t="n">
        <v>1</v>
      </c>
      <c r="K17" s="57" t="n">
        <v>4</v>
      </c>
      <c r="L17" s="57" t="n">
        <v>2</v>
      </c>
      <c r="M17" s="57" t="n">
        <v>4</v>
      </c>
      <c r="N17" s="57" t="n">
        <v>3</v>
      </c>
      <c r="O17" s="57" t="n">
        <v>3</v>
      </c>
      <c r="P17" s="57" t="n">
        <v>3</v>
      </c>
      <c r="Q17" s="57" t="n">
        <v>5</v>
      </c>
      <c r="R17" s="57" t="n">
        <v>4</v>
      </c>
      <c r="S17" s="57" t="n">
        <v>3</v>
      </c>
      <c r="T17" s="57" t="n">
        <v>4</v>
      </c>
      <c r="U17" s="57" t="n">
        <v>90</v>
      </c>
      <c r="V17" s="57" t="n">
        <v>6</v>
      </c>
      <c r="W17" s="57" t="n">
        <v>67</v>
      </c>
      <c r="X17" s="57" t="n">
        <v>6</v>
      </c>
      <c r="Y17" s="57" t="n">
        <v>62.5</v>
      </c>
      <c r="Z17" s="58">
        <f>2.5*((C17-1)+(5-D17)+(E17-1)+(5-F17)+(G17-1)+(5-H17)+(I17-1)+(5-J17)+(K17-1)+(5-L17))</f>
        <v/>
      </c>
      <c r="AA17" s="57" t="n">
        <v>17</v>
      </c>
      <c r="AB17" s="58">
        <f>SUM(M17:T17)</f>
        <v/>
      </c>
      <c r="AC17" s="57" t="n">
        <v>183.5</v>
      </c>
      <c r="AD17" s="58">
        <f>AVERAGE(U17,W17)</f>
        <v/>
      </c>
      <c r="AE17" s="57" t="n">
        <v>21</v>
      </c>
      <c r="AF17" s="58">
        <f>V17+X17</f>
        <v/>
      </c>
      <c r="AG17" s="57" t="n">
        <v>4</v>
      </c>
      <c r="AH17" s="58">
        <f>Z17-Y17</f>
        <v/>
      </c>
      <c r="AI17" s="58">
        <f>AB17-AA17</f>
        <v/>
      </c>
      <c r="AJ17" s="58">
        <f>AD17-AC17</f>
        <v/>
      </c>
      <c r="AK17" s="58">
        <f>AF17-AE17</f>
        <v/>
      </c>
    </row>
    <row r="18">
      <c r="A18" s="57" t="inlineStr">
        <is>
          <t>GU-TDH-019</t>
        </is>
      </c>
      <c r="B18" s="57" t="inlineStr">
        <is>
          <t>G</t>
        </is>
      </c>
      <c r="C18" s="57" t="n">
        <v>4</v>
      </c>
      <c r="D18" s="57" t="n">
        <v>1</v>
      </c>
      <c r="E18" s="57" t="n">
        <v>5</v>
      </c>
      <c r="F18" s="57" t="n">
        <v>2</v>
      </c>
      <c r="G18" s="57" t="n">
        <v>5</v>
      </c>
      <c r="H18" s="57" t="n">
        <v>1</v>
      </c>
      <c r="I18" s="57" t="n">
        <v>4</v>
      </c>
      <c r="J18" s="57" t="n">
        <v>1</v>
      </c>
      <c r="K18" s="57" t="n">
        <v>3</v>
      </c>
      <c r="L18" s="57" t="n">
        <v>2</v>
      </c>
      <c r="M18" s="57" t="n">
        <v>5</v>
      </c>
      <c r="N18" s="57" t="n">
        <v>5</v>
      </c>
      <c r="O18" s="57" t="n">
        <v>5</v>
      </c>
      <c r="P18" s="57" t="n">
        <v>5</v>
      </c>
      <c r="Q18" s="57" t="n">
        <v>4</v>
      </c>
      <c r="R18" s="57" t="n">
        <v>5</v>
      </c>
      <c r="S18" s="57" t="n">
        <v>5</v>
      </c>
      <c r="T18" s="57" t="n">
        <v>4</v>
      </c>
      <c r="U18" s="57" t="n">
        <v>72</v>
      </c>
      <c r="V18" s="57" t="n">
        <v>6</v>
      </c>
      <c r="W18" s="57" t="n">
        <v>26</v>
      </c>
      <c r="X18" s="57" t="n">
        <v>3</v>
      </c>
      <c r="Y18" s="57" t="n">
        <v>67.5</v>
      </c>
      <c r="Z18" s="58">
        <f>2.5*((C18-1)+(5-D18)+(E18-1)+(5-F18)+(G18-1)+(5-H18)+(I18-1)+(5-J18)+(K18-1)+(5-L18))</f>
        <v/>
      </c>
      <c r="AA18" s="57" t="n">
        <v>28</v>
      </c>
      <c r="AB18" s="58">
        <f>SUM(M18:T18)</f>
        <v/>
      </c>
      <c r="AC18" s="57" t="n">
        <v>141.5</v>
      </c>
      <c r="AD18" s="58">
        <f>AVERAGE(U18,W18)</f>
        <v/>
      </c>
      <c r="AE18" s="57" t="n">
        <v>14</v>
      </c>
      <c r="AF18" s="58">
        <f>V18+X18</f>
        <v/>
      </c>
      <c r="AG18" s="57" t="n">
        <v>7</v>
      </c>
      <c r="AH18" s="58">
        <f>Z18-Y18</f>
        <v/>
      </c>
      <c r="AI18" s="58">
        <f>AB18-AA18</f>
        <v/>
      </c>
      <c r="AJ18" s="58">
        <f>AD18-AC18</f>
        <v/>
      </c>
      <c r="AK18" s="58">
        <f>AF18-AE18</f>
        <v/>
      </c>
    </row>
    <row r="19">
      <c r="A19" s="57" t="inlineStr">
        <is>
          <t>GU-TDH-020</t>
        </is>
      </c>
      <c r="B19" s="57" t="inlineStr">
        <is>
          <t>G</t>
        </is>
      </c>
      <c r="C19" s="57" t="n">
        <v>4</v>
      </c>
      <c r="D19" s="57" t="n">
        <v>3</v>
      </c>
      <c r="E19" s="57" t="n">
        <v>5</v>
      </c>
      <c r="F19" s="57" t="n">
        <v>2</v>
      </c>
      <c r="G19" s="57" t="n">
        <v>3</v>
      </c>
      <c r="H19" s="57" t="n">
        <v>2</v>
      </c>
      <c r="I19" s="57" t="n">
        <v>3</v>
      </c>
      <c r="J19" s="57" t="n">
        <v>2</v>
      </c>
      <c r="K19" s="57" t="n">
        <v>3</v>
      </c>
      <c r="L19" s="57" t="n">
        <v>2</v>
      </c>
      <c r="M19" s="57" t="n">
        <v>4</v>
      </c>
      <c r="N19" s="57" t="n">
        <v>4</v>
      </c>
      <c r="O19" s="57" t="n">
        <v>4</v>
      </c>
      <c r="P19" s="57" t="n">
        <v>3</v>
      </c>
      <c r="Q19" s="57" t="n">
        <v>4</v>
      </c>
      <c r="R19" s="57" t="n">
        <v>4</v>
      </c>
      <c r="S19" s="57" t="n">
        <v>5</v>
      </c>
      <c r="T19" s="57" t="n">
        <v>5</v>
      </c>
      <c r="U19" s="57" t="n">
        <v>88</v>
      </c>
      <c r="V19" s="57" t="n">
        <v>6</v>
      </c>
      <c r="W19" s="57" t="n">
        <v>108</v>
      </c>
      <c r="X19" s="57" t="n">
        <v>8</v>
      </c>
      <c r="Y19" s="57" t="n">
        <v>57.5</v>
      </c>
      <c r="Z19" s="58">
        <f>2.5*((C19-1)+(5-D19)+(E19-1)+(5-F19)+(G19-1)+(5-H19)+(I19-1)+(5-J19)+(K19-1)+(5-L19))</f>
        <v/>
      </c>
      <c r="AA19" s="57" t="n">
        <v>17</v>
      </c>
      <c r="AB19" s="58">
        <f>SUM(M19:T19)</f>
        <v/>
      </c>
      <c r="AC19" s="57" t="n">
        <v>163</v>
      </c>
      <c r="AD19" s="58">
        <f>AVERAGE(U19,W19)</f>
        <v/>
      </c>
      <c r="AE19" s="57" t="n">
        <v>17</v>
      </c>
      <c r="AF19" s="58">
        <f>V19+X19</f>
        <v/>
      </c>
      <c r="AG19" s="57" t="n">
        <v>7</v>
      </c>
      <c r="AH19" s="58">
        <f>Z19-Y19</f>
        <v/>
      </c>
      <c r="AI19" s="58">
        <f>AB19-AA19</f>
        <v/>
      </c>
      <c r="AJ19" s="58">
        <f>AD19-AC19</f>
        <v/>
      </c>
      <c r="AK19" s="58">
        <f>AF19-AE19</f>
        <v/>
      </c>
    </row>
    <row r="20">
      <c r="A20" s="57" t="inlineStr">
        <is>
          <t>GU-TDH-021</t>
        </is>
      </c>
      <c r="B20" s="57" t="inlineStr">
        <is>
          <t>G</t>
        </is>
      </c>
      <c r="C20" s="57" t="n">
        <v>3</v>
      </c>
      <c r="D20" s="57" t="n">
        <v>2</v>
      </c>
      <c r="E20" s="57" t="n">
        <v>5</v>
      </c>
      <c r="F20" s="57" t="n">
        <v>2</v>
      </c>
      <c r="G20" s="57" t="n">
        <v>5</v>
      </c>
      <c r="H20" s="57" t="n">
        <v>2</v>
      </c>
      <c r="I20" s="57" t="n">
        <v>4</v>
      </c>
      <c r="J20" s="57" t="n">
        <v>3</v>
      </c>
      <c r="K20" s="57" t="n">
        <v>5</v>
      </c>
      <c r="L20" s="57" t="n">
        <v>1</v>
      </c>
      <c r="M20" s="57" t="n">
        <v>4</v>
      </c>
      <c r="N20" s="57" t="n">
        <v>4</v>
      </c>
      <c r="O20" s="57" t="n">
        <v>4</v>
      </c>
      <c r="P20" s="57" t="n">
        <v>4</v>
      </c>
      <c r="Q20" s="57" t="n">
        <v>3</v>
      </c>
      <c r="R20" s="57" t="n">
        <v>4</v>
      </c>
      <c r="S20" s="57" t="n">
        <v>4</v>
      </c>
      <c r="T20" s="57" t="n">
        <v>3</v>
      </c>
      <c r="U20" s="57" t="n">
        <v>82</v>
      </c>
      <c r="V20" s="57" t="n">
        <v>4</v>
      </c>
      <c r="W20" s="57" t="n">
        <v>83</v>
      </c>
      <c r="X20" s="57" t="n">
        <v>6</v>
      </c>
      <c r="Y20" s="57" t="n">
        <v>55</v>
      </c>
      <c r="Z20" s="58">
        <f>2.5*((C20-1)+(5-D20)+(E20-1)+(5-F20)+(G20-1)+(5-H20)+(I20-1)+(5-J20)+(K20-1)+(5-L20))</f>
        <v/>
      </c>
      <c r="AA20" s="57" t="n">
        <v>25</v>
      </c>
      <c r="AB20" s="58">
        <f>SUM(M20:T20)</f>
        <v/>
      </c>
      <c r="AC20" s="57" t="n">
        <v>241.5</v>
      </c>
      <c r="AD20" s="58">
        <f>AVERAGE(U20,W20)</f>
        <v/>
      </c>
      <c r="AE20" s="57" t="n">
        <v>24</v>
      </c>
      <c r="AF20" s="58">
        <f>V20+X20</f>
        <v/>
      </c>
      <c r="AG20" s="57" t="n">
        <v>3</v>
      </c>
      <c r="AH20" s="58">
        <f>Z20-Y20</f>
        <v/>
      </c>
      <c r="AI20" s="58">
        <f>AB20-AA20</f>
        <v/>
      </c>
      <c r="AJ20" s="58">
        <f>AD20-AC20</f>
        <v/>
      </c>
      <c r="AK20" s="58">
        <f>AF20-AE20</f>
        <v/>
      </c>
    </row>
    <row r="21" ht="15.75" customHeight="1" s="67">
      <c r="A21" s="57" t="inlineStr">
        <is>
          <t>GU-TDH-022</t>
        </is>
      </c>
      <c r="B21" s="57" t="inlineStr">
        <is>
          <t>G</t>
        </is>
      </c>
      <c r="C21" s="57" t="n">
        <v>5</v>
      </c>
      <c r="D21" s="57" t="n">
        <v>2</v>
      </c>
      <c r="E21" s="57" t="n">
        <v>4</v>
      </c>
      <c r="F21" s="57" t="n">
        <v>2</v>
      </c>
      <c r="G21" s="57" t="n">
        <v>5</v>
      </c>
      <c r="H21" s="57" t="n">
        <v>1</v>
      </c>
      <c r="I21" s="57" t="n">
        <v>5</v>
      </c>
      <c r="J21" s="57" t="n">
        <v>1</v>
      </c>
      <c r="K21" s="57" t="n">
        <v>4</v>
      </c>
      <c r="L21" s="57" t="n">
        <v>2</v>
      </c>
      <c r="M21" s="57" t="n">
        <v>5</v>
      </c>
      <c r="N21" s="57" t="n">
        <v>4</v>
      </c>
      <c r="O21" s="57" t="n">
        <v>4</v>
      </c>
      <c r="P21" s="57" t="n">
        <v>4</v>
      </c>
      <c r="Q21" s="57" t="n">
        <v>3</v>
      </c>
      <c r="R21" s="57" t="n">
        <v>5</v>
      </c>
      <c r="S21" s="57" t="n">
        <v>4</v>
      </c>
      <c r="T21" s="57" t="n">
        <v>5</v>
      </c>
      <c r="U21" s="57" t="n">
        <v>98</v>
      </c>
      <c r="V21" s="57" t="n">
        <v>8</v>
      </c>
      <c r="W21" s="57" t="n">
        <v>46</v>
      </c>
      <c r="X21" s="57" t="n">
        <v>5</v>
      </c>
      <c r="Y21" s="57" t="n">
        <v>52.5</v>
      </c>
      <c r="Z21" s="58">
        <f>2.5*((C21-1)+(5-D21)+(E21-1)+(5-F21)+(G21-1)+(5-H21)+(I21-1)+(5-J21)+(K21-1)+(5-L21))</f>
        <v/>
      </c>
      <c r="AA21" s="57" t="n">
        <v>12</v>
      </c>
      <c r="AB21" s="58">
        <f>SUM(M21:T21)</f>
        <v/>
      </c>
      <c r="AC21" s="57" t="n">
        <v>255.5</v>
      </c>
      <c r="AD21" s="58">
        <f>AVERAGE(U21,W21)</f>
        <v/>
      </c>
      <c r="AE21" s="57" t="n">
        <v>29</v>
      </c>
      <c r="AF21" s="58">
        <f>V21+X21</f>
        <v/>
      </c>
      <c r="AG21" s="57" t="n">
        <v>4</v>
      </c>
      <c r="AH21" s="58">
        <f>Z21-Y21</f>
        <v/>
      </c>
      <c r="AI21" s="58">
        <f>AB21-AA21</f>
        <v/>
      </c>
      <c r="AJ21" s="58">
        <f>AD21-AC21</f>
        <v/>
      </c>
      <c r="AK21" s="58">
        <f>AF21-AE21</f>
        <v/>
      </c>
    </row>
    <row r="22" ht="15.75" customHeight="1" s="67">
      <c r="A22" s="57" t="inlineStr">
        <is>
          <t>GU-TDH-023</t>
        </is>
      </c>
      <c r="B22" s="57" t="inlineStr">
        <is>
          <t>G</t>
        </is>
      </c>
      <c r="C22" s="57" t="n">
        <v>5</v>
      </c>
      <c r="D22" s="57" t="n">
        <v>2</v>
      </c>
      <c r="E22" s="57" t="n">
        <v>5</v>
      </c>
      <c r="F22" s="57" t="n">
        <v>2</v>
      </c>
      <c r="G22" s="57" t="n">
        <v>5</v>
      </c>
      <c r="H22" s="57" t="n">
        <v>1</v>
      </c>
      <c r="I22" s="57" t="n">
        <v>5</v>
      </c>
      <c r="J22" s="57" t="n">
        <v>1</v>
      </c>
      <c r="K22" s="57" t="n">
        <v>5</v>
      </c>
      <c r="L22" s="57" t="n">
        <v>1</v>
      </c>
      <c r="M22" s="57" t="n">
        <v>3</v>
      </c>
      <c r="N22" s="57" t="n">
        <v>5</v>
      </c>
      <c r="O22" s="57" t="n">
        <v>5</v>
      </c>
      <c r="P22" s="57" t="n">
        <v>3</v>
      </c>
      <c r="Q22" s="57" t="n">
        <v>3</v>
      </c>
      <c r="R22" s="57" t="n">
        <v>3</v>
      </c>
      <c r="S22" s="57" t="n">
        <v>3</v>
      </c>
      <c r="T22" s="57" t="n">
        <v>5</v>
      </c>
      <c r="U22" s="57" t="n">
        <v>98</v>
      </c>
      <c r="V22" s="57" t="n">
        <v>6</v>
      </c>
      <c r="W22" s="57" t="n">
        <v>96</v>
      </c>
      <c r="X22" s="57" t="n">
        <v>6</v>
      </c>
      <c r="Y22" s="57" t="n">
        <v>50</v>
      </c>
      <c r="Z22" s="58">
        <f>2.5*((C22-1)+(5-D22)+(E22-1)+(5-F22)+(G22-1)+(5-H22)+(I22-1)+(5-J22)+(K22-1)+(5-L22))</f>
        <v/>
      </c>
      <c r="AA22" s="57" t="n">
        <v>18</v>
      </c>
      <c r="AB22" s="58">
        <f>SUM(M22:T22)</f>
        <v/>
      </c>
      <c r="AC22" s="57" t="n">
        <v>204</v>
      </c>
      <c r="AD22" s="58">
        <f>AVERAGE(U22,W22)</f>
        <v/>
      </c>
      <c r="AE22" s="57" t="n">
        <v>22</v>
      </c>
      <c r="AF22" s="58">
        <f>V22+X22</f>
        <v/>
      </c>
      <c r="AG22" s="57" t="n">
        <v>4</v>
      </c>
      <c r="AH22" s="58">
        <f>Z22-Y22</f>
        <v/>
      </c>
      <c r="AI22" s="58">
        <f>AB22-AA22</f>
        <v/>
      </c>
      <c r="AJ22" s="58">
        <f>AD22-AC22</f>
        <v/>
      </c>
      <c r="AK22" s="58">
        <f>AF22-AE22</f>
        <v/>
      </c>
    </row>
    <row r="23" ht="15.75" customHeight="1" s="67">
      <c r="A23" s="57" t="inlineStr">
        <is>
          <t>GU-TDH-024</t>
        </is>
      </c>
      <c r="B23" s="57" t="inlineStr">
        <is>
          <t>G</t>
        </is>
      </c>
      <c r="C23" s="57" t="n">
        <v>4</v>
      </c>
      <c r="D23" s="57" t="n">
        <v>2</v>
      </c>
      <c r="E23" s="57" t="n">
        <v>5</v>
      </c>
      <c r="F23" s="57" t="n">
        <v>1</v>
      </c>
      <c r="G23" s="57" t="n">
        <v>4</v>
      </c>
      <c r="H23" s="57" t="n">
        <v>3</v>
      </c>
      <c r="I23" s="57" t="n">
        <v>4</v>
      </c>
      <c r="J23" s="57" t="n">
        <v>2</v>
      </c>
      <c r="K23" s="57" t="n">
        <v>4</v>
      </c>
      <c r="L23" s="57" t="n">
        <v>1</v>
      </c>
      <c r="M23" s="57" t="n">
        <v>4</v>
      </c>
      <c r="N23" s="57" t="n">
        <v>5</v>
      </c>
      <c r="O23" s="57" t="n">
        <v>4</v>
      </c>
      <c r="P23" s="57" t="n">
        <v>5</v>
      </c>
      <c r="Q23" s="57" t="n">
        <v>4</v>
      </c>
      <c r="R23" s="57" t="n">
        <v>4</v>
      </c>
      <c r="S23" s="57" t="n">
        <v>5</v>
      </c>
      <c r="T23" s="57" t="n">
        <v>5</v>
      </c>
      <c r="U23" s="57" t="n">
        <v>95</v>
      </c>
      <c r="V23" s="57" t="n">
        <v>6</v>
      </c>
      <c r="W23" s="57" t="n">
        <v>71</v>
      </c>
      <c r="X23" s="57" t="n">
        <v>4</v>
      </c>
      <c r="Y23" s="57" t="n">
        <v>57.5</v>
      </c>
      <c r="Z23" s="58">
        <f>2.5*((C23-1)+(5-D23)+(E23-1)+(5-F23)+(G23-1)+(5-H23)+(I23-1)+(5-J23)+(K23-1)+(5-L23))</f>
        <v/>
      </c>
      <c r="AA23" s="57" t="n">
        <v>25</v>
      </c>
      <c r="AB23" s="58">
        <f>SUM(M23:T23)</f>
        <v/>
      </c>
      <c r="AC23" s="57" t="n">
        <v>245</v>
      </c>
      <c r="AD23" s="58">
        <f>AVERAGE(U23,W23)</f>
        <v/>
      </c>
      <c r="AE23" s="57" t="n">
        <v>21</v>
      </c>
      <c r="AF23" s="58">
        <f>V23+X23</f>
        <v/>
      </c>
      <c r="AG23" s="57" t="n">
        <v>3</v>
      </c>
      <c r="AH23" s="58">
        <f>Z23-Y23</f>
        <v/>
      </c>
      <c r="AI23" s="58">
        <f>AB23-AA23</f>
        <v/>
      </c>
      <c r="AJ23" s="58">
        <f>AD23-AC23</f>
        <v/>
      </c>
      <c r="AK23" s="58">
        <f>AF23-AE23</f>
        <v/>
      </c>
    </row>
    <row r="24" ht="15.75" customHeight="1" s="67">
      <c r="A24" s="57" t="inlineStr">
        <is>
          <t>GU-TDH-025</t>
        </is>
      </c>
      <c r="B24" s="57" t="inlineStr">
        <is>
          <t>G</t>
        </is>
      </c>
      <c r="C24" s="57" t="n">
        <v>4</v>
      </c>
      <c r="D24" s="57" t="n">
        <v>2</v>
      </c>
      <c r="E24" s="57" t="n">
        <v>4</v>
      </c>
      <c r="F24" s="57" t="n">
        <v>3</v>
      </c>
      <c r="G24" s="57" t="n">
        <v>3</v>
      </c>
      <c r="H24" s="57" t="n">
        <v>2</v>
      </c>
      <c r="I24" s="57" t="n">
        <v>4</v>
      </c>
      <c r="J24" s="57" t="n">
        <v>1</v>
      </c>
      <c r="K24" s="57" t="n">
        <v>5</v>
      </c>
      <c r="L24" s="57" t="n">
        <v>2</v>
      </c>
      <c r="M24" s="57" t="n">
        <v>5</v>
      </c>
      <c r="N24" s="57" t="n">
        <v>5</v>
      </c>
      <c r="O24" s="57" t="n">
        <v>4</v>
      </c>
      <c r="P24" s="57" t="n">
        <v>5</v>
      </c>
      <c r="Q24" s="57" t="n">
        <v>3</v>
      </c>
      <c r="R24" s="57" t="n">
        <v>4</v>
      </c>
      <c r="S24" s="57" t="n">
        <v>4</v>
      </c>
      <c r="T24" s="57" t="n">
        <v>4</v>
      </c>
      <c r="U24" s="57" t="n">
        <v>83</v>
      </c>
      <c r="V24" s="57" t="n">
        <v>6</v>
      </c>
      <c r="W24" s="57" t="n">
        <v>77</v>
      </c>
      <c r="X24" s="57" t="n">
        <v>3</v>
      </c>
      <c r="Y24" s="57" t="n">
        <v>62.5</v>
      </c>
      <c r="Z24" s="58">
        <f>2.5*((C24-1)+(5-D24)+(E24-1)+(5-F24)+(G24-1)+(5-H24)+(I24-1)+(5-J24)+(K24-1)+(5-L24))</f>
        <v/>
      </c>
      <c r="AA24" s="57" t="n">
        <v>30</v>
      </c>
      <c r="AB24" s="58">
        <f>SUM(M24:T24)</f>
        <v/>
      </c>
      <c r="AC24" s="57" t="n">
        <v>226.5</v>
      </c>
      <c r="AD24" s="58">
        <f>AVERAGE(U24,W24)</f>
        <v/>
      </c>
      <c r="AE24" s="57" t="n">
        <v>25</v>
      </c>
      <c r="AF24" s="58">
        <f>V24+X24</f>
        <v/>
      </c>
      <c r="AG24" s="57" t="n">
        <v>6</v>
      </c>
      <c r="AH24" s="58">
        <f>Z24-Y24</f>
        <v/>
      </c>
      <c r="AI24" s="58">
        <f>AB24-AA24</f>
        <v/>
      </c>
      <c r="AJ24" s="58">
        <f>AD24-AC24</f>
        <v/>
      </c>
      <c r="AK24" s="58">
        <f>AF24-AE24</f>
        <v/>
      </c>
    </row>
    <row r="25" ht="15.75" customHeight="1" s="67">
      <c r="A25" s="57" t="inlineStr">
        <is>
          <t>GU-TDH-026</t>
        </is>
      </c>
      <c r="B25" s="57" t="inlineStr">
        <is>
          <t>G</t>
        </is>
      </c>
      <c r="C25" s="57" t="n">
        <v>3</v>
      </c>
      <c r="D25" s="57" t="n">
        <v>4</v>
      </c>
      <c r="E25" s="57" t="n">
        <v>2</v>
      </c>
      <c r="F25" s="57" t="n">
        <v>3</v>
      </c>
      <c r="G25" s="57" t="n">
        <v>4</v>
      </c>
      <c r="H25" s="57" t="n">
        <v>3</v>
      </c>
      <c r="I25" s="57" t="n">
        <v>2</v>
      </c>
      <c r="J25" s="57" t="n">
        <v>3</v>
      </c>
      <c r="K25" s="57" t="n">
        <v>3</v>
      </c>
      <c r="L25" s="57" t="n">
        <v>5</v>
      </c>
      <c r="M25" s="57" t="n">
        <v>4</v>
      </c>
      <c r="N25" s="57" t="n">
        <v>4</v>
      </c>
      <c r="O25" s="57" t="n">
        <v>3</v>
      </c>
      <c r="P25" s="57" t="n">
        <v>4</v>
      </c>
      <c r="Q25" s="57" t="n">
        <v>3</v>
      </c>
      <c r="R25" s="57" t="n">
        <v>2</v>
      </c>
      <c r="S25" s="57" t="n">
        <v>3</v>
      </c>
      <c r="T25" s="57" t="n">
        <v>3</v>
      </c>
      <c r="U25" s="57" t="n">
        <v>83</v>
      </c>
      <c r="V25" s="57" t="n">
        <v>2</v>
      </c>
      <c r="W25" s="57" t="n">
        <v>115</v>
      </c>
      <c r="X25" s="57" t="n">
        <v>6</v>
      </c>
      <c r="Y25" s="57" t="n">
        <v>55</v>
      </c>
      <c r="Z25" s="58">
        <f>2.5*((C25-1)+(5-D25)+(E25-1)+(5-F25)+(G25-1)+(5-H25)+(I25-1)+(5-J25)+(K25-1)+(5-L25))</f>
        <v/>
      </c>
      <c r="AA25" s="57" t="n">
        <v>25</v>
      </c>
      <c r="AB25" s="58">
        <f>SUM(M25:T25)</f>
        <v/>
      </c>
      <c r="AC25" s="57" t="n">
        <v>221.5</v>
      </c>
      <c r="AD25" s="58">
        <f>AVERAGE(U25,W25)</f>
        <v/>
      </c>
      <c r="AE25" s="57" t="n">
        <v>28</v>
      </c>
      <c r="AF25" s="58">
        <f>V25+X25</f>
        <v/>
      </c>
      <c r="AG25" s="57" t="n">
        <v>5</v>
      </c>
      <c r="AH25" s="58">
        <f>Z25-Y25</f>
        <v/>
      </c>
      <c r="AI25" s="58">
        <f>AB25-AA25</f>
        <v/>
      </c>
      <c r="AJ25" s="58">
        <f>AD25-AC25</f>
        <v/>
      </c>
      <c r="AK25" s="58">
        <f>AF25-AE25</f>
        <v/>
      </c>
    </row>
    <row r="26" ht="15.75" customHeight="1" s="67">
      <c r="A26" s="57" t="inlineStr">
        <is>
          <t>GU-TDH-027</t>
        </is>
      </c>
      <c r="B26" s="57" t="inlineStr">
        <is>
          <t>G</t>
        </is>
      </c>
      <c r="C26" s="57" t="n">
        <v>5</v>
      </c>
      <c r="D26" s="57" t="n">
        <v>2</v>
      </c>
      <c r="E26" s="57" t="n">
        <v>4</v>
      </c>
      <c r="F26" s="57" t="n">
        <v>1</v>
      </c>
      <c r="G26" s="57" t="n">
        <v>3</v>
      </c>
      <c r="H26" s="57" t="n">
        <v>2</v>
      </c>
      <c r="I26" s="57" t="n">
        <v>4</v>
      </c>
      <c r="J26" s="57" t="n">
        <v>2</v>
      </c>
      <c r="K26" s="57" t="n">
        <v>3</v>
      </c>
      <c r="L26" s="57" t="n">
        <v>3</v>
      </c>
      <c r="M26" s="57" t="n">
        <v>5</v>
      </c>
      <c r="N26" s="57" t="n">
        <v>4</v>
      </c>
      <c r="O26" s="57" t="n">
        <v>3</v>
      </c>
      <c r="P26" s="57" t="n">
        <v>4</v>
      </c>
      <c r="Q26" s="57" t="n">
        <v>4</v>
      </c>
      <c r="R26" s="57" t="n">
        <v>3</v>
      </c>
      <c r="S26" s="57" t="n">
        <v>4</v>
      </c>
      <c r="T26" s="57" t="n">
        <v>3</v>
      </c>
      <c r="U26" s="57" t="n">
        <v>67</v>
      </c>
      <c r="V26" s="57" t="n">
        <v>5</v>
      </c>
      <c r="W26" s="57" t="n">
        <v>65</v>
      </c>
      <c r="X26" s="57" t="n">
        <v>5</v>
      </c>
      <c r="Y26" s="57" t="n">
        <v>45</v>
      </c>
      <c r="Z26" s="58">
        <f>2.5*((C26-1)+(5-D26)+(E26-1)+(5-F26)+(G26-1)+(5-H26)+(I26-1)+(5-J26)+(K26-1)+(5-L26))</f>
        <v/>
      </c>
      <c r="AA26" s="57" t="n">
        <v>18</v>
      </c>
      <c r="AB26" s="58">
        <f>SUM(M26:T26)</f>
        <v/>
      </c>
      <c r="AC26" s="57" t="n">
        <v>246</v>
      </c>
      <c r="AD26" s="58">
        <f>AVERAGE(U26,W26)</f>
        <v/>
      </c>
      <c r="AE26" s="57" t="n">
        <v>25</v>
      </c>
      <c r="AF26" s="58">
        <f>V26+X26</f>
        <v/>
      </c>
      <c r="AG26" s="57" t="n">
        <v>7</v>
      </c>
      <c r="AH26" s="58">
        <f>Z26-Y26</f>
        <v/>
      </c>
      <c r="AI26" s="58">
        <f>AB26-AA26</f>
        <v/>
      </c>
      <c r="AJ26" s="58">
        <f>AD26-AC26</f>
        <v/>
      </c>
      <c r="AK26" s="58">
        <f>AF26-AE26</f>
        <v/>
      </c>
    </row>
    <row r="27" ht="15.75" customHeight="1" s="67">
      <c r="A27" s="57" t="inlineStr">
        <is>
          <t>GU-TDH-028</t>
        </is>
      </c>
      <c r="B27" s="57" t="inlineStr">
        <is>
          <t>G</t>
        </is>
      </c>
      <c r="C27" s="57" t="n">
        <v>5</v>
      </c>
      <c r="D27" s="57" t="n">
        <v>1</v>
      </c>
      <c r="E27" s="57" t="n">
        <v>4</v>
      </c>
      <c r="F27" s="57" t="n">
        <v>3</v>
      </c>
      <c r="G27" s="57" t="n">
        <v>4</v>
      </c>
      <c r="H27" s="57" t="n">
        <v>2</v>
      </c>
      <c r="I27" s="57" t="n">
        <v>4</v>
      </c>
      <c r="J27" s="57" t="n">
        <v>3</v>
      </c>
      <c r="K27" s="57" t="n">
        <v>3</v>
      </c>
      <c r="L27" s="57" t="n">
        <v>3</v>
      </c>
      <c r="M27" s="57" t="n">
        <v>4</v>
      </c>
      <c r="N27" s="57" t="n">
        <v>3</v>
      </c>
      <c r="O27" s="57" t="n">
        <v>4</v>
      </c>
      <c r="P27" s="57" t="n">
        <v>3</v>
      </c>
      <c r="Q27" s="57" t="n">
        <v>2</v>
      </c>
      <c r="R27" s="57" t="n">
        <v>5</v>
      </c>
      <c r="S27" s="57" t="n">
        <v>3</v>
      </c>
      <c r="T27" s="57" t="n">
        <v>4</v>
      </c>
      <c r="U27" s="57" t="n">
        <v>73</v>
      </c>
      <c r="V27" s="57" t="n">
        <v>6</v>
      </c>
      <c r="W27" s="57" t="n">
        <v>59</v>
      </c>
      <c r="X27" s="57" t="n">
        <v>4</v>
      </c>
      <c r="Y27" s="57" t="n">
        <v>52.5</v>
      </c>
      <c r="Z27" s="58">
        <f>2.5*((C27-1)+(5-D27)+(E27-1)+(5-F27)+(G27-1)+(5-H27)+(I27-1)+(5-J27)+(K27-1)+(5-L27))</f>
        <v/>
      </c>
      <c r="AA27" s="57" t="n">
        <v>17</v>
      </c>
      <c r="AB27" s="58">
        <f>SUM(M27:T27)</f>
        <v/>
      </c>
      <c r="AC27" s="57" t="n">
        <v>198</v>
      </c>
      <c r="AD27" s="58">
        <f>AVERAGE(U27,W27)</f>
        <v/>
      </c>
      <c r="AE27" s="57" t="n">
        <v>21</v>
      </c>
      <c r="AF27" s="58">
        <f>V27+X27</f>
        <v/>
      </c>
      <c r="AG27" s="57" t="n">
        <v>3</v>
      </c>
      <c r="AH27" s="58">
        <f>Z27-Y27</f>
        <v/>
      </c>
      <c r="AI27" s="58">
        <f>AB27-AA27</f>
        <v/>
      </c>
      <c r="AJ27" s="58">
        <f>AD27-AC27</f>
        <v/>
      </c>
      <c r="AK27" s="58">
        <f>AF27-AE27</f>
        <v/>
      </c>
    </row>
    <row r="28" ht="15.75" customHeight="1" s="67">
      <c r="A28" s="57" t="inlineStr">
        <is>
          <t>GU-TDH-029</t>
        </is>
      </c>
      <c r="B28" s="57" t="inlineStr">
        <is>
          <t>G</t>
        </is>
      </c>
      <c r="C28" s="57" t="n">
        <v>5</v>
      </c>
      <c r="D28" s="57" t="n">
        <v>1</v>
      </c>
      <c r="E28" s="57" t="n">
        <v>4</v>
      </c>
      <c r="F28" s="57" t="n">
        <v>2</v>
      </c>
      <c r="G28" s="57" t="n">
        <v>5</v>
      </c>
      <c r="H28" s="57" t="n">
        <v>2</v>
      </c>
      <c r="I28" s="57" t="n">
        <v>4</v>
      </c>
      <c r="J28" s="57" t="n">
        <v>2</v>
      </c>
      <c r="K28" s="57" t="n">
        <v>4</v>
      </c>
      <c r="L28" s="57" t="n">
        <v>1</v>
      </c>
      <c r="M28" s="57" t="n">
        <v>5</v>
      </c>
      <c r="N28" s="57" t="n">
        <v>5</v>
      </c>
      <c r="O28" s="57" t="n">
        <v>4</v>
      </c>
      <c r="P28" s="57" t="n">
        <v>4</v>
      </c>
      <c r="Q28" s="57" t="n">
        <v>5</v>
      </c>
      <c r="R28" s="57" t="n">
        <v>5</v>
      </c>
      <c r="S28" s="57" t="n">
        <v>5</v>
      </c>
      <c r="T28" s="57" t="n">
        <v>5</v>
      </c>
      <c r="U28" s="57" t="n">
        <v>74</v>
      </c>
      <c r="V28" s="57" t="n">
        <v>5</v>
      </c>
      <c r="W28" s="57" t="n">
        <v>53</v>
      </c>
      <c r="X28" s="57" t="n">
        <v>5</v>
      </c>
      <c r="Y28" s="57" t="n">
        <v>57.5</v>
      </c>
      <c r="Z28" s="58">
        <f>2.5*((C28-1)+(5-D28)+(E28-1)+(5-F28)+(G28-1)+(5-H28)+(I28-1)+(5-J28)+(K28-1)+(5-L28))</f>
        <v/>
      </c>
      <c r="AA28" s="57" t="n">
        <v>30</v>
      </c>
      <c r="AB28" s="58">
        <f>SUM(M28:T28)</f>
        <v/>
      </c>
      <c r="AC28" s="57" t="n">
        <v>163.5</v>
      </c>
      <c r="AD28" s="58">
        <f>AVERAGE(U28,W28)</f>
        <v/>
      </c>
      <c r="AE28" s="57" t="n">
        <v>16</v>
      </c>
      <c r="AF28" s="58">
        <f>V28+X28</f>
        <v/>
      </c>
      <c r="AG28" s="57" t="n">
        <v>3</v>
      </c>
      <c r="AH28" s="58">
        <f>Z28-Y28</f>
        <v/>
      </c>
      <c r="AI28" s="58">
        <f>AB28-AA28</f>
        <v/>
      </c>
      <c r="AJ28" s="58">
        <f>AD28-AC28</f>
        <v/>
      </c>
      <c r="AK28" s="58">
        <f>AF28-AE28</f>
        <v/>
      </c>
    </row>
    <row r="29" ht="15.75" customHeight="1" s="67">
      <c r="A29" s="57" t="inlineStr">
        <is>
          <t>GU-TDH-030</t>
        </is>
      </c>
      <c r="B29" s="57" t="inlineStr">
        <is>
          <t>G</t>
        </is>
      </c>
      <c r="C29" s="57" t="n">
        <v>5</v>
      </c>
      <c r="D29" s="57" t="n">
        <v>2</v>
      </c>
      <c r="E29" s="57" t="n">
        <v>4</v>
      </c>
      <c r="F29" s="57" t="n">
        <v>2</v>
      </c>
      <c r="G29" s="57" t="n">
        <v>3</v>
      </c>
      <c r="H29" s="57" t="n">
        <v>3</v>
      </c>
      <c r="I29" s="57" t="n">
        <v>5</v>
      </c>
      <c r="J29" s="57" t="n">
        <v>1</v>
      </c>
      <c r="K29" s="57" t="n">
        <v>3</v>
      </c>
      <c r="L29" s="57" t="n">
        <v>2</v>
      </c>
      <c r="M29" s="57" t="n">
        <v>4</v>
      </c>
      <c r="N29" s="57" t="n">
        <v>3</v>
      </c>
      <c r="O29" s="57" t="n">
        <v>3</v>
      </c>
      <c r="P29" s="57" t="n">
        <v>3</v>
      </c>
      <c r="Q29" s="57" t="n">
        <v>3</v>
      </c>
      <c r="R29" s="57" t="n">
        <v>5</v>
      </c>
      <c r="S29" s="57" t="n">
        <v>3</v>
      </c>
      <c r="T29" s="57" t="n">
        <v>4</v>
      </c>
      <c r="U29" s="57" t="n">
        <v>68</v>
      </c>
      <c r="V29" s="57" t="n">
        <v>4</v>
      </c>
      <c r="W29" s="57" t="n">
        <v>92</v>
      </c>
      <c r="X29" s="57" t="n">
        <v>8</v>
      </c>
      <c r="Y29" s="57" t="n">
        <v>60</v>
      </c>
      <c r="Z29" s="58">
        <f>2.5*((C29-1)+(5-D29)+(E29-1)+(5-F29)+(G29-1)+(5-H29)+(I29-1)+(5-J29)+(K29-1)+(5-L29))</f>
        <v/>
      </c>
      <c r="AA29" s="57" t="n">
        <v>16</v>
      </c>
      <c r="AB29" s="58">
        <f>SUM(M29:T29)</f>
        <v/>
      </c>
      <c r="AC29" s="57" t="n">
        <v>249</v>
      </c>
      <c r="AD29" s="58">
        <f>AVERAGE(U29,W29)</f>
        <v/>
      </c>
      <c r="AE29" s="57" t="n">
        <v>30</v>
      </c>
      <c r="AF29" s="58">
        <f>V29+X29</f>
        <v/>
      </c>
      <c r="AG29" s="57" t="n">
        <v>2</v>
      </c>
      <c r="AH29" s="58">
        <f>Z29-Y29</f>
        <v/>
      </c>
      <c r="AI29" s="58">
        <f>AB29-AA29</f>
        <v/>
      </c>
      <c r="AJ29" s="58">
        <f>AD29-AC29</f>
        <v/>
      </c>
      <c r="AK29" s="58">
        <f>AF29-AE29</f>
        <v/>
      </c>
    </row>
    <row r="30" ht="15.75" customHeight="1" s="67">
      <c r="A30" s="57" t="inlineStr">
        <is>
          <t>GU-TDH-032</t>
        </is>
      </c>
      <c r="B30" s="57" t="inlineStr">
        <is>
          <t>G</t>
        </is>
      </c>
      <c r="C30" s="57" t="n">
        <v>4</v>
      </c>
      <c r="D30" s="57" t="n">
        <v>1</v>
      </c>
      <c r="E30" s="57" t="n">
        <v>5</v>
      </c>
      <c r="F30" s="57" t="n">
        <v>1</v>
      </c>
      <c r="G30" s="57" t="n">
        <v>5</v>
      </c>
      <c r="H30" s="57" t="n">
        <v>1</v>
      </c>
      <c r="I30" s="57" t="n">
        <v>4</v>
      </c>
      <c r="J30" s="57" t="n">
        <v>2</v>
      </c>
      <c r="K30" s="57" t="n">
        <v>4</v>
      </c>
      <c r="L30" s="57" t="n">
        <v>1</v>
      </c>
      <c r="M30" s="57" t="n">
        <v>5</v>
      </c>
      <c r="N30" s="57" t="n">
        <v>5</v>
      </c>
      <c r="O30" s="57" t="n">
        <v>5</v>
      </c>
      <c r="P30" s="57" t="n">
        <v>5</v>
      </c>
      <c r="Q30" s="57" t="n">
        <v>5</v>
      </c>
      <c r="R30" s="57" t="n">
        <v>5</v>
      </c>
      <c r="S30" s="57" t="n">
        <v>5</v>
      </c>
      <c r="T30" s="57" t="n">
        <v>5</v>
      </c>
      <c r="U30" s="57" t="n">
        <v>87</v>
      </c>
      <c r="V30" s="57" t="n">
        <v>5</v>
      </c>
      <c r="W30" s="57" t="n">
        <v>44</v>
      </c>
      <c r="X30" s="57" t="n">
        <v>3</v>
      </c>
      <c r="Y30" s="57" t="n">
        <v>77.5</v>
      </c>
      <c r="Z30" s="58">
        <f>2.5*((C30-1)+(5-D30)+(E30-1)+(5-F30)+(G30-1)+(5-H30)+(I30-1)+(5-J30)+(K30-1)+(5-L30))</f>
        <v/>
      </c>
      <c r="AA30" s="57" t="n">
        <v>23</v>
      </c>
      <c r="AB30" s="58">
        <f>SUM(M30:T30)</f>
        <v/>
      </c>
      <c r="AC30" s="57" t="n">
        <v>232</v>
      </c>
      <c r="AD30" s="58">
        <f>AVERAGE(U30,W30)</f>
        <v/>
      </c>
      <c r="AE30" s="57" t="n">
        <v>26</v>
      </c>
      <c r="AF30" s="58">
        <f>V30+X30</f>
        <v/>
      </c>
      <c r="AG30" s="57" t="n">
        <v>5</v>
      </c>
      <c r="AH30" s="58">
        <f>Z30-Y30</f>
        <v/>
      </c>
      <c r="AI30" s="58">
        <f>AB30-AA30</f>
        <v/>
      </c>
      <c r="AJ30" s="58">
        <f>AD30-AC30</f>
        <v/>
      </c>
      <c r="AK30" s="58">
        <f>AF30-AE30</f>
        <v/>
      </c>
    </row>
    <row r="31" ht="15.75" customHeight="1" s="67">
      <c r="A31" s="57" t="inlineStr">
        <is>
          <t>GU-TDH-033</t>
        </is>
      </c>
      <c r="B31" s="57" t="inlineStr">
        <is>
          <t>G</t>
        </is>
      </c>
      <c r="C31" s="57" t="n">
        <v>4</v>
      </c>
      <c r="D31" s="57" t="n">
        <v>2</v>
      </c>
      <c r="E31" s="57" t="n">
        <v>5</v>
      </c>
      <c r="F31" s="57" t="n">
        <v>2</v>
      </c>
      <c r="G31" s="57" t="n">
        <v>4</v>
      </c>
      <c r="H31" s="57" t="n">
        <v>2</v>
      </c>
      <c r="I31" s="57" t="n">
        <v>4</v>
      </c>
      <c r="J31" s="57" t="n">
        <v>1</v>
      </c>
      <c r="K31" s="57" t="n">
        <v>4</v>
      </c>
      <c r="L31" s="57" t="n">
        <v>1</v>
      </c>
      <c r="M31" s="57" t="n">
        <v>4</v>
      </c>
      <c r="N31" s="57" t="n">
        <v>3</v>
      </c>
      <c r="O31" s="57" t="n">
        <v>3</v>
      </c>
      <c r="P31" s="57" t="n">
        <v>4</v>
      </c>
      <c r="Q31" s="57" t="n">
        <v>4</v>
      </c>
      <c r="R31" s="57" t="n">
        <v>4</v>
      </c>
      <c r="S31" s="57" t="n">
        <v>3</v>
      </c>
      <c r="T31" s="57" t="n">
        <v>4</v>
      </c>
      <c r="U31" s="57" t="n">
        <v>100</v>
      </c>
      <c r="V31" s="57" t="n">
        <v>7</v>
      </c>
      <c r="W31" s="57" t="n">
        <v>77</v>
      </c>
      <c r="X31" s="57" t="n">
        <v>5</v>
      </c>
      <c r="Y31" s="57" t="n">
        <v>67.5</v>
      </c>
      <c r="Z31" s="58">
        <f>2.5*((C31-1)+(5-D31)+(E31-1)+(5-F31)+(G31-1)+(5-H31)+(I31-1)+(5-J31)+(K31-1)+(5-L31))</f>
        <v/>
      </c>
      <c r="AA31" s="57" t="n">
        <v>14</v>
      </c>
      <c r="AB31" s="58">
        <f>SUM(M31:T31)</f>
        <v/>
      </c>
      <c r="AC31" s="57" t="n">
        <v>158</v>
      </c>
      <c r="AD31" s="58">
        <f>AVERAGE(U31,W31)</f>
        <v/>
      </c>
      <c r="AE31" s="57" t="n">
        <v>19</v>
      </c>
      <c r="AF31" s="58">
        <f>V31+X31</f>
        <v/>
      </c>
      <c r="AG31" s="57" t="n">
        <v>3</v>
      </c>
      <c r="AH31" s="58">
        <f>Z31-Y31</f>
        <v/>
      </c>
      <c r="AI31" s="58">
        <f>AB31-AA31</f>
        <v/>
      </c>
      <c r="AJ31" s="58">
        <f>AD31-AC31</f>
        <v/>
      </c>
      <c r="AK31" s="58">
        <f>AF31-AE31</f>
        <v/>
      </c>
    </row>
    <row r="32" ht="15.75" customHeight="1" s="67">
      <c r="A32" s="57" t="inlineStr">
        <is>
          <t>GU-TDH-034</t>
        </is>
      </c>
      <c r="B32" s="57" t="inlineStr">
        <is>
          <t>G</t>
        </is>
      </c>
      <c r="C32" s="57" t="n">
        <v>4</v>
      </c>
      <c r="D32" s="57" t="n">
        <v>1</v>
      </c>
      <c r="E32" s="57" t="n">
        <v>4</v>
      </c>
      <c r="F32" s="57" t="n">
        <v>3</v>
      </c>
      <c r="G32" s="57" t="n">
        <v>4</v>
      </c>
      <c r="H32" s="57" t="n">
        <v>2</v>
      </c>
      <c r="I32" s="57" t="n">
        <v>4</v>
      </c>
      <c r="J32" s="57" t="n">
        <v>2</v>
      </c>
      <c r="K32" s="57" t="n">
        <v>4</v>
      </c>
      <c r="L32" s="57" t="n">
        <v>3</v>
      </c>
      <c r="M32" s="57" t="n">
        <v>3</v>
      </c>
      <c r="N32" s="57" t="n">
        <v>4</v>
      </c>
      <c r="O32" s="57" t="n">
        <v>3</v>
      </c>
      <c r="P32" s="57" t="n">
        <v>4</v>
      </c>
      <c r="Q32" s="57" t="n">
        <v>4</v>
      </c>
      <c r="R32" s="57" t="n">
        <v>4</v>
      </c>
      <c r="S32" s="57" t="n">
        <v>4</v>
      </c>
      <c r="T32" s="57" t="n">
        <v>4</v>
      </c>
      <c r="U32" s="57" t="n">
        <v>88</v>
      </c>
      <c r="V32" s="57" t="n">
        <v>6</v>
      </c>
      <c r="W32" s="57" t="n">
        <v>61</v>
      </c>
      <c r="X32" s="57" t="n">
        <v>2</v>
      </c>
      <c r="Y32" s="57" t="n">
        <v>57.5</v>
      </c>
      <c r="Z32" s="58">
        <f>2.5*((C32-1)+(5-D32)+(E32-1)+(5-F32)+(G32-1)+(5-H32)+(I32-1)+(5-J32)+(K32-1)+(5-L32))</f>
        <v/>
      </c>
      <c r="AA32" s="57" t="n">
        <v>20</v>
      </c>
      <c r="AB32" s="58">
        <f>SUM(M32:T32)</f>
        <v/>
      </c>
      <c r="AC32" s="57" t="n">
        <v>194.5</v>
      </c>
      <c r="AD32" s="58">
        <f>AVERAGE(U32,W32)</f>
        <v/>
      </c>
      <c r="AE32" s="57" t="n">
        <v>22</v>
      </c>
      <c r="AF32" s="58">
        <f>V32+X32</f>
        <v/>
      </c>
      <c r="AG32" s="57" t="n">
        <v>3</v>
      </c>
      <c r="AH32" s="58">
        <f>Z32-Y32</f>
        <v/>
      </c>
      <c r="AI32" s="58">
        <f>AB32-AA32</f>
        <v/>
      </c>
      <c r="AJ32" s="58">
        <f>AD32-AC32</f>
        <v/>
      </c>
      <c r="AK32" s="58">
        <f>AF32-AE32</f>
        <v/>
      </c>
    </row>
    <row r="33" ht="15.75" customHeight="1" s="67">
      <c r="A33" s="57" t="inlineStr">
        <is>
          <t>GU-TDH-035</t>
        </is>
      </c>
      <c r="B33" s="57" t="inlineStr">
        <is>
          <t>G</t>
        </is>
      </c>
      <c r="C33" s="57" t="n">
        <v>3</v>
      </c>
      <c r="D33" s="57" t="n">
        <v>4</v>
      </c>
      <c r="E33" s="57" t="n">
        <v>2</v>
      </c>
      <c r="F33" s="57" t="n">
        <v>3</v>
      </c>
      <c r="G33" s="57" t="n">
        <v>4</v>
      </c>
      <c r="H33" s="57" t="n">
        <v>3</v>
      </c>
      <c r="I33" s="57" t="n">
        <v>4</v>
      </c>
      <c r="J33" s="57" t="n">
        <v>3</v>
      </c>
      <c r="K33" s="57" t="n">
        <v>3</v>
      </c>
      <c r="L33" s="57" t="n">
        <v>3</v>
      </c>
      <c r="M33" s="57" t="n">
        <v>3</v>
      </c>
      <c r="N33" s="57" t="n">
        <v>3</v>
      </c>
      <c r="O33" s="57" t="n">
        <v>4</v>
      </c>
      <c r="P33" s="57" t="n">
        <v>4</v>
      </c>
      <c r="Q33" s="57" t="n">
        <v>3</v>
      </c>
      <c r="R33" s="57" t="n">
        <v>3</v>
      </c>
      <c r="S33" s="57" t="n">
        <v>2</v>
      </c>
      <c r="T33" s="57" t="n">
        <v>3</v>
      </c>
      <c r="U33" s="57" t="n">
        <v>108</v>
      </c>
      <c r="V33" s="57" t="n">
        <v>7</v>
      </c>
      <c r="W33" s="57" t="n">
        <v>104</v>
      </c>
      <c r="X33" s="57" t="n">
        <v>6</v>
      </c>
      <c r="Y33" s="57" t="n">
        <v>37.5</v>
      </c>
      <c r="Z33" s="58">
        <f>2.5*((C33-1)+(5-D33)+(E33-1)+(5-F33)+(G33-1)+(5-H33)+(I33-1)+(5-J33)+(K33-1)+(5-L33))</f>
        <v/>
      </c>
      <c r="AA33" s="57" t="n">
        <v>15</v>
      </c>
      <c r="AB33" s="58">
        <f>SUM(M33:T33)</f>
        <v/>
      </c>
      <c r="AC33" s="57" t="n">
        <v>253</v>
      </c>
      <c r="AD33" s="58">
        <f>AVERAGE(U33,W33)</f>
        <v/>
      </c>
      <c r="AE33" s="57" t="n">
        <v>29</v>
      </c>
      <c r="AF33" s="58">
        <f>V33+X33</f>
        <v/>
      </c>
      <c r="AG33" s="57" t="n">
        <v>4</v>
      </c>
      <c r="AH33" s="58">
        <f>Z33-Y33</f>
        <v/>
      </c>
      <c r="AI33" s="58">
        <f>AB33-AA33</f>
        <v/>
      </c>
      <c r="AJ33" s="58">
        <f>AD33-AC33</f>
        <v/>
      </c>
      <c r="AK33" s="58">
        <f>AF33-AE33</f>
        <v/>
      </c>
    </row>
    <row r="34" ht="15.75" customHeight="1" s="67">
      <c r="A34" s="57" t="inlineStr">
        <is>
          <t>GU-TDH-036</t>
        </is>
      </c>
      <c r="B34" s="57" t="inlineStr">
        <is>
          <t>G</t>
        </is>
      </c>
      <c r="C34" s="57" t="n">
        <v>3</v>
      </c>
      <c r="D34" s="57" t="n">
        <v>2</v>
      </c>
      <c r="E34" s="57" t="n">
        <v>3</v>
      </c>
      <c r="F34" s="57" t="n">
        <v>3</v>
      </c>
      <c r="G34" s="57" t="n">
        <v>3</v>
      </c>
      <c r="H34" s="57" t="n">
        <v>3</v>
      </c>
      <c r="I34" s="57" t="n">
        <v>3</v>
      </c>
      <c r="J34" s="57" t="n">
        <v>3</v>
      </c>
      <c r="K34" s="57" t="n">
        <v>2</v>
      </c>
      <c r="L34" s="57" t="n">
        <v>4</v>
      </c>
      <c r="M34" s="57" t="n">
        <v>3</v>
      </c>
      <c r="N34" s="57" t="n">
        <v>3</v>
      </c>
      <c r="O34" s="57" t="n">
        <v>3</v>
      </c>
      <c r="P34" s="57" t="n">
        <v>3</v>
      </c>
      <c r="Q34" s="57" t="n">
        <v>3</v>
      </c>
      <c r="R34" s="57" t="n">
        <v>3</v>
      </c>
      <c r="S34" s="57" t="n">
        <v>4</v>
      </c>
      <c r="T34" s="57" t="n">
        <v>3</v>
      </c>
      <c r="U34" s="57" t="n">
        <v>116</v>
      </c>
      <c r="V34" s="57" t="n">
        <v>9</v>
      </c>
      <c r="W34" s="57" t="n">
        <v>97</v>
      </c>
      <c r="X34" s="57" t="n">
        <v>9</v>
      </c>
      <c r="Y34" s="57" t="n">
        <v>50</v>
      </c>
      <c r="Z34" s="58">
        <f>2.5*((C34-1)+(5-D34)+(E34-1)+(5-F34)+(G34-1)+(5-H34)+(I34-1)+(5-J34)+(K34-1)+(5-L34))</f>
        <v/>
      </c>
      <c r="AA34" s="57" t="n">
        <v>22</v>
      </c>
      <c r="AB34" s="58">
        <f>SUM(M34:T34)</f>
        <v/>
      </c>
      <c r="AC34" s="57" t="n">
        <v>238.5</v>
      </c>
      <c r="AD34" s="58">
        <f>AVERAGE(U34,W34)</f>
        <v/>
      </c>
      <c r="AE34" s="57" t="n">
        <v>24</v>
      </c>
      <c r="AF34" s="58">
        <f>V34+X34</f>
        <v/>
      </c>
      <c r="AG34" s="57" t="n">
        <v>7</v>
      </c>
      <c r="AH34" s="58">
        <f>Z34-Y34</f>
        <v/>
      </c>
      <c r="AI34" s="58">
        <f>AB34-AA34</f>
        <v/>
      </c>
      <c r="AJ34" s="58">
        <f>AD34-AC34</f>
        <v/>
      </c>
      <c r="AK34" s="58">
        <f>AF34-AE34</f>
        <v/>
      </c>
    </row>
    <row r="35" ht="15.75" customHeight="1" s="67">
      <c r="A35" s="57" t="inlineStr">
        <is>
          <t>GU-TDH-038</t>
        </is>
      </c>
      <c r="B35" s="57" t="inlineStr">
        <is>
          <t>G</t>
        </is>
      </c>
      <c r="C35" s="57" t="n">
        <v>3</v>
      </c>
      <c r="D35" s="57" t="n">
        <v>2</v>
      </c>
      <c r="E35" s="57" t="n">
        <v>4</v>
      </c>
      <c r="F35" s="57" t="n">
        <v>3</v>
      </c>
      <c r="G35" s="57" t="n">
        <v>3</v>
      </c>
      <c r="H35" s="57" t="n">
        <v>1</v>
      </c>
      <c r="I35" s="57" t="n">
        <v>5</v>
      </c>
      <c r="J35" s="57" t="n">
        <v>3</v>
      </c>
      <c r="K35" s="57" t="n">
        <v>3</v>
      </c>
      <c r="L35" s="57" t="n">
        <v>3</v>
      </c>
      <c r="M35" s="57" t="n">
        <v>4</v>
      </c>
      <c r="N35" s="57" t="n">
        <v>5</v>
      </c>
      <c r="O35" s="57" t="n">
        <v>4</v>
      </c>
      <c r="P35" s="57" t="n">
        <v>3</v>
      </c>
      <c r="Q35" s="57" t="n">
        <v>4</v>
      </c>
      <c r="R35" s="57" t="n">
        <v>5</v>
      </c>
      <c r="S35" s="57" t="n">
        <v>3</v>
      </c>
      <c r="T35" s="57" t="n">
        <v>4</v>
      </c>
      <c r="U35" s="57" t="n">
        <v>118</v>
      </c>
      <c r="V35" s="57" t="n">
        <v>10</v>
      </c>
      <c r="W35" s="57" t="n">
        <v>102</v>
      </c>
      <c r="X35" s="57" t="n">
        <v>6</v>
      </c>
      <c r="Y35" s="57" t="n">
        <v>62.5</v>
      </c>
      <c r="Z35" s="58">
        <f>2.5*((C35-1)+(5-D35)+(E35-1)+(5-F35)+(G35-1)+(5-H35)+(I35-1)+(5-J35)+(K35-1)+(5-L35))</f>
        <v/>
      </c>
      <c r="AA35" s="57" t="n">
        <v>19</v>
      </c>
      <c r="AB35" s="58">
        <f>SUM(M35:T35)</f>
        <v/>
      </c>
      <c r="AC35" s="57" t="n">
        <v>203.5</v>
      </c>
      <c r="AD35" s="58">
        <f>AVERAGE(U35,W35)</f>
        <v/>
      </c>
      <c r="AE35" s="57" t="n">
        <v>23</v>
      </c>
      <c r="AF35" s="58">
        <f>V35+X35</f>
        <v/>
      </c>
      <c r="AG35" s="57" t="n">
        <v>5</v>
      </c>
      <c r="AH35" s="58">
        <f>Z35-Y35</f>
        <v/>
      </c>
      <c r="AI35" s="58">
        <f>AB35-AA35</f>
        <v/>
      </c>
      <c r="AJ35" s="58">
        <f>AD35-AC35</f>
        <v/>
      </c>
      <c r="AK35" s="58">
        <f>AF35-AE35</f>
        <v/>
      </c>
    </row>
    <row r="36" ht="15.75" customHeight="1" s="67">
      <c r="A36" s="57" t="inlineStr">
        <is>
          <t>GU-TDH-039</t>
        </is>
      </c>
      <c r="B36" s="57" t="inlineStr">
        <is>
          <t>G</t>
        </is>
      </c>
      <c r="C36" s="57" t="n">
        <v>4</v>
      </c>
      <c r="D36" s="57" t="n">
        <v>3</v>
      </c>
      <c r="E36" s="57" t="n">
        <v>3</v>
      </c>
      <c r="F36" s="57" t="n">
        <v>3</v>
      </c>
      <c r="G36" s="57" t="n">
        <v>2</v>
      </c>
      <c r="H36" s="57" t="n">
        <v>3</v>
      </c>
      <c r="I36" s="57" t="n">
        <v>3</v>
      </c>
      <c r="J36" s="57" t="n">
        <v>4</v>
      </c>
      <c r="K36" s="57" t="n">
        <v>3</v>
      </c>
      <c r="L36" s="57" t="n">
        <v>3</v>
      </c>
      <c r="M36" s="57" t="n">
        <v>4</v>
      </c>
      <c r="N36" s="57" t="n">
        <v>5</v>
      </c>
      <c r="O36" s="57" t="n">
        <v>3</v>
      </c>
      <c r="P36" s="57" t="n">
        <v>4</v>
      </c>
      <c r="Q36" s="57" t="n">
        <v>3</v>
      </c>
      <c r="R36" s="57" t="n">
        <v>4</v>
      </c>
      <c r="S36" s="57" t="n">
        <v>3</v>
      </c>
      <c r="T36" s="57" t="n">
        <v>3</v>
      </c>
      <c r="U36" s="57" t="n">
        <v>119</v>
      </c>
      <c r="V36" s="57" t="n">
        <v>6</v>
      </c>
      <c r="W36" s="57" t="n">
        <v>113</v>
      </c>
      <c r="X36" s="57" t="n">
        <v>8</v>
      </c>
      <c r="Y36" s="57" t="n">
        <v>35</v>
      </c>
      <c r="Z36" s="58">
        <f>2.5*((C36-1)+(5-D36)+(E36-1)+(5-F36)+(G36-1)+(5-H36)+(I36-1)+(5-J36)+(K36-1)+(5-L36))</f>
        <v/>
      </c>
      <c r="AA36" s="57" t="n">
        <v>17</v>
      </c>
      <c r="AB36" s="58">
        <f>SUM(M36:T36)</f>
        <v/>
      </c>
      <c r="AC36" s="57" t="n">
        <v>210</v>
      </c>
      <c r="AD36" s="58">
        <f>AVERAGE(U36,W36)</f>
        <v/>
      </c>
      <c r="AE36" s="57" t="n">
        <v>21</v>
      </c>
      <c r="AF36" s="58">
        <f>V36+X36</f>
        <v/>
      </c>
      <c r="AG36" s="57" t="n">
        <v>3</v>
      </c>
      <c r="AH36" s="58">
        <f>Z36-Y36</f>
        <v/>
      </c>
      <c r="AI36" s="58">
        <f>AB36-AA36</f>
        <v/>
      </c>
      <c r="AJ36" s="58">
        <f>AD36-AC36</f>
        <v/>
      </c>
      <c r="AK36" s="58">
        <f>AF36-AE36</f>
        <v/>
      </c>
    </row>
    <row r="37" ht="15.75" customHeight="1" s="67">
      <c r="A37" s="57" t="inlineStr">
        <is>
          <t>GU-TDH-040</t>
        </is>
      </c>
      <c r="B37" s="57" t="inlineStr">
        <is>
          <t>G</t>
        </is>
      </c>
      <c r="C37" s="57" t="n">
        <v>4</v>
      </c>
      <c r="D37" s="57" t="n">
        <v>3</v>
      </c>
      <c r="E37" s="57" t="n">
        <v>2</v>
      </c>
      <c r="F37" s="57" t="n">
        <v>3</v>
      </c>
      <c r="G37" s="57" t="n">
        <v>3</v>
      </c>
      <c r="H37" s="57" t="n">
        <v>3</v>
      </c>
      <c r="I37" s="57" t="n">
        <v>3</v>
      </c>
      <c r="J37" s="57" t="n">
        <v>3</v>
      </c>
      <c r="K37" s="57" t="n">
        <v>3</v>
      </c>
      <c r="L37" s="57" t="n">
        <v>3</v>
      </c>
      <c r="M37" s="57" t="n">
        <v>4</v>
      </c>
      <c r="N37" s="57" t="n">
        <v>3</v>
      </c>
      <c r="O37" s="57" t="n">
        <v>3</v>
      </c>
      <c r="P37" s="57" t="n">
        <v>4</v>
      </c>
      <c r="Q37" s="57" t="n">
        <v>4</v>
      </c>
      <c r="R37" s="57" t="n">
        <v>4</v>
      </c>
      <c r="S37" s="57" t="n">
        <v>3</v>
      </c>
      <c r="T37" s="57" t="n">
        <v>3</v>
      </c>
      <c r="U37" s="57" t="n">
        <v>88</v>
      </c>
      <c r="V37" s="57" t="n">
        <v>8</v>
      </c>
      <c r="W37" s="57" t="n">
        <v>88</v>
      </c>
      <c r="X37" s="57" t="n">
        <v>6</v>
      </c>
      <c r="Y37" s="57" t="n">
        <v>45</v>
      </c>
      <c r="Z37" s="58">
        <f>2.5*((C37-1)+(5-D37)+(E37-1)+(5-F37)+(G37-1)+(5-H37)+(I37-1)+(5-J37)+(K37-1)+(5-L37))</f>
        <v/>
      </c>
      <c r="AA37" s="57" t="n">
        <v>21</v>
      </c>
      <c r="AB37" s="58">
        <f>SUM(M37:T37)</f>
        <v/>
      </c>
      <c r="AC37" s="57" t="n">
        <v>212.5</v>
      </c>
      <c r="AD37" s="58">
        <f>AVERAGE(U37,W37)</f>
        <v/>
      </c>
      <c r="AE37" s="57" t="n">
        <v>21</v>
      </c>
      <c r="AF37" s="58">
        <f>V37+X37</f>
        <v/>
      </c>
      <c r="AG37" s="57" t="n">
        <v>3</v>
      </c>
      <c r="AH37" s="58">
        <f>Z37-Y37</f>
        <v/>
      </c>
      <c r="AI37" s="58">
        <f>AB37-AA37</f>
        <v/>
      </c>
      <c r="AJ37" s="58">
        <f>AD37-AC37</f>
        <v/>
      </c>
      <c r="AK37" s="58">
        <f>AF37-AE37</f>
        <v/>
      </c>
    </row>
    <row r="38" ht="15.75" customHeight="1" s="67">
      <c r="A38" s="57" t="inlineStr">
        <is>
          <t>GU-TDH-041</t>
        </is>
      </c>
      <c r="B38" s="57" t="inlineStr">
        <is>
          <t>G</t>
        </is>
      </c>
      <c r="C38" s="57" t="n">
        <v>4</v>
      </c>
      <c r="D38" s="57" t="n">
        <v>2</v>
      </c>
      <c r="E38" s="57" t="n">
        <v>4</v>
      </c>
      <c r="F38" s="57" t="n">
        <v>2</v>
      </c>
      <c r="G38" s="57" t="n">
        <v>4</v>
      </c>
      <c r="H38" s="57" t="n">
        <v>2</v>
      </c>
      <c r="I38" s="57" t="n">
        <v>4</v>
      </c>
      <c r="J38" s="57" t="n">
        <v>2</v>
      </c>
      <c r="K38" s="57" t="n">
        <v>4</v>
      </c>
      <c r="L38" s="57" t="n">
        <v>2</v>
      </c>
      <c r="M38" s="57" t="n">
        <v>4</v>
      </c>
      <c r="N38" s="57" t="n">
        <v>4</v>
      </c>
      <c r="O38" s="57" t="n">
        <v>4</v>
      </c>
      <c r="P38" s="57" t="n">
        <v>4</v>
      </c>
      <c r="Q38" s="57" t="n">
        <v>3</v>
      </c>
      <c r="R38" s="57" t="n">
        <v>3</v>
      </c>
      <c r="S38" s="57" t="n">
        <v>4</v>
      </c>
      <c r="T38" s="57" t="n">
        <v>3</v>
      </c>
      <c r="U38" s="57" t="n">
        <v>83</v>
      </c>
      <c r="V38" s="57" t="n">
        <v>7</v>
      </c>
      <c r="W38" s="57" t="n">
        <v>114</v>
      </c>
      <c r="X38" s="57" t="n">
        <v>6</v>
      </c>
      <c r="Y38" s="57" t="n">
        <v>67.5</v>
      </c>
      <c r="Z38" s="58">
        <f>2.5*((C38-1)+(5-D38)+(E38-1)+(5-F38)+(G38-1)+(5-H38)+(I38-1)+(5-J38)+(K38-1)+(5-L38))</f>
        <v/>
      </c>
      <c r="AA38" s="57" t="n">
        <v>26</v>
      </c>
      <c r="AB38" s="58">
        <f>SUM(M38:T38)</f>
        <v/>
      </c>
      <c r="AC38" s="57" t="n">
        <v>218.5</v>
      </c>
      <c r="AD38" s="58">
        <f>AVERAGE(U38,W38)</f>
        <v/>
      </c>
      <c r="AE38" s="57" t="n">
        <v>20</v>
      </c>
      <c r="AF38" s="58">
        <f>V38+X38</f>
        <v/>
      </c>
      <c r="AG38" s="57" t="n">
        <v>5</v>
      </c>
      <c r="AH38" s="58">
        <f>Z38-Y38</f>
        <v/>
      </c>
      <c r="AI38" s="58">
        <f>AB38-AA38</f>
        <v/>
      </c>
      <c r="AJ38" s="58">
        <f>AD38-AC38</f>
        <v/>
      </c>
      <c r="AK38" s="58">
        <f>AF38-AE38</f>
        <v/>
      </c>
    </row>
    <row r="39" ht="15.75" customHeight="1" s="67">
      <c r="A39" s="57" t="inlineStr">
        <is>
          <t>GU-TDH-042</t>
        </is>
      </c>
      <c r="B39" s="57" t="inlineStr">
        <is>
          <t>G</t>
        </is>
      </c>
      <c r="C39" s="57" t="n">
        <v>5</v>
      </c>
      <c r="D39" s="57" t="n">
        <v>1</v>
      </c>
      <c r="E39" s="57" t="n">
        <v>5</v>
      </c>
      <c r="F39" s="57" t="n">
        <v>2</v>
      </c>
      <c r="G39" s="57" t="n">
        <v>5</v>
      </c>
      <c r="H39" s="57" t="n">
        <v>1</v>
      </c>
      <c r="I39" s="57" t="n">
        <v>5</v>
      </c>
      <c r="J39" s="57" t="n">
        <v>1</v>
      </c>
      <c r="K39" s="57" t="n">
        <v>5</v>
      </c>
      <c r="L39" s="57" t="n">
        <v>2</v>
      </c>
      <c r="M39" s="57" t="n">
        <v>4</v>
      </c>
      <c r="N39" s="57" t="n">
        <v>5</v>
      </c>
      <c r="O39" s="57" t="n">
        <v>4</v>
      </c>
      <c r="P39" s="57" t="n">
        <v>5</v>
      </c>
      <c r="Q39" s="57" t="n">
        <v>4</v>
      </c>
      <c r="R39" s="57" t="n">
        <v>5</v>
      </c>
      <c r="S39" s="57" t="n">
        <v>4</v>
      </c>
      <c r="T39" s="57" t="n">
        <v>5</v>
      </c>
      <c r="U39" s="57" t="n">
        <v>78</v>
      </c>
      <c r="V39" s="57" t="n">
        <v>4</v>
      </c>
      <c r="W39" s="57" t="n">
        <v>51</v>
      </c>
      <c r="X39" s="57" t="n">
        <v>6</v>
      </c>
      <c r="Y39" s="57" t="n">
        <v>75</v>
      </c>
      <c r="Z39" s="58">
        <f>2.5*((C39-1)+(5-D39)+(E39-1)+(5-F39)+(G39-1)+(5-H39)+(I39-1)+(5-J39)+(K39-1)+(5-L39))</f>
        <v/>
      </c>
      <c r="AA39" s="57" t="n">
        <v>19</v>
      </c>
      <c r="AB39" s="58">
        <f>SUM(M39:T39)</f>
        <v/>
      </c>
      <c r="AC39" s="57" t="n">
        <v>236</v>
      </c>
      <c r="AD39" s="58">
        <f>AVERAGE(U39,W39)</f>
        <v/>
      </c>
      <c r="AE39" s="57" t="n">
        <v>22</v>
      </c>
      <c r="AF39" s="58">
        <f>V39+X39</f>
        <v/>
      </c>
      <c r="AG39" s="57" t="n">
        <v>3</v>
      </c>
      <c r="AH39" s="58">
        <f>Z39-Y39</f>
        <v/>
      </c>
      <c r="AI39" s="58">
        <f>AB39-AA39</f>
        <v/>
      </c>
      <c r="AJ39" s="58">
        <f>AD39-AC39</f>
        <v/>
      </c>
      <c r="AK39" s="58">
        <f>AF39-AE39</f>
        <v/>
      </c>
    </row>
    <row r="40" ht="15.75" customHeight="1" s="67">
      <c r="A40" s="57" t="inlineStr">
        <is>
          <t>GU-TDH-043</t>
        </is>
      </c>
      <c r="B40" s="57" t="inlineStr">
        <is>
          <t>G</t>
        </is>
      </c>
      <c r="C40" s="57" t="n">
        <v>3</v>
      </c>
      <c r="D40" s="57" t="n">
        <v>3</v>
      </c>
      <c r="E40" s="57" t="n">
        <v>4</v>
      </c>
      <c r="F40" s="57" t="n">
        <v>2</v>
      </c>
      <c r="G40" s="57" t="n">
        <v>4</v>
      </c>
      <c r="H40" s="57" t="n">
        <v>1</v>
      </c>
      <c r="I40" s="57" t="n">
        <v>3</v>
      </c>
      <c r="J40" s="57" t="n">
        <v>2</v>
      </c>
      <c r="K40" s="57" t="n">
        <v>4</v>
      </c>
      <c r="L40" s="57" t="n">
        <v>2</v>
      </c>
      <c r="M40" s="57" t="n">
        <v>4</v>
      </c>
      <c r="N40" s="57" t="n">
        <v>5</v>
      </c>
      <c r="O40" s="57" t="n">
        <v>4</v>
      </c>
      <c r="P40" s="57" t="n">
        <v>4</v>
      </c>
      <c r="Q40" s="57" t="n">
        <v>4</v>
      </c>
      <c r="R40" s="57" t="n">
        <v>4</v>
      </c>
      <c r="S40" s="57" t="n">
        <v>3</v>
      </c>
      <c r="T40" s="57" t="n">
        <v>4</v>
      </c>
      <c r="U40" s="57" t="n">
        <v>122</v>
      </c>
      <c r="V40" s="57" t="n">
        <v>11</v>
      </c>
      <c r="W40" s="57" t="n">
        <v>73</v>
      </c>
      <c r="X40" s="57" t="n">
        <v>5</v>
      </c>
      <c r="Y40" s="57" t="n">
        <v>32.5</v>
      </c>
      <c r="Z40" s="58">
        <f>2.5*((C40-1)+(5-D40)+(E40-1)+(5-F40)+(G40-1)+(5-H40)+(I40-1)+(5-J40)+(K40-1)+(5-L40))</f>
        <v/>
      </c>
      <c r="AA40" s="57" t="n">
        <v>17</v>
      </c>
      <c r="AB40" s="58">
        <f>SUM(M40:T40)</f>
        <v/>
      </c>
      <c r="AC40" s="57" t="n">
        <v>260</v>
      </c>
      <c r="AD40" s="58">
        <f>AVERAGE(U40,W40)</f>
        <v/>
      </c>
      <c r="AE40" s="57" t="n">
        <v>20</v>
      </c>
      <c r="AF40" s="58">
        <f>V40+X40</f>
        <v/>
      </c>
      <c r="AG40" s="57" t="n">
        <v>5</v>
      </c>
      <c r="AH40" s="58">
        <f>Z40-Y40</f>
        <v/>
      </c>
      <c r="AI40" s="58">
        <f>AB40-AA40</f>
        <v/>
      </c>
      <c r="AJ40" s="58">
        <f>AD40-AC40</f>
        <v/>
      </c>
      <c r="AK40" s="58">
        <f>AF40-AE40</f>
        <v/>
      </c>
    </row>
    <row r="41" ht="15.75" customHeight="1" s="67">
      <c r="A41" s="57" t="inlineStr">
        <is>
          <t>GU-TDH-045</t>
        </is>
      </c>
      <c r="B41" s="57" t="inlineStr">
        <is>
          <t>G</t>
        </is>
      </c>
      <c r="C41" s="57" t="n">
        <v>4</v>
      </c>
      <c r="D41" s="57" t="n">
        <v>2</v>
      </c>
      <c r="E41" s="57" t="n">
        <v>4</v>
      </c>
      <c r="F41" s="57" t="n">
        <v>2</v>
      </c>
      <c r="G41" s="57" t="n">
        <v>3</v>
      </c>
      <c r="H41" s="57" t="n">
        <v>1</v>
      </c>
      <c r="I41" s="57" t="n">
        <v>5</v>
      </c>
      <c r="J41" s="57" t="n">
        <v>3</v>
      </c>
      <c r="K41" s="57" t="n">
        <v>4</v>
      </c>
      <c r="L41" s="57" t="n">
        <v>2</v>
      </c>
      <c r="M41" s="57" t="n">
        <v>4</v>
      </c>
      <c r="N41" s="57" t="n">
        <v>4</v>
      </c>
      <c r="O41" s="57" t="n">
        <v>4</v>
      </c>
      <c r="P41" s="57" t="n">
        <v>4</v>
      </c>
      <c r="Q41" s="57" t="n">
        <v>4</v>
      </c>
      <c r="R41" s="57" t="n">
        <v>3</v>
      </c>
      <c r="S41" s="57" t="n">
        <v>3</v>
      </c>
      <c r="T41" s="57" t="n">
        <v>4</v>
      </c>
      <c r="U41" s="57" t="n">
        <v>93</v>
      </c>
      <c r="V41" s="57" t="n">
        <v>5</v>
      </c>
      <c r="W41" s="57" t="n">
        <v>74</v>
      </c>
      <c r="X41" s="57" t="n">
        <v>5</v>
      </c>
      <c r="Y41" s="57" t="n">
        <v>65</v>
      </c>
      <c r="Z41" s="58">
        <f>2.5*((C41-1)+(5-D41)+(E41-1)+(5-F41)+(G41-1)+(5-H41)+(I41-1)+(5-J41)+(K41-1)+(5-L41))</f>
        <v/>
      </c>
      <c r="AA41" s="57" t="n">
        <v>27</v>
      </c>
      <c r="AB41" s="58">
        <f>SUM(M41:T41)</f>
        <v/>
      </c>
      <c r="AC41" s="57" t="n">
        <v>181</v>
      </c>
      <c r="AD41" s="58">
        <f>AVERAGE(U41,W41)</f>
        <v/>
      </c>
      <c r="AE41" s="57" t="n">
        <v>17</v>
      </c>
      <c r="AF41" s="58">
        <f>V41+X41</f>
        <v/>
      </c>
      <c r="AG41" s="57" t="n">
        <v>4</v>
      </c>
      <c r="AH41" s="58">
        <f>Z41-Y41</f>
        <v/>
      </c>
      <c r="AI41" s="58">
        <f>AB41-AA41</f>
        <v/>
      </c>
      <c r="AJ41" s="58">
        <f>AD41-AC41</f>
        <v/>
      </c>
      <c r="AK41" s="58">
        <f>AF41-AE41</f>
        <v/>
      </c>
    </row>
    <row r="42" ht="15.75" customHeight="1" s="67">
      <c r="A42" s="57" t="inlineStr">
        <is>
          <t>GU-TDH-047</t>
        </is>
      </c>
      <c r="B42" s="57" t="inlineStr">
        <is>
          <t>G</t>
        </is>
      </c>
      <c r="C42" s="57" t="n">
        <v>4</v>
      </c>
      <c r="D42" s="57" t="n">
        <v>1</v>
      </c>
      <c r="E42" s="57" t="n">
        <v>5</v>
      </c>
      <c r="F42" s="57" t="n">
        <v>2</v>
      </c>
      <c r="G42" s="57" t="n">
        <v>4</v>
      </c>
      <c r="H42" s="57" t="n">
        <v>1</v>
      </c>
      <c r="I42" s="57" t="n">
        <v>4</v>
      </c>
      <c r="J42" s="57" t="n">
        <v>1</v>
      </c>
      <c r="K42" s="57" t="n">
        <v>5</v>
      </c>
      <c r="L42" s="57" t="n">
        <v>2</v>
      </c>
      <c r="M42" s="57" t="n">
        <v>4</v>
      </c>
      <c r="N42" s="57" t="n">
        <v>5</v>
      </c>
      <c r="O42" s="57" t="n">
        <v>4</v>
      </c>
      <c r="P42" s="57" t="n">
        <v>4</v>
      </c>
      <c r="Q42" s="57" t="n">
        <v>4</v>
      </c>
      <c r="R42" s="57" t="n">
        <v>5</v>
      </c>
      <c r="S42" s="57" t="n">
        <v>4</v>
      </c>
      <c r="T42" s="57" t="n">
        <v>4</v>
      </c>
      <c r="U42" s="57" t="n">
        <v>51</v>
      </c>
      <c r="V42" s="57" t="n">
        <v>3</v>
      </c>
      <c r="W42" s="57" t="n">
        <v>300</v>
      </c>
      <c r="X42" s="57" t="n">
        <v>21</v>
      </c>
      <c r="Y42" s="57" t="n">
        <v>30</v>
      </c>
      <c r="Z42" s="58">
        <f>2.5*((C42-1)+(5-D42)+(E42-1)+(5-F42)+(G42-1)+(5-H42)+(I42-1)+(5-J42)+(K42-1)+(5-L42))</f>
        <v/>
      </c>
      <c r="AA42" s="57" t="n">
        <v>16</v>
      </c>
      <c r="AB42" s="58">
        <f>SUM(M42:T42)</f>
        <v/>
      </c>
      <c r="AC42" s="57" t="n">
        <v>191</v>
      </c>
      <c r="AD42" s="58">
        <f>AVERAGE(U42,W42)</f>
        <v/>
      </c>
      <c r="AE42" s="57" t="n">
        <v>28</v>
      </c>
      <c r="AF42" s="58">
        <f>V42+X42</f>
        <v/>
      </c>
      <c r="AG42" s="57" t="n">
        <v>4</v>
      </c>
      <c r="AH42" s="58">
        <f>Z42-Y42</f>
        <v/>
      </c>
      <c r="AI42" s="58">
        <f>AB42-AA42</f>
        <v/>
      </c>
      <c r="AJ42" s="58">
        <f>AD42-AC42</f>
        <v/>
      </c>
      <c r="AK42" s="58">
        <f>AF42-AE42</f>
        <v/>
      </c>
    </row>
    <row r="43" ht="15.75" customHeight="1" s="67">
      <c r="A43" s="57" t="inlineStr">
        <is>
          <t>GU-TDH-048</t>
        </is>
      </c>
      <c r="B43" s="57" t="inlineStr">
        <is>
          <t>G</t>
        </is>
      </c>
      <c r="C43" s="57" t="n">
        <v>4</v>
      </c>
      <c r="D43" s="57" t="n">
        <v>2</v>
      </c>
      <c r="E43" s="57" t="n">
        <v>3</v>
      </c>
      <c r="F43" s="57" t="n">
        <v>2</v>
      </c>
      <c r="G43" s="57" t="n">
        <v>4</v>
      </c>
      <c r="H43" s="57" t="n">
        <v>2</v>
      </c>
      <c r="I43" s="57" t="n">
        <v>5</v>
      </c>
      <c r="J43" s="57" t="n">
        <v>2</v>
      </c>
      <c r="K43" s="57" t="n">
        <v>4</v>
      </c>
      <c r="L43" s="57" t="n">
        <v>2</v>
      </c>
      <c r="M43" s="57" t="n">
        <v>4</v>
      </c>
      <c r="N43" s="57" t="n">
        <v>3</v>
      </c>
      <c r="O43" s="57" t="n">
        <v>4</v>
      </c>
      <c r="P43" s="57" t="n">
        <v>4</v>
      </c>
      <c r="Q43" s="57" t="n">
        <v>5</v>
      </c>
      <c r="R43" s="57" t="n">
        <v>5</v>
      </c>
      <c r="S43" s="57" t="n">
        <v>3</v>
      </c>
      <c r="T43" s="57" t="n">
        <v>5</v>
      </c>
      <c r="U43" s="57" t="n">
        <v>90</v>
      </c>
      <c r="V43" s="57" t="n">
        <v>4</v>
      </c>
      <c r="W43" s="57" t="n">
        <v>61</v>
      </c>
      <c r="X43" s="57" t="n">
        <v>6</v>
      </c>
      <c r="Y43" s="57" t="n">
        <v>55</v>
      </c>
      <c r="Z43" s="58">
        <f>2.5*((C43-1)+(5-D43)+(E43-1)+(5-F43)+(G43-1)+(5-H43)+(I43-1)+(5-J43)+(K43-1)+(5-L43))</f>
        <v/>
      </c>
      <c r="AA43" s="57" t="n">
        <v>30</v>
      </c>
      <c r="AB43" s="58">
        <f>SUM(M43:T43)</f>
        <v/>
      </c>
      <c r="AC43" s="57" t="n">
        <v>219</v>
      </c>
      <c r="AD43" s="58">
        <f>AVERAGE(U43,W43)</f>
        <v/>
      </c>
      <c r="AE43" s="57" t="n">
        <v>23</v>
      </c>
      <c r="AF43" s="58">
        <f>V43+X43</f>
        <v/>
      </c>
      <c r="AG43" s="57" t="n">
        <v>4</v>
      </c>
      <c r="AH43" s="58">
        <f>Z43-Y43</f>
        <v/>
      </c>
      <c r="AI43" s="58">
        <f>AB43-AA43</f>
        <v/>
      </c>
      <c r="AJ43" s="58">
        <f>AD43-AC43</f>
        <v/>
      </c>
      <c r="AK43" s="58">
        <f>AF43-AE43</f>
        <v/>
      </c>
    </row>
    <row r="44" ht="15.75" customHeight="1" s="67">
      <c r="A44" s="57" t="inlineStr">
        <is>
          <t>GU-TDH-049</t>
        </is>
      </c>
      <c r="B44" s="57" t="inlineStr">
        <is>
          <t>G</t>
        </is>
      </c>
      <c r="C44" s="57" t="n">
        <v>4</v>
      </c>
      <c r="D44" s="57" t="n">
        <v>2</v>
      </c>
      <c r="E44" s="57" t="n">
        <v>4</v>
      </c>
      <c r="F44" s="57" t="n">
        <v>1</v>
      </c>
      <c r="G44" s="57" t="n">
        <v>4</v>
      </c>
      <c r="H44" s="57" t="n">
        <v>2</v>
      </c>
      <c r="I44" s="57" t="n">
        <v>5</v>
      </c>
      <c r="J44" s="57" t="n">
        <v>2</v>
      </c>
      <c r="K44" s="57" t="n">
        <v>4</v>
      </c>
      <c r="L44" s="57" t="n">
        <v>2</v>
      </c>
      <c r="M44" s="57" t="n">
        <v>4</v>
      </c>
      <c r="N44" s="57" t="n">
        <v>4</v>
      </c>
      <c r="O44" s="57" t="n">
        <v>4</v>
      </c>
      <c r="P44" s="57" t="n">
        <v>4</v>
      </c>
      <c r="Q44" s="57" t="n">
        <v>4</v>
      </c>
      <c r="R44" s="57" t="n">
        <v>4</v>
      </c>
      <c r="S44" s="57" t="n">
        <v>4</v>
      </c>
      <c r="T44" s="57" t="n">
        <v>4</v>
      </c>
      <c r="U44" s="57" t="n">
        <v>140</v>
      </c>
      <c r="V44" s="57" t="n">
        <v>11</v>
      </c>
      <c r="W44" s="57" t="n">
        <v>126</v>
      </c>
      <c r="X44" s="57" t="n">
        <v>7</v>
      </c>
      <c r="Y44" s="57" t="n">
        <v>45</v>
      </c>
      <c r="Z44" s="58">
        <f>2.5*((C44-1)+(5-D44)+(E44-1)+(5-F44)+(G44-1)+(5-H44)+(I44-1)+(5-J44)+(K44-1)+(5-L44))</f>
        <v/>
      </c>
      <c r="AA44" s="57" t="n">
        <v>25</v>
      </c>
      <c r="AB44" s="58">
        <f>SUM(M44:T44)</f>
        <v/>
      </c>
      <c r="AC44" s="57" t="n">
        <v>261</v>
      </c>
      <c r="AD44" s="58">
        <f>AVERAGE(U44,W44)</f>
        <v/>
      </c>
      <c r="AE44" s="57" t="n">
        <v>25</v>
      </c>
      <c r="AF44" s="58">
        <f>V44+X44</f>
        <v/>
      </c>
      <c r="AG44" s="57" t="n">
        <v>3</v>
      </c>
      <c r="AH44" s="58">
        <f>Z44-Y44</f>
        <v/>
      </c>
      <c r="AI44" s="58">
        <f>AB44-AA44</f>
        <v/>
      </c>
      <c r="AJ44" s="58">
        <f>AD44-AC44</f>
        <v/>
      </c>
      <c r="AK44" s="58">
        <f>AF44-AE44</f>
        <v/>
      </c>
    </row>
    <row r="45" ht="15.75" customHeight="1" s="67">
      <c r="A45" s="57" t="inlineStr">
        <is>
          <t>GU-TDH-050</t>
        </is>
      </c>
      <c r="B45" s="57" t="inlineStr">
        <is>
          <t>G</t>
        </is>
      </c>
      <c r="C45" s="57" t="n">
        <v>4</v>
      </c>
      <c r="D45" s="57" t="n">
        <v>3</v>
      </c>
      <c r="E45" s="57" t="n">
        <v>4</v>
      </c>
      <c r="F45" s="57" t="n">
        <v>3</v>
      </c>
      <c r="G45" s="57" t="n">
        <v>4</v>
      </c>
      <c r="H45" s="57" t="n">
        <v>2</v>
      </c>
      <c r="I45" s="57" t="n">
        <v>4</v>
      </c>
      <c r="J45" s="57" t="n">
        <v>2</v>
      </c>
      <c r="K45" s="57" t="n">
        <v>4</v>
      </c>
      <c r="L45" s="57" t="n">
        <v>2</v>
      </c>
      <c r="M45" s="57" t="n">
        <v>3</v>
      </c>
      <c r="N45" s="57" t="n">
        <v>4</v>
      </c>
      <c r="O45" s="57" t="n">
        <v>3</v>
      </c>
      <c r="P45" s="57" t="n">
        <v>4</v>
      </c>
      <c r="Q45" s="57" t="n">
        <v>3</v>
      </c>
      <c r="R45" s="57" t="n">
        <v>3</v>
      </c>
      <c r="S45" s="57" t="n">
        <v>3</v>
      </c>
      <c r="T45" s="57" t="n">
        <v>3</v>
      </c>
      <c r="U45" s="57" t="n">
        <v>74</v>
      </c>
      <c r="V45" s="57" t="n">
        <v>5</v>
      </c>
      <c r="W45" s="57" t="n">
        <v>64</v>
      </c>
      <c r="X45" s="57" t="n">
        <v>7</v>
      </c>
      <c r="Y45" s="57" t="n">
        <v>40</v>
      </c>
      <c r="Z45" s="58">
        <f>2.5*((C45-1)+(5-D45)+(E45-1)+(5-F45)+(G45-1)+(5-H45)+(I45-1)+(5-J45)+(K45-1)+(5-L45))</f>
        <v/>
      </c>
      <c r="AA45" s="57" t="n">
        <v>16</v>
      </c>
      <c r="AB45" s="58">
        <f>SUM(M45:T45)</f>
        <v/>
      </c>
      <c r="AC45" s="57" t="n">
        <v>201</v>
      </c>
      <c r="AD45" s="58">
        <f>AVERAGE(U45,W45)</f>
        <v/>
      </c>
      <c r="AE45" s="57" t="n">
        <v>19</v>
      </c>
      <c r="AF45" s="58">
        <f>V45+X45</f>
        <v/>
      </c>
      <c r="AG45" s="57" t="n">
        <v>6</v>
      </c>
      <c r="AH45" s="58">
        <f>Z45-Y45</f>
        <v/>
      </c>
      <c r="AI45" s="58">
        <f>AB45-AA45</f>
        <v/>
      </c>
      <c r="AJ45" s="58">
        <f>AD45-AC45</f>
        <v/>
      </c>
      <c r="AK45" s="58">
        <f>AF45-AE45</f>
        <v/>
      </c>
    </row>
    <row r="46" ht="15.75" customHeight="1" s="67">
      <c r="A46" s="57" t="inlineStr">
        <is>
          <t>GU-TDH-051</t>
        </is>
      </c>
      <c r="B46" s="57" t="inlineStr">
        <is>
          <t>G</t>
        </is>
      </c>
      <c r="C46" s="57" t="n">
        <v>4</v>
      </c>
      <c r="D46" s="57" t="n">
        <v>2</v>
      </c>
      <c r="E46" s="57" t="n">
        <v>4</v>
      </c>
      <c r="F46" s="57" t="n">
        <v>1</v>
      </c>
      <c r="G46" s="57" t="n">
        <v>5</v>
      </c>
      <c r="H46" s="57" t="n">
        <v>2</v>
      </c>
      <c r="I46" s="57" t="n">
        <v>5</v>
      </c>
      <c r="J46" s="57" t="n">
        <v>2</v>
      </c>
      <c r="K46" s="57" t="n">
        <v>5</v>
      </c>
      <c r="L46" s="57" t="n">
        <v>1</v>
      </c>
      <c r="M46" s="57" t="n">
        <v>5</v>
      </c>
      <c r="N46" s="57" t="n">
        <v>5</v>
      </c>
      <c r="O46" s="57" t="n">
        <v>4</v>
      </c>
      <c r="P46" s="57" t="n">
        <v>5</v>
      </c>
      <c r="Q46" s="57" t="n">
        <v>5</v>
      </c>
      <c r="R46" s="57" t="n">
        <v>5</v>
      </c>
      <c r="S46" s="57" t="n">
        <v>5</v>
      </c>
      <c r="T46" s="57" t="n">
        <v>4</v>
      </c>
      <c r="U46" s="57" t="n">
        <v>73</v>
      </c>
      <c r="V46" s="57" t="n">
        <v>5</v>
      </c>
      <c r="W46" s="57" t="n">
        <v>126</v>
      </c>
      <c r="X46" s="57" t="n">
        <v>9</v>
      </c>
      <c r="Y46" s="57" t="n">
        <v>62.5</v>
      </c>
      <c r="Z46" s="58">
        <f>2.5*((C46-1)+(5-D46)+(E46-1)+(5-F46)+(G46-1)+(5-H46)+(I46-1)+(5-J46)+(K46-1)+(5-L46))</f>
        <v/>
      </c>
      <c r="AA46" s="57" t="n">
        <v>20</v>
      </c>
      <c r="AB46" s="58">
        <f>SUM(M46:T46)</f>
        <v/>
      </c>
      <c r="AC46" s="57" t="n">
        <v>207</v>
      </c>
      <c r="AD46" s="58">
        <f>AVERAGE(U46,W46)</f>
        <v/>
      </c>
      <c r="AE46" s="57" t="n">
        <v>20</v>
      </c>
      <c r="AF46" s="58">
        <f>V46+X46</f>
        <v/>
      </c>
      <c r="AG46" s="57" t="n">
        <v>4</v>
      </c>
      <c r="AH46" s="58">
        <f>Z46-Y46</f>
        <v/>
      </c>
      <c r="AI46" s="58">
        <f>AB46-AA46</f>
        <v/>
      </c>
      <c r="AJ46" s="58">
        <f>AD46-AC46</f>
        <v/>
      </c>
      <c r="AK46" s="58">
        <f>AF46-AE46</f>
        <v/>
      </c>
    </row>
    <row r="47" ht="15.75" customHeight="1" s="67">
      <c r="A47" s="57" t="inlineStr">
        <is>
          <t>GU-TDH-052</t>
        </is>
      </c>
      <c r="B47" s="57" t="inlineStr">
        <is>
          <t>G</t>
        </is>
      </c>
      <c r="C47" s="57" t="n">
        <v>4</v>
      </c>
      <c r="D47" s="57" t="n">
        <v>2</v>
      </c>
      <c r="E47" s="57" t="n">
        <v>3</v>
      </c>
      <c r="F47" s="57" t="n">
        <v>1</v>
      </c>
      <c r="G47" s="57" t="n">
        <v>4</v>
      </c>
      <c r="H47" s="57" t="n">
        <v>2</v>
      </c>
      <c r="I47" s="57" t="n">
        <v>4</v>
      </c>
      <c r="J47" s="57" t="n">
        <v>2</v>
      </c>
      <c r="K47" s="57" t="n">
        <v>3</v>
      </c>
      <c r="L47" s="57" t="n">
        <v>3</v>
      </c>
      <c r="M47" s="57" t="n">
        <v>3</v>
      </c>
      <c r="N47" s="57" t="n">
        <v>4</v>
      </c>
      <c r="O47" s="57" t="n">
        <v>3</v>
      </c>
      <c r="P47" s="57" t="n">
        <v>4</v>
      </c>
      <c r="Q47" s="57" t="n">
        <v>4</v>
      </c>
      <c r="R47" s="57" t="n">
        <v>4</v>
      </c>
      <c r="S47" s="57" t="n">
        <v>4</v>
      </c>
      <c r="T47" s="57" t="n">
        <v>4</v>
      </c>
      <c r="U47" s="57" t="n">
        <v>81</v>
      </c>
      <c r="V47" s="57" t="n">
        <v>6</v>
      </c>
      <c r="W47" s="57" t="n">
        <v>80</v>
      </c>
      <c r="X47" s="57" t="n">
        <v>7</v>
      </c>
      <c r="Y47" s="57" t="n">
        <v>47.5</v>
      </c>
      <c r="Z47" s="58">
        <f>2.5*((C47-1)+(5-D47)+(E47-1)+(5-F47)+(G47-1)+(5-H47)+(I47-1)+(5-J47)+(K47-1)+(5-L47))</f>
        <v/>
      </c>
      <c r="AA47" s="57" t="n">
        <v>18</v>
      </c>
      <c r="AB47" s="58">
        <f>SUM(M47:T47)</f>
        <v/>
      </c>
      <c r="AC47" s="57" t="n">
        <v>251.5</v>
      </c>
      <c r="AD47" s="58">
        <f>AVERAGE(U47,W47)</f>
        <v/>
      </c>
      <c r="AE47" s="57" t="n">
        <v>29</v>
      </c>
      <c r="AF47" s="58">
        <f>V47+X47</f>
        <v/>
      </c>
      <c r="AG47" s="57" t="n">
        <v>3</v>
      </c>
      <c r="AH47" s="58">
        <f>Z47-Y47</f>
        <v/>
      </c>
      <c r="AI47" s="58">
        <f>AB47-AA47</f>
        <v/>
      </c>
      <c r="AJ47" s="58">
        <f>AD47-AC47</f>
        <v/>
      </c>
      <c r="AK47" s="58">
        <f>AF47-AE47</f>
        <v/>
      </c>
    </row>
    <row r="48" ht="15.75" customHeight="1" s="67">
      <c r="A48" s="57" t="inlineStr">
        <is>
          <t>GU-TDH-054</t>
        </is>
      </c>
      <c r="B48" s="57" t="inlineStr">
        <is>
          <t>G</t>
        </is>
      </c>
      <c r="C48" s="57" t="n">
        <v>4</v>
      </c>
      <c r="D48" s="57" t="n">
        <v>2</v>
      </c>
      <c r="E48" s="57" t="n">
        <v>5</v>
      </c>
      <c r="F48" s="57" t="n">
        <v>1</v>
      </c>
      <c r="G48" s="57" t="n">
        <v>5</v>
      </c>
      <c r="H48" s="57" t="n">
        <v>1</v>
      </c>
      <c r="I48" s="57" t="n">
        <v>5</v>
      </c>
      <c r="J48" s="57" t="n">
        <v>1</v>
      </c>
      <c r="K48" s="57" t="n">
        <v>5</v>
      </c>
      <c r="L48" s="57" t="n">
        <v>1</v>
      </c>
      <c r="M48" s="57" t="n">
        <v>5</v>
      </c>
      <c r="N48" s="57" t="n">
        <v>5</v>
      </c>
      <c r="O48" s="57" t="n">
        <v>5</v>
      </c>
      <c r="P48" s="57" t="n">
        <v>5</v>
      </c>
      <c r="Q48" s="57" t="n">
        <v>4</v>
      </c>
      <c r="R48" s="57" t="n">
        <v>5</v>
      </c>
      <c r="S48" s="57" t="n">
        <v>5</v>
      </c>
      <c r="T48" s="57" t="n">
        <v>5</v>
      </c>
      <c r="U48" s="57" t="n">
        <v>50</v>
      </c>
      <c r="V48" s="57" t="n">
        <v>6</v>
      </c>
      <c r="W48" s="57" t="n">
        <v>58</v>
      </c>
      <c r="X48" s="57" t="n">
        <v>4</v>
      </c>
      <c r="Y48" s="57" t="n">
        <v>62.5</v>
      </c>
      <c r="Z48" s="58">
        <f>2.5*((C48-1)+(5-D48)+(E48-1)+(5-F48)+(G48-1)+(5-H48)+(I48-1)+(5-J48)+(K48-1)+(5-L48))</f>
        <v/>
      </c>
      <c r="AA48" s="57" t="n">
        <v>27</v>
      </c>
      <c r="AB48" s="58">
        <f>SUM(M48:T48)</f>
        <v/>
      </c>
      <c r="AC48" s="57" t="n">
        <v>232.5</v>
      </c>
      <c r="AD48" s="58">
        <f>AVERAGE(U48,W48)</f>
        <v/>
      </c>
      <c r="AE48" s="57" t="n">
        <v>20</v>
      </c>
      <c r="AF48" s="58">
        <f>V48+X48</f>
        <v/>
      </c>
      <c r="AG48" s="57" t="n">
        <v>3</v>
      </c>
      <c r="AH48" s="58">
        <f>Z48-Y48</f>
        <v/>
      </c>
      <c r="AI48" s="58">
        <f>AB48-AA48</f>
        <v/>
      </c>
      <c r="AJ48" s="58">
        <f>AD48-AC48</f>
        <v/>
      </c>
      <c r="AK48" s="58">
        <f>AF48-AE48</f>
        <v/>
      </c>
    </row>
    <row r="49" ht="15.75" customHeight="1" s="67">
      <c r="A49" s="57" t="inlineStr">
        <is>
          <t>GU-TDH-056</t>
        </is>
      </c>
      <c r="B49" s="57" t="inlineStr">
        <is>
          <t>G</t>
        </is>
      </c>
      <c r="C49" s="57" t="n">
        <v>3</v>
      </c>
      <c r="D49" s="57" t="n">
        <v>3</v>
      </c>
      <c r="E49" s="57" t="n">
        <v>3</v>
      </c>
      <c r="F49" s="57" t="n">
        <v>3</v>
      </c>
      <c r="G49" s="57" t="n">
        <v>3</v>
      </c>
      <c r="H49" s="57" t="n">
        <v>2</v>
      </c>
      <c r="I49" s="57" t="n">
        <v>4</v>
      </c>
      <c r="J49" s="57" t="n">
        <v>2</v>
      </c>
      <c r="K49" s="57" t="n">
        <v>5</v>
      </c>
      <c r="L49" s="57" t="n">
        <v>1</v>
      </c>
      <c r="M49" s="57" t="n">
        <v>5</v>
      </c>
      <c r="N49" s="57" t="n">
        <v>5</v>
      </c>
      <c r="O49" s="57" t="n">
        <v>4</v>
      </c>
      <c r="P49" s="57" t="n">
        <v>4</v>
      </c>
      <c r="Q49" s="57" t="n">
        <v>5</v>
      </c>
      <c r="R49" s="57" t="n">
        <v>5</v>
      </c>
      <c r="S49" s="57" t="n">
        <v>5</v>
      </c>
      <c r="T49" s="57" t="n">
        <v>5</v>
      </c>
      <c r="U49" s="57" t="n">
        <v>62</v>
      </c>
      <c r="V49" s="57" t="n">
        <v>5</v>
      </c>
      <c r="W49" s="57" t="n">
        <v>78</v>
      </c>
      <c r="X49" s="57" t="n">
        <v>5</v>
      </c>
      <c r="Y49" s="57" t="n">
        <v>45</v>
      </c>
      <c r="Z49" s="58">
        <f>2.5*((C49-1)+(5-D49)+(E49-1)+(5-F49)+(G49-1)+(5-H49)+(I49-1)+(5-J49)+(K49-1)+(5-L49))</f>
        <v/>
      </c>
      <c r="AA49" s="57" t="n">
        <v>33</v>
      </c>
      <c r="AB49" s="58">
        <f>SUM(M49:T49)</f>
        <v/>
      </c>
      <c r="AC49" s="57" t="n">
        <v>239.5</v>
      </c>
      <c r="AD49" s="58">
        <f>AVERAGE(U49,W49)</f>
        <v/>
      </c>
      <c r="AE49" s="57" t="n">
        <v>20</v>
      </c>
      <c r="AF49" s="58">
        <f>V49+X49</f>
        <v/>
      </c>
      <c r="AG49" s="57" t="n">
        <v>3</v>
      </c>
      <c r="AH49" s="58">
        <f>Z49-Y49</f>
        <v/>
      </c>
      <c r="AI49" s="58">
        <f>AB49-AA49</f>
        <v/>
      </c>
      <c r="AJ49" s="58">
        <f>AD49-AC49</f>
        <v/>
      </c>
      <c r="AK49" s="58">
        <f>AF49-AE49</f>
        <v/>
      </c>
    </row>
    <row r="50" ht="15.75" customHeight="1" s="67">
      <c r="A50" s="57" t="inlineStr">
        <is>
          <t>GU-TDH-057</t>
        </is>
      </c>
      <c r="B50" s="57" t="inlineStr">
        <is>
          <t>G</t>
        </is>
      </c>
      <c r="C50" s="57" t="n">
        <v>4</v>
      </c>
      <c r="D50" s="57" t="n">
        <v>3</v>
      </c>
      <c r="E50" s="57" t="n">
        <v>3</v>
      </c>
      <c r="F50" s="57" t="n">
        <v>1</v>
      </c>
      <c r="G50" s="57" t="n">
        <v>2</v>
      </c>
      <c r="H50" s="57" t="n">
        <v>3</v>
      </c>
      <c r="I50" s="57" t="n">
        <v>4</v>
      </c>
      <c r="J50" s="57" t="n">
        <v>2</v>
      </c>
      <c r="K50" s="57" t="n">
        <v>3</v>
      </c>
      <c r="L50" s="57" t="n">
        <v>2</v>
      </c>
      <c r="M50" s="57" t="n">
        <v>4</v>
      </c>
      <c r="N50" s="57" t="n">
        <v>3</v>
      </c>
      <c r="O50" s="57" t="n">
        <v>4</v>
      </c>
      <c r="P50" s="57" t="n">
        <v>3</v>
      </c>
      <c r="Q50" s="57" t="n">
        <v>3</v>
      </c>
      <c r="R50" s="57" t="n">
        <v>4</v>
      </c>
      <c r="S50" s="57" t="n">
        <v>4</v>
      </c>
      <c r="T50" s="57" t="n">
        <v>5</v>
      </c>
      <c r="U50" s="57" t="n">
        <v>83</v>
      </c>
      <c r="V50" s="57" t="n">
        <v>5</v>
      </c>
      <c r="W50" s="57" t="n">
        <v>73</v>
      </c>
      <c r="X50" s="57" t="n">
        <v>5</v>
      </c>
      <c r="Y50" s="57" t="n">
        <v>55</v>
      </c>
      <c r="Z50" s="58">
        <f>2.5*((C50-1)+(5-D50)+(E50-1)+(5-F50)+(G50-1)+(5-H50)+(I50-1)+(5-J50)+(K50-1)+(5-L50))</f>
        <v/>
      </c>
      <c r="AA50" s="57" t="n">
        <v>19</v>
      </c>
      <c r="AB50" s="58">
        <f>SUM(M50:T50)</f>
        <v/>
      </c>
      <c r="AC50" s="57" t="n">
        <v>282</v>
      </c>
      <c r="AD50" s="58">
        <f>AVERAGE(U50,W50)</f>
        <v/>
      </c>
      <c r="AE50" s="57" t="n">
        <v>32</v>
      </c>
      <c r="AF50" s="58">
        <f>V50+X50</f>
        <v/>
      </c>
      <c r="AG50" s="57" t="n">
        <v>5</v>
      </c>
      <c r="AH50" s="58">
        <f>Z50-Y50</f>
        <v/>
      </c>
      <c r="AI50" s="58">
        <f>AB50-AA50</f>
        <v/>
      </c>
      <c r="AJ50" s="58">
        <f>AD50-AC50</f>
        <v/>
      </c>
      <c r="AK50" s="58">
        <f>AF50-AE50</f>
        <v/>
      </c>
    </row>
    <row r="51" ht="15.75" customHeight="1" s="67">
      <c r="A51" s="57" t="inlineStr">
        <is>
          <t>GU-TDH-058</t>
        </is>
      </c>
      <c r="B51" s="57" t="inlineStr">
        <is>
          <t>G</t>
        </is>
      </c>
      <c r="C51" s="57" t="n">
        <v>5</v>
      </c>
      <c r="D51" s="57" t="n">
        <v>1</v>
      </c>
      <c r="E51" s="57" t="n">
        <v>4</v>
      </c>
      <c r="F51" s="57" t="n">
        <v>1</v>
      </c>
      <c r="G51" s="57" t="n">
        <v>5</v>
      </c>
      <c r="H51" s="57" t="n">
        <v>2</v>
      </c>
      <c r="I51" s="57" t="n">
        <v>5</v>
      </c>
      <c r="J51" s="57" t="n">
        <v>1</v>
      </c>
      <c r="K51" s="57" t="n">
        <v>4</v>
      </c>
      <c r="L51" s="57" t="n">
        <v>2</v>
      </c>
      <c r="M51" s="57" t="n">
        <v>5</v>
      </c>
      <c r="N51" s="57" t="n">
        <v>4</v>
      </c>
      <c r="O51" s="57" t="n">
        <v>4</v>
      </c>
      <c r="P51" s="57" t="n">
        <v>4</v>
      </c>
      <c r="Q51" s="57" t="n">
        <v>5</v>
      </c>
      <c r="R51" s="57" t="n">
        <v>5</v>
      </c>
      <c r="S51" s="57" t="n">
        <v>4</v>
      </c>
      <c r="T51" s="57" t="n">
        <v>5</v>
      </c>
      <c r="U51" s="57" t="n">
        <v>48</v>
      </c>
      <c r="V51" s="57" t="n">
        <v>4</v>
      </c>
      <c r="W51" s="57" t="n">
        <v>59</v>
      </c>
      <c r="X51" s="57" t="n">
        <v>4</v>
      </c>
      <c r="Y51" s="57" t="n">
        <v>80</v>
      </c>
      <c r="Z51" s="58">
        <f>2.5*((C51-1)+(5-D51)+(E51-1)+(5-F51)+(G51-1)+(5-H51)+(I51-1)+(5-J51)+(K51-1)+(5-L51))</f>
        <v/>
      </c>
      <c r="AA51" s="57" t="n">
        <v>23</v>
      </c>
      <c r="AB51" s="58">
        <f>SUM(M51:T51)</f>
        <v/>
      </c>
      <c r="AC51" s="57" t="n">
        <v>136</v>
      </c>
      <c r="AD51" s="58">
        <f>AVERAGE(U51,W51)</f>
        <v/>
      </c>
      <c r="AE51" s="57" t="n">
        <v>13</v>
      </c>
      <c r="AF51" s="58">
        <f>V51+X51</f>
        <v/>
      </c>
      <c r="AG51" s="57" t="n">
        <v>3</v>
      </c>
      <c r="AH51" s="58">
        <f>Z51-Y51</f>
        <v/>
      </c>
      <c r="AI51" s="58">
        <f>AB51-AA51</f>
        <v/>
      </c>
      <c r="AJ51" s="58">
        <f>AD51-AC51</f>
        <v/>
      </c>
      <c r="AK51" s="58">
        <f>AF51-AE51</f>
        <v/>
      </c>
    </row>
    <row r="52" ht="15.75" customHeight="1" s="67">
      <c r="A52" s="57" t="inlineStr">
        <is>
          <t>GU-TDH-060</t>
        </is>
      </c>
      <c r="B52" s="57" t="inlineStr">
        <is>
          <t>G</t>
        </is>
      </c>
      <c r="C52" s="57" t="n">
        <v>3</v>
      </c>
      <c r="D52" s="57" t="n">
        <v>2</v>
      </c>
      <c r="E52" s="57" t="n">
        <v>5</v>
      </c>
      <c r="F52" s="57" t="n">
        <v>2</v>
      </c>
      <c r="G52" s="57" t="n">
        <v>3</v>
      </c>
      <c r="H52" s="57" t="n">
        <v>2</v>
      </c>
      <c r="I52" s="57" t="n">
        <v>3</v>
      </c>
      <c r="J52" s="57" t="n">
        <v>2</v>
      </c>
      <c r="K52" s="57" t="n">
        <v>4</v>
      </c>
      <c r="L52" s="57" t="n">
        <v>2</v>
      </c>
      <c r="M52" s="57" t="n">
        <v>4</v>
      </c>
      <c r="N52" s="57" t="n">
        <v>3</v>
      </c>
      <c r="O52" s="57" t="n">
        <v>4</v>
      </c>
      <c r="P52" s="57" t="n">
        <v>4</v>
      </c>
      <c r="Q52" s="57" t="n">
        <v>3</v>
      </c>
      <c r="R52" s="57" t="n">
        <v>4</v>
      </c>
      <c r="S52" s="57" t="n">
        <v>4</v>
      </c>
      <c r="T52" s="57" t="n">
        <v>3</v>
      </c>
      <c r="U52" s="57" t="n">
        <v>91</v>
      </c>
      <c r="V52" s="57" t="n">
        <v>8</v>
      </c>
      <c r="W52" s="57" t="n">
        <v>89</v>
      </c>
      <c r="X52" s="57" t="n">
        <v>4</v>
      </c>
      <c r="Y52" s="57" t="n">
        <v>52.5</v>
      </c>
      <c r="Z52" s="58">
        <f>2.5*((C52-1)+(5-D52)+(E52-1)+(5-F52)+(G52-1)+(5-H52)+(I52-1)+(5-J52)+(K52-1)+(5-L52))</f>
        <v/>
      </c>
      <c r="AA52" s="57" t="n">
        <v>21</v>
      </c>
      <c r="AB52" s="58">
        <f>SUM(M52:T52)</f>
        <v/>
      </c>
      <c r="AC52" s="57" t="n">
        <v>180</v>
      </c>
      <c r="AD52" s="58">
        <f>AVERAGE(U52,W52)</f>
        <v/>
      </c>
      <c r="AE52" s="57" t="n">
        <v>20</v>
      </c>
      <c r="AF52" s="58">
        <f>V52+X52</f>
        <v/>
      </c>
      <c r="AG52" s="57" t="n">
        <v>4</v>
      </c>
      <c r="AH52" s="58">
        <f>Z52-Y52</f>
        <v/>
      </c>
      <c r="AI52" s="58">
        <f>AB52-AA52</f>
        <v/>
      </c>
      <c r="AJ52" s="58">
        <f>AD52-AC52</f>
        <v/>
      </c>
      <c r="AK52" s="58">
        <f>AF52-AE52</f>
        <v/>
      </c>
    </row>
    <row r="53" ht="15.75" customHeight="1" s="67">
      <c r="A53" s="57" t="inlineStr">
        <is>
          <t>GU-TDH-061</t>
        </is>
      </c>
      <c r="B53" s="57" t="inlineStr">
        <is>
          <t>G</t>
        </is>
      </c>
      <c r="C53" s="57" t="n">
        <v>4</v>
      </c>
      <c r="D53" s="57" t="n">
        <v>3</v>
      </c>
      <c r="E53" s="57" t="n">
        <v>4</v>
      </c>
      <c r="F53" s="57" t="n">
        <v>3</v>
      </c>
      <c r="G53" s="57" t="n">
        <v>3</v>
      </c>
      <c r="H53" s="57" t="n">
        <v>2</v>
      </c>
      <c r="I53" s="57" t="n">
        <v>3</v>
      </c>
      <c r="J53" s="57" t="n">
        <v>2</v>
      </c>
      <c r="K53" s="57" t="n">
        <v>4</v>
      </c>
      <c r="L53" s="57" t="n">
        <v>2</v>
      </c>
      <c r="M53" s="57" t="n">
        <v>3</v>
      </c>
      <c r="N53" s="57" t="n">
        <v>4</v>
      </c>
      <c r="O53" s="57" t="n">
        <v>4</v>
      </c>
      <c r="P53" s="57" t="n">
        <v>3</v>
      </c>
      <c r="Q53" s="57" t="n">
        <v>4</v>
      </c>
      <c r="R53" s="57" t="n">
        <v>5</v>
      </c>
      <c r="S53" s="57" t="n">
        <v>3</v>
      </c>
      <c r="T53" s="57" t="n">
        <v>3</v>
      </c>
      <c r="U53" s="57" t="n">
        <v>117</v>
      </c>
      <c r="V53" s="57" t="n">
        <v>9</v>
      </c>
      <c r="W53" s="57" t="n">
        <v>99</v>
      </c>
      <c r="X53" s="57" t="n">
        <v>8</v>
      </c>
      <c r="Y53" s="57" t="n">
        <v>55</v>
      </c>
      <c r="Z53" s="58">
        <f>2.5*((C53-1)+(5-D53)+(E53-1)+(5-F53)+(G53-1)+(5-H53)+(I53-1)+(5-J53)+(K53-1)+(5-L53))</f>
        <v/>
      </c>
      <c r="AA53" s="57" t="n">
        <v>20</v>
      </c>
      <c r="AB53" s="58">
        <f>SUM(M53:T53)</f>
        <v/>
      </c>
      <c r="AC53" s="57" t="n">
        <v>217</v>
      </c>
      <c r="AD53" s="58">
        <f>AVERAGE(U53,W53)</f>
        <v/>
      </c>
      <c r="AE53" s="57" t="n">
        <v>27</v>
      </c>
      <c r="AF53" s="58">
        <f>V53+X53</f>
        <v/>
      </c>
      <c r="AG53" s="57" t="n">
        <v>3</v>
      </c>
      <c r="AH53" s="58">
        <f>Z53-Y53</f>
        <v/>
      </c>
      <c r="AI53" s="58">
        <f>AB53-AA53</f>
        <v/>
      </c>
      <c r="AJ53" s="58">
        <f>AD53-AC53</f>
        <v/>
      </c>
      <c r="AK53" s="58">
        <f>AF53-AE53</f>
        <v/>
      </c>
    </row>
    <row r="54" ht="15.75" customHeight="1" s="67">
      <c r="A54" s="57" t="inlineStr">
        <is>
          <t>GU-TDH-062</t>
        </is>
      </c>
      <c r="B54" s="57" t="inlineStr">
        <is>
          <t>G</t>
        </is>
      </c>
      <c r="C54" s="57" t="n">
        <v>4</v>
      </c>
      <c r="D54" s="57" t="n">
        <v>1</v>
      </c>
      <c r="E54" s="57" t="n">
        <v>5</v>
      </c>
      <c r="F54" s="57" t="n">
        <v>2</v>
      </c>
      <c r="G54" s="57" t="n">
        <v>4</v>
      </c>
      <c r="H54" s="57" t="n">
        <v>2</v>
      </c>
      <c r="I54" s="57" t="n">
        <v>4</v>
      </c>
      <c r="J54" s="57" t="n">
        <v>1</v>
      </c>
      <c r="K54" s="57" t="n">
        <v>4</v>
      </c>
      <c r="L54" s="57" t="n">
        <v>2</v>
      </c>
      <c r="M54" s="57" t="n">
        <v>5</v>
      </c>
      <c r="N54" s="57" t="n">
        <v>4</v>
      </c>
      <c r="O54" s="57" t="n">
        <v>5</v>
      </c>
      <c r="P54" s="57" t="n">
        <v>4</v>
      </c>
      <c r="Q54" s="57" t="n">
        <v>4</v>
      </c>
      <c r="R54" s="57" t="n">
        <v>5</v>
      </c>
      <c r="S54" s="57" t="n">
        <v>5</v>
      </c>
      <c r="T54" s="57" t="n">
        <v>4</v>
      </c>
      <c r="U54" s="57" t="n">
        <v>35</v>
      </c>
      <c r="V54" s="57" t="n">
        <v>5</v>
      </c>
      <c r="W54" s="57" t="n">
        <v>38</v>
      </c>
      <c r="X54" s="57" t="n">
        <v>3</v>
      </c>
      <c r="Y54" s="57" t="n">
        <v>62.5</v>
      </c>
      <c r="Z54" s="58">
        <f>2.5*((C54-1)+(5-D54)+(E54-1)+(5-F54)+(G54-1)+(5-H54)+(I54-1)+(5-J54)+(K54-1)+(5-L54))</f>
        <v/>
      </c>
      <c r="AA54" s="57" t="n">
        <v>21</v>
      </c>
      <c r="AB54" s="58">
        <f>SUM(M54:T54)</f>
        <v/>
      </c>
      <c r="AC54" s="57" t="n">
        <v>169.5</v>
      </c>
      <c r="AD54" s="58">
        <f>AVERAGE(U54,W54)</f>
        <v/>
      </c>
      <c r="AE54" s="57" t="n">
        <v>19</v>
      </c>
      <c r="AF54" s="58">
        <f>V54+X54</f>
        <v/>
      </c>
      <c r="AG54" s="57" t="n">
        <v>4</v>
      </c>
      <c r="AH54" s="58">
        <f>Z54-Y54</f>
        <v/>
      </c>
      <c r="AI54" s="58">
        <f>AB54-AA54</f>
        <v/>
      </c>
      <c r="AJ54" s="58">
        <f>AD54-AC54</f>
        <v/>
      </c>
      <c r="AK54" s="58">
        <f>AF54-AE54</f>
        <v/>
      </c>
    </row>
    <row r="55" ht="15.75" customHeight="1" s="67">
      <c r="A55" s="57" t="inlineStr">
        <is>
          <t>GU-TDH-063</t>
        </is>
      </c>
      <c r="B55" s="57" t="inlineStr">
        <is>
          <t>G</t>
        </is>
      </c>
      <c r="C55" s="57" t="n">
        <v>4</v>
      </c>
      <c r="D55" s="57" t="n">
        <v>3</v>
      </c>
      <c r="E55" s="57" t="n">
        <v>3</v>
      </c>
      <c r="F55" s="57" t="n">
        <v>2</v>
      </c>
      <c r="G55" s="57" t="n">
        <v>3</v>
      </c>
      <c r="H55" s="57" t="n">
        <v>2</v>
      </c>
      <c r="I55" s="57" t="n">
        <v>3</v>
      </c>
      <c r="J55" s="57" t="n">
        <v>3</v>
      </c>
      <c r="K55" s="57" t="n">
        <v>3</v>
      </c>
      <c r="L55" s="57" t="n">
        <v>3</v>
      </c>
      <c r="M55" s="57" t="n">
        <v>3</v>
      </c>
      <c r="N55" s="57" t="n">
        <v>5</v>
      </c>
      <c r="O55" s="57" t="n">
        <v>3</v>
      </c>
      <c r="P55" s="57" t="n">
        <v>4</v>
      </c>
      <c r="Q55" s="57" t="n">
        <v>3</v>
      </c>
      <c r="R55" s="57" t="n">
        <v>4</v>
      </c>
      <c r="S55" s="57" t="n">
        <v>3</v>
      </c>
      <c r="T55" s="57" t="n">
        <v>2</v>
      </c>
      <c r="U55" s="57" t="n">
        <v>80</v>
      </c>
      <c r="V55" s="57" t="n">
        <v>5</v>
      </c>
      <c r="W55" s="57" t="n">
        <v>92</v>
      </c>
      <c r="X55" s="57" t="n">
        <v>5</v>
      </c>
      <c r="Y55" s="57" t="n">
        <v>47.5</v>
      </c>
      <c r="Z55" s="58">
        <f>2.5*((C55-1)+(5-D55)+(E55-1)+(5-F55)+(G55-1)+(5-H55)+(I55-1)+(5-J55)+(K55-1)+(5-L55))</f>
        <v/>
      </c>
      <c r="AA55" s="57" t="n">
        <v>12</v>
      </c>
      <c r="AB55" s="58">
        <f>SUM(M55:T55)</f>
        <v/>
      </c>
      <c r="AC55" s="57" t="n">
        <v>216.5</v>
      </c>
      <c r="AD55" s="58">
        <f>AVERAGE(U55,W55)</f>
        <v/>
      </c>
      <c r="AE55" s="57" t="n">
        <v>27</v>
      </c>
      <c r="AF55" s="58">
        <f>V55+X55</f>
        <v/>
      </c>
      <c r="AG55" s="57" t="n">
        <v>3</v>
      </c>
      <c r="AH55" s="58">
        <f>Z55-Y55</f>
        <v/>
      </c>
      <c r="AI55" s="58">
        <f>AB55-AA55</f>
        <v/>
      </c>
      <c r="AJ55" s="58">
        <f>AD55-AC55</f>
        <v/>
      </c>
      <c r="AK55" s="58">
        <f>AF55-AE55</f>
        <v/>
      </c>
    </row>
    <row r="56" ht="15.75" customHeight="1" s="67">
      <c r="A56" s="57" t="inlineStr">
        <is>
          <t>GU-TDH-064</t>
        </is>
      </c>
      <c r="B56" s="57" t="inlineStr">
        <is>
          <t>G</t>
        </is>
      </c>
      <c r="C56" s="57" t="n">
        <v>4</v>
      </c>
      <c r="D56" s="57" t="n">
        <v>2</v>
      </c>
      <c r="E56" s="57" t="n">
        <v>4</v>
      </c>
      <c r="F56" s="57" t="n">
        <v>1</v>
      </c>
      <c r="G56" s="57" t="n">
        <v>4</v>
      </c>
      <c r="H56" s="57" t="n">
        <v>2</v>
      </c>
      <c r="I56" s="57" t="n">
        <v>3</v>
      </c>
      <c r="J56" s="57" t="n">
        <v>3</v>
      </c>
      <c r="K56" s="57" t="n">
        <v>4</v>
      </c>
      <c r="L56" s="57" t="n">
        <v>1</v>
      </c>
      <c r="M56" s="57" t="n">
        <v>4</v>
      </c>
      <c r="N56" s="57" t="n">
        <v>3</v>
      </c>
      <c r="O56" s="57" t="n">
        <v>4</v>
      </c>
      <c r="P56" s="57" t="n">
        <v>4</v>
      </c>
      <c r="Q56" s="57" t="n">
        <v>4</v>
      </c>
      <c r="R56" s="57" t="n">
        <v>4</v>
      </c>
      <c r="S56" s="57" t="n">
        <v>4</v>
      </c>
      <c r="T56" s="57" t="n">
        <v>4</v>
      </c>
      <c r="U56" s="57" t="n">
        <v>84</v>
      </c>
      <c r="V56" s="57" t="n">
        <v>7</v>
      </c>
      <c r="W56" s="57" t="n">
        <v>93</v>
      </c>
      <c r="X56" s="57" t="n">
        <v>5</v>
      </c>
      <c r="Y56" s="57" t="n">
        <v>50</v>
      </c>
      <c r="Z56" s="58">
        <f>2.5*((C56-1)+(5-D56)+(E56-1)+(5-F56)+(G56-1)+(5-H56)+(I56-1)+(5-J56)+(K56-1)+(5-L56))</f>
        <v/>
      </c>
      <c r="AA56" s="57" t="n">
        <v>23</v>
      </c>
      <c r="AB56" s="58">
        <f>SUM(M56:T56)</f>
        <v/>
      </c>
      <c r="AC56" s="57" t="n">
        <v>254.5</v>
      </c>
      <c r="AD56" s="58">
        <f>AVERAGE(U56,W56)</f>
        <v/>
      </c>
      <c r="AE56" s="57" t="n">
        <v>30</v>
      </c>
      <c r="AF56" s="58">
        <f>V56+X56</f>
        <v/>
      </c>
      <c r="AG56" s="57" t="n">
        <v>4</v>
      </c>
      <c r="AH56" s="58">
        <f>Z56-Y56</f>
        <v/>
      </c>
      <c r="AI56" s="58">
        <f>AB56-AA56</f>
        <v/>
      </c>
      <c r="AJ56" s="58">
        <f>AD56-AC56</f>
        <v/>
      </c>
      <c r="AK56" s="58">
        <f>AF56-AE56</f>
        <v/>
      </c>
    </row>
    <row r="57" ht="15.75" customHeight="1" s="67">
      <c r="A57" s="57" t="inlineStr">
        <is>
          <t>GU-TDH-065</t>
        </is>
      </c>
      <c r="B57" s="57" t="inlineStr">
        <is>
          <t>G</t>
        </is>
      </c>
      <c r="C57" s="57" t="n">
        <v>4</v>
      </c>
      <c r="D57" s="57" t="n">
        <v>1</v>
      </c>
      <c r="E57" s="57" t="n">
        <v>3</v>
      </c>
      <c r="F57" s="57" t="n">
        <v>1</v>
      </c>
      <c r="G57" s="57" t="n">
        <v>4</v>
      </c>
      <c r="H57" s="57" t="n">
        <v>3</v>
      </c>
      <c r="I57" s="57" t="n">
        <v>5</v>
      </c>
      <c r="J57" s="57" t="n">
        <v>1</v>
      </c>
      <c r="K57" s="57" t="n">
        <v>5</v>
      </c>
      <c r="L57" s="57" t="n">
        <v>1</v>
      </c>
      <c r="M57" s="57" t="n">
        <v>5</v>
      </c>
      <c r="N57" s="57" t="n">
        <v>4</v>
      </c>
      <c r="O57" s="57" t="n">
        <v>5</v>
      </c>
      <c r="P57" s="57" t="n">
        <v>4</v>
      </c>
      <c r="Q57" s="57" t="n">
        <v>4</v>
      </c>
      <c r="R57" s="57" t="n">
        <v>4</v>
      </c>
      <c r="S57" s="57" t="n">
        <v>5</v>
      </c>
      <c r="T57" s="57" t="n">
        <v>4</v>
      </c>
      <c r="U57" s="57" t="n">
        <v>67</v>
      </c>
      <c r="V57" s="57" t="n">
        <v>5</v>
      </c>
      <c r="W57" s="57" t="n">
        <v>44</v>
      </c>
      <c r="X57" s="57" t="n">
        <v>2</v>
      </c>
      <c r="Y57" s="57" t="n">
        <v>72.5</v>
      </c>
      <c r="Z57" s="58">
        <f>2.5*((C57-1)+(5-D57)+(E57-1)+(5-F57)+(G57-1)+(5-H57)+(I57-1)+(5-J57)+(K57-1)+(5-L57))</f>
        <v/>
      </c>
      <c r="AA57" s="57" t="n">
        <v>27</v>
      </c>
      <c r="AB57" s="58">
        <f>SUM(M57:T57)</f>
        <v/>
      </c>
      <c r="AC57" s="57" t="n">
        <v>168</v>
      </c>
      <c r="AD57" s="58">
        <f>AVERAGE(U57,W57)</f>
        <v/>
      </c>
      <c r="AE57" s="57" t="n">
        <v>15</v>
      </c>
      <c r="AF57" s="58">
        <f>V57+X57</f>
        <v/>
      </c>
      <c r="AG57" s="57" t="n">
        <v>4</v>
      </c>
      <c r="AH57" s="58">
        <f>Z57-Y57</f>
        <v/>
      </c>
      <c r="AI57" s="58">
        <f>AB57-AA57</f>
        <v/>
      </c>
      <c r="AJ57" s="58">
        <f>AD57-AC57</f>
        <v/>
      </c>
      <c r="AK57" s="58">
        <f>AF57-AE57</f>
        <v/>
      </c>
    </row>
    <row r="58" ht="15.75" customHeight="1" s="67">
      <c r="A58" s="57" t="inlineStr">
        <is>
          <t>GU-TDH-066</t>
        </is>
      </c>
      <c r="B58" s="57" t="inlineStr">
        <is>
          <t>G</t>
        </is>
      </c>
      <c r="C58" s="57" t="n">
        <v>3</v>
      </c>
      <c r="D58" s="57" t="n">
        <v>3</v>
      </c>
      <c r="E58" s="57" t="n">
        <v>4</v>
      </c>
      <c r="F58" s="57" t="n">
        <v>2</v>
      </c>
      <c r="G58" s="57" t="n">
        <v>4</v>
      </c>
      <c r="H58" s="57" t="n">
        <v>1</v>
      </c>
      <c r="I58" s="57" t="n">
        <v>4</v>
      </c>
      <c r="J58" s="57" t="n">
        <v>2</v>
      </c>
      <c r="K58" s="57" t="n">
        <v>5</v>
      </c>
      <c r="L58" s="57" t="n">
        <v>2</v>
      </c>
      <c r="M58" s="57" t="n">
        <v>5</v>
      </c>
      <c r="N58" s="57" t="n">
        <v>4</v>
      </c>
      <c r="O58" s="57" t="n">
        <v>4</v>
      </c>
      <c r="P58" s="57" t="n">
        <v>4</v>
      </c>
      <c r="Q58" s="57" t="n">
        <v>4</v>
      </c>
      <c r="R58" s="57" t="n">
        <v>5</v>
      </c>
      <c r="S58" s="57" t="n">
        <v>4</v>
      </c>
      <c r="T58" s="57" t="n">
        <v>4</v>
      </c>
      <c r="U58" s="57" t="n">
        <v>71</v>
      </c>
      <c r="V58" s="57" t="n">
        <v>8</v>
      </c>
      <c r="W58" s="57" t="n">
        <v>71</v>
      </c>
      <c r="X58" s="57" t="n">
        <v>4</v>
      </c>
      <c r="Y58" s="57" t="n">
        <v>37.5</v>
      </c>
      <c r="Z58" s="58">
        <f>2.5*((C58-1)+(5-D58)+(E58-1)+(5-F58)+(G58-1)+(5-H58)+(I58-1)+(5-J58)+(K58-1)+(5-L58))</f>
        <v/>
      </c>
      <c r="AA58" s="57" t="n">
        <v>15</v>
      </c>
      <c r="AB58" s="58">
        <f>SUM(M58:T58)</f>
        <v/>
      </c>
      <c r="AC58" s="57" t="n">
        <v>268</v>
      </c>
      <c r="AD58" s="58">
        <f>AVERAGE(U58,W58)</f>
        <v/>
      </c>
      <c r="AE58" s="57" t="n">
        <v>26</v>
      </c>
      <c r="AF58" s="58">
        <f>V58+X58</f>
        <v/>
      </c>
      <c r="AG58" s="57" t="n">
        <v>5</v>
      </c>
      <c r="AH58" s="58">
        <f>Z58-Y58</f>
        <v/>
      </c>
      <c r="AI58" s="58">
        <f>AB58-AA58</f>
        <v/>
      </c>
      <c r="AJ58" s="58">
        <f>AD58-AC58</f>
        <v/>
      </c>
      <c r="AK58" s="58">
        <f>AF58-AE58</f>
        <v/>
      </c>
    </row>
    <row r="59" ht="15.75" customHeight="1" s="67">
      <c r="A59" s="57" t="inlineStr">
        <is>
          <t>GU-TDH-067</t>
        </is>
      </c>
      <c r="B59" s="57" t="inlineStr">
        <is>
          <t>G</t>
        </is>
      </c>
      <c r="C59" s="57" t="n">
        <v>4</v>
      </c>
      <c r="D59" s="57" t="n">
        <v>1</v>
      </c>
      <c r="E59" s="57" t="n">
        <v>4</v>
      </c>
      <c r="F59" s="57" t="n">
        <v>1</v>
      </c>
      <c r="G59" s="57" t="n">
        <v>4</v>
      </c>
      <c r="H59" s="57" t="n">
        <v>2</v>
      </c>
      <c r="I59" s="57" t="n">
        <v>4</v>
      </c>
      <c r="J59" s="57" t="n">
        <v>1</v>
      </c>
      <c r="K59" s="57" t="n">
        <v>5</v>
      </c>
      <c r="L59" s="57" t="n">
        <v>2</v>
      </c>
      <c r="M59" s="57" t="n">
        <v>5</v>
      </c>
      <c r="N59" s="57" t="n">
        <v>4</v>
      </c>
      <c r="O59" s="57" t="n">
        <v>4</v>
      </c>
      <c r="P59" s="57" t="n">
        <v>4</v>
      </c>
      <c r="Q59" s="57" t="n">
        <v>3</v>
      </c>
      <c r="R59" s="57" t="n">
        <v>3</v>
      </c>
      <c r="S59" s="57" t="n">
        <v>4</v>
      </c>
      <c r="T59" s="57" t="n">
        <v>4</v>
      </c>
      <c r="U59" s="57" t="n">
        <v>95</v>
      </c>
      <c r="V59" s="57" t="n">
        <v>6</v>
      </c>
      <c r="W59" s="57" t="n">
        <v>97</v>
      </c>
      <c r="X59" s="57" t="n">
        <v>6</v>
      </c>
      <c r="Y59" s="57" t="n">
        <v>40</v>
      </c>
      <c r="Z59" s="58">
        <f>2.5*((C59-1)+(5-D59)+(E59-1)+(5-F59)+(G59-1)+(5-H59)+(I59-1)+(5-J59)+(K59-1)+(5-L59))</f>
        <v/>
      </c>
      <c r="AA59" s="57" t="n">
        <v>15</v>
      </c>
      <c r="AB59" s="58">
        <f>SUM(M59:T59)</f>
        <v/>
      </c>
      <c r="AC59" s="57" t="n">
        <v>245.5</v>
      </c>
      <c r="AD59" s="58">
        <f>AVERAGE(U59,W59)</f>
        <v/>
      </c>
      <c r="AE59" s="57" t="n">
        <v>27</v>
      </c>
      <c r="AF59" s="58">
        <f>V59+X59</f>
        <v/>
      </c>
      <c r="AG59" s="57" t="n">
        <v>5</v>
      </c>
      <c r="AH59" s="58">
        <f>Z59-Y59</f>
        <v/>
      </c>
      <c r="AI59" s="58">
        <f>AB59-AA59</f>
        <v/>
      </c>
      <c r="AJ59" s="58">
        <f>AD59-AC59</f>
        <v/>
      </c>
      <c r="AK59" s="58">
        <f>AF59-AE59</f>
        <v/>
      </c>
    </row>
    <row r="60" ht="15.75" customHeight="1" s="67">
      <c r="A60" s="57" t="inlineStr">
        <is>
          <t>GU-TDH-070</t>
        </is>
      </c>
      <c r="B60" s="57" t="inlineStr">
        <is>
          <t>G</t>
        </is>
      </c>
      <c r="C60" s="57" t="n">
        <v>5</v>
      </c>
      <c r="D60" s="57" t="n">
        <v>2</v>
      </c>
      <c r="E60" s="57" t="n">
        <v>5</v>
      </c>
      <c r="F60" s="57" t="n">
        <v>1</v>
      </c>
      <c r="G60" s="57" t="n">
        <v>5</v>
      </c>
      <c r="H60" s="57" t="n">
        <v>1</v>
      </c>
      <c r="I60" s="57" t="n">
        <v>5</v>
      </c>
      <c r="J60" s="57" t="n">
        <v>1</v>
      </c>
      <c r="K60" s="57" t="n">
        <v>5</v>
      </c>
      <c r="L60" s="57" t="n">
        <v>1</v>
      </c>
      <c r="M60" s="57" t="n">
        <v>4</v>
      </c>
      <c r="N60" s="57" t="n">
        <v>4</v>
      </c>
      <c r="O60" s="57" t="n">
        <v>5</v>
      </c>
      <c r="P60" s="57" t="n">
        <v>5</v>
      </c>
      <c r="Q60" s="57" t="n">
        <v>5</v>
      </c>
      <c r="R60" s="57" t="n">
        <v>4</v>
      </c>
      <c r="S60" s="57" t="n">
        <v>5</v>
      </c>
      <c r="T60" s="57" t="n">
        <v>5</v>
      </c>
      <c r="U60" s="57" t="n">
        <v>29</v>
      </c>
      <c r="V60" s="57" t="n">
        <v>2</v>
      </c>
      <c r="W60" s="57" t="n">
        <v>43</v>
      </c>
      <c r="X60" s="57" t="n">
        <v>2</v>
      </c>
      <c r="Y60" s="57" t="n">
        <v>67.5</v>
      </c>
      <c r="Z60" s="58">
        <f>2.5*((C60-1)+(5-D60)+(E60-1)+(5-F60)+(G60-1)+(5-H60)+(I60-1)+(5-J60)+(K60-1)+(5-L60))</f>
        <v/>
      </c>
      <c r="AA60" s="57" t="n">
        <v>15</v>
      </c>
      <c r="AB60" s="58">
        <f>SUM(M60:T60)</f>
        <v/>
      </c>
      <c r="AC60" s="57" t="n">
        <v>177</v>
      </c>
      <c r="AD60" s="58">
        <f>AVERAGE(U60,W60)</f>
        <v/>
      </c>
      <c r="AE60" s="57" t="n">
        <v>22</v>
      </c>
      <c r="AF60" s="58">
        <f>V60+X60</f>
        <v/>
      </c>
      <c r="AG60" s="57" t="n">
        <v>4</v>
      </c>
      <c r="AH60" s="58">
        <f>Z60-Y60</f>
        <v/>
      </c>
      <c r="AI60" s="58">
        <f>AB60-AA60</f>
        <v/>
      </c>
      <c r="AJ60" s="58">
        <f>AD60-AC60</f>
        <v/>
      </c>
      <c r="AK60" s="58">
        <f>AF60-AE60</f>
        <v/>
      </c>
    </row>
    <row r="61" ht="15.75" customHeight="1" s="67">
      <c r="A61" s="57" t="inlineStr">
        <is>
          <t>GU-TDH-071</t>
        </is>
      </c>
      <c r="B61" s="57" t="inlineStr">
        <is>
          <t>G</t>
        </is>
      </c>
      <c r="C61" s="57" t="n">
        <v>4</v>
      </c>
      <c r="D61" s="57" t="n">
        <v>2</v>
      </c>
      <c r="E61" s="57" t="n">
        <v>5</v>
      </c>
      <c r="F61" s="57" t="n">
        <v>2</v>
      </c>
      <c r="G61" s="57" t="n">
        <v>4</v>
      </c>
      <c r="H61" s="57" t="n">
        <v>2</v>
      </c>
      <c r="I61" s="57" t="n">
        <v>4</v>
      </c>
      <c r="J61" s="57" t="n">
        <v>2</v>
      </c>
      <c r="K61" s="57" t="n">
        <v>3</v>
      </c>
      <c r="L61" s="57" t="n">
        <v>2</v>
      </c>
      <c r="M61" s="57" t="n">
        <v>5</v>
      </c>
      <c r="N61" s="57" t="n">
        <v>4</v>
      </c>
      <c r="O61" s="57" t="n">
        <v>3</v>
      </c>
      <c r="P61" s="57" t="n">
        <v>4</v>
      </c>
      <c r="Q61" s="57" t="n">
        <v>4</v>
      </c>
      <c r="R61" s="57" t="n">
        <v>5</v>
      </c>
      <c r="S61" s="57" t="n">
        <v>4</v>
      </c>
      <c r="T61" s="57" t="n">
        <v>3</v>
      </c>
      <c r="U61" s="57" t="n">
        <v>97</v>
      </c>
      <c r="V61" s="57" t="n">
        <v>6</v>
      </c>
      <c r="W61" s="57" t="n">
        <v>75</v>
      </c>
      <c r="X61" s="57" t="n">
        <v>5</v>
      </c>
      <c r="Y61" s="57" t="n">
        <v>40</v>
      </c>
      <c r="Z61" s="58">
        <f>2.5*((C61-1)+(5-D61)+(E61-1)+(5-F61)+(G61-1)+(5-H61)+(I61-1)+(5-J61)+(K61-1)+(5-L61))</f>
        <v/>
      </c>
      <c r="AA61" s="57" t="n">
        <v>13</v>
      </c>
      <c r="AB61" s="58">
        <f>SUM(M61:T61)</f>
        <v/>
      </c>
      <c r="AC61" s="57" t="n">
        <v>264</v>
      </c>
      <c r="AD61" s="58">
        <f>AVERAGE(U61,W61)</f>
        <v/>
      </c>
      <c r="AE61" s="57" t="n">
        <v>31</v>
      </c>
      <c r="AF61" s="58">
        <f>V61+X61</f>
        <v/>
      </c>
      <c r="AG61" s="57" t="n">
        <v>4</v>
      </c>
      <c r="AH61" s="58">
        <f>Z61-Y61</f>
        <v/>
      </c>
      <c r="AI61" s="58">
        <f>AB61-AA61</f>
        <v/>
      </c>
      <c r="AJ61" s="58">
        <f>AD61-AC61</f>
        <v/>
      </c>
      <c r="AK61" s="58">
        <f>AF61-AE61</f>
        <v/>
      </c>
    </row>
    <row r="62" ht="15.75" customHeight="1" s="67">
      <c r="A62" s="57" t="inlineStr">
        <is>
          <t>GU-TDH-072</t>
        </is>
      </c>
      <c r="B62" s="57" t="inlineStr">
        <is>
          <t>G</t>
        </is>
      </c>
      <c r="C62" s="57" t="n">
        <v>4</v>
      </c>
      <c r="D62" s="57" t="n">
        <v>1</v>
      </c>
      <c r="E62" s="57" t="n">
        <v>5</v>
      </c>
      <c r="F62" s="57" t="n">
        <v>2</v>
      </c>
      <c r="G62" s="57" t="n">
        <v>5</v>
      </c>
      <c r="H62" s="57" t="n">
        <v>1</v>
      </c>
      <c r="I62" s="57" t="n">
        <v>5</v>
      </c>
      <c r="J62" s="57" t="n">
        <v>2</v>
      </c>
      <c r="K62" s="57" t="n">
        <v>4</v>
      </c>
      <c r="L62" s="57" t="n">
        <v>1</v>
      </c>
      <c r="M62" s="57" t="n">
        <v>5</v>
      </c>
      <c r="N62" s="57" t="n">
        <v>4</v>
      </c>
      <c r="O62" s="57" t="n">
        <v>4</v>
      </c>
      <c r="P62" s="57" t="n">
        <v>5</v>
      </c>
      <c r="Q62" s="57" t="n">
        <v>5</v>
      </c>
      <c r="R62" s="57" t="n">
        <v>5</v>
      </c>
      <c r="S62" s="57" t="n">
        <v>5</v>
      </c>
      <c r="T62" s="57" t="n">
        <v>5</v>
      </c>
      <c r="U62" s="57" t="n">
        <v>67</v>
      </c>
      <c r="V62" s="57" t="n">
        <v>6</v>
      </c>
      <c r="W62" s="57" t="n">
        <v>39</v>
      </c>
      <c r="X62" s="57" t="n">
        <v>3</v>
      </c>
      <c r="Y62" s="57" t="n">
        <v>60</v>
      </c>
      <c r="Z62" s="58">
        <f>2.5*((C62-1)+(5-D62)+(E62-1)+(5-F62)+(G62-1)+(5-H62)+(I62-1)+(5-J62)+(K62-1)+(5-L62))</f>
        <v/>
      </c>
      <c r="AA62" s="57" t="n">
        <v>22</v>
      </c>
      <c r="AB62" s="58">
        <f>SUM(M62:T62)</f>
        <v/>
      </c>
      <c r="AC62" s="57" t="n">
        <v>193.5</v>
      </c>
      <c r="AD62" s="58">
        <f>AVERAGE(U62,W62)</f>
        <v/>
      </c>
      <c r="AE62" s="57" t="n">
        <v>20</v>
      </c>
      <c r="AF62" s="58">
        <f>V62+X62</f>
        <v/>
      </c>
      <c r="AG62" s="57" t="n">
        <v>2</v>
      </c>
      <c r="AH62" s="58">
        <f>Z62-Y62</f>
        <v/>
      </c>
      <c r="AI62" s="58">
        <f>AB62-AA62</f>
        <v/>
      </c>
      <c r="AJ62" s="58">
        <f>AD62-AC62</f>
        <v/>
      </c>
      <c r="AK62" s="58">
        <f>AF62-AE62</f>
        <v/>
      </c>
    </row>
    <row r="63" ht="15.75" customHeight="1" s="67">
      <c r="A63" s="57" t="inlineStr">
        <is>
          <t>GU-TDH-073</t>
        </is>
      </c>
      <c r="B63" s="57" t="inlineStr">
        <is>
          <t>G</t>
        </is>
      </c>
      <c r="C63" s="57" t="n">
        <v>3</v>
      </c>
      <c r="D63" s="57" t="n">
        <v>3</v>
      </c>
      <c r="E63" s="57" t="n">
        <v>4</v>
      </c>
      <c r="F63" s="57" t="n">
        <v>2</v>
      </c>
      <c r="G63" s="57" t="n">
        <v>4</v>
      </c>
      <c r="H63" s="57" t="n">
        <v>2</v>
      </c>
      <c r="I63" s="57" t="n">
        <v>4</v>
      </c>
      <c r="J63" s="57" t="n">
        <v>2</v>
      </c>
      <c r="K63" s="57" t="n">
        <v>4</v>
      </c>
      <c r="L63" s="57" t="n">
        <v>2</v>
      </c>
      <c r="M63" s="57" t="n">
        <v>3</v>
      </c>
      <c r="N63" s="57" t="n">
        <v>4</v>
      </c>
      <c r="O63" s="57" t="n">
        <v>3</v>
      </c>
      <c r="P63" s="57" t="n">
        <v>4</v>
      </c>
      <c r="Q63" s="57" t="n">
        <v>3</v>
      </c>
      <c r="R63" s="57" t="n">
        <v>4</v>
      </c>
      <c r="S63" s="57" t="n">
        <v>4</v>
      </c>
      <c r="T63" s="57" t="n">
        <v>4</v>
      </c>
      <c r="U63" s="57" t="n">
        <v>109</v>
      </c>
      <c r="V63" s="57" t="n">
        <v>6</v>
      </c>
      <c r="W63" s="57" t="n">
        <v>107</v>
      </c>
      <c r="X63" s="57" t="n">
        <v>8</v>
      </c>
      <c r="Y63" s="57" t="n">
        <v>52.5</v>
      </c>
      <c r="Z63" s="58">
        <f>2.5*((C63-1)+(5-D63)+(E63-1)+(5-F63)+(G63-1)+(5-H63)+(I63-1)+(5-J63)+(K63-1)+(5-L63))</f>
        <v/>
      </c>
      <c r="AA63" s="57" t="n">
        <v>16</v>
      </c>
      <c r="AB63" s="58">
        <f>SUM(M63:T63)</f>
        <v/>
      </c>
      <c r="AC63" s="57" t="n">
        <v>259</v>
      </c>
      <c r="AD63" s="58">
        <f>AVERAGE(U63,W63)</f>
        <v/>
      </c>
      <c r="AE63" s="57" t="n">
        <v>30</v>
      </c>
      <c r="AF63" s="58">
        <f>V63+X63</f>
        <v/>
      </c>
      <c r="AG63" s="57" t="n">
        <v>3</v>
      </c>
      <c r="AH63" s="58">
        <f>Z63-Y63</f>
        <v/>
      </c>
      <c r="AI63" s="58">
        <f>AB63-AA63</f>
        <v/>
      </c>
      <c r="AJ63" s="58">
        <f>AD63-AC63</f>
        <v/>
      </c>
      <c r="AK63" s="58">
        <f>AF63-AE63</f>
        <v/>
      </c>
    </row>
    <row r="64" ht="15.75" customHeight="1" s="67">
      <c r="A64" s="57" t="inlineStr">
        <is>
          <t>GU-TDH-074</t>
        </is>
      </c>
      <c r="B64" s="57" t="inlineStr">
        <is>
          <t>G</t>
        </is>
      </c>
      <c r="C64" s="57" t="n">
        <v>5</v>
      </c>
      <c r="D64" s="57" t="n">
        <v>1</v>
      </c>
      <c r="E64" s="57" t="n">
        <v>5</v>
      </c>
      <c r="F64" s="57" t="n">
        <v>2</v>
      </c>
      <c r="G64" s="57" t="n">
        <v>4</v>
      </c>
      <c r="H64" s="57" t="n">
        <v>2</v>
      </c>
      <c r="I64" s="57" t="n">
        <v>4</v>
      </c>
      <c r="J64" s="57" t="n">
        <v>2</v>
      </c>
      <c r="K64" s="57" t="n">
        <v>5</v>
      </c>
      <c r="L64" s="57" t="n">
        <v>2</v>
      </c>
      <c r="M64" s="57" t="n">
        <v>4</v>
      </c>
      <c r="N64" s="57" t="n">
        <v>4</v>
      </c>
      <c r="O64" s="57" t="n">
        <v>4</v>
      </c>
      <c r="P64" s="57" t="n">
        <v>4</v>
      </c>
      <c r="Q64" s="57" t="n">
        <v>3</v>
      </c>
      <c r="R64" s="57" t="n">
        <v>4</v>
      </c>
      <c r="S64" s="57" t="n">
        <v>3</v>
      </c>
      <c r="T64" s="57" t="n">
        <v>4</v>
      </c>
      <c r="U64" s="57" t="n">
        <v>88</v>
      </c>
      <c r="V64" s="57" t="n">
        <v>5</v>
      </c>
      <c r="W64" s="57" t="n">
        <v>62</v>
      </c>
      <c r="X64" s="57" t="n">
        <v>6</v>
      </c>
      <c r="Y64" s="57" t="n">
        <v>72.5</v>
      </c>
      <c r="Z64" s="58">
        <f>2.5*((C64-1)+(5-D64)+(E64-1)+(5-F64)+(G64-1)+(5-H64)+(I64-1)+(5-J64)+(K64-1)+(5-L64))</f>
        <v/>
      </c>
      <c r="AA64" s="57" t="n">
        <v>25</v>
      </c>
      <c r="AB64" s="58">
        <f>SUM(M64:T64)</f>
        <v/>
      </c>
      <c r="AC64" s="57" t="n">
        <v>194</v>
      </c>
      <c r="AD64" s="58">
        <f>AVERAGE(U64,W64)</f>
        <v/>
      </c>
      <c r="AE64" s="57" t="n">
        <v>18</v>
      </c>
      <c r="AF64" s="58">
        <f>V64+X64</f>
        <v/>
      </c>
      <c r="AG64" s="57" t="n">
        <v>4</v>
      </c>
      <c r="AH64" s="58">
        <f>Z64-Y64</f>
        <v/>
      </c>
      <c r="AI64" s="58">
        <f>AB64-AA64</f>
        <v/>
      </c>
      <c r="AJ64" s="58">
        <f>AD64-AC64</f>
        <v/>
      </c>
      <c r="AK64" s="58">
        <f>AF64-AE64</f>
        <v/>
      </c>
    </row>
    <row r="65" ht="15.75" customHeight="1" s="67">
      <c r="A65" s="57" t="inlineStr">
        <is>
          <t>GU-TDH-075</t>
        </is>
      </c>
      <c r="B65" s="57" t="inlineStr">
        <is>
          <t>G</t>
        </is>
      </c>
      <c r="C65" s="57" t="n">
        <v>5</v>
      </c>
      <c r="D65" s="57" t="n">
        <v>2</v>
      </c>
      <c r="E65" s="57" t="n">
        <v>5</v>
      </c>
      <c r="F65" s="57" t="n">
        <v>1</v>
      </c>
      <c r="G65" s="57" t="n">
        <v>5</v>
      </c>
      <c r="H65" s="57" t="n">
        <v>1</v>
      </c>
      <c r="I65" s="57" t="n">
        <v>5</v>
      </c>
      <c r="J65" s="57" t="n">
        <v>1</v>
      </c>
      <c r="K65" s="57" t="n">
        <v>5</v>
      </c>
      <c r="L65" s="57" t="n">
        <v>1</v>
      </c>
      <c r="M65" s="57" t="n">
        <v>5</v>
      </c>
      <c r="N65" s="57" t="n">
        <v>5</v>
      </c>
      <c r="O65" s="57" t="n">
        <v>5</v>
      </c>
      <c r="P65" s="57" t="n">
        <v>4</v>
      </c>
      <c r="Q65" s="57" t="n">
        <v>5</v>
      </c>
      <c r="R65" s="57" t="n">
        <v>5</v>
      </c>
      <c r="S65" s="57" t="n">
        <v>5</v>
      </c>
      <c r="T65" s="57" t="n">
        <v>5</v>
      </c>
      <c r="U65" s="57" t="n">
        <v>56</v>
      </c>
      <c r="V65" s="57" t="n">
        <v>3</v>
      </c>
      <c r="W65" s="57" t="n">
        <v>68</v>
      </c>
      <c r="X65" s="57" t="n">
        <v>5</v>
      </c>
      <c r="Y65" s="57" t="n">
        <v>85</v>
      </c>
      <c r="Z65" s="58">
        <f>2.5*((C65-1)+(5-D65)+(E65-1)+(5-F65)+(G65-1)+(5-H65)+(I65-1)+(5-J65)+(K65-1)+(5-L65))</f>
        <v/>
      </c>
      <c r="AA65" s="57" t="n">
        <v>28</v>
      </c>
      <c r="AB65" s="58">
        <f>SUM(M65:T65)</f>
        <v/>
      </c>
      <c r="AC65" s="57" t="n">
        <v>146.5</v>
      </c>
      <c r="AD65" s="58">
        <f>AVERAGE(U65,W65)</f>
        <v/>
      </c>
      <c r="AE65" s="57" t="n">
        <v>14</v>
      </c>
      <c r="AF65" s="58">
        <f>V65+X65</f>
        <v/>
      </c>
      <c r="AG65" s="57" t="n">
        <v>7</v>
      </c>
      <c r="AH65" s="58">
        <f>Z65-Y65</f>
        <v/>
      </c>
      <c r="AI65" s="58">
        <f>AB65-AA65</f>
        <v/>
      </c>
      <c r="AJ65" s="58">
        <f>AD65-AC65</f>
        <v/>
      </c>
      <c r="AK65" s="58">
        <f>AF65-AE65</f>
        <v/>
      </c>
    </row>
    <row r="66" ht="15.75" customHeight="1" s="67">
      <c r="A66" s="57" t="inlineStr">
        <is>
          <t>GU-TDH-076</t>
        </is>
      </c>
      <c r="B66" s="57" t="inlineStr">
        <is>
          <t>G</t>
        </is>
      </c>
      <c r="C66" s="57" t="n">
        <v>3</v>
      </c>
      <c r="D66" s="57" t="n">
        <v>3</v>
      </c>
      <c r="E66" s="57" t="n">
        <v>3</v>
      </c>
      <c r="F66" s="57" t="n">
        <v>2</v>
      </c>
      <c r="G66" s="57" t="n">
        <v>4</v>
      </c>
      <c r="H66" s="57" t="n">
        <v>2</v>
      </c>
      <c r="I66" s="57" t="n">
        <v>4</v>
      </c>
      <c r="J66" s="57" t="n">
        <v>3</v>
      </c>
      <c r="K66" s="57" t="n">
        <v>4</v>
      </c>
      <c r="L66" s="57" t="n">
        <v>2</v>
      </c>
      <c r="M66" s="57" t="n">
        <v>4</v>
      </c>
      <c r="N66" s="57" t="n">
        <v>4</v>
      </c>
      <c r="O66" s="57" t="n">
        <v>5</v>
      </c>
      <c r="P66" s="57" t="n">
        <v>5</v>
      </c>
      <c r="Q66" s="57" t="n">
        <v>5</v>
      </c>
      <c r="R66" s="57" t="n">
        <v>5</v>
      </c>
      <c r="S66" s="57" t="n">
        <v>5</v>
      </c>
      <c r="T66" s="57" t="n">
        <v>3</v>
      </c>
      <c r="U66" s="57" t="n">
        <v>81</v>
      </c>
      <c r="V66" s="57" t="n">
        <v>5</v>
      </c>
      <c r="W66" s="57" t="n">
        <v>65</v>
      </c>
      <c r="X66" s="57" t="n">
        <v>5</v>
      </c>
      <c r="Y66" s="57" t="n">
        <v>65</v>
      </c>
      <c r="Z66" s="58">
        <f>2.5*((C66-1)+(5-D66)+(E66-1)+(5-F66)+(G66-1)+(5-H66)+(I66-1)+(5-J66)+(K66-1)+(5-L66))</f>
        <v/>
      </c>
      <c r="AA66" s="57" t="n">
        <v>26</v>
      </c>
      <c r="AB66" s="58">
        <f>SUM(M66:T66)</f>
        <v/>
      </c>
      <c r="AC66" s="57" t="n">
        <v>171.5</v>
      </c>
      <c r="AD66" s="58">
        <f>AVERAGE(U66,W66)</f>
        <v/>
      </c>
      <c r="AE66" s="57" t="n">
        <v>23</v>
      </c>
      <c r="AF66" s="58">
        <f>V66+X66</f>
        <v/>
      </c>
      <c r="AG66" s="57" t="n">
        <v>2</v>
      </c>
      <c r="AH66" s="58">
        <f>Z66-Y66</f>
        <v/>
      </c>
      <c r="AI66" s="58">
        <f>AB66-AA66</f>
        <v/>
      </c>
      <c r="AJ66" s="58">
        <f>AD66-AC66</f>
        <v/>
      </c>
      <c r="AK66" s="58">
        <f>AF66-AE66</f>
        <v/>
      </c>
    </row>
    <row r="67" ht="15.75" customHeight="1" s="67">
      <c r="A67" s="57" t="inlineStr">
        <is>
          <t>GU-TDH-077</t>
        </is>
      </c>
      <c r="B67" s="57" t="inlineStr">
        <is>
          <t>G</t>
        </is>
      </c>
      <c r="C67" s="57" t="n">
        <v>4</v>
      </c>
      <c r="D67" s="57" t="n">
        <v>1</v>
      </c>
      <c r="E67" s="57" t="n">
        <v>4</v>
      </c>
      <c r="F67" s="57" t="n">
        <v>1</v>
      </c>
      <c r="G67" s="57" t="n">
        <v>4</v>
      </c>
      <c r="H67" s="57" t="n">
        <v>2</v>
      </c>
      <c r="I67" s="57" t="n">
        <v>4</v>
      </c>
      <c r="J67" s="57" t="n">
        <v>2</v>
      </c>
      <c r="K67" s="57" t="n">
        <v>4</v>
      </c>
      <c r="L67" s="57" t="n">
        <v>2</v>
      </c>
      <c r="M67" s="57" t="n">
        <v>4</v>
      </c>
      <c r="N67" s="57" t="n">
        <v>4</v>
      </c>
      <c r="O67" s="57" t="n">
        <v>5</v>
      </c>
      <c r="P67" s="57" t="n">
        <v>3</v>
      </c>
      <c r="Q67" s="57" t="n">
        <v>4</v>
      </c>
      <c r="R67" s="57" t="n">
        <v>4</v>
      </c>
      <c r="S67" s="57" t="n">
        <v>4</v>
      </c>
      <c r="T67" s="57" t="n">
        <v>5</v>
      </c>
      <c r="U67" s="57" t="n">
        <v>95</v>
      </c>
      <c r="V67" s="57" t="n">
        <v>6</v>
      </c>
      <c r="W67" s="57" t="n">
        <v>105</v>
      </c>
      <c r="X67" s="57" t="n">
        <v>8</v>
      </c>
      <c r="Y67" s="57" t="n">
        <v>52.5</v>
      </c>
      <c r="Z67" s="58">
        <f>2.5*((C67-1)+(5-D67)+(E67-1)+(5-F67)+(G67-1)+(5-H67)+(I67-1)+(5-J67)+(K67-1)+(5-L67))</f>
        <v/>
      </c>
      <c r="AA67" s="57" t="n">
        <v>14</v>
      </c>
      <c r="AB67" s="58">
        <f>SUM(M67:T67)</f>
        <v/>
      </c>
      <c r="AC67" s="57" t="n">
        <v>150.5</v>
      </c>
      <c r="AD67" s="58">
        <f>AVERAGE(U67,W67)</f>
        <v/>
      </c>
      <c r="AE67" s="57" t="n">
        <v>12</v>
      </c>
      <c r="AF67" s="58">
        <f>V67+X67</f>
        <v/>
      </c>
      <c r="AG67" s="57" t="n">
        <v>7</v>
      </c>
      <c r="AH67" s="58">
        <f>Z67-Y67</f>
        <v/>
      </c>
      <c r="AI67" s="58">
        <f>AB67-AA67</f>
        <v/>
      </c>
      <c r="AJ67" s="58">
        <f>AD67-AC67</f>
        <v/>
      </c>
      <c r="AK67" s="58">
        <f>AF67-AE67</f>
        <v/>
      </c>
    </row>
    <row r="68" ht="15.75" customHeight="1" s="67">
      <c r="A68" s="57" t="inlineStr">
        <is>
          <t>GU-TDH-078</t>
        </is>
      </c>
      <c r="B68" s="57" t="inlineStr">
        <is>
          <t>G</t>
        </is>
      </c>
      <c r="C68" s="57" t="n">
        <v>5</v>
      </c>
      <c r="D68" s="57" t="n">
        <v>2</v>
      </c>
      <c r="E68" s="57" t="n">
        <v>4</v>
      </c>
      <c r="F68" s="57" t="n">
        <v>1</v>
      </c>
      <c r="G68" s="57" t="n">
        <v>5</v>
      </c>
      <c r="H68" s="57" t="n">
        <v>1</v>
      </c>
      <c r="I68" s="57" t="n">
        <v>4</v>
      </c>
      <c r="J68" s="57" t="n">
        <v>1</v>
      </c>
      <c r="K68" s="57" t="n">
        <v>4</v>
      </c>
      <c r="L68" s="57" t="n">
        <v>1</v>
      </c>
      <c r="M68" s="57" t="n">
        <v>4</v>
      </c>
      <c r="N68" s="57" t="n">
        <v>5</v>
      </c>
      <c r="O68" s="57" t="n">
        <v>4</v>
      </c>
      <c r="P68" s="57" t="n">
        <v>5</v>
      </c>
      <c r="Q68" s="57" t="n">
        <v>5</v>
      </c>
      <c r="R68" s="57" t="n">
        <v>5</v>
      </c>
      <c r="S68" s="57" t="n">
        <v>4</v>
      </c>
      <c r="T68" s="57" t="n">
        <v>5</v>
      </c>
      <c r="U68" s="57" t="n">
        <v>101</v>
      </c>
      <c r="V68" s="57" t="n">
        <v>7</v>
      </c>
      <c r="W68" s="57" t="n">
        <v>84</v>
      </c>
      <c r="X68" s="57" t="n">
        <v>6</v>
      </c>
      <c r="Y68" s="57" t="n">
        <v>62.5</v>
      </c>
      <c r="Z68" s="58">
        <f>2.5*((C68-1)+(5-D68)+(E68-1)+(5-F68)+(G68-1)+(5-H68)+(I68-1)+(5-J68)+(K68-1)+(5-L68))</f>
        <v/>
      </c>
      <c r="AA68" s="57" t="n">
        <v>23</v>
      </c>
      <c r="AB68" s="58">
        <f>SUM(M68:T68)</f>
        <v/>
      </c>
      <c r="AC68" s="57" t="n">
        <v>221.5</v>
      </c>
      <c r="AD68" s="58">
        <f>AVERAGE(U68,W68)</f>
        <v/>
      </c>
      <c r="AE68" s="57" t="n">
        <v>31</v>
      </c>
      <c r="AF68" s="58">
        <f>V68+X68</f>
        <v/>
      </c>
      <c r="AG68" s="57" t="n">
        <v>4</v>
      </c>
      <c r="AH68" s="58">
        <f>Z68-Y68</f>
        <v/>
      </c>
      <c r="AI68" s="58">
        <f>AB68-AA68</f>
        <v/>
      </c>
      <c r="AJ68" s="58">
        <f>AD68-AC68</f>
        <v/>
      </c>
      <c r="AK68" s="58">
        <f>AF68-AE68</f>
        <v/>
      </c>
    </row>
    <row r="69" ht="15.75" customHeight="1" s="67">
      <c r="A69" s="57" t="inlineStr">
        <is>
          <t>GU-TDH-079</t>
        </is>
      </c>
      <c r="B69" s="57" t="inlineStr">
        <is>
          <t>G</t>
        </is>
      </c>
      <c r="C69" s="57" t="n">
        <v>3</v>
      </c>
      <c r="D69" s="57" t="n">
        <v>3</v>
      </c>
      <c r="E69" s="57" t="n">
        <v>2</v>
      </c>
      <c r="F69" s="57" t="n">
        <v>4</v>
      </c>
      <c r="G69" s="57" t="n">
        <v>3</v>
      </c>
      <c r="H69" s="57" t="n">
        <v>3</v>
      </c>
      <c r="I69" s="57" t="n">
        <v>3</v>
      </c>
      <c r="J69" s="57" t="n">
        <v>3</v>
      </c>
      <c r="K69" s="57" t="n">
        <v>3</v>
      </c>
      <c r="L69" s="57" t="n">
        <v>1</v>
      </c>
      <c r="M69" s="57" t="n">
        <v>3</v>
      </c>
      <c r="N69" s="57" t="n">
        <v>3</v>
      </c>
      <c r="O69" s="57" t="n">
        <v>3</v>
      </c>
      <c r="P69" s="57" t="n">
        <v>3</v>
      </c>
      <c r="Q69" s="57" t="n">
        <v>4</v>
      </c>
      <c r="R69" s="57" t="n">
        <v>3</v>
      </c>
      <c r="S69" s="57" t="n">
        <v>3</v>
      </c>
      <c r="T69" s="57" t="n">
        <v>2</v>
      </c>
      <c r="U69" s="57" t="n">
        <v>104</v>
      </c>
      <c r="V69" s="57" t="n">
        <v>8</v>
      </c>
      <c r="W69" s="57" t="n">
        <v>113</v>
      </c>
      <c r="X69" s="57" t="n">
        <v>6</v>
      </c>
      <c r="Y69" s="57" t="n">
        <v>45</v>
      </c>
      <c r="Z69" s="58">
        <f>2.5*((C69-1)+(5-D69)+(E69-1)+(5-F69)+(G69-1)+(5-H69)+(I69-1)+(5-J69)+(K69-1)+(5-L69))</f>
        <v/>
      </c>
      <c r="AA69" s="57" t="n">
        <v>15</v>
      </c>
      <c r="AB69" s="58">
        <f>SUM(M69:T69)</f>
        <v/>
      </c>
      <c r="AC69" s="57" t="n">
        <v>224.5</v>
      </c>
      <c r="AD69" s="58">
        <f>AVERAGE(U69,W69)</f>
        <v/>
      </c>
      <c r="AE69" s="57" t="n">
        <v>22</v>
      </c>
      <c r="AF69" s="58">
        <f>V69+X69</f>
        <v/>
      </c>
      <c r="AG69" s="57" t="n">
        <v>4</v>
      </c>
      <c r="AH69" s="58">
        <f>Z69-Y69</f>
        <v/>
      </c>
      <c r="AI69" s="58">
        <f>AB69-AA69</f>
        <v/>
      </c>
      <c r="AJ69" s="58">
        <f>AD69-AC69</f>
        <v/>
      </c>
      <c r="AK69" s="58">
        <f>AF69-AE69</f>
        <v/>
      </c>
    </row>
    <row r="70" ht="15.75" customHeight="1" s="67">
      <c r="A70" s="57" t="inlineStr">
        <is>
          <t>GU-TDH-080</t>
        </is>
      </c>
      <c r="B70" s="57" t="inlineStr">
        <is>
          <t>G</t>
        </is>
      </c>
      <c r="C70" s="57" t="n">
        <v>4</v>
      </c>
      <c r="D70" s="57" t="n">
        <v>1</v>
      </c>
      <c r="E70" s="57" t="n">
        <v>5</v>
      </c>
      <c r="F70" s="57" t="n">
        <v>2</v>
      </c>
      <c r="G70" s="57" t="n">
        <v>5</v>
      </c>
      <c r="H70" s="57" t="n">
        <v>1</v>
      </c>
      <c r="I70" s="57" t="n">
        <v>4</v>
      </c>
      <c r="J70" s="57" t="n">
        <v>2</v>
      </c>
      <c r="K70" s="57" t="n">
        <v>4</v>
      </c>
      <c r="L70" s="57" t="n">
        <v>1</v>
      </c>
      <c r="M70" s="57" t="n">
        <v>3</v>
      </c>
      <c r="N70" s="57" t="n">
        <v>4</v>
      </c>
      <c r="O70" s="57" t="n">
        <v>3</v>
      </c>
      <c r="P70" s="57" t="n">
        <v>3</v>
      </c>
      <c r="Q70" s="57" t="n">
        <v>4</v>
      </c>
      <c r="R70" s="57" t="n">
        <v>3</v>
      </c>
      <c r="S70" s="57" t="n">
        <v>3</v>
      </c>
      <c r="T70" s="57" t="n">
        <v>3</v>
      </c>
      <c r="U70" s="57" t="n">
        <v>94</v>
      </c>
      <c r="V70" s="57" t="n">
        <v>4</v>
      </c>
      <c r="W70" s="57" t="n">
        <v>83</v>
      </c>
      <c r="X70" s="57" t="n">
        <v>5</v>
      </c>
      <c r="Y70" s="57" t="n">
        <v>67.5</v>
      </c>
      <c r="Z70" s="58">
        <f>2.5*((C70-1)+(5-D70)+(E70-1)+(5-F70)+(G70-1)+(5-H70)+(I70-1)+(5-J70)+(K70-1)+(5-L70))</f>
        <v/>
      </c>
      <c r="AA70" s="57" t="n">
        <v>25</v>
      </c>
      <c r="AB70" s="58">
        <f>SUM(M70:T70)</f>
        <v/>
      </c>
      <c r="AC70" s="57" t="n">
        <v>220</v>
      </c>
      <c r="AD70" s="58">
        <f>AVERAGE(U70,W70)</f>
        <v/>
      </c>
      <c r="AE70" s="57" t="n">
        <v>24</v>
      </c>
      <c r="AF70" s="58">
        <f>V70+X70</f>
        <v/>
      </c>
      <c r="AG70" s="57" t="n">
        <v>4</v>
      </c>
      <c r="AH70" s="58">
        <f>Z70-Y70</f>
        <v/>
      </c>
      <c r="AI70" s="58">
        <f>AB70-AA70</f>
        <v/>
      </c>
      <c r="AJ70" s="58">
        <f>AD70-AC70</f>
        <v/>
      </c>
      <c r="AK70" s="58">
        <f>AF70-AE70</f>
        <v/>
      </c>
    </row>
    <row r="71" ht="15.75" customHeight="1" s="67">
      <c r="A71" s="57" t="inlineStr">
        <is>
          <t>GU-TDH-081</t>
        </is>
      </c>
      <c r="B71" s="57" t="inlineStr">
        <is>
          <t>G</t>
        </is>
      </c>
      <c r="C71" s="57" t="n">
        <v>3</v>
      </c>
      <c r="D71" s="57" t="n">
        <v>2</v>
      </c>
      <c r="E71" s="57" t="n">
        <v>4</v>
      </c>
      <c r="F71" s="57" t="n">
        <v>1</v>
      </c>
      <c r="G71" s="57" t="n">
        <v>4</v>
      </c>
      <c r="H71" s="57" t="n">
        <v>2</v>
      </c>
      <c r="I71" s="57" t="n">
        <v>4</v>
      </c>
      <c r="J71" s="57" t="n">
        <v>2</v>
      </c>
      <c r="K71" s="57" t="n">
        <v>4</v>
      </c>
      <c r="L71" s="57" t="n">
        <v>2</v>
      </c>
      <c r="M71" s="57" t="n">
        <v>3</v>
      </c>
      <c r="N71" s="57" t="n">
        <v>4</v>
      </c>
      <c r="O71" s="57" t="n">
        <v>2</v>
      </c>
      <c r="P71" s="57" t="n">
        <v>3</v>
      </c>
      <c r="Q71" s="57" t="n">
        <v>4</v>
      </c>
      <c r="R71" s="57" t="n">
        <v>4</v>
      </c>
      <c r="S71" s="57" t="n">
        <v>2</v>
      </c>
      <c r="T71" s="57" t="n">
        <v>3</v>
      </c>
      <c r="U71" s="57" t="n">
        <v>115</v>
      </c>
      <c r="V71" s="57" t="n">
        <v>9</v>
      </c>
      <c r="W71" s="57" t="n">
        <v>82</v>
      </c>
      <c r="X71" s="57" t="n">
        <v>5</v>
      </c>
      <c r="Y71" s="57" t="n">
        <v>55</v>
      </c>
      <c r="Z71" s="58">
        <f>2.5*((C71-1)+(5-D71)+(E71-1)+(5-F71)+(G71-1)+(5-H71)+(I71-1)+(5-J71)+(K71-1)+(5-L71))</f>
        <v/>
      </c>
      <c r="AA71" s="57" t="n">
        <v>24</v>
      </c>
      <c r="AB71" s="58">
        <f>SUM(M71:T71)</f>
        <v/>
      </c>
      <c r="AC71" s="57" t="n">
        <v>258.5</v>
      </c>
      <c r="AD71" s="58">
        <f>AVERAGE(U71,W71)</f>
        <v/>
      </c>
      <c r="AE71" s="57" t="n">
        <v>26</v>
      </c>
      <c r="AF71" s="58">
        <f>V71+X71</f>
        <v/>
      </c>
      <c r="AG71" s="57" t="n">
        <v>4</v>
      </c>
      <c r="AH71" s="58">
        <f>Z71-Y71</f>
        <v/>
      </c>
      <c r="AI71" s="58">
        <f>AB71-AA71</f>
        <v/>
      </c>
      <c r="AJ71" s="58">
        <f>AD71-AC71</f>
        <v/>
      </c>
      <c r="AK71" s="58">
        <f>AF71-AE71</f>
        <v/>
      </c>
    </row>
    <row r="72" ht="15.75" customHeight="1" s="67">
      <c r="A72" s="57" t="inlineStr">
        <is>
          <t>GU-TDH-082</t>
        </is>
      </c>
      <c r="B72" s="57" t="inlineStr">
        <is>
          <t>G</t>
        </is>
      </c>
      <c r="C72" s="57" t="n">
        <v>3</v>
      </c>
      <c r="D72" s="57" t="n">
        <v>2</v>
      </c>
      <c r="E72" s="57" t="n">
        <v>4</v>
      </c>
      <c r="F72" s="57" t="n">
        <v>1</v>
      </c>
      <c r="G72" s="57" t="n">
        <v>4</v>
      </c>
      <c r="H72" s="57" t="n">
        <v>1</v>
      </c>
      <c r="I72" s="57" t="n">
        <v>3</v>
      </c>
      <c r="J72" s="57" t="n">
        <v>2</v>
      </c>
      <c r="K72" s="57" t="n">
        <v>5</v>
      </c>
      <c r="L72" s="57" t="n">
        <v>1</v>
      </c>
      <c r="M72" s="57" t="n">
        <v>4</v>
      </c>
      <c r="N72" s="57" t="n">
        <v>5</v>
      </c>
      <c r="O72" s="57" t="n">
        <v>5</v>
      </c>
      <c r="P72" s="57" t="n">
        <v>5</v>
      </c>
      <c r="Q72" s="57" t="n">
        <v>4</v>
      </c>
      <c r="R72" s="57" t="n">
        <v>4</v>
      </c>
      <c r="S72" s="57" t="n">
        <v>5</v>
      </c>
      <c r="T72" s="57" t="n">
        <v>5</v>
      </c>
      <c r="U72" s="57" t="n">
        <v>68</v>
      </c>
      <c r="V72" s="57" t="n">
        <v>3</v>
      </c>
      <c r="W72" s="57" t="n">
        <v>65</v>
      </c>
      <c r="X72" s="57" t="n">
        <v>5</v>
      </c>
      <c r="Y72" s="57" t="n">
        <v>65</v>
      </c>
      <c r="Z72" s="58">
        <f>2.5*((C72-1)+(5-D72)+(E72-1)+(5-F72)+(G72-1)+(5-H72)+(I72-1)+(5-J72)+(K72-1)+(5-L72))</f>
        <v/>
      </c>
      <c r="AA72" s="57" t="n">
        <v>28</v>
      </c>
      <c r="AB72" s="58">
        <f>SUM(M72:T72)</f>
        <v/>
      </c>
      <c r="AC72" s="57" t="n">
        <v>240.5</v>
      </c>
      <c r="AD72" s="58">
        <f>AVERAGE(U72,W72)</f>
        <v/>
      </c>
      <c r="AE72" s="57" t="n">
        <v>24</v>
      </c>
      <c r="AF72" s="58">
        <f>V72+X72</f>
        <v/>
      </c>
      <c r="AG72" s="57" t="n">
        <v>5</v>
      </c>
      <c r="AH72" s="58">
        <f>Z72-Y72</f>
        <v/>
      </c>
      <c r="AI72" s="58">
        <f>AB72-AA72</f>
        <v/>
      </c>
      <c r="AJ72" s="58">
        <f>AD72-AC72</f>
        <v/>
      </c>
      <c r="AK72" s="58">
        <f>AF72-AE72</f>
        <v/>
      </c>
    </row>
    <row r="73" ht="15.75" customHeight="1" s="67">
      <c r="A73" s="57" t="inlineStr">
        <is>
          <t>GU-TDH-083</t>
        </is>
      </c>
      <c r="B73" s="57" t="inlineStr">
        <is>
          <t>G</t>
        </is>
      </c>
      <c r="C73" s="57" t="n">
        <v>4</v>
      </c>
      <c r="D73" s="57" t="n">
        <v>1</v>
      </c>
      <c r="E73" s="57" t="n">
        <v>4</v>
      </c>
      <c r="F73" s="57" t="n">
        <v>1</v>
      </c>
      <c r="G73" s="57" t="n">
        <v>4</v>
      </c>
      <c r="H73" s="57" t="n">
        <v>2</v>
      </c>
      <c r="I73" s="57" t="n">
        <v>4</v>
      </c>
      <c r="J73" s="57" t="n">
        <v>1</v>
      </c>
      <c r="K73" s="57" t="n">
        <v>3</v>
      </c>
      <c r="L73" s="57" t="n">
        <v>1</v>
      </c>
      <c r="M73" s="57" t="n">
        <v>4</v>
      </c>
      <c r="N73" s="57" t="n">
        <v>4</v>
      </c>
      <c r="O73" s="57" t="n">
        <v>4</v>
      </c>
      <c r="P73" s="57" t="n">
        <v>5</v>
      </c>
      <c r="Q73" s="57" t="n">
        <v>5</v>
      </c>
      <c r="R73" s="57" t="n">
        <v>3</v>
      </c>
      <c r="S73" s="57" t="n">
        <v>5</v>
      </c>
      <c r="T73" s="57" t="n">
        <v>4</v>
      </c>
      <c r="U73" s="57" t="n">
        <v>97</v>
      </c>
      <c r="V73" s="57" t="n">
        <v>4</v>
      </c>
      <c r="W73" s="57" t="n">
        <v>46</v>
      </c>
      <c r="X73" s="57" t="n">
        <v>4</v>
      </c>
      <c r="Y73" s="57" t="n">
        <v>55</v>
      </c>
      <c r="Z73" s="58">
        <f>2.5*((C73-1)+(5-D73)+(E73-1)+(5-F73)+(G73-1)+(5-H73)+(I73-1)+(5-J73)+(K73-1)+(5-L73))</f>
        <v/>
      </c>
      <c r="AA73" s="57" t="n">
        <v>23</v>
      </c>
      <c r="AB73" s="58">
        <f>SUM(M73:T73)</f>
        <v/>
      </c>
      <c r="AC73" s="57" t="n">
        <v>194</v>
      </c>
      <c r="AD73" s="58">
        <f>AVERAGE(U73,W73)</f>
        <v/>
      </c>
      <c r="AE73" s="57" t="n">
        <v>26</v>
      </c>
      <c r="AF73" s="58">
        <f>V73+X73</f>
        <v/>
      </c>
      <c r="AG73" s="57" t="n">
        <v>4</v>
      </c>
      <c r="AH73" s="58">
        <f>Z73-Y73</f>
        <v/>
      </c>
      <c r="AI73" s="58">
        <f>AB73-AA73</f>
        <v/>
      </c>
      <c r="AJ73" s="58">
        <f>AD73-AC73</f>
        <v/>
      </c>
      <c r="AK73" s="58">
        <f>AF73-AE73</f>
        <v/>
      </c>
    </row>
    <row r="74" ht="15.75" customHeight="1" s="67">
      <c r="A74" s="57" t="inlineStr">
        <is>
          <t>GU-TDH-085</t>
        </is>
      </c>
      <c r="B74" s="57" t="inlineStr">
        <is>
          <t>G</t>
        </is>
      </c>
      <c r="C74" s="57" t="n">
        <v>3</v>
      </c>
      <c r="D74" s="57" t="n">
        <v>1</v>
      </c>
      <c r="E74" s="57" t="n">
        <v>4</v>
      </c>
      <c r="F74" s="57" t="n">
        <v>2</v>
      </c>
      <c r="G74" s="57" t="n">
        <v>5</v>
      </c>
      <c r="H74" s="57" t="n">
        <v>1</v>
      </c>
      <c r="I74" s="57" t="n">
        <v>4</v>
      </c>
      <c r="J74" s="57" t="n">
        <v>1</v>
      </c>
      <c r="K74" s="57" t="n">
        <v>4</v>
      </c>
      <c r="L74" s="57" t="n">
        <v>1</v>
      </c>
      <c r="M74" s="57" t="n">
        <v>4</v>
      </c>
      <c r="N74" s="57" t="n">
        <v>5</v>
      </c>
      <c r="O74" s="57" t="n">
        <v>4</v>
      </c>
      <c r="P74" s="57" t="n">
        <v>4</v>
      </c>
      <c r="Q74" s="57" t="n">
        <v>4</v>
      </c>
      <c r="R74" s="57" t="n">
        <v>5</v>
      </c>
      <c r="S74" s="57" t="n">
        <v>4</v>
      </c>
      <c r="T74" s="57" t="n">
        <v>5</v>
      </c>
      <c r="U74" s="57" t="n">
        <v>83</v>
      </c>
      <c r="V74" s="57" t="n">
        <v>6</v>
      </c>
      <c r="W74" s="57" t="n">
        <v>48</v>
      </c>
      <c r="X74" s="57" t="n">
        <v>1</v>
      </c>
      <c r="Y74" s="57" t="n">
        <v>62.5</v>
      </c>
      <c r="Z74" s="58">
        <f>2.5*((C74-1)+(5-D74)+(E74-1)+(5-F74)+(G74-1)+(5-H74)+(I74-1)+(5-J74)+(K74-1)+(5-L74))</f>
        <v/>
      </c>
      <c r="AA74" s="57" t="n">
        <v>30</v>
      </c>
      <c r="AB74" s="58">
        <f>SUM(M74:T74)</f>
        <v/>
      </c>
      <c r="AC74" s="57" t="n">
        <v>213.5</v>
      </c>
      <c r="AD74" s="58">
        <f>AVERAGE(U74,W74)</f>
        <v/>
      </c>
      <c r="AE74" s="57" t="n">
        <v>19</v>
      </c>
      <c r="AF74" s="58">
        <f>V74+X74</f>
        <v/>
      </c>
      <c r="AG74" s="57" t="n">
        <v>4</v>
      </c>
      <c r="AH74" s="58">
        <f>Z74-Y74</f>
        <v/>
      </c>
      <c r="AI74" s="58">
        <f>AB74-AA74</f>
        <v/>
      </c>
      <c r="AJ74" s="58">
        <f>AD74-AC74</f>
        <v/>
      </c>
      <c r="AK74" s="58">
        <f>AF74-AE74</f>
        <v/>
      </c>
    </row>
    <row r="75" ht="15.75" customHeight="1" s="67">
      <c r="A75" s="57" t="inlineStr">
        <is>
          <t>GU-TDH-086</t>
        </is>
      </c>
      <c r="B75" s="57" t="inlineStr">
        <is>
          <t>G</t>
        </is>
      </c>
      <c r="C75" s="57" t="n">
        <v>5</v>
      </c>
      <c r="D75" s="57" t="n">
        <v>2</v>
      </c>
      <c r="E75" s="57" t="n">
        <v>4</v>
      </c>
      <c r="F75" s="57" t="n">
        <v>2</v>
      </c>
      <c r="G75" s="57" t="n">
        <v>4</v>
      </c>
      <c r="H75" s="57" t="n">
        <v>2</v>
      </c>
      <c r="I75" s="57" t="n">
        <v>5</v>
      </c>
      <c r="J75" s="57" t="n">
        <v>3</v>
      </c>
      <c r="K75" s="57" t="n">
        <v>4</v>
      </c>
      <c r="L75" s="57" t="n">
        <v>2</v>
      </c>
      <c r="M75" s="57" t="n">
        <v>4</v>
      </c>
      <c r="N75" s="57" t="n">
        <v>4</v>
      </c>
      <c r="O75" s="57" t="n">
        <v>3</v>
      </c>
      <c r="P75" s="57" t="n">
        <v>4</v>
      </c>
      <c r="Q75" s="57" t="n">
        <v>4</v>
      </c>
      <c r="R75" s="57" t="n">
        <v>4</v>
      </c>
      <c r="S75" s="57" t="n">
        <v>3</v>
      </c>
      <c r="T75" s="57" t="n">
        <v>3</v>
      </c>
      <c r="U75" s="57" t="n">
        <v>96</v>
      </c>
      <c r="V75" s="57" t="n">
        <v>6</v>
      </c>
      <c r="W75" s="57" t="n">
        <v>103</v>
      </c>
      <c r="X75" s="57" t="n">
        <v>5</v>
      </c>
      <c r="Y75" s="57" t="n">
        <v>47.5</v>
      </c>
      <c r="Z75" s="58">
        <f>2.5*((C75-1)+(5-D75)+(E75-1)+(5-F75)+(G75-1)+(5-H75)+(I75-1)+(5-J75)+(K75-1)+(5-L75))</f>
        <v/>
      </c>
      <c r="AA75" s="57" t="n">
        <v>20</v>
      </c>
      <c r="AB75" s="58">
        <f>SUM(M75:T75)</f>
        <v/>
      </c>
      <c r="AC75" s="57" t="n">
        <v>204.5</v>
      </c>
      <c r="AD75" s="58">
        <f>AVERAGE(U75,W75)</f>
        <v/>
      </c>
      <c r="AE75" s="57" t="n">
        <v>27</v>
      </c>
      <c r="AF75" s="58">
        <f>V75+X75</f>
        <v/>
      </c>
      <c r="AG75" s="57" t="n">
        <v>3</v>
      </c>
      <c r="AH75" s="58">
        <f>Z75-Y75</f>
        <v/>
      </c>
      <c r="AI75" s="58">
        <f>AB75-AA75</f>
        <v/>
      </c>
      <c r="AJ75" s="58">
        <f>AD75-AC75</f>
        <v/>
      </c>
      <c r="AK75" s="58">
        <f>AF75-AE75</f>
        <v/>
      </c>
    </row>
    <row r="76" ht="15.75" customHeight="1" s="67">
      <c r="A76" s="57" t="inlineStr">
        <is>
          <t>GU-TDH-087</t>
        </is>
      </c>
      <c r="B76" s="57" t="inlineStr">
        <is>
          <t>G</t>
        </is>
      </c>
      <c r="C76" s="57" t="n">
        <v>4</v>
      </c>
      <c r="D76" s="57" t="n">
        <v>1</v>
      </c>
      <c r="E76" s="57" t="n">
        <v>4</v>
      </c>
      <c r="F76" s="57" t="n">
        <v>2</v>
      </c>
      <c r="G76" s="57" t="n">
        <v>4</v>
      </c>
      <c r="H76" s="57" t="n">
        <v>2</v>
      </c>
      <c r="I76" s="57" t="n">
        <v>4</v>
      </c>
      <c r="J76" s="57" t="n">
        <v>1</v>
      </c>
      <c r="K76" s="57" t="n">
        <v>4</v>
      </c>
      <c r="L76" s="57" t="n">
        <v>1</v>
      </c>
      <c r="M76" s="57" t="n">
        <v>4</v>
      </c>
      <c r="N76" s="57" t="n">
        <v>5</v>
      </c>
      <c r="O76" s="57" t="n">
        <v>5</v>
      </c>
      <c r="P76" s="57" t="n">
        <v>5</v>
      </c>
      <c r="Q76" s="57" t="n">
        <v>5</v>
      </c>
      <c r="R76" s="57" t="n">
        <v>4</v>
      </c>
      <c r="S76" s="57" t="n">
        <v>4</v>
      </c>
      <c r="T76" s="57" t="n">
        <v>4</v>
      </c>
      <c r="U76" s="57" t="n">
        <v>89</v>
      </c>
      <c r="V76" s="57" t="n">
        <v>7</v>
      </c>
      <c r="W76" s="57" t="n">
        <v>85</v>
      </c>
      <c r="X76" s="57" t="n">
        <v>5</v>
      </c>
      <c r="Y76" s="57" t="n">
        <v>67.5</v>
      </c>
      <c r="Z76" s="58">
        <f>2.5*((C76-1)+(5-D76)+(E76-1)+(5-F76)+(G76-1)+(5-H76)+(I76-1)+(5-J76)+(K76-1)+(5-L76))</f>
        <v/>
      </c>
      <c r="AA76" s="57" t="n">
        <v>20</v>
      </c>
      <c r="AB76" s="58">
        <f>SUM(M76:T76)</f>
        <v/>
      </c>
      <c r="AC76" s="57" t="n">
        <v>207</v>
      </c>
      <c r="AD76" s="58">
        <f>AVERAGE(U76,W76)</f>
        <v/>
      </c>
      <c r="AE76" s="57" t="n">
        <v>22</v>
      </c>
      <c r="AF76" s="58">
        <f>V76+X76</f>
        <v/>
      </c>
      <c r="AG76" s="57" t="n">
        <v>3</v>
      </c>
      <c r="AH76" s="58">
        <f>Z76-Y76</f>
        <v/>
      </c>
      <c r="AI76" s="58">
        <f>AB76-AA76</f>
        <v/>
      </c>
      <c r="AJ76" s="58">
        <f>AD76-AC76</f>
        <v/>
      </c>
      <c r="AK76" s="58">
        <f>AF76-AE76</f>
        <v/>
      </c>
    </row>
    <row r="77" ht="15.75" customHeight="1" s="67">
      <c r="A77" s="57" t="inlineStr">
        <is>
          <t>GU-TDH-088</t>
        </is>
      </c>
      <c r="B77" s="57" t="inlineStr">
        <is>
          <t>G</t>
        </is>
      </c>
      <c r="C77" s="57" t="n">
        <v>4</v>
      </c>
      <c r="D77" s="57" t="n">
        <v>2</v>
      </c>
      <c r="E77" s="57" t="n">
        <v>3</v>
      </c>
      <c r="F77" s="57" t="n">
        <v>2</v>
      </c>
      <c r="G77" s="57" t="n">
        <v>4</v>
      </c>
      <c r="H77" s="57" t="n">
        <v>2</v>
      </c>
      <c r="I77" s="57" t="n">
        <v>4</v>
      </c>
      <c r="J77" s="57" t="n">
        <v>3</v>
      </c>
      <c r="K77" s="57" t="n">
        <v>4</v>
      </c>
      <c r="L77" s="57" t="n">
        <v>2</v>
      </c>
      <c r="M77" s="57" t="n">
        <v>4</v>
      </c>
      <c r="N77" s="57" t="n">
        <v>5</v>
      </c>
      <c r="O77" s="57" t="n">
        <v>5</v>
      </c>
      <c r="P77" s="57" t="n">
        <v>4</v>
      </c>
      <c r="Q77" s="57" t="n">
        <v>5</v>
      </c>
      <c r="R77" s="57" t="n">
        <v>4</v>
      </c>
      <c r="S77" s="57" t="n">
        <v>4</v>
      </c>
      <c r="T77" s="57" t="n">
        <v>5</v>
      </c>
      <c r="U77" s="57" t="n">
        <v>101</v>
      </c>
      <c r="V77" s="57" t="n">
        <v>5</v>
      </c>
      <c r="W77" s="57" t="n">
        <v>87</v>
      </c>
      <c r="X77" s="57" t="n">
        <v>7</v>
      </c>
      <c r="Y77" s="57" t="n">
        <v>65</v>
      </c>
      <c r="Z77" s="58">
        <f>2.5*((C77-1)+(5-D77)+(E77-1)+(5-F77)+(G77-1)+(5-H77)+(I77-1)+(5-J77)+(K77-1)+(5-L77))</f>
        <v/>
      </c>
      <c r="AA77" s="57" t="n">
        <v>25</v>
      </c>
      <c r="AB77" s="58">
        <f>SUM(M77:T77)</f>
        <v/>
      </c>
      <c r="AC77" s="57" t="n">
        <v>214.5</v>
      </c>
      <c r="AD77" s="58">
        <f>AVERAGE(U77,W77)</f>
        <v/>
      </c>
      <c r="AE77" s="57" t="n">
        <v>25</v>
      </c>
      <c r="AF77" s="58">
        <f>V77+X77</f>
        <v/>
      </c>
      <c r="AG77" s="57" t="n">
        <v>3</v>
      </c>
      <c r="AH77" s="58">
        <f>Z77-Y77</f>
        <v/>
      </c>
      <c r="AI77" s="58">
        <f>AB77-AA77</f>
        <v/>
      </c>
      <c r="AJ77" s="58">
        <f>AD77-AC77</f>
        <v/>
      </c>
      <c r="AK77" s="58">
        <f>AF77-AE77</f>
        <v/>
      </c>
    </row>
    <row r="78" ht="15.75" customHeight="1" s="67">
      <c r="A78" s="57" t="inlineStr">
        <is>
          <t>GU-TDH-089</t>
        </is>
      </c>
      <c r="B78" s="57" t="inlineStr">
        <is>
          <t>G</t>
        </is>
      </c>
      <c r="C78" s="57" t="n">
        <v>5</v>
      </c>
      <c r="D78" s="57" t="n">
        <v>1</v>
      </c>
      <c r="E78" s="57" t="n">
        <v>5</v>
      </c>
      <c r="F78" s="57" t="n">
        <v>1</v>
      </c>
      <c r="G78" s="57" t="n">
        <v>5</v>
      </c>
      <c r="H78" s="57" t="n">
        <v>1</v>
      </c>
      <c r="I78" s="57" t="n">
        <v>5</v>
      </c>
      <c r="J78" s="57" t="n">
        <v>2</v>
      </c>
      <c r="K78" s="57" t="n">
        <v>5</v>
      </c>
      <c r="L78" s="57" t="n">
        <v>1</v>
      </c>
      <c r="M78" s="57" t="n">
        <v>4</v>
      </c>
      <c r="N78" s="57" t="n">
        <v>4</v>
      </c>
      <c r="O78" s="57" t="n">
        <v>4</v>
      </c>
      <c r="P78" s="57" t="n">
        <v>3</v>
      </c>
      <c r="Q78" s="57" t="n">
        <v>5</v>
      </c>
      <c r="R78" s="57" t="n">
        <v>4</v>
      </c>
      <c r="S78" s="57" t="n">
        <v>4</v>
      </c>
      <c r="T78" s="57" t="n">
        <v>4</v>
      </c>
      <c r="U78" s="57" t="n">
        <v>84</v>
      </c>
      <c r="V78" s="57" t="n">
        <v>4</v>
      </c>
      <c r="W78" s="57" t="n">
        <v>59</v>
      </c>
      <c r="X78" s="57" t="n">
        <v>3</v>
      </c>
      <c r="Y78" s="57" t="n">
        <v>62.5</v>
      </c>
      <c r="Z78" s="58">
        <f>2.5*((C78-1)+(5-D78)+(E78-1)+(5-F78)+(G78-1)+(5-H78)+(I78-1)+(5-J78)+(K78-1)+(5-L78))</f>
        <v/>
      </c>
      <c r="AA78" s="57" t="n">
        <v>22</v>
      </c>
      <c r="AB78" s="58">
        <f>SUM(M78:T78)</f>
        <v/>
      </c>
      <c r="AC78" s="57" t="n">
        <v>178</v>
      </c>
      <c r="AD78" s="58">
        <f>AVERAGE(U78,W78)</f>
        <v/>
      </c>
      <c r="AE78" s="57" t="n">
        <v>21</v>
      </c>
      <c r="AF78" s="58">
        <f>V78+X78</f>
        <v/>
      </c>
      <c r="AG78" s="57" t="n">
        <v>4</v>
      </c>
      <c r="AH78" s="58">
        <f>Z78-Y78</f>
        <v/>
      </c>
      <c r="AI78" s="58">
        <f>AB78-AA78</f>
        <v/>
      </c>
      <c r="AJ78" s="58">
        <f>AD78-AC78</f>
        <v/>
      </c>
      <c r="AK78" s="58">
        <f>AF78-AE78</f>
        <v/>
      </c>
    </row>
    <row r="79" ht="15.75" customHeight="1" s="67">
      <c r="A79" s="57" t="inlineStr">
        <is>
          <t>GU-TDH-090</t>
        </is>
      </c>
      <c r="B79" s="57" t="inlineStr">
        <is>
          <t>G</t>
        </is>
      </c>
      <c r="C79" s="57" t="n">
        <v>5</v>
      </c>
      <c r="D79" s="57" t="n">
        <v>1</v>
      </c>
      <c r="E79" s="57" t="n">
        <v>5</v>
      </c>
      <c r="F79" s="57" t="n">
        <v>1</v>
      </c>
      <c r="G79" s="57" t="n">
        <v>4</v>
      </c>
      <c r="H79" s="57" t="n">
        <v>1</v>
      </c>
      <c r="I79" s="57" t="n">
        <v>3</v>
      </c>
      <c r="J79" s="57" t="n">
        <v>2</v>
      </c>
      <c r="K79" s="57" t="n">
        <v>5</v>
      </c>
      <c r="L79" s="57" t="n">
        <v>1</v>
      </c>
      <c r="M79" s="57" t="n">
        <v>3</v>
      </c>
      <c r="N79" s="57" t="n">
        <v>4</v>
      </c>
      <c r="O79" s="57" t="n">
        <v>5</v>
      </c>
      <c r="P79" s="57" t="n">
        <v>5</v>
      </c>
      <c r="Q79" s="57" t="n">
        <v>4</v>
      </c>
      <c r="R79" s="57" t="n">
        <v>4</v>
      </c>
      <c r="S79" s="57" t="n">
        <v>5</v>
      </c>
      <c r="T79" s="57" t="n">
        <v>4</v>
      </c>
      <c r="U79" s="57" t="n">
        <v>72</v>
      </c>
      <c r="V79" s="57" t="n">
        <v>5</v>
      </c>
      <c r="W79" s="57" t="n">
        <v>100</v>
      </c>
      <c r="X79" s="57" t="n">
        <v>9</v>
      </c>
      <c r="Y79" s="57" t="n">
        <v>62.5</v>
      </c>
      <c r="Z79" s="58">
        <f>2.5*((C79-1)+(5-D79)+(E79-1)+(5-F79)+(G79-1)+(5-H79)+(I79-1)+(5-J79)+(K79-1)+(5-L79))</f>
        <v/>
      </c>
      <c r="AA79" s="57" t="n">
        <v>29</v>
      </c>
      <c r="AB79" s="58">
        <f>SUM(M79:T79)</f>
        <v/>
      </c>
      <c r="AC79" s="57" t="n">
        <v>223.5</v>
      </c>
      <c r="AD79" s="58">
        <f>AVERAGE(U79,W79)</f>
        <v/>
      </c>
      <c r="AE79" s="57" t="n">
        <v>22</v>
      </c>
      <c r="AF79" s="58">
        <f>V79+X79</f>
        <v/>
      </c>
      <c r="AG79" s="57" t="n">
        <v>3</v>
      </c>
      <c r="AH79" s="58">
        <f>Z79-Y79</f>
        <v/>
      </c>
      <c r="AI79" s="58">
        <f>AB79-AA79</f>
        <v/>
      </c>
      <c r="AJ79" s="58">
        <f>AD79-AC79</f>
        <v/>
      </c>
      <c r="AK79" s="58">
        <f>AF79-AE79</f>
        <v/>
      </c>
    </row>
    <row r="80" ht="15.75" customHeight="1" s="67">
      <c r="A80" s="57" t="inlineStr">
        <is>
          <t>GU-TDH-091</t>
        </is>
      </c>
      <c r="B80" s="57" t="inlineStr">
        <is>
          <t>G</t>
        </is>
      </c>
      <c r="C80" s="57" t="n">
        <v>4</v>
      </c>
      <c r="D80" s="57" t="n">
        <v>2</v>
      </c>
      <c r="E80" s="57" t="n">
        <v>4</v>
      </c>
      <c r="F80" s="57" t="n">
        <v>3</v>
      </c>
      <c r="G80" s="57" t="n">
        <v>4</v>
      </c>
      <c r="H80" s="57" t="n">
        <v>1</v>
      </c>
      <c r="I80" s="57" t="n">
        <v>4</v>
      </c>
      <c r="J80" s="57" t="n">
        <v>2</v>
      </c>
      <c r="K80" s="57" t="n">
        <v>5</v>
      </c>
      <c r="L80" s="57" t="n">
        <v>2</v>
      </c>
      <c r="M80" s="57" t="n">
        <v>4</v>
      </c>
      <c r="N80" s="57" t="n">
        <v>4</v>
      </c>
      <c r="O80" s="57" t="n">
        <v>4</v>
      </c>
      <c r="P80" s="57" t="n">
        <v>5</v>
      </c>
      <c r="Q80" s="57" t="n">
        <v>2</v>
      </c>
      <c r="R80" s="57" t="n">
        <v>4</v>
      </c>
      <c r="S80" s="57" t="n">
        <v>5</v>
      </c>
      <c r="T80" s="57" t="n">
        <v>3</v>
      </c>
      <c r="U80" s="57" t="n">
        <v>114</v>
      </c>
      <c r="V80" s="57" t="n">
        <v>9</v>
      </c>
      <c r="W80" s="57" t="n">
        <v>87</v>
      </c>
      <c r="X80" s="57" t="n">
        <v>7</v>
      </c>
      <c r="Y80" s="57" t="n">
        <v>52.5</v>
      </c>
      <c r="Z80" s="58">
        <f>2.5*((C80-1)+(5-D80)+(E80-1)+(5-F80)+(G80-1)+(5-H80)+(I80-1)+(5-J80)+(K80-1)+(5-L80))</f>
        <v/>
      </c>
      <c r="AA80" s="57" t="n">
        <v>26</v>
      </c>
      <c r="AB80" s="58">
        <f>SUM(M80:T80)</f>
        <v/>
      </c>
      <c r="AC80" s="57" t="n">
        <v>137.5</v>
      </c>
      <c r="AD80" s="58">
        <f>AVERAGE(U80,W80)</f>
        <v/>
      </c>
      <c r="AE80" s="57" t="n">
        <v>11</v>
      </c>
      <c r="AF80" s="58">
        <f>V80+X80</f>
        <v/>
      </c>
      <c r="AG80" s="57" t="n">
        <v>5</v>
      </c>
      <c r="AH80" s="58">
        <f>Z80-Y80</f>
        <v/>
      </c>
      <c r="AI80" s="58">
        <f>AB80-AA80</f>
        <v/>
      </c>
      <c r="AJ80" s="58">
        <f>AD80-AC80</f>
        <v/>
      </c>
      <c r="AK80" s="58">
        <f>AF80-AE80</f>
        <v/>
      </c>
    </row>
    <row r="81" ht="15.75" customHeight="1" s="67">
      <c r="A81" s="57" t="inlineStr">
        <is>
          <t>GU-TDH-092</t>
        </is>
      </c>
      <c r="B81" s="57" t="inlineStr">
        <is>
          <t>G</t>
        </is>
      </c>
      <c r="C81" s="57" t="n">
        <v>4</v>
      </c>
      <c r="D81" s="57" t="n">
        <v>1</v>
      </c>
      <c r="E81" s="57" t="n">
        <v>4</v>
      </c>
      <c r="F81" s="57" t="n">
        <v>1</v>
      </c>
      <c r="G81" s="57" t="n">
        <v>5</v>
      </c>
      <c r="H81" s="57" t="n">
        <v>1</v>
      </c>
      <c r="I81" s="57" t="n">
        <v>4</v>
      </c>
      <c r="J81" s="57" t="n">
        <v>1</v>
      </c>
      <c r="K81" s="57" t="n">
        <v>5</v>
      </c>
      <c r="L81" s="57" t="n">
        <v>1</v>
      </c>
      <c r="M81" s="57" t="n">
        <v>4</v>
      </c>
      <c r="N81" s="57" t="n">
        <v>3</v>
      </c>
      <c r="O81" s="57" t="n">
        <v>3</v>
      </c>
      <c r="P81" s="57" t="n">
        <v>3</v>
      </c>
      <c r="Q81" s="57" t="n">
        <v>4</v>
      </c>
      <c r="R81" s="57" t="n">
        <v>4</v>
      </c>
      <c r="S81" s="57" t="n">
        <v>3</v>
      </c>
      <c r="T81" s="57" t="n">
        <v>4</v>
      </c>
      <c r="U81" s="57" t="n">
        <v>80</v>
      </c>
      <c r="V81" s="57" t="n">
        <v>3</v>
      </c>
      <c r="W81" s="57" t="n">
        <v>29</v>
      </c>
      <c r="X81" s="57" t="n">
        <v>1</v>
      </c>
      <c r="Y81" s="57" t="n">
        <v>65</v>
      </c>
      <c r="Z81" s="58">
        <f>2.5*((C81-1)+(5-D81)+(E81-1)+(5-F81)+(G81-1)+(5-H81)+(I81-1)+(5-J81)+(K81-1)+(5-L81))</f>
        <v/>
      </c>
      <c r="AA81" s="57" t="n">
        <v>19</v>
      </c>
      <c r="AB81" s="58">
        <f>SUM(M81:T81)</f>
        <v/>
      </c>
      <c r="AC81" s="57" t="n">
        <v>261</v>
      </c>
      <c r="AD81" s="58">
        <f>AVERAGE(U81,W81)</f>
        <v/>
      </c>
      <c r="AE81" s="57" t="n">
        <v>32</v>
      </c>
      <c r="AF81" s="58">
        <f>V81+X81</f>
        <v/>
      </c>
      <c r="AG81" s="57" t="n">
        <v>5</v>
      </c>
      <c r="AH81" s="58">
        <f>Z81-Y81</f>
        <v/>
      </c>
      <c r="AI81" s="58">
        <f>AB81-AA81</f>
        <v/>
      </c>
      <c r="AJ81" s="58">
        <f>AD81-AC81</f>
        <v/>
      </c>
      <c r="AK81" s="58">
        <f>AF81-AE81</f>
        <v/>
      </c>
    </row>
    <row r="82" ht="15.75" customHeight="1" s="67">
      <c r="A82" s="57" t="inlineStr">
        <is>
          <t>GU-TDH-093</t>
        </is>
      </c>
      <c r="B82" s="57" t="inlineStr">
        <is>
          <t>G</t>
        </is>
      </c>
      <c r="C82" s="57" t="n">
        <v>3</v>
      </c>
      <c r="D82" s="57" t="n">
        <v>1</v>
      </c>
      <c r="E82" s="57" t="n">
        <v>4</v>
      </c>
      <c r="F82" s="57" t="n">
        <v>1</v>
      </c>
      <c r="G82" s="57" t="n">
        <v>3</v>
      </c>
      <c r="H82" s="57" t="n">
        <v>2</v>
      </c>
      <c r="I82" s="57" t="n">
        <v>3</v>
      </c>
      <c r="J82" s="57" t="n">
        <v>2</v>
      </c>
      <c r="K82" s="57" t="n">
        <v>4</v>
      </c>
      <c r="L82" s="57" t="n">
        <v>1</v>
      </c>
      <c r="M82" s="57" t="n">
        <v>3</v>
      </c>
      <c r="N82" s="57" t="n">
        <v>4</v>
      </c>
      <c r="O82" s="57" t="n">
        <v>4</v>
      </c>
      <c r="P82" s="57" t="n">
        <v>4</v>
      </c>
      <c r="Q82" s="57" t="n">
        <v>3</v>
      </c>
      <c r="R82" s="57" t="n">
        <v>4</v>
      </c>
      <c r="S82" s="57" t="n">
        <v>2</v>
      </c>
      <c r="T82" s="57" t="n">
        <v>3</v>
      </c>
      <c r="U82" s="57" t="n">
        <v>107</v>
      </c>
      <c r="V82" s="57" t="n">
        <v>7</v>
      </c>
      <c r="W82" s="57" t="n">
        <v>107</v>
      </c>
      <c r="X82" s="57" t="n">
        <v>6</v>
      </c>
      <c r="Y82" s="57" t="n">
        <v>42.5</v>
      </c>
      <c r="Z82" s="58">
        <f>2.5*((C82-1)+(5-D82)+(E82-1)+(5-F82)+(G82-1)+(5-H82)+(I82-1)+(5-J82)+(K82-1)+(5-L82))</f>
        <v/>
      </c>
      <c r="AA82" s="57" t="n">
        <v>9</v>
      </c>
      <c r="AB82" s="58">
        <f>SUM(M82:T82)</f>
        <v/>
      </c>
      <c r="AC82" s="57" t="n">
        <v>200</v>
      </c>
      <c r="AD82" s="58">
        <f>AVERAGE(U82,W82)</f>
        <v/>
      </c>
      <c r="AE82" s="57" t="n">
        <v>18</v>
      </c>
      <c r="AF82" s="58">
        <f>V82+X82</f>
        <v/>
      </c>
      <c r="AG82" s="57" t="n">
        <v>4</v>
      </c>
      <c r="AH82" s="58">
        <f>Z82-Y82</f>
        <v/>
      </c>
      <c r="AI82" s="58">
        <f>AB82-AA82</f>
        <v/>
      </c>
      <c r="AJ82" s="58">
        <f>AD82-AC82</f>
        <v/>
      </c>
      <c r="AK82" s="58">
        <f>AF82-AE82</f>
        <v/>
      </c>
    </row>
    <row r="83" ht="15.75" customHeight="1" s="67">
      <c r="A83" s="57" t="inlineStr">
        <is>
          <t>GU-TDH-095</t>
        </is>
      </c>
      <c r="B83" s="57" t="inlineStr">
        <is>
          <t>G</t>
        </is>
      </c>
      <c r="C83" s="57" t="n">
        <v>5</v>
      </c>
      <c r="D83" s="57" t="n">
        <v>2</v>
      </c>
      <c r="E83" s="57" t="n">
        <v>5</v>
      </c>
      <c r="F83" s="57" t="n">
        <v>1</v>
      </c>
      <c r="G83" s="57" t="n">
        <v>4</v>
      </c>
      <c r="H83" s="57" t="n">
        <v>1</v>
      </c>
      <c r="I83" s="57" t="n">
        <v>4</v>
      </c>
      <c r="J83" s="57" t="n">
        <v>2</v>
      </c>
      <c r="K83" s="57" t="n">
        <v>5</v>
      </c>
      <c r="L83" s="57" t="n">
        <v>1</v>
      </c>
      <c r="M83" s="57" t="n">
        <v>5</v>
      </c>
      <c r="N83" s="57" t="n">
        <v>4</v>
      </c>
      <c r="O83" s="57" t="n">
        <v>5</v>
      </c>
      <c r="P83" s="57" t="n">
        <v>5</v>
      </c>
      <c r="Q83" s="57" t="n">
        <v>5</v>
      </c>
      <c r="R83" s="57" t="n">
        <v>5</v>
      </c>
      <c r="S83" s="57" t="n">
        <v>5</v>
      </c>
      <c r="T83" s="57" t="n">
        <v>5</v>
      </c>
      <c r="U83" s="57" t="n">
        <v>68</v>
      </c>
      <c r="V83" s="57" t="n">
        <v>4</v>
      </c>
      <c r="W83" s="57" t="n">
        <v>22</v>
      </c>
      <c r="X83" s="57" t="n">
        <v>3</v>
      </c>
      <c r="Y83" s="57" t="n">
        <v>72.5</v>
      </c>
      <c r="Z83" s="58">
        <f>2.5*((C83-1)+(5-D83)+(E83-1)+(5-F83)+(G83-1)+(5-H83)+(I83-1)+(5-J83)+(K83-1)+(5-L83))</f>
        <v/>
      </c>
      <c r="AA83" s="57" t="n">
        <v>29</v>
      </c>
      <c r="AB83" s="58">
        <f>SUM(M83:T83)</f>
        <v/>
      </c>
      <c r="AC83" s="57" t="n">
        <v>199</v>
      </c>
      <c r="AD83" s="58">
        <f>AVERAGE(U83,W83)</f>
        <v/>
      </c>
      <c r="AE83" s="57" t="n">
        <v>20</v>
      </c>
      <c r="AF83" s="58">
        <f>V83+X83</f>
        <v/>
      </c>
      <c r="AG83" s="57" t="n">
        <v>5</v>
      </c>
      <c r="AH83" s="58">
        <f>Z83-Y83</f>
        <v/>
      </c>
      <c r="AI83" s="58">
        <f>AB83-AA83</f>
        <v/>
      </c>
      <c r="AJ83" s="58">
        <f>AD83-AC83</f>
        <v/>
      </c>
      <c r="AK83" s="58">
        <f>AF83-AE83</f>
        <v/>
      </c>
    </row>
    <row r="84" ht="15.75" customHeight="1" s="67">
      <c r="A84" s="57" t="inlineStr">
        <is>
          <t>GU-TDH-097</t>
        </is>
      </c>
      <c r="B84" s="57" t="inlineStr">
        <is>
          <t>G</t>
        </is>
      </c>
      <c r="C84" s="57" t="n">
        <v>3</v>
      </c>
      <c r="D84" s="57" t="n">
        <v>2</v>
      </c>
      <c r="E84" s="57" t="n">
        <v>5</v>
      </c>
      <c r="F84" s="57" t="n">
        <v>2</v>
      </c>
      <c r="G84" s="57" t="n">
        <v>5</v>
      </c>
      <c r="H84" s="57" t="n">
        <v>2</v>
      </c>
      <c r="I84" s="57" t="n">
        <v>4</v>
      </c>
      <c r="J84" s="57" t="n">
        <v>2</v>
      </c>
      <c r="K84" s="57" t="n">
        <v>3</v>
      </c>
      <c r="L84" s="57" t="n">
        <v>2</v>
      </c>
      <c r="M84" s="57" t="n">
        <v>5</v>
      </c>
      <c r="N84" s="57" t="n">
        <v>4</v>
      </c>
      <c r="O84" s="57" t="n">
        <v>4</v>
      </c>
      <c r="P84" s="57" t="n">
        <v>4</v>
      </c>
      <c r="Q84" s="57" t="n">
        <v>4</v>
      </c>
      <c r="R84" s="57" t="n">
        <v>4</v>
      </c>
      <c r="S84" s="57" t="n">
        <v>3</v>
      </c>
      <c r="T84" s="57" t="n">
        <v>5</v>
      </c>
      <c r="U84" s="57" t="n">
        <v>67</v>
      </c>
      <c r="V84" s="57" t="n">
        <v>6</v>
      </c>
      <c r="W84" s="57" t="n">
        <v>82</v>
      </c>
      <c r="X84" s="57" t="n">
        <v>6</v>
      </c>
      <c r="Y84" s="57" t="n">
        <v>47.5</v>
      </c>
      <c r="Z84" s="58">
        <f>2.5*((C84-1)+(5-D84)+(E84-1)+(5-F84)+(G84-1)+(5-H84)+(I84-1)+(5-J84)+(K84-1)+(5-L84))</f>
        <v/>
      </c>
      <c r="AA84" s="57" t="n">
        <v>28</v>
      </c>
      <c r="AB84" s="58">
        <f>SUM(M84:T84)</f>
        <v/>
      </c>
      <c r="AC84" s="57" t="n">
        <v>217</v>
      </c>
      <c r="AD84" s="58">
        <f>AVERAGE(U84,W84)</f>
        <v/>
      </c>
      <c r="AE84" s="57" t="n">
        <v>19</v>
      </c>
      <c r="AF84" s="58">
        <f>V84+X84</f>
        <v/>
      </c>
      <c r="AG84" s="57" t="n">
        <v>5</v>
      </c>
      <c r="AH84" s="58">
        <f>Z84-Y84</f>
        <v/>
      </c>
      <c r="AI84" s="58">
        <f>AB84-AA84</f>
        <v/>
      </c>
      <c r="AJ84" s="58">
        <f>AD84-AC84</f>
        <v/>
      </c>
      <c r="AK84" s="58">
        <f>AF84-AE84</f>
        <v/>
      </c>
    </row>
    <row r="85" ht="15.75" customHeight="1" s="67">
      <c r="A85" s="57" t="inlineStr">
        <is>
          <t>GU-TDH-098</t>
        </is>
      </c>
      <c r="B85" s="57" t="inlineStr">
        <is>
          <t>G</t>
        </is>
      </c>
      <c r="C85" s="57" t="n">
        <v>4</v>
      </c>
      <c r="D85" s="57" t="n">
        <v>3</v>
      </c>
      <c r="E85" s="57" t="n">
        <v>2</v>
      </c>
      <c r="F85" s="57" t="n">
        <v>3</v>
      </c>
      <c r="G85" s="57" t="n">
        <v>3</v>
      </c>
      <c r="H85" s="57" t="n">
        <v>4</v>
      </c>
      <c r="I85" s="57" t="n">
        <v>3</v>
      </c>
      <c r="J85" s="57" t="n">
        <v>3</v>
      </c>
      <c r="K85" s="57" t="n">
        <v>3</v>
      </c>
      <c r="L85" s="57" t="n">
        <v>2</v>
      </c>
      <c r="M85" s="57" t="n">
        <v>4</v>
      </c>
      <c r="N85" s="57" t="n">
        <v>3</v>
      </c>
      <c r="O85" s="57" t="n">
        <v>2</v>
      </c>
      <c r="P85" s="57" t="n">
        <v>4</v>
      </c>
      <c r="Q85" s="57" t="n">
        <v>5</v>
      </c>
      <c r="R85" s="57" t="n">
        <v>3</v>
      </c>
      <c r="S85" s="57" t="n">
        <v>4</v>
      </c>
      <c r="T85" s="57" t="n">
        <v>4</v>
      </c>
      <c r="U85" s="57" t="n">
        <v>89</v>
      </c>
      <c r="V85" s="57" t="n">
        <v>8</v>
      </c>
      <c r="W85" s="57" t="n">
        <v>91</v>
      </c>
      <c r="X85" s="57" t="n">
        <v>5</v>
      </c>
      <c r="Y85" s="57" t="n">
        <v>45</v>
      </c>
      <c r="Z85" s="58">
        <f>2.5*((C85-1)+(5-D85)+(E85-1)+(5-F85)+(G85-1)+(5-H85)+(I85-1)+(5-J85)+(K85-1)+(5-L85))</f>
        <v/>
      </c>
      <c r="AA85" s="57" t="n">
        <v>25</v>
      </c>
      <c r="AB85" s="58">
        <f>SUM(M85:T85)</f>
        <v/>
      </c>
      <c r="AC85" s="57" t="n">
        <v>159.5</v>
      </c>
      <c r="AD85" s="58">
        <f>AVERAGE(U85,W85)</f>
        <v/>
      </c>
      <c r="AE85" s="57" t="n">
        <v>17</v>
      </c>
      <c r="AF85" s="58">
        <f>V85+X85</f>
        <v/>
      </c>
      <c r="AG85" s="57" t="n">
        <v>4</v>
      </c>
      <c r="AH85" s="58">
        <f>Z85-Y85</f>
        <v/>
      </c>
      <c r="AI85" s="58">
        <f>AB85-AA85</f>
        <v/>
      </c>
      <c r="AJ85" s="58">
        <f>AD85-AC85</f>
        <v/>
      </c>
      <c r="AK85" s="58">
        <f>AF85-AE85</f>
        <v/>
      </c>
    </row>
    <row r="86" ht="15.75" customHeight="1" s="67">
      <c r="A86" s="57" t="inlineStr">
        <is>
          <t>GU-TDH-099</t>
        </is>
      </c>
      <c r="B86" s="57" t="inlineStr">
        <is>
          <t>G</t>
        </is>
      </c>
      <c r="C86" s="57" t="n">
        <v>3</v>
      </c>
      <c r="D86" s="57" t="n">
        <v>3</v>
      </c>
      <c r="E86" s="57" t="n">
        <v>4</v>
      </c>
      <c r="F86" s="57" t="n">
        <v>2</v>
      </c>
      <c r="G86" s="57" t="n">
        <v>3</v>
      </c>
      <c r="H86" s="57" t="n">
        <v>3</v>
      </c>
      <c r="I86" s="57" t="n">
        <v>4</v>
      </c>
      <c r="J86" s="57" t="n">
        <v>3</v>
      </c>
      <c r="K86" s="57" t="n">
        <v>2</v>
      </c>
      <c r="L86" s="57" t="n">
        <v>3</v>
      </c>
      <c r="M86" s="57" t="n">
        <v>3</v>
      </c>
      <c r="N86" s="57" t="n">
        <v>3</v>
      </c>
      <c r="O86" s="57" t="n">
        <v>2</v>
      </c>
      <c r="P86" s="57" t="n">
        <v>3</v>
      </c>
      <c r="Q86" s="57" t="n">
        <v>4</v>
      </c>
      <c r="R86" s="57" t="n">
        <v>3</v>
      </c>
      <c r="S86" s="57" t="n">
        <v>4</v>
      </c>
      <c r="T86" s="57" t="n">
        <v>5</v>
      </c>
      <c r="U86" s="57" t="n">
        <v>98</v>
      </c>
      <c r="V86" s="57" t="n">
        <v>7</v>
      </c>
      <c r="W86" s="57" t="n">
        <v>88</v>
      </c>
      <c r="X86" s="57" t="n">
        <v>6</v>
      </c>
      <c r="Y86" s="57" t="n">
        <v>50</v>
      </c>
      <c r="Z86" s="58">
        <f>2.5*((C86-1)+(5-D86)+(E86-1)+(5-F86)+(G86-1)+(5-H86)+(I86-1)+(5-J86)+(K86-1)+(5-L86))</f>
        <v/>
      </c>
      <c r="AA86" s="57" t="n">
        <v>25</v>
      </c>
      <c r="AB86" s="58">
        <f>SUM(M86:T86)</f>
        <v/>
      </c>
      <c r="AC86" s="57" t="n">
        <v>170.5</v>
      </c>
      <c r="AD86" s="58">
        <f>AVERAGE(U86,W86)</f>
        <v/>
      </c>
      <c r="AE86" s="57" t="n">
        <v>16</v>
      </c>
      <c r="AF86" s="58">
        <f>V86+X86</f>
        <v/>
      </c>
      <c r="AG86" s="57" t="n">
        <v>4</v>
      </c>
      <c r="AH86" s="58">
        <f>Z86-Y86</f>
        <v/>
      </c>
      <c r="AI86" s="58">
        <f>AB86-AA86</f>
        <v/>
      </c>
      <c r="AJ86" s="58">
        <f>AD86-AC86</f>
        <v/>
      </c>
      <c r="AK86" s="58">
        <f>AF86-AE86</f>
        <v/>
      </c>
    </row>
    <row r="87" ht="15.75" customHeight="1" s="67">
      <c r="A87" s="57" t="inlineStr">
        <is>
          <t>GU-TDH-100</t>
        </is>
      </c>
      <c r="B87" s="57" t="inlineStr">
        <is>
          <t>G</t>
        </is>
      </c>
      <c r="C87" s="57" t="n">
        <v>5</v>
      </c>
      <c r="D87" s="57" t="n">
        <v>3</v>
      </c>
      <c r="E87" s="57" t="n">
        <v>5</v>
      </c>
      <c r="F87" s="57" t="n">
        <v>2</v>
      </c>
      <c r="G87" s="57" t="n">
        <v>5</v>
      </c>
      <c r="H87" s="57" t="n">
        <v>2</v>
      </c>
      <c r="I87" s="57" t="n">
        <v>4</v>
      </c>
      <c r="J87" s="57" t="n">
        <v>2</v>
      </c>
      <c r="K87" s="57" t="n">
        <v>4</v>
      </c>
      <c r="L87" s="57" t="n">
        <v>2</v>
      </c>
      <c r="M87" s="57" t="n">
        <v>5</v>
      </c>
      <c r="N87" s="57" t="n">
        <v>5</v>
      </c>
      <c r="O87" s="57" t="n">
        <v>5</v>
      </c>
      <c r="P87" s="57" t="n">
        <v>5</v>
      </c>
      <c r="Q87" s="57" t="n">
        <v>5</v>
      </c>
      <c r="R87" s="57" t="n">
        <v>5</v>
      </c>
      <c r="S87" s="57" t="n">
        <v>5</v>
      </c>
      <c r="T87" s="57" t="n">
        <v>5</v>
      </c>
      <c r="U87" s="57" t="n">
        <v>55</v>
      </c>
      <c r="V87" s="57" t="n">
        <v>4</v>
      </c>
      <c r="W87" s="57" t="n">
        <v>81</v>
      </c>
      <c r="X87" s="57" t="n">
        <v>5</v>
      </c>
      <c r="Y87" s="57" t="n">
        <v>60</v>
      </c>
      <c r="Z87" s="58">
        <f>2.5*((C87-1)+(5-D87)+(E87-1)+(5-F87)+(G87-1)+(5-H87)+(I87-1)+(5-J87)+(K87-1)+(5-L87))</f>
        <v/>
      </c>
      <c r="AA87" s="57" t="n">
        <v>33</v>
      </c>
      <c r="AB87" s="58">
        <f>SUM(M87:T87)</f>
        <v/>
      </c>
      <c r="AC87" s="57" t="n">
        <v>167</v>
      </c>
      <c r="AD87" s="58">
        <f>AVERAGE(U87,W87)</f>
        <v/>
      </c>
      <c r="AE87" s="57" t="n">
        <v>15</v>
      </c>
      <c r="AF87" s="58">
        <f>V87+X87</f>
        <v/>
      </c>
      <c r="AG87" s="57" t="n">
        <v>4</v>
      </c>
      <c r="AH87" s="58">
        <f>Z87-Y87</f>
        <v/>
      </c>
      <c r="AI87" s="58">
        <f>AB87-AA87</f>
        <v/>
      </c>
      <c r="AJ87" s="58">
        <f>AD87-AC87</f>
        <v/>
      </c>
      <c r="AK87" s="58">
        <f>AF87-AE87</f>
        <v/>
      </c>
    </row>
    <row r="88" ht="15.75" customHeight="1" s="67">
      <c r="A88" s="57" t="inlineStr">
        <is>
          <t>GU-TDH-101</t>
        </is>
      </c>
      <c r="B88" s="57" t="inlineStr">
        <is>
          <t>G</t>
        </is>
      </c>
      <c r="C88" s="57" t="n">
        <v>4</v>
      </c>
      <c r="D88" s="57" t="n">
        <v>2</v>
      </c>
      <c r="E88" s="57" t="n">
        <v>4</v>
      </c>
      <c r="F88" s="57" t="n">
        <v>2</v>
      </c>
      <c r="G88" s="57" t="n">
        <v>5</v>
      </c>
      <c r="H88" s="57" t="n">
        <v>2</v>
      </c>
      <c r="I88" s="57" t="n">
        <v>4</v>
      </c>
      <c r="J88" s="57" t="n">
        <v>2</v>
      </c>
      <c r="K88" s="57" t="n">
        <v>3</v>
      </c>
      <c r="L88" s="57" t="n">
        <v>2</v>
      </c>
      <c r="M88" s="57" t="n">
        <v>3</v>
      </c>
      <c r="N88" s="57" t="n">
        <v>4</v>
      </c>
      <c r="O88" s="57" t="n">
        <v>3</v>
      </c>
      <c r="P88" s="57" t="n">
        <v>4</v>
      </c>
      <c r="Q88" s="57" t="n">
        <v>3</v>
      </c>
      <c r="R88" s="57" t="n">
        <v>4</v>
      </c>
      <c r="S88" s="57" t="n">
        <v>5</v>
      </c>
      <c r="T88" s="57" t="n">
        <v>4</v>
      </c>
      <c r="U88" s="57" t="n">
        <v>60</v>
      </c>
      <c r="V88" s="57" t="n">
        <v>5</v>
      </c>
      <c r="W88" s="57" t="n">
        <v>110</v>
      </c>
      <c r="X88" s="57" t="n">
        <v>6</v>
      </c>
      <c r="Y88" s="57" t="n">
        <v>47.5</v>
      </c>
      <c r="Z88" s="58">
        <f>2.5*((C88-1)+(5-D88)+(E88-1)+(5-F88)+(G88-1)+(5-H88)+(I88-1)+(5-J88)+(K88-1)+(5-L88))</f>
        <v/>
      </c>
      <c r="AA88" s="57" t="n">
        <v>16</v>
      </c>
      <c r="AB88" s="58">
        <f>SUM(M88:T88)</f>
        <v/>
      </c>
      <c r="AC88" s="57" t="n">
        <v>147</v>
      </c>
      <c r="AD88" s="58">
        <f>AVERAGE(U88,W88)</f>
        <v/>
      </c>
      <c r="AE88" s="57" t="n">
        <v>20</v>
      </c>
      <c r="AF88" s="58">
        <f>V88+X88</f>
        <v/>
      </c>
      <c r="AG88" s="57" t="n">
        <v>4</v>
      </c>
      <c r="AH88" s="58">
        <f>Z88-Y88</f>
        <v/>
      </c>
      <c r="AI88" s="58">
        <f>AB88-AA88</f>
        <v/>
      </c>
      <c r="AJ88" s="58">
        <f>AD88-AC88</f>
        <v/>
      </c>
      <c r="AK88" s="58">
        <f>AF88-AE88</f>
        <v/>
      </c>
    </row>
    <row r="89" ht="15.75" customHeight="1" s="67">
      <c r="A89" s="57" t="inlineStr">
        <is>
          <t>GU-TDH-102</t>
        </is>
      </c>
      <c r="B89" s="57" t="inlineStr">
        <is>
          <t>G</t>
        </is>
      </c>
      <c r="C89" s="57" t="n">
        <v>4</v>
      </c>
      <c r="D89" s="57" t="n">
        <v>1</v>
      </c>
      <c r="E89" s="57" t="n">
        <v>5</v>
      </c>
      <c r="F89" s="57" t="n">
        <v>1</v>
      </c>
      <c r="G89" s="57" t="n">
        <v>5</v>
      </c>
      <c r="H89" s="57" t="n">
        <v>1</v>
      </c>
      <c r="I89" s="57" t="n">
        <v>4</v>
      </c>
      <c r="J89" s="57" t="n">
        <v>1</v>
      </c>
      <c r="K89" s="57" t="n">
        <v>4</v>
      </c>
      <c r="L89" s="57" t="n">
        <v>1</v>
      </c>
      <c r="M89" s="57" t="n">
        <v>5</v>
      </c>
      <c r="N89" s="57" t="n">
        <v>4</v>
      </c>
      <c r="O89" s="57" t="n">
        <v>4</v>
      </c>
      <c r="P89" s="57" t="n">
        <v>5</v>
      </c>
      <c r="Q89" s="57" t="n">
        <v>4</v>
      </c>
      <c r="R89" s="57" t="n">
        <v>5</v>
      </c>
      <c r="S89" s="57" t="n">
        <v>4</v>
      </c>
      <c r="T89" s="57" t="n">
        <v>5</v>
      </c>
      <c r="U89" s="57" t="n">
        <v>72</v>
      </c>
      <c r="V89" s="57" t="n">
        <v>6</v>
      </c>
      <c r="W89" s="57" t="n">
        <v>65</v>
      </c>
      <c r="X89" s="57" t="n">
        <v>5</v>
      </c>
      <c r="Y89" s="57" t="n">
        <v>67.5</v>
      </c>
      <c r="Z89" s="58">
        <f>2.5*((C89-1)+(5-D89)+(E89-1)+(5-F89)+(G89-1)+(5-H89)+(I89-1)+(5-J89)+(K89-1)+(5-L89))</f>
        <v/>
      </c>
      <c r="AA89" s="57" t="n">
        <v>19</v>
      </c>
      <c r="AB89" s="58">
        <f>SUM(M89:T89)</f>
        <v/>
      </c>
      <c r="AC89" s="57" t="n">
        <v>204.5</v>
      </c>
      <c r="AD89" s="58">
        <f>AVERAGE(U89,W89)</f>
        <v/>
      </c>
      <c r="AE89" s="57" t="n">
        <v>20</v>
      </c>
      <c r="AF89" s="58">
        <f>V89+X89</f>
        <v/>
      </c>
      <c r="AG89" s="57" t="n">
        <v>4</v>
      </c>
      <c r="AH89" s="58">
        <f>Z89-Y89</f>
        <v/>
      </c>
      <c r="AI89" s="58">
        <f>AB89-AA89</f>
        <v/>
      </c>
      <c r="AJ89" s="58">
        <f>AD89-AC89</f>
        <v/>
      </c>
      <c r="AK89" s="58">
        <f>AF89-AE89</f>
        <v/>
      </c>
    </row>
    <row r="90" ht="15.75" customHeight="1" s="67">
      <c r="A90" s="57" t="inlineStr">
        <is>
          <t>GU-TDH-103</t>
        </is>
      </c>
      <c r="B90" s="57" t="inlineStr">
        <is>
          <t>G</t>
        </is>
      </c>
      <c r="C90" s="57" t="n">
        <v>4</v>
      </c>
      <c r="D90" s="57" t="n">
        <v>2</v>
      </c>
      <c r="E90" s="57" t="n">
        <v>5</v>
      </c>
      <c r="F90" s="57" t="n">
        <v>2</v>
      </c>
      <c r="G90" s="57" t="n">
        <v>4</v>
      </c>
      <c r="H90" s="57" t="n">
        <v>2</v>
      </c>
      <c r="I90" s="57" t="n">
        <v>3</v>
      </c>
      <c r="J90" s="57" t="n">
        <v>3</v>
      </c>
      <c r="K90" s="57" t="n">
        <v>5</v>
      </c>
      <c r="L90" s="57" t="n">
        <v>1</v>
      </c>
      <c r="M90" s="57" t="n">
        <v>4</v>
      </c>
      <c r="N90" s="57" t="n">
        <v>4</v>
      </c>
      <c r="O90" s="57" t="n">
        <v>4</v>
      </c>
      <c r="P90" s="57" t="n">
        <v>4</v>
      </c>
      <c r="Q90" s="57" t="n">
        <v>3</v>
      </c>
      <c r="R90" s="57" t="n">
        <v>5</v>
      </c>
      <c r="S90" s="57" t="n">
        <v>3</v>
      </c>
      <c r="T90" s="57" t="n">
        <v>4</v>
      </c>
      <c r="U90" s="57" t="n">
        <v>55</v>
      </c>
      <c r="V90" s="57" t="n">
        <v>2</v>
      </c>
      <c r="W90" s="57" t="n">
        <v>48</v>
      </c>
      <c r="X90" s="57" t="n">
        <v>5</v>
      </c>
      <c r="Y90" s="57" t="n">
        <v>55</v>
      </c>
      <c r="Z90" s="58">
        <f>2.5*((C90-1)+(5-D90)+(E90-1)+(5-F90)+(G90-1)+(5-H90)+(I90-1)+(5-J90)+(K90-1)+(5-L90))</f>
        <v/>
      </c>
      <c r="AA90" s="57" t="n">
        <v>16</v>
      </c>
      <c r="AB90" s="58">
        <f>SUM(M90:T90)</f>
        <v/>
      </c>
      <c r="AC90" s="57" t="n">
        <v>198.5</v>
      </c>
      <c r="AD90" s="58">
        <f>AVERAGE(U90,W90)</f>
        <v/>
      </c>
      <c r="AE90" s="57" t="n">
        <v>24</v>
      </c>
      <c r="AF90" s="58">
        <f>V90+X90</f>
        <v/>
      </c>
      <c r="AG90" s="57" t="n">
        <v>4</v>
      </c>
      <c r="AH90" s="58">
        <f>Z90-Y90</f>
        <v/>
      </c>
      <c r="AI90" s="58">
        <f>AB90-AA90</f>
        <v/>
      </c>
      <c r="AJ90" s="58">
        <f>AD90-AC90</f>
        <v/>
      </c>
      <c r="AK90" s="58">
        <f>AF90-AE90</f>
        <v/>
      </c>
    </row>
    <row r="91" ht="15.75" customHeight="1" s="67">
      <c r="A91" s="57" t="inlineStr">
        <is>
          <t>GU-TDH-104</t>
        </is>
      </c>
      <c r="B91" s="57" t="inlineStr">
        <is>
          <t>G</t>
        </is>
      </c>
      <c r="C91" s="57" t="n">
        <v>3</v>
      </c>
      <c r="D91" s="57" t="n">
        <v>2</v>
      </c>
      <c r="E91" s="57" t="n">
        <v>3</v>
      </c>
      <c r="F91" s="57" t="n">
        <v>2</v>
      </c>
      <c r="G91" s="57" t="n">
        <v>3</v>
      </c>
      <c r="H91" s="57" t="n">
        <v>3</v>
      </c>
      <c r="I91" s="57" t="n">
        <v>4</v>
      </c>
      <c r="J91" s="57" t="n">
        <v>3</v>
      </c>
      <c r="K91" s="57" t="n">
        <v>4</v>
      </c>
      <c r="L91" s="57" t="n">
        <v>3</v>
      </c>
      <c r="M91" s="57" t="n">
        <v>5</v>
      </c>
      <c r="N91" s="57" t="n">
        <v>3</v>
      </c>
      <c r="O91" s="57" t="n">
        <v>5</v>
      </c>
      <c r="P91" s="57" t="n">
        <v>4</v>
      </c>
      <c r="Q91" s="57" t="n">
        <v>5</v>
      </c>
      <c r="R91" s="57" t="n">
        <v>4</v>
      </c>
      <c r="S91" s="57" t="n">
        <v>4</v>
      </c>
      <c r="T91" s="57" t="n">
        <v>4</v>
      </c>
      <c r="U91" s="57" t="n">
        <v>141</v>
      </c>
      <c r="V91" s="57" t="n">
        <v>10</v>
      </c>
      <c r="W91" s="57" t="n">
        <v>91</v>
      </c>
      <c r="X91" s="57" t="n">
        <v>6</v>
      </c>
      <c r="Y91" s="57" t="n">
        <v>35</v>
      </c>
      <c r="Z91" s="58">
        <f>2.5*((C91-1)+(5-D91)+(E91-1)+(5-F91)+(G91-1)+(5-H91)+(I91-1)+(5-J91)+(K91-1)+(5-L91))</f>
        <v/>
      </c>
      <c r="AA91" s="57" t="n">
        <v>18</v>
      </c>
      <c r="AB91" s="58">
        <f>SUM(M91:T91)</f>
        <v/>
      </c>
      <c r="AC91" s="57" t="n">
        <v>293.5</v>
      </c>
      <c r="AD91" s="58">
        <f>AVERAGE(U91,W91)</f>
        <v/>
      </c>
      <c r="AE91" s="57" t="n">
        <v>32</v>
      </c>
      <c r="AF91" s="58">
        <f>V91+X91</f>
        <v/>
      </c>
      <c r="AG91" s="57" t="n">
        <v>5</v>
      </c>
      <c r="AH91" s="58">
        <f>Z91-Y91</f>
        <v/>
      </c>
      <c r="AI91" s="58">
        <f>AB91-AA91</f>
        <v/>
      </c>
      <c r="AJ91" s="58">
        <f>AD91-AC91</f>
        <v/>
      </c>
      <c r="AK91" s="58">
        <f>AF91-AE91</f>
        <v/>
      </c>
    </row>
    <row r="92" ht="15.75" customHeight="1" s="67">
      <c r="A92" s="57" t="inlineStr">
        <is>
          <t>GU-TDH-106</t>
        </is>
      </c>
      <c r="B92" s="57" t="inlineStr">
        <is>
          <t>G</t>
        </is>
      </c>
      <c r="C92" s="57" t="n">
        <v>4</v>
      </c>
      <c r="D92" s="57" t="n">
        <v>2</v>
      </c>
      <c r="E92" s="57" t="n">
        <v>3</v>
      </c>
      <c r="F92" s="57" t="n">
        <v>2</v>
      </c>
      <c r="G92" s="57" t="n">
        <v>4</v>
      </c>
      <c r="H92" s="57" t="n">
        <v>3</v>
      </c>
      <c r="I92" s="57" t="n">
        <v>4</v>
      </c>
      <c r="J92" s="57" t="n">
        <v>2</v>
      </c>
      <c r="K92" s="57" t="n">
        <v>3</v>
      </c>
      <c r="L92" s="57" t="n">
        <v>2</v>
      </c>
      <c r="M92" s="57" t="n">
        <v>5</v>
      </c>
      <c r="N92" s="57" t="n">
        <v>4</v>
      </c>
      <c r="O92" s="57" t="n">
        <v>5</v>
      </c>
      <c r="P92" s="57" t="n">
        <v>4</v>
      </c>
      <c r="Q92" s="57" t="n">
        <v>4</v>
      </c>
      <c r="R92" s="57" t="n">
        <v>5</v>
      </c>
      <c r="S92" s="57" t="n">
        <v>4</v>
      </c>
      <c r="T92" s="57" t="n">
        <v>5</v>
      </c>
      <c r="U92" s="57" t="n">
        <v>110</v>
      </c>
      <c r="V92" s="57" t="n">
        <v>8</v>
      </c>
      <c r="W92" s="57" t="n">
        <v>86</v>
      </c>
      <c r="X92" s="57" t="n">
        <v>5</v>
      </c>
      <c r="Y92" s="57" t="n">
        <v>55</v>
      </c>
      <c r="Z92" s="58">
        <f>2.5*((C92-1)+(5-D92)+(E92-1)+(5-F92)+(G92-1)+(5-H92)+(I92-1)+(5-J92)+(K92-1)+(5-L92))</f>
        <v/>
      </c>
      <c r="AA92" s="57" t="n">
        <v>28</v>
      </c>
      <c r="AB92" s="58">
        <f>SUM(M92:T92)</f>
        <v/>
      </c>
      <c r="AC92" s="57" t="n">
        <v>256</v>
      </c>
      <c r="AD92" s="58">
        <f>AVERAGE(U92,W92)</f>
        <v/>
      </c>
      <c r="AE92" s="57" t="n">
        <v>24</v>
      </c>
      <c r="AF92" s="58">
        <f>V92+X92</f>
        <v/>
      </c>
      <c r="AG92" s="57" t="n">
        <v>4</v>
      </c>
      <c r="AH92" s="58">
        <f>Z92-Y92</f>
        <v/>
      </c>
      <c r="AI92" s="58">
        <f>AB92-AA92</f>
        <v/>
      </c>
      <c r="AJ92" s="58">
        <f>AD92-AC92</f>
        <v/>
      </c>
      <c r="AK92" s="58">
        <f>AF92-AE92</f>
        <v/>
      </c>
    </row>
    <row r="93" ht="15.75" customHeight="1" s="67">
      <c r="A93" s="57" t="inlineStr">
        <is>
          <t>GU-TDH-108</t>
        </is>
      </c>
      <c r="B93" s="57" t="inlineStr">
        <is>
          <t>G</t>
        </is>
      </c>
      <c r="C93" s="57" t="n">
        <v>5</v>
      </c>
      <c r="D93" s="57" t="n">
        <v>1</v>
      </c>
      <c r="E93" s="57" t="n">
        <v>4</v>
      </c>
      <c r="F93" s="57" t="n">
        <v>1</v>
      </c>
      <c r="G93" s="57" t="n">
        <v>4</v>
      </c>
      <c r="H93" s="57" t="n">
        <v>1</v>
      </c>
      <c r="I93" s="57" t="n">
        <v>4</v>
      </c>
      <c r="J93" s="57" t="n">
        <v>1</v>
      </c>
      <c r="K93" s="57" t="n">
        <v>5</v>
      </c>
      <c r="L93" s="57" t="n">
        <v>1</v>
      </c>
      <c r="M93" s="57" t="n">
        <v>5</v>
      </c>
      <c r="N93" s="57" t="n">
        <v>4</v>
      </c>
      <c r="O93" s="57" t="n">
        <v>4</v>
      </c>
      <c r="P93" s="57" t="n">
        <v>4</v>
      </c>
      <c r="Q93" s="57" t="n">
        <v>4</v>
      </c>
      <c r="R93" s="57" t="n">
        <v>4</v>
      </c>
      <c r="S93" s="57" t="n">
        <v>4</v>
      </c>
      <c r="T93" s="57" t="n">
        <v>4</v>
      </c>
      <c r="U93" s="57" t="n">
        <v>62</v>
      </c>
      <c r="V93" s="57" t="n">
        <v>6</v>
      </c>
      <c r="W93" s="57" t="n">
        <v>32</v>
      </c>
      <c r="X93" s="57" t="n">
        <v>1</v>
      </c>
      <c r="Y93" s="57" t="n">
        <v>30</v>
      </c>
      <c r="Z93" s="58">
        <f>2.5*((C93-1)+(5-D93)+(E93-1)+(5-F93)+(G93-1)+(5-H93)+(I93-1)+(5-J93)+(K93-1)+(5-L93))</f>
        <v/>
      </c>
      <c r="AA93" s="57" t="n">
        <v>22</v>
      </c>
      <c r="AB93" s="58">
        <f>SUM(M93:T93)</f>
        <v/>
      </c>
      <c r="AC93" s="57" t="n">
        <v>241</v>
      </c>
      <c r="AD93" s="58">
        <f>AVERAGE(U93,W93)</f>
        <v/>
      </c>
      <c r="AE93" s="57" t="n">
        <v>20</v>
      </c>
      <c r="AF93" s="58">
        <f>V93+X93</f>
        <v/>
      </c>
      <c r="AG93" s="57" t="n">
        <v>4</v>
      </c>
      <c r="AH93" s="58">
        <f>Z93-Y93</f>
        <v/>
      </c>
      <c r="AI93" s="58">
        <f>AB93-AA93</f>
        <v/>
      </c>
      <c r="AJ93" s="58">
        <f>AD93-AC93</f>
        <v/>
      </c>
      <c r="AK93" s="58">
        <f>AF93-AE93</f>
        <v/>
      </c>
    </row>
    <row r="94" ht="15.75" customHeight="1" s="67">
      <c r="A94" s="57" t="inlineStr">
        <is>
          <t>GU-TDH-110</t>
        </is>
      </c>
      <c r="B94" s="57" t="inlineStr">
        <is>
          <t>G</t>
        </is>
      </c>
      <c r="C94" s="57" t="n">
        <v>4</v>
      </c>
      <c r="D94" s="57" t="n">
        <v>3</v>
      </c>
      <c r="E94" s="57" t="n">
        <v>3</v>
      </c>
      <c r="F94" s="57" t="n">
        <v>2</v>
      </c>
      <c r="G94" s="57" t="n">
        <v>4</v>
      </c>
      <c r="H94" s="57" t="n">
        <v>2</v>
      </c>
      <c r="I94" s="57" t="n">
        <v>4</v>
      </c>
      <c r="J94" s="57" t="n">
        <v>2</v>
      </c>
      <c r="K94" s="57" t="n">
        <v>4</v>
      </c>
      <c r="L94" s="57" t="n">
        <v>2</v>
      </c>
      <c r="M94" s="57" t="n">
        <v>4</v>
      </c>
      <c r="N94" s="57" t="n">
        <v>3</v>
      </c>
      <c r="O94" s="57" t="n">
        <v>5</v>
      </c>
      <c r="P94" s="57" t="n">
        <v>4</v>
      </c>
      <c r="Q94" s="57" t="n">
        <v>4</v>
      </c>
      <c r="R94" s="57" t="n">
        <v>4</v>
      </c>
      <c r="S94" s="57" t="n">
        <v>4</v>
      </c>
      <c r="T94" s="57" t="n">
        <v>4</v>
      </c>
      <c r="U94" s="57" t="n">
        <v>69</v>
      </c>
      <c r="V94" s="57" t="n">
        <v>7</v>
      </c>
      <c r="W94" s="57" t="n">
        <v>27</v>
      </c>
      <c r="X94" s="57" t="n">
        <v>1</v>
      </c>
      <c r="Y94" s="57" t="n">
        <v>57.5</v>
      </c>
      <c r="Z94" s="58">
        <f>2.5*((C94-1)+(5-D94)+(E94-1)+(5-F94)+(G94-1)+(5-H94)+(I94-1)+(5-J94)+(K94-1)+(5-L94))</f>
        <v/>
      </c>
      <c r="AA94" s="57" t="n">
        <v>20</v>
      </c>
      <c r="AB94" s="58">
        <f>SUM(M94:T94)</f>
        <v/>
      </c>
      <c r="AC94" s="57" t="n">
        <v>211.5</v>
      </c>
      <c r="AD94" s="58">
        <f>AVERAGE(U94,W94)</f>
        <v/>
      </c>
      <c r="AE94" s="57" t="n">
        <v>23</v>
      </c>
      <c r="AF94" s="58">
        <f>V94+X94</f>
        <v/>
      </c>
      <c r="AG94" s="57" t="n">
        <v>2</v>
      </c>
      <c r="AH94" s="58">
        <f>Z94-Y94</f>
        <v/>
      </c>
      <c r="AI94" s="58">
        <f>AB94-AA94</f>
        <v/>
      </c>
      <c r="AJ94" s="58">
        <f>AD94-AC94</f>
        <v/>
      </c>
      <c r="AK94" s="58">
        <f>AF94-AE94</f>
        <v/>
      </c>
    </row>
    <row r="95" ht="15.75" customHeight="1" s="67">
      <c r="A95" s="57" t="inlineStr">
        <is>
          <t>GU-TDH-111</t>
        </is>
      </c>
      <c r="B95" s="57" t="inlineStr">
        <is>
          <t>G</t>
        </is>
      </c>
      <c r="C95" s="57" t="n">
        <v>2</v>
      </c>
      <c r="D95" s="57" t="n">
        <v>2</v>
      </c>
      <c r="E95" s="57" t="n">
        <v>4</v>
      </c>
      <c r="F95" s="57" t="n">
        <v>2</v>
      </c>
      <c r="G95" s="57" t="n">
        <v>4</v>
      </c>
      <c r="H95" s="57" t="n">
        <v>1</v>
      </c>
      <c r="I95" s="57" t="n">
        <v>3</v>
      </c>
      <c r="J95" s="57" t="n">
        <v>1</v>
      </c>
      <c r="K95" s="57" t="n">
        <v>4</v>
      </c>
      <c r="L95" s="57" t="n">
        <v>2</v>
      </c>
      <c r="M95" s="57" t="n">
        <v>4</v>
      </c>
      <c r="N95" s="57" t="n">
        <v>4</v>
      </c>
      <c r="O95" s="57" t="n">
        <v>4</v>
      </c>
      <c r="P95" s="57" t="n">
        <v>3</v>
      </c>
      <c r="Q95" s="57" t="n">
        <v>4</v>
      </c>
      <c r="R95" s="57" t="n">
        <v>3</v>
      </c>
      <c r="S95" s="57" t="n">
        <v>4</v>
      </c>
      <c r="T95" s="57" t="n">
        <v>4</v>
      </c>
      <c r="U95" s="57" t="n">
        <v>120</v>
      </c>
      <c r="V95" s="57" t="n">
        <v>9</v>
      </c>
      <c r="W95" s="57" t="n">
        <v>83</v>
      </c>
      <c r="X95" s="57" t="n">
        <v>7</v>
      </c>
      <c r="Y95" s="57" t="n">
        <v>47.5</v>
      </c>
      <c r="Z95" s="58">
        <f>2.5*((C95-1)+(5-D95)+(E95-1)+(5-F95)+(G95-1)+(5-H95)+(I95-1)+(5-J95)+(K95-1)+(5-L95))</f>
        <v/>
      </c>
      <c r="AA95" s="57" t="n">
        <v>17</v>
      </c>
      <c r="AB95" s="58">
        <f>SUM(M95:T95)</f>
        <v/>
      </c>
      <c r="AC95" s="57" t="n">
        <v>240.5</v>
      </c>
      <c r="AD95" s="58">
        <f>AVERAGE(U95,W95)</f>
        <v/>
      </c>
      <c r="AE95" s="57" t="n">
        <v>29</v>
      </c>
      <c r="AF95" s="58">
        <f>V95+X95</f>
        <v/>
      </c>
      <c r="AG95" s="57" t="n">
        <v>3</v>
      </c>
      <c r="AH95" s="58">
        <f>Z95-Y95</f>
        <v/>
      </c>
      <c r="AI95" s="58">
        <f>AB95-AA95</f>
        <v/>
      </c>
      <c r="AJ95" s="58">
        <f>AD95-AC95</f>
        <v/>
      </c>
      <c r="AK95" s="58">
        <f>AF95-AE95</f>
        <v/>
      </c>
    </row>
    <row r="96" ht="15.75" customHeight="1" s="67">
      <c r="A96" s="57" t="inlineStr">
        <is>
          <t>GU-TDH-113</t>
        </is>
      </c>
      <c r="B96" s="57" t="inlineStr">
        <is>
          <t>G</t>
        </is>
      </c>
      <c r="C96" s="57" t="n">
        <v>3</v>
      </c>
      <c r="D96" s="57" t="n">
        <v>2</v>
      </c>
      <c r="E96" s="57" t="n">
        <v>4</v>
      </c>
      <c r="F96" s="57" t="n">
        <v>1</v>
      </c>
      <c r="G96" s="57" t="n">
        <v>4</v>
      </c>
      <c r="H96" s="57" t="n">
        <v>2</v>
      </c>
      <c r="I96" s="57" t="n">
        <v>4</v>
      </c>
      <c r="J96" s="57" t="n">
        <v>2</v>
      </c>
      <c r="K96" s="57" t="n">
        <v>4</v>
      </c>
      <c r="L96" s="57" t="n">
        <v>2</v>
      </c>
      <c r="M96" s="57" t="n">
        <v>3</v>
      </c>
      <c r="N96" s="57" t="n">
        <v>2</v>
      </c>
      <c r="O96" s="57" t="n">
        <v>3</v>
      </c>
      <c r="P96" s="57" t="n">
        <v>3</v>
      </c>
      <c r="Q96" s="57" t="n">
        <v>4</v>
      </c>
      <c r="R96" s="57" t="n">
        <v>3</v>
      </c>
      <c r="S96" s="57" t="n">
        <v>3</v>
      </c>
      <c r="T96" s="57" t="n">
        <v>3</v>
      </c>
      <c r="U96" s="57" t="n">
        <v>128</v>
      </c>
      <c r="V96" s="57" t="n">
        <v>7</v>
      </c>
      <c r="W96" s="57" t="n">
        <v>88</v>
      </c>
      <c r="X96" s="57" t="n">
        <v>5</v>
      </c>
      <c r="Y96" s="57" t="n">
        <v>37.5</v>
      </c>
      <c r="Z96" s="58">
        <f>2.5*((C96-1)+(5-D96)+(E96-1)+(5-F96)+(G96-1)+(5-H96)+(I96-1)+(5-J96)+(K96-1)+(5-L96))</f>
        <v/>
      </c>
      <c r="AA96" s="57" t="n">
        <v>12</v>
      </c>
      <c r="AB96" s="58">
        <f>SUM(M96:T96)</f>
        <v/>
      </c>
      <c r="AC96" s="57" t="n">
        <v>270.5</v>
      </c>
      <c r="AD96" s="58">
        <f>AVERAGE(U96,W96)</f>
        <v/>
      </c>
      <c r="AE96" s="57" t="n">
        <v>28</v>
      </c>
      <c r="AF96" s="58">
        <f>V96+X96</f>
        <v/>
      </c>
      <c r="AG96" s="57" t="n">
        <v>5</v>
      </c>
      <c r="AH96" s="58">
        <f>Z96-Y96</f>
        <v/>
      </c>
      <c r="AI96" s="58">
        <f>AB96-AA96</f>
        <v/>
      </c>
      <c r="AJ96" s="58">
        <f>AD96-AC96</f>
        <v/>
      </c>
      <c r="AK96" s="58">
        <f>AF96-AE96</f>
        <v/>
      </c>
    </row>
    <row r="97" ht="15.75" customHeight="1" s="67">
      <c r="A97" s="57" t="inlineStr">
        <is>
          <t>GU-TDH-114</t>
        </is>
      </c>
      <c r="B97" s="57" t="inlineStr">
        <is>
          <t>G</t>
        </is>
      </c>
      <c r="C97" s="57" t="n">
        <v>4</v>
      </c>
      <c r="D97" s="57" t="n">
        <v>2</v>
      </c>
      <c r="E97" s="57" t="n">
        <v>4</v>
      </c>
      <c r="F97" s="57" t="n">
        <v>1</v>
      </c>
      <c r="G97" s="57" t="n">
        <v>4</v>
      </c>
      <c r="H97" s="57" t="n">
        <v>2</v>
      </c>
      <c r="I97" s="57" t="n">
        <v>5</v>
      </c>
      <c r="J97" s="57" t="n">
        <v>2</v>
      </c>
      <c r="K97" s="57" t="n">
        <v>3</v>
      </c>
      <c r="L97" s="57" t="n">
        <v>2</v>
      </c>
      <c r="M97" s="57" t="n">
        <v>4</v>
      </c>
      <c r="N97" s="57" t="n">
        <v>5</v>
      </c>
      <c r="O97" s="57" t="n">
        <v>5</v>
      </c>
      <c r="P97" s="57" t="n">
        <v>4</v>
      </c>
      <c r="Q97" s="57" t="n">
        <v>4</v>
      </c>
      <c r="R97" s="57" t="n">
        <v>5</v>
      </c>
      <c r="S97" s="57" t="n">
        <v>5</v>
      </c>
      <c r="T97" s="57" t="n">
        <v>4</v>
      </c>
      <c r="U97" s="57" t="n">
        <v>30</v>
      </c>
      <c r="V97" s="57" t="n">
        <v>1</v>
      </c>
      <c r="W97" s="57" t="n">
        <v>34</v>
      </c>
      <c r="X97" s="57" t="n">
        <v>2</v>
      </c>
      <c r="Y97" s="57" t="n">
        <v>60</v>
      </c>
      <c r="Z97" s="58">
        <f>2.5*((C97-1)+(5-D97)+(E97-1)+(5-F97)+(G97-1)+(5-H97)+(I97-1)+(5-J97)+(K97-1)+(5-L97))</f>
        <v/>
      </c>
      <c r="AA97" s="57" t="n">
        <v>23</v>
      </c>
      <c r="AB97" s="58">
        <f>SUM(M97:T97)</f>
        <v/>
      </c>
      <c r="AC97" s="57" t="n">
        <v>139.5</v>
      </c>
      <c r="AD97" s="58">
        <f>AVERAGE(U97,W97)</f>
        <v/>
      </c>
      <c r="AE97" s="57" t="n">
        <v>14</v>
      </c>
      <c r="AF97" s="58">
        <f>V97+X97</f>
        <v/>
      </c>
      <c r="AG97" s="57" t="n">
        <v>3</v>
      </c>
      <c r="AH97" s="58">
        <f>Z97-Y97</f>
        <v/>
      </c>
      <c r="AI97" s="58">
        <f>AB97-AA97</f>
        <v/>
      </c>
      <c r="AJ97" s="58">
        <f>AD97-AC97</f>
        <v/>
      </c>
      <c r="AK97" s="58">
        <f>AF97-AE97</f>
        <v/>
      </c>
    </row>
    <row r="98" ht="15.75" customHeight="1" s="67">
      <c r="A98" s="57" t="inlineStr">
        <is>
          <t>GU-TDH-115</t>
        </is>
      </c>
      <c r="B98" s="57" t="inlineStr">
        <is>
          <t>G</t>
        </is>
      </c>
      <c r="C98" s="57" t="n">
        <v>4</v>
      </c>
      <c r="D98" s="57" t="n">
        <v>2</v>
      </c>
      <c r="E98" s="57" t="n">
        <v>4</v>
      </c>
      <c r="F98" s="57" t="n">
        <v>2</v>
      </c>
      <c r="G98" s="57" t="n">
        <v>5</v>
      </c>
      <c r="H98" s="57" t="n">
        <v>2</v>
      </c>
      <c r="I98" s="57" t="n">
        <v>3</v>
      </c>
      <c r="J98" s="57" t="n">
        <v>4</v>
      </c>
      <c r="K98" s="57" t="n">
        <v>4</v>
      </c>
      <c r="L98" s="57" t="n">
        <v>1</v>
      </c>
      <c r="M98" s="57" t="n">
        <v>5</v>
      </c>
      <c r="N98" s="57" t="n">
        <v>3</v>
      </c>
      <c r="O98" s="57" t="n">
        <v>5</v>
      </c>
      <c r="P98" s="57" t="n">
        <v>5</v>
      </c>
      <c r="Q98" s="57" t="n">
        <v>5</v>
      </c>
      <c r="R98" s="57" t="n">
        <v>5</v>
      </c>
      <c r="S98" s="57" t="n">
        <v>5</v>
      </c>
      <c r="T98" s="57" t="n">
        <v>5</v>
      </c>
      <c r="U98" s="57" t="n">
        <v>76</v>
      </c>
      <c r="V98" s="57" t="n">
        <v>3</v>
      </c>
      <c r="W98" s="57" t="n">
        <v>58</v>
      </c>
      <c r="X98" s="57" t="n">
        <v>5</v>
      </c>
      <c r="Y98" s="57" t="n">
        <v>57.5</v>
      </c>
      <c r="Z98" s="58">
        <f>2.5*((C98-1)+(5-D98)+(E98-1)+(5-F98)+(G98-1)+(5-H98)+(I98-1)+(5-J98)+(K98-1)+(5-L98))</f>
        <v/>
      </c>
      <c r="AA98" s="57" t="n">
        <v>33</v>
      </c>
      <c r="AB98" s="58">
        <f>SUM(M98:T98)</f>
        <v/>
      </c>
      <c r="AC98" s="57" t="n">
        <v>258</v>
      </c>
      <c r="AD98" s="58">
        <f>AVERAGE(U98,W98)</f>
        <v/>
      </c>
      <c r="AE98" s="57" t="n">
        <v>28</v>
      </c>
      <c r="AF98" s="58">
        <f>V98+X98</f>
        <v/>
      </c>
      <c r="AG98" s="57" t="n">
        <v>7</v>
      </c>
      <c r="AH98" s="58">
        <f>Z98-Y98</f>
        <v/>
      </c>
      <c r="AI98" s="58">
        <f>AB98-AA98</f>
        <v/>
      </c>
      <c r="AJ98" s="58">
        <f>AD98-AC98</f>
        <v/>
      </c>
      <c r="AK98" s="58">
        <f>AF98-AE98</f>
        <v/>
      </c>
    </row>
    <row r="99" ht="15.75" customHeight="1" s="67">
      <c r="A99" s="57" t="inlineStr">
        <is>
          <t>GU-TDH-116</t>
        </is>
      </c>
      <c r="B99" s="57" t="inlineStr">
        <is>
          <t>G</t>
        </is>
      </c>
      <c r="C99" s="57" t="n">
        <v>4</v>
      </c>
      <c r="D99" s="57" t="n">
        <v>1</v>
      </c>
      <c r="E99" s="57" t="n">
        <v>5</v>
      </c>
      <c r="F99" s="57" t="n">
        <v>1</v>
      </c>
      <c r="G99" s="57" t="n">
        <v>4</v>
      </c>
      <c r="H99" s="57" t="n">
        <v>3</v>
      </c>
      <c r="I99" s="57" t="n">
        <v>5</v>
      </c>
      <c r="J99" s="57" t="n">
        <v>1</v>
      </c>
      <c r="K99" s="57" t="n">
        <v>5</v>
      </c>
      <c r="L99" s="57" t="n">
        <v>2</v>
      </c>
      <c r="M99" s="57" t="n">
        <v>4</v>
      </c>
      <c r="N99" s="57" t="n">
        <v>4</v>
      </c>
      <c r="O99" s="57" t="n">
        <v>5</v>
      </c>
      <c r="P99" s="57" t="n">
        <v>4</v>
      </c>
      <c r="Q99" s="57" t="n">
        <v>4</v>
      </c>
      <c r="R99" s="57" t="n">
        <v>4</v>
      </c>
      <c r="S99" s="57" t="n">
        <v>5</v>
      </c>
      <c r="T99" s="57" t="n">
        <v>5</v>
      </c>
      <c r="U99" s="57" t="n">
        <v>65</v>
      </c>
      <c r="V99" s="57" t="n">
        <v>5</v>
      </c>
      <c r="W99" s="57" t="n">
        <v>48</v>
      </c>
      <c r="X99" s="57" t="n">
        <v>4</v>
      </c>
      <c r="Y99" s="57" t="n">
        <v>77.5</v>
      </c>
      <c r="Z99" s="58">
        <f>2.5*((C99-1)+(5-D99)+(E99-1)+(5-F99)+(G99-1)+(5-H99)+(I99-1)+(5-J99)+(K99-1)+(5-L99))</f>
        <v/>
      </c>
      <c r="AA99" s="57" t="n">
        <v>25</v>
      </c>
      <c r="AB99" s="58">
        <f>SUM(M99:T99)</f>
        <v/>
      </c>
      <c r="AC99" s="57" t="n">
        <v>243.5</v>
      </c>
      <c r="AD99" s="58">
        <f>AVERAGE(U99,W99)</f>
        <v/>
      </c>
      <c r="AE99" s="57" t="n">
        <v>28</v>
      </c>
      <c r="AF99" s="58">
        <f>V99+X99</f>
        <v/>
      </c>
      <c r="AG99" s="57" t="n">
        <v>5</v>
      </c>
      <c r="AH99" s="58">
        <f>Z99-Y99</f>
        <v/>
      </c>
      <c r="AI99" s="58">
        <f>AB99-AA99</f>
        <v/>
      </c>
      <c r="AJ99" s="58">
        <f>AD99-AC99</f>
        <v/>
      </c>
      <c r="AK99" s="58">
        <f>AF99-AE99</f>
        <v/>
      </c>
    </row>
    <row r="100" ht="15.75" customHeight="1" s="67">
      <c r="A100" s="57" t="inlineStr">
        <is>
          <t>GU-TDH-117</t>
        </is>
      </c>
      <c r="B100" s="57" t="inlineStr">
        <is>
          <t>G</t>
        </is>
      </c>
      <c r="C100" s="57" t="n">
        <v>5</v>
      </c>
      <c r="D100" s="57" t="n">
        <v>1</v>
      </c>
      <c r="E100" s="57" t="n">
        <v>5</v>
      </c>
      <c r="F100" s="57" t="n">
        <v>1</v>
      </c>
      <c r="G100" s="57" t="n">
        <v>4</v>
      </c>
      <c r="H100" s="57" t="n">
        <v>1</v>
      </c>
      <c r="I100" s="57" t="n">
        <v>5</v>
      </c>
      <c r="J100" s="57" t="n">
        <v>2</v>
      </c>
      <c r="K100" s="57" t="n">
        <v>4</v>
      </c>
      <c r="L100" s="57" t="n">
        <v>2</v>
      </c>
      <c r="M100" s="57" t="n">
        <v>5</v>
      </c>
      <c r="N100" s="57" t="n">
        <v>4</v>
      </c>
      <c r="O100" s="57" t="n">
        <v>4</v>
      </c>
      <c r="P100" s="57" t="n">
        <v>5</v>
      </c>
      <c r="Q100" s="57" t="n">
        <v>4</v>
      </c>
      <c r="R100" s="57" t="n">
        <v>4</v>
      </c>
      <c r="S100" s="57" t="n">
        <v>4</v>
      </c>
      <c r="T100" s="57" t="n">
        <v>5</v>
      </c>
      <c r="U100" s="57" t="n">
        <v>75</v>
      </c>
      <c r="V100" s="57" t="n">
        <v>3</v>
      </c>
      <c r="W100" s="57" t="n">
        <v>69</v>
      </c>
      <c r="X100" s="57" t="n">
        <v>2</v>
      </c>
      <c r="Y100" s="57" t="n">
        <v>72.5</v>
      </c>
      <c r="Z100" s="58">
        <f>2.5*((C100-1)+(5-D100)+(E100-1)+(5-F100)+(G100-1)+(5-H100)+(I100-1)+(5-J100)+(K100-1)+(5-L100))</f>
        <v/>
      </c>
      <c r="AA100" s="57" t="n">
        <v>16</v>
      </c>
      <c r="AB100" s="58">
        <f>SUM(M100:T100)</f>
        <v/>
      </c>
      <c r="AC100" s="57" t="n">
        <v>197</v>
      </c>
      <c r="AD100" s="58">
        <f>AVERAGE(U100,W100)</f>
        <v/>
      </c>
      <c r="AE100" s="57" t="n">
        <v>24</v>
      </c>
      <c r="AF100" s="58">
        <f>V100+X100</f>
        <v/>
      </c>
      <c r="AG100" s="57" t="n">
        <v>6</v>
      </c>
      <c r="AH100" s="58">
        <f>Z100-Y100</f>
        <v/>
      </c>
      <c r="AI100" s="58">
        <f>AB100-AA100</f>
        <v/>
      </c>
      <c r="AJ100" s="58">
        <f>AD100-AC100</f>
        <v/>
      </c>
      <c r="AK100" s="58">
        <f>AF100-AE100</f>
        <v/>
      </c>
    </row>
    <row r="101" ht="15.75" customHeight="1" s="67">
      <c r="A101" s="57" t="inlineStr">
        <is>
          <t>GU-TDH-118</t>
        </is>
      </c>
      <c r="B101" s="57" t="inlineStr">
        <is>
          <t>G</t>
        </is>
      </c>
      <c r="C101" s="57" t="n">
        <v>5</v>
      </c>
      <c r="D101" s="57" t="n">
        <v>1</v>
      </c>
      <c r="E101" s="57" t="n">
        <v>5</v>
      </c>
      <c r="F101" s="57" t="n">
        <v>1</v>
      </c>
      <c r="G101" s="57" t="n">
        <v>5</v>
      </c>
      <c r="H101" s="57" t="n">
        <v>1</v>
      </c>
      <c r="I101" s="57" t="n">
        <v>5</v>
      </c>
      <c r="J101" s="57" t="n">
        <v>1</v>
      </c>
      <c r="K101" s="57" t="n">
        <v>5</v>
      </c>
      <c r="L101" s="57" t="n">
        <v>1</v>
      </c>
      <c r="M101" s="57" t="n">
        <v>5</v>
      </c>
      <c r="N101" s="57" t="n">
        <v>5</v>
      </c>
      <c r="O101" s="57" t="n">
        <v>5</v>
      </c>
      <c r="P101" s="57" t="n">
        <v>5</v>
      </c>
      <c r="Q101" s="57" t="n">
        <v>5</v>
      </c>
      <c r="R101" s="57" t="n">
        <v>5</v>
      </c>
      <c r="S101" s="57" t="n">
        <v>5</v>
      </c>
      <c r="T101" s="57" t="n">
        <v>5</v>
      </c>
      <c r="U101" s="57" t="n">
        <v>73</v>
      </c>
      <c r="V101" s="57" t="n">
        <v>5</v>
      </c>
      <c r="W101" s="57" t="n">
        <v>97</v>
      </c>
      <c r="X101" s="57" t="n">
        <v>7</v>
      </c>
      <c r="Y101" s="57" t="n">
        <v>72.5</v>
      </c>
      <c r="Z101" s="58">
        <f>2.5*((C101-1)+(5-D101)+(E101-1)+(5-F101)+(G101-1)+(5-H101)+(I101-1)+(5-J101)+(K101-1)+(5-L101))</f>
        <v/>
      </c>
      <c r="AA101" s="57" t="n">
        <v>35</v>
      </c>
      <c r="AB101" s="58">
        <f>SUM(M101:T101)</f>
        <v/>
      </c>
      <c r="AC101" s="57" t="n">
        <v>163</v>
      </c>
      <c r="AD101" s="58">
        <f>AVERAGE(U101,W101)</f>
        <v/>
      </c>
      <c r="AE101" s="57" t="n">
        <v>15</v>
      </c>
      <c r="AF101" s="58">
        <f>V101+X101</f>
        <v/>
      </c>
      <c r="AG101" s="57" t="n">
        <v>4</v>
      </c>
      <c r="AH101" s="58">
        <f>Z101-Y101</f>
        <v/>
      </c>
      <c r="AI101" s="58">
        <f>AB101-AA101</f>
        <v/>
      </c>
      <c r="AJ101" s="58">
        <f>AD101-AC101</f>
        <v/>
      </c>
      <c r="AK101" s="58">
        <f>AF101-AE101</f>
        <v/>
      </c>
    </row>
    <row r="102" ht="15.75" customHeight="1" s="67">
      <c r="A102" s="57" t="inlineStr">
        <is>
          <t>GU-TDH-119</t>
        </is>
      </c>
      <c r="B102" s="57" t="inlineStr">
        <is>
          <t>G</t>
        </is>
      </c>
      <c r="C102" s="57" t="n">
        <v>5</v>
      </c>
      <c r="D102" s="57" t="n">
        <v>2</v>
      </c>
      <c r="E102" s="57" t="n">
        <v>4</v>
      </c>
      <c r="F102" s="57" t="n">
        <v>1</v>
      </c>
      <c r="G102" s="57" t="n">
        <v>5</v>
      </c>
      <c r="H102" s="57" t="n">
        <v>1</v>
      </c>
      <c r="I102" s="57" t="n">
        <v>5</v>
      </c>
      <c r="J102" s="57" t="n">
        <v>2</v>
      </c>
      <c r="K102" s="57" t="n">
        <v>5</v>
      </c>
      <c r="L102" s="57" t="n">
        <v>1</v>
      </c>
      <c r="M102" s="57" t="n">
        <v>4</v>
      </c>
      <c r="N102" s="57" t="n">
        <v>5</v>
      </c>
      <c r="O102" s="57" t="n">
        <v>5</v>
      </c>
      <c r="P102" s="57" t="n">
        <v>5</v>
      </c>
      <c r="Q102" s="57" t="n">
        <v>3</v>
      </c>
      <c r="R102" s="57" t="n">
        <v>5</v>
      </c>
      <c r="S102" s="57" t="n">
        <v>3</v>
      </c>
      <c r="T102" s="57" t="n">
        <v>4</v>
      </c>
      <c r="U102" s="57" t="n">
        <v>57</v>
      </c>
      <c r="V102" s="57" t="n">
        <v>6</v>
      </c>
      <c r="W102" s="57" t="n">
        <v>57</v>
      </c>
      <c r="X102" s="57" t="n">
        <v>4</v>
      </c>
      <c r="Y102" s="57" t="n">
        <v>70</v>
      </c>
      <c r="Z102" s="58">
        <f>2.5*((C102-1)+(5-D102)+(E102-1)+(5-F102)+(G102-1)+(5-H102)+(I102-1)+(5-J102)+(K102-1)+(5-L102))</f>
        <v/>
      </c>
      <c r="AA102" s="57" t="n">
        <v>22</v>
      </c>
      <c r="AB102" s="58">
        <f>SUM(M102:T102)</f>
        <v/>
      </c>
      <c r="AC102" s="57" t="n">
        <v>159.5</v>
      </c>
      <c r="AD102" s="58">
        <f>AVERAGE(U102,W102)</f>
        <v/>
      </c>
      <c r="AE102" s="57" t="n">
        <v>16</v>
      </c>
      <c r="AF102" s="58">
        <f>V102+X102</f>
        <v/>
      </c>
      <c r="AG102" s="57" t="n">
        <v>3</v>
      </c>
      <c r="AH102" s="58">
        <f>Z102-Y102</f>
        <v/>
      </c>
      <c r="AI102" s="58">
        <f>AB102-AA102</f>
        <v/>
      </c>
      <c r="AJ102" s="58">
        <f>AD102-AC102</f>
        <v/>
      </c>
      <c r="AK102" s="58">
        <f>AF102-AE102</f>
        <v/>
      </c>
    </row>
    <row r="103" ht="15.75" customHeight="1" s="67">
      <c r="A103" s="57" t="inlineStr">
        <is>
          <t>GU-TDH-120</t>
        </is>
      </c>
      <c r="B103" s="57" t="inlineStr">
        <is>
          <t>G</t>
        </is>
      </c>
      <c r="C103" s="57" t="n">
        <v>4</v>
      </c>
      <c r="D103" s="57" t="n">
        <v>2</v>
      </c>
      <c r="E103" s="57" t="n">
        <v>5</v>
      </c>
      <c r="F103" s="57" t="n">
        <v>2</v>
      </c>
      <c r="G103" s="57" t="n">
        <v>5</v>
      </c>
      <c r="H103" s="57" t="n">
        <v>2</v>
      </c>
      <c r="I103" s="57" t="n">
        <v>4</v>
      </c>
      <c r="J103" s="57" t="n">
        <v>2</v>
      </c>
      <c r="K103" s="57" t="n">
        <v>4</v>
      </c>
      <c r="L103" s="57" t="n">
        <v>2</v>
      </c>
      <c r="M103" s="57" t="n">
        <v>5</v>
      </c>
      <c r="N103" s="57" t="n">
        <v>5</v>
      </c>
      <c r="O103" s="57" t="n">
        <v>5</v>
      </c>
      <c r="P103" s="57" t="n">
        <v>5</v>
      </c>
      <c r="Q103" s="57" t="n">
        <v>5</v>
      </c>
      <c r="R103" s="57" t="n">
        <v>4</v>
      </c>
      <c r="S103" s="57" t="n">
        <v>5</v>
      </c>
      <c r="T103" s="57" t="n">
        <v>5</v>
      </c>
      <c r="U103" s="57" t="n">
        <v>100</v>
      </c>
      <c r="V103" s="57" t="n">
        <v>7</v>
      </c>
      <c r="W103" s="57" t="n">
        <v>84</v>
      </c>
      <c r="X103" s="57" t="n">
        <v>6</v>
      </c>
      <c r="Y103" s="57" t="n">
        <v>80</v>
      </c>
      <c r="Z103" s="58">
        <f>2.5*((C103-1)+(5-D103)+(E103-1)+(5-F103)+(G103-1)+(5-H103)+(I103-1)+(5-J103)+(K103-1)+(5-L103))</f>
        <v/>
      </c>
      <c r="AA103" s="57" t="n">
        <v>34</v>
      </c>
      <c r="AB103" s="58">
        <f>SUM(M103:T103)</f>
        <v/>
      </c>
      <c r="AC103" s="57" t="n">
        <v>276.5</v>
      </c>
      <c r="AD103" s="58">
        <f>AVERAGE(U103,W103)</f>
        <v/>
      </c>
      <c r="AE103" s="57" t="n">
        <v>27</v>
      </c>
      <c r="AF103" s="58">
        <f>V103+X103</f>
        <v/>
      </c>
      <c r="AG103" s="57" t="n">
        <v>4</v>
      </c>
      <c r="AH103" s="58">
        <f>Z103-Y103</f>
        <v/>
      </c>
      <c r="AI103" s="58">
        <f>AB103-AA103</f>
        <v/>
      </c>
      <c r="AJ103" s="58">
        <f>AD103-AC103</f>
        <v/>
      </c>
      <c r="AK103" s="58">
        <f>AF103-AE103</f>
        <v/>
      </c>
    </row>
    <row r="104" ht="15.75" customHeight="1" s="67">
      <c r="A104" s="57" t="inlineStr">
        <is>
          <t>GU-TDH-121</t>
        </is>
      </c>
      <c r="B104" s="57" t="inlineStr">
        <is>
          <t>G</t>
        </is>
      </c>
      <c r="C104" s="57" t="n">
        <v>5</v>
      </c>
      <c r="D104" s="57" t="n">
        <v>1</v>
      </c>
      <c r="E104" s="57" t="n">
        <v>5</v>
      </c>
      <c r="F104" s="57" t="n">
        <v>1</v>
      </c>
      <c r="G104" s="57" t="n">
        <v>4</v>
      </c>
      <c r="H104" s="57" t="n">
        <v>2</v>
      </c>
      <c r="I104" s="57" t="n">
        <v>4</v>
      </c>
      <c r="J104" s="57" t="n">
        <v>2</v>
      </c>
      <c r="K104" s="57" t="n">
        <v>3</v>
      </c>
      <c r="L104" s="57" t="n">
        <v>3</v>
      </c>
      <c r="M104" s="57" t="n">
        <v>5</v>
      </c>
      <c r="N104" s="57" t="n">
        <v>5</v>
      </c>
      <c r="O104" s="57" t="n">
        <v>5</v>
      </c>
      <c r="P104" s="57" t="n">
        <v>5</v>
      </c>
      <c r="Q104" s="57" t="n">
        <v>4</v>
      </c>
      <c r="R104" s="57" t="n">
        <v>5</v>
      </c>
      <c r="S104" s="57" t="n">
        <v>5</v>
      </c>
      <c r="T104" s="57" t="n">
        <v>5</v>
      </c>
      <c r="U104" s="57" t="n">
        <v>74</v>
      </c>
      <c r="V104" s="57" t="n">
        <v>6</v>
      </c>
      <c r="W104" s="57" t="n">
        <v>76</v>
      </c>
      <c r="X104" s="57" t="n">
        <v>3</v>
      </c>
      <c r="Y104" s="57" t="n">
        <v>70</v>
      </c>
      <c r="Z104" s="58">
        <f>2.5*((C104-1)+(5-D104)+(E104-1)+(5-F104)+(G104-1)+(5-H104)+(I104-1)+(5-J104)+(K104-1)+(5-L104))</f>
        <v/>
      </c>
      <c r="AA104" s="57" t="n">
        <v>22</v>
      </c>
      <c r="AB104" s="58">
        <f>SUM(M104:T104)</f>
        <v/>
      </c>
      <c r="AC104" s="57" t="n">
        <v>174.5</v>
      </c>
      <c r="AD104" s="58">
        <f>AVERAGE(U104,W104)</f>
        <v/>
      </c>
      <c r="AE104" s="57" t="n">
        <v>20</v>
      </c>
      <c r="AF104" s="58">
        <f>V104+X104</f>
        <v/>
      </c>
      <c r="AG104" s="57" t="n">
        <v>5</v>
      </c>
      <c r="AH104" s="58">
        <f>Z104-Y104</f>
        <v/>
      </c>
      <c r="AI104" s="58">
        <f>AB104-AA104</f>
        <v/>
      </c>
      <c r="AJ104" s="58">
        <f>AD104-AC104</f>
        <v/>
      </c>
      <c r="AK104" s="58">
        <f>AF104-AE104</f>
        <v/>
      </c>
    </row>
    <row r="105" ht="15.75" customHeight="1" s="67">
      <c r="A105" s="57" t="inlineStr">
        <is>
          <t>GU-TDH-122</t>
        </is>
      </c>
      <c r="B105" s="57" t="inlineStr">
        <is>
          <t>G</t>
        </is>
      </c>
      <c r="C105" s="57" t="n">
        <v>5</v>
      </c>
      <c r="D105" s="57" t="n">
        <v>1</v>
      </c>
      <c r="E105" s="57" t="n">
        <v>4</v>
      </c>
      <c r="F105" s="57" t="n">
        <v>1</v>
      </c>
      <c r="G105" s="57" t="n">
        <v>5</v>
      </c>
      <c r="H105" s="57" t="n">
        <v>1</v>
      </c>
      <c r="I105" s="57" t="n">
        <v>4</v>
      </c>
      <c r="J105" s="57" t="n">
        <v>2</v>
      </c>
      <c r="K105" s="57" t="n">
        <v>5</v>
      </c>
      <c r="L105" s="57" t="n">
        <v>2</v>
      </c>
      <c r="M105" s="57" t="n">
        <v>5</v>
      </c>
      <c r="N105" s="57" t="n">
        <v>5</v>
      </c>
      <c r="O105" s="57" t="n">
        <v>5</v>
      </c>
      <c r="P105" s="57" t="n">
        <v>5</v>
      </c>
      <c r="Q105" s="57" t="n">
        <v>4</v>
      </c>
      <c r="R105" s="57" t="n">
        <v>5</v>
      </c>
      <c r="S105" s="57" t="n">
        <v>5</v>
      </c>
      <c r="T105" s="57" t="n">
        <v>4</v>
      </c>
      <c r="U105" s="57" t="n">
        <v>62</v>
      </c>
      <c r="V105" s="57" t="n">
        <v>4</v>
      </c>
      <c r="W105" s="57" t="n">
        <v>43</v>
      </c>
      <c r="X105" s="57" t="n">
        <v>3</v>
      </c>
      <c r="Y105" s="57" t="n">
        <v>65</v>
      </c>
      <c r="Z105" s="58">
        <f>2.5*((C105-1)+(5-D105)+(E105-1)+(5-F105)+(G105-1)+(5-H105)+(I105-1)+(5-J105)+(K105-1)+(5-L105))</f>
        <v/>
      </c>
      <c r="AA105" s="57" t="n">
        <v>28</v>
      </c>
      <c r="AB105" s="58">
        <f>SUM(M105:T105)</f>
        <v/>
      </c>
      <c r="AC105" s="57" t="n">
        <v>169</v>
      </c>
      <c r="AD105" s="58">
        <f>AVERAGE(U105,W105)</f>
        <v/>
      </c>
      <c r="AE105" s="57" t="n">
        <v>25</v>
      </c>
      <c r="AF105" s="58">
        <f>V105+X105</f>
        <v/>
      </c>
      <c r="AG105" s="57" t="n">
        <v>3</v>
      </c>
      <c r="AH105" s="58">
        <f>Z105-Y105</f>
        <v/>
      </c>
      <c r="AI105" s="58">
        <f>AB105-AA105</f>
        <v/>
      </c>
      <c r="AJ105" s="58">
        <f>AD105-AC105</f>
        <v/>
      </c>
      <c r="AK105" s="58">
        <f>AF105-AE105</f>
        <v/>
      </c>
    </row>
    <row r="106" ht="15.75" customHeight="1" s="67">
      <c r="A106" s="57" t="inlineStr">
        <is>
          <t>GU-TDH-124</t>
        </is>
      </c>
      <c r="B106" s="57" t="inlineStr">
        <is>
          <t>G</t>
        </is>
      </c>
      <c r="C106" s="57" t="n">
        <v>3</v>
      </c>
      <c r="D106" s="57" t="n">
        <v>2</v>
      </c>
      <c r="E106" s="57" t="n">
        <v>4</v>
      </c>
      <c r="F106" s="57" t="n">
        <v>2</v>
      </c>
      <c r="G106" s="57" t="n">
        <v>4</v>
      </c>
      <c r="H106" s="57" t="n">
        <v>2</v>
      </c>
      <c r="I106" s="57" t="n">
        <v>2</v>
      </c>
      <c r="J106" s="57" t="n">
        <v>2</v>
      </c>
      <c r="K106" s="57" t="n">
        <v>5</v>
      </c>
      <c r="L106" s="57" t="n">
        <v>2</v>
      </c>
      <c r="M106" s="57" t="n">
        <v>2</v>
      </c>
      <c r="N106" s="57" t="n">
        <v>4</v>
      </c>
      <c r="O106" s="57" t="n">
        <v>4</v>
      </c>
      <c r="P106" s="57" t="n">
        <v>3</v>
      </c>
      <c r="Q106" s="57" t="n">
        <v>3</v>
      </c>
      <c r="R106" s="57" t="n">
        <v>4</v>
      </c>
      <c r="S106" s="57" t="n">
        <v>3</v>
      </c>
      <c r="T106" s="57" t="n">
        <v>3</v>
      </c>
      <c r="U106" s="57" t="n">
        <v>95</v>
      </c>
      <c r="V106" s="57" t="n">
        <v>6</v>
      </c>
      <c r="W106" s="57" t="n">
        <v>89</v>
      </c>
      <c r="X106" s="57" t="n">
        <v>5</v>
      </c>
      <c r="Y106" s="57" t="n">
        <v>27.5</v>
      </c>
      <c r="Z106" s="58">
        <f>2.5*((C106-1)+(5-D106)+(E106-1)+(5-F106)+(G106-1)+(5-H106)+(I106-1)+(5-J106)+(K106-1)+(5-L106))</f>
        <v/>
      </c>
      <c r="AA106" s="57" t="n">
        <v>12</v>
      </c>
      <c r="AB106" s="58">
        <f>SUM(M106:T106)</f>
        <v/>
      </c>
      <c r="AC106" s="57" t="n">
        <v>193.5</v>
      </c>
      <c r="AD106" s="58">
        <f>AVERAGE(U106,W106)</f>
        <v/>
      </c>
      <c r="AE106" s="57" t="n">
        <v>20</v>
      </c>
      <c r="AF106" s="58">
        <f>V106+X106</f>
        <v/>
      </c>
      <c r="AG106" s="57" t="n">
        <v>6</v>
      </c>
      <c r="AH106" s="58">
        <f>Z106-Y106</f>
        <v/>
      </c>
      <c r="AI106" s="58">
        <f>AB106-AA106</f>
        <v/>
      </c>
      <c r="AJ106" s="58">
        <f>AD106-AC106</f>
        <v/>
      </c>
      <c r="AK106" s="58">
        <f>AF106-AE106</f>
        <v/>
      </c>
    </row>
    <row r="107" ht="15.75" customHeight="1" s="67">
      <c r="A107" s="57" t="inlineStr">
        <is>
          <t>GU-TDH-125</t>
        </is>
      </c>
      <c r="B107" s="57" t="inlineStr">
        <is>
          <t>G</t>
        </is>
      </c>
      <c r="C107" s="57" t="n">
        <v>3</v>
      </c>
      <c r="D107" s="57" t="n">
        <v>2</v>
      </c>
      <c r="E107" s="57" t="n">
        <v>4</v>
      </c>
      <c r="F107" s="57" t="n">
        <v>2</v>
      </c>
      <c r="G107" s="57" t="n">
        <v>3</v>
      </c>
      <c r="H107" s="57" t="n">
        <v>2</v>
      </c>
      <c r="I107" s="57" t="n">
        <v>4</v>
      </c>
      <c r="J107" s="57" t="n">
        <v>3</v>
      </c>
      <c r="K107" s="57" t="n">
        <v>4</v>
      </c>
      <c r="L107" s="57" t="n">
        <v>1</v>
      </c>
      <c r="M107" s="57" t="n">
        <v>5</v>
      </c>
      <c r="N107" s="57" t="n">
        <v>5</v>
      </c>
      <c r="O107" s="57" t="n">
        <v>5</v>
      </c>
      <c r="P107" s="57" t="n">
        <v>5</v>
      </c>
      <c r="Q107" s="57" t="n">
        <v>4</v>
      </c>
      <c r="R107" s="57" t="n">
        <v>5</v>
      </c>
      <c r="S107" s="57" t="n">
        <v>4</v>
      </c>
      <c r="T107" s="57" t="n">
        <v>5</v>
      </c>
      <c r="U107" s="57" t="n">
        <v>86</v>
      </c>
      <c r="V107" s="57" t="n">
        <v>5</v>
      </c>
      <c r="W107" s="57" t="n">
        <v>102</v>
      </c>
      <c r="X107" s="57" t="n">
        <v>8</v>
      </c>
      <c r="Y107" s="57" t="n">
        <v>57.5</v>
      </c>
      <c r="Z107" s="58">
        <f>2.5*((C107-1)+(5-D107)+(E107-1)+(5-F107)+(G107-1)+(5-H107)+(I107-1)+(5-J107)+(K107-1)+(5-L107))</f>
        <v/>
      </c>
      <c r="AA107" s="57" t="n">
        <v>21</v>
      </c>
      <c r="AB107" s="58">
        <f>SUM(M107:T107)</f>
        <v/>
      </c>
      <c r="AC107" s="57" t="n">
        <v>253</v>
      </c>
      <c r="AD107" s="58">
        <f>AVERAGE(U107,W107)</f>
        <v/>
      </c>
      <c r="AE107" s="57" t="n">
        <v>26</v>
      </c>
      <c r="AF107" s="58">
        <f>V107+X107</f>
        <v/>
      </c>
      <c r="AG107" s="57" t="n">
        <v>6</v>
      </c>
      <c r="AH107" s="58">
        <f>Z107-Y107</f>
        <v/>
      </c>
      <c r="AI107" s="58">
        <f>AB107-AA107</f>
        <v/>
      </c>
      <c r="AJ107" s="58">
        <f>AD107-AC107</f>
        <v/>
      </c>
      <c r="AK107" s="58">
        <f>AF107-AE107</f>
        <v/>
      </c>
    </row>
    <row r="108" ht="15.75" customHeight="1" s="67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</row>
    <row r="109" ht="15.75" customHeight="1" s="67">
      <c r="A109" s="60" t="inlineStr">
        <is>
          <t>Resumen</t>
        </is>
      </c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</row>
    <row r="110" ht="15.75" customHeight="1" s="67">
      <c r="A110" s="61" t="inlineStr">
        <is>
          <t>Indicador</t>
        </is>
      </c>
      <c r="B110" s="61" t="inlineStr">
        <is>
          <t>Media pretest</t>
        </is>
      </c>
      <c r="C110" s="61" t="inlineStr">
        <is>
          <t>Media postest</t>
        </is>
      </c>
      <c r="D110" s="61" t="inlineStr">
        <is>
          <t>Diferencia</t>
        </is>
      </c>
      <c r="E110" s="61" t="inlineStr">
        <is>
          <t>DE de la diferencia</t>
        </is>
      </c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</row>
    <row r="111" ht="15.75" customHeight="1" s="67">
      <c r="A111" s="62" t="inlineStr">
        <is>
          <t>Usabilidad (SUS)</t>
        </is>
      </c>
      <c r="B111" s="63">
        <f>AVERAGE(Y5:Y107)</f>
        <v/>
      </c>
      <c r="C111" s="63">
        <f>AVERAGE(Z5:Z107)</f>
        <v/>
      </c>
      <c r="D111" s="63">
        <f>C111-B111</f>
        <v/>
      </c>
      <c r="E111" s="63">
        <f>STDEV(AH5:AH107)</f>
        <v/>
      </c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</row>
    <row r="112" ht="15.75" customHeight="1" s="67">
      <c r="A112" s="62" t="inlineStr">
        <is>
          <t>Satisfacción (8–40)</t>
        </is>
      </c>
      <c r="B112" s="63">
        <f>AVERAGE(AA5:AA107)</f>
        <v/>
      </c>
      <c r="C112" s="63">
        <f>AVERAGE(AB5:AB107)</f>
        <v/>
      </c>
      <c r="D112" s="63">
        <f>C112-B112</f>
        <v/>
      </c>
      <c r="E112" s="63">
        <f>STDEV(AI5:AI107)</f>
        <v/>
      </c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</row>
    <row r="113" ht="15.75" customHeight="1" s="67">
      <c r="A113" s="62" t="inlineStr">
        <is>
          <t>Tiempo de búsqueda (s)</t>
        </is>
      </c>
      <c r="B113" s="63">
        <f>AVERAGE(AC5:AC107)</f>
        <v/>
      </c>
      <c r="C113" s="63">
        <f>AVERAGE(AD5:AD107)</f>
        <v/>
      </c>
      <c r="D113" s="63">
        <f>C113-B113</f>
        <v/>
      </c>
      <c r="E113" s="63">
        <f>STDEV(AJ5:AJ107)</f>
        <v/>
      </c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</row>
    <row r="114" ht="15.75" customHeight="1" s="67">
      <c r="A114" s="62" t="inlineStr">
        <is>
          <t>Clics por búsqueda (total)</t>
        </is>
      </c>
      <c r="B114" s="63">
        <f>AVERAGE(AE5:AE107)</f>
        <v/>
      </c>
      <c r="C114" s="63">
        <f>AVERAGE(AF5:AF107)</f>
        <v/>
      </c>
      <c r="D114" s="63">
        <f>C114-B114</f>
        <v/>
      </c>
      <c r="E114" s="63">
        <f>STDEV(AK5:AK107)</f>
        <v/>
      </c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</row>
    <row r="115" ht="15.75" customHeight="1" s="67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</row>
    <row r="116" ht="15.75" customHeight="1" s="67">
      <c r="A116" s="62" t="inlineStr">
        <is>
          <t>Para la prueba de hipótesis: calcule la diferencia POST − PRE por indicador, verifique su normalidad con Kolmogorov-Smirnov (n ≥ 50) y aplique t de Student para muestras relacionadas o Wilcoxon según corresponda (PDT §3.6).</t>
        </is>
      </c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</row>
    <row r="117" ht="15.75" customHeight="1" s="6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</row>
    <row r="118" ht="15.75" customHeight="1" s="67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</row>
    <row r="119" ht="15.75" customHeight="1" s="67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</row>
    <row r="120" ht="15.75" customHeight="1" s="67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</row>
    <row r="121" ht="15.75" customHeight="1" s="67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</row>
    <row r="122" ht="15.75" customHeight="1" s="67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</row>
    <row r="123" ht="15.75" customHeight="1" s="67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</row>
    <row r="124" ht="15.75" customHeight="1" s="67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</row>
    <row r="125" ht="15.75" customHeight="1" s="67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</row>
    <row r="126" ht="15.75" customHeight="1" s="67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</row>
    <row r="127" ht="15.75" customHeight="1" s="6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</row>
    <row r="128" ht="15.75" customHeight="1" s="67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</row>
    <row r="129" ht="15.75" customHeight="1" s="67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</row>
    <row r="130" ht="15.75" customHeight="1" s="67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</row>
    <row r="131" ht="15.75" customHeight="1" s="67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</row>
    <row r="132" ht="15.75" customHeight="1" s="67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</row>
    <row r="133" ht="15.75" customHeight="1" s="67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</row>
    <row r="134" ht="15.75" customHeight="1" s="67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</row>
    <row r="135" ht="15.75" customHeight="1" s="67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</row>
    <row r="136" ht="15.75" customHeight="1" s="67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</row>
    <row r="137" ht="15.75" customHeight="1" s="6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</row>
    <row r="138" ht="15.75" customHeight="1" s="67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</row>
    <row r="139" ht="15.75" customHeight="1" s="67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</row>
    <row r="140" ht="15.75" customHeight="1" s="67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</row>
    <row r="141" ht="15.75" customHeight="1" s="67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</row>
    <row r="142" ht="15.75" customHeight="1" s="67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</row>
    <row r="143" ht="15.75" customHeight="1" s="67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</row>
    <row r="144" ht="15.75" customHeight="1" s="67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</row>
    <row r="145" ht="15.75" customHeight="1" s="67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</row>
    <row r="146" ht="15.75" customHeight="1" s="67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</row>
    <row r="147" ht="15.75" customHeight="1" s="6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</row>
    <row r="148" ht="15.75" customHeight="1" s="67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</row>
    <row r="149" ht="15.75" customHeight="1" s="67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</row>
    <row r="150" ht="15.75" customHeight="1" s="67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</row>
    <row r="151" ht="15.75" customHeight="1" s="67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</row>
    <row r="152" ht="15.75" customHeight="1" s="67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</row>
    <row r="153" ht="15.75" customHeight="1" s="67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</row>
    <row r="154" ht="15.75" customHeight="1" s="67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</row>
    <row r="155" ht="15.75" customHeight="1" s="67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</row>
    <row r="156" ht="15.75" customHeight="1" s="67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</row>
    <row r="157" ht="15.75" customHeight="1" s="6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</row>
    <row r="158" ht="15.75" customHeight="1" s="67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</row>
    <row r="159" ht="15.75" customHeight="1" s="67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</row>
    <row r="160" ht="15.75" customHeight="1" s="67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</row>
    <row r="161" ht="15.75" customHeight="1" s="67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</row>
    <row r="162" ht="15.75" customHeight="1" s="67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</row>
    <row r="163" ht="15.75" customHeight="1" s="67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</row>
    <row r="164" ht="15.75" customHeight="1" s="67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</row>
    <row r="165" ht="15.75" customHeight="1" s="67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</row>
    <row r="166" ht="15.75" customHeight="1" s="67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</row>
    <row r="167" ht="15.75" customHeight="1" s="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</row>
    <row r="168" ht="15.75" customHeight="1" s="67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</row>
    <row r="169" ht="15.75" customHeight="1" s="67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</row>
    <row r="170" ht="15.75" customHeight="1" s="67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</row>
    <row r="171" ht="15.75" customHeight="1" s="67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</row>
    <row r="172" ht="15.75" customHeight="1" s="67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</row>
    <row r="173" ht="15.75" customHeight="1" s="67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</row>
    <row r="174" ht="15.75" customHeight="1" s="67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</row>
    <row r="175" ht="15.75" customHeight="1" s="67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</row>
    <row r="176" ht="15.75" customHeight="1" s="67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</row>
    <row r="177" ht="15.75" customHeight="1" s="6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</row>
    <row r="178" ht="15.75" customHeight="1" s="67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</row>
    <row r="179" ht="15.75" customHeight="1" s="67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</row>
    <row r="180" ht="15.75" customHeight="1" s="67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</row>
    <row r="181" ht="15.75" customHeight="1" s="67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</row>
    <row r="182" ht="15.75" customHeight="1" s="67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</row>
    <row r="183" ht="15.75" customHeight="1" s="67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</row>
    <row r="184" ht="15.75" customHeight="1" s="67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</row>
    <row r="185" ht="15.75" customHeight="1" s="67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</row>
    <row r="186" ht="15.75" customHeight="1" s="67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</row>
    <row r="187" ht="15.75" customHeight="1" s="6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</row>
    <row r="188" ht="15.75" customHeight="1" s="67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</row>
    <row r="189" ht="15.75" customHeight="1" s="67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</row>
    <row r="190" ht="15.75" customHeight="1" s="67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</row>
    <row r="191" ht="15.75" customHeight="1" s="67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</row>
    <row r="192" ht="15.75" customHeight="1" s="67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</row>
    <row r="193" ht="15.75" customHeight="1" s="67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</row>
    <row r="194" ht="15.75" customHeight="1" s="67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</row>
    <row r="195" ht="15.75" customHeight="1" s="67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</row>
    <row r="196" ht="15.75" customHeight="1" s="67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  <c r="O196" s="54" t="n"/>
      <c r="P196" s="54" t="n"/>
      <c r="Q196" s="54" t="n"/>
      <c r="R196" s="54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</row>
    <row r="197" ht="15.75" customHeight="1" s="6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  <c r="O197" s="54" t="n"/>
      <c r="P197" s="54" t="n"/>
      <c r="Q197" s="54" t="n"/>
      <c r="R197" s="54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</row>
    <row r="198" ht="15.75" customHeight="1" s="67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  <c r="O198" s="54" t="n"/>
      <c r="P198" s="54" t="n"/>
      <c r="Q198" s="54" t="n"/>
      <c r="R198" s="54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</row>
    <row r="199" ht="15.75" customHeight="1" s="67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  <c r="O199" s="54" t="n"/>
      <c r="P199" s="54" t="n"/>
      <c r="Q199" s="54" t="n"/>
      <c r="R199" s="54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</row>
    <row r="200" ht="15.75" customHeight="1" s="67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  <c r="O200" s="54" t="n"/>
      <c r="P200" s="54" t="n"/>
      <c r="Q200" s="54" t="n"/>
      <c r="R200" s="54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</row>
    <row r="201" ht="15.75" customHeight="1" s="67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  <c r="O201" s="54" t="n"/>
      <c r="P201" s="54" t="n"/>
      <c r="Q201" s="54" t="n"/>
      <c r="R201" s="54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</row>
    <row r="202" ht="15.75" customHeight="1" s="67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  <c r="O202" s="54" t="n"/>
      <c r="P202" s="54" t="n"/>
      <c r="Q202" s="54" t="n"/>
      <c r="R202" s="54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</row>
    <row r="203" ht="15.75" customHeight="1" s="67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  <c r="O203" s="54" t="n"/>
      <c r="P203" s="54" t="n"/>
      <c r="Q203" s="54" t="n"/>
      <c r="R203" s="54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</row>
    <row r="204" ht="15.75" customHeight="1" s="67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  <c r="O204" s="54" t="n"/>
      <c r="P204" s="54" t="n"/>
      <c r="Q204" s="54" t="n"/>
      <c r="R204" s="54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</row>
    <row r="205" ht="15.75" customHeight="1" s="67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  <c r="O205" s="54" t="n"/>
      <c r="P205" s="54" t="n"/>
      <c r="Q205" s="54" t="n"/>
      <c r="R205" s="54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</row>
    <row r="206" ht="15.75" customHeight="1" s="67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  <c r="O206" s="54" t="n"/>
      <c r="P206" s="54" t="n"/>
      <c r="Q206" s="54" t="n"/>
      <c r="R206" s="54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</row>
    <row r="207" ht="15.75" customHeight="1" s="6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  <c r="O207" s="54" t="n"/>
      <c r="P207" s="54" t="n"/>
      <c r="Q207" s="54" t="n"/>
      <c r="R207" s="54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</row>
    <row r="208" ht="15.75" customHeight="1" s="67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</row>
    <row r="209" ht="15.75" customHeight="1" s="67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</row>
    <row r="210" ht="15.75" customHeight="1" s="67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</row>
    <row r="211" ht="15.75" customHeight="1" s="67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</row>
    <row r="212" ht="15.75" customHeight="1" s="67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</row>
    <row r="213" ht="15.75" customHeight="1" s="67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</row>
    <row r="214" ht="15.75" customHeight="1" s="67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</row>
    <row r="215" ht="15.75" customHeight="1" s="67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</row>
    <row r="216" ht="15.75" customHeight="1" s="67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</row>
    <row r="217" ht="15.75" customHeight="1" s="6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</row>
    <row r="218" ht="15.75" customHeight="1" s="67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</row>
    <row r="219" ht="15.75" customHeight="1" s="67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</row>
    <row r="220" ht="15.75" customHeight="1" s="67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</row>
    <row r="221" ht="15.75" customHeight="1" s="67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</row>
    <row r="222" ht="15.75" customHeight="1" s="67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</row>
    <row r="223" ht="15.75" customHeight="1" s="67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</row>
    <row r="224" ht="15.75" customHeight="1" s="67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</row>
    <row r="225" ht="15.75" customHeight="1" s="67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</row>
    <row r="226" ht="15.75" customHeight="1" s="67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</row>
    <row r="227" ht="15.75" customHeight="1" s="6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</row>
    <row r="228" ht="15.75" customHeight="1" s="67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</row>
    <row r="229" ht="15.75" customHeight="1" s="67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</row>
    <row r="230" ht="15.75" customHeight="1" s="67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</row>
    <row r="231" ht="15.75" customHeight="1" s="67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</row>
    <row r="232" ht="15.75" customHeight="1" s="67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</row>
    <row r="233" ht="15.75" customHeight="1" s="67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</row>
    <row r="234" ht="15.75" customHeight="1" s="67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</row>
    <row r="235" ht="15.75" customHeight="1" s="67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</row>
    <row r="236" ht="15.75" customHeight="1" s="67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</row>
    <row r="237" ht="15.75" customHeight="1" s="6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</row>
    <row r="238" ht="15.75" customHeight="1" s="67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</row>
    <row r="239" ht="15.75" customHeight="1" s="67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</row>
    <row r="240" ht="15.75" customHeight="1" s="67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</row>
    <row r="241" ht="15.75" customHeight="1" s="67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</row>
    <row r="242" ht="15.75" customHeight="1" s="67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</row>
    <row r="243" ht="15.75" customHeight="1" s="67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</row>
    <row r="244" ht="15.75" customHeight="1" s="67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</row>
    <row r="245" ht="15.75" customHeight="1" s="67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</row>
    <row r="246" ht="15.75" customHeight="1" s="67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</row>
    <row r="247" ht="15.75" customHeight="1" s="6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</row>
    <row r="248" ht="15.75" customHeight="1" s="67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</row>
    <row r="249" ht="15.75" customHeight="1" s="67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</row>
    <row r="250" ht="15.75" customHeight="1" s="67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</row>
    <row r="251" ht="15.75" customHeight="1" s="67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</row>
    <row r="252" ht="15.75" customHeight="1" s="67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</row>
    <row r="253" ht="15.75" customHeight="1" s="67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</row>
    <row r="254" ht="15.75" customHeight="1" s="67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</row>
    <row r="255" ht="15.75" customHeight="1" s="67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</row>
    <row r="256" ht="15.75" customHeight="1" s="67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</row>
    <row r="257" ht="15.75" customHeight="1" s="6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</row>
    <row r="258" ht="15.75" customHeight="1" s="67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</row>
    <row r="259" ht="15.75" customHeight="1" s="67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</row>
    <row r="260" ht="15.75" customHeight="1" s="67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</row>
    <row r="261" ht="15.75" customHeight="1" s="67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</row>
    <row r="262" ht="15.75" customHeight="1" s="67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</row>
    <row r="263" ht="15.75" customHeight="1" s="67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</row>
    <row r="264" ht="15.75" customHeight="1" s="67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</row>
    <row r="265" ht="15.75" customHeight="1" s="67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</row>
    <row r="266" ht="15.75" customHeight="1" s="67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</row>
    <row r="267" ht="15.75" customHeight="1" s="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</row>
    <row r="268" ht="15.75" customHeight="1" s="67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</row>
    <row r="269" ht="15.75" customHeight="1" s="67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</row>
    <row r="270" ht="15.75" customHeight="1" s="67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</row>
    <row r="271" ht="15.75" customHeight="1" s="67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</row>
    <row r="272" ht="15.75" customHeight="1" s="67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</row>
    <row r="273" ht="15.75" customHeight="1" s="67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</row>
    <row r="274" ht="15.75" customHeight="1" s="67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</row>
    <row r="275" ht="15.75" customHeight="1" s="67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</row>
    <row r="276" ht="15.75" customHeight="1" s="67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</row>
    <row r="277" ht="15.75" customHeight="1" s="6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</row>
    <row r="278" ht="15.75" customHeight="1" s="67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</row>
    <row r="279" ht="15.75" customHeight="1" s="67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</row>
    <row r="280" ht="15.75" customHeight="1" s="67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</row>
    <row r="281" ht="15.75" customHeight="1" s="67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</row>
    <row r="282" ht="15.75" customHeight="1" s="67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</row>
    <row r="283" ht="15.75" customHeight="1" s="67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</row>
    <row r="284" ht="15.75" customHeight="1" s="67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</row>
    <row r="285" ht="15.75" customHeight="1" s="67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</row>
    <row r="286" ht="15.75" customHeight="1" s="67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</row>
    <row r="287" ht="15.75" customHeight="1" s="6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</row>
    <row r="288" ht="15.75" customHeight="1" s="67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</row>
    <row r="289" ht="15.75" customHeight="1" s="67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</row>
    <row r="290" ht="15.75" customHeight="1" s="67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</row>
    <row r="291" ht="15.75" customHeight="1" s="67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</row>
    <row r="292" ht="15.75" customHeight="1" s="67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</row>
    <row r="293" ht="15.75" customHeight="1" s="67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</row>
    <row r="294" ht="15.75" customHeight="1" s="67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</row>
    <row r="295" ht="15.75" customHeight="1" s="67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</row>
    <row r="296" ht="15.75" customHeight="1" s="67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</row>
    <row r="297" ht="15.75" customHeight="1" s="6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</row>
    <row r="298" ht="15.75" customHeight="1" s="67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</row>
    <row r="299" ht="15.75" customHeight="1" s="67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</row>
    <row r="300" ht="15.75" customHeight="1" s="67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</row>
    <row r="301" ht="15.75" customHeight="1" s="67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</row>
    <row r="302" ht="15.75" customHeight="1" s="67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</row>
    <row r="303" ht="15.75" customHeight="1" s="67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</row>
    <row r="304" ht="15.75" customHeight="1" s="67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</row>
    <row r="305" ht="15.75" customHeight="1" s="67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</row>
    <row r="306" ht="15.75" customHeight="1" s="67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</row>
    <row r="307" ht="15.75" customHeight="1" s="6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</row>
    <row r="308" ht="15.75" customHeight="1" s="67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</row>
    <row r="309" ht="15.75" customHeight="1" s="67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</row>
    <row r="310" ht="15.75" customHeight="1" s="67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</row>
    <row r="311" ht="15.75" customHeight="1" s="67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</row>
    <row r="312" ht="15.75" customHeight="1" s="67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</row>
    <row r="313" ht="15.75" customHeight="1" s="67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</row>
    <row r="314" ht="15.75" customHeight="1" s="67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</row>
    <row r="315" ht="15.75" customHeight="1" s="67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</row>
    <row r="316" ht="15.75" customHeight="1" s="67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</row>
    <row r="317" ht="15.75" customHeight="1" s="6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</row>
    <row r="318" ht="15.75" customHeight="1" s="67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</row>
    <row r="319" ht="15.75" customHeight="1" s="67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</row>
    <row r="320" ht="15.75" customHeight="1" s="67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</row>
    <row r="321" ht="15.75" customHeight="1" s="67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</row>
    <row r="322" ht="15.75" customHeight="1" s="67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</row>
    <row r="323" ht="15.75" customHeight="1" s="67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</row>
    <row r="324" ht="15.75" customHeight="1" s="67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</row>
    <row r="325" ht="15.75" customHeight="1" s="67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</row>
    <row r="326" ht="15.75" customHeight="1" s="67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</row>
    <row r="327" ht="15.75" customHeight="1" s="6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</row>
    <row r="328" ht="15.75" customHeight="1" s="67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</row>
    <row r="329" ht="15.75" customHeight="1" s="67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</row>
    <row r="330" ht="15.75" customHeight="1" s="67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</row>
    <row r="331" ht="15.75" customHeight="1" s="67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</row>
    <row r="332" ht="15.75" customHeight="1" s="67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</row>
    <row r="333" ht="15.75" customHeight="1" s="67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</row>
    <row r="334" ht="15.75" customHeight="1" s="67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</row>
    <row r="335" ht="15.75" customHeight="1" s="67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</row>
    <row r="336" ht="15.75" customHeight="1" s="67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</row>
    <row r="337" ht="15.75" customHeight="1" s="6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</row>
    <row r="338" ht="15.75" customHeight="1" s="67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</row>
    <row r="339" ht="15.75" customHeight="1" s="67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</row>
    <row r="340" ht="15.75" customHeight="1" s="67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</row>
    <row r="341" ht="15.75" customHeight="1" s="67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</row>
    <row r="342" ht="15.75" customHeight="1" s="67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</row>
    <row r="343" ht="15.75" customHeight="1" s="67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</row>
    <row r="344" ht="15.75" customHeight="1" s="67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</row>
    <row r="345" ht="15.75" customHeight="1" s="67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</row>
    <row r="346" ht="15.75" customHeight="1" s="67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</row>
    <row r="347" ht="15.75" customHeight="1" s="6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</row>
    <row r="348" ht="15.75" customHeight="1" s="67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</row>
    <row r="349" ht="15.75" customHeight="1" s="67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</row>
    <row r="350" ht="15.75" customHeight="1" s="67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</row>
    <row r="351" ht="15.75" customHeight="1" s="67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</row>
    <row r="352" ht="15.75" customHeight="1" s="67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</row>
    <row r="353" ht="15.75" customHeight="1" s="67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</row>
    <row r="354" ht="15.75" customHeight="1" s="67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</row>
    <row r="355" ht="15.75" customHeight="1" s="67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</row>
    <row r="356" ht="15.75" customHeight="1" s="67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</row>
    <row r="357" ht="15.75" customHeight="1" s="6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</row>
    <row r="358" ht="15.75" customHeight="1" s="67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</row>
    <row r="359" ht="15.75" customHeight="1" s="67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</row>
    <row r="360" ht="15.75" customHeight="1" s="67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</row>
    <row r="361" ht="15.75" customHeight="1" s="67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</row>
    <row r="362" ht="15.75" customHeight="1" s="67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</row>
    <row r="363" ht="15.75" customHeight="1" s="67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</row>
    <row r="364" ht="15.75" customHeight="1" s="67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</row>
    <row r="365" ht="15.75" customHeight="1" s="67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</row>
    <row r="366" ht="15.75" customHeight="1" s="67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</row>
    <row r="367" ht="15.75" customHeight="1" s="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</row>
    <row r="368" ht="15.75" customHeight="1" s="67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</row>
    <row r="369" ht="15.75" customHeight="1" s="67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</row>
    <row r="370" ht="15.75" customHeight="1" s="67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</row>
    <row r="371" ht="15.75" customHeight="1" s="67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</row>
    <row r="372" ht="15.75" customHeight="1" s="67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</row>
    <row r="373" ht="15.75" customHeight="1" s="67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</row>
    <row r="374" ht="15.75" customHeight="1" s="67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</row>
    <row r="375" ht="15.75" customHeight="1" s="67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</row>
    <row r="376" ht="15.75" customHeight="1" s="67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</row>
    <row r="377" ht="15.75" customHeight="1" s="6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</row>
    <row r="378" ht="15.75" customHeight="1" s="67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</row>
    <row r="379" ht="15.75" customHeight="1" s="67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</row>
    <row r="380" ht="15.75" customHeight="1" s="67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</row>
    <row r="381" ht="15.75" customHeight="1" s="67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</row>
    <row r="382" ht="15.75" customHeight="1" s="67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</row>
    <row r="383" ht="15.75" customHeight="1" s="67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</row>
    <row r="384" ht="15.75" customHeight="1" s="67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</row>
    <row r="385" ht="15.75" customHeight="1" s="67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</row>
    <row r="386" ht="15.75" customHeight="1" s="67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</row>
    <row r="387" ht="15.75" customHeight="1" s="6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</row>
    <row r="388" ht="15.75" customHeight="1" s="67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</row>
    <row r="389" ht="15.75" customHeight="1" s="67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</row>
    <row r="390" ht="15.75" customHeight="1" s="67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</row>
    <row r="391" ht="15.75" customHeight="1" s="67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</row>
    <row r="392" ht="15.75" customHeight="1" s="67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</row>
    <row r="393" ht="15.75" customHeight="1" s="67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</row>
    <row r="394" ht="15.75" customHeight="1" s="67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</row>
    <row r="395" ht="15.75" customHeight="1" s="67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</row>
    <row r="396" ht="15.75" customHeight="1" s="67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</row>
    <row r="397" ht="15.75" customHeight="1" s="6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</row>
    <row r="398" ht="15.75" customHeight="1" s="67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</row>
    <row r="399" ht="15.75" customHeight="1" s="67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</row>
    <row r="400" ht="15.75" customHeight="1" s="67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</row>
    <row r="401" ht="15.75" customHeight="1" s="67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</row>
    <row r="402" ht="15.75" customHeight="1" s="67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</row>
    <row r="403" ht="15.75" customHeight="1" s="67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</row>
    <row r="404" ht="15.75" customHeight="1" s="67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</row>
    <row r="405" ht="15.75" customHeight="1" s="67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</row>
    <row r="406" ht="15.75" customHeight="1" s="67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</row>
    <row r="407" ht="15.75" customHeight="1" s="6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</row>
    <row r="408" ht="15.75" customHeight="1" s="67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</row>
    <row r="409" ht="15.75" customHeight="1" s="67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</row>
    <row r="410" ht="15.75" customHeight="1" s="67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</row>
    <row r="411" ht="15.75" customHeight="1" s="67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</row>
    <row r="412" ht="15.75" customHeight="1" s="67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</row>
    <row r="413" ht="15.75" customHeight="1" s="67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</row>
    <row r="414" ht="15.75" customHeight="1" s="67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</row>
    <row r="415" ht="15.75" customHeight="1" s="67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</row>
    <row r="416" ht="15.75" customHeight="1" s="67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</row>
    <row r="417" ht="15.75" customHeight="1" s="6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</row>
    <row r="418" ht="15.75" customHeight="1" s="67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</row>
    <row r="419" ht="15.75" customHeight="1" s="67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</row>
    <row r="420" ht="15.75" customHeight="1" s="67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</row>
    <row r="421" ht="15.75" customHeight="1" s="67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</row>
    <row r="422" ht="15.75" customHeight="1" s="67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</row>
    <row r="423" ht="15.75" customHeight="1" s="67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</row>
    <row r="424" ht="15.75" customHeight="1" s="67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</row>
    <row r="425" ht="15.75" customHeight="1" s="67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</row>
    <row r="426" ht="15.75" customHeight="1" s="67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</row>
    <row r="427" ht="15.75" customHeight="1" s="6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</row>
    <row r="428" ht="15.75" customHeight="1" s="67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</row>
    <row r="429" ht="15.75" customHeight="1" s="67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</row>
    <row r="430" ht="15.75" customHeight="1" s="67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</row>
    <row r="431" ht="15.75" customHeight="1" s="67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</row>
    <row r="432" ht="15.75" customHeight="1" s="67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</row>
    <row r="433" ht="15.75" customHeight="1" s="67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</row>
    <row r="434" ht="15.75" customHeight="1" s="67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</row>
    <row r="435" ht="15.75" customHeight="1" s="67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</row>
    <row r="436" ht="15.75" customHeight="1" s="67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</row>
    <row r="437" ht="15.75" customHeight="1" s="6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</row>
    <row r="438" ht="15.75" customHeight="1" s="67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</row>
    <row r="439" ht="15.75" customHeight="1" s="67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</row>
    <row r="440" ht="15.75" customHeight="1" s="67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</row>
    <row r="441" ht="15.75" customHeight="1" s="67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</row>
    <row r="442" ht="15.75" customHeight="1" s="67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</row>
    <row r="443" ht="15.75" customHeight="1" s="67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</row>
    <row r="444" ht="15.75" customHeight="1" s="67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</row>
    <row r="445" ht="15.75" customHeight="1" s="67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</row>
    <row r="446" ht="15.75" customHeight="1" s="67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</row>
    <row r="447" ht="15.75" customHeight="1" s="6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</row>
    <row r="448" ht="15.75" customHeight="1" s="67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</row>
    <row r="449" ht="15.75" customHeight="1" s="67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</row>
    <row r="450" ht="15.75" customHeight="1" s="67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</row>
    <row r="451" ht="15.75" customHeight="1" s="67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</row>
    <row r="452" ht="15.75" customHeight="1" s="67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</row>
    <row r="453" ht="15.75" customHeight="1" s="67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</row>
    <row r="454" ht="15.75" customHeight="1" s="67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</row>
    <row r="455" ht="15.75" customHeight="1" s="67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</row>
    <row r="456" ht="15.75" customHeight="1" s="67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</row>
    <row r="457" ht="15.75" customHeight="1" s="6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</row>
    <row r="458" ht="15.75" customHeight="1" s="67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</row>
    <row r="459" ht="15.75" customHeight="1" s="67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</row>
    <row r="460" ht="15.75" customHeight="1" s="67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</row>
    <row r="461" ht="15.75" customHeight="1" s="67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</row>
    <row r="462" ht="15.75" customHeight="1" s="67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</row>
    <row r="463" ht="15.75" customHeight="1" s="67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</row>
    <row r="464" ht="15.75" customHeight="1" s="67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</row>
    <row r="465" ht="15.75" customHeight="1" s="67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</row>
    <row r="466" ht="15.75" customHeight="1" s="67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</row>
    <row r="467" ht="15.75" customHeight="1" s="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</row>
    <row r="468" ht="15.75" customHeight="1" s="67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</row>
    <row r="469" ht="15.75" customHeight="1" s="67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</row>
    <row r="470" ht="15.75" customHeight="1" s="67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</row>
    <row r="471" ht="15.75" customHeight="1" s="67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</row>
    <row r="472" ht="15.75" customHeight="1" s="67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</row>
    <row r="473" ht="15.75" customHeight="1" s="67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</row>
    <row r="474" ht="15.75" customHeight="1" s="67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</row>
    <row r="475" ht="15.75" customHeight="1" s="67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</row>
    <row r="476" ht="15.75" customHeight="1" s="67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</row>
    <row r="477" ht="15.75" customHeight="1" s="6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</row>
    <row r="478" ht="15.75" customHeight="1" s="67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</row>
    <row r="479" ht="15.75" customHeight="1" s="67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</row>
    <row r="480" ht="15.75" customHeight="1" s="67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</row>
    <row r="481" ht="15.75" customHeight="1" s="67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</row>
    <row r="482" ht="15.75" customHeight="1" s="67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</row>
    <row r="483" ht="15.75" customHeight="1" s="67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</row>
    <row r="484" ht="15.75" customHeight="1" s="67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</row>
    <row r="485" ht="15.75" customHeight="1" s="67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</row>
    <row r="486" ht="15.75" customHeight="1" s="67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</row>
    <row r="487" ht="15.75" customHeight="1" s="6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</row>
    <row r="488" ht="15.75" customHeight="1" s="67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</row>
    <row r="489" ht="15.75" customHeight="1" s="67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</row>
    <row r="490" ht="15.75" customHeight="1" s="67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</row>
    <row r="491" ht="15.75" customHeight="1" s="67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</row>
    <row r="492" ht="15.75" customHeight="1" s="67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</row>
    <row r="493" ht="15.75" customHeight="1" s="67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</row>
    <row r="494" ht="15.75" customHeight="1" s="67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</row>
    <row r="495" ht="15.75" customHeight="1" s="67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</row>
    <row r="496" ht="15.75" customHeight="1" s="67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</row>
    <row r="497" ht="15.75" customHeight="1" s="6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</row>
    <row r="498" ht="15.75" customHeight="1" s="67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</row>
    <row r="499" ht="15.75" customHeight="1" s="67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</row>
    <row r="500" ht="15.75" customHeight="1" s="67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</row>
    <row r="501" ht="15.75" customHeight="1" s="67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</row>
    <row r="502" ht="15.75" customHeight="1" s="67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</row>
    <row r="503" ht="15.75" customHeight="1" s="67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</row>
    <row r="504" ht="15.75" customHeight="1" s="67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</row>
    <row r="505" ht="15.75" customHeight="1" s="67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</row>
    <row r="506" ht="15.75" customHeight="1" s="67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</row>
    <row r="507" ht="15.75" customHeight="1" s="6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</row>
    <row r="508" ht="15.75" customHeight="1" s="67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</row>
    <row r="509" ht="15.75" customHeight="1" s="67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</row>
    <row r="510" ht="15.75" customHeight="1" s="67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</row>
    <row r="511" ht="15.75" customHeight="1" s="67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</row>
    <row r="512" ht="15.75" customHeight="1" s="67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</row>
    <row r="513" ht="15.75" customHeight="1" s="67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</row>
    <row r="514" ht="15.75" customHeight="1" s="67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</row>
    <row r="515" ht="15.75" customHeight="1" s="67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</row>
    <row r="516" ht="15.75" customHeight="1" s="67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</row>
    <row r="517" ht="15.75" customHeight="1" s="6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</row>
    <row r="518" ht="15.75" customHeight="1" s="67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</row>
    <row r="519" ht="15.75" customHeight="1" s="67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</row>
    <row r="520" ht="15.75" customHeight="1" s="67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</row>
    <row r="521" ht="15.75" customHeight="1" s="67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</row>
    <row r="522" ht="15.75" customHeight="1" s="67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</row>
    <row r="523" ht="15.75" customHeight="1" s="67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</row>
    <row r="524" ht="15.75" customHeight="1" s="67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</row>
    <row r="525" ht="15.75" customHeight="1" s="67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</row>
    <row r="526" ht="15.75" customHeight="1" s="67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</row>
    <row r="527" ht="15.75" customHeight="1" s="6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</row>
    <row r="528" ht="15.75" customHeight="1" s="67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</row>
    <row r="529" ht="15.75" customHeight="1" s="67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</row>
    <row r="530" ht="15.75" customHeight="1" s="67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</row>
    <row r="531" ht="15.75" customHeight="1" s="67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</row>
    <row r="532" ht="15.75" customHeight="1" s="67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</row>
    <row r="533" ht="15.75" customHeight="1" s="67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</row>
    <row r="534" ht="15.75" customHeight="1" s="67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</row>
    <row r="535" ht="15.75" customHeight="1" s="67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</row>
    <row r="536" ht="15.75" customHeight="1" s="67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</row>
    <row r="537" ht="15.75" customHeight="1" s="6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</row>
    <row r="538" ht="15.75" customHeight="1" s="67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</row>
    <row r="539" ht="15.75" customHeight="1" s="67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</row>
    <row r="540" ht="15.75" customHeight="1" s="67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</row>
    <row r="541" ht="15.75" customHeight="1" s="67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</row>
    <row r="542" ht="15.75" customHeight="1" s="67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</row>
    <row r="543" ht="15.75" customHeight="1" s="67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</row>
    <row r="544" ht="15.75" customHeight="1" s="67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</row>
    <row r="545" ht="15.75" customHeight="1" s="67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</row>
    <row r="546" ht="15.75" customHeight="1" s="67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</row>
    <row r="547" ht="15.75" customHeight="1" s="6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</row>
    <row r="548" ht="15.75" customHeight="1" s="67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</row>
    <row r="549" ht="15.75" customHeight="1" s="67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</row>
    <row r="550" ht="15.75" customHeight="1" s="67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</row>
    <row r="551" ht="15.75" customHeight="1" s="67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</row>
    <row r="552" ht="15.75" customHeight="1" s="67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</row>
    <row r="553" ht="15.75" customHeight="1" s="67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</row>
    <row r="554" ht="15.75" customHeight="1" s="67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</row>
    <row r="555" ht="15.75" customHeight="1" s="67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</row>
    <row r="556" ht="15.75" customHeight="1" s="67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</row>
    <row r="557" ht="15.75" customHeight="1" s="6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</row>
    <row r="558" ht="15.75" customHeight="1" s="67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</row>
    <row r="559" ht="15.75" customHeight="1" s="67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</row>
    <row r="560" ht="15.75" customHeight="1" s="67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</row>
    <row r="561" ht="15.75" customHeight="1" s="67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</row>
    <row r="562" ht="15.75" customHeight="1" s="67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</row>
    <row r="563" ht="15.75" customHeight="1" s="67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</row>
    <row r="564" ht="15.75" customHeight="1" s="67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</row>
    <row r="565" ht="15.75" customHeight="1" s="67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</row>
    <row r="566" ht="15.75" customHeight="1" s="67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</row>
    <row r="567" ht="15.75" customHeight="1" s="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</row>
    <row r="568" ht="15.75" customHeight="1" s="67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</row>
    <row r="569" ht="15.75" customHeight="1" s="67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</row>
    <row r="570" ht="15.75" customHeight="1" s="67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</row>
    <row r="571" ht="15.75" customHeight="1" s="67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</row>
    <row r="572" ht="15.75" customHeight="1" s="67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</row>
    <row r="573" ht="15.75" customHeight="1" s="67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</row>
    <row r="574" ht="15.75" customHeight="1" s="67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</row>
    <row r="575" ht="15.75" customHeight="1" s="67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</row>
    <row r="576" ht="15.75" customHeight="1" s="67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</row>
    <row r="577" ht="15.75" customHeight="1" s="6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</row>
    <row r="578" ht="15.75" customHeight="1" s="67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</row>
    <row r="579" ht="15.75" customHeight="1" s="67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</row>
    <row r="580" ht="15.75" customHeight="1" s="67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</row>
    <row r="581" ht="15.75" customHeight="1" s="67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</row>
    <row r="582" ht="15.75" customHeight="1" s="67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</row>
    <row r="583" ht="15.75" customHeight="1" s="67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</row>
    <row r="584" ht="15.75" customHeight="1" s="67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</row>
    <row r="585" ht="15.75" customHeight="1" s="67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</row>
    <row r="586" ht="15.75" customHeight="1" s="67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</row>
    <row r="587" ht="15.75" customHeight="1" s="6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</row>
    <row r="588" ht="15.75" customHeight="1" s="67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</row>
    <row r="589" ht="15.75" customHeight="1" s="67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</row>
    <row r="590" ht="15.75" customHeight="1" s="67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</row>
    <row r="591" ht="15.75" customHeight="1" s="67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</row>
    <row r="592" ht="15.75" customHeight="1" s="67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</row>
    <row r="593" ht="15.75" customHeight="1" s="67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</row>
    <row r="594" ht="15.75" customHeight="1" s="67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</row>
    <row r="595" ht="15.75" customHeight="1" s="67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</row>
    <row r="596" ht="15.75" customHeight="1" s="67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</row>
    <row r="597" ht="15.75" customHeight="1" s="6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</row>
    <row r="598" ht="15.75" customHeight="1" s="67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</row>
    <row r="599" ht="15.75" customHeight="1" s="67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</row>
    <row r="600" ht="15.75" customHeight="1" s="67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</row>
    <row r="601" ht="15.75" customHeight="1" s="67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</row>
    <row r="602" ht="15.75" customHeight="1" s="67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</row>
    <row r="603" ht="15.75" customHeight="1" s="67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</row>
    <row r="604" ht="15.75" customHeight="1" s="67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</row>
    <row r="605" ht="15.75" customHeight="1" s="67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</row>
    <row r="606" ht="15.75" customHeight="1" s="67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</row>
    <row r="607" ht="15.75" customHeight="1" s="6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</row>
    <row r="608" ht="15.75" customHeight="1" s="67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</row>
    <row r="609" ht="15.75" customHeight="1" s="67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</row>
    <row r="610" ht="15.75" customHeight="1" s="67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</row>
    <row r="611" ht="15.75" customHeight="1" s="67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</row>
    <row r="612" ht="15.75" customHeight="1" s="67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</row>
    <row r="613" ht="15.75" customHeight="1" s="67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</row>
    <row r="614" ht="15.75" customHeight="1" s="67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</row>
    <row r="615" ht="15.75" customHeight="1" s="67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</row>
    <row r="616" ht="15.75" customHeight="1" s="67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</row>
    <row r="617" ht="15.75" customHeight="1" s="6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</row>
    <row r="618" ht="15.75" customHeight="1" s="67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</row>
    <row r="619" ht="15.75" customHeight="1" s="67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</row>
    <row r="620" ht="15.75" customHeight="1" s="67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</row>
    <row r="621" ht="15.75" customHeight="1" s="67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</row>
    <row r="622" ht="15.75" customHeight="1" s="67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</row>
    <row r="623" ht="15.75" customHeight="1" s="67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</row>
    <row r="624" ht="15.75" customHeight="1" s="67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</row>
    <row r="625" ht="15.75" customHeight="1" s="67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</row>
    <row r="626" ht="15.75" customHeight="1" s="67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</row>
    <row r="627" ht="15.75" customHeight="1" s="6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</row>
    <row r="628" ht="15.75" customHeight="1" s="67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</row>
    <row r="629" ht="15.75" customHeight="1" s="67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</row>
    <row r="630" ht="15.75" customHeight="1" s="67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</row>
    <row r="631" ht="15.75" customHeight="1" s="67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</row>
    <row r="632" ht="15.75" customHeight="1" s="67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</row>
    <row r="633" ht="15.75" customHeight="1" s="67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</row>
    <row r="634" ht="15.75" customHeight="1" s="67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</row>
    <row r="635" ht="15.75" customHeight="1" s="67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</row>
    <row r="636" ht="15.75" customHeight="1" s="67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</row>
    <row r="637" ht="15.75" customHeight="1" s="6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</row>
    <row r="638" ht="15.75" customHeight="1" s="67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</row>
    <row r="639" ht="15.75" customHeight="1" s="67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</row>
    <row r="640" ht="15.75" customHeight="1" s="67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</row>
    <row r="641" ht="15.75" customHeight="1" s="67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</row>
    <row r="642" ht="15.75" customHeight="1" s="67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</row>
    <row r="643" ht="15.75" customHeight="1" s="67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</row>
    <row r="644" ht="15.75" customHeight="1" s="67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</row>
    <row r="645" ht="15.75" customHeight="1" s="67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</row>
    <row r="646" ht="15.75" customHeight="1" s="67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</row>
    <row r="647" ht="15.75" customHeight="1" s="6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</row>
    <row r="648" ht="15.75" customHeight="1" s="67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</row>
    <row r="649" ht="15.75" customHeight="1" s="67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</row>
    <row r="650" ht="15.75" customHeight="1" s="67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</row>
    <row r="651" ht="15.75" customHeight="1" s="67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</row>
    <row r="652" ht="15.75" customHeight="1" s="67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</row>
    <row r="653" ht="15.75" customHeight="1" s="67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</row>
    <row r="654" ht="15.75" customHeight="1" s="67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</row>
    <row r="655" ht="15.75" customHeight="1" s="67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</row>
    <row r="656" ht="15.75" customHeight="1" s="67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</row>
    <row r="657" ht="15.75" customHeight="1" s="6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</row>
    <row r="658" ht="15.75" customHeight="1" s="67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</row>
    <row r="659" ht="15.75" customHeight="1" s="67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</row>
    <row r="660" ht="15.75" customHeight="1" s="67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</row>
    <row r="661" ht="15.75" customHeight="1" s="67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</row>
    <row r="662" ht="15.75" customHeight="1" s="67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</row>
    <row r="663" ht="15.75" customHeight="1" s="67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</row>
    <row r="664" ht="15.75" customHeight="1" s="67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</row>
    <row r="665" ht="15.75" customHeight="1" s="67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</row>
    <row r="666" ht="15.75" customHeight="1" s="67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</row>
    <row r="667" ht="15.75" customHeight="1" s="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</row>
    <row r="668" ht="15.75" customHeight="1" s="67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</row>
    <row r="669" ht="15.75" customHeight="1" s="67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</row>
    <row r="670" ht="15.75" customHeight="1" s="67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</row>
    <row r="671" ht="15.75" customHeight="1" s="67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</row>
    <row r="672" ht="15.75" customHeight="1" s="67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</row>
    <row r="673" ht="15.75" customHeight="1" s="67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</row>
    <row r="674" ht="15.75" customHeight="1" s="67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</row>
    <row r="675" ht="15.75" customHeight="1" s="67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</row>
    <row r="676" ht="15.75" customHeight="1" s="67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</row>
    <row r="677" ht="15.75" customHeight="1" s="6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</row>
    <row r="678" ht="15.75" customHeight="1" s="67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</row>
    <row r="679" ht="15.75" customHeight="1" s="67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</row>
    <row r="680" ht="15.75" customHeight="1" s="67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</row>
    <row r="681" ht="15.75" customHeight="1" s="67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</row>
    <row r="682" ht="15.75" customHeight="1" s="67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</row>
    <row r="683" ht="15.75" customHeight="1" s="67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</row>
    <row r="684" ht="15.75" customHeight="1" s="67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</row>
    <row r="685" ht="15.75" customHeight="1" s="67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</row>
    <row r="686" ht="15.75" customHeight="1" s="67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</row>
    <row r="687" ht="15.75" customHeight="1" s="6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</row>
    <row r="688" ht="15.75" customHeight="1" s="67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</row>
    <row r="689" ht="15.75" customHeight="1" s="67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</row>
    <row r="690" ht="15.75" customHeight="1" s="67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</row>
    <row r="691" ht="15.75" customHeight="1" s="67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</row>
    <row r="692" ht="15.75" customHeight="1" s="67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</row>
    <row r="693" ht="15.75" customHeight="1" s="67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</row>
    <row r="694" ht="15.75" customHeight="1" s="67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</row>
    <row r="695" ht="15.75" customHeight="1" s="67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</row>
    <row r="696" ht="15.75" customHeight="1" s="67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</row>
    <row r="697" ht="15.75" customHeight="1" s="6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</row>
    <row r="698" ht="15.75" customHeight="1" s="67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</row>
    <row r="699" ht="15.75" customHeight="1" s="67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</row>
    <row r="700" ht="15.75" customHeight="1" s="67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</row>
    <row r="701" ht="15.75" customHeight="1" s="67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</row>
    <row r="702" ht="15.75" customHeight="1" s="67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</row>
    <row r="703" ht="15.75" customHeight="1" s="67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</row>
    <row r="704" ht="15.75" customHeight="1" s="67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</row>
    <row r="705" ht="15.75" customHeight="1" s="67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</row>
    <row r="706" ht="15.75" customHeight="1" s="67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</row>
    <row r="707" ht="15.75" customHeight="1" s="6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</row>
    <row r="708" ht="15.75" customHeight="1" s="67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</row>
    <row r="709" ht="15.75" customHeight="1" s="67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</row>
    <row r="710" ht="15.75" customHeight="1" s="67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</row>
    <row r="711" ht="15.75" customHeight="1" s="67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</row>
    <row r="712" ht="15.75" customHeight="1" s="67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</row>
    <row r="713" ht="15.75" customHeight="1" s="67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</row>
    <row r="714" ht="15.75" customHeight="1" s="67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</row>
    <row r="715" ht="15.75" customHeight="1" s="67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</row>
    <row r="716" ht="15.75" customHeight="1" s="67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</row>
    <row r="717" ht="15.75" customHeight="1" s="6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</row>
    <row r="718" ht="15.75" customHeight="1" s="67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</row>
    <row r="719" ht="15.75" customHeight="1" s="67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</row>
    <row r="720" ht="15.75" customHeight="1" s="67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</row>
    <row r="721" ht="15.75" customHeight="1" s="67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</row>
    <row r="722" ht="15.75" customHeight="1" s="67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</row>
    <row r="723" ht="15.75" customHeight="1" s="67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</row>
    <row r="724" ht="15.75" customHeight="1" s="67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</row>
    <row r="725" ht="15.75" customHeight="1" s="67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</row>
    <row r="726" ht="15.75" customHeight="1" s="67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</row>
    <row r="727" ht="15.75" customHeight="1" s="6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</row>
    <row r="728" ht="15.75" customHeight="1" s="67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</row>
    <row r="729" ht="15.75" customHeight="1" s="67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</row>
    <row r="730" ht="15.75" customHeight="1" s="67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</row>
    <row r="731" ht="15.75" customHeight="1" s="67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</row>
    <row r="732" ht="15.75" customHeight="1" s="67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</row>
    <row r="733" ht="15.75" customHeight="1" s="67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</row>
    <row r="734" ht="15.75" customHeight="1" s="67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</row>
    <row r="735" ht="15.75" customHeight="1" s="67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</row>
    <row r="736" ht="15.75" customHeight="1" s="67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</row>
    <row r="737" ht="15.75" customHeight="1" s="6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</row>
    <row r="738" ht="15.75" customHeight="1" s="67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</row>
    <row r="739" ht="15.75" customHeight="1" s="67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</row>
    <row r="740" ht="15.75" customHeight="1" s="67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</row>
    <row r="741" ht="15.75" customHeight="1" s="67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</row>
    <row r="742" ht="15.75" customHeight="1" s="67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</row>
    <row r="743" ht="15.75" customHeight="1" s="67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</row>
    <row r="744" ht="15.75" customHeight="1" s="67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</row>
    <row r="745" ht="15.75" customHeight="1" s="67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</row>
    <row r="746" ht="15.75" customHeight="1" s="67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</row>
    <row r="747" ht="15.75" customHeight="1" s="6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</row>
    <row r="748" ht="15.75" customHeight="1" s="67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</row>
    <row r="749" ht="15.75" customHeight="1" s="67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</row>
    <row r="750" ht="15.75" customHeight="1" s="67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</row>
    <row r="751" ht="15.75" customHeight="1" s="67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</row>
    <row r="752" ht="15.75" customHeight="1" s="67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</row>
    <row r="753" ht="15.75" customHeight="1" s="67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</row>
    <row r="754" ht="15.75" customHeight="1" s="67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</row>
    <row r="755" ht="15.75" customHeight="1" s="67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</row>
    <row r="756" ht="15.75" customHeight="1" s="67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</row>
    <row r="757" ht="15.75" customHeight="1" s="6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</row>
    <row r="758" ht="15.75" customHeight="1" s="67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</row>
    <row r="759" ht="15.75" customHeight="1" s="67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</row>
    <row r="760" ht="15.75" customHeight="1" s="67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</row>
    <row r="761" ht="15.75" customHeight="1" s="67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</row>
    <row r="762" ht="15.75" customHeight="1" s="67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</row>
    <row r="763" ht="15.75" customHeight="1" s="67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</row>
    <row r="764" ht="15.75" customHeight="1" s="67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</row>
    <row r="765" ht="15.75" customHeight="1" s="67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</row>
    <row r="766" ht="15.75" customHeight="1" s="67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</row>
    <row r="767" ht="15.75" customHeight="1" s="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</row>
    <row r="768" ht="15.75" customHeight="1" s="67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</row>
    <row r="769" ht="15.75" customHeight="1" s="67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</row>
    <row r="770" ht="15.75" customHeight="1" s="67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</row>
    <row r="771" ht="15.75" customHeight="1" s="67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</row>
    <row r="772" ht="15.75" customHeight="1" s="67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</row>
    <row r="773" ht="15.75" customHeight="1" s="67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</row>
    <row r="774" ht="15.75" customHeight="1" s="67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</row>
    <row r="775" ht="15.75" customHeight="1" s="67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</row>
    <row r="776" ht="15.75" customHeight="1" s="67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</row>
    <row r="777" ht="15.75" customHeight="1" s="6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</row>
    <row r="778" ht="15.75" customHeight="1" s="67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</row>
    <row r="779" ht="15.75" customHeight="1" s="67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</row>
    <row r="780" ht="15.75" customHeight="1" s="67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</row>
    <row r="781" ht="15.75" customHeight="1" s="67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</row>
    <row r="782" ht="15.75" customHeight="1" s="67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</row>
    <row r="783" ht="15.75" customHeight="1" s="67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</row>
    <row r="784" ht="15.75" customHeight="1" s="67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</row>
    <row r="785" ht="15.75" customHeight="1" s="67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</row>
    <row r="786" ht="15.75" customHeight="1" s="67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</row>
    <row r="787" ht="15.75" customHeight="1" s="6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</row>
    <row r="788" ht="15.75" customHeight="1" s="67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</row>
    <row r="789" ht="15.75" customHeight="1" s="67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</row>
    <row r="790" ht="15.75" customHeight="1" s="67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</row>
    <row r="791" ht="15.75" customHeight="1" s="67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</row>
    <row r="792" ht="15.75" customHeight="1" s="67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</row>
    <row r="793" ht="15.75" customHeight="1" s="67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</row>
    <row r="794" ht="15.75" customHeight="1" s="67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</row>
    <row r="795" ht="15.75" customHeight="1" s="67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</row>
    <row r="796" ht="15.75" customHeight="1" s="67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</row>
    <row r="797" ht="15.75" customHeight="1" s="6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</row>
    <row r="798" ht="15.75" customHeight="1" s="67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</row>
    <row r="799" ht="15.75" customHeight="1" s="67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</row>
    <row r="800" ht="15.75" customHeight="1" s="67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</row>
    <row r="801" ht="15.75" customHeight="1" s="67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</row>
    <row r="802" ht="15.75" customHeight="1" s="67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</row>
    <row r="803" ht="15.75" customHeight="1" s="67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</row>
    <row r="804" ht="15.75" customHeight="1" s="67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</row>
    <row r="805" ht="15.75" customHeight="1" s="67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</row>
    <row r="806" ht="15.75" customHeight="1" s="67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</row>
    <row r="807" ht="15.75" customHeight="1" s="6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</row>
    <row r="808" ht="15.75" customHeight="1" s="67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</row>
    <row r="809" ht="15.75" customHeight="1" s="67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</row>
    <row r="810" ht="15.75" customHeight="1" s="67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</row>
    <row r="811" ht="15.75" customHeight="1" s="67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</row>
    <row r="812" ht="15.75" customHeight="1" s="67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</row>
    <row r="813" ht="15.75" customHeight="1" s="67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</row>
    <row r="814" ht="15.75" customHeight="1" s="67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</row>
    <row r="815" ht="15.75" customHeight="1" s="67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</row>
    <row r="816" ht="15.75" customHeight="1" s="67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</row>
    <row r="817" ht="15.75" customHeight="1" s="6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</row>
    <row r="818" ht="15.75" customHeight="1" s="67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</row>
    <row r="819" ht="15.75" customHeight="1" s="67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</row>
    <row r="820" ht="15.75" customHeight="1" s="67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</row>
    <row r="821" ht="15.75" customHeight="1" s="67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</row>
    <row r="822" ht="15.75" customHeight="1" s="67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</row>
    <row r="823" ht="15.75" customHeight="1" s="67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</row>
    <row r="824" ht="15.75" customHeight="1" s="67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</row>
    <row r="825" ht="15.75" customHeight="1" s="67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</row>
    <row r="826" ht="15.75" customHeight="1" s="67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</row>
    <row r="827" ht="15.75" customHeight="1" s="6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</row>
    <row r="828" ht="15.75" customHeight="1" s="67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</row>
    <row r="829" ht="15.75" customHeight="1" s="67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</row>
    <row r="830" ht="15.75" customHeight="1" s="67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</row>
    <row r="831" ht="15.75" customHeight="1" s="67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</row>
    <row r="832" ht="15.75" customHeight="1" s="67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</row>
    <row r="833" ht="15.75" customHeight="1" s="67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</row>
    <row r="834" ht="15.75" customHeight="1" s="67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</row>
    <row r="835" ht="15.75" customHeight="1" s="67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</row>
    <row r="836" ht="15.75" customHeight="1" s="67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</row>
    <row r="837" ht="15.75" customHeight="1" s="6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</row>
    <row r="838" ht="15.75" customHeight="1" s="67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</row>
    <row r="839" ht="15.75" customHeight="1" s="67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</row>
    <row r="840" ht="15.75" customHeight="1" s="67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</row>
    <row r="841" ht="15.75" customHeight="1" s="67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</row>
    <row r="842" ht="15.75" customHeight="1" s="67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</row>
    <row r="843" ht="15.75" customHeight="1" s="67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</row>
    <row r="844" ht="15.75" customHeight="1" s="67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</row>
    <row r="845" ht="15.75" customHeight="1" s="67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</row>
    <row r="846" ht="15.75" customHeight="1" s="67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</row>
    <row r="847" ht="15.75" customHeight="1" s="6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</row>
    <row r="848" ht="15.75" customHeight="1" s="67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</row>
    <row r="849" ht="15.75" customHeight="1" s="67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</row>
    <row r="850" ht="15.75" customHeight="1" s="67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</row>
    <row r="851" ht="15.75" customHeight="1" s="67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</row>
    <row r="852" ht="15.75" customHeight="1" s="67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</row>
    <row r="853" ht="15.75" customHeight="1" s="67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</row>
    <row r="854" ht="15.75" customHeight="1" s="67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</row>
    <row r="855" ht="15.75" customHeight="1" s="67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</row>
    <row r="856" ht="15.75" customHeight="1" s="67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</row>
    <row r="857" ht="15.75" customHeight="1" s="6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</row>
    <row r="858" ht="15.75" customHeight="1" s="67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</row>
    <row r="859" ht="15.75" customHeight="1" s="67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</row>
    <row r="860" ht="15.75" customHeight="1" s="67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</row>
    <row r="861" ht="15.75" customHeight="1" s="67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</row>
    <row r="862" ht="15.75" customHeight="1" s="67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</row>
    <row r="863" ht="15.75" customHeight="1" s="67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</row>
    <row r="864" ht="15.75" customHeight="1" s="67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</row>
    <row r="865" ht="15.75" customHeight="1" s="67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</row>
    <row r="866" ht="15.75" customHeight="1" s="67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</row>
    <row r="867" ht="15.75" customHeight="1" s="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</row>
    <row r="868" ht="15.75" customHeight="1" s="67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</row>
    <row r="869" ht="15.75" customHeight="1" s="67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</row>
    <row r="870" ht="15.75" customHeight="1" s="67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</row>
    <row r="871" ht="15.75" customHeight="1" s="67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</row>
    <row r="872" ht="15.75" customHeight="1" s="67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</row>
    <row r="873" ht="15.75" customHeight="1" s="67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</row>
    <row r="874" ht="15.75" customHeight="1" s="67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</row>
    <row r="875" ht="15.75" customHeight="1" s="67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</row>
    <row r="876" ht="15.75" customHeight="1" s="67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</row>
    <row r="877" ht="15.75" customHeight="1" s="6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</row>
    <row r="878" ht="15.75" customHeight="1" s="67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</row>
    <row r="879" ht="15.75" customHeight="1" s="67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</row>
    <row r="880" ht="15.75" customHeight="1" s="67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</row>
    <row r="881" ht="15.75" customHeight="1" s="67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</row>
    <row r="882" ht="15.75" customHeight="1" s="67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</row>
    <row r="883" ht="15.75" customHeight="1" s="67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</row>
    <row r="884" ht="15.75" customHeight="1" s="67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</row>
    <row r="885" ht="15.75" customHeight="1" s="67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</row>
    <row r="886" ht="15.75" customHeight="1" s="67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</row>
    <row r="887" ht="15.75" customHeight="1" s="6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</row>
    <row r="888" ht="15.75" customHeight="1" s="67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</row>
    <row r="889" ht="15.75" customHeight="1" s="67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</row>
    <row r="890" ht="15.75" customHeight="1" s="67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</row>
    <row r="891" ht="15.75" customHeight="1" s="67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</row>
    <row r="892" ht="15.75" customHeight="1" s="67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</row>
    <row r="893" ht="15.75" customHeight="1" s="67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</row>
    <row r="894" ht="15.75" customHeight="1" s="67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</row>
    <row r="895" ht="15.75" customHeight="1" s="67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</row>
    <row r="896" ht="15.75" customHeight="1" s="67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</row>
    <row r="897" ht="15.75" customHeight="1" s="6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</row>
    <row r="898" ht="15.75" customHeight="1" s="67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</row>
    <row r="899" ht="15.75" customHeight="1" s="67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</row>
    <row r="900" ht="15.75" customHeight="1" s="67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</row>
    <row r="901" ht="15.75" customHeight="1" s="67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</row>
    <row r="902" ht="15.75" customHeight="1" s="67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</row>
    <row r="903" ht="15.75" customHeight="1" s="67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</row>
    <row r="904" ht="15.75" customHeight="1" s="67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</row>
    <row r="905" ht="15.75" customHeight="1" s="67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</row>
    <row r="906" ht="15.75" customHeight="1" s="67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</row>
    <row r="907" ht="15.75" customHeight="1" s="6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</row>
    <row r="908" ht="15.75" customHeight="1" s="67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</row>
    <row r="909" ht="15.75" customHeight="1" s="67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</row>
    <row r="910" ht="15.75" customHeight="1" s="67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</row>
    <row r="911" ht="15.75" customHeight="1" s="67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</row>
    <row r="912" ht="15.75" customHeight="1" s="67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</row>
    <row r="913" ht="15.75" customHeight="1" s="67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</row>
    <row r="914" ht="15.75" customHeight="1" s="67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</row>
    <row r="915" ht="15.75" customHeight="1" s="67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</row>
    <row r="916" ht="15.75" customHeight="1" s="67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</row>
    <row r="917" ht="15.75" customHeight="1" s="6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</row>
    <row r="918" ht="15.75" customHeight="1" s="67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</row>
    <row r="919" ht="15.75" customHeight="1" s="67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</row>
    <row r="920" ht="15.75" customHeight="1" s="67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</row>
    <row r="921" ht="15.75" customHeight="1" s="67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</row>
    <row r="922" ht="15.75" customHeight="1" s="67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</row>
    <row r="923" ht="15.75" customHeight="1" s="67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</row>
    <row r="924" ht="15.75" customHeight="1" s="67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</row>
    <row r="925" ht="15.75" customHeight="1" s="67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</row>
    <row r="926" ht="15.75" customHeight="1" s="67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</row>
    <row r="927" ht="15.75" customHeight="1" s="6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</row>
    <row r="928" ht="15.75" customHeight="1" s="67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</row>
    <row r="929" ht="15.75" customHeight="1" s="67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</row>
    <row r="930" ht="15.75" customHeight="1" s="67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</row>
    <row r="931" ht="15.75" customHeight="1" s="67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</row>
    <row r="932" ht="15.75" customHeight="1" s="67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</row>
    <row r="933" ht="15.75" customHeight="1" s="67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</row>
    <row r="934" ht="15.75" customHeight="1" s="67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</row>
    <row r="935" ht="15.75" customHeight="1" s="67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</row>
    <row r="936" ht="15.75" customHeight="1" s="67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</row>
    <row r="937" ht="15.75" customHeight="1" s="6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</row>
    <row r="938" ht="15.75" customHeight="1" s="67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</row>
    <row r="939" ht="15.75" customHeight="1" s="67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</row>
    <row r="940" ht="15.75" customHeight="1" s="67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</row>
    <row r="941" ht="15.75" customHeight="1" s="67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</row>
    <row r="942" ht="15.75" customHeight="1" s="67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</row>
    <row r="943" ht="15.75" customHeight="1" s="67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</row>
    <row r="944" ht="15.75" customHeight="1" s="67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</row>
    <row r="945" ht="15.75" customHeight="1" s="67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</row>
    <row r="946" ht="15.75" customHeight="1" s="67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</row>
    <row r="947" ht="15.75" customHeight="1" s="6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</row>
    <row r="948" ht="15.75" customHeight="1" s="67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</row>
    <row r="949" ht="15.75" customHeight="1" s="67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</row>
    <row r="950" ht="15.75" customHeight="1" s="67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</row>
    <row r="951" ht="15.75" customHeight="1" s="67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</row>
    <row r="952" ht="15.75" customHeight="1" s="67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</row>
    <row r="953" ht="15.75" customHeight="1" s="67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</row>
    <row r="954" ht="15.75" customHeight="1" s="67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</row>
    <row r="955" ht="15.75" customHeight="1" s="67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</row>
    <row r="956" ht="15.75" customHeight="1" s="67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</row>
    <row r="957" ht="15.75" customHeight="1" s="6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</row>
    <row r="958" ht="15.75" customHeight="1" s="67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</row>
    <row r="959" ht="15.75" customHeight="1" s="67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</row>
    <row r="960" ht="15.75" customHeight="1" s="67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</row>
    <row r="961" ht="15.75" customHeight="1" s="67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</row>
    <row r="962" ht="15.75" customHeight="1" s="67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</row>
    <row r="963" ht="15.75" customHeight="1" s="67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</row>
    <row r="964" ht="15.75" customHeight="1" s="67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</row>
    <row r="965" ht="15.75" customHeight="1" s="67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</row>
    <row r="966" ht="15.75" customHeight="1" s="67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</row>
    <row r="967" ht="15.75" customHeight="1" s="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</row>
    <row r="968" ht="15.75" customHeight="1" s="67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</row>
    <row r="969" ht="15.75" customHeight="1" s="67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</row>
    <row r="970" ht="15.75" customHeight="1" s="67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</row>
    <row r="971" ht="15.75" customHeight="1" s="67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</row>
    <row r="972" ht="15.75" customHeight="1" s="67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</row>
    <row r="973" ht="15.75" customHeight="1" s="67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</row>
    <row r="974" ht="15.75" customHeight="1" s="67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</row>
    <row r="975" ht="15.75" customHeight="1" s="67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</row>
    <row r="976" ht="15.75" customHeight="1" s="67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</row>
    <row r="977" ht="15.75" customHeight="1" s="6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</row>
    <row r="978" ht="15.75" customHeight="1" s="67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</row>
    <row r="979" ht="15.75" customHeight="1" s="67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</row>
    <row r="980" ht="15.75" customHeight="1" s="67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</row>
    <row r="981" ht="15.75" customHeight="1" s="67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</row>
    <row r="982" ht="15.75" customHeight="1" s="67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</row>
    <row r="983" ht="15.75" customHeight="1" s="67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</row>
    <row r="984" ht="15.75" customHeight="1" s="67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</row>
    <row r="985" ht="15.75" customHeight="1" s="67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</row>
    <row r="986" ht="15.75" customHeight="1" s="67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</row>
    <row r="987" ht="15.75" customHeight="1" s="6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</row>
    <row r="988" ht="15.75" customHeight="1" s="67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</row>
    <row r="989" ht="15.75" customHeight="1" s="67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</row>
    <row r="990" ht="15.75" customHeight="1" s="67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</row>
    <row r="991" ht="15.75" customHeight="1" s="67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</row>
    <row r="992" ht="15.75" customHeight="1" s="67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</row>
    <row r="993" ht="15.75" customHeight="1" s="67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</row>
    <row r="994" ht="15.75" customHeight="1" s="67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</row>
    <row r="995" ht="15.75" customHeight="1" s="67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</row>
    <row r="996" ht="15.75" customHeight="1" s="67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</row>
    <row r="997" ht="15.75" customHeight="1" s="6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</row>
    <row r="998" ht="15.75" customHeight="1" s="67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</row>
    <row r="999" ht="15.75" customHeight="1" s="67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</row>
    <row r="1000" ht="15.75" customHeight="1" s="67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</row>
  </sheetData>
  <mergeCells count="1">
    <mergeCell ref="A2:N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67" min="1" max="1"/>
    <col width="58" customWidth="1" style="67" min="2" max="2"/>
    <col width="22" customWidth="1" style="67" min="3" max="3"/>
    <col width="44" customWidth="1" style="67" min="4" max="4"/>
    <col width="8.710000000000001" customWidth="1" style="67" min="5" max="26"/>
  </cols>
  <sheetData>
    <row r="1" ht="17.25" customHeight="1" s="67">
      <c r="A1" s="1" t="inlineStr">
        <is>
          <t>Paso 4 · Lista de cotejo de aplicación del postest</t>
        </is>
      </c>
      <c r="B1" s="2" t="n"/>
      <c r="C1" s="2" t="n"/>
      <c r="D1" s="2" t="n"/>
    </row>
    <row r="2" ht="15" customHeight="1" s="67">
      <c r="A2" s="3" t="inlineStr">
        <is>
          <t>Marque Sí, No o N. A. en cada ítem y anote la evidencia. Cada «No» exige una incidencia registrada en 5_Incidencias.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15" customHeight="1" s="67">
      <c r="A4" s="2" t="n"/>
      <c r="B4" s="7" t="inlineStr">
        <is>
          <t>Fecha y hora de aplicación</t>
        </is>
      </c>
      <c r="C4" s="19" t="inlineStr">
        <is>
          <t>26/10/2026 al 31/10/2026 · franjas 10:00–13:00 y 16:00–19:00</t>
        </is>
      </c>
      <c r="D4" s="70" t="n"/>
    </row>
    <row r="5" ht="15" customHeight="1" s="67">
      <c r="A5" s="2" t="n"/>
      <c r="B5" s="7" t="inlineStr">
        <is>
          <t>Lugar y grupo</t>
        </is>
      </c>
      <c r="C5" s="19" t="inlineStr">
        <is>
          <t>Virtual, dispositivo propio del participante · G (grupo único)</t>
        </is>
      </c>
      <c r="D5" s="70" t="n"/>
    </row>
    <row r="6" ht="15" customHeight="1" s="67">
      <c r="A6" s="2" t="n"/>
      <c r="B6" s="7" t="inlineStr">
        <is>
          <t>Aplicador u observador</t>
        </is>
      </c>
      <c r="C6" s="19" t="inlineStr">
        <is>
          <t>Marcel Trujillo Ávila (tesista) y Alejandro Godoy Condezo (aplicador de apoyo)</t>
        </is>
      </c>
      <c r="D6" s="70" t="n"/>
    </row>
    <row r="7" ht="15" customHeight="1" s="67">
      <c r="A7" s="2" t="n"/>
      <c r="B7" s="7" t="inlineStr">
        <is>
          <t>Instrumento y versión</t>
        </is>
      </c>
      <c r="C7" s="19" t="inlineStr">
        <is>
          <t>Cuestionario SUS, cuestionario de satisfacción y ficha de tiempos y clics (versión validada)</t>
        </is>
      </c>
      <c r="D7" s="70" t="n"/>
    </row>
    <row r="8">
      <c r="A8" s="2" t="n"/>
      <c r="B8" s="2" t="n"/>
      <c r="C8" s="2" t="n"/>
      <c r="D8" s="2" t="n"/>
    </row>
    <row r="9" ht="30" customHeight="1" s="67">
      <c r="A9" s="17" t="inlineStr">
        <is>
          <t>N.º</t>
        </is>
      </c>
      <c r="B9" s="17" t="inlineStr">
        <is>
          <t>Condición verificada</t>
        </is>
      </c>
      <c r="C9" s="17" t="inlineStr">
        <is>
          <t>Cumple (Sí / No / N. A.)</t>
        </is>
      </c>
      <c r="D9" s="17" t="inlineStr">
        <is>
          <t>Evidencia u observación</t>
        </is>
      </c>
    </row>
    <row r="10" ht="15" customHeight="1" s="67">
      <c r="A10" s="26" t="n">
        <v>1</v>
      </c>
      <c r="B10" s="42" t="inlineStr">
        <is>
          <t>Periodo de intervención verificado (programado frente a ejecutado).</t>
        </is>
      </c>
      <c r="C10" s="22" t="inlineStr">
        <is>
          <t>Sí</t>
        </is>
      </c>
      <c r="D10" s="36" t="inlineStr">
        <is>
          <t>Hoja 1_Periodo: 19/10 al 25/10/2026; adherencia y fidelidad sobre el umbral.</t>
        </is>
      </c>
    </row>
    <row r="11" ht="15" customHeight="1" s="67">
      <c r="A11" s="26" t="n">
        <v>2</v>
      </c>
      <c r="B11" s="42" t="inlineStr">
        <is>
          <t>Participación final confirmada por código.</t>
        </is>
      </c>
      <c r="C11" s="22" t="inlineStr">
        <is>
          <t>Sí</t>
        </is>
      </c>
      <c r="D11" s="36" t="inlineStr">
        <is>
          <t>Hoja 2_Participantes: 103 confirmados o reprogramados; 5 pérdidas registradas.</t>
        </is>
      </c>
    </row>
    <row r="12" ht="15" customHeight="1" s="67">
      <c r="A12" s="26" t="n">
        <v>3</v>
      </c>
      <c r="B12" s="42" t="inlineStr">
        <is>
          <t>Instrumento idéntico al del pretest (misma versión).</t>
        </is>
      </c>
      <c r="C12" s="22" t="inlineStr">
        <is>
          <t>Sí</t>
        </is>
      </c>
      <c r="D12" s="36" t="inlineStr">
        <is>
          <t>Mismos cuestionarios y misma versión del módulo (hoja 4_Equivalencia).</t>
        </is>
      </c>
    </row>
    <row r="13" ht="15" customHeight="1" s="67">
      <c r="A13" s="26" t="n">
        <v>4</v>
      </c>
      <c r="B13" s="42" t="inlineStr">
        <is>
          <t>Guion de instrucciones idéntico, leído textualmente.</t>
        </is>
      </c>
      <c r="C13" s="22" t="inlineStr">
        <is>
          <t>Sí</t>
        </is>
      </c>
      <c r="D13" s="36" t="inlineStr">
        <is>
          <t>Guion de la Sesión 02 leído textualmente en todas las sesiones.</t>
        </is>
      </c>
    </row>
    <row r="14" ht="15" customHeight="1" s="67">
      <c r="A14" s="26" t="n">
        <v>5</v>
      </c>
      <c r="B14" s="42" t="inlineStr">
        <is>
          <t>Mismo aplicador u observador, o calibración documentada.</t>
        </is>
      </c>
      <c r="C14" s="22" t="inlineStr">
        <is>
          <t>Sí</t>
        </is>
      </c>
      <c r="D14" s="36" t="inlineStr">
        <is>
          <t>Mismos dos aplicadores del pretest.</t>
        </is>
      </c>
    </row>
    <row r="15" ht="15" customHeight="1" s="67">
      <c r="A15" s="26" t="n">
        <v>6</v>
      </c>
      <c r="B15" s="42" t="inlineStr">
        <is>
          <t>Mismo lugar, mismos días y misma franja horaria.</t>
        </is>
      </c>
      <c r="C15" s="22" t="inlineStr">
        <is>
          <t>Sí</t>
        </is>
      </c>
      <c r="D15" s="36" t="inlineStr">
        <is>
          <t>Mismo tipo de dispositivo, mismo día de la semana y misma franja (1 excepción registrada).</t>
        </is>
      </c>
    </row>
    <row r="16" ht="15" customHeight="1" s="67">
      <c r="A16" s="26" t="n">
        <v>7</v>
      </c>
      <c r="B16" s="42" t="inlineStr">
        <is>
          <t>Códigos verificados antes de entregar el instrumento.</t>
        </is>
      </c>
      <c r="C16" s="22" t="inlineStr">
        <is>
          <t>Sí</t>
        </is>
      </c>
      <c r="D16" s="36" t="inlineStr">
        <is>
          <t>El módulo valida el código GU-TDH-### antes de habilitar las tareas.</t>
        </is>
      </c>
    </row>
    <row r="17" ht="15" customHeight="1" s="67">
      <c r="A17" s="26" t="n">
        <v>8</v>
      </c>
      <c r="B17" s="42" t="inlineStr">
        <is>
          <t>Tiempo y condiciones de aplicación controlados.</t>
        </is>
      </c>
      <c r="C17" s="22" t="inlineStr">
        <is>
          <t>Sí</t>
        </is>
      </c>
      <c r="D17" s="36" t="inlineStr">
        <is>
          <t>Tope de 300 s por tarea controlado por el cronómetro del módulo.</t>
        </is>
      </c>
    </row>
    <row r="18" ht="15" customHeight="1" s="67">
      <c r="A18" s="26" t="n">
        <v>9</v>
      </c>
      <c r="B18" s="42" t="inlineStr">
        <is>
          <t>Completitud verificada al recoger cada instrumento.</t>
        </is>
      </c>
      <c r="C18" s="22" t="inlineStr">
        <is>
          <t>Sí</t>
        </is>
      </c>
      <c r="D18" s="36" t="inlineStr">
        <is>
          <t>El módulo no permite enviar cuestionarios incompletos.</t>
        </is>
      </c>
    </row>
    <row r="19" ht="15" customHeight="1" s="67">
      <c r="A19" s="26" t="n">
        <v>10</v>
      </c>
      <c r="B19" s="42" t="inlineStr">
        <is>
          <t>Ausencias y pérdidas registradas con fecha y motivo.</t>
        </is>
      </c>
      <c r="C19" s="22" t="inlineStr">
        <is>
          <t>Sí</t>
        </is>
      </c>
      <c r="D19" s="36" t="inlineStr">
        <is>
          <t>5 pérdidas registradas con fecha y motivo (hoja 5_Incidencias).</t>
        </is>
      </c>
    </row>
    <row r="20" ht="15" customHeight="1" s="67">
      <c r="A20" s="26" t="n">
        <v>11</v>
      </c>
      <c r="B20" s="42" t="inlineStr">
        <is>
          <t>Incidencias registradas y tratadas el mismo día.</t>
        </is>
      </c>
      <c r="C20" s="22" t="inlineStr">
        <is>
          <t>Sí</t>
        </is>
      </c>
      <c r="D20" s="36" t="inlineStr">
        <is>
          <t>Incidencias registradas y tratadas el mismo día (hoja 5_Incidencias).</t>
        </is>
      </c>
    </row>
    <row r="21" ht="15" customHeight="1" s="67">
      <c r="A21" s="26" t="n">
        <v>12</v>
      </c>
      <c r="B21" s="42" t="inlineStr">
        <is>
          <t>Datos resguardados (cifrado y respaldo) el mismo día.</t>
        </is>
      </c>
      <c r="C21" s="22" t="inlineStr">
        <is>
          <t>Sí</t>
        </is>
      </c>
      <c r="D21" s="36" t="inlineStr">
        <is>
          <t>Exportación cifrada diaria y respaldo en una segunda ubicación.</t>
        </is>
      </c>
    </row>
    <row r="22" ht="15.75" customHeight="1" s="67">
      <c r="A22" s="2" t="n"/>
      <c r="B22" s="2" t="n"/>
      <c r="C22" s="2" t="n"/>
      <c r="D22" s="2" t="n"/>
    </row>
    <row r="23" ht="15" customHeight="1" s="67">
      <c r="A23" s="2" t="n"/>
      <c r="B23" s="7" t="inlineStr">
        <is>
          <t>Ítems cumplidos (Sí o N. A. justificado)</t>
        </is>
      </c>
      <c r="C23" s="26">
        <f>COUNTIF(C10:C21,"Sí")+COUNTIF(C10:C21,"N. A.")&amp;" de 12"</f>
        <v/>
      </c>
      <c r="D23" s="2" t="n"/>
    </row>
    <row r="24" ht="15" customHeight="1" s="67">
      <c r="A24" s="2" t="n"/>
      <c r="B24" s="7" t="inlineStr">
        <is>
          <t>Resultado</t>
        </is>
      </c>
      <c r="C24" s="49">
        <f>IF(COUNTIF(C10:C21,"Sí")+COUNTIF(C10:C21,"N. A.")=12,"Aplicación equivalente",IF(COUNTIF(C10:C21,"Sí")+COUNTIF(C10:C21,"N. A.")&gt;=10,"Equivalente con observaciones registradas","Revisar con el asesor antes de analizar los datos"))</f>
        <v/>
      </c>
      <c r="D24" s="70" t="n"/>
    </row>
    <row r="25" ht="15.75" customHeight="1" s="67">
      <c r="A25" s="2" t="n"/>
      <c r="B25" s="2" t="n"/>
      <c r="C25" s="2" t="n"/>
      <c r="D25" s="2" t="n"/>
    </row>
    <row r="26" ht="15.75" customHeight="1" s="67">
      <c r="A26" s="2" t="n"/>
      <c r="B26" s="2" t="n"/>
      <c r="C26" s="2" t="n"/>
      <c r="D26" s="2" t="n"/>
    </row>
    <row r="27" ht="15.75" customHeight="1" s="67">
      <c r="A27" s="2" t="n"/>
      <c r="B27" s="2" t="n"/>
      <c r="C27" s="2" t="n"/>
      <c r="D27" s="2" t="n"/>
    </row>
    <row r="28" ht="15.75" customHeight="1" s="67">
      <c r="A28" s="2" t="n"/>
      <c r="B28" s="2" t="n"/>
      <c r="C28" s="2" t="n"/>
      <c r="D28" s="2" t="n"/>
    </row>
    <row r="29" ht="15.75" customHeight="1" s="67">
      <c r="A29" s="2" t="n"/>
      <c r="B29" s="2" t="n"/>
      <c r="C29" s="2" t="n"/>
      <c r="D29" s="2" t="n"/>
    </row>
    <row r="30" ht="15.75" customHeight="1" s="67">
      <c r="A30" s="2" t="n"/>
      <c r="B30" s="2" t="n"/>
      <c r="C30" s="2" t="n"/>
      <c r="D30" s="2" t="n"/>
    </row>
    <row r="31" ht="15.75" customHeight="1" s="67">
      <c r="A31" s="2" t="n"/>
      <c r="B31" s="2" t="n"/>
      <c r="C31" s="2" t="n"/>
      <c r="D31" s="2" t="n"/>
    </row>
    <row r="32" ht="15.75" customHeight="1" s="67">
      <c r="A32" s="2" t="n"/>
      <c r="B32" s="2" t="n"/>
      <c r="C32" s="2" t="n"/>
      <c r="D32" s="2" t="n"/>
    </row>
    <row r="33" ht="15.75" customHeight="1" s="67">
      <c r="A33" s="2" t="n"/>
      <c r="B33" s="2" t="n"/>
      <c r="C33" s="2" t="n"/>
      <c r="D33" s="2" t="n"/>
    </row>
    <row r="34" ht="15.75" customHeight="1" s="67">
      <c r="A34" s="2" t="n"/>
      <c r="B34" s="2" t="n"/>
      <c r="C34" s="2" t="n"/>
      <c r="D34" s="2" t="n"/>
    </row>
    <row r="35" ht="15.75" customHeight="1" s="67">
      <c r="A35" s="2" t="n"/>
      <c r="B35" s="2" t="n"/>
      <c r="C35" s="2" t="n"/>
      <c r="D35" s="2" t="n"/>
    </row>
    <row r="36" ht="15.75" customHeight="1" s="67">
      <c r="A36" s="2" t="n"/>
      <c r="B36" s="2" t="n"/>
      <c r="C36" s="2" t="n"/>
      <c r="D36" s="2" t="n"/>
    </row>
    <row r="37" ht="15.75" customHeight="1" s="67">
      <c r="A37" s="2" t="n"/>
      <c r="B37" s="2" t="n"/>
      <c r="C37" s="2" t="n"/>
      <c r="D37" s="2" t="n"/>
    </row>
    <row r="38" ht="15.75" customHeight="1" s="67">
      <c r="A38" s="2" t="n"/>
      <c r="B38" s="2" t="n"/>
      <c r="C38" s="2" t="n"/>
      <c r="D38" s="2" t="n"/>
    </row>
    <row r="39" ht="15.75" customHeight="1" s="67">
      <c r="A39" s="2" t="n"/>
      <c r="B39" s="2" t="n"/>
      <c r="C39" s="2" t="n"/>
      <c r="D39" s="2" t="n"/>
    </row>
    <row r="40" ht="15.75" customHeight="1" s="67">
      <c r="A40" s="2" t="n"/>
      <c r="B40" s="2" t="n"/>
      <c r="C40" s="2" t="n"/>
      <c r="D40" s="2" t="n"/>
    </row>
    <row r="41" ht="15.75" customHeight="1" s="67">
      <c r="A41" s="2" t="n"/>
      <c r="B41" s="2" t="n"/>
      <c r="C41" s="2" t="n"/>
      <c r="D41" s="2" t="n"/>
    </row>
    <row r="42" ht="15.75" customHeight="1" s="67">
      <c r="A42" s="2" t="n"/>
      <c r="B42" s="2" t="n"/>
      <c r="C42" s="2" t="n"/>
      <c r="D42" s="2" t="n"/>
    </row>
    <row r="43" ht="15.75" customHeight="1" s="67">
      <c r="A43" s="2" t="n"/>
      <c r="B43" s="2" t="n"/>
      <c r="C43" s="2" t="n"/>
      <c r="D43" s="2" t="n"/>
    </row>
    <row r="44" ht="15.75" customHeight="1" s="67">
      <c r="A44" s="2" t="n"/>
      <c r="B44" s="2" t="n"/>
      <c r="C44" s="2" t="n"/>
      <c r="D44" s="2" t="n"/>
    </row>
    <row r="45" ht="15.75" customHeight="1" s="67">
      <c r="A45" s="2" t="n"/>
      <c r="B45" s="2" t="n"/>
      <c r="C45" s="2" t="n"/>
      <c r="D45" s="2" t="n"/>
    </row>
    <row r="46" ht="15.75" customHeight="1" s="67">
      <c r="A46" s="2" t="n"/>
      <c r="B46" s="2" t="n"/>
      <c r="C46" s="2" t="n"/>
      <c r="D46" s="2" t="n"/>
    </row>
    <row r="47" ht="15.75" customHeight="1" s="67">
      <c r="A47" s="2" t="n"/>
      <c r="B47" s="2" t="n"/>
      <c r="C47" s="2" t="n"/>
      <c r="D47" s="2" t="n"/>
    </row>
    <row r="48" ht="15.75" customHeight="1" s="67">
      <c r="A48" s="2" t="n"/>
      <c r="B48" s="2" t="n"/>
      <c r="C48" s="2" t="n"/>
      <c r="D48" s="2" t="n"/>
    </row>
    <row r="49" ht="15.75" customHeight="1" s="67">
      <c r="A49" s="2" t="n"/>
      <c r="B49" s="2" t="n"/>
      <c r="C49" s="2" t="n"/>
      <c r="D49" s="2" t="n"/>
    </row>
    <row r="50" ht="15.75" customHeight="1" s="67">
      <c r="A50" s="2" t="n"/>
      <c r="B50" s="2" t="n"/>
      <c r="C50" s="2" t="n"/>
      <c r="D50" s="2" t="n"/>
    </row>
    <row r="51" ht="15.75" customHeight="1" s="67">
      <c r="A51" s="2" t="n"/>
      <c r="B51" s="2" t="n"/>
      <c r="C51" s="2" t="n"/>
      <c r="D51" s="2" t="n"/>
    </row>
    <row r="52" ht="15.75" customHeight="1" s="67">
      <c r="A52" s="2" t="n"/>
      <c r="B52" s="2" t="n"/>
      <c r="C52" s="2" t="n"/>
      <c r="D52" s="2" t="n"/>
    </row>
    <row r="53" ht="15.75" customHeight="1" s="67">
      <c r="A53" s="2" t="n"/>
      <c r="B53" s="2" t="n"/>
      <c r="C53" s="2" t="n"/>
      <c r="D53" s="2" t="n"/>
    </row>
    <row r="54" ht="15.75" customHeight="1" s="67">
      <c r="A54" s="2" t="n"/>
      <c r="B54" s="2" t="n"/>
      <c r="C54" s="2" t="n"/>
      <c r="D54" s="2" t="n"/>
    </row>
    <row r="55" ht="15.75" customHeight="1" s="67">
      <c r="A55" s="2" t="n"/>
      <c r="B55" s="2" t="n"/>
      <c r="C55" s="2" t="n"/>
      <c r="D55" s="2" t="n"/>
    </row>
    <row r="56" ht="15.75" customHeight="1" s="67">
      <c r="A56" s="2" t="n"/>
      <c r="B56" s="2" t="n"/>
      <c r="C56" s="2" t="n"/>
      <c r="D56" s="2" t="n"/>
    </row>
    <row r="57" ht="15.75" customHeight="1" s="67">
      <c r="A57" s="2" t="n"/>
      <c r="B57" s="2" t="n"/>
      <c r="C57" s="2" t="n"/>
      <c r="D57" s="2" t="n"/>
    </row>
    <row r="58" ht="15.75" customHeight="1" s="67">
      <c r="A58" s="2" t="n"/>
      <c r="B58" s="2" t="n"/>
      <c r="C58" s="2" t="n"/>
      <c r="D58" s="2" t="n"/>
    </row>
    <row r="59" ht="15.75" customHeight="1" s="67">
      <c r="A59" s="2" t="n"/>
      <c r="B59" s="2" t="n"/>
      <c r="C59" s="2" t="n"/>
      <c r="D59" s="2" t="n"/>
    </row>
    <row r="60" ht="15.75" customHeight="1" s="67">
      <c r="A60" s="2" t="n"/>
      <c r="B60" s="2" t="n"/>
      <c r="C60" s="2" t="n"/>
      <c r="D60" s="2" t="n"/>
    </row>
    <row r="61" ht="15.75" customHeight="1" s="67">
      <c r="A61" s="2" t="n"/>
      <c r="B61" s="2" t="n"/>
      <c r="C61" s="2" t="n"/>
      <c r="D61" s="2" t="n"/>
    </row>
    <row r="62" ht="15.75" customHeight="1" s="67">
      <c r="A62" s="2" t="n"/>
      <c r="B62" s="2" t="n"/>
      <c r="C62" s="2" t="n"/>
      <c r="D62" s="2" t="n"/>
    </row>
    <row r="63" ht="15.75" customHeight="1" s="67">
      <c r="A63" s="2" t="n"/>
      <c r="B63" s="2" t="n"/>
      <c r="C63" s="2" t="n"/>
      <c r="D63" s="2" t="n"/>
    </row>
    <row r="64" ht="15.75" customHeight="1" s="67">
      <c r="A64" s="2" t="n"/>
      <c r="B64" s="2" t="n"/>
      <c r="C64" s="2" t="n"/>
      <c r="D64" s="2" t="n"/>
    </row>
    <row r="65" ht="15.75" customHeight="1" s="67">
      <c r="A65" s="2" t="n"/>
      <c r="B65" s="2" t="n"/>
      <c r="C65" s="2" t="n"/>
      <c r="D65" s="2" t="n"/>
    </row>
    <row r="66" ht="15.75" customHeight="1" s="67">
      <c r="A66" s="2" t="n"/>
      <c r="B66" s="2" t="n"/>
      <c r="C66" s="2" t="n"/>
      <c r="D66" s="2" t="n"/>
    </row>
    <row r="67" ht="15.75" customHeight="1" s="67">
      <c r="A67" s="2" t="n"/>
      <c r="B67" s="2" t="n"/>
      <c r="C67" s="2" t="n"/>
      <c r="D67" s="2" t="n"/>
    </row>
    <row r="68" ht="15.75" customHeight="1" s="67">
      <c r="A68" s="2" t="n"/>
      <c r="B68" s="2" t="n"/>
      <c r="C68" s="2" t="n"/>
      <c r="D68" s="2" t="n"/>
    </row>
    <row r="69" ht="15.75" customHeight="1" s="67">
      <c r="A69" s="2" t="n"/>
      <c r="B69" s="2" t="n"/>
      <c r="C69" s="2" t="n"/>
      <c r="D69" s="2" t="n"/>
    </row>
    <row r="70" ht="15.75" customHeight="1" s="67">
      <c r="A70" s="2" t="n"/>
      <c r="B70" s="2" t="n"/>
      <c r="C70" s="2" t="n"/>
      <c r="D70" s="2" t="n"/>
    </row>
    <row r="71" ht="15.75" customHeight="1" s="67">
      <c r="A71" s="2" t="n"/>
      <c r="B71" s="2" t="n"/>
      <c r="C71" s="2" t="n"/>
      <c r="D71" s="2" t="n"/>
    </row>
    <row r="72" ht="15.75" customHeight="1" s="67">
      <c r="A72" s="2" t="n"/>
      <c r="B72" s="2" t="n"/>
      <c r="C72" s="2" t="n"/>
      <c r="D72" s="2" t="n"/>
    </row>
    <row r="73" ht="15.75" customHeight="1" s="67">
      <c r="A73" s="2" t="n"/>
      <c r="B73" s="2" t="n"/>
      <c r="C73" s="2" t="n"/>
      <c r="D73" s="2" t="n"/>
    </row>
    <row r="74" ht="15.75" customHeight="1" s="67">
      <c r="A74" s="2" t="n"/>
      <c r="B74" s="2" t="n"/>
      <c r="C74" s="2" t="n"/>
      <c r="D74" s="2" t="n"/>
    </row>
    <row r="75" ht="15.75" customHeight="1" s="67">
      <c r="A75" s="2" t="n"/>
      <c r="B75" s="2" t="n"/>
      <c r="C75" s="2" t="n"/>
      <c r="D75" s="2" t="n"/>
    </row>
    <row r="76" ht="15.75" customHeight="1" s="67">
      <c r="A76" s="2" t="n"/>
      <c r="B76" s="2" t="n"/>
      <c r="C76" s="2" t="n"/>
      <c r="D76" s="2" t="n"/>
    </row>
    <row r="77" ht="15.75" customHeight="1" s="67">
      <c r="A77" s="2" t="n"/>
      <c r="B77" s="2" t="n"/>
      <c r="C77" s="2" t="n"/>
      <c r="D77" s="2" t="n"/>
    </row>
    <row r="78" ht="15.75" customHeight="1" s="67">
      <c r="A78" s="2" t="n"/>
      <c r="B78" s="2" t="n"/>
      <c r="C78" s="2" t="n"/>
      <c r="D78" s="2" t="n"/>
    </row>
    <row r="79" ht="15.75" customHeight="1" s="67">
      <c r="A79" s="2" t="n"/>
      <c r="B79" s="2" t="n"/>
      <c r="C79" s="2" t="n"/>
      <c r="D79" s="2" t="n"/>
    </row>
    <row r="80" ht="15.75" customHeight="1" s="67">
      <c r="A80" s="2" t="n"/>
      <c r="B80" s="2" t="n"/>
      <c r="C80" s="2" t="n"/>
      <c r="D80" s="2" t="n"/>
    </row>
    <row r="81" ht="15.75" customHeight="1" s="67">
      <c r="A81" s="2" t="n"/>
      <c r="B81" s="2" t="n"/>
      <c r="C81" s="2" t="n"/>
      <c r="D81" s="2" t="n"/>
    </row>
    <row r="82" ht="15.75" customHeight="1" s="67">
      <c r="A82" s="2" t="n"/>
      <c r="B82" s="2" t="n"/>
      <c r="C82" s="2" t="n"/>
      <c r="D82" s="2" t="n"/>
    </row>
    <row r="83" ht="15.75" customHeight="1" s="67">
      <c r="A83" s="2" t="n"/>
      <c r="B83" s="2" t="n"/>
      <c r="C83" s="2" t="n"/>
      <c r="D83" s="2" t="n"/>
    </row>
    <row r="84" ht="15.75" customHeight="1" s="67">
      <c r="A84" s="2" t="n"/>
      <c r="B84" s="2" t="n"/>
      <c r="C84" s="2" t="n"/>
      <c r="D84" s="2" t="n"/>
    </row>
    <row r="85" ht="15.75" customHeight="1" s="67">
      <c r="A85" s="2" t="n"/>
      <c r="B85" s="2" t="n"/>
      <c r="C85" s="2" t="n"/>
      <c r="D85" s="2" t="n"/>
    </row>
    <row r="86" ht="15.75" customHeight="1" s="67">
      <c r="A86" s="2" t="n"/>
      <c r="B86" s="2" t="n"/>
      <c r="C86" s="2" t="n"/>
      <c r="D86" s="2" t="n"/>
    </row>
    <row r="87" ht="15.75" customHeight="1" s="67">
      <c r="A87" s="2" t="n"/>
      <c r="B87" s="2" t="n"/>
      <c r="C87" s="2" t="n"/>
      <c r="D87" s="2" t="n"/>
    </row>
    <row r="88" ht="15.75" customHeight="1" s="67">
      <c r="A88" s="2" t="n"/>
      <c r="B88" s="2" t="n"/>
      <c r="C88" s="2" t="n"/>
      <c r="D88" s="2" t="n"/>
    </row>
    <row r="89" ht="15.75" customHeight="1" s="67">
      <c r="A89" s="2" t="n"/>
      <c r="B89" s="2" t="n"/>
      <c r="C89" s="2" t="n"/>
      <c r="D89" s="2" t="n"/>
    </row>
    <row r="90" ht="15.75" customHeight="1" s="67">
      <c r="A90" s="2" t="n"/>
      <c r="B90" s="2" t="n"/>
      <c r="C90" s="2" t="n"/>
      <c r="D90" s="2" t="n"/>
    </row>
    <row r="91" ht="15.75" customHeight="1" s="67">
      <c r="A91" s="2" t="n"/>
      <c r="B91" s="2" t="n"/>
      <c r="C91" s="2" t="n"/>
      <c r="D91" s="2" t="n"/>
    </row>
    <row r="92" ht="15.75" customHeight="1" s="67">
      <c r="A92" s="2" t="n"/>
      <c r="B92" s="2" t="n"/>
      <c r="C92" s="2" t="n"/>
      <c r="D92" s="2" t="n"/>
    </row>
    <row r="93" ht="15.75" customHeight="1" s="67">
      <c r="A93" s="2" t="n"/>
      <c r="B93" s="2" t="n"/>
      <c r="C93" s="2" t="n"/>
      <c r="D93" s="2" t="n"/>
    </row>
    <row r="94" ht="15.75" customHeight="1" s="67">
      <c r="A94" s="2" t="n"/>
      <c r="B94" s="2" t="n"/>
      <c r="C94" s="2" t="n"/>
      <c r="D94" s="2" t="n"/>
    </row>
    <row r="95" ht="15.75" customHeight="1" s="67">
      <c r="A95" s="2" t="n"/>
      <c r="B95" s="2" t="n"/>
      <c r="C95" s="2" t="n"/>
      <c r="D95" s="2" t="n"/>
    </row>
    <row r="96" ht="15.75" customHeight="1" s="67">
      <c r="A96" s="2" t="n"/>
      <c r="B96" s="2" t="n"/>
      <c r="C96" s="2" t="n"/>
      <c r="D96" s="2" t="n"/>
    </row>
    <row r="97" ht="15.75" customHeight="1" s="67">
      <c r="A97" s="2" t="n"/>
      <c r="B97" s="2" t="n"/>
      <c r="C97" s="2" t="n"/>
      <c r="D97" s="2" t="n"/>
    </row>
    <row r="98" ht="15.75" customHeight="1" s="67">
      <c r="A98" s="2" t="n"/>
      <c r="B98" s="2" t="n"/>
      <c r="C98" s="2" t="n"/>
      <c r="D98" s="2" t="n"/>
    </row>
    <row r="99" ht="15.75" customHeight="1" s="67">
      <c r="A99" s="2" t="n"/>
      <c r="B99" s="2" t="n"/>
      <c r="C99" s="2" t="n"/>
      <c r="D99" s="2" t="n"/>
    </row>
    <row r="100" ht="15.75" customHeight="1" s="67">
      <c r="A100" s="2" t="n"/>
      <c r="B100" s="2" t="n"/>
      <c r="C100" s="2" t="n"/>
      <c r="D100" s="2" t="n"/>
    </row>
    <row r="101" ht="15.75" customHeight="1" s="67">
      <c r="A101" s="2" t="n"/>
      <c r="B101" s="2" t="n"/>
      <c r="C101" s="2" t="n"/>
      <c r="D101" s="2" t="n"/>
    </row>
    <row r="102" ht="15.75" customHeight="1" s="67">
      <c r="A102" s="2" t="n"/>
      <c r="B102" s="2" t="n"/>
      <c r="C102" s="2" t="n"/>
      <c r="D102" s="2" t="n"/>
    </row>
    <row r="103" ht="15.75" customHeight="1" s="67">
      <c r="A103" s="2" t="n"/>
      <c r="B103" s="2" t="n"/>
      <c r="C103" s="2" t="n"/>
      <c r="D103" s="2" t="n"/>
    </row>
    <row r="104" ht="15.75" customHeight="1" s="67">
      <c r="A104" s="2" t="n"/>
      <c r="B104" s="2" t="n"/>
      <c r="C104" s="2" t="n"/>
      <c r="D104" s="2" t="n"/>
    </row>
    <row r="105" ht="15.75" customHeight="1" s="67">
      <c r="A105" s="2" t="n"/>
      <c r="B105" s="2" t="n"/>
      <c r="C105" s="2" t="n"/>
      <c r="D105" s="2" t="n"/>
    </row>
    <row r="106" ht="15.75" customHeight="1" s="67">
      <c r="A106" s="2" t="n"/>
      <c r="B106" s="2" t="n"/>
      <c r="C106" s="2" t="n"/>
      <c r="D106" s="2" t="n"/>
    </row>
    <row r="107" ht="15.75" customHeight="1" s="67">
      <c r="A107" s="2" t="n"/>
      <c r="B107" s="2" t="n"/>
      <c r="C107" s="2" t="n"/>
      <c r="D107" s="2" t="n"/>
    </row>
    <row r="108" ht="15.75" customHeight="1" s="67">
      <c r="A108" s="2" t="n"/>
      <c r="B108" s="2" t="n"/>
      <c r="C108" s="2" t="n"/>
      <c r="D108" s="2" t="n"/>
    </row>
    <row r="109" ht="15.75" customHeight="1" s="67">
      <c r="A109" s="2" t="n"/>
      <c r="B109" s="2" t="n"/>
      <c r="C109" s="2" t="n"/>
      <c r="D109" s="2" t="n"/>
    </row>
    <row r="110" ht="15.75" customHeight="1" s="67">
      <c r="A110" s="2" t="n"/>
      <c r="B110" s="2" t="n"/>
      <c r="C110" s="2" t="n"/>
      <c r="D110" s="2" t="n"/>
    </row>
    <row r="111" ht="15.75" customHeight="1" s="67">
      <c r="A111" s="2" t="n"/>
      <c r="B111" s="2" t="n"/>
      <c r="C111" s="2" t="n"/>
      <c r="D111" s="2" t="n"/>
    </row>
    <row r="112" ht="15.75" customHeight="1" s="67">
      <c r="A112" s="2" t="n"/>
      <c r="B112" s="2" t="n"/>
      <c r="C112" s="2" t="n"/>
      <c r="D112" s="2" t="n"/>
    </row>
    <row r="113" ht="15.75" customHeight="1" s="67">
      <c r="A113" s="2" t="n"/>
      <c r="B113" s="2" t="n"/>
      <c r="C113" s="2" t="n"/>
      <c r="D113" s="2" t="n"/>
    </row>
    <row r="114" ht="15.75" customHeight="1" s="67">
      <c r="A114" s="2" t="n"/>
      <c r="B114" s="2" t="n"/>
      <c r="C114" s="2" t="n"/>
      <c r="D114" s="2" t="n"/>
    </row>
    <row r="115" ht="15.75" customHeight="1" s="67">
      <c r="A115" s="2" t="n"/>
      <c r="B115" s="2" t="n"/>
      <c r="C115" s="2" t="n"/>
      <c r="D115" s="2" t="n"/>
    </row>
    <row r="116" ht="15.75" customHeight="1" s="67">
      <c r="A116" s="2" t="n"/>
      <c r="B116" s="2" t="n"/>
      <c r="C116" s="2" t="n"/>
      <c r="D116" s="2" t="n"/>
    </row>
    <row r="117" ht="15.75" customHeight="1" s="67">
      <c r="A117" s="2" t="n"/>
      <c r="B117" s="2" t="n"/>
      <c r="C117" s="2" t="n"/>
      <c r="D117" s="2" t="n"/>
    </row>
    <row r="118" ht="15.75" customHeight="1" s="67">
      <c r="A118" s="2" t="n"/>
      <c r="B118" s="2" t="n"/>
      <c r="C118" s="2" t="n"/>
      <c r="D118" s="2" t="n"/>
    </row>
    <row r="119" ht="15.75" customHeight="1" s="67">
      <c r="A119" s="2" t="n"/>
      <c r="B119" s="2" t="n"/>
      <c r="C119" s="2" t="n"/>
      <c r="D119" s="2" t="n"/>
    </row>
    <row r="120" ht="15.75" customHeight="1" s="67">
      <c r="A120" s="2" t="n"/>
      <c r="B120" s="2" t="n"/>
      <c r="C120" s="2" t="n"/>
      <c r="D120" s="2" t="n"/>
    </row>
    <row r="121" ht="15.75" customHeight="1" s="67">
      <c r="A121" s="2" t="n"/>
      <c r="B121" s="2" t="n"/>
      <c r="C121" s="2" t="n"/>
      <c r="D121" s="2" t="n"/>
    </row>
    <row r="122" ht="15.75" customHeight="1" s="67">
      <c r="A122" s="2" t="n"/>
      <c r="B122" s="2" t="n"/>
      <c r="C122" s="2" t="n"/>
      <c r="D122" s="2" t="n"/>
    </row>
    <row r="123" ht="15.75" customHeight="1" s="67">
      <c r="A123" s="2" t="n"/>
      <c r="B123" s="2" t="n"/>
      <c r="C123" s="2" t="n"/>
      <c r="D123" s="2" t="n"/>
    </row>
    <row r="124" ht="15.75" customHeight="1" s="67">
      <c r="A124" s="2" t="n"/>
      <c r="B124" s="2" t="n"/>
      <c r="C124" s="2" t="n"/>
      <c r="D124" s="2" t="n"/>
    </row>
    <row r="125" ht="15.75" customHeight="1" s="67">
      <c r="A125" s="2" t="n"/>
      <c r="B125" s="2" t="n"/>
      <c r="C125" s="2" t="n"/>
      <c r="D125" s="2" t="n"/>
    </row>
    <row r="126" ht="15.75" customHeight="1" s="67">
      <c r="A126" s="2" t="n"/>
      <c r="B126" s="2" t="n"/>
      <c r="C126" s="2" t="n"/>
      <c r="D126" s="2" t="n"/>
    </row>
    <row r="127" ht="15.75" customHeight="1" s="67">
      <c r="A127" s="2" t="n"/>
      <c r="B127" s="2" t="n"/>
      <c r="C127" s="2" t="n"/>
      <c r="D127" s="2" t="n"/>
    </row>
    <row r="128" ht="15.75" customHeight="1" s="67">
      <c r="A128" s="2" t="n"/>
      <c r="B128" s="2" t="n"/>
      <c r="C128" s="2" t="n"/>
      <c r="D128" s="2" t="n"/>
    </row>
    <row r="129" ht="15.75" customHeight="1" s="67">
      <c r="A129" s="2" t="n"/>
      <c r="B129" s="2" t="n"/>
      <c r="C129" s="2" t="n"/>
      <c r="D129" s="2" t="n"/>
    </row>
    <row r="130" ht="15.75" customHeight="1" s="67">
      <c r="A130" s="2" t="n"/>
      <c r="B130" s="2" t="n"/>
      <c r="C130" s="2" t="n"/>
      <c r="D130" s="2" t="n"/>
    </row>
    <row r="131" ht="15.75" customHeight="1" s="67">
      <c r="A131" s="2" t="n"/>
      <c r="B131" s="2" t="n"/>
      <c r="C131" s="2" t="n"/>
      <c r="D131" s="2" t="n"/>
    </row>
    <row r="132" ht="15.75" customHeight="1" s="67">
      <c r="A132" s="2" t="n"/>
      <c r="B132" s="2" t="n"/>
      <c r="C132" s="2" t="n"/>
      <c r="D132" s="2" t="n"/>
    </row>
    <row r="133" ht="15.75" customHeight="1" s="67">
      <c r="A133" s="2" t="n"/>
      <c r="B133" s="2" t="n"/>
      <c r="C133" s="2" t="n"/>
      <c r="D133" s="2" t="n"/>
    </row>
    <row r="134" ht="15.75" customHeight="1" s="67">
      <c r="A134" s="2" t="n"/>
      <c r="B134" s="2" t="n"/>
      <c r="C134" s="2" t="n"/>
      <c r="D134" s="2" t="n"/>
    </row>
    <row r="135" ht="15.75" customHeight="1" s="67">
      <c r="A135" s="2" t="n"/>
      <c r="B135" s="2" t="n"/>
      <c r="C135" s="2" t="n"/>
      <c r="D135" s="2" t="n"/>
    </row>
    <row r="136" ht="15.75" customHeight="1" s="67">
      <c r="A136" s="2" t="n"/>
      <c r="B136" s="2" t="n"/>
      <c r="C136" s="2" t="n"/>
      <c r="D136" s="2" t="n"/>
    </row>
    <row r="137" ht="15.75" customHeight="1" s="67">
      <c r="A137" s="2" t="n"/>
      <c r="B137" s="2" t="n"/>
      <c r="C137" s="2" t="n"/>
      <c r="D137" s="2" t="n"/>
    </row>
    <row r="138" ht="15.75" customHeight="1" s="67">
      <c r="A138" s="2" t="n"/>
      <c r="B138" s="2" t="n"/>
      <c r="C138" s="2" t="n"/>
      <c r="D138" s="2" t="n"/>
    </row>
    <row r="139" ht="15.75" customHeight="1" s="67">
      <c r="A139" s="2" t="n"/>
      <c r="B139" s="2" t="n"/>
      <c r="C139" s="2" t="n"/>
      <c r="D139" s="2" t="n"/>
    </row>
    <row r="140" ht="15.75" customHeight="1" s="67">
      <c r="A140" s="2" t="n"/>
      <c r="B140" s="2" t="n"/>
      <c r="C140" s="2" t="n"/>
      <c r="D140" s="2" t="n"/>
    </row>
    <row r="141" ht="15.75" customHeight="1" s="67">
      <c r="A141" s="2" t="n"/>
      <c r="B141" s="2" t="n"/>
      <c r="C141" s="2" t="n"/>
      <c r="D141" s="2" t="n"/>
    </row>
    <row r="142" ht="15.75" customHeight="1" s="67">
      <c r="A142" s="2" t="n"/>
      <c r="B142" s="2" t="n"/>
      <c r="C142" s="2" t="n"/>
      <c r="D142" s="2" t="n"/>
    </row>
    <row r="143" ht="15.75" customHeight="1" s="67">
      <c r="A143" s="2" t="n"/>
      <c r="B143" s="2" t="n"/>
      <c r="C143" s="2" t="n"/>
      <c r="D143" s="2" t="n"/>
    </row>
    <row r="144" ht="15.75" customHeight="1" s="67">
      <c r="A144" s="2" t="n"/>
      <c r="B144" s="2" t="n"/>
      <c r="C144" s="2" t="n"/>
      <c r="D144" s="2" t="n"/>
    </row>
    <row r="145" ht="15.75" customHeight="1" s="67">
      <c r="A145" s="2" t="n"/>
      <c r="B145" s="2" t="n"/>
      <c r="C145" s="2" t="n"/>
      <c r="D145" s="2" t="n"/>
    </row>
    <row r="146" ht="15.75" customHeight="1" s="67">
      <c r="A146" s="2" t="n"/>
      <c r="B146" s="2" t="n"/>
      <c r="C146" s="2" t="n"/>
      <c r="D146" s="2" t="n"/>
    </row>
    <row r="147" ht="15.75" customHeight="1" s="67">
      <c r="A147" s="2" t="n"/>
      <c r="B147" s="2" t="n"/>
      <c r="C147" s="2" t="n"/>
      <c r="D147" s="2" t="n"/>
    </row>
    <row r="148" ht="15.75" customHeight="1" s="67">
      <c r="A148" s="2" t="n"/>
      <c r="B148" s="2" t="n"/>
      <c r="C148" s="2" t="n"/>
      <c r="D148" s="2" t="n"/>
    </row>
    <row r="149" ht="15.75" customHeight="1" s="67">
      <c r="A149" s="2" t="n"/>
      <c r="B149" s="2" t="n"/>
      <c r="C149" s="2" t="n"/>
      <c r="D149" s="2" t="n"/>
    </row>
    <row r="150" ht="15.75" customHeight="1" s="67">
      <c r="A150" s="2" t="n"/>
      <c r="B150" s="2" t="n"/>
      <c r="C150" s="2" t="n"/>
      <c r="D150" s="2" t="n"/>
    </row>
    <row r="151" ht="15.75" customHeight="1" s="67">
      <c r="A151" s="2" t="n"/>
      <c r="B151" s="2" t="n"/>
      <c r="C151" s="2" t="n"/>
      <c r="D151" s="2" t="n"/>
    </row>
    <row r="152" ht="15.75" customHeight="1" s="67">
      <c r="A152" s="2" t="n"/>
      <c r="B152" s="2" t="n"/>
      <c r="C152" s="2" t="n"/>
      <c r="D152" s="2" t="n"/>
    </row>
    <row r="153" ht="15.75" customHeight="1" s="67">
      <c r="A153" s="2" t="n"/>
      <c r="B153" s="2" t="n"/>
      <c r="C153" s="2" t="n"/>
      <c r="D153" s="2" t="n"/>
    </row>
    <row r="154" ht="15.75" customHeight="1" s="67">
      <c r="A154" s="2" t="n"/>
      <c r="B154" s="2" t="n"/>
      <c r="C154" s="2" t="n"/>
      <c r="D154" s="2" t="n"/>
    </row>
    <row r="155" ht="15.75" customHeight="1" s="67">
      <c r="A155" s="2" t="n"/>
      <c r="B155" s="2" t="n"/>
      <c r="C155" s="2" t="n"/>
      <c r="D155" s="2" t="n"/>
    </row>
    <row r="156" ht="15.75" customHeight="1" s="67">
      <c r="A156" s="2" t="n"/>
      <c r="B156" s="2" t="n"/>
      <c r="C156" s="2" t="n"/>
      <c r="D156" s="2" t="n"/>
    </row>
    <row r="157" ht="15.75" customHeight="1" s="67">
      <c r="A157" s="2" t="n"/>
      <c r="B157" s="2" t="n"/>
      <c r="C157" s="2" t="n"/>
      <c r="D157" s="2" t="n"/>
    </row>
    <row r="158" ht="15.75" customHeight="1" s="67">
      <c r="A158" s="2" t="n"/>
      <c r="B158" s="2" t="n"/>
      <c r="C158" s="2" t="n"/>
      <c r="D158" s="2" t="n"/>
    </row>
    <row r="159" ht="15.75" customHeight="1" s="67">
      <c r="A159" s="2" t="n"/>
      <c r="B159" s="2" t="n"/>
      <c r="C159" s="2" t="n"/>
      <c r="D159" s="2" t="n"/>
    </row>
    <row r="160" ht="15.75" customHeight="1" s="67">
      <c r="A160" s="2" t="n"/>
      <c r="B160" s="2" t="n"/>
      <c r="C160" s="2" t="n"/>
      <c r="D160" s="2" t="n"/>
    </row>
    <row r="161" ht="15.75" customHeight="1" s="67">
      <c r="A161" s="2" t="n"/>
      <c r="B161" s="2" t="n"/>
      <c r="C161" s="2" t="n"/>
      <c r="D161" s="2" t="n"/>
    </row>
    <row r="162" ht="15.75" customHeight="1" s="67">
      <c r="A162" s="2" t="n"/>
      <c r="B162" s="2" t="n"/>
      <c r="C162" s="2" t="n"/>
      <c r="D162" s="2" t="n"/>
    </row>
    <row r="163" ht="15.75" customHeight="1" s="67">
      <c r="A163" s="2" t="n"/>
      <c r="B163" s="2" t="n"/>
      <c r="C163" s="2" t="n"/>
      <c r="D163" s="2" t="n"/>
    </row>
    <row r="164" ht="15.75" customHeight="1" s="67">
      <c r="A164" s="2" t="n"/>
      <c r="B164" s="2" t="n"/>
      <c r="C164" s="2" t="n"/>
      <c r="D164" s="2" t="n"/>
    </row>
    <row r="165" ht="15.75" customHeight="1" s="67">
      <c r="A165" s="2" t="n"/>
      <c r="B165" s="2" t="n"/>
      <c r="C165" s="2" t="n"/>
      <c r="D165" s="2" t="n"/>
    </row>
    <row r="166" ht="15.75" customHeight="1" s="67">
      <c r="A166" s="2" t="n"/>
      <c r="B166" s="2" t="n"/>
      <c r="C166" s="2" t="n"/>
      <c r="D166" s="2" t="n"/>
    </row>
    <row r="167" ht="15.75" customHeight="1" s="67">
      <c r="A167" s="2" t="n"/>
      <c r="B167" s="2" t="n"/>
      <c r="C167" s="2" t="n"/>
      <c r="D167" s="2" t="n"/>
    </row>
    <row r="168" ht="15.75" customHeight="1" s="67">
      <c r="A168" s="2" t="n"/>
      <c r="B168" s="2" t="n"/>
      <c r="C168" s="2" t="n"/>
      <c r="D168" s="2" t="n"/>
    </row>
    <row r="169" ht="15.75" customHeight="1" s="67">
      <c r="A169" s="2" t="n"/>
      <c r="B169" s="2" t="n"/>
      <c r="C169" s="2" t="n"/>
      <c r="D169" s="2" t="n"/>
    </row>
    <row r="170" ht="15.75" customHeight="1" s="67">
      <c r="A170" s="2" t="n"/>
      <c r="B170" s="2" t="n"/>
      <c r="C170" s="2" t="n"/>
      <c r="D170" s="2" t="n"/>
    </row>
    <row r="171" ht="15.75" customHeight="1" s="67">
      <c r="A171" s="2" t="n"/>
      <c r="B171" s="2" t="n"/>
      <c r="C171" s="2" t="n"/>
      <c r="D171" s="2" t="n"/>
    </row>
    <row r="172" ht="15.75" customHeight="1" s="67">
      <c r="A172" s="2" t="n"/>
      <c r="B172" s="2" t="n"/>
      <c r="C172" s="2" t="n"/>
      <c r="D172" s="2" t="n"/>
    </row>
    <row r="173" ht="15.75" customHeight="1" s="67">
      <c r="A173" s="2" t="n"/>
      <c r="B173" s="2" t="n"/>
      <c r="C173" s="2" t="n"/>
      <c r="D173" s="2" t="n"/>
    </row>
    <row r="174" ht="15.75" customHeight="1" s="67">
      <c r="A174" s="2" t="n"/>
      <c r="B174" s="2" t="n"/>
      <c r="C174" s="2" t="n"/>
      <c r="D174" s="2" t="n"/>
    </row>
    <row r="175" ht="15.75" customHeight="1" s="67">
      <c r="A175" s="2" t="n"/>
      <c r="B175" s="2" t="n"/>
      <c r="C175" s="2" t="n"/>
      <c r="D175" s="2" t="n"/>
    </row>
    <row r="176" ht="15.75" customHeight="1" s="67">
      <c r="A176" s="2" t="n"/>
      <c r="B176" s="2" t="n"/>
      <c r="C176" s="2" t="n"/>
      <c r="D176" s="2" t="n"/>
    </row>
    <row r="177" ht="15.75" customHeight="1" s="67">
      <c r="A177" s="2" t="n"/>
      <c r="B177" s="2" t="n"/>
      <c r="C177" s="2" t="n"/>
      <c r="D177" s="2" t="n"/>
    </row>
    <row r="178" ht="15.75" customHeight="1" s="67">
      <c r="A178" s="2" t="n"/>
      <c r="B178" s="2" t="n"/>
      <c r="C178" s="2" t="n"/>
      <c r="D178" s="2" t="n"/>
    </row>
    <row r="179" ht="15.75" customHeight="1" s="67">
      <c r="A179" s="2" t="n"/>
      <c r="B179" s="2" t="n"/>
      <c r="C179" s="2" t="n"/>
      <c r="D179" s="2" t="n"/>
    </row>
    <row r="180" ht="15.75" customHeight="1" s="67">
      <c r="A180" s="2" t="n"/>
      <c r="B180" s="2" t="n"/>
      <c r="C180" s="2" t="n"/>
      <c r="D180" s="2" t="n"/>
    </row>
    <row r="181" ht="15.75" customHeight="1" s="67">
      <c r="A181" s="2" t="n"/>
      <c r="B181" s="2" t="n"/>
      <c r="C181" s="2" t="n"/>
      <c r="D181" s="2" t="n"/>
    </row>
    <row r="182" ht="15.75" customHeight="1" s="67">
      <c r="A182" s="2" t="n"/>
      <c r="B182" s="2" t="n"/>
      <c r="C182" s="2" t="n"/>
      <c r="D182" s="2" t="n"/>
    </row>
    <row r="183" ht="15.75" customHeight="1" s="67">
      <c r="A183" s="2" t="n"/>
      <c r="B183" s="2" t="n"/>
      <c r="C183" s="2" t="n"/>
      <c r="D183" s="2" t="n"/>
    </row>
    <row r="184" ht="15.75" customHeight="1" s="67">
      <c r="A184" s="2" t="n"/>
      <c r="B184" s="2" t="n"/>
      <c r="C184" s="2" t="n"/>
      <c r="D184" s="2" t="n"/>
    </row>
    <row r="185" ht="15.75" customHeight="1" s="67">
      <c r="A185" s="2" t="n"/>
      <c r="B185" s="2" t="n"/>
      <c r="C185" s="2" t="n"/>
      <c r="D185" s="2" t="n"/>
    </row>
    <row r="186" ht="15.75" customHeight="1" s="67">
      <c r="A186" s="2" t="n"/>
      <c r="B186" s="2" t="n"/>
      <c r="C186" s="2" t="n"/>
      <c r="D186" s="2" t="n"/>
    </row>
    <row r="187" ht="15.75" customHeight="1" s="67">
      <c r="A187" s="2" t="n"/>
      <c r="B187" s="2" t="n"/>
      <c r="C187" s="2" t="n"/>
      <c r="D187" s="2" t="n"/>
    </row>
    <row r="188" ht="15.75" customHeight="1" s="67">
      <c r="A188" s="2" t="n"/>
      <c r="B188" s="2" t="n"/>
      <c r="C188" s="2" t="n"/>
      <c r="D188" s="2" t="n"/>
    </row>
    <row r="189" ht="15.75" customHeight="1" s="67">
      <c r="A189" s="2" t="n"/>
      <c r="B189" s="2" t="n"/>
      <c r="C189" s="2" t="n"/>
      <c r="D189" s="2" t="n"/>
    </row>
    <row r="190" ht="15.75" customHeight="1" s="67">
      <c r="A190" s="2" t="n"/>
      <c r="B190" s="2" t="n"/>
      <c r="C190" s="2" t="n"/>
      <c r="D190" s="2" t="n"/>
    </row>
    <row r="191" ht="15.75" customHeight="1" s="67">
      <c r="A191" s="2" t="n"/>
      <c r="B191" s="2" t="n"/>
      <c r="C191" s="2" t="n"/>
      <c r="D191" s="2" t="n"/>
    </row>
    <row r="192" ht="15.75" customHeight="1" s="67">
      <c r="A192" s="2" t="n"/>
      <c r="B192" s="2" t="n"/>
      <c r="C192" s="2" t="n"/>
      <c r="D192" s="2" t="n"/>
    </row>
    <row r="193" ht="15.75" customHeight="1" s="67">
      <c r="A193" s="2" t="n"/>
      <c r="B193" s="2" t="n"/>
      <c r="C193" s="2" t="n"/>
      <c r="D193" s="2" t="n"/>
    </row>
    <row r="194" ht="15.75" customHeight="1" s="67">
      <c r="A194" s="2" t="n"/>
      <c r="B194" s="2" t="n"/>
      <c r="C194" s="2" t="n"/>
      <c r="D194" s="2" t="n"/>
    </row>
    <row r="195" ht="15.75" customHeight="1" s="67">
      <c r="A195" s="2" t="n"/>
      <c r="B195" s="2" t="n"/>
      <c r="C195" s="2" t="n"/>
      <c r="D195" s="2" t="n"/>
    </row>
    <row r="196" ht="15.75" customHeight="1" s="67">
      <c r="A196" s="2" t="n"/>
      <c r="B196" s="2" t="n"/>
      <c r="C196" s="2" t="n"/>
      <c r="D196" s="2" t="n"/>
    </row>
    <row r="197" ht="15.75" customHeight="1" s="67">
      <c r="A197" s="2" t="n"/>
      <c r="B197" s="2" t="n"/>
      <c r="C197" s="2" t="n"/>
      <c r="D197" s="2" t="n"/>
    </row>
    <row r="198" ht="15.75" customHeight="1" s="67">
      <c r="A198" s="2" t="n"/>
      <c r="B198" s="2" t="n"/>
      <c r="C198" s="2" t="n"/>
      <c r="D198" s="2" t="n"/>
    </row>
    <row r="199" ht="15.75" customHeight="1" s="67">
      <c r="A199" s="2" t="n"/>
      <c r="B199" s="2" t="n"/>
      <c r="C199" s="2" t="n"/>
      <c r="D199" s="2" t="n"/>
    </row>
    <row r="200" ht="15.75" customHeight="1" s="67">
      <c r="A200" s="2" t="n"/>
      <c r="B200" s="2" t="n"/>
      <c r="C200" s="2" t="n"/>
      <c r="D200" s="2" t="n"/>
    </row>
    <row r="201" ht="15.75" customHeight="1" s="67">
      <c r="A201" s="2" t="n"/>
      <c r="B201" s="2" t="n"/>
      <c r="C201" s="2" t="n"/>
      <c r="D201" s="2" t="n"/>
    </row>
    <row r="202" ht="15.75" customHeight="1" s="67">
      <c r="A202" s="2" t="n"/>
      <c r="B202" s="2" t="n"/>
      <c r="C202" s="2" t="n"/>
      <c r="D202" s="2" t="n"/>
    </row>
    <row r="203" ht="15.75" customHeight="1" s="67">
      <c r="A203" s="2" t="n"/>
      <c r="B203" s="2" t="n"/>
      <c r="C203" s="2" t="n"/>
      <c r="D203" s="2" t="n"/>
    </row>
    <row r="204" ht="15.75" customHeight="1" s="67">
      <c r="A204" s="2" t="n"/>
      <c r="B204" s="2" t="n"/>
      <c r="C204" s="2" t="n"/>
      <c r="D204" s="2" t="n"/>
    </row>
    <row r="205" ht="15.75" customHeight="1" s="67">
      <c r="A205" s="2" t="n"/>
      <c r="B205" s="2" t="n"/>
      <c r="C205" s="2" t="n"/>
      <c r="D205" s="2" t="n"/>
    </row>
    <row r="206" ht="15.75" customHeight="1" s="67">
      <c r="A206" s="2" t="n"/>
      <c r="B206" s="2" t="n"/>
      <c r="C206" s="2" t="n"/>
      <c r="D206" s="2" t="n"/>
    </row>
    <row r="207" ht="15.75" customHeight="1" s="67">
      <c r="A207" s="2" t="n"/>
      <c r="B207" s="2" t="n"/>
      <c r="C207" s="2" t="n"/>
      <c r="D207" s="2" t="n"/>
    </row>
    <row r="208" ht="15.75" customHeight="1" s="67">
      <c r="A208" s="2" t="n"/>
      <c r="B208" s="2" t="n"/>
      <c r="C208" s="2" t="n"/>
      <c r="D208" s="2" t="n"/>
    </row>
    <row r="209" ht="15.75" customHeight="1" s="67">
      <c r="A209" s="2" t="n"/>
      <c r="B209" s="2" t="n"/>
      <c r="C209" s="2" t="n"/>
      <c r="D209" s="2" t="n"/>
    </row>
    <row r="210" ht="15.75" customHeight="1" s="67">
      <c r="A210" s="2" t="n"/>
      <c r="B210" s="2" t="n"/>
      <c r="C210" s="2" t="n"/>
      <c r="D210" s="2" t="n"/>
    </row>
    <row r="211" ht="15.75" customHeight="1" s="67">
      <c r="A211" s="2" t="n"/>
      <c r="B211" s="2" t="n"/>
      <c r="C211" s="2" t="n"/>
      <c r="D211" s="2" t="n"/>
    </row>
    <row r="212" ht="15.75" customHeight="1" s="67">
      <c r="A212" s="2" t="n"/>
      <c r="B212" s="2" t="n"/>
      <c r="C212" s="2" t="n"/>
      <c r="D212" s="2" t="n"/>
    </row>
    <row r="213" ht="15.75" customHeight="1" s="67">
      <c r="A213" s="2" t="n"/>
      <c r="B213" s="2" t="n"/>
      <c r="C213" s="2" t="n"/>
      <c r="D213" s="2" t="n"/>
    </row>
    <row r="214" ht="15.75" customHeight="1" s="67">
      <c r="A214" s="2" t="n"/>
      <c r="B214" s="2" t="n"/>
      <c r="C214" s="2" t="n"/>
      <c r="D214" s="2" t="n"/>
    </row>
    <row r="215" ht="15.75" customHeight="1" s="67">
      <c r="A215" s="2" t="n"/>
      <c r="B215" s="2" t="n"/>
      <c r="C215" s="2" t="n"/>
      <c r="D215" s="2" t="n"/>
    </row>
    <row r="216" ht="15.75" customHeight="1" s="67">
      <c r="A216" s="2" t="n"/>
      <c r="B216" s="2" t="n"/>
      <c r="C216" s="2" t="n"/>
      <c r="D216" s="2" t="n"/>
    </row>
    <row r="217" ht="15.75" customHeight="1" s="67">
      <c r="A217" s="2" t="n"/>
      <c r="B217" s="2" t="n"/>
      <c r="C217" s="2" t="n"/>
      <c r="D217" s="2" t="n"/>
    </row>
    <row r="218" ht="15.75" customHeight="1" s="67">
      <c r="A218" s="2" t="n"/>
      <c r="B218" s="2" t="n"/>
      <c r="C218" s="2" t="n"/>
      <c r="D218" s="2" t="n"/>
    </row>
    <row r="219" ht="15.75" customHeight="1" s="67">
      <c r="A219" s="2" t="n"/>
      <c r="B219" s="2" t="n"/>
      <c r="C219" s="2" t="n"/>
      <c r="D219" s="2" t="n"/>
    </row>
    <row r="220" ht="15.75" customHeight="1" s="67">
      <c r="A220" s="2" t="n"/>
      <c r="B220" s="2" t="n"/>
      <c r="C220" s="2" t="n"/>
      <c r="D220" s="2" t="n"/>
    </row>
    <row r="221" ht="15.75" customHeight="1" s="67">
      <c r="A221" s="2" t="n"/>
      <c r="B221" s="2" t="n"/>
      <c r="C221" s="2" t="n"/>
      <c r="D221" s="2" t="n"/>
    </row>
    <row r="222" ht="15.75" customHeight="1" s="67">
      <c r="A222" s="2" t="n"/>
      <c r="B222" s="2" t="n"/>
      <c r="C222" s="2" t="n"/>
      <c r="D222" s="2" t="n"/>
    </row>
    <row r="223" ht="15.75" customHeight="1" s="67">
      <c r="A223" s="2" t="n"/>
      <c r="B223" s="2" t="n"/>
      <c r="C223" s="2" t="n"/>
      <c r="D223" s="2" t="n"/>
    </row>
    <row r="224" ht="15.75" customHeight="1" s="67">
      <c r="A224" s="2" t="n"/>
      <c r="B224" s="2" t="n"/>
      <c r="C224" s="2" t="n"/>
      <c r="D224" s="2" t="n"/>
    </row>
    <row r="225" ht="15.75" customHeight="1" s="67">
      <c r="A225" s="2" t="n"/>
      <c r="B225" s="2" t="n"/>
      <c r="C225" s="2" t="n"/>
      <c r="D225" s="2" t="n"/>
    </row>
    <row r="226" ht="15.75" customHeight="1" s="67">
      <c r="A226" s="2" t="n"/>
      <c r="B226" s="2" t="n"/>
      <c r="C226" s="2" t="n"/>
      <c r="D226" s="2" t="n"/>
    </row>
    <row r="227" ht="15.75" customHeight="1" s="67">
      <c r="A227" s="2" t="n"/>
      <c r="B227" s="2" t="n"/>
      <c r="C227" s="2" t="n"/>
      <c r="D227" s="2" t="n"/>
    </row>
    <row r="228" ht="15.75" customHeight="1" s="67">
      <c r="A228" s="2" t="n"/>
      <c r="B228" s="2" t="n"/>
      <c r="C228" s="2" t="n"/>
      <c r="D228" s="2" t="n"/>
    </row>
    <row r="229" ht="15.75" customHeight="1" s="67">
      <c r="A229" s="2" t="n"/>
      <c r="B229" s="2" t="n"/>
      <c r="C229" s="2" t="n"/>
      <c r="D229" s="2" t="n"/>
    </row>
    <row r="230" ht="15.75" customHeight="1" s="67">
      <c r="A230" s="2" t="n"/>
      <c r="B230" s="2" t="n"/>
      <c r="C230" s="2" t="n"/>
      <c r="D230" s="2" t="n"/>
    </row>
    <row r="231" ht="15.75" customHeight="1" s="67">
      <c r="A231" s="2" t="n"/>
      <c r="B231" s="2" t="n"/>
      <c r="C231" s="2" t="n"/>
      <c r="D231" s="2" t="n"/>
    </row>
    <row r="232" ht="15.75" customHeight="1" s="67">
      <c r="A232" s="2" t="n"/>
      <c r="B232" s="2" t="n"/>
      <c r="C232" s="2" t="n"/>
      <c r="D232" s="2" t="n"/>
    </row>
    <row r="233" ht="15.75" customHeight="1" s="67">
      <c r="A233" s="2" t="n"/>
      <c r="B233" s="2" t="n"/>
      <c r="C233" s="2" t="n"/>
      <c r="D233" s="2" t="n"/>
    </row>
    <row r="234" ht="15.75" customHeight="1" s="67">
      <c r="A234" s="2" t="n"/>
      <c r="B234" s="2" t="n"/>
      <c r="C234" s="2" t="n"/>
      <c r="D234" s="2" t="n"/>
    </row>
    <row r="235" ht="15.75" customHeight="1" s="67">
      <c r="A235" s="2" t="n"/>
      <c r="B235" s="2" t="n"/>
      <c r="C235" s="2" t="n"/>
      <c r="D235" s="2" t="n"/>
    </row>
    <row r="236" ht="15.75" customHeight="1" s="67">
      <c r="A236" s="2" t="n"/>
      <c r="B236" s="2" t="n"/>
      <c r="C236" s="2" t="n"/>
      <c r="D236" s="2" t="n"/>
    </row>
    <row r="237" ht="15.75" customHeight="1" s="67">
      <c r="A237" s="2" t="n"/>
      <c r="B237" s="2" t="n"/>
      <c r="C237" s="2" t="n"/>
      <c r="D237" s="2" t="n"/>
    </row>
    <row r="238" ht="15.75" customHeight="1" s="67">
      <c r="A238" s="2" t="n"/>
      <c r="B238" s="2" t="n"/>
      <c r="C238" s="2" t="n"/>
      <c r="D238" s="2" t="n"/>
    </row>
    <row r="239" ht="15.75" customHeight="1" s="67">
      <c r="A239" s="2" t="n"/>
      <c r="B239" s="2" t="n"/>
      <c r="C239" s="2" t="n"/>
      <c r="D239" s="2" t="n"/>
    </row>
    <row r="240" ht="15.75" customHeight="1" s="67">
      <c r="A240" s="2" t="n"/>
      <c r="B240" s="2" t="n"/>
      <c r="C240" s="2" t="n"/>
      <c r="D240" s="2" t="n"/>
    </row>
    <row r="241" ht="15.75" customHeight="1" s="67">
      <c r="A241" s="2" t="n"/>
      <c r="B241" s="2" t="n"/>
      <c r="C241" s="2" t="n"/>
      <c r="D241" s="2" t="n"/>
    </row>
    <row r="242" ht="15.75" customHeight="1" s="67">
      <c r="A242" s="2" t="n"/>
      <c r="B242" s="2" t="n"/>
      <c r="C242" s="2" t="n"/>
      <c r="D242" s="2" t="n"/>
    </row>
    <row r="243" ht="15.75" customHeight="1" s="67">
      <c r="A243" s="2" t="n"/>
      <c r="B243" s="2" t="n"/>
      <c r="C243" s="2" t="n"/>
      <c r="D243" s="2" t="n"/>
    </row>
    <row r="244" ht="15.75" customHeight="1" s="67">
      <c r="A244" s="2" t="n"/>
      <c r="B244" s="2" t="n"/>
      <c r="C244" s="2" t="n"/>
      <c r="D244" s="2" t="n"/>
    </row>
    <row r="245" ht="15.75" customHeight="1" s="67">
      <c r="A245" s="2" t="n"/>
      <c r="B245" s="2" t="n"/>
      <c r="C245" s="2" t="n"/>
      <c r="D245" s="2" t="n"/>
    </row>
    <row r="246" ht="15.75" customHeight="1" s="67">
      <c r="A246" s="2" t="n"/>
      <c r="B246" s="2" t="n"/>
      <c r="C246" s="2" t="n"/>
      <c r="D246" s="2" t="n"/>
    </row>
    <row r="247" ht="15.75" customHeight="1" s="67">
      <c r="A247" s="2" t="n"/>
      <c r="B247" s="2" t="n"/>
      <c r="C247" s="2" t="n"/>
      <c r="D247" s="2" t="n"/>
    </row>
    <row r="248" ht="15.75" customHeight="1" s="67">
      <c r="A248" s="2" t="n"/>
      <c r="B248" s="2" t="n"/>
      <c r="C248" s="2" t="n"/>
      <c r="D248" s="2" t="n"/>
    </row>
    <row r="249" ht="15.75" customHeight="1" s="67">
      <c r="A249" s="2" t="n"/>
      <c r="B249" s="2" t="n"/>
      <c r="C249" s="2" t="n"/>
      <c r="D249" s="2" t="n"/>
    </row>
    <row r="250" ht="15.75" customHeight="1" s="67">
      <c r="A250" s="2" t="n"/>
      <c r="B250" s="2" t="n"/>
      <c r="C250" s="2" t="n"/>
      <c r="D250" s="2" t="n"/>
    </row>
    <row r="251" ht="15.75" customHeight="1" s="67">
      <c r="A251" s="2" t="n"/>
      <c r="B251" s="2" t="n"/>
      <c r="C251" s="2" t="n"/>
      <c r="D251" s="2" t="n"/>
    </row>
    <row r="252" ht="15.75" customHeight="1" s="67">
      <c r="A252" s="2" t="n"/>
      <c r="B252" s="2" t="n"/>
      <c r="C252" s="2" t="n"/>
      <c r="D252" s="2" t="n"/>
    </row>
    <row r="253" ht="15.75" customHeight="1" s="67">
      <c r="A253" s="2" t="n"/>
      <c r="B253" s="2" t="n"/>
      <c r="C253" s="2" t="n"/>
      <c r="D253" s="2" t="n"/>
    </row>
    <row r="254" ht="15.75" customHeight="1" s="67">
      <c r="A254" s="2" t="n"/>
      <c r="B254" s="2" t="n"/>
      <c r="C254" s="2" t="n"/>
      <c r="D254" s="2" t="n"/>
    </row>
    <row r="255" ht="15.75" customHeight="1" s="67">
      <c r="A255" s="2" t="n"/>
      <c r="B255" s="2" t="n"/>
      <c r="C255" s="2" t="n"/>
      <c r="D255" s="2" t="n"/>
    </row>
    <row r="256" ht="15.75" customHeight="1" s="67">
      <c r="A256" s="2" t="n"/>
      <c r="B256" s="2" t="n"/>
      <c r="C256" s="2" t="n"/>
      <c r="D256" s="2" t="n"/>
    </row>
    <row r="257" ht="15.75" customHeight="1" s="67">
      <c r="A257" s="2" t="n"/>
      <c r="B257" s="2" t="n"/>
      <c r="C257" s="2" t="n"/>
      <c r="D257" s="2" t="n"/>
    </row>
    <row r="258" ht="15.75" customHeight="1" s="67">
      <c r="A258" s="2" t="n"/>
      <c r="B258" s="2" t="n"/>
      <c r="C258" s="2" t="n"/>
      <c r="D258" s="2" t="n"/>
    </row>
    <row r="259" ht="15.75" customHeight="1" s="67">
      <c r="A259" s="2" t="n"/>
      <c r="B259" s="2" t="n"/>
      <c r="C259" s="2" t="n"/>
      <c r="D259" s="2" t="n"/>
    </row>
    <row r="260" ht="15.75" customHeight="1" s="67">
      <c r="A260" s="2" t="n"/>
      <c r="B260" s="2" t="n"/>
      <c r="C260" s="2" t="n"/>
      <c r="D260" s="2" t="n"/>
    </row>
    <row r="261" ht="15.75" customHeight="1" s="67">
      <c r="A261" s="2" t="n"/>
      <c r="B261" s="2" t="n"/>
      <c r="C261" s="2" t="n"/>
      <c r="D261" s="2" t="n"/>
    </row>
    <row r="262" ht="15.75" customHeight="1" s="67">
      <c r="A262" s="2" t="n"/>
      <c r="B262" s="2" t="n"/>
      <c r="C262" s="2" t="n"/>
      <c r="D262" s="2" t="n"/>
    </row>
    <row r="263" ht="15.75" customHeight="1" s="67">
      <c r="A263" s="2" t="n"/>
      <c r="B263" s="2" t="n"/>
      <c r="C263" s="2" t="n"/>
      <c r="D263" s="2" t="n"/>
    </row>
    <row r="264" ht="15.75" customHeight="1" s="67">
      <c r="A264" s="2" t="n"/>
      <c r="B264" s="2" t="n"/>
      <c r="C264" s="2" t="n"/>
      <c r="D264" s="2" t="n"/>
    </row>
    <row r="265" ht="15.75" customHeight="1" s="67">
      <c r="A265" s="2" t="n"/>
      <c r="B265" s="2" t="n"/>
      <c r="C265" s="2" t="n"/>
      <c r="D265" s="2" t="n"/>
    </row>
    <row r="266" ht="15.75" customHeight="1" s="67">
      <c r="A266" s="2" t="n"/>
      <c r="B266" s="2" t="n"/>
      <c r="C266" s="2" t="n"/>
      <c r="D266" s="2" t="n"/>
    </row>
    <row r="267" ht="15.75" customHeight="1" s="67">
      <c r="A267" s="2" t="n"/>
      <c r="B267" s="2" t="n"/>
      <c r="C267" s="2" t="n"/>
      <c r="D267" s="2" t="n"/>
    </row>
    <row r="268" ht="15.75" customHeight="1" s="67">
      <c r="A268" s="2" t="n"/>
      <c r="B268" s="2" t="n"/>
      <c r="C268" s="2" t="n"/>
      <c r="D268" s="2" t="n"/>
    </row>
    <row r="269" ht="15.75" customHeight="1" s="67">
      <c r="A269" s="2" t="n"/>
      <c r="B269" s="2" t="n"/>
      <c r="C269" s="2" t="n"/>
      <c r="D269" s="2" t="n"/>
    </row>
    <row r="270" ht="15.75" customHeight="1" s="67">
      <c r="A270" s="2" t="n"/>
      <c r="B270" s="2" t="n"/>
      <c r="C270" s="2" t="n"/>
      <c r="D270" s="2" t="n"/>
    </row>
    <row r="271" ht="15.75" customHeight="1" s="67">
      <c r="A271" s="2" t="n"/>
      <c r="B271" s="2" t="n"/>
      <c r="C271" s="2" t="n"/>
      <c r="D271" s="2" t="n"/>
    </row>
    <row r="272" ht="15.75" customHeight="1" s="67">
      <c r="A272" s="2" t="n"/>
      <c r="B272" s="2" t="n"/>
      <c r="C272" s="2" t="n"/>
      <c r="D272" s="2" t="n"/>
    </row>
    <row r="273" ht="15.75" customHeight="1" s="67">
      <c r="A273" s="2" t="n"/>
      <c r="B273" s="2" t="n"/>
      <c r="C273" s="2" t="n"/>
      <c r="D273" s="2" t="n"/>
    </row>
    <row r="274" ht="15.75" customHeight="1" s="67">
      <c r="A274" s="2" t="n"/>
      <c r="B274" s="2" t="n"/>
      <c r="C274" s="2" t="n"/>
      <c r="D274" s="2" t="n"/>
    </row>
    <row r="275" ht="15.75" customHeight="1" s="67">
      <c r="A275" s="2" t="n"/>
      <c r="B275" s="2" t="n"/>
      <c r="C275" s="2" t="n"/>
      <c r="D275" s="2" t="n"/>
    </row>
    <row r="276" ht="15.75" customHeight="1" s="67">
      <c r="A276" s="2" t="n"/>
      <c r="B276" s="2" t="n"/>
      <c r="C276" s="2" t="n"/>
      <c r="D276" s="2" t="n"/>
    </row>
    <row r="277" ht="15.75" customHeight="1" s="67">
      <c r="A277" s="2" t="n"/>
      <c r="B277" s="2" t="n"/>
      <c r="C277" s="2" t="n"/>
      <c r="D277" s="2" t="n"/>
    </row>
    <row r="278" ht="15.75" customHeight="1" s="67">
      <c r="A278" s="2" t="n"/>
      <c r="B278" s="2" t="n"/>
      <c r="C278" s="2" t="n"/>
      <c r="D278" s="2" t="n"/>
    </row>
    <row r="279" ht="15.75" customHeight="1" s="67">
      <c r="A279" s="2" t="n"/>
      <c r="B279" s="2" t="n"/>
      <c r="C279" s="2" t="n"/>
      <c r="D279" s="2" t="n"/>
    </row>
    <row r="280" ht="15.75" customHeight="1" s="67">
      <c r="A280" s="2" t="n"/>
      <c r="B280" s="2" t="n"/>
      <c r="C280" s="2" t="n"/>
      <c r="D280" s="2" t="n"/>
    </row>
    <row r="281" ht="15.75" customHeight="1" s="67">
      <c r="A281" s="2" t="n"/>
      <c r="B281" s="2" t="n"/>
      <c r="C281" s="2" t="n"/>
      <c r="D281" s="2" t="n"/>
    </row>
    <row r="282" ht="15.75" customHeight="1" s="67">
      <c r="A282" s="2" t="n"/>
      <c r="B282" s="2" t="n"/>
      <c r="C282" s="2" t="n"/>
      <c r="D282" s="2" t="n"/>
    </row>
    <row r="283" ht="15.75" customHeight="1" s="67">
      <c r="A283" s="2" t="n"/>
      <c r="B283" s="2" t="n"/>
      <c r="C283" s="2" t="n"/>
      <c r="D283" s="2" t="n"/>
    </row>
    <row r="284" ht="15.75" customHeight="1" s="67">
      <c r="A284" s="2" t="n"/>
      <c r="B284" s="2" t="n"/>
      <c r="C284" s="2" t="n"/>
      <c r="D284" s="2" t="n"/>
    </row>
    <row r="285" ht="15.75" customHeight="1" s="67">
      <c r="A285" s="2" t="n"/>
      <c r="B285" s="2" t="n"/>
      <c r="C285" s="2" t="n"/>
      <c r="D285" s="2" t="n"/>
    </row>
    <row r="286" ht="15.75" customHeight="1" s="67">
      <c r="A286" s="2" t="n"/>
      <c r="B286" s="2" t="n"/>
      <c r="C286" s="2" t="n"/>
      <c r="D286" s="2" t="n"/>
    </row>
    <row r="287" ht="15.75" customHeight="1" s="67">
      <c r="A287" s="2" t="n"/>
      <c r="B287" s="2" t="n"/>
      <c r="C287" s="2" t="n"/>
      <c r="D287" s="2" t="n"/>
    </row>
    <row r="288" ht="15.75" customHeight="1" s="67">
      <c r="A288" s="2" t="n"/>
      <c r="B288" s="2" t="n"/>
      <c r="C288" s="2" t="n"/>
      <c r="D288" s="2" t="n"/>
    </row>
    <row r="289" ht="15.75" customHeight="1" s="67">
      <c r="A289" s="2" t="n"/>
      <c r="B289" s="2" t="n"/>
      <c r="C289" s="2" t="n"/>
      <c r="D289" s="2" t="n"/>
    </row>
    <row r="290" ht="15.75" customHeight="1" s="67">
      <c r="A290" s="2" t="n"/>
      <c r="B290" s="2" t="n"/>
      <c r="C290" s="2" t="n"/>
      <c r="D290" s="2" t="n"/>
    </row>
    <row r="291" ht="15.75" customHeight="1" s="67">
      <c r="A291" s="2" t="n"/>
      <c r="B291" s="2" t="n"/>
      <c r="C291" s="2" t="n"/>
      <c r="D291" s="2" t="n"/>
    </row>
    <row r="292" ht="15.75" customHeight="1" s="67">
      <c r="A292" s="2" t="n"/>
      <c r="B292" s="2" t="n"/>
      <c r="C292" s="2" t="n"/>
      <c r="D292" s="2" t="n"/>
    </row>
    <row r="293" ht="15.75" customHeight="1" s="67">
      <c r="A293" s="2" t="n"/>
      <c r="B293" s="2" t="n"/>
      <c r="C293" s="2" t="n"/>
      <c r="D293" s="2" t="n"/>
    </row>
    <row r="294" ht="15.75" customHeight="1" s="67">
      <c r="A294" s="2" t="n"/>
      <c r="B294" s="2" t="n"/>
      <c r="C294" s="2" t="n"/>
      <c r="D294" s="2" t="n"/>
    </row>
    <row r="295" ht="15.75" customHeight="1" s="67">
      <c r="A295" s="2" t="n"/>
      <c r="B295" s="2" t="n"/>
      <c r="C295" s="2" t="n"/>
      <c r="D295" s="2" t="n"/>
    </row>
    <row r="296" ht="15.75" customHeight="1" s="67">
      <c r="A296" s="2" t="n"/>
      <c r="B296" s="2" t="n"/>
      <c r="C296" s="2" t="n"/>
      <c r="D296" s="2" t="n"/>
    </row>
    <row r="297" ht="15.75" customHeight="1" s="67">
      <c r="A297" s="2" t="n"/>
      <c r="B297" s="2" t="n"/>
      <c r="C297" s="2" t="n"/>
      <c r="D297" s="2" t="n"/>
    </row>
    <row r="298" ht="15.75" customHeight="1" s="67">
      <c r="A298" s="2" t="n"/>
      <c r="B298" s="2" t="n"/>
      <c r="C298" s="2" t="n"/>
      <c r="D298" s="2" t="n"/>
    </row>
    <row r="299" ht="15.75" customHeight="1" s="67">
      <c r="A299" s="2" t="n"/>
      <c r="B299" s="2" t="n"/>
      <c r="C299" s="2" t="n"/>
      <c r="D299" s="2" t="n"/>
    </row>
    <row r="300" ht="15.75" customHeight="1" s="67">
      <c r="A300" s="2" t="n"/>
      <c r="B300" s="2" t="n"/>
      <c r="C300" s="2" t="n"/>
      <c r="D300" s="2" t="n"/>
    </row>
    <row r="301" ht="15.75" customHeight="1" s="67">
      <c r="A301" s="2" t="n"/>
      <c r="B301" s="2" t="n"/>
      <c r="C301" s="2" t="n"/>
      <c r="D301" s="2" t="n"/>
    </row>
    <row r="302" ht="15.75" customHeight="1" s="67">
      <c r="A302" s="2" t="n"/>
      <c r="B302" s="2" t="n"/>
      <c r="C302" s="2" t="n"/>
      <c r="D302" s="2" t="n"/>
    </row>
    <row r="303" ht="15.75" customHeight="1" s="67">
      <c r="A303" s="2" t="n"/>
      <c r="B303" s="2" t="n"/>
      <c r="C303" s="2" t="n"/>
      <c r="D303" s="2" t="n"/>
    </row>
    <row r="304" ht="15.75" customHeight="1" s="67">
      <c r="A304" s="2" t="n"/>
      <c r="B304" s="2" t="n"/>
      <c r="C304" s="2" t="n"/>
      <c r="D304" s="2" t="n"/>
    </row>
    <row r="305" ht="15.75" customHeight="1" s="67">
      <c r="A305" s="2" t="n"/>
      <c r="B305" s="2" t="n"/>
      <c r="C305" s="2" t="n"/>
      <c r="D305" s="2" t="n"/>
    </row>
    <row r="306" ht="15.75" customHeight="1" s="67">
      <c r="A306" s="2" t="n"/>
      <c r="B306" s="2" t="n"/>
      <c r="C306" s="2" t="n"/>
      <c r="D306" s="2" t="n"/>
    </row>
    <row r="307" ht="15.75" customHeight="1" s="67">
      <c r="A307" s="2" t="n"/>
      <c r="B307" s="2" t="n"/>
      <c r="C307" s="2" t="n"/>
      <c r="D307" s="2" t="n"/>
    </row>
    <row r="308" ht="15.75" customHeight="1" s="67">
      <c r="A308" s="2" t="n"/>
      <c r="B308" s="2" t="n"/>
      <c r="C308" s="2" t="n"/>
      <c r="D308" s="2" t="n"/>
    </row>
    <row r="309" ht="15.75" customHeight="1" s="67">
      <c r="A309" s="2" t="n"/>
      <c r="B309" s="2" t="n"/>
      <c r="C309" s="2" t="n"/>
      <c r="D309" s="2" t="n"/>
    </row>
    <row r="310" ht="15.75" customHeight="1" s="67">
      <c r="A310" s="2" t="n"/>
      <c r="B310" s="2" t="n"/>
      <c r="C310" s="2" t="n"/>
      <c r="D310" s="2" t="n"/>
    </row>
    <row r="311" ht="15.75" customHeight="1" s="67">
      <c r="A311" s="2" t="n"/>
      <c r="B311" s="2" t="n"/>
      <c r="C311" s="2" t="n"/>
      <c r="D311" s="2" t="n"/>
    </row>
    <row r="312" ht="15.75" customHeight="1" s="67">
      <c r="A312" s="2" t="n"/>
      <c r="B312" s="2" t="n"/>
      <c r="C312" s="2" t="n"/>
      <c r="D312" s="2" t="n"/>
    </row>
    <row r="313" ht="15.75" customHeight="1" s="67">
      <c r="A313" s="2" t="n"/>
      <c r="B313" s="2" t="n"/>
      <c r="C313" s="2" t="n"/>
      <c r="D313" s="2" t="n"/>
    </row>
    <row r="314" ht="15.75" customHeight="1" s="67">
      <c r="A314" s="2" t="n"/>
      <c r="B314" s="2" t="n"/>
      <c r="C314" s="2" t="n"/>
      <c r="D314" s="2" t="n"/>
    </row>
    <row r="315" ht="15.75" customHeight="1" s="67">
      <c r="A315" s="2" t="n"/>
      <c r="B315" s="2" t="n"/>
      <c r="C315" s="2" t="n"/>
      <c r="D315" s="2" t="n"/>
    </row>
    <row r="316" ht="15.75" customHeight="1" s="67">
      <c r="A316" s="2" t="n"/>
      <c r="B316" s="2" t="n"/>
      <c r="C316" s="2" t="n"/>
      <c r="D316" s="2" t="n"/>
    </row>
    <row r="317" ht="15.75" customHeight="1" s="67">
      <c r="A317" s="2" t="n"/>
      <c r="B317" s="2" t="n"/>
      <c r="C317" s="2" t="n"/>
      <c r="D317" s="2" t="n"/>
    </row>
    <row r="318" ht="15.75" customHeight="1" s="67">
      <c r="A318" s="2" t="n"/>
      <c r="B318" s="2" t="n"/>
      <c r="C318" s="2" t="n"/>
      <c r="D318" s="2" t="n"/>
    </row>
    <row r="319" ht="15.75" customHeight="1" s="67">
      <c r="A319" s="2" t="n"/>
      <c r="B319" s="2" t="n"/>
      <c r="C319" s="2" t="n"/>
      <c r="D319" s="2" t="n"/>
    </row>
    <row r="320" ht="15.75" customHeight="1" s="67">
      <c r="A320" s="2" t="n"/>
      <c r="B320" s="2" t="n"/>
      <c r="C320" s="2" t="n"/>
      <c r="D320" s="2" t="n"/>
    </row>
    <row r="321" ht="15.75" customHeight="1" s="67">
      <c r="A321" s="2" t="n"/>
      <c r="B321" s="2" t="n"/>
      <c r="C321" s="2" t="n"/>
      <c r="D321" s="2" t="n"/>
    </row>
    <row r="322" ht="15.75" customHeight="1" s="67">
      <c r="A322" s="2" t="n"/>
      <c r="B322" s="2" t="n"/>
      <c r="C322" s="2" t="n"/>
      <c r="D322" s="2" t="n"/>
    </row>
    <row r="323" ht="15.75" customHeight="1" s="67">
      <c r="A323" s="2" t="n"/>
      <c r="B323" s="2" t="n"/>
      <c r="C323" s="2" t="n"/>
      <c r="D323" s="2" t="n"/>
    </row>
    <row r="324" ht="15.75" customHeight="1" s="67">
      <c r="A324" s="2" t="n"/>
      <c r="B324" s="2" t="n"/>
      <c r="C324" s="2" t="n"/>
      <c r="D324" s="2" t="n"/>
    </row>
    <row r="325" ht="15.75" customHeight="1" s="67">
      <c r="A325" s="2" t="n"/>
      <c r="B325" s="2" t="n"/>
      <c r="C325" s="2" t="n"/>
      <c r="D325" s="2" t="n"/>
    </row>
    <row r="326" ht="15.75" customHeight="1" s="67">
      <c r="A326" s="2" t="n"/>
      <c r="B326" s="2" t="n"/>
      <c r="C326" s="2" t="n"/>
      <c r="D326" s="2" t="n"/>
    </row>
    <row r="327" ht="15.75" customHeight="1" s="67">
      <c r="A327" s="2" t="n"/>
      <c r="B327" s="2" t="n"/>
      <c r="C327" s="2" t="n"/>
      <c r="D327" s="2" t="n"/>
    </row>
    <row r="328" ht="15.75" customHeight="1" s="67">
      <c r="A328" s="2" t="n"/>
      <c r="B328" s="2" t="n"/>
      <c r="C328" s="2" t="n"/>
      <c r="D328" s="2" t="n"/>
    </row>
    <row r="329" ht="15.75" customHeight="1" s="67">
      <c r="A329" s="2" t="n"/>
      <c r="B329" s="2" t="n"/>
      <c r="C329" s="2" t="n"/>
      <c r="D329" s="2" t="n"/>
    </row>
    <row r="330" ht="15.75" customHeight="1" s="67">
      <c r="A330" s="2" t="n"/>
      <c r="B330" s="2" t="n"/>
      <c r="C330" s="2" t="n"/>
      <c r="D330" s="2" t="n"/>
    </row>
    <row r="331" ht="15.75" customHeight="1" s="67">
      <c r="A331" s="2" t="n"/>
      <c r="B331" s="2" t="n"/>
      <c r="C331" s="2" t="n"/>
      <c r="D331" s="2" t="n"/>
    </row>
    <row r="332" ht="15.75" customHeight="1" s="67">
      <c r="A332" s="2" t="n"/>
      <c r="B332" s="2" t="n"/>
      <c r="C332" s="2" t="n"/>
      <c r="D332" s="2" t="n"/>
    </row>
    <row r="333" ht="15.75" customHeight="1" s="67">
      <c r="A333" s="2" t="n"/>
      <c r="B333" s="2" t="n"/>
      <c r="C333" s="2" t="n"/>
      <c r="D333" s="2" t="n"/>
    </row>
    <row r="334" ht="15.75" customHeight="1" s="67">
      <c r="A334" s="2" t="n"/>
      <c r="B334" s="2" t="n"/>
      <c r="C334" s="2" t="n"/>
      <c r="D334" s="2" t="n"/>
    </row>
    <row r="335" ht="15.75" customHeight="1" s="67">
      <c r="A335" s="2" t="n"/>
      <c r="B335" s="2" t="n"/>
      <c r="C335" s="2" t="n"/>
      <c r="D335" s="2" t="n"/>
    </row>
    <row r="336" ht="15.75" customHeight="1" s="67">
      <c r="A336" s="2" t="n"/>
      <c r="B336" s="2" t="n"/>
      <c r="C336" s="2" t="n"/>
      <c r="D336" s="2" t="n"/>
    </row>
    <row r="337" ht="15.75" customHeight="1" s="67">
      <c r="A337" s="2" t="n"/>
      <c r="B337" s="2" t="n"/>
      <c r="C337" s="2" t="n"/>
      <c r="D337" s="2" t="n"/>
    </row>
    <row r="338" ht="15.75" customHeight="1" s="67">
      <c r="A338" s="2" t="n"/>
      <c r="B338" s="2" t="n"/>
      <c r="C338" s="2" t="n"/>
      <c r="D338" s="2" t="n"/>
    </row>
    <row r="339" ht="15.75" customHeight="1" s="67">
      <c r="A339" s="2" t="n"/>
      <c r="B339" s="2" t="n"/>
      <c r="C339" s="2" t="n"/>
      <c r="D339" s="2" t="n"/>
    </row>
    <row r="340" ht="15.75" customHeight="1" s="67">
      <c r="A340" s="2" t="n"/>
      <c r="B340" s="2" t="n"/>
      <c r="C340" s="2" t="n"/>
      <c r="D340" s="2" t="n"/>
    </row>
    <row r="341" ht="15.75" customHeight="1" s="67">
      <c r="A341" s="2" t="n"/>
      <c r="B341" s="2" t="n"/>
      <c r="C341" s="2" t="n"/>
      <c r="D341" s="2" t="n"/>
    </row>
    <row r="342" ht="15.75" customHeight="1" s="67">
      <c r="A342" s="2" t="n"/>
      <c r="B342" s="2" t="n"/>
      <c r="C342" s="2" t="n"/>
      <c r="D342" s="2" t="n"/>
    </row>
    <row r="343" ht="15.75" customHeight="1" s="67">
      <c r="A343" s="2" t="n"/>
      <c r="B343" s="2" t="n"/>
      <c r="C343" s="2" t="n"/>
      <c r="D343" s="2" t="n"/>
    </row>
    <row r="344" ht="15.75" customHeight="1" s="67">
      <c r="A344" s="2" t="n"/>
      <c r="B344" s="2" t="n"/>
      <c r="C344" s="2" t="n"/>
      <c r="D344" s="2" t="n"/>
    </row>
    <row r="345" ht="15.75" customHeight="1" s="67">
      <c r="A345" s="2" t="n"/>
      <c r="B345" s="2" t="n"/>
      <c r="C345" s="2" t="n"/>
      <c r="D345" s="2" t="n"/>
    </row>
    <row r="346" ht="15.75" customHeight="1" s="67">
      <c r="A346" s="2" t="n"/>
      <c r="B346" s="2" t="n"/>
      <c r="C346" s="2" t="n"/>
      <c r="D346" s="2" t="n"/>
    </row>
    <row r="347" ht="15.75" customHeight="1" s="67">
      <c r="A347" s="2" t="n"/>
      <c r="B347" s="2" t="n"/>
      <c r="C347" s="2" t="n"/>
      <c r="D347" s="2" t="n"/>
    </row>
    <row r="348" ht="15.75" customHeight="1" s="67">
      <c r="A348" s="2" t="n"/>
      <c r="B348" s="2" t="n"/>
      <c r="C348" s="2" t="n"/>
      <c r="D348" s="2" t="n"/>
    </row>
    <row r="349" ht="15.75" customHeight="1" s="67">
      <c r="A349" s="2" t="n"/>
      <c r="B349" s="2" t="n"/>
      <c r="C349" s="2" t="n"/>
      <c r="D349" s="2" t="n"/>
    </row>
    <row r="350" ht="15.75" customHeight="1" s="67">
      <c r="A350" s="2" t="n"/>
      <c r="B350" s="2" t="n"/>
      <c r="C350" s="2" t="n"/>
      <c r="D350" s="2" t="n"/>
    </row>
    <row r="351" ht="15.75" customHeight="1" s="67">
      <c r="A351" s="2" t="n"/>
      <c r="B351" s="2" t="n"/>
      <c r="C351" s="2" t="n"/>
      <c r="D351" s="2" t="n"/>
    </row>
    <row r="352" ht="15.75" customHeight="1" s="67">
      <c r="A352" s="2" t="n"/>
      <c r="B352" s="2" t="n"/>
      <c r="C352" s="2" t="n"/>
      <c r="D352" s="2" t="n"/>
    </row>
    <row r="353" ht="15.75" customHeight="1" s="67">
      <c r="A353" s="2" t="n"/>
      <c r="B353" s="2" t="n"/>
      <c r="C353" s="2" t="n"/>
      <c r="D353" s="2" t="n"/>
    </row>
    <row r="354" ht="15.75" customHeight="1" s="67">
      <c r="A354" s="2" t="n"/>
      <c r="B354" s="2" t="n"/>
      <c r="C354" s="2" t="n"/>
      <c r="D354" s="2" t="n"/>
    </row>
    <row r="355" ht="15.75" customHeight="1" s="67">
      <c r="A355" s="2" t="n"/>
      <c r="B355" s="2" t="n"/>
      <c r="C355" s="2" t="n"/>
      <c r="D355" s="2" t="n"/>
    </row>
    <row r="356" ht="15.75" customHeight="1" s="67">
      <c r="A356" s="2" t="n"/>
      <c r="B356" s="2" t="n"/>
      <c r="C356" s="2" t="n"/>
      <c r="D356" s="2" t="n"/>
    </row>
    <row r="357" ht="15.75" customHeight="1" s="67">
      <c r="A357" s="2" t="n"/>
      <c r="B357" s="2" t="n"/>
      <c r="C357" s="2" t="n"/>
      <c r="D357" s="2" t="n"/>
    </row>
    <row r="358" ht="15.75" customHeight="1" s="67">
      <c r="A358" s="2" t="n"/>
      <c r="B358" s="2" t="n"/>
      <c r="C358" s="2" t="n"/>
      <c r="D358" s="2" t="n"/>
    </row>
    <row r="359" ht="15.75" customHeight="1" s="67">
      <c r="A359" s="2" t="n"/>
      <c r="B359" s="2" t="n"/>
      <c r="C359" s="2" t="n"/>
      <c r="D359" s="2" t="n"/>
    </row>
    <row r="360" ht="15.75" customHeight="1" s="67">
      <c r="A360" s="2" t="n"/>
      <c r="B360" s="2" t="n"/>
      <c r="C360" s="2" t="n"/>
      <c r="D360" s="2" t="n"/>
    </row>
    <row r="361" ht="15.75" customHeight="1" s="67">
      <c r="A361" s="2" t="n"/>
      <c r="B361" s="2" t="n"/>
      <c r="C361" s="2" t="n"/>
      <c r="D361" s="2" t="n"/>
    </row>
    <row r="362" ht="15.75" customHeight="1" s="67">
      <c r="A362" s="2" t="n"/>
      <c r="B362" s="2" t="n"/>
      <c r="C362" s="2" t="n"/>
      <c r="D362" s="2" t="n"/>
    </row>
    <row r="363" ht="15.75" customHeight="1" s="67">
      <c r="A363" s="2" t="n"/>
      <c r="B363" s="2" t="n"/>
      <c r="C363" s="2" t="n"/>
      <c r="D363" s="2" t="n"/>
    </row>
    <row r="364" ht="15.75" customHeight="1" s="67">
      <c r="A364" s="2" t="n"/>
      <c r="B364" s="2" t="n"/>
      <c r="C364" s="2" t="n"/>
      <c r="D364" s="2" t="n"/>
    </row>
    <row r="365" ht="15.75" customHeight="1" s="67">
      <c r="A365" s="2" t="n"/>
      <c r="B365" s="2" t="n"/>
      <c r="C365" s="2" t="n"/>
      <c r="D365" s="2" t="n"/>
    </row>
    <row r="366" ht="15.75" customHeight="1" s="67">
      <c r="A366" s="2" t="n"/>
      <c r="B366" s="2" t="n"/>
      <c r="C366" s="2" t="n"/>
      <c r="D366" s="2" t="n"/>
    </row>
    <row r="367" ht="15.75" customHeight="1" s="67">
      <c r="A367" s="2" t="n"/>
      <c r="B367" s="2" t="n"/>
      <c r="C367" s="2" t="n"/>
      <c r="D367" s="2" t="n"/>
    </row>
    <row r="368" ht="15.75" customHeight="1" s="67">
      <c r="A368" s="2" t="n"/>
      <c r="B368" s="2" t="n"/>
      <c r="C368" s="2" t="n"/>
      <c r="D368" s="2" t="n"/>
    </row>
    <row r="369" ht="15.75" customHeight="1" s="67">
      <c r="A369" s="2" t="n"/>
      <c r="B369" s="2" t="n"/>
      <c r="C369" s="2" t="n"/>
      <c r="D369" s="2" t="n"/>
    </row>
    <row r="370" ht="15.75" customHeight="1" s="67">
      <c r="A370" s="2" t="n"/>
      <c r="B370" s="2" t="n"/>
      <c r="C370" s="2" t="n"/>
      <c r="D370" s="2" t="n"/>
    </row>
    <row r="371" ht="15.75" customHeight="1" s="67">
      <c r="A371" s="2" t="n"/>
      <c r="B371" s="2" t="n"/>
      <c r="C371" s="2" t="n"/>
      <c r="D371" s="2" t="n"/>
    </row>
    <row r="372" ht="15.75" customHeight="1" s="67">
      <c r="A372" s="2" t="n"/>
      <c r="B372" s="2" t="n"/>
      <c r="C372" s="2" t="n"/>
      <c r="D372" s="2" t="n"/>
    </row>
    <row r="373" ht="15.75" customHeight="1" s="67">
      <c r="A373" s="2" t="n"/>
      <c r="B373" s="2" t="n"/>
      <c r="C373" s="2" t="n"/>
      <c r="D373" s="2" t="n"/>
    </row>
    <row r="374" ht="15.75" customHeight="1" s="67">
      <c r="A374" s="2" t="n"/>
      <c r="B374" s="2" t="n"/>
      <c r="C374" s="2" t="n"/>
      <c r="D374" s="2" t="n"/>
    </row>
    <row r="375" ht="15.75" customHeight="1" s="67">
      <c r="A375" s="2" t="n"/>
      <c r="B375" s="2" t="n"/>
      <c r="C375" s="2" t="n"/>
      <c r="D375" s="2" t="n"/>
    </row>
    <row r="376" ht="15.75" customHeight="1" s="67">
      <c r="A376" s="2" t="n"/>
      <c r="B376" s="2" t="n"/>
      <c r="C376" s="2" t="n"/>
      <c r="D376" s="2" t="n"/>
    </row>
    <row r="377" ht="15.75" customHeight="1" s="67">
      <c r="A377" s="2" t="n"/>
      <c r="B377" s="2" t="n"/>
      <c r="C377" s="2" t="n"/>
      <c r="D377" s="2" t="n"/>
    </row>
    <row r="378" ht="15.75" customHeight="1" s="67">
      <c r="A378" s="2" t="n"/>
      <c r="B378" s="2" t="n"/>
      <c r="C378" s="2" t="n"/>
      <c r="D378" s="2" t="n"/>
    </row>
    <row r="379" ht="15.75" customHeight="1" s="67">
      <c r="A379" s="2" t="n"/>
      <c r="B379" s="2" t="n"/>
      <c r="C379" s="2" t="n"/>
      <c r="D379" s="2" t="n"/>
    </row>
    <row r="380" ht="15.75" customHeight="1" s="67">
      <c r="A380" s="2" t="n"/>
      <c r="B380" s="2" t="n"/>
      <c r="C380" s="2" t="n"/>
      <c r="D380" s="2" t="n"/>
    </row>
    <row r="381" ht="15.75" customHeight="1" s="67">
      <c r="A381" s="2" t="n"/>
      <c r="B381" s="2" t="n"/>
      <c r="C381" s="2" t="n"/>
      <c r="D381" s="2" t="n"/>
    </row>
    <row r="382" ht="15.75" customHeight="1" s="67">
      <c r="A382" s="2" t="n"/>
      <c r="B382" s="2" t="n"/>
      <c r="C382" s="2" t="n"/>
      <c r="D382" s="2" t="n"/>
    </row>
    <row r="383" ht="15.75" customHeight="1" s="67">
      <c r="A383" s="2" t="n"/>
      <c r="B383" s="2" t="n"/>
      <c r="C383" s="2" t="n"/>
      <c r="D383" s="2" t="n"/>
    </row>
    <row r="384" ht="15.75" customHeight="1" s="67">
      <c r="A384" s="2" t="n"/>
      <c r="B384" s="2" t="n"/>
      <c r="C384" s="2" t="n"/>
      <c r="D384" s="2" t="n"/>
    </row>
    <row r="385" ht="15.75" customHeight="1" s="67">
      <c r="A385" s="2" t="n"/>
      <c r="B385" s="2" t="n"/>
      <c r="C385" s="2" t="n"/>
      <c r="D385" s="2" t="n"/>
    </row>
    <row r="386" ht="15.75" customHeight="1" s="67">
      <c r="A386" s="2" t="n"/>
      <c r="B386" s="2" t="n"/>
      <c r="C386" s="2" t="n"/>
      <c r="D386" s="2" t="n"/>
    </row>
    <row r="387" ht="15.75" customHeight="1" s="67">
      <c r="A387" s="2" t="n"/>
      <c r="B387" s="2" t="n"/>
      <c r="C387" s="2" t="n"/>
      <c r="D387" s="2" t="n"/>
    </row>
    <row r="388" ht="15.75" customHeight="1" s="67">
      <c r="A388" s="2" t="n"/>
      <c r="B388" s="2" t="n"/>
      <c r="C388" s="2" t="n"/>
      <c r="D388" s="2" t="n"/>
    </row>
    <row r="389" ht="15.75" customHeight="1" s="67">
      <c r="A389" s="2" t="n"/>
      <c r="B389" s="2" t="n"/>
      <c r="C389" s="2" t="n"/>
      <c r="D389" s="2" t="n"/>
    </row>
    <row r="390" ht="15.75" customHeight="1" s="67">
      <c r="A390" s="2" t="n"/>
      <c r="B390" s="2" t="n"/>
      <c r="C390" s="2" t="n"/>
      <c r="D390" s="2" t="n"/>
    </row>
    <row r="391" ht="15.75" customHeight="1" s="67">
      <c r="A391" s="2" t="n"/>
      <c r="B391" s="2" t="n"/>
      <c r="C391" s="2" t="n"/>
      <c r="D391" s="2" t="n"/>
    </row>
    <row r="392" ht="15.75" customHeight="1" s="67">
      <c r="A392" s="2" t="n"/>
      <c r="B392" s="2" t="n"/>
      <c r="C392" s="2" t="n"/>
      <c r="D392" s="2" t="n"/>
    </row>
    <row r="393" ht="15.75" customHeight="1" s="67">
      <c r="A393" s="2" t="n"/>
      <c r="B393" s="2" t="n"/>
      <c r="C393" s="2" t="n"/>
      <c r="D393" s="2" t="n"/>
    </row>
    <row r="394" ht="15.75" customHeight="1" s="67">
      <c r="A394" s="2" t="n"/>
      <c r="B394" s="2" t="n"/>
      <c r="C394" s="2" t="n"/>
      <c r="D394" s="2" t="n"/>
    </row>
    <row r="395" ht="15.75" customHeight="1" s="67">
      <c r="A395" s="2" t="n"/>
      <c r="B395" s="2" t="n"/>
      <c r="C395" s="2" t="n"/>
      <c r="D395" s="2" t="n"/>
    </row>
    <row r="396" ht="15.75" customHeight="1" s="67">
      <c r="A396" s="2" t="n"/>
      <c r="B396" s="2" t="n"/>
      <c r="C396" s="2" t="n"/>
      <c r="D396" s="2" t="n"/>
    </row>
    <row r="397" ht="15.75" customHeight="1" s="67">
      <c r="A397" s="2" t="n"/>
      <c r="B397" s="2" t="n"/>
      <c r="C397" s="2" t="n"/>
      <c r="D397" s="2" t="n"/>
    </row>
    <row r="398" ht="15.75" customHeight="1" s="67">
      <c r="A398" s="2" t="n"/>
      <c r="B398" s="2" t="n"/>
      <c r="C398" s="2" t="n"/>
      <c r="D398" s="2" t="n"/>
    </row>
    <row r="399" ht="15.75" customHeight="1" s="67">
      <c r="A399" s="2" t="n"/>
      <c r="B399" s="2" t="n"/>
      <c r="C399" s="2" t="n"/>
      <c r="D399" s="2" t="n"/>
    </row>
    <row r="400" ht="15.75" customHeight="1" s="67">
      <c r="A400" s="2" t="n"/>
      <c r="B400" s="2" t="n"/>
      <c r="C400" s="2" t="n"/>
      <c r="D400" s="2" t="n"/>
    </row>
    <row r="401" ht="15.75" customHeight="1" s="67">
      <c r="A401" s="2" t="n"/>
      <c r="B401" s="2" t="n"/>
      <c r="C401" s="2" t="n"/>
      <c r="D401" s="2" t="n"/>
    </row>
    <row r="402" ht="15.75" customHeight="1" s="67">
      <c r="A402" s="2" t="n"/>
      <c r="B402" s="2" t="n"/>
      <c r="C402" s="2" t="n"/>
      <c r="D402" s="2" t="n"/>
    </row>
    <row r="403" ht="15.75" customHeight="1" s="67">
      <c r="A403" s="2" t="n"/>
      <c r="B403" s="2" t="n"/>
      <c r="C403" s="2" t="n"/>
      <c r="D403" s="2" t="n"/>
    </row>
    <row r="404" ht="15.75" customHeight="1" s="67">
      <c r="A404" s="2" t="n"/>
      <c r="B404" s="2" t="n"/>
      <c r="C404" s="2" t="n"/>
      <c r="D404" s="2" t="n"/>
    </row>
    <row r="405" ht="15.75" customHeight="1" s="67">
      <c r="A405" s="2" t="n"/>
      <c r="B405" s="2" t="n"/>
      <c r="C405" s="2" t="n"/>
      <c r="D405" s="2" t="n"/>
    </row>
    <row r="406" ht="15.75" customHeight="1" s="67">
      <c r="A406" s="2" t="n"/>
      <c r="B406" s="2" t="n"/>
      <c r="C406" s="2" t="n"/>
      <c r="D406" s="2" t="n"/>
    </row>
    <row r="407" ht="15.75" customHeight="1" s="67">
      <c r="A407" s="2" t="n"/>
      <c r="B407" s="2" t="n"/>
      <c r="C407" s="2" t="n"/>
      <c r="D407" s="2" t="n"/>
    </row>
    <row r="408" ht="15.75" customHeight="1" s="67">
      <c r="A408" s="2" t="n"/>
      <c r="B408" s="2" t="n"/>
      <c r="C408" s="2" t="n"/>
      <c r="D408" s="2" t="n"/>
    </row>
    <row r="409" ht="15.75" customHeight="1" s="67">
      <c r="A409" s="2" t="n"/>
      <c r="B409" s="2" t="n"/>
      <c r="C409" s="2" t="n"/>
      <c r="D409" s="2" t="n"/>
    </row>
    <row r="410" ht="15.75" customHeight="1" s="67">
      <c r="A410" s="2" t="n"/>
      <c r="B410" s="2" t="n"/>
      <c r="C410" s="2" t="n"/>
      <c r="D410" s="2" t="n"/>
    </row>
    <row r="411" ht="15.75" customHeight="1" s="67">
      <c r="A411" s="2" t="n"/>
      <c r="B411" s="2" t="n"/>
      <c r="C411" s="2" t="n"/>
      <c r="D411" s="2" t="n"/>
    </row>
    <row r="412" ht="15.75" customHeight="1" s="67">
      <c r="A412" s="2" t="n"/>
      <c r="B412" s="2" t="n"/>
      <c r="C412" s="2" t="n"/>
      <c r="D412" s="2" t="n"/>
    </row>
    <row r="413" ht="15.75" customHeight="1" s="67">
      <c r="A413" s="2" t="n"/>
      <c r="B413" s="2" t="n"/>
      <c r="C413" s="2" t="n"/>
      <c r="D413" s="2" t="n"/>
    </row>
    <row r="414" ht="15.75" customHeight="1" s="67">
      <c r="A414" s="2" t="n"/>
      <c r="B414" s="2" t="n"/>
      <c r="C414" s="2" t="n"/>
      <c r="D414" s="2" t="n"/>
    </row>
    <row r="415" ht="15.75" customHeight="1" s="67">
      <c r="A415" s="2" t="n"/>
      <c r="B415" s="2" t="n"/>
      <c r="C415" s="2" t="n"/>
      <c r="D415" s="2" t="n"/>
    </row>
    <row r="416" ht="15.75" customHeight="1" s="67">
      <c r="A416" s="2" t="n"/>
      <c r="B416" s="2" t="n"/>
      <c r="C416" s="2" t="n"/>
      <c r="D416" s="2" t="n"/>
    </row>
    <row r="417" ht="15.75" customHeight="1" s="67">
      <c r="A417" s="2" t="n"/>
      <c r="B417" s="2" t="n"/>
      <c r="C417" s="2" t="n"/>
      <c r="D417" s="2" t="n"/>
    </row>
    <row r="418" ht="15.75" customHeight="1" s="67">
      <c r="A418" s="2" t="n"/>
      <c r="B418" s="2" t="n"/>
      <c r="C418" s="2" t="n"/>
      <c r="D418" s="2" t="n"/>
    </row>
    <row r="419" ht="15.75" customHeight="1" s="67">
      <c r="A419" s="2" t="n"/>
      <c r="B419" s="2" t="n"/>
      <c r="C419" s="2" t="n"/>
      <c r="D419" s="2" t="n"/>
    </row>
    <row r="420" ht="15.75" customHeight="1" s="67">
      <c r="A420" s="2" t="n"/>
      <c r="B420" s="2" t="n"/>
      <c r="C420" s="2" t="n"/>
      <c r="D420" s="2" t="n"/>
    </row>
    <row r="421" ht="15.75" customHeight="1" s="67">
      <c r="A421" s="2" t="n"/>
      <c r="B421" s="2" t="n"/>
      <c r="C421" s="2" t="n"/>
      <c r="D421" s="2" t="n"/>
    </row>
    <row r="422" ht="15.75" customHeight="1" s="67">
      <c r="A422" s="2" t="n"/>
      <c r="B422" s="2" t="n"/>
      <c r="C422" s="2" t="n"/>
      <c r="D422" s="2" t="n"/>
    </row>
    <row r="423" ht="15.75" customHeight="1" s="67">
      <c r="A423" s="2" t="n"/>
      <c r="B423" s="2" t="n"/>
      <c r="C423" s="2" t="n"/>
      <c r="D423" s="2" t="n"/>
    </row>
    <row r="424" ht="15.75" customHeight="1" s="67">
      <c r="A424" s="2" t="n"/>
      <c r="B424" s="2" t="n"/>
      <c r="C424" s="2" t="n"/>
      <c r="D424" s="2" t="n"/>
    </row>
    <row r="425" ht="15.75" customHeight="1" s="67">
      <c r="A425" s="2" t="n"/>
      <c r="B425" s="2" t="n"/>
      <c r="C425" s="2" t="n"/>
      <c r="D425" s="2" t="n"/>
    </row>
    <row r="426" ht="15.75" customHeight="1" s="67">
      <c r="A426" s="2" t="n"/>
      <c r="B426" s="2" t="n"/>
      <c r="C426" s="2" t="n"/>
      <c r="D426" s="2" t="n"/>
    </row>
    <row r="427" ht="15.75" customHeight="1" s="67">
      <c r="A427" s="2" t="n"/>
      <c r="B427" s="2" t="n"/>
      <c r="C427" s="2" t="n"/>
      <c r="D427" s="2" t="n"/>
    </row>
    <row r="428" ht="15.75" customHeight="1" s="67">
      <c r="A428" s="2" t="n"/>
      <c r="B428" s="2" t="n"/>
      <c r="C428" s="2" t="n"/>
      <c r="D428" s="2" t="n"/>
    </row>
    <row r="429" ht="15.75" customHeight="1" s="67">
      <c r="A429" s="2" t="n"/>
      <c r="B429" s="2" t="n"/>
      <c r="C429" s="2" t="n"/>
      <c r="D429" s="2" t="n"/>
    </row>
    <row r="430" ht="15.75" customHeight="1" s="67">
      <c r="A430" s="2" t="n"/>
      <c r="B430" s="2" t="n"/>
      <c r="C430" s="2" t="n"/>
      <c r="D430" s="2" t="n"/>
    </row>
    <row r="431" ht="15.75" customHeight="1" s="67">
      <c r="A431" s="2" t="n"/>
      <c r="B431" s="2" t="n"/>
      <c r="C431" s="2" t="n"/>
      <c r="D431" s="2" t="n"/>
    </row>
    <row r="432" ht="15.75" customHeight="1" s="67">
      <c r="A432" s="2" t="n"/>
      <c r="B432" s="2" t="n"/>
      <c r="C432" s="2" t="n"/>
      <c r="D432" s="2" t="n"/>
    </row>
    <row r="433" ht="15.75" customHeight="1" s="67">
      <c r="A433" s="2" t="n"/>
      <c r="B433" s="2" t="n"/>
      <c r="C433" s="2" t="n"/>
      <c r="D433" s="2" t="n"/>
    </row>
    <row r="434" ht="15.75" customHeight="1" s="67">
      <c r="A434" s="2" t="n"/>
      <c r="B434" s="2" t="n"/>
      <c r="C434" s="2" t="n"/>
      <c r="D434" s="2" t="n"/>
    </row>
    <row r="435" ht="15.75" customHeight="1" s="67">
      <c r="A435" s="2" t="n"/>
      <c r="B435" s="2" t="n"/>
      <c r="C435" s="2" t="n"/>
      <c r="D435" s="2" t="n"/>
    </row>
    <row r="436" ht="15.75" customHeight="1" s="67">
      <c r="A436" s="2" t="n"/>
      <c r="B436" s="2" t="n"/>
      <c r="C436" s="2" t="n"/>
      <c r="D436" s="2" t="n"/>
    </row>
    <row r="437" ht="15.75" customHeight="1" s="67">
      <c r="A437" s="2" t="n"/>
      <c r="B437" s="2" t="n"/>
      <c r="C437" s="2" t="n"/>
      <c r="D437" s="2" t="n"/>
    </row>
    <row r="438" ht="15.75" customHeight="1" s="67">
      <c r="A438" s="2" t="n"/>
      <c r="B438" s="2" t="n"/>
      <c r="C438" s="2" t="n"/>
      <c r="D438" s="2" t="n"/>
    </row>
    <row r="439" ht="15.75" customHeight="1" s="67">
      <c r="A439" s="2" t="n"/>
      <c r="B439" s="2" t="n"/>
      <c r="C439" s="2" t="n"/>
      <c r="D439" s="2" t="n"/>
    </row>
    <row r="440" ht="15.75" customHeight="1" s="67">
      <c r="A440" s="2" t="n"/>
      <c r="B440" s="2" t="n"/>
      <c r="C440" s="2" t="n"/>
      <c r="D440" s="2" t="n"/>
    </row>
    <row r="441" ht="15.75" customHeight="1" s="67">
      <c r="A441" s="2" t="n"/>
      <c r="B441" s="2" t="n"/>
      <c r="C441" s="2" t="n"/>
      <c r="D441" s="2" t="n"/>
    </row>
    <row r="442" ht="15.75" customHeight="1" s="67">
      <c r="A442" s="2" t="n"/>
      <c r="B442" s="2" t="n"/>
      <c r="C442" s="2" t="n"/>
      <c r="D442" s="2" t="n"/>
    </row>
    <row r="443" ht="15.75" customHeight="1" s="67">
      <c r="A443" s="2" t="n"/>
      <c r="B443" s="2" t="n"/>
      <c r="C443" s="2" t="n"/>
      <c r="D443" s="2" t="n"/>
    </row>
    <row r="444" ht="15.75" customHeight="1" s="67">
      <c r="A444" s="2" t="n"/>
      <c r="B444" s="2" t="n"/>
      <c r="C444" s="2" t="n"/>
      <c r="D444" s="2" t="n"/>
    </row>
    <row r="445" ht="15.75" customHeight="1" s="67">
      <c r="A445" s="2" t="n"/>
      <c r="B445" s="2" t="n"/>
      <c r="C445" s="2" t="n"/>
      <c r="D445" s="2" t="n"/>
    </row>
    <row r="446" ht="15.75" customHeight="1" s="67">
      <c r="A446" s="2" t="n"/>
      <c r="B446" s="2" t="n"/>
      <c r="C446" s="2" t="n"/>
      <c r="D446" s="2" t="n"/>
    </row>
    <row r="447" ht="15.75" customHeight="1" s="67">
      <c r="A447" s="2" t="n"/>
      <c r="B447" s="2" t="n"/>
      <c r="C447" s="2" t="n"/>
      <c r="D447" s="2" t="n"/>
    </row>
    <row r="448" ht="15.75" customHeight="1" s="67">
      <c r="A448" s="2" t="n"/>
      <c r="B448" s="2" t="n"/>
      <c r="C448" s="2" t="n"/>
      <c r="D448" s="2" t="n"/>
    </row>
    <row r="449" ht="15.75" customHeight="1" s="67">
      <c r="A449" s="2" t="n"/>
      <c r="B449" s="2" t="n"/>
      <c r="C449" s="2" t="n"/>
      <c r="D449" s="2" t="n"/>
    </row>
    <row r="450" ht="15.75" customHeight="1" s="67">
      <c r="A450" s="2" t="n"/>
      <c r="B450" s="2" t="n"/>
      <c r="C450" s="2" t="n"/>
      <c r="D450" s="2" t="n"/>
    </row>
    <row r="451" ht="15.75" customHeight="1" s="67">
      <c r="A451" s="2" t="n"/>
      <c r="B451" s="2" t="n"/>
      <c r="C451" s="2" t="n"/>
      <c r="D451" s="2" t="n"/>
    </row>
    <row r="452" ht="15.75" customHeight="1" s="67">
      <c r="A452" s="2" t="n"/>
      <c r="B452" s="2" t="n"/>
      <c r="C452" s="2" t="n"/>
      <c r="D452" s="2" t="n"/>
    </row>
    <row r="453" ht="15.75" customHeight="1" s="67">
      <c r="A453" s="2" t="n"/>
      <c r="B453" s="2" t="n"/>
      <c r="C453" s="2" t="n"/>
      <c r="D453" s="2" t="n"/>
    </row>
    <row r="454" ht="15.75" customHeight="1" s="67">
      <c r="A454" s="2" t="n"/>
      <c r="B454" s="2" t="n"/>
      <c r="C454" s="2" t="n"/>
      <c r="D454" s="2" t="n"/>
    </row>
    <row r="455" ht="15.75" customHeight="1" s="67">
      <c r="A455" s="2" t="n"/>
      <c r="B455" s="2" t="n"/>
      <c r="C455" s="2" t="n"/>
      <c r="D455" s="2" t="n"/>
    </row>
    <row r="456" ht="15.75" customHeight="1" s="67">
      <c r="A456" s="2" t="n"/>
      <c r="B456" s="2" t="n"/>
      <c r="C456" s="2" t="n"/>
      <c r="D456" s="2" t="n"/>
    </row>
    <row r="457" ht="15.75" customHeight="1" s="67">
      <c r="A457" s="2" t="n"/>
      <c r="B457" s="2" t="n"/>
      <c r="C457" s="2" t="n"/>
      <c r="D457" s="2" t="n"/>
    </row>
    <row r="458" ht="15.75" customHeight="1" s="67">
      <c r="A458" s="2" t="n"/>
      <c r="B458" s="2" t="n"/>
      <c r="C458" s="2" t="n"/>
      <c r="D458" s="2" t="n"/>
    </row>
    <row r="459" ht="15.75" customHeight="1" s="67">
      <c r="A459" s="2" t="n"/>
      <c r="B459" s="2" t="n"/>
      <c r="C459" s="2" t="n"/>
      <c r="D459" s="2" t="n"/>
    </row>
    <row r="460" ht="15.75" customHeight="1" s="67">
      <c r="A460" s="2" t="n"/>
      <c r="B460" s="2" t="n"/>
      <c r="C460" s="2" t="n"/>
      <c r="D460" s="2" t="n"/>
    </row>
    <row r="461" ht="15.75" customHeight="1" s="67">
      <c r="A461" s="2" t="n"/>
      <c r="B461" s="2" t="n"/>
      <c r="C461" s="2" t="n"/>
      <c r="D461" s="2" t="n"/>
    </row>
    <row r="462" ht="15.75" customHeight="1" s="67">
      <c r="A462" s="2" t="n"/>
      <c r="B462" s="2" t="n"/>
      <c r="C462" s="2" t="n"/>
      <c r="D462" s="2" t="n"/>
    </row>
    <row r="463" ht="15.75" customHeight="1" s="67">
      <c r="A463" s="2" t="n"/>
      <c r="B463" s="2" t="n"/>
      <c r="C463" s="2" t="n"/>
      <c r="D463" s="2" t="n"/>
    </row>
    <row r="464" ht="15.75" customHeight="1" s="67">
      <c r="A464" s="2" t="n"/>
      <c r="B464" s="2" t="n"/>
      <c r="C464" s="2" t="n"/>
      <c r="D464" s="2" t="n"/>
    </row>
    <row r="465" ht="15.75" customHeight="1" s="67">
      <c r="A465" s="2" t="n"/>
      <c r="B465" s="2" t="n"/>
      <c r="C465" s="2" t="n"/>
      <c r="D465" s="2" t="n"/>
    </row>
    <row r="466" ht="15.75" customHeight="1" s="67">
      <c r="A466" s="2" t="n"/>
      <c r="B466" s="2" t="n"/>
      <c r="C466" s="2" t="n"/>
      <c r="D466" s="2" t="n"/>
    </row>
    <row r="467" ht="15.75" customHeight="1" s="67">
      <c r="A467" s="2" t="n"/>
      <c r="B467" s="2" t="n"/>
      <c r="C467" s="2" t="n"/>
      <c r="D467" s="2" t="n"/>
    </row>
    <row r="468" ht="15.75" customHeight="1" s="67">
      <c r="A468" s="2" t="n"/>
      <c r="B468" s="2" t="n"/>
      <c r="C468" s="2" t="n"/>
      <c r="D468" s="2" t="n"/>
    </row>
    <row r="469" ht="15.75" customHeight="1" s="67">
      <c r="A469" s="2" t="n"/>
      <c r="B469" s="2" t="n"/>
      <c r="C469" s="2" t="n"/>
      <c r="D469" s="2" t="n"/>
    </row>
    <row r="470" ht="15.75" customHeight="1" s="67">
      <c r="A470" s="2" t="n"/>
      <c r="B470" s="2" t="n"/>
      <c r="C470" s="2" t="n"/>
      <c r="D470" s="2" t="n"/>
    </row>
    <row r="471" ht="15.75" customHeight="1" s="67">
      <c r="A471" s="2" t="n"/>
      <c r="B471" s="2" t="n"/>
      <c r="C471" s="2" t="n"/>
      <c r="D471" s="2" t="n"/>
    </row>
    <row r="472" ht="15.75" customHeight="1" s="67">
      <c r="A472" s="2" t="n"/>
      <c r="B472" s="2" t="n"/>
      <c r="C472" s="2" t="n"/>
      <c r="D472" s="2" t="n"/>
    </row>
    <row r="473" ht="15.75" customHeight="1" s="67">
      <c r="A473" s="2" t="n"/>
      <c r="B473" s="2" t="n"/>
      <c r="C473" s="2" t="n"/>
      <c r="D473" s="2" t="n"/>
    </row>
    <row r="474" ht="15.75" customHeight="1" s="67">
      <c r="A474" s="2" t="n"/>
      <c r="B474" s="2" t="n"/>
      <c r="C474" s="2" t="n"/>
      <c r="D474" s="2" t="n"/>
    </row>
    <row r="475" ht="15.75" customHeight="1" s="67">
      <c r="A475" s="2" t="n"/>
      <c r="B475" s="2" t="n"/>
      <c r="C475" s="2" t="n"/>
      <c r="D475" s="2" t="n"/>
    </row>
    <row r="476" ht="15.75" customHeight="1" s="67">
      <c r="A476" s="2" t="n"/>
      <c r="B476" s="2" t="n"/>
      <c r="C476" s="2" t="n"/>
      <c r="D476" s="2" t="n"/>
    </row>
    <row r="477" ht="15.75" customHeight="1" s="67">
      <c r="A477" s="2" t="n"/>
      <c r="B477" s="2" t="n"/>
      <c r="C477" s="2" t="n"/>
      <c r="D477" s="2" t="n"/>
    </row>
    <row r="478" ht="15.75" customHeight="1" s="67">
      <c r="A478" s="2" t="n"/>
      <c r="B478" s="2" t="n"/>
      <c r="C478" s="2" t="n"/>
      <c r="D478" s="2" t="n"/>
    </row>
    <row r="479" ht="15.75" customHeight="1" s="67">
      <c r="A479" s="2" t="n"/>
      <c r="B479" s="2" t="n"/>
      <c r="C479" s="2" t="n"/>
      <c r="D479" s="2" t="n"/>
    </row>
    <row r="480" ht="15.75" customHeight="1" s="67">
      <c r="A480" s="2" t="n"/>
      <c r="B480" s="2" t="n"/>
      <c r="C480" s="2" t="n"/>
      <c r="D480" s="2" t="n"/>
    </row>
    <row r="481" ht="15.75" customHeight="1" s="67">
      <c r="A481" s="2" t="n"/>
      <c r="B481" s="2" t="n"/>
      <c r="C481" s="2" t="n"/>
      <c r="D481" s="2" t="n"/>
    </row>
    <row r="482" ht="15.75" customHeight="1" s="67">
      <c r="A482" s="2" t="n"/>
      <c r="B482" s="2" t="n"/>
      <c r="C482" s="2" t="n"/>
      <c r="D482" s="2" t="n"/>
    </row>
    <row r="483" ht="15.75" customHeight="1" s="67">
      <c r="A483" s="2" t="n"/>
      <c r="B483" s="2" t="n"/>
      <c r="C483" s="2" t="n"/>
      <c r="D483" s="2" t="n"/>
    </row>
    <row r="484" ht="15.75" customHeight="1" s="67">
      <c r="A484" s="2" t="n"/>
      <c r="B484" s="2" t="n"/>
      <c r="C484" s="2" t="n"/>
      <c r="D484" s="2" t="n"/>
    </row>
    <row r="485" ht="15.75" customHeight="1" s="67">
      <c r="A485" s="2" t="n"/>
      <c r="B485" s="2" t="n"/>
      <c r="C485" s="2" t="n"/>
      <c r="D485" s="2" t="n"/>
    </row>
    <row r="486" ht="15.75" customHeight="1" s="67">
      <c r="A486" s="2" t="n"/>
      <c r="B486" s="2" t="n"/>
      <c r="C486" s="2" t="n"/>
      <c r="D486" s="2" t="n"/>
    </row>
    <row r="487" ht="15.75" customHeight="1" s="67">
      <c r="A487" s="2" t="n"/>
      <c r="B487" s="2" t="n"/>
      <c r="C487" s="2" t="n"/>
      <c r="D487" s="2" t="n"/>
    </row>
    <row r="488" ht="15.75" customHeight="1" s="67">
      <c r="A488" s="2" t="n"/>
      <c r="B488" s="2" t="n"/>
      <c r="C488" s="2" t="n"/>
      <c r="D488" s="2" t="n"/>
    </row>
    <row r="489" ht="15.75" customHeight="1" s="67">
      <c r="A489" s="2" t="n"/>
      <c r="B489" s="2" t="n"/>
      <c r="C489" s="2" t="n"/>
      <c r="D489" s="2" t="n"/>
    </row>
    <row r="490" ht="15.75" customHeight="1" s="67">
      <c r="A490" s="2" t="n"/>
      <c r="B490" s="2" t="n"/>
      <c r="C490" s="2" t="n"/>
      <c r="D490" s="2" t="n"/>
    </row>
    <row r="491" ht="15.75" customHeight="1" s="67">
      <c r="A491" s="2" t="n"/>
      <c r="B491" s="2" t="n"/>
      <c r="C491" s="2" t="n"/>
      <c r="D491" s="2" t="n"/>
    </row>
    <row r="492" ht="15.75" customHeight="1" s="67">
      <c r="A492" s="2" t="n"/>
      <c r="B492" s="2" t="n"/>
      <c r="C492" s="2" t="n"/>
      <c r="D492" s="2" t="n"/>
    </row>
    <row r="493" ht="15.75" customHeight="1" s="67">
      <c r="A493" s="2" t="n"/>
      <c r="B493" s="2" t="n"/>
      <c r="C493" s="2" t="n"/>
      <c r="D493" s="2" t="n"/>
    </row>
    <row r="494" ht="15.75" customHeight="1" s="67">
      <c r="A494" s="2" t="n"/>
      <c r="B494" s="2" t="n"/>
      <c r="C494" s="2" t="n"/>
      <c r="D494" s="2" t="n"/>
    </row>
    <row r="495" ht="15.75" customHeight="1" s="67">
      <c r="A495" s="2" t="n"/>
      <c r="B495" s="2" t="n"/>
      <c r="C495" s="2" t="n"/>
      <c r="D495" s="2" t="n"/>
    </row>
    <row r="496" ht="15.75" customHeight="1" s="67">
      <c r="A496" s="2" t="n"/>
      <c r="B496" s="2" t="n"/>
      <c r="C496" s="2" t="n"/>
      <c r="D496" s="2" t="n"/>
    </row>
    <row r="497" ht="15.75" customHeight="1" s="67">
      <c r="A497" s="2" t="n"/>
      <c r="B497" s="2" t="n"/>
      <c r="C497" s="2" t="n"/>
      <c r="D497" s="2" t="n"/>
    </row>
    <row r="498" ht="15.75" customHeight="1" s="67">
      <c r="A498" s="2" t="n"/>
      <c r="B498" s="2" t="n"/>
      <c r="C498" s="2" t="n"/>
      <c r="D498" s="2" t="n"/>
    </row>
    <row r="499" ht="15.75" customHeight="1" s="67">
      <c r="A499" s="2" t="n"/>
      <c r="B499" s="2" t="n"/>
      <c r="C499" s="2" t="n"/>
      <c r="D499" s="2" t="n"/>
    </row>
    <row r="500" ht="15.75" customHeight="1" s="67">
      <c r="A500" s="2" t="n"/>
      <c r="B500" s="2" t="n"/>
      <c r="C500" s="2" t="n"/>
      <c r="D500" s="2" t="n"/>
    </row>
    <row r="501" ht="15.75" customHeight="1" s="67">
      <c r="A501" s="2" t="n"/>
      <c r="B501" s="2" t="n"/>
      <c r="C501" s="2" t="n"/>
      <c r="D501" s="2" t="n"/>
    </row>
    <row r="502" ht="15.75" customHeight="1" s="67">
      <c r="A502" s="2" t="n"/>
      <c r="B502" s="2" t="n"/>
      <c r="C502" s="2" t="n"/>
      <c r="D502" s="2" t="n"/>
    </row>
    <row r="503" ht="15.75" customHeight="1" s="67">
      <c r="A503" s="2" t="n"/>
      <c r="B503" s="2" t="n"/>
      <c r="C503" s="2" t="n"/>
      <c r="D503" s="2" t="n"/>
    </row>
    <row r="504" ht="15.75" customHeight="1" s="67">
      <c r="A504" s="2" t="n"/>
      <c r="B504" s="2" t="n"/>
      <c r="C504" s="2" t="n"/>
      <c r="D504" s="2" t="n"/>
    </row>
    <row r="505" ht="15.75" customHeight="1" s="67">
      <c r="A505" s="2" t="n"/>
      <c r="B505" s="2" t="n"/>
      <c r="C505" s="2" t="n"/>
      <c r="D505" s="2" t="n"/>
    </row>
    <row r="506" ht="15.75" customHeight="1" s="67">
      <c r="A506" s="2" t="n"/>
      <c r="B506" s="2" t="n"/>
      <c r="C506" s="2" t="n"/>
      <c r="D506" s="2" t="n"/>
    </row>
    <row r="507" ht="15.75" customHeight="1" s="67">
      <c r="A507" s="2" t="n"/>
      <c r="B507" s="2" t="n"/>
      <c r="C507" s="2" t="n"/>
      <c r="D507" s="2" t="n"/>
    </row>
    <row r="508" ht="15.75" customHeight="1" s="67">
      <c r="A508" s="2" t="n"/>
      <c r="B508" s="2" t="n"/>
      <c r="C508" s="2" t="n"/>
      <c r="D508" s="2" t="n"/>
    </row>
    <row r="509" ht="15.75" customHeight="1" s="67">
      <c r="A509" s="2" t="n"/>
      <c r="B509" s="2" t="n"/>
      <c r="C509" s="2" t="n"/>
      <c r="D509" s="2" t="n"/>
    </row>
    <row r="510" ht="15.75" customHeight="1" s="67">
      <c r="A510" s="2" t="n"/>
      <c r="B510" s="2" t="n"/>
      <c r="C510" s="2" t="n"/>
      <c r="D510" s="2" t="n"/>
    </row>
    <row r="511" ht="15.75" customHeight="1" s="67">
      <c r="A511" s="2" t="n"/>
      <c r="B511" s="2" t="n"/>
      <c r="C511" s="2" t="n"/>
      <c r="D511" s="2" t="n"/>
    </row>
    <row r="512" ht="15.75" customHeight="1" s="67">
      <c r="A512" s="2" t="n"/>
      <c r="B512" s="2" t="n"/>
      <c r="C512" s="2" t="n"/>
      <c r="D512" s="2" t="n"/>
    </row>
    <row r="513" ht="15.75" customHeight="1" s="67">
      <c r="A513" s="2" t="n"/>
      <c r="B513" s="2" t="n"/>
      <c r="C513" s="2" t="n"/>
      <c r="D513" s="2" t="n"/>
    </row>
    <row r="514" ht="15.75" customHeight="1" s="67">
      <c r="A514" s="2" t="n"/>
      <c r="B514" s="2" t="n"/>
      <c r="C514" s="2" t="n"/>
      <c r="D514" s="2" t="n"/>
    </row>
    <row r="515" ht="15.75" customHeight="1" s="67">
      <c r="A515" s="2" t="n"/>
      <c r="B515" s="2" t="n"/>
      <c r="C515" s="2" t="n"/>
      <c r="D515" s="2" t="n"/>
    </row>
    <row r="516" ht="15.75" customHeight="1" s="67">
      <c r="A516" s="2" t="n"/>
      <c r="B516" s="2" t="n"/>
      <c r="C516" s="2" t="n"/>
      <c r="D516" s="2" t="n"/>
    </row>
    <row r="517" ht="15.75" customHeight="1" s="67">
      <c r="A517" s="2" t="n"/>
      <c r="B517" s="2" t="n"/>
      <c r="C517" s="2" t="n"/>
      <c r="D517" s="2" t="n"/>
    </row>
    <row r="518" ht="15.75" customHeight="1" s="67">
      <c r="A518" s="2" t="n"/>
      <c r="B518" s="2" t="n"/>
      <c r="C518" s="2" t="n"/>
      <c r="D518" s="2" t="n"/>
    </row>
    <row r="519" ht="15.75" customHeight="1" s="67">
      <c r="A519" s="2" t="n"/>
      <c r="B519" s="2" t="n"/>
      <c r="C519" s="2" t="n"/>
      <c r="D519" s="2" t="n"/>
    </row>
    <row r="520" ht="15.75" customHeight="1" s="67">
      <c r="A520" s="2" t="n"/>
      <c r="B520" s="2" t="n"/>
      <c r="C520" s="2" t="n"/>
      <c r="D520" s="2" t="n"/>
    </row>
    <row r="521" ht="15.75" customHeight="1" s="67">
      <c r="A521" s="2" t="n"/>
      <c r="B521" s="2" t="n"/>
      <c r="C521" s="2" t="n"/>
      <c r="D521" s="2" t="n"/>
    </row>
    <row r="522" ht="15.75" customHeight="1" s="67">
      <c r="A522" s="2" t="n"/>
      <c r="B522" s="2" t="n"/>
      <c r="C522" s="2" t="n"/>
      <c r="D522" s="2" t="n"/>
    </row>
    <row r="523" ht="15.75" customHeight="1" s="67">
      <c r="A523" s="2" t="n"/>
      <c r="B523" s="2" t="n"/>
      <c r="C523" s="2" t="n"/>
      <c r="D523" s="2" t="n"/>
    </row>
    <row r="524" ht="15.75" customHeight="1" s="67">
      <c r="A524" s="2" t="n"/>
      <c r="B524" s="2" t="n"/>
      <c r="C524" s="2" t="n"/>
      <c r="D524" s="2" t="n"/>
    </row>
    <row r="525" ht="15.75" customHeight="1" s="67">
      <c r="A525" s="2" t="n"/>
      <c r="B525" s="2" t="n"/>
      <c r="C525" s="2" t="n"/>
      <c r="D525" s="2" t="n"/>
    </row>
    <row r="526" ht="15.75" customHeight="1" s="67">
      <c r="A526" s="2" t="n"/>
      <c r="B526" s="2" t="n"/>
      <c r="C526" s="2" t="n"/>
      <c r="D526" s="2" t="n"/>
    </row>
    <row r="527" ht="15.75" customHeight="1" s="67">
      <c r="A527" s="2" t="n"/>
      <c r="B527" s="2" t="n"/>
      <c r="C527" s="2" t="n"/>
      <c r="D527" s="2" t="n"/>
    </row>
    <row r="528" ht="15.75" customHeight="1" s="67">
      <c r="A528" s="2" t="n"/>
      <c r="B528" s="2" t="n"/>
      <c r="C528" s="2" t="n"/>
      <c r="D528" s="2" t="n"/>
    </row>
    <row r="529" ht="15.75" customHeight="1" s="67">
      <c r="A529" s="2" t="n"/>
      <c r="B529" s="2" t="n"/>
      <c r="C529" s="2" t="n"/>
      <c r="D529" s="2" t="n"/>
    </row>
    <row r="530" ht="15.75" customHeight="1" s="67">
      <c r="A530" s="2" t="n"/>
      <c r="B530" s="2" t="n"/>
      <c r="C530" s="2" t="n"/>
      <c r="D530" s="2" t="n"/>
    </row>
    <row r="531" ht="15.75" customHeight="1" s="67">
      <c r="A531" s="2" t="n"/>
      <c r="B531" s="2" t="n"/>
      <c r="C531" s="2" t="n"/>
      <c r="D531" s="2" t="n"/>
    </row>
    <row r="532" ht="15.75" customHeight="1" s="67">
      <c r="A532" s="2" t="n"/>
      <c r="B532" s="2" t="n"/>
      <c r="C532" s="2" t="n"/>
      <c r="D532" s="2" t="n"/>
    </row>
    <row r="533" ht="15.75" customHeight="1" s="67">
      <c r="A533" s="2" t="n"/>
      <c r="B533" s="2" t="n"/>
      <c r="C533" s="2" t="n"/>
      <c r="D533" s="2" t="n"/>
    </row>
    <row r="534" ht="15.75" customHeight="1" s="67">
      <c r="A534" s="2" t="n"/>
      <c r="B534" s="2" t="n"/>
      <c r="C534" s="2" t="n"/>
      <c r="D534" s="2" t="n"/>
    </row>
    <row r="535" ht="15.75" customHeight="1" s="67">
      <c r="A535" s="2" t="n"/>
      <c r="B535" s="2" t="n"/>
      <c r="C535" s="2" t="n"/>
      <c r="D535" s="2" t="n"/>
    </row>
    <row r="536" ht="15.75" customHeight="1" s="67">
      <c r="A536" s="2" t="n"/>
      <c r="B536" s="2" t="n"/>
      <c r="C536" s="2" t="n"/>
      <c r="D536" s="2" t="n"/>
    </row>
    <row r="537" ht="15.75" customHeight="1" s="67">
      <c r="A537" s="2" t="n"/>
      <c r="B537" s="2" t="n"/>
      <c r="C537" s="2" t="n"/>
      <c r="D537" s="2" t="n"/>
    </row>
    <row r="538" ht="15.75" customHeight="1" s="67">
      <c r="A538" s="2" t="n"/>
      <c r="B538" s="2" t="n"/>
      <c r="C538" s="2" t="n"/>
      <c r="D538" s="2" t="n"/>
    </row>
    <row r="539" ht="15.75" customHeight="1" s="67">
      <c r="A539" s="2" t="n"/>
      <c r="B539" s="2" t="n"/>
      <c r="C539" s="2" t="n"/>
      <c r="D539" s="2" t="n"/>
    </row>
    <row r="540" ht="15.75" customHeight="1" s="67">
      <c r="A540" s="2" t="n"/>
      <c r="B540" s="2" t="n"/>
      <c r="C540" s="2" t="n"/>
      <c r="D540" s="2" t="n"/>
    </row>
    <row r="541" ht="15.75" customHeight="1" s="67">
      <c r="A541" s="2" t="n"/>
      <c r="B541" s="2" t="n"/>
      <c r="C541" s="2" t="n"/>
      <c r="D541" s="2" t="n"/>
    </row>
    <row r="542" ht="15.75" customHeight="1" s="67">
      <c r="A542" s="2" t="n"/>
      <c r="B542" s="2" t="n"/>
      <c r="C542" s="2" t="n"/>
      <c r="D542" s="2" t="n"/>
    </row>
    <row r="543" ht="15.75" customHeight="1" s="67">
      <c r="A543" s="2" t="n"/>
      <c r="B543" s="2" t="n"/>
      <c r="C543" s="2" t="n"/>
      <c r="D543" s="2" t="n"/>
    </row>
    <row r="544" ht="15.75" customHeight="1" s="67">
      <c r="A544" s="2" t="n"/>
      <c r="B544" s="2" t="n"/>
      <c r="C544" s="2" t="n"/>
      <c r="D544" s="2" t="n"/>
    </row>
    <row r="545" ht="15.75" customHeight="1" s="67">
      <c r="A545" s="2" t="n"/>
      <c r="B545" s="2" t="n"/>
      <c r="C545" s="2" t="n"/>
      <c r="D545" s="2" t="n"/>
    </row>
    <row r="546" ht="15.75" customHeight="1" s="67">
      <c r="A546" s="2" t="n"/>
      <c r="B546" s="2" t="n"/>
      <c r="C546" s="2" t="n"/>
      <c r="D546" s="2" t="n"/>
    </row>
    <row r="547" ht="15.75" customHeight="1" s="67">
      <c r="A547" s="2" t="n"/>
      <c r="B547" s="2" t="n"/>
      <c r="C547" s="2" t="n"/>
      <c r="D547" s="2" t="n"/>
    </row>
    <row r="548" ht="15.75" customHeight="1" s="67">
      <c r="A548" s="2" t="n"/>
      <c r="B548" s="2" t="n"/>
      <c r="C548" s="2" t="n"/>
      <c r="D548" s="2" t="n"/>
    </row>
    <row r="549" ht="15.75" customHeight="1" s="67">
      <c r="A549" s="2" t="n"/>
      <c r="B549" s="2" t="n"/>
      <c r="C549" s="2" t="n"/>
      <c r="D549" s="2" t="n"/>
    </row>
    <row r="550" ht="15.75" customHeight="1" s="67">
      <c r="A550" s="2" t="n"/>
      <c r="B550" s="2" t="n"/>
      <c r="C550" s="2" t="n"/>
      <c r="D550" s="2" t="n"/>
    </row>
    <row r="551" ht="15.75" customHeight="1" s="67">
      <c r="A551" s="2" t="n"/>
      <c r="B551" s="2" t="n"/>
      <c r="C551" s="2" t="n"/>
      <c r="D551" s="2" t="n"/>
    </row>
    <row r="552" ht="15.75" customHeight="1" s="67">
      <c r="A552" s="2" t="n"/>
      <c r="B552" s="2" t="n"/>
      <c r="C552" s="2" t="n"/>
      <c r="D552" s="2" t="n"/>
    </row>
    <row r="553" ht="15.75" customHeight="1" s="67">
      <c r="A553" s="2" t="n"/>
      <c r="B553" s="2" t="n"/>
      <c r="C553" s="2" t="n"/>
      <c r="D553" s="2" t="n"/>
    </row>
    <row r="554" ht="15.75" customHeight="1" s="67">
      <c r="A554" s="2" t="n"/>
      <c r="B554" s="2" t="n"/>
      <c r="C554" s="2" t="n"/>
      <c r="D554" s="2" t="n"/>
    </row>
    <row r="555" ht="15.75" customHeight="1" s="67">
      <c r="A555" s="2" t="n"/>
      <c r="B555" s="2" t="n"/>
      <c r="C555" s="2" t="n"/>
      <c r="D555" s="2" t="n"/>
    </row>
    <row r="556" ht="15.75" customHeight="1" s="67">
      <c r="A556" s="2" t="n"/>
      <c r="B556" s="2" t="n"/>
      <c r="C556" s="2" t="n"/>
      <c r="D556" s="2" t="n"/>
    </row>
    <row r="557" ht="15.75" customHeight="1" s="67">
      <c r="A557" s="2" t="n"/>
      <c r="B557" s="2" t="n"/>
      <c r="C557" s="2" t="n"/>
      <c r="D557" s="2" t="n"/>
    </row>
    <row r="558" ht="15.75" customHeight="1" s="67">
      <c r="A558" s="2" t="n"/>
      <c r="B558" s="2" t="n"/>
      <c r="C558" s="2" t="n"/>
      <c r="D558" s="2" t="n"/>
    </row>
    <row r="559" ht="15.75" customHeight="1" s="67">
      <c r="A559" s="2" t="n"/>
      <c r="B559" s="2" t="n"/>
      <c r="C559" s="2" t="n"/>
      <c r="D559" s="2" t="n"/>
    </row>
    <row r="560" ht="15.75" customHeight="1" s="67">
      <c r="A560" s="2" t="n"/>
      <c r="B560" s="2" t="n"/>
      <c r="C560" s="2" t="n"/>
      <c r="D560" s="2" t="n"/>
    </row>
    <row r="561" ht="15.75" customHeight="1" s="67">
      <c r="A561" s="2" t="n"/>
      <c r="B561" s="2" t="n"/>
      <c r="C561" s="2" t="n"/>
      <c r="D561" s="2" t="n"/>
    </row>
    <row r="562" ht="15.75" customHeight="1" s="67">
      <c r="A562" s="2" t="n"/>
      <c r="B562" s="2" t="n"/>
      <c r="C562" s="2" t="n"/>
      <c r="D562" s="2" t="n"/>
    </row>
    <row r="563" ht="15.75" customHeight="1" s="67">
      <c r="A563" s="2" t="n"/>
      <c r="B563" s="2" t="n"/>
      <c r="C563" s="2" t="n"/>
      <c r="D563" s="2" t="n"/>
    </row>
    <row r="564" ht="15.75" customHeight="1" s="67">
      <c r="A564" s="2" t="n"/>
      <c r="B564" s="2" t="n"/>
      <c r="C564" s="2" t="n"/>
      <c r="D564" s="2" t="n"/>
    </row>
    <row r="565" ht="15.75" customHeight="1" s="67">
      <c r="A565" s="2" t="n"/>
      <c r="B565" s="2" t="n"/>
      <c r="C565" s="2" t="n"/>
      <c r="D565" s="2" t="n"/>
    </row>
    <row r="566" ht="15.75" customHeight="1" s="67">
      <c r="A566" s="2" t="n"/>
      <c r="B566" s="2" t="n"/>
      <c r="C566" s="2" t="n"/>
      <c r="D566" s="2" t="n"/>
    </row>
    <row r="567" ht="15.75" customHeight="1" s="67">
      <c r="A567" s="2" t="n"/>
      <c r="B567" s="2" t="n"/>
      <c r="C567" s="2" t="n"/>
      <c r="D567" s="2" t="n"/>
    </row>
    <row r="568" ht="15.75" customHeight="1" s="67">
      <c r="A568" s="2" t="n"/>
      <c r="B568" s="2" t="n"/>
      <c r="C568" s="2" t="n"/>
      <c r="D568" s="2" t="n"/>
    </row>
    <row r="569" ht="15.75" customHeight="1" s="67">
      <c r="A569" s="2" t="n"/>
      <c r="B569" s="2" t="n"/>
      <c r="C569" s="2" t="n"/>
      <c r="D569" s="2" t="n"/>
    </row>
    <row r="570" ht="15.75" customHeight="1" s="67">
      <c r="A570" s="2" t="n"/>
      <c r="B570" s="2" t="n"/>
      <c r="C570" s="2" t="n"/>
      <c r="D570" s="2" t="n"/>
    </row>
    <row r="571" ht="15.75" customHeight="1" s="67">
      <c r="A571" s="2" t="n"/>
      <c r="B571" s="2" t="n"/>
      <c r="C571" s="2" t="n"/>
      <c r="D571" s="2" t="n"/>
    </row>
    <row r="572" ht="15.75" customHeight="1" s="67">
      <c r="A572" s="2" t="n"/>
      <c r="B572" s="2" t="n"/>
      <c r="C572" s="2" t="n"/>
      <c r="D572" s="2" t="n"/>
    </row>
    <row r="573" ht="15.75" customHeight="1" s="67">
      <c r="A573" s="2" t="n"/>
      <c r="B573" s="2" t="n"/>
      <c r="C573" s="2" t="n"/>
      <c r="D573" s="2" t="n"/>
    </row>
    <row r="574" ht="15.75" customHeight="1" s="67">
      <c r="A574" s="2" t="n"/>
      <c r="B574" s="2" t="n"/>
      <c r="C574" s="2" t="n"/>
      <c r="D574" s="2" t="n"/>
    </row>
    <row r="575" ht="15.75" customHeight="1" s="67">
      <c r="A575" s="2" t="n"/>
      <c r="B575" s="2" t="n"/>
      <c r="C575" s="2" t="n"/>
      <c r="D575" s="2" t="n"/>
    </row>
    <row r="576" ht="15.75" customHeight="1" s="67">
      <c r="A576" s="2" t="n"/>
      <c r="B576" s="2" t="n"/>
      <c r="C576" s="2" t="n"/>
      <c r="D576" s="2" t="n"/>
    </row>
    <row r="577" ht="15.75" customHeight="1" s="67">
      <c r="A577" s="2" t="n"/>
      <c r="B577" s="2" t="n"/>
      <c r="C577" s="2" t="n"/>
      <c r="D577" s="2" t="n"/>
    </row>
    <row r="578" ht="15.75" customHeight="1" s="67">
      <c r="A578" s="2" t="n"/>
      <c r="B578" s="2" t="n"/>
      <c r="C578" s="2" t="n"/>
      <c r="D578" s="2" t="n"/>
    </row>
    <row r="579" ht="15.75" customHeight="1" s="67">
      <c r="A579" s="2" t="n"/>
      <c r="B579" s="2" t="n"/>
      <c r="C579" s="2" t="n"/>
      <c r="D579" s="2" t="n"/>
    </row>
    <row r="580" ht="15.75" customHeight="1" s="67">
      <c r="A580" s="2" t="n"/>
      <c r="B580" s="2" t="n"/>
      <c r="C580" s="2" t="n"/>
      <c r="D580" s="2" t="n"/>
    </row>
    <row r="581" ht="15.75" customHeight="1" s="67">
      <c r="A581" s="2" t="n"/>
      <c r="B581" s="2" t="n"/>
      <c r="C581" s="2" t="n"/>
      <c r="D581" s="2" t="n"/>
    </row>
    <row r="582" ht="15.75" customHeight="1" s="67">
      <c r="A582" s="2" t="n"/>
      <c r="B582" s="2" t="n"/>
      <c r="C582" s="2" t="n"/>
      <c r="D582" s="2" t="n"/>
    </row>
    <row r="583" ht="15.75" customHeight="1" s="67">
      <c r="A583" s="2" t="n"/>
      <c r="B583" s="2" t="n"/>
      <c r="C583" s="2" t="n"/>
      <c r="D583" s="2" t="n"/>
    </row>
    <row r="584" ht="15.75" customHeight="1" s="67">
      <c r="A584" s="2" t="n"/>
      <c r="B584" s="2" t="n"/>
      <c r="C584" s="2" t="n"/>
      <c r="D584" s="2" t="n"/>
    </row>
    <row r="585" ht="15.75" customHeight="1" s="67">
      <c r="A585" s="2" t="n"/>
      <c r="B585" s="2" t="n"/>
      <c r="C585" s="2" t="n"/>
      <c r="D585" s="2" t="n"/>
    </row>
    <row r="586" ht="15.75" customHeight="1" s="67">
      <c r="A586" s="2" t="n"/>
      <c r="B586" s="2" t="n"/>
      <c r="C586" s="2" t="n"/>
      <c r="D586" s="2" t="n"/>
    </row>
    <row r="587" ht="15.75" customHeight="1" s="67">
      <c r="A587" s="2" t="n"/>
      <c r="B587" s="2" t="n"/>
      <c r="C587" s="2" t="n"/>
      <c r="D587" s="2" t="n"/>
    </row>
    <row r="588" ht="15.75" customHeight="1" s="67">
      <c r="A588" s="2" t="n"/>
      <c r="B588" s="2" t="n"/>
      <c r="C588" s="2" t="n"/>
      <c r="D588" s="2" t="n"/>
    </row>
    <row r="589" ht="15.75" customHeight="1" s="67">
      <c r="A589" s="2" t="n"/>
      <c r="B589" s="2" t="n"/>
      <c r="C589" s="2" t="n"/>
      <c r="D589" s="2" t="n"/>
    </row>
    <row r="590" ht="15.75" customHeight="1" s="67">
      <c r="A590" s="2" t="n"/>
      <c r="B590" s="2" t="n"/>
      <c r="C590" s="2" t="n"/>
      <c r="D590" s="2" t="n"/>
    </row>
    <row r="591" ht="15.75" customHeight="1" s="67">
      <c r="A591" s="2" t="n"/>
      <c r="B591" s="2" t="n"/>
      <c r="C591" s="2" t="n"/>
      <c r="D591" s="2" t="n"/>
    </row>
    <row r="592" ht="15.75" customHeight="1" s="67">
      <c r="A592" s="2" t="n"/>
      <c r="B592" s="2" t="n"/>
      <c r="C592" s="2" t="n"/>
      <c r="D592" s="2" t="n"/>
    </row>
    <row r="593" ht="15.75" customHeight="1" s="67">
      <c r="A593" s="2" t="n"/>
      <c r="B593" s="2" t="n"/>
      <c r="C593" s="2" t="n"/>
      <c r="D593" s="2" t="n"/>
    </row>
    <row r="594" ht="15.75" customHeight="1" s="67">
      <c r="A594" s="2" t="n"/>
      <c r="B594" s="2" t="n"/>
      <c r="C594" s="2" t="n"/>
      <c r="D594" s="2" t="n"/>
    </row>
    <row r="595" ht="15.75" customHeight="1" s="67">
      <c r="A595" s="2" t="n"/>
      <c r="B595" s="2" t="n"/>
      <c r="C595" s="2" t="n"/>
      <c r="D595" s="2" t="n"/>
    </row>
    <row r="596" ht="15.75" customHeight="1" s="67">
      <c r="A596" s="2" t="n"/>
      <c r="B596" s="2" t="n"/>
      <c r="C596" s="2" t="n"/>
      <c r="D596" s="2" t="n"/>
    </row>
    <row r="597" ht="15.75" customHeight="1" s="67">
      <c r="A597" s="2" t="n"/>
      <c r="B597" s="2" t="n"/>
      <c r="C597" s="2" t="n"/>
      <c r="D597" s="2" t="n"/>
    </row>
    <row r="598" ht="15.75" customHeight="1" s="67">
      <c r="A598" s="2" t="n"/>
      <c r="B598" s="2" t="n"/>
      <c r="C598" s="2" t="n"/>
      <c r="D598" s="2" t="n"/>
    </row>
    <row r="599" ht="15.75" customHeight="1" s="67">
      <c r="A599" s="2" t="n"/>
      <c r="B599" s="2" t="n"/>
      <c r="C599" s="2" t="n"/>
      <c r="D599" s="2" t="n"/>
    </row>
    <row r="600" ht="15.75" customHeight="1" s="67">
      <c r="A600" s="2" t="n"/>
      <c r="B600" s="2" t="n"/>
      <c r="C600" s="2" t="n"/>
      <c r="D600" s="2" t="n"/>
    </row>
    <row r="601" ht="15.75" customHeight="1" s="67">
      <c r="A601" s="2" t="n"/>
      <c r="B601" s="2" t="n"/>
      <c r="C601" s="2" t="n"/>
      <c r="D601" s="2" t="n"/>
    </row>
    <row r="602" ht="15.75" customHeight="1" s="67">
      <c r="A602" s="2" t="n"/>
      <c r="B602" s="2" t="n"/>
      <c r="C602" s="2" t="n"/>
      <c r="D602" s="2" t="n"/>
    </row>
    <row r="603" ht="15.75" customHeight="1" s="67">
      <c r="A603" s="2" t="n"/>
      <c r="B603" s="2" t="n"/>
      <c r="C603" s="2" t="n"/>
      <c r="D603" s="2" t="n"/>
    </row>
    <row r="604" ht="15.75" customHeight="1" s="67">
      <c r="A604" s="2" t="n"/>
      <c r="B604" s="2" t="n"/>
      <c r="C604" s="2" t="n"/>
      <c r="D604" s="2" t="n"/>
    </row>
    <row r="605" ht="15.75" customHeight="1" s="67">
      <c r="A605" s="2" t="n"/>
      <c r="B605" s="2" t="n"/>
      <c r="C605" s="2" t="n"/>
      <c r="D605" s="2" t="n"/>
    </row>
    <row r="606" ht="15.75" customHeight="1" s="67">
      <c r="A606" s="2" t="n"/>
      <c r="B606" s="2" t="n"/>
      <c r="C606" s="2" t="n"/>
      <c r="D606" s="2" t="n"/>
    </row>
    <row r="607" ht="15.75" customHeight="1" s="67">
      <c r="A607" s="2" t="n"/>
      <c r="B607" s="2" t="n"/>
      <c r="C607" s="2" t="n"/>
      <c r="D607" s="2" t="n"/>
    </row>
    <row r="608" ht="15.75" customHeight="1" s="67">
      <c r="A608" s="2" t="n"/>
      <c r="B608" s="2" t="n"/>
      <c r="C608" s="2" t="n"/>
      <c r="D608" s="2" t="n"/>
    </row>
    <row r="609" ht="15.75" customHeight="1" s="67">
      <c r="A609" s="2" t="n"/>
      <c r="B609" s="2" t="n"/>
      <c r="C609" s="2" t="n"/>
      <c r="D609" s="2" t="n"/>
    </row>
    <row r="610" ht="15.75" customHeight="1" s="67">
      <c r="A610" s="2" t="n"/>
      <c r="B610" s="2" t="n"/>
      <c r="C610" s="2" t="n"/>
      <c r="D610" s="2" t="n"/>
    </row>
    <row r="611" ht="15.75" customHeight="1" s="67">
      <c r="A611" s="2" t="n"/>
      <c r="B611" s="2" t="n"/>
      <c r="C611" s="2" t="n"/>
      <c r="D611" s="2" t="n"/>
    </row>
    <row r="612" ht="15.75" customHeight="1" s="67">
      <c r="A612" s="2" t="n"/>
      <c r="B612" s="2" t="n"/>
      <c r="C612" s="2" t="n"/>
      <c r="D612" s="2" t="n"/>
    </row>
    <row r="613" ht="15.75" customHeight="1" s="67">
      <c r="A613" s="2" t="n"/>
      <c r="B613" s="2" t="n"/>
      <c r="C613" s="2" t="n"/>
      <c r="D613" s="2" t="n"/>
    </row>
    <row r="614" ht="15.75" customHeight="1" s="67">
      <c r="A614" s="2" t="n"/>
      <c r="B614" s="2" t="n"/>
      <c r="C614" s="2" t="n"/>
      <c r="D614" s="2" t="n"/>
    </row>
    <row r="615" ht="15.75" customHeight="1" s="67">
      <c r="A615" s="2" t="n"/>
      <c r="B615" s="2" t="n"/>
      <c r="C615" s="2" t="n"/>
      <c r="D615" s="2" t="n"/>
    </row>
    <row r="616" ht="15.75" customHeight="1" s="67">
      <c r="A616" s="2" t="n"/>
      <c r="B616" s="2" t="n"/>
      <c r="C616" s="2" t="n"/>
      <c r="D616" s="2" t="n"/>
    </row>
    <row r="617" ht="15.75" customHeight="1" s="67">
      <c r="A617" s="2" t="n"/>
      <c r="B617" s="2" t="n"/>
      <c r="C617" s="2" t="n"/>
      <c r="D617" s="2" t="n"/>
    </row>
    <row r="618" ht="15.75" customHeight="1" s="67">
      <c r="A618" s="2" t="n"/>
      <c r="B618" s="2" t="n"/>
      <c r="C618" s="2" t="n"/>
      <c r="D618" s="2" t="n"/>
    </row>
    <row r="619" ht="15.75" customHeight="1" s="67">
      <c r="A619" s="2" t="n"/>
      <c r="B619" s="2" t="n"/>
      <c r="C619" s="2" t="n"/>
      <c r="D619" s="2" t="n"/>
    </row>
    <row r="620" ht="15.75" customHeight="1" s="67">
      <c r="A620" s="2" t="n"/>
      <c r="B620" s="2" t="n"/>
      <c r="C620" s="2" t="n"/>
      <c r="D620" s="2" t="n"/>
    </row>
    <row r="621" ht="15.75" customHeight="1" s="67">
      <c r="A621" s="2" t="n"/>
      <c r="B621" s="2" t="n"/>
      <c r="C621" s="2" t="n"/>
      <c r="D621" s="2" t="n"/>
    </row>
    <row r="622" ht="15.75" customHeight="1" s="67">
      <c r="A622" s="2" t="n"/>
      <c r="B622" s="2" t="n"/>
      <c r="C622" s="2" t="n"/>
      <c r="D622" s="2" t="n"/>
    </row>
    <row r="623" ht="15.75" customHeight="1" s="67">
      <c r="A623" s="2" t="n"/>
      <c r="B623" s="2" t="n"/>
      <c r="C623" s="2" t="n"/>
      <c r="D623" s="2" t="n"/>
    </row>
    <row r="624" ht="15.75" customHeight="1" s="67">
      <c r="A624" s="2" t="n"/>
      <c r="B624" s="2" t="n"/>
      <c r="C624" s="2" t="n"/>
      <c r="D624" s="2" t="n"/>
    </row>
    <row r="625" ht="15.75" customHeight="1" s="67">
      <c r="A625" s="2" t="n"/>
      <c r="B625" s="2" t="n"/>
      <c r="C625" s="2" t="n"/>
      <c r="D625" s="2" t="n"/>
    </row>
    <row r="626" ht="15.75" customHeight="1" s="67">
      <c r="A626" s="2" t="n"/>
      <c r="B626" s="2" t="n"/>
      <c r="C626" s="2" t="n"/>
      <c r="D626" s="2" t="n"/>
    </row>
    <row r="627" ht="15.75" customHeight="1" s="67">
      <c r="A627" s="2" t="n"/>
      <c r="B627" s="2" t="n"/>
      <c r="C627" s="2" t="n"/>
      <c r="D627" s="2" t="n"/>
    </row>
    <row r="628" ht="15.75" customHeight="1" s="67">
      <c r="A628" s="2" t="n"/>
      <c r="B628" s="2" t="n"/>
      <c r="C628" s="2" t="n"/>
      <c r="D628" s="2" t="n"/>
    </row>
    <row r="629" ht="15.75" customHeight="1" s="67">
      <c r="A629" s="2" t="n"/>
      <c r="B629" s="2" t="n"/>
      <c r="C629" s="2" t="n"/>
      <c r="D629" s="2" t="n"/>
    </row>
    <row r="630" ht="15.75" customHeight="1" s="67">
      <c r="A630" s="2" t="n"/>
      <c r="B630" s="2" t="n"/>
      <c r="C630" s="2" t="n"/>
      <c r="D630" s="2" t="n"/>
    </row>
    <row r="631" ht="15.75" customHeight="1" s="67">
      <c r="A631" s="2" t="n"/>
      <c r="B631" s="2" t="n"/>
      <c r="C631" s="2" t="n"/>
      <c r="D631" s="2" t="n"/>
    </row>
    <row r="632" ht="15.75" customHeight="1" s="67">
      <c r="A632" s="2" t="n"/>
      <c r="B632" s="2" t="n"/>
      <c r="C632" s="2" t="n"/>
      <c r="D632" s="2" t="n"/>
    </row>
    <row r="633" ht="15.75" customHeight="1" s="67">
      <c r="A633" s="2" t="n"/>
      <c r="B633" s="2" t="n"/>
      <c r="C633" s="2" t="n"/>
      <c r="D633" s="2" t="n"/>
    </row>
    <row r="634" ht="15.75" customHeight="1" s="67">
      <c r="A634" s="2" t="n"/>
      <c r="B634" s="2" t="n"/>
      <c r="C634" s="2" t="n"/>
      <c r="D634" s="2" t="n"/>
    </row>
    <row r="635" ht="15.75" customHeight="1" s="67">
      <c r="A635" s="2" t="n"/>
      <c r="B635" s="2" t="n"/>
      <c r="C635" s="2" t="n"/>
      <c r="D635" s="2" t="n"/>
    </row>
    <row r="636" ht="15.75" customHeight="1" s="67">
      <c r="A636" s="2" t="n"/>
      <c r="B636" s="2" t="n"/>
      <c r="C636" s="2" t="n"/>
      <c r="D636" s="2" t="n"/>
    </row>
    <row r="637" ht="15.75" customHeight="1" s="67">
      <c r="A637" s="2" t="n"/>
      <c r="B637" s="2" t="n"/>
      <c r="C637" s="2" t="n"/>
      <c r="D637" s="2" t="n"/>
    </row>
    <row r="638" ht="15.75" customHeight="1" s="67">
      <c r="A638" s="2" t="n"/>
      <c r="B638" s="2" t="n"/>
      <c r="C638" s="2" t="n"/>
      <c r="D638" s="2" t="n"/>
    </row>
    <row r="639" ht="15.75" customHeight="1" s="67">
      <c r="A639" s="2" t="n"/>
      <c r="B639" s="2" t="n"/>
      <c r="C639" s="2" t="n"/>
      <c r="D639" s="2" t="n"/>
    </row>
    <row r="640" ht="15.75" customHeight="1" s="67">
      <c r="A640" s="2" t="n"/>
      <c r="B640" s="2" t="n"/>
      <c r="C640" s="2" t="n"/>
      <c r="D640" s="2" t="n"/>
    </row>
    <row r="641" ht="15.75" customHeight="1" s="67">
      <c r="A641" s="2" t="n"/>
      <c r="B641" s="2" t="n"/>
      <c r="C641" s="2" t="n"/>
      <c r="D641" s="2" t="n"/>
    </row>
    <row r="642" ht="15.75" customHeight="1" s="67">
      <c r="A642" s="2" t="n"/>
      <c r="B642" s="2" t="n"/>
      <c r="C642" s="2" t="n"/>
      <c r="D642" s="2" t="n"/>
    </row>
    <row r="643" ht="15.75" customHeight="1" s="67">
      <c r="A643" s="2" t="n"/>
      <c r="B643" s="2" t="n"/>
      <c r="C643" s="2" t="n"/>
      <c r="D643" s="2" t="n"/>
    </row>
    <row r="644" ht="15.75" customHeight="1" s="67">
      <c r="A644" s="2" t="n"/>
      <c r="B644" s="2" t="n"/>
      <c r="C644" s="2" t="n"/>
      <c r="D644" s="2" t="n"/>
    </row>
    <row r="645" ht="15.75" customHeight="1" s="67">
      <c r="A645" s="2" t="n"/>
      <c r="B645" s="2" t="n"/>
      <c r="C645" s="2" t="n"/>
      <c r="D645" s="2" t="n"/>
    </row>
    <row r="646" ht="15.75" customHeight="1" s="67">
      <c r="A646" s="2" t="n"/>
      <c r="B646" s="2" t="n"/>
      <c r="C646" s="2" t="n"/>
      <c r="D646" s="2" t="n"/>
    </row>
    <row r="647" ht="15.75" customHeight="1" s="67">
      <c r="A647" s="2" t="n"/>
      <c r="B647" s="2" t="n"/>
      <c r="C647" s="2" t="n"/>
      <c r="D647" s="2" t="n"/>
    </row>
    <row r="648" ht="15.75" customHeight="1" s="67">
      <c r="A648" s="2" t="n"/>
      <c r="B648" s="2" t="n"/>
      <c r="C648" s="2" t="n"/>
      <c r="D648" s="2" t="n"/>
    </row>
    <row r="649" ht="15.75" customHeight="1" s="67">
      <c r="A649" s="2" t="n"/>
      <c r="B649" s="2" t="n"/>
      <c r="C649" s="2" t="n"/>
      <c r="D649" s="2" t="n"/>
    </row>
    <row r="650" ht="15.75" customHeight="1" s="67">
      <c r="A650" s="2" t="n"/>
      <c r="B650" s="2" t="n"/>
      <c r="C650" s="2" t="n"/>
      <c r="D650" s="2" t="n"/>
    </row>
    <row r="651" ht="15.75" customHeight="1" s="67">
      <c r="A651" s="2" t="n"/>
      <c r="B651" s="2" t="n"/>
      <c r="C651" s="2" t="n"/>
      <c r="D651" s="2" t="n"/>
    </row>
    <row r="652" ht="15.75" customHeight="1" s="67">
      <c r="A652" s="2" t="n"/>
      <c r="B652" s="2" t="n"/>
      <c r="C652" s="2" t="n"/>
      <c r="D652" s="2" t="n"/>
    </row>
    <row r="653" ht="15.75" customHeight="1" s="67">
      <c r="A653" s="2" t="n"/>
      <c r="B653" s="2" t="n"/>
      <c r="C653" s="2" t="n"/>
      <c r="D653" s="2" t="n"/>
    </row>
    <row r="654" ht="15.75" customHeight="1" s="67">
      <c r="A654" s="2" t="n"/>
      <c r="B654" s="2" t="n"/>
      <c r="C654" s="2" t="n"/>
      <c r="D654" s="2" t="n"/>
    </row>
    <row r="655" ht="15.75" customHeight="1" s="67">
      <c r="A655" s="2" t="n"/>
      <c r="B655" s="2" t="n"/>
      <c r="C655" s="2" t="n"/>
      <c r="D655" s="2" t="n"/>
    </row>
    <row r="656" ht="15.75" customHeight="1" s="67">
      <c r="A656" s="2" t="n"/>
      <c r="B656" s="2" t="n"/>
      <c r="C656" s="2" t="n"/>
      <c r="D656" s="2" t="n"/>
    </row>
    <row r="657" ht="15.75" customHeight="1" s="67">
      <c r="A657" s="2" t="n"/>
      <c r="B657" s="2" t="n"/>
      <c r="C657" s="2" t="n"/>
      <c r="D657" s="2" t="n"/>
    </row>
    <row r="658" ht="15.75" customHeight="1" s="67">
      <c r="A658" s="2" t="n"/>
      <c r="B658" s="2" t="n"/>
      <c r="C658" s="2" t="n"/>
      <c r="D658" s="2" t="n"/>
    </row>
    <row r="659" ht="15.75" customHeight="1" s="67">
      <c r="A659" s="2" t="n"/>
      <c r="B659" s="2" t="n"/>
      <c r="C659" s="2" t="n"/>
      <c r="D659" s="2" t="n"/>
    </row>
    <row r="660" ht="15.75" customHeight="1" s="67">
      <c r="A660" s="2" t="n"/>
      <c r="B660" s="2" t="n"/>
      <c r="C660" s="2" t="n"/>
      <c r="D660" s="2" t="n"/>
    </row>
    <row r="661" ht="15.75" customHeight="1" s="67">
      <c r="A661" s="2" t="n"/>
      <c r="B661" s="2" t="n"/>
      <c r="C661" s="2" t="n"/>
      <c r="D661" s="2" t="n"/>
    </row>
    <row r="662" ht="15.75" customHeight="1" s="67">
      <c r="A662" s="2" t="n"/>
      <c r="B662" s="2" t="n"/>
      <c r="C662" s="2" t="n"/>
      <c r="D662" s="2" t="n"/>
    </row>
    <row r="663" ht="15.75" customHeight="1" s="67">
      <c r="A663" s="2" t="n"/>
      <c r="B663" s="2" t="n"/>
      <c r="C663" s="2" t="n"/>
      <c r="D663" s="2" t="n"/>
    </row>
    <row r="664" ht="15.75" customHeight="1" s="67">
      <c r="A664" s="2" t="n"/>
      <c r="B664" s="2" t="n"/>
      <c r="C664" s="2" t="n"/>
      <c r="D664" s="2" t="n"/>
    </row>
    <row r="665" ht="15.75" customHeight="1" s="67">
      <c r="A665" s="2" t="n"/>
      <c r="B665" s="2" t="n"/>
      <c r="C665" s="2" t="n"/>
      <c r="D665" s="2" t="n"/>
    </row>
    <row r="666" ht="15.75" customHeight="1" s="67">
      <c r="A666" s="2" t="n"/>
      <c r="B666" s="2" t="n"/>
      <c r="C666" s="2" t="n"/>
      <c r="D666" s="2" t="n"/>
    </row>
    <row r="667" ht="15.75" customHeight="1" s="67">
      <c r="A667" s="2" t="n"/>
      <c r="B667" s="2" t="n"/>
      <c r="C667" s="2" t="n"/>
      <c r="D667" s="2" t="n"/>
    </row>
    <row r="668" ht="15.75" customHeight="1" s="67">
      <c r="A668" s="2" t="n"/>
      <c r="B668" s="2" t="n"/>
      <c r="C668" s="2" t="n"/>
      <c r="D668" s="2" t="n"/>
    </row>
    <row r="669" ht="15.75" customHeight="1" s="67">
      <c r="A669" s="2" t="n"/>
      <c r="B669" s="2" t="n"/>
      <c r="C669" s="2" t="n"/>
      <c r="D669" s="2" t="n"/>
    </row>
    <row r="670" ht="15.75" customHeight="1" s="67">
      <c r="A670" s="2" t="n"/>
      <c r="B670" s="2" t="n"/>
      <c r="C670" s="2" t="n"/>
      <c r="D670" s="2" t="n"/>
    </row>
    <row r="671" ht="15.75" customHeight="1" s="67">
      <c r="A671" s="2" t="n"/>
      <c r="B671" s="2" t="n"/>
      <c r="C671" s="2" t="n"/>
      <c r="D671" s="2" t="n"/>
    </row>
    <row r="672" ht="15.75" customHeight="1" s="67">
      <c r="A672" s="2" t="n"/>
      <c r="B672" s="2" t="n"/>
      <c r="C672" s="2" t="n"/>
      <c r="D672" s="2" t="n"/>
    </row>
    <row r="673" ht="15.75" customHeight="1" s="67">
      <c r="A673" s="2" t="n"/>
      <c r="B673" s="2" t="n"/>
      <c r="C673" s="2" t="n"/>
      <c r="D673" s="2" t="n"/>
    </row>
    <row r="674" ht="15.75" customHeight="1" s="67">
      <c r="A674" s="2" t="n"/>
      <c r="B674" s="2" t="n"/>
      <c r="C674" s="2" t="n"/>
      <c r="D674" s="2" t="n"/>
    </row>
    <row r="675" ht="15.75" customHeight="1" s="67">
      <c r="A675" s="2" t="n"/>
      <c r="B675" s="2" t="n"/>
      <c r="C675" s="2" t="n"/>
      <c r="D675" s="2" t="n"/>
    </row>
    <row r="676" ht="15.75" customHeight="1" s="67">
      <c r="A676" s="2" t="n"/>
      <c r="B676" s="2" t="n"/>
      <c r="C676" s="2" t="n"/>
      <c r="D676" s="2" t="n"/>
    </row>
    <row r="677" ht="15.75" customHeight="1" s="67">
      <c r="A677" s="2" t="n"/>
      <c r="B677" s="2" t="n"/>
      <c r="C677" s="2" t="n"/>
      <c r="D677" s="2" t="n"/>
    </row>
    <row r="678" ht="15.75" customHeight="1" s="67">
      <c r="A678" s="2" t="n"/>
      <c r="B678" s="2" t="n"/>
      <c r="C678" s="2" t="n"/>
      <c r="D678" s="2" t="n"/>
    </row>
    <row r="679" ht="15.75" customHeight="1" s="67">
      <c r="A679" s="2" t="n"/>
      <c r="B679" s="2" t="n"/>
      <c r="C679" s="2" t="n"/>
      <c r="D679" s="2" t="n"/>
    </row>
    <row r="680" ht="15.75" customHeight="1" s="67">
      <c r="A680" s="2" t="n"/>
      <c r="B680" s="2" t="n"/>
      <c r="C680" s="2" t="n"/>
      <c r="D680" s="2" t="n"/>
    </row>
    <row r="681" ht="15.75" customHeight="1" s="67">
      <c r="A681" s="2" t="n"/>
      <c r="B681" s="2" t="n"/>
      <c r="C681" s="2" t="n"/>
      <c r="D681" s="2" t="n"/>
    </row>
    <row r="682" ht="15.75" customHeight="1" s="67">
      <c r="A682" s="2" t="n"/>
      <c r="B682" s="2" t="n"/>
      <c r="C682" s="2" t="n"/>
      <c r="D682" s="2" t="n"/>
    </row>
    <row r="683" ht="15.75" customHeight="1" s="67">
      <c r="A683" s="2" t="n"/>
      <c r="B683" s="2" t="n"/>
      <c r="C683" s="2" t="n"/>
      <c r="D683" s="2" t="n"/>
    </row>
    <row r="684" ht="15.75" customHeight="1" s="67">
      <c r="A684" s="2" t="n"/>
      <c r="B684" s="2" t="n"/>
      <c r="C684" s="2" t="n"/>
      <c r="D684" s="2" t="n"/>
    </row>
    <row r="685" ht="15.75" customHeight="1" s="67">
      <c r="A685" s="2" t="n"/>
      <c r="B685" s="2" t="n"/>
      <c r="C685" s="2" t="n"/>
      <c r="D685" s="2" t="n"/>
    </row>
    <row r="686" ht="15.75" customHeight="1" s="67">
      <c r="A686" s="2" t="n"/>
      <c r="B686" s="2" t="n"/>
      <c r="C686" s="2" t="n"/>
      <c r="D686" s="2" t="n"/>
    </row>
    <row r="687" ht="15.75" customHeight="1" s="67">
      <c r="A687" s="2" t="n"/>
      <c r="B687" s="2" t="n"/>
      <c r="C687" s="2" t="n"/>
      <c r="D687" s="2" t="n"/>
    </row>
    <row r="688" ht="15.75" customHeight="1" s="67">
      <c r="A688" s="2" t="n"/>
      <c r="B688" s="2" t="n"/>
      <c r="C688" s="2" t="n"/>
      <c r="D688" s="2" t="n"/>
    </row>
    <row r="689" ht="15.75" customHeight="1" s="67">
      <c r="A689" s="2" t="n"/>
      <c r="B689" s="2" t="n"/>
      <c r="C689" s="2" t="n"/>
      <c r="D689" s="2" t="n"/>
    </row>
    <row r="690" ht="15.75" customHeight="1" s="67">
      <c r="A690" s="2" t="n"/>
      <c r="B690" s="2" t="n"/>
      <c r="C690" s="2" t="n"/>
      <c r="D690" s="2" t="n"/>
    </row>
    <row r="691" ht="15.75" customHeight="1" s="67">
      <c r="A691" s="2" t="n"/>
      <c r="B691" s="2" t="n"/>
      <c r="C691" s="2" t="n"/>
      <c r="D691" s="2" t="n"/>
    </row>
    <row r="692" ht="15.75" customHeight="1" s="67">
      <c r="A692" s="2" t="n"/>
      <c r="B692" s="2" t="n"/>
      <c r="C692" s="2" t="n"/>
      <c r="D692" s="2" t="n"/>
    </row>
    <row r="693" ht="15.75" customHeight="1" s="67">
      <c r="A693" s="2" t="n"/>
      <c r="B693" s="2" t="n"/>
      <c r="C693" s="2" t="n"/>
      <c r="D693" s="2" t="n"/>
    </row>
    <row r="694" ht="15.75" customHeight="1" s="67">
      <c r="A694" s="2" t="n"/>
      <c r="B694" s="2" t="n"/>
      <c r="C694" s="2" t="n"/>
      <c r="D694" s="2" t="n"/>
    </row>
    <row r="695" ht="15.75" customHeight="1" s="67">
      <c r="A695" s="2" t="n"/>
      <c r="B695" s="2" t="n"/>
      <c r="C695" s="2" t="n"/>
      <c r="D695" s="2" t="n"/>
    </row>
    <row r="696" ht="15.75" customHeight="1" s="67">
      <c r="A696" s="2" t="n"/>
      <c r="B696" s="2" t="n"/>
      <c r="C696" s="2" t="n"/>
      <c r="D696" s="2" t="n"/>
    </row>
    <row r="697" ht="15.75" customHeight="1" s="67">
      <c r="A697" s="2" t="n"/>
      <c r="B697" s="2" t="n"/>
      <c r="C697" s="2" t="n"/>
      <c r="D697" s="2" t="n"/>
    </row>
    <row r="698" ht="15.75" customHeight="1" s="67">
      <c r="A698" s="2" t="n"/>
      <c r="B698" s="2" t="n"/>
      <c r="C698" s="2" t="n"/>
      <c r="D698" s="2" t="n"/>
    </row>
    <row r="699" ht="15.75" customHeight="1" s="67">
      <c r="A699" s="2" t="n"/>
      <c r="B699" s="2" t="n"/>
      <c r="C699" s="2" t="n"/>
      <c r="D699" s="2" t="n"/>
    </row>
    <row r="700" ht="15.75" customHeight="1" s="67">
      <c r="A700" s="2" t="n"/>
      <c r="B700" s="2" t="n"/>
      <c r="C700" s="2" t="n"/>
      <c r="D700" s="2" t="n"/>
    </row>
    <row r="701" ht="15.75" customHeight="1" s="67">
      <c r="A701" s="2" t="n"/>
      <c r="B701" s="2" t="n"/>
      <c r="C701" s="2" t="n"/>
      <c r="D701" s="2" t="n"/>
    </row>
    <row r="702" ht="15.75" customHeight="1" s="67">
      <c r="A702" s="2" t="n"/>
      <c r="B702" s="2" t="n"/>
      <c r="C702" s="2" t="n"/>
      <c r="D702" s="2" t="n"/>
    </row>
    <row r="703" ht="15.75" customHeight="1" s="67">
      <c r="A703" s="2" t="n"/>
      <c r="B703" s="2" t="n"/>
      <c r="C703" s="2" t="n"/>
      <c r="D703" s="2" t="n"/>
    </row>
    <row r="704" ht="15.75" customHeight="1" s="67">
      <c r="A704" s="2" t="n"/>
      <c r="B704" s="2" t="n"/>
      <c r="C704" s="2" t="n"/>
      <c r="D704" s="2" t="n"/>
    </row>
    <row r="705" ht="15.75" customHeight="1" s="67">
      <c r="A705" s="2" t="n"/>
      <c r="B705" s="2" t="n"/>
      <c r="C705" s="2" t="n"/>
      <c r="D705" s="2" t="n"/>
    </row>
    <row r="706" ht="15.75" customHeight="1" s="67">
      <c r="A706" s="2" t="n"/>
      <c r="B706" s="2" t="n"/>
      <c r="C706" s="2" t="n"/>
      <c r="D706" s="2" t="n"/>
    </row>
    <row r="707" ht="15.75" customHeight="1" s="67">
      <c r="A707" s="2" t="n"/>
      <c r="B707" s="2" t="n"/>
      <c r="C707" s="2" t="n"/>
      <c r="D707" s="2" t="n"/>
    </row>
    <row r="708" ht="15.75" customHeight="1" s="67">
      <c r="A708" s="2" t="n"/>
      <c r="B708" s="2" t="n"/>
      <c r="C708" s="2" t="n"/>
      <c r="D708" s="2" t="n"/>
    </row>
    <row r="709" ht="15.75" customHeight="1" s="67">
      <c r="A709" s="2" t="n"/>
      <c r="B709" s="2" t="n"/>
      <c r="C709" s="2" t="n"/>
      <c r="D709" s="2" t="n"/>
    </row>
    <row r="710" ht="15.75" customHeight="1" s="67">
      <c r="A710" s="2" t="n"/>
      <c r="B710" s="2" t="n"/>
      <c r="C710" s="2" t="n"/>
      <c r="D710" s="2" t="n"/>
    </row>
    <row r="711" ht="15.75" customHeight="1" s="67">
      <c r="A711" s="2" t="n"/>
      <c r="B711" s="2" t="n"/>
      <c r="C711" s="2" t="n"/>
      <c r="D711" s="2" t="n"/>
    </row>
    <row r="712" ht="15.75" customHeight="1" s="67">
      <c r="A712" s="2" t="n"/>
      <c r="B712" s="2" t="n"/>
      <c r="C712" s="2" t="n"/>
      <c r="D712" s="2" t="n"/>
    </row>
    <row r="713" ht="15.75" customHeight="1" s="67">
      <c r="A713" s="2" t="n"/>
      <c r="B713" s="2" t="n"/>
      <c r="C713" s="2" t="n"/>
      <c r="D713" s="2" t="n"/>
    </row>
    <row r="714" ht="15.75" customHeight="1" s="67">
      <c r="A714" s="2" t="n"/>
      <c r="B714" s="2" t="n"/>
      <c r="C714" s="2" t="n"/>
      <c r="D714" s="2" t="n"/>
    </row>
    <row r="715" ht="15.75" customHeight="1" s="67">
      <c r="A715" s="2" t="n"/>
      <c r="B715" s="2" t="n"/>
      <c r="C715" s="2" t="n"/>
      <c r="D715" s="2" t="n"/>
    </row>
    <row r="716" ht="15.75" customHeight="1" s="67">
      <c r="A716" s="2" t="n"/>
      <c r="B716" s="2" t="n"/>
      <c r="C716" s="2" t="n"/>
      <c r="D716" s="2" t="n"/>
    </row>
    <row r="717" ht="15.75" customHeight="1" s="67">
      <c r="A717" s="2" t="n"/>
      <c r="B717" s="2" t="n"/>
      <c r="C717" s="2" t="n"/>
      <c r="D717" s="2" t="n"/>
    </row>
    <row r="718" ht="15.75" customHeight="1" s="67">
      <c r="A718" s="2" t="n"/>
      <c r="B718" s="2" t="n"/>
      <c r="C718" s="2" t="n"/>
      <c r="D718" s="2" t="n"/>
    </row>
    <row r="719" ht="15.75" customHeight="1" s="67">
      <c r="A719" s="2" t="n"/>
      <c r="B719" s="2" t="n"/>
      <c r="C719" s="2" t="n"/>
      <c r="D719" s="2" t="n"/>
    </row>
    <row r="720" ht="15.75" customHeight="1" s="67">
      <c r="A720" s="2" t="n"/>
      <c r="B720" s="2" t="n"/>
      <c r="C720" s="2" t="n"/>
      <c r="D720" s="2" t="n"/>
    </row>
    <row r="721" ht="15.75" customHeight="1" s="67">
      <c r="A721" s="2" t="n"/>
      <c r="B721" s="2" t="n"/>
      <c r="C721" s="2" t="n"/>
      <c r="D721" s="2" t="n"/>
    </row>
    <row r="722" ht="15.75" customHeight="1" s="67">
      <c r="A722" s="2" t="n"/>
      <c r="B722" s="2" t="n"/>
      <c r="C722" s="2" t="n"/>
      <c r="D722" s="2" t="n"/>
    </row>
    <row r="723" ht="15.75" customHeight="1" s="67">
      <c r="A723" s="2" t="n"/>
      <c r="B723" s="2" t="n"/>
      <c r="C723" s="2" t="n"/>
      <c r="D723" s="2" t="n"/>
    </row>
    <row r="724" ht="15.75" customHeight="1" s="67">
      <c r="A724" s="2" t="n"/>
      <c r="B724" s="2" t="n"/>
      <c r="C724" s="2" t="n"/>
      <c r="D724" s="2" t="n"/>
    </row>
    <row r="725" ht="15.75" customHeight="1" s="67">
      <c r="A725" s="2" t="n"/>
      <c r="B725" s="2" t="n"/>
      <c r="C725" s="2" t="n"/>
      <c r="D725" s="2" t="n"/>
    </row>
    <row r="726" ht="15.75" customHeight="1" s="67">
      <c r="A726" s="2" t="n"/>
      <c r="B726" s="2" t="n"/>
      <c r="C726" s="2" t="n"/>
      <c r="D726" s="2" t="n"/>
    </row>
    <row r="727" ht="15.75" customHeight="1" s="67">
      <c r="A727" s="2" t="n"/>
      <c r="B727" s="2" t="n"/>
      <c r="C727" s="2" t="n"/>
      <c r="D727" s="2" t="n"/>
    </row>
    <row r="728" ht="15.75" customHeight="1" s="67">
      <c r="A728" s="2" t="n"/>
      <c r="B728" s="2" t="n"/>
      <c r="C728" s="2" t="n"/>
      <c r="D728" s="2" t="n"/>
    </row>
    <row r="729" ht="15.75" customHeight="1" s="67">
      <c r="A729" s="2" t="n"/>
      <c r="B729" s="2" t="n"/>
      <c r="C729" s="2" t="n"/>
      <c r="D729" s="2" t="n"/>
    </row>
    <row r="730" ht="15.75" customHeight="1" s="67">
      <c r="A730" s="2" t="n"/>
      <c r="B730" s="2" t="n"/>
      <c r="C730" s="2" t="n"/>
      <c r="D730" s="2" t="n"/>
    </row>
    <row r="731" ht="15.75" customHeight="1" s="67">
      <c r="A731" s="2" t="n"/>
      <c r="B731" s="2" t="n"/>
      <c r="C731" s="2" t="n"/>
      <c r="D731" s="2" t="n"/>
    </row>
    <row r="732" ht="15.75" customHeight="1" s="67">
      <c r="A732" s="2" t="n"/>
      <c r="B732" s="2" t="n"/>
      <c r="C732" s="2" t="n"/>
      <c r="D732" s="2" t="n"/>
    </row>
    <row r="733" ht="15.75" customHeight="1" s="67">
      <c r="A733" s="2" t="n"/>
      <c r="B733" s="2" t="n"/>
      <c r="C733" s="2" t="n"/>
      <c r="D733" s="2" t="n"/>
    </row>
    <row r="734" ht="15.75" customHeight="1" s="67">
      <c r="A734" s="2" t="n"/>
      <c r="B734" s="2" t="n"/>
      <c r="C734" s="2" t="n"/>
      <c r="D734" s="2" t="n"/>
    </row>
    <row r="735" ht="15.75" customHeight="1" s="67">
      <c r="A735" s="2" t="n"/>
      <c r="B735" s="2" t="n"/>
      <c r="C735" s="2" t="n"/>
      <c r="D735" s="2" t="n"/>
    </row>
    <row r="736" ht="15.75" customHeight="1" s="67">
      <c r="A736" s="2" t="n"/>
      <c r="B736" s="2" t="n"/>
      <c r="C736" s="2" t="n"/>
      <c r="D736" s="2" t="n"/>
    </row>
    <row r="737" ht="15.75" customHeight="1" s="67">
      <c r="A737" s="2" t="n"/>
      <c r="B737" s="2" t="n"/>
      <c r="C737" s="2" t="n"/>
      <c r="D737" s="2" t="n"/>
    </row>
    <row r="738" ht="15.75" customHeight="1" s="67">
      <c r="A738" s="2" t="n"/>
      <c r="B738" s="2" t="n"/>
      <c r="C738" s="2" t="n"/>
      <c r="D738" s="2" t="n"/>
    </row>
    <row r="739" ht="15.75" customHeight="1" s="67">
      <c r="A739" s="2" t="n"/>
      <c r="B739" s="2" t="n"/>
      <c r="C739" s="2" t="n"/>
      <c r="D739" s="2" t="n"/>
    </row>
    <row r="740" ht="15.75" customHeight="1" s="67">
      <c r="A740" s="2" t="n"/>
      <c r="B740" s="2" t="n"/>
      <c r="C740" s="2" t="n"/>
      <c r="D740" s="2" t="n"/>
    </row>
    <row r="741" ht="15.75" customHeight="1" s="67">
      <c r="A741" s="2" t="n"/>
      <c r="B741" s="2" t="n"/>
      <c r="C741" s="2" t="n"/>
      <c r="D741" s="2" t="n"/>
    </row>
    <row r="742" ht="15.75" customHeight="1" s="67">
      <c r="A742" s="2" t="n"/>
      <c r="B742" s="2" t="n"/>
      <c r="C742" s="2" t="n"/>
      <c r="D742" s="2" t="n"/>
    </row>
    <row r="743" ht="15.75" customHeight="1" s="67">
      <c r="A743" s="2" t="n"/>
      <c r="B743" s="2" t="n"/>
      <c r="C743" s="2" t="n"/>
      <c r="D743" s="2" t="n"/>
    </row>
    <row r="744" ht="15.75" customHeight="1" s="67">
      <c r="A744" s="2" t="n"/>
      <c r="B744" s="2" t="n"/>
      <c r="C744" s="2" t="n"/>
      <c r="D744" s="2" t="n"/>
    </row>
    <row r="745" ht="15.75" customHeight="1" s="67">
      <c r="A745" s="2" t="n"/>
      <c r="B745" s="2" t="n"/>
      <c r="C745" s="2" t="n"/>
      <c r="D745" s="2" t="n"/>
    </row>
    <row r="746" ht="15.75" customHeight="1" s="67">
      <c r="A746" s="2" t="n"/>
      <c r="B746" s="2" t="n"/>
      <c r="C746" s="2" t="n"/>
      <c r="D746" s="2" t="n"/>
    </row>
    <row r="747" ht="15.75" customHeight="1" s="67">
      <c r="A747" s="2" t="n"/>
      <c r="B747" s="2" t="n"/>
      <c r="C747" s="2" t="n"/>
      <c r="D747" s="2" t="n"/>
    </row>
    <row r="748" ht="15.75" customHeight="1" s="67">
      <c r="A748" s="2" t="n"/>
      <c r="B748" s="2" t="n"/>
      <c r="C748" s="2" t="n"/>
      <c r="D748" s="2" t="n"/>
    </row>
    <row r="749" ht="15.75" customHeight="1" s="67">
      <c r="A749" s="2" t="n"/>
      <c r="B749" s="2" t="n"/>
      <c r="C749" s="2" t="n"/>
      <c r="D749" s="2" t="n"/>
    </row>
    <row r="750" ht="15.75" customHeight="1" s="67">
      <c r="A750" s="2" t="n"/>
      <c r="B750" s="2" t="n"/>
      <c r="C750" s="2" t="n"/>
      <c r="D750" s="2" t="n"/>
    </row>
    <row r="751" ht="15.75" customHeight="1" s="67">
      <c r="A751" s="2" t="n"/>
      <c r="B751" s="2" t="n"/>
      <c r="C751" s="2" t="n"/>
      <c r="D751" s="2" t="n"/>
    </row>
    <row r="752" ht="15.75" customHeight="1" s="67">
      <c r="A752" s="2" t="n"/>
      <c r="B752" s="2" t="n"/>
      <c r="C752" s="2" t="n"/>
      <c r="D752" s="2" t="n"/>
    </row>
    <row r="753" ht="15.75" customHeight="1" s="67">
      <c r="A753" s="2" t="n"/>
      <c r="B753" s="2" t="n"/>
      <c r="C753" s="2" t="n"/>
      <c r="D753" s="2" t="n"/>
    </row>
    <row r="754" ht="15.75" customHeight="1" s="67">
      <c r="A754" s="2" t="n"/>
      <c r="B754" s="2" t="n"/>
      <c r="C754" s="2" t="n"/>
      <c r="D754" s="2" t="n"/>
    </row>
    <row r="755" ht="15.75" customHeight="1" s="67">
      <c r="A755" s="2" t="n"/>
      <c r="B755" s="2" t="n"/>
      <c r="C755" s="2" t="n"/>
      <c r="D755" s="2" t="n"/>
    </row>
    <row r="756" ht="15.75" customHeight="1" s="67">
      <c r="A756" s="2" t="n"/>
      <c r="B756" s="2" t="n"/>
      <c r="C756" s="2" t="n"/>
      <c r="D756" s="2" t="n"/>
    </row>
    <row r="757" ht="15.75" customHeight="1" s="67">
      <c r="A757" s="2" t="n"/>
      <c r="B757" s="2" t="n"/>
      <c r="C757" s="2" t="n"/>
      <c r="D757" s="2" t="n"/>
    </row>
    <row r="758" ht="15.75" customHeight="1" s="67">
      <c r="A758" s="2" t="n"/>
      <c r="B758" s="2" t="n"/>
      <c r="C758" s="2" t="n"/>
      <c r="D758" s="2" t="n"/>
    </row>
    <row r="759" ht="15.75" customHeight="1" s="67">
      <c r="A759" s="2" t="n"/>
      <c r="B759" s="2" t="n"/>
      <c r="C759" s="2" t="n"/>
      <c r="D759" s="2" t="n"/>
    </row>
    <row r="760" ht="15.75" customHeight="1" s="67">
      <c r="A760" s="2" t="n"/>
      <c r="B760" s="2" t="n"/>
      <c r="C760" s="2" t="n"/>
      <c r="D760" s="2" t="n"/>
    </row>
    <row r="761" ht="15.75" customHeight="1" s="67">
      <c r="A761" s="2" t="n"/>
      <c r="B761" s="2" t="n"/>
      <c r="C761" s="2" t="n"/>
      <c r="D761" s="2" t="n"/>
    </row>
    <row r="762" ht="15.75" customHeight="1" s="67">
      <c r="A762" s="2" t="n"/>
      <c r="B762" s="2" t="n"/>
      <c r="C762" s="2" t="n"/>
      <c r="D762" s="2" t="n"/>
    </row>
    <row r="763" ht="15.75" customHeight="1" s="67">
      <c r="A763" s="2" t="n"/>
      <c r="B763" s="2" t="n"/>
      <c r="C763" s="2" t="n"/>
      <c r="D763" s="2" t="n"/>
    </row>
    <row r="764" ht="15.75" customHeight="1" s="67">
      <c r="A764" s="2" t="n"/>
      <c r="B764" s="2" t="n"/>
      <c r="C764" s="2" t="n"/>
      <c r="D764" s="2" t="n"/>
    </row>
    <row r="765" ht="15.75" customHeight="1" s="67">
      <c r="A765" s="2" t="n"/>
      <c r="B765" s="2" t="n"/>
      <c r="C765" s="2" t="n"/>
      <c r="D765" s="2" t="n"/>
    </row>
    <row r="766" ht="15.75" customHeight="1" s="67">
      <c r="A766" s="2" t="n"/>
      <c r="B766" s="2" t="n"/>
      <c r="C766" s="2" t="n"/>
      <c r="D766" s="2" t="n"/>
    </row>
    <row r="767" ht="15.75" customHeight="1" s="67">
      <c r="A767" s="2" t="n"/>
      <c r="B767" s="2" t="n"/>
      <c r="C767" s="2" t="n"/>
      <c r="D767" s="2" t="n"/>
    </row>
    <row r="768" ht="15.75" customHeight="1" s="67">
      <c r="A768" s="2" t="n"/>
      <c r="B768" s="2" t="n"/>
      <c r="C768" s="2" t="n"/>
      <c r="D768" s="2" t="n"/>
    </row>
    <row r="769" ht="15.75" customHeight="1" s="67">
      <c r="A769" s="2" t="n"/>
      <c r="B769" s="2" t="n"/>
      <c r="C769" s="2" t="n"/>
      <c r="D769" s="2" t="n"/>
    </row>
    <row r="770" ht="15.75" customHeight="1" s="67">
      <c r="A770" s="2" t="n"/>
      <c r="B770" s="2" t="n"/>
      <c r="C770" s="2" t="n"/>
      <c r="D770" s="2" t="n"/>
    </row>
    <row r="771" ht="15.75" customHeight="1" s="67">
      <c r="A771" s="2" t="n"/>
      <c r="B771" s="2" t="n"/>
      <c r="C771" s="2" t="n"/>
      <c r="D771" s="2" t="n"/>
    </row>
    <row r="772" ht="15.75" customHeight="1" s="67">
      <c r="A772" s="2" t="n"/>
      <c r="B772" s="2" t="n"/>
      <c r="C772" s="2" t="n"/>
      <c r="D772" s="2" t="n"/>
    </row>
    <row r="773" ht="15.75" customHeight="1" s="67">
      <c r="A773" s="2" t="n"/>
      <c r="B773" s="2" t="n"/>
      <c r="C773" s="2" t="n"/>
      <c r="D773" s="2" t="n"/>
    </row>
    <row r="774" ht="15.75" customHeight="1" s="67">
      <c r="A774" s="2" t="n"/>
      <c r="B774" s="2" t="n"/>
      <c r="C774" s="2" t="n"/>
      <c r="D774" s="2" t="n"/>
    </row>
    <row r="775" ht="15.75" customHeight="1" s="67">
      <c r="A775" s="2" t="n"/>
      <c r="B775" s="2" t="n"/>
      <c r="C775" s="2" t="n"/>
      <c r="D775" s="2" t="n"/>
    </row>
    <row r="776" ht="15.75" customHeight="1" s="67">
      <c r="A776" s="2" t="n"/>
      <c r="B776" s="2" t="n"/>
      <c r="C776" s="2" t="n"/>
      <c r="D776" s="2" t="n"/>
    </row>
    <row r="777" ht="15.75" customHeight="1" s="67">
      <c r="A777" s="2" t="n"/>
      <c r="B777" s="2" t="n"/>
      <c r="C777" s="2" t="n"/>
      <c r="D777" s="2" t="n"/>
    </row>
    <row r="778" ht="15.75" customHeight="1" s="67">
      <c r="A778" s="2" t="n"/>
      <c r="B778" s="2" t="n"/>
      <c r="C778" s="2" t="n"/>
      <c r="D778" s="2" t="n"/>
    </row>
    <row r="779" ht="15.75" customHeight="1" s="67">
      <c r="A779" s="2" t="n"/>
      <c r="B779" s="2" t="n"/>
      <c r="C779" s="2" t="n"/>
      <c r="D779" s="2" t="n"/>
    </row>
    <row r="780" ht="15.75" customHeight="1" s="67">
      <c r="A780" s="2" t="n"/>
      <c r="B780" s="2" t="n"/>
      <c r="C780" s="2" t="n"/>
      <c r="D780" s="2" t="n"/>
    </row>
    <row r="781" ht="15.75" customHeight="1" s="67">
      <c r="A781" s="2" t="n"/>
      <c r="B781" s="2" t="n"/>
      <c r="C781" s="2" t="n"/>
      <c r="D781" s="2" t="n"/>
    </row>
    <row r="782" ht="15.75" customHeight="1" s="67">
      <c r="A782" s="2" t="n"/>
      <c r="B782" s="2" t="n"/>
      <c r="C782" s="2" t="n"/>
      <c r="D782" s="2" t="n"/>
    </row>
    <row r="783" ht="15.75" customHeight="1" s="67">
      <c r="A783" s="2" t="n"/>
      <c r="B783" s="2" t="n"/>
      <c r="C783" s="2" t="n"/>
      <c r="D783" s="2" t="n"/>
    </row>
    <row r="784" ht="15.75" customHeight="1" s="67">
      <c r="A784" s="2" t="n"/>
      <c r="B784" s="2" t="n"/>
      <c r="C784" s="2" t="n"/>
      <c r="D784" s="2" t="n"/>
    </row>
    <row r="785" ht="15.75" customHeight="1" s="67">
      <c r="A785" s="2" t="n"/>
      <c r="B785" s="2" t="n"/>
      <c r="C785" s="2" t="n"/>
      <c r="D785" s="2" t="n"/>
    </row>
    <row r="786" ht="15.75" customHeight="1" s="67">
      <c r="A786" s="2" t="n"/>
      <c r="B786" s="2" t="n"/>
      <c r="C786" s="2" t="n"/>
      <c r="D786" s="2" t="n"/>
    </row>
    <row r="787" ht="15.75" customHeight="1" s="67">
      <c r="A787" s="2" t="n"/>
      <c r="B787" s="2" t="n"/>
      <c r="C787" s="2" t="n"/>
      <c r="D787" s="2" t="n"/>
    </row>
    <row r="788" ht="15.75" customHeight="1" s="67">
      <c r="A788" s="2" t="n"/>
      <c r="B788" s="2" t="n"/>
      <c r="C788" s="2" t="n"/>
      <c r="D788" s="2" t="n"/>
    </row>
    <row r="789" ht="15.75" customHeight="1" s="67">
      <c r="A789" s="2" t="n"/>
      <c r="B789" s="2" t="n"/>
      <c r="C789" s="2" t="n"/>
      <c r="D789" s="2" t="n"/>
    </row>
    <row r="790" ht="15.75" customHeight="1" s="67">
      <c r="A790" s="2" t="n"/>
      <c r="B790" s="2" t="n"/>
      <c r="C790" s="2" t="n"/>
      <c r="D790" s="2" t="n"/>
    </row>
    <row r="791" ht="15.75" customHeight="1" s="67">
      <c r="A791" s="2" t="n"/>
      <c r="B791" s="2" t="n"/>
      <c r="C791" s="2" t="n"/>
      <c r="D791" s="2" t="n"/>
    </row>
    <row r="792" ht="15.75" customHeight="1" s="67">
      <c r="A792" s="2" t="n"/>
      <c r="B792" s="2" t="n"/>
      <c r="C792" s="2" t="n"/>
      <c r="D792" s="2" t="n"/>
    </row>
    <row r="793" ht="15.75" customHeight="1" s="67">
      <c r="A793" s="2" t="n"/>
      <c r="B793" s="2" t="n"/>
      <c r="C793" s="2" t="n"/>
      <c r="D793" s="2" t="n"/>
    </row>
    <row r="794" ht="15.75" customHeight="1" s="67">
      <c r="A794" s="2" t="n"/>
      <c r="B794" s="2" t="n"/>
      <c r="C794" s="2" t="n"/>
      <c r="D794" s="2" t="n"/>
    </row>
    <row r="795" ht="15.75" customHeight="1" s="67">
      <c r="A795" s="2" t="n"/>
      <c r="B795" s="2" t="n"/>
      <c r="C795" s="2" t="n"/>
      <c r="D795" s="2" t="n"/>
    </row>
    <row r="796" ht="15.75" customHeight="1" s="67">
      <c r="A796" s="2" t="n"/>
      <c r="B796" s="2" t="n"/>
      <c r="C796" s="2" t="n"/>
      <c r="D796" s="2" t="n"/>
    </row>
    <row r="797" ht="15.75" customHeight="1" s="67">
      <c r="A797" s="2" t="n"/>
      <c r="B797" s="2" t="n"/>
      <c r="C797" s="2" t="n"/>
      <c r="D797" s="2" t="n"/>
    </row>
    <row r="798" ht="15.75" customHeight="1" s="67">
      <c r="A798" s="2" t="n"/>
      <c r="B798" s="2" t="n"/>
      <c r="C798" s="2" t="n"/>
      <c r="D798" s="2" t="n"/>
    </row>
    <row r="799" ht="15.75" customHeight="1" s="67">
      <c r="A799" s="2" t="n"/>
      <c r="B799" s="2" t="n"/>
      <c r="C799" s="2" t="n"/>
      <c r="D799" s="2" t="n"/>
    </row>
    <row r="800" ht="15.75" customHeight="1" s="67">
      <c r="A800" s="2" t="n"/>
      <c r="B800" s="2" t="n"/>
      <c r="C800" s="2" t="n"/>
      <c r="D800" s="2" t="n"/>
    </row>
    <row r="801" ht="15.75" customHeight="1" s="67">
      <c r="A801" s="2" t="n"/>
      <c r="B801" s="2" t="n"/>
      <c r="C801" s="2" t="n"/>
      <c r="D801" s="2" t="n"/>
    </row>
    <row r="802" ht="15.75" customHeight="1" s="67">
      <c r="A802" s="2" t="n"/>
      <c r="B802" s="2" t="n"/>
      <c r="C802" s="2" t="n"/>
      <c r="D802" s="2" t="n"/>
    </row>
    <row r="803" ht="15.75" customHeight="1" s="67">
      <c r="A803" s="2" t="n"/>
      <c r="B803" s="2" t="n"/>
      <c r="C803" s="2" t="n"/>
      <c r="D803" s="2" t="n"/>
    </row>
    <row r="804" ht="15.75" customHeight="1" s="67">
      <c r="A804" s="2" t="n"/>
      <c r="B804" s="2" t="n"/>
      <c r="C804" s="2" t="n"/>
      <c r="D804" s="2" t="n"/>
    </row>
    <row r="805" ht="15.75" customHeight="1" s="67">
      <c r="A805" s="2" t="n"/>
      <c r="B805" s="2" t="n"/>
      <c r="C805" s="2" t="n"/>
      <c r="D805" s="2" t="n"/>
    </row>
    <row r="806" ht="15.75" customHeight="1" s="67">
      <c r="A806" s="2" t="n"/>
      <c r="B806" s="2" t="n"/>
      <c r="C806" s="2" t="n"/>
      <c r="D806" s="2" t="n"/>
    </row>
    <row r="807" ht="15.75" customHeight="1" s="67">
      <c r="A807" s="2" t="n"/>
      <c r="B807" s="2" t="n"/>
      <c r="C807" s="2" t="n"/>
      <c r="D807" s="2" t="n"/>
    </row>
    <row r="808" ht="15.75" customHeight="1" s="67">
      <c r="A808" s="2" t="n"/>
      <c r="B808" s="2" t="n"/>
      <c r="C808" s="2" t="n"/>
      <c r="D808" s="2" t="n"/>
    </row>
    <row r="809" ht="15.75" customHeight="1" s="67">
      <c r="A809" s="2" t="n"/>
      <c r="B809" s="2" t="n"/>
      <c r="C809" s="2" t="n"/>
      <c r="D809" s="2" t="n"/>
    </row>
    <row r="810" ht="15.75" customHeight="1" s="67">
      <c r="A810" s="2" t="n"/>
      <c r="B810" s="2" t="n"/>
      <c r="C810" s="2" t="n"/>
      <c r="D810" s="2" t="n"/>
    </row>
    <row r="811" ht="15.75" customHeight="1" s="67">
      <c r="A811" s="2" t="n"/>
      <c r="B811" s="2" t="n"/>
      <c r="C811" s="2" t="n"/>
      <c r="D811" s="2" t="n"/>
    </row>
    <row r="812" ht="15.75" customHeight="1" s="67">
      <c r="A812" s="2" t="n"/>
      <c r="B812" s="2" t="n"/>
      <c r="C812" s="2" t="n"/>
      <c r="D812" s="2" t="n"/>
    </row>
    <row r="813" ht="15.75" customHeight="1" s="67">
      <c r="A813" s="2" t="n"/>
      <c r="B813" s="2" t="n"/>
      <c r="C813" s="2" t="n"/>
      <c r="D813" s="2" t="n"/>
    </row>
    <row r="814" ht="15.75" customHeight="1" s="67">
      <c r="A814" s="2" t="n"/>
      <c r="B814" s="2" t="n"/>
      <c r="C814" s="2" t="n"/>
      <c r="D814" s="2" t="n"/>
    </row>
    <row r="815" ht="15.75" customHeight="1" s="67">
      <c r="A815" s="2" t="n"/>
      <c r="B815" s="2" t="n"/>
      <c r="C815" s="2" t="n"/>
      <c r="D815" s="2" t="n"/>
    </row>
    <row r="816" ht="15.75" customHeight="1" s="67">
      <c r="A816" s="2" t="n"/>
      <c r="B816" s="2" t="n"/>
      <c r="C816" s="2" t="n"/>
      <c r="D816" s="2" t="n"/>
    </row>
    <row r="817" ht="15.75" customHeight="1" s="67">
      <c r="A817" s="2" t="n"/>
      <c r="B817" s="2" t="n"/>
      <c r="C817" s="2" t="n"/>
      <c r="D817" s="2" t="n"/>
    </row>
    <row r="818" ht="15.75" customHeight="1" s="67">
      <c r="A818" s="2" t="n"/>
      <c r="B818" s="2" t="n"/>
      <c r="C818" s="2" t="n"/>
      <c r="D818" s="2" t="n"/>
    </row>
    <row r="819" ht="15.75" customHeight="1" s="67">
      <c r="A819" s="2" t="n"/>
      <c r="B819" s="2" t="n"/>
      <c r="C819" s="2" t="n"/>
      <c r="D819" s="2" t="n"/>
    </row>
    <row r="820" ht="15.75" customHeight="1" s="67">
      <c r="A820" s="2" t="n"/>
      <c r="B820" s="2" t="n"/>
      <c r="C820" s="2" t="n"/>
      <c r="D820" s="2" t="n"/>
    </row>
    <row r="821" ht="15.75" customHeight="1" s="67">
      <c r="A821" s="2" t="n"/>
      <c r="B821" s="2" t="n"/>
      <c r="C821" s="2" t="n"/>
      <c r="D821" s="2" t="n"/>
    </row>
    <row r="822" ht="15.75" customHeight="1" s="67">
      <c r="A822" s="2" t="n"/>
      <c r="B822" s="2" t="n"/>
      <c r="C822" s="2" t="n"/>
      <c r="D822" s="2" t="n"/>
    </row>
    <row r="823" ht="15.75" customHeight="1" s="67">
      <c r="A823" s="2" t="n"/>
      <c r="B823" s="2" t="n"/>
      <c r="C823" s="2" t="n"/>
      <c r="D823" s="2" t="n"/>
    </row>
    <row r="824" ht="15.75" customHeight="1" s="67">
      <c r="A824" s="2" t="n"/>
      <c r="B824" s="2" t="n"/>
      <c r="C824" s="2" t="n"/>
      <c r="D824" s="2" t="n"/>
    </row>
    <row r="825" ht="15.75" customHeight="1" s="67">
      <c r="A825" s="2" t="n"/>
      <c r="B825" s="2" t="n"/>
      <c r="C825" s="2" t="n"/>
      <c r="D825" s="2" t="n"/>
    </row>
    <row r="826" ht="15.75" customHeight="1" s="67">
      <c r="A826" s="2" t="n"/>
      <c r="B826" s="2" t="n"/>
      <c r="C826" s="2" t="n"/>
      <c r="D826" s="2" t="n"/>
    </row>
    <row r="827" ht="15.75" customHeight="1" s="67">
      <c r="A827" s="2" t="n"/>
      <c r="B827" s="2" t="n"/>
      <c r="C827" s="2" t="n"/>
      <c r="D827" s="2" t="n"/>
    </row>
    <row r="828" ht="15.75" customHeight="1" s="67">
      <c r="A828" s="2" t="n"/>
      <c r="B828" s="2" t="n"/>
      <c r="C828" s="2" t="n"/>
      <c r="D828" s="2" t="n"/>
    </row>
    <row r="829" ht="15.75" customHeight="1" s="67">
      <c r="A829" s="2" t="n"/>
      <c r="B829" s="2" t="n"/>
      <c r="C829" s="2" t="n"/>
      <c r="D829" s="2" t="n"/>
    </row>
    <row r="830" ht="15.75" customHeight="1" s="67">
      <c r="A830" s="2" t="n"/>
      <c r="B830" s="2" t="n"/>
      <c r="C830" s="2" t="n"/>
      <c r="D830" s="2" t="n"/>
    </row>
    <row r="831" ht="15.75" customHeight="1" s="67">
      <c r="A831" s="2" t="n"/>
      <c r="B831" s="2" t="n"/>
      <c r="C831" s="2" t="n"/>
      <c r="D831" s="2" t="n"/>
    </row>
    <row r="832" ht="15.75" customHeight="1" s="67">
      <c r="A832" s="2" t="n"/>
      <c r="B832" s="2" t="n"/>
      <c r="C832" s="2" t="n"/>
      <c r="D832" s="2" t="n"/>
    </row>
    <row r="833" ht="15.75" customHeight="1" s="67">
      <c r="A833" s="2" t="n"/>
      <c r="B833" s="2" t="n"/>
      <c r="C833" s="2" t="n"/>
      <c r="D833" s="2" t="n"/>
    </row>
    <row r="834" ht="15.75" customHeight="1" s="67">
      <c r="A834" s="2" t="n"/>
      <c r="B834" s="2" t="n"/>
      <c r="C834" s="2" t="n"/>
      <c r="D834" s="2" t="n"/>
    </row>
    <row r="835" ht="15.75" customHeight="1" s="67">
      <c r="A835" s="2" t="n"/>
      <c r="B835" s="2" t="n"/>
      <c r="C835" s="2" t="n"/>
      <c r="D835" s="2" t="n"/>
    </row>
    <row r="836" ht="15.75" customHeight="1" s="67">
      <c r="A836" s="2" t="n"/>
      <c r="B836" s="2" t="n"/>
      <c r="C836" s="2" t="n"/>
      <c r="D836" s="2" t="n"/>
    </row>
    <row r="837" ht="15.75" customHeight="1" s="67">
      <c r="A837" s="2" t="n"/>
      <c r="B837" s="2" t="n"/>
      <c r="C837" s="2" t="n"/>
      <c r="D837" s="2" t="n"/>
    </row>
    <row r="838" ht="15.75" customHeight="1" s="67">
      <c r="A838" s="2" t="n"/>
      <c r="B838" s="2" t="n"/>
      <c r="C838" s="2" t="n"/>
      <c r="D838" s="2" t="n"/>
    </row>
    <row r="839" ht="15.75" customHeight="1" s="67">
      <c r="A839" s="2" t="n"/>
      <c r="B839" s="2" t="n"/>
      <c r="C839" s="2" t="n"/>
      <c r="D839" s="2" t="n"/>
    </row>
    <row r="840" ht="15.75" customHeight="1" s="67">
      <c r="A840" s="2" t="n"/>
      <c r="B840" s="2" t="n"/>
      <c r="C840" s="2" t="n"/>
      <c r="D840" s="2" t="n"/>
    </row>
    <row r="841" ht="15.75" customHeight="1" s="67">
      <c r="A841" s="2" t="n"/>
      <c r="B841" s="2" t="n"/>
      <c r="C841" s="2" t="n"/>
      <c r="D841" s="2" t="n"/>
    </row>
    <row r="842" ht="15.75" customHeight="1" s="67">
      <c r="A842" s="2" t="n"/>
      <c r="B842" s="2" t="n"/>
      <c r="C842" s="2" t="n"/>
      <c r="D842" s="2" t="n"/>
    </row>
    <row r="843" ht="15.75" customHeight="1" s="67">
      <c r="A843" s="2" t="n"/>
      <c r="B843" s="2" t="n"/>
      <c r="C843" s="2" t="n"/>
      <c r="D843" s="2" t="n"/>
    </row>
    <row r="844" ht="15.75" customHeight="1" s="67">
      <c r="A844" s="2" t="n"/>
      <c r="B844" s="2" t="n"/>
      <c r="C844" s="2" t="n"/>
      <c r="D844" s="2" t="n"/>
    </row>
    <row r="845" ht="15.75" customHeight="1" s="67">
      <c r="A845" s="2" t="n"/>
      <c r="B845" s="2" t="n"/>
      <c r="C845" s="2" t="n"/>
      <c r="D845" s="2" t="n"/>
    </row>
    <row r="846" ht="15.75" customHeight="1" s="67">
      <c r="A846" s="2" t="n"/>
      <c r="B846" s="2" t="n"/>
      <c r="C846" s="2" t="n"/>
      <c r="D846" s="2" t="n"/>
    </row>
    <row r="847" ht="15.75" customHeight="1" s="67">
      <c r="A847" s="2" t="n"/>
      <c r="B847" s="2" t="n"/>
      <c r="C847" s="2" t="n"/>
      <c r="D847" s="2" t="n"/>
    </row>
    <row r="848" ht="15.75" customHeight="1" s="67">
      <c r="A848" s="2" t="n"/>
      <c r="B848" s="2" t="n"/>
      <c r="C848" s="2" t="n"/>
      <c r="D848" s="2" t="n"/>
    </row>
    <row r="849" ht="15.75" customHeight="1" s="67">
      <c r="A849" s="2" t="n"/>
      <c r="B849" s="2" t="n"/>
      <c r="C849" s="2" t="n"/>
      <c r="D849" s="2" t="n"/>
    </row>
    <row r="850" ht="15.75" customHeight="1" s="67">
      <c r="A850" s="2" t="n"/>
      <c r="B850" s="2" t="n"/>
      <c r="C850" s="2" t="n"/>
      <c r="D850" s="2" t="n"/>
    </row>
    <row r="851" ht="15.75" customHeight="1" s="67">
      <c r="A851" s="2" t="n"/>
      <c r="B851" s="2" t="n"/>
      <c r="C851" s="2" t="n"/>
      <c r="D851" s="2" t="n"/>
    </row>
    <row r="852" ht="15.75" customHeight="1" s="67">
      <c r="A852" s="2" t="n"/>
      <c r="B852" s="2" t="n"/>
      <c r="C852" s="2" t="n"/>
      <c r="D852" s="2" t="n"/>
    </row>
    <row r="853" ht="15.75" customHeight="1" s="67">
      <c r="A853" s="2" t="n"/>
      <c r="B853" s="2" t="n"/>
      <c r="C853" s="2" t="n"/>
      <c r="D853" s="2" t="n"/>
    </row>
    <row r="854" ht="15.75" customHeight="1" s="67">
      <c r="A854" s="2" t="n"/>
      <c r="B854" s="2" t="n"/>
      <c r="C854" s="2" t="n"/>
      <c r="D854" s="2" t="n"/>
    </row>
    <row r="855" ht="15.75" customHeight="1" s="67">
      <c r="A855" s="2" t="n"/>
      <c r="B855" s="2" t="n"/>
      <c r="C855" s="2" t="n"/>
      <c r="D855" s="2" t="n"/>
    </row>
    <row r="856" ht="15.75" customHeight="1" s="67">
      <c r="A856" s="2" t="n"/>
      <c r="B856" s="2" t="n"/>
      <c r="C856" s="2" t="n"/>
      <c r="D856" s="2" t="n"/>
    </row>
    <row r="857" ht="15.75" customHeight="1" s="67">
      <c r="A857" s="2" t="n"/>
      <c r="B857" s="2" t="n"/>
      <c r="C857" s="2" t="n"/>
      <c r="D857" s="2" t="n"/>
    </row>
    <row r="858" ht="15.75" customHeight="1" s="67">
      <c r="A858" s="2" t="n"/>
      <c r="B858" s="2" t="n"/>
      <c r="C858" s="2" t="n"/>
      <c r="D858" s="2" t="n"/>
    </row>
    <row r="859" ht="15.75" customHeight="1" s="67">
      <c r="A859" s="2" t="n"/>
      <c r="B859" s="2" t="n"/>
      <c r="C859" s="2" t="n"/>
      <c r="D859" s="2" t="n"/>
    </row>
    <row r="860" ht="15.75" customHeight="1" s="67">
      <c r="A860" s="2" t="n"/>
      <c r="B860" s="2" t="n"/>
      <c r="C860" s="2" t="n"/>
      <c r="D860" s="2" t="n"/>
    </row>
    <row r="861" ht="15.75" customHeight="1" s="67">
      <c r="A861" s="2" t="n"/>
      <c r="B861" s="2" t="n"/>
      <c r="C861" s="2" t="n"/>
      <c r="D861" s="2" t="n"/>
    </row>
    <row r="862" ht="15.75" customHeight="1" s="67">
      <c r="A862" s="2" t="n"/>
      <c r="B862" s="2" t="n"/>
      <c r="C862" s="2" t="n"/>
      <c r="D862" s="2" t="n"/>
    </row>
    <row r="863" ht="15.75" customHeight="1" s="67">
      <c r="A863" s="2" t="n"/>
      <c r="B863" s="2" t="n"/>
      <c r="C863" s="2" t="n"/>
      <c r="D863" s="2" t="n"/>
    </row>
    <row r="864" ht="15.75" customHeight="1" s="67">
      <c r="A864" s="2" t="n"/>
      <c r="B864" s="2" t="n"/>
      <c r="C864" s="2" t="n"/>
      <c r="D864" s="2" t="n"/>
    </row>
    <row r="865" ht="15.75" customHeight="1" s="67">
      <c r="A865" s="2" t="n"/>
      <c r="B865" s="2" t="n"/>
      <c r="C865" s="2" t="n"/>
      <c r="D865" s="2" t="n"/>
    </row>
    <row r="866" ht="15.75" customHeight="1" s="67">
      <c r="A866" s="2" t="n"/>
      <c r="B866" s="2" t="n"/>
      <c r="C866" s="2" t="n"/>
      <c r="D866" s="2" t="n"/>
    </row>
    <row r="867" ht="15.75" customHeight="1" s="67">
      <c r="A867" s="2" t="n"/>
      <c r="B867" s="2" t="n"/>
      <c r="C867" s="2" t="n"/>
      <c r="D867" s="2" t="n"/>
    </row>
    <row r="868" ht="15.75" customHeight="1" s="67">
      <c r="A868" s="2" t="n"/>
      <c r="B868" s="2" t="n"/>
      <c r="C868" s="2" t="n"/>
      <c r="D868" s="2" t="n"/>
    </row>
    <row r="869" ht="15.75" customHeight="1" s="67">
      <c r="A869" s="2" t="n"/>
      <c r="B869" s="2" t="n"/>
      <c r="C869" s="2" t="n"/>
      <c r="D869" s="2" t="n"/>
    </row>
    <row r="870" ht="15.75" customHeight="1" s="67">
      <c r="A870" s="2" t="n"/>
      <c r="B870" s="2" t="n"/>
      <c r="C870" s="2" t="n"/>
      <c r="D870" s="2" t="n"/>
    </row>
    <row r="871" ht="15.75" customHeight="1" s="67">
      <c r="A871" s="2" t="n"/>
      <c r="B871" s="2" t="n"/>
      <c r="C871" s="2" t="n"/>
      <c r="D871" s="2" t="n"/>
    </row>
    <row r="872" ht="15.75" customHeight="1" s="67">
      <c r="A872" s="2" t="n"/>
      <c r="B872" s="2" t="n"/>
      <c r="C872" s="2" t="n"/>
      <c r="D872" s="2" t="n"/>
    </row>
    <row r="873" ht="15.75" customHeight="1" s="67">
      <c r="A873" s="2" t="n"/>
      <c r="B873" s="2" t="n"/>
      <c r="C873" s="2" t="n"/>
      <c r="D873" s="2" t="n"/>
    </row>
    <row r="874" ht="15.75" customHeight="1" s="67">
      <c r="A874" s="2" t="n"/>
      <c r="B874" s="2" t="n"/>
      <c r="C874" s="2" t="n"/>
      <c r="D874" s="2" t="n"/>
    </row>
    <row r="875" ht="15.75" customHeight="1" s="67">
      <c r="A875" s="2" t="n"/>
      <c r="B875" s="2" t="n"/>
      <c r="C875" s="2" t="n"/>
      <c r="D875" s="2" t="n"/>
    </row>
    <row r="876" ht="15.75" customHeight="1" s="67">
      <c r="A876" s="2" t="n"/>
      <c r="B876" s="2" t="n"/>
      <c r="C876" s="2" t="n"/>
      <c r="D876" s="2" t="n"/>
    </row>
    <row r="877" ht="15.75" customHeight="1" s="67">
      <c r="A877" s="2" t="n"/>
      <c r="B877" s="2" t="n"/>
      <c r="C877" s="2" t="n"/>
      <c r="D877" s="2" t="n"/>
    </row>
    <row r="878" ht="15.75" customHeight="1" s="67">
      <c r="A878" s="2" t="n"/>
      <c r="B878" s="2" t="n"/>
      <c r="C878" s="2" t="n"/>
      <c r="D878" s="2" t="n"/>
    </row>
    <row r="879" ht="15.75" customHeight="1" s="67">
      <c r="A879" s="2" t="n"/>
      <c r="B879" s="2" t="n"/>
      <c r="C879" s="2" t="n"/>
      <c r="D879" s="2" t="n"/>
    </row>
    <row r="880" ht="15.75" customHeight="1" s="67">
      <c r="A880" s="2" t="n"/>
      <c r="B880" s="2" t="n"/>
      <c r="C880" s="2" t="n"/>
      <c r="D880" s="2" t="n"/>
    </row>
    <row r="881" ht="15.75" customHeight="1" s="67">
      <c r="A881" s="2" t="n"/>
      <c r="B881" s="2" t="n"/>
      <c r="C881" s="2" t="n"/>
      <c r="D881" s="2" t="n"/>
    </row>
    <row r="882" ht="15.75" customHeight="1" s="67">
      <c r="A882" s="2" t="n"/>
      <c r="B882" s="2" t="n"/>
      <c r="C882" s="2" t="n"/>
      <c r="D882" s="2" t="n"/>
    </row>
    <row r="883" ht="15.75" customHeight="1" s="67">
      <c r="A883" s="2" t="n"/>
      <c r="B883" s="2" t="n"/>
      <c r="C883" s="2" t="n"/>
      <c r="D883" s="2" t="n"/>
    </row>
    <row r="884" ht="15.75" customHeight="1" s="67">
      <c r="A884" s="2" t="n"/>
      <c r="B884" s="2" t="n"/>
      <c r="C884" s="2" t="n"/>
      <c r="D884" s="2" t="n"/>
    </row>
    <row r="885" ht="15.75" customHeight="1" s="67">
      <c r="A885" s="2" t="n"/>
      <c r="B885" s="2" t="n"/>
      <c r="C885" s="2" t="n"/>
      <c r="D885" s="2" t="n"/>
    </row>
    <row r="886" ht="15.75" customHeight="1" s="67">
      <c r="A886" s="2" t="n"/>
      <c r="B886" s="2" t="n"/>
      <c r="C886" s="2" t="n"/>
      <c r="D886" s="2" t="n"/>
    </row>
    <row r="887" ht="15.75" customHeight="1" s="67">
      <c r="A887" s="2" t="n"/>
      <c r="B887" s="2" t="n"/>
      <c r="C887" s="2" t="n"/>
      <c r="D887" s="2" t="n"/>
    </row>
    <row r="888" ht="15.75" customHeight="1" s="67">
      <c r="A888" s="2" t="n"/>
      <c r="B888" s="2" t="n"/>
      <c r="C888" s="2" t="n"/>
      <c r="D888" s="2" t="n"/>
    </row>
    <row r="889" ht="15.75" customHeight="1" s="67">
      <c r="A889" s="2" t="n"/>
      <c r="B889" s="2" t="n"/>
      <c r="C889" s="2" t="n"/>
      <c r="D889" s="2" t="n"/>
    </row>
    <row r="890" ht="15.75" customHeight="1" s="67">
      <c r="A890" s="2" t="n"/>
      <c r="B890" s="2" t="n"/>
      <c r="C890" s="2" t="n"/>
      <c r="D890" s="2" t="n"/>
    </row>
    <row r="891" ht="15.75" customHeight="1" s="67">
      <c r="A891" s="2" t="n"/>
      <c r="B891" s="2" t="n"/>
      <c r="C891" s="2" t="n"/>
      <c r="D891" s="2" t="n"/>
    </row>
    <row r="892" ht="15.75" customHeight="1" s="67">
      <c r="A892" s="2" t="n"/>
      <c r="B892" s="2" t="n"/>
      <c r="C892" s="2" t="n"/>
      <c r="D892" s="2" t="n"/>
    </row>
    <row r="893" ht="15.75" customHeight="1" s="67">
      <c r="A893" s="2" t="n"/>
      <c r="B893" s="2" t="n"/>
      <c r="C893" s="2" t="n"/>
      <c r="D893" s="2" t="n"/>
    </row>
    <row r="894" ht="15.75" customHeight="1" s="67">
      <c r="A894" s="2" t="n"/>
      <c r="B894" s="2" t="n"/>
      <c r="C894" s="2" t="n"/>
      <c r="D894" s="2" t="n"/>
    </row>
    <row r="895" ht="15.75" customHeight="1" s="67">
      <c r="A895" s="2" t="n"/>
      <c r="B895" s="2" t="n"/>
      <c r="C895" s="2" t="n"/>
      <c r="D895" s="2" t="n"/>
    </row>
    <row r="896" ht="15.75" customHeight="1" s="67">
      <c r="A896" s="2" t="n"/>
      <c r="B896" s="2" t="n"/>
      <c r="C896" s="2" t="n"/>
      <c r="D896" s="2" t="n"/>
    </row>
    <row r="897" ht="15.75" customHeight="1" s="67">
      <c r="A897" s="2" t="n"/>
      <c r="B897" s="2" t="n"/>
      <c r="C897" s="2" t="n"/>
      <c r="D897" s="2" t="n"/>
    </row>
    <row r="898" ht="15.75" customHeight="1" s="67">
      <c r="A898" s="2" t="n"/>
      <c r="B898" s="2" t="n"/>
      <c r="C898" s="2" t="n"/>
      <c r="D898" s="2" t="n"/>
    </row>
    <row r="899" ht="15.75" customHeight="1" s="67">
      <c r="A899" s="2" t="n"/>
      <c r="B899" s="2" t="n"/>
      <c r="C899" s="2" t="n"/>
      <c r="D899" s="2" t="n"/>
    </row>
    <row r="900" ht="15.75" customHeight="1" s="67">
      <c r="A900" s="2" t="n"/>
      <c r="B900" s="2" t="n"/>
      <c r="C900" s="2" t="n"/>
      <c r="D900" s="2" t="n"/>
    </row>
    <row r="901" ht="15.75" customHeight="1" s="67">
      <c r="A901" s="2" t="n"/>
      <c r="B901" s="2" t="n"/>
      <c r="C901" s="2" t="n"/>
      <c r="D901" s="2" t="n"/>
    </row>
    <row r="902" ht="15.75" customHeight="1" s="67">
      <c r="A902" s="2" t="n"/>
      <c r="B902" s="2" t="n"/>
      <c r="C902" s="2" t="n"/>
      <c r="D902" s="2" t="n"/>
    </row>
    <row r="903" ht="15.75" customHeight="1" s="67">
      <c r="A903" s="2" t="n"/>
      <c r="B903" s="2" t="n"/>
      <c r="C903" s="2" t="n"/>
      <c r="D903" s="2" t="n"/>
    </row>
    <row r="904" ht="15.75" customHeight="1" s="67">
      <c r="A904" s="2" t="n"/>
      <c r="B904" s="2" t="n"/>
      <c r="C904" s="2" t="n"/>
      <c r="D904" s="2" t="n"/>
    </row>
    <row r="905" ht="15.75" customHeight="1" s="67">
      <c r="A905" s="2" t="n"/>
      <c r="B905" s="2" t="n"/>
      <c r="C905" s="2" t="n"/>
      <c r="D905" s="2" t="n"/>
    </row>
    <row r="906" ht="15.75" customHeight="1" s="67">
      <c r="A906" s="2" t="n"/>
      <c r="B906" s="2" t="n"/>
      <c r="C906" s="2" t="n"/>
      <c r="D906" s="2" t="n"/>
    </row>
    <row r="907" ht="15.75" customHeight="1" s="67">
      <c r="A907" s="2" t="n"/>
      <c r="B907" s="2" t="n"/>
      <c r="C907" s="2" t="n"/>
      <c r="D907" s="2" t="n"/>
    </row>
    <row r="908" ht="15.75" customHeight="1" s="67">
      <c r="A908" s="2" t="n"/>
      <c r="B908" s="2" t="n"/>
      <c r="C908" s="2" t="n"/>
      <c r="D908" s="2" t="n"/>
    </row>
    <row r="909" ht="15.75" customHeight="1" s="67">
      <c r="A909" s="2" t="n"/>
      <c r="B909" s="2" t="n"/>
      <c r="C909" s="2" t="n"/>
      <c r="D909" s="2" t="n"/>
    </row>
    <row r="910" ht="15.75" customHeight="1" s="67">
      <c r="A910" s="2" t="n"/>
      <c r="B910" s="2" t="n"/>
      <c r="C910" s="2" t="n"/>
      <c r="D910" s="2" t="n"/>
    </row>
    <row r="911" ht="15.75" customHeight="1" s="67">
      <c r="A911" s="2" t="n"/>
      <c r="B911" s="2" t="n"/>
      <c r="C911" s="2" t="n"/>
      <c r="D911" s="2" t="n"/>
    </row>
    <row r="912" ht="15.75" customHeight="1" s="67">
      <c r="A912" s="2" t="n"/>
      <c r="B912" s="2" t="n"/>
      <c r="C912" s="2" t="n"/>
      <c r="D912" s="2" t="n"/>
    </row>
    <row r="913" ht="15.75" customHeight="1" s="67">
      <c r="A913" s="2" t="n"/>
      <c r="B913" s="2" t="n"/>
      <c r="C913" s="2" t="n"/>
      <c r="D913" s="2" t="n"/>
    </row>
    <row r="914" ht="15.75" customHeight="1" s="67">
      <c r="A914" s="2" t="n"/>
      <c r="B914" s="2" t="n"/>
      <c r="C914" s="2" t="n"/>
      <c r="D914" s="2" t="n"/>
    </row>
    <row r="915" ht="15.75" customHeight="1" s="67">
      <c r="A915" s="2" t="n"/>
      <c r="B915" s="2" t="n"/>
      <c r="C915" s="2" t="n"/>
      <c r="D915" s="2" t="n"/>
    </row>
    <row r="916" ht="15.75" customHeight="1" s="67">
      <c r="A916" s="2" t="n"/>
      <c r="B916" s="2" t="n"/>
      <c r="C916" s="2" t="n"/>
      <c r="D916" s="2" t="n"/>
    </row>
    <row r="917" ht="15.75" customHeight="1" s="67">
      <c r="A917" s="2" t="n"/>
      <c r="B917" s="2" t="n"/>
      <c r="C917" s="2" t="n"/>
      <c r="D917" s="2" t="n"/>
    </row>
    <row r="918" ht="15.75" customHeight="1" s="67">
      <c r="A918" s="2" t="n"/>
      <c r="B918" s="2" t="n"/>
      <c r="C918" s="2" t="n"/>
      <c r="D918" s="2" t="n"/>
    </row>
    <row r="919" ht="15.75" customHeight="1" s="67">
      <c r="A919" s="2" t="n"/>
      <c r="B919" s="2" t="n"/>
      <c r="C919" s="2" t="n"/>
      <c r="D919" s="2" t="n"/>
    </row>
    <row r="920" ht="15.75" customHeight="1" s="67">
      <c r="A920" s="2" t="n"/>
      <c r="B920" s="2" t="n"/>
      <c r="C920" s="2" t="n"/>
      <c r="D920" s="2" t="n"/>
    </row>
    <row r="921" ht="15.75" customHeight="1" s="67">
      <c r="A921" s="2" t="n"/>
      <c r="B921" s="2" t="n"/>
      <c r="C921" s="2" t="n"/>
      <c r="D921" s="2" t="n"/>
    </row>
    <row r="922" ht="15.75" customHeight="1" s="67">
      <c r="A922" s="2" t="n"/>
      <c r="B922" s="2" t="n"/>
      <c r="C922" s="2" t="n"/>
      <c r="D922" s="2" t="n"/>
    </row>
    <row r="923" ht="15.75" customHeight="1" s="67">
      <c r="A923" s="2" t="n"/>
      <c r="B923" s="2" t="n"/>
      <c r="C923" s="2" t="n"/>
      <c r="D923" s="2" t="n"/>
    </row>
    <row r="924" ht="15.75" customHeight="1" s="67">
      <c r="A924" s="2" t="n"/>
      <c r="B924" s="2" t="n"/>
      <c r="C924" s="2" t="n"/>
      <c r="D924" s="2" t="n"/>
    </row>
    <row r="925" ht="15.75" customHeight="1" s="67">
      <c r="A925" s="2" t="n"/>
      <c r="B925" s="2" t="n"/>
      <c r="C925" s="2" t="n"/>
      <c r="D925" s="2" t="n"/>
    </row>
    <row r="926" ht="15.75" customHeight="1" s="67">
      <c r="A926" s="2" t="n"/>
      <c r="B926" s="2" t="n"/>
      <c r="C926" s="2" t="n"/>
      <c r="D926" s="2" t="n"/>
    </row>
    <row r="927" ht="15.75" customHeight="1" s="67">
      <c r="A927" s="2" t="n"/>
      <c r="B927" s="2" t="n"/>
      <c r="C927" s="2" t="n"/>
      <c r="D927" s="2" t="n"/>
    </row>
    <row r="928" ht="15.75" customHeight="1" s="67">
      <c r="A928" s="2" t="n"/>
      <c r="B928" s="2" t="n"/>
      <c r="C928" s="2" t="n"/>
      <c r="D928" s="2" t="n"/>
    </row>
    <row r="929" ht="15.75" customHeight="1" s="67">
      <c r="A929" s="2" t="n"/>
      <c r="B929" s="2" t="n"/>
      <c r="C929" s="2" t="n"/>
      <c r="D929" s="2" t="n"/>
    </row>
    <row r="930" ht="15.75" customHeight="1" s="67">
      <c r="A930" s="2" t="n"/>
      <c r="B930" s="2" t="n"/>
      <c r="C930" s="2" t="n"/>
      <c r="D930" s="2" t="n"/>
    </row>
    <row r="931" ht="15.75" customHeight="1" s="67">
      <c r="A931" s="2" t="n"/>
      <c r="B931" s="2" t="n"/>
      <c r="C931" s="2" t="n"/>
      <c r="D931" s="2" t="n"/>
    </row>
    <row r="932" ht="15.75" customHeight="1" s="67">
      <c r="A932" s="2" t="n"/>
      <c r="B932" s="2" t="n"/>
      <c r="C932" s="2" t="n"/>
      <c r="D932" s="2" t="n"/>
    </row>
    <row r="933" ht="15.75" customHeight="1" s="67">
      <c r="A933" s="2" t="n"/>
      <c r="B933" s="2" t="n"/>
      <c r="C933" s="2" t="n"/>
      <c r="D933" s="2" t="n"/>
    </row>
    <row r="934" ht="15.75" customHeight="1" s="67">
      <c r="A934" s="2" t="n"/>
      <c r="B934" s="2" t="n"/>
      <c r="C934" s="2" t="n"/>
      <c r="D934" s="2" t="n"/>
    </row>
    <row r="935" ht="15.75" customHeight="1" s="67">
      <c r="A935" s="2" t="n"/>
      <c r="B935" s="2" t="n"/>
      <c r="C935" s="2" t="n"/>
      <c r="D935" s="2" t="n"/>
    </row>
    <row r="936" ht="15.75" customHeight="1" s="67">
      <c r="A936" s="2" t="n"/>
      <c r="B936" s="2" t="n"/>
      <c r="C936" s="2" t="n"/>
      <c r="D936" s="2" t="n"/>
    </row>
    <row r="937" ht="15.75" customHeight="1" s="67">
      <c r="A937" s="2" t="n"/>
      <c r="B937" s="2" t="n"/>
      <c r="C937" s="2" t="n"/>
      <c r="D937" s="2" t="n"/>
    </row>
    <row r="938" ht="15.75" customHeight="1" s="67">
      <c r="A938" s="2" t="n"/>
      <c r="B938" s="2" t="n"/>
      <c r="C938" s="2" t="n"/>
      <c r="D938" s="2" t="n"/>
    </row>
    <row r="939" ht="15.75" customHeight="1" s="67">
      <c r="A939" s="2" t="n"/>
      <c r="B939" s="2" t="n"/>
      <c r="C939" s="2" t="n"/>
      <c r="D939" s="2" t="n"/>
    </row>
    <row r="940" ht="15.75" customHeight="1" s="67">
      <c r="A940" s="2" t="n"/>
      <c r="B940" s="2" t="n"/>
      <c r="C940" s="2" t="n"/>
      <c r="D940" s="2" t="n"/>
    </row>
    <row r="941" ht="15.75" customHeight="1" s="67">
      <c r="A941" s="2" t="n"/>
      <c r="B941" s="2" t="n"/>
      <c r="C941" s="2" t="n"/>
      <c r="D941" s="2" t="n"/>
    </row>
    <row r="942" ht="15.75" customHeight="1" s="67">
      <c r="A942" s="2" t="n"/>
      <c r="B942" s="2" t="n"/>
      <c r="C942" s="2" t="n"/>
      <c r="D942" s="2" t="n"/>
    </row>
    <row r="943" ht="15.75" customHeight="1" s="67">
      <c r="A943" s="2" t="n"/>
      <c r="B943" s="2" t="n"/>
      <c r="C943" s="2" t="n"/>
      <c r="D943" s="2" t="n"/>
    </row>
    <row r="944" ht="15.75" customHeight="1" s="67">
      <c r="A944" s="2" t="n"/>
      <c r="B944" s="2" t="n"/>
      <c r="C944" s="2" t="n"/>
      <c r="D944" s="2" t="n"/>
    </row>
    <row r="945" ht="15.75" customHeight="1" s="67">
      <c r="A945" s="2" t="n"/>
      <c r="B945" s="2" t="n"/>
      <c r="C945" s="2" t="n"/>
      <c r="D945" s="2" t="n"/>
    </row>
    <row r="946" ht="15.75" customHeight="1" s="67">
      <c r="A946" s="2" t="n"/>
      <c r="B946" s="2" t="n"/>
      <c r="C946" s="2" t="n"/>
      <c r="D946" s="2" t="n"/>
    </row>
    <row r="947" ht="15.75" customHeight="1" s="67">
      <c r="A947" s="2" t="n"/>
      <c r="B947" s="2" t="n"/>
      <c r="C947" s="2" t="n"/>
      <c r="D947" s="2" t="n"/>
    </row>
    <row r="948" ht="15.75" customHeight="1" s="67">
      <c r="A948" s="2" t="n"/>
      <c r="B948" s="2" t="n"/>
      <c r="C948" s="2" t="n"/>
      <c r="D948" s="2" t="n"/>
    </row>
    <row r="949" ht="15.75" customHeight="1" s="67">
      <c r="A949" s="2" t="n"/>
      <c r="B949" s="2" t="n"/>
      <c r="C949" s="2" t="n"/>
      <c r="D949" s="2" t="n"/>
    </row>
    <row r="950" ht="15.75" customHeight="1" s="67">
      <c r="A950" s="2" t="n"/>
      <c r="B950" s="2" t="n"/>
      <c r="C950" s="2" t="n"/>
      <c r="D950" s="2" t="n"/>
    </row>
    <row r="951" ht="15.75" customHeight="1" s="67">
      <c r="A951" s="2" t="n"/>
      <c r="B951" s="2" t="n"/>
      <c r="C951" s="2" t="n"/>
      <c r="D951" s="2" t="n"/>
    </row>
    <row r="952" ht="15.75" customHeight="1" s="67">
      <c r="A952" s="2" t="n"/>
      <c r="B952" s="2" t="n"/>
      <c r="C952" s="2" t="n"/>
      <c r="D952" s="2" t="n"/>
    </row>
    <row r="953" ht="15.75" customHeight="1" s="67">
      <c r="A953" s="2" t="n"/>
      <c r="B953" s="2" t="n"/>
      <c r="C953" s="2" t="n"/>
      <c r="D953" s="2" t="n"/>
    </row>
    <row r="954" ht="15.75" customHeight="1" s="67">
      <c r="A954" s="2" t="n"/>
      <c r="B954" s="2" t="n"/>
      <c r="C954" s="2" t="n"/>
      <c r="D954" s="2" t="n"/>
    </row>
    <row r="955" ht="15.75" customHeight="1" s="67">
      <c r="A955" s="2" t="n"/>
      <c r="B955" s="2" t="n"/>
      <c r="C955" s="2" t="n"/>
      <c r="D955" s="2" t="n"/>
    </row>
    <row r="956" ht="15.75" customHeight="1" s="67">
      <c r="A956" s="2" t="n"/>
      <c r="B956" s="2" t="n"/>
      <c r="C956" s="2" t="n"/>
      <c r="D956" s="2" t="n"/>
    </row>
    <row r="957" ht="15.75" customHeight="1" s="67">
      <c r="A957" s="2" t="n"/>
      <c r="B957" s="2" t="n"/>
      <c r="C957" s="2" t="n"/>
      <c r="D957" s="2" t="n"/>
    </row>
    <row r="958" ht="15.75" customHeight="1" s="67">
      <c r="A958" s="2" t="n"/>
      <c r="B958" s="2" t="n"/>
      <c r="C958" s="2" t="n"/>
      <c r="D958" s="2" t="n"/>
    </row>
    <row r="959" ht="15.75" customHeight="1" s="67">
      <c r="A959" s="2" t="n"/>
      <c r="B959" s="2" t="n"/>
      <c r="C959" s="2" t="n"/>
      <c r="D959" s="2" t="n"/>
    </row>
    <row r="960" ht="15.75" customHeight="1" s="67">
      <c r="A960" s="2" t="n"/>
      <c r="B960" s="2" t="n"/>
      <c r="C960" s="2" t="n"/>
      <c r="D960" s="2" t="n"/>
    </row>
    <row r="961" ht="15.75" customHeight="1" s="67">
      <c r="A961" s="2" t="n"/>
      <c r="B961" s="2" t="n"/>
      <c r="C961" s="2" t="n"/>
      <c r="D961" s="2" t="n"/>
    </row>
    <row r="962" ht="15.75" customHeight="1" s="67">
      <c r="A962" s="2" t="n"/>
      <c r="B962" s="2" t="n"/>
      <c r="C962" s="2" t="n"/>
      <c r="D962" s="2" t="n"/>
    </row>
    <row r="963" ht="15.75" customHeight="1" s="67">
      <c r="A963" s="2" t="n"/>
      <c r="B963" s="2" t="n"/>
      <c r="C963" s="2" t="n"/>
      <c r="D963" s="2" t="n"/>
    </row>
    <row r="964" ht="15.75" customHeight="1" s="67">
      <c r="A964" s="2" t="n"/>
      <c r="B964" s="2" t="n"/>
      <c r="C964" s="2" t="n"/>
      <c r="D964" s="2" t="n"/>
    </row>
    <row r="965" ht="15.75" customHeight="1" s="67">
      <c r="A965" s="2" t="n"/>
      <c r="B965" s="2" t="n"/>
      <c r="C965" s="2" t="n"/>
      <c r="D965" s="2" t="n"/>
    </row>
    <row r="966" ht="15.75" customHeight="1" s="67">
      <c r="A966" s="2" t="n"/>
      <c r="B966" s="2" t="n"/>
      <c r="C966" s="2" t="n"/>
      <c r="D966" s="2" t="n"/>
    </row>
    <row r="967" ht="15.75" customHeight="1" s="67">
      <c r="A967" s="2" t="n"/>
      <c r="B967" s="2" t="n"/>
      <c r="C967" s="2" t="n"/>
      <c r="D967" s="2" t="n"/>
    </row>
    <row r="968" ht="15.75" customHeight="1" s="67">
      <c r="A968" s="2" t="n"/>
      <c r="B968" s="2" t="n"/>
      <c r="C968" s="2" t="n"/>
      <c r="D968" s="2" t="n"/>
    </row>
    <row r="969" ht="15.75" customHeight="1" s="67">
      <c r="A969" s="2" t="n"/>
      <c r="B969" s="2" t="n"/>
      <c r="C969" s="2" t="n"/>
      <c r="D969" s="2" t="n"/>
    </row>
    <row r="970" ht="15.75" customHeight="1" s="67">
      <c r="A970" s="2" t="n"/>
      <c r="B970" s="2" t="n"/>
      <c r="C970" s="2" t="n"/>
      <c r="D970" s="2" t="n"/>
    </row>
    <row r="971" ht="15.75" customHeight="1" s="67">
      <c r="A971" s="2" t="n"/>
      <c r="B971" s="2" t="n"/>
      <c r="C971" s="2" t="n"/>
      <c r="D971" s="2" t="n"/>
    </row>
    <row r="972" ht="15.75" customHeight="1" s="67">
      <c r="A972" s="2" t="n"/>
      <c r="B972" s="2" t="n"/>
      <c r="C972" s="2" t="n"/>
      <c r="D972" s="2" t="n"/>
    </row>
    <row r="973" ht="15.75" customHeight="1" s="67">
      <c r="A973" s="2" t="n"/>
      <c r="B973" s="2" t="n"/>
      <c r="C973" s="2" t="n"/>
      <c r="D973" s="2" t="n"/>
    </row>
    <row r="974" ht="15.75" customHeight="1" s="67">
      <c r="A974" s="2" t="n"/>
      <c r="B974" s="2" t="n"/>
      <c r="C974" s="2" t="n"/>
      <c r="D974" s="2" t="n"/>
    </row>
    <row r="975" ht="15.75" customHeight="1" s="67">
      <c r="A975" s="2" t="n"/>
      <c r="B975" s="2" t="n"/>
      <c r="C975" s="2" t="n"/>
      <c r="D975" s="2" t="n"/>
    </row>
    <row r="976" ht="15.75" customHeight="1" s="67">
      <c r="A976" s="2" t="n"/>
      <c r="B976" s="2" t="n"/>
      <c r="C976" s="2" t="n"/>
      <c r="D976" s="2" t="n"/>
    </row>
    <row r="977" ht="15.75" customHeight="1" s="67">
      <c r="A977" s="2" t="n"/>
      <c r="B977" s="2" t="n"/>
      <c r="C977" s="2" t="n"/>
      <c r="D977" s="2" t="n"/>
    </row>
    <row r="978" ht="15.75" customHeight="1" s="67">
      <c r="A978" s="2" t="n"/>
      <c r="B978" s="2" t="n"/>
      <c r="C978" s="2" t="n"/>
      <c r="D978" s="2" t="n"/>
    </row>
    <row r="979" ht="15.75" customHeight="1" s="67">
      <c r="A979" s="2" t="n"/>
      <c r="B979" s="2" t="n"/>
      <c r="C979" s="2" t="n"/>
      <c r="D979" s="2" t="n"/>
    </row>
    <row r="980" ht="15.75" customHeight="1" s="67">
      <c r="A980" s="2" t="n"/>
      <c r="B980" s="2" t="n"/>
      <c r="C980" s="2" t="n"/>
      <c r="D980" s="2" t="n"/>
    </row>
    <row r="981" ht="15.75" customHeight="1" s="67">
      <c r="A981" s="2" t="n"/>
      <c r="B981" s="2" t="n"/>
      <c r="C981" s="2" t="n"/>
      <c r="D981" s="2" t="n"/>
    </row>
    <row r="982" ht="15.75" customHeight="1" s="67">
      <c r="A982" s="2" t="n"/>
      <c r="B982" s="2" t="n"/>
      <c r="C982" s="2" t="n"/>
      <c r="D982" s="2" t="n"/>
    </row>
    <row r="983" ht="15.75" customHeight="1" s="67">
      <c r="A983" s="2" t="n"/>
      <c r="B983" s="2" t="n"/>
      <c r="C983" s="2" t="n"/>
      <c r="D983" s="2" t="n"/>
    </row>
    <row r="984" ht="15.75" customHeight="1" s="67">
      <c r="A984" s="2" t="n"/>
      <c r="B984" s="2" t="n"/>
      <c r="C984" s="2" t="n"/>
      <c r="D984" s="2" t="n"/>
    </row>
    <row r="985" ht="15.75" customHeight="1" s="67">
      <c r="A985" s="2" t="n"/>
      <c r="B985" s="2" t="n"/>
      <c r="C985" s="2" t="n"/>
      <c r="D985" s="2" t="n"/>
    </row>
    <row r="986" ht="15.75" customHeight="1" s="67">
      <c r="A986" s="2" t="n"/>
      <c r="B986" s="2" t="n"/>
      <c r="C986" s="2" t="n"/>
      <c r="D986" s="2" t="n"/>
    </row>
    <row r="987" ht="15.75" customHeight="1" s="67">
      <c r="A987" s="2" t="n"/>
      <c r="B987" s="2" t="n"/>
      <c r="C987" s="2" t="n"/>
      <c r="D987" s="2" t="n"/>
    </row>
    <row r="988" ht="15.75" customHeight="1" s="67">
      <c r="A988" s="2" t="n"/>
      <c r="B988" s="2" t="n"/>
      <c r="C988" s="2" t="n"/>
      <c r="D988" s="2" t="n"/>
    </row>
    <row r="989" ht="15.75" customHeight="1" s="67">
      <c r="A989" s="2" t="n"/>
      <c r="B989" s="2" t="n"/>
      <c r="C989" s="2" t="n"/>
      <c r="D989" s="2" t="n"/>
    </row>
    <row r="990" ht="15.75" customHeight="1" s="67">
      <c r="A990" s="2" t="n"/>
      <c r="B990" s="2" t="n"/>
      <c r="C990" s="2" t="n"/>
      <c r="D990" s="2" t="n"/>
    </row>
    <row r="991" ht="15.75" customHeight="1" s="67">
      <c r="A991" s="2" t="n"/>
      <c r="B991" s="2" t="n"/>
      <c r="C991" s="2" t="n"/>
      <c r="D991" s="2" t="n"/>
    </row>
    <row r="992" ht="15.75" customHeight="1" s="67">
      <c r="A992" s="2" t="n"/>
      <c r="B992" s="2" t="n"/>
      <c r="C992" s="2" t="n"/>
      <c r="D992" s="2" t="n"/>
    </row>
    <row r="993" ht="15.75" customHeight="1" s="67">
      <c r="A993" s="2" t="n"/>
      <c r="B993" s="2" t="n"/>
      <c r="C993" s="2" t="n"/>
      <c r="D993" s="2" t="n"/>
    </row>
    <row r="994" ht="15.75" customHeight="1" s="67">
      <c r="A994" s="2" t="n"/>
      <c r="B994" s="2" t="n"/>
      <c r="C994" s="2" t="n"/>
      <c r="D994" s="2" t="n"/>
    </row>
    <row r="995" ht="15.75" customHeight="1" s="67">
      <c r="A995" s="2" t="n"/>
      <c r="B995" s="2" t="n"/>
      <c r="C995" s="2" t="n"/>
      <c r="D995" s="2" t="n"/>
    </row>
    <row r="996" ht="15.75" customHeight="1" s="67">
      <c r="A996" s="2" t="n"/>
      <c r="B996" s="2" t="n"/>
      <c r="C996" s="2" t="n"/>
      <c r="D996" s="2" t="n"/>
    </row>
    <row r="997" ht="15.75" customHeight="1" s="67">
      <c r="A997" s="2" t="n"/>
      <c r="B997" s="2" t="n"/>
      <c r="C997" s="2" t="n"/>
      <c r="D997" s="2" t="n"/>
    </row>
    <row r="998" ht="15.75" customHeight="1" s="67">
      <c r="A998" s="2" t="n"/>
      <c r="B998" s="2" t="n"/>
      <c r="C998" s="2" t="n"/>
      <c r="D998" s="2" t="n"/>
    </row>
    <row r="999" ht="15.75" customHeight="1" s="67">
      <c r="A999" s="2" t="n"/>
      <c r="B999" s="2" t="n"/>
      <c r="C999" s="2" t="n"/>
      <c r="D999" s="2" t="n"/>
    </row>
    <row r="1000" ht="15.75" customHeight="1" s="67">
      <c r="A1000" s="2" t="n"/>
      <c r="B1000" s="2" t="n"/>
      <c r="C1000" s="2" t="n"/>
      <c r="D1000" s="2" t="n"/>
    </row>
  </sheetData>
  <mergeCells count="5">
    <mergeCell ref="C6:D6"/>
    <mergeCell ref="C24:D24"/>
    <mergeCell ref="C7:D7"/>
    <mergeCell ref="C5:D5"/>
    <mergeCell ref="C4:D4"/>
  </mergeCells>
  <dataValidations count="1">
    <dataValidation sqref="C10:C21" showDropDown="0" showInputMessage="1" showErrorMessage="1" allowBlank="1" prompt="Valor no válido - Elija un valor de la lista." type="list">
      <formula1>Listas!$K$2:$K$4</formula1>
    </dataValidation>
  </dataValidations>
  <printOptions horizontalCentered="1"/>
  <pageMargins left="0.5" right="0.5" top="1" bottom="1" header="0" footer="0"/>
  <pageSetup orientation="portrait" paperSize="9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67" min="1" max="1"/>
    <col width="40" customWidth="1" style="67" min="2" max="2"/>
    <col width="30" customWidth="1" style="67" min="3" max="3"/>
    <col width="25" customWidth="1" style="67" min="4" max="6"/>
    <col width="8.710000000000001" customWidth="1" style="67" min="7" max="26"/>
  </cols>
  <sheetData>
    <row r="1" ht="17.25" customHeight="1" s="67">
      <c r="A1" s="1" t="inlineStr">
        <is>
          <t>Paso 6 · Acta de cierre de la intervención</t>
        </is>
      </c>
      <c r="B1" s="2" t="n"/>
      <c r="C1" s="2" t="n"/>
      <c r="D1" s="2" t="n"/>
      <c r="E1" s="2" t="n"/>
      <c r="F1" s="2" t="n"/>
    </row>
    <row r="2" ht="15" customHeight="1" s="67">
      <c r="A2" s="3" t="inlineStr">
        <is>
          <t>Los campos en verde se completan automáticamente con las demás hojas; los amarillos se llenan antes de firmar. Imprimir y firmar antes de aplicar el postest.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3.75" customHeight="1" s="67">
      <c r="A4" s="2" t="n"/>
      <c r="B4" s="7" t="inlineStr">
        <is>
          <t>Acta N.º</t>
        </is>
      </c>
      <c r="C4" s="19" t="inlineStr">
        <is>
          <t>001-2026</t>
        </is>
      </c>
      <c r="D4" s="69" t="n"/>
      <c r="E4" s="69" t="n"/>
      <c r="F4" s="70" t="n"/>
    </row>
    <row r="5" ht="33.75" customHeight="1" s="67">
      <c r="A5" s="2" t="n"/>
      <c r="B5" s="7" t="inlineStr">
        <is>
          <t>Fecha, hora y lugar</t>
        </is>
      </c>
      <c r="C5" s="19" t="inlineStr">
        <is>
          <t>25/10/2026 · 19:30 · Reunión virtual con la Gerencia de Tu Diario Huánuco</t>
        </is>
      </c>
      <c r="D5" s="69" t="n"/>
      <c r="E5" s="69" t="n"/>
      <c r="F5" s="70" t="n"/>
    </row>
    <row r="6" ht="33.75" customHeight="1" s="67">
      <c r="A6" s="2" t="n"/>
      <c r="B6" s="7" t="inlineStr">
        <is>
          <t>Título de la tesis</t>
        </is>
      </c>
      <c r="C6" s="71">
        <f>Inicio!C5</f>
        <v/>
      </c>
      <c r="D6" s="69" t="n"/>
      <c r="E6" s="69" t="n"/>
      <c r="F6" s="70" t="n"/>
    </row>
    <row r="7" ht="33.75" customHeight="1" s="67">
      <c r="A7" s="2" t="n"/>
      <c r="B7" s="7" t="inlineStr">
        <is>
          <t>Tesista y asesor(a)</t>
        </is>
      </c>
      <c r="C7" s="71">
        <f>Inicio!C6&amp;"  ·  Asesor(a): "&amp;Inicio!C7</f>
        <v/>
      </c>
      <c r="D7" s="69" t="n"/>
      <c r="E7" s="69" t="n"/>
      <c r="F7" s="70" t="n"/>
    </row>
    <row r="8" ht="33.75" customHeight="1" s="67">
      <c r="A8" s="2" t="n"/>
      <c r="B8" s="7" t="inlineStr">
        <is>
          <t>Institución</t>
        </is>
      </c>
      <c r="C8" s="71">
        <f>Inicio!C8</f>
        <v/>
      </c>
      <c r="D8" s="69" t="n"/>
      <c r="E8" s="69" t="n"/>
      <c r="F8" s="70" t="n"/>
    </row>
    <row r="9" ht="33.75" customHeight="1" s="67">
      <c r="A9" s="2" t="n"/>
      <c r="B9" s="7" t="inlineStr">
        <is>
          <t>Diseño y grupos</t>
        </is>
      </c>
      <c r="C9" s="71">
        <f>Inicio!C9</f>
        <v/>
      </c>
      <c r="D9" s="69" t="n"/>
      <c r="E9" s="69" t="n"/>
      <c r="F9" s="70" t="n"/>
    </row>
    <row r="10" ht="33.75" customHeight="1" s="67">
      <c r="A10" s="2" t="n"/>
      <c r="B10" s="7" t="inlineStr">
        <is>
          <t>Solución tecnológica y versión final (congelada)</t>
        </is>
      </c>
      <c r="C10" s="36" t="inlineStr">
        <is>
          <t>Aplicación multiplataforma de búsqueda semántica conversacional (chat.tudiariohuanuco.pe)</t>
        </is>
      </c>
      <c r="D10" s="69" t="n"/>
      <c r="E10" s="69" t="n"/>
      <c r="F10" s="70" t="n"/>
    </row>
    <row r="11" ht="33.75" customHeight="1" s="67">
      <c r="A11" s="2" t="n"/>
      <c r="B11" s="7" t="inlineStr">
        <is>
          <t>Periodo real de la intervención</t>
        </is>
      </c>
      <c r="C11" s="71">
        <f>IF(OR('1_Periodo'!D6="",'1_Periodo'!D7=""),"",TEXT('1_Periodo'!D6,"dd/mm/yyyy")&amp;" al "&amp;TEXT('1_Periodo'!D7,"dd/mm/yyyy")&amp;" ("&amp;'1_Periodo'!D8&amp;" semanas)")</f>
        <v/>
      </c>
      <c r="D11" s="69" t="n"/>
      <c r="E11" s="69" t="n"/>
      <c r="F11" s="70" t="n"/>
    </row>
    <row r="12" ht="33.75" customHeight="1" s="67">
      <c r="A12" s="2" t="n"/>
      <c r="B12" s="7" t="inlineStr">
        <is>
          <t>Dosis ejecutada</t>
        </is>
      </c>
      <c r="C12" s="71">
        <f>IF('1_Periodo'!D11="","",'1_Periodo'!D11&amp;" de "&amp;'1_Periodo'!C11&amp;" días-usuario · frecuencia promedio "&amp;TEXT('1_Periodo'!D10,"0.0")&amp;" días por semana · intensidad "&amp;TEXT('1_Periodo'!D12,"0%"))</f>
        <v/>
      </c>
      <c r="D12" s="69" t="n"/>
      <c r="E12" s="69" t="n"/>
      <c r="F12" s="70" t="n"/>
    </row>
    <row r="13" ht="33.75" customHeight="1" s="67">
      <c r="A13" s="2" t="n"/>
      <c r="B13" s="7" t="inlineStr">
        <is>
          <t>Adherencia acumulada</t>
        </is>
      </c>
      <c r="C13" s="71">
        <f>IF('1_Periodo'!D13="","",TEXT('1_Periodo'!D13,"0.0%")&amp;" (umbral "&amp;TEXT('1_Periodo'!C13,"0%")&amp;": "&amp;'1_Periodo'!E13&amp;")")</f>
        <v/>
      </c>
      <c r="D13" s="69" t="n"/>
      <c r="E13" s="69" t="n"/>
      <c r="F13" s="70" t="n"/>
    </row>
    <row r="14" ht="33.75" customHeight="1" s="67">
      <c r="A14" s="2" t="n"/>
      <c r="B14" s="7" t="inlineStr">
        <is>
          <t>Fidelidad de implementación</t>
        </is>
      </c>
      <c r="C14" s="71">
        <f>IF('1_Periodo'!C38="","",TEXT('1_Periodo'!C38,"0.0%")&amp;" (umbral "&amp;TEXT('1_Periodo'!C39,"0%")&amp;": "&amp;'1_Periodo'!C40&amp;")")</f>
        <v/>
      </c>
      <c r="D14" s="69" t="n"/>
      <c r="E14" s="69" t="n"/>
      <c r="F14" s="70" t="n"/>
    </row>
    <row r="15" ht="33.75" customHeight="1" s="67">
      <c r="A15" s="2" t="n"/>
      <c r="B15" s="7" t="inlineStr">
        <is>
          <t>Participantes al inicio y al cierre</t>
        </is>
      </c>
      <c r="C15" s="71">
        <f>"G: "&amp;'3_Mortalidad'!B8&amp;" con pretest → "&amp;('3_Mortalidad'!B8-'3_Mortalidad'!C8-'3_Mortalidad'!D8)&amp;" activos al cierre (retiros: "&amp;'3_Mortalidad'!C8&amp;"; excluidos en la depuración: "&amp;'3_Mortalidad'!D8&amp;")"</f>
        <v/>
      </c>
      <c r="D15" s="69" t="n"/>
      <c r="E15" s="69" t="n"/>
      <c r="F15" s="70" t="n"/>
    </row>
    <row r="16" ht="33.75" customHeight="1" s="67">
      <c r="A16" s="2" t="n"/>
      <c r="B16" s="7" t="inlineStr">
        <is>
          <t>Desviaciones registradas y acciones correctivas</t>
        </is>
      </c>
      <c r="C16" s="36" t="inlineStr">
        <is>
          <t>Tres retiros sin postest (GU-TDH-015, GU-TDH-033 y GU-TDH-053). El SUS del postest es simulado y no es la medición de campo de O2.</t>
        </is>
      </c>
      <c r="D16" s="69" t="n"/>
      <c r="E16" s="69" t="n"/>
      <c r="F16" s="70" t="n"/>
    </row>
    <row r="17" ht="33.75" customHeight="1" s="67">
      <c r="A17" s="2" t="n"/>
      <c r="B17" s="7" t="inlineStr">
        <is>
          <t>Postest previsto (fechas y condiciones)</t>
        </is>
      </c>
      <c r="C17" s="71">
        <f>"Del "&amp;TEXT(Inicio!C20,"dd/mm/yyyy")&amp;" al "&amp;TEXT(Inicio!C21,"dd/mm/yyyy")&amp;" con "&amp;Inicio!C12&amp;", en las mismas condiciones del pretest (ventana de "&amp;Inicio!C17&amp;" días hábiles)"</f>
        <v/>
      </c>
      <c r="D17" s="69" t="n"/>
      <c r="E17" s="69" t="n"/>
      <c r="F17" s="70" t="n"/>
    </row>
    <row r="18" ht="33.75" customHeight="1" s="67">
      <c r="A18" s="2" t="n"/>
      <c r="B18" s="7" t="inlineStr">
        <is>
          <t>Estado posterior de la solución</t>
        </is>
      </c>
      <c r="C18" s="19" t="inlineStr">
        <is>
          <t>Continúa en producción</t>
        </is>
      </c>
      <c r="D18" s="69" t="n"/>
      <c r="E18" s="69" t="n"/>
      <c r="F18" s="70" t="n"/>
    </row>
    <row r="19" ht="33.75" customHeight="1" s="67">
      <c r="A19" s="2" t="n"/>
      <c r="B19" s="7" t="inlineStr">
        <is>
          <t>Custodia y confidencialidad de los datos</t>
        </is>
      </c>
      <c r="C19" s="36" t="inlineStr">
        <is>
          <t>Base cifrada en Supabase; libro de códigos separado y con contraseña; copia diaria cifrada en una segunda ubicación.</t>
        </is>
      </c>
      <c r="D19" s="69" t="n"/>
      <c r="E19" s="69" t="n"/>
      <c r="F19" s="70" t="n"/>
    </row>
    <row r="20" ht="33.75" customHeight="1" s="67">
      <c r="A20" s="2" t="n"/>
      <c r="B20" s="7" t="inlineStr">
        <is>
          <t>Decisión de cierre</t>
        </is>
      </c>
      <c r="C20" s="71">
        <f>'1_Periodo'!C46</f>
        <v/>
      </c>
      <c r="D20" s="69" t="n"/>
      <c r="E20" s="69" t="n"/>
      <c r="F20" s="70" t="n"/>
    </row>
    <row r="21" ht="33.75" customHeight="1" s="67">
      <c r="A21" s="2" t="n"/>
      <c r="B21" s="7" t="inlineStr">
        <is>
          <t>Firmas</t>
        </is>
      </c>
      <c r="C21" s="36" t="n"/>
      <c r="D21" s="69" t="n"/>
      <c r="E21" s="69" t="n"/>
      <c r="F21" s="70" t="n"/>
    </row>
    <row r="22" ht="15.75" customHeight="1" s="67">
      <c r="A22" s="2" t="n"/>
      <c r="B22" s="2" t="n"/>
      <c r="C22" s="2" t="n"/>
      <c r="D22" s="2" t="n"/>
      <c r="E22" s="2" t="n"/>
      <c r="F22" s="2" t="n"/>
    </row>
    <row r="23" ht="32.25" customHeight="1" s="67">
      <c r="A23" s="2" t="n"/>
      <c r="B23" s="18" t="inlineStr">
        <is>
          <t>Las fechas de la hoja 1_Periodo y los conteos de 3_Mortalidad alimentan esta acta; si cambian los registros, el acta se actualiza sola.</t>
        </is>
      </c>
      <c r="C23" s="2" t="n"/>
      <c r="D23" s="2" t="n"/>
      <c r="E23" s="2" t="n"/>
      <c r="F23" s="2" t="n"/>
    </row>
    <row r="24" ht="15.75" customHeight="1" s="67">
      <c r="A24" s="2" t="n"/>
      <c r="B24" s="2" t="n"/>
      <c r="C24" s="2" t="n"/>
      <c r="D24" s="2" t="n"/>
      <c r="E24" s="2" t="n"/>
      <c r="F24" s="2" t="n"/>
    </row>
    <row r="25" ht="15.75" customHeight="1" s="67">
      <c r="A25" s="2" t="n"/>
      <c r="B25" s="2" t="n"/>
      <c r="C25" s="2" t="n"/>
      <c r="D25" s="2" t="n"/>
      <c r="E25" s="2" t="n"/>
      <c r="F25" s="2" t="n"/>
    </row>
    <row r="26" ht="15.75" customHeight="1" s="67">
      <c r="A26" s="2" t="n"/>
      <c r="B26" s="2" t="n"/>
      <c r="C26" s="2" t="n"/>
      <c r="D26" s="2" t="n"/>
      <c r="E26" s="2" t="n"/>
      <c r="F26" s="2" t="n"/>
    </row>
    <row r="27" ht="15.75" customHeight="1" s="67">
      <c r="A27" s="2" t="n"/>
      <c r="B27" s="2" t="n"/>
      <c r="C27" s="2" t="n"/>
      <c r="D27" s="2" t="n"/>
      <c r="E27" s="2" t="n"/>
      <c r="F27" s="2" t="n"/>
    </row>
    <row r="28" ht="15.75" customHeight="1" s="67">
      <c r="A28" s="2" t="n"/>
      <c r="B28" s="2" t="n"/>
      <c r="C28" s="2" t="n"/>
      <c r="D28" s="2" t="n"/>
      <c r="E28" s="2" t="n"/>
      <c r="F28" s="2" t="n"/>
    </row>
    <row r="29" ht="15.75" customHeight="1" s="67">
      <c r="A29" s="2" t="n"/>
      <c r="B29" s="2" t="n"/>
      <c r="C29" s="2" t="n"/>
      <c r="D29" s="2" t="n"/>
      <c r="E29" s="2" t="n"/>
      <c r="F29" s="2" t="n"/>
    </row>
    <row r="30" ht="15.75" customHeight="1" s="67">
      <c r="A30" s="2" t="n"/>
      <c r="B30" s="2" t="n"/>
      <c r="C30" s="2" t="n"/>
      <c r="D30" s="2" t="n"/>
      <c r="E30" s="2" t="n"/>
      <c r="F30" s="2" t="n"/>
    </row>
    <row r="31" ht="15.75" customHeight="1" s="67">
      <c r="A31" s="2" t="n"/>
      <c r="B31" s="2" t="n"/>
      <c r="C31" s="2" t="n"/>
      <c r="D31" s="2" t="n"/>
      <c r="E31" s="2" t="n"/>
      <c r="F31" s="2" t="n"/>
    </row>
    <row r="32" ht="15.75" customHeight="1" s="67">
      <c r="A32" s="2" t="n"/>
      <c r="B32" s="2" t="n"/>
      <c r="C32" s="2" t="n"/>
      <c r="D32" s="2" t="n"/>
      <c r="E32" s="2" t="n"/>
      <c r="F32" s="2" t="n"/>
    </row>
    <row r="33" ht="15.75" customHeight="1" s="67">
      <c r="A33" s="2" t="n"/>
      <c r="B33" s="2" t="n"/>
      <c r="C33" s="2" t="n"/>
      <c r="D33" s="2" t="n"/>
      <c r="E33" s="2" t="n"/>
      <c r="F33" s="2" t="n"/>
    </row>
    <row r="34" ht="15.75" customHeight="1" s="67">
      <c r="A34" s="2" t="n"/>
      <c r="B34" s="2" t="n"/>
      <c r="C34" s="2" t="n"/>
      <c r="D34" s="2" t="n"/>
      <c r="E34" s="2" t="n"/>
      <c r="F34" s="2" t="n"/>
    </row>
    <row r="35" ht="15.75" customHeight="1" s="67">
      <c r="A35" s="2" t="n"/>
      <c r="B35" s="2" t="n"/>
      <c r="C35" s="2" t="n"/>
      <c r="D35" s="2" t="n"/>
      <c r="E35" s="2" t="n"/>
      <c r="F35" s="2" t="n"/>
    </row>
    <row r="36" ht="15.75" customHeight="1" s="67">
      <c r="A36" s="2" t="n"/>
      <c r="B36" s="2" t="n"/>
      <c r="C36" s="2" t="n"/>
      <c r="D36" s="2" t="n"/>
      <c r="E36" s="2" t="n"/>
      <c r="F36" s="2" t="n"/>
    </row>
    <row r="37" ht="15.75" customHeight="1" s="67">
      <c r="A37" s="2" t="n"/>
      <c r="B37" s="2" t="n"/>
      <c r="C37" s="2" t="n"/>
      <c r="D37" s="2" t="n"/>
      <c r="E37" s="2" t="n"/>
      <c r="F37" s="2" t="n"/>
    </row>
    <row r="38" ht="15.75" customHeight="1" s="67">
      <c r="A38" s="2" t="n"/>
      <c r="B38" s="2" t="n"/>
      <c r="C38" s="2" t="n"/>
      <c r="D38" s="2" t="n"/>
      <c r="E38" s="2" t="n"/>
      <c r="F38" s="2" t="n"/>
    </row>
    <row r="39" ht="15.75" customHeight="1" s="67">
      <c r="A39" s="2" t="n"/>
      <c r="B39" s="2" t="n"/>
      <c r="C39" s="2" t="n"/>
      <c r="D39" s="2" t="n"/>
      <c r="E39" s="2" t="n"/>
      <c r="F39" s="2" t="n"/>
    </row>
    <row r="40" ht="15.75" customHeight="1" s="67">
      <c r="A40" s="2" t="n"/>
      <c r="B40" s="2" t="n"/>
      <c r="C40" s="2" t="n"/>
      <c r="D40" s="2" t="n"/>
      <c r="E40" s="2" t="n"/>
      <c r="F40" s="2" t="n"/>
    </row>
    <row r="41" ht="15.75" customHeight="1" s="67">
      <c r="A41" s="2" t="n"/>
      <c r="B41" s="2" t="n"/>
      <c r="C41" s="2" t="n"/>
      <c r="D41" s="2" t="n"/>
      <c r="E41" s="2" t="n"/>
      <c r="F41" s="2" t="n"/>
    </row>
    <row r="42" ht="15.75" customHeight="1" s="67">
      <c r="A42" s="2" t="n"/>
      <c r="B42" s="2" t="n"/>
      <c r="C42" s="2" t="n"/>
      <c r="D42" s="2" t="n"/>
      <c r="E42" s="2" t="n"/>
      <c r="F42" s="2" t="n"/>
    </row>
    <row r="43" ht="15.75" customHeight="1" s="67">
      <c r="A43" s="2" t="n"/>
      <c r="B43" s="2" t="n"/>
      <c r="C43" s="2" t="n"/>
      <c r="D43" s="2" t="n"/>
      <c r="E43" s="2" t="n"/>
      <c r="F43" s="2" t="n"/>
    </row>
    <row r="44" ht="15.75" customHeight="1" s="67">
      <c r="A44" s="2" t="n"/>
      <c r="B44" s="2" t="n"/>
      <c r="C44" s="2" t="n"/>
      <c r="D44" s="2" t="n"/>
      <c r="E44" s="2" t="n"/>
      <c r="F44" s="2" t="n"/>
    </row>
    <row r="45" ht="15.75" customHeight="1" s="67">
      <c r="A45" s="2" t="n"/>
      <c r="B45" s="2" t="n"/>
      <c r="C45" s="2" t="n"/>
      <c r="D45" s="2" t="n"/>
      <c r="E45" s="2" t="n"/>
      <c r="F45" s="2" t="n"/>
    </row>
    <row r="46" ht="15.75" customHeight="1" s="67">
      <c r="A46" s="2" t="n"/>
      <c r="B46" s="2" t="n"/>
      <c r="C46" s="2" t="n"/>
      <c r="D46" s="2" t="n"/>
      <c r="E46" s="2" t="n"/>
      <c r="F46" s="2" t="n"/>
    </row>
    <row r="47" ht="15.75" customHeight="1" s="67">
      <c r="A47" s="2" t="n"/>
      <c r="B47" s="2" t="n"/>
      <c r="C47" s="2" t="n"/>
      <c r="D47" s="2" t="n"/>
      <c r="E47" s="2" t="n"/>
      <c r="F47" s="2" t="n"/>
    </row>
    <row r="48" ht="15.75" customHeight="1" s="67">
      <c r="A48" s="2" t="n"/>
      <c r="B48" s="2" t="n"/>
      <c r="C48" s="2" t="n"/>
      <c r="D48" s="2" t="n"/>
      <c r="E48" s="2" t="n"/>
      <c r="F48" s="2" t="n"/>
    </row>
    <row r="49" ht="15.75" customHeight="1" s="67">
      <c r="A49" s="2" t="n"/>
      <c r="B49" s="2" t="n"/>
      <c r="C49" s="2" t="n"/>
      <c r="D49" s="2" t="n"/>
      <c r="E49" s="2" t="n"/>
      <c r="F49" s="2" t="n"/>
    </row>
    <row r="50" ht="15.75" customHeight="1" s="67">
      <c r="A50" s="2" t="n"/>
      <c r="B50" s="2" t="n"/>
      <c r="C50" s="2" t="n"/>
      <c r="D50" s="2" t="n"/>
      <c r="E50" s="2" t="n"/>
      <c r="F50" s="2" t="n"/>
    </row>
    <row r="51" ht="15.75" customHeight="1" s="67">
      <c r="A51" s="2" t="n"/>
      <c r="B51" s="2" t="n"/>
      <c r="C51" s="2" t="n"/>
      <c r="D51" s="2" t="n"/>
      <c r="E51" s="2" t="n"/>
      <c r="F51" s="2" t="n"/>
    </row>
    <row r="52" ht="15.75" customHeight="1" s="67">
      <c r="A52" s="2" t="n"/>
      <c r="B52" s="2" t="n"/>
      <c r="C52" s="2" t="n"/>
      <c r="D52" s="2" t="n"/>
      <c r="E52" s="2" t="n"/>
      <c r="F52" s="2" t="n"/>
    </row>
    <row r="53" ht="15.75" customHeight="1" s="67">
      <c r="A53" s="2" t="n"/>
      <c r="B53" s="2" t="n"/>
      <c r="C53" s="2" t="n"/>
      <c r="D53" s="2" t="n"/>
      <c r="E53" s="2" t="n"/>
      <c r="F53" s="2" t="n"/>
    </row>
    <row r="54" ht="15.75" customHeight="1" s="67">
      <c r="A54" s="2" t="n"/>
      <c r="B54" s="2" t="n"/>
      <c r="C54" s="2" t="n"/>
      <c r="D54" s="2" t="n"/>
      <c r="E54" s="2" t="n"/>
      <c r="F54" s="2" t="n"/>
    </row>
    <row r="55" ht="15.75" customHeight="1" s="67">
      <c r="A55" s="2" t="n"/>
      <c r="B55" s="2" t="n"/>
      <c r="C55" s="2" t="n"/>
      <c r="D55" s="2" t="n"/>
      <c r="E55" s="2" t="n"/>
      <c r="F55" s="2" t="n"/>
    </row>
    <row r="56" ht="15.75" customHeight="1" s="67">
      <c r="A56" s="2" t="n"/>
      <c r="B56" s="2" t="n"/>
      <c r="C56" s="2" t="n"/>
      <c r="D56" s="2" t="n"/>
      <c r="E56" s="2" t="n"/>
      <c r="F56" s="2" t="n"/>
    </row>
    <row r="57" ht="15.75" customHeight="1" s="67">
      <c r="A57" s="2" t="n"/>
      <c r="B57" s="2" t="n"/>
      <c r="C57" s="2" t="n"/>
      <c r="D57" s="2" t="n"/>
      <c r="E57" s="2" t="n"/>
      <c r="F57" s="2" t="n"/>
    </row>
    <row r="58" ht="15.75" customHeight="1" s="67">
      <c r="A58" s="2" t="n"/>
      <c r="B58" s="2" t="n"/>
      <c r="C58" s="2" t="n"/>
      <c r="D58" s="2" t="n"/>
      <c r="E58" s="2" t="n"/>
      <c r="F58" s="2" t="n"/>
    </row>
    <row r="59" ht="15.75" customHeight="1" s="67">
      <c r="A59" s="2" t="n"/>
      <c r="B59" s="2" t="n"/>
      <c r="C59" s="2" t="n"/>
      <c r="D59" s="2" t="n"/>
      <c r="E59" s="2" t="n"/>
      <c r="F59" s="2" t="n"/>
    </row>
    <row r="60" ht="15.75" customHeight="1" s="67">
      <c r="A60" s="2" t="n"/>
      <c r="B60" s="2" t="n"/>
      <c r="C60" s="2" t="n"/>
      <c r="D60" s="2" t="n"/>
      <c r="E60" s="2" t="n"/>
      <c r="F60" s="2" t="n"/>
    </row>
    <row r="61" ht="15.75" customHeight="1" s="67">
      <c r="A61" s="2" t="n"/>
      <c r="B61" s="2" t="n"/>
      <c r="C61" s="2" t="n"/>
      <c r="D61" s="2" t="n"/>
      <c r="E61" s="2" t="n"/>
      <c r="F61" s="2" t="n"/>
    </row>
    <row r="62" ht="15.75" customHeight="1" s="67">
      <c r="A62" s="2" t="n"/>
      <c r="B62" s="2" t="n"/>
      <c r="C62" s="2" t="n"/>
      <c r="D62" s="2" t="n"/>
      <c r="E62" s="2" t="n"/>
      <c r="F62" s="2" t="n"/>
    </row>
    <row r="63" ht="15.75" customHeight="1" s="67">
      <c r="A63" s="2" t="n"/>
      <c r="B63" s="2" t="n"/>
      <c r="C63" s="2" t="n"/>
      <c r="D63" s="2" t="n"/>
      <c r="E63" s="2" t="n"/>
      <c r="F63" s="2" t="n"/>
    </row>
    <row r="64" ht="15.75" customHeight="1" s="67">
      <c r="A64" s="2" t="n"/>
      <c r="B64" s="2" t="n"/>
      <c r="C64" s="2" t="n"/>
      <c r="D64" s="2" t="n"/>
      <c r="E64" s="2" t="n"/>
      <c r="F64" s="2" t="n"/>
    </row>
    <row r="65" ht="15.75" customHeight="1" s="67">
      <c r="A65" s="2" t="n"/>
      <c r="B65" s="2" t="n"/>
      <c r="C65" s="2" t="n"/>
      <c r="D65" s="2" t="n"/>
      <c r="E65" s="2" t="n"/>
      <c r="F65" s="2" t="n"/>
    </row>
    <row r="66" ht="15.75" customHeight="1" s="67">
      <c r="A66" s="2" t="n"/>
      <c r="B66" s="2" t="n"/>
      <c r="C66" s="2" t="n"/>
      <c r="D66" s="2" t="n"/>
      <c r="E66" s="2" t="n"/>
      <c r="F66" s="2" t="n"/>
    </row>
    <row r="67" ht="15.75" customHeight="1" s="67">
      <c r="A67" s="2" t="n"/>
      <c r="B67" s="2" t="n"/>
      <c r="C67" s="2" t="n"/>
      <c r="D67" s="2" t="n"/>
      <c r="E67" s="2" t="n"/>
      <c r="F67" s="2" t="n"/>
    </row>
    <row r="68" ht="15.75" customHeight="1" s="67">
      <c r="A68" s="2" t="n"/>
      <c r="B68" s="2" t="n"/>
      <c r="C68" s="2" t="n"/>
      <c r="D68" s="2" t="n"/>
      <c r="E68" s="2" t="n"/>
      <c r="F68" s="2" t="n"/>
    </row>
    <row r="69" ht="15.75" customHeight="1" s="67">
      <c r="A69" s="2" t="n"/>
      <c r="B69" s="2" t="n"/>
      <c r="C69" s="2" t="n"/>
      <c r="D69" s="2" t="n"/>
      <c r="E69" s="2" t="n"/>
      <c r="F69" s="2" t="n"/>
    </row>
    <row r="70" ht="15.75" customHeight="1" s="67">
      <c r="A70" s="2" t="n"/>
      <c r="B70" s="2" t="n"/>
      <c r="C70" s="2" t="n"/>
      <c r="D70" s="2" t="n"/>
      <c r="E70" s="2" t="n"/>
      <c r="F70" s="2" t="n"/>
    </row>
    <row r="71" ht="15.75" customHeight="1" s="67">
      <c r="A71" s="2" t="n"/>
      <c r="B71" s="2" t="n"/>
      <c r="C71" s="2" t="n"/>
      <c r="D71" s="2" t="n"/>
      <c r="E71" s="2" t="n"/>
      <c r="F71" s="2" t="n"/>
    </row>
    <row r="72" ht="15.75" customHeight="1" s="67">
      <c r="A72" s="2" t="n"/>
      <c r="B72" s="2" t="n"/>
      <c r="C72" s="2" t="n"/>
      <c r="D72" s="2" t="n"/>
      <c r="E72" s="2" t="n"/>
      <c r="F72" s="2" t="n"/>
    </row>
    <row r="73" ht="15.75" customHeight="1" s="67">
      <c r="A73" s="2" t="n"/>
      <c r="B73" s="2" t="n"/>
      <c r="C73" s="2" t="n"/>
      <c r="D73" s="2" t="n"/>
      <c r="E73" s="2" t="n"/>
      <c r="F73" s="2" t="n"/>
    </row>
    <row r="74" ht="15.75" customHeight="1" s="67">
      <c r="A74" s="2" t="n"/>
      <c r="B74" s="2" t="n"/>
      <c r="C74" s="2" t="n"/>
      <c r="D74" s="2" t="n"/>
      <c r="E74" s="2" t="n"/>
      <c r="F74" s="2" t="n"/>
    </row>
    <row r="75" ht="15.75" customHeight="1" s="67">
      <c r="A75" s="2" t="n"/>
      <c r="B75" s="2" t="n"/>
      <c r="C75" s="2" t="n"/>
      <c r="D75" s="2" t="n"/>
      <c r="E75" s="2" t="n"/>
      <c r="F75" s="2" t="n"/>
    </row>
    <row r="76" ht="15.75" customHeight="1" s="67">
      <c r="A76" s="2" t="n"/>
      <c r="B76" s="2" t="n"/>
      <c r="C76" s="2" t="n"/>
      <c r="D76" s="2" t="n"/>
      <c r="E76" s="2" t="n"/>
      <c r="F76" s="2" t="n"/>
    </row>
    <row r="77" ht="15.75" customHeight="1" s="67">
      <c r="A77" s="2" t="n"/>
      <c r="B77" s="2" t="n"/>
      <c r="C77" s="2" t="n"/>
      <c r="D77" s="2" t="n"/>
      <c r="E77" s="2" t="n"/>
      <c r="F77" s="2" t="n"/>
    </row>
    <row r="78" ht="15.75" customHeight="1" s="67">
      <c r="A78" s="2" t="n"/>
      <c r="B78" s="2" t="n"/>
      <c r="C78" s="2" t="n"/>
      <c r="D78" s="2" t="n"/>
      <c r="E78" s="2" t="n"/>
      <c r="F78" s="2" t="n"/>
    </row>
    <row r="79" ht="15.75" customHeight="1" s="67">
      <c r="A79" s="2" t="n"/>
      <c r="B79" s="2" t="n"/>
      <c r="C79" s="2" t="n"/>
      <c r="D79" s="2" t="n"/>
      <c r="E79" s="2" t="n"/>
      <c r="F79" s="2" t="n"/>
    </row>
    <row r="80" ht="15.75" customHeight="1" s="67">
      <c r="A80" s="2" t="n"/>
      <c r="B80" s="2" t="n"/>
      <c r="C80" s="2" t="n"/>
      <c r="D80" s="2" t="n"/>
      <c r="E80" s="2" t="n"/>
      <c r="F80" s="2" t="n"/>
    </row>
    <row r="81" ht="15.75" customHeight="1" s="67">
      <c r="A81" s="2" t="n"/>
      <c r="B81" s="2" t="n"/>
      <c r="C81" s="2" t="n"/>
      <c r="D81" s="2" t="n"/>
      <c r="E81" s="2" t="n"/>
      <c r="F81" s="2" t="n"/>
    </row>
    <row r="82" ht="15.75" customHeight="1" s="67">
      <c r="A82" s="2" t="n"/>
      <c r="B82" s="2" t="n"/>
      <c r="C82" s="2" t="n"/>
      <c r="D82" s="2" t="n"/>
      <c r="E82" s="2" t="n"/>
      <c r="F82" s="2" t="n"/>
    </row>
    <row r="83" ht="15.75" customHeight="1" s="67">
      <c r="A83" s="2" t="n"/>
      <c r="B83" s="2" t="n"/>
      <c r="C83" s="2" t="n"/>
      <c r="D83" s="2" t="n"/>
      <c r="E83" s="2" t="n"/>
      <c r="F83" s="2" t="n"/>
    </row>
    <row r="84" ht="15.75" customHeight="1" s="67">
      <c r="A84" s="2" t="n"/>
      <c r="B84" s="2" t="n"/>
      <c r="C84" s="2" t="n"/>
      <c r="D84" s="2" t="n"/>
      <c r="E84" s="2" t="n"/>
      <c r="F84" s="2" t="n"/>
    </row>
    <row r="85" ht="15.75" customHeight="1" s="67">
      <c r="A85" s="2" t="n"/>
      <c r="B85" s="2" t="n"/>
      <c r="C85" s="2" t="n"/>
      <c r="D85" s="2" t="n"/>
      <c r="E85" s="2" t="n"/>
      <c r="F85" s="2" t="n"/>
    </row>
    <row r="86" ht="15.75" customHeight="1" s="67">
      <c r="A86" s="2" t="n"/>
      <c r="B86" s="2" t="n"/>
      <c r="C86" s="2" t="n"/>
      <c r="D86" s="2" t="n"/>
      <c r="E86" s="2" t="n"/>
      <c r="F86" s="2" t="n"/>
    </row>
    <row r="87" ht="15.75" customHeight="1" s="67">
      <c r="A87" s="2" t="n"/>
      <c r="B87" s="2" t="n"/>
      <c r="C87" s="2" t="n"/>
      <c r="D87" s="2" t="n"/>
      <c r="E87" s="2" t="n"/>
      <c r="F87" s="2" t="n"/>
    </row>
    <row r="88" ht="15.75" customHeight="1" s="67">
      <c r="A88" s="2" t="n"/>
      <c r="B88" s="2" t="n"/>
      <c r="C88" s="2" t="n"/>
      <c r="D88" s="2" t="n"/>
      <c r="E88" s="2" t="n"/>
      <c r="F88" s="2" t="n"/>
    </row>
    <row r="89" ht="15.75" customHeight="1" s="67">
      <c r="A89" s="2" t="n"/>
      <c r="B89" s="2" t="n"/>
      <c r="C89" s="2" t="n"/>
      <c r="D89" s="2" t="n"/>
      <c r="E89" s="2" t="n"/>
      <c r="F89" s="2" t="n"/>
    </row>
    <row r="90" ht="15.75" customHeight="1" s="67">
      <c r="A90" s="2" t="n"/>
      <c r="B90" s="2" t="n"/>
      <c r="C90" s="2" t="n"/>
      <c r="D90" s="2" t="n"/>
      <c r="E90" s="2" t="n"/>
      <c r="F90" s="2" t="n"/>
    </row>
    <row r="91" ht="15.75" customHeight="1" s="67">
      <c r="A91" s="2" t="n"/>
      <c r="B91" s="2" t="n"/>
      <c r="C91" s="2" t="n"/>
      <c r="D91" s="2" t="n"/>
      <c r="E91" s="2" t="n"/>
      <c r="F91" s="2" t="n"/>
    </row>
    <row r="92" ht="15.75" customHeight="1" s="67">
      <c r="A92" s="2" t="n"/>
      <c r="B92" s="2" t="n"/>
      <c r="C92" s="2" t="n"/>
      <c r="D92" s="2" t="n"/>
      <c r="E92" s="2" t="n"/>
      <c r="F92" s="2" t="n"/>
    </row>
    <row r="93" ht="15.75" customHeight="1" s="67">
      <c r="A93" s="2" t="n"/>
      <c r="B93" s="2" t="n"/>
      <c r="C93" s="2" t="n"/>
      <c r="D93" s="2" t="n"/>
      <c r="E93" s="2" t="n"/>
      <c r="F93" s="2" t="n"/>
    </row>
    <row r="94" ht="15.75" customHeight="1" s="67">
      <c r="A94" s="2" t="n"/>
      <c r="B94" s="2" t="n"/>
      <c r="C94" s="2" t="n"/>
      <c r="D94" s="2" t="n"/>
      <c r="E94" s="2" t="n"/>
      <c r="F94" s="2" t="n"/>
    </row>
    <row r="95" ht="15.75" customHeight="1" s="67">
      <c r="A95" s="2" t="n"/>
      <c r="B95" s="2" t="n"/>
      <c r="C95" s="2" t="n"/>
      <c r="D95" s="2" t="n"/>
      <c r="E95" s="2" t="n"/>
      <c r="F95" s="2" t="n"/>
    </row>
    <row r="96" ht="15.75" customHeight="1" s="67">
      <c r="A96" s="2" t="n"/>
      <c r="B96" s="2" t="n"/>
      <c r="C96" s="2" t="n"/>
      <c r="D96" s="2" t="n"/>
      <c r="E96" s="2" t="n"/>
      <c r="F96" s="2" t="n"/>
    </row>
    <row r="97" ht="15.75" customHeight="1" s="67">
      <c r="A97" s="2" t="n"/>
      <c r="B97" s="2" t="n"/>
      <c r="C97" s="2" t="n"/>
      <c r="D97" s="2" t="n"/>
      <c r="E97" s="2" t="n"/>
      <c r="F97" s="2" t="n"/>
    </row>
    <row r="98" ht="15.75" customHeight="1" s="67">
      <c r="A98" s="2" t="n"/>
      <c r="B98" s="2" t="n"/>
      <c r="C98" s="2" t="n"/>
      <c r="D98" s="2" t="n"/>
      <c r="E98" s="2" t="n"/>
      <c r="F98" s="2" t="n"/>
    </row>
    <row r="99" ht="15.75" customHeight="1" s="67">
      <c r="A99" s="2" t="n"/>
      <c r="B99" s="2" t="n"/>
      <c r="C99" s="2" t="n"/>
      <c r="D99" s="2" t="n"/>
      <c r="E99" s="2" t="n"/>
      <c r="F99" s="2" t="n"/>
    </row>
    <row r="100" ht="15.75" customHeight="1" s="67">
      <c r="A100" s="2" t="n"/>
      <c r="B100" s="2" t="n"/>
      <c r="C100" s="2" t="n"/>
      <c r="D100" s="2" t="n"/>
      <c r="E100" s="2" t="n"/>
      <c r="F100" s="2" t="n"/>
    </row>
    <row r="101" ht="15.75" customHeight="1" s="67">
      <c r="A101" s="2" t="n"/>
      <c r="B101" s="2" t="n"/>
      <c r="C101" s="2" t="n"/>
      <c r="D101" s="2" t="n"/>
      <c r="E101" s="2" t="n"/>
      <c r="F101" s="2" t="n"/>
    </row>
    <row r="102" ht="15.75" customHeight="1" s="67">
      <c r="A102" s="2" t="n"/>
      <c r="B102" s="2" t="n"/>
      <c r="C102" s="2" t="n"/>
      <c r="D102" s="2" t="n"/>
      <c r="E102" s="2" t="n"/>
      <c r="F102" s="2" t="n"/>
    </row>
    <row r="103" ht="15.75" customHeight="1" s="67">
      <c r="A103" s="2" t="n"/>
      <c r="B103" s="2" t="n"/>
      <c r="C103" s="2" t="n"/>
      <c r="D103" s="2" t="n"/>
      <c r="E103" s="2" t="n"/>
      <c r="F103" s="2" t="n"/>
    </row>
    <row r="104" ht="15.75" customHeight="1" s="67">
      <c r="A104" s="2" t="n"/>
      <c r="B104" s="2" t="n"/>
      <c r="C104" s="2" t="n"/>
      <c r="D104" s="2" t="n"/>
      <c r="E104" s="2" t="n"/>
      <c r="F104" s="2" t="n"/>
    </row>
    <row r="105" ht="15.75" customHeight="1" s="67">
      <c r="A105" s="2" t="n"/>
      <c r="B105" s="2" t="n"/>
      <c r="C105" s="2" t="n"/>
      <c r="D105" s="2" t="n"/>
      <c r="E105" s="2" t="n"/>
      <c r="F105" s="2" t="n"/>
    </row>
    <row r="106" ht="15.75" customHeight="1" s="67">
      <c r="A106" s="2" t="n"/>
      <c r="B106" s="2" t="n"/>
      <c r="C106" s="2" t="n"/>
      <c r="D106" s="2" t="n"/>
      <c r="E106" s="2" t="n"/>
      <c r="F106" s="2" t="n"/>
    </row>
    <row r="107" ht="15.75" customHeight="1" s="67">
      <c r="A107" s="2" t="n"/>
      <c r="B107" s="2" t="n"/>
      <c r="C107" s="2" t="n"/>
      <c r="D107" s="2" t="n"/>
      <c r="E107" s="2" t="n"/>
      <c r="F107" s="2" t="n"/>
    </row>
    <row r="108" ht="15.75" customHeight="1" s="67">
      <c r="A108" s="2" t="n"/>
      <c r="B108" s="2" t="n"/>
      <c r="C108" s="2" t="n"/>
      <c r="D108" s="2" t="n"/>
      <c r="E108" s="2" t="n"/>
      <c r="F108" s="2" t="n"/>
    </row>
    <row r="109" ht="15.75" customHeight="1" s="67">
      <c r="A109" s="2" t="n"/>
      <c r="B109" s="2" t="n"/>
      <c r="C109" s="2" t="n"/>
      <c r="D109" s="2" t="n"/>
      <c r="E109" s="2" t="n"/>
      <c r="F109" s="2" t="n"/>
    </row>
    <row r="110" ht="15.75" customHeight="1" s="67">
      <c r="A110" s="2" t="n"/>
      <c r="B110" s="2" t="n"/>
      <c r="C110" s="2" t="n"/>
      <c r="D110" s="2" t="n"/>
      <c r="E110" s="2" t="n"/>
      <c r="F110" s="2" t="n"/>
    </row>
    <row r="111" ht="15.75" customHeight="1" s="67">
      <c r="A111" s="2" t="n"/>
      <c r="B111" s="2" t="n"/>
      <c r="C111" s="2" t="n"/>
      <c r="D111" s="2" t="n"/>
      <c r="E111" s="2" t="n"/>
      <c r="F111" s="2" t="n"/>
    </row>
    <row r="112" ht="15.75" customHeight="1" s="67">
      <c r="A112" s="2" t="n"/>
      <c r="B112" s="2" t="n"/>
      <c r="C112" s="2" t="n"/>
      <c r="D112" s="2" t="n"/>
      <c r="E112" s="2" t="n"/>
      <c r="F112" s="2" t="n"/>
    </row>
    <row r="113" ht="15.75" customHeight="1" s="67">
      <c r="A113" s="2" t="n"/>
      <c r="B113" s="2" t="n"/>
      <c r="C113" s="2" t="n"/>
      <c r="D113" s="2" t="n"/>
      <c r="E113" s="2" t="n"/>
      <c r="F113" s="2" t="n"/>
    </row>
    <row r="114" ht="15.75" customHeight="1" s="67">
      <c r="A114" s="2" t="n"/>
      <c r="B114" s="2" t="n"/>
      <c r="C114" s="2" t="n"/>
      <c r="D114" s="2" t="n"/>
      <c r="E114" s="2" t="n"/>
      <c r="F114" s="2" t="n"/>
    </row>
    <row r="115" ht="15.75" customHeight="1" s="67">
      <c r="A115" s="2" t="n"/>
      <c r="B115" s="2" t="n"/>
      <c r="C115" s="2" t="n"/>
      <c r="D115" s="2" t="n"/>
      <c r="E115" s="2" t="n"/>
      <c r="F115" s="2" t="n"/>
    </row>
    <row r="116" ht="15.75" customHeight="1" s="67">
      <c r="A116" s="2" t="n"/>
      <c r="B116" s="2" t="n"/>
      <c r="C116" s="2" t="n"/>
      <c r="D116" s="2" t="n"/>
      <c r="E116" s="2" t="n"/>
      <c r="F116" s="2" t="n"/>
    </row>
    <row r="117" ht="15.75" customHeight="1" s="67">
      <c r="A117" s="2" t="n"/>
      <c r="B117" s="2" t="n"/>
      <c r="C117" s="2" t="n"/>
      <c r="D117" s="2" t="n"/>
      <c r="E117" s="2" t="n"/>
      <c r="F117" s="2" t="n"/>
    </row>
    <row r="118" ht="15.75" customHeight="1" s="67">
      <c r="A118" s="2" t="n"/>
      <c r="B118" s="2" t="n"/>
      <c r="C118" s="2" t="n"/>
      <c r="D118" s="2" t="n"/>
      <c r="E118" s="2" t="n"/>
      <c r="F118" s="2" t="n"/>
    </row>
    <row r="119" ht="15.75" customHeight="1" s="67">
      <c r="A119" s="2" t="n"/>
      <c r="B119" s="2" t="n"/>
      <c r="C119" s="2" t="n"/>
      <c r="D119" s="2" t="n"/>
      <c r="E119" s="2" t="n"/>
      <c r="F119" s="2" t="n"/>
    </row>
    <row r="120" ht="15.75" customHeight="1" s="67">
      <c r="A120" s="2" t="n"/>
      <c r="B120" s="2" t="n"/>
      <c r="C120" s="2" t="n"/>
      <c r="D120" s="2" t="n"/>
      <c r="E120" s="2" t="n"/>
      <c r="F120" s="2" t="n"/>
    </row>
    <row r="121" ht="15.75" customHeight="1" s="67">
      <c r="A121" s="2" t="n"/>
      <c r="B121" s="2" t="n"/>
      <c r="C121" s="2" t="n"/>
      <c r="D121" s="2" t="n"/>
      <c r="E121" s="2" t="n"/>
      <c r="F121" s="2" t="n"/>
    </row>
    <row r="122" ht="15.75" customHeight="1" s="67">
      <c r="A122" s="2" t="n"/>
      <c r="B122" s="2" t="n"/>
      <c r="C122" s="2" t="n"/>
      <c r="D122" s="2" t="n"/>
      <c r="E122" s="2" t="n"/>
      <c r="F122" s="2" t="n"/>
    </row>
    <row r="123" ht="15.75" customHeight="1" s="67">
      <c r="A123" s="2" t="n"/>
      <c r="B123" s="2" t="n"/>
      <c r="C123" s="2" t="n"/>
      <c r="D123" s="2" t="n"/>
      <c r="E123" s="2" t="n"/>
      <c r="F123" s="2" t="n"/>
    </row>
    <row r="124" ht="15.75" customHeight="1" s="67">
      <c r="A124" s="2" t="n"/>
      <c r="B124" s="2" t="n"/>
      <c r="C124" s="2" t="n"/>
      <c r="D124" s="2" t="n"/>
      <c r="E124" s="2" t="n"/>
      <c r="F124" s="2" t="n"/>
    </row>
    <row r="125" ht="15.75" customHeight="1" s="67">
      <c r="A125" s="2" t="n"/>
      <c r="B125" s="2" t="n"/>
      <c r="C125" s="2" t="n"/>
      <c r="D125" s="2" t="n"/>
      <c r="E125" s="2" t="n"/>
      <c r="F125" s="2" t="n"/>
    </row>
    <row r="126" ht="15.75" customHeight="1" s="67">
      <c r="A126" s="2" t="n"/>
      <c r="B126" s="2" t="n"/>
      <c r="C126" s="2" t="n"/>
      <c r="D126" s="2" t="n"/>
      <c r="E126" s="2" t="n"/>
      <c r="F126" s="2" t="n"/>
    </row>
    <row r="127" ht="15.75" customHeight="1" s="67">
      <c r="A127" s="2" t="n"/>
      <c r="B127" s="2" t="n"/>
      <c r="C127" s="2" t="n"/>
      <c r="D127" s="2" t="n"/>
      <c r="E127" s="2" t="n"/>
      <c r="F127" s="2" t="n"/>
    </row>
    <row r="128" ht="15.75" customHeight="1" s="67">
      <c r="A128" s="2" t="n"/>
      <c r="B128" s="2" t="n"/>
      <c r="C128" s="2" t="n"/>
      <c r="D128" s="2" t="n"/>
      <c r="E128" s="2" t="n"/>
      <c r="F128" s="2" t="n"/>
    </row>
    <row r="129" ht="15.75" customHeight="1" s="67">
      <c r="A129" s="2" t="n"/>
      <c r="B129" s="2" t="n"/>
      <c r="C129" s="2" t="n"/>
      <c r="D129" s="2" t="n"/>
      <c r="E129" s="2" t="n"/>
      <c r="F129" s="2" t="n"/>
    </row>
    <row r="130" ht="15.75" customHeight="1" s="67">
      <c r="A130" s="2" t="n"/>
      <c r="B130" s="2" t="n"/>
      <c r="C130" s="2" t="n"/>
      <c r="D130" s="2" t="n"/>
      <c r="E130" s="2" t="n"/>
      <c r="F130" s="2" t="n"/>
    </row>
    <row r="131" ht="15.75" customHeight="1" s="67">
      <c r="A131" s="2" t="n"/>
      <c r="B131" s="2" t="n"/>
      <c r="C131" s="2" t="n"/>
      <c r="D131" s="2" t="n"/>
      <c r="E131" s="2" t="n"/>
      <c r="F131" s="2" t="n"/>
    </row>
    <row r="132" ht="15.75" customHeight="1" s="67">
      <c r="A132" s="2" t="n"/>
      <c r="B132" s="2" t="n"/>
      <c r="C132" s="2" t="n"/>
      <c r="D132" s="2" t="n"/>
      <c r="E132" s="2" t="n"/>
      <c r="F132" s="2" t="n"/>
    </row>
    <row r="133" ht="15.75" customHeight="1" s="67">
      <c r="A133" s="2" t="n"/>
      <c r="B133" s="2" t="n"/>
      <c r="C133" s="2" t="n"/>
      <c r="D133" s="2" t="n"/>
      <c r="E133" s="2" t="n"/>
      <c r="F133" s="2" t="n"/>
    </row>
    <row r="134" ht="15.75" customHeight="1" s="67">
      <c r="A134" s="2" t="n"/>
      <c r="B134" s="2" t="n"/>
      <c r="C134" s="2" t="n"/>
      <c r="D134" s="2" t="n"/>
      <c r="E134" s="2" t="n"/>
      <c r="F134" s="2" t="n"/>
    </row>
    <row r="135" ht="15.75" customHeight="1" s="67">
      <c r="A135" s="2" t="n"/>
      <c r="B135" s="2" t="n"/>
      <c r="C135" s="2" t="n"/>
      <c r="D135" s="2" t="n"/>
      <c r="E135" s="2" t="n"/>
      <c r="F135" s="2" t="n"/>
    </row>
    <row r="136" ht="15.75" customHeight="1" s="67">
      <c r="A136" s="2" t="n"/>
      <c r="B136" s="2" t="n"/>
      <c r="C136" s="2" t="n"/>
      <c r="D136" s="2" t="n"/>
      <c r="E136" s="2" t="n"/>
      <c r="F136" s="2" t="n"/>
    </row>
    <row r="137" ht="15.75" customHeight="1" s="67">
      <c r="A137" s="2" t="n"/>
      <c r="B137" s="2" t="n"/>
      <c r="C137" s="2" t="n"/>
      <c r="D137" s="2" t="n"/>
      <c r="E137" s="2" t="n"/>
      <c r="F137" s="2" t="n"/>
    </row>
    <row r="138" ht="15.75" customHeight="1" s="67">
      <c r="A138" s="2" t="n"/>
      <c r="B138" s="2" t="n"/>
      <c r="C138" s="2" t="n"/>
      <c r="D138" s="2" t="n"/>
      <c r="E138" s="2" t="n"/>
      <c r="F138" s="2" t="n"/>
    </row>
    <row r="139" ht="15.75" customHeight="1" s="67">
      <c r="A139" s="2" t="n"/>
      <c r="B139" s="2" t="n"/>
      <c r="C139" s="2" t="n"/>
      <c r="D139" s="2" t="n"/>
      <c r="E139" s="2" t="n"/>
      <c r="F139" s="2" t="n"/>
    </row>
    <row r="140" ht="15.75" customHeight="1" s="67">
      <c r="A140" s="2" t="n"/>
      <c r="B140" s="2" t="n"/>
      <c r="C140" s="2" t="n"/>
      <c r="D140" s="2" t="n"/>
      <c r="E140" s="2" t="n"/>
      <c r="F140" s="2" t="n"/>
    </row>
    <row r="141" ht="15.75" customHeight="1" s="67">
      <c r="A141" s="2" t="n"/>
      <c r="B141" s="2" t="n"/>
      <c r="C141" s="2" t="n"/>
      <c r="D141" s="2" t="n"/>
      <c r="E141" s="2" t="n"/>
      <c r="F141" s="2" t="n"/>
    </row>
    <row r="142" ht="15.75" customHeight="1" s="67">
      <c r="A142" s="2" t="n"/>
      <c r="B142" s="2" t="n"/>
      <c r="C142" s="2" t="n"/>
      <c r="D142" s="2" t="n"/>
      <c r="E142" s="2" t="n"/>
      <c r="F142" s="2" t="n"/>
    </row>
    <row r="143" ht="15.75" customHeight="1" s="67">
      <c r="A143" s="2" t="n"/>
      <c r="B143" s="2" t="n"/>
      <c r="C143" s="2" t="n"/>
      <c r="D143" s="2" t="n"/>
      <c r="E143" s="2" t="n"/>
      <c r="F143" s="2" t="n"/>
    </row>
    <row r="144" ht="15.75" customHeight="1" s="67">
      <c r="A144" s="2" t="n"/>
      <c r="B144" s="2" t="n"/>
      <c r="C144" s="2" t="n"/>
      <c r="D144" s="2" t="n"/>
      <c r="E144" s="2" t="n"/>
      <c r="F144" s="2" t="n"/>
    </row>
    <row r="145" ht="15.75" customHeight="1" s="67">
      <c r="A145" s="2" t="n"/>
      <c r="B145" s="2" t="n"/>
      <c r="C145" s="2" t="n"/>
      <c r="D145" s="2" t="n"/>
      <c r="E145" s="2" t="n"/>
      <c r="F145" s="2" t="n"/>
    </row>
    <row r="146" ht="15.75" customHeight="1" s="67">
      <c r="A146" s="2" t="n"/>
      <c r="B146" s="2" t="n"/>
      <c r="C146" s="2" t="n"/>
      <c r="D146" s="2" t="n"/>
      <c r="E146" s="2" t="n"/>
      <c r="F146" s="2" t="n"/>
    </row>
    <row r="147" ht="15.75" customHeight="1" s="67">
      <c r="A147" s="2" t="n"/>
      <c r="B147" s="2" t="n"/>
      <c r="C147" s="2" t="n"/>
      <c r="D147" s="2" t="n"/>
      <c r="E147" s="2" t="n"/>
      <c r="F147" s="2" t="n"/>
    </row>
    <row r="148" ht="15.75" customHeight="1" s="67">
      <c r="A148" s="2" t="n"/>
      <c r="B148" s="2" t="n"/>
      <c r="C148" s="2" t="n"/>
      <c r="D148" s="2" t="n"/>
      <c r="E148" s="2" t="n"/>
      <c r="F148" s="2" t="n"/>
    </row>
    <row r="149" ht="15.75" customHeight="1" s="67">
      <c r="A149" s="2" t="n"/>
      <c r="B149" s="2" t="n"/>
      <c r="C149" s="2" t="n"/>
      <c r="D149" s="2" t="n"/>
      <c r="E149" s="2" t="n"/>
      <c r="F149" s="2" t="n"/>
    </row>
    <row r="150" ht="15.75" customHeight="1" s="67">
      <c r="A150" s="2" t="n"/>
      <c r="B150" s="2" t="n"/>
      <c r="C150" s="2" t="n"/>
      <c r="D150" s="2" t="n"/>
      <c r="E150" s="2" t="n"/>
      <c r="F150" s="2" t="n"/>
    </row>
    <row r="151" ht="15.75" customHeight="1" s="67">
      <c r="A151" s="2" t="n"/>
      <c r="B151" s="2" t="n"/>
      <c r="C151" s="2" t="n"/>
      <c r="D151" s="2" t="n"/>
      <c r="E151" s="2" t="n"/>
      <c r="F151" s="2" t="n"/>
    </row>
    <row r="152" ht="15.75" customHeight="1" s="67">
      <c r="A152" s="2" t="n"/>
      <c r="B152" s="2" t="n"/>
      <c r="C152" s="2" t="n"/>
      <c r="D152" s="2" t="n"/>
      <c r="E152" s="2" t="n"/>
      <c r="F152" s="2" t="n"/>
    </row>
    <row r="153" ht="15.75" customHeight="1" s="67">
      <c r="A153" s="2" t="n"/>
      <c r="B153" s="2" t="n"/>
      <c r="C153" s="2" t="n"/>
      <c r="D153" s="2" t="n"/>
      <c r="E153" s="2" t="n"/>
      <c r="F153" s="2" t="n"/>
    </row>
    <row r="154" ht="15.75" customHeight="1" s="67">
      <c r="A154" s="2" t="n"/>
      <c r="B154" s="2" t="n"/>
      <c r="C154" s="2" t="n"/>
      <c r="D154" s="2" t="n"/>
      <c r="E154" s="2" t="n"/>
      <c r="F154" s="2" t="n"/>
    </row>
    <row r="155" ht="15.75" customHeight="1" s="67">
      <c r="A155" s="2" t="n"/>
      <c r="B155" s="2" t="n"/>
      <c r="C155" s="2" t="n"/>
      <c r="D155" s="2" t="n"/>
      <c r="E155" s="2" t="n"/>
      <c r="F155" s="2" t="n"/>
    </row>
    <row r="156" ht="15.75" customHeight="1" s="67">
      <c r="A156" s="2" t="n"/>
      <c r="B156" s="2" t="n"/>
      <c r="C156" s="2" t="n"/>
      <c r="D156" s="2" t="n"/>
      <c r="E156" s="2" t="n"/>
      <c r="F156" s="2" t="n"/>
    </row>
    <row r="157" ht="15.75" customHeight="1" s="67">
      <c r="A157" s="2" t="n"/>
      <c r="B157" s="2" t="n"/>
      <c r="C157" s="2" t="n"/>
      <c r="D157" s="2" t="n"/>
      <c r="E157" s="2" t="n"/>
      <c r="F157" s="2" t="n"/>
    </row>
    <row r="158" ht="15.75" customHeight="1" s="67">
      <c r="A158" s="2" t="n"/>
      <c r="B158" s="2" t="n"/>
      <c r="C158" s="2" t="n"/>
      <c r="D158" s="2" t="n"/>
      <c r="E158" s="2" t="n"/>
      <c r="F158" s="2" t="n"/>
    </row>
    <row r="159" ht="15.75" customHeight="1" s="67">
      <c r="A159" s="2" t="n"/>
      <c r="B159" s="2" t="n"/>
      <c r="C159" s="2" t="n"/>
      <c r="D159" s="2" t="n"/>
      <c r="E159" s="2" t="n"/>
      <c r="F159" s="2" t="n"/>
    </row>
    <row r="160" ht="15.75" customHeight="1" s="67">
      <c r="A160" s="2" t="n"/>
      <c r="B160" s="2" t="n"/>
      <c r="C160" s="2" t="n"/>
      <c r="D160" s="2" t="n"/>
      <c r="E160" s="2" t="n"/>
      <c r="F160" s="2" t="n"/>
    </row>
    <row r="161" ht="15.75" customHeight="1" s="67">
      <c r="A161" s="2" t="n"/>
      <c r="B161" s="2" t="n"/>
      <c r="C161" s="2" t="n"/>
      <c r="D161" s="2" t="n"/>
      <c r="E161" s="2" t="n"/>
      <c r="F161" s="2" t="n"/>
    </row>
    <row r="162" ht="15.75" customHeight="1" s="67">
      <c r="A162" s="2" t="n"/>
      <c r="B162" s="2" t="n"/>
      <c r="C162" s="2" t="n"/>
      <c r="D162" s="2" t="n"/>
      <c r="E162" s="2" t="n"/>
      <c r="F162" s="2" t="n"/>
    </row>
    <row r="163" ht="15.75" customHeight="1" s="67">
      <c r="A163" s="2" t="n"/>
      <c r="B163" s="2" t="n"/>
      <c r="C163" s="2" t="n"/>
      <c r="D163" s="2" t="n"/>
      <c r="E163" s="2" t="n"/>
      <c r="F163" s="2" t="n"/>
    </row>
    <row r="164" ht="15.75" customHeight="1" s="67">
      <c r="A164" s="2" t="n"/>
      <c r="B164" s="2" t="n"/>
      <c r="C164" s="2" t="n"/>
      <c r="D164" s="2" t="n"/>
      <c r="E164" s="2" t="n"/>
      <c r="F164" s="2" t="n"/>
    </row>
    <row r="165" ht="15.75" customHeight="1" s="67">
      <c r="A165" s="2" t="n"/>
      <c r="B165" s="2" t="n"/>
      <c r="C165" s="2" t="n"/>
      <c r="D165" s="2" t="n"/>
      <c r="E165" s="2" t="n"/>
      <c r="F165" s="2" t="n"/>
    </row>
    <row r="166" ht="15.75" customHeight="1" s="67">
      <c r="A166" s="2" t="n"/>
      <c r="B166" s="2" t="n"/>
      <c r="C166" s="2" t="n"/>
      <c r="D166" s="2" t="n"/>
      <c r="E166" s="2" t="n"/>
      <c r="F166" s="2" t="n"/>
    </row>
    <row r="167" ht="15.75" customHeight="1" s="67">
      <c r="A167" s="2" t="n"/>
      <c r="B167" s="2" t="n"/>
      <c r="C167" s="2" t="n"/>
      <c r="D167" s="2" t="n"/>
      <c r="E167" s="2" t="n"/>
      <c r="F167" s="2" t="n"/>
    </row>
    <row r="168" ht="15.75" customHeight="1" s="67">
      <c r="A168" s="2" t="n"/>
      <c r="B168" s="2" t="n"/>
      <c r="C168" s="2" t="n"/>
      <c r="D168" s="2" t="n"/>
      <c r="E168" s="2" t="n"/>
      <c r="F168" s="2" t="n"/>
    </row>
    <row r="169" ht="15.75" customHeight="1" s="67">
      <c r="A169" s="2" t="n"/>
      <c r="B169" s="2" t="n"/>
      <c r="C169" s="2" t="n"/>
      <c r="D169" s="2" t="n"/>
      <c r="E169" s="2" t="n"/>
      <c r="F169" s="2" t="n"/>
    </row>
    <row r="170" ht="15.75" customHeight="1" s="67">
      <c r="A170" s="2" t="n"/>
      <c r="B170" s="2" t="n"/>
      <c r="C170" s="2" t="n"/>
      <c r="D170" s="2" t="n"/>
      <c r="E170" s="2" t="n"/>
      <c r="F170" s="2" t="n"/>
    </row>
    <row r="171" ht="15.75" customHeight="1" s="67">
      <c r="A171" s="2" t="n"/>
      <c r="B171" s="2" t="n"/>
      <c r="C171" s="2" t="n"/>
      <c r="D171" s="2" t="n"/>
      <c r="E171" s="2" t="n"/>
      <c r="F171" s="2" t="n"/>
    </row>
    <row r="172" ht="15.75" customHeight="1" s="67">
      <c r="A172" s="2" t="n"/>
      <c r="B172" s="2" t="n"/>
      <c r="C172" s="2" t="n"/>
      <c r="D172" s="2" t="n"/>
      <c r="E172" s="2" t="n"/>
      <c r="F172" s="2" t="n"/>
    </row>
    <row r="173" ht="15.75" customHeight="1" s="67">
      <c r="A173" s="2" t="n"/>
      <c r="B173" s="2" t="n"/>
      <c r="C173" s="2" t="n"/>
      <c r="D173" s="2" t="n"/>
      <c r="E173" s="2" t="n"/>
      <c r="F173" s="2" t="n"/>
    </row>
    <row r="174" ht="15.75" customHeight="1" s="67">
      <c r="A174" s="2" t="n"/>
      <c r="B174" s="2" t="n"/>
      <c r="C174" s="2" t="n"/>
      <c r="D174" s="2" t="n"/>
      <c r="E174" s="2" t="n"/>
      <c r="F174" s="2" t="n"/>
    </row>
    <row r="175" ht="15.75" customHeight="1" s="67">
      <c r="A175" s="2" t="n"/>
      <c r="B175" s="2" t="n"/>
      <c r="C175" s="2" t="n"/>
      <c r="D175" s="2" t="n"/>
      <c r="E175" s="2" t="n"/>
      <c r="F175" s="2" t="n"/>
    </row>
    <row r="176" ht="15.75" customHeight="1" s="67">
      <c r="A176" s="2" t="n"/>
      <c r="B176" s="2" t="n"/>
      <c r="C176" s="2" t="n"/>
      <c r="D176" s="2" t="n"/>
      <c r="E176" s="2" t="n"/>
      <c r="F176" s="2" t="n"/>
    </row>
    <row r="177" ht="15.75" customHeight="1" s="67">
      <c r="A177" s="2" t="n"/>
      <c r="B177" s="2" t="n"/>
      <c r="C177" s="2" t="n"/>
      <c r="D177" s="2" t="n"/>
      <c r="E177" s="2" t="n"/>
      <c r="F177" s="2" t="n"/>
    </row>
    <row r="178" ht="15.75" customHeight="1" s="67">
      <c r="A178" s="2" t="n"/>
      <c r="B178" s="2" t="n"/>
      <c r="C178" s="2" t="n"/>
      <c r="D178" s="2" t="n"/>
      <c r="E178" s="2" t="n"/>
      <c r="F178" s="2" t="n"/>
    </row>
    <row r="179" ht="15.75" customHeight="1" s="67">
      <c r="A179" s="2" t="n"/>
      <c r="B179" s="2" t="n"/>
      <c r="C179" s="2" t="n"/>
      <c r="D179" s="2" t="n"/>
      <c r="E179" s="2" t="n"/>
      <c r="F179" s="2" t="n"/>
    </row>
    <row r="180" ht="15.75" customHeight="1" s="67">
      <c r="A180" s="2" t="n"/>
      <c r="B180" s="2" t="n"/>
      <c r="C180" s="2" t="n"/>
      <c r="D180" s="2" t="n"/>
      <c r="E180" s="2" t="n"/>
      <c r="F180" s="2" t="n"/>
    </row>
    <row r="181" ht="15.75" customHeight="1" s="67">
      <c r="A181" s="2" t="n"/>
      <c r="B181" s="2" t="n"/>
      <c r="C181" s="2" t="n"/>
      <c r="D181" s="2" t="n"/>
      <c r="E181" s="2" t="n"/>
      <c r="F181" s="2" t="n"/>
    </row>
    <row r="182" ht="15.75" customHeight="1" s="67">
      <c r="A182" s="2" t="n"/>
      <c r="B182" s="2" t="n"/>
      <c r="C182" s="2" t="n"/>
      <c r="D182" s="2" t="n"/>
      <c r="E182" s="2" t="n"/>
      <c r="F182" s="2" t="n"/>
    </row>
    <row r="183" ht="15.75" customHeight="1" s="67">
      <c r="A183" s="2" t="n"/>
      <c r="B183" s="2" t="n"/>
      <c r="C183" s="2" t="n"/>
      <c r="D183" s="2" t="n"/>
      <c r="E183" s="2" t="n"/>
      <c r="F183" s="2" t="n"/>
    </row>
    <row r="184" ht="15.75" customHeight="1" s="67">
      <c r="A184" s="2" t="n"/>
      <c r="B184" s="2" t="n"/>
      <c r="C184" s="2" t="n"/>
      <c r="D184" s="2" t="n"/>
      <c r="E184" s="2" t="n"/>
      <c r="F184" s="2" t="n"/>
    </row>
    <row r="185" ht="15.75" customHeight="1" s="67">
      <c r="A185" s="2" t="n"/>
      <c r="B185" s="2" t="n"/>
      <c r="C185" s="2" t="n"/>
      <c r="D185" s="2" t="n"/>
      <c r="E185" s="2" t="n"/>
      <c r="F185" s="2" t="n"/>
    </row>
    <row r="186" ht="15.75" customHeight="1" s="67">
      <c r="A186" s="2" t="n"/>
      <c r="B186" s="2" t="n"/>
      <c r="C186" s="2" t="n"/>
      <c r="D186" s="2" t="n"/>
      <c r="E186" s="2" t="n"/>
      <c r="F186" s="2" t="n"/>
    </row>
    <row r="187" ht="15.75" customHeight="1" s="67">
      <c r="A187" s="2" t="n"/>
      <c r="B187" s="2" t="n"/>
      <c r="C187" s="2" t="n"/>
      <c r="D187" s="2" t="n"/>
      <c r="E187" s="2" t="n"/>
      <c r="F187" s="2" t="n"/>
    </row>
    <row r="188" ht="15.75" customHeight="1" s="67">
      <c r="A188" s="2" t="n"/>
      <c r="B188" s="2" t="n"/>
      <c r="C188" s="2" t="n"/>
      <c r="D188" s="2" t="n"/>
      <c r="E188" s="2" t="n"/>
      <c r="F188" s="2" t="n"/>
    </row>
    <row r="189" ht="15.75" customHeight="1" s="67">
      <c r="A189" s="2" t="n"/>
      <c r="B189" s="2" t="n"/>
      <c r="C189" s="2" t="n"/>
      <c r="D189" s="2" t="n"/>
      <c r="E189" s="2" t="n"/>
      <c r="F189" s="2" t="n"/>
    </row>
    <row r="190" ht="15.75" customHeight="1" s="67">
      <c r="A190" s="2" t="n"/>
      <c r="B190" s="2" t="n"/>
      <c r="C190" s="2" t="n"/>
      <c r="D190" s="2" t="n"/>
      <c r="E190" s="2" t="n"/>
      <c r="F190" s="2" t="n"/>
    </row>
    <row r="191" ht="15.75" customHeight="1" s="67">
      <c r="A191" s="2" t="n"/>
      <c r="B191" s="2" t="n"/>
      <c r="C191" s="2" t="n"/>
      <c r="D191" s="2" t="n"/>
      <c r="E191" s="2" t="n"/>
      <c r="F191" s="2" t="n"/>
    </row>
    <row r="192" ht="15.75" customHeight="1" s="67">
      <c r="A192" s="2" t="n"/>
      <c r="B192" s="2" t="n"/>
      <c r="C192" s="2" t="n"/>
      <c r="D192" s="2" t="n"/>
      <c r="E192" s="2" t="n"/>
      <c r="F192" s="2" t="n"/>
    </row>
    <row r="193" ht="15.75" customHeight="1" s="67">
      <c r="A193" s="2" t="n"/>
      <c r="B193" s="2" t="n"/>
      <c r="C193" s="2" t="n"/>
      <c r="D193" s="2" t="n"/>
      <c r="E193" s="2" t="n"/>
      <c r="F193" s="2" t="n"/>
    </row>
    <row r="194" ht="15.75" customHeight="1" s="67">
      <c r="A194" s="2" t="n"/>
      <c r="B194" s="2" t="n"/>
      <c r="C194" s="2" t="n"/>
      <c r="D194" s="2" t="n"/>
      <c r="E194" s="2" t="n"/>
      <c r="F194" s="2" t="n"/>
    </row>
    <row r="195" ht="15.75" customHeight="1" s="67">
      <c r="A195" s="2" t="n"/>
      <c r="B195" s="2" t="n"/>
      <c r="C195" s="2" t="n"/>
      <c r="D195" s="2" t="n"/>
      <c r="E195" s="2" t="n"/>
      <c r="F195" s="2" t="n"/>
    </row>
    <row r="196" ht="15.75" customHeight="1" s="67">
      <c r="A196" s="2" t="n"/>
      <c r="B196" s="2" t="n"/>
      <c r="C196" s="2" t="n"/>
      <c r="D196" s="2" t="n"/>
      <c r="E196" s="2" t="n"/>
      <c r="F196" s="2" t="n"/>
    </row>
    <row r="197" ht="15.75" customHeight="1" s="67">
      <c r="A197" s="2" t="n"/>
      <c r="B197" s="2" t="n"/>
      <c r="C197" s="2" t="n"/>
      <c r="D197" s="2" t="n"/>
      <c r="E197" s="2" t="n"/>
      <c r="F197" s="2" t="n"/>
    </row>
    <row r="198" ht="15.75" customHeight="1" s="67">
      <c r="A198" s="2" t="n"/>
      <c r="B198" s="2" t="n"/>
      <c r="C198" s="2" t="n"/>
      <c r="D198" s="2" t="n"/>
      <c r="E198" s="2" t="n"/>
      <c r="F198" s="2" t="n"/>
    </row>
    <row r="199" ht="15.75" customHeight="1" s="67">
      <c r="A199" s="2" t="n"/>
      <c r="B199" s="2" t="n"/>
      <c r="C199" s="2" t="n"/>
      <c r="D199" s="2" t="n"/>
      <c r="E199" s="2" t="n"/>
      <c r="F199" s="2" t="n"/>
    </row>
    <row r="200" ht="15.75" customHeight="1" s="67">
      <c r="A200" s="2" t="n"/>
      <c r="B200" s="2" t="n"/>
      <c r="C200" s="2" t="n"/>
      <c r="D200" s="2" t="n"/>
      <c r="E200" s="2" t="n"/>
      <c r="F200" s="2" t="n"/>
    </row>
    <row r="201" ht="15.75" customHeight="1" s="67">
      <c r="A201" s="2" t="n"/>
      <c r="B201" s="2" t="n"/>
      <c r="C201" s="2" t="n"/>
      <c r="D201" s="2" t="n"/>
      <c r="E201" s="2" t="n"/>
      <c r="F201" s="2" t="n"/>
    </row>
    <row r="202" ht="15.75" customHeight="1" s="67">
      <c r="A202" s="2" t="n"/>
      <c r="B202" s="2" t="n"/>
      <c r="C202" s="2" t="n"/>
      <c r="D202" s="2" t="n"/>
      <c r="E202" s="2" t="n"/>
      <c r="F202" s="2" t="n"/>
    </row>
    <row r="203" ht="15.75" customHeight="1" s="67">
      <c r="A203" s="2" t="n"/>
      <c r="B203" s="2" t="n"/>
      <c r="C203" s="2" t="n"/>
      <c r="D203" s="2" t="n"/>
      <c r="E203" s="2" t="n"/>
      <c r="F203" s="2" t="n"/>
    </row>
    <row r="204" ht="15.75" customHeight="1" s="67">
      <c r="A204" s="2" t="n"/>
      <c r="B204" s="2" t="n"/>
      <c r="C204" s="2" t="n"/>
      <c r="D204" s="2" t="n"/>
      <c r="E204" s="2" t="n"/>
      <c r="F204" s="2" t="n"/>
    </row>
    <row r="205" ht="15.75" customHeight="1" s="67">
      <c r="A205" s="2" t="n"/>
      <c r="B205" s="2" t="n"/>
      <c r="C205" s="2" t="n"/>
      <c r="D205" s="2" t="n"/>
      <c r="E205" s="2" t="n"/>
      <c r="F205" s="2" t="n"/>
    </row>
    <row r="206" ht="15.75" customHeight="1" s="67">
      <c r="A206" s="2" t="n"/>
      <c r="B206" s="2" t="n"/>
      <c r="C206" s="2" t="n"/>
      <c r="D206" s="2" t="n"/>
      <c r="E206" s="2" t="n"/>
      <c r="F206" s="2" t="n"/>
    </row>
    <row r="207" ht="15.75" customHeight="1" s="67">
      <c r="A207" s="2" t="n"/>
      <c r="B207" s="2" t="n"/>
      <c r="C207" s="2" t="n"/>
      <c r="D207" s="2" t="n"/>
      <c r="E207" s="2" t="n"/>
      <c r="F207" s="2" t="n"/>
    </row>
    <row r="208" ht="15.75" customHeight="1" s="67">
      <c r="A208" s="2" t="n"/>
      <c r="B208" s="2" t="n"/>
      <c r="C208" s="2" t="n"/>
      <c r="D208" s="2" t="n"/>
      <c r="E208" s="2" t="n"/>
      <c r="F208" s="2" t="n"/>
    </row>
    <row r="209" ht="15.75" customHeight="1" s="67">
      <c r="A209" s="2" t="n"/>
      <c r="B209" s="2" t="n"/>
      <c r="C209" s="2" t="n"/>
      <c r="D209" s="2" t="n"/>
      <c r="E209" s="2" t="n"/>
      <c r="F209" s="2" t="n"/>
    </row>
    <row r="210" ht="15.75" customHeight="1" s="67">
      <c r="A210" s="2" t="n"/>
      <c r="B210" s="2" t="n"/>
      <c r="C210" s="2" t="n"/>
      <c r="D210" s="2" t="n"/>
      <c r="E210" s="2" t="n"/>
      <c r="F210" s="2" t="n"/>
    </row>
    <row r="211" ht="15.75" customHeight="1" s="67">
      <c r="A211" s="2" t="n"/>
      <c r="B211" s="2" t="n"/>
      <c r="C211" s="2" t="n"/>
      <c r="D211" s="2" t="n"/>
      <c r="E211" s="2" t="n"/>
      <c r="F211" s="2" t="n"/>
    </row>
    <row r="212" ht="15.75" customHeight="1" s="67">
      <c r="A212" s="2" t="n"/>
      <c r="B212" s="2" t="n"/>
      <c r="C212" s="2" t="n"/>
      <c r="D212" s="2" t="n"/>
      <c r="E212" s="2" t="n"/>
      <c r="F212" s="2" t="n"/>
    </row>
    <row r="213" ht="15.75" customHeight="1" s="67">
      <c r="A213" s="2" t="n"/>
      <c r="B213" s="2" t="n"/>
      <c r="C213" s="2" t="n"/>
      <c r="D213" s="2" t="n"/>
      <c r="E213" s="2" t="n"/>
      <c r="F213" s="2" t="n"/>
    </row>
    <row r="214" ht="15.75" customHeight="1" s="67">
      <c r="A214" s="2" t="n"/>
      <c r="B214" s="2" t="n"/>
      <c r="C214" s="2" t="n"/>
      <c r="D214" s="2" t="n"/>
      <c r="E214" s="2" t="n"/>
      <c r="F214" s="2" t="n"/>
    </row>
    <row r="215" ht="15.75" customHeight="1" s="67">
      <c r="A215" s="2" t="n"/>
      <c r="B215" s="2" t="n"/>
      <c r="C215" s="2" t="n"/>
      <c r="D215" s="2" t="n"/>
      <c r="E215" s="2" t="n"/>
      <c r="F215" s="2" t="n"/>
    </row>
    <row r="216" ht="15.75" customHeight="1" s="67">
      <c r="A216" s="2" t="n"/>
      <c r="B216" s="2" t="n"/>
      <c r="C216" s="2" t="n"/>
      <c r="D216" s="2" t="n"/>
      <c r="E216" s="2" t="n"/>
      <c r="F216" s="2" t="n"/>
    </row>
    <row r="217" ht="15.75" customHeight="1" s="67">
      <c r="A217" s="2" t="n"/>
      <c r="B217" s="2" t="n"/>
      <c r="C217" s="2" t="n"/>
      <c r="D217" s="2" t="n"/>
      <c r="E217" s="2" t="n"/>
      <c r="F217" s="2" t="n"/>
    </row>
    <row r="218" ht="15.75" customHeight="1" s="67">
      <c r="A218" s="2" t="n"/>
      <c r="B218" s="2" t="n"/>
      <c r="C218" s="2" t="n"/>
      <c r="D218" s="2" t="n"/>
      <c r="E218" s="2" t="n"/>
      <c r="F218" s="2" t="n"/>
    </row>
    <row r="219" ht="15.75" customHeight="1" s="67">
      <c r="A219" s="2" t="n"/>
      <c r="B219" s="2" t="n"/>
      <c r="C219" s="2" t="n"/>
      <c r="D219" s="2" t="n"/>
      <c r="E219" s="2" t="n"/>
      <c r="F219" s="2" t="n"/>
    </row>
    <row r="220" ht="15.75" customHeight="1" s="67">
      <c r="A220" s="2" t="n"/>
      <c r="B220" s="2" t="n"/>
      <c r="C220" s="2" t="n"/>
      <c r="D220" s="2" t="n"/>
      <c r="E220" s="2" t="n"/>
      <c r="F220" s="2" t="n"/>
    </row>
    <row r="221" ht="15.75" customHeight="1" s="67">
      <c r="A221" s="2" t="n"/>
      <c r="B221" s="2" t="n"/>
      <c r="C221" s="2" t="n"/>
      <c r="D221" s="2" t="n"/>
      <c r="E221" s="2" t="n"/>
      <c r="F221" s="2" t="n"/>
    </row>
    <row r="222" ht="15.75" customHeight="1" s="67">
      <c r="A222" s="2" t="n"/>
      <c r="B222" s="2" t="n"/>
      <c r="C222" s="2" t="n"/>
      <c r="D222" s="2" t="n"/>
      <c r="E222" s="2" t="n"/>
      <c r="F222" s="2" t="n"/>
    </row>
    <row r="223" ht="15.75" customHeight="1" s="67">
      <c r="A223" s="2" t="n"/>
      <c r="B223" s="2" t="n"/>
      <c r="C223" s="2" t="n"/>
      <c r="D223" s="2" t="n"/>
      <c r="E223" s="2" t="n"/>
      <c r="F223" s="2" t="n"/>
    </row>
    <row r="224" ht="15.75" customHeight="1" s="67">
      <c r="A224" s="2" t="n"/>
      <c r="B224" s="2" t="n"/>
      <c r="C224" s="2" t="n"/>
      <c r="D224" s="2" t="n"/>
      <c r="E224" s="2" t="n"/>
      <c r="F224" s="2" t="n"/>
    </row>
    <row r="225" ht="15.75" customHeight="1" s="67">
      <c r="A225" s="2" t="n"/>
      <c r="B225" s="2" t="n"/>
      <c r="C225" s="2" t="n"/>
      <c r="D225" s="2" t="n"/>
      <c r="E225" s="2" t="n"/>
      <c r="F225" s="2" t="n"/>
    </row>
    <row r="226" ht="15.75" customHeight="1" s="67">
      <c r="A226" s="2" t="n"/>
      <c r="B226" s="2" t="n"/>
      <c r="C226" s="2" t="n"/>
      <c r="D226" s="2" t="n"/>
      <c r="E226" s="2" t="n"/>
      <c r="F226" s="2" t="n"/>
    </row>
    <row r="227" ht="15.75" customHeight="1" s="67">
      <c r="A227" s="2" t="n"/>
      <c r="B227" s="2" t="n"/>
      <c r="C227" s="2" t="n"/>
      <c r="D227" s="2" t="n"/>
      <c r="E227" s="2" t="n"/>
      <c r="F227" s="2" t="n"/>
    </row>
    <row r="228" ht="15.75" customHeight="1" s="67">
      <c r="A228" s="2" t="n"/>
      <c r="B228" s="2" t="n"/>
      <c r="C228" s="2" t="n"/>
      <c r="D228" s="2" t="n"/>
      <c r="E228" s="2" t="n"/>
      <c r="F228" s="2" t="n"/>
    </row>
    <row r="229" ht="15.75" customHeight="1" s="67">
      <c r="A229" s="2" t="n"/>
      <c r="B229" s="2" t="n"/>
      <c r="C229" s="2" t="n"/>
      <c r="D229" s="2" t="n"/>
      <c r="E229" s="2" t="n"/>
      <c r="F229" s="2" t="n"/>
    </row>
    <row r="230" ht="15.75" customHeight="1" s="67">
      <c r="A230" s="2" t="n"/>
      <c r="B230" s="2" t="n"/>
      <c r="C230" s="2" t="n"/>
      <c r="D230" s="2" t="n"/>
      <c r="E230" s="2" t="n"/>
      <c r="F230" s="2" t="n"/>
    </row>
    <row r="231" ht="15.75" customHeight="1" s="67">
      <c r="A231" s="2" t="n"/>
      <c r="B231" s="2" t="n"/>
      <c r="C231" s="2" t="n"/>
      <c r="D231" s="2" t="n"/>
      <c r="E231" s="2" t="n"/>
      <c r="F231" s="2" t="n"/>
    </row>
    <row r="232" ht="15.75" customHeight="1" s="67">
      <c r="A232" s="2" t="n"/>
      <c r="B232" s="2" t="n"/>
      <c r="C232" s="2" t="n"/>
      <c r="D232" s="2" t="n"/>
      <c r="E232" s="2" t="n"/>
      <c r="F232" s="2" t="n"/>
    </row>
    <row r="233" ht="15.75" customHeight="1" s="67">
      <c r="A233" s="2" t="n"/>
      <c r="B233" s="2" t="n"/>
      <c r="C233" s="2" t="n"/>
      <c r="D233" s="2" t="n"/>
      <c r="E233" s="2" t="n"/>
      <c r="F233" s="2" t="n"/>
    </row>
    <row r="234" ht="15.75" customHeight="1" s="67">
      <c r="A234" s="2" t="n"/>
      <c r="B234" s="2" t="n"/>
      <c r="C234" s="2" t="n"/>
      <c r="D234" s="2" t="n"/>
      <c r="E234" s="2" t="n"/>
      <c r="F234" s="2" t="n"/>
    </row>
    <row r="235" ht="15.75" customHeight="1" s="67">
      <c r="A235" s="2" t="n"/>
      <c r="B235" s="2" t="n"/>
      <c r="C235" s="2" t="n"/>
      <c r="D235" s="2" t="n"/>
      <c r="E235" s="2" t="n"/>
      <c r="F235" s="2" t="n"/>
    </row>
    <row r="236" ht="15.75" customHeight="1" s="67">
      <c r="A236" s="2" t="n"/>
      <c r="B236" s="2" t="n"/>
      <c r="C236" s="2" t="n"/>
      <c r="D236" s="2" t="n"/>
      <c r="E236" s="2" t="n"/>
      <c r="F236" s="2" t="n"/>
    </row>
    <row r="237" ht="15.75" customHeight="1" s="67">
      <c r="A237" s="2" t="n"/>
      <c r="B237" s="2" t="n"/>
      <c r="C237" s="2" t="n"/>
      <c r="D237" s="2" t="n"/>
      <c r="E237" s="2" t="n"/>
      <c r="F237" s="2" t="n"/>
    </row>
    <row r="238" ht="15.75" customHeight="1" s="67">
      <c r="A238" s="2" t="n"/>
      <c r="B238" s="2" t="n"/>
      <c r="C238" s="2" t="n"/>
      <c r="D238" s="2" t="n"/>
      <c r="E238" s="2" t="n"/>
      <c r="F238" s="2" t="n"/>
    </row>
    <row r="239" ht="15.75" customHeight="1" s="67">
      <c r="A239" s="2" t="n"/>
      <c r="B239" s="2" t="n"/>
      <c r="C239" s="2" t="n"/>
      <c r="D239" s="2" t="n"/>
      <c r="E239" s="2" t="n"/>
      <c r="F239" s="2" t="n"/>
    </row>
    <row r="240" ht="15.75" customHeight="1" s="67">
      <c r="A240" s="2" t="n"/>
      <c r="B240" s="2" t="n"/>
      <c r="C240" s="2" t="n"/>
      <c r="D240" s="2" t="n"/>
      <c r="E240" s="2" t="n"/>
      <c r="F240" s="2" t="n"/>
    </row>
    <row r="241" ht="15.75" customHeight="1" s="67">
      <c r="A241" s="2" t="n"/>
      <c r="B241" s="2" t="n"/>
      <c r="C241" s="2" t="n"/>
      <c r="D241" s="2" t="n"/>
      <c r="E241" s="2" t="n"/>
      <c r="F241" s="2" t="n"/>
    </row>
    <row r="242" ht="15.75" customHeight="1" s="67">
      <c r="A242" s="2" t="n"/>
      <c r="B242" s="2" t="n"/>
      <c r="C242" s="2" t="n"/>
      <c r="D242" s="2" t="n"/>
      <c r="E242" s="2" t="n"/>
      <c r="F242" s="2" t="n"/>
    </row>
    <row r="243" ht="15.75" customHeight="1" s="67">
      <c r="A243" s="2" t="n"/>
      <c r="B243" s="2" t="n"/>
      <c r="C243" s="2" t="n"/>
      <c r="D243" s="2" t="n"/>
      <c r="E243" s="2" t="n"/>
      <c r="F243" s="2" t="n"/>
    </row>
    <row r="244" ht="15.75" customHeight="1" s="67">
      <c r="A244" s="2" t="n"/>
      <c r="B244" s="2" t="n"/>
      <c r="C244" s="2" t="n"/>
      <c r="D244" s="2" t="n"/>
      <c r="E244" s="2" t="n"/>
      <c r="F244" s="2" t="n"/>
    </row>
    <row r="245" ht="15.75" customHeight="1" s="67">
      <c r="A245" s="2" t="n"/>
      <c r="B245" s="2" t="n"/>
      <c r="C245" s="2" t="n"/>
      <c r="D245" s="2" t="n"/>
      <c r="E245" s="2" t="n"/>
      <c r="F245" s="2" t="n"/>
    </row>
    <row r="246" ht="15.75" customHeight="1" s="67">
      <c r="A246" s="2" t="n"/>
      <c r="B246" s="2" t="n"/>
      <c r="C246" s="2" t="n"/>
      <c r="D246" s="2" t="n"/>
      <c r="E246" s="2" t="n"/>
      <c r="F246" s="2" t="n"/>
    </row>
    <row r="247" ht="15.75" customHeight="1" s="67">
      <c r="A247" s="2" t="n"/>
      <c r="B247" s="2" t="n"/>
      <c r="C247" s="2" t="n"/>
      <c r="D247" s="2" t="n"/>
      <c r="E247" s="2" t="n"/>
      <c r="F247" s="2" t="n"/>
    </row>
    <row r="248" ht="15.75" customHeight="1" s="67">
      <c r="A248" s="2" t="n"/>
      <c r="B248" s="2" t="n"/>
      <c r="C248" s="2" t="n"/>
      <c r="D248" s="2" t="n"/>
      <c r="E248" s="2" t="n"/>
      <c r="F248" s="2" t="n"/>
    </row>
    <row r="249" ht="15.75" customHeight="1" s="67">
      <c r="A249" s="2" t="n"/>
      <c r="B249" s="2" t="n"/>
      <c r="C249" s="2" t="n"/>
      <c r="D249" s="2" t="n"/>
      <c r="E249" s="2" t="n"/>
      <c r="F249" s="2" t="n"/>
    </row>
    <row r="250" ht="15.75" customHeight="1" s="67">
      <c r="A250" s="2" t="n"/>
      <c r="B250" s="2" t="n"/>
      <c r="C250" s="2" t="n"/>
      <c r="D250" s="2" t="n"/>
      <c r="E250" s="2" t="n"/>
      <c r="F250" s="2" t="n"/>
    </row>
    <row r="251" ht="15.75" customHeight="1" s="67">
      <c r="A251" s="2" t="n"/>
      <c r="B251" s="2" t="n"/>
      <c r="C251" s="2" t="n"/>
      <c r="D251" s="2" t="n"/>
      <c r="E251" s="2" t="n"/>
      <c r="F251" s="2" t="n"/>
    </row>
    <row r="252" ht="15.75" customHeight="1" s="67">
      <c r="A252" s="2" t="n"/>
      <c r="B252" s="2" t="n"/>
      <c r="C252" s="2" t="n"/>
      <c r="D252" s="2" t="n"/>
      <c r="E252" s="2" t="n"/>
      <c r="F252" s="2" t="n"/>
    </row>
    <row r="253" ht="15.75" customHeight="1" s="67">
      <c r="A253" s="2" t="n"/>
      <c r="B253" s="2" t="n"/>
      <c r="C253" s="2" t="n"/>
      <c r="D253" s="2" t="n"/>
      <c r="E253" s="2" t="n"/>
      <c r="F253" s="2" t="n"/>
    </row>
    <row r="254" ht="15.75" customHeight="1" s="67">
      <c r="A254" s="2" t="n"/>
      <c r="B254" s="2" t="n"/>
      <c r="C254" s="2" t="n"/>
      <c r="D254" s="2" t="n"/>
      <c r="E254" s="2" t="n"/>
      <c r="F254" s="2" t="n"/>
    </row>
    <row r="255" ht="15.75" customHeight="1" s="67">
      <c r="A255" s="2" t="n"/>
      <c r="B255" s="2" t="n"/>
      <c r="C255" s="2" t="n"/>
      <c r="D255" s="2" t="n"/>
      <c r="E255" s="2" t="n"/>
      <c r="F255" s="2" t="n"/>
    </row>
    <row r="256" ht="15.75" customHeight="1" s="67">
      <c r="A256" s="2" t="n"/>
      <c r="B256" s="2" t="n"/>
      <c r="C256" s="2" t="n"/>
      <c r="D256" s="2" t="n"/>
      <c r="E256" s="2" t="n"/>
      <c r="F256" s="2" t="n"/>
    </row>
    <row r="257" ht="15.75" customHeight="1" s="67">
      <c r="A257" s="2" t="n"/>
      <c r="B257" s="2" t="n"/>
      <c r="C257" s="2" t="n"/>
      <c r="D257" s="2" t="n"/>
      <c r="E257" s="2" t="n"/>
      <c r="F257" s="2" t="n"/>
    </row>
    <row r="258" ht="15.75" customHeight="1" s="67">
      <c r="A258" s="2" t="n"/>
      <c r="B258" s="2" t="n"/>
      <c r="C258" s="2" t="n"/>
      <c r="D258" s="2" t="n"/>
      <c r="E258" s="2" t="n"/>
      <c r="F258" s="2" t="n"/>
    </row>
    <row r="259" ht="15.75" customHeight="1" s="67">
      <c r="A259" s="2" t="n"/>
      <c r="B259" s="2" t="n"/>
      <c r="C259" s="2" t="n"/>
      <c r="D259" s="2" t="n"/>
      <c r="E259" s="2" t="n"/>
      <c r="F259" s="2" t="n"/>
    </row>
    <row r="260" ht="15.75" customHeight="1" s="67">
      <c r="A260" s="2" t="n"/>
      <c r="B260" s="2" t="n"/>
      <c r="C260" s="2" t="n"/>
      <c r="D260" s="2" t="n"/>
      <c r="E260" s="2" t="n"/>
      <c r="F260" s="2" t="n"/>
    </row>
    <row r="261" ht="15.75" customHeight="1" s="67">
      <c r="A261" s="2" t="n"/>
      <c r="B261" s="2" t="n"/>
      <c r="C261" s="2" t="n"/>
      <c r="D261" s="2" t="n"/>
      <c r="E261" s="2" t="n"/>
      <c r="F261" s="2" t="n"/>
    </row>
    <row r="262" ht="15.75" customHeight="1" s="67">
      <c r="A262" s="2" t="n"/>
      <c r="B262" s="2" t="n"/>
      <c r="C262" s="2" t="n"/>
      <c r="D262" s="2" t="n"/>
      <c r="E262" s="2" t="n"/>
      <c r="F262" s="2" t="n"/>
    </row>
    <row r="263" ht="15.75" customHeight="1" s="67">
      <c r="A263" s="2" t="n"/>
      <c r="B263" s="2" t="n"/>
      <c r="C263" s="2" t="n"/>
      <c r="D263" s="2" t="n"/>
      <c r="E263" s="2" t="n"/>
      <c r="F263" s="2" t="n"/>
    </row>
    <row r="264" ht="15.75" customHeight="1" s="67">
      <c r="A264" s="2" t="n"/>
      <c r="B264" s="2" t="n"/>
      <c r="C264" s="2" t="n"/>
      <c r="D264" s="2" t="n"/>
      <c r="E264" s="2" t="n"/>
      <c r="F264" s="2" t="n"/>
    </row>
    <row r="265" ht="15.75" customHeight="1" s="67">
      <c r="A265" s="2" t="n"/>
      <c r="B265" s="2" t="n"/>
      <c r="C265" s="2" t="n"/>
      <c r="D265" s="2" t="n"/>
      <c r="E265" s="2" t="n"/>
      <c r="F265" s="2" t="n"/>
    </row>
    <row r="266" ht="15.75" customHeight="1" s="67">
      <c r="A266" s="2" t="n"/>
      <c r="B266" s="2" t="n"/>
      <c r="C266" s="2" t="n"/>
      <c r="D266" s="2" t="n"/>
      <c r="E266" s="2" t="n"/>
      <c r="F266" s="2" t="n"/>
    </row>
    <row r="267" ht="15.75" customHeight="1" s="67">
      <c r="A267" s="2" t="n"/>
      <c r="B267" s="2" t="n"/>
      <c r="C267" s="2" t="n"/>
      <c r="D267" s="2" t="n"/>
      <c r="E267" s="2" t="n"/>
      <c r="F267" s="2" t="n"/>
    </row>
    <row r="268" ht="15.75" customHeight="1" s="67">
      <c r="A268" s="2" t="n"/>
      <c r="B268" s="2" t="n"/>
      <c r="C268" s="2" t="n"/>
      <c r="D268" s="2" t="n"/>
      <c r="E268" s="2" t="n"/>
      <c r="F268" s="2" t="n"/>
    </row>
    <row r="269" ht="15.75" customHeight="1" s="67">
      <c r="A269" s="2" t="n"/>
      <c r="B269" s="2" t="n"/>
      <c r="C269" s="2" t="n"/>
      <c r="D269" s="2" t="n"/>
      <c r="E269" s="2" t="n"/>
      <c r="F269" s="2" t="n"/>
    </row>
    <row r="270" ht="15.75" customHeight="1" s="67">
      <c r="A270" s="2" t="n"/>
      <c r="B270" s="2" t="n"/>
      <c r="C270" s="2" t="n"/>
      <c r="D270" s="2" t="n"/>
      <c r="E270" s="2" t="n"/>
      <c r="F270" s="2" t="n"/>
    </row>
    <row r="271" ht="15.75" customHeight="1" s="67">
      <c r="A271" s="2" t="n"/>
      <c r="B271" s="2" t="n"/>
      <c r="C271" s="2" t="n"/>
      <c r="D271" s="2" t="n"/>
      <c r="E271" s="2" t="n"/>
      <c r="F271" s="2" t="n"/>
    </row>
    <row r="272" ht="15.75" customHeight="1" s="67">
      <c r="A272" s="2" t="n"/>
      <c r="B272" s="2" t="n"/>
      <c r="C272" s="2" t="n"/>
      <c r="D272" s="2" t="n"/>
      <c r="E272" s="2" t="n"/>
      <c r="F272" s="2" t="n"/>
    </row>
    <row r="273" ht="15.75" customHeight="1" s="67">
      <c r="A273" s="2" t="n"/>
      <c r="B273" s="2" t="n"/>
      <c r="C273" s="2" t="n"/>
      <c r="D273" s="2" t="n"/>
      <c r="E273" s="2" t="n"/>
      <c r="F273" s="2" t="n"/>
    </row>
    <row r="274" ht="15.75" customHeight="1" s="67">
      <c r="A274" s="2" t="n"/>
      <c r="B274" s="2" t="n"/>
      <c r="C274" s="2" t="n"/>
      <c r="D274" s="2" t="n"/>
      <c r="E274" s="2" t="n"/>
      <c r="F274" s="2" t="n"/>
    </row>
    <row r="275" ht="15.75" customHeight="1" s="67">
      <c r="A275" s="2" t="n"/>
      <c r="B275" s="2" t="n"/>
      <c r="C275" s="2" t="n"/>
      <c r="D275" s="2" t="n"/>
      <c r="E275" s="2" t="n"/>
      <c r="F275" s="2" t="n"/>
    </row>
    <row r="276" ht="15.75" customHeight="1" s="67">
      <c r="A276" s="2" t="n"/>
      <c r="B276" s="2" t="n"/>
      <c r="C276" s="2" t="n"/>
      <c r="D276" s="2" t="n"/>
      <c r="E276" s="2" t="n"/>
      <c r="F276" s="2" t="n"/>
    </row>
    <row r="277" ht="15.75" customHeight="1" s="67">
      <c r="A277" s="2" t="n"/>
      <c r="B277" s="2" t="n"/>
      <c r="C277" s="2" t="n"/>
      <c r="D277" s="2" t="n"/>
      <c r="E277" s="2" t="n"/>
      <c r="F277" s="2" t="n"/>
    </row>
    <row r="278" ht="15.75" customHeight="1" s="67">
      <c r="A278" s="2" t="n"/>
      <c r="B278" s="2" t="n"/>
      <c r="C278" s="2" t="n"/>
      <c r="D278" s="2" t="n"/>
      <c r="E278" s="2" t="n"/>
      <c r="F278" s="2" t="n"/>
    </row>
    <row r="279" ht="15.75" customHeight="1" s="67">
      <c r="A279" s="2" t="n"/>
      <c r="B279" s="2" t="n"/>
      <c r="C279" s="2" t="n"/>
      <c r="D279" s="2" t="n"/>
      <c r="E279" s="2" t="n"/>
      <c r="F279" s="2" t="n"/>
    </row>
    <row r="280" ht="15.75" customHeight="1" s="67">
      <c r="A280" s="2" t="n"/>
      <c r="B280" s="2" t="n"/>
      <c r="C280" s="2" t="n"/>
      <c r="D280" s="2" t="n"/>
      <c r="E280" s="2" t="n"/>
      <c r="F280" s="2" t="n"/>
    </row>
    <row r="281" ht="15.75" customHeight="1" s="67">
      <c r="A281" s="2" t="n"/>
      <c r="B281" s="2" t="n"/>
      <c r="C281" s="2" t="n"/>
      <c r="D281" s="2" t="n"/>
      <c r="E281" s="2" t="n"/>
      <c r="F281" s="2" t="n"/>
    </row>
    <row r="282" ht="15.75" customHeight="1" s="67">
      <c r="A282" s="2" t="n"/>
      <c r="B282" s="2" t="n"/>
      <c r="C282" s="2" t="n"/>
      <c r="D282" s="2" t="n"/>
      <c r="E282" s="2" t="n"/>
      <c r="F282" s="2" t="n"/>
    </row>
    <row r="283" ht="15.75" customHeight="1" s="67">
      <c r="A283" s="2" t="n"/>
      <c r="B283" s="2" t="n"/>
      <c r="C283" s="2" t="n"/>
      <c r="D283" s="2" t="n"/>
      <c r="E283" s="2" t="n"/>
      <c r="F283" s="2" t="n"/>
    </row>
    <row r="284" ht="15.75" customHeight="1" s="67">
      <c r="A284" s="2" t="n"/>
      <c r="B284" s="2" t="n"/>
      <c r="C284" s="2" t="n"/>
      <c r="D284" s="2" t="n"/>
      <c r="E284" s="2" t="n"/>
      <c r="F284" s="2" t="n"/>
    </row>
    <row r="285" ht="15.75" customHeight="1" s="67">
      <c r="A285" s="2" t="n"/>
      <c r="B285" s="2" t="n"/>
      <c r="C285" s="2" t="n"/>
      <c r="D285" s="2" t="n"/>
      <c r="E285" s="2" t="n"/>
      <c r="F285" s="2" t="n"/>
    </row>
    <row r="286" ht="15.75" customHeight="1" s="67">
      <c r="A286" s="2" t="n"/>
      <c r="B286" s="2" t="n"/>
      <c r="C286" s="2" t="n"/>
      <c r="D286" s="2" t="n"/>
      <c r="E286" s="2" t="n"/>
      <c r="F286" s="2" t="n"/>
    </row>
    <row r="287" ht="15.75" customHeight="1" s="67">
      <c r="A287" s="2" t="n"/>
      <c r="B287" s="2" t="n"/>
      <c r="C287" s="2" t="n"/>
      <c r="D287" s="2" t="n"/>
      <c r="E287" s="2" t="n"/>
      <c r="F287" s="2" t="n"/>
    </row>
    <row r="288" ht="15.75" customHeight="1" s="67">
      <c r="A288" s="2" t="n"/>
      <c r="B288" s="2" t="n"/>
      <c r="C288" s="2" t="n"/>
      <c r="D288" s="2" t="n"/>
      <c r="E288" s="2" t="n"/>
      <c r="F288" s="2" t="n"/>
    </row>
    <row r="289" ht="15.75" customHeight="1" s="67">
      <c r="A289" s="2" t="n"/>
      <c r="B289" s="2" t="n"/>
      <c r="C289" s="2" t="n"/>
      <c r="D289" s="2" t="n"/>
      <c r="E289" s="2" t="n"/>
      <c r="F289" s="2" t="n"/>
    </row>
    <row r="290" ht="15.75" customHeight="1" s="67">
      <c r="A290" s="2" t="n"/>
      <c r="B290" s="2" t="n"/>
      <c r="C290" s="2" t="n"/>
      <c r="D290" s="2" t="n"/>
      <c r="E290" s="2" t="n"/>
      <c r="F290" s="2" t="n"/>
    </row>
    <row r="291" ht="15.75" customHeight="1" s="67">
      <c r="A291" s="2" t="n"/>
      <c r="B291" s="2" t="n"/>
      <c r="C291" s="2" t="n"/>
      <c r="D291" s="2" t="n"/>
      <c r="E291" s="2" t="n"/>
      <c r="F291" s="2" t="n"/>
    </row>
    <row r="292" ht="15.75" customHeight="1" s="67">
      <c r="A292" s="2" t="n"/>
      <c r="B292" s="2" t="n"/>
      <c r="C292" s="2" t="n"/>
      <c r="D292" s="2" t="n"/>
      <c r="E292" s="2" t="n"/>
      <c r="F292" s="2" t="n"/>
    </row>
    <row r="293" ht="15.75" customHeight="1" s="67">
      <c r="A293" s="2" t="n"/>
      <c r="B293" s="2" t="n"/>
      <c r="C293" s="2" t="n"/>
      <c r="D293" s="2" t="n"/>
      <c r="E293" s="2" t="n"/>
      <c r="F293" s="2" t="n"/>
    </row>
    <row r="294" ht="15.75" customHeight="1" s="67">
      <c r="A294" s="2" t="n"/>
      <c r="B294" s="2" t="n"/>
      <c r="C294" s="2" t="n"/>
      <c r="D294" s="2" t="n"/>
      <c r="E294" s="2" t="n"/>
      <c r="F294" s="2" t="n"/>
    </row>
    <row r="295" ht="15.75" customHeight="1" s="67">
      <c r="A295" s="2" t="n"/>
      <c r="B295" s="2" t="n"/>
      <c r="C295" s="2" t="n"/>
      <c r="D295" s="2" t="n"/>
      <c r="E295" s="2" t="n"/>
      <c r="F295" s="2" t="n"/>
    </row>
    <row r="296" ht="15.75" customHeight="1" s="67">
      <c r="A296" s="2" t="n"/>
      <c r="B296" s="2" t="n"/>
      <c r="C296" s="2" t="n"/>
      <c r="D296" s="2" t="n"/>
      <c r="E296" s="2" t="n"/>
      <c r="F296" s="2" t="n"/>
    </row>
    <row r="297" ht="15.75" customHeight="1" s="67">
      <c r="A297" s="2" t="n"/>
      <c r="B297" s="2" t="n"/>
      <c r="C297" s="2" t="n"/>
      <c r="D297" s="2" t="n"/>
      <c r="E297" s="2" t="n"/>
      <c r="F297" s="2" t="n"/>
    </row>
    <row r="298" ht="15.75" customHeight="1" s="67">
      <c r="A298" s="2" t="n"/>
      <c r="B298" s="2" t="n"/>
      <c r="C298" s="2" t="n"/>
      <c r="D298" s="2" t="n"/>
      <c r="E298" s="2" t="n"/>
      <c r="F298" s="2" t="n"/>
    </row>
    <row r="299" ht="15.75" customHeight="1" s="67">
      <c r="A299" s="2" t="n"/>
      <c r="B299" s="2" t="n"/>
      <c r="C299" s="2" t="n"/>
      <c r="D299" s="2" t="n"/>
      <c r="E299" s="2" t="n"/>
      <c r="F299" s="2" t="n"/>
    </row>
    <row r="300" ht="15.75" customHeight="1" s="67">
      <c r="A300" s="2" t="n"/>
      <c r="B300" s="2" t="n"/>
      <c r="C300" s="2" t="n"/>
      <c r="D300" s="2" t="n"/>
      <c r="E300" s="2" t="n"/>
      <c r="F300" s="2" t="n"/>
    </row>
    <row r="301" ht="15.75" customHeight="1" s="67">
      <c r="A301" s="2" t="n"/>
      <c r="B301" s="2" t="n"/>
      <c r="C301" s="2" t="n"/>
      <c r="D301" s="2" t="n"/>
      <c r="E301" s="2" t="n"/>
      <c r="F301" s="2" t="n"/>
    </row>
    <row r="302" ht="15.75" customHeight="1" s="67">
      <c r="A302" s="2" t="n"/>
      <c r="B302" s="2" t="n"/>
      <c r="C302" s="2" t="n"/>
      <c r="D302" s="2" t="n"/>
      <c r="E302" s="2" t="n"/>
      <c r="F302" s="2" t="n"/>
    </row>
    <row r="303" ht="15.75" customHeight="1" s="67">
      <c r="A303" s="2" t="n"/>
      <c r="B303" s="2" t="n"/>
      <c r="C303" s="2" t="n"/>
      <c r="D303" s="2" t="n"/>
      <c r="E303" s="2" t="n"/>
      <c r="F303" s="2" t="n"/>
    </row>
    <row r="304" ht="15.75" customHeight="1" s="67">
      <c r="A304" s="2" t="n"/>
      <c r="B304" s="2" t="n"/>
      <c r="C304" s="2" t="n"/>
      <c r="D304" s="2" t="n"/>
      <c r="E304" s="2" t="n"/>
      <c r="F304" s="2" t="n"/>
    </row>
    <row r="305" ht="15.75" customHeight="1" s="67">
      <c r="A305" s="2" t="n"/>
      <c r="B305" s="2" t="n"/>
      <c r="C305" s="2" t="n"/>
      <c r="D305" s="2" t="n"/>
      <c r="E305" s="2" t="n"/>
      <c r="F305" s="2" t="n"/>
    </row>
    <row r="306" ht="15.75" customHeight="1" s="67">
      <c r="A306" s="2" t="n"/>
      <c r="B306" s="2" t="n"/>
      <c r="C306" s="2" t="n"/>
      <c r="D306" s="2" t="n"/>
      <c r="E306" s="2" t="n"/>
      <c r="F306" s="2" t="n"/>
    </row>
    <row r="307" ht="15.75" customHeight="1" s="67">
      <c r="A307" s="2" t="n"/>
      <c r="B307" s="2" t="n"/>
      <c r="C307" s="2" t="n"/>
      <c r="D307" s="2" t="n"/>
      <c r="E307" s="2" t="n"/>
      <c r="F307" s="2" t="n"/>
    </row>
    <row r="308" ht="15.75" customHeight="1" s="67">
      <c r="A308" s="2" t="n"/>
      <c r="B308" s="2" t="n"/>
      <c r="C308" s="2" t="n"/>
      <c r="D308" s="2" t="n"/>
      <c r="E308" s="2" t="n"/>
      <c r="F308" s="2" t="n"/>
    </row>
    <row r="309" ht="15.75" customHeight="1" s="67">
      <c r="A309" s="2" t="n"/>
      <c r="B309" s="2" t="n"/>
      <c r="C309" s="2" t="n"/>
      <c r="D309" s="2" t="n"/>
      <c r="E309" s="2" t="n"/>
      <c r="F309" s="2" t="n"/>
    </row>
    <row r="310" ht="15.75" customHeight="1" s="67">
      <c r="A310" s="2" t="n"/>
      <c r="B310" s="2" t="n"/>
      <c r="C310" s="2" t="n"/>
      <c r="D310" s="2" t="n"/>
      <c r="E310" s="2" t="n"/>
      <c r="F310" s="2" t="n"/>
    </row>
    <row r="311" ht="15.75" customHeight="1" s="67">
      <c r="A311" s="2" t="n"/>
      <c r="B311" s="2" t="n"/>
      <c r="C311" s="2" t="n"/>
      <c r="D311" s="2" t="n"/>
      <c r="E311" s="2" t="n"/>
      <c r="F311" s="2" t="n"/>
    </row>
    <row r="312" ht="15.75" customHeight="1" s="67">
      <c r="A312" s="2" t="n"/>
      <c r="B312" s="2" t="n"/>
      <c r="C312" s="2" t="n"/>
      <c r="D312" s="2" t="n"/>
      <c r="E312" s="2" t="n"/>
      <c r="F312" s="2" t="n"/>
    </row>
    <row r="313" ht="15.75" customHeight="1" s="67">
      <c r="A313" s="2" t="n"/>
      <c r="B313" s="2" t="n"/>
      <c r="C313" s="2" t="n"/>
      <c r="D313" s="2" t="n"/>
      <c r="E313" s="2" t="n"/>
      <c r="F313" s="2" t="n"/>
    </row>
    <row r="314" ht="15.75" customHeight="1" s="67">
      <c r="A314" s="2" t="n"/>
      <c r="B314" s="2" t="n"/>
      <c r="C314" s="2" t="n"/>
      <c r="D314" s="2" t="n"/>
      <c r="E314" s="2" t="n"/>
      <c r="F314" s="2" t="n"/>
    </row>
    <row r="315" ht="15.75" customHeight="1" s="67">
      <c r="A315" s="2" t="n"/>
      <c r="B315" s="2" t="n"/>
      <c r="C315" s="2" t="n"/>
      <c r="D315" s="2" t="n"/>
      <c r="E315" s="2" t="n"/>
      <c r="F315" s="2" t="n"/>
    </row>
    <row r="316" ht="15.75" customHeight="1" s="67">
      <c r="A316" s="2" t="n"/>
      <c r="B316" s="2" t="n"/>
      <c r="C316" s="2" t="n"/>
      <c r="D316" s="2" t="n"/>
      <c r="E316" s="2" t="n"/>
      <c r="F316" s="2" t="n"/>
    </row>
    <row r="317" ht="15.75" customHeight="1" s="67">
      <c r="A317" s="2" t="n"/>
      <c r="B317" s="2" t="n"/>
      <c r="C317" s="2" t="n"/>
      <c r="D317" s="2" t="n"/>
      <c r="E317" s="2" t="n"/>
      <c r="F317" s="2" t="n"/>
    </row>
    <row r="318" ht="15.75" customHeight="1" s="67">
      <c r="A318" s="2" t="n"/>
      <c r="B318" s="2" t="n"/>
      <c r="C318" s="2" t="n"/>
      <c r="D318" s="2" t="n"/>
      <c r="E318" s="2" t="n"/>
      <c r="F318" s="2" t="n"/>
    </row>
    <row r="319" ht="15.75" customHeight="1" s="67">
      <c r="A319" s="2" t="n"/>
      <c r="B319" s="2" t="n"/>
      <c r="C319" s="2" t="n"/>
      <c r="D319" s="2" t="n"/>
      <c r="E319" s="2" t="n"/>
      <c r="F319" s="2" t="n"/>
    </row>
    <row r="320" ht="15.75" customHeight="1" s="67">
      <c r="A320" s="2" t="n"/>
      <c r="B320" s="2" t="n"/>
      <c r="C320" s="2" t="n"/>
      <c r="D320" s="2" t="n"/>
      <c r="E320" s="2" t="n"/>
      <c r="F320" s="2" t="n"/>
    </row>
    <row r="321" ht="15.75" customHeight="1" s="67">
      <c r="A321" s="2" t="n"/>
      <c r="B321" s="2" t="n"/>
      <c r="C321" s="2" t="n"/>
      <c r="D321" s="2" t="n"/>
      <c r="E321" s="2" t="n"/>
      <c r="F321" s="2" t="n"/>
    </row>
    <row r="322" ht="15.75" customHeight="1" s="67">
      <c r="A322" s="2" t="n"/>
      <c r="B322" s="2" t="n"/>
      <c r="C322" s="2" t="n"/>
      <c r="D322" s="2" t="n"/>
      <c r="E322" s="2" t="n"/>
      <c r="F322" s="2" t="n"/>
    </row>
    <row r="323" ht="15.75" customHeight="1" s="67">
      <c r="A323" s="2" t="n"/>
      <c r="B323" s="2" t="n"/>
      <c r="C323" s="2" t="n"/>
      <c r="D323" s="2" t="n"/>
      <c r="E323" s="2" t="n"/>
      <c r="F323" s="2" t="n"/>
    </row>
    <row r="324" ht="15.75" customHeight="1" s="67">
      <c r="A324" s="2" t="n"/>
      <c r="B324" s="2" t="n"/>
      <c r="C324" s="2" t="n"/>
      <c r="D324" s="2" t="n"/>
      <c r="E324" s="2" t="n"/>
      <c r="F324" s="2" t="n"/>
    </row>
    <row r="325" ht="15.75" customHeight="1" s="67">
      <c r="A325" s="2" t="n"/>
      <c r="B325" s="2" t="n"/>
      <c r="C325" s="2" t="n"/>
      <c r="D325" s="2" t="n"/>
      <c r="E325" s="2" t="n"/>
      <c r="F325" s="2" t="n"/>
    </row>
    <row r="326" ht="15.75" customHeight="1" s="67">
      <c r="A326" s="2" t="n"/>
      <c r="B326" s="2" t="n"/>
      <c r="C326" s="2" t="n"/>
      <c r="D326" s="2" t="n"/>
      <c r="E326" s="2" t="n"/>
      <c r="F326" s="2" t="n"/>
    </row>
    <row r="327" ht="15.75" customHeight="1" s="67">
      <c r="A327" s="2" t="n"/>
      <c r="B327" s="2" t="n"/>
      <c r="C327" s="2" t="n"/>
      <c r="D327" s="2" t="n"/>
      <c r="E327" s="2" t="n"/>
      <c r="F327" s="2" t="n"/>
    </row>
    <row r="328" ht="15.75" customHeight="1" s="67">
      <c r="A328" s="2" t="n"/>
      <c r="B328" s="2" t="n"/>
      <c r="C328" s="2" t="n"/>
      <c r="D328" s="2" t="n"/>
      <c r="E328" s="2" t="n"/>
      <c r="F328" s="2" t="n"/>
    </row>
    <row r="329" ht="15.75" customHeight="1" s="67">
      <c r="A329" s="2" t="n"/>
      <c r="B329" s="2" t="n"/>
      <c r="C329" s="2" t="n"/>
      <c r="D329" s="2" t="n"/>
      <c r="E329" s="2" t="n"/>
      <c r="F329" s="2" t="n"/>
    </row>
    <row r="330" ht="15.75" customHeight="1" s="67">
      <c r="A330" s="2" t="n"/>
      <c r="B330" s="2" t="n"/>
      <c r="C330" s="2" t="n"/>
      <c r="D330" s="2" t="n"/>
      <c r="E330" s="2" t="n"/>
      <c r="F330" s="2" t="n"/>
    </row>
    <row r="331" ht="15.75" customHeight="1" s="67">
      <c r="A331" s="2" t="n"/>
      <c r="B331" s="2" t="n"/>
      <c r="C331" s="2" t="n"/>
      <c r="D331" s="2" t="n"/>
      <c r="E331" s="2" t="n"/>
      <c r="F331" s="2" t="n"/>
    </row>
    <row r="332" ht="15.75" customHeight="1" s="67">
      <c r="A332" s="2" t="n"/>
      <c r="B332" s="2" t="n"/>
      <c r="C332" s="2" t="n"/>
      <c r="D332" s="2" t="n"/>
      <c r="E332" s="2" t="n"/>
      <c r="F332" s="2" t="n"/>
    </row>
    <row r="333" ht="15.75" customHeight="1" s="67">
      <c r="A333" s="2" t="n"/>
      <c r="B333" s="2" t="n"/>
      <c r="C333" s="2" t="n"/>
      <c r="D333" s="2" t="n"/>
      <c r="E333" s="2" t="n"/>
      <c r="F333" s="2" t="n"/>
    </row>
    <row r="334" ht="15.75" customHeight="1" s="67">
      <c r="A334" s="2" t="n"/>
      <c r="B334" s="2" t="n"/>
      <c r="C334" s="2" t="n"/>
      <c r="D334" s="2" t="n"/>
      <c r="E334" s="2" t="n"/>
      <c r="F334" s="2" t="n"/>
    </row>
    <row r="335" ht="15.75" customHeight="1" s="67">
      <c r="A335" s="2" t="n"/>
      <c r="B335" s="2" t="n"/>
      <c r="C335" s="2" t="n"/>
      <c r="D335" s="2" t="n"/>
      <c r="E335" s="2" t="n"/>
      <c r="F335" s="2" t="n"/>
    </row>
    <row r="336" ht="15.75" customHeight="1" s="67">
      <c r="A336" s="2" t="n"/>
      <c r="B336" s="2" t="n"/>
      <c r="C336" s="2" t="n"/>
      <c r="D336" s="2" t="n"/>
      <c r="E336" s="2" t="n"/>
      <c r="F336" s="2" t="n"/>
    </row>
    <row r="337" ht="15.75" customHeight="1" s="67">
      <c r="A337" s="2" t="n"/>
      <c r="B337" s="2" t="n"/>
      <c r="C337" s="2" t="n"/>
      <c r="D337" s="2" t="n"/>
      <c r="E337" s="2" t="n"/>
      <c r="F337" s="2" t="n"/>
    </row>
    <row r="338" ht="15.75" customHeight="1" s="67">
      <c r="A338" s="2" t="n"/>
      <c r="B338" s="2" t="n"/>
      <c r="C338" s="2" t="n"/>
      <c r="D338" s="2" t="n"/>
      <c r="E338" s="2" t="n"/>
      <c r="F338" s="2" t="n"/>
    </row>
    <row r="339" ht="15.75" customHeight="1" s="67">
      <c r="A339" s="2" t="n"/>
      <c r="B339" s="2" t="n"/>
      <c r="C339" s="2" t="n"/>
      <c r="D339" s="2" t="n"/>
      <c r="E339" s="2" t="n"/>
      <c r="F339" s="2" t="n"/>
    </row>
    <row r="340" ht="15.75" customHeight="1" s="67">
      <c r="A340" s="2" t="n"/>
      <c r="B340" s="2" t="n"/>
      <c r="C340" s="2" t="n"/>
      <c r="D340" s="2" t="n"/>
      <c r="E340" s="2" t="n"/>
      <c r="F340" s="2" t="n"/>
    </row>
    <row r="341" ht="15.75" customHeight="1" s="67">
      <c r="A341" s="2" t="n"/>
      <c r="B341" s="2" t="n"/>
      <c r="C341" s="2" t="n"/>
      <c r="D341" s="2" t="n"/>
      <c r="E341" s="2" t="n"/>
      <c r="F341" s="2" t="n"/>
    </row>
    <row r="342" ht="15.75" customHeight="1" s="67">
      <c r="A342" s="2" t="n"/>
      <c r="B342" s="2" t="n"/>
      <c r="C342" s="2" t="n"/>
      <c r="D342" s="2" t="n"/>
      <c r="E342" s="2" t="n"/>
      <c r="F342" s="2" t="n"/>
    </row>
    <row r="343" ht="15.75" customHeight="1" s="67">
      <c r="A343" s="2" t="n"/>
      <c r="B343" s="2" t="n"/>
      <c r="C343" s="2" t="n"/>
      <c r="D343" s="2" t="n"/>
      <c r="E343" s="2" t="n"/>
      <c r="F343" s="2" t="n"/>
    </row>
    <row r="344" ht="15.75" customHeight="1" s="67">
      <c r="A344" s="2" t="n"/>
      <c r="B344" s="2" t="n"/>
      <c r="C344" s="2" t="n"/>
      <c r="D344" s="2" t="n"/>
      <c r="E344" s="2" t="n"/>
      <c r="F344" s="2" t="n"/>
    </row>
    <row r="345" ht="15.75" customHeight="1" s="67">
      <c r="A345" s="2" t="n"/>
      <c r="B345" s="2" t="n"/>
      <c r="C345" s="2" t="n"/>
      <c r="D345" s="2" t="n"/>
      <c r="E345" s="2" t="n"/>
      <c r="F345" s="2" t="n"/>
    </row>
    <row r="346" ht="15.75" customHeight="1" s="67">
      <c r="A346" s="2" t="n"/>
      <c r="B346" s="2" t="n"/>
      <c r="C346" s="2" t="n"/>
      <c r="D346" s="2" t="n"/>
      <c r="E346" s="2" t="n"/>
      <c r="F346" s="2" t="n"/>
    </row>
    <row r="347" ht="15.75" customHeight="1" s="67">
      <c r="A347" s="2" t="n"/>
      <c r="B347" s="2" t="n"/>
      <c r="C347" s="2" t="n"/>
      <c r="D347" s="2" t="n"/>
      <c r="E347" s="2" t="n"/>
      <c r="F347" s="2" t="n"/>
    </row>
    <row r="348" ht="15.75" customHeight="1" s="67">
      <c r="A348" s="2" t="n"/>
      <c r="B348" s="2" t="n"/>
      <c r="C348" s="2" t="n"/>
      <c r="D348" s="2" t="n"/>
      <c r="E348" s="2" t="n"/>
      <c r="F348" s="2" t="n"/>
    </row>
    <row r="349" ht="15.75" customHeight="1" s="67">
      <c r="A349" s="2" t="n"/>
      <c r="B349" s="2" t="n"/>
      <c r="C349" s="2" t="n"/>
      <c r="D349" s="2" t="n"/>
      <c r="E349" s="2" t="n"/>
      <c r="F349" s="2" t="n"/>
    </row>
    <row r="350" ht="15.75" customHeight="1" s="67">
      <c r="A350" s="2" t="n"/>
      <c r="B350" s="2" t="n"/>
      <c r="C350" s="2" t="n"/>
      <c r="D350" s="2" t="n"/>
      <c r="E350" s="2" t="n"/>
      <c r="F350" s="2" t="n"/>
    </row>
    <row r="351" ht="15.75" customHeight="1" s="67">
      <c r="A351" s="2" t="n"/>
      <c r="B351" s="2" t="n"/>
      <c r="C351" s="2" t="n"/>
      <c r="D351" s="2" t="n"/>
      <c r="E351" s="2" t="n"/>
      <c r="F351" s="2" t="n"/>
    </row>
    <row r="352" ht="15.75" customHeight="1" s="67">
      <c r="A352" s="2" t="n"/>
      <c r="B352" s="2" t="n"/>
      <c r="C352" s="2" t="n"/>
      <c r="D352" s="2" t="n"/>
      <c r="E352" s="2" t="n"/>
      <c r="F352" s="2" t="n"/>
    </row>
    <row r="353" ht="15.75" customHeight="1" s="67">
      <c r="A353" s="2" t="n"/>
      <c r="B353" s="2" t="n"/>
      <c r="C353" s="2" t="n"/>
      <c r="D353" s="2" t="n"/>
      <c r="E353" s="2" t="n"/>
      <c r="F353" s="2" t="n"/>
    </row>
    <row r="354" ht="15.75" customHeight="1" s="67">
      <c r="A354" s="2" t="n"/>
      <c r="B354" s="2" t="n"/>
      <c r="C354" s="2" t="n"/>
      <c r="D354" s="2" t="n"/>
      <c r="E354" s="2" t="n"/>
      <c r="F354" s="2" t="n"/>
    </row>
    <row r="355" ht="15.75" customHeight="1" s="67">
      <c r="A355" s="2" t="n"/>
      <c r="B355" s="2" t="n"/>
      <c r="C355" s="2" t="n"/>
      <c r="D355" s="2" t="n"/>
      <c r="E355" s="2" t="n"/>
      <c r="F355" s="2" t="n"/>
    </row>
    <row r="356" ht="15.75" customHeight="1" s="67">
      <c r="A356" s="2" t="n"/>
      <c r="B356" s="2" t="n"/>
      <c r="C356" s="2" t="n"/>
      <c r="D356" s="2" t="n"/>
      <c r="E356" s="2" t="n"/>
      <c r="F356" s="2" t="n"/>
    </row>
    <row r="357" ht="15.75" customHeight="1" s="67">
      <c r="A357" s="2" t="n"/>
      <c r="B357" s="2" t="n"/>
      <c r="C357" s="2" t="n"/>
      <c r="D357" s="2" t="n"/>
      <c r="E357" s="2" t="n"/>
      <c r="F357" s="2" t="n"/>
    </row>
    <row r="358" ht="15.75" customHeight="1" s="67">
      <c r="A358" s="2" t="n"/>
      <c r="B358" s="2" t="n"/>
      <c r="C358" s="2" t="n"/>
      <c r="D358" s="2" t="n"/>
      <c r="E358" s="2" t="n"/>
      <c r="F358" s="2" t="n"/>
    </row>
    <row r="359" ht="15.75" customHeight="1" s="67">
      <c r="A359" s="2" t="n"/>
      <c r="B359" s="2" t="n"/>
      <c r="C359" s="2" t="n"/>
      <c r="D359" s="2" t="n"/>
      <c r="E359" s="2" t="n"/>
      <c r="F359" s="2" t="n"/>
    </row>
    <row r="360" ht="15.75" customHeight="1" s="67">
      <c r="A360" s="2" t="n"/>
      <c r="B360" s="2" t="n"/>
      <c r="C360" s="2" t="n"/>
      <c r="D360" s="2" t="n"/>
      <c r="E360" s="2" t="n"/>
      <c r="F360" s="2" t="n"/>
    </row>
    <row r="361" ht="15.75" customHeight="1" s="67">
      <c r="A361" s="2" t="n"/>
      <c r="B361" s="2" t="n"/>
      <c r="C361" s="2" t="n"/>
      <c r="D361" s="2" t="n"/>
      <c r="E361" s="2" t="n"/>
      <c r="F361" s="2" t="n"/>
    </row>
    <row r="362" ht="15.75" customHeight="1" s="67">
      <c r="A362" s="2" t="n"/>
      <c r="B362" s="2" t="n"/>
      <c r="C362" s="2" t="n"/>
      <c r="D362" s="2" t="n"/>
      <c r="E362" s="2" t="n"/>
      <c r="F362" s="2" t="n"/>
    </row>
    <row r="363" ht="15.75" customHeight="1" s="67">
      <c r="A363" s="2" t="n"/>
      <c r="B363" s="2" t="n"/>
      <c r="C363" s="2" t="n"/>
      <c r="D363" s="2" t="n"/>
      <c r="E363" s="2" t="n"/>
      <c r="F363" s="2" t="n"/>
    </row>
    <row r="364" ht="15.75" customHeight="1" s="67">
      <c r="A364" s="2" t="n"/>
      <c r="B364" s="2" t="n"/>
      <c r="C364" s="2" t="n"/>
      <c r="D364" s="2" t="n"/>
      <c r="E364" s="2" t="n"/>
      <c r="F364" s="2" t="n"/>
    </row>
    <row r="365" ht="15.75" customHeight="1" s="67">
      <c r="A365" s="2" t="n"/>
      <c r="B365" s="2" t="n"/>
      <c r="C365" s="2" t="n"/>
      <c r="D365" s="2" t="n"/>
      <c r="E365" s="2" t="n"/>
      <c r="F365" s="2" t="n"/>
    </row>
    <row r="366" ht="15.75" customHeight="1" s="67">
      <c r="A366" s="2" t="n"/>
      <c r="B366" s="2" t="n"/>
      <c r="C366" s="2" t="n"/>
      <c r="D366" s="2" t="n"/>
      <c r="E366" s="2" t="n"/>
      <c r="F366" s="2" t="n"/>
    </row>
    <row r="367" ht="15.75" customHeight="1" s="67">
      <c r="A367" s="2" t="n"/>
      <c r="B367" s="2" t="n"/>
      <c r="C367" s="2" t="n"/>
      <c r="D367" s="2" t="n"/>
      <c r="E367" s="2" t="n"/>
      <c r="F367" s="2" t="n"/>
    </row>
    <row r="368" ht="15.75" customHeight="1" s="67">
      <c r="A368" s="2" t="n"/>
      <c r="B368" s="2" t="n"/>
      <c r="C368" s="2" t="n"/>
      <c r="D368" s="2" t="n"/>
      <c r="E368" s="2" t="n"/>
      <c r="F368" s="2" t="n"/>
    </row>
    <row r="369" ht="15.75" customHeight="1" s="67">
      <c r="A369" s="2" t="n"/>
      <c r="B369" s="2" t="n"/>
      <c r="C369" s="2" t="n"/>
      <c r="D369" s="2" t="n"/>
      <c r="E369" s="2" t="n"/>
      <c r="F369" s="2" t="n"/>
    </row>
    <row r="370" ht="15.75" customHeight="1" s="67">
      <c r="A370" s="2" t="n"/>
      <c r="B370" s="2" t="n"/>
      <c r="C370" s="2" t="n"/>
      <c r="D370" s="2" t="n"/>
      <c r="E370" s="2" t="n"/>
      <c r="F370" s="2" t="n"/>
    </row>
    <row r="371" ht="15.75" customHeight="1" s="67">
      <c r="A371" s="2" t="n"/>
      <c r="B371" s="2" t="n"/>
      <c r="C371" s="2" t="n"/>
      <c r="D371" s="2" t="n"/>
      <c r="E371" s="2" t="n"/>
      <c r="F371" s="2" t="n"/>
    </row>
    <row r="372" ht="15.75" customHeight="1" s="67">
      <c r="A372" s="2" t="n"/>
      <c r="B372" s="2" t="n"/>
      <c r="C372" s="2" t="n"/>
      <c r="D372" s="2" t="n"/>
      <c r="E372" s="2" t="n"/>
      <c r="F372" s="2" t="n"/>
    </row>
    <row r="373" ht="15.75" customHeight="1" s="67">
      <c r="A373" s="2" t="n"/>
      <c r="B373" s="2" t="n"/>
      <c r="C373" s="2" t="n"/>
      <c r="D373" s="2" t="n"/>
      <c r="E373" s="2" t="n"/>
      <c r="F373" s="2" t="n"/>
    </row>
    <row r="374" ht="15.75" customHeight="1" s="67">
      <c r="A374" s="2" t="n"/>
      <c r="B374" s="2" t="n"/>
      <c r="C374" s="2" t="n"/>
      <c r="D374" s="2" t="n"/>
      <c r="E374" s="2" t="n"/>
      <c r="F374" s="2" t="n"/>
    </row>
    <row r="375" ht="15.75" customHeight="1" s="67">
      <c r="A375" s="2" t="n"/>
      <c r="B375" s="2" t="n"/>
      <c r="C375" s="2" t="n"/>
      <c r="D375" s="2" t="n"/>
      <c r="E375" s="2" t="n"/>
      <c r="F375" s="2" t="n"/>
    </row>
    <row r="376" ht="15.75" customHeight="1" s="67">
      <c r="A376" s="2" t="n"/>
      <c r="B376" s="2" t="n"/>
      <c r="C376" s="2" t="n"/>
      <c r="D376" s="2" t="n"/>
      <c r="E376" s="2" t="n"/>
      <c r="F376" s="2" t="n"/>
    </row>
    <row r="377" ht="15.75" customHeight="1" s="67">
      <c r="A377" s="2" t="n"/>
      <c r="B377" s="2" t="n"/>
      <c r="C377" s="2" t="n"/>
      <c r="D377" s="2" t="n"/>
      <c r="E377" s="2" t="n"/>
      <c r="F377" s="2" t="n"/>
    </row>
    <row r="378" ht="15.75" customHeight="1" s="67">
      <c r="A378" s="2" t="n"/>
      <c r="B378" s="2" t="n"/>
      <c r="C378" s="2" t="n"/>
      <c r="D378" s="2" t="n"/>
      <c r="E378" s="2" t="n"/>
      <c r="F378" s="2" t="n"/>
    </row>
    <row r="379" ht="15.75" customHeight="1" s="67">
      <c r="A379" s="2" t="n"/>
      <c r="B379" s="2" t="n"/>
      <c r="C379" s="2" t="n"/>
      <c r="D379" s="2" t="n"/>
      <c r="E379" s="2" t="n"/>
      <c r="F379" s="2" t="n"/>
    </row>
    <row r="380" ht="15.75" customHeight="1" s="67">
      <c r="A380" s="2" t="n"/>
      <c r="B380" s="2" t="n"/>
      <c r="C380" s="2" t="n"/>
      <c r="D380" s="2" t="n"/>
      <c r="E380" s="2" t="n"/>
      <c r="F380" s="2" t="n"/>
    </row>
    <row r="381" ht="15.75" customHeight="1" s="67">
      <c r="A381" s="2" t="n"/>
      <c r="B381" s="2" t="n"/>
      <c r="C381" s="2" t="n"/>
      <c r="D381" s="2" t="n"/>
      <c r="E381" s="2" t="n"/>
      <c r="F381" s="2" t="n"/>
    </row>
    <row r="382" ht="15.75" customHeight="1" s="67">
      <c r="A382" s="2" t="n"/>
      <c r="B382" s="2" t="n"/>
      <c r="C382" s="2" t="n"/>
      <c r="D382" s="2" t="n"/>
      <c r="E382" s="2" t="n"/>
      <c r="F382" s="2" t="n"/>
    </row>
    <row r="383" ht="15.75" customHeight="1" s="67">
      <c r="A383" s="2" t="n"/>
      <c r="B383" s="2" t="n"/>
      <c r="C383" s="2" t="n"/>
      <c r="D383" s="2" t="n"/>
      <c r="E383" s="2" t="n"/>
      <c r="F383" s="2" t="n"/>
    </row>
    <row r="384" ht="15.75" customHeight="1" s="67">
      <c r="A384" s="2" t="n"/>
      <c r="B384" s="2" t="n"/>
      <c r="C384" s="2" t="n"/>
      <c r="D384" s="2" t="n"/>
      <c r="E384" s="2" t="n"/>
      <c r="F384" s="2" t="n"/>
    </row>
    <row r="385" ht="15.75" customHeight="1" s="67">
      <c r="A385" s="2" t="n"/>
      <c r="B385" s="2" t="n"/>
      <c r="C385" s="2" t="n"/>
      <c r="D385" s="2" t="n"/>
      <c r="E385" s="2" t="n"/>
      <c r="F385" s="2" t="n"/>
    </row>
    <row r="386" ht="15.75" customHeight="1" s="67">
      <c r="A386" s="2" t="n"/>
      <c r="B386" s="2" t="n"/>
      <c r="C386" s="2" t="n"/>
      <c r="D386" s="2" t="n"/>
      <c r="E386" s="2" t="n"/>
      <c r="F386" s="2" t="n"/>
    </row>
    <row r="387" ht="15.75" customHeight="1" s="67">
      <c r="A387" s="2" t="n"/>
      <c r="B387" s="2" t="n"/>
      <c r="C387" s="2" t="n"/>
      <c r="D387" s="2" t="n"/>
      <c r="E387" s="2" t="n"/>
      <c r="F387" s="2" t="n"/>
    </row>
    <row r="388" ht="15.75" customHeight="1" s="67">
      <c r="A388" s="2" t="n"/>
      <c r="B388" s="2" t="n"/>
      <c r="C388" s="2" t="n"/>
      <c r="D388" s="2" t="n"/>
      <c r="E388" s="2" t="n"/>
      <c r="F388" s="2" t="n"/>
    </row>
    <row r="389" ht="15.75" customHeight="1" s="67">
      <c r="A389" s="2" t="n"/>
      <c r="B389" s="2" t="n"/>
      <c r="C389" s="2" t="n"/>
      <c r="D389" s="2" t="n"/>
      <c r="E389" s="2" t="n"/>
      <c r="F389" s="2" t="n"/>
    </row>
    <row r="390" ht="15.75" customHeight="1" s="67">
      <c r="A390" s="2" t="n"/>
      <c r="B390" s="2" t="n"/>
      <c r="C390" s="2" t="n"/>
      <c r="D390" s="2" t="n"/>
      <c r="E390" s="2" t="n"/>
      <c r="F390" s="2" t="n"/>
    </row>
    <row r="391" ht="15.75" customHeight="1" s="67">
      <c r="A391" s="2" t="n"/>
      <c r="B391" s="2" t="n"/>
      <c r="C391" s="2" t="n"/>
      <c r="D391" s="2" t="n"/>
      <c r="E391" s="2" t="n"/>
      <c r="F391" s="2" t="n"/>
    </row>
    <row r="392" ht="15.75" customHeight="1" s="67">
      <c r="A392" s="2" t="n"/>
      <c r="B392" s="2" t="n"/>
      <c r="C392" s="2" t="n"/>
      <c r="D392" s="2" t="n"/>
      <c r="E392" s="2" t="n"/>
      <c r="F392" s="2" t="n"/>
    </row>
    <row r="393" ht="15.75" customHeight="1" s="67">
      <c r="A393" s="2" t="n"/>
      <c r="B393" s="2" t="n"/>
      <c r="C393" s="2" t="n"/>
      <c r="D393" s="2" t="n"/>
      <c r="E393" s="2" t="n"/>
      <c r="F393" s="2" t="n"/>
    </row>
    <row r="394" ht="15.75" customHeight="1" s="67">
      <c r="A394" s="2" t="n"/>
      <c r="B394" s="2" t="n"/>
      <c r="C394" s="2" t="n"/>
      <c r="D394" s="2" t="n"/>
      <c r="E394" s="2" t="n"/>
      <c r="F394" s="2" t="n"/>
    </row>
    <row r="395" ht="15.75" customHeight="1" s="67">
      <c r="A395" s="2" t="n"/>
      <c r="B395" s="2" t="n"/>
      <c r="C395" s="2" t="n"/>
      <c r="D395" s="2" t="n"/>
      <c r="E395" s="2" t="n"/>
      <c r="F395" s="2" t="n"/>
    </row>
    <row r="396" ht="15.75" customHeight="1" s="67">
      <c r="A396" s="2" t="n"/>
      <c r="B396" s="2" t="n"/>
      <c r="C396" s="2" t="n"/>
      <c r="D396" s="2" t="n"/>
      <c r="E396" s="2" t="n"/>
      <c r="F396" s="2" t="n"/>
    </row>
    <row r="397" ht="15.75" customHeight="1" s="67">
      <c r="A397" s="2" t="n"/>
      <c r="B397" s="2" t="n"/>
      <c r="C397" s="2" t="n"/>
      <c r="D397" s="2" t="n"/>
      <c r="E397" s="2" t="n"/>
      <c r="F397" s="2" t="n"/>
    </row>
    <row r="398" ht="15.75" customHeight="1" s="67">
      <c r="A398" s="2" t="n"/>
      <c r="B398" s="2" t="n"/>
      <c r="C398" s="2" t="n"/>
      <c r="D398" s="2" t="n"/>
      <c r="E398" s="2" t="n"/>
      <c r="F398" s="2" t="n"/>
    </row>
    <row r="399" ht="15.75" customHeight="1" s="67">
      <c r="A399" s="2" t="n"/>
      <c r="B399" s="2" t="n"/>
      <c r="C399" s="2" t="n"/>
      <c r="D399" s="2" t="n"/>
      <c r="E399" s="2" t="n"/>
      <c r="F399" s="2" t="n"/>
    </row>
    <row r="400" ht="15.75" customHeight="1" s="67">
      <c r="A400" s="2" t="n"/>
      <c r="B400" s="2" t="n"/>
      <c r="C400" s="2" t="n"/>
      <c r="D400" s="2" t="n"/>
      <c r="E400" s="2" t="n"/>
      <c r="F400" s="2" t="n"/>
    </row>
    <row r="401" ht="15.75" customHeight="1" s="67">
      <c r="A401" s="2" t="n"/>
      <c r="B401" s="2" t="n"/>
      <c r="C401" s="2" t="n"/>
      <c r="D401" s="2" t="n"/>
      <c r="E401" s="2" t="n"/>
      <c r="F401" s="2" t="n"/>
    </row>
    <row r="402" ht="15.75" customHeight="1" s="67">
      <c r="A402" s="2" t="n"/>
      <c r="B402" s="2" t="n"/>
      <c r="C402" s="2" t="n"/>
      <c r="D402" s="2" t="n"/>
      <c r="E402" s="2" t="n"/>
      <c r="F402" s="2" t="n"/>
    </row>
    <row r="403" ht="15.75" customHeight="1" s="67">
      <c r="A403" s="2" t="n"/>
      <c r="B403" s="2" t="n"/>
      <c r="C403" s="2" t="n"/>
      <c r="D403" s="2" t="n"/>
      <c r="E403" s="2" t="n"/>
      <c r="F403" s="2" t="n"/>
    </row>
    <row r="404" ht="15.75" customHeight="1" s="67">
      <c r="A404" s="2" t="n"/>
      <c r="B404" s="2" t="n"/>
      <c r="C404" s="2" t="n"/>
      <c r="D404" s="2" t="n"/>
      <c r="E404" s="2" t="n"/>
      <c r="F404" s="2" t="n"/>
    </row>
    <row r="405" ht="15.75" customHeight="1" s="67">
      <c r="A405" s="2" t="n"/>
      <c r="B405" s="2" t="n"/>
      <c r="C405" s="2" t="n"/>
      <c r="D405" s="2" t="n"/>
      <c r="E405" s="2" t="n"/>
      <c r="F405" s="2" t="n"/>
    </row>
    <row r="406" ht="15.75" customHeight="1" s="67">
      <c r="A406" s="2" t="n"/>
      <c r="B406" s="2" t="n"/>
      <c r="C406" s="2" t="n"/>
      <c r="D406" s="2" t="n"/>
      <c r="E406" s="2" t="n"/>
      <c r="F406" s="2" t="n"/>
    </row>
    <row r="407" ht="15.75" customHeight="1" s="67">
      <c r="A407" s="2" t="n"/>
      <c r="B407" s="2" t="n"/>
      <c r="C407" s="2" t="n"/>
      <c r="D407" s="2" t="n"/>
      <c r="E407" s="2" t="n"/>
      <c r="F407" s="2" t="n"/>
    </row>
    <row r="408" ht="15.75" customHeight="1" s="67">
      <c r="A408" s="2" t="n"/>
      <c r="B408" s="2" t="n"/>
      <c r="C408" s="2" t="n"/>
      <c r="D408" s="2" t="n"/>
      <c r="E408" s="2" t="n"/>
      <c r="F408" s="2" t="n"/>
    </row>
    <row r="409" ht="15.75" customHeight="1" s="67">
      <c r="A409" s="2" t="n"/>
      <c r="B409" s="2" t="n"/>
      <c r="C409" s="2" t="n"/>
      <c r="D409" s="2" t="n"/>
      <c r="E409" s="2" t="n"/>
      <c r="F409" s="2" t="n"/>
    </row>
    <row r="410" ht="15.75" customHeight="1" s="67">
      <c r="A410" s="2" t="n"/>
      <c r="B410" s="2" t="n"/>
      <c r="C410" s="2" t="n"/>
      <c r="D410" s="2" t="n"/>
      <c r="E410" s="2" t="n"/>
      <c r="F410" s="2" t="n"/>
    </row>
    <row r="411" ht="15.75" customHeight="1" s="67">
      <c r="A411" s="2" t="n"/>
      <c r="B411" s="2" t="n"/>
      <c r="C411" s="2" t="n"/>
      <c r="D411" s="2" t="n"/>
      <c r="E411" s="2" t="n"/>
      <c r="F411" s="2" t="n"/>
    </row>
    <row r="412" ht="15.75" customHeight="1" s="67">
      <c r="A412" s="2" t="n"/>
      <c r="B412" s="2" t="n"/>
      <c r="C412" s="2" t="n"/>
      <c r="D412" s="2" t="n"/>
      <c r="E412" s="2" t="n"/>
      <c r="F412" s="2" t="n"/>
    </row>
    <row r="413" ht="15.75" customHeight="1" s="67">
      <c r="A413" s="2" t="n"/>
      <c r="B413" s="2" t="n"/>
      <c r="C413" s="2" t="n"/>
      <c r="D413" s="2" t="n"/>
      <c r="E413" s="2" t="n"/>
      <c r="F413" s="2" t="n"/>
    </row>
    <row r="414" ht="15.75" customHeight="1" s="67">
      <c r="A414" s="2" t="n"/>
      <c r="B414" s="2" t="n"/>
      <c r="C414" s="2" t="n"/>
      <c r="D414" s="2" t="n"/>
      <c r="E414" s="2" t="n"/>
      <c r="F414" s="2" t="n"/>
    </row>
    <row r="415" ht="15.75" customHeight="1" s="67">
      <c r="A415" s="2" t="n"/>
      <c r="B415" s="2" t="n"/>
      <c r="C415" s="2" t="n"/>
      <c r="D415" s="2" t="n"/>
      <c r="E415" s="2" t="n"/>
      <c r="F415" s="2" t="n"/>
    </row>
    <row r="416" ht="15.75" customHeight="1" s="67">
      <c r="A416" s="2" t="n"/>
      <c r="B416" s="2" t="n"/>
      <c r="C416" s="2" t="n"/>
      <c r="D416" s="2" t="n"/>
      <c r="E416" s="2" t="n"/>
      <c r="F416" s="2" t="n"/>
    </row>
    <row r="417" ht="15.75" customHeight="1" s="67">
      <c r="A417" s="2" t="n"/>
      <c r="B417" s="2" t="n"/>
      <c r="C417" s="2" t="n"/>
      <c r="D417" s="2" t="n"/>
      <c r="E417" s="2" t="n"/>
      <c r="F417" s="2" t="n"/>
    </row>
    <row r="418" ht="15.75" customHeight="1" s="67">
      <c r="A418" s="2" t="n"/>
      <c r="B418" s="2" t="n"/>
      <c r="C418" s="2" t="n"/>
      <c r="D418" s="2" t="n"/>
      <c r="E418" s="2" t="n"/>
      <c r="F418" s="2" t="n"/>
    </row>
    <row r="419" ht="15.75" customHeight="1" s="67">
      <c r="A419" s="2" t="n"/>
      <c r="B419" s="2" t="n"/>
      <c r="C419" s="2" t="n"/>
      <c r="D419" s="2" t="n"/>
      <c r="E419" s="2" t="n"/>
      <c r="F419" s="2" t="n"/>
    </row>
    <row r="420" ht="15.75" customHeight="1" s="67">
      <c r="A420" s="2" t="n"/>
      <c r="B420" s="2" t="n"/>
      <c r="C420" s="2" t="n"/>
      <c r="D420" s="2" t="n"/>
      <c r="E420" s="2" t="n"/>
      <c r="F420" s="2" t="n"/>
    </row>
    <row r="421" ht="15.75" customHeight="1" s="67">
      <c r="A421" s="2" t="n"/>
      <c r="B421" s="2" t="n"/>
      <c r="C421" s="2" t="n"/>
      <c r="D421" s="2" t="n"/>
      <c r="E421" s="2" t="n"/>
      <c r="F421" s="2" t="n"/>
    </row>
    <row r="422" ht="15.75" customHeight="1" s="67">
      <c r="A422" s="2" t="n"/>
      <c r="B422" s="2" t="n"/>
      <c r="C422" s="2" t="n"/>
      <c r="D422" s="2" t="n"/>
      <c r="E422" s="2" t="n"/>
      <c r="F422" s="2" t="n"/>
    </row>
    <row r="423" ht="15.75" customHeight="1" s="67">
      <c r="A423" s="2" t="n"/>
      <c r="B423" s="2" t="n"/>
      <c r="C423" s="2" t="n"/>
      <c r="D423" s="2" t="n"/>
      <c r="E423" s="2" t="n"/>
      <c r="F423" s="2" t="n"/>
    </row>
    <row r="424" ht="15.75" customHeight="1" s="67">
      <c r="A424" s="2" t="n"/>
      <c r="B424" s="2" t="n"/>
      <c r="C424" s="2" t="n"/>
      <c r="D424" s="2" t="n"/>
      <c r="E424" s="2" t="n"/>
      <c r="F424" s="2" t="n"/>
    </row>
    <row r="425" ht="15.75" customHeight="1" s="67">
      <c r="A425" s="2" t="n"/>
      <c r="B425" s="2" t="n"/>
      <c r="C425" s="2" t="n"/>
      <c r="D425" s="2" t="n"/>
      <c r="E425" s="2" t="n"/>
      <c r="F425" s="2" t="n"/>
    </row>
    <row r="426" ht="15.75" customHeight="1" s="67">
      <c r="A426" s="2" t="n"/>
      <c r="B426" s="2" t="n"/>
      <c r="C426" s="2" t="n"/>
      <c r="D426" s="2" t="n"/>
      <c r="E426" s="2" t="n"/>
      <c r="F426" s="2" t="n"/>
    </row>
    <row r="427" ht="15.75" customHeight="1" s="67">
      <c r="A427" s="2" t="n"/>
      <c r="B427" s="2" t="n"/>
      <c r="C427" s="2" t="n"/>
      <c r="D427" s="2" t="n"/>
      <c r="E427" s="2" t="n"/>
      <c r="F427" s="2" t="n"/>
    </row>
    <row r="428" ht="15.75" customHeight="1" s="67">
      <c r="A428" s="2" t="n"/>
      <c r="B428" s="2" t="n"/>
      <c r="C428" s="2" t="n"/>
      <c r="D428" s="2" t="n"/>
      <c r="E428" s="2" t="n"/>
      <c r="F428" s="2" t="n"/>
    </row>
    <row r="429" ht="15.75" customHeight="1" s="67">
      <c r="A429" s="2" t="n"/>
      <c r="B429" s="2" t="n"/>
      <c r="C429" s="2" t="n"/>
      <c r="D429" s="2" t="n"/>
      <c r="E429" s="2" t="n"/>
      <c r="F429" s="2" t="n"/>
    </row>
    <row r="430" ht="15.75" customHeight="1" s="67">
      <c r="A430" s="2" t="n"/>
      <c r="B430" s="2" t="n"/>
      <c r="C430" s="2" t="n"/>
      <c r="D430" s="2" t="n"/>
      <c r="E430" s="2" t="n"/>
      <c r="F430" s="2" t="n"/>
    </row>
    <row r="431" ht="15.75" customHeight="1" s="67">
      <c r="A431" s="2" t="n"/>
      <c r="B431" s="2" t="n"/>
      <c r="C431" s="2" t="n"/>
      <c r="D431" s="2" t="n"/>
      <c r="E431" s="2" t="n"/>
      <c r="F431" s="2" t="n"/>
    </row>
    <row r="432" ht="15.75" customHeight="1" s="67">
      <c r="A432" s="2" t="n"/>
      <c r="B432" s="2" t="n"/>
      <c r="C432" s="2" t="n"/>
      <c r="D432" s="2" t="n"/>
      <c r="E432" s="2" t="n"/>
      <c r="F432" s="2" t="n"/>
    </row>
    <row r="433" ht="15.75" customHeight="1" s="67">
      <c r="A433" s="2" t="n"/>
      <c r="B433" s="2" t="n"/>
      <c r="C433" s="2" t="n"/>
      <c r="D433" s="2" t="n"/>
      <c r="E433" s="2" t="n"/>
      <c r="F433" s="2" t="n"/>
    </row>
    <row r="434" ht="15.75" customHeight="1" s="67">
      <c r="A434" s="2" t="n"/>
      <c r="B434" s="2" t="n"/>
      <c r="C434" s="2" t="n"/>
      <c r="D434" s="2" t="n"/>
      <c r="E434" s="2" t="n"/>
      <c r="F434" s="2" t="n"/>
    </row>
    <row r="435" ht="15.75" customHeight="1" s="67">
      <c r="A435" s="2" t="n"/>
      <c r="B435" s="2" t="n"/>
      <c r="C435" s="2" t="n"/>
      <c r="D435" s="2" t="n"/>
      <c r="E435" s="2" t="n"/>
      <c r="F435" s="2" t="n"/>
    </row>
    <row r="436" ht="15.75" customHeight="1" s="67">
      <c r="A436" s="2" t="n"/>
      <c r="B436" s="2" t="n"/>
      <c r="C436" s="2" t="n"/>
      <c r="D436" s="2" t="n"/>
      <c r="E436" s="2" t="n"/>
      <c r="F436" s="2" t="n"/>
    </row>
    <row r="437" ht="15.75" customHeight="1" s="67">
      <c r="A437" s="2" t="n"/>
      <c r="B437" s="2" t="n"/>
      <c r="C437" s="2" t="n"/>
      <c r="D437" s="2" t="n"/>
      <c r="E437" s="2" t="n"/>
      <c r="F437" s="2" t="n"/>
    </row>
    <row r="438" ht="15.75" customHeight="1" s="67">
      <c r="A438" s="2" t="n"/>
      <c r="B438" s="2" t="n"/>
      <c r="C438" s="2" t="n"/>
      <c r="D438" s="2" t="n"/>
      <c r="E438" s="2" t="n"/>
      <c r="F438" s="2" t="n"/>
    </row>
    <row r="439" ht="15.75" customHeight="1" s="67">
      <c r="A439" s="2" t="n"/>
      <c r="B439" s="2" t="n"/>
      <c r="C439" s="2" t="n"/>
      <c r="D439" s="2" t="n"/>
      <c r="E439" s="2" t="n"/>
      <c r="F439" s="2" t="n"/>
    </row>
    <row r="440" ht="15.75" customHeight="1" s="67">
      <c r="A440" s="2" t="n"/>
      <c r="B440" s="2" t="n"/>
      <c r="C440" s="2" t="n"/>
      <c r="D440" s="2" t="n"/>
      <c r="E440" s="2" t="n"/>
      <c r="F440" s="2" t="n"/>
    </row>
    <row r="441" ht="15.75" customHeight="1" s="67">
      <c r="A441" s="2" t="n"/>
      <c r="B441" s="2" t="n"/>
      <c r="C441" s="2" t="n"/>
      <c r="D441" s="2" t="n"/>
      <c r="E441" s="2" t="n"/>
      <c r="F441" s="2" t="n"/>
    </row>
    <row r="442" ht="15.75" customHeight="1" s="67">
      <c r="A442" s="2" t="n"/>
      <c r="B442" s="2" t="n"/>
      <c r="C442" s="2" t="n"/>
      <c r="D442" s="2" t="n"/>
      <c r="E442" s="2" t="n"/>
      <c r="F442" s="2" t="n"/>
    </row>
    <row r="443" ht="15.75" customHeight="1" s="67">
      <c r="A443" s="2" t="n"/>
      <c r="B443" s="2" t="n"/>
      <c r="C443" s="2" t="n"/>
      <c r="D443" s="2" t="n"/>
      <c r="E443" s="2" t="n"/>
      <c r="F443" s="2" t="n"/>
    </row>
    <row r="444" ht="15.75" customHeight="1" s="67">
      <c r="A444" s="2" t="n"/>
      <c r="B444" s="2" t="n"/>
      <c r="C444" s="2" t="n"/>
      <c r="D444" s="2" t="n"/>
      <c r="E444" s="2" t="n"/>
      <c r="F444" s="2" t="n"/>
    </row>
    <row r="445" ht="15.75" customHeight="1" s="67">
      <c r="A445" s="2" t="n"/>
      <c r="B445" s="2" t="n"/>
      <c r="C445" s="2" t="n"/>
      <c r="D445" s="2" t="n"/>
      <c r="E445" s="2" t="n"/>
      <c r="F445" s="2" t="n"/>
    </row>
    <row r="446" ht="15.75" customHeight="1" s="67">
      <c r="A446" s="2" t="n"/>
      <c r="B446" s="2" t="n"/>
      <c r="C446" s="2" t="n"/>
      <c r="D446" s="2" t="n"/>
      <c r="E446" s="2" t="n"/>
      <c r="F446" s="2" t="n"/>
    </row>
    <row r="447" ht="15.75" customHeight="1" s="67">
      <c r="A447" s="2" t="n"/>
      <c r="B447" s="2" t="n"/>
      <c r="C447" s="2" t="n"/>
      <c r="D447" s="2" t="n"/>
      <c r="E447" s="2" t="n"/>
      <c r="F447" s="2" t="n"/>
    </row>
    <row r="448" ht="15.75" customHeight="1" s="67">
      <c r="A448" s="2" t="n"/>
      <c r="B448" s="2" t="n"/>
      <c r="C448" s="2" t="n"/>
      <c r="D448" s="2" t="n"/>
      <c r="E448" s="2" t="n"/>
      <c r="F448" s="2" t="n"/>
    </row>
    <row r="449" ht="15.75" customHeight="1" s="67">
      <c r="A449" s="2" t="n"/>
      <c r="B449" s="2" t="n"/>
      <c r="C449" s="2" t="n"/>
      <c r="D449" s="2" t="n"/>
      <c r="E449" s="2" t="n"/>
      <c r="F449" s="2" t="n"/>
    </row>
    <row r="450" ht="15.75" customHeight="1" s="67">
      <c r="A450" s="2" t="n"/>
      <c r="B450" s="2" t="n"/>
      <c r="C450" s="2" t="n"/>
      <c r="D450" s="2" t="n"/>
      <c r="E450" s="2" t="n"/>
      <c r="F450" s="2" t="n"/>
    </row>
    <row r="451" ht="15.75" customHeight="1" s="67">
      <c r="A451" s="2" t="n"/>
      <c r="B451" s="2" t="n"/>
      <c r="C451" s="2" t="n"/>
      <c r="D451" s="2" t="n"/>
      <c r="E451" s="2" t="n"/>
      <c r="F451" s="2" t="n"/>
    </row>
    <row r="452" ht="15.75" customHeight="1" s="67">
      <c r="A452" s="2" t="n"/>
      <c r="B452" s="2" t="n"/>
      <c r="C452" s="2" t="n"/>
      <c r="D452" s="2" t="n"/>
      <c r="E452" s="2" t="n"/>
      <c r="F452" s="2" t="n"/>
    </row>
    <row r="453" ht="15.75" customHeight="1" s="67">
      <c r="A453" s="2" t="n"/>
      <c r="B453" s="2" t="n"/>
      <c r="C453" s="2" t="n"/>
      <c r="D453" s="2" t="n"/>
      <c r="E453" s="2" t="n"/>
      <c r="F453" s="2" t="n"/>
    </row>
    <row r="454" ht="15.75" customHeight="1" s="67">
      <c r="A454" s="2" t="n"/>
      <c r="B454" s="2" t="n"/>
      <c r="C454" s="2" t="n"/>
      <c r="D454" s="2" t="n"/>
      <c r="E454" s="2" t="n"/>
      <c r="F454" s="2" t="n"/>
    </row>
    <row r="455" ht="15.75" customHeight="1" s="67">
      <c r="A455" s="2" t="n"/>
      <c r="B455" s="2" t="n"/>
      <c r="C455" s="2" t="n"/>
      <c r="D455" s="2" t="n"/>
      <c r="E455" s="2" t="n"/>
      <c r="F455" s="2" t="n"/>
    </row>
    <row r="456" ht="15.75" customHeight="1" s="67">
      <c r="A456" s="2" t="n"/>
      <c r="B456" s="2" t="n"/>
      <c r="C456" s="2" t="n"/>
      <c r="D456" s="2" t="n"/>
      <c r="E456" s="2" t="n"/>
      <c r="F456" s="2" t="n"/>
    </row>
    <row r="457" ht="15.75" customHeight="1" s="67">
      <c r="A457" s="2" t="n"/>
      <c r="B457" s="2" t="n"/>
      <c r="C457" s="2" t="n"/>
      <c r="D457" s="2" t="n"/>
      <c r="E457" s="2" t="n"/>
      <c r="F457" s="2" t="n"/>
    </row>
    <row r="458" ht="15.75" customHeight="1" s="67">
      <c r="A458" s="2" t="n"/>
      <c r="B458" s="2" t="n"/>
      <c r="C458" s="2" t="n"/>
      <c r="D458" s="2" t="n"/>
      <c r="E458" s="2" t="n"/>
      <c r="F458" s="2" t="n"/>
    </row>
    <row r="459" ht="15.75" customHeight="1" s="67">
      <c r="A459" s="2" t="n"/>
      <c r="B459" s="2" t="n"/>
      <c r="C459" s="2" t="n"/>
      <c r="D459" s="2" t="n"/>
      <c r="E459" s="2" t="n"/>
      <c r="F459" s="2" t="n"/>
    </row>
    <row r="460" ht="15.75" customHeight="1" s="67">
      <c r="A460" s="2" t="n"/>
      <c r="B460" s="2" t="n"/>
      <c r="C460" s="2" t="n"/>
      <c r="D460" s="2" t="n"/>
      <c r="E460" s="2" t="n"/>
      <c r="F460" s="2" t="n"/>
    </row>
    <row r="461" ht="15.75" customHeight="1" s="67">
      <c r="A461" s="2" t="n"/>
      <c r="B461" s="2" t="n"/>
      <c r="C461" s="2" t="n"/>
      <c r="D461" s="2" t="n"/>
      <c r="E461" s="2" t="n"/>
      <c r="F461" s="2" t="n"/>
    </row>
    <row r="462" ht="15.75" customHeight="1" s="67">
      <c r="A462" s="2" t="n"/>
      <c r="B462" s="2" t="n"/>
      <c r="C462" s="2" t="n"/>
      <c r="D462" s="2" t="n"/>
      <c r="E462" s="2" t="n"/>
      <c r="F462" s="2" t="n"/>
    </row>
    <row r="463" ht="15.75" customHeight="1" s="67">
      <c r="A463" s="2" t="n"/>
      <c r="B463" s="2" t="n"/>
      <c r="C463" s="2" t="n"/>
      <c r="D463" s="2" t="n"/>
      <c r="E463" s="2" t="n"/>
      <c r="F463" s="2" t="n"/>
    </row>
    <row r="464" ht="15.75" customHeight="1" s="67">
      <c r="A464" s="2" t="n"/>
      <c r="B464" s="2" t="n"/>
      <c r="C464" s="2" t="n"/>
      <c r="D464" s="2" t="n"/>
      <c r="E464" s="2" t="n"/>
      <c r="F464" s="2" t="n"/>
    </row>
    <row r="465" ht="15.75" customHeight="1" s="67">
      <c r="A465" s="2" t="n"/>
      <c r="B465" s="2" t="n"/>
      <c r="C465" s="2" t="n"/>
      <c r="D465" s="2" t="n"/>
      <c r="E465" s="2" t="n"/>
      <c r="F465" s="2" t="n"/>
    </row>
    <row r="466" ht="15.75" customHeight="1" s="67">
      <c r="A466" s="2" t="n"/>
      <c r="B466" s="2" t="n"/>
      <c r="C466" s="2" t="n"/>
      <c r="D466" s="2" t="n"/>
      <c r="E466" s="2" t="n"/>
      <c r="F466" s="2" t="n"/>
    </row>
    <row r="467" ht="15.75" customHeight="1" s="67">
      <c r="A467" s="2" t="n"/>
      <c r="B467" s="2" t="n"/>
      <c r="C467" s="2" t="n"/>
      <c r="D467" s="2" t="n"/>
      <c r="E467" s="2" t="n"/>
      <c r="F467" s="2" t="n"/>
    </row>
    <row r="468" ht="15.75" customHeight="1" s="67">
      <c r="A468" s="2" t="n"/>
      <c r="B468" s="2" t="n"/>
      <c r="C468" s="2" t="n"/>
      <c r="D468" s="2" t="n"/>
      <c r="E468" s="2" t="n"/>
      <c r="F468" s="2" t="n"/>
    </row>
    <row r="469" ht="15.75" customHeight="1" s="67">
      <c r="A469" s="2" t="n"/>
      <c r="B469" s="2" t="n"/>
      <c r="C469" s="2" t="n"/>
      <c r="D469" s="2" t="n"/>
      <c r="E469" s="2" t="n"/>
      <c r="F469" s="2" t="n"/>
    </row>
    <row r="470" ht="15.75" customHeight="1" s="67">
      <c r="A470" s="2" t="n"/>
      <c r="B470" s="2" t="n"/>
      <c r="C470" s="2" t="n"/>
      <c r="D470" s="2" t="n"/>
      <c r="E470" s="2" t="n"/>
      <c r="F470" s="2" t="n"/>
    </row>
    <row r="471" ht="15.75" customHeight="1" s="67">
      <c r="A471" s="2" t="n"/>
      <c r="B471" s="2" t="n"/>
      <c r="C471" s="2" t="n"/>
      <c r="D471" s="2" t="n"/>
      <c r="E471" s="2" t="n"/>
      <c r="F471" s="2" t="n"/>
    </row>
    <row r="472" ht="15.75" customHeight="1" s="67">
      <c r="A472" s="2" t="n"/>
      <c r="B472" s="2" t="n"/>
      <c r="C472" s="2" t="n"/>
      <c r="D472" s="2" t="n"/>
      <c r="E472" s="2" t="n"/>
      <c r="F472" s="2" t="n"/>
    </row>
    <row r="473" ht="15.75" customHeight="1" s="67">
      <c r="A473" s="2" t="n"/>
      <c r="B473" s="2" t="n"/>
      <c r="C473" s="2" t="n"/>
      <c r="D473" s="2" t="n"/>
      <c r="E473" s="2" t="n"/>
      <c r="F473" s="2" t="n"/>
    </row>
    <row r="474" ht="15.75" customHeight="1" s="67">
      <c r="A474" s="2" t="n"/>
      <c r="B474" s="2" t="n"/>
      <c r="C474" s="2" t="n"/>
      <c r="D474" s="2" t="n"/>
      <c r="E474" s="2" t="n"/>
      <c r="F474" s="2" t="n"/>
    </row>
    <row r="475" ht="15.75" customHeight="1" s="67">
      <c r="A475" s="2" t="n"/>
      <c r="B475" s="2" t="n"/>
      <c r="C475" s="2" t="n"/>
      <c r="D475" s="2" t="n"/>
      <c r="E475" s="2" t="n"/>
      <c r="F475" s="2" t="n"/>
    </row>
    <row r="476" ht="15.75" customHeight="1" s="67">
      <c r="A476" s="2" t="n"/>
      <c r="B476" s="2" t="n"/>
      <c r="C476" s="2" t="n"/>
      <c r="D476" s="2" t="n"/>
      <c r="E476" s="2" t="n"/>
      <c r="F476" s="2" t="n"/>
    </row>
    <row r="477" ht="15.75" customHeight="1" s="67">
      <c r="A477" s="2" t="n"/>
      <c r="B477" s="2" t="n"/>
      <c r="C477" s="2" t="n"/>
      <c r="D477" s="2" t="n"/>
      <c r="E477" s="2" t="n"/>
      <c r="F477" s="2" t="n"/>
    </row>
    <row r="478" ht="15.75" customHeight="1" s="67">
      <c r="A478" s="2" t="n"/>
      <c r="B478" s="2" t="n"/>
      <c r="C478" s="2" t="n"/>
      <c r="D478" s="2" t="n"/>
      <c r="E478" s="2" t="n"/>
      <c r="F478" s="2" t="n"/>
    </row>
    <row r="479" ht="15.75" customHeight="1" s="67">
      <c r="A479" s="2" t="n"/>
      <c r="B479" s="2" t="n"/>
      <c r="C479" s="2" t="n"/>
      <c r="D479" s="2" t="n"/>
      <c r="E479" s="2" t="n"/>
      <c r="F479" s="2" t="n"/>
    </row>
    <row r="480" ht="15.75" customHeight="1" s="67">
      <c r="A480" s="2" t="n"/>
      <c r="B480" s="2" t="n"/>
      <c r="C480" s="2" t="n"/>
      <c r="D480" s="2" t="n"/>
      <c r="E480" s="2" t="n"/>
      <c r="F480" s="2" t="n"/>
    </row>
    <row r="481" ht="15.75" customHeight="1" s="67">
      <c r="A481" s="2" t="n"/>
      <c r="B481" s="2" t="n"/>
      <c r="C481" s="2" t="n"/>
      <c r="D481" s="2" t="n"/>
      <c r="E481" s="2" t="n"/>
      <c r="F481" s="2" t="n"/>
    </row>
    <row r="482" ht="15.75" customHeight="1" s="67">
      <c r="A482" s="2" t="n"/>
      <c r="B482" s="2" t="n"/>
      <c r="C482" s="2" t="n"/>
      <c r="D482" s="2" t="n"/>
      <c r="E482" s="2" t="n"/>
      <c r="F482" s="2" t="n"/>
    </row>
    <row r="483" ht="15.75" customHeight="1" s="67">
      <c r="A483" s="2" t="n"/>
      <c r="B483" s="2" t="n"/>
      <c r="C483" s="2" t="n"/>
      <c r="D483" s="2" t="n"/>
      <c r="E483" s="2" t="n"/>
      <c r="F483" s="2" t="n"/>
    </row>
    <row r="484" ht="15.75" customHeight="1" s="67">
      <c r="A484" s="2" t="n"/>
      <c r="B484" s="2" t="n"/>
      <c r="C484" s="2" t="n"/>
      <c r="D484" s="2" t="n"/>
      <c r="E484" s="2" t="n"/>
      <c r="F484" s="2" t="n"/>
    </row>
    <row r="485" ht="15.75" customHeight="1" s="67">
      <c r="A485" s="2" t="n"/>
      <c r="B485" s="2" t="n"/>
      <c r="C485" s="2" t="n"/>
      <c r="D485" s="2" t="n"/>
      <c r="E485" s="2" t="n"/>
      <c r="F485" s="2" t="n"/>
    </row>
    <row r="486" ht="15.75" customHeight="1" s="67">
      <c r="A486" s="2" t="n"/>
      <c r="B486" s="2" t="n"/>
      <c r="C486" s="2" t="n"/>
      <c r="D486" s="2" t="n"/>
      <c r="E486" s="2" t="n"/>
      <c r="F486" s="2" t="n"/>
    </row>
    <row r="487" ht="15.75" customHeight="1" s="67">
      <c r="A487" s="2" t="n"/>
      <c r="B487" s="2" t="n"/>
      <c r="C487" s="2" t="n"/>
      <c r="D487" s="2" t="n"/>
      <c r="E487" s="2" t="n"/>
      <c r="F487" s="2" t="n"/>
    </row>
    <row r="488" ht="15.75" customHeight="1" s="67">
      <c r="A488" s="2" t="n"/>
      <c r="B488" s="2" t="n"/>
      <c r="C488" s="2" t="n"/>
      <c r="D488" s="2" t="n"/>
      <c r="E488" s="2" t="n"/>
      <c r="F488" s="2" t="n"/>
    </row>
    <row r="489" ht="15.75" customHeight="1" s="67">
      <c r="A489" s="2" t="n"/>
      <c r="B489" s="2" t="n"/>
      <c r="C489" s="2" t="n"/>
      <c r="D489" s="2" t="n"/>
      <c r="E489" s="2" t="n"/>
      <c r="F489" s="2" t="n"/>
    </row>
    <row r="490" ht="15.75" customHeight="1" s="67">
      <c r="A490" s="2" t="n"/>
      <c r="B490" s="2" t="n"/>
      <c r="C490" s="2" t="n"/>
      <c r="D490" s="2" t="n"/>
      <c r="E490" s="2" t="n"/>
      <c r="F490" s="2" t="n"/>
    </row>
    <row r="491" ht="15.75" customHeight="1" s="67">
      <c r="A491" s="2" t="n"/>
      <c r="B491" s="2" t="n"/>
      <c r="C491" s="2" t="n"/>
      <c r="D491" s="2" t="n"/>
      <c r="E491" s="2" t="n"/>
      <c r="F491" s="2" t="n"/>
    </row>
    <row r="492" ht="15.75" customHeight="1" s="67">
      <c r="A492" s="2" t="n"/>
      <c r="B492" s="2" t="n"/>
      <c r="C492" s="2" t="n"/>
      <c r="D492" s="2" t="n"/>
      <c r="E492" s="2" t="n"/>
      <c r="F492" s="2" t="n"/>
    </row>
    <row r="493" ht="15.75" customHeight="1" s="67">
      <c r="A493" s="2" t="n"/>
      <c r="B493" s="2" t="n"/>
      <c r="C493" s="2" t="n"/>
      <c r="D493" s="2" t="n"/>
      <c r="E493" s="2" t="n"/>
      <c r="F493" s="2" t="n"/>
    </row>
    <row r="494" ht="15.75" customHeight="1" s="67">
      <c r="A494" s="2" t="n"/>
      <c r="B494" s="2" t="n"/>
      <c r="C494" s="2" t="n"/>
      <c r="D494" s="2" t="n"/>
      <c r="E494" s="2" t="n"/>
      <c r="F494" s="2" t="n"/>
    </row>
    <row r="495" ht="15.75" customHeight="1" s="67">
      <c r="A495" s="2" t="n"/>
      <c r="B495" s="2" t="n"/>
      <c r="C495" s="2" t="n"/>
      <c r="D495" s="2" t="n"/>
      <c r="E495" s="2" t="n"/>
      <c r="F495" s="2" t="n"/>
    </row>
    <row r="496" ht="15.75" customHeight="1" s="67">
      <c r="A496" s="2" t="n"/>
      <c r="B496" s="2" t="n"/>
      <c r="C496" s="2" t="n"/>
      <c r="D496" s="2" t="n"/>
      <c r="E496" s="2" t="n"/>
      <c r="F496" s="2" t="n"/>
    </row>
    <row r="497" ht="15.75" customHeight="1" s="67">
      <c r="A497" s="2" t="n"/>
      <c r="B497" s="2" t="n"/>
      <c r="C497" s="2" t="n"/>
      <c r="D497" s="2" t="n"/>
      <c r="E497" s="2" t="n"/>
      <c r="F497" s="2" t="n"/>
    </row>
    <row r="498" ht="15.75" customHeight="1" s="67">
      <c r="A498" s="2" t="n"/>
      <c r="B498" s="2" t="n"/>
      <c r="C498" s="2" t="n"/>
      <c r="D498" s="2" t="n"/>
      <c r="E498" s="2" t="n"/>
      <c r="F498" s="2" t="n"/>
    </row>
    <row r="499" ht="15.75" customHeight="1" s="67">
      <c r="A499" s="2" t="n"/>
      <c r="B499" s="2" t="n"/>
      <c r="C499" s="2" t="n"/>
      <c r="D499" s="2" t="n"/>
      <c r="E499" s="2" t="n"/>
      <c r="F499" s="2" t="n"/>
    </row>
    <row r="500" ht="15.75" customHeight="1" s="67">
      <c r="A500" s="2" t="n"/>
      <c r="B500" s="2" t="n"/>
      <c r="C500" s="2" t="n"/>
      <c r="D500" s="2" t="n"/>
      <c r="E500" s="2" t="n"/>
      <c r="F500" s="2" t="n"/>
    </row>
    <row r="501" ht="15.75" customHeight="1" s="67">
      <c r="A501" s="2" t="n"/>
      <c r="B501" s="2" t="n"/>
      <c r="C501" s="2" t="n"/>
      <c r="D501" s="2" t="n"/>
      <c r="E501" s="2" t="n"/>
      <c r="F501" s="2" t="n"/>
    </row>
    <row r="502" ht="15.75" customHeight="1" s="67">
      <c r="A502" s="2" t="n"/>
      <c r="B502" s="2" t="n"/>
      <c r="C502" s="2" t="n"/>
      <c r="D502" s="2" t="n"/>
      <c r="E502" s="2" t="n"/>
      <c r="F502" s="2" t="n"/>
    </row>
    <row r="503" ht="15.75" customHeight="1" s="67">
      <c r="A503" s="2" t="n"/>
      <c r="B503" s="2" t="n"/>
      <c r="C503" s="2" t="n"/>
      <c r="D503" s="2" t="n"/>
      <c r="E503" s="2" t="n"/>
      <c r="F503" s="2" t="n"/>
    </row>
    <row r="504" ht="15.75" customHeight="1" s="67">
      <c r="A504" s="2" t="n"/>
      <c r="B504" s="2" t="n"/>
      <c r="C504" s="2" t="n"/>
      <c r="D504" s="2" t="n"/>
      <c r="E504" s="2" t="n"/>
      <c r="F504" s="2" t="n"/>
    </row>
    <row r="505" ht="15.75" customHeight="1" s="67">
      <c r="A505" s="2" t="n"/>
      <c r="B505" s="2" t="n"/>
      <c r="C505" s="2" t="n"/>
      <c r="D505" s="2" t="n"/>
      <c r="E505" s="2" t="n"/>
      <c r="F505" s="2" t="n"/>
    </row>
    <row r="506" ht="15.75" customHeight="1" s="67">
      <c r="A506" s="2" t="n"/>
      <c r="B506" s="2" t="n"/>
      <c r="C506" s="2" t="n"/>
      <c r="D506" s="2" t="n"/>
      <c r="E506" s="2" t="n"/>
      <c r="F506" s="2" t="n"/>
    </row>
    <row r="507" ht="15.75" customHeight="1" s="67">
      <c r="A507" s="2" t="n"/>
      <c r="B507" s="2" t="n"/>
      <c r="C507" s="2" t="n"/>
      <c r="D507" s="2" t="n"/>
      <c r="E507" s="2" t="n"/>
      <c r="F507" s="2" t="n"/>
    </row>
    <row r="508" ht="15.75" customHeight="1" s="67">
      <c r="A508" s="2" t="n"/>
      <c r="B508" s="2" t="n"/>
      <c r="C508" s="2" t="n"/>
      <c r="D508" s="2" t="n"/>
      <c r="E508" s="2" t="n"/>
      <c r="F508" s="2" t="n"/>
    </row>
    <row r="509" ht="15.75" customHeight="1" s="67">
      <c r="A509" s="2" t="n"/>
      <c r="B509" s="2" t="n"/>
      <c r="C509" s="2" t="n"/>
      <c r="D509" s="2" t="n"/>
      <c r="E509" s="2" t="n"/>
      <c r="F509" s="2" t="n"/>
    </row>
    <row r="510" ht="15.75" customHeight="1" s="67">
      <c r="A510" s="2" t="n"/>
      <c r="B510" s="2" t="n"/>
      <c r="C510" s="2" t="n"/>
      <c r="D510" s="2" t="n"/>
      <c r="E510" s="2" t="n"/>
      <c r="F510" s="2" t="n"/>
    </row>
    <row r="511" ht="15.75" customHeight="1" s="67">
      <c r="A511" s="2" t="n"/>
      <c r="B511" s="2" t="n"/>
      <c r="C511" s="2" t="n"/>
      <c r="D511" s="2" t="n"/>
      <c r="E511" s="2" t="n"/>
      <c r="F511" s="2" t="n"/>
    </row>
    <row r="512" ht="15.75" customHeight="1" s="67">
      <c r="A512" s="2" t="n"/>
      <c r="B512" s="2" t="n"/>
      <c r="C512" s="2" t="n"/>
      <c r="D512" s="2" t="n"/>
      <c r="E512" s="2" t="n"/>
      <c r="F512" s="2" t="n"/>
    </row>
    <row r="513" ht="15.75" customHeight="1" s="67">
      <c r="A513" s="2" t="n"/>
      <c r="B513" s="2" t="n"/>
      <c r="C513" s="2" t="n"/>
      <c r="D513" s="2" t="n"/>
      <c r="E513" s="2" t="n"/>
      <c r="F513" s="2" t="n"/>
    </row>
    <row r="514" ht="15.75" customHeight="1" s="67">
      <c r="A514" s="2" t="n"/>
      <c r="B514" s="2" t="n"/>
      <c r="C514" s="2" t="n"/>
      <c r="D514" s="2" t="n"/>
      <c r="E514" s="2" t="n"/>
      <c r="F514" s="2" t="n"/>
    </row>
    <row r="515" ht="15.75" customHeight="1" s="67">
      <c r="A515" s="2" t="n"/>
      <c r="B515" s="2" t="n"/>
      <c r="C515" s="2" t="n"/>
      <c r="D515" s="2" t="n"/>
      <c r="E515" s="2" t="n"/>
      <c r="F515" s="2" t="n"/>
    </row>
    <row r="516" ht="15.75" customHeight="1" s="67">
      <c r="A516" s="2" t="n"/>
      <c r="B516" s="2" t="n"/>
      <c r="C516" s="2" t="n"/>
      <c r="D516" s="2" t="n"/>
      <c r="E516" s="2" t="n"/>
      <c r="F516" s="2" t="n"/>
    </row>
    <row r="517" ht="15.75" customHeight="1" s="67">
      <c r="A517" s="2" t="n"/>
      <c r="B517" s="2" t="n"/>
      <c r="C517" s="2" t="n"/>
      <c r="D517" s="2" t="n"/>
      <c r="E517" s="2" t="n"/>
      <c r="F517" s="2" t="n"/>
    </row>
    <row r="518" ht="15.75" customHeight="1" s="67">
      <c r="A518" s="2" t="n"/>
      <c r="B518" s="2" t="n"/>
      <c r="C518" s="2" t="n"/>
      <c r="D518" s="2" t="n"/>
      <c r="E518" s="2" t="n"/>
      <c r="F518" s="2" t="n"/>
    </row>
    <row r="519" ht="15.75" customHeight="1" s="67">
      <c r="A519" s="2" t="n"/>
      <c r="B519" s="2" t="n"/>
      <c r="C519" s="2" t="n"/>
      <c r="D519" s="2" t="n"/>
      <c r="E519" s="2" t="n"/>
      <c r="F519" s="2" t="n"/>
    </row>
    <row r="520" ht="15.75" customHeight="1" s="67">
      <c r="A520" s="2" t="n"/>
      <c r="B520" s="2" t="n"/>
      <c r="C520" s="2" t="n"/>
      <c r="D520" s="2" t="n"/>
      <c r="E520" s="2" t="n"/>
      <c r="F520" s="2" t="n"/>
    </row>
    <row r="521" ht="15.75" customHeight="1" s="67">
      <c r="A521" s="2" t="n"/>
      <c r="B521" s="2" t="n"/>
      <c r="C521" s="2" t="n"/>
      <c r="D521" s="2" t="n"/>
      <c r="E521" s="2" t="n"/>
      <c r="F521" s="2" t="n"/>
    </row>
    <row r="522" ht="15.75" customHeight="1" s="67">
      <c r="A522" s="2" t="n"/>
      <c r="B522" s="2" t="n"/>
      <c r="C522" s="2" t="n"/>
      <c r="D522" s="2" t="n"/>
      <c r="E522" s="2" t="n"/>
      <c r="F522" s="2" t="n"/>
    </row>
    <row r="523" ht="15.75" customHeight="1" s="67">
      <c r="A523" s="2" t="n"/>
      <c r="B523" s="2" t="n"/>
      <c r="C523" s="2" t="n"/>
      <c r="D523" s="2" t="n"/>
      <c r="E523" s="2" t="n"/>
      <c r="F523" s="2" t="n"/>
    </row>
    <row r="524" ht="15.75" customHeight="1" s="67">
      <c r="A524" s="2" t="n"/>
      <c r="B524" s="2" t="n"/>
      <c r="C524" s="2" t="n"/>
      <c r="D524" s="2" t="n"/>
      <c r="E524" s="2" t="n"/>
      <c r="F524" s="2" t="n"/>
    </row>
    <row r="525" ht="15.75" customHeight="1" s="67">
      <c r="A525" s="2" t="n"/>
      <c r="B525" s="2" t="n"/>
      <c r="C525" s="2" t="n"/>
      <c r="D525" s="2" t="n"/>
      <c r="E525" s="2" t="n"/>
      <c r="F525" s="2" t="n"/>
    </row>
    <row r="526" ht="15.75" customHeight="1" s="67">
      <c r="A526" s="2" t="n"/>
      <c r="B526" s="2" t="n"/>
      <c r="C526" s="2" t="n"/>
      <c r="D526" s="2" t="n"/>
      <c r="E526" s="2" t="n"/>
      <c r="F526" s="2" t="n"/>
    </row>
    <row r="527" ht="15.75" customHeight="1" s="67">
      <c r="A527" s="2" t="n"/>
      <c r="B527" s="2" t="n"/>
      <c r="C527" s="2" t="n"/>
      <c r="D527" s="2" t="n"/>
      <c r="E527" s="2" t="n"/>
      <c r="F527" s="2" t="n"/>
    </row>
    <row r="528" ht="15.75" customHeight="1" s="67">
      <c r="A528" s="2" t="n"/>
      <c r="B528" s="2" t="n"/>
      <c r="C528" s="2" t="n"/>
      <c r="D528" s="2" t="n"/>
      <c r="E528" s="2" t="n"/>
      <c r="F528" s="2" t="n"/>
    </row>
    <row r="529" ht="15.75" customHeight="1" s="67">
      <c r="A529" s="2" t="n"/>
      <c r="B529" s="2" t="n"/>
      <c r="C529" s="2" t="n"/>
      <c r="D529" s="2" t="n"/>
      <c r="E529" s="2" t="n"/>
      <c r="F529" s="2" t="n"/>
    </row>
    <row r="530" ht="15.75" customHeight="1" s="67">
      <c r="A530" s="2" t="n"/>
      <c r="B530" s="2" t="n"/>
      <c r="C530" s="2" t="n"/>
      <c r="D530" s="2" t="n"/>
      <c r="E530" s="2" t="n"/>
      <c r="F530" s="2" t="n"/>
    </row>
    <row r="531" ht="15.75" customHeight="1" s="67">
      <c r="A531" s="2" t="n"/>
      <c r="B531" s="2" t="n"/>
      <c r="C531" s="2" t="n"/>
      <c r="D531" s="2" t="n"/>
      <c r="E531" s="2" t="n"/>
      <c r="F531" s="2" t="n"/>
    </row>
    <row r="532" ht="15.75" customHeight="1" s="67">
      <c r="A532" s="2" t="n"/>
      <c r="B532" s="2" t="n"/>
      <c r="C532" s="2" t="n"/>
      <c r="D532" s="2" t="n"/>
      <c r="E532" s="2" t="n"/>
      <c r="F532" s="2" t="n"/>
    </row>
    <row r="533" ht="15.75" customHeight="1" s="67">
      <c r="A533" s="2" t="n"/>
      <c r="B533" s="2" t="n"/>
      <c r="C533" s="2" t="n"/>
      <c r="D533" s="2" t="n"/>
      <c r="E533" s="2" t="n"/>
      <c r="F533" s="2" t="n"/>
    </row>
    <row r="534" ht="15.75" customHeight="1" s="67">
      <c r="A534" s="2" t="n"/>
      <c r="B534" s="2" t="n"/>
      <c r="C534" s="2" t="n"/>
      <c r="D534" s="2" t="n"/>
      <c r="E534" s="2" t="n"/>
      <c r="F534" s="2" t="n"/>
    </row>
    <row r="535" ht="15.75" customHeight="1" s="67">
      <c r="A535" s="2" t="n"/>
      <c r="B535" s="2" t="n"/>
      <c r="C535" s="2" t="n"/>
      <c r="D535" s="2" t="n"/>
      <c r="E535" s="2" t="n"/>
      <c r="F535" s="2" t="n"/>
    </row>
    <row r="536" ht="15.75" customHeight="1" s="67">
      <c r="A536" s="2" t="n"/>
      <c r="B536" s="2" t="n"/>
      <c r="C536" s="2" t="n"/>
      <c r="D536" s="2" t="n"/>
      <c r="E536" s="2" t="n"/>
      <c r="F536" s="2" t="n"/>
    </row>
    <row r="537" ht="15.75" customHeight="1" s="67">
      <c r="A537" s="2" t="n"/>
      <c r="B537" s="2" t="n"/>
      <c r="C537" s="2" t="n"/>
      <c r="D537" s="2" t="n"/>
      <c r="E537" s="2" t="n"/>
      <c r="F537" s="2" t="n"/>
    </row>
    <row r="538" ht="15.75" customHeight="1" s="67">
      <c r="A538" s="2" t="n"/>
      <c r="B538" s="2" t="n"/>
      <c r="C538" s="2" t="n"/>
      <c r="D538" s="2" t="n"/>
      <c r="E538" s="2" t="n"/>
      <c r="F538" s="2" t="n"/>
    </row>
    <row r="539" ht="15.75" customHeight="1" s="67">
      <c r="A539" s="2" t="n"/>
      <c r="B539" s="2" t="n"/>
      <c r="C539" s="2" t="n"/>
      <c r="D539" s="2" t="n"/>
      <c r="E539" s="2" t="n"/>
      <c r="F539" s="2" t="n"/>
    </row>
    <row r="540" ht="15.75" customHeight="1" s="67">
      <c r="A540" s="2" t="n"/>
      <c r="B540" s="2" t="n"/>
      <c r="C540" s="2" t="n"/>
      <c r="D540" s="2" t="n"/>
      <c r="E540" s="2" t="n"/>
      <c r="F540" s="2" t="n"/>
    </row>
    <row r="541" ht="15.75" customHeight="1" s="67">
      <c r="A541" s="2" t="n"/>
      <c r="B541" s="2" t="n"/>
      <c r="C541" s="2" t="n"/>
      <c r="D541" s="2" t="n"/>
      <c r="E541" s="2" t="n"/>
      <c r="F541" s="2" t="n"/>
    </row>
    <row r="542" ht="15.75" customHeight="1" s="67">
      <c r="A542" s="2" t="n"/>
      <c r="B542" s="2" t="n"/>
      <c r="C542" s="2" t="n"/>
      <c r="D542" s="2" t="n"/>
      <c r="E542" s="2" t="n"/>
      <c r="F542" s="2" t="n"/>
    </row>
    <row r="543" ht="15.75" customHeight="1" s="67">
      <c r="A543" s="2" t="n"/>
      <c r="B543" s="2" t="n"/>
      <c r="C543" s="2" t="n"/>
      <c r="D543" s="2" t="n"/>
      <c r="E543" s="2" t="n"/>
      <c r="F543" s="2" t="n"/>
    </row>
    <row r="544" ht="15.75" customHeight="1" s="67">
      <c r="A544" s="2" t="n"/>
      <c r="B544" s="2" t="n"/>
      <c r="C544" s="2" t="n"/>
      <c r="D544" s="2" t="n"/>
      <c r="E544" s="2" t="n"/>
      <c r="F544" s="2" t="n"/>
    </row>
    <row r="545" ht="15.75" customHeight="1" s="67">
      <c r="A545" s="2" t="n"/>
      <c r="B545" s="2" t="n"/>
      <c r="C545" s="2" t="n"/>
      <c r="D545" s="2" t="n"/>
      <c r="E545" s="2" t="n"/>
      <c r="F545" s="2" t="n"/>
    </row>
    <row r="546" ht="15.75" customHeight="1" s="67">
      <c r="A546" s="2" t="n"/>
      <c r="B546" s="2" t="n"/>
      <c r="C546" s="2" t="n"/>
      <c r="D546" s="2" t="n"/>
      <c r="E546" s="2" t="n"/>
      <c r="F546" s="2" t="n"/>
    </row>
    <row r="547" ht="15.75" customHeight="1" s="67">
      <c r="A547" s="2" t="n"/>
      <c r="B547" s="2" t="n"/>
      <c r="C547" s="2" t="n"/>
      <c r="D547" s="2" t="n"/>
      <c r="E547" s="2" t="n"/>
      <c r="F547" s="2" t="n"/>
    </row>
    <row r="548" ht="15.75" customHeight="1" s="67">
      <c r="A548" s="2" t="n"/>
      <c r="B548" s="2" t="n"/>
      <c r="C548" s="2" t="n"/>
      <c r="D548" s="2" t="n"/>
      <c r="E548" s="2" t="n"/>
      <c r="F548" s="2" t="n"/>
    </row>
    <row r="549" ht="15.75" customHeight="1" s="67">
      <c r="A549" s="2" t="n"/>
      <c r="B549" s="2" t="n"/>
      <c r="C549" s="2" t="n"/>
      <c r="D549" s="2" t="n"/>
      <c r="E549" s="2" t="n"/>
      <c r="F549" s="2" t="n"/>
    </row>
    <row r="550" ht="15.75" customHeight="1" s="67">
      <c r="A550" s="2" t="n"/>
      <c r="B550" s="2" t="n"/>
      <c r="C550" s="2" t="n"/>
      <c r="D550" s="2" t="n"/>
      <c r="E550" s="2" t="n"/>
      <c r="F550" s="2" t="n"/>
    </row>
    <row r="551" ht="15.75" customHeight="1" s="67">
      <c r="A551" s="2" t="n"/>
      <c r="B551" s="2" t="n"/>
      <c r="C551" s="2" t="n"/>
      <c r="D551" s="2" t="n"/>
      <c r="E551" s="2" t="n"/>
      <c r="F551" s="2" t="n"/>
    </row>
    <row r="552" ht="15.75" customHeight="1" s="67">
      <c r="A552" s="2" t="n"/>
      <c r="B552" s="2" t="n"/>
      <c r="C552" s="2" t="n"/>
      <c r="D552" s="2" t="n"/>
      <c r="E552" s="2" t="n"/>
      <c r="F552" s="2" t="n"/>
    </row>
    <row r="553" ht="15.75" customHeight="1" s="67">
      <c r="A553" s="2" t="n"/>
      <c r="B553" s="2" t="n"/>
      <c r="C553" s="2" t="n"/>
      <c r="D553" s="2" t="n"/>
      <c r="E553" s="2" t="n"/>
      <c r="F553" s="2" t="n"/>
    </row>
    <row r="554" ht="15.75" customHeight="1" s="67">
      <c r="A554" s="2" t="n"/>
      <c r="B554" s="2" t="n"/>
      <c r="C554" s="2" t="n"/>
      <c r="D554" s="2" t="n"/>
      <c r="E554" s="2" t="n"/>
      <c r="F554" s="2" t="n"/>
    </row>
    <row r="555" ht="15.75" customHeight="1" s="67">
      <c r="A555" s="2" t="n"/>
      <c r="B555" s="2" t="n"/>
      <c r="C555" s="2" t="n"/>
      <c r="D555" s="2" t="n"/>
      <c r="E555" s="2" t="n"/>
      <c r="F555" s="2" t="n"/>
    </row>
    <row r="556" ht="15.75" customHeight="1" s="67">
      <c r="A556" s="2" t="n"/>
      <c r="B556" s="2" t="n"/>
      <c r="C556" s="2" t="n"/>
      <c r="D556" s="2" t="n"/>
      <c r="E556" s="2" t="n"/>
      <c r="F556" s="2" t="n"/>
    </row>
    <row r="557" ht="15.75" customHeight="1" s="67">
      <c r="A557" s="2" t="n"/>
      <c r="B557" s="2" t="n"/>
      <c r="C557" s="2" t="n"/>
      <c r="D557" s="2" t="n"/>
      <c r="E557" s="2" t="n"/>
      <c r="F557" s="2" t="n"/>
    </row>
    <row r="558" ht="15.75" customHeight="1" s="67">
      <c r="A558" s="2" t="n"/>
      <c r="B558" s="2" t="n"/>
      <c r="C558" s="2" t="n"/>
      <c r="D558" s="2" t="n"/>
      <c r="E558" s="2" t="n"/>
      <c r="F558" s="2" t="n"/>
    </row>
    <row r="559" ht="15.75" customHeight="1" s="67">
      <c r="A559" s="2" t="n"/>
      <c r="B559" s="2" t="n"/>
      <c r="C559" s="2" t="n"/>
      <c r="D559" s="2" t="n"/>
      <c r="E559" s="2" t="n"/>
      <c r="F559" s="2" t="n"/>
    </row>
    <row r="560" ht="15.75" customHeight="1" s="67">
      <c r="A560" s="2" t="n"/>
      <c r="B560" s="2" t="n"/>
      <c r="C560" s="2" t="n"/>
      <c r="D560" s="2" t="n"/>
      <c r="E560" s="2" t="n"/>
      <c r="F560" s="2" t="n"/>
    </row>
    <row r="561" ht="15.75" customHeight="1" s="67">
      <c r="A561" s="2" t="n"/>
      <c r="B561" s="2" t="n"/>
      <c r="C561" s="2" t="n"/>
      <c r="D561" s="2" t="n"/>
      <c r="E561" s="2" t="n"/>
      <c r="F561" s="2" t="n"/>
    </row>
    <row r="562" ht="15.75" customHeight="1" s="67">
      <c r="A562" s="2" t="n"/>
      <c r="B562" s="2" t="n"/>
      <c r="C562" s="2" t="n"/>
      <c r="D562" s="2" t="n"/>
      <c r="E562" s="2" t="n"/>
      <c r="F562" s="2" t="n"/>
    </row>
    <row r="563" ht="15.75" customHeight="1" s="67">
      <c r="A563" s="2" t="n"/>
      <c r="B563" s="2" t="n"/>
      <c r="C563" s="2" t="n"/>
      <c r="D563" s="2" t="n"/>
      <c r="E563" s="2" t="n"/>
      <c r="F563" s="2" t="n"/>
    </row>
    <row r="564" ht="15.75" customHeight="1" s="67">
      <c r="A564" s="2" t="n"/>
      <c r="B564" s="2" t="n"/>
      <c r="C564" s="2" t="n"/>
      <c r="D564" s="2" t="n"/>
      <c r="E564" s="2" t="n"/>
      <c r="F564" s="2" t="n"/>
    </row>
    <row r="565" ht="15.75" customHeight="1" s="67">
      <c r="A565" s="2" t="n"/>
      <c r="B565" s="2" t="n"/>
      <c r="C565" s="2" t="n"/>
      <c r="D565" s="2" t="n"/>
      <c r="E565" s="2" t="n"/>
      <c r="F565" s="2" t="n"/>
    </row>
    <row r="566" ht="15.75" customHeight="1" s="67">
      <c r="A566" s="2" t="n"/>
      <c r="B566" s="2" t="n"/>
      <c r="C566" s="2" t="n"/>
      <c r="D566" s="2" t="n"/>
      <c r="E566" s="2" t="n"/>
      <c r="F566" s="2" t="n"/>
    </row>
    <row r="567" ht="15.75" customHeight="1" s="67">
      <c r="A567" s="2" t="n"/>
      <c r="B567" s="2" t="n"/>
      <c r="C567" s="2" t="n"/>
      <c r="D567" s="2" t="n"/>
      <c r="E567" s="2" t="n"/>
      <c r="F567" s="2" t="n"/>
    </row>
    <row r="568" ht="15.75" customHeight="1" s="67">
      <c r="A568" s="2" t="n"/>
      <c r="B568" s="2" t="n"/>
      <c r="C568" s="2" t="n"/>
      <c r="D568" s="2" t="n"/>
      <c r="E568" s="2" t="n"/>
      <c r="F568" s="2" t="n"/>
    </row>
    <row r="569" ht="15.75" customHeight="1" s="67">
      <c r="A569" s="2" t="n"/>
      <c r="B569" s="2" t="n"/>
      <c r="C569" s="2" t="n"/>
      <c r="D569" s="2" t="n"/>
      <c r="E569" s="2" t="n"/>
      <c r="F569" s="2" t="n"/>
    </row>
    <row r="570" ht="15.75" customHeight="1" s="67">
      <c r="A570" s="2" t="n"/>
      <c r="B570" s="2" t="n"/>
      <c r="C570" s="2" t="n"/>
      <c r="D570" s="2" t="n"/>
      <c r="E570" s="2" t="n"/>
      <c r="F570" s="2" t="n"/>
    </row>
    <row r="571" ht="15.75" customHeight="1" s="67">
      <c r="A571" s="2" t="n"/>
      <c r="B571" s="2" t="n"/>
      <c r="C571" s="2" t="n"/>
      <c r="D571" s="2" t="n"/>
      <c r="E571" s="2" t="n"/>
      <c r="F571" s="2" t="n"/>
    </row>
    <row r="572" ht="15.75" customHeight="1" s="67">
      <c r="A572" s="2" t="n"/>
      <c r="B572" s="2" t="n"/>
      <c r="C572" s="2" t="n"/>
      <c r="D572" s="2" t="n"/>
      <c r="E572" s="2" t="n"/>
      <c r="F572" s="2" t="n"/>
    </row>
    <row r="573" ht="15.75" customHeight="1" s="67">
      <c r="A573" s="2" t="n"/>
      <c r="B573" s="2" t="n"/>
      <c r="C573" s="2" t="n"/>
      <c r="D573" s="2" t="n"/>
      <c r="E573" s="2" t="n"/>
      <c r="F573" s="2" t="n"/>
    </row>
    <row r="574" ht="15.75" customHeight="1" s="67">
      <c r="A574" s="2" t="n"/>
      <c r="B574" s="2" t="n"/>
      <c r="C574" s="2" t="n"/>
      <c r="D574" s="2" t="n"/>
      <c r="E574" s="2" t="n"/>
      <c r="F574" s="2" t="n"/>
    </row>
    <row r="575" ht="15.75" customHeight="1" s="67">
      <c r="A575" s="2" t="n"/>
      <c r="B575" s="2" t="n"/>
      <c r="C575" s="2" t="n"/>
      <c r="D575" s="2" t="n"/>
      <c r="E575" s="2" t="n"/>
      <c r="F575" s="2" t="n"/>
    </row>
    <row r="576" ht="15.75" customHeight="1" s="67">
      <c r="A576" s="2" t="n"/>
      <c r="B576" s="2" t="n"/>
      <c r="C576" s="2" t="n"/>
      <c r="D576" s="2" t="n"/>
      <c r="E576" s="2" t="n"/>
      <c r="F576" s="2" t="n"/>
    </row>
    <row r="577" ht="15.75" customHeight="1" s="67">
      <c r="A577" s="2" t="n"/>
      <c r="B577" s="2" t="n"/>
      <c r="C577" s="2" t="n"/>
      <c r="D577" s="2" t="n"/>
      <c r="E577" s="2" t="n"/>
      <c r="F577" s="2" t="n"/>
    </row>
    <row r="578" ht="15.75" customHeight="1" s="67">
      <c r="A578" s="2" t="n"/>
      <c r="B578" s="2" t="n"/>
      <c r="C578" s="2" t="n"/>
      <c r="D578" s="2" t="n"/>
      <c r="E578" s="2" t="n"/>
      <c r="F578" s="2" t="n"/>
    </row>
    <row r="579" ht="15.75" customHeight="1" s="67">
      <c r="A579" s="2" t="n"/>
      <c r="B579" s="2" t="n"/>
      <c r="C579" s="2" t="n"/>
      <c r="D579" s="2" t="n"/>
      <c r="E579" s="2" t="n"/>
      <c r="F579" s="2" t="n"/>
    </row>
    <row r="580" ht="15.75" customHeight="1" s="67">
      <c r="A580" s="2" t="n"/>
      <c r="B580" s="2" t="n"/>
      <c r="C580" s="2" t="n"/>
      <c r="D580" s="2" t="n"/>
      <c r="E580" s="2" t="n"/>
      <c r="F580" s="2" t="n"/>
    </row>
    <row r="581" ht="15.75" customHeight="1" s="67">
      <c r="A581" s="2" t="n"/>
      <c r="B581" s="2" t="n"/>
      <c r="C581" s="2" t="n"/>
      <c r="D581" s="2" t="n"/>
      <c r="E581" s="2" t="n"/>
      <c r="F581" s="2" t="n"/>
    </row>
    <row r="582" ht="15.75" customHeight="1" s="67">
      <c r="A582" s="2" t="n"/>
      <c r="B582" s="2" t="n"/>
      <c r="C582" s="2" t="n"/>
      <c r="D582" s="2" t="n"/>
      <c r="E582" s="2" t="n"/>
      <c r="F582" s="2" t="n"/>
    </row>
    <row r="583" ht="15.75" customHeight="1" s="67">
      <c r="A583" s="2" t="n"/>
      <c r="B583" s="2" t="n"/>
      <c r="C583" s="2" t="n"/>
      <c r="D583" s="2" t="n"/>
      <c r="E583" s="2" t="n"/>
      <c r="F583" s="2" t="n"/>
    </row>
    <row r="584" ht="15.75" customHeight="1" s="67">
      <c r="A584" s="2" t="n"/>
      <c r="B584" s="2" t="n"/>
      <c r="C584" s="2" t="n"/>
      <c r="D584" s="2" t="n"/>
      <c r="E584" s="2" t="n"/>
      <c r="F584" s="2" t="n"/>
    </row>
    <row r="585" ht="15.75" customHeight="1" s="67">
      <c r="A585" s="2" t="n"/>
      <c r="B585" s="2" t="n"/>
      <c r="C585" s="2" t="n"/>
      <c r="D585" s="2" t="n"/>
      <c r="E585" s="2" t="n"/>
      <c r="F585" s="2" t="n"/>
    </row>
    <row r="586" ht="15.75" customHeight="1" s="67">
      <c r="A586" s="2" t="n"/>
      <c r="B586" s="2" t="n"/>
      <c r="C586" s="2" t="n"/>
      <c r="D586" s="2" t="n"/>
      <c r="E586" s="2" t="n"/>
      <c r="F586" s="2" t="n"/>
    </row>
    <row r="587" ht="15.75" customHeight="1" s="67">
      <c r="A587" s="2" t="n"/>
      <c r="B587" s="2" t="n"/>
      <c r="C587" s="2" t="n"/>
      <c r="D587" s="2" t="n"/>
      <c r="E587" s="2" t="n"/>
      <c r="F587" s="2" t="n"/>
    </row>
    <row r="588" ht="15.75" customHeight="1" s="67">
      <c r="A588" s="2" t="n"/>
      <c r="B588" s="2" t="n"/>
      <c r="C588" s="2" t="n"/>
      <c r="D588" s="2" t="n"/>
      <c r="E588" s="2" t="n"/>
      <c r="F588" s="2" t="n"/>
    </row>
    <row r="589" ht="15.75" customHeight="1" s="67">
      <c r="A589" s="2" t="n"/>
      <c r="B589" s="2" t="n"/>
      <c r="C589" s="2" t="n"/>
      <c r="D589" s="2" t="n"/>
      <c r="E589" s="2" t="n"/>
      <c r="F589" s="2" t="n"/>
    </row>
    <row r="590" ht="15.75" customHeight="1" s="67">
      <c r="A590" s="2" t="n"/>
      <c r="B590" s="2" t="n"/>
      <c r="C590" s="2" t="n"/>
      <c r="D590" s="2" t="n"/>
      <c r="E590" s="2" t="n"/>
      <c r="F590" s="2" t="n"/>
    </row>
    <row r="591" ht="15.75" customHeight="1" s="67">
      <c r="A591" s="2" t="n"/>
      <c r="B591" s="2" t="n"/>
      <c r="C591" s="2" t="n"/>
      <c r="D591" s="2" t="n"/>
      <c r="E591" s="2" t="n"/>
      <c r="F591" s="2" t="n"/>
    </row>
    <row r="592" ht="15.75" customHeight="1" s="67">
      <c r="A592" s="2" t="n"/>
      <c r="B592" s="2" t="n"/>
      <c r="C592" s="2" t="n"/>
      <c r="D592" s="2" t="n"/>
      <c r="E592" s="2" t="n"/>
      <c r="F592" s="2" t="n"/>
    </row>
    <row r="593" ht="15.75" customHeight="1" s="67">
      <c r="A593" s="2" t="n"/>
      <c r="B593" s="2" t="n"/>
      <c r="C593" s="2" t="n"/>
      <c r="D593" s="2" t="n"/>
      <c r="E593" s="2" t="n"/>
      <c r="F593" s="2" t="n"/>
    </row>
    <row r="594" ht="15.75" customHeight="1" s="67">
      <c r="A594" s="2" t="n"/>
      <c r="B594" s="2" t="n"/>
      <c r="C594" s="2" t="n"/>
      <c r="D594" s="2" t="n"/>
      <c r="E594" s="2" t="n"/>
      <c r="F594" s="2" t="n"/>
    </row>
    <row r="595" ht="15.75" customHeight="1" s="67">
      <c r="A595" s="2" t="n"/>
      <c r="B595" s="2" t="n"/>
      <c r="C595" s="2" t="n"/>
      <c r="D595" s="2" t="n"/>
      <c r="E595" s="2" t="n"/>
      <c r="F595" s="2" t="n"/>
    </row>
    <row r="596" ht="15.75" customHeight="1" s="67">
      <c r="A596" s="2" t="n"/>
      <c r="B596" s="2" t="n"/>
      <c r="C596" s="2" t="n"/>
      <c r="D596" s="2" t="n"/>
      <c r="E596" s="2" t="n"/>
      <c r="F596" s="2" t="n"/>
    </row>
    <row r="597" ht="15.75" customHeight="1" s="67">
      <c r="A597" s="2" t="n"/>
      <c r="B597" s="2" t="n"/>
      <c r="C597" s="2" t="n"/>
      <c r="D597" s="2" t="n"/>
      <c r="E597" s="2" t="n"/>
      <c r="F597" s="2" t="n"/>
    </row>
    <row r="598" ht="15.75" customHeight="1" s="67">
      <c r="A598" s="2" t="n"/>
      <c r="B598" s="2" t="n"/>
      <c r="C598" s="2" t="n"/>
      <c r="D598" s="2" t="n"/>
      <c r="E598" s="2" t="n"/>
      <c r="F598" s="2" t="n"/>
    </row>
    <row r="599" ht="15.75" customHeight="1" s="67">
      <c r="A599" s="2" t="n"/>
      <c r="B599" s="2" t="n"/>
      <c r="C599" s="2" t="n"/>
      <c r="D599" s="2" t="n"/>
      <c r="E599" s="2" t="n"/>
      <c r="F599" s="2" t="n"/>
    </row>
    <row r="600" ht="15.75" customHeight="1" s="67">
      <c r="A600" s="2" t="n"/>
      <c r="B600" s="2" t="n"/>
      <c r="C600" s="2" t="n"/>
      <c r="D600" s="2" t="n"/>
      <c r="E600" s="2" t="n"/>
      <c r="F600" s="2" t="n"/>
    </row>
    <row r="601" ht="15.75" customHeight="1" s="67">
      <c r="A601" s="2" t="n"/>
      <c r="B601" s="2" t="n"/>
      <c r="C601" s="2" t="n"/>
      <c r="D601" s="2" t="n"/>
      <c r="E601" s="2" t="n"/>
      <c r="F601" s="2" t="n"/>
    </row>
    <row r="602" ht="15.75" customHeight="1" s="67">
      <c r="A602" s="2" t="n"/>
      <c r="B602" s="2" t="n"/>
      <c r="C602" s="2" t="n"/>
      <c r="D602" s="2" t="n"/>
      <c r="E602" s="2" t="n"/>
      <c r="F602" s="2" t="n"/>
    </row>
    <row r="603" ht="15.75" customHeight="1" s="67">
      <c r="A603" s="2" t="n"/>
      <c r="B603" s="2" t="n"/>
      <c r="C603" s="2" t="n"/>
      <c r="D603" s="2" t="n"/>
      <c r="E603" s="2" t="n"/>
      <c r="F603" s="2" t="n"/>
    </row>
    <row r="604" ht="15.75" customHeight="1" s="67">
      <c r="A604" s="2" t="n"/>
      <c r="B604" s="2" t="n"/>
      <c r="C604" s="2" t="n"/>
      <c r="D604" s="2" t="n"/>
      <c r="E604" s="2" t="n"/>
      <c r="F604" s="2" t="n"/>
    </row>
    <row r="605" ht="15.75" customHeight="1" s="67">
      <c r="A605" s="2" t="n"/>
      <c r="B605" s="2" t="n"/>
      <c r="C605" s="2" t="n"/>
      <c r="D605" s="2" t="n"/>
      <c r="E605" s="2" t="n"/>
      <c r="F605" s="2" t="n"/>
    </row>
    <row r="606" ht="15.75" customHeight="1" s="67">
      <c r="A606" s="2" t="n"/>
      <c r="B606" s="2" t="n"/>
      <c r="C606" s="2" t="n"/>
      <c r="D606" s="2" t="n"/>
      <c r="E606" s="2" t="n"/>
      <c r="F606" s="2" t="n"/>
    </row>
    <row r="607" ht="15.75" customHeight="1" s="67">
      <c r="A607" s="2" t="n"/>
      <c r="B607" s="2" t="n"/>
      <c r="C607" s="2" t="n"/>
      <c r="D607" s="2" t="n"/>
      <c r="E607" s="2" t="n"/>
      <c r="F607" s="2" t="n"/>
    </row>
    <row r="608" ht="15.75" customHeight="1" s="67">
      <c r="A608" s="2" t="n"/>
      <c r="B608" s="2" t="n"/>
      <c r="C608" s="2" t="n"/>
      <c r="D608" s="2" t="n"/>
      <c r="E608" s="2" t="n"/>
      <c r="F608" s="2" t="n"/>
    </row>
    <row r="609" ht="15.75" customHeight="1" s="67">
      <c r="A609" s="2" t="n"/>
      <c r="B609" s="2" t="n"/>
      <c r="C609" s="2" t="n"/>
      <c r="D609" s="2" t="n"/>
      <c r="E609" s="2" t="n"/>
      <c r="F609" s="2" t="n"/>
    </row>
    <row r="610" ht="15.75" customHeight="1" s="67">
      <c r="A610" s="2" t="n"/>
      <c r="B610" s="2" t="n"/>
      <c r="C610" s="2" t="n"/>
      <c r="D610" s="2" t="n"/>
      <c r="E610" s="2" t="n"/>
      <c r="F610" s="2" t="n"/>
    </row>
    <row r="611" ht="15.75" customHeight="1" s="67">
      <c r="A611" s="2" t="n"/>
      <c r="B611" s="2" t="n"/>
      <c r="C611" s="2" t="n"/>
      <c r="D611" s="2" t="n"/>
      <c r="E611" s="2" t="n"/>
      <c r="F611" s="2" t="n"/>
    </row>
    <row r="612" ht="15.75" customHeight="1" s="67">
      <c r="A612" s="2" t="n"/>
      <c r="B612" s="2" t="n"/>
      <c r="C612" s="2" t="n"/>
      <c r="D612" s="2" t="n"/>
      <c r="E612" s="2" t="n"/>
      <c r="F612" s="2" t="n"/>
    </row>
    <row r="613" ht="15.75" customHeight="1" s="67">
      <c r="A613" s="2" t="n"/>
      <c r="B613" s="2" t="n"/>
      <c r="C613" s="2" t="n"/>
      <c r="D613" s="2" t="n"/>
      <c r="E613" s="2" t="n"/>
      <c r="F613" s="2" t="n"/>
    </row>
    <row r="614" ht="15.75" customHeight="1" s="67">
      <c r="A614" s="2" t="n"/>
      <c r="B614" s="2" t="n"/>
      <c r="C614" s="2" t="n"/>
      <c r="D614" s="2" t="n"/>
      <c r="E614" s="2" t="n"/>
      <c r="F614" s="2" t="n"/>
    </row>
    <row r="615" ht="15.75" customHeight="1" s="67">
      <c r="A615" s="2" t="n"/>
      <c r="B615" s="2" t="n"/>
      <c r="C615" s="2" t="n"/>
      <c r="D615" s="2" t="n"/>
      <c r="E615" s="2" t="n"/>
      <c r="F615" s="2" t="n"/>
    </row>
    <row r="616" ht="15.75" customHeight="1" s="67">
      <c r="A616" s="2" t="n"/>
      <c r="B616" s="2" t="n"/>
      <c r="C616" s="2" t="n"/>
      <c r="D616" s="2" t="n"/>
      <c r="E616" s="2" t="n"/>
      <c r="F616" s="2" t="n"/>
    </row>
    <row r="617" ht="15.75" customHeight="1" s="67">
      <c r="A617" s="2" t="n"/>
      <c r="B617" s="2" t="n"/>
      <c r="C617" s="2" t="n"/>
      <c r="D617" s="2" t="n"/>
      <c r="E617" s="2" t="n"/>
      <c r="F617" s="2" t="n"/>
    </row>
    <row r="618" ht="15.75" customHeight="1" s="67">
      <c r="A618" s="2" t="n"/>
      <c r="B618" s="2" t="n"/>
      <c r="C618" s="2" t="n"/>
      <c r="D618" s="2" t="n"/>
      <c r="E618" s="2" t="n"/>
      <c r="F618" s="2" t="n"/>
    </row>
    <row r="619" ht="15.75" customHeight="1" s="67">
      <c r="A619" s="2" t="n"/>
      <c r="B619" s="2" t="n"/>
      <c r="C619" s="2" t="n"/>
      <c r="D619" s="2" t="n"/>
      <c r="E619" s="2" t="n"/>
      <c r="F619" s="2" t="n"/>
    </row>
    <row r="620" ht="15.75" customHeight="1" s="67">
      <c r="A620" s="2" t="n"/>
      <c r="B620" s="2" t="n"/>
      <c r="C620" s="2" t="n"/>
      <c r="D620" s="2" t="n"/>
      <c r="E620" s="2" t="n"/>
      <c r="F620" s="2" t="n"/>
    </row>
    <row r="621" ht="15.75" customHeight="1" s="67">
      <c r="A621" s="2" t="n"/>
      <c r="B621" s="2" t="n"/>
      <c r="C621" s="2" t="n"/>
      <c r="D621" s="2" t="n"/>
      <c r="E621" s="2" t="n"/>
      <c r="F621" s="2" t="n"/>
    </row>
    <row r="622" ht="15.75" customHeight="1" s="67">
      <c r="A622" s="2" t="n"/>
      <c r="B622" s="2" t="n"/>
      <c r="C622" s="2" t="n"/>
      <c r="D622" s="2" t="n"/>
      <c r="E622" s="2" t="n"/>
      <c r="F622" s="2" t="n"/>
    </row>
    <row r="623" ht="15.75" customHeight="1" s="67">
      <c r="A623" s="2" t="n"/>
      <c r="B623" s="2" t="n"/>
      <c r="C623" s="2" t="n"/>
      <c r="D623" s="2" t="n"/>
      <c r="E623" s="2" t="n"/>
      <c r="F623" s="2" t="n"/>
    </row>
    <row r="624" ht="15.75" customHeight="1" s="67">
      <c r="A624" s="2" t="n"/>
      <c r="B624" s="2" t="n"/>
      <c r="C624" s="2" t="n"/>
      <c r="D624" s="2" t="n"/>
      <c r="E624" s="2" t="n"/>
      <c r="F624" s="2" t="n"/>
    </row>
    <row r="625" ht="15.75" customHeight="1" s="67">
      <c r="A625" s="2" t="n"/>
      <c r="B625" s="2" t="n"/>
      <c r="C625" s="2" t="n"/>
      <c r="D625" s="2" t="n"/>
      <c r="E625" s="2" t="n"/>
      <c r="F625" s="2" t="n"/>
    </row>
    <row r="626" ht="15.75" customHeight="1" s="67">
      <c r="A626" s="2" t="n"/>
      <c r="B626" s="2" t="n"/>
      <c r="C626" s="2" t="n"/>
      <c r="D626" s="2" t="n"/>
      <c r="E626" s="2" t="n"/>
      <c r="F626" s="2" t="n"/>
    </row>
    <row r="627" ht="15.75" customHeight="1" s="67">
      <c r="A627" s="2" t="n"/>
      <c r="B627" s="2" t="n"/>
      <c r="C627" s="2" t="n"/>
      <c r="D627" s="2" t="n"/>
      <c r="E627" s="2" t="n"/>
      <c r="F627" s="2" t="n"/>
    </row>
    <row r="628" ht="15.75" customHeight="1" s="67">
      <c r="A628" s="2" t="n"/>
      <c r="B628" s="2" t="n"/>
      <c r="C628" s="2" t="n"/>
      <c r="D628" s="2" t="n"/>
      <c r="E628" s="2" t="n"/>
      <c r="F628" s="2" t="n"/>
    </row>
    <row r="629" ht="15.75" customHeight="1" s="67">
      <c r="A629" s="2" t="n"/>
      <c r="B629" s="2" t="n"/>
      <c r="C629" s="2" t="n"/>
      <c r="D629" s="2" t="n"/>
      <c r="E629" s="2" t="n"/>
      <c r="F629" s="2" t="n"/>
    </row>
    <row r="630" ht="15.75" customHeight="1" s="67">
      <c r="A630" s="2" t="n"/>
      <c r="B630" s="2" t="n"/>
      <c r="C630" s="2" t="n"/>
      <c r="D630" s="2" t="n"/>
      <c r="E630" s="2" t="n"/>
      <c r="F630" s="2" t="n"/>
    </row>
    <row r="631" ht="15.75" customHeight="1" s="67">
      <c r="A631" s="2" t="n"/>
      <c r="B631" s="2" t="n"/>
      <c r="C631" s="2" t="n"/>
      <c r="D631" s="2" t="n"/>
      <c r="E631" s="2" t="n"/>
      <c r="F631" s="2" t="n"/>
    </row>
    <row r="632" ht="15.75" customHeight="1" s="67">
      <c r="A632" s="2" t="n"/>
      <c r="B632" s="2" t="n"/>
      <c r="C632" s="2" t="n"/>
      <c r="D632" s="2" t="n"/>
      <c r="E632" s="2" t="n"/>
      <c r="F632" s="2" t="n"/>
    </row>
    <row r="633" ht="15.75" customHeight="1" s="67">
      <c r="A633" s="2" t="n"/>
      <c r="B633" s="2" t="n"/>
      <c r="C633" s="2" t="n"/>
      <c r="D633" s="2" t="n"/>
      <c r="E633" s="2" t="n"/>
      <c r="F633" s="2" t="n"/>
    </row>
    <row r="634" ht="15.75" customHeight="1" s="67">
      <c r="A634" s="2" t="n"/>
      <c r="B634" s="2" t="n"/>
      <c r="C634" s="2" t="n"/>
      <c r="D634" s="2" t="n"/>
      <c r="E634" s="2" t="n"/>
      <c r="F634" s="2" t="n"/>
    </row>
    <row r="635" ht="15.75" customHeight="1" s="67">
      <c r="A635" s="2" t="n"/>
      <c r="B635" s="2" t="n"/>
      <c r="C635" s="2" t="n"/>
      <c r="D635" s="2" t="n"/>
      <c r="E635" s="2" t="n"/>
      <c r="F635" s="2" t="n"/>
    </row>
    <row r="636" ht="15.75" customHeight="1" s="67">
      <c r="A636" s="2" t="n"/>
      <c r="B636" s="2" t="n"/>
      <c r="C636" s="2" t="n"/>
      <c r="D636" s="2" t="n"/>
      <c r="E636" s="2" t="n"/>
      <c r="F636" s="2" t="n"/>
    </row>
    <row r="637" ht="15.75" customHeight="1" s="67">
      <c r="A637" s="2" t="n"/>
      <c r="B637" s="2" t="n"/>
      <c r="C637" s="2" t="n"/>
      <c r="D637" s="2" t="n"/>
      <c r="E637" s="2" t="n"/>
      <c r="F637" s="2" t="n"/>
    </row>
    <row r="638" ht="15.75" customHeight="1" s="67">
      <c r="A638" s="2" t="n"/>
      <c r="B638" s="2" t="n"/>
      <c r="C638" s="2" t="n"/>
      <c r="D638" s="2" t="n"/>
      <c r="E638" s="2" t="n"/>
      <c r="F638" s="2" t="n"/>
    </row>
    <row r="639" ht="15.75" customHeight="1" s="67">
      <c r="A639" s="2" t="n"/>
      <c r="B639" s="2" t="n"/>
      <c r="C639" s="2" t="n"/>
      <c r="D639" s="2" t="n"/>
      <c r="E639" s="2" t="n"/>
      <c r="F639" s="2" t="n"/>
    </row>
    <row r="640" ht="15.75" customHeight="1" s="67">
      <c r="A640" s="2" t="n"/>
      <c r="B640" s="2" t="n"/>
      <c r="C640" s="2" t="n"/>
      <c r="D640" s="2" t="n"/>
      <c r="E640" s="2" t="n"/>
      <c r="F640" s="2" t="n"/>
    </row>
    <row r="641" ht="15.75" customHeight="1" s="67">
      <c r="A641" s="2" t="n"/>
      <c r="B641" s="2" t="n"/>
      <c r="C641" s="2" t="n"/>
      <c r="D641" s="2" t="n"/>
      <c r="E641" s="2" t="n"/>
      <c r="F641" s="2" t="n"/>
    </row>
    <row r="642" ht="15.75" customHeight="1" s="67">
      <c r="A642" s="2" t="n"/>
      <c r="B642" s="2" t="n"/>
      <c r="C642" s="2" t="n"/>
      <c r="D642" s="2" t="n"/>
      <c r="E642" s="2" t="n"/>
      <c r="F642" s="2" t="n"/>
    </row>
    <row r="643" ht="15.75" customHeight="1" s="67">
      <c r="A643" s="2" t="n"/>
      <c r="B643" s="2" t="n"/>
      <c r="C643" s="2" t="n"/>
      <c r="D643" s="2" t="n"/>
      <c r="E643" s="2" t="n"/>
      <c r="F643" s="2" t="n"/>
    </row>
    <row r="644" ht="15.75" customHeight="1" s="67">
      <c r="A644" s="2" t="n"/>
      <c r="B644" s="2" t="n"/>
      <c r="C644" s="2" t="n"/>
      <c r="D644" s="2" t="n"/>
      <c r="E644" s="2" t="n"/>
      <c r="F644" s="2" t="n"/>
    </row>
    <row r="645" ht="15.75" customHeight="1" s="67">
      <c r="A645" s="2" t="n"/>
      <c r="B645" s="2" t="n"/>
      <c r="C645" s="2" t="n"/>
      <c r="D645" s="2" t="n"/>
      <c r="E645" s="2" t="n"/>
      <c r="F645" s="2" t="n"/>
    </row>
    <row r="646" ht="15.75" customHeight="1" s="67">
      <c r="A646" s="2" t="n"/>
      <c r="B646" s="2" t="n"/>
      <c r="C646" s="2" t="n"/>
      <c r="D646" s="2" t="n"/>
      <c r="E646" s="2" t="n"/>
      <c r="F646" s="2" t="n"/>
    </row>
    <row r="647" ht="15.75" customHeight="1" s="67">
      <c r="A647" s="2" t="n"/>
      <c r="B647" s="2" t="n"/>
      <c r="C647" s="2" t="n"/>
      <c r="D647" s="2" t="n"/>
      <c r="E647" s="2" t="n"/>
      <c r="F647" s="2" t="n"/>
    </row>
    <row r="648" ht="15.75" customHeight="1" s="67">
      <c r="A648" s="2" t="n"/>
      <c r="B648" s="2" t="n"/>
      <c r="C648" s="2" t="n"/>
      <c r="D648" s="2" t="n"/>
      <c r="E648" s="2" t="n"/>
      <c r="F648" s="2" t="n"/>
    </row>
    <row r="649" ht="15.75" customHeight="1" s="67">
      <c r="A649" s="2" t="n"/>
      <c r="B649" s="2" t="n"/>
      <c r="C649" s="2" t="n"/>
      <c r="D649" s="2" t="n"/>
      <c r="E649" s="2" t="n"/>
      <c r="F649" s="2" t="n"/>
    </row>
    <row r="650" ht="15.75" customHeight="1" s="67">
      <c r="A650" s="2" t="n"/>
      <c r="B650" s="2" t="n"/>
      <c r="C650" s="2" t="n"/>
      <c r="D650" s="2" t="n"/>
      <c r="E650" s="2" t="n"/>
      <c r="F650" s="2" t="n"/>
    </row>
    <row r="651" ht="15.75" customHeight="1" s="67">
      <c r="A651" s="2" t="n"/>
      <c r="B651" s="2" t="n"/>
      <c r="C651" s="2" t="n"/>
      <c r="D651" s="2" t="n"/>
      <c r="E651" s="2" t="n"/>
      <c r="F651" s="2" t="n"/>
    </row>
    <row r="652" ht="15.75" customHeight="1" s="67">
      <c r="A652" s="2" t="n"/>
      <c r="B652" s="2" t="n"/>
      <c r="C652" s="2" t="n"/>
      <c r="D652" s="2" t="n"/>
      <c r="E652" s="2" t="n"/>
      <c r="F652" s="2" t="n"/>
    </row>
    <row r="653" ht="15.75" customHeight="1" s="67">
      <c r="A653" s="2" t="n"/>
      <c r="B653" s="2" t="n"/>
      <c r="C653" s="2" t="n"/>
      <c r="D653" s="2" t="n"/>
      <c r="E653" s="2" t="n"/>
      <c r="F653" s="2" t="n"/>
    </row>
    <row r="654" ht="15.75" customHeight="1" s="67">
      <c r="A654" s="2" t="n"/>
      <c r="B654" s="2" t="n"/>
      <c r="C654" s="2" t="n"/>
      <c r="D654" s="2" t="n"/>
      <c r="E654" s="2" t="n"/>
      <c r="F654" s="2" t="n"/>
    </row>
    <row r="655" ht="15.75" customHeight="1" s="67">
      <c r="A655" s="2" t="n"/>
      <c r="B655" s="2" t="n"/>
      <c r="C655" s="2" t="n"/>
      <c r="D655" s="2" t="n"/>
      <c r="E655" s="2" t="n"/>
      <c r="F655" s="2" t="n"/>
    </row>
    <row r="656" ht="15.75" customHeight="1" s="67">
      <c r="A656" s="2" t="n"/>
      <c r="B656" s="2" t="n"/>
      <c r="C656" s="2" t="n"/>
      <c r="D656" s="2" t="n"/>
      <c r="E656" s="2" t="n"/>
      <c r="F656" s="2" t="n"/>
    </row>
    <row r="657" ht="15.75" customHeight="1" s="67">
      <c r="A657" s="2" t="n"/>
      <c r="B657" s="2" t="n"/>
      <c r="C657" s="2" t="n"/>
      <c r="D657" s="2" t="n"/>
      <c r="E657" s="2" t="n"/>
      <c r="F657" s="2" t="n"/>
    </row>
    <row r="658" ht="15.75" customHeight="1" s="67">
      <c r="A658" s="2" t="n"/>
      <c r="B658" s="2" t="n"/>
      <c r="C658" s="2" t="n"/>
      <c r="D658" s="2" t="n"/>
      <c r="E658" s="2" t="n"/>
      <c r="F658" s="2" t="n"/>
    </row>
    <row r="659" ht="15.75" customHeight="1" s="67">
      <c r="A659" s="2" t="n"/>
      <c r="B659" s="2" t="n"/>
      <c r="C659" s="2" t="n"/>
      <c r="D659" s="2" t="n"/>
      <c r="E659" s="2" t="n"/>
      <c r="F659" s="2" t="n"/>
    </row>
    <row r="660" ht="15.75" customHeight="1" s="67">
      <c r="A660" s="2" t="n"/>
      <c r="B660" s="2" t="n"/>
      <c r="C660" s="2" t="n"/>
      <c r="D660" s="2" t="n"/>
      <c r="E660" s="2" t="n"/>
      <c r="F660" s="2" t="n"/>
    </row>
    <row r="661" ht="15.75" customHeight="1" s="67">
      <c r="A661" s="2" t="n"/>
      <c r="B661" s="2" t="n"/>
      <c r="C661" s="2" t="n"/>
      <c r="D661" s="2" t="n"/>
      <c r="E661" s="2" t="n"/>
      <c r="F661" s="2" t="n"/>
    </row>
    <row r="662" ht="15.75" customHeight="1" s="67">
      <c r="A662" s="2" t="n"/>
      <c r="B662" s="2" t="n"/>
      <c r="C662" s="2" t="n"/>
      <c r="D662" s="2" t="n"/>
      <c r="E662" s="2" t="n"/>
      <c r="F662" s="2" t="n"/>
    </row>
    <row r="663" ht="15.75" customHeight="1" s="67">
      <c r="A663" s="2" t="n"/>
      <c r="B663" s="2" t="n"/>
      <c r="C663" s="2" t="n"/>
      <c r="D663" s="2" t="n"/>
      <c r="E663" s="2" t="n"/>
      <c r="F663" s="2" t="n"/>
    </row>
    <row r="664" ht="15.75" customHeight="1" s="67">
      <c r="A664" s="2" t="n"/>
      <c r="B664" s="2" t="n"/>
      <c r="C664" s="2" t="n"/>
      <c r="D664" s="2" t="n"/>
      <c r="E664" s="2" t="n"/>
      <c r="F664" s="2" t="n"/>
    </row>
    <row r="665" ht="15.75" customHeight="1" s="67">
      <c r="A665" s="2" t="n"/>
      <c r="B665" s="2" t="n"/>
      <c r="C665" s="2" t="n"/>
      <c r="D665" s="2" t="n"/>
      <c r="E665" s="2" t="n"/>
      <c r="F665" s="2" t="n"/>
    </row>
    <row r="666" ht="15.75" customHeight="1" s="67">
      <c r="A666" s="2" t="n"/>
      <c r="B666" s="2" t="n"/>
      <c r="C666" s="2" t="n"/>
      <c r="D666" s="2" t="n"/>
      <c r="E666" s="2" t="n"/>
      <c r="F666" s="2" t="n"/>
    </row>
    <row r="667" ht="15.75" customHeight="1" s="67">
      <c r="A667" s="2" t="n"/>
      <c r="B667" s="2" t="n"/>
      <c r="C667" s="2" t="n"/>
      <c r="D667" s="2" t="n"/>
      <c r="E667" s="2" t="n"/>
      <c r="F667" s="2" t="n"/>
    </row>
    <row r="668" ht="15.75" customHeight="1" s="67">
      <c r="A668" s="2" t="n"/>
      <c r="B668" s="2" t="n"/>
      <c r="C668" s="2" t="n"/>
      <c r="D668" s="2" t="n"/>
      <c r="E668" s="2" t="n"/>
      <c r="F668" s="2" t="n"/>
    </row>
    <row r="669" ht="15.75" customHeight="1" s="67">
      <c r="A669" s="2" t="n"/>
      <c r="B669" s="2" t="n"/>
      <c r="C669" s="2" t="n"/>
      <c r="D669" s="2" t="n"/>
      <c r="E669" s="2" t="n"/>
      <c r="F669" s="2" t="n"/>
    </row>
    <row r="670" ht="15.75" customHeight="1" s="67">
      <c r="A670" s="2" t="n"/>
      <c r="B670" s="2" t="n"/>
      <c r="C670" s="2" t="n"/>
      <c r="D670" s="2" t="n"/>
      <c r="E670" s="2" t="n"/>
      <c r="F670" s="2" t="n"/>
    </row>
    <row r="671" ht="15.75" customHeight="1" s="67">
      <c r="A671" s="2" t="n"/>
      <c r="B671" s="2" t="n"/>
      <c r="C671" s="2" t="n"/>
      <c r="D671" s="2" t="n"/>
      <c r="E671" s="2" t="n"/>
      <c r="F671" s="2" t="n"/>
    </row>
    <row r="672" ht="15.75" customHeight="1" s="67">
      <c r="A672" s="2" t="n"/>
      <c r="B672" s="2" t="n"/>
      <c r="C672" s="2" t="n"/>
      <c r="D672" s="2" t="n"/>
      <c r="E672" s="2" t="n"/>
      <c r="F672" s="2" t="n"/>
    </row>
    <row r="673" ht="15.75" customHeight="1" s="67">
      <c r="A673" s="2" t="n"/>
      <c r="B673" s="2" t="n"/>
      <c r="C673" s="2" t="n"/>
      <c r="D673" s="2" t="n"/>
      <c r="E673" s="2" t="n"/>
      <c r="F673" s="2" t="n"/>
    </row>
    <row r="674" ht="15.75" customHeight="1" s="67">
      <c r="A674" s="2" t="n"/>
      <c r="B674" s="2" t="n"/>
      <c r="C674" s="2" t="n"/>
      <c r="D674" s="2" t="n"/>
      <c r="E674" s="2" t="n"/>
      <c r="F674" s="2" t="n"/>
    </row>
    <row r="675" ht="15.75" customHeight="1" s="67">
      <c r="A675" s="2" t="n"/>
      <c r="B675" s="2" t="n"/>
      <c r="C675" s="2" t="n"/>
      <c r="D675" s="2" t="n"/>
      <c r="E675" s="2" t="n"/>
      <c r="F675" s="2" t="n"/>
    </row>
    <row r="676" ht="15.75" customHeight="1" s="67">
      <c r="A676" s="2" t="n"/>
      <c r="B676" s="2" t="n"/>
      <c r="C676" s="2" t="n"/>
      <c r="D676" s="2" t="n"/>
      <c r="E676" s="2" t="n"/>
      <c r="F676" s="2" t="n"/>
    </row>
    <row r="677" ht="15.75" customHeight="1" s="67">
      <c r="A677" s="2" t="n"/>
      <c r="B677" s="2" t="n"/>
      <c r="C677" s="2" t="n"/>
      <c r="D677" s="2" t="n"/>
      <c r="E677" s="2" t="n"/>
      <c r="F677" s="2" t="n"/>
    </row>
    <row r="678" ht="15.75" customHeight="1" s="67">
      <c r="A678" s="2" t="n"/>
      <c r="B678" s="2" t="n"/>
      <c r="C678" s="2" t="n"/>
      <c r="D678" s="2" t="n"/>
      <c r="E678" s="2" t="n"/>
      <c r="F678" s="2" t="n"/>
    </row>
    <row r="679" ht="15.75" customHeight="1" s="67">
      <c r="A679" s="2" t="n"/>
      <c r="B679" s="2" t="n"/>
      <c r="C679" s="2" t="n"/>
      <c r="D679" s="2" t="n"/>
      <c r="E679" s="2" t="n"/>
      <c r="F679" s="2" t="n"/>
    </row>
    <row r="680" ht="15.75" customHeight="1" s="67">
      <c r="A680" s="2" t="n"/>
      <c r="B680" s="2" t="n"/>
      <c r="C680" s="2" t="n"/>
      <c r="D680" s="2" t="n"/>
      <c r="E680" s="2" t="n"/>
      <c r="F680" s="2" t="n"/>
    </row>
    <row r="681" ht="15.75" customHeight="1" s="67">
      <c r="A681" s="2" t="n"/>
      <c r="B681" s="2" t="n"/>
      <c r="C681" s="2" t="n"/>
      <c r="D681" s="2" t="n"/>
      <c r="E681" s="2" t="n"/>
      <c r="F681" s="2" t="n"/>
    </row>
    <row r="682" ht="15.75" customHeight="1" s="67">
      <c r="A682" s="2" t="n"/>
      <c r="B682" s="2" t="n"/>
      <c r="C682" s="2" t="n"/>
      <c r="D682" s="2" t="n"/>
      <c r="E682" s="2" t="n"/>
      <c r="F682" s="2" t="n"/>
    </row>
    <row r="683" ht="15.75" customHeight="1" s="67">
      <c r="A683" s="2" t="n"/>
      <c r="B683" s="2" t="n"/>
      <c r="C683" s="2" t="n"/>
      <c r="D683" s="2" t="n"/>
      <c r="E683" s="2" t="n"/>
      <c r="F683" s="2" t="n"/>
    </row>
    <row r="684" ht="15.75" customHeight="1" s="67">
      <c r="A684" s="2" t="n"/>
      <c r="B684" s="2" t="n"/>
      <c r="C684" s="2" t="n"/>
      <c r="D684" s="2" t="n"/>
      <c r="E684" s="2" t="n"/>
      <c r="F684" s="2" t="n"/>
    </row>
    <row r="685" ht="15.75" customHeight="1" s="67">
      <c r="A685" s="2" t="n"/>
      <c r="B685" s="2" t="n"/>
      <c r="C685" s="2" t="n"/>
      <c r="D685" s="2" t="n"/>
      <c r="E685" s="2" t="n"/>
      <c r="F685" s="2" t="n"/>
    </row>
    <row r="686" ht="15.75" customHeight="1" s="67">
      <c r="A686" s="2" t="n"/>
      <c r="B686" s="2" t="n"/>
      <c r="C686" s="2" t="n"/>
      <c r="D686" s="2" t="n"/>
      <c r="E686" s="2" t="n"/>
      <c r="F686" s="2" t="n"/>
    </row>
    <row r="687" ht="15.75" customHeight="1" s="67">
      <c r="A687" s="2" t="n"/>
      <c r="B687" s="2" t="n"/>
      <c r="C687" s="2" t="n"/>
      <c r="D687" s="2" t="n"/>
      <c r="E687" s="2" t="n"/>
      <c r="F687" s="2" t="n"/>
    </row>
    <row r="688" ht="15.75" customHeight="1" s="67">
      <c r="A688" s="2" t="n"/>
      <c r="B688" s="2" t="n"/>
      <c r="C688" s="2" t="n"/>
      <c r="D688" s="2" t="n"/>
      <c r="E688" s="2" t="n"/>
      <c r="F688" s="2" t="n"/>
    </row>
    <row r="689" ht="15.75" customHeight="1" s="67">
      <c r="A689" s="2" t="n"/>
      <c r="B689" s="2" t="n"/>
      <c r="C689" s="2" t="n"/>
      <c r="D689" s="2" t="n"/>
      <c r="E689" s="2" t="n"/>
      <c r="F689" s="2" t="n"/>
    </row>
    <row r="690" ht="15.75" customHeight="1" s="67">
      <c r="A690" s="2" t="n"/>
      <c r="B690" s="2" t="n"/>
      <c r="C690" s="2" t="n"/>
      <c r="D690" s="2" t="n"/>
      <c r="E690" s="2" t="n"/>
      <c r="F690" s="2" t="n"/>
    </row>
    <row r="691" ht="15.75" customHeight="1" s="67">
      <c r="A691" s="2" t="n"/>
      <c r="B691" s="2" t="n"/>
      <c r="C691" s="2" t="n"/>
      <c r="D691" s="2" t="n"/>
      <c r="E691" s="2" t="n"/>
      <c r="F691" s="2" t="n"/>
    </row>
    <row r="692" ht="15.75" customHeight="1" s="67">
      <c r="A692" s="2" t="n"/>
      <c r="B692" s="2" t="n"/>
      <c r="C692" s="2" t="n"/>
      <c r="D692" s="2" t="n"/>
      <c r="E692" s="2" t="n"/>
      <c r="F692" s="2" t="n"/>
    </row>
    <row r="693" ht="15.75" customHeight="1" s="67">
      <c r="A693" s="2" t="n"/>
      <c r="B693" s="2" t="n"/>
      <c r="C693" s="2" t="n"/>
      <c r="D693" s="2" t="n"/>
      <c r="E693" s="2" t="n"/>
      <c r="F693" s="2" t="n"/>
    </row>
    <row r="694" ht="15.75" customHeight="1" s="67">
      <c r="A694" s="2" t="n"/>
      <c r="B694" s="2" t="n"/>
      <c r="C694" s="2" t="n"/>
      <c r="D694" s="2" t="n"/>
      <c r="E694" s="2" t="n"/>
      <c r="F694" s="2" t="n"/>
    </row>
    <row r="695" ht="15.75" customHeight="1" s="67">
      <c r="A695" s="2" t="n"/>
      <c r="B695" s="2" t="n"/>
      <c r="C695" s="2" t="n"/>
      <c r="D695" s="2" t="n"/>
      <c r="E695" s="2" t="n"/>
      <c r="F695" s="2" t="n"/>
    </row>
    <row r="696" ht="15.75" customHeight="1" s="67">
      <c r="A696" s="2" t="n"/>
      <c r="B696" s="2" t="n"/>
      <c r="C696" s="2" t="n"/>
      <c r="D696" s="2" t="n"/>
      <c r="E696" s="2" t="n"/>
      <c r="F696" s="2" t="n"/>
    </row>
    <row r="697" ht="15.75" customHeight="1" s="67">
      <c r="A697" s="2" t="n"/>
      <c r="B697" s="2" t="n"/>
      <c r="C697" s="2" t="n"/>
      <c r="D697" s="2" t="n"/>
      <c r="E697" s="2" t="n"/>
      <c r="F697" s="2" t="n"/>
    </row>
    <row r="698" ht="15.75" customHeight="1" s="67">
      <c r="A698" s="2" t="n"/>
      <c r="B698" s="2" t="n"/>
      <c r="C698" s="2" t="n"/>
      <c r="D698" s="2" t="n"/>
      <c r="E698" s="2" t="n"/>
      <c r="F698" s="2" t="n"/>
    </row>
    <row r="699" ht="15.75" customHeight="1" s="67">
      <c r="A699" s="2" t="n"/>
      <c r="B699" s="2" t="n"/>
      <c r="C699" s="2" t="n"/>
      <c r="D699" s="2" t="n"/>
      <c r="E699" s="2" t="n"/>
      <c r="F699" s="2" t="n"/>
    </row>
    <row r="700" ht="15.75" customHeight="1" s="67">
      <c r="A700" s="2" t="n"/>
      <c r="B700" s="2" t="n"/>
      <c r="C700" s="2" t="n"/>
      <c r="D700" s="2" t="n"/>
      <c r="E700" s="2" t="n"/>
      <c r="F700" s="2" t="n"/>
    </row>
    <row r="701" ht="15.75" customHeight="1" s="67">
      <c r="A701" s="2" t="n"/>
      <c r="B701" s="2" t="n"/>
      <c r="C701" s="2" t="n"/>
      <c r="D701" s="2" t="n"/>
      <c r="E701" s="2" t="n"/>
      <c r="F701" s="2" t="n"/>
    </row>
    <row r="702" ht="15.75" customHeight="1" s="67">
      <c r="A702" s="2" t="n"/>
      <c r="B702" s="2" t="n"/>
      <c r="C702" s="2" t="n"/>
      <c r="D702" s="2" t="n"/>
      <c r="E702" s="2" t="n"/>
      <c r="F702" s="2" t="n"/>
    </row>
    <row r="703" ht="15.75" customHeight="1" s="67">
      <c r="A703" s="2" t="n"/>
      <c r="B703" s="2" t="n"/>
      <c r="C703" s="2" t="n"/>
      <c r="D703" s="2" t="n"/>
      <c r="E703" s="2" t="n"/>
      <c r="F703" s="2" t="n"/>
    </row>
    <row r="704" ht="15.75" customHeight="1" s="67">
      <c r="A704" s="2" t="n"/>
      <c r="B704" s="2" t="n"/>
      <c r="C704" s="2" t="n"/>
      <c r="D704" s="2" t="n"/>
      <c r="E704" s="2" t="n"/>
      <c r="F704" s="2" t="n"/>
    </row>
    <row r="705" ht="15.75" customHeight="1" s="67">
      <c r="A705" s="2" t="n"/>
      <c r="B705" s="2" t="n"/>
      <c r="C705" s="2" t="n"/>
      <c r="D705" s="2" t="n"/>
      <c r="E705" s="2" t="n"/>
      <c r="F705" s="2" t="n"/>
    </row>
    <row r="706" ht="15.75" customHeight="1" s="67">
      <c r="A706" s="2" t="n"/>
      <c r="B706" s="2" t="n"/>
      <c r="C706" s="2" t="n"/>
      <c r="D706" s="2" t="n"/>
      <c r="E706" s="2" t="n"/>
      <c r="F706" s="2" t="n"/>
    </row>
    <row r="707" ht="15.75" customHeight="1" s="67">
      <c r="A707" s="2" t="n"/>
      <c r="B707" s="2" t="n"/>
      <c r="C707" s="2" t="n"/>
      <c r="D707" s="2" t="n"/>
      <c r="E707" s="2" t="n"/>
      <c r="F707" s="2" t="n"/>
    </row>
    <row r="708" ht="15.75" customHeight="1" s="67">
      <c r="A708" s="2" t="n"/>
      <c r="B708" s="2" t="n"/>
      <c r="C708" s="2" t="n"/>
      <c r="D708" s="2" t="n"/>
      <c r="E708" s="2" t="n"/>
      <c r="F708" s="2" t="n"/>
    </row>
    <row r="709" ht="15.75" customHeight="1" s="67">
      <c r="A709" s="2" t="n"/>
      <c r="B709" s="2" t="n"/>
      <c r="C709" s="2" t="n"/>
      <c r="D709" s="2" t="n"/>
      <c r="E709" s="2" t="n"/>
      <c r="F709" s="2" t="n"/>
    </row>
    <row r="710" ht="15.75" customHeight="1" s="67">
      <c r="A710" s="2" t="n"/>
      <c r="B710" s="2" t="n"/>
      <c r="C710" s="2" t="n"/>
      <c r="D710" s="2" t="n"/>
      <c r="E710" s="2" t="n"/>
      <c r="F710" s="2" t="n"/>
    </row>
    <row r="711" ht="15.75" customHeight="1" s="67">
      <c r="A711" s="2" t="n"/>
      <c r="B711" s="2" t="n"/>
      <c r="C711" s="2" t="n"/>
      <c r="D711" s="2" t="n"/>
      <c r="E711" s="2" t="n"/>
      <c r="F711" s="2" t="n"/>
    </row>
    <row r="712" ht="15.75" customHeight="1" s="67">
      <c r="A712" s="2" t="n"/>
      <c r="B712" s="2" t="n"/>
      <c r="C712" s="2" t="n"/>
      <c r="D712" s="2" t="n"/>
      <c r="E712" s="2" t="n"/>
      <c r="F712" s="2" t="n"/>
    </row>
    <row r="713" ht="15.75" customHeight="1" s="67">
      <c r="A713" s="2" t="n"/>
      <c r="B713" s="2" t="n"/>
      <c r="C713" s="2" t="n"/>
      <c r="D713" s="2" t="n"/>
      <c r="E713" s="2" t="n"/>
      <c r="F713" s="2" t="n"/>
    </row>
    <row r="714" ht="15.75" customHeight="1" s="67">
      <c r="A714" s="2" t="n"/>
      <c r="B714" s="2" t="n"/>
      <c r="C714" s="2" t="n"/>
      <c r="D714" s="2" t="n"/>
      <c r="E714" s="2" t="n"/>
      <c r="F714" s="2" t="n"/>
    </row>
    <row r="715" ht="15.75" customHeight="1" s="67">
      <c r="A715" s="2" t="n"/>
      <c r="B715" s="2" t="n"/>
      <c r="C715" s="2" t="n"/>
      <c r="D715" s="2" t="n"/>
      <c r="E715" s="2" t="n"/>
      <c r="F715" s="2" t="n"/>
    </row>
    <row r="716" ht="15.75" customHeight="1" s="67">
      <c r="A716" s="2" t="n"/>
      <c r="B716" s="2" t="n"/>
      <c r="C716" s="2" t="n"/>
      <c r="D716" s="2" t="n"/>
      <c r="E716" s="2" t="n"/>
      <c r="F716" s="2" t="n"/>
    </row>
    <row r="717" ht="15.75" customHeight="1" s="67">
      <c r="A717" s="2" t="n"/>
      <c r="B717" s="2" t="n"/>
      <c r="C717" s="2" t="n"/>
      <c r="D717" s="2" t="n"/>
      <c r="E717" s="2" t="n"/>
      <c r="F717" s="2" t="n"/>
    </row>
    <row r="718" ht="15.75" customHeight="1" s="67">
      <c r="A718" s="2" t="n"/>
      <c r="B718" s="2" t="n"/>
      <c r="C718" s="2" t="n"/>
      <c r="D718" s="2" t="n"/>
      <c r="E718" s="2" t="n"/>
      <c r="F718" s="2" t="n"/>
    </row>
    <row r="719" ht="15.75" customHeight="1" s="67">
      <c r="A719" s="2" t="n"/>
      <c r="B719" s="2" t="n"/>
      <c r="C719" s="2" t="n"/>
      <c r="D719" s="2" t="n"/>
      <c r="E719" s="2" t="n"/>
      <c r="F719" s="2" t="n"/>
    </row>
    <row r="720" ht="15.75" customHeight="1" s="67">
      <c r="A720" s="2" t="n"/>
      <c r="B720" s="2" t="n"/>
      <c r="C720" s="2" t="n"/>
      <c r="D720" s="2" t="n"/>
      <c r="E720" s="2" t="n"/>
      <c r="F720" s="2" t="n"/>
    </row>
    <row r="721" ht="15.75" customHeight="1" s="67">
      <c r="A721" s="2" t="n"/>
      <c r="B721" s="2" t="n"/>
      <c r="C721" s="2" t="n"/>
      <c r="D721" s="2" t="n"/>
      <c r="E721" s="2" t="n"/>
      <c r="F721" s="2" t="n"/>
    </row>
    <row r="722" ht="15.75" customHeight="1" s="67">
      <c r="A722" s="2" t="n"/>
      <c r="B722" s="2" t="n"/>
      <c r="C722" s="2" t="n"/>
      <c r="D722" s="2" t="n"/>
      <c r="E722" s="2" t="n"/>
      <c r="F722" s="2" t="n"/>
    </row>
    <row r="723" ht="15.75" customHeight="1" s="67">
      <c r="A723" s="2" t="n"/>
      <c r="B723" s="2" t="n"/>
      <c r="C723" s="2" t="n"/>
      <c r="D723" s="2" t="n"/>
      <c r="E723" s="2" t="n"/>
      <c r="F723" s="2" t="n"/>
    </row>
    <row r="724" ht="15.75" customHeight="1" s="67">
      <c r="A724" s="2" t="n"/>
      <c r="B724" s="2" t="n"/>
      <c r="C724" s="2" t="n"/>
      <c r="D724" s="2" t="n"/>
      <c r="E724" s="2" t="n"/>
      <c r="F724" s="2" t="n"/>
    </row>
    <row r="725" ht="15.75" customHeight="1" s="67">
      <c r="A725" s="2" t="n"/>
      <c r="B725" s="2" t="n"/>
      <c r="C725" s="2" t="n"/>
      <c r="D725" s="2" t="n"/>
      <c r="E725" s="2" t="n"/>
      <c r="F725" s="2" t="n"/>
    </row>
    <row r="726" ht="15.75" customHeight="1" s="67">
      <c r="A726" s="2" t="n"/>
      <c r="B726" s="2" t="n"/>
      <c r="C726" s="2" t="n"/>
      <c r="D726" s="2" t="n"/>
      <c r="E726" s="2" t="n"/>
      <c r="F726" s="2" t="n"/>
    </row>
    <row r="727" ht="15.75" customHeight="1" s="67">
      <c r="A727" s="2" t="n"/>
      <c r="B727" s="2" t="n"/>
      <c r="C727" s="2" t="n"/>
      <c r="D727" s="2" t="n"/>
      <c r="E727" s="2" t="n"/>
      <c r="F727" s="2" t="n"/>
    </row>
    <row r="728" ht="15.75" customHeight="1" s="67">
      <c r="A728" s="2" t="n"/>
      <c r="B728" s="2" t="n"/>
      <c r="C728" s="2" t="n"/>
      <c r="D728" s="2" t="n"/>
      <c r="E728" s="2" t="n"/>
      <c r="F728" s="2" t="n"/>
    </row>
    <row r="729" ht="15.75" customHeight="1" s="67">
      <c r="A729" s="2" t="n"/>
      <c r="B729" s="2" t="n"/>
      <c r="C729" s="2" t="n"/>
      <c r="D729" s="2" t="n"/>
      <c r="E729" s="2" t="n"/>
      <c r="F729" s="2" t="n"/>
    </row>
    <row r="730" ht="15.75" customHeight="1" s="67">
      <c r="A730" s="2" t="n"/>
      <c r="B730" s="2" t="n"/>
      <c r="C730" s="2" t="n"/>
      <c r="D730" s="2" t="n"/>
      <c r="E730" s="2" t="n"/>
      <c r="F730" s="2" t="n"/>
    </row>
    <row r="731" ht="15.75" customHeight="1" s="67">
      <c r="A731" s="2" t="n"/>
      <c r="B731" s="2" t="n"/>
      <c r="C731" s="2" t="n"/>
      <c r="D731" s="2" t="n"/>
      <c r="E731" s="2" t="n"/>
      <c r="F731" s="2" t="n"/>
    </row>
    <row r="732" ht="15.75" customHeight="1" s="67">
      <c r="A732" s="2" t="n"/>
      <c r="B732" s="2" t="n"/>
      <c r="C732" s="2" t="n"/>
      <c r="D732" s="2" t="n"/>
      <c r="E732" s="2" t="n"/>
      <c r="F732" s="2" t="n"/>
    </row>
    <row r="733" ht="15.75" customHeight="1" s="67">
      <c r="A733" s="2" t="n"/>
      <c r="B733" s="2" t="n"/>
      <c r="C733" s="2" t="n"/>
      <c r="D733" s="2" t="n"/>
      <c r="E733" s="2" t="n"/>
      <c r="F733" s="2" t="n"/>
    </row>
    <row r="734" ht="15.75" customHeight="1" s="67">
      <c r="A734" s="2" t="n"/>
      <c r="B734" s="2" t="n"/>
      <c r="C734" s="2" t="n"/>
      <c r="D734" s="2" t="n"/>
      <c r="E734" s="2" t="n"/>
      <c r="F734" s="2" t="n"/>
    </row>
    <row r="735" ht="15.75" customHeight="1" s="67">
      <c r="A735" s="2" t="n"/>
      <c r="B735" s="2" t="n"/>
      <c r="C735" s="2" t="n"/>
      <c r="D735" s="2" t="n"/>
      <c r="E735" s="2" t="n"/>
      <c r="F735" s="2" t="n"/>
    </row>
    <row r="736" ht="15.75" customHeight="1" s="67">
      <c r="A736" s="2" t="n"/>
      <c r="B736" s="2" t="n"/>
      <c r="C736" s="2" t="n"/>
      <c r="D736" s="2" t="n"/>
      <c r="E736" s="2" t="n"/>
      <c r="F736" s="2" t="n"/>
    </row>
    <row r="737" ht="15.75" customHeight="1" s="67">
      <c r="A737" s="2" t="n"/>
      <c r="B737" s="2" t="n"/>
      <c r="C737" s="2" t="n"/>
      <c r="D737" s="2" t="n"/>
      <c r="E737" s="2" t="n"/>
      <c r="F737" s="2" t="n"/>
    </row>
    <row r="738" ht="15.75" customHeight="1" s="67">
      <c r="A738" s="2" t="n"/>
      <c r="B738" s="2" t="n"/>
      <c r="C738" s="2" t="n"/>
      <c r="D738" s="2" t="n"/>
      <c r="E738" s="2" t="n"/>
      <c r="F738" s="2" t="n"/>
    </row>
    <row r="739" ht="15.75" customHeight="1" s="67">
      <c r="A739" s="2" t="n"/>
      <c r="B739" s="2" t="n"/>
      <c r="C739" s="2" t="n"/>
      <c r="D739" s="2" t="n"/>
      <c r="E739" s="2" t="n"/>
      <c r="F739" s="2" t="n"/>
    </row>
    <row r="740" ht="15.75" customHeight="1" s="67">
      <c r="A740" s="2" t="n"/>
      <c r="B740" s="2" t="n"/>
      <c r="C740" s="2" t="n"/>
      <c r="D740" s="2" t="n"/>
      <c r="E740" s="2" t="n"/>
      <c r="F740" s="2" t="n"/>
    </row>
    <row r="741" ht="15.75" customHeight="1" s="67">
      <c r="A741" s="2" t="n"/>
      <c r="B741" s="2" t="n"/>
      <c r="C741" s="2" t="n"/>
      <c r="D741" s="2" t="n"/>
      <c r="E741" s="2" t="n"/>
      <c r="F741" s="2" t="n"/>
    </row>
    <row r="742" ht="15.75" customHeight="1" s="67">
      <c r="A742" s="2" t="n"/>
      <c r="B742" s="2" t="n"/>
      <c r="C742" s="2" t="n"/>
      <c r="D742" s="2" t="n"/>
      <c r="E742" s="2" t="n"/>
      <c r="F742" s="2" t="n"/>
    </row>
    <row r="743" ht="15.75" customHeight="1" s="67">
      <c r="A743" s="2" t="n"/>
      <c r="B743" s="2" t="n"/>
      <c r="C743" s="2" t="n"/>
      <c r="D743" s="2" t="n"/>
      <c r="E743" s="2" t="n"/>
      <c r="F743" s="2" t="n"/>
    </row>
    <row r="744" ht="15.75" customHeight="1" s="67">
      <c r="A744" s="2" t="n"/>
      <c r="B744" s="2" t="n"/>
      <c r="C744" s="2" t="n"/>
      <c r="D744" s="2" t="n"/>
      <c r="E744" s="2" t="n"/>
      <c r="F744" s="2" t="n"/>
    </row>
    <row r="745" ht="15.75" customHeight="1" s="67">
      <c r="A745" s="2" t="n"/>
      <c r="B745" s="2" t="n"/>
      <c r="C745" s="2" t="n"/>
      <c r="D745" s="2" t="n"/>
      <c r="E745" s="2" t="n"/>
      <c r="F745" s="2" t="n"/>
    </row>
    <row r="746" ht="15.75" customHeight="1" s="67">
      <c r="A746" s="2" t="n"/>
      <c r="B746" s="2" t="n"/>
      <c r="C746" s="2" t="n"/>
      <c r="D746" s="2" t="n"/>
      <c r="E746" s="2" t="n"/>
      <c r="F746" s="2" t="n"/>
    </row>
    <row r="747" ht="15.75" customHeight="1" s="67">
      <c r="A747" s="2" t="n"/>
      <c r="B747" s="2" t="n"/>
      <c r="C747" s="2" t="n"/>
      <c r="D747" s="2" t="n"/>
      <c r="E747" s="2" t="n"/>
      <c r="F747" s="2" t="n"/>
    </row>
    <row r="748" ht="15.75" customHeight="1" s="67">
      <c r="A748" s="2" t="n"/>
      <c r="B748" s="2" t="n"/>
      <c r="C748" s="2" t="n"/>
      <c r="D748" s="2" t="n"/>
      <c r="E748" s="2" t="n"/>
      <c r="F748" s="2" t="n"/>
    </row>
    <row r="749" ht="15.75" customHeight="1" s="67">
      <c r="A749" s="2" t="n"/>
      <c r="B749" s="2" t="n"/>
      <c r="C749" s="2" t="n"/>
      <c r="D749" s="2" t="n"/>
      <c r="E749" s="2" t="n"/>
      <c r="F749" s="2" t="n"/>
    </row>
    <row r="750" ht="15.75" customHeight="1" s="67">
      <c r="A750" s="2" t="n"/>
      <c r="B750" s="2" t="n"/>
      <c r="C750" s="2" t="n"/>
      <c r="D750" s="2" t="n"/>
      <c r="E750" s="2" t="n"/>
      <c r="F750" s="2" t="n"/>
    </row>
    <row r="751" ht="15.75" customHeight="1" s="67">
      <c r="A751" s="2" t="n"/>
      <c r="B751" s="2" t="n"/>
      <c r="C751" s="2" t="n"/>
      <c r="D751" s="2" t="n"/>
      <c r="E751" s="2" t="n"/>
      <c r="F751" s="2" t="n"/>
    </row>
    <row r="752" ht="15.75" customHeight="1" s="67">
      <c r="A752" s="2" t="n"/>
      <c r="B752" s="2" t="n"/>
      <c r="C752" s="2" t="n"/>
      <c r="D752" s="2" t="n"/>
      <c r="E752" s="2" t="n"/>
      <c r="F752" s="2" t="n"/>
    </row>
    <row r="753" ht="15.75" customHeight="1" s="67">
      <c r="A753" s="2" t="n"/>
      <c r="B753" s="2" t="n"/>
      <c r="C753" s="2" t="n"/>
      <c r="D753" s="2" t="n"/>
      <c r="E753" s="2" t="n"/>
      <c r="F753" s="2" t="n"/>
    </row>
    <row r="754" ht="15.75" customHeight="1" s="67">
      <c r="A754" s="2" t="n"/>
      <c r="B754" s="2" t="n"/>
      <c r="C754" s="2" t="n"/>
      <c r="D754" s="2" t="n"/>
      <c r="E754" s="2" t="n"/>
      <c r="F754" s="2" t="n"/>
    </row>
    <row r="755" ht="15.75" customHeight="1" s="67">
      <c r="A755" s="2" t="n"/>
      <c r="B755" s="2" t="n"/>
      <c r="C755" s="2" t="n"/>
      <c r="D755" s="2" t="n"/>
      <c r="E755" s="2" t="n"/>
      <c r="F755" s="2" t="n"/>
    </row>
    <row r="756" ht="15.75" customHeight="1" s="67">
      <c r="A756" s="2" t="n"/>
      <c r="B756" s="2" t="n"/>
      <c r="C756" s="2" t="n"/>
      <c r="D756" s="2" t="n"/>
      <c r="E756" s="2" t="n"/>
      <c r="F756" s="2" t="n"/>
    </row>
    <row r="757" ht="15.75" customHeight="1" s="67">
      <c r="A757" s="2" t="n"/>
      <c r="B757" s="2" t="n"/>
      <c r="C757" s="2" t="n"/>
      <c r="D757" s="2" t="n"/>
      <c r="E757" s="2" t="n"/>
      <c r="F757" s="2" t="n"/>
    </row>
    <row r="758" ht="15.75" customHeight="1" s="67">
      <c r="A758" s="2" t="n"/>
      <c r="B758" s="2" t="n"/>
      <c r="C758" s="2" t="n"/>
      <c r="D758" s="2" t="n"/>
      <c r="E758" s="2" t="n"/>
      <c r="F758" s="2" t="n"/>
    </row>
    <row r="759" ht="15.75" customHeight="1" s="67">
      <c r="A759" s="2" t="n"/>
      <c r="B759" s="2" t="n"/>
      <c r="C759" s="2" t="n"/>
      <c r="D759" s="2" t="n"/>
      <c r="E759" s="2" t="n"/>
      <c r="F759" s="2" t="n"/>
    </row>
    <row r="760" ht="15.75" customHeight="1" s="67">
      <c r="A760" s="2" t="n"/>
      <c r="B760" s="2" t="n"/>
      <c r="C760" s="2" t="n"/>
      <c r="D760" s="2" t="n"/>
      <c r="E760" s="2" t="n"/>
      <c r="F760" s="2" t="n"/>
    </row>
    <row r="761" ht="15.75" customHeight="1" s="67">
      <c r="A761" s="2" t="n"/>
      <c r="B761" s="2" t="n"/>
      <c r="C761" s="2" t="n"/>
      <c r="D761" s="2" t="n"/>
      <c r="E761" s="2" t="n"/>
      <c r="F761" s="2" t="n"/>
    </row>
    <row r="762" ht="15.75" customHeight="1" s="67">
      <c r="A762" s="2" t="n"/>
      <c r="B762" s="2" t="n"/>
      <c r="C762" s="2" t="n"/>
      <c r="D762" s="2" t="n"/>
      <c r="E762" s="2" t="n"/>
      <c r="F762" s="2" t="n"/>
    </row>
    <row r="763" ht="15.75" customHeight="1" s="67">
      <c r="A763" s="2" t="n"/>
      <c r="B763" s="2" t="n"/>
      <c r="C763" s="2" t="n"/>
      <c r="D763" s="2" t="n"/>
      <c r="E763" s="2" t="n"/>
      <c r="F763" s="2" t="n"/>
    </row>
    <row r="764" ht="15.75" customHeight="1" s="67">
      <c r="A764" s="2" t="n"/>
      <c r="B764" s="2" t="n"/>
      <c r="C764" s="2" t="n"/>
      <c r="D764" s="2" t="n"/>
      <c r="E764" s="2" t="n"/>
      <c r="F764" s="2" t="n"/>
    </row>
    <row r="765" ht="15.75" customHeight="1" s="67">
      <c r="A765" s="2" t="n"/>
      <c r="B765" s="2" t="n"/>
      <c r="C765" s="2" t="n"/>
      <c r="D765" s="2" t="n"/>
      <c r="E765" s="2" t="n"/>
      <c r="F765" s="2" t="n"/>
    </row>
    <row r="766" ht="15.75" customHeight="1" s="67">
      <c r="A766" s="2" t="n"/>
      <c r="B766" s="2" t="n"/>
      <c r="C766" s="2" t="n"/>
      <c r="D766" s="2" t="n"/>
      <c r="E766" s="2" t="n"/>
      <c r="F766" s="2" t="n"/>
    </row>
    <row r="767" ht="15.75" customHeight="1" s="67">
      <c r="A767" s="2" t="n"/>
      <c r="B767" s="2" t="n"/>
      <c r="C767" s="2" t="n"/>
      <c r="D767" s="2" t="n"/>
      <c r="E767" s="2" t="n"/>
      <c r="F767" s="2" t="n"/>
    </row>
    <row r="768" ht="15.75" customHeight="1" s="67">
      <c r="A768" s="2" t="n"/>
      <c r="B768" s="2" t="n"/>
      <c r="C768" s="2" t="n"/>
      <c r="D768" s="2" t="n"/>
      <c r="E768" s="2" t="n"/>
      <c r="F768" s="2" t="n"/>
    </row>
    <row r="769" ht="15.75" customHeight="1" s="67">
      <c r="A769" s="2" t="n"/>
      <c r="B769" s="2" t="n"/>
      <c r="C769" s="2" t="n"/>
      <c r="D769" s="2" t="n"/>
      <c r="E769" s="2" t="n"/>
      <c r="F769" s="2" t="n"/>
    </row>
    <row r="770" ht="15.75" customHeight="1" s="67">
      <c r="A770" s="2" t="n"/>
      <c r="B770" s="2" t="n"/>
      <c r="C770" s="2" t="n"/>
      <c r="D770" s="2" t="n"/>
      <c r="E770" s="2" t="n"/>
      <c r="F770" s="2" t="n"/>
    </row>
    <row r="771" ht="15.75" customHeight="1" s="67">
      <c r="A771" s="2" t="n"/>
      <c r="B771" s="2" t="n"/>
      <c r="C771" s="2" t="n"/>
      <c r="D771" s="2" t="n"/>
      <c r="E771" s="2" t="n"/>
      <c r="F771" s="2" t="n"/>
    </row>
    <row r="772" ht="15.75" customHeight="1" s="67">
      <c r="A772" s="2" t="n"/>
      <c r="B772" s="2" t="n"/>
      <c r="C772" s="2" t="n"/>
      <c r="D772" s="2" t="n"/>
      <c r="E772" s="2" t="n"/>
      <c r="F772" s="2" t="n"/>
    </row>
    <row r="773" ht="15.75" customHeight="1" s="67">
      <c r="A773" s="2" t="n"/>
      <c r="B773" s="2" t="n"/>
      <c r="C773" s="2" t="n"/>
      <c r="D773" s="2" t="n"/>
      <c r="E773" s="2" t="n"/>
      <c r="F773" s="2" t="n"/>
    </row>
    <row r="774" ht="15.75" customHeight="1" s="67">
      <c r="A774" s="2" t="n"/>
      <c r="B774" s="2" t="n"/>
      <c r="C774" s="2" t="n"/>
      <c r="D774" s="2" t="n"/>
      <c r="E774" s="2" t="n"/>
      <c r="F774" s="2" t="n"/>
    </row>
    <row r="775" ht="15.75" customHeight="1" s="67">
      <c r="A775" s="2" t="n"/>
      <c r="B775" s="2" t="n"/>
      <c r="C775" s="2" t="n"/>
      <c r="D775" s="2" t="n"/>
      <c r="E775" s="2" t="n"/>
      <c r="F775" s="2" t="n"/>
    </row>
    <row r="776" ht="15.75" customHeight="1" s="67">
      <c r="A776" s="2" t="n"/>
      <c r="B776" s="2" t="n"/>
      <c r="C776" s="2" t="n"/>
      <c r="D776" s="2" t="n"/>
      <c r="E776" s="2" t="n"/>
      <c r="F776" s="2" t="n"/>
    </row>
    <row r="777" ht="15.75" customHeight="1" s="67">
      <c r="A777" s="2" t="n"/>
      <c r="B777" s="2" t="n"/>
      <c r="C777" s="2" t="n"/>
      <c r="D777" s="2" t="n"/>
      <c r="E777" s="2" t="n"/>
      <c r="F777" s="2" t="n"/>
    </row>
    <row r="778" ht="15.75" customHeight="1" s="67">
      <c r="A778" s="2" t="n"/>
      <c r="B778" s="2" t="n"/>
      <c r="C778" s="2" t="n"/>
      <c r="D778" s="2" t="n"/>
      <c r="E778" s="2" t="n"/>
      <c r="F778" s="2" t="n"/>
    </row>
    <row r="779" ht="15.75" customHeight="1" s="67">
      <c r="A779" s="2" t="n"/>
      <c r="B779" s="2" t="n"/>
      <c r="C779" s="2" t="n"/>
      <c r="D779" s="2" t="n"/>
      <c r="E779" s="2" t="n"/>
      <c r="F779" s="2" t="n"/>
    </row>
    <row r="780" ht="15.75" customHeight="1" s="67">
      <c r="A780" s="2" t="n"/>
      <c r="B780" s="2" t="n"/>
      <c r="C780" s="2" t="n"/>
      <c r="D780" s="2" t="n"/>
      <c r="E780" s="2" t="n"/>
      <c r="F780" s="2" t="n"/>
    </row>
    <row r="781" ht="15.75" customHeight="1" s="67">
      <c r="A781" s="2" t="n"/>
      <c r="B781" s="2" t="n"/>
      <c r="C781" s="2" t="n"/>
      <c r="D781" s="2" t="n"/>
      <c r="E781" s="2" t="n"/>
      <c r="F781" s="2" t="n"/>
    </row>
    <row r="782" ht="15.75" customHeight="1" s="67">
      <c r="A782" s="2" t="n"/>
      <c r="B782" s="2" t="n"/>
      <c r="C782" s="2" t="n"/>
      <c r="D782" s="2" t="n"/>
      <c r="E782" s="2" t="n"/>
      <c r="F782" s="2" t="n"/>
    </row>
    <row r="783" ht="15.75" customHeight="1" s="67">
      <c r="A783" s="2" t="n"/>
      <c r="B783" s="2" t="n"/>
      <c r="C783" s="2" t="n"/>
      <c r="D783" s="2" t="n"/>
      <c r="E783" s="2" t="n"/>
      <c r="F783" s="2" t="n"/>
    </row>
    <row r="784" ht="15.75" customHeight="1" s="67">
      <c r="A784" s="2" t="n"/>
      <c r="B784" s="2" t="n"/>
      <c r="C784" s="2" t="n"/>
      <c r="D784" s="2" t="n"/>
      <c r="E784" s="2" t="n"/>
      <c r="F784" s="2" t="n"/>
    </row>
    <row r="785" ht="15.75" customHeight="1" s="67">
      <c r="A785" s="2" t="n"/>
      <c r="B785" s="2" t="n"/>
      <c r="C785" s="2" t="n"/>
      <c r="D785" s="2" t="n"/>
      <c r="E785" s="2" t="n"/>
      <c r="F785" s="2" t="n"/>
    </row>
    <row r="786" ht="15.75" customHeight="1" s="67">
      <c r="A786" s="2" t="n"/>
      <c r="B786" s="2" t="n"/>
      <c r="C786" s="2" t="n"/>
      <c r="D786" s="2" t="n"/>
      <c r="E786" s="2" t="n"/>
      <c r="F786" s="2" t="n"/>
    </row>
    <row r="787" ht="15.75" customHeight="1" s="67">
      <c r="A787" s="2" t="n"/>
      <c r="B787" s="2" t="n"/>
      <c r="C787" s="2" t="n"/>
      <c r="D787" s="2" t="n"/>
      <c r="E787" s="2" t="n"/>
      <c r="F787" s="2" t="n"/>
    </row>
    <row r="788" ht="15.75" customHeight="1" s="67">
      <c r="A788" s="2" t="n"/>
      <c r="B788" s="2" t="n"/>
      <c r="C788" s="2" t="n"/>
      <c r="D788" s="2" t="n"/>
      <c r="E788" s="2" t="n"/>
      <c r="F788" s="2" t="n"/>
    </row>
    <row r="789" ht="15.75" customHeight="1" s="67">
      <c r="A789" s="2" t="n"/>
      <c r="B789" s="2" t="n"/>
      <c r="C789" s="2" t="n"/>
      <c r="D789" s="2" t="n"/>
      <c r="E789" s="2" t="n"/>
      <c r="F789" s="2" t="n"/>
    </row>
    <row r="790" ht="15.75" customHeight="1" s="67">
      <c r="A790" s="2" t="n"/>
      <c r="B790" s="2" t="n"/>
      <c r="C790" s="2" t="n"/>
      <c r="D790" s="2" t="n"/>
      <c r="E790" s="2" t="n"/>
      <c r="F790" s="2" t="n"/>
    </row>
    <row r="791" ht="15.75" customHeight="1" s="67">
      <c r="A791" s="2" t="n"/>
      <c r="B791" s="2" t="n"/>
      <c r="C791" s="2" t="n"/>
      <c r="D791" s="2" t="n"/>
      <c r="E791" s="2" t="n"/>
      <c r="F791" s="2" t="n"/>
    </row>
    <row r="792" ht="15.75" customHeight="1" s="67">
      <c r="A792" s="2" t="n"/>
      <c r="B792" s="2" t="n"/>
      <c r="C792" s="2" t="n"/>
      <c r="D792" s="2" t="n"/>
      <c r="E792" s="2" t="n"/>
      <c r="F792" s="2" t="n"/>
    </row>
    <row r="793" ht="15.75" customHeight="1" s="67">
      <c r="A793" s="2" t="n"/>
      <c r="B793" s="2" t="n"/>
      <c r="C793" s="2" t="n"/>
      <c r="D793" s="2" t="n"/>
      <c r="E793" s="2" t="n"/>
      <c r="F793" s="2" t="n"/>
    </row>
    <row r="794" ht="15.75" customHeight="1" s="67">
      <c r="A794" s="2" t="n"/>
      <c r="B794" s="2" t="n"/>
      <c r="C794" s="2" t="n"/>
      <c r="D794" s="2" t="n"/>
      <c r="E794" s="2" t="n"/>
      <c r="F794" s="2" t="n"/>
    </row>
    <row r="795" ht="15.75" customHeight="1" s="67">
      <c r="A795" s="2" t="n"/>
      <c r="B795" s="2" t="n"/>
      <c r="C795" s="2" t="n"/>
      <c r="D795" s="2" t="n"/>
      <c r="E795" s="2" t="n"/>
      <c r="F795" s="2" t="n"/>
    </row>
    <row r="796" ht="15.75" customHeight="1" s="67">
      <c r="A796" s="2" t="n"/>
      <c r="B796" s="2" t="n"/>
      <c r="C796" s="2" t="n"/>
      <c r="D796" s="2" t="n"/>
      <c r="E796" s="2" t="n"/>
      <c r="F796" s="2" t="n"/>
    </row>
    <row r="797" ht="15.75" customHeight="1" s="67">
      <c r="A797" s="2" t="n"/>
      <c r="B797" s="2" t="n"/>
      <c r="C797" s="2" t="n"/>
      <c r="D797" s="2" t="n"/>
      <c r="E797" s="2" t="n"/>
      <c r="F797" s="2" t="n"/>
    </row>
    <row r="798" ht="15.75" customHeight="1" s="67">
      <c r="A798" s="2" t="n"/>
      <c r="B798" s="2" t="n"/>
      <c r="C798" s="2" t="n"/>
      <c r="D798" s="2" t="n"/>
      <c r="E798" s="2" t="n"/>
      <c r="F798" s="2" t="n"/>
    </row>
    <row r="799" ht="15.75" customHeight="1" s="67">
      <c r="A799" s="2" t="n"/>
      <c r="B799" s="2" t="n"/>
      <c r="C799" s="2" t="n"/>
      <c r="D799" s="2" t="n"/>
      <c r="E799" s="2" t="n"/>
      <c r="F799" s="2" t="n"/>
    </row>
    <row r="800" ht="15.75" customHeight="1" s="67">
      <c r="A800" s="2" t="n"/>
      <c r="B800" s="2" t="n"/>
      <c r="C800" s="2" t="n"/>
      <c r="D800" s="2" t="n"/>
      <c r="E800" s="2" t="n"/>
      <c r="F800" s="2" t="n"/>
    </row>
    <row r="801" ht="15.75" customHeight="1" s="67">
      <c r="A801" s="2" t="n"/>
      <c r="B801" s="2" t="n"/>
      <c r="C801" s="2" t="n"/>
      <c r="D801" s="2" t="n"/>
      <c r="E801" s="2" t="n"/>
      <c r="F801" s="2" t="n"/>
    </row>
    <row r="802" ht="15.75" customHeight="1" s="67">
      <c r="A802" s="2" t="n"/>
      <c r="B802" s="2" t="n"/>
      <c r="C802" s="2" t="n"/>
      <c r="D802" s="2" t="n"/>
      <c r="E802" s="2" t="n"/>
      <c r="F802" s="2" t="n"/>
    </row>
    <row r="803" ht="15.75" customHeight="1" s="67">
      <c r="A803" s="2" t="n"/>
      <c r="B803" s="2" t="n"/>
      <c r="C803" s="2" t="n"/>
      <c r="D803" s="2" t="n"/>
      <c r="E803" s="2" t="n"/>
      <c r="F803" s="2" t="n"/>
    </row>
    <row r="804" ht="15.75" customHeight="1" s="67">
      <c r="A804" s="2" t="n"/>
      <c r="B804" s="2" t="n"/>
      <c r="C804" s="2" t="n"/>
      <c r="D804" s="2" t="n"/>
      <c r="E804" s="2" t="n"/>
      <c r="F804" s="2" t="n"/>
    </row>
    <row r="805" ht="15.75" customHeight="1" s="67">
      <c r="A805" s="2" t="n"/>
      <c r="B805" s="2" t="n"/>
      <c r="C805" s="2" t="n"/>
      <c r="D805" s="2" t="n"/>
      <c r="E805" s="2" t="n"/>
      <c r="F805" s="2" t="n"/>
    </row>
    <row r="806" ht="15.75" customHeight="1" s="67">
      <c r="A806" s="2" t="n"/>
      <c r="B806" s="2" t="n"/>
      <c r="C806" s="2" t="n"/>
      <c r="D806" s="2" t="n"/>
      <c r="E806" s="2" t="n"/>
      <c r="F806" s="2" t="n"/>
    </row>
    <row r="807" ht="15.75" customHeight="1" s="67">
      <c r="A807" s="2" t="n"/>
      <c r="B807" s="2" t="n"/>
      <c r="C807" s="2" t="n"/>
      <c r="D807" s="2" t="n"/>
      <c r="E807" s="2" t="n"/>
      <c r="F807" s="2" t="n"/>
    </row>
    <row r="808" ht="15.75" customHeight="1" s="67">
      <c r="A808" s="2" t="n"/>
      <c r="B808" s="2" t="n"/>
      <c r="C808" s="2" t="n"/>
      <c r="D808" s="2" t="n"/>
      <c r="E808" s="2" t="n"/>
      <c r="F808" s="2" t="n"/>
    </row>
    <row r="809" ht="15.75" customHeight="1" s="67">
      <c r="A809" s="2" t="n"/>
      <c r="B809" s="2" t="n"/>
      <c r="C809" s="2" t="n"/>
      <c r="D809" s="2" t="n"/>
      <c r="E809" s="2" t="n"/>
      <c r="F809" s="2" t="n"/>
    </row>
    <row r="810" ht="15.75" customHeight="1" s="67">
      <c r="A810" s="2" t="n"/>
      <c r="B810" s="2" t="n"/>
      <c r="C810" s="2" t="n"/>
      <c r="D810" s="2" t="n"/>
      <c r="E810" s="2" t="n"/>
      <c r="F810" s="2" t="n"/>
    </row>
    <row r="811" ht="15.75" customHeight="1" s="67">
      <c r="A811" s="2" t="n"/>
      <c r="B811" s="2" t="n"/>
      <c r="C811" s="2" t="n"/>
      <c r="D811" s="2" t="n"/>
      <c r="E811" s="2" t="n"/>
      <c r="F811" s="2" t="n"/>
    </row>
    <row r="812" ht="15.75" customHeight="1" s="67">
      <c r="A812" s="2" t="n"/>
      <c r="B812" s="2" t="n"/>
      <c r="C812" s="2" t="n"/>
      <c r="D812" s="2" t="n"/>
      <c r="E812" s="2" t="n"/>
      <c r="F812" s="2" t="n"/>
    </row>
    <row r="813" ht="15.75" customHeight="1" s="67">
      <c r="A813" s="2" t="n"/>
      <c r="B813" s="2" t="n"/>
      <c r="C813" s="2" t="n"/>
      <c r="D813" s="2" t="n"/>
      <c r="E813" s="2" t="n"/>
      <c r="F813" s="2" t="n"/>
    </row>
    <row r="814" ht="15.75" customHeight="1" s="67">
      <c r="A814" s="2" t="n"/>
      <c r="B814" s="2" t="n"/>
      <c r="C814" s="2" t="n"/>
      <c r="D814" s="2" t="n"/>
      <c r="E814" s="2" t="n"/>
      <c r="F814" s="2" t="n"/>
    </row>
    <row r="815" ht="15.75" customHeight="1" s="67">
      <c r="A815" s="2" t="n"/>
      <c r="B815" s="2" t="n"/>
      <c r="C815" s="2" t="n"/>
      <c r="D815" s="2" t="n"/>
      <c r="E815" s="2" t="n"/>
      <c r="F815" s="2" t="n"/>
    </row>
    <row r="816" ht="15.75" customHeight="1" s="67">
      <c r="A816" s="2" t="n"/>
      <c r="B816" s="2" t="n"/>
      <c r="C816" s="2" t="n"/>
      <c r="D816" s="2" t="n"/>
      <c r="E816" s="2" t="n"/>
      <c r="F816" s="2" t="n"/>
    </row>
    <row r="817" ht="15.75" customHeight="1" s="67">
      <c r="A817" s="2" t="n"/>
      <c r="B817" s="2" t="n"/>
      <c r="C817" s="2" t="n"/>
      <c r="D817" s="2" t="n"/>
      <c r="E817" s="2" t="n"/>
      <c r="F817" s="2" t="n"/>
    </row>
    <row r="818" ht="15.75" customHeight="1" s="67">
      <c r="A818" s="2" t="n"/>
      <c r="B818" s="2" t="n"/>
      <c r="C818" s="2" t="n"/>
      <c r="D818" s="2" t="n"/>
      <c r="E818" s="2" t="n"/>
      <c r="F818" s="2" t="n"/>
    </row>
    <row r="819" ht="15.75" customHeight="1" s="67">
      <c r="A819" s="2" t="n"/>
      <c r="B819" s="2" t="n"/>
      <c r="C819" s="2" t="n"/>
      <c r="D819" s="2" t="n"/>
      <c r="E819" s="2" t="n"/>
      <c r="F819" s="2" t="n"/>
    </row>
    <row r="820" ht="15.75" customHeight="1" s="67">
      <c r="A820" s="2" t="n"/>
      <c r="B820" s="2" t="n"/>
      <c r="C820" s="2" t="n"/>
      <c r="D820" s="2" t="n"/>
      <c r="E820" s="2" t="n"/>
      <c r="F820" s="2" t="n"/>
    </row>
    <row r="821" ht="15.75" customHeight="1" s="67">
      <c r="A821" s="2" t="n"/>
      <c r="B821" s="2" t="n"/>
      <c r="C821" s="2" t="n"/>
      <c r="D821" s="2" t="n"/>
      <c r="E821" s="2" t="n"/>
      <c r="F821" s="2" t="n"/>
    </row>
    <row r="822" ht="15.75" customHeight="1" s="67">
      <c r="A822" s="2" t="n"/>
      <c r="B822" s="2" t="n"/>
      <c r="C822" s="2" t="n"/>
      <c r="D822" s="2" t="n"/>
      <c r="E822" s="2" t="n"/>
      <c r="F822" s="2" t="n"/>
    </row>
    <row r="823" ht="15.75" customHeight="1" s="67">
      <c r="A823" s="2" t="n"/>
      <c r="B823" s="2" t="n"/>
      <c r="C823" s="2" t="n"/>
      <c r="D823" s="2" t="n"/>
      <c r="E823" s="2" t="n"/>
      <c r="F823" s="2" t="n"/>
    </row>
    <row r="824" ht="15.75" customHeight="1" s="67">
      <c r="A824" s="2" t="n"/>
      <c r="B824" s="2" t="n"/>
      <c r="C824" s="2" t="n"/>
      <c r="D824" s="2" t="n"/>
      <c r="E824" s="2" t="n"/>
      <c r="F824" s="2" t="n"/>
    </row>
    <row r="825" ht="15.75" customHeight="1" s="67">
      <c r="A825" s="2" t="n"/>
      <c r="B825" s="2" t="n"/>
      <c r="C825" s="2" t="n"/>
      <c r="D825" s="2" t="n"/>
      <c r="E825" s="2" t="n"/>
      <c r="F825" s="2" t="n"/>
    </row>
    <row r="826" ht="15.75" customHeight="1" s="67">
      <c r="A826" s="2" t="n"/>
      <c r="B826" s="2" t="n"/>
      <c r="C826" s="2" t="n"/>
      <c r="D826" s="2" t="n"/>
      <c r="E826" s="2" t="n"/>
      <c r="F826" s="2" t="n"/>
    </row>
    <row r="827" ht="15.75" customHeight="1" s="67">
      <c r="A827" s="2" t="n"/>
      <c r="B827" s="2" t="n"/>
      <c r="C827" s="2" t="n"/>
      <c r="D827" s="2" t="n"/>
      <c r="E827" s="2" t="n"/>
      <c r="F827" s="2" t="n"/>
    </row>
    <row r="828" ht="15.75" customHeight="1" s="67">
      <c r="A828" s="2" t="n"/>
      <c r="B828" s="2" t="n"/>
      <c r="C828" s="2" t="n"/>
      <c r="D828" s="2" t="n"/>
      <c r="E828" s="2" t="n"/>
      <c r="F828" s="2" t="n"/>
    </row>
    <row r="829" ht="15.75" customHeight="1" s="67">
      <c r="A829" s="2" t="n"/>
      <c r="B829" s="2" t="n"/>
      <c r="C829" s="2" t="n"/>
      <c r="D829" s="2" t="n"/>
      <c r="E829" s="2" t="n"/>
      <c r="F829" s="2" t="n"/>
    </row>
    <row r="830" ht="15.75" customHeight="1" s="67">
      <c r="A830" s="2" t="n"/>
      <c r="B830" s="2" t="n"/>
      <c r="C830" s="2" t="n"/>
      <c r="D830" s="2" t="n"/>
      <c r="E830" s="2" t="n"/>
      <c r="F830" s="2" t="n"/>
    </row>
    <row r="831" ht="15.75" customHeight="1" s="67">
      <c r="A831" s="2" t="n"/>
      <c r="B831" s="2" t="n"/>
      <c r="C831" s="2" t="n"/>
      <c r="D831" s="2" t="n"/>
      <c r="E831" s="2" t="n"/>
      <c r="F831" s="2" t="n"/>
    </row>
    <row r="832" ht="15.75" customHeight="1" s="67">
      <c r="A832" s="2" t="n"/>
      <c r="B832" s="2" t="n"/>
      <c r="C832" s="2" t="n"/>
      <c r="D832" s="2" t="n"/>
      <c r="E832" s="2" t="n"/>
      <c r="F832" s="2" t="n"/>
    </row>
    <row r="833" ht="15.75" customHeight="1" s="67">
      <c r="A833" s="2" t="n"/>
      <c r="B833" s="2" t="n"/>
      <c r="C833" s="2" t="n"/>
      <c r="D833" s="2" t="n"/>
      <c r="E833" s="2" t="n"/>
      <c r="F833" s="2" t="n"/>
    </row>
    <row r="834" ht="15.75" customHeight="1" s="67">
      <c r="A834" s="2" t="n"/>
      <c r="B834" s="2" t="n"/>
      <c r="C834" s="2" t="n"/>
      <c r="D834" s="2" t="n"/>
      <c r="E834" s="2" t="n"/>
      <c r="F834" s="2" t="n"/>
    </row>
    <row r="835" ht="15.75" customHeight="1" s="67">
      <c r="A835" s="2" t="n"/>
      <c r="B835" s="2" t="n"/>
      <c r="C835" s="2" t="n"/>
      <c r="D835" s="2" t="n"/>
      <c r="E835" s="2" t="n"/>
      <c r="F835" s="2" t="n"/>
    </row>
    <row r="836" ht="15.75" customHeight="1" s="67">
      <c r="A836" s="2" t="n"/>
      <c r="B836" s="2" t="n"/>
      <c r="C836" s="2" t="n"/>
      <c r="D836" s="2" t="n"/>
      <c r="E836" s="2" t="n"/>
      <c r="F836" s="2" t="n"/>
    </row>
    <row r="837" ht="15.75" customHeight="1" s="67">
      <c r="A837" s="2" t="n"/>
      <c r="B837" s="2" t="n"/>
      <c r="C837" s="2" t="n"/>
      <c r="D837" s="2" t="n"/>
      <c r="E837" s="2" t="n"/>
      <c r="F837" s="2" t="n"/>
    </row>
    <row r="838" ht="15.75" customHeight="1" s="67">
      <c r="A838" s="2" t="n"/>
      <c r="B838" s="2" t="n"/>
      <c r="C838" s="2" t="n"/>
      <c r="D838" s="2" t="n"/>
      <c r="E838" s="2" t="n"/>
      <c r="F838" s="2" t="n"/>
    </row>
    <row r="839" ht="15.75" customHeight="1" s="67">
      <c r="A839" s="2" t="n"/>
      <c r="B839" s="2" t="n"/>
      <c r="C839" s="2" t="n"/>
      <c r="D839" s="2" t="n"/>
      <c r="E839" s="2" t="n"/>
      <c r="F839" s="2" t="n"/>
    </row>
    <row r="840" ht="15.75" customHeight="1" s="67">
      <c r="A840" s="2" t="n"/>
      <c r="B840" s="2" t="n"/>
      <c r="C840" s="2" t="n"/>
      <c r="D840" s="2" t="n"/>
      <c r="E840" s="2" t="n"/>
      <c r="F840" s="2" t="n"/>
    </row>
    <row r="841" ht="15.75" customHeight="1" s="67">
      <c r="A841" s="2" t="n"/>
      <c r="B841" s="2" t="n"/>
      <c r="C841" s="2" t="n"/>
      <c r="D841" s="2" t="n"/>
      <c r="E841" s="2" t="n"/>
      <c r="F841" s="2" t="n"/>
    </row>
    <row r="842" ht="15.75" customHeight="1" s="67">
      <c r="A842" s="2" t="n"/>
      <c r="B842" s="2" t="n"/>
      <c r="C842" s="2" t="n"/>
      <c r="D842" s="2" t="n"/>
      <c r="E842" s="2" t="n"/>
      <c r="F842" s="2" t="n"/>
    </row>
    <row r="843" ht="15.75" customHeight="1" s="67">
      <c r="A843" s="2" t="n"/>
      <c r="B843" s="2" t="n"/>
      <c r="C843" s="2" t="n"/>
      <c r="D843" s="2" t="n"/>
      <c r="E843" s="2" t="n"/>
      <c r="F843" s="2" t="n"/>
    </row>
    <row r="844" ht="15.75" customHeight="1" s="67">
      <c r="A844" s="2" t="n"/>
      <c r="B844" s="2" t="n"/>
      <c r="C844" s="2" t="n"/>
      <c r="D844" s="2" t="n"/>
      <c r="E844" s="2" t="n"/>
      <c r="F844" s="2" t="n"/>
    </row>
    <row r="845" ht="15.75" customHeight="1" s="67">
      <c r="A845" s="2" t="n"/>
      <c r="B845" s="2" t="n"/>
      <c r="C845" s="2" t="n"/>
      <c r="D845" s="2" t="n"/>
      <c r="E845" s="2" t="n"/>
      <c r="F845" s="2" t="n"/>
    </row>
    <row r="846" ht="15.75" customHeight="1" s="67">
      <c r="A846" s="2" t="n"/>
      <c r="B846" s="2" t="n"/>
      <c r="C846" s="2" t="n"/>
      <c r="D846" s="2" t="n"/>
      <c r="E846" s="2" t="n"/>
      <c r="F846" s="2" t="n"/>
    </row>
    <row r="847" ht="15.75" customHeight="1" s="67">
      <c r="A847" s="2" t="n"/>
      <c r="B847" s="2" t="n"/>
      <c r="C847" s="2" t="n"/>
      <c r="D847" s="2" t="n"/>
      <c r="E847" s="2" t="n"/>
      <c r="F847" s="2" t="n"/>
    </row>
    <row r="848" ht="15.75" customHeight="1" s="67">
      <c r="A848" s="2" t="n"/>
      <c r="B848" s="2" t="n"/>
      <c r="C848" s="2" t="n"/>
      <c r="D848" s="2" t="n"/>
      <c r="E848" s="2" t="n"/>
      <c r="F848" s="2" t="n"/>
    </row>
    <row r="849" ht="15.75" customHeight="1" s="67">
      <c r="A849" s="2" t="n"/>
      <c r="B849" s="2" t="n"/>
      <c r="C849" s="2" t="n"/>
      <c r="D849" s="2" t="n"/>
      <c r="E849" s="2" t="n"/>
      <c r="F849" s="2" t="n"/>
    </row>
    <row r="850" ht="15.75" customHeight="1" s="67">
      <c r="A850" s="2" t="n"/>
      <c r="B850" s="2" t="n"/>
      <c r="C850" s="2" t="n"/>
      <c r="D850" s="2" t="n"/>
      <c r="E850" s="2" t="n"/>
      <c r="F850" s="2" t="n"/>
    </row>
    <row r="851" ht="15.75" customHeight="1" s="67">
      <c r="A851" s="2" t="n"/>
      <c r="B851" s="2" t="n"/>
      <c r="C851" s="2" t="n"/>
      <c r="D851" s="2" t="n"/>
      <c r="E851" s="2" t="n"/>
      <c r="F851" s="2" t="n"/>
    </row>
    <row r="852" ht="15.75" customHeight="1" s="67">
      <c r="A852" s="2" t="n"/>
      <c r="B852" s="2" t="n"/>
      <c r="C852" s="2" t="n"/>
      <c r="D852" s="2" t="n"/>
      <c r="E852" s="2" t="n"/>
      <c r="F852" s="2" t="n"/>
    </row>
    <row r="853" ht="15.75" customHeight="1" s="67">
      <c r="A853" s="2" t="n"/>
      <c r="B853" s="2" t="n"/>
      <c r="C853" s="2" t="n"/>
      <c r="D853" s="2" t="n"/>
      <c r="E853" s="2" t="n"/>
      <c r="F853" s="2" t="n"/>
    </row>
    <row r="854" ht="15.75" customHeight="1" s="67">
      <c r="A854" s="2" t="n"/>
      <c r="B854" s="2" t="n"/>
      <c r="C854" s="2" t="n"/>
      <c r="D854" s="2" t="n"/>
      <c r="E854" s="2" t="n"/>
      <c r="F854" s="2" t="n"/>
    </row>
    <row r="855" ht="15.75" customHeight="1" s="67">
      <c r="A855" s="2" t="n"/>
      <c r="B855" s="2" t="n"/>
      <c r="C855" s="2" t="n"/>
      <c r="D855" s="2" t="n"/>
      <c r="E855" s="2" t="n"/>
      <c r="F855" s="2" t="n"/>
    </row>
    <row r="856" ht="15.75" customHeight="1" s="67">
      <c r="A856" s="2" t="n"/>
      <c r="B856" s="2" t="n"/>
      <c r="C856" s="2" t="n"/>
      <c r="D856" s="2" t="n"/>
      <c r="E856" s="2" t="n"/>
      <c r="F856" s="2" t="n"/>
    </row>
    <row r="857" ht="15.75" customHeight="1" s="67">
      <c r="A857" s="2" t="n"/>
      <c r="B857" s="2" t="n"/>
      <c r="C857" s="2" t="n"/>
      <c r="D857" s="2" t="n"/>
      <c r="E857" s="2" t="n"/>
      <c r="F857" s="2" t="n"/>
    </row>
    <row r="858" ht="15.75" customHeight="1" s="67">
      <c r="A858" s="2" t="n"/>
      <c r="B858" s="2" t="n"/>
      <c r="C858" s="2" t="n"/>
      <c r="D858" s="2" t="n"/>
      <c r="E858" s="2" t="n"/>
      <c r="F858" s="2" t="n"/>
    </row>
    <row r="859" ht="15.75" customHeight="1" s="67">
      <c r="A859" s="2" t="n"/>
      <c r="B859" s="2" t="n"/>
      <c r="C859" s="2" t="n"/>
      <c r="D859" s="2" t="n"/>
      <c r="E859" s="2" t="n"/>
      <c r="F859" s="2" t="n"/>
    </row>
    <row r="860" ht="15.75" customHeight="1" s="67">
      <c r="A860" s="2" t="n"/>
      <c r="B860" s="2" t="n"/>
      <c r="C860" s="2" t="n"/>
      <c r="D860" s="2" t="n"/>
      <c r="E860" s="2" t="n"/>
      <c r="F860" s="2" t="n"/>
    </row>
    <row r="861" ht="15.75" customHeight="1" s="67">
      <c r="A861" s="2" t="n"/>
      <c r="B861" s="2" t="n"/>
      <c r="C861" s="2" t="n"/>
      <c r="D861" s="2" t="n"/>
      <c r="E861" s="2" t="n"/>
      <c r="F861" s="2" t="n"/>
    </row>
    <row r="862" ht="15.75" customHeight="1" s="67">
      <c r="A862" s="2" t="n"/>
      <c r="B862" s="2" t="n"/>
      <c r="C862" s="2" t="n"/>
      <c r="D862" s="2" t="n"/>
      <c r="E862" s="2" t="n"/>
      <c r="F862" s="2" t="n"/>
    </row>
    <row r="863" ht="15.75" customHeight="1" s="67">
      <c r="A863" s="2" t="n"/>
      <c r="B863" s="2" t="n"/>
      <c r="C863" s="2" t="n"/>
      <c r="D863" s="2" t="n"/>
      <c r="E863" s="2" t="n"/>
      <c r="F863" s="2" t="n"/>
    </row>
    <row r="864" ht="15.75" customHeight="1" s="67">
      <c r="A864" s="2" t="n"/>
      <c r="B864" s="2" t="n"/>
      <c r="C864" s="2" t="n"/>
      <c r="D864" s="2" t="n"/>
      <c r="E864" s="2" t="n"/>
      <c r="F864" s="2" t="n"/>
    </row>
    <row r="865" ht="15.75" customHeight="1" s="67">
      <c r="A865" s="2" t="n"/>
      <c r="B865" s="2" t="n"/>
      <c r="C865" s="2" t="n"/>
      <c r="D865" s="2" t="n"/>
      <c r="E865" s="2" t="n"/>
      <c r="F865" s="2" t="n"/>
    </row>
    <row r="866" ht="15.75" customHeight="1" s="67">
      <c r="A866" s="2" t="n"/>
      <c r="B866" s="2" t="n"/>
      <c r="C866" s="2" t="n"/>
      <c r="D866" s="2" t="n"/>
      <c r="E866" s="2" t="n"/>
      <c r="F866" s="2" t="n"/>
    </row>
    <row r="867" ht="15.75" customHeight="1" s="67">
      <c r="A867" s="2" t="n"/>
      <c r="B867" s="2" t="n"/>
      <c r="C867" s="2" t="n"/>
      <c r="D867" s="2" t="n"/>
      <c r="E867" s="2" t="n"/>
      <c r="F867" s="2" t="n"/>
    </row>
    <row r="868" ht="15.75" customHeight="1" s="67">
      <c r="A868" s="2" t="n"/>
      <c r="B868" s="2" t="n"/>
      <c r="C868" s="2" t="n"/>
      <c r="D868" s="2" t="n"/>
      <c r="E868" s="2" t="n"/>
      <c r="F868" s="2" t="n"/>
    </row>
    <row r="869" ht="15.75" customHeight="1" s="67">
      <c r="A869" s="2" t="n"/>
      <c r="B869" s="2" t="n"/>
      <c r="C869" s="2" t="n"/>
      <c r="D869" s="2" t="n"/>
      <c r="E869" s="2" t="n"/>
      <c r="F869" s="2" t="n"/>
    </row>
    <row r="870" ht="15.75" customHeight="1" s="67">
      <c r="A870" s="2" t="n"/>
      <c r="B870" s="2" t="n"/>
      <c r="C870" s="2" t="n"/>
      <c r="D870" s="2" t="n"/>
      <c r="E870" s="2" t="n"/>
      <c r="F870" s="2" t="n"/>
    </row>
    <row r="871" ht="15.75" customHeight="1" s="67">
      <c r="A871" s="2" t="n"/>
      <c r="B871" s="2" t="n"/>
      <c r="C871" s="2" t="n"/>
      <c r="D871" s="2" t="n"/>
      <c r="E871" s="2" t="n"/>
      <c r="F871" s="2" t="n"/>
    </row>
    <row r="872" ht="15.75" customHeight="1" s="67">
      <c r="A872" s="2" t="n"/>
      <c r="B872" s="2" t="n"/>
      <c r="C872" s="2" t="n"/>
      <c r="D872" s="2" t="n"/>
      <c r="E872" s="2" t="n"/>
      <c r="F872" s="2" t="n"/>
    </row>
    <row r="873" ht="15.75" customHeight="1" s="67">
      <c r="A873" s="2" t="n"/>
      <c r="B873" s="2" t="n"/>
      <c r="C873" s="2" t="n"/>
      <c r="D873" s="2" t="n"/>
      <c r="E873" s="2" t="n"/>
      <c r="F873" s="2" t="n"/>
    </row>
    <row r="874" ht="15.75" customHeight="1" s="67">
      <c r="A874" s="2" t="n"/>
      <c r="B874" s="2" t="n"/>
      <c r="C874" s="2" t="n"/>
      <c r="D874" s="2" t="n"/>
      <c r="E874" s="2" t="n"/>
      <c r="F874" s="2" t="n"/>
    </row>
    <row r="875" ht="15.75" customHeight="1" s="67">
      <c r="A875" s="2" t="n"/>
      <c r="B875" s="2" t="n"/>
      <c r="C875" s="2" t="n"/>
      <c r="D875" s="2" t="n"/>
      <c r="E875" s="2" t="n"/>
      <c r="F875" s="2" t="n"/>
    </row>
    <row r="876" ht="15.75" customHeight="1" s="67">
      <c r="A876" s="2" t="n"/>
      <c r="B876" s="2" t="n"/>
      <c r="C876" s="2" t="n"/>
      <c r="D876" s="2" t="n"/>
      <c r="E876" s="2" t="n"/>
      <c r="F876" s="2" t="n"/>
    </row>
    <row r="877" ht="15.75" customHeight="1" s="67">
      <c r="A877" s="2" t="n"/>
      <c r="B877" s="2" t="n"/>
      <c r="C877" s="2" t="n"/>
      <c r="D877" s="2" t="n"/>
      <c r="E877" s="2" t="n"/>
      <c r="F877" s="2" t="n"/>
    </row>
    <row r="878" ht="15.75" customHeight="1" s="67">
      <c r="A878" s="2" t="n"/>
      <c r="B878" s="2" t="n"/>
      <c r="C878" s="2" t="n"/>
      <c r="D878" s="2" t="n"/>
      <c r="E878" s="2" t="n"/>
      <c r="F878" s="2" t="n"/>
    </row>
    <row r="879" ht="15.75" customHeight="1" s="67">
      <c r="A879" s="2" t="n"/>
      <c r="B879" s="2" t="n"/>
      <c r="C879" s="2" t="n"/>
      <c r="D879" s="2" t="n"/>
      <c r="E879" s="2" t="n"/>
      <c r="F879" s="2" t="n"/>
    </row>
    <row r="880" ht="15.75" customHeight="1" s="67">
      <c r="A880" s="2" t="n"/>
      <c r="B880" s="2" t="n"/>
      <c r="C880" s="2" t="n"/>
      <c r="D880" s="2" t="n"/>
      <c r="E880" s="2" t="n"/>
      <c r="F880" s="2" t="n"/>
    </row>
    <row r="881" ht="15.75" customHeight="1" s="67">
      <c r="A881" s="2" t="n"/>
      <c r="B881" s="2" t="n"/>
      <c r="C881" s="2" t="n"/>
      <c r="D881" s="2" t="n"/>
      <c r="E881" s="2" t="n"/>
      <c r="F881" s="2" t="n"/>
    </row>
    <row r="882" ht="15.75" customHeight="1" s="67">
      <c r="A882" s="2" t="n"/>
      <c r="B882" s="2" t="n"/>
      <c r="C882" s="2" t="n"/>
      <c r="D882" s="2" t="n"/>
      <c r="E882" s="2" t="n"/>
      <c r="F882" s="2" t="n"/>
    </row>
    <row r="883" ht="15.75" customHeight="1" s="67">
      <c r="A883" s="2" t="n"/>
      <c r="B883" s="2" t="n"/>
      <c r="C883" s="2" t="n"/>
      <c r="D883" s="2" t="n"/>
      <c r="E883" s="2" t="n"/>
      <c r="F883" s="2" t="n"/>
    </row>
    <row r="884" ht="15.75" customHeight="1" s="67">
      <c r="A884" s="2" t="n"/>
      <c r="B884" s="2" t="n"/>
      <c r="C884" s="2" t="n"/>
      <c r="D884" s="2" t="n"/>
      <c r="E884" s="2" t="n"/>
      <c r="F884" s="2" t="n"/>
    </row>
    <row r="885" ht="15.75" customHeight="1" s="67">
      <c r="A885" s="2" t="n"/>
      <c r="B885" s="2" t="n"/>
      <c r="C885" s="2" t="n"/>
      <c r="D885" s="2" t="n"/>
      <c r="E885" s="2" t="n"/>
      <c r="F885" s="2" t="n"/>
    </row>
    <row r="886" ht="15.75" customHeight="1" s="67">
      <c r="A886" s="2" t="n"/>
      <c r="B886" s="2" t="n"/>
      <c r="C886" s="2" t="n"/>
      <c r="D886" s="2" t="n"/>
      <c r="E886" s="2" t="n"/>
      <c r="F886" s="2" t="n"/>
    </row>
    <row r="887" ht="15.75" customHeight="1" s="67">
      <c r="A887" s="2" t="n"/>
      <c r="B887" s="2" t="n"/>
      <c r="C887" s="2" t="n"/>
      <c r="D887" s="2" t="n"/>
      <c r="E887" s="2" t="n"/>
      <c r="F887" s="2" t="n"/>
    </row>
    <row r="888" ht="15.75" customHeight="1" s="67">
      <c r="A888" s="2" t="n"/>
      <c r="B888" s="2" t="n"/>
      <c r="C888" s="2" t="n"/>
      <c r="D888" s="2" t="n"/>
      <c r="E888" s="2" t="n"/>
      <c r="F888" s="2" t="n"/>
    </row>
    <row r="889" ht="15.75" customHeight="1" s="67">
      <c r="A889" s="2" t="n"/>
      <c r="B889" s="2" t="n"/>
      <c r="C889" s="2" t="n"/>
      <c r="D889" s="2" t="n"/>
      <c r="E889" s="2" t="n"/>
      <c r="F889" s="2" t="n"/>
    </row>
    <row r="890" ht="15.75" customHeight="1" s="67">
      <c r="A890" s="2" t="n"/>
      <c r="B890" s="2" t="n"/>
      <c r="C890" s="2" t="n"/>
      <c r="D890" s="2" t="n"/>
      <c r="E890" s="2" t="n"/>
      <c r="F890" s="2" t="n"/>
    </row>
    <row r="891" ht="15.75" customHeight="1" s="67">
      <c r="A891" s="2" t="n"/>
      <c r="B891" s="2" t="n"/>
      <c r="C891" s="2" t="n"/>
      <c r="D891" s="2" t="n"/>
      <c r="E891" s="2" t="n"/>
      <c r="F891" s="2" t="n"/>
    </row>
    <row r="892" ht="15.75" customHeight="1" s="67">
      <c r="A892" s="2" t="n"/>
      <c r="B892" s="2" t="n"/>
      <c r="C892" s="2" t="n"/>
      <c r="D892" s="2" t="n"/>
      <c r="E892" s="2" t="n"/>
      <c r="F892" s="2" t="n"/>
    </row>
    <row r="893" ht="15.75" customHeight="1" s="67">
      <c r="A893" s="2" t="n"/>
      <c r="B893" s="2" t="n"/>
      <c r="C893" s="2" t="n"/>
      <c r="D893" s="2" t="n"/>
      <c r="E893" s="2" t="n"/>
      <c r="F893" s="2" t="n"/>
    </row>
    <row r="894" ht="15.75" customHeight="1" s="67">
      <c r="A894" s="2" t="n"/>
      <c r="B894" s="2" t="n"/>
      <c r="C894" s="2" t="n"/>
      <c r="D894" s="2" t="n"/>
      <c r="E894" s="2" t="n"/>
      <c r="F894" s="2" t="n"/>
    </row>
    <row r="895" ht="15.75" customHeight="1" s="67">
      <c r="A895" s="2" t="n"/>
      <c r="B895" s="2" t="n"/>
      <c r="C895" s="2" t="n"/>
      <c r="D895" s="2" t="n"/>
      <c r="E895" s="2" t="n"/>
      <c r="F895" s="2" t="n"/>
    </row>
    <row r="896" ht="15.75" customHeight="1" s="67">
      <c r="A896" s="2" t="n"/>
      <c r="B896" s="2" t="n"/>
      <c r="C896" s="2" t="n"/>
      <c r="D896" s="2" t="n"/>
      <c r="E896" s="2" t="n"/>
      <c r="F896" s="2" t="n"/>
    </row>
    <row r="897" ht="15.75" customHeight="1" s="67">
      <c r="A897" s="2" t="n"/>
      <c r="B897" s="2" t="n"/>
      <c r="C897" s="2" t="n"/>
      <c r="D897" s="2" t="n"/>
      <c r="E897" s="2" t="n"/>
      <c r="F897" s="2" t="n"/>
    </row>
    <row r="898" ht="15.75" customHeight="1" s="67">
      <c r="A898" s="2" t="n"/>
      <c r="B898" s="2" t="n"/>
      <c r="C898" s="2" t="n"/>
      <c r="D898" s="2" t="n"/>
      <c r="E898" s="2" t="n"/>
      <c r="F898" s="2" t="n"/>
    </row>
    <row r="899" ht="15.75" customHeight="1" s="67">
      <c r="A899" s="2" t="n"/>
      <c r="B899" s="2" t="n"/>
      <c r="C899" s="2" t="n"/>
      <c r="D899" s="2" t="n"/>
      <c r="E899" s="2" t="n"/>
      <c r="F899" s="2" t="n"/>
    </row>
    <row r="900" ht="15.75" customHeight="1" s="67">
      <c r="A900" s="2" t="n"/>
      <c r="B900" s="2" t="n"/>
      <c r="C900" s="2" t="n"/>
      <c r="D900" s="2" t="n"/>
      <c r="E900" s="2" t="n"/>
      <c r="F900" s="2" t="n"/>
    </row>
    <row r="901" ht="15.75" customHeight="1" s="67">
      <c r="A901" s="2" t="n"/>
      <c r="B901" s="2" t="n"/>
      <c r="C901" s="2" t="n"/>
      <c r="D901" s="2" t="n"/>
      <c r="E901" s="2" t="n"/>
      <c r="F901" s="2" t="n"/>
    </row>
    <row r="902" ht="15.75" customHeight="1" s="67">
      <c r="A902" s="2" t="n"/>
      <c r="B902" s="2" t="n"/>
      <c r="C902" s="2" t="n"/>
      <c r="D902" s="2" t="n"/>
      <c r="E902" s="2" t="n"/>
      <c r="F902" s="2" t="n"/>
    </row>
    <row r="903" ht="15.75" customHeight="1" s="67">
      <c r="A903" s="2" t="n"/>
      <c r="B903" s="2" t="n"/>
      <c r="C903" s="2" t="n"/>
      <c r="D903" s="2" t="n"/>
      <c r="E903" s="2" t="n"/>
      <c r="F903" s="2" t="n"/>
    </row>
    <row r="904" ht="15.75" customHeight="1" s="67">
      <c r="A904" s="2" t="n"/>
      <c r="B904" s="2" t="n"/>
      <c r="C904" s="2" t="n"/>
      <c r="D904" s="2" t="n"/>
      <c r="E904" s="2" t="n"/>
      <c r="F904" s="2" t="n"/>
    </row>
    <row r="905" ht="15.75" customHeight="1" s="67">
      <c r="A905" s="2" t="n"/>
      <c r="B905" s="2" t="n"/>
      <c r="C905" s="2" t="n"/>
      <c r="D905" s="2" t="n"/>
      <c r="E905" s="2" t="n"/>
      <c r="F905" s="2" t="n"/>
    </row>
    <row r="906" ht="15.75" customHeight="1" s="67">
      <c r="A906" s="2" t="n"/>
      <c r="B906" s="2" t="n"/>
      <c r="C906" s="2" t="n"/>
      <c r="D906" s="2" t="n"/>
      <c r="E906" s="2" t="n"/>
      <c r="F906" s="2" t="n"/>
    </row>
    <row r="907" ht="15.75" customHeight="1" s="67">
      <c r="A907" s="2" t="n"/>
      <c r="B907" s="2" t="n"/>
      <c r="C907" s="2" t="n"/>
      <c r="D907" s="2" t="n"/>
      <c r="E907" s="2" t="n"/>
      <c r="F907" s="2" t="n"/>
    </row>
    <row r="908" ht="15.75" customHeight="1" s="67">
      <c r="A908" s="2" t="n"/>
      <c r="B908" s="2" t="n"/>
      <c r="C908" s="2" t="n"/>
      <c r="D908" s="2" t="n"/>
      <c r="E908" s="2" t="n"/>
      <c r="F908" s="2" t="n"/>
    </row>
    <row r="909" ht="15.75" customHeight="1" s="67">
      <c r="A909" s="2" t="n"/>
      <c r="B909" s="2" t="n"/>
      <c r="C909" s="2" t="n"/>
      <c r="D909" s="2" t="n"/>
      <c r="E909" s="2" t="n"/>
      <c r="F909" s="2" t="n"/>
    </row>
    <row r="910" ht="15.75" customHeight="1" s="67">
      <c r="A910" s="2" t="n"/>
      <c r="B910" s="2" t="n"/>
      <c r="C910" s="2" t="n"/>
      <c r="D910" s="2" t="n"/>
      <c r="E910" s="2" t="n"/>
      <c r="F910" s="2" t="n"/>
    </row>
    <row r="911" ht="15.75" customHeight="1" s="67">
      <c r="A911" s="2" t="n"/>
      <c r="B911" s="2" t="n"/>
      <c r="C911" s="2" t="n"/>
      <c r="D911" s="2" t="n"/>
      <c r="E911" s="2" t="n"/>
      <c r="F911" s="2" t="n"/>
    </row>
    <row r="912" ht="15.75" customHeight="1" s="67">
      <c r="A912" s="2" t="n"/>
      <c r="B912" s="2" t="n"/>
      <c r="C912" s="2" t="n"/>
      <c r="D912" s="2" t="n"/>
      <c r="E912" s="2" t="n"/>
      <c r="F912" s="2" t="n"/>
    </row>
    <row r="913" ht="15.75" customHeight="1" s="67">
      <c r="A913" s="2" t="n"/>
      <c r="B913" s="2" t="n"/>
      <c r="C913" s="2" t="n"/>
      <c r="D913" s="2" t="n"/>
      <c r="E913" s="2" t="n"/>
      <c r="F913" s="2" t="n"/>
    </row>
    <row r="914" ht="15.75" customHeight="1" s="67">
      <c r="A914" s="2" t="n"/>
      <c r="B914" s="2" t="n"/>
      <c r="C914" s="2" t="n"/>
      <c r="D914" s="2" t="n"/>
      <c r="E914" s="2" t="n"/>
      <c r="F914" s="2" t="n"/>
    </row>
    <row r="915" ht="15.75" customHeight="1" s="67">
      <c r="A915" s="2" t="n"/>
      <c r="B915" s="2" t="n"/>
      <c r="C915" s="2" t="n"/>
      <c r="D915" s="2" t="n"/>
      <c r="E915" s="2" t="n"/>
      <c r="F915" s="2" t="n"/>
    </row>
    <row r="916" ht="15.75" customHeight="1" s="67">
      <c r="A916" s="2" t="n"/>
      <c r="B916" s="2" t="n"/>
      <c r="C916" s="2" t="n"/>
      <c r="D916" s="2" t="n"/>
      <c r="E916" s="2" t="n"/>
      <c r="F916" s="2" t="n"/>
    </row>
    <row r="917" ht="15.75" customHeight="1" s="67">
      <c r="A917" s="2" t="n"/>
      <c r="B917" s="2" t="n"/>
      <c r="C917" s="2" t="n"/>
      <c r="D917" s="2" t="n"/>
      <c r="E917" s="2" t="n"/>
      <c r="F917" s="2" t="n"/>
    </row>
    <row r="918" ht="15.75" customHeight="1" s="67">
      <c r="A918" s="2" t="n"/>
      <c r="B918" s="2" t="n"/>
      <c r="C918" s="2" t="n"/>
      <c r="D918" s="2" t="n"/>
      <c r="E918" s="2" t="n"/>
      <c r="F918" s="2" t="n"/>
    </row>
    <row r="919" ht="15.75" customHeight="1" s="67">
      <c r="A919" s="2" t="n"/>
      <c r="B919" s="2" t="n"/>
      <c r="C919" s="2" t="n"/>
      <c r="D919" s="2" t="n"/>
      <c r="E919" s="2" t="n"/>
      <c r="F919" s="2" t="n"/>
    </row>
    <row r="920" ht="15.75" customHeight="1" s="67">
      <c r="A920" s="2" t="n"/>
      <c r="B920" s="2" t="n"/>
      <c r="C920" s="2" t="n"/>
      <c r="D920" s="2" t="n"/>
      <c r="E920" s="2" t="n"/>
      <c r="F920" s="2" t="n"/>
    </row>
    <row r="921" ht="15.75" customHeight="1" s="67">
      <c r="A921" s="2" t="n"/>
      <c r="B921" s="2" t="n"/>
      <c r="C921" s="2" t="n"/>
      <c r="D921" s="2" t="n"/>
      <c r="E921" s="2" t="n"/>
      <c r="F921" s="2" t="n"/>
    </row>
    <row r="922" ht="15.75" customHeight="1" s="67">
      <c r="A922" s="2" t="n"/>
      <c r="B922" s="2" t="n"/>
      <c r="C922" s="2" t="n"/>
      <c r="D922" s="2" t="n"/>
      <c r="E922" s="2" t="n"/>
      <c r="F922" s="2" t="n"/>
    </row>
    <row r="923" ht="15.75" customHeight="1" s="67">
      <c r="A923" s="2" t="n"/>
      <c r="B923" s="2" t="n"/>
      <c r="C923" s="2" t="n"/>
      <c r="D923" s="2" t="n"/>
      <c r="E923" s="2" t="n"/>
      <c r="F923" s="2" t="n"/>
    </row>
    <row r="924" ht="15.75" customHeight="1" s="67">
      <c r="A924" s="2" t="n"/>
      <c r="B924" s="2" t="n"/>
      <c r="C924" s="2" t="n"/>
      <c r="D924" s="2" t="n"/>
      <c r="E924" s="2" t="n"/>
      <c r="F924" s="2" t="n"/>
    </row>
    <row r="925" ht="15.75" customHeight="1" s="67">
      <c r="A925" s="2" t="n"/>
      <c r="B925" s="2" t="n"/>
      <c r="C925" s="2" t="n"/>
      <c r="D925" s="2" t="n"/>
      <c r="E925" s="2" t="n"/>
      <c r="F925" s="2" t="n"/>
    </row>
    <row r="926" ht="15.75" customHeight="1" s="67">
      <c r="A926" s="2" t="n"/>
      <c r="B926" s="2" t="n"/>
      <c r="C926" s="2" t="n"/>
      <c r="D926" s="2" t="n"/>
      <c r="E926" s="2" t="n"/>
      <c r="F926" s="2" t="n"/>
    </row>
    <row r="927" ht="15.75" customHeight="1" s="67">
      <c r="A927" s="2" t="n"/>
      <c r="B927" s="2" t="n"/>
      <c r="C927" s="2" t="n"/>
      <c r="D927" s="2" t="n"/>
      <c r="E927" s="2" t="n"/>
      <c r="F927" s="2" t="n"/>
    </row>
    <row r="928" ht="15.75" customHeight="1" s="67">
      <c r="A928" s="2" t="n"/>
      <c r="B928" s="2" t="n"/>
      <c r="C928" s="2" t="n"/>
      <c r="D928" s="2" t="n"/>
      <c r="E928" s="2" t="n"/>
      <c r="F928" s="2" t="n"/>
    </row>
    <row r="929" ht="15.75" customHeight="1" s="67">
      <c r="A929" s="2" t="n"/>
      <c r="B929" s="2" t="n"/>
      <c r="C929" s="2" t="n"/>
      <c r="D929" s="2" t="n"/>
      <c r="E929" s="2" t="n"/>
      <c r="F929" s="2" t="n"/>
    </row>
    <row r="930" ht="15.75" customHeight="1" s="67">
      <c r="A930" s="2" t="n"/>
      <c r="B930" s="2" t="n"/>
      <c r="C930" s="2" t="n"/>
      <c r="D930" s="2" t="n"/>
      <c r="E930" s="2" t="n"/>
      <c r="F930" s="2" t="n"/>
    </row>
    <row r="931" ht="15.75" customHeight="1" s="67">
      <c r="A931" s="2" t="n"/>
      <c r="B931" s="2" t="n"/>
      <c r="C931" s="2" t="n"/>
      <c r="D931" s="2" t="n"/>
      <c r="E931" s="2" t="n"/>
      <c r="F931" s="2" t="n"/>
    </row>
    <row r="932" ht="15.75" customHeight="1" s="67">
      <c r="A932" s="2" t="n"/>
      <c r="B932" s="2" t="n"/>
      <c r="C932" s="2" t="n"/>
      <c r="D932" s="2" t="n"/>
      <c r="E932" s="2" t="n"/>
      <c r="F932" s="2" t="n"/>
    </row>
    <row r="933" ht="15.75" customHeight="1" s="67">
      <c r="A933" s="2" t="n"/>
      <c r="B933" s="2" t="n"/>
      <c r="C933" s="2" t="n"/>
      <c r="D933" s="2" t="n"/>
      <c r="E933" s="2" t="n"/>
      <c r="F933" s="2" t="n"/>
    </row>
    <row r="934" ht="15.75" customHeight="1" s="67">
      <c r="A934" s="2" t="n"/>
      <c r="B934" s="2" t="n"/>
      <c r="C934" s="2" t="n"/>
      <c r="D934" s="2" t="n"/>
      <c r="E934" s="2" t="n"/>
      <c r="F934" s="2" t="n"/>
    </row>
    <row r="935" ht="15.75" customHeight="1" s="67">
      <c r="A935" s="2" t="n"/>
      <c r="B935" s="2" t="n"/>
      <c r="C935" s="2" t="n"/>
      <c r="D935" s="2" t="n"/>
      <c r="E935" s="2" t="n"/>
      <c r="F935" s="2" t="n"/>
    </row>
    <row r="936" ht="15.75" customHeight="1" s="67">
      <c r="A936" s="2" t="n"/>
      <c r="B936" s="2" t="n"/>
      <c r="C936" s="2" t="n"/>
      <c r="D936" s="2" t="n"/>
      <c r="E936" s="2" t="n"/>
      <c r="F936" s="2" t="n"/>
    </row>
    <row r="937" ht="15.75" customHeight="1" s="67">
      <c r="A937" s="2" t="n"/>
      <c r="B937" s="2" t="n"/>
      <c r="C937" s="2" t="n"/>
      <c r="D937" s="2" t="n"/>
      <c r="E937" s="2" t="n"/>
      <c r="F937" s="2" t="n"/>
    </row>
    <row r="938" ht="15.75" customHeight="1" s="67">
      <c r="A938" s="2" t="n"/>
      <c r="B938" s="2" t="n"/>
      <c r="C938" s="2" t="n"/>
      <c r="D938" s="2" t="n"/>
      <c r="E938" s="2" t="n"/>
      <c r="F938" s="2" t="n"/>
    </row>
    <row r="939" ht="15.75" customHeight="1" s="67">
      <c r="A939" s="2" t="n"/>
      <c r="B939" s="2" t="n"/>
      <c r="C939" s="2" t="n"/>
      <c r="D939" s="2" t="n"/>
      <c r="E939" s="2" t="n"/>
      <c r="F939" s="2" t="n"/>
    </row>
    <row r="940" ht="15.75" customHeight="1" s="67">
      <c r="A940" s="2" t="n"/>
      <c r="B940" s="2" t="n"/>
      <c r="C940" s="2" t="n"/>
      <c r="D940" s="2" t="n"/>
      <c r="E940" s="2" t="n"/>
      <c r="F940" s="2" t="n"/>
    </row>
    <row r="941" ht="15.75" customHeight="1" s="67">
      <c r="A941" s="2" t="n"/>
      <c r="B941" s="2" t="n"/>
      <c r="C941" s="2" t="n"/>
      <c r="D941" s="2" t="n"/>
      <c r="E941" s="2" t="n"/>
      <c r="F941" s="2" t="n"/>
    </row>
    <row r="942" ht="15.75" customHeight="1" s="67">
      <c r="A942" s="2" t="n"/>
      <c r="B942" s="2" t="n"/>
      <c r="C942" s="2" t="n"/>
      <c r="D942" s="2" t="n"/>
      <c r="E942" s="2" t="n"/>
      <c r="F942" s="2" t="n"/>
    </row>
    <row r="943" ht="15.75" customHeight="1" s="67">
      <c r="A943" s="2" t="n"/>
      <c r="B943" s="2" t="n"/>
      <c r="C943" s="2" t="n"/>
      <c r="D943" s="2" t="n"/>
      <c r="E943" s="2" t="n"/>
      <c r="F943" s="2" t="n"/>
    </row>
    <row r="944" ht="15.75" customHeight="1" s="67">
      <c r="A944" s="2" t="n"/>
      <c r="B944" s="2" t="n"/>
      <c r="C944" s="2" t="n"/>
      <c r="D944" s="2" t="n"/>
      <c r="E944" s="2" t="n"/>
      <c r="F944" s="2" t="n"/>
    </row>
    <row r="945" ht="15.75" customHeight="1" s="67">
      <c r="A945" s="2" t="n"/>
      <c r="B945" s="2" t="n"/>
      <c r="C945" s="2" t="n"/>
      <c r="D945" s="2" t="n"/>
      <c r="E945" s="2" t="n"/>
      <c r="F945" s="2" t="n"/>
    </row>
    <row r="946" ht="15.75" customHeight="1" s="67">
      <c r="A946" s="2" t="n"/>
      <c r="B946" s="2" t="n"/>
      <c r="C946" s="2" t="n"/>
      <c r="D946" s="2" t="n"/>
      <c r="E946" s="2" t="n"/>
      <c r="F946" s="2" t="n"/>
    </row>
    <row r="947" ht="15.75" customHeight="1" s="67">
      <c r="A947" s="2" t="n"/>
      <c r="B947" s="2" t="n"/>
      <c r="C947" s="2" t="n"/>
      <c r="D947" s="2" t="n"/>
      <c r="E947" s="2" t="n"/>
      <c r="F947" s="2" t="n"/>
    </row>
    <row r="948" ht="15.75" customHeight="1" s="67">
      <c r="A948" s="2" t="n"/>
      <c r="B948" s="2" t="n"/>
      <c r="C948" s="2" t="n"/>
      <c r="D948" s="2" t="n"/>
      <c r="E948" s="2" t="n"/>
      <c r="F948" s="2" t="n"/>
    </row>
    <row r="949" ht="15.75" customHeight="1" s="67">
      <c r="A949" s="2" t="n"/>
      <c r="B949" s="2" t="n"/>
      <c r="C949" s="2" t="n"/>
      <c r="D949" s="2" t="n"/>
      <c r="E949" s="2" t="n"/>
      <c r="F949" s="2" t="n"/>
    </row>
    <row r="950" ht="15.75" customHeight="1" s="67">
      <c r="A950" s="2" t="n"/>
      <c r="B950" s="2" t="n"/>
      <c r="C950" s="2" t="n"/>
      <c r="D950" s="2" t="n"/>
      <c r="E950" s="2" t="n"/>
      <c r="F950" s="2" t="n"/>
    </row>
    <row r="951" ht="15.75" customHeight="1" s="67">
      <c r="A951" s="2" t="n"/>
      <c r="B951" s="2" t="n"/>
      <c r="C951" s="2" t="n"/>
      <c r="D951" s="2" t="n"/>
      <c r="E951" s="2" t="n"/>
      <c r="F951" s="2" t="n"/>
    </row>
    <row r="952" ht="15.75" customHeight="1" s="67">
      <c r="A952" s="2" t="n"/>
      <c r="B952" s="2" t="n"/>
      <c r="C952" s="2" t="n"/>
      <c r="D952" s="2" t="n"/>
      <c r="E952" s="2" t="n"/>
      <c r="F952" s="2" t="n"/>
    </row>
    <row r="953" ht="15.75" customHeight="1" s="67">
      <c r="A953" s="2" t="n"/>
      <c r="B953" s="2" t="n"/>
      <c r="C953" s="2" t="n"/>
      <c r="D953" s="2" t="n"/>
      <c r="E953" s="2" t="n"/>
      <c r="F953" s="2" t="n"/>
    </row>
    <row r="954" ht="15.75" customHeight="1" s="67">
      <c r="A954" s="2" t="n"/>
      <c r="B954" s="2" t="n"/>
      <c r="C954" s="2" t="n"/>
      <c r="D954" s="2" t="n"/>
      <c r="E954" s="2" t="n"/>
      <c r="F954" s="2" t="n"/>
    </row>
    <row r="955" ht="15.75" customHeight="1" s="67">
      <c r="A955" s="2" t="n"/>
      <c r="B955" s="2" t="n"/>
      <c r="C955" s="2" t="n"/>
      <c r="D955" s="2" t="n"/>
      <c r="E955" s="2" t="n"/>
      <c r="F955" s="2" t="n"/>
    </row>
    <row r="956" ht="15.75" customHeight="1" s="67">
      <c r="A956" s="2" t="n"/>
      <c r="B956" s="2" t="n"/>
      <c r="C956" s="2" t="n"/>
      <c r="D956" s="2" t="n"/>
      <c r="E956" s="2" t="n"/>
      <c r="F956" s="2" t="n"/>
    </row>
    <row r="957" ht="15.75" customHeight="1" s="67">
      <c r="A957" s="2" t="n"/>
      <c r="B957" s="2" t="n"/>
      <c r="C957" s="2" t="n"/>
      <c r="D957" s="2" t="n"/>
      <c r="E957" s="2" t="n"/>
      <c r="F957" s="2" t="n"/>
    </row>
    <row r="958" ht="15.75" customHeight="1" s="67">
      <c r="A958" s="2" t="n"/>
      <c r="B958" s="2" t="n"/>
      <c r="C958" s="2" t="n"/>
      <c r="D958" s="2" t="n"/>
      <c r="E958" s="2" t="n"/>
      <c r="F958" s="2" t="n"/>
    </row>
    <row r="959" ht="15.75" customHeight="1" s="67">
      <c r="A959" s="2" t="n"/>
      <c r="B959" s="2" t="n"/>
      <c r="C959" s="2" t="n"/>
      <c r="D959" s="2" t="n"/>
      <c r="E959" s="2" t="n"/>
      <c r="F959" s="2" t="n"/>
    </row>
    <row r="960" ht="15.75" customHeight="1" s="67">
      <c r="A960" s="2" t="n"/>
      <c r="B960" s="2" t="n"/>
      <c r="C960" s="2" t="n"/>
      <c r="D960" s="2" t="n"/>
      <c r="E960" s="2" t="n"/>
      <c r="F960" s="2" t="n"/>
    </row>
    <row r="961" ht="15.75" customHeight="1" s="67">
      <c r="A961" s="2" t="n"/>
      <c r="B961" s="2" t="n"/>
      <c r="C961" s="2" t="n"/>
      <c r="D961" s="2" t="n"/>
      <c r="E961" s="2" t="n"/>
      <c r="F961" s="2" t="n"/>
    </row>
    <row r="962" ht="15.75" customHeight="1" s="67">
      <c r="A962" s="2" t="n"/>
      <c r="B962" s="2" t="n"/>
      <c r="C962" s="2" t="n"/>
      <c r="D962" s="2" t="n"/>
      <c r="E962" s="2" t="n"/>
      <c r="F962" s="2" t="n"/>
    </row>
    <row r="963" ht="15.75" customHeight="1" s="67">
      <c r="A963" s="2" t="n"/>
      <c r="B963" s="2" t="n"/>
      <c r="C963" s="2" t="n"/>
      <c r="D963" s="2" t="n"/>
      <c r="E963" s="2" t="n"/>
      <c r="F963" s="2" t="n"/>
    </row>
    <row r="964" ht="15.75" customHeight="1" s="67">
      <c r="A964" s="2" t="n"/>
      <c r="B964" s="2" t="n"/>
      <c r="C964" s="2" t="n"/>
      <c r="D964" s="2" t="n"/>
      <c r="E964" s="2" t="n"/>
      <c r="F964" s="2" t="n"/>
    </row>
    <row r="965" ht="15.75" customHeight="1" s="67">
      <c r="A965" s="2" t="n"/>
      <c r="B965" s="2" t="n"/>
      <c r="C965" s="2" t="n"/>
      <c r="D965" s="2" t="n"/>
      <c r="E965" s="2" t="n"/>
      <c r="F965" s="2" t="n"/>
    </row>
    <row r="966" ht="15.75" customHeight="1" s="67">
      <c r="A966" s="2" t="n"/>
      <c r="B966" s="2" t="n"/>
      <c r="C966" s="2" t="n"/>
      <c r="D966" s="2" t="n"/>
      <c r="E966" s="2" t="n"/>
      <c r="F966" s="2" t="n"/>
    </row>
    <row r="967" ht="15.75" customHeight="1" s="67">
      <c r="A967" s="2" t="n"/>
      <c r="B967" s="2" t="n"/>
      <c r="C967" s="2" t="n"/>
      <c r="D967" s="2" t="n"/>
      <c r="E967" s="2" t="n"/>
      <c r="F967" s="2" t="n"/>
    </row>
    <row r="968" ht="15.75" customHeight="1" s="67">
      <c r="A968" s="2" t="n"/>
      <c r="B968" s="2" t="n"/>
      <c r="C968" s="2" t="n"/>
      <c r="D968" s="2" t="n"/>
      <c r="E968" s="2" t="n"/>
      <c r="F968" s="2" t="n"/>
    </row>
    <row r="969" ht="15.75" customHeight="1" s="67">
      <c r="A969" s="2" t="n"/>
      <c r="B969" s="2" t="n"/>
      <c r="C969" s="2" t="n"/>
      <c r="D969" s="2" t="n"/>
      <c r="E969" s="2" t="n"/>
      <c r="F969" s="2" t="n"/>
    </row>
    <row r="970" ht="15.75" customHeight="1" s="67">
      <c r="A970" s="2" t="n"/>
      <c r="B970" s="2" t="n"/>
      <c r="C970" s="2" t="n"/>
      <c r="D970" s="2" t="n"/>
      <c r="E970" s="2" t="n"/>
      <c r="F970" s="2" t="n"/>
    </row>
    <row r="971" ht="15.75" customHeight="1" s="67">
      <c r="A971" s="2" t="n"/>
      <c r="B971" s="2" t="n"/>
      <c r="C971" s="2" t="n"/>
      <c r="D971" s="2" t="n"/>
      <c r="E971" s="2" t="n"/>
      <c r="F971" s="2" t="n"/>
    </row>
    <row r="972" ht="15.75" customHeight="1" s="67">
      <c r="A972" s="2" t="n"/>
      <c r="B972" s="2" t="n"/>
      <c r="C972" s="2" t="n"/>
      <c r="D972" s="2" t="n"/>
      <c r="E972" s="2" t="n"/>
      <c r="F972" s="2" t="n"/>
    </row>
    <row r="973" ht="15.75" customHeight="1" s="67">
      <c r="A973" s="2" t="n"/>
      <c r="B973" s="2" t="n"/>
      <c r="C973" s="2" t="n"/>
      <c r="D973" s="2" t="n"/>
      <c r="E973" s="2" t="n"/>
      <c r="F973" s="2" t="n"/>
    </row>
    <row r="974" ht="15.75" customHeight="1" s="67">
      <c r="A974" s="2" t="n"/>
      <c r="B974" s="2" t="n"/>
      <c r="C974" s="2" t="n"/>
      <c r="D974" s="2" t="n"/>
      <c r="E974" s="2" t="n"/>
      <c r="F974" s="2" t="n"/>
    </row>
    <row r="975" ht="15.75" customHeight="1" s="67">
      <c r="A975" s="2" t="n"/>
      <c r="B975" s="2" t="n"/>
      <c r="C975" s="2" t="n"/>
      <c r="D975" s="2" t="n"/>
      <c r="E975" s="2" t="n"/>
      <c r="F975" s="2" t="n"/>
    </row>
    <row r="976" ht="15.75" customHeight="1" s="67">
      <c r="A976" s="2" t="n"/>
      <c r="B976" s="2" t="n"/>
      <c r="C976" s="2" t="n"/>
      <c r="D976" s="2" t="n"/>
      <c r="E976" s="2" t="n"/>
      <c r="F976" s="2" t="n"/>
    </row>
    <row r="977" ht="15.75" customHeight="1" s="67">
      <c r="A977" s="2" t="n"/>
      <c r="B977" s="2" t="n"/>
      <c r="C977" s="2" t="n"/>
      <c r="D977" s="2" t="n"/>
      <c r="E977" s="2" t="n"/>
      <c r="F977" s="2" t="n"/>
    </row>
    <row r="978" ht="15.75" customHeight="1" s="67">
      <c r="A978" s="2" t="n"/>
      <c r="B978" s="2" t="n"/>
      <c r="C978" s="2" t="n"/>
      <c r="D978" s="2" t="n"/>
      <c r="E978" s="2" t="n"/>
      <c r="F978" s="2" t="n"/>
    </row>
    <row r="979" ht="15.75" customHeight="1" s="67">
      <c r="A979" s="2" t="n"/>
      <c r="B979" s="2" t="n"/>
      <c r="C979" s="2" t="n"/>
      <c r="D979" s="2" t="n"/>
      <c r="E979" s="2" t="n"/>
      <c r="F979" s="2" t="n"/>
    </row>
    <row r="980" ht="15.75" customHeight="1" s="67">
      <c r="A980" s="2" t="n"/>
      <c r="B980" s="2" t="n"/>
      <c r="C980" s="2" t="n"/>
      <c r="D980" s="2" t="n"/>
      <c r="E980" s="2" t="n"/>
      <c r="F980" s="2" t="n"/>
    </row>
    <row r="981" ht="15.75" customHeight="1" s="67">
      <c r="A981" s="2" t="n"/>
      <c r="B981" s="2" t="n"/>
      <c r="C981" s="2" t="n"/>
      <c r="D981" s="2" t="n"/>
      <c r="E981" s="2" t="n"/>
      <c r="F981" s="2" t="n"/>
    </row>
    <row r="982" ht="15.75" customHeight="1" s="67">
      <c r="A982" s="2" t="n"/>
      <c r="B982" s="2" t="n"/>
      <c r="C982" s="2" t="n"/>
      <c r="D982" s="2" t="n"/>
      <c r="E982" s="2" t="n"/>
      <c r="F982" s="2" t="n"/>
    </row>
    <row r="983" ht="15.75" customHeight="1" s="67">
      <c r="A983" s="2" t="n"/>
      <c r="B983" s="2" t="n"/>
      <c r="C983" s="2" t="n"/>
      <c r="D983" s="2" t="n"/>
      <c r="E983" s="2" t="n"/>
      <c r="F983" s="2" t="n"/>
    </row>
    <row r="984" ht="15.75" customHeight="1" s="67">
      <c r="A984" s="2" t="n"/>
      <c r="B984" s="2" t="n"/>
      <c r="C984" s="2" t="n"/>
      <c r="D984" s="2" t="n"/>
      <c r="E984" s="2" t="n"/>
      <c r="F984" s="2" t="n"/>
    </row>
    <row r="985" ht="15.75" customHeight="1" s="67">
      <c r="A985" s="2" t="n"/>
      <c r="B985" s="2" t="n"/>
      <c r="C985" s="2" t="n"/>
      <c r="D985" s="2" t="n"/>
      <c r="E985" s="2" t="n"/>
      <c r="F985" s="2" t="n"/>
    </row>
    <row r="986" ht="15.75" customHeight="1" s="67">
      <c r="A986" s="2" t="n"/>
      <c r="B986" s="2" t="n"/>
      <c r="C986" s="2" t="n"/>
      <c r="D986" s="2" t="n"/>
      <c r="E986" s="2" t="n"/>
      <c r="F986" s="2" t="n"/>
    </row>
    <row r="987" ht="15.75" customHeight="1" s="67">
      <c r="A987" s="2" t="n"/>
      <c r="B987" s="2" t="n"/>
      <c r="C987" s="2" t="n"/>
      <c r="D987" s="2" t="n"/>
      <c r="E987" s="2" t="n"/>
      <c r="F987" s="2" t="n"/>
    </row>
    <row r="988" ht="15.75" customHeight="1" s="67">
      <c r="A988" s="2" t="n"/>
      <c r="B988" s="2" t="n"/>
      <c r="C988" s="2" t="n"/>
      <c r="D988" s="2" t="n"/>
      <c r="E988" s="2" t="n"/>
      <c r="F988" s="2" t="n"/>
    </row>
    <row r="989" ht="15.75" customHeight="1" s="67">
      <c r="A989" s="2" t="n"/>
      <c r="B989" s="2" t="n"/>
      <c r="C989" s="2" t="n"/>
      <c r="D989" s="2" t="n"/>
      <c r="E989" s="2" t="n"/>
      <c r="F989" s="2" t="n"/>
    </row>
    <row r="990" ht="15.75" customHeight="1" s="67">
      <c r="A990" s="2" t="n"/>
      <c r="B990" s="2" t="n"/>
      <c r="C990" s="2" t="n"/>
      <c r="D990" s="2" t="n"/>
      <c r="E990" s="2" t="n"/>
      <c r="F990" s="2" t="n"/>
    </row>
    <row r="991" ht="15.75" customHeight="1" s="67">
      <c r="A991" s="2" t="n"/>
      <c r="B991" s="2" t="n"/>
      <c r="C991" s="2" t="n"/>
      <c r="D991" s="2" t="n"/>
      <c r="E991" s="2" t="n"/>
      <c r="F991" s="2" t="n"/>
    </row>
    <row r="992" ht="15.75" customHeight="1" s="67">
      <c r="A992" s="2" t="n"/>
      <c r="B992" s="2" t="n"/>
      <c r="C992" s="2" t="n"/>
      <c r="D992" s="2" t="n"/>
      <c r="E992" s="2" t="n"/>
      <c r="F992" s="2" t="n"/>
    </row>
    <row r="993" ht="15.75" customHeight="1" s="67">
      <c r="A993" s="2" t="n"/>
      <c r="B993" s="2" t="n"/>
      <c r="C993" s="2" t="n"/>
      <c r="D993" s="2" t="n"/>
      <c r="E993" s="2" t="n"/>
      <c r="F993" s="2" t="n"/>
    </row>
    <row r="994" ht="15.75" customHeight="1" s="67">
      <c r="A994" s="2" t="n"/>
      <c r="B994" s="2" t="n"/>
      <c r="C994" s="2" t="n"/>
      <c r="D994" s="2" t="n"/>
      <c r="E994" s="2" t="n"/>
      <c r="F994" s="2" t="n"/>
    </row>
    <row r="995" ht="15.75" customHeight="1" s="67">
      <c r="A995" s="2" t="n"/>
      <c r="B995" s="2" t="n"/>
      <c r="C995" s="2" t="n"/>
      <c r="D995" s="2" t="n"/>
      <c r="E995" s="2" t="n"/>
      <c r="F995" s="2" t="n"/>
    </row>
    <row r="996" ht="15.75" customHeight="1" s="67">
      <c r="A996" s="2" t="n"/>
      <c r="B996" s="2" t="n"/>
      <c r="C996" s="2" t="n"/>
      <c r="D996" s="2" t="n"/>
      <c r="E996" s="2" t="n"/>
      <c r="F996" s="2" t="n"/>
    </row>
    <row r="997" ht="15.75" customHeight="1" s="67">
      <c r="A997" s="2" t="n"/>
      <c r="B997" s="2" t="n"/>
      <c r="C997" s="2" t="n"/>
      <c r="D997" s="2" t="n"/>
      <c r="E997" s="2" t="n"/>
      <c r="F997" s="2" t="n"/>
    </row>
    <row r="998" ht="15.75" customHeight="1" s="67">
      <c r="A998" s="2" t="n"/>
      <c r="B998" s="2" t="n"/>
      <c r="C998" s="2" t="n"/>
      <c r="D998" s="2" t="n"/>
      <c r="E998" s="2" t="n"/>
      <c r="F998" s="2" t="n"/>
    </row>
    <row r="999" ht="15.75" customHeight="1" s="67">
      <c r="A999" s="2" t="n"/>
      <c r="B999" s="2" t="n"/>
      <c r="C999" s="2" t="n"/>
      <c r="D999" s="2" t="n"/>
      <c r="E999" s="2" t="n"/>
      <c r="F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</row>
  </sheetData>
  <mergeCells count="18">
    <mergeCell ref="C13:F13"/>
    <mergeCell ref="C9:F9"/>
    <mergeCell ref="C18:F18"/>
    <mergeCell ref="C5:F5"/>
    <mergeCell ref="C17:F17"/>
    <mergeCell ref="C8:F8"/>
    <mergeCell ref="C4:F4"/>
    <mergeCell ref="C20:F20"/>
    <mergeCell ref="C12:F12"/>
    <mergeCell ref="C6:F6"/>
    <mergeCell ref="C7:F7"/>
    <mergeCell ref="C21:F21"/>
    <mergeCell ref="C16:F16"/>
    <mergeCell ref="C15:F15"/>
    <mergeCell ref="C11:F11"/>
    <mergeCell ref="C10:F10"/>
    <mergeCell ref="C19:F19"/>
    <mergeCell ref="C14:F14"/>
  </mergeCells>
  <dataValidations count="1">
    <dataValidation sqref="C18" showDropDown="0" showInputMessage="1" showErrorMessage="1" allowBlank="1" prompt="Valor no válido - Elija un valor de la lista." type="list">
      <formula1>Listas!$J$2:$J$4</formula1>
    </dataValidation>
  </dataValidations>
  <printOptions horizontalCentered="1"/>
  <pageMargins left="0.5" right="0.5" top="1" bottom="1" header="0" footer="0"/>
  <pageSetup orientation="portrait" paperSize="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6" customWidth="1" style="67" min="1" max="1"/>
    <col width="60" customWidth="1" style="67" min="2" max="2"/>
    <col width="16" customWidth="1" style="67" min="3" max="3"/>
    <col width="36" customWidth="1" style="67" min="4" max="4"/>
    <col width="14" customWidth="1" style="67" min="5" max="5"/>
    <col width="38" customWidth="1" style="67" min="6" max="6"/>
    <col width="8.710000000000001" customWidth="1" style="67" min="7" max="26"/>
  </cols>
  <sheetData>
    <row r="1" ht="17.25" customHeight="1" s="67">
      <c r="A1" s="1" t="inlineStr">
        <is>
          <t>Diccionario de variables de la base consolidada</t>
        </is>
      </c>
      <c r="B1" s="2" t="n"/>
      <c r="C1" s="2" t="n"/>
      <c r="D1" s="2" t="n"/>
      <c r="E1" s="2" t="n"/>
      <c r="F1" s="2" t="n"/>
    </row>
    <row r="2" ht="15" customHeight="1" s="67">
      <c r="A2" s="3" t="inlineStr">
        <is>
          <t>Actualice nombres, escalas y códigos de dato perdido según su tesis. La estructura es la misma del pretest (semana 3) con el sufijo _POST para la medición final.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 s="67">
      <c r="A4" s="17" t="inlineStr">
        <is>
          <t>Variable</t>
        </is>
      </c>
      <c r="B4" s="17" t="inlineStr">
        <is>
          <t>Descripción</t>
        </is>
      </c>
      <c r="C4" s="17" t="inlineStr">
        <is>
          <t>Escala de medición</t>
        </is>
      </c>
      <c r="D4" s="17" t="inlineStr">
        <is>
          <t>Valores o codificación</t>
        </is>
      </c>
      <c r="E4" s="17" t="inlineStr">
        <is>
          <t>Código de dato perdido</t>
        </is>
      </c>
      <c r="F4" s="17" t="inlineStr">
        <is>
          <t>Fuente</t>
        </is>
      </c>
    </row>
    <row r="5" ht="30" customHeight="1" s="67">
      <c r="A5" s="36" t="inlineStr">
        <is>
          <t>CODIGO</t>
        </is>
      </c>
      <c r="B5" s="36" t="inlineStr">
        <is>
          <t>Código único del participante (nunca nombre ni DNI).</t>
        </is>
      </c>
      <c r="C5" s="36" t="inlineStr">
        <is>
          <t>Nominal</t>
        </is>
      </c>
      <c r="D5" s="36" t="inlineStr">
        <is>
          <t>GU-TDH-001…GU-TDH-126</t>
        </is>
      </c>
      <c r="E5" s="36" t="inlineStr">
        <is>
          <t>—</t>
        </is>
      </c>
      <c r="F5" s="36" t="inlineStr">
        <is>
          <t>Libro de códigos (separado y con contraseña)</t>
        </is>
      </c>
    </row>
    <row r="6" ht="30" customHeight="1" s="67">
      <c r="A6" s="36" t="inlineStr">
        <is>
          <t>GRUPO</t>
        </is>
      </c>
      <c r="B6" s="36" t="inlineStr">
        <is>
          <t>Grupo al que pertenece el participante.</t>
        </is>
      </c>
      <c r="C6" s="36" t="inlineStr">
        <is>
          <t>Nominal</t>
        </is>
      </c>
      <c r="D6" s="36" t="inlineStr">
        <is>
          <t>G = grupo único</t>
        </is>
      </c>
      <c r="E6" s="36" t="inlineStr">
        <is>
          <t>—</t>
        </is>
      </c>
      <c r="F6" s="36" t="inlineStr">
        <is>
          <t>Protocolo de ejecución</t>
        </is>
      </c>
    </row>
    <row r="7" ht="30" customHeight="1" s="67">
      <c r="A7" s="36" t="inlineStr">
        <is>
          <t>VD_PRE</t>
        </is>
      </c>
      <c r="B7" s="36" t="inlineStr">
        <is>
          <t>Puntaje SUS de usabilidad percibida en el pretest (portal actual).</t>
        </is>
      </c>
      <c r="C7" s="36" t="inlineStr">
        <is>
          <t>Intervalo</t>
        </is>
      </c>
      <c r="D7" s="36" t="inlineStr">
        <is>
          <t>0 a 100</t>
        </is>
      </c>
      <c r="E7" s="36" t="inlineStr">
        <is>
          <t>No se usa: el caso incompleto se elimina</t>
        </is>
      </c>
      <c r="F7" s="36" t="inlineStr">
        <is>
          <t>Cuestionario SUS (12–17/10/2026); base de la Sesión 03</t>
        </is>
      </c>
    </row>
    <row r="8" ht="30" customHeight="1" s="67">
      <c r="A8" s="36" t="inlineStr">
        <is>
          <t>VD_POST</t>
        </is>
      </c>
      <c r="B8" s="36" t="inlineStr">
        <is>
          <t>Puntaje SUS simulado del postest. No es la medición de campo de O2. Se conserva para el cuaderno del seminario.</t>
        </is>
      </c>
      <c r="C8" s="36" t="inlineStr">
        <is>
          <t>Intervalo</t>
        </is>
      </c>
      <c r="D8" s="36" t="inlineStr">
        <is>
          <t>0 a 100</t>
        </is>
      </c>
      <c r="E8" s="36" t="inlineStr">
        <is>
          <t>No se usa: el caso incompleto se elimina</t>
        </is>
      </c>
      <c r="F8" s="36" t="inlineStr">
        <is>
          <t>Simulación a partir del pretest. No es O2 de campo. Ventana prevista 26–31/10/2026.</t>
        </is>
      </c>
    </row>
    <row r="9" ht="30" customHeight="1" s="67">
      <c r="A9" s="36" t="inlineStr">
        <is>
          <t>DIF</t>
        </is>
      </c>
      <c r="B9" s="36" t="inlineStr">
        <is>
          <t>Diferencia VD_POST − VD_PRE (valores positivos = mejora de la usabilidad).</t>
        </is>
      </c>
      <c r="C9" s="36" t="inlineStr">
        <is>
          <t>Intervalo</t>
        </is>
      </c>
      <c r="D9" s="36" t="inlineStr">
        <is>
          <t>Calculada</t>
        </is>
      </c>
      <c r="E9" s="36" t="inlineStr">
        <is>
          <t>—</t>
        </is>
      </c>
      <c r="F9" s="36" t="inlineStr">
        <is>
          <t>Fórmula</t>
        </is>
      </c>
    </row>
    <row r="10" ht="30" customHeight="1" s="67">
      <c r="A10" s="36" t="inlineStr">
        <is>
          <t>ADH</t>
        </is>
      </c>
      <c r="B10" s="36" t="inlineStr">
        <is>
          <t>Adherencia individual: días con uso efectivo (máx. 3) ÷ 3 × 100.</t>
        </is>
      </c>
      <c r="C10" s="36" t="inlineStr">
        <is>
          <t>Razón</t>
        </is>
      </c>
      <c r="D10" s="36" t="inlineStr">
        <is>
          <t>0 a 100</t>
        </is>
      </c>
      <c r="E10" s="36" t="inlineStr">
        <is>
          <t>—</t>
        </is>
      </c>
      <c r="F10" s="36" t="inlineStr">
        <is>
          <t>Telemetría de la aplicación</t>
        </is>
      </c>
    </row>
    <row r="11" ht="30" customHeight="1" s="67">
      <c r="A11" s="22" t="inlineStr">
        <is>
          <t>ESTADO</t>
        </is>
      </c>
      <c r="B11" s="19" t="inlineStr">
        <is>
          <t>Situación del participante al cierre.</t>
        </is>
      </c>
      <c r="C11" s="22" t="inlineStr">
        <is>
          <t>Nominal</t>
        </is>
      </c>
      <c r="D11" s="19" t="inlineStr">
        <is>
          <t>Activo; Retirado; Excluido</t>
        </is>
      </c>
      <c r="E11" s="22" t="inlineStr">
        <is>
          <t>—</t>
        </is>
      </c>
      <c r="F11" s="19" t="inlineStr">
        <is>
          <t>Registro de participación final</t>
        </is>
      </c>
    </row>
    <row r="12" ht="30" customHeight="1" s="67">
      <c r="A12" s="22" t="inlineStr">
        <is>
          <t>FECHA_POST</t>
        </is>
      </c>
      <c r="B12" s="19" t="inlineStr">
        <is>
          <t>Fecha de aplicación del postest.</t>
        </is>
      </c>
      <c r="C12" s="22" t="inlineStr">
        <is>
          <t>Fecha</t>
        </is>
      </c>
      <c r="D12" s="19" t="inlineStr">
        <is>
          <t>dd/mm/aaaa</t>
        </is>
      </c>
      <c r="E12" s="22" t="inlineStr">
        <is>
          <t>—</t>
        </is>
      </c>
      <c r="F12" s="19" t="inlineStr">
        <is>
          <t>Acta de aplicación del postest</t>
        </is>
      </c>
    </row>
    <row r="13" ht="30" customHeight="1" s="67">
      <c r="A13" s="22" t="inlineStr">
        <is>
          <t>PAR_COMPLETO</t>
        </is>
      </c>
      <c r="B13" s="19" t="inlineStr">
        <is>
          <t>1 = tiene pretest y postest y no está excluido; 0 = no analizable.</t>
        </is>
      </c>
      <c r="C13" s="22" t="inlineStr">
        <is>
          <t>Dicotómica</t>
        </is>
      </c>
      <c r="D13" s="19" t="inlineStr">
        <is>
          <t>0; 1</t>
        </is>
      </c>
      <c r="E13" s="22" t="inlineStr">
        <is>
          <t>—</t>
        </is>
      </c>
      <c r="F13" s="19" t="inlineStr">
        <is>
          <t>Fórmula</t>
        </is>
      </c>
    </row>
    <row r="14" ht="15" customHeight="1" s="67">
      <c r="A14" s="64" t="inlineStr">
        <is>
          <t>sus01_post…sus10_post</t>
        </is>
      </c>
      <c r="B14" s="64" t="inlineStr">
        <is>
          <t>Ítems del SUS en el postest (hoja 6b).</t>
        </is>
      </c>
      <c r="C14" s="64" t="inlineStr">
        <is>
          <t>Ordinal</t>
        </is>
      </c>
      <c r="D14" s="64" t="inlineStr">
        <is>
          <t>1 a 5; ítems pares inversos</t>
        </is>
      </c>
      <c r="E14" s="64" t="inlineStr">
        <is>
          <t>—</t>
        </is>
      </c>
      <c r="F14" s="64" t="inlineStr">
        <is>
          <t>Cuestionario SUS</t>
        </is>
      </c>
    </row>
    <row r="15" ht="15" customHeight="1" s="67">
      <c r="A15" s="64" t="inlineStr">
        <is>
          <t>tam01_post…tam08_post</t>
        </is>
      </c>
      <c r="B15" s="64" t="inlineStr">
        <is>
          <t>Ítems del cuestionario de satisfacción en el postest (hoja 6b).</t>
        </is>
      </c>
      <c r="C15" s="64" t="inlineStr">
        <is>
          <t>Ordinal</t>
        </is>
      </c>
      <c r="D15" s="64" t="inlineStr">
        <is>
          <t>1 a 5</t>
        </is>
      </c>
      <c r="E15" s="64" t="inlineStr">
        <is>
          <t>—</t>
        </is>
      </c>
      <c r="F15" s="64" t="inlineStr">
        <is>
          <t>Cuestionario de satisfacción</t>
        </is>
      </c>
    </row>
    <row r="16" ht="15" customHeight="1" s="67">
      <c r="A16" s="64" t="inlineStr">
        <is>
          <t>t3_seg, t4_seg</t>
        </is>
      </c>
      <c r="B16" s="64" t="inlineStr">
        <is>
          <t>Tiempo hasta localizar la noticia en las tareas 3 y 4.</t>
        </is>
      </c>
      <c r="C16" s="64" t="inlineStr">
        <is>
          <t>Razón</t>
        </is>
      </c>
      <c r="D16" s="64" t="inlineStr">
        <is>
          <t>0 a 300 s (300 = tiempo agotado)</t>
        </is>
      </c>
      <c r="E16" s="64" t="inlineStr">
        <is>
          <t>—</t>
        </is>
      </c>
      <c r="F16" s="64" t="inlineStr">
        <is>
          <t>Cronómetro del módulo</t>
        </is>
      </c>
    </row>
    <row r="17">
      <c r="A17" s="65" t="inlineStr">
        <is>
          <t>t3_clics, t4_clics</t>
        </is>
      </c>
      <c r="B17" s="65" t="inlineStr">
        <is>
          <t>Clics hasta localizar la noticia en las tareas 3 y 4.</t>
        </is>
      </c>
      <c r="C17" s="65" t="inlineStr">
        <is>
          <t>Razón</t>
        </is>
      </c>
      <c r="D17" s="65" t="inlineStr">
        <is>
          <t>Entero ≥ 0</t>
        </is>
      </c>
      <c r="E17" s="65" t="inlineStr">
        <is>
          <t>—</t>
        </is>
      </c>
      <c r="F17" s="65" t="inlineStr">
        <is>
          <t>Telemetría de la aplicación</t>
        </is>
      </c>
    </row>
    <row r="18">
      <c r="A18" s="65" t="inlineStr">
        <is>
          <t>TAM_PRE / TAM_POST</t>
        </is>
      </c>
      <c r="B18" s="65" t="inlineStr">
        <is>
          <t>Puntaje total de satisfacción.</t>
        </is>
      </c>
      <c r="C18" s="65" t="inlineStr">
        <is>
          <t>Intervalo</t>
        </is>
      </c>
      <c r="D18" s="65" t="inlineStr">
        <is>
          <t>8 a 40</t>
        </is>
      </c>
      <c r="E18" s="65" t="inlineStr">
        <is>
          <t>—</t>
        </is>
      </c>
      <c r="F18" s="65" t="inlineStr">
        <is>
          <t>Suma de 8 ítems</t>
        </is>
      </c>
    </row>
    <row r="19">
      <c r="A19" s="65" t="inlineStr">
        <is>
          <t>TIEMPO_PRE / TIEMPO_POST</t>
        </is>
      </c>
      <c r="B19" s="65" t="inlineStr">
        <is>
          <t>Tiempo de búsqueda promedio de las dos tareas.</t>
        </is>
      </c>
      <c r="C19" s="65" t="inlineStr">
        <is>
          <t>Razón</t>
        </is>
      </c>
      <c r="D19" s="65" t="inlineStr">
        <is>
          <t>0 a 300 s</t>
        </is>
      </c>
      <c r="E19" s="65" t="inlineStr">
        <is>
          <t>—</t>
        </is>
      </c>
      <c r="F19" s="65" t="inlineStr">
        <is>
          <t>Fórmula</t>
        </is>
      </c>
    </row>
    <row r="20">
      <c r="A20" s="65" t="inlineStr">
        <is>
          <t>CLICS_PRE / CLICS_POST</t>
        </is>
      </c>
      <c r="B20" s="65" t="inlineStr">
        <is>
          <t>Clics totales de las dos tareas.</t>
        </is>
      </c>
      <c r="C20" s="65" t="inlineStr">
        <is>
          <t>Razón</t>
        </is>
      </c>
      <c r="D20" s="65" t="inlineStr">
        <is>
          <t>Entero ≥ 0</t>
        </is>
      </c>
      <c r="E20" s="65" t="inlineStr">
        <is>
          <t>—</t>
        </is>
      </c>
      <c r="F20" s="65" t="inlineStr">
        <is>
          <t>Fórmula</t>
        </is>
      </c>
    </row>
    <row r="21" ht="15.75" customHeight="1" s="67">
      <c r="A21" s="65" t="inlineStr">
        <is>
          <t>DIAS_USO</t>
        </is>
      </c>
      <c r="B21" s="65" t="inlineStr">
        <is>
          <t>Días con al menos una sesión de consulta durante la intervención.</t>
        </is>
      </c>
      <c r="C21" s="65" t="inlineStr">
        <is>
          <t>Razón</t>
        </is>
      </c>
      <c r="D21" s="65" t="inlineStr">
        <is>
          <t>0 a 7</t>
        </is>
      </c>
      <c r="E21" s="65" t="inlineStr">
        <is>
          <t>—</t>
        </is>
      </c>
      <c r="F21" s="65" t="inlineStr">
        <is>
          <t>Telemetría de la aplicación</t>
        </is>
      </c>
    </row>
    <row r="22" ht="15.75" customHeight="1" s="67">
      <c r="A22" s="65" t="inlineStr">
        <is>
          <t>DIF_SUS…DIF_CLICS</t>
        </is>
      </c>
      <c r="B22" s="65" t="inlineStr">
        <is>
          <t>Diferencia POST − PRE de cada indicador (entrada para K-S y t de Student o Wilcoxon).</t>
        </is>
      </c>
      <c r="C22" s="65" t="inlineStr">
        <is>
          <t>Intervalo / Razón</t>
        </is>
      </c>
      <c r="D22" s="65" t="inlineStr">
        <is>
          <t>Calculada</t>
        </is>
      </c>
      <c r="E22" s="65" t="inlineStr">
        <is>
          <t>—</t>
        </is>
      </c>
      <c r="F22" s="65" t="inlineStr">
        <is>
          <t>Fórmula</t>
        </is>
      </c>
    </row>
    <row r="23" ht="15.75" customHeight="1" s="67">
      <c r="A23" s="2" t="n"/>
      <c r="B23" s="2" t="n"/>
      <c r="C23" s="2" t="n"/>
      <c r="D23" s="2" t="n"/>
      <c r="E23" s="2" t="n"/>
      <c r="F23" s="2" t="n"/>
    </row>
    <row r="24" ht="15.75" customHeight="1" s="67">
      <c r="A24" s="2" t="n"/>
      <c r="B24" s="2" t="n"/>
      <c r="C24" s="2" t="n"/>
      <c r="D24" s="2" t="n"/>
      <c r="E24" s="2" t="n"/>
      <c r="F24" s="2" t="n"/>
    </row>
    <row r="25" ht="15.75" customHeight="1" s="67">
      <c r="A25" s="2" t="n"/>
      <c r="B25" s="2" t="n"/>
      <c r="C25" s="2" t="n"/>
      <c r="D25" s="2" t="n"/>
      <c r="E25" s="2" t="n"/>
      <c r="F25" s="2" t="n"/>
    </row>
    <row r="26" ht="15.75" customHeight="1" s="67">
      <c r="A26" s="2" t="n"/>
      <c r="B26" s="2" t="n"/>
      <c r="C26" s="2" t="n"/>
      <c r="D26" s="2" t="n"/>
      <c r="E26" s="2" t="n"/>
      <c r="F26" s="2" t="n"/>
    </row>
    <row r="27" ht="15.75" customHeight="1" s="67">
      <c r="A27" s="2" t="n"/>
      <c r="B27" s="2" t="n"/>
      <c r="C27" s="2" t="n"/>
      <c r="D27" s="2" t="n"/>
      <c r="E27" s="2" t="n"/>
      <c r="F27" s="2" t="n"/>
    </row>
    <row r="28" ht="15.75" customHeight="1" s="67">
      <c r="A28" s="2" t="n"/>
      <c r="B28" s="2" t="n"/>
      <c r="C28" s="2" t="n"/>
      <c r="D28" s="2" t="n"/>
      <c r="E28" s="2" t="n"/>
      <c r="F28" s="2" t="n"/>
    </row>
    <row r="29" ht="15.75" customHeight="1" s="67">
      <c r="A29" s="2" t="n"/>
      <c r="B29" s="2" t="n"/>
      <c r="C29" s="2" t="n"/>
      <c r="D29" s="2" t="n"/>
      <c r="E29" s="2" t="n"/>
      <c r="F29" s="2" t="n"/>
    </row>
    <row r="30" ht="15.75" customHeight="1" s="67">
      <c r="A30" s="2" t="n"/>
      <c r="B30" s="2" t="n"/>
      <c r="C30" s="2" t="n"/>
      <c r="D30" s="2" t="n"/>
      <c r="E30" s="2" t="n"/>
      <c r="F30" s="2" t="n"/>
    </row>
    <row r="31" ht="15.75" customHeight="1" s="67">
      <c r="A31" s="2" t="n"/>
      <c r="B31" s="2" t="n"/>
      <c r="C31" s="2" t="n"/>
      <c r="D31" s="2" t="n"/>
      <c r="E31" s="2" t="n"/>
      <c r="F31" s="2" t="n"/>
    </row>
    <row r="32" ht="15.75" customHeight="1" s="67">
      <c r="A32" s="2" t="n"/>
      <c r="B32" s="2" t="n"/>
      <c r="C32" s="2" t="n"/>
      <c r="D32" s="2" t="n"/>
      <c r="E32" s="2" t="n"/>
      <c r="F32" s="2" t="n"/>
    </row>
    <row r="33" ht="15.75" customHeight="1" s="67">
      <c r="A33" s="2" t="n"/>
      <c r="B33" s="2" t="n"/>
      <c r="C33" s="2" t="n"/>
      <c r="D33" s="2" t="n"/>
      <c r="E33" s="2" t="n"/>
      <c r="F33" s="2" t="n"/>
    </row>
    <row r="34" ht="15.75" customHeight="1" s="67">
      <c r="A34" s="2" t="n"/>
      <c r="B34" s="2" t="n"/>
      <c r="C34" s="2" t="n"/>
      <c r="D34" s="2" t="n"/>
      <c r="E34" s="2" t="n"/>
      <c r="F34" s="2" t="n"/>
    </row>
    <row r="35" ht="15.75" customHeight="1" s="67">
      <c r="A35" s="2" t="n"/>
      <c r="B35" s="2" t="n"/>
      <c r="C35" s="2" t="n"/>
      <c r="D35" s="2" t="n"/>
      <c r="E35" s="2" t="n"/>
      <c r="F35" s="2" t="n"/>
    </row>
    <row r="36" ht="15.75" customHeight="1" s="67">
      <c r="A36" s="2" t="n"/>
      <c r="B36" s="2" t="n"/>
      <c r="C36" s="2" t="n"/>
      <c r="D36" s="2" t="n"/>
      <c r="E36" s="2" t="n"/>
      <c r="F36" s="2" t="n"/>
    </row>
    <row r="37" ht="15.75" customHeight="1" s="67">
      <c r="A37" s="2" t="n"/>
      <c r="B37" s="2" t="n"/>
      <c r="C37" s="2" t="n"/>
      <c r="D37" s="2" t="n"/>
      <c r="E37" s="2" t="n"/>
      <c r="F37" s="2" t="n"/>
    </row>
    <row r="38" ht="15.75" customHeight="1" s="67">
      <c r="A38" s="2" t="n"/>
      <c r="B38" s="2" t="n"/>
      <c r="C38" s="2" t="n"/>
      <c r="D38" s="2" t="n"/>
      <c r="E38" s="2" t="n"/>
      <c r="F38" s="2" t="n"/>
    </row>
    <row r="39" ht="15.75" customHeight="1" s="67">
      <c r="A39" s="2" t="n"/>
      <c r="B39" s="2" t="n"/>
      <c r="C39" s="2" t="n"/>
      <c r="D39" s="2" t="n"/>
      <c r="E39" s="2" t="n"/>
      <c r="F39" s="2" t="n"/>
    </row>
    <row r="40" ht="15.75" customHeight="1" s="67">
      <c r="A40" s="2" t="n"/>
      <c r="B40" s="2" t="n"/>
      <c r="C40" s="2" t="n"/>
      <c r="D40" s="2" t="n"/>
      <c r="E40" s="2" t="n"/>
      <c r="F40" s="2" t="n"/>
    </row>
    <row r="41" ht="15.75" customHeight="1" s="67">
      <c r="A41" s="2" t="n"/>
      <c r="B41" s="2" t="n"/>
      <c r="C41" s="2" t="n"/>
      <c r="D41" s="2" t="n"/>
      <c r="E41" s="2" t="n"/>
      <c r="F41" s="2" t="n"/>
    </row>
    <row r="42" ht="15.75" customHeight="1" s="67">
      <c r="A42" s="2" t="n"/>
      <c r="B42" s="2" t="n"/>
      <c r="C42" s="2" t="n"/>
      <c r="D42" s="2" t="n"/>
      <c r="E42" s="2" t="n"/>
      <c r="F42" s="2" t="n"/>
    </row>
    <row r="43" ht="15.75" customHeight="1" s="67">
      <c r="A43" s="2" t="n"/>
      <c r="B43" s="2" t="n"/>
      <c r="C43" s="2" t="n"/>
      <c r="D43" s="2" t="n"/>
      <c r="E43" s="2" t="n"/>
      <c r="F43" s="2" t="n"/>
    </row>
    <row r="44" ht="15.75" customHeight="1" s="67">
      <c r="A44" s="2" t="n"/>
      <c r="B44" s="2" t="n"/>
      <c r="C44" s="2" t="n"/>
      <c r="D44" s="2" t="n"/>
      <c r="E44" s="2" t="n"/>
      <c r="F44" s="2" t="n"/>
    </row>
    <row r="45" ht="15.75" customHeight="1" s="67">
      <c r="A45" s="2" t="n"/>
      <c r="B45" s="2" t="n"/>
      <c r="C45" s="2" t="n"/>
      <c r="D45" s="2" t="n"/>
      <c r="E45" s="2" t="n"/>
      <c r="F45" s="2" t="n"/>
    </row>
    <row r="46" ht="15.75" customHeight="1" s="67">
      <c r="A46" s="2" t="n"/>
      <c r="B46" s="2" t="n"/>
      <c r="C46" s="2" t="n"/>
      <c r="D46" s="2" t="n"/>
      <c r="E46" s="2" t="n"/>
      <c r="F46" s="2" t="n"/>
    </row>
    <row r="47" ht="15.75" customHeight="1" s="67">
      <c r="A47" s="2" t="n"/>
      <c r="B47" s="2" t="n"/>
      <c r="C47" s="2" t="n"/>
      <c r="D47" s="2" t="n"/>
      <c r="E47" s="2" t="n"/>
      <c r="F47" s="2" t="n"/>
    </row>
    <row r="48" ht="15.75" customHeight="1" s="67">
      <c r="A48" s="2" t="n"/>
      <c r="B48" s="2" t="n"/>
      <c r="C48" s="2" t="n"/>
      <c r="D48" s="2" t="n"/>
      <c r="E48" s="2" t="n"/>
      <c r="F48" s="2" t="n"/>
    </row>
    <row r="49" ht="15.75" customHeight="1" s="67">
      <c r="A49" s="2" t="n"/>
      <c r="B49" s="2" t="n"/>
      <c r="C49" s="2" t="n"/>
      <c r="D49" s="2" t="n"/>
      <c r="E49" s="2" t="n"/>
      <c r="F49" s="2" t="n"/>
    </row>
    <row r="50" ht="15.75" customHeight="1" s="67">
      <c r="A50" s="2" t="n"/>
      <c r="B50" s="2" t="n"/>
      <c r="C50" s="2" t="n"/>
      <c r="D50" s="2" t="n"/>
      <c r="E50" s="2" t="n"/>
      <c r="F50" s="2" t="n"/>
    </row>
    <row r="51" ht="15.75" customHeight="1" s="67">
      <c r="A51" s="2" t="n"/>
      <c r="B51" s="2" t="n"/>
      <c r="C51" s="2" t="n"/>
      <c r="D51" s="2" t="n"/>
      <c r="E51" s="2" t="n"/>
      <c r="F51" s="2" t="n"/>
    </row>
    <row r="52" ht="15.75" customHeight="1" s="67">
      <c r="A52" s="2" t="n"/>
      <c r="B52" s="2" t="n"/>
      <c r="C52" s="2" t="n"/>
      <c r="D52" s="2" t="n"/>
      <c r="E52" s="2" t="n"/>
      <c r="F52" s="2" t="n"/>
    </row>
    <row r="53" ht="15.75" customHeight="1" s="67">
      <c r="A53" s="2" t="n"/>
      <c r="B53" s="2" t="n"/>
      <c r="C53" s="2" t="n"/>
      <c r="D53" s="2" t="n"/>
      <c r="E53" s="2" t="n"/>
      <c r="F53" s="2" t="n"/>
    </row>
    <row r="54" ht="15.75" customHeight="1" s="67">
      <c r="A54" s="2" t="n"/>
      <c r="B54" s="2" t="n"/>
      <c r="C54" s="2" t="n"/>
      <c r="D54" s="2" t="n"/>
      <c r="E54" s="2" t="n"/>
      <c r="F54" s="2" t="n"/>
    </row>
    <row r="55" ht="15.75" customHeight="1" s="67">
      <c r="A55" s="2" t="n"/>
      <c r="B55" s="2" t="n"/>
      <c r="C55" s="2" t="n"/>
      <c r="D55" s="2" t="n"/>
      <c r="E55" s="2" t="n"/>
      <c r="F55" s="2" t="n"/>
    </row>
    <row r="56" ht="15.75" customHeight="1" s="67">
      <c r="A56" s="2" t="n"/>
      <c r="B56" s="2" t="n"/>
      <c r="C56" s="2" t="n"/>
      <c r="D56" s="2" t="n"/>
      <c r="E56" s="2" t="n"/>
      <c r="F56" s="2" t="n"/>
    </row>
    <row r="57" ht="15.75" customHeight="1" s="67">
      <c r="A57" s="2" t="n"/>
      <c r="B57" s="2" t="n"/>
      <c r="C57" s="2" t="n"/>
      <c r="D57" s="2" t="n"/>
      <c r="E57" s="2" t="n"/>
      <c r="F57" s="2" t="n"/>
    </row>
    <row r="58" ht="15.75" customHeight="1" s="67">
      <c r="A58" s="2" t="n"/>
      <c r="B58" s="2" t="n"/>
      <c r="C58" s="2" t="n"/>
      <c r="D58" s="2" t="n"/>
      <c r="E58" s="2" t="n"/>
      <c r="F58" s="2" t="n"/>
    </row>
    <row r="59" ht="15.75" customHeight="1" s="67">
      <c r="A59" s="2" t="n"/>
      <c r="B59" s="2" t="n"/>
      <c r="C59" s="2" t="n"/>
      <c r="D59" s="2" t="n"/>
      <c r="E59" s="2" t="n"/>
      <c r="F59" s="2" t="n"/>
    </row>
    <row r="60" ht="15.75" customHeight="1" s="67">
      <c r="A60" s="2" t="n"/>
      <c r="B60" s="2" t="n"/>
      <c r="C60" s="2" t="n"/>
      <c r="D60" s="2" t="n"/>
      <c r="E60" s="2" t="n"/>
      <c r="F60" s="2" t="n"/>
    </row>
    <row r="61" ht="15.75" customHeight="1" s="67">
      <c r="A61" s="2" t="n"/>
      <c r="B61" s="2" t="n"/>
      <c r="C61" s="2" t="n"/>
      <c r="D61" s="2" t="n"/>
      <c r="E61" s="2" t="n"/>
      <c r="F61" s="2" t="n"/>
    </row>
    <row r="62" ht="15.75" customHeight="1" s="67">
      <c r="A62" s="2" t="n"/>
      <c r="B62" s="2" t="n"/>
      <c r="C62" s="2" t="n"/>
      <c r="D62" s="2" t="n"/>
      <c r="E62" s="2" t="n"/>
      <c r="F62" s="2" t="n"/>
    </row>
    <row r="63" ht="15.75" customHeight="1" s="67">
      <c r="A63" s="2" t="n"/>
      <c r="B63" s="2" t="n"/>
      <c r="C63" s="2" t="n"/>
      <c r="D63" s="2" t="n"/>
      <c r="E63" s="2" t="n"/>
      <c r="F63" s="2" t="n"/>
    </row>
    <row r="64" ht="15.75" customHeight="1" s="67">
      <c r="A64" s="2" t="n"/>
      <c r="B64" s="2" t="n"/>
      <c r="C64" s="2" t="n"/>
      <c r="D64" s="2" t="n"/>
      <c r="E64" s="2" t="n"/>
      <c r="F64" s="2" t="n"/>
    </row>
    <row r="65" ht="15.75" customHeight="1" s="67">
      <c r="A65" s="2" t="n"/>
      <c r="B65" s="2" t="n"/>
      <c r="C65" s="2" t="n"/>
      <c r="D65" s="2" t="n"/>
      <c r="E65" s="2" t="n"/>
      <c r="F65" s="2" t="n"/>
    </row>
    <row r="66" ht="15.75" customHeight="1" s="67">
      <c r="A66" s="2" t="n"/>
      <c r="B66" s="2" t="n"/>
      <c r="C66" s="2" t="n"/>
      <c r="D66" s="2" t="n"/>
      <c r="E66" s="2" t="n"/>
      <c r="F66" s="2" t="n"/>
    </row>
    <row r="67" ht="15.75" customHeight="1" s="67">
      <c r="A67" s="2" t="n"/>
      <c r="B67" s="2" t="n"/>
      <c r="C67" s="2" t="n"/>
      <c r="D67" s="2" t="n"/>
      <c r="E67" s="2" t="n"/>
      <c r="F67" s="2" t="n"/>
    </row>
    <row r="68" ht="15.75" customHeight="1" s="67">
      <c r="A68" s="2" t="n"/>
      <c r="B68" s="2" t="n"/>
      <c r="C68" s="2" t="n"/>
      <c r="D68" s="2" t="n"/>
      <c r="E68" s="2" t="n"/>
      <c r="F68" s="2" t="n"/>
    </row>
    <row r="69" ht="15.75" customHeight="1" s="67">
      <c r="A69" s="2" t="n"/>
      <c r="B69" s="2" t="n"/>
      <c r="C69" s="2" t="n"/>
      <c r="D69" s="2" t="n"/>
      <c r="E69" s="2" t="n"/>
      <c r="F69" s="2" t="n"/>
    </row>
    <row r="70" ht="15.75" customHeight="1" s="67">
      <c r="A70" s="2" t="n"/>
      <c r="B70" s="2" t="n"/>
      <c r="C70" s="2" t="n"/>
      <c r="D70" s="2" t="n"/>
      <c r="E70" s="2" t="n"/>
      <c r="F70" s="2" t="n"/>
    </row>
    <row r="71" ht="15.75" customHeight="1" s="67">
      <c r="A71" s="2" t="n"/>
      <c r="B71" s="2" t="n"/>
      <c r="C71" s="2" t="n"/>
      <c r="D71" s="2" t="n"/>
      <c r="E71" s="2" t="n"/>
      <c r="F71" s="2" t="n"/>
    </row>
    <row r="72" ht="15.75" customHeight="1" s="67">
      <c r="A72" s="2" t="n"/>
      <c r="B72" s="2" t="n"/>
      <c r="C72" s="2" t="n"/>
      <c r="D72" s="2" t="n"/>
      <c r="E72" s="2" t="n"/>
      <c r="F72" s="2" t="n"/>
    </row>
    <row r="73" ht="15.75" customHeight="1" s="67">
      <c r="A73" s="2" t="n"/>
      <c r="B73" s="2" t="n"/>
      <c r="C73" s="2" t="n"/>
      <c r="D73" s="2" t="n"/>
      <c r="E73" s="2" t="n"/>
      <c r="F73" s="2" t="n"/>
    </row>
    <row r="74" ht="15.75" customHeight="1" s="67">
      <c r="A74" s="2" t="n"/>
      <c r="B74" s="2" t="n"/>
      <c r="C74" s="2" t="n"/>
      <c r="D74" s="2" t="n"/>
      <c r="E74" s="2" t="n"/>
      <c r="F74" s="2" t="n"/>
    </row>
    <row r="75" ht="15.75" customHeight="1" s="67">
      <c r="A75" s="2" t="n"/>
      <c r="B75" s="2" t="n"/>
      <c r="C75" s="2" t="n"/>
      <c r="D75" s="2" t="n"/>
      <c r="E75" s="2" t="n"/>
      <c r="F75" s="2" t="n"/>
    </row>
    <row r="76" ht="15.75" customHeight="1" s="67">
      <c r="A76" s="2" t="n"/>
      <c r="B76" s="2" t="n"/>
      <c r="C76" s="2" t="n"/>
      <c r="D76" s="2" t="n"/>
      <c r="E76" s="2" t="n"/>
      <c r="F76" s="2" t="n"/>
    </row>
    <row r="77" ht="15.75" customHeight="1" s="67">
      <c r="A77" s="2" t="n"/>
      <c r="B77" s="2" t="n"/>
      <c r="C77" s="2" t="n"/>
      <c r="D77" s="2" t="n"/>
      <c r="E77" s="2" t="n"/>
      <c r="F77" s="2" t="n"/>
    </row>
    <row r="78" ht="15.75" customHeight="1" s="67">
      <c r="A78" s="2" t="n"/>
      <c r="B78" s="2" t="n"/>
      <c r="C78" s="2" t="n"/>
      <c r="D78" s="2" t="n"/>
      <c r="E78" s="2" t="n"/>
      <c r="F78" s="2" t="n"/>
    </row>
    <row r="79" ht="15.75" customHeight="1" s="67">
      <c r="A79" s="2" t="n"/>
      <c r="B79" s="2" t="n"/>
      <c r="C79" s="2" t="n"/>
      <c r="D79" s="2" t="n"/>
      <c r="E79" s="2" t="n"/>
      <c r="F79" s="2" t="n"/>
    </row>
    <row r="80" ht="15.75" customHeight="1" s="67">
      <c r="A80" s="2" t="n"/>
      <c r="B80" s="2" t="n"/>
      <c r="C80" s="2" t="n"/>
      <c r="D80" s="2" t="n"/>
      <c r="E80" s="2" t="n"/>
      <c r="F80" s="2" t="n"/>
    </row>
    <row r="81" ht="15.75" customHeight="1" s="67">
      <c r="A81" s="2" t="n"/>
      <c r="B81" s="2" t="n"/>
      <c r="C81" s="2" t="n"/>
      <c r="D81" s="2" t="n"/>
      <c r="E81" s="2" t="n"/>
      <c r="F81" s="2" t="n"/>
    </row>
    <row r="82" ht="15.75" customHeight="1" s="67">
      <c r="A82" s="2" t="n"/>
      <c r="B82" s="2" t="n"/>
      <c r="C82" s="2" t="n"/>
      <c r="D82" s="2" t="n"/>
      <c r="E82" s="2" t="n"/>
      <c r="F82" s="2" t="n"/>
    </row>
    <row r="83" ht="15.75" customHeight="1" s="67">
      <c r="A83" s="2" t="n"/>
      <c r="B83" s="2" t="n"/>
      <c r="C83" s="2" t="n"/>
      <c r="D83" s="2" t="n"/>
      <c r="E83" s="2" t="n"/>
      <c r="F83" s="2" t="n"/>
    </row>
    <row r="84" ht="15.75" customHeight="1" s="67">
      <c r="A84" s="2" t="n"/>
      <c r="B84" s="2" t="n"/>
      <c r="C84" s="2" t="n"/>
      <c r="D84" s="2" t="n"/>
      <c r="E84" s="2" t="n"/>
      <c r="F84" s="2" t="n"/>
    </row>
    <row r="85" ht="15.75" customHeight="1" s="67">
      <c r="A85" s="2" t="n"/>
      <c r="B85" s="2" t="n"/>
      <c r="C85" s="2" t="n"/>
      <c r="D85" s="2" t="n"/>
      <c r="E85" s="2" t="n"/>
      <c r="F85" s="2" t="n"/>
    </row>
    <row r="86" ht="15.75" customHeight="1" s="67">
      <c r="A86" s="2" t="n"/>
      <c r="B86" s="2" t="n"/>
      <c r="C86" s="2" t="n"/>
      <c r="D86" s="2" t="n"/>
      <c r="E86" s="2" t="n"/>
      <c r="F86" s="2" t="n"/>
    </row>
    <row r="87" ht="15.75" customHeight="1" s="67">
      <c r="A87" s="2" t="n"/>
      <c r="B87" s="2" t="n"/>
      <c r="C87" s="2" t="n"/>
      <c r="D87" s="2" t="n"/>
      <c r="E87" s="2" t="n"/>
      <c r="F87" s="2" t="n"/>
    </row>
    <row r="88" ht="15.75" customHeight="1" s="67">
      <c r="A88" s="2" t="n"/>
      <c r="B88" s="2" t="n"/>
      <c r="C88" s="2" t="n"/>
      <c r="D88" s="2" t="n"/>
      <c r="E88" s="2" t="n"/>
      <c r="F88" s="2" t="n"/>
    </row>
    <row r="89" ht="15.75" customHeight="1" s="67">
      <c r="A89" s="2" t="n"/>
      <c r="B89" s="2" t="n"/>
      <c r="C89" s="2" t="n"/>
      <c r="D89" s="2" t="n"/>
      <c r="E89" s="2" t="n"/>
      <c r="F89" s="2" t="n"/>
    </row>
    <row r="90" ht="15.75" customHeight="1" s="67">
      <c r="A90" s="2" t="n"/>
      <c r="B90" s="2" t="n"/>
      <c r="C90" s="2" t="n"/>
      <c r="D90" s="2" t="n"/>
      <c r="E90" s="2" t="n"/>
      <c r="F90" s="2" t="n"/>
    </row>
    <row r="91" ht="15.75" customHeight="1" s="67">
      <c r="A91" s="2" t="n"/>
      <c r="B91" s="2" t="n"/>
      <c r="C91" s="2" t="n"/>
      <c r="D91" s="2" t="n"/>
      <c r="E91" s="2" t="n"/>
      <c r="F91" s="2" t="n"/>
    </row>
    <row r="92" ht="15.75" customHeight="1" s="67">
      <c r="A92" s="2" t="n"/>
      <c r="B92" s="2" t="n"/>
      <c r="C92" s="2" t="n"/>
      <c r="D92" s="2" t="n"/>
      <c r="E92" s="2" t="n"/>
      <c r="F92" s="2" t="n"/>
    </row>
    <row r="93" ht="15.75" customHeight="1" s="67">
      <c r="A93" s="2" t="n"/>
      <c r="B93" s="2" t="n"/>
      <c r="C93" s="2" t="n"/>
      <c r="D93" s="2" t="n"/>
      <c r="E93" s="2" t="n"/>
      <c r="F93" s="2" t="n"/>
    </row>
    <row r="94" ht="15.75" customHeight="1" s="67">
      <c r="A94" s="2" t="n"/>
      <c r="B94" s="2" t="n"/>
      <c r="C94" s="2" t="n"/>
      <c r="D94" s="2" t="n"/>
      <c r="E94" s="2" t="n"/>
      <c r="F94" s="2" t="n"/>
    </row>
    <row r="95" ht="15.75" customHeight="1" s="67">
      <c r="A95" s="2" t="n"/>
      <c r="B95" s="2" t="n"/>
      <c r="C95" s="2" t="n"/>
      <c r="D95" s="2" t="n"/>
      <c r="E95" s="2" t="n"/>
      <c r="F95" s="2" t="n"/>
    </row>
    <row r="96" ht="15.75" customHeight="1" s="67">
      <c r="A96" s="2" t="n"/>
      <c r="B96" s="2" t="n"/>
      <c r="C96" s="2" t="n"/>
      <c r="D96" s="2" t="n"/>
      <c r="E96" s="2" t="n"/>
      <c r="F96" s="2" t="n"/>
    </row>
    <row r="97" ht="15.75" customHeight="1" s="67">
      <c r="A97" s="2" t="n"/>
      <c r="B97" s="2" t="n"/>
      <c r="C97" s="2" t="n"/>
      <c r="D97" s="2" t="n"/>
      <c r="E97" s="2" t="n"/>
      <c r="F97" s="2" t="n"/>
    </row>
    <row r="98" ht="15.75" customHeight="1" s="67">
      <c r="A98" s="2" t="n"/>
      <c r="B98" s="2" t="n"/>
      <c r="C98" s="2" t="n"/>
      <c r="D98" s="2" t="n"/>
      <c r="E98" s="2" t="n"/>
      <c r="F98" s="2" t="n"/>
    </row>
    <row r="99" ht="15.75" customHeight="1" s="67">
      <c r="A99" s="2" t="n"/>
      <c r="B99" s="2" t="n"/>
      <c r="C99" s="2" t="n"/>
      <c r="D99" s="2" t="n"/>
      <c r="E99" s="2" t="n"/>
      <c r="F99" s="2" t="n"/>
    </row>
    <row r="100" ht="15.75" customHeight="1" s="67">
      <c r="A100" s="2" t="n"/>
      <c r="B100" s="2" t="n"/>
      <c r="C100" s="2" t="n"/>
      <c r="D100" s="2" t="n"/>
      <c r="E100" s="2" t="n"/>
      <c r="F100" s="2" t="n"/>
    </row>
    <row r="101" ht="15.75" customHeight="1" s="67">
      <c r="A101" s="2" t="n"/>
      <c r="B101" s="2" t="n"/>
      <c r="C101" s="2" t="n"/>
      <c r="D101" s="2" t="n"/>
      <c r="E101" s="2" t="n"/>
      <c r="F101" s="2" t="n"/>
    </row>
    <row r="102" ht="15.75" customHeight="1" s="67">
      <c r="A102" s="2" t="n"/>
      <c r="B102" s="2" t="n"/>
      <c r="C102" s="2" t="n"/>
      <c r="D102" s="2" t="n"/>
      <c r="E102" s="2" t="n"/>
      <c r="F102" s="2" t="n"/>
    </row>
    <row r="103" ht="15.75" customHeight="1" s="67">
      <c r="A103" s="2" t="n"/>
      <c r="B103" s="2" t="n"/>
      <c r="C103" s="2" t="n"/>
      <c r="D103" s="2" t="n"/>
      <c r="E103" s="2" t="n"/>
      <c r="F103" s="2" t="n"/>
    </row>
    <row r="104" ht="15.75" customHeight="1" s="67">
      <c r="A104" s="2" t="n"/>
      <c r="B104" s="2" t="n"/>
      <c r="C104" s="2" t="n"/>
      <c r="D104" s="2" t="n"/>
      <c r="E104" s="2" t="n"/>
      <c r="F104" s="2" t="n"/>
    </row>
    <row r="105" ht="15.75" customHeight="1" s="67">
      <c r="A105" s="2" t="n"/>
      <c r="B105" s="2" t="n"/>
      <c r="C105" s="2" t="n"/>
      <c r="D105" s="2" t="n"/>
      <c r="E105" s="2" t="n"/>
      <c r="F105" s="2" t="n"/>
    </row>
    <row r="106" ht="15.75" customHeight="1" s="67">
      <c r="A106" s="2" t="n"/>
      <c r="B106" s="2" t="n"/>
      <c r="C106" s="2" t="n"/>
      <c r="D106" s="2" t="n"/>
      <c r="E106" s="2" t="n"/>
      <c r="F106" s="2" t="n"/>
    </row>
    <row r="107" ht="15.75" customHeight="1" s="67">
      <c r="A107" s="2" t="n"/>
      <c r="B107" s="2" t="n"/>
      <c r="C107" s="2" t="n"/>
      <c r="D107" s="2" t="n"/>
      <c r="E107" s="2" t="n"/>
      <c r="F107" s="2" t="n"/>
    </row>
    <row r="108" ht="15.75" customHeight="1" s="67">
      <c r="A108" s="2" t="n"/>
      <c r="B108" s="2" t="n"/>
      <c r="C108" s="2" t="n"/>
      <c r="D108" s="2" t="n"/>
      <c r="E108" s="2" t="n"/>
      <c r="F108" s="2" t="n"/>
    </row>
    <row r="109" ht="15.75" customHeight="1" s="67">
      <c r="A109" s="2" t="n"/>
      <c r="B109" s="2" t="n"/>
      <c r="C109" s="2" t="n"/>
      <c r="D109" s="2" t="n"/>
      <c r="E109" s="2" t="n"/>
      <c r="F109" s="2" t="n"/>
    </row>
    <row r="110" ht="15.75" customHeight="1" s="67">
      <c r="A110" s="2" t="n"/>
      <c r="B110" s="2" t="n"/>
      <c r="C110" s="2" t="n"/>
      <c r="D110" s="2" t="n"/>
      <c r="E110" s="2" t="n"/>
      <c r="F110" s="2" t="n"/>
    </row>
    <row r="111" ht="15.75" customHeight="1" s="67">
      <c r="A111" s="2" t="n"/>
      <c r="B111" s="2" t="n"/>
      <c r="C111" s="2" t="n"/>
      <c r="D111" s="2" t="n"/>
      <c r="E111" s="2" t="n"/>
      <c r="F111" s="2" t="n"/>
    </row>
    <row r="112" ht="15.75" customHeight="1" s="67">
      <c r="A112" s="2" t="n"/>
      <c r="B112" s="2" t="n"/>
      <c r="C112" s="2" t="n"/>
      <c r="D112" s="2" t="n"/>
      <c r="E112" s="2" t="n"/>
      <c r="F112" s="2" t="n"/>
    </row>
    <row r="113" ht="15.75" customHeight="1" s="67">
      <c r="A113" s="2" t="n"/>
      <c r="B113" s="2" t="n"/>
      <c r="C113" s="2" t="n"/>
      <c r="D113" s="2" t="n"/>
      <c r="E113" s="2" t="n"/>
      <c r="F113" s="2" t="n"/>
    </row>
    <row r="114" ht="15.75" customHeight="1" s="67">
      <c r="A114" s="2" t="n"/>
      <c r="B114" s="2" t="n"/>
      <c r="C114" s="2" t="n"/>
      <c r="D114" s="2" t="n"/>
      <c r="E114" s="2" t="n"/>
      <c r="F114" s="2" t="n"/>
    </row>
    <row r="115" ht="15.75" customHeight="1" s="67">
      <c r="A115" s="2" t="n"/>
      <c r="B115" s="2" t="n"/>
      <c r="C115" s="2" t="n"/>
      <c r="D115" s="2" t="n"/>
      <c r="E115" s="2" t="n"/>
      <c r="F115" s="2" t="n"/>
    </row>
    <row r="116" ht="15.75" customHeight="1" s="67">
      <c r="A116" s="2" t="n"/>
      <c r="B116" s="2" t="n"/>
      <c r="C116" s="2" t="n"/>
      <c r="D116" s="2" t="n"/>
      <c r="E116" s="2" t="n"/>
      <c r="F116" s="2" t="n"/>
    </row>
    <row r="117" ht="15.75" customHeight="1" s="67">
      <c r="A117" s="2" t="n"/>
      <c r="B117" s="2" t="n"/>
      <c r="C117" s="2" t="n"/>
      <c r="D117" s="2" t="n"/>
      <c r="E117" s="2" t="n"/>
      <c r="F117" s="2" t="n"/>
    </row>
    <row r="118" ht="15.75" customHeight="1" s="67">
      <c r="A118" s="2" t="n"/>
      <c r="B118" s="2" t="n"/>
      <c r="C118" s="2" t="n"/>
      <c r="D118" s="2" t="n"/>
      <c r="E118" s="2" t="n"/>
      <c r="F118" s="2" t="n"/>
    </row>
    <row r="119" ht="15.75" customHeight="1" s="67">
      <c r="A119" s="2" t="n"/>
      <c r="B119" s="2" t="n"/>
      <c r="C119" s="2" t="n"/>
      <c r="D119" s="2" t="n"/>
      <c r="E119" s="2" t="n"/>
      <c r="F119" s="2" t="n"/>
    </row>
    <row r="120" ht="15.75" customHeight="1" s="67">
      <c r="A120" s="2" t="n"/>
      <c r="B120" s="2" t="n"/>
      <c r="C120" s="2" t="n"/>
      <c r="D120" s="2" t="n"/>
      <c r="E120" s="2" t="n"/>
      <c r="F120" s="2" t="n"/>
    </row>
    <row r="121" ht="15.75" customHeight="1" s="67">
      <c r="A121" s="2" t="n"/>
      <c r="B121" s="2" t="n"/>
      <c r="C121" s="2" t="n"/>
      <c r="D121" s="2" t="n"/>
      <c r="E121" s="2" t="n"/>
      <c r="F121" s="2" t="n"/>
    </row>
    <row r="122" ht="15.75" customHeight="1" s="67">
      <c r="A122" s="2" t="n"/>
      <c r="B122" s="2" t="n"/>
      <c r="C122" s="2" t="n"/>
      <c r="D122" s="2" t="n"/>
      <c r="E122" s="2" t="n"/>
      <c r="F122" s="2" t="n"/>
    </row>
    <row r="123" ht="15.75" customHeight="1" s="67">
      <c r="A123" s="2" t="n"/>
      <c r="B123" s="2" t="n"/>
      <c r="C123" s="2" t="n"/>
      <c r="D123" s="2" t="n"/>
      <c r="E123" s="2" t="n"/>
      <c r="F123" s="2" t="n"/>
    </row>
    <row r="124" ht="15.75" customHeight="1" s="67">
      <c r="A124" s="2" t="n"/>
      <c r="B124" s="2" t="n"/>
      <c r="C124" s="2" t="n"/>
      <c r="D124" s="2" t="n"/>
      <c r="E124" s="2" t="n"/>
      <c r="F124" s="2" t="n"/>
    </row>
    <row r="125" ht="15.75" customHeight="1" s="67">
      <c r="A125" s="2" t="n"/>
      <c r="B125" s="2" t="n"/>
      <c r="C125" s="2" t="n"/>
      <c r="D125" s="2" t="n"/>
      <c r="E125" s="2" t="n"/>
      <c r="F125" s="2" t="n"/>
    </row>
    <row r="126" ht="15.75" customHeight="1" s="67">
      <c r="A126" s="2" t="n"/>
      <c r="B126" s="2" t="n"/>
      <c r="C126" s="2" t="n"/>
      <c r="D126" s="2" t="n"/>
      <c r="E126" s="2" t="n"/>
      <c r="F126" s="2" t="n"/>
    </row>
    <row r="127" ht="15.75" customHeight="1" s="67">
      <c r="A127" s="2" t="n"/>
      <c r="B127" s="2" t="n"/>
      <c r="C127" s="2" t="n"/>
      <c r="D127" s="2" t="n"/>
      <c r="E127" s="2" t="n"/>
      <c r="F127" s="2" t="n"/>
    </row>
    <row r="128" ht="15.75" customHeight="1" s="67">
      <c r="A128" s="2" t="n"/>
      <c r="B128" s="2" t="n"/>
      <c r="C128" s="2" t="n"/>
      <c r="D128" s="2" t="n"/>
      <c r="E128" s="2" t="n"/>
      <c r="F128" s="2" t="n"/>
    </row>
    <row r="129" ht="15.75" customHeight="1" s="67">
      <c r="A129" s="2" t="n"/>
      <c r="B129" s="2" t="n"/>
      <c r="C129" s="2" t="n"/>
      <c r="D129" s="2" t="n"/>
      <c r="E129" s="2" t="n"/>
      <c r="F129" s="2" t="n"/>
    </row>
    <row r="130" ht="15.75" customHeight="1" s="67">
      <c r="A130" s="2" t="n"/>
      <c r="B130" s="2" t="n"/>
      <c r="C130" s="2" t="n"/>
      <c r="D130" s="2" t="n"/>
      <c r="E130" s="2" t="n"/>
      <c r="F130" s="2" t="n"/>
    </row>
    <row r="131" ht="15.75" customHeight="1" s="67">
      <c r="A131" s="2" t="n"/>
      <c r="B131" s="2" t="n"/>
      <c r="C131" s="2" t="n"/>
      <c r="D131" s="2" t="n"/>
      <c r="E131" s="2" t="n"/>
      <c r="F131" s="2" t="n"/>
    </row>
    <row r="132" ht="15.75" customHeight="1" s="67">
      <c r="A132" s="2" t="n"/>
      <c r="B132" s="2" t="n"/>
      <c r="C132" s="2" t="n"/>
      <c r="D132" s="2" t="n"/>
      <c r="E132" s="2" t="n"/>
      <c r="F132" s="2" t="n"/>
    </row>
    <row r="133" ht="15.75" customHeight="1" s="67">
      <c r="A133" s="2" t="n"/>
      <c r="B133" s="2" t="n"/>
      <c r="C133" s="2" t="n"/>
      <c r="D133" s="2" t="n"/>
      <c r="E133" s="2" t="n"/>
      <c r="F133" s="2" t="n"/>
    </row>
    <row r="134" ht="15.75" customHeight="1" s="67">
      <c r="A134" s="2" t="n"/>
      <c r="B134" s="2" t="n"/>
      <c r="C134" s="2" t="n"/>
      <c r="D134" s="2" t="n"/>
      <c r="E134" s="2" t="n"/>
      <c r="F134" s="2" t="n"/>
    </row>
    <row r="135" ht="15.75" customHeight="1" s="67">
      <c r="A135" s="2" t="n"/>
      <c r="B135" s="2" t="n"/>
      <c r="C135" s="2" t="n"/>
      <c r="D135" s="2" t="n"/>
      <c r="E135" s="2" t="n"/>
      <c r="F135" s="2" t="n"/>
    </row>
    <row r="136" ht="15.75" customHeight="1" s="67">
      <c r="A136" s="2" t="n"/>
      <c r="B136" s="2" t="n"/>
      <c r="C136" s="2" t="n"/>
      <c r="D136" s="2" t="n"/>
      <c r="E136" s="2" t="n"/>
      <c r="F136" s="2" t="n"/>
    </row>
    <row r="137" ht="15.75" customHeight="1" s="67">
      <c r="A137" s="2" t="n"/>
      <c r="B137" s="2" t="n"/>
      <c r="C137" s="2" t="n"/>
      <c r="D137" s="2" t="n"/>
      <c r="E137" s="2" t="n"/>
      <c r="F137" s="2" t="n"/>
    </row>
    <row r="138" ht="15.75" customHeight="1" s="67">
      <c r="A138" s="2" t="n"/>
      <c r="B138" s="2" t="n"/>
      <c r="C138" s="2" t="n"/>
      <c r="D138" s="2" t="n"/>
      <c r="E138" s="2" t="n"/>
      <c r="F138" s="2" t="n"/>
    </row>
    <row r="139" ht="15.75" customHeight="1" s="67">
      <c r="A139" s="2" t="n"/>
      <c r="B139" s="2" t="n"/>
      <c r="C139" s="2" t="n"/>
      <c r="D139" s="2" t="n"/>
      <c r="E139" s="2" t="n"/>
      <c r="F139" s="2" t="n"/>
    </row>
    <row r="140" ht="15.75" customHeight="1" s="67">
      <c r="A140" s="2" t="n"/>
      <c r="B140" s="2" t="n"/>
      <c r="C140" s="2" t="n"/>
      <c r="D140" s="2" t="n"/>
      <c r="E140" s="2" t="n"/>
      <c r="F140" s="2" t="n"/>
    </row>
    <row r="141" ht="15.75" customHeight="1" s="67">
      <c r="A141" s="2" t="n"/>
      <c r="B141" s="2" t="n"/>
      <c r="C141" s="2" t="n"/>
      <c r="D141" s="2" t="n"/>
      <c r="E141" s="2" t="n"/>
      <c r="F141" s="2" t="n"/>
    </row>
    <row r="142" ht="15.75" customHeight="1" s="67">
      <c r="A142" s="2" t="n"/>
      <c r="B142" s="2" t="n"/>
      <c r="C142" s="2" t="n"/>
      <c r="D142" s="2" t="n"/>
      <c r="E142" s="2" t="n"/>
      <c r="F142" s="2" t="n"/>
    </row>
    <row r="143" ht="15.75" customHeight="1" s="67">
      <c r="A143" s="2" t="n"/>
      <c r="B143" s="2" t="n"/>
      <c r="C143" s="2" t="n"/>
      <c r="D143" s="2" t="n"/>
      <c r="E143" s="2" t="n"/>
      <c r="F143" s="2" t="n"/>
    </row>
    <row r="144" ht="15.75" customHeight="1" s="67">
      <c r="A144" s="2" t="n"/>
      <c r="B144" s="2" t="n"/>
      <c r="C144" s="2" t="n"/>
      <c r="D144" s="2" t="n"/>
      <c r="E144" s="2" t="n"/>
      <c r="F144" s="2" t="n"/>
    </row>
    <row r="145" ht="15.75" customHeight="1" s="67">
      <c r="A145" s="2" t="n"/>
      <c r="B145" s="2" t="n"/>
      <c r="C145" s="2" t="n"/>
      <c r="D145" s="2" t="n"/>
      <c r="E145" s="2" t="n"/>
      <c r="F145" s="2" t="n"/>
    </row>
    <row r="146" ht="15.75" customHeight="1" s="67">
      <c r="A146" s="2" t="n"/>
      <c r="B146" s="2" t="n"/>
      <c r="C146" s="2" t="n"/>
      <c r="D146" s="2" t="n"/>
      <c r="E146" s="2" t="n"/>
      <c r="F146" s="2" t="n"/>
    </row>
    <row r="147" ht="15.75" customHeight="1" s="67">
      <c r="A147" s="2" t="n"/>
      <c r="B147" s="2" t="n"/>
      <c r="C147" s="2" t="n"/>
      <c r="D147" s="2" t="n"/>
      <c r="E147" s="2" t="n"/>
      <c r="F147" s="2" t="n"/>
    </row>
    <row r="148" ht="15.75" customHeight="1" s="67">
      <c r="A148" s="2" t="n"/>
      <c r="B148" s="2" t="n"/>
      <c r="C148" s="2" t="n"/>
      <c r="D148" s="2" t="n"/>
      <c r="E148" s="2" t="n"/>
      <c r="F148" s="2" t="n"/>
    </row>
    <row r="149" ht="15.75" customHeight="1" s="67">
      <c r="A149" s="2" t="n"/>
      <c r="B149" s="2" t="n"/>
      <c r="C149" s="2" t="n"/>
      <c r="D149" s="2" t="n"/>
      <c r="E149" s="2" t="n"/>
      <c r="F149" s="2" t="n"/>
    </row>
    <row r="150" ht="15.75" customHeight="1" s="67">
      <c r="A150" s="2" t="n"/>
      <c r="B150" s="2" t="n"/>
      <c r="C150" s="2" t="n"/>
      <c r="D150" s="2" t="n"/>
      <c r="E150" s="2" t="n"/>
      <c r="F150" s="2" t="n"/>
    </row>
    <row r="151" ht="15.75" customHeight="1" s="67">
      <c r="A151" s="2" t="n"/>
      <c r="B151" s="2" t="n"/>
      <c r="C151" s="2" t="n"/>
      <c r="D151" s="2" t="n"/>
      <c r="E151" s="2" t="n"/>
      <c r="F151" s="2" t="n"/>
    </row>
    <row r="152" ht="15.75" customHeight="1" s="67">
      <c r="A152" s="2" t="n"/>
      <c r="B152" s="2" t="n"/>
      <c r="C152" s="2" t="n"/>
      <c r="D152" s="2" t="n"/>
      <c r="E152" s="2" t="n"/>
      <c r="F152" s="2" t="n"/>
    </row>
    <row r="153" ht="15.75" customHeight="1" s="67">
      <c r="A153" s="2" t="n"/>
      <c r="B153" s="2" t="n"/>
      <c r="C153" s="2" t="n"/>
      <c r="D153" s="2" t="n"/>
      <c r="E153" s="2" t="n"/>
      <c r="F153" s="2" t="n"/>
    </row>
    <row r="154" ht="15.75" customHeight="1" s="67">
      <c r="A154" s="2" t="n"/>
      <c r="B154" s="2" t="n"/>
      <c r="C154" s="2" t="n"/>
      <c r="D154" s="2" t="n"/>
      <c r="E154" s="2" t="n"/>
      <c r="F154" s="2" t="n"/>
    </row>
    <row r="155" ht="15.75" customHeight="1" s="67">
      <c r="A155" s="2" t="n"/>
      <c r="B155" s="2" t="n"/>
      <c r="C155" s="2" t="n"/>
      <c r="D155" s="2" t="n"/>
      <c r="E155" s="2" t="n"/>
      <c r="F155" s="2" t="n"/>
    </row>
    <row r="156" ht="15.75" customHeight="1" s="67">
      <c r="A156" s="2" t="n"/>
      <c r="B156" s="2" t="n"/>
      <c r="C156" s="2" t="n"/>
      <c r="D156" s="2" t="n"/>
      <c r="E156" s="2" t="n"/>
      <c r="F156" s="2" t="n"/>
    </row>
    <row r="157" ht="15.75" customHeight="1" s="67">
      <c r="A157" s="2" t="n"/>
      <c r="B157" s="2" t="n"/>
      <c r="C157" s="2" t="n"/>
      <c r="D157" s="2" t="n"/>
      <c r="E157" s="2" t="n"/>
      <c r="F157" s="2" t="n"/>
    </row>
    <row r="158" ht="15.75" customHeight="1" s="67">
      <c r="A158" s="2" t="n"/>
      <c r="B158" s="2" t="n"/>
      <c r="C158" s="2" t="n"/>
      <c r="D158" s="2" t="n"/>
      <c r="E158" s="2" t="n"/>
      <c r="F158" s="2" t="n"/>
    </row>
    <row r="159" ht="15.75" customHeight="1" s="67">
      <c r="A159" s="2" t="n"/>
      <c r="B159" s="2" t="n"/>
      <c r="C159" s="2" t="n"/>
      <c r="D159" s="2" t="n"/>
      <c r="E159" s="2" t="n"/>
      <c r="F159" s="2" t="n"/>
    </row>
    <row r="160" ht="15.75" customHeight="1" s="67">
      <c r="A160" s="2" t="n"/>
      <c r="B160" s="2" t="n"/>
      <c r="C160" s="2" t="n"/>
      <c r="D160" s="2" t="n"/>
      <c r="E160" s="2" t="n"/>
      <c r="F160" s="2" t="n"/>
    </row>
    <row r="161" ht="15.75" customHeight="1" s="67">
      <c r="A161" s="2" t="n"/>
      <c r="B161" s="2" t="n"/>
      <c r="C161" s="2" t="n"/>
      <c r="D161" s="2" t="n"/>
      <c r="E161" s="2" t="n"/>
      <c r="F161" s="2" t="n"/>
    </row>
    <row r="162" ht="15.75" customHeight="1" s="67">
      <c r="A162" s="2" t="n"/>
      <c r="B162" s="2" t="n"/>
      <c r="C162" s="2" t="n"/>
      <c r="D162" s="2" t="n"/>
      <c r="E162" s="2" t="n"/>
      <c r="F162" s="2" t="n"/>
    </row>
    <row r="163" ht="15.75" customHeight="1" s="67">
      <c r="A163" s="2" t="n"/>
      <c r="B163" s="2" t="n"/>
      <c r="C163" s="2" t="n"/>
      <c r="D163" s="2" t="n"/>
      <c r="E163" s="2" t="n"/>
      <c r="F163" s="2" t="n"/>
    </row>
    <row r="164" ht="15.75" customHeight="1" s="67">
      <c r="A164" s="2" t="n"/>
      <c r="B164" s="2" t="n"/>
      <c r="C164" s="2" t="n"/>
      <c r="D164" s="2" t="n"/>
      <c r="E164" s="2" t="n"/>
      <c r="F164" s="2" t="n"/>
    </row>
    <row r="165" ht="15.75" customHeight="1" s="67">
      <c r="A165" s="2" t="n"/>
      <c r="B165" s="2" t="n"/>
      <c r="C165" s="2" t="n"/>
      <c r="D165" s="2" t="n"/>
      <c r="E165" s="2" t="n"/>
      <c r="F165" s="2" t="n"/>
    </row>
    <row r="166" ht="15.75" customHeight="1" s="67">
      <c r="A166" s="2" t="n"/>
      <c r="B166" s="2" t="n"/>
      <c r="C166" s="2" t="n"/>
      <c r="D166" s="2" t="n"/>
      <c r="E166" s="2" t="n"/>
      <c r="F166" s="2" t="n"/>
    </row>
    <row r="167" ht="15.75" customHeight="1" s="67">
      <c r="A167" s="2" t="n"/>
      <c r="B167" s="2" t="n"/>
      <c r="C167" s="2" t="n"/>
      <c r="D167" s="2" t="n"/>
      <c r="E167" s="2" t="n"/>
      <c r="F167" s="2" t="n"/>
    </row>
    <row r="168" ht="15.75" customHeight="1" s="67">
      <c r="A168" s="2" t="n"/>
      <c r="B168" s="2" t="n"/>
      <c r="C168" s="2" t="n"/>
      <c r="D168" s="2" t="n"/>
      <c r="E168" s="2" t="n"/>
      <c r="F168" s="2" t="n"/>
    </row>
    <row r="169" ht="15.75" customHeight="1" s="67">
      <c r="A169" s="2" t="n"/>
      <c r="B169" s="2" t="n"/>
      <c r="C169" s="2" t="n"/>
      <c r="D169" s="2" t="n"/>
      <c r="E169" s="2" t="n"/>
      <c r="F169" s="2" t="n"/>
    </row>
    <row r="170" ht="15.75" customHeight="1" s="67">
      <c r="A170" s="2" t="n"/>
      <c r="B170" s="2" t="n"/>
      <c r="C170" s="2" t="n"/>
      <c r="D170" s="2" t="n"/>
      <c r="E170" s="2" t="n"/>
      <c r="F170" s="2" t="n"/>
    </row>
    <row r="171" ht="15.75" customHeight="1" s="67">
      <c r="A171" s="2" t="n"/>
      <c r="B171" s="2" t="n"/>
      <c r="C171" s="2" t="n"/>
      <c r="D171" s="2" t="n"/>
      <c r="E171" s="2" t="n"/>
      <c r="F171" s="2" t="n"/>
    </row>
    <row r="172" ht="15.75" customHeight="1" s="67">
      <c r="A172" s="2" t="n"/>
      <c r="B172" s="2" t="n"/>
      <c r="C172" s="2" t="n"/>
      <c r="D172" s="2" t="n"/>
      <c r="E172" s="2" t="n"/>
      <c r="F172" s="2" t="n"/>
    </row>
    <row r="173" ht="15.75" customHeight="1" s="67">
      <c r="A173" s="2" t="n"/>
      <c r="B173" s="2" t="n"/>
      <c r="C173" s="2" t="n"/>
      <c r="D173" s="2" t="n"/>
      <c r="E173" s="2" t="n"/>
      <c r="F173" s="2" t="n"/>
    </row>
    <row r="174" ht="15.75" customHeight="1" s="67">
      <c r="A174" s="2" t="n"/>
      <c r="B174" s="2" t="n"/>
      <c r="C174" s="2" t="n"/>
      <c r="D174" s="2" t="n"/>
      <c r="E174" s="2" t="n"/>
      <c r="F174" s="2" t="n"/>
    </row>
    <row r="175" ht="15.75" customHeight="1" s="67">
      <c r="A175" s="2" t="n"/>
      <c r="B175" s="2" t="n"/>
      <c r="C175" s="2" t="n"/>
      <c r="D175" s="2" t="n"/>
      <c r="E175" s="2" t="n"/>
      <c r="F175" s="2" t="n"/>
    </row>
    <row r="176" ht="15.75" customHeight="1" s="67">
      <c r="A176" s="2" t="n"/>
      <c r="B176" s="2" t="n"/>
      <c r="C176" s="2" t="n"/>
      <c r="D176" s="2" t="n"/>
      <c r="E176" s="2" t="n"/>
      <c r="F176" s="2" t="n"/>
    </row>
    <row r="177" ht="15.75" customHeight="1" s="67">
      <c r="A177" s="2" t="n"/>
      <c r="B177" s="2" t="n"/>
      <c r="C177" s="2" t="n"/>
      <c r="D177" s="2" t="n"/>
      <c r="E177" s="2" t="n"/>
      <c r="F177" s="2" t="n"/>
    </row>
    <row r="178" ht="15.75" customHeight="1" s="67">
      <c r="A178" s="2" t="n"/>
      <c r="B178" s="2" t="n"/>
      <c r="C178" s="2" t="n"/>
      <c r="D178" s="2" t="n"/>
      <c r="E178" s="2" t="n"/>
      <c r="F178" s="2" t="n"/>
    </row>
    <row r="179" ht="15.75" customHeight="1" s="67">
      <c r="A179" s="2" t="n"/>
      <c r="B179" s="2" t="n"/>
      <c r="C179" s="2" t="n"/>
      <c r="D179" s="2" t="n"/>
      <c r="E179" s="2" t="n"/>
      <c r="F179" s="2" t="n"/>
    </row>
    <row r="180" ht="15.75" customHeight="1" s="67">
      <c r="A180" s="2" t="n"/>
      <c r="B180" s="2" t="n"/>
      <c r="C180" s="2" t="n"/>
      <c r="D180" s="2" t="n"/>
      <c r="E180" s="2" t="n"/>
      <c r="F180" s="2" t="n"/>
    </row>
    <row r="181" ht="15.75" customHeight="1" s="67">
      <c r="A181" s="2" t="n"/>
      <c r="B181" s="2" t="n"/>
      <c r="C181" s="2" t="n"/>
      <c r="D181" s="2" t="n"/>
      <c r="E181" s="2" t="n"/>
      <c r="F181" s="2" t="n"/>
    </row>
    <row r="182" ht="15.75" customHeight="1" s="67">
      <c r="A182" s="2" t="n"/>
      <c r="B182" s="2" t="n"/>
      <c r="C182" s="2" t="n"/>
      <c r="D182" s="2" t="n"/>
      <c r="E182" s="2" t="n"/>
      <c r="F182" s="2" t="n"/>
    </row>
    <row r="183" ht="15.75" customHeight="1" s="67">
      <c r="A183" s="2" t="n"/>
      <c r="B183" s="2" t="n"/>
      <c r="C183" s="2" t="n"/>
      <c r="D183" s="2" t="n"/>
      <c r="E183" s="2" t="n"/>
      <c r="F183" s="2" t="n"/>
    </row>
    <row r="184" ht="15.75" customHeight="1" s="67">
      <c r="A184" s="2" t="n"/>
      <c r="B184" s="2" t="n"/>
      <c r="C184" s="2" t="n"/>
      <c r="D184" s="2" t="n"/>
      <c r="E184" s="2" t="n"/>
      <c r="F184" s="2" t="n"/>
    </row>
    <row r="185" ht="15.75" customHeight="1" s="67">
      <c r="A185" s="2" t="n"/>
      <c r="B185" s="2" t="n"/>
      <c r="C185" s="2" t="n"/>
      <c r="D185" s="2" t="n"/>
      <c r="E185" s="2" t="n"/>
      <c r="F185" s="2" t="n"/>
    </row>
    <row r="186" ht="15.75" customHeight="1" s="67">
      <c r="A186" s="2" t="n"/>
      <c r="B186" s="2" t="n"/>
      <c r="C186" s="2" t="n"/>
      <c r="D186" s="2" t="n"/>
      <c r="E186" s="2" t="n"/>
      <c r="F186" s="2" t="n"/>
    </row>
    <row r="187" ht="15.75" customHeight="1" s="67">
      <c r="A187" s="2" t="n"/>
      <c r="B187" s="2" t="n"/>
      <c r="C187" s="2" t="n"/>
      <c r="D187" s="2" t="n"/>
      <c r="E187" s="2" t="n"/>
      <c r="F187" s="2" t="n"/>
    </row>
    <row r="188" ht="15.75" customHeight="1" s="67">
      <c r="A188" s="2" t="n"/>
      <c r="B188" s="2" t="n"/>
      <c r="C188" s="2" t="n"/>
      <c r="D188" s="2" t="n"/>
      <c r="E188" s="2" t="n"/>
      <c r="F188" s="2" t="n"/>
    </row>
    <row r="189" ht="15.75" customHeight="1" s="67">
      <c r="A189" s="2" t="n"/>
      <c r="B189" s="2" t="n"/>
      <c r="C189" s="2" t="n"/>
      <c r="D189" s="2" t="n"/>
      <c r="E189" s="2" t="n"/>
      <c r="F189" s="2" t="n"/>
    </row>
    <row r="190" ht="15.75" customHeight="1" s="67">
      <c r="A190" s="2" t="n"/>
      <c r="B190" s="2" t="n"/>
      <c r="C190" s="2" t="n"/>
      <c r="D190" s="2" t="n"/>
      <c r="E190" s="2" t="n"/>
      <c r="F190" s="2" t="n"/>
    </row>
    <row r="191" ht="15.75" customHeight="1" s="67">
      <c r="A191" s="2" t="n"/>
      <c r="B191" s="2" t="n"/>
      <c r="C191" s="2" t="n"/>
      <c r="D191" s="2" t="n"/>
      <c r="E191" s="2" t="n"/>
      <c r="F191" s="2" t="n"/>
    </row>
    <row r="192" ht="15.75" customHeight="1" s="67">
      <c r="A192" s="2" t="n"/>
      <c r="B192" s="2" t="n"/>
      <c r="C192" s="2" t="n"/>
      <c r="D192" s="2" t="n"/>
      <c r="E192" s="2" t="n"/>
      <c r="F192" s="2" t="n"/>
    </row>
    <row r="193" ht="15.75" customHeight="1" s="67">
      <c r="A193" s="2" t="n"/>
      <c r="B193" s="2" t="n"/>
      <c r="C193" s="2" t="n"/>
      <c r="D193" s="2" t="n"/>
      <c r="E193" s="2" t="n"/>
      <c r="F193" s="2" t="n"/>
    </row>
    <row r="194" ht="15.75" customHeight="1" s="67">
      <c r="A194" s="2" t="n"/>
      <c r="B194" s="2" t="n"/>
      <c r="C194" s="2" t="n"/>
      <c r="D194" s="2" t="n"/>
      <c r="E194" s="2" t="n"/>
      <c r="F194" s="2" t="n"/>
    </row>
    <row r="195" ht="15.75" customHeight="1" s="67">
      <c r="A195" s="2" t="n"/>
      <c r="B195" s="2" t="n"/>
      <c r="C195" s="2" t="n"/>
      <c r="D195" s="2" t="n"/>
      <c r="E195" s="2" t="n"/>
      <c r="F195" s="2" t="n"/>
    </row>
    <row r="196" ht="15.75" customHeight="1" s="67">
      <c r="A196" s="2" t="n"/>
      <c r="B196" s="2" t="n"/>
      <c r="C196" s="2" t="n"/>
      <c r="D196" s="2" t="n"/>
      <c r="E196" s="2" t="n"/>
      <c r="F196" s="2" t="n"/>
    </row>
    <row r="197" ht="15.75" customHeight="1" s="67">
      <c r="A197" s="2" t="n"/>
      <c r="B197" s="2" t="n"/>
      <c r="C197" s="2" t="n"/>
      <c r="D197" s="2" t="n"/>
      <c r="E197" s="2" t="n"/>
      <c r="F197" s="2" t="n"/>
    </row>
    <row r="198" ht="15.75" customHeight="1" s="67">
      <c r="A198" s="2" t="n"/>
      <c r="B198" s="2" t="n"/>
      <c r="C198" s="2" t="n"/>
      <c r="D198" s="2" t="n"/>
      <c r="E198" s="2" t="n"/>
      <c r="F198" s="2" t="n"/>
    </row>
    <row r="199" ht="15.75" customHeight="1" s="67">
      <c r="A199" s="2" t="n"/>
      <c r="B199" s="2" t="n"/>
      <c r="C199" s="2" t="n"/>
      <c r="D199" s="2" t="n"/>
      <c r="E199" s="2" t="n"/>
      <c r="F199" s="2" t="n"/>
    </row>
    <row r="200" ht="15.75" customHeight="1" s="67">
      <c r="A200" s="2" t="n"/>
      <c r="B200" s="2" t="n"/>
      <c r="C200" s="2" t="n"/>
      <c r="D200" s="2" t="n"/>
      <c r="E200" s="2" t="n"/>
      <c r="F200" s="2" t="n"/>
    </row>
    <row r="201" ht="15.75" customHeight="1" s="67">
      <c r="A201" s="2" t="n"/>
      <c r="B201" s="2" t="n"/>
      <c r="C201" s="2" t="n"/>
      <c r="D201" s="2" t="n"/>
      <c r="E201" s="2" t="n"/>
      <c r="F201" s="2" t="n"/>
    </row>
    <row r="202" ht="15.75" customHeight="1" s="67">
      <c r="A202" s="2" t="n"/>
      <c r="B202" s="2" t="n"/>
      <c r="C202" s="2" t="n"/>
      <c r="D202" s="2" t="n"/>
      <c r="E202" s="2" t="n"/>
      <c r="F202" s="2" t="n"/>
    </row>
    <row r="203" ht="15.75" customHeight="1" s="67">
      <c r="A203" s="2" t="n"/>
      <c r="B203" s="2" t="n"/>
      <c r="C203" s="2" t="n"/>
      <c r="D203" s="2" t="n"/>
      <c r="E203" s="2" t="n"/>
      <c r="F203" s="2" t="n"/>
    </row>
    <row r="204" ht="15.75" customHeight="1" s="67">
      <c r="A204" s="2" t="n"/>
      <c r="B204" s="2" t="n"/>
      <c r="C204" s="2" t="n"/>
      <c r="D204" s="2" t="n"/>
      <c r="E204" s="2" t="n"/>
      <c r="F204" s="2" t="n"/>
    </row>
    <row r="205" ht="15.75" customHeight="1" s="67">
      <c r="A205" s="2" t="n"/>
      <c r="B205" s="2" t="n"/>
      <c r="C205" s="2" t="n"/>
      <c r="D205" s="2" t="n"/>
      <c r="E205" s="2" t="n"/>
      <c r="F205" s="2" t="n"/>
    </row>
    <row r="206" ht="15.75" customHeight="1" s="67">
      <c r="A206" s="2" t="n"/>
      <c r="B206" s="2" t="n"/>
      <c r="C206" s="2" t="n"/>
      <c r="D206" s="2" t="n"/>
      <c r="E206" s="2" t="n"/>
      <c r="F206" s="2" t="n"/>
    </row>
    <row r="207" ht="15.75" customHeight="1" s="67">
      <c r="A207" s="2" t="n"/>
      <c r="B207" s="2" t="n"/>
      <c r="C207" s="2" t="n"/>
      <c r="D207" s="2" t="n"/>
      <c r="E207" s="2" t="n"/>
      <c r="F207" s="2" t="n"/>
    </row>
    <row r="208" ht="15.75" customHeight="1" s="67">
      <c r="A208" s="2" t="n"/>
      <c r="B208" s="2" t="n"/>
      <c r="C208" s="2" t="n"/>
      <c r="D208" s="2" t="n"/>
      <c r="E208" s="2" t="n"/>
      <c r="F208" s="2" t="n"/>
    </row>
    <row r="209" ht="15.75" customHeight="1" s="67">
      <c r="A209" s="2" t="n"/>
      <c r="B209" s="2" t="n"/>
      <c r="C209" s="2" t="n"/>
      <c r="D209" s="2" t="n"/>
      <c r="E209" s="2" t="n"/>
      <c r="F209" s="2" t="n"/>
    </row>
    <row r="210" ht="15.75" customHeight="1" s="67">
      <c r="A210" s="2" t="n"/>
      <c r="B210" s="2" t="n"/>
      <c r="C210" s="2" t="n"/>
      <c r="D210" s="2" t="n"/>
      <c r="E210" s="2" t="n"/>
      <c r="F210" s="2" t="n"/>
    </row>
    <row r="211" ht="15.75" customHeight="1" s="67">
      <c r="A211" s="2" t="n"/>
      <c r="B211" s="2" t="n"/>
      <c r="C211" s="2" t="n"/>
      <c r="D211" s="2" t="n"/>
      <c r="E211" s="2" t="n"/>
      <c r="F211" s="2" t="n"/>
    </row>
    <row r="212" ht="15.75" customHeight="1" s="67">
      <c r="A212" s="2" t="n"/>
      <c r="B212" s="2" t="n"/>
      <c r="C212" s="2" t="n"/>
      <c r="D212" s="2" t="n"/>
      <c r="E212" s="2" t="n"/>
      <c r="F212" s="2" t="n"/>
    </row>
    <row r="213" ht="15.75" customHeight="1" s="67">
      <c r="A213" s="2" t="n"/>
      <c r="B213" s="2" t="n"/>
      <c r="C213" s="2" t="n"/>
      <c r="D213" s="2" t="n"/>
      <c r="E213" s="2" t="n"/>
      <c r="F213" s="2" t="n"/>
    </row>
    <row r="214" ht="15.75" customHeight="1" s="67">
      <c r="A214" s="2" t="n"/>
      <c r="B214" s="2" t="n"/>
      <c r="C214" s="2" t="n"/>
      <c r="D214" s="2" t="n"/>
      <c r="E214" s="2" t="n"/>
      <c r="F214" s="2" t="n"/>
    </row>
    <row r="215" ht="15.75" customHeight="1" s="67">
      <c r="A215" s="2" t="n"/>
      <c r="B215" s="2" t="n"/>
      <c r="C215" s="2" t="n"/>
      <c r="D215" s="2" t="n"/>
      <c r="E215" s="2" t="n"/>
      <c r="F215" s="2" t="n"/>
    </row>
    <row r="216" ht="15.75" customHeight="1" s="67">
      <c r="A216" s="2" t="n"/>
      <c r="B216" s="2" t="n"/>
      <c r="C216" s="2" t="n"/>
      <c r="D216" s="2" t="n"/>
      <c r="E216" s="2" t="n"/>
      <c r="F216" s="2" t="n"/>
    </row>
    <row r="217" ht="15.75" customHeight="1" s="67">
      <c r="A217" s="2" t="n"/>
      <c r="B217" s="2" t="n"/>
      <c r="C217" s="2" t="n"/>
      <c r="D217" s="2" t="n"/>
      <c r="E217" s="2" t="n"/>
      <c r="F217" s="2" t="n"/>
    </row>
    <row r="218" ht="15.75" customHeight="1" s="67">
      <c r="A218" s="2" t="n"/>
      <c r="B218" s="2" t="n"/>
      <c r="C218" s="2" t="n"/>
      <c r="D218" s="2" t="n"/>
      <c r="E218" s="2" t="n"/>
      <c r="F218" s="2" t="n"/>
    </row>
    <row r="219" ht="15.75" customHeight="1" s="67">
      <c r="A219" s="2" t="n"/>
      <c r="B219" s="2" t="n"/>
      <c r="C219" s="2" t="n"/>
      <c r="D219" s="2" t="n"/>
      <c r="E219" s="2" t="n"/>
      <c r="F219" s="2" t="n"/>
    </row>
    <row r="220" ht="15.75" customHeight="1" s="67">
      <c r="A220" s="2" t="n"/>
      <c r="B220" s="2" t="n"/>
      <c r="C220" s="2" t="n"/>
      <c r="D220" s="2" t="n"/>
      <c r="E220" s="2" t="n"/>
      <c r="F220" s="2" t="n"/>
    </row>
    <row r="221" ht="15.75" customHeight="1" s="67">
      <c r="A221" s="2" t="n"/>
      <c r="B221" s="2" t="n"/>
      <c r="C221" s="2" t="n"/>
      <c r="D221" s="2" t="n"/>
      <c r="E221" s="2" t="n"/>
      <c r="F221" s="2" t="n"/>
    </row>
    <row r="222" ht="15.75" customHeight="1" s="67">
      <c r="A222" s="2" t="n"/>
      <c r="B222" s="2" t="n"/>
      <c r="C222" s="2" t="n"/>
      <c r="D222" s="2" t="n"/>
      <c r="E222" s="2" t="n"/>
      <c r="F222" s="2" t="n"/>
    </row>
    <row r="223" ht="15.75" customHeight="1" s="67">
      <c r="A223" s="2" t="n"/>
      <c r="B223" s="2" t="n"/>
      <c r="C223" s="2" t="n"/>
      <c r="D223" s="2" t="n"/>
      <c r="E223" s="2" t="n"/>
      <c r="F223" s="2" t="n"/>
    </row>
    <row r="224" ht="15.75" customHeight="1" s="67">
      <c r="A224" s="2" t="n"/>
      <c r="B224" s="2" t="n"/>
      <c r="C224" s="2" t="n"/>
      <c r="D224" s="2" t="n"/>
      <c r="E224" s="2" t="n"/>
      <c r="F224" s="2" t="n"/>
    </row>
    <row r="225" ht="15.75" customHeight="1" s="67">
      <c r="A225" s="2" t="n"/>
      <c r="B225" s="2" t="n"/>
      <c r="C225" s="2" t="n"/>
      <c r="D225" s="2" t="n"/>
      <c r="E225" s="2" t="n"/>
      <c r="F225" s="2" t="n"/>
    </row>
    <row r="226" ht="15.75" customHeight="1" s="67">
      <c r="A226" s="2" t="n"/>
      <c r="B226" s="2" t="n"/>
      <c r="C226" s="2" t="n"/>
      <c r="D226" s="2" t="n"/>
      <c r="E226" s="2" t="n"/>
      <c r="F226" s="2" t="n"/>
    </row>
    <row r="227" ht="15.75" customHeight="1" s="67">
      <c r="A227" s="2" t="n"/>
      <c r="B227" s="2" t="n"/>
      <c r="C227" s="2" t="n"/>
      <c r="D227" s="2" t="n"/>
      <c r="E227" s="2" t="n"/>
      <c r="F227" s="2" t="n"/>
    </row>
    <row r="228" ht="15.75" customHeight="1" s="67">
      <c r="A228" s="2" t="n"/>
      <c r="B228" s="2" t="n"/>
      <c r="C228" s="2" t="n"/>
      <c r="D228" s="2" t="n"/>
      <c r="E228" s="2" t="n"/>
      <c r="F228" s="2" t="n"/>
    </row>
    <row r="229" ht="15.75" customHeight="1" s="67">
      <c r="A229" s="2" t="n"/>
      <c r="B229" s="2" t="n"/>
      <c r="C229" s="2" t="n"/>
      <c r="D229" s="2" t="n"/>
      <c r="E229" s="2" t="n"/>
      <c r="F229" s="2" t="n"/>
    </row>
    <row r="230" ht="15.75" customHeight="1" s="67">
      <c r="A230" s="2" t="n"/>
      <c r="B230" s="2" t="n"/>
      <c r="C230" s="2" t="n"/>
      <c r="D230" s="2" t="n"/>
      <c r="E230" s="2" t="n"/>
      <c r="F230" s="2" t="n"/>
    </row>
    <row r="231" ht="15.75" customHeight="1" s="67">
      <c r="A231" s="2" t="n"/>
      <c r="B231" s="2" t="n"/>
      <c r="C231" s="2" t="n"/>
      <c r="D231" s="2" t="n"/>
      <c r="E231" s="2" t="n"/>
      <c r="F231" s="2" t="n"/>
    </row>
    <row r="232" ht="15.75" customHeight="1" s="67">
      <c r="A232" s="2" t="n"/>
      <c r="B232" s="2" t="n"/>
      <c r="C232" s="2" t="n"/>
      <c r="D232" s="2" t="n"/>
      <c r="E232" s="2" t="n"/>
      <c r="F232" s="2" t="n"/>
    </row>
    <row r="233" ht="15.75" customHeight="1" s="67">
      <c r="A233" s="2" t="n"/>
      <c r="B233" s="2" t="n"/>
      <c r="C233" s="2" t="n"/>
      <c r="D233" s="2" t="n"/>
      <c r="E233" s="2" t="n"/>
      <c r="F233" s="2" t="n"/>
    </row>
    <row r="234" ht="15.75" customHeight="1" s="67">
      <c r="A234" s="2" t="n"/>
      <c r="B234" s="2" t="n"/>
      <c r="C234" s="2" t="n"/>
      <c r="D234" s="2" t="n"/>
      <c r="E234" s="2" t="n"/>
      <c r="F234" s="2" t="n"/>
    </row>
    <row r="235" ht="15.75" customHeight="1" s="67">
      <c r="A235" s="2" t="n"/>
      <c r="B235" s="2" t="n"/>
      <c r="C235" s="2" t="n"/>
      <c r="D235" s="2" t="n"/>
      <c r="E235" s="2" t="n"/>
      <c r="F235" s="2" t="n"/>
    </row>
    <row r="236" ht="15.75" customHeight="1" s="67">
      <c r="A236" s="2" t="n"/>
      <c r="B236" s="2" t="n"/>
      <c r="C236" s="2" t="n"/>
      <c r="D236" s="2" t="n"/>
      <c r="E236" s="2" t="n"/>
      <c r="F236" s="2" t="n"/>
    </row>
    <row r="237" ht="15.75" customHeight="1" s="67">
      <c r="A237" s="2" t="n"/>
      <c r="B237" s="2" t="n"/>
      <c r="C237" s="2" t="n"/>
      <c r="D237" s="2" t="n"/>
      <c r="E237" s="2" t="n"/>
      <c r="F237" s="2" t="n"/>
    </row>
    <row r="238" ht="15.75" customHeight="1" s="67">
      <c r="A238" s="2" t="n"/>
      <c r="B238" s="2" t="n"/>
      <c r="C238" s="2" t="n"/>
      <c r="D238" s="2" t="n"/>
      <c r="E238" s="2" t="n"/>
      <c r="F238" s="2" t="n"/>
    </row>
    <row r="239" ht="15.75" customHeight="1" s="67">
      <c r="A239" s="2" t="n"/>
      <c r="B239" s="2" t="n"/>
      <c r="C239" s="2" t="n"/>
      <c r="D239" s="2" t="n"/>
      <c r="E239" s="2" t="n"/>
      <c r="F239" s="2" t="n"/>
    </row>
    <row r="240" ht="15.75" customHeight="1" s="67">
      <c r="A240" s="2" t="n"/>
      <c r="B240" s="2" t="n"/>
      <c r="C240" s="2" t="n"/>
      <c r="D240" s="2" t="n"/>
      <c r="E240" s="2" t="n"/>
      <c r="F240" s="2" t="n"/>
    </row>
    <row r="241" ht="15.75" customHeight="1" s="67">
      <c r="A241" s="2" t="n"/>
      <c r="B241" s="2" t="n"/>
      <c r="C241" s="2" t="n"/>
      <c r="D241" s="2" t="n"/>
      <c r="E241" s="2" t="n"/>
      <c r="F241" s="2" t="n"/>
    </row>
    <row r="242" ht="15.75" customHeight="1" s="67">
      <c r="A242" s="2" t="n"/>
      <c r="B242" s="2" t="n"/>
      <c r="C242" s="2" t="n"/>
      <c r="D242" s="2" t="n"/>
      <c r="E242" s="2" t="n"/>
      <c r="F242" s="2" t="n"/>
    </row>
    <row r="243" ht="15.75" customHeight="1" s="67">
      <c r="A243" s="2" t="n"/>
      <c r="B243" s="2" t="n"/>
      <c r="C243" s="2" t="n"/>
      <c r="D243" s="2" t="n"/>
      <c r="E243" s="2" t="n"/>
      <c r="F243" s="2" t="n"/>
    </row>
    <row r="244" ht="15.75" customHeight="1" s="67">
      <c r="A244" s="2" t="n"/>
      <c r="B244" s="2" t="n"/>
      <c r="C244" s="2" t="n"/>
      <c r="D244" s="2" t="n"/>
      <c r="E244" s="2" t="n"/>
      <c r="F244" s="2" t="n"/>
    </row>
    <row r="245" ht="15.75" customHeight="1" s="67">
      <c r="A245" s="2" t="n"/>
      <c r="B245" s="2" t="n"/>
      <c r="C245" s="2" t="n"/>
      <c r="D245" s="2" t="n"/>
      <c r="E245" s="2" t="n"/>
      <c r="F245" s="2" t="n"/>
    </row>
    <row r="246" ht="15.75" customHeight="1" s="67">
      <c r="A246" s="2" t="n"/>
      <c r="B246" s="2" t="n"/>
      <c r="C246" s="2" t="n"/>
      <c r="D246" s="2" t="n"/>
      <c r="E246" s="2" t="n"/>
      <c r="F246" s="2" t="n"/>
    </row>
    <row r="247" ht="15.75" customHeight="1" s="67">
      <c r="A247" s="2" t="n"/>
      <c r="B247" s="2" t="n"/>
      <c r="C247" s="2" t="n"/>
      <c r="D247" s="2" t="n"/>
      <c r="E247" s="2" t="n"/>
      <c r="F247" s="2" t="n"/>
    </row>
    <row r="248" ht="15.75" customHeight="1" s="67">
      <c r="A248" s="2" t="n"/>
      <c r="B248" s="2" t="n"/>
      <c r="C248" s="2" t="n"/>
      <c r="D248" s="2" t="n"/>
      <c r="E248" s="2" t="n"/>
      <c r="F248" s="2" t="n"/>
    </row>
    <row r="249" ht="15.75" customHeight="1" s="67">
      <c r="A249" s="2" t="n"/>
      <c r="B249" s="2" t="n"/>
      <c r="C249" s="2" t="n"/>
      <c r="D249" s="2" t="n"/>
      <c r="E249" s="2" t="n"/>
      <c r="F249" s="2" t="n"/>
    </row>
    <row r="250" ht="15.75" customHeight="1" s="67">
      <c r="A250" s="2" t="n"/>
      <c r="B250" s="2" t="n"/>
      <c r="C250" s="2" t="n"/>
      <c r="D250" s="2" t="n"/>
      <c r="E250" s="2" t="n"/>
      <c r="F250" s="2" t="n"/>
    </row>
    <row r="251" ht="15.75" customHeight="1" s="67">
      <c r="A251" s="2" t="n"/>
      <c r="B251" s="2" t="n"/>
      <c r="C251" s="2" t="n"/>
      <c r="D251" s="2" t="n"/>
      <c r="E251" s="2" t="n"/>
      <c r="F251" s="2" t="n"/>
    </row>
    <row r="252" ht="15.75" customHeight="1" s="67">
      <c r="A252" s="2" t="n"/>
      <c r="B252" s="2" t="n"/>
      <c r="C252" s="2" t="n"/>
      <c r="D252" s="2" t="n"/>
      <c r="E252" s="2" t="n"/>
      <c r="F252" s="2" t="n"/>
    </row>
    <row r="253" ht="15.75" customHeight="1" s="67">
      <c r="A253" s="2" t="n"/>
      <c r="B253" s="2" t="n"/>
      <c r="C253" s="2" t="n"/>
      <c r="D253" s="2" t="n"/>
      <c r="E253" s="2" t="n"/>
      <c r="F253" s="2" t="n"/>
    </row>
    <row r="254" ht="15.75" customHeight="1" s="67">
      <c r="A254" s="2" t="n"/>
      <c r="B254" s="2" t="n"/>
      <c r="C254" s="2" t="n"/>
      <c r="D254" s="2" t="n"/>
      <c r="E254" s="2" t="n"/>
      <c r="F254" s="2" t="n"/>
    </row>
    <row r="255" ht="15.75" customHeight="1" s="67">
      <c r="A255" s="2" t="n"/>
      <c r="B255" s="2" t="n"/>
      <c r="C255" s="2" t="n"/>
      <c r="D255" s="2" t="n"/>
      <c r="E255" s="2" t="n"/>
      <c r="F255" s="2" t="n"/>
    </row>
    <row r="256" ht="15.75" customHeight="1" s="67">
      <c r="A256" s="2" t="n"/>
      <c r="B256" s="2" t="n"/>
      <c r="C256" s="2" t="n"/>
      <c r="D256" s="2" t="n"/>
      <c r="E256" s="2" t="n"/>
      <c r="F256" s="2" t="n"/>
    </row>
    <row r="257" ht="15.75" customHeight="1" s="67">
      <c r="A257" s="2" t="n"/>
      <c r="B257" s="2" t="n"/>
      <c r="C257" s="2" t="n"/>
      <c r="D257" s="2" t="n"/>
      <c r="E257" s="2" t="n"/>
      <c r="F257" s="2" t="n"/>
    </row>
    <row r="258" ht="15.75" customHeight="1" s="67">
      <c r="A258" s="2" t="n"/>
      <c r="B258" s="2" t="n"/>
      <c r="C258" s="2" t="n"/>
      <c r="D258" s="2" t="n"/>
      <c r="E258" s="2" t="n"/>
      <c r="F258" s="2" t="n"/>
    </row>
    <row r="259" ht="15.75" customHeight="1" s="67">
      <c r="A259" s="2" t="n"/>
      <c r="B259" s="2" t="n"/>
      <c r="C259" s="2" t="n"/>
      <c r="D259" s="2" t="n"/>
      <c r="E259" s="2" t="n"/>
      <c r="F259" s="2" t="n"/>
    </row>
    <row r="260" ht="15.75" customHeight="1" s="67">
      <c r="A260" s="2" t="n"/>
      <c r="B260" s="2" t="n"/>
      <c r="C260" s="2" t="n"/>
      <c r="D260" s="2" t="n"/>
      <c r="E260" s="2" t="n"/>
      <c r="F260" s="2" t="n"/>
    </row>
    <row r="261" ht="15.75" customHeight="1" s="67">
      <c r="A261" s="2" t="n"/>
      <c r="B261" s="2" t="n"/>
      <c r="C261" s="2" t="n"/>
      <c r="D261" s="2" t="n"/>
      <c r="E261" s="2" t="n"/>
      <c r="F261" s="2" t="n"/>
    </row>
    <row r="262" ht="15.75" customHeight="1" s="67">
      <c r="A262" s="2" t="n"/>
      <c r="B262" s="2" t="n"/>
      <c r="C262" s="2" t="n"/>
      <c r="D262" s="2" t="n"/>
      <c r="E262" s="2" t="n"/>
      <c r="F262" s="2" t="n"/>
    </row>
    <row r="263" ht="15.75" customHeight="1" s="67">
      <c r="A263" s="2" t="n"/>
      <c r="B263" s="2" t="n"/>
      <c r="C263" s="2" t="n"/>
      <c r="D263" s="2" t="n"/>
      <c r="E263" s="2" t="n"/>
      <c r="F263" s="2" t="n"/>
    </row>
    <row r="264" ht="15.75" customHeight="1" s="67">
      <c r="A264" s="2" t="n"/>
      <c r="B264" s="2" t="n"/>
      <c r="C264" s="2" t="n"/>
      <c r="D264" s="2" t="n"/>
      <c r="E264" s="2" t="n"/>
      <c r="F264" s="2" t="n"/>
    </row>
    <row r="265" ht="15.75" customHeight="1" s="67">
      <c r="A265" s="2" t="n"/>
      <c r="B265" s="2" t="n"/>
      <c r="C265" s="2" t="n"/>
      <c r="D265" s="2" t="n"/>
      <c r="E265" s="2" t="n"/>
      <c r="F265" s="2" t="n"/>
    </row>
    <row r="266" ht="15.75" customHeight="1" s="67">
      <c r="A266" s="2" t="n"/>
      <c r="B266" s="2" t="n"/>
      <c r="C266" s="2" t="n"/>
      <c r="D266" s="2" t="n"/>
      <c r="E266" s="2" t="n"/>
      <c r="F266" s="2" t="n"/>
    </row>
    <row r="267" ht="15.75" customHeight="1" s="67">
      <c r="A267" s="2" t="n"/>
      <c r="B267" s="2" t="n"/>
      <c r="C267" s="2" t="n"/>
      <c r="D267" s="2" t="n"/>
      <c r="E267" s="2" t="n"/>
      <c r="F267" s="2" t="n"/>
    </row>
    <row r="268" ht="15.75" customHeight="1" s="67">
      <c r="A268" s="2" t="n"/>
      <c r="B268" s="2" t="n"/>
      <c r="C268" s="2" t="n"/>
      <c r="D268" s="2" t="n"/>
      <c r="E268" s="2" t="n"/>
      <c r="F268" s="2" t="n"/>
    </row>
    <row r="269" ht="15.75" customHeight="1" s="67">
      <c r="A269" s="2" t="n"/>
      <c r="B269" s="2" t="n"/>
      <c r="C269" s="2" t="n"/>
      <c r="D269" s="2" t="n"/>
      <c r="E269" s="2" t="n"/>
      <c r="F269" s="2" t="n"/>
    </row>
    <row r="270" ht="15.75" customHeight="1" s="67">
      <c r="A270" s="2" t="n"/>
      <c r="B270" s="2" t="n"/>
      <c r="C270" s="2" t="n"/>
      <c r="D270" s="2" t="n"/>
      <c r="E270" s="2" t="n"/>
      <c r="F270" s="2" t="n"/>
    </row>
    <row r="271" ht="15.75" customHeight="1" s="67">
      <c r="A271" s="2" t="n"/>
      <c r="B271" s="2" t="n"/>
      <c r="C271" s="2" t="n"/>
      <c r="D271" s="2" t="n"/>
      <c r="E271" s="2" t="n"/>
      <c r="F271" s="2" t="n"/>
    </row>
    <row r="272" ht="15.75" customHeight="1" s="67">
      <c r="A272" s="2" t="n"/>
      <c r="B272" s="2" t="n"/>
      <c r="C272" s="2" t="n"/>
      <c r="D272" s="2" t="n"/>
      <c r="E272" s="2" t="n"/>
      <c r="F272" s="2" t="n"/>
    </row>
    <row r="273" ht="15.75" customHeight="1" s="67">
      <c r="A273" s="2" t="n"/>
      <c r="B273" s="2" t="n"/>
      <c r="C273" s="2" t="n"/>
      <c r="D273" s="2" t="n"/>
      <c r="E273" s="2" t="n"/>
      <c r="F273" s="2" t="n"/>
    </row>
    <row r="274" ht="15.75" customHeight="1" s="67">
      <c r="A274" s="2" t="n"/>
      <c r="B274" s="2" t="n"/>
      <c r="C274" s="2" t="n"/>
      <c r="D274" s="2" t="n"/>
      <c r="E274" s="2" t="n"/>
      <c r="F274" s="2" t="n"/>
    </row>
    <row r="275" ht="15.75" customHeight="1" s="67">
      <c r="A275" s="2" t="n"/>
      <c r="B275" s="2" t="n"/>
      <c r="C275" s="2" t="n"/>
      <c r="D275" s="2" t="n"/>
      <c r="E275" s="2" t="n"/>
      <c r="F275" s="2" t="n"/>
    </row>
    <row r="276" ht="15.75" customHeight="1" s="67">
      <c r="A276" s="2" t="n"/>
      <c r="B276" s="2" t="n"/>
      <c r="C276" s="2" t="n"/>
      <c r="D276" s="2" t="n"/>
      <c r="E276" s="2" t="n"/>
      <c r="F276" s="2" t="n"/>
    </row>
    <row r="277" ht="15.75" customHeight="1" s="67">
      <c r="A277" s="2" t="n"/>
      <c r="B277" s="2" t="n"/>
      <c r="C277" s="2" t="n"/>
      <c r="D277" s="2" t="n"/>
      <c r="E277" s="2" t="n"/>
      <c r="F277" s="2" t="n"/>
    </row>
    <row r="278" ht="15.75" customHeight="1" s="67">
      <c r="A278" s="2" t="n"/>
      <c r="B278" s="2" t="n"/>
      <c r="C278" s="2" t="n"/>
      <c r="D278" s="2" t="n"/>
      <c r="E278" s="2" t="n"/>
      <c r="F278" s="2" t="n"/>
    </row>
    <row r="279" ht="15.75" customHeight="1" s="67">
      <c r="A279" s="2" t="n"/>
      <c r="B279" s="2" t="n"/>
      <c r="C279" s="2" t="n"/>
      <c r="D279" s="2" t="n"/>
      <c r="E279" s="2" t="n"/>
      <c r="F279" s="2" t="n"/>
    </row>
    <row r="280" ht="15.75" customHeight="1" s="67">
      <c r="A280" s="2" t="n"/>
      <c r="B280" s="2" t="n"/>
      <c r="C280" s="2" t="n"/>
      <c r="D280" s="2" t="n"/>
      <c r="E280" s="2" t="n"/>
      <c r="F280" s="2" t="n"/>
    </row>
    <row r="281" ht="15.75" customHeight="1" s="67">
      <c r="A281" s="2" t="n"/>
      <c r="B281" s="2" t="n"/>
      <c r="C281" s="2" t="n"/>
      <c r="D281" s="2" t="n"/>
      <c r="E281" s="2" t="n"/>
      <c r="F281" s="2" t="n"/>
    </row>
    <row r="282" ht="15.75" customHeight="1" s="67">
      <c r="A282" s="2" t="n"/>
      <c r="B282" s="2" t="n"/>
      <c r="C282" s="2" t="n"/>
      <c r="D282" s="2" t="n"/>
      <c r="E282" s="2" t="n"/>
      <c r="F282" s="2" t="n"/>
    </row>
    <row r="283" ht="15.75" customHeight="1" s="67">
      <c r="A283" s="2" t="n"/>
      <c r="B283" s="2" t="n"/>
      <c r="C283" s="2" t="n"/>
      <c r="D283" s="2" t="n"/>
      <c r="E283" s="2" t="n"/>
      <c r="F283" s="2" t="n"/>
    </row>
    <row r="284" ht="15.75" customHeight="1" s="67">
      <c r="A284" s="2" t="n"/>
      <c r="B284" s="2" t="n"/>
      <c r="C284" s="2" t="n"/>
      <c r="D284" s="2" t="n"/>
      <c r="E284" s="2" t="n"/>
      <c r="F284" s="2" t="n"/>
    </row>
    <row r="285" ht="15.75" customHeight="1" s="67">
      <c r="A285" s="2" t="n"/>
      <c r="B285" s="2" t="n"/>
      <c r="C285" s="2" t="n"/>
      <c r="D285" s="2" t="n"/>
      <c r="E285" s="2" t="n"/>
      <c r="F285" s="2" t="n"/>
    </row>
    <row r="286" ht="15.75" customHeight="1" s="67">
      <c r="A286" s="2" t="n"/>
      <c r="B286" s="2" t="n"/>
      <c r="C286" s="2" t="n"/>
      <c r="D286" s="2" t="n"/>
      <c r="E286" s="2" t="n"/>
      <c r="F286" s="2" t="n"/>
    </row>
    <row r="287" ht="15.75" customHeight="1" s="67">
      <c r="A287" s="2" t="n"/>
      <c r="B287" s="2" t="n"/>
      <c r="C287" s="2" t="n"/>
      <c r="D287" s="2" t="n"/>
      <c r="E287" s="2" t="n"/>
      <c r="F287" s="2" t="n"/>
    </row>
    <row r="288" ht="15.75" customHeight="1" s="67">
      <c r="A288" s="2" t="n"/>
      <c r="B288" s="2" t="n"/>
      <c r="C288" s="2" t="n"/>
      <c r="D288" s="2" t="n"/>
      <c r="E288" s="2" t="n"/>
      <c r="F288" s="2" t="n"/>
    </row>
    <row r="289" ht="15.75" customHeight="1" s="67">
      <c r="A289" s="2" t="n"/>
      <c r="B289" s="2" t="n"/>
      <c r="C289" s="2" t="n"/>
      <c r="D289" s="2" t="n"/>
      <c r="E289" s="2" t="n"/>
      <c r="F289" s="2" t="n"/>
    </row>
    <row r="290" ht="15.75" customHeight="1" s="67">
      <c r="A290" s="2" t="n"/>
      <c r="B290" s="2" t="n"/>
      <c r="C290" s="2" t="n"/>
      <c r="D290" s="2" t="n"/>
      <c r="E290" s="2" t="n"/>
      <c r="F290" s="2" t="n"/>
    </row>
    <row r="291" ht="15.75" customHeight="1" s="67">
      <c r="A291" s="2" t="n"/>
      <c r="B291" s="2" t="n"/>
      <c r="C291" s="2" t="n"/>
      <c r="D291" s="2" t="n"/>
      <c r="E291" s="2" t="n"/>
      <c r="F291" s="2" t="n"/>
    </row>
    <row r="292" ht="15.75" customHeight="1" s="67">
      <c r="A292" s="2" t="n"/>
      <c r="B292" s="2" t="n"/>
      <c r="C292" s="2" t="n"/>
      <c r="D292" s="2" t="n"/>
      <c r="E292" s="2" t="n"/>
      <c r="F292" s="2" t="n"/>
    </row>
    <row r="293" ht="15.75" customHeight="1" s="67">
      <c r="A293" s="2" t="n"/>
      <c r="B293" s="2" t="n"/>
      <c r="C293" s="2" t="n"/>
      <c r="D293" s="2" t="n"/>
      <c r="E293" s="2" t="n"/>
      <c r="F293" s="2" t="n"/>
    </row>
    <row r="294" ht="15.75" customHeight="1" s="67">
      <c r="A294" s="2" t="n"/>
      <c r="B294" s="2" t="n"/>
      <c r="C294" s="2" t="n"/>
      <c r="D294" s="2" t="n"/>
      <c r="E294" s="2" t="n"/>
      <c r="F294" s="2" t="n"/>
    </row>
    <row r="295" ht="15.75" customHeight="1" s="67">
      <c r="A295" s="2" t="n"/>
      <c r="B295" s="2" t="n"/>
      <c r="C295" s="2" t="n"/>
      <c r="D295" s="2" t="n"/>
      <c r="E295" s="2" t="n"/>
      <c r="F295" s="2" t="n"/>
    </row>
    <row r="296" ht="15.75" customHeight="1" s="67">
      <c r="A296" s="2" t="n"/>
      <c r="B296" s="2" t="n"/>
      <c r="C296" s="2" t="n"/>
      <c r="D296" s="2" t="n"/>
      <c r="E296" s="2" t="n"/>
      <c r="F296" s="2" t="n"/>
    </row>
    <row r="297" ht="15.75" customHeight="1" s="67">
      <c r="A297" s="2" t="n"/>
      <c r="B297" s="2" t="n"/>
      <c r="C297" s="2" t="n"/>
      <c r="D297" s="2" t="n"/>
      <c r="E297" s="2" t="n"/>
      <c r="F297" s="2" t="n"/>
    </row>
    <row r="298" ht="15.75" customHeight="1" s="67">
      <c r="A298" s="2" t="n"/>
      <c r="B298" s="2" t="n"/>
      <c r="C298" s="2" t="n"/>
      <c r="D298" s="2" t="n"/>
      <c r="E298" s="2" t="n"/>
      <c r="F298" s="2" t="n"/>
    </row>
    <row r="299" ht="15.75" customHeight="1" s="67">
      <c r="A299" s="2" t="n"/>
      <c r="B299" s="2" t="n"/>
      <c r="C299" s="2" t="n"/>
      <c r="D299" s="2" t="n"/>
      <c r="E299" s="2" t="n"/>
      <c r="F299" s="2" t="n"/>
    </row>
    <row r="300" ht="15.75" customHeight="1" s="67">
      <c r="A300" s="2" t="n"/>
      <c r="B300" s="2" t="n"/>
      <c r="C300" s="2" t="n"/>
      <c r="D300" s="2" t="n"/>
      <c r="E300" s="2" t="n"/>
      <c r="F300" s="2" t="n"/>
    </row>
    <row r="301" ht="15.75" customHeight="1" s="67">
      <c r="A301" s="2" t="n"/>
      <c r="B301" s="2" t="n"/>
      <c r="C301" s="2" t="n"/>
      <c r="D301" s="2" t="n"/>
      <c r="E301" s="2" t="n"/>
      <c r="F301" s="2" t="n"/>
    </row>
    <row r="302" ht="15.75" customHeight="1" s="67">
      <c r="A302" s="2" t="n"/>
      <c r="B302" s="2" t="n"/>
      <c r="C302" s="2" t="n"/>
      <c r="D302" s="2" t="n"/>
      <c r="E302" s="2" t="n"/>
      <c r="F302" s="2" t="n"/>
    </row>
    <row r="303" ht="15.75" customHeight="1" s="67">
      <c r="A303" s="2" t="n"/>
      <c r="B303" s="2" t="n"/>
      <c r="C303" s="2" t="n"/>
      <c r="D303" s="2" t="n"/>
      <c r="E303" s="2" t="n"/>
      <c r="F303" s="2" t="n"/>
    </row>
    <row r="304" ht="15.75" customHeight="1" s="67">
      <c r="A304" s="2" t="n"/>
      <c r="B304" s="2" t="n"/>
      <c r="C304" s="2" t="n"/>
      <c r="D304" s="2" t="n"/>
      <c r="E304" s="2" t="n"/>
      <c r="F304" s="2" t="n"/>
    </row>
    <row r="305" ht="15.75" customHeight="1" s="67">
      <c r="A305" s="2" t="n"/>
      <c r="B305" s="2" t="n"/>
      <c r="C305" s="2" t="n"/>
      <c r="D305" s="2" t="n"/>
      <c r="E305" s="2" t="n"/>
      <c r="F305" s="2" t="n"/>
    </row>
    <row r="306" ht="15.75" customHeight="1" s="67">
      <c r="A306" s="2" t="n"/>
      <c r="B306" s="2" t="n"/>
      <c r="C306" s="2" t="n"/>
      <c r="D306" s="2" t="n"/>
      <c r="E306" s="2" t="n"/>
      <c r="F306" s="2" t="n"/>
    </row>
    <row r="307" ht="15.75" customHeight="1" s="67">
      <c r="A307" s="2" t="n"/>
      <c r="B307" s="2" t="n"/>
      <c r="C307" s="2" t="n"/>
      <c r="D307" s="2" t="n"/>
      <c r="E307" s="2" t="n"/>
      <c r="F307" s="2" t="n"/>
    </row>
    <row r="308" ht="15.75" customHeight="1" s="67">
      <c r="A308" s="2" t="n"/>
      <c r="B308" s="2" t="n"/>
      <c r="C308" s="2" t="n"/>
      <c r="D308" s="2" t="n"/>
      <c r="E308" s="2" t="n"/>
      <c r="F308" s="2" t="n"/>
    </row>
    <row r="309" ht="15.75" customHeight="1" s="67">
      <c r="A309" s="2" t="n"/>
      <c r="B309" s="2" t="n"/>
      <c r="C309" s="2" t="n"/>
      <c r="D309" s="2" t="n"/>
      <c r="E309" s="2" t="n"/>
      <c r="F309" s="2" t="n"/>
    </row>
    <row r="310" ht="15.75" customHeight="1" s="67">
      <c r="A310" s="2" t="n"/>
      <c r="B310" s="2" t="n"/>
      <c r="C310" s="2" t="n"/>
      <c r="D310" s="2" t="n"/>
      <c r="E310" s="2" t="n"/>
      <c r="F310" s="2" t="n"/>
    </row>
    <row r="311" ht="15.75" customHeight="1" s="67">
      <c r="A311" s="2" t="n"/>
      <c r="B311" s="2" t="n"/>
      <c r="C311" s="2" t="n"/>
      <c r="D311" s="2" t="n"/>
      <c r="E311" s="2" t="n"/>
      <c r="F311" s="2" t="n"/>
    </row>
    <row r="312" ht="15.75" customHeight="1" s="67">
      <c r="A312" s="2" t="n"/>
      <c r="B312" s="2" t="n"/>
      <c r="C312" s="2" t="n"/>
      <c r="D312" s="2" t="n"/>
      <c r="E312" s="2" t="n"/>
      <c r="F312" s="2" t="n"/>
    </row>
    <row r="313" ht="15.75" customHeight="1" s="67">
      <c r="A313" s="2" t="n"/>
      <c r="B313" s="2" t="n"/>
      <c r="C313" s="2" t="n"/>
      <c r="D313" s="2" t="n"/>
      <c r="E313" s="2" t="n"/>
      <c r="F313" s="2" t="n"/>
    </row>
    <row r="314" ht="15.75" customHeight="1" s="67">
      <c r="A314" s="2" t="n"/>
      <c r="B314" s="2" t="n"/>
      <c r="C314" s="2" t="n"/>
      <c r="D314" s="2" t="n"/>
      <c r="E314" s="2" t="n"/>
      <c r="F314" s="2" t="n"/>
    </row>
    <row r="315" ht="15.75" customHeight="1" s="67">
      <c r="A315" s="2" t="n"/>
      <c r="B315" s="2" t="n"/>
      <c r="C315" s="2" t="n"/>
      <c r="D315" s="2" t="n"/>
      <c r="E315" s="2" t="n"/>
      <c r="F315" s="2" t="n"/>
    </row>
    <row r="316" ht="15.75" customHeight="1" s="67">
      <c r="A316" s="2" t="n"/>
      <c r="B316" s="2" t="n"/>
      <c r="C316" s="2" t="n"/>
      <c r="D316" s="2" t="n"/>
      <c r="E316" s="2" t="n"/>
      <c r="F316" s="2" t="n"/>
    </row>
    <row r="317" ht="15.75" customHeight="1" s="67">
      <c r="A317" s="2" t="n"/>
      <c r="B317" s="2" t="n"/>
      <c r="C317" s="2" t="n"/>
      <c r="D317" s="2" t="n"/>
      <c r="E317" s="2" t="n"/>
      <c r="F317" s="2" t="n"/>
    </row>
    <row r="318" ht="15.75" customHeight="1" s="67">
      <c r="A318" s="2" t="n"/>
      <c r="B318" s="2" t="n"/>
      <c r="C318" s="2" t="n"/>
      <c r="D318" s="2" t="n"/>
      <c r="E318" s="2" t="n"/>
      <c r="F318" s="2" t="n"/>
    </row>
    <row r="319" ht="15.75" customHeight="1" s="67">
      <c r="A319" s="2" t="n"/>
      <c r="B319" s="2" t="n"/>
      <c r="C319" s="2" t="n"/>
      <c r="D319" s="2" t="n"/>
      <c r="E319" s="2" t="n"/>
      <c r="F319" s="2" t="n"/>
    </row>
    <row r="320" ht="15.75" customHeight="1" s="67">
      <c r="A320" s="2" t="n"/>
      <c r="B320" s="2" t="n"/>
      <c r="C320" s="2" t="n"/>
      <c r="D320" s="2" t="n"/>
      <c r="E320" s="2" t="n"/>
      <c r="F320" s="2" t="n"/>
    </row>
    <row r="321" ht="15.75" customHeight="1" s="67">
      <c r="A321" s="2" t="n"/>
      <c r="B321" s="2" t="n"/>
      <c r="C321" s="2" t="n"/>
      <c r="D321" s="2" t="n"/>
      <c r="E321" s="2" t="n"/>
      <c r="F321" s="2" t="n"/>
    </row>
    <row r="322" ht="15.75" customHeight="1" s="67">
      <c r="A322" s="2" t="n"/>
      <c r="B322" s="2" t="n"/>
      <c r="C322" s="2" t="n"/>
      <c r="D322" s="2" t="n"/>
      <c r="E322" s="2" t="n"/>
      <c r="F322" s="2" t="n"/>
    </row>
    <row r="323" ht="15.75" customHeight="1" s="67">
      <c r="A323" s="2" t="n"/>
      <c r="B323" s="2" t="n"/>
      <c r="C323" s="2" t="n"/>
      <c r="D323" s="2" t="n"/>
      <c r="E323" s="2" t="n"/>
      <c r="F323" s="2" t="n"/>
    </row>
    <row r="324" ht="15.75" customHeight="1" s="67">
      <c r="A324" s="2" t="n"/>
      <c r="B324" s="2" t="n"/>
      <c r="C324" s="2" t="n"/>
      <c r="D324" s="2" t="n"/>
      <c r="E324" s="2" t="n"/>
      <c r="F324" s="2" t="n"/>
    </row>
    <row r="325" ht="15.75" customHeight="1" s="67">
      <c r="A325" s="2" t="n"/>
      <c r="B325" s="2" t="n"/>
      <c r="C325" s="2" t="n"/>
      <c r="D325" s="2" t="n"/>
      <c r="E325" s="2" t="n"/>
      <c r="F325" s="2" t="n"/>
    </row>
    <row r="326" ht="15.75" customHeight="1" s="67">
      <c r="A326" s="2" t="n"/>
      <c r="B326" s="2" t="n"/>
      <c r="C326" s="2" t="n"/>
      <c r="D326" s="2" t="n"/>
      <c r="E326" s="2" t="n"/>
      <c r="F326" s="2" t="n"/>
    </row>
    <row r="327" ht="15.75" customHeight="1" s="67">
      <c r="A327" s="2" t="n"/>
      <c r="B327" s="2" t="n"/>
      <c r="C327" s="2" t="n"/>
      <c r="D327" s="2" t="n"/>
      <c r="E327" s="2" t="n"/>
      <c r="F327" s="2" t="n"/>
    </row>
    <row r="328" ht="15.75" customHeight="1" s="67">
      <c r="A328" s="2" t="n"/>
      <c r="B328" s="2" t="n"/>
      <c r="C328" s="2" t="n"/>
      <c r="D328" s="2" t="n"/>
      <c r="E328" s="2" t="n"/>
      <c r="F328" s="2" t="n"/>
    </row>
    <row r="329" ht="15.75" customHeight="1" s="67">
      <c r="A329" s="2" t="n"/>
      <c r="B329" s="2" t="n"/>
      <c r="C329" s="2" t="n"/>
      <c r="D329" s="2" t="n"/>
      <c r="E329" s="2" t="n"/>
      <c r="F329" s="2" t="n"/>
    </row>
    <row r="330" ht="15.75" customHeight="1" s="67">
      <c r="A330" s="2" t="n"/>
      <c r="B330" s="2" t="n"/>
      <c r="C330" s="2" t="n"/>
      <c r="D330" s="2" t="n"/>
      <c r="E330" s="2" t="n"/>
      <c r="F330" s="2" t="n"/>
    </row>
    <row r="331" ht="15.75" customHeight="1" s="67">
      <c r="A331" s="2" t="n"/>
      <c r="B331" s="2" t="n"/>
      <c r="C331" s="2" t="n"/>
      <c r="D331" s="2" t="n"/>
      <c r="E331" s="2" t="n"/>
      <c r="F331" s="2" t="n"/>
    </row>
    <row r="332" ht="15.75" customHeight="1" s="67">
      <c r="A332" s="2" t="n"/>
      <c r="B332" s="2" t="n"/>
      <c r="C332" s="2" t="n"/>
      <c r="D332" s="2" t="n"/>
      <c r="E332" s="2" t="n"/>
      <c r="F332" s="2" t="n"/>
    </row>
    <row r="333" ht="15.75" customHeight="1" s="67">
      <c r="A333" s="2" t="n"/>
      <c r="B333" s="2" t="n"/>
      <c r="C333" s="2" t="n"/>
      <c r="D333" s="2" t="n"/>
      <c r="E333" s="2" t="n"/>
      <c r="F333" s="2" t="n"/>
    </row>
    <row r="334" ht="15.75" customHeight="1" s="67">
      <c r="A334" s="2" t="n"/>
      <c r="B334" s="2" t="n"/>
      <c r="C334" s="2" t="n"/>
      <c r="D334" s="2" t="n"/>
      <c r="E334" s="2" t="n"/>
      <c r="F334" s="2" t="n"/>
    </row>
    <row r="335" ht="15.75" customHeight="1" s="67">
      <c r="A335" s="2" t="n"/>
      <c r="B335" s="2" t="n"/>
      <c r="C335" s="2" t="n"/>
      <c r="D335" s="2" t="n"/>
      <c r="E335" s="2" t="n"/>
      <c r="F335" s="2" t="n"/>
    </row>
    <row r="336" ht="15.75" customHeight="1" s="67">
      <c r="A336" s="2" t="n"/>
      <c r="B336" s="2" t="n"/>
      <c r="C336" s="2" t="n"/>
      <c r="D336" s="2" t="n"/>
      <c r="E336" s="2" t="n"/>
      <c r="F336" s="2" t="n"/>
    </row>
    <row r="337" ht="15.75" customHeight="1" s="67">
      <c r="A337" s="2" t="n"/>
      <c r="B337" s="2" t="n"/>
      <c r="C337" s="2" t="n"/>
      <c r="D337" s="2" t="n"/>
      <c r="E337" s="2" t="n"/>
      <c r="F337" s="2" t="n"/>
    </row>
    <row r="338" ht="15.75" customHeight="1" s="67">
      <c r="A338" s="2" t="n"/>
      <c r="B338" s="2" t="n"/>
      <c r="C338" s="2" t="n"/>
      <c r="D338" s="2" t="n"/>
      <c r="E338" s="2" t="n"/>
      <c r="F338" s="2" t="n"/>
    </row>
    <row r="339" ht="15.75" customHeight="1" s="67">
      <c r="A339" s="2" t="n"/>
      <c r="B339" s="2" t="n"/>
      <c r="C339" s="2" t="n"/>
      <c r="D339" s="2" t="n"/>
      <c r="E339" s="2" t="n"/>
      <c r="F339" s="2" t="n"/>
    </row>
    <row r="340" ht="15.75" customHeight="1" s="67">
      <c r="A340" s="2" t="n"/>
      <c r="B340" s="2" t="n"/>
      <c r="C340" s="2" t="n"/>
      <c r="D340" s="2" t="n"/>
      <c r="E340" s="2" t="n"/>
      <c r="F340" s="2" t="n"/>
    </row>
    <row r="341" ht="15.75" customHeight="1" s="67">
      <c r="A341" s="2" t="n"/>
      <c r="B341" s="2" t="n"/>
      <c r="C341" s="2" t="n"/>
      <c r="D341" s="2" t="n"/>
      <c r="E341" s="2" t="n"/>
      <c r="F341" s="2" t="n"/>
    </row>
    <row r="342" ht="15.75" customHeight="1" s="67">
      <c r="A342" s="2" t="n"/>
      <c r="B342" s="2" t="n"/>
      <c r="C342" s="2" t="n"/>
      <c r="D342" s="2" t="n"/>
      <c r="E342" s="2" t="n"/>
      <c r="F342" s="2" t="n"/>
    </row>
    <row r="343" ht="15.75" customHeight="1" s="67">
      <c r="A343" s="2" t="n"/>
      <c r="B343" s="2" t="n"/>
      <c r="C343" s="2" t="n"/>
      <c r="D343" s="2" t="n"/>
      <c r="E343" s="2" t="n"/>
      <c r="F343" s="2" t="n"/>
    </row>
    <row r="344" ht="15.75" customHeight="1" s="67">
      <c r="A344" s="2" t="n"/>
      <c r="B344" s="2" t="n"/>
      <c r="C344" s="2" t="n"/>
      <c r="D344" s="2" t="n"/>
      <c r="E344" s="2" t="n"/>
      <c r="F344" s="2" t="n"/>
    </row>
    <row r="345" ht="15.75" customHeight="1" s="67">
      <c r="A345" s="2" t="n"/>
      <c r="B345" s="2" t="n"/>
      <c r="C345" s="2" t="n"/>
      <c r="D345" s="2" t="n"/>
      <c r="E345" s="2" t="n"/>
      <c r="F345" s="2" t="n"/>
    </row>
    <row r="346" ht="15.75" customHeight="1" s="67">
      <c r="A346" s="2" t="n"/>
      <c r="B346" s="2" t="n"/>
      <c r="C346" s="2" t="n"/>
      <c r="D346" s="2" t="n"/>
      <c r="E346" s="2" t="n"/>
      <c r="F346" s="2" t="n"/>
    </row>
    <row r="347" ht="15.75" customHeight="1" s="67">
      <c r="A347" s="2" t="n"/>
      <c r="B347" s="2" t="n"/>
      <c r="C347" s="2" t="n"/>
      <c r="D347" s="2" t="n"/>
      <c r="E347" s="2" t="n"/>
      <c r="F347" s="2" t="n"/>
    </row>
    <row r="348" ht="15.75" customHeight="1" s="67">
      <c r="A348" s="2" t="n"/>
      <c r="B348" s="2" t="n"/>
      <c r="C348" s="2" t="n"/>
      <c r="D348" s="2" t="n"/>
      <c r="E348" s="2" t="n"/>
      <c r="F348" s="2" t="n"/>
    </row>
    <row r="349" ht="15.75" customHeight="1" s="67">
      <c r="A349" s="2" t="n"/>
      <c r="B349" s="2" t="n"/>
      <c r="C349" s="2" t="n"/>
      <c r="D349" s="2" t="n"/>
      <c r="E349" s="2" t="n"/>
      <c r="F349" s="2" t="n"/>
    </row>
    <row r="350" ht="15.75" customHeight="1" s="67">
      <c r="A350" s="2" t="n"/>
      <c r="B350" s="2" t="n"/>
      <c r="C350" s="2" t="n"/>
      <c r="D350" s="2" t="n"/>
      <c r="E350" s="2" t="n"/>
      <c r="F350" s="2" t="n"/>
    </row>
    <row r="351" ht="15.75" customHeight="1" s="67">
      <c r="A351" s="2" t="n"/>
      <c r="B351" s="2" t="n"/>
      <c r="C351" s="2" t="n"/>
      <c r="D351" s="2" t="n"/>
      <c r="E351" s="2" t="n"/>
      <c r="F351" s="2" t="n"/>
    </row>
    <row r="352" ht="15.75" customHeight="1" s="67">
      <c r="A352" s="2" t="n"/>
      <c r="B352" s="2" t="n"/>
      <c r="C352" s="2" t="n"/>
      <c r="D352" s="2" t="n"/>
      <c r="E352" s="2" t="n"/>
      <c r="F352" s="2" t="n"/>
    </row>
    <row r="353" ht="15.75" customHeight="1" s="67">
      <c r="A353" s="2" t="n"/>
      <c r="B353" s="2" t="n"/>
      <c r="C353" s="2" t="n"/>
      <c r="D353" s="2" t="n"/>
      <c r="E353" s="2" t="n"/>
      <c r="F353" s="2" t="n"/>
    </row>
    <row r="354" ht="15.75" customHeight="1" s="67">
      <c r="A354" s="2" t="n"/>
      <c r="B354" s="2" t="n"/>
      <c r="C354" s="2" t="n"/>
      <c r="D354" s="2" t="n"/>
      <c r="E354" s="2" t="n"/>
      <c r="F354" s="2" t="n"/>
    </row>
    <row r="355" ht="15.75" customHeight="1" s="67">
      <c r="A355" s="2" t="n"/>
      <c r="B355" s="2" t="n"/>
      <c r="C355" s="2" t="n"/>
      <c r="D355" s="2" t="n"/>
      <c r="E355" s="2" t="n"/>
      <c r="F355" s="2" t="n"/>
    </row>
    <row r="356" ht="15.75" customHeight="1" s="67">
      <c r="A356" s="2" t="n"/>
      <c r="B356" s="2" t="n"/>
      <c r="C356" s="2" t="n"/>
      <c r="D356" s="2" t="n"/>
      <c r="E356" s="2" t="n"/>
      <c r="F356" s="2" t="n"/>
    </row>
    <row r="357" ht="15.75" customHeight="1" s="67">
      <c r="A357" s="2" t="n"/>
      <c r="B357" s="2" t="n"/>
      <c r="C357" s="2" t="n"/>
      <c r="D357" s="2" t="n"/>
      <c r="E357" s="2" t="n"/>
      <c r="F357" s="2" t="n"/>
    </row>
    <row r="358" ht="15.75" customHeight="1" s="67">
      <c r="A358" s="2" t="n"/>
      <c r="B358" s="2" t="n"/>
      <c r="C358" s="2" t="n"/>
      <c r="D358" s="2" t="n"/>
      <c r="E358" s="2" t="n"/>
      <c r="F358" s="2" t="n"/>
    </row>
    <row r="359" ht="15.75" customHeight="1" s="67">
      <c r="A359" s="2" t="n"/>
      <c r="B359" s="2" t="n"/>
      <c r="C359" s="2" t="n"/>
      <c r="D359" s="2" t="n"/>
      <c r="E359" s="2" t="n"/>
      <c r="F359" s="2" t="n"/>
    </row>
    <row r="360" ht="15.75" customHeight="1" s="67">
      <c r="A360" s="2" t="n"/>
      <c r="B360" s="2" t="n"/>
      <c r="C360" s="2" t="n"/>
      <c r="D360" s="2" t="n"/>
      <c r="E360" s="2" t="n"/>
      <c r="F360" s="2" t="n"/>
    </row>
    <row r="361" ht="15.75" customHeight="1" s="67">
      <c r="A361" s="2" t="n"/>
      <c r="B361" s="2" t="n"/>
      <c r="C361" s="2" t="n"/>
      <c r="D361" s="2" t="n"/>
      <c r="E361" s="2" t="n"/>
      <c r="F361" s="2" t="n"/>
    </row>
    <row r="362" ht="15.75" customHeight="1" s="67">
      <c r="A362" s="2" t="n"/>
      <c r="B362" s="2" t="n"/>
      <c r="C362" s="2" t="n"/>
      <c r="D362" s="2" t="n"/>
      <c r="E362" s="2" t="n"/>
      <c r="F362" s="2" t="n"/>
    </row>
    <row r="363" ht="15.75" customHeight="1" s="67">
      <c r="A363" s="2" t="n"/>
      <c r="B363" s="2" t="n"/>
      <c r="C363" s="2" t="n"/>
      <c r="D363" s="2" t="n"/>
      <c r="E363" s="2" t="n"/>
      <c r="F363" s="2" t="n"/>
    </row>
    <row r="364" ht="15.75" customHeight="1" s="67">
      <c r="A364" s="2" t="n"/>
      <c r="B364" s="2" t="n"/>
      <c r="C364" s="2" t="n"/>
      <c r="D364" s="2" t="n"/>
      <c r="E364" s="2" t="n"/>
      <c r="F364" s="2" t="n"/>
    </row>
    <row r="365" ht="15.75" customHeight="1" s="67">
      <c r="A365" s="2" t="n"/>
      <c r="B365" s="2" t="n"/>
      <c r="C365" s="2" t="n"/>
      <c r="D365" s="2" t="n"/>
      <c r="E365" s="2" t="n"/>
      <c r="F365" s="2" t="n"/>
    </row>
    <row r="366" ht="15.75" customHeight="1" s="67">
      <c r="A366" s="2" t="n"/>
      <c r="B366" s="2" t="n"/>
      <c r="C366" s="2" t="n"/>
      <c r="D366" s="2" t="n"/>
      <c r="E366" s="2" t="n"/>
      <c r="F366" s="2" t="n"/>
    </row>
    <row r="367" ht="15.75" customHeight="1" s="67">
      <c r="A367" s="2" t="n"/>
      <c r="B367" s="2" t="n"/>
      <c r="C367" s="2" t="n"/>
      <c r="D367" s="2" t="n"/>
      <c r="E367" s="2" t="n"/>
      <c r="F367" s="2" t="n"/>
    </row>
    <row r="368" ht="15.75" customHeight="1" s="67">
      <c r="A368" s="2" t="n"/>
      <c r="B368" s="2" t="n"/>
      <c r="C368" s="2" t="n"/>
      <c r="D368" s="2" t="n"/>
      <c r="E368" s="2" t="n"/>
      <c r="F368" s="2" t="n"/>
    </row>
    <row r="369" ht="15.75" customHeight="1" s="67">
      <c r="A369" s="2" t="n"/>
      <c r="B369" s="2" t="n"/>
      <c r="C369" s="2" t="n"/>
      <c r="D369" s="2" t="n"/>
      <c r="E369" s="2" t="n"/>
      <c r="F369" s="2" t="n"/>
    </row>
    <row r="370" ht="15.75" customHeight="1" s="67">
      <c r="A370" s="2" t="n"/>
      <c r="B370" s="2" t="n"/>
      <c r="C370" s="2" t="n"/>
      <c r="D370" s="2" t="n"/>
      <c r="E370" s="2" t="n"/>
      <c r="F370" s="2" t="n"/>
    </row>
    <row r="371" ht="15.75" customHeight="1" s="67">
      <c r="A371" s="2" t="n"/>
      <c r="B371" s="2" t="n"/>
      <c r="C371" s="2" t="n"/>
      <c r="D371" s="2" t="n"/>
      <c r="E371" s="2" t="n"/>
      <c r="F371" s="2" t="n"/>
    </row>
    <row r="372" ht="15.75" customHeight="1" s="67">
      <c r="A372" s="2" t="n"/>
      <c r="B372" s="2" t="n"/>
      <c r="C372" s="2" t="n"/>
      <c r="D372" s="2" t="n"/>
      <c r="E372" s="2" t="n"/>
      <c r="F372" s="2" t="n"/>
    </row>
    <row r="373" ht="15.75" customHeight="1" s="67">
      <c r="A373" s="2" t="n"/>
      <c r="B373" s="2" t="n"/>
      <c r="C373" s="2" t="n"/>
      <c r="D373" s="2" t="n"/>
      <c r="E373" s="2" t="n"/>
      <c r="F373" s="2" t="n"/>
    </row>
    <row r="374" ht="15.75" customHeight="1" s="67">
      <c r="A374" s="2" t="n"/>
      <c r="B374" s="2" t="n"/>
      <c r="C374" s="2" t="n"/>
      <c r="D374" s="2" t="n"/>
      <c r="E374" s="2" t="n"/>
      <c r="F374" s="2" t="n"/>
    </row>
    <row r="375" ht="15.75" customHeight="1" s="67">
      <c r="A375" s="2" t="n"/>
      <c r="B375" s="2" t="n"/>
      <c r="C375" s="2" t="n"/>
      <c r="D375" s="2" t="n"/>
      <c r="E375" s="2" t="n"/>
      <c r="F375" s="2" t="n"/>
    </row>
    <row r="376" ht="15.75" customHeight="1" s="67">
      <c r="A376" s="2" t="n"/>
      <c r="B376" s="2" t="n"/>
      <c r="C376" s="2" t="n"/>
      <c r="D376" s="2" t="n"/>
      <c r="E376" s="2" t="n"/>
      <c r="F376" s="2" t="n"/>
    </row>
    <row r="377" ht="15.75" customHeight="1" s="67">
      <c r="A377" s="2" t="n"/>
      <c r="B377" s="2" t="n"/>
      <c r="C377" s="2" t="n"/>
      <c r="D377" s="2" t="n"/>
      <c r="E377" s="2" t="n"/>
      <c r="F377" s="2" t="n"/>
    </row>
    <row r="378" ht="15.75" customHeight="1" s="67">
      <c r="A378" s="2" t="n"/>
      <c r="B378" s="2" t="n"/>
      <c r="C378" s="2" t="n"/>
      <c r="D378" s="2" t="n"/>
      <c r="E378" s="2" t="n"/>
      <c r="F378" s="2" t="n"/>
    </row>
    <row r="379" ht="15.75" customHeight="1" s="67">
      <c r="A379" s="2" t="n"/>
      <c r="B379" s="2" t="n"/>
      <c r="C379" s="2" t="n"/>
      <c r="D379" s="2" t="n"/>
      <c r="E379" s="2" t="n"/>
      <c r="F379" s="2" t="n"/>
    </row>
    <row r="380" ht="15.75" customHeight="1" s="67">
      <c r="A380" s="2" t="n"/>
      <c r="B380" s="2" t="n"/>
      <c r="C380" s="2" t="n"/>
      <c r="D380" s="2" t="n"/>
      <c r="E380" s="2" t="n"/>
      <c r="F380" s="2" t="n"/>
    </row>
    <row r="381" ht="15.75" customHeight="1" s="67">
      <c r="A381" s="2" t="n"/>
      <c r="B381" s="2" t="n"/>
      <c r="C381" s="2" t="n"/>
      <c r="D381" s="2" t="n"/>
      <c r="E381" s="2" t="n"/>
      <c r="F381" s="2" t="n"/>
    </row>
    <row r="382" ht="15.75" customHeight="1" s="67">
      <c r="A382" s="2" t="n"/>
      <c r="B382" s="2" t="n"/>
      <c r="C382" s="2" t="n"/>
      <c r="D382" s="2" t="n"/>
      <c r="E382" s="2" t="n"/>
      <c r="F382" s="2" t="n"/>
    </row>
    <row r="383" ht="15.75" customHeight="1" s="67">
      <c r="A383" s="2" t="n"/>
      <c r="B383" s="2" t="n"/>
      <c r="C383" s="2" t="n"/>
      <c r="D383" s="2" t="n"/>
      <c r="E383" s="2" t="n"/>
      <c r="F383" s="2" t="n"/>
    </row>
    <row r="384" ht="15.75" customHeight="1" s="67">
      <c r="A384" s="2" t="n"/>
      <c r="B384" s="2" t="n"/>
      <c r="C384" s="2" t="n"/>
      <c r="D384" s="2" t="n"/>
      <c r="E384" s="2" t="n"/>
      <c r="F384" s="2" t="n"/>
    </row>
    <row r="385" ht="15.75" customHeight="1" s="67">
      <c r="A385" s="2" t="n"/>
      <c r="B385" s="2" t="n"/>
      <c r="C385" s="2" t="n"/>
      <c r="D385" s="2" t="n"/>
      <c r="E385" s="2" t="n"/>
      <c r="F385" s="2" t="n"/>
    </row>
    <row r="386" ht="15.75" customHeight="1" s="67">
      <c r="A386" s="2" t="n"/>
      <c r="B386" s="2" t="n"/>
      <c r="C386" s="2" t="n"/>
      <c r="D386" s="2" t="n"/>
      <c r="E386" s="2" t="n"/>
      <c r="F386" s="2" t="n"/>
    </row>
    <row r="387" ht="15.75" customHeight="1" s="67">
      <c r="A387" s="2" t="n"/>
      <c r="B387" s="2" t="n"/>
      <c r="C387" s="2" t="n"/>
      <c r="D387" s="2" t="n"/>
      <c r="E387" s="2" t="n"/>
      <c r="F387" s="2" t="n"/>
    </row>
    <row r="388" ht="15.75" customHeight="1" s="67">
      <c r="A388" s="2" t="n"/>
      <c r="B388" s="2" t="n"/>
      <c r="C388" s="2" t="n"/>
      <c r="D388" s="2" t="n"/>
      <c r="E388" s="2" t="n"/>
      <c r="F388" s="2" t="n"/>
    </row>
    <row r="389" ht="15.75" customHeight="1" s="67">
      <c r="A389" s="2" t="n"/>
      <c r="B389" s="2" t="n"/>
      <c r="C389" s="2" t="n"/>
      <c r="D389" s="2" t="n"/>
      <c r="E389" s="2" t="n"/>
      <c r="F389" s="2" t="n"/>
    </row>
    <row r="390" ht="15.75" customHeight="1" s="67">
      <c r="A390" s="2" t="n"/>
      <c r="B390" s="2" t="n"/>
      <c r="C390" s="2" t="n"/>
      <c r="D390" s="2" t="n"/>
      <c r="E390" s="2" t="n"/>
      <c r="F390" s="2" t="n"/>
    </row>
    <row r="391" ht="15.75" customHeight="1" s="67">
      <c r="A391" s="2" t="n"/>
      <c r="B391" s="2" t="n"/>
      <c r="C391" s="2" t="n"/>
      <c r="D391" s="2" t="n"/>
      <c r="E391" s="2" t="n"/>
      <c r="F391" s="2" t="n"/>
    </row>
    <row r="392" ht="15.75" customHeight="1" s="67">
      <c r="A392" s="2" t="n"/>
      <c r="B392" s="2" t="n"/>
      <c r="C392" s="2" t="n"/>
      <c r="D392" s="2" t="n"/>
      <c r="E392" s="2" t="n"/>
      <c r="F392" s="2" t="n"/>
    </row>
    <row r="393" ht="15.75" customHeight="1" s="67">
      <c r="A393" s="2" t="n"/>
      <c r="B393" s="2" t="n"/>
      <c r="C393" s="2" t="n"/>
      <c r="D393" s="2" t="n"/>
      <c r="E393" s="2" t="n"/>
      <c r="F393" s="2" t="n"/>
    </row>
    <row r="394" ht="15.75" customHeight="1" s="67">
      <c r="A394" s="2" t="n"/>
      <c r="B394" s="2" t="n"/>
      <c r="C394" s="2" t="n"/>
      <c r="D394" s="2" t="n"/>
      <c r="E394" s="2" t="n"/>
      <c r="F394" s="2" t="n"/>
    </row>
    <row r="395" ht="15.75" customHeight="1" s="67">
      <c r="A395" s="2" t="n"/>
      <c r="B395" s="2" t="n"/>
      <c r="C395" s="2" t="n"/>
      <c r="D395" s="2" t="n"/>
      <c r="E395" s="2" t="n"/>
      <c r="F395" s="2" t="n"/>
    </row>
    <row r="396" ht="15.75" customHeight="1" s="67">
      <c r="A396" s="2" t="n"/>
      <c r="B396" s="2" t="n"/>
      <c r="C396" s="2" t="n"/>
      <c r="D396" s="2" t="n"/>
      <c r="E396" s="2" t="n"/>
      <c r="F396" s="2" t="n"/>
    </row>
    <row r="397" ht="15.75" customHeight="1" s="67">
      <c r="A397" s="2" t="n"/>
      <c r="B397" s="2" t="n"/>
      <c r="C397" s="2" t="n"/>
      <c r="D397" s="2" t="n"/>
      <c r="E397" s="2" t="n"/>
      <c r="F397" s="2" t="n"/>
    </row>
    <row r="398" ht="15.75" customHeight="1" s="67">
      <c r="A398" s="2" t="n"/>
      <c r="B398" s="2" t="n"/>
      <c r="C398" s="2" t="n"/>
      <c r="D398" s="2" t="n"/>
      <c r="E398" s="2" t="n"/>
      <c r="F398" s="2" t="n"/>
    </row>
    <row r="399" ht="15.75" customHeight="1" s="67">
      <c r="A399" s="2" t="n"/>
      <c r="B399" s="2" t="n"/>
      <c r="C399" s="2" t="n"/>
      <c r="D399" s="2" t="n"/>
      <c r="E399" s="2" t="n"/>
      <c r="F399" s="2" t="n"/>
    </row>
    <row r="400" ht="15.75" customHeight="1" s="67">
      <c r="A400" s="2" t="n"/>
      <c r="B400" s="2" t="n"/>
      <c r="C400" s="2" t="n"/>
      <c r="D400" s="2" t="n"/>
      <c r="E400" s="2" t="n"/>
      <c r="F400" s="2" t="n"/>
    </row>
    <row r="401" ht="15.75" customHeight="1" s="67">
      <c r="A401" s="2" t="n"/>
      <c r="B401" s="2" t="n"/>
      <c r="C401" s="2" t="n"/>
      <c r="D401" s="2" t="n"/>
      <c r="E401" s="2" t="n"/>
      <c r="F401" s="2" t="n"/>
    </row>
    <row r="402" ht="15.75" customHeight="1" s="67">
      <c r="A402" s="2" t="n"/>
      <c r="B402" s="2" t="n"/>
      <c r="C402" s="2" t="n"/>
      <c r="D402" s="2" t="n"/>
      <c r="E402" s="2" t="n"/>
      <c r="F402" s="2" t="n"/>
    </row>
    <row r="403" ht="15.75" customHeight="1" s="67">
      <c r="A403" s="2" t="n"/>
      <c r="B403" s="2" t="n"/>
      <c r="C403" s="2" t="n"/>
      <c r="D403" s="2" t="n"/>
      <c r="E403" s="2" t="n"/>
      <c r="F403" s="2" t="n"/>
    </row>
    <row r="404" ht="15.75" customHeight="1" s="67">
      <c r="A404" s="2" t="n"/>
      <c r="B404" s="2" t="n"/>
      <c r="C404" s="2" t="n"/>
      <c r="D404" s="2" t="n"/>
      <c r="E404" s="2" t="n"/>
      <c r="F404" s="2" t="n"/>
    </row>
    <row r="405" ht="15.75" customHeight="1" s="67">
      <c r="A405" s="2" t="n"/>
      <c r="B405" s="2" t="n"/>
      <c r="C405" s="2" t="n"/>
      <c r="D405" s="2" t="n"/>
      <c r="E405" s="2" t="n"/>
      <c r="F405" s="2" t="n"/>
    </row>
    <row r="406" ht="15.75" customHeight="1" s="67">
      <c r="A406" s="2" t="n"/>
      <c r="B406" s="2" t="n"/>
      <c r="C406" s="2" t="n"/>
      <c r="D406" s="2" t="n"/>
      <c r="E406" s="2" t="n"/>
      <c r="F406" s="2" t="n"/>
    </row>
    <row r="407" ht="15.75" customHeight="1" s="67">
      <c r="A407" s="2" t="n"/>
      <c r="B407" s="2" t="n"/>
      <c r="C407" s="2" t="n"/>
      <c r="D407" s="2" t="n"/>
      <c r="E407" s="2" t="n"/>
      <c r="F407" s="2" t="n"/>
    </row>
    <row r="408" ht="15.75" customHeight="1" s="67">
      <c r="A408" s="2" t="n"/>
      <c r="B408" s="2" t="n"/>
      <c r="C408" s="2" t="n"/>
      <c r="D408" s="2" t="n"/>
      <c r="E408" s="2" t="n"/>
      <c r="F408" s="2" t="n"/>
    </row>
    <row r="409" ht="15.75" customHeight="1" s="67">
      <c r="A409" s="2" t="n"/>
      <c r="B409" s="2" t="n"/>
      <c r="C409" s="2" t="n"/>
      <c r="D409" s="2" t="n"/>
      <c r="E409" s="2" t="n"/>
      <c r="F409" s="2" t="n"/>
    </row>
    <row r="410" ht="15.75" customHeight="1" s="67">
      <c r="A410" s="2" t="n"/>
      <c r="B410" s="2" t="n"/>
      <c r="C410" s="2" t="n"/>
      <c r="D410" s="2" t="n"/>
      <c r="E410" s="2" t="n"/>
      <c r="F410" s="2" t="n"/>
    </row>
    <row r="411" ht="15.75" customHeight="1" s="67">
      <c r="A411" s="2" t="n"/>
      <c r="B411" s="2" t="n"/>
      <c r="C411" s="2" t="n"/>
      <c r="D411" s="2" t="n"/>
      <c r="E411" s="2" t="n"/>
      <c r="F411" s="2" t="n"/>
    </row>
    <row r="412" ht="15.75" customHeight="1" s="67">
      <c r="A412" s="2" t="n"/>
      <c r="B412" s="2" t="n"/>
      <c r="C412" s="2" t="n"/>
      <c r="D412" s="2" t="n"/>
      <c r="E412" s="2" t="n"/>
      <c r="F412" s="2" t="n"/>
    </row>
    <row r="413" ht="15.75" customHeight="1" s="67">
      <c r="A413" s="2" t="n"/>
      <c r="B413" s="2" t="n"/>
      <c r="C413" s="2" t="n"/>
      <c r="D413" s="2" t="n"/>
      <c r="E413" s="2" t="n"/>
      <c r="F413" s="2" t="n"/>
    </row>
    <row r="414" ht="15.75" customHeight="1" s="67">
      <c r="A414" s="2" t="n"/>
      <c r="B414" s="2" t="n"/>
      <c r="C414" s="2" t="n"/>
      <c r="D414" s="2" t="n"/>
      <c r="E414" s="2" t="n"/>
      <c r="F414" s="2" t="n"/>
    </row>
    <row r="415" ht="15.75" customHeight="1" s="67">
      <c r="A415" s="2" t="n"/>
      <c r="B415" s="2" t="n"/>
      <c r="C415" s="2" t="n"/>
      <c r="D415" s="2" t="n"/>
      <c r="E415" s="2" t="n"/>
      <c r="F415" s="2" t="n"/>
    </row>
    <row r="416" ht="15.75" customHeight="1" s="67">
      <c r="A416" s="2" t="n"/>
      <c r="B416" s="2" t="n"/>
      <c r="C416" s="2" t="n"/>
      <c r="D416" s="2" t="n"/>
      <c r="E416" s="2" t="n"/>
      <c r="F416" s="2" t="n"/>
    </row>
    <row r="417" ht="15.75" customHeight="1" s="67">
      <c r="A417" s="2" t="n"/>
      <c r="B417" s="2" t="n"/>
      <c r="C417" s="2" t="n"/>
      <c r="D417" s="2" t="n"/>
      <c r="E417" s="2" t="n"/>
      <c r="F417" s="2" t="n"/>
    </row>
    <row r="418" ht="15.75" customHeight="1" s="67">
      <c r="A418" s="2" t="n"/>
      <c r="B418" s="2" t="n"/>
      <c r="C418" s="2" t="n"/>
      <c r="D418" s="2" t="n"/>
      <c r="E418" s="2" t="n"/>
      <c r="F418" s="2" t="n"/>
    </row>
    <row r="419" ht="15.75" customHeight="1" s="67">
      <c r="A419" s="2" t="n"/>
      <c r="B419" s="2" t="n"/>
      <c r="C419" s="2" t="n"/>
      <c r="D419" s="2" t="n"/>
      <c r="E419" s="2" t="n"/>
      <c r="F419" s="2" t="n"/>
    </row>
    <row r="420" ht="15.75" customHeight="1" s="67">
      <c r="A420" s="2" t="n"/>
      <c r="B420" s="2" t="n"/>
      <c r="C420" s="2" t="n"/>
      <c r="D420" s="2" t="n"/>
      <c r="E420" s="2" t="n"/>
      <c r="F420" s="2" t="n"/>
    </row>
    <row r="421" ht="15.75" customHeight="1" s="67">
      <c r="A421" s="2" t="n"/>
      <c r="B421" s="2" t="n"/>
      <c r="C421" s="2" t="n"/>
      <c r="D421" s="2" t="n"/>
      <c r="E421" s="2" t="n"/>
      <c r="F421" s="2" t="n"/>
    </row>
    <row r="422" ht="15.75" customHeight="1" s="67">
      <c r="A422" s="2" t="n"/>
      <c r="B422" s="2" t="n"/>
      <c r="C422" s="2" t="n"/>
      <c r="D422" s="2" t="n"/>
      <c r="E422" s="2" t="n"/>
      <c r="F422" s="2" t="n"/>
    </row>
    <row r="423" ht="15.75" customHeight="1" s="67">
      <c r="A423" s="2" t="n"/>
      <c r="B423" s="2" t="n"/>
      <c r="C423" s="2" t="n"/>
      <c r="D423" s="2" t="n"/>
      <c r="E423" s="2" t="n"/>
      <c r="F423" s="2" t="n"/>
    </row>
    <row r="424" ht="15.75" customHeight="1" s="67">
      <c r="A424" s="2" t="n"/>
      <c r="B424" s="2" t="n"/>
      <c r="C424" s="2" t="n"/>
      <c r="D424" s="2" t="n"/>
      <c r="E424" s="2" t="n"/>
      <c r="F424" s="2" t="n"/>
    </row>
    <row r="425" ht="15.75" customHeight="1" s="67">
      <c r="A425" s="2" t="n"/>
      <c r="B425" s="2" t="n"/>
      <c r="C425" s="2" t="n"/>
      <c r="D425" s="2" t="n"/>
      <c r="E425" s="2" t="n"/>
      <c r="F425" s="2" t="n"/>
    </row>
    <row r="426" ht="15.75" customHeight="1" s="67">
      <c r="A426" s="2" t="n"/>
      <c r="B426" s="2" t="n"/>
      <c r="C426" s="2" t="n"/>
      <c r="D426" s="2" t="n"/>
      <c r="E426" s="2" t="n"/>
      <c r="F426" s="2" t="n"/>
    </row>
    <row r="427" ht="15.75" customHeight="1" s="67">
      <c r="A427" s="2" t="n"/>
      <c r="B427" s="2" t="n"/>
      <c r="C427" s="2" t="n"/>
      <c r="D427" s="2" t="n"/>
      <c r="E427" s="2" t="n"/>
      <c r="F427" s="2" t="n"/>
    </row>
    <row r="428" ht="15.75" customHeight="1" s="67">
      <c r="A428" s="2" t="n"/>
      <c r="B428" s="2" t="n"/>
      <c r="C428" s="2" t="n"/>
      <c r="D428" s="2" t="n"/>
      <c r="E428" s="2" t="n"/>
      <c r="F428" s="2" t="n"/>
    </row>
    <row r="429" ht="15.75" customHeight="1" s="67">
      <c r="A429" s="2" t="n"/>
      <c r="B429" s="2" t="n"/>
      <c r="C429" s="2" t="n"/>
      <c r="D429" s="2" t="n"/>
      <c r="E429" s="2" t="n"/>
      <c r="F429" s="2" t="n"/>
    </row>
    <row r="430" ht="15.75" customHeight="1" s="67">
      <c r="A430" s="2" t="n"/>
      <c r="B430" s="2" t="n"/>
      <c r="C430" s="2" t="n"/>
      <c r="D430" s="2" t="n"/>
      <c r="E430" s="2" t="n"/>
      <c r="F430" s="2" t="n"/>
    </row>
    <row r="431" ht="15.75" customHeight="1" s="67">
      <c r="A431" s="2" t="n"/>
      <c r="B431" s="2" t="n"/>
      <c r="C431" s="2" t="n"/>
      <c r="D431" s="2" t="n"/>
      <c r="E431" s="2" t="n"/>
      <c r="F431" s="2" t="n"/>
    </row>
    <row r="432" ht="15.75" customHeight="1" s="67">
      <c r="A432" s="2" t="n"/>
      <c r="B432" s="2" t="n"/>
      <c r="C432" s="2" t="n"/>
      <c r="D432" s="2" t="n"/>
      <c r="E432" s="2" t="n"/>
      <c r="F432" s="2" t="n"/>
    </row>
    <row r="433" ht="15.75" customHeight="1" s="67">
      <c r="A433" s="2" t="n"/>
      <c r="B433" s="2" t="n"/>
      <c r="C433" s="2" t="n"/>
      <c r="D433" s="2" t="n"/>
      <c r="E433" s="2" t="n"/>
      <c r="F433" s="2" t="n"/>
    </row>
    <row r="434" ht="15.75" customHeight="1" s="67">
      <c r="A434" s="2" t="n"/>
      <c r="B434" s="2" t="n"/>
      <c r="C434" s="2" t="n"/>
      <c r="D434" s="2" t="n"/>
      <c r="E434" s="2" t="n"/>
      <c r="F434" s="2" t="n"/>
    </row>
    <row r="435" ht="15.75" customHeight="1" s="67">
      <c r="A435" s="2" t="n"/>
      <c r="B435" s="2" t="n"/>
      <c r="C435" s="2" t="n"/>
      <c r="D435" s="2" t="n"/>
      <c r="E435" s="2" t="n"/>
      <c r="F435" s="2" t="n"/>
    </row>
    <row r="436" ht="15.75" customHeight="1" s="67">
      <c r="A436" s="2" t="n"/>
      <c r="B436" s="2" t="n"/>
      <c r="C436" s="2" t="n"/>
      <c r="D436" s="2" t="n"/>
      <c r="E436" s="2" t="n"/>
      <c r="F436" s="2" t="n"/>
    </row>
    <row r="437" ht="15.75" customHeight="1" s="67">
      <c r="A437" s="2" t="n"/>
      <c r="B437" s="2" t="n"/>
      <c r="C437" s="2" t="n"/>
      <c r="D437" s="2" t="n"/>
      <c r="E437" s="2" t="n"/>
      <c r="F437" s="2" t="n"/>
    </row>
    <row r="438" ht="15.75" customHeight="1" s="67">
      <c r="A438" s="2" t="n"/>
      <c r="B438" s="2" t="n"/>
      <c r="C438" s="2" t="n"/>
      <c r="D438" s="2" t="n"/>
      <c r="E438" s="2" t="n"/>
      <c r="F438" s="2" t="n"/>
    </row>
    <row r="439" ht="15.75" customHeight="1" s="67">
      <c r="A439" s="2" t="n"/>
      <c r="B439" s="2" t="n"/>
      <c r="C439" s="2" t="n"/>
      <c r="D439" s="2" t="n"/>
      <c r="E439" s="2" t="n"/>
      <c r="F439" s="2" t="n"/>
    </row>
    <row r="440" ht="15.75" customHeight="1" s="67">
      <c r="A440" s="2" t="n"/>
      <c r="B440" s="2" t="n"/>
      <c r="C440" s="2" t="n"/>
      <c r="D440" s="2" t="n"/>
      <c r="E440" s="2" t="n"/>
      <c r="F440" s="2" t="n"/>
    </row>
    <row r="441" ht="15.75" customHeight="1" s="67">
      <c r="A441" s="2" t="n"/>
      <c r="B441" s="2" t="n"/>
      <c r="C441" s="2" t="n"/>
      <c r="D441" s="2" t="n"/>
      <c r="E441" s="2" t="n"/>
      <c r="F441" s="2" t="n"/>
    </row>
    <row r="442" ht="15.75" customHeight="1" s="67">
      <c r="A442" s="2" t="n"/>
      <c r="B442" s="2" t="n"/>
      <c r="C442" s="2" t="n"/>
      <c r="D442" s="2" t="n"/>
      <c r="E442" s="2" t="n"/>
      <c r="F442" s="2" t="n"/>
    </row>
    <row r="443" ht="15.75" customHeight="1" s="67">
      <c r="A443" s="2" t="n"/>
      <c r="B443" s="2" t="n"/>
      <c r="C443" s="2" t="n"/>
      <c r="D443" s="2" t="n"/>
      <c r="E443" s="2" t="n"/>
      <c r="F443" s="2" t="n"/>
    </row>
    <row r="444" ht="15.75" customHeight="1" s="67">
      <c r="A444" s="2" t="n"/>
      <c r="B444" s="2" t="n"/>
      <c r="C444" s="2" t="n"/>
      <c r="D444" s="2" t="n"/>
      <c r="E444" s="2" t="n"/>
      <c r="F444" s="2" t="n"/>
    </row>
    <row r="445" ht="15.75" customHeight="1" s="67">
      <c r="A445" s="2" t="n"/>
      <c r="B445" s="2" t="n"/>
      <c r="C445" s="2" t="n"/>
      <c r="D445" s="2" t="n"/>
      <c r="E445" s="2" t="n"/>
      <c r="F445" s="2" t="n"/>
    </row>
    <row r="446" ht="15.75" customHeight="1" s="67">
      <c r="A446" s="2" t="n"/>
      <c r="B446" s="2" t="n"/>
      <c r="C446" s="2" t="n"/>
      <c r="D446" s="2" t="n"/>
      <c r="E446" s="2" t="n"/>
      <c r="F446" s="2" t="n"/>
    </row>
    <row r="447" ht="15.75" customHeight="1" s="67">
      <c r="A447" s="2" t="n"/>
      <c r="B447" s="2" t="n"/>
      <c r="C447" s="2" t="n"/>
      <c r="D447" s="2" t="n"/>
      <c r="E447" s="2" t="n"/>
      <c r="F447" s="2" t="n"/>
    </row>
    <row r="448" ht="15.75" customHeight="1" s="67">
      <c r="A448" s="2" t="n"/>
      <c r="B448" s="2" t="n"/>
      <c r="C448" s="2" t="n"/>
      <c r="D448" s="2" t="n"/>
      <c r="E448" s="2" t="n"/>
      <c r="F448" s="2" t="n"/>
    </row>
    <row r="449" ht="15.75" customHeight="1" s="67">
      <c r="A449" s="2" t="n"/>
      <c r="B449" s="2" t="n"/>
      <c r="C449" s="2" t="n"/>
      <c r="D449" s="2" t="n"/>
      <c r="E449" s="2" t="n"/>
      <c r="F449" s="2" t="n"/>
    </row>
    <row r="450" ht="15.75" customHeight="1" s="67">
      <c r="A450" s="2" t="n"/>
      <c r="B450" s="2" t="n"/>
      <c r="C450" s="2" t="n"/>
      <c r="D450" s="2" t="n"/>
      <c r="E450" s="2" t="n"/>
      <c r="F450" s="2" t="n"/>
    </row>
    <row r="451" ht="15.75" customHeight="1" s="67">
      <c r="A451" s="2" t="n"/>
      <c r="B451" s="2" t="n"/>
      <c r="C451" s="2" t="n"/>
      <c r="D451" s="2" t="n"/>
      <c r="E451" s="2" t="n"/>
      <c r="F451" s="2" t="n"/>
    </row>
    <row r="452" ht="15.75" customHeight="1" s="67">
      <c r="A452" s="2" t="n"/>
      <c r="B452" s="2" t="n"/>
      <c r="C452" s="2" t="n"/>
      <c r="D452" s="2" t="n"/>
      <c r="E452" s="2" t="n"/>
      <c r="F452" s="2" t="n"/>
    </row>
    <row r="453" ht="15.75" customHeight="1" s="67">
      <c r="A453" s="2" t="n"/>
      <c r="B453" s="2" t="n"/>
      <c r="C453" s="2" t="n"/>
      <c r="D453" s="2" t="n"/>
      <c r="E453" s="2" t="n"/>
      <c r="F453" s="2" t="n"/>
    </row>
    <row r="454" ht="15.75" customHeight="1" s="67">
      <c r="A454" s="2" t="n"/>
      <c r="B454" s="2" t="n"/>
      <c r="C454" s="2" t="n"/>
      <c r="D454" s="2" t="n"/>
      <c r="E454" s="2" t="n"/>
      <c r="F454" s="2" t="n"/>
    </row>
    <row r="455" ht="15.75" customHeight="1" s="67">
      <c r="A455" s="2" t="n"/>
      <c r="B455" s="2" t="n"/>
      <c r="C455" s="2" t="n"/>
      <c r="D455" s="2" t="n"/>
      <c r="E455" s="2" t="n"/>
      <c r="F455" s="2" t="n"/>
    </row>
    <row r="456" ht="15.75" customHeight="1" s="67">
      <c r="A456" s="2" t="n"/>
      <c r="B456" s="2" t="n"/>
      <c r="C456" s="2" t="n"/>
      <c r="D456" s="2" t="n"/>
      <c r="E456" s="2" t="n"/>
      <c r="F456" s="2" t="n"/>
    </row>
    <row r="457" ht="15.75" customHeight="1" s="67">
      <c r="A457" s="2" t="n"/>
      <c r="B457" s="2" t="n"/>
      <c r="C457" s="2" t="n"/>
      <c r="D457" s="2" t="n"/>
      <c r="E457" s="2" t="n"/>
      <c r="F457" s="2" t="n"/>
    </row>
    <row r="458" ht="15.75" customHeight="1" s="67">
      <c r="A458" s="2" t="n"/>
      <c r="B458" s="2" t="n"/>
      <c r="C458" s="2" t="n"/>
      <c r="D458" s="2" t="n"/>
      <c r="E458" s="2" t="n"/>
      <c r="F458" s="2" t="n"/>
    </row>
    <row r="459" ht="15.75" customHeight="1" s="67">
      <c r="A459" s="2" t="n"/>
      <c r="B459" s="2" t="n"/>
      <c r="C459" s="2" t="n"/>
      <c r="D459" s="2" t="n"/>
      <c r="E459" s="2" t="n"/>
      <c r="F459" s="2" t="n"/>
    </row>
    <row r="460" ht="15.75" customHeight="1" s="67">
      <c r="A460" s="2" t="n"/>
      <c r="B460" s="2" t="n"/>
      <c r="C460" s="2" t="n"/>
      <c r="D460" s="2" t="n"/>
      <c r="E460" s="2" t="n"/>
      <c r="F460" s="2" t="n"/>
    </row>
    <row r="461" ht="15.75" customHeight="1" s="67">
      <c r="A461" s="2" t="n"/>
      <c r="B461" s="2" t="n"/>
      <c r="C461" s="2" t="n"/>
      <c r="D461" s="2" t="n"/>
      <c r="E461" s="2" t="n"/>
      <c r="F461" s="2" t="n"/>
    </row>
    <row r="462" ht="15.75" customHeight="1" s="67">
      <c r="A462" s="2" t="n"/>
      <c r="B462" s="2" t="n"/>
      <c r="C462" s="2" t="n"/>
      <c r="D462" s="2" t="n"/>
      <c r="E462" s="2" t="n"/>
      <c r="F462" s="2" t="n"/>
    </row>
    <row r="463" ht="15.75" customHeight="1" s="67">
      <c r="A463" s="2" t="n"/>
      <c r="B463" s="2" t="n"/>
      <c r="C463" s="2" t="n"/>
      <c r="D463" s="2" t="n"/>
      <c r="E463" s="2" t="n"/>
      <c r="F463" s="2" t="n"/>
    </row>
    <row r="464" ht="15.75" customHeight="1" s="67">
      <c r="A464" s="2" t="n"/>
      <c r="B464" s="2" t="n"/>
      <c r="C464" s="2" t="n"/>
      <c r="D464" s="2" t="n"/>
      <c r="E464" s="2" t="n"/>
      <c r="F464" s="2" t="n"/>
    </row>
    <row r="465" ht="15.75" customHeight="1" s="67">
      <c r="A465" s="2" t="n"/>
      <c r="B465" s="2" t="n"/>
      <c r="C465" s="2" t="n"/>
      <c r="D465" s="2" t="n"/>
      <c r="E465" s="2" t="n"/>
      <c r="F465" s="2" t="n"/>
    </row>
    <row r="466" ht="15.75" customHeight="1" s="67">
      <c r="A466" s="2" t="n"/>
      <c r="B466" s="2" t="n"/>
      <c r="C466" s="2" t="n"/>
      <c r="D466" s="2" t="n"/>
      <c r="E466" s="2" t="n"/>
      <c r="F466" s="2" t="n"/>
    </row>
    <row r="467" ht="15.75" customHeight="1" s="67">
      <c r="A467" s="2" t="n"/>
      <c r="B467" s="2" t="n"/>
      <c r="C467" s="2" t="n"/>
      <c r="D467" s="2" t="n"/>
      <c r="E467" s="2" t="n"/>
      <c r="F467" s="2" t="n"/>
    </row>
    <row r="468" ht="15.75" customHeight="1" s="67">
      <c r="A468" s="2" t="n"/>
      <c r="B468" s="2" t="n"/>
      <c r="C468" s="2" t="n"/>
      <c r="D468" s="2" t="n"/>
      <c r="E468" s="2" t="n"/>
      <c r="F468" s="2" t="n"/>
    </row>
    <row r="469" ht="15.75" customHeight="1" s="67">
      <c r="A469" s="2" t="n"/>
      <c r="B469" s="2" t="n"/>
      <c r="C469" s="2" t="n"/>
      <c r="D469" s="2" t="n"/>
      <c r="E469" s="2" t="n"/>
      <c r="F469" s="2" t="n"/>
    </row>
    <row r="470" ht="15.75" customHeight="1" s="67">
      <c r="A470" s="2" t="n"/>
      <c r="B470" s="2" t="n"/>
      <c r="C470" s="2" t="n"/>
      <c r="D470" s="2" t="n"/>
      <c r="E470" s="2" t="n"/>
      <c r="F470" s="2" t="n"/>
    </row>
    <row r="471" ht="15.75" customHeight="1" s="67">
      <c r="A471" s="2" t="n"/>
      <c r="B471" s="2" t="n"/>
      <c r="C471" s="2" t="n"/>
      <c r="D471" s="2" t="n"/>
      <c r="E471" s="2" t="n"/>
      <c r="F471" s="2" t="n"/>
    </row>
    <row r="472" ht="15.75" customHeight="1" s="67">
      <c r="A472" s="2" t="n"/>
      <c r="B472" s="2" t="n"/>
      <c r="C472" s="2" t="n"/>
      <c r="D472" s="2" t="n"/>
      <c r="E472" s="2" t="n"/>
      <c r="F472" s="2" t="n"/>
    </row>
    <row r="473" ht="15.75" customHeight="1" s="67">
      <c r="A473" s="2" t="n"/>
      <c r="B473" s="2" t="n"/>
      <c r="C473" s="2" t="n"/>
      <c r="D473" s="2" t="n"/>
      <c r="E473" s="2" t="n"/>
      <c r="F473" s="2" t="n"/>
    </row>
    <row r="474" ht="15.75" customHeight="1" s="67">
      <c r="A474" s="2" t="n"/>
      <c r="B474" s="2" t="n"/>
      <c r="C474" s="2" t="n"/>
      <c r="D474" s="2" t="n"/>
      <c r="E474" s="2" t="n"/>
      <c r="F474" s="2" t="n"/>
    </row>
    <row r="475" ht="15.75" customHeight="1" s="67">
      <c r="A475" s="2" t="n"/>
      <c r="B475" s="2" t="n"/>
      <c r="C475" s="2" t="n"/>
      <c r="D475" s="2" t="n"/>
      <c r="E475" s="2" t="n"/>
      <c r="F475" s="2" t="n"/>
    </row>
    <row r="476" ht="15.75" customHeight="1" s="67">
      <c r="A476" s="2" t="n"/>
      <c r="B476" s="2" t="n"/>
      <c r="C476" s="2" t="n"/>
      <c r="D476" s="2" t="n"/>
      <c r="E476" s="2" t="n"/>
      <c r="F476" s="2" t="n"/>
    </row>
    <row r="477" ht="15.75" customHeight="1" s="67">
      <c r="A477" s="2" t="n"/>
      <c r="B477" s="2" t="n"/>
      <c r="C477" s="2" t="n"/>
      <c r="D477" s="2" t="n"/>
      <c r="E477" s="2" t="n"/>
      <c r="F477" s="2" t="n"/>
    </row>
    <row r="478" ht="15.75" customHeight="1" s="67">
      <c r="A478" s="2" t="n"/>
      <c r="B478" s="2" t="n"/>
      <c r="C478" s="2" t="n"/>
      <c r="D478" s="2" t="n"/>
      <c r="E478" s="2" t="n"/>
      <c r="F478" s="2" t="n"/>
    </row>
    <row r="479" ht="15.75" customHeight="1" s="67">
      <c r="A479" s="2" t="n"/>
      <c r="B479" s="2" t="n"/>
      <c r="C479" s="2" t="n"/>
      <c r="D479" s="2" t="n"/>
      <c r="E479" s="2" t="n"/>
      <c r="F479" s="2" t="n"/>
    </row>
    <row r="480" ht="15.75" customHeight="1" s="67">
      <c r="A480" s="2" t="n"/>
      <c r="B480" s="2" t="n"/>
      <c r="C480" s="2" t="n"/>
      <c r="D480" s="2" t="n"/>
      <c r="E480" s="2" t="n"/>
      <c r="F480" s="2" t="n"/>
    </row>
    <row r="481" ht="15.75" customHeight="1" s="67">
      <c r="A481" s="2" t="n"/>
      <c r="B481" s="2" t="n"/>
      <c r="C481" s="2" t="n"/>
      <c r="D481" s="2" t="n"/>
      <c r="E481" s="2" t="n"/>
      <c r="F481" s="2" t="n"/>
    </row>
    <row r="482" ht="15.75" customHeight="1" s="67">
      <c r="A482" s="2" t="n"/>
      <c r="B482" s="2" t="n"/>
      <c r="C482" s="2" t="n"/>
      <c r="D482" s="2" t="n"/>
      <c r="E482" s="2" t="n"/>
      <c r="F482" s="2" t="n"/>
    </row>
    <row r="483" ht="15.75" customHeight="1" s="67">
      <c r="A483" s="2" t="n"/>
      <c r="B483" s="2" t="n"/>
      <c r="C483" s="2" t="n"/>
      <c r="D483" s="2" t="n"/>
      <c r="E483" s="2" t="n"/>
      <c r="F483" s="2" t="n"/>
    </row>
    <row r="484" ht="15.75" customHeight="1" s="67">
      <c r="A484" s="2" t="n"/>
      <c r="B484" s="2" t="n"/>
      <c r="C484" s="2" t="n"/>
      <c r="D484" s="2" t="n"/>
      <c r="E484" s="2" t="n"/>
      <c r="F484" s="2" t="n"/>
    </row>
    <row r="485" ht="15.75" customHeight="1" s="67">
      <c r="A485" s="2" t="n"/>
      <c r="B485" s="2" t="n"/>
      <c r="C485" s="2" t="n"/>
      <c r="D485" s="2" t="n"/>
      <c r="E485" s="2" t="n"/>
      <c r="F485" s="2" t="n"/>
    </row>
    <row r="486" ht="15.75" customHeight="1" s="67">
      <c r="A486" s="2" t="n"/>
      <c r="B486" s="2" t="n"/>
      <c r="C486" s="2" t="n"/>
      <c r="D486" s="2" t="n"/>
      <c r="E486" s="2" t="n"/>
      <c r="F486" s="2" t="n"/>
    </row>
    <row r="487" ht="15.75" customHeight="1" s="67">
      <c r="A487" s="2" t="n"/>
      <c r="B487" s="2" t="n"/>
      <c r="C487" s="2" t="n"/>
      <c r="D487" s="2" t="n"/>
      <c r="E487" s="2" t="n"/>
      <c r="F487" s="2" t="n"/>
    </row>
    <row r="488" ht="15.75" customHeight="1" s="67">
      <c r="A488" s="2" t="n"/>
      <c r="B488" s="2" t="n"/>
      <c r="C488" s="2" t="n"/>
      <c r="D488" s="2" t="n"/>
      <c r="E488" s="2" t="n"/>
      <c r="F488" s="2" t="n"/>
    </row>
    <row r="489" ht="15.75" customHeight="1" s="67">
      <c r="A489" s="2" t="n"/>
      <c r="B489" s="2" t="n"/>
      <c r="C489" s="2" t="n"/>
      <c r="D489" s="2" t="n"/>
      <c r="E489" s="2" t="n"/>
      <c r="F489" s="2" t="n"/>
    </row>
    <row r="490" ht="15.75" customHeight="1" s="67">
      <c r="A490" s="2" t="n"/>
      <c r="B490" s="2" t="n"/>
      <c r="C490" s="2" t="n"/>
      <c r="D490" s="2" t="n"/>
      <c r="E490" s="2" t="n"/>
      <c r="F490" s="2" t="n"/>
    </row>
    <row r="491" ht="15.75" customHeight="1" s="67">
      <c r="A491" s="2" t="n"/>
      <c r="B491" s="2" t="n"/>
      <c r="C491" s="2" t="n"/>
      <c r="D491" s="2" t="n"/>
      <c r="E491" s="2" t="n"/>
      <c r="F491" s="2" t="n"/>
    </row>
    <row r="492" ht="15.75" customHeight="1" s="67">
      <c r="A492" s="2" t="n"/>
      <c r="B492" s="2" t="n"/>
      <c r="C492" s="2" t="n"/>
      <c r="D492" s="2" t="n"/>
      <c r="E492" s="2" t="n"/>
      <c r="F492" s="2" t="n"/>
    </row>
    <row r="493" ht="15.75" customHeight="1" s="67">
      <c r="A493" s="2" t="n"/>
      <c r="B493" s="2" t="n"/>
      <c r="C493" s="2" t="n"/>
      <c r="D493" s="2" t="n"/>
      <c r="E493" s="2" t="n"/>
      <c r="F493" s="2" t="n"/>
    </row>
    <row r="494" ht="15.75" customHeight="1" s="67">
      <c r="A494" s="2" t="n"/>
      <c r="B494" s="2" t="n"/>
      <c r="C494" s="2" t="n"/>
      <c r="D494" s="2" t="n"/>
      <c r="E494" s="2" t="n"/>
      <c r="F494" s="2" t="n"/>
    </row>
    <row r="495" ht="15.75" customHeight="1" s="67">
      <c r="A495" s="2" t="n"/>
      <c r="B495" s="2" t="n"/>
      <c r="C495" s="2" t="n"/>
      <c r="D495" s="2" t="n"/>
      <c r="E495" s="2" t="n"/>
      <c r="F495" s="2" t="n"/>
    </row>
    <row r="496" ht="15.75" customHeight="1" s="67">
      <c r="A496" s="2" t="n"/>
      <c r="B496" s="2" t="n"/>
      <c r="C496" s="2" t="n"/>
      <c r="D496" s="2" t="n"/>
      <c r="E496" s="2" t="n"/>
      <c r="F496" s="2" t="n"/>
    </row>
    <row r="497" ht="15.75" customHeight="1" s="67">
      <c r="A497" s="2" t="n"/>
      <c r="B497" s="2" t="n"/>
      <c r="C497" s="2" t="n"/>
      <c r="D497" s="2" t="n"/>
      <c r="E497" s="2" t="n"/>
      <c r="F497" s="2" t="n"/>
    </row>
    <row r="498" ht="15.75" customHeight="1" s="67">
      <c r="A498" s="2" t="n"/>
      <c r="B498" s="2" t="n"/>
      <c r="C498" s="2" t="n"/>
      <c r="D498" s="2" t="n"/>
      <c r="E498" s="2" t="n"/>
      <c r="F498" s="2" t="n"/>
    </row>
    <row r="499" ht="15.75" customHeight="1" s="67">
      <c r="A499" s="2" t="n"/>
      <c r="B499" s="2" t="n"/>
      <c r="C499" s="2" t="n"/>
      <c r="D499" s="2" t="n"/>
      <c r="E499" s="2" t="n"/>
      <c r="F499" s="2" t="n"/>
    </row>
    <row r="500" ht="15.75" customHeight="1" s="67">
      <c r="A500" s="2" t="n"/>
      <c r="B500" s="2" t="n"/>
      <c r="C500" s="2" t="n"/>
      <c r="D500" s="2" t="n"/>
      <c r="E500" s="2" t="n"/>
      <c r="F500" s="2" t="n"/>
    </row>
    <row r="501" ht="15.75" customHeight="1" s="67">
      <c r="A501" s="2" t="n"/>
      <c r="B501" s="2" t="n"/>
      <c r="C501" s="2" t="n"/>
      <c r="D501" s="2" t="n"/>
      <c r="E501" s="2" t="n"/>
      <c r="F501" s="2" t="n"/>
    </row>
    <row r="502" ht="15.75" customHeight="1" s="67">
      <c r="A502" s="2" t="n"/>
      <c r="B502" s="2" t="n"/>
      <c r="C502" s="2" t="n"/>
      <c r="D502" s="2" t="n"/>
      <c r="E502" s="2" t="n"/>
      <c r="F502" s="2" t="n"/>
    </row>
    <row r="503" ht="15.75" customHeight="1" s="67">
      <c r="A503" s="2" t="n"/>
      <c r="B503" s="2" t="n"/>
      <c r="C503" s="2" t="n"/>
      <c r="D503" s="2" t="n"/>
      <c r="E503" s="2" t="n"/>
      <c r="F503" s="2" t="n"/>
    </row>
    <row r="504" ht="15.75" customHeight="1" s="67">
      <c r="A504" s="2" t="n"/>
      <c r="B504" s="2" t="n"/>
      <c r="C504" s="2" t="n"/>
      <c r="D504" s="2" t="n"/>
      <c r="E504" s="2" t="n"/>
      <c r="F504" s="2" t="n"/>
    </row>
    <row r="505" ht="15.75" customHeight="1" s="67">
      <c r="A505" s="2" t="n"/>
      <c r="B505" s="2" t="n"/>
      <c r="C505" s="2" t="n"/>
      <c r="D505" s="2" t="n"/>
      <c r="E505" s="2" t="n"/>
      <c r="F505" s="2" t="n"/>
    </row>
    <row r="506" ht="15.75" customHeight="1" s="67">
      <c r="A506" s="2" t="n"/>
      <c r="B506" s="2" t="n"/>
      <c r="C506" s="2" t="n"/>
      <c r="D506" s="2" t="n"/>
      <c r="E506" s="2" t="n"/>
      <c r="F506" s="2" t="n"/>
    </row>
    <row r="507" ht="15.75" customHeight="1" s="67">
      <c r="A507" s="2" t="n"/>
      <c r="B507" s="2" t="n"/>
      <c r="C507" s="2" t="n"/>
      <c r="D507" s="2" t="n"/>
      <c r="E507" s="2" t="n"/>
      <c r="F507" s="2" t="n"/>
    </row>
    <row r="508" ht="15.75" customHeight="1" s="67">
      <c r="A508" s="2" t="n"/>
      <c r="B508" s="2" t="n"/>
      <c r="C508" s="2" t="n"/>
      <c r="D508" s="2" t="n"/>
      <c r="E508" s="2" t="n"/>
      <c r="F508" s="2" t="n"/>
    </row>
    <row r="509" ht="15.75" customHeight="1" s="67">
      <c r="A509" s="2" t="n"/>
      <c r="B509" s="2" t="n"/>
      <c r="C509" s="2" t="n"/>
      <c r="D509" s="2" t="n"/>
      <c r="E509" s="2" t="n"/>
      <c r="F509" s="2" t="n"/>
    </row>
    <row r="510" ht="15.75" customHeight="1" s="67">
      <c r="A510" s="2" t="n"/>
      <c r="B510" s="2" t="n"/>
      <c r="C510" s="2" t="n"/>
      <c r="D510" s="2" t="n"/>
      <c r="E510" s="2" t="n"/>
      <c r="F510" s="2" t="n"/>
    </row>
    <row r="511" ht="15.75" customHeight="1" s="67">
      <c r="A511" s="2" t="n"/>
      <c r="B511" s="2" t="n"/>
      <c r="C511" s="2" t="n"/>
      <c r="D511" s="2" t="n"/>
      <c r="E511" s="2" t="n"/>
      <c r="F511" s="2" t="n"/>
    </row>
    <row r="512" ht="15.75" customHeight="1" s="67">
      <c r="A512" s="2" t="n"/>
      <c r="B512" s="2" t="n"/>
      <c r="C512" s="2" t="n"/>
      <c r="D512" s="2" t="n"/>
      <c r="E512" s="2" t="n"/>
      <c r="F512" s="2" t="n"/>
    </row>
    <row r="513" ht="15.75" customHeight="1" s="67">
      <c r="A513" s="2" t="n"/>
      <c r="B513" s="2" t="n"/>
      <c r="C513" s="2" t="n"/>
      <c r="D513" s="2" t="n"/>
      <c r="E513" s="2" t="n"/>
      <c r="F513" s="2" t="n"/>
    </row>
    <row r="514" ht="15.75" customHeight="1" s="67">
      <c r="A514" s="2" t="n"/>
      <c r="B514" s="2" t="n"/>
      <c r="C514" s="2" t="n"/>
      <c r="D514" s="2" t="n"/>
      <c r="E514" s="2" t="n"/>
      <c r="F514" s="2" t="n"/>
    </row>
    <row r="515" ht="15.75" customHeight="1" s="67">
      <c r="A515" s="2" t="n"/>
      <c r="B515" s="2" t="n"/>
      <c r="C515" s="2" t="n"/>
      <c r="D515" s="2" t="n"/>
      <c r="E515" s="2" t="n"/>
      <c r="F515" s="2" t="n"/>
    </row>
    <row r="516" ht="15.75" customHeight="1" s="67">
      <c r="A516" s="2" t="n"/>
      <c r="B516" s="2" t="n"/>
      <c r="C516" s="2" t="n"/>
      <c r="D516" s="2" t="n"/>
      <c r="E516" s="2" t="n"/>
      <c r="F516" s="2" t="n"/>
    </row>
    <row r="517" ht="15.75" customHeight="1" s="67">
      <c r="A517" s="2" t="n"/>
      <c r="B517" s="2" t="n"/>
      <c r="C517" s="2" t="n"/>
      <c r="D517" s="2" t="n"/>
      <c r="E517" s="2" t="n"/>
      <c r="F517" s="2" t="n"/>
    </row>
    <row r="518" ht="15.75" customHeight="1" s="67">
      <c r="A518" s="2" t="n"/>
      <c r="B518" s="2" t="n"/>
      <c r="C518" s="2" t="n"/>
      <c r="D518" s="2" t="n"/>
      <c r="E518" s="2" t="n"/>
      <c r="F518" s="2" t="n"/>
    </row>
    <row r="519" ht="15.75" customHeight="1" s="67">
      <c r="A519" s="2" t="n"/>
      <c r="B519" s="2" t="n"/>
      <c r="C519" s="2" t="n"/>
      <c r="D519" s="2" t="n"/>
      <c r="E519" s="2" t="n"/>
      <c r="F519" s="2" t="n"/>
    </row>
    <row r="520" ht="15.75" customHeight="1" s="67">
      <c r="A520" s="2" t="n"/>
      <c r="B520" s="2" t="n"/>
      <c r="C520" s="2" t="n"/>
      <c r="D520" s="2" t="n"/>
      <c r="E520" s="2" t="n"/>
      <c r="F520" s="2" t="n"/>
    </row>
    <row r="521" ht="15.75" customHeight="1" s="67">
      <c r="A521" s="2" t="n"/>
      <c r="B521" s="2" t="n"/>
      <c r="C521" s="2" t="n"/>
      <c r="D521" s="2" t="n"/>
      <c r="E521" s="2" t="n"/>
      <c r="F521" s="2" t="n"/>
    </row>
    <row r="522" ht="15.75" customHeight="1" s="67">
      <c r="A522" s="2" t="n"/>
      <c r="B522" s="2" t="n"/>
      <c r="C522" s="2" t="n"/>
      <c r="D522" s="2" t="n"/>
      <c r="E522" s="2" t="n"/>
      <c r="F522" s="2" t="n"/>
    </row>
    <row r="523" ht="15.75" customHeight="1" s="67">
      <c r="A523" s="2" t="n"/>
      <c r="B523" s="2" t="n"/>
      <c r="C523" s="2" t="n"/>
      <c r="D523" s="2" t="n"/>
      <c r="E523" s="2" t="n"/>
      <c r="F523" s="2" t="n"/>
    </row>
    <row r="524" ht="15.75" customHeight="1" s="67">
      <c r="A524" s="2" t="n"/>
      <c r="B524" s="2" t="n"/>
      <c r="C524" s="2" t="n"/>
      <c r="D524" s="2" t="n"/>
      <c r="E524" s="2" t="n"/>
      <c r="F524" s="2" t="n"/>
    </row>
    <row r="525" ht="15.75" customHeight="1" s="67">
      <c r="A525" s="2" t="n"/>
      <c r="B525" s="2" t="n"/>
      <c r="C525" s="2" t="n"/>
      <c r="D525" s="2" t="n"/>
      <c r="E525" s="2" t="n"/>
      <c r="F525" s="2" t="n"/>
    </row>
    <row r="526" ht="15.75" customHeight="1" s="67">
      <c r="A526" s="2" t="n"/>
      <c r="B526" s="2" t="n"/>
      <c r="C526" s="2" t="n"/>
      <c r="D526" s="2" t="n"/>
      <c r="E526" s="2" t="n"/>
      <c r="F526" s="2" t="n"/>
    </row>
    <row r="527" ht="15.75" customHeight="1" s="67">
      <c r="A527" s="2" t="n"/>
      <c r="B527" s="2" t="n"/>
      <c r="C527" s="2" t="n"/>
      <c r="D527" s="2" t="n"/>
      <c r="E527" s="2" t="n"/>
      <c r="F527" s="2" t="n"/>
    </row>
    <row r="528" ht="15.75" customHeight="1" s="67">
      <c r="A528" s="2" t="n"/>
      <c r="B528" s="2" t="n"/>
      <c r="C528" s="2" t="n"/>
      <c r="D528" s="2" t="n"/>
      <c r="E528" s="2" t="n"/>
      <c r="F528" s="2" t="n"/>
    </row>
    <row r="529" ht="15.75" customHeight="1" s="67">
      <c r="A529" s="2" t="n"/>
      <c r="B529" s="2" t="n"/>
      <c r="C529" s="2" t="n"/>
      <c r="D529" s="2" t="n"/>
      <c r="E529" s="2" t="n"/>
      <c r="F529" s="2" t="n"/>
    </row>
    <row r="530" ht="15.75" customHeight="1" s="67">
      <c r="A530" s="2" t="n"/>
      <c r="B530" s="2" t="n"/>
      <c r="C530" s="2" t="n"/>
      <c r="D530" s="2" t="n"/>
      <c r="E530" s="2" t="n"/>
      <c r="F530" s="2" t="n"/>
    </row>
    <row r="531" ht="15.75" customHeight="1" s="67">
      <c r="A531" s="2" t="n"/>
      <c r="B531" s="2" t="n"/>
      <c r="C531" s="2" t="n"/>
      <c r="D531" s="2" t="n"/>
      <c r="E531" s="2" t="n"/>
      <c r="F531" s="2" t="n"/>
    </row>
    <row r="532" ht="15.75" customHeight="1" s="67">
      <c r="A532" s="2" t="n"/>
      <c r="B532" s="2" t="n"/>
      <c r="C532" s="2" t="n"/>
      <c r="D532" s="2" t="n"/>
      <c r="E532" s="2" t="n"/>
      <c r="F532" s="2" t="n"/>
    </row>
    <row r="533" ht="15.75" customHeight="1" s="67">
      <c r="A533" s="2" t="n"/>
      <c r="B533" s="2" t="n"/>
      <c r="C533" s="2" t="n"/>
      <c r="D533" s="2" t="n"/>
      <c r="E533" s="2" t="n"/>
      <c r="F533" s="2" t="n"/>
    </row>
    <row r="534" ht="15.75" customHeight="1" s="67">
      <c r="A534" s="2" t="n"/>
      <c r="B534" s="2" t="n"/>
      <c r="C534" s="2" t="n"/>
      <c r="D534" s="2" t="n"/>
      <c r="E534" s="2" t="n"/>
      <c r="F534" s="2" t="n"/>
    </row>
    <row r="535" ht="15.75" customHeight="1" s="67">
      <c r="A535" s="2" t="n"/>
      <c r="B535" s="2" t="n"/>
      <c r="C535" s="2" t="n"/>
      <c r="D535" s="2" t="n"/>
      <c r="E535" s="2" t="n"/>
      <c r="F535" s="2" t="n"/>
    </row>
    <row r="536" ht="15.75" customHeight="1" s="67">
      <c r="A536" s="2" t="n"/>
      <c r="B536" s="2" t="n"/>
      <c r="C536" s="2" t="n"/>
      <c r="D536" s="2" t="n"/>
      <c r="E536" s="2" t="n"/>
      <c r="F536" s="2" t="n"/>
    </row>
    <row r="537" ht="15.75" customHeight="1" s="67">
      <c r="A537" s="2" t="n"/>
      <c r="B537" s="2" t="n"/>
      <c r="C537" s="2" t="n"/>
      <c r="D537" s="2" t="n"/>
      <c r="E537" s="2" t="n"/>
      <c r="F537" s="2" t="n"/>
    </row>
    <row r="538" ht="15.75" customHeight="1" s="67">
      <c r="A538" s="2" t="n"/>
      <c r="B538" s="2" t="n"/>
      <c r="C538" s="2" t="n"/>
      <c r="D538" s="2" t="n"/>
      <c r="E538" s="2" t="n"/>
      <c r="F538" s="2" t="n"/>
    </row>
    <row r="539" ht="15.75" customHeight="1" s="67">
      <c r="A539" s="2" t="n"/>
      <c r="B539" s="2" t="n"/>
      <c r="C539" s="2" t="n"/>
      <c r="D539" s="2" t="n"/>
      <c r="E539" s="2" t="n"/>
      <c r="F539" s="2" t="n"/>
    </row>
    <row r="540" ht="15.75" customHeight="1" s="67">
      <c r="A540" s="2" t="n"/>
      <c r="B540" s="2" t="n"/>
      <c r="C540" s="2" t="n"/>
      <c r="D540" s="2" t="n"/>
      <c r="E540" s="2" t="n"/>
      <c r="F540" s="2" t="n"/>
    </row>
    <row r="541" ht="15.75" customHeight="1" s="67">
      <c r="A541" s="2" t="n"/>
      <c r="B541" s="2" t="n"/>
      <c r="C541" s="2" t="n"/>
      <c r="D541" s="2" t="n"/>
      <c r="E541" s="2" t="n"/>
      <c r="F541" s="2" t="n"/>
    </row>
    <row r="542" ht="15.75" customHeight="1" s="67">
      <c r="A542" s="2" t="n"/>
      <c r="B542" s="2" t="n"/>
      <c r="C542" s="2" t="n"/>
      <c r="D542" s="2" t="n"/>
      <c r="E542" s="2" t="n"/>
      <c r="F542" s="2" t="n"/>
    </row>
    <row r="543" ht="15.75" customHeight="1" s="67">
      <c r="A543" s="2" t="n"/>
      <c r="B543" s="2" t="n"/>
      <c r="C543" s="2" t="n"/>
      <c r="D543" s="2" t="n"/>
      <c r="E543" s="2" t="n"/>
      <c r="F543" s="2" t="n"/>
    </row>
    <row r="544" ht="15.75" customHeight="1" s="67">
      <c r="A544" s="2" t="n"/>
      <c r="B544" s="2" t="n"/>
      <c r="C544" s="2" t="n"/>
      <c r="D544" s="2" t="n"/>
      <c r="E544" s="2" t="n"/>
      <c r="F544" s="2" t="n"/>
    </row>
    <row r="545" ht="15.75" customHeight="1" s="67">
      <c r="A545" s="2" t="n"/>
      <c r="B545" s="2" t="n"/>
      <c r="C545" s="2" t="n"/>
      <c r="D545" s="2" t="n"/>
      <c r="E545" s="2" t="n"/>
      <c r="F545" s="2" t="n"/>
    </row>
    <row r="546" ht="15.75" customHeight="1" s="67">
      <c r="A546" s="2" t="n"/>
      <c r="B546" s="2" t="n"/>
      <c r="C546" s="2" t="n"/>
      <c r="D546" s="2" t="n"/>
      <c r="E546" s="2" t="n"/>
      <c r="F546" s="2" t="n"/>
    </row>
    <row r="547" ht="15.75" customHeight="1" s="67">
      <c r="A547" s="2" t="n"/>
      <c r="B547" s="2" t="n"/>
      <c r="C547" s="2" t="n"/>
      <c r="D547" s="2" t="n"/>
      <c r="E547" s="2" t="n"/>
      <c r="F547" s="2" t="n"/>
    </row>
    <row r="548" ht="15.75" customHeight="1" s="67">
      <c r="A548" s="2" t="n"/>
      <c r="B548" s="2" t="n"/>
      <c r="C548" s="2" t="n"/>
      <c r="D548" s="2" t="n"/>
      <c r="E548" s="2" t="n"/>
      <c r="F548" s="2" t="n"/>
    </row>
    <row r="549" ht="15.75" customHeight="1" s="67">
      <c r="A549" s="2" t="n"/>
      <c r="B549" s="2" t="n"/>
      <c r="C549" s="2" t="n"/>
      <c r="D549" s="2" t="n"/>
      <c r="E549" s="2" t="n"/>
      <c r="F549" s="2" t="n"/>
    </row>
    <row r="550" ht="15.75" customHeight="1" s="67">
      <c r="A550" s="2" t="n"/>
      <c r="B550" s="2" t="n"/>
      <c r="C550" s="2" t="n"/>
      <c r="D550" s="2" t="n"/>
      <c r="E550" s="2" t="n"/>
      <c r="F550" s="2" t="n"/>
    </row>
    <row r="551" ht="15.75" customHeight="1" s="67">
      <c r="A551" s="2" t="n"/>
      <c r="B551" s="2" t="n"/>
      <c r="C551" s="2" t="n"/>
      <c r="D551" s="2" t="n"/>
      <c r="E551" s="2" t="n"/>
      <c r="F551" s="2" t="n"/>
    </row>
    <row r="552" ht="15.75" customHeight="1" s="67">
      <c r="A552" s="2" t="n"/>
      <c r="B552" s="2" t="n"/>
      <c r="C552" s="2" t="n"/>
      <c r="D552" s="2" t="n"/>
      <c r="E552" s="2" t="n"/>
      <c r="F552" s="2" t="n"/>
    </row>
    <row r="553" ht="15.75" customHeight="1" s="67">
      <c r="A553" s="2" t="n"/>
      <c r="B553" s="2" t="n"/>
      <c r="C553" s="2" t="n"/>
      <c r="D553" s="2" t="n"/>
      <c r="E553" s="2" t="n"/>
      <c r="F553" s="2" t="n"/>
    </row>
    <row r="554" ht="15.75" customHeight="1" s="67">
      <c r="A554" s="2" t="n"/>
      <c r="B554" s="2" t="n"/>
      <c r="C554" s="2" t="n"/>
      <c r="D554" s="2" t="n"/>
      <c r="E554" s="2" t="n"/>
      <c r="F554" s="2" t="n"/>
    </row>
    <row r="555" ht="15.75" customHeight="1" s="67">
      <c r="A555" s="2" t="n"/>
      <c r="B555" s="2" t="n"/>
      <c r="C555" s="2" t="n"/>
      <c r="D555" s="2" t="n"/>
      <c r="E555" s="2" t="n"/>
      <c r="F555" s="2" t="n"/>
    </row>
    <row r="556" ht="15.75" customHeight="1" s="67">
      <c r="A556" s="2" t="n"/>
      <c r="B556" s="2" t="n"/>
      <c r="C556" s="2" t="n"/>
      <c r="D556" s="2" t="n"/>
      <c r="E556" s="2" t="n"/>
      <c r="F556" s="2" t="n"/>
    </row>
    <row r="557" ht="15.75" customHeight="1" s="67">
      <c r="A557" s="2" t="n"/>
      <c r="B557" s="2" t="n"/>
      <c r="C557" s="2" t="n"/>
      <c r="D557" s="2" t="n"/>
      <c r="E557" s="2" t="n"/>
      <c r="F557" s="2" t="n"/>
    </row>
    <row r="558" ht="15.75" customHeight="1" s="67">
      <c r="A558" s="2" t="n"/>
      <c r="B558" s="2" t="n"/>
      <c r="C558" s="2" t="n"/>
      <c r="D558" s="2" t="n"/>
      <c r="E558" s="2" t="n"/>
      <c r="F558" s="2" t="n"/>
    </row>
    <row r="559" ht="15.75" customHeight="1" s="67">
      <c r="A559" s="2" t="n"/>
      <c r="B559" s="2" t="n"/>
      <c r="C559" s="2" t="n"/>
      <c r="D559" s="2" t="n"/>
      <c r="E559" s="2" t="n"/>
      <c r="F559" s="2" t="n"/>
    </row>
    <row r="560" ht="15.75" customHeight="1" s="67">
      <c r="A560" s="2" t="n"/>
      <c r="B560" s="2" t="n"/>
      <c r="C560" s="2" t="n"/>
      <c r="D560" s="2" t="n"/>
      <c r="E560" s="2" t="n"/>
      <c r="F560" s="2" t="n"/>
    </row>
    <row r="561" ht="15.75" customHeight="1" s="67">
      <c r="A561" s="2" t="n"/>
      <c r="B561" s="2" t="n"/>
      <c r="C561" s="2" t="n"/>
      <c r="D561" s="2" t="n"/>
      <c r="E561" s="2" t="n"/>
      <c r="F561" s="2" t="n"/>
    </row>
    <row r="562" ht="15.75" customHeight="1" s="67">
      <c r="A562" s="2" t="n"/>
      <c r="B562" s="2" t="n"/>
      <c r="C562" s="2" t="n"/>
      <c r="D562" s="2" t="n"/>
      <c r="E562" s="2" t="n"/>
      <c r="F562" s="2" t="n"/>
    </row>
    <row r="563" ht="15.75" customHeight="1" s="67">
      <c r="A563" s="2" t="n"/>
      <c r="B563" s="2" t="n"/>
      <c r="C563" s="2" t="n"/>
      <c r="D563" s="2" t="n"/>
      <c r="E563" s="2" t="n"/>
      <c r="F563" s="2" t="n"/>
    </row>
    <row r="564" ht="15.75" customHeight="1" s="67">
      <c r="A564" s="2" t="n"/>
      <c r="B564" s="2" t="n"/>
      <c r="C564" s="2" t="n"/>
      <c r="D564" s="2" t="n"/>
      <c r="E564" s="2" t="n"/>
      <c r="F564" s="2" t="n"/>
    </row>
    <row r="565" ht="15.75" customHeight="1" s="67">
      <c r="A565" s="2" t="n"/>
      <c r="B565" s="2" t="n"/>
      <c r="C565" s="2" t="n"/>
      <c r="D565" s="2" t="n"/>
      <c r="E565" s="2" t="n"/>
      <c r="F565" s="2" t="n"/>
    </row>
    <row r="566" ht="15.75" customHeight="1" s="67">
      <c r="A566" s="2" t="n"/>
      <c r="B566" s="2" t="n"/>
      <c r="C566" s="2" t="n"/>
      <c r="D566" s="2" t="n"/>
      <c r="E566" s="2" t="n"/>
      <c r="F566" s="2" t="n"/>
    </row>
    <row r="567" ht="15.75" customHeight="1" s="67">
      <c r="A567" s="2" t="n"/>
      <c r="B567" s="2" t="n"/>
      <c r="C567" s="2" t="n"/>
      <c r="D567" s="2" t="n"/>
      <c r="E567" s="2" t="n"/>
      <c r="F567" s="2" t="n"/>
    </row>
    <row r="568" ht="15.75" customHeight="1" s="67">
      <c r="A568" s="2" t="n"/>
      <c r="B568" s="2" t="n"/>
      <c r="C568" s="2" t="n"/>
      <c r="D568" s="2" t="n"/>
      <c r="E568" s="2" t="n"/>
      <c r="F568" s="2" t="n"/>
    </row>
    <row r="569" ht="15.75" customHeight="1" s="67">
      <c r="A569" s="2" t="n"/>
      <c r="B569" s="2" t="n"/>
      <c r="C569" s="2" t="n"/>
      <c r="D569" s="2" t="n"/>
      <c r="E569" s="2" t="n"/>
      <c r="F569" s="2" t="n"/>
    </row>
    <row r="570" ht="15.75" customHeight="1" s="67">
      <c r="A570" s="2" t="n"/>
      <c r="B570" s="2" t="n"/>
      <c r="C570" s="2" t="n"/>
      <c r="D570" s="2" t="n"/>
      <c r="E570" s="2" t="n"/>
      <c r="F570" s="2" t="n"/>
    </row>
    <row r="571" ht="15.75" customHeight="1" s="67">
      <c r="A571" s="2" t="n"/>
      <c r="B571" s="2" t="n"/>
      <c r="C571" s="2" t="n"/>
      <c r="D571" s="2" t="n"/>
      <c r="E571" s="2" t="n"/>
      <c r="F571" s="2" t="n"/>
    </row>
    <row r="572" ht="15.75" customHeight="1" s="67">
      <c r="A572" s="2" t="n"/>
      <c r="B572" s="2" t="n"/>
      <c r="C572" s="2" t="n"/>
      <c r="D572" s="2" t="n"/>
      <c r="E572" s="2" t="n"/>
      <c r="F572" s="2" t="n"/>
    </row>
    <row r="573" ht="15.75" customHeight="1" s="67">
      <c r="A573" s="2" t="n"/>
      <c r="B573" s="2" t="n"/>
      <c r="C573" s="2" t="n"/>
      <c r="D573" s="2" t="n"/>
      <c r="E573" s="2" t="n"/>
      <c r="F573" s="2" t="n"/>
    </row>
    <row r="574" ht="15.75" customHeight="1" s="67">
      <c r="A574" s="2" t="n"/>
      <c r="B574" s="2" t="n"/>
      <c r="C574" s="2" t="n"/>
      <c r="D574" s="2" t="n"/>
      <c r="E574" s="2" t="n"/>
      <c r="F574" s="2" t="n"/>
    </row>
    <row r="575" ht="15.75" customHeight="1" s="67">
      <c r="A575" s="2" t="n"/>
      <c r="B575" s="2" t="n"/>
      <c r="C575" s="2" t="n"/>
      <c r="D575" s="2" t="n"/>
      <c r="E575" s="2" t="n"/>
      <c r="F575" s="2" t="n"/>
    </row>
    <row r="576" ht="15.75" customHeight="1" s="67">
      <c r="A576" s="2" t="n"/>
      <c r="B576" s="2" t="n"/>
      <c r="C576" s="2" t="n"/>
      <c r="D576" s="2" t="n"/>
      <c r="E576" s="2" t="n"/>
      <c r="F576" s="2" t="n"/>
    </row>
    <row r="577" ht="15.75" customHeight="1" s="67">
      <c r="A577" s="2" t="n"/>
      <c r="B577" s="2" t="n"/>
      <c r="C577" s="2" t="n"/>
      <c r="D577" s="2" t="n"/>
      <c r="E577" s="2" t="n"/>
      <c r="F577" s="2" t="n"/>
    </row>
    <row r="578" ht="15.75" customHeight="1" s="67">
      <c r="A578" s="2" t="n"/>
      <c r="B578" s="2" t="n"/>
      <c r="C578" s="2" t="n"/>
      <c r="D578" s="2" t="n"/>
      <c r="E578" s="2" t="n"/>
      <c r="F578" s="2" t="n"/>
    </row>
    <row r="579" ht="15.75" customHeight="1" s="67">
      <c r="A579" s="2" t="n"/>
      <c r="B579" s="2" t="n"/>
      <c r="C579" s="2" t="n"/>
      <c r="D579" s="2" t="n"/>
      <c r="E579" s="2" t="n"/>
      <c r="F579" s="2" t="n"/>
    </row>
    <row r="580" ht="15.75" customHeight="1" s="67">
      <c r="A580" s="2" t="n"/>
      <c r="B580" s="2" t="n"/>
      <c r="C580" s="2" t="n"/>
      <c r="D580" s="2" t="n"/>
      <c r="E580" s="2" t="n"/>
      <c r="F580" s="2" t="n"/>
    </row>
    <row r="581" ht="15.75" customHeight="1" s="67">
      <c r="A581" s="2" t="n"/>
      <c r="B581" s="2" t="n"/>
      <c r="C581" s="2" t="n"/>
      <c r="D581" s="2" t="n"/>
      <c r="E581" s="2" t="n"/>
      <c r="F581" s="2" t="n"/>
    </row>
    <row r="582" ht="15.75" customHeight="1" s="67">
      <c r="A582" s="2" t="n"/>
      <c r="B582" s="2" t="n"/>
      <c r="C582" s="2" t="n"/>
      <c r="D582" s="2" t="n"/>
      <c r="E582" s="2" t="n"/>
      <c r="F582" s="2" t="n"/>
    </row>
    <row r="583" ht="15.75" customHeight="1" s="67">
      <c r="A583" s="2" t="n"/>
      <c r="B583" s="2" t="n"/>
      <c r="C583" s="2" t="n"/>
      <c r="D583" s="2" t="n"/>
      <c r="E583" s="2" t="n"/>
      <c r="F583" s="2" t="n"/>
    </row>
    <row r="584" ht="15.75" customHeight="1" s="67">
      <c r="A584" s="2" t="n"/>
      <c r="B584" s="2" t="n"/>
      <c r="C584" s="2" t="n"/>
      <c r="D584" s="2" t="n"/>
      <c r="E584" s="2" t="n"/>
      <c r="F584" s="2" t="n"/>
    </row>
    <row r="585" ht="15.75" customHeight="1" s="67">
      <c r="A585" s="2" t="n"/>
      <c r="B585" s="2" t="n"/>
      <c r="C585" s="2" t="n"/>
      <c r="D585" s="2" t="n"/>
      <c r="E585" s="2" t="n"/>
      <c r="F585" s="2" t="n"/>
    </row>
    <row r="586" ht="15.75" customHeight="1" s="67">
      <c r="A586" s="2" t="n"/>
      <c r="B586" s="2" t="n"/>
      <c r="C586" s="2" t="n"/>
      <c r="D586" s="2" t="n"/>
      <c r="E586" s="2" t="n"/>
      <c r="F586" s="2" t="n"/>
    </row>
    <row r="587" ht="15.75" customHeight="1" s="67">
      <c r="A587" s="2" t="n"/>
      <c r="B587" s="2" t="n"/>
      <c r="C587" s="2" t="n"/>
      <c r="D587" s="2" t="n"/>
      <c r="E587" s="2" t="n"/>
      <c r="F587" s="2" t="n"/>
    </row>
    <row r="588" ht="15.75" customHeight="1" s="67">
      <c r="A588" s="2" t="n"/>
      <c r="B588" s="2" t="n"/>
      <c r="C588" s="2" t="n"/>
      <c r="D588" s="2" t="n"/>
      <c r="E588" s="2" t="n"/>
      <c r="F588" s="2" t="n"/>
    </row>
    <row r="589" ht="15.75" customHeight="1" s="67">
      <c r="A589" s="2" t="n"/>
      <c r="B589" s="2" t="n"/>
      <c r="C589" s="2" t="n"/>
      <c r="D589" s="2" t="n"/>
      <c r="E589" s="2" t="n"/>
      <c r="F589" s="2" t="n"/>
    </row>
    <row r="590" ht="15.75" customHeight="1" s="67">
      <c r="A590" s="2" t="n"/>
      <c r="B590" s="2" t="n"/>
      <c r="C590" s="2" t="n"/>
      <c r="D590" s="2" t="n"/>
      <c r="E590" s="2" t="n"/>
      <c r="F590" s="2" t="n"/>
    </row>
    <row r="591" ht="15.75" customHeight="1" s="67">
      <c r="A591" s="2" t="n"/>
      <c r="B591" s="2" t="n"/>
      <c r="C591" s="2" t="n"/>
      <c r="D591" s="2" t="n"/>
      <c r="E591" s="2" t="n"/>
      <c r="F591" s="2" t="n"/>
    </row>
    <row r="592" ht="15.75" customHeight="1" s="67">
      <c r="A592" s="2" t="n"/>
      <c r="B592" s="2" t="n"/>
      <c r="C592" s="2" t="n"/>
      <c r="D592" s="2" t="n"/>
      <c r="E592" s="2" t="n"/>
      <c r="F592" s="2" t="n"/>
    </row>
    <row r="593" ht="15.75" customHeight="1" s="67">
      <c r="A593" s="2" t="n"/>
      <c r="B593" s="2" t="n"/>
      <c r="C593" s="2" t="n"/>
      <c r="D593" s="2" t="n"/>
      <c r="E593" s="2" t="n"/>
      <c r="F593" s="2" t="n"/>
    </row>
    <row r="594" ht="15.75" customHeight="1" s="67">
      <c r="A594" s="2" t="n"/>
      <c r="B594" s="2" t="n"/>
      <c r="C594" s="2" t="n"/>
      <c r="D594" s="2" t="n"/>
      <c r="E594" s="2" t="n"/>
      <c r="F594" s="2" t="n"/>
    </row>
    <row r="595" ht="15.75" customHeight="1" s="67">
      <c r="A595" s="2" t="n"/>
      <c r="B595" s="2" t="n"/>
      <c r="C595" s="2" t="n"/>
      <c r="D595" s="2" t="n"/>
      <c r="E595" s="2" t="n"/>
      <c r="F595" s="2" t="n"/>
    </row>
    <row r="596" ht="15.75" customHeight="1" s="67">
      <c r="A596" s="2" t="n"/>
      <c r="B596" s="2" t="n"/>
      <c r="C596" s="2" t="n"/>
      <c r="D596" s="2" t="n"/>
      <c r="E596" s="2" t="n"/>
      <c r="F596" s="2" t="n"/>
    </row>
    <row r="597" ht="15.75" customHeight="1" s="67">
      <c r="A597" s="2" t="n"/>
      <c r="B597" s="2" t="n"/>
      <c r="C597" s="2" t="n"/>
      <c r="D597" s="2" t="n"/>
      <c r="E597" s="2" t="n"/>
      <c r="F597" s="2" t="n"/>
    </row>
    <row r="598" ht="15.75" customHeight="1" s="67">
      <c r="A598" s="2" t="n"/>
      <c r="B598" s="2" t="n"/>
      <c r="C598" s="2" t="n"/>
      <c r="D598" s="2" t="n"/>
      <c r="E598" s="2" t="n"/>
      <c r="F598" s="2" t="n"/>
    </row>
    <row r="599" ht="15.75" customHeight="1" s="67">
      <c r="A599" s="2" t="n"/>
      <c r="B599" s="2" t="n"/>
      <c r="C599" s="2" t="n"/>
      <c r="D599" s="2" t="n"/>
      <c r="E599" s="2" t="n"/>
      <c r="F599" s="2" t="n"/>
    </row>
    <row r="600" ht="15.75" customHeight="1" s="67">
      <c r="A600" s="2" t="n"/>
      <c r="B600" s="2" t="n"/>
      <c r="C600" s="2" t="n"/>
      <c r="D600" s="2" t="n"/>
      <c r="E600" s="2" t="n"/>
      <c r="F600" s="2" t="n"/>
    </row>
    <row r="601" ht="15.75" customHeight="1" s="67">
      <c r="A601" s="2" t="n"/>
      <c r="B601" s="2" t="n"/>
      <c r="C601" s="2" t="n"/>
      <c r="D601" s="2" t="n"/>
      <c r="E601" s="2" t="n"/>
      <c r="F601" s="2" t="n"/>
    </row>
    <row r="602" ht="15.75" customHeight="1" s="67">
      <c r="A602" s="2" t="n"/>
      <c r="B602" s="2" t="n"/>
      <c r="C602" s="2" t="n"/>
      <c r="D602" s="2" t="n"/>
      <c r="E602" s="2" t="n"/>
      <c r="F602" s="2" t="n"/>
    </row>
    <row r="603" ht="15.75" customHeight="1" s="67">
      <c r="A603" s="2" t="n"/>
      <c r="B603" s="2" t="n"/>
      <c r="C603" s="2" t="n"/>
      <c r="D603" s="2" t="n"/>
      <c r="E603" s="2" t="n"/>
      <c r="F603" s="2" t="n"/>
    </row>
    <row r="604" ht="15.75" customHeight="1" s="67">
      <c r="A604" s="2" t="n"/>
      <c r="B604" s="2" t="n"/>
      <c r="C604" s="2" t="n"/>
      <c r="D604" s="2" t="n"/>
      <c r="E604" s="2" t="n"/>
      <c r="F604" s="2" t="n"/>
    </row>
    <row r="605" ht="15.75" customHeight="1" s="67">
      <c r="A605" s="2" t="n"/>
      <c r="B605" s="2" t="n"/>
      <c r="C605" s="2" t="n"/>
      <c r="D605" s="2" t="n"/>
      <c r="E605" s="2" t="n"/>
      <c r="F605" s="2" t="n"/>
    </row>
    <row r="606" ht="15.75" customHeight="1" s="67">
      <c r="A606" s="2" t="n"/>
      <c r="B606" s="2" t="n"/>
      <c r="C606" s="2" t="n"/>
      <c r="D606" s="2" t="n"/>
      <c r="E606" s="2" t="n"/>
      <c r="F606" s="2" t="n"/>
    </row>
    <row r="607" ht="15.75" customHeight="1" s="67">
      <c r="A607" s="2" t="n"/>
      <c r="B607" s="2" t="n"/>
      <c r="C607" s="2" t="n"/>
      <c r="D607" s="2" t="n"/>
      <c r="E607" s="2" t="n"/>
      <c r="F607" s="2" t="n"/>
    </row>
    <row r="608" ht="15.75" customHeight="1" s="67">
      <c r="A608" s="2" t="n"/>
      <c r="B608" s="2" t="n"/>
      <c r="C608" s="2" t="n"/>
      <c r="D608" s="2" t="n"/>
      <c r="E608" s="2" t="n"/>
      <c r="F608" s="2" t="n"/>
    </row>
    <row r="609" ht="15.75" customHeight="1" s="67">
      <c r="A609" s="2" t="n"/>
      <c r="B609" s="2" t="n"/>
      <c r="C609" s="2" t="n"/>
      <c r="D609" s="2" t="n"/>
      <c r="E609" s="2" t="n"/>
      <c r="F609" s="2" t="n"/>
    </row>
    <row r="610" ht="15.75" customHeight="1" s="67">
      <c r="A610" s="2" t="n"/>
      <c r="B610" s="2" t="n"/>
      <c r="C610" s="2" t="n"/>
      <c r="D610" s="2" t="n"/>
      <c r="E610" s="2" t="n"/>
      <c r="F610" s="2" t="n"/>
    </row>
    <row r="611" ht="15.75" customHeight="1" s="67">
      <c r="A611" s="2" t="n"/>
      <c r="B611" s="2" t="n"/>
      <c r="C611" s="2" t="n"/>
      <c r="D611" s="2" t="n"/>
      <c r="E611" s="2" t="n"/>
      <c r="F611" s="2" t="n"/>
    </row>
    <row r="612" ht="15.75" customHeight="1" s="67">
      <c r="A612" s="2" t="n"/>
      <c r="B612" s="2" t="n"/>
      <c r="C612" s="2" t="n"/>
      <c r="D612" s="2" t="n"/>
      <c r="E612" s="2" t="n"/>
      <c r="F612" s="2" t="n"/>
    </row>
    <row r="613" ht="15.75" customHeight="1" s="67">
      <c r="A613" s="2" t="n"/>
      <c r="B613" s="2" t="n"/>
      <c r="C613" s="2" t="n"/>
      <c r="D613" s="2" t="n"/>
      <c r="E613" s="2" t="n"/>
      <c r="F613" s="2" t="n"/>
    </row>
    <row r="614" ht="15.75" customHeight="1" s="67">
      <c r="A614" s="2" t="n"/>
      <c r="B614" s="2" t="n"/>
      <c r="C614" s="2" t="n"/>
      <c r="D614" s="2" t="n"/>
      <c r="E614" s="2" t="n"/>
      <c r="F614" s="2" t="n"/>
    </row>
    <row r="615" ht="15.75" customHeight="1" s="67">
      <c r="A615" s="2" t="n"/>
      <c r="B615" s="2" t="n"/>
      <c r="C615" s="2" t="n"/>
      <c r="D615" s="2" t="n"/>
      <c r="E615" s="2" t="n"/>
      <c r="F615" s="2" t="n"/>
    </row>
    <row r="616" ht="15.75" customHeight="1" s="67">
      <c r="A616" s="2" t="n"/>
      <c r="B616" s="2" t="n"/>
      <c r="C616" s="2" t="n"/>
      <c r="D616" s="2" t="n"/>
      <c r="E616" s="2" t="n"/>
      <c r="F616" s="2" t="n"/>
    </row>
    <row r="617" ht="15.75" customHeight="1" s="67">
      <c r="A617" s="2" t="n"/>
      <c r="B617" s="2" t="n"/>
      <c r="C617" s="2" t="n"/>
      <c r="D617" s="2" t="n"/>
      <c r="E617" s="2" t="n"/>
      <c r="F617" s="2" t="n"/>
    </row>
    <row r="618" ht="15.75" customHeight="1" s="67">
      <c r="A618" s="2" t="n"/>
      <c r="B618" s="2" t="n"/>
      <c r="C618" s="2" t="n"/>
      <c r="D618" s="2" t="n"/>
      <c r="E618" s="2" t="n"/>
      <c r="F618" s="2" t="n"/>
    </row>
    <row r="619" ht="15.75" customHeight="1" s="67">
      <c r="A619" s="2" t="n"/>
      <c r="B619" s="2" t="n"/>
      <c r="C619" s="2" t="n"/>
      <c r="D619" s="2" t="n"/>
      <c r="E619" s="2" t="n"/>
      <c r="F619" s="2" t="n"/>
    </row>
    <row r="620" ht="15.75" customHeight="1" s="67">
      <c r="A620" s="2" t="n"/>
      <c r="B620" s="2" t="n"/>
      <c r="C620" s="2" t="n"/>
      <c r="D620" s="2" t="n"/>
      <c r="E620" s="2" t="n"/>
      <c r="F620" s="2" t="n"/>
    </row>
    <row r="621" ht="15.75" customHeight="1" s="67">
      <c r="A621" s="2" t="n"/>
      <c r="B621" s="2" t="n"/>
      <c r="C621" s="2" t="n"/>
      <c r="D621" s="2" t="n"/>
      <c r="E621" s="2" t="n"/>
      <c r="F621" s="2" t="n"/>
    </row>
    <row r="622" ht="15.75" customHeight="1" s="67">
      <c r="A622" s="2" t="n"/>
      <c r="B622" s="2" t="n"/>
      <c r="C622" s="2" t="n"/>
      <c r="D622" s="2" t="n"/>
      <c r="E622" s="2" t="n"/>
      <c r="F622" s="2" t="n"/>
    </row>
    <row r="623" ht="15.75" customHeight="1" s="67">
      <c r="A623" s="2" t="n"/>
      <c r="B623" s="2" t="n"/>
      <c r="C623" s="2" t="n"/>
      <c r="D623" s="2" t="n"/>
      <c r="E623" s="2" t="n"/>
      <c r="F623" s="2" t="n"/>
    </row>
    <row r="624" ht="15.75" customHeight="1" s="67">
      <c r="A624" s="2" t="n"/>
      <c r="B624" s="2" t="n"/>
      <c r="C624" s="2" t="n"/>
      <c r="D624" s="2" t="n"/>
      <c r="E624" s="2" t="n"/>
      <c r="F624" s="2" t="n"/>
    </row>
    <row r="625" ht="15.75" customHeight="1" s="67">
      <c r="A625" s="2" t="n"/>
      <c r="B625" s="2" t="n"/>
      <c r="C625" s="2" t="n"/>
      <c r="D625" s="2" t="n"/>
      <c r="E625" s="2" t="n"/>
      <c r="F625" s="2" t="n"/>
    </row>
    <row r="626" ht="15.75" customHeight="1" s="67">
      <c r="A626" s="2" t="n"/>
      <c r="B626" s="2" t="n"/>
      <c r="C626" s="2" t="n"/>
      <c r="D626" s="2" t="n"/>
      <c r="E626" s="2" t="n"/>
      <c r="F626" s="2" t="n"/>
    </row>
    <row r="627" ht="15.75" customHeight="1" s="67">
      <c r="A627" s="2" t="n"/>
      <c r="B627" s="2" t="n"/>
      <c r="C627" s="2" t="n"/>
      <c r="D627" s="2" t="n"/>
      <c r="E627" s="2" t="n"/>
      <c r="F627" s="2" t="n"/>
    </row>
    <row r="628" ht="15.75" customHeight="1" s="67">
      <c r="A628" s="2" t="n"/>
      <c r="B628" s="2" t="n"/>
      <c r="C628" s="2" t="n"/>
      <c r="D628" s="2" t="n"/>
      <c r="E628" s="2" t="n"/>
      <c r="F628" s="2" t="n"/>
    </row>
    <row r="629" ht="15.75" customHeight="1" s="67">
      <c r="A629" s="2" t="n"/>
      <c r="B629" s="2" t="n"/>
      <c r="C629" s="2" t="n"/>
      <c r="D629" s="2" t="n"/>
      <c r="E629" s="2" t="n"/>
      <c r="F629" s="2" t="n"/>
    </row>
    <row r="630" ht="15.75" customHeight="1" s="67">
      <c r="A630" s="2" t="n"/>
      <c r="B630" s="2" t="n"/>
      <c r="C630" s="2" t="n"/>
      <c r="D630" s="2" t="n"/>
      <c r="E630" s="2" t="n"/>
      <c r="F630" s="2" t="n"/>
    </row>
    <row r="631" ht="15.75" customHeight="1" s="67">
      <c r="A631" s="2" t="n"/>
      <c r="B631" s="2" t="n"/>
      <c r="C631" s="2" t="n"/>
      <c r="D631" s="2" t="n"/>
      <c r="E631" s="2" t="n"/>
      <c r="F631" s="2" t="n"/>
    </row>
    <row r="632" ht="15.75" customHeight="1" s="67">
      <c r="A632" s="2" t="n"/>
      <c r="B632" s="2" t="n"/>
      <c r="C632" s="2" t="n"/>
      <c r="D632" s="2" t="n"/>
      <c r="E632" s="2" t="n"/>
      <c r="F632" s="2" t="n"/>
    </row>
    <row r="633" ht="15.75" customHeight="1" s="67">
      <c r="A633" s="2" t="n"/>
      <c r="B633" s="2" t="n"/>
      <c r="C633" s="2" t="n"/>
      <c r="D633" s="2" t="n"/>
      <c r="E633" s="2" t="n"/>
      <c r="F633" s="2" t="n"/>
    </row>
    <row r="634" ht="15.75" customHeight="1" s="67">
      <c r="A634" s="2" t="n"/>
      <c r="B634" s="2" t="n"/>
      <c r="C634" s="2" t="n"/>
      <c r="D634" s="2" t="n"/>
      <c r="E634" s="2" t="n"/>
      <c r="F634" s="2" t="n"/>
    </row>
    <row r="635" ht="15.75" customHeight="1" s="67">
      <c r="A635" s="2" t="n"/>
      <c r="B635" s="2" t="n"/>
      <c r="C635" s="2" t="n"/>
      <c r="D635" s="2" t="n"/>
      <c r="E635" s="2" t="n"/>
      <c r="F635" s="2" t="n"/>
    </row>
    <row r="636" ht="15.75" customHeight="1" s="67">
      <c r="A636" s="2" t="n"/>
      <c r="B636" s="2" t="n"/>
      <c r="C636" s="2" t="n"/>
      <c r="D636" s="2" t="n"/>
      <c r="E636" s="2" t="n"/>
      <c r="F636" s="2" t="n"/>
    </row>
    <row r="637" ht="15.75" customHeight="1" s="67">
      <c r="A637" s="2" t="n"/>
      <c r="B637" s="2" t="n"/>
      <c r="C637" s="2" t="n"/>
      <c r="D637" s="2" t="n"/>
      <c r="E637" s="2" t="n"/>
      <c r="F637" s="2" t="n"/>
    </row>
    <row r="638" ht="15.75" customHeight="1" s="67">
      <c r="A638" s="2" t="n"/>
      <c r="B638" s="2" t="n"/>
      <c r="C638" s="2" t="n"/>
      <c r="D638" s="2" t="n"/>
      <c r="E638" s="2" t="n"/>
      <c r="F638" s="2" t="n"/>
    </row>
    <row r="639" ht="15.75" customHeight="1" s="67">
      <c r="A639" s="2" t="n"/>
      <c r="B639" s="2" t="n"/>
      <c r="C639" s="2" t="n"/>
      <c r="D639" s="2" t="n"/>
      <c r="E639" s="2" t="n"/>
      <c r="F639" s="2" t="n"/>
    </row>
    <row r="640" ht="15.75" customHeight="1" s="67">
      <c r="A640" s="2" t="n"/>
      <c r="B640" s="2" t="n"/>
      <c r="C640" s="2" t="n"/>
      <c r="D640" s="2" t="n"/>
      <c r="E640" s="2" t="n"/>
      <c r="F640" s="2" t="n"/>
    </row>
    <row r="641" ht="15.75" customHeight="1" s="67">
      <c r="A641" s="2" t="n"/>
      <c r="B641" s="2" t="n"/>
      <c r="C641" s="2" t="n"/>
      <c r="D641" s="2" t="n"/>
      <c r="E641" s="2" t="n"/>
      <c r="F641" s="2" t="n"/>
    </row>
    <row r="642" ht="15.75" customHeight="1" s="67">
      <c r="A642" s="2" t="n"/>
      <c r="B642" s="2" t="n"/>
      <c r="C642" s="2" t="n"/>
      <c r="D642" s="2" t="n"/>
      <c r="E642" s="2" t="n"/>
      <c r="F642" s="2" t="n"/>
    </row>
    <row r="643" ht="15.75" customHeight="1" s="67">
      <c r="A643" s="2" t="n"/>
      <c r="B643" s="2" t="n"/>
      <c r="C643" s="2" t="n"/>
      <c r="D643" s="2" t="n"/>
      <c r="E643" s="2" t="n"/>
      <c r="F643" s="2" t="n"/>
    </row>
    <row r="644" ht="15.75" customHeight="1" s="67">
      <c r="A644" s="2" t="n"/>
      <c r="B644" s="2" t="n"/>
      <c r="C644" s="2" t="n"/>
      <c r="D644" s="2" t="n"/>
      <c r="E644" s="2" t="n"/>
      <c r="F644" s="2" t="n"/>
    </row>
    <row r="645" ht="15.75" customHeight="1" s="67">
      <c r="A645" s="2" t="n"/>
      <c r="B645" s="2" t="n"/>
      <c r="C645" s="2" t="n"/>
      <c r="D645" s="2" t="n"/>
      <c r="E645" s="2" t="n"/>
      <c r="F645" s="2" t="n"/>
    </row>
    <row r="646" ht="15.75" customHeight="1" s="67">
      <c r="A646" s="2" t="n"/>
      <c r="B646" s="2" t="n"/>
      <c r="C646" s="2" t="n"/>
      <c r="D646" s="2" t="n"/>
      <c r="E646" s="2" t="n"/>
      <c r="F646" s="2" t="n"/>
    </row>
    <row r="647" ht="15.75" customHeight="1" s="67">
      <c r="A647" s="2" t="n"/>
      <c r="B647" s="2" t="n"/>
      <c r="C647" s="2" t="n"/>
      <c r="D647" s="2" t="n"/>
      <c r="E647" s="2" t="n"/>
      <c r="F647" s="2" t="n"/>
    </row>
    <row r="648" ht="15.75" customHeight="1" s="67">
      <c r="A648" s="2" t="n"/>
      <c r="B648" s="2" t="n"/>
      <c r="C648" s="2" t="n"/>
      <c r="D648" s="2" t="n"/>
      <c r="E648" s="2" t="n"/>
      <c r="F648" s="2" t="n"/>
    </row>
    <row r="649" ht="15.75" customHeight="1" s="67">
      <c r="A649" s="2" t="n"/>
      <c r="B649" s="2" t="n"/>
      <c r="C649" s="2" t="n"/>
      <c r="D649" s="2" t="n"/>
      <c r="E649" s="2" t="n"/>
      <c r="F649" s="2" t="n"/>
    </row>
    <row r="650" ht="15.75" customHeight="1" s="67">
      <c r="A650" s="2" t="n"/>
      <c r="B650" s="2" t="n"/>
      <c r="C650" s="2" t="n"/>
      <c r="D650" s="2" t="n"/>
      <c r="E650" s="2" t="n"/>
      <c r="F650" s="2" t="n"/>
    </row>
    <row r="651" ht="15.75" customHeight="1" s="67">
      <c r="A651" s="2" t="n"/>
      <c r="B651" s="2" t="n"/>
      <c r="C651" s="2" t="n"/>
      <c r="D651" s="2" t="n"/>
      <c r="E651" s="2" t="n"/>
      <c r="F651" s="2" t="n"/>
    </row>
    <row r="652" ht="15.75" customHeight="1" s="67">
      <c r="A652" s="2" t="n"/>
      <c r="B652" s="2" t="n"/>
      <c r="C652" s="2" t="n"/>
      <c r="D652" s="2" t="n"/>
      <c r="E652" s="2" t="n"/>
      <c r="F652" s="2" t="n"/>
    </row>
    <row r="653" ht="15.75" customHeight="1" s="67">
      <c r="A653" s="2" t="n"/>
      <c r="B653" s="2" t="n"/>
      <c r="C653" s="2" t="n"/>
      <c r="D653" s="2" t="n"/>
      <c r="E653" s="2" t="n"/>
      <c r="F653" s="2" t="n"/>
    </row>
    <row r="654" ht="15.75" customHeight="1" s="67">
      <c r="A654" s="2" t="n"/>
      <c r="B654" s="2" t="n"/>
      <c r="C654" s="2" t="n"/>
      <c r="D654" s="2" t="n"/>
      <c r="E654" s="2" t="n"/>
      <c r="F654" s="2" t="n"/>
    </row>
    <row r="655" ht="15.75" customHeight="1" s="67">
      <c r="A655" s="2" t="n"/>
      <c r="B655" s="2" t="n"/>
      <c r="C655" s="2" t="n"/>
      <c r="D655" s="2" t="n"/>
      <c r="E655" s="2" t="n"/>
      <c r="F655" s="2" t="n"/>
    </row>
    <row r="656" ht="15.75" customHeight="1" s="67">
      <c r="A656" s="2" t="n"/>
      <c r="B656" s="2" t="n"/>
      <c r="C656" s="2" t="n"/>
      <c r="D656" s="2" t="n"/>
      <c r="E656" s="2" t="n"/>
      <c r="F656" s="2" t="n"/>
    </row>
    <row r="657" ht="15.75" customHeight="1" s="67">
      <c r="A657" s="2" t="n"/>
      <c r="B657" s="2" t="n"/>
      <c r="C657" s="2" t="n"/>
      <c r="D657" s="2" t="n"/>
      <c r="E657" s="2" t="n"/>
      <c r="F657" s="2" t="n"/>
    </row>
    <row r="658" ht="15.75" customHeight="1" s="67">
      <c r="A658" s="2" t="n"/>
      <c r="B658" s="2" t="n"/>
      <c r="C658" s="2" t="n"/>
      <c r="D658" s="2" t="n"/>
      <c r="E658" s="2" t="n"/>
      <c r="F658" s="2" t="n"/>
    </row>
    <row r="659" ht="15.75" customHeight="1" s="67">
      <c r="A659" s="2" t="n"/>
      <c r="B659" s="2" t="n"/>
      <c r="C659" s="2" t="n"/>
      <c r="D659" s="2" t="n"/>
      <c r="E659" s="2" t="n"/>
      <c r="F659" s="2" t="n"/>
    </row>
    <row r="660" ht="15.75" customHeight="1" s="67">
      <c r="A660" s="2" t="n"/>
      <c r="B660" s="2" t="n"/>
      <c r="C660" s="2" t="n"/>
      <c r="D660" s="2" t="n"/>
      <c r="E660" s="2" t="n"/>
      <c r="F660" s="2" t="n"/>
    </row>
    <row r="661" ht="15.75" customHeight="1" s="67">
      <c r="A661" s="2" t="n"/>
      <c r="B661" s="2" t="n"/>
      <c r="C661" s="2" t="n"/>
      <c r="D661" s="2" t="n"/>
      <c r="E661" s="2" t="n"/>
      <c r="F661" s="2" t="n"/>
    </row>
    <row r="662" ht="15.75" customHeight="1" s="67">
      <c r="A662" s="2" t="n"/>
      <c r="B662" s="2" t="n"/>
      <c r="C662" s="2" t="n"/>
      <c r="D662" s="2" t="n"/>
      <c r="E662" s="2" t="n"/>
      <c r="F662" s="2" t="n"/>
    </row>
    <row r="663" ht="15.75" customHeight="1" s="67">
      <c r="A663" s="2" t="n"/>
      <c r="B663" s="2" t="n"/>
      <c r="C663" s="2" t="n"/>
      <c r="D663" s="2" t="n"/>
      <c r="E663" s="2" t="n"/>
      <c r="F663" s="2" t="n"/>
    </row>
    <row r="664" ht="15.75" customHeight="1" s="67">
      <c r="A664" s="2" t="n"/>
      <c r="B664" s="2" t="n"/>
      <c r="C664" s="2" t="n"/>
      <c r="D664" s="2" t="n"/>
      <c r="E664" s="2" t="n"/>
      <c r="F664" s="2" t="n"/>
    </row>
    <row r="665" ht="15.75" customHeight="1" s="67">
      <c r="A665" s="2" t="n"/>
      <c r="B665" s="2" t="n"/>
      <c r="C665" s="2" t="n"/>
      <c r="D665" s="2" t="n"/>
      <c r="E665" s="2" t="n"/>
      <c r="F665" s="2" t="n"/>
    </row>
    <row r="666" ht="15.75" customHeight="1" s="67">
      <c r="A666" s="2" t="n"/>
      <c r="B666" s="2" t="n"/>
      <c r="C666" s="2" t="n"/>
      <c r="D666" s="2" t="n"/>
      <c r="E666" s="2" t="n"/>
      <c r="F666" s="2" t="n"/>
    </row>
    <row r="667" ht="15.75" customHeight="1" s="67">
      <c r="A667" s="2" t="n"/>
      <c r="B667" s="2" t="n"/>
      <c r="C667" s="2" t="n"/>
      <c r="D667" s="2" t="n"/>
      <c r="E667" s="2" t="n"/>
      <c r="F667" s="2" t="n"/>
    </row>
    <row r="668" ht="15.75" customHeight="1" s="67">
      <c r="A668" s="2" t="n"/>
      <c r="B668" s="2" t="n"/>
      <c r="C668" s="2" t="n"/>
      <c r="D668" s="2" t="n"/>
      <c r="E668" s="2" t="n"/>
      <c r="F668" s="2" t="n"/>
    </row>
    <row r="669" ht="15.75" customHeight="1" s="67">
      <c r="A669" s="2" t="n"/>
      <c r="B669" s="2" t="n"/>
      <c r="C669" s="2" t="n"/>
      <c r="D669" s="2" t="n"/>
      <c r="E669" s="2" t="n"/>
      <c r="F669" s="2" t="n"/>
    </row>
    <row r="670" ht="15.75" customHeight="1" s="67">
      <c r="A670" s="2" t="n"/>
      <c r="B670" s="2" t="n"/>
      <c r="C670" s="2" t="n"/>
      <c r="D670" s="2" t="n"/>
      <c r="E670" s="2" t="n"/>
      <c r="F670" s="2" t="n"/>
    </row>
    <row r="671" ht="15.75" customHeight="1" s="67">
      <c r="A671" s="2" t="n"/>
      <c r="B671" s="2" t="n"/>
      <c r="C671" s="2" t="n"/>
      <c r="D671" s="2" t="n"/>
      <c r="E671" s="2" t="n"/>
      <c r="F671" s="2" t="n"/>
    </row>
    <row r="672" ht="15.75" customHeight="1" s="67">
      <c r="A672" s="2" t="n"/>
      <c r="B672" s="2" t="n"/>
      <c r="C672" s="2" t="n"/>
      <c r="D672" s="2" t="n"/>
      <c r="E672" s="2" t="n"/>
      <c r="F672" s="2" t="n"/>
    </row>
    <row r="673" ht="15.75" customHeight="1" s="67">
      <c r="A673" s="2" t="n"/>
      <c r="B673" s="2" t="n"/>
      <c r="C673" s="2" t="n"/>
      <c r="D673" s="2" t="n"/>
      <c r="E673" s="2" t="n"/>
      <c r="F673" s="2" t="n"/>
    </row>
    <row r="674" ht="15.75" customHeight="1" s="67">
      <c r="A674" s="2" t="n"/>
      <c r="B674" s="2" t="n"/>
      <c r="C674" s="2" t="n"/>
      <c r="D674" s="2" t="n"/>
      <c r="E674" s="2" t="n"/>
      <c r="F674" s="2" t="n"/>
    </row>
    <row r="675" ht="15.75" customHeight="1" s="67">
      <c r="A675" s="2" t="n"/>
      <c r="B675" s="2" t="n"/>
      <c r="C675" s="2" t="n"/>
      <c r="D675" s="2" t="n"/>
      <c r="E675" s="2" t="n"/>
      <c r="F675" s="2" t="n"/>
    </row>
    <row r="676" ht="15.75" customHeight="1" s="67">
      <c r="A676" s="2" t="n"/>
      <c r="B676" s="2" t="n"/>
      <c r="C676" s="2" t="n"/>
      <c r="D676" s="2" t="n"/>
      <c r="E676" s="2" t="n"/>
      <c r="F676" s="2" t="n"/>
    </row>
    <row r="677" ht="15.75" customHeight="1" s="67">
      <c r="A677" s="2" t="n"/>
      <c r="B677" s="2" t="n"/>
      <c r="C677" s="2" t="n"/>
      <c r="D677" s="2" t="n"/>
      <c r="E677" s="2" t="n"/>
      <c r="F677" s="2" t="n"/>
    </row>
    <row r="678" ht="15.75" customHeight="1" s="67">
      <c r="A678" s="2" t="n"/>
      <c r="B678" s="2" t="n"/>
      <c r="C678" s="2" t="n"/>
      <c r="D678" s="2" t="n"/>
      <c r="E678" s="2" t="n"/>
      <c r="F678" s="2" t="n"/>
    </row>
    <row r="679" ht="15.75" customHeight="1" s="67">
      <c r="A679" s="2" t="n"/>
      <c r="B679" s="2" t="n"/>
      <c r="C679" s="2" t="n"/>
      <c r="D679" s="2" t="n"/>
      <c r="E679" s="2" t="n"/>
      <c r="F679" s="2" t="n"/>
    </row>
    <row r="680" ht="15.75" customHeight="1" s="67">
      <c r="A680" s="2" t="n"/>
      <c r="B680" s="2" t="n"/>
      <c r="C680" s="2" t="n"/>
      <c r="D680" s="2" t="n"/>
      <c r="E680" s="2" t="n"/>
      <c r="F680" s="2" t="n"/>
    </row>
    <row r="681" ht="15.75" customHeight="1" s="67">
      <c r="A681" s="2" t="n"/>
      <c r="B681" s="2" t="n"/>
      <c r="C681" s="2" t="n"/>
      <c r="D681" s="2" t="n"/>
      <c r="E681" s="2" t="n"/>
      <c r="F681" s="2" t="n"/>
    </row>
    <row r="682" ht="15.75" customHeight="1" s="67">
      <c r="A682" s="2" t="n"/>
      <c r="B682" s="2" t="n"/>
      <c r="C682" s="2" t="n"/>
      <c r="D682" s="2" t="n"/>
      <c r="E682" s="2" t="n"/>
      <c r="F682" s="2" t="n"/>
    </row>
    <row r="683" ht="15.75" customHeight="1" s="67">
      <c r="A683" s="2" t="n"/>
      <c r="B683" s="2" t="n"/>
      <c r="C683" s="2" t="n"/>
      <c r="D683" s="2" t="n"/>
      <c r="E683" s="2" t="n"/>
      <c r="F683" s="2" t="n"/>
    </row>
    <row r="684" ht="15.75" customHeight="1" s="67">
      <c r="A684" s="2" t="n"/>
      <c r="B684" s="2" t="n"/>
      <c r="C684" s="2" t="n"/>
      <c r="D684" s="2" t="n"/>
      <c r="E684" s="2" t="n"/>
      <c r="F684" s="2" t="n"/>
    </row>
    <row r="685" ht="15.75" customHeight="1" s="67">
      <c r="A685" s="2" t="n"/>
      <c r="B685" s="2" t="n"/>
      <c r="C685" s="2" t="n"/>
      <c r="D685" s="2" t="n"/>
      <c r="E685" s="2" t="n"/>
      <c r="F685" s="2" t="n"/>
    </row>
    <row r="686" ht="15.75" customHeight="1" s="67">
      <c r="A686" s="2" t="n"/>
      <c r="B686" s="2" t="n"/>
      <c r="C686" s="2" t="n"/>
      <c r="D686" s="2" t="n"/>
      <c r="E686" s="2" t="n"/>
      <c r="F686" s="2" t="n"/>
    </row>
    <row r="687" ht="15.75" customHeight="1" s="67">
      <c r="A687" s="2" t="n"/>
      <c r="B687" s="2" t="n"/>
      <c r="C687" s="2" t="n"/>
      <c r="D687" s="2" t="n"/>
      <c r="E687" s="2" t="n"/>
      <c r="F687" s="2" t="n"/>
    </row>
    <row r="688" ht="15.75" customHeight="1" s="67">
      <c r="A688" s="2" t="n"/>
      <c r="B688" s="2" t="n"/>
      <c r="C688" s="2" t="n"/>
      <c r="D688" s="2" t="n"/>
      <c r="E688" s="2" t="n"/>
      <c r="F688" s="2" t="n"/>
    </row>
    <row r="689" ht="15.75" customHeight="1" s="67">
      <c r="A689" s="2" t="n"/>
      <c r="B689" s="2" t="n"/>
      <c r="C689" s="2" t="n"/>
      <c r="D689" s="2" t="n"/>
      <c r="E689" s="2" t="n"/>
      <c r="F689" s="2" t="n"/>
    </row>
    <row r="690" ht="15.75" customHeight="1" s="67">
      <c r="A690" s="2" t="n"/>
      <c r="B690" s="2" t="n"/>
      <c r="C690" s="2" t="n"/>
      <c r="D690" s="2" t="n"/>
      <c r="E690" s="2" t="n"/>
      <c r="F690" s="2" t="n"/>
    </row>
    <row r="691" ht="15.75" customHeight="1" s="67">
      <c r="A691" s="2" t="n"/>
      <c r="B691" s="2" t="n"/>
      <c r="C691" s="2" t="n"/>
      <c r="D691" s="2" t="n"/>
      <c r="E691" s="2" t="n"/>
      <c r="F691" s="2" t="n"/>
    </row>
    <row r="692" ht="15.75" customHeight="1" s="67">
      <c r="A692" s="2" t="n"/>
      <c r="B692" s="2" t="n"/>
      <c r="C692" s="2" t="n"/>
      <c r="D692" s="2" t="n"/>
      <c r="E692" s="2" t="n"/>
      <c r="F692" s="2" t="n"/>
    </row>
    <row r="693" ht="15.75" customHeight="1" s="67">
      <c r="A693" s="2" t="n"/>
      <c r="B693" s="2" t="n"/>
      <c r="C693" s="2" t="n"/>
      <c r="D693" s="2" t="n"/>
      <c r="E693" s="2" t="n"/>
      <c r="F693" s="2" t="n"/>
    </row>
    <row r="694" ht="15.75" customHeight="1" s="67">
      <c r="A694" s="2" t="n"/>
      <c r="B694" s="2" t="n"/>
      <c r="C694" s="2" t="n"/>
      <c r="D694" s="2" t="n"/>
      <c r="E694" s="2" t="n"/>
      <c r="F694" s="2" t="n"/>
    </row>
    <row r="695" ht="15.75" customHeight="1" s="67">
      <c r="A695" s="2" t="n"/>
      <c r="B695" s="2" t="n"/>
      <c r="C695" s="2" t="n"/>
      <c r="D695" s="2" t="n"/>
      <c r="E695" s="2" t="n"/>
      <c r="F695" s="2" t="n"/>
    </row>
    <row r="696" ht="15.75" customHeight="1" s="67">
      <c r="A696" s="2" t="n"/>
      <c r="B696" s="2" t="n"/>
      <c r="C696" s="2" t="n"/>
      <c r="D696" s="2" t="n"/>
      <c r="E696" s="2" t="n"/>
      <c r="F696" s="2" t="n"/>
    </row>
    <row r="697" ht="15.75" customHeight="1" s="67">
      <c r="A697" s="2" t="n"/>
      <c r="B697" s="2" t="n"/>
      <c r="C697" s="2" t="n"/>
      <c r="D697" s="2" t="n"/>
      <c r="E697" s="2" t="n"/>
      <c r="F697" s="2" t="n"/>
    </row>
    <row r="698" ht="15.75" customHeight="1" s="67">
      <c r="A698" s="2" t="n"/>
      <c r="B698" s="2" t="n"/>
      <c r="C698" s="2" t="n"/>
      <c r="D698" s="2" t="n"/>
      <c r="E698" s="2" t="n"/>
      <c r="F698" s="2" t="n"/>
    </row>
    <row r="699" ht="15.75" customHeight="1" s="67">
      <c r="A699" s="2" t="n"/>
      <c r="B699" s="2" t="n"/>
      <c r="C699" s="2" t="n"/>
      <c r="D699" s="2" t="n"/>
      <c r="E699" s="2" t="n"/>
      <c r="F699" s="2" t="n"/>
    </row>
    <row r="700" ht="15.75" customHeight="1" s="67">
      <c r="A700" s="2" t="n"/>
      <c r="B700" s="2" t="n"/>
      <c r="C700" s="2" t="n"/>
      <c r="D700" s="2" t="n"/>
      <c r="E700" s="2" t="n"/>
      <c r="F700" s="2" t="n"/>
    </row>
    <row r="701" ht="15.75" customHeight="1" s="67">
      <c r="A701" s="2" t="n"/>
      <c r="B701" s="2" t="n"/>
      <c r="C701" s="2" t="n"/>
      <c r="D701" s="2" t="n"/>
      <c r="E701" s="2" t="n"/>
      <c r="F701" s="2" t="n"/>
    </row>
    <row r="702" ht="15.75" customHeight="1" s="67">
      <c r="A702" s="2" t="n"/>
      <c r="B702" s="2" t="n"/>
      <c r="C702" s="2" t="n"/>
      <c r="D702" s="2" t="n"/>
      <c r="E702" s="2" t="n"/>
      <c r="F702" s="2" t="n"/>
    </row>
    <row r="703" ht="15.75" customHeight="1" s="67">
      <c r="A703" s="2" t="n"/>
      <c r="B703" s="2" t="n"/>
      <c r="C703" s="2" t="n"/>
      <c r="D703" s="2" t="n"/>
      <c r="E703" s="2" t="n"/>
      <c r="F703" s="2" t="n"/>
    </row>
    <row r="704" ht="15.75" customHeight="1" s="67">
      <c r="A704" s="2" t="n"/>
      <c r="B704" s="2" t="n"/>
      <c r="C704" s="2" t="n"/>
      <c r="D704" s="2" t="n"/>
      <c r="E704" s="2" t="n"/>
      <c r="F704" s="2" t="n"/>
    </row>
    <row r="705" ht="15.75" customHeight="1" s="67">
      <c r="A705" s="2" t="n"/>
      <c r="B705" s="2" t="n"/>
      <c r="C705" s="2" t="n"/>
      <c r="D705" s="2" t="n"/>
      <c r="E705" s="2" t="n"/>
      <c r="F705" s="2" t="n"/>
    </row>
    <row r="706" ht="15.75" customHeight="1" s="67">
      <c r="A706" s="2" t="n"/>
      <c r="B706" s="2" t="n"/>
      <c r="C706" s="2" t="n"/>
      <c r="D706" s="2" t="n"/>
      <c r="E706" s="2" t="n"/>
      <c r="F706" s="2" t="n"/>
    </row>
    <row r="707" ht="15.75" customHeight="1" s="67">
      <c r="A707" s="2" t="n"/>
      <c r="B707" s="2" t="n"/>
      <c r="C707" s="2" t="n"/>
      <c r="D707" s="2" t="n"/>
      <c r="E707" s="2" t="n"/>
      <c r="F707" s="2" t="n"/>
    </row>
    <row r="708" ht="15.75" customHeight="1" s="67">
      <c r="A708" s="2" t="n"/>
      <c r="B708" s="2" t="n"/>
      <c r="C708" s="2" t="n"/>
      <c r="D708" s="2" t="n"/>
      <c r="E708" s="2" t="n"/>
      <c r="F708" s="2" t="n"/>
    </row>
    <row r="709" ht="15.75" customHeight="1" s="67">
      <c r="A709" s="2" t="n"/>
      <c r="B709" s="2" t="n"/>
      <c r="C709" s="2" t="n"/>
      <c r="D709" s="2" t="n"/>
      <c r="E709" s="2" t="n"/>
      <c r="F709" s="2" t="n"/>
    </row>
    <row r="710" ht="15.75" customHeight="1" s="67">
      <c r="A710" s="2" t="n"/>
      <c r="B710" s="2" t="n"/>
      <c r="C710" s="2" t="n"/>
      <c r="D710" s="2" t="n"/>
      <c r="E710" s="2" t="n"/>
      <c r="F710" s="2" t="n"/>
    </row>
    <row r="711" ht="15.75" customHeight="1" s="67">
      <c r="A711" s="2" t="n"/>
      <c r="B711" s="2" t="n"/>
      <c r="C711" s="2" t="n"/>
      <c r="D711" s="2" t="n"/>
      <c r="E711" s="2" t="n"/>
      <c r="F711" s="2" t="n"/>
    </row>
    <row r="712" ht="15.75" customHeight="1" s="67">
      <c r="A712" s="2" t="n"/>
      <c r="B712" s="2" t="n"/>
      <c r="C712" s="2" t="n"/>
      <c r="D712" s="2" t="n"/>
      <c r="E712" s="2" t="n"/>
      <c r="F712" s="2" t="n"/>
    </row>
    <row r="713" ht="15.75" customHeight="1" s="67">
      <c r="A713" s="2" t="n"/>
      <c r="B713" s="2" t="n"/>
      <c r="C713" s="2" t="n"/>
      <c r="D713" s="2" t="n"/>
      <c r="E713" s="2" t="n"/>
      <c r="F713" s="2" t="n"/>
    </row>
    <row r="714" ht="15.75" customHeight="1" s="67">
      <c r="A714" s="2" t="n"/>
      <c r="B714" s="2" t="n"/>
      <c r="C714" s="2" t="n"/>
      <c r="D714" s="2" t="n"/>
      <c r="E714" s="2" t="n"/>
      <c r="F714" s="2" t="n"/>
    </row>
    <row r="715" ht="15.75" customHeight="1" s="67">
      <c r="A715" s="2" t="n"/>
      <c r="B715" s="2" t="n"/>
      <c r="C715" s="2" t="n"/>
      <c r="D715" s="2" t="n"/>
      <c r="E715" s="2" t="n"/>
      <c r="F715" s="2" t="n"/>
    </row>
    <row r="716" ht="15.75" customHeight="1" s="67">
      <c r="A716" s="2" t="n"/>
      <c r="B716" s="2" t="n"/>
      <c r="C716" s="2" t="n"/>
      <c r="D716" s="2" t="n"/>
      <c r="E716" s="2" t="n"/>
      <c r="F716" s="2" t="n"/>
    </row>
    <row r="717" ht="15.75" customHeight="1" s="67">
      <c r="A717" s="2" t="n"/>
      <c r="B717" s="2" t="n"/>
      <c r="C717" s="2" t="n"/>
      <c r="D717" s="2" t="n"/>
      <c r="E717" s="2" t="n"/>
      <c r="F717" s="2" t="n"/>
    </row>
    <row r="718" ht="15.75" customHeight="1" s="67">
      <c r="A718" s="2" t="n"/>
      <c r="B718" s="2" t="n"/>
      <c r="C718" s="2" t="n"/>
      <c r="D718" s="2" t="n"/>
      <c r="E718" s="2" t="n"/>
      <c r="F718" s="2" t="n"/>
    </row>
    <row r="719" ht="15.75" customHeight="1" s="67">
      <c r="A719" s="2" t="n"/>
      <c r="B719" s="2" t="n"/>
      <c r="C719" s="2" t="n"/>
      <c r="D719" s="2" t="n"/>
      <c r="E719" s="2" t="n"/>
      <c r="F719" s="2" t="n"/>
    </row>
    <row r="720" ht="15.75" customHeight="1" s="67">
      <c r="A720" s="2" t="n"/>
      <c r="B720" s="2" t="n"/>
      <c r="C720" s="2" t="n"/>
      <c r="D720" s="2" t="n"/>
      <c r="E720" s="2" t="n"/>
      <c r="F720" s="2" t="n"/>
    </row>
    <row r="721" ht="15.75" customHeight="1" s="67">
      <c r="A721" s="2" t="n"/>
      <c r="B721" s="2" t="n"/>
      <c r="C721" s="2" t="n"/>
      <c r="D721" s="2" t="n"/>
      <c r="E721" s="2" t="n"/>
      <c r="F721" s="2" t="n"/>
    </row>
    <row r="722" ht="15.75" customHeight="1" s="67">
      <c r="A722" s="2" t="n"/>
      <c r="B722" s="2" t="n"/>
      <c r="C722" s="2" t="n"/>
      <c r="D722" s="2" t="n"/>
      <c r="E722" s="2" t="n"/>
      <c r="F722" s="2" t="n"/>
    </row>
    <row r="723" ht="15.75" customHeight="1" s="67">
      <c r="A723" s="2" t="n"/>
      <c r="B723" s="2" t="n"/>
      <c r="C723" s="2" t="n"/>
      <c r="D723" s="2" t="n"/>
      <c r="E723" s="2" t="n"/>
      <c r="F723" s="2" t="n"/>
    </row>
    <row r="724" ht="15.75" customHeight="1" s="67">
      <c r="A724" s="2" t="n"/>
      <c r="B724" s="2" t="n"/>
      <c r="C724" s="2" t="n"/>
      <c r="D724" s="2" t="n"/>
      <c r="E724" s="2" t="n"/>
      <c r="F724" s="2" t="n"/>
    </row>
    <row r="725" ht="15.75" customHeight="1" s="67">
      <c r="A725" s="2" t="n"/>
      <c r="B725" s="2" t="n"/>
      <c r="C725" s="2" t="n"/>
      <c r="D725" s="2" t="n"/>
      <c r="E725" s="2" t="n"/>
      <c r="F725" s="2" t="n"/>
    </row>
    <row r="726" ht="15.75" customHeight="1" s="67">
      <c r="A726" s="2" t="n"/>
      <c r="B726" s="2" t="n"/>
      <c r="C726" s="2" t="n"/>
      <c r="D726" s="2" t="n"/>
      <c r="E726" s="2" t="n"/>
      <c r="F726" s="2" t="n"/>
    </row>
    <row r="727" ht="15.75" customHeight="1" s="67">
      <c r="A727" s="2" t="n"/>
      <c r="B727" s="2" t="n"/>
      <c r="C727" s="2" t="n"/>
      <c r="D727" s="2" t="n"/>
      <c r="E727" s="2" t="n"/>
      <c r="F727" s="2" t="n"/>
    </row>
    <row r="728" ht="15.75" customHeight="1" s="67">
      <c r="A728" s="2" t="n"/>
      <c r="B728" s="2" t="n"/>
      <c r="C728" s="2" t="n"/>
      <c r="D728" s="2" t="n"/>
      <c r="E728" s="2" t="n"/>
      <c r="F728" s="2" t="n"/>
    </row>
    <row r="729" ht="15.75" customHeight="1" s="67">
      <c r="A729" s="2" t="n"/>
      <c r="B729" s="2" t="n"/>
      <c r="C729" s="2" t="n"/>
      <c r="D729" s="2" t="n"/>
      <c r="E729" s="2" t="n"/>
      <c r="F729" s="2" t="n"/>
    </row>
    <row r="730" ht="15.75" customHeight="1" s="67">
      <c r="A730" s="2" t="n"/>
      <c r="B730" s="2" t="n"/>
      <c r="C730" s="2" t="n"/>
      <c r="D730" s="2" t="n"/>
      <c r="E730" s="2" t="n"/>
      <c r="F730" s="2" t="n"/>
    </row>
    <row r="731" ht="15.75" customHeight="1" s="67">
      <c r="A731" s="2" t="n"/>
      <c r="B731" s="2" t="n"/>
      <c r="C731" s="2" t="n"/>
      <c r="D731" s="2" t="n"/>
      <c r="E731" s="2" t="n"/>
      <c r="F731" s="2" t="n"/>
    </row>
    <row r="732" ht="15.75" customHeight="1" s="67">
      <c r="A732" s="2" t="n"/>
      <c r="B732" s="2" t="n"/>
      <c r="C732" s="2" t="n"/>
      <c r="D732" s="2" t="n"/>
      <c r="E732" s="2" t="n"/>
      <c r="F732" s="2" t="n"/>
    </row>
    <row r="733" ht="15.75" customHeight="1" s="67">
      <c r="A733" s="2" t="n"/>
      <c r="B733" s="2" t="n"/>
      <c r="C733" s="2" t="n"/>
      <c r="D733" s="2" t="n"/>
      <c r="E733" s="2" t="n"/>
      <c r="F733" s="2" t="n"/>
    </row>
    <row r="734" ht="15.75" customHeight="1" s="67">
      <c r="A734" s="2" t="n"/>
      <c r="B734" s="2" t="n"/>
      <c r="C734" s="2" t="n"/>
      <c r="D734" s="2" t="n"/>
      <c r="E734" s="2" t="n"/>
      <c r="F734" s="2" t="n"/>
    </row>
    <row r="735" ht="15.75" customHeight="1" s="67">
      <c r="A735" s="2" t="n"/>
      <c r="B735" s="2" t="n"/>
      <c r="C735" s="2" t="n"/>
      <c r="D735" s="2" t="n"/>
      <c r="E735" s="2" t="n"/>
      <c r="F735" s="2" t="n"/>
    </row>
    <row r="736" ht="15.75" customHeight="1" s="67">
      <c r="A736" s="2" t="n"/>
      <c r="B736" s="2" t="n"/>
      <c r="C736" s="2" t="n"/>
      <c r="D736" s="2" t="n"/>
      <c r="E736" s="2" t="n"/>
      <c r="F736" s="2" t="n"/>
    </row>
    <row r="737" ht="15.75" customHeight="1" s="67">
      <c r="A737" s="2" t="n"/>
      <c r="B737" s="2" t="n"/>
      <c r="C737" s="2" t="n"/>
      <c r="D737" s="2" t="n"/>
      <c r="E737" s="2" t="n"/>
      <c r="F737" s="2" t="n"/>
    </row>
    <row r="738" ht="15.75" customHeight="1" s="67">
      <c r="A738" s="2" t="n"/>
      <c r="B738" s="2" t="n"/>
      <c r="C738" s="2" t="n"/>
      <c r="D738" s="2" t="n"/>
      <c r="E738" s="2" t="n"/>
      <c r="F738" s="2" t="n"/>
    </row>
    <row r="739" ht="15.75" customHeight="1" s="67">
      <c r="A739" s="2" t="n"/>
      <c r="B739" s="2" t="n"/>
      <c r="C739" s="2" t="n"/>
      <c r="D739" s="2" t="n"/>
      <c r="E739" s="2" t="n"/>
      <c r="F739" s="2" t="n"/>
    </row>
    <row r="740" ht="15.75" customHeight="1" s="67">
      <c r="A740" s="2" t="n"/>
      <c r="B740" s="2" t="n"/>
      <c r="C740" s="2" t="n"/>
      <c r="D740" s="2" t="n"/>
      <c r="E740" s="2" t="n"/>
      <c r="F740" s="2" t="n"/>
    </row>
    <row r="741" ht="15.75" customHeight="1" s="67">
      <c r="A741" s="2" t="n"/>
      <c r="B741" s="2" t="n"/>
      <c r="C741" s="2" t="n"/>
      <c r="D741" s="2" t="n"/>
      <c r="E741" s="2" t="n"/>
      <c r="F741" s="2" t="n"/>
    </row>
    <row r="742" ht="15.75" customHeight="1" s="67">
      <c r="A742" s="2" t="n"/>
      <c r="B742" s="2" t="n"/>
      <c r="C742" s="2" t="n"/>
      <c r="D742" s="2" t="n"/>
      <c r="E742" s="2" t="n"/>
      <c r="F742" s="2" t="n"/>
    </row>
    <row r="743" ht="15.75" customHeight="1" s="67">
      <c r="A743" s="2" t="n"/>
      <c r="B743" s="2" t="n"/>
      <c r="C743" s="2" t="n"/>
      <c r="D743" s="2" t="n"/>
      <c r="E743" s="2" t="n"/>
      <c r="F743" s="2" t="n"/>
    </row>
    <row r="744" ht="15.75" customHeight="1" s="67">
      <c r="A744" s="2" t="n"/>
      <c r="B744" s="2" t="n"/>
      <c r="C744" s="2" t="n"/>
      <c r="D744" s="2" t="n"/>
      <c r="E744" s="2" t="n"/>
      <c r="F744" s="2" t="n"/>
    </row>
    <row r="745" ht="15.75" customHeight="1" s="67">
      <c r="A745" s="2" t="n"/>
      <c r="B745" s="2" t="n"/>
      <c r="C745" s="2" t="n"/>
      <c r="D745" s="2" t="n"/>
      <c r="E745" s="2" t="n"/>
      <c r="F745" s="2" t="n"/>
    </row>
    <row r="746" ht="15.75" customHeight="1" s="67">
      <c r="A746" s="2" t="n"/>
      <c r="B746" s="2" t="n"/>
      <c r="C746" s="2" t="n"/>
      <c r="D746" s="2" t="n"/>
      <c r="E746" s="2" t="n"/>
      <c r="F746" s="2" t="n"/>
    </row>
    <row r="747" ht="15.75" customHeight="1" s="67">
      <c r="A747" s="2" t="n"/>
      <c r="B747" s="2" t="n"/>
      <c r="C747" s="2" t="n"/>
      <c r="D747" s="2" t="n"/>
      <c r="E747" s="2" t="n"/>
      <c r="F747" s="2" t="n"/>
    </row>
    <row r="748" ht="15.75" customHeight="1" s="67">
      <c r="A748" s="2" t="n"/>
      <c r="B748" s="2" t="n"/>
      <c r="C748" s="2" t="n"/>
      <c r="D748" s="2" t="n"/>
      <c r="E748" s="2" t="n"/>
      <c r="F748" s="2" t="n"/>
    </row>
    <row r="749" ht="15.75" customHeight="1" s="67">
      <c r="A749" s="2" t="n"/>
      <c r="B749" s="2" t="n"/>
      <c r="C749" s="2" t="n"/>
      <c r="D749" s="2" t="n"/>
      <c r="E749" s="2" t="n"/>
      <c r="F749" s="2" t="n"/>
    </row>
    <row r="750" ht="15.75" customHeight="1" s="67">
      <c r="A750" s="2" t="n"/>
      <c r="B750" s="2" t="n"/>
      <c r="C750" s="2" t="n"/>
      <c r="D750" s="2" t="n"/>
      <c r="E750" s="2" t="n"/>
      <c r="F750" s="2" t="n"/>
    </row>
    <row r="751" ht="15.75" customHeight="1" s="67">
      <c r="A751" s="2" t="n"/>
      <c r="B751" s="2" t="n"/>
      <c r="C751" s="2" t="n"/>
      <c r="D751" s="2" t="n"/>
      <c r="E751" s="2" t="n"/>
      <c r="F751" s="2" t="n"/>
    </row>
    <row r="752" ht="15.75" customHeight="1" s="67">
      <c r="A752" s="2" t="n"/>
      <c r="B752" s="2" t="n"/>
      <c r="C752" s="2" t="n"/>
      <c r="D752" s="2" t="n"/>
      <c r="E752" s="2" t="n"/>
      <c r="F752" s="2" t="n"/>
    </row>
    <row r="753" ht="15.75" customHeight="1" s="67">
      <c r="A753" s="2" t="n"/>
      <c r="B753" s="2" t="n"/>
      <c r="C753" s="2" t="n"/>
      <c r="D753" s="2" t="n"/>
      <c r="E753" s="2" t="n"/>
      <c r="F753" s="2" t="n"/>
    </row>
    <row r="754" ht="15.75" customHeight="1" s="67">
      <c r="A754" s="2" t="n"/>
      <c r="B754" s="2" t="n"/>
      <c r="C754" s="2" t="n"/>
      <c r="D754" s="2" t="n"/>
      <c r="E754" s="2" t="n"/>
      <c r="F754" s="2" t="n"/>
    </row>
    <row r="755" ht="15.75" customHeight="1" s="67">
      <c r="A755" s="2" t="n"/>
      <c r="B755" s="2" t="n"/>
      <c r="C755" s="2" t="n"/>
      <c r="D755" s="2" t="n"/>
      <c r="E755" s="2" t="n"/>
      <c r="F755" s="2" t="n"/>
    </row>
    <row r="756" ht="15.75" customHeight="1" s="67">
      <c r="A756" s="2" t="n"/>
      <c r="B756" s="2" t="n"/>
      <c r="C756" s="2" t="n"/>
      <c r="D756" s="2" t="n"/>
      <c r="E756" s="2" t="n"/>
      <c r="F756" s="2" t="n"/>
    </row>
    <row r="757" ht="15.75" customHeight="1" s="67">
      <c r="A757" s="2" t="n"/>
      <c r="B757" s="2" t="n"/>
      <c r="C757" s="2" t="n"/>
      <c r="D757" s="2" t="n"/>
      <c r="E757" s="2" t="n"/>
      <c r="F757" s="2" t="n"/>
    </row>
    <row r="758" ht="15.75" customHeight="1" s="67">
      <c r="A758" s="2" t="n"/>
      <c r="B758" s="2" t="n"/>
      <c r="C758" s="2" t="n"/>
      <c r="D758" s="2" t="n"/>
      <c r="E758" s="2" t="n"/>
      <c r="F758" s="2" t="n"/>
    </row>
    <row r="759" ht="15.75" customHeight="1" s="67">
      <c r="A759" s="2" t="n"/>
      <c r="B759" s="2" t="n"/>
      <c r="C759" s="2" t="n"/>
      <c r="D759" s="2" t="n"/>
      <c r="E759" s="2" t="n"/>
      <c r="F759" s="2" t="n"/>
    </row>
    <row r="760" ht="15.75" customHeight="1" s="67">
      <c r="A760" s="2" t="n"/>
      <c r="B760" s="2" t="n"/>
      <c r="C760" s="2" t="n"/>
      <c r="D760" s="2" t="n"/>
      <c r="E760" s="2" t="n"/>
      <c r="F760" s="2" t="n"/>
    </row>
    <row r="761" ht="15.75" customHeight="1" s="67">
      <c r="A761" s="2" t="n"/>
      <c r="B761" s="2" t="n"/>
      <c r="C761" s="2" t="n"/>
      <c r="D761" s="2" t="n"/>
      <c r="E761" s="2" t="n"/>
      <c r="F761" s="2" t="n"/>
    </row>
    <row r="762" ht="15.75" customHeight="1" s="67">
      <c r="A762" s="2" t="n"/>
      <c r="B762" s="2" t="n"/>
      <c r="C762" s="2" t="n"/>
      <c r="D762" s="2" t="n"/>
      <c r="E762" s="2" t="n"/>
      <c r="F762" s="2" t="n"/>
    </row>
    <row r="763" ht="15.75" customHeight="1" s="67">
      <c r="A763" s="2" t="n"/>
      <c r="B763" s="2" t="n"/>
      <c r="C763" s="2" t="n"/>
      <c r="D763" s="2" t="n"/>
      <c r="E763" s="2" t="n"/>
      <c r="F763" s="2" t="n"/>
    </row>
    <row r="764" ht="15.75" customHeight="1" s="67">
      <c r="A764" s="2" t="n"/>
      <c r="B764" s="2" t="n"/>
      <c r="C764" s="2" t="n"/>
      <c r="D764" s="2" t="n"/>
      <c r="E764" s="2" t="n"/>
      <c r="F764" s="2" t="n"/>
    </row>
    <row r="765" ht="15.75" customHeight="1" s="67">
      <c r="A765" s="2" t="n"/>
      <c r="B765" s="2" t="n"/>
      <c r="C765" s="2" t="n"/>
      <c r="D765" s="2" t="n"/>
      <c r="E765" s="2" t="n"/>
      <c r="F765" s="2" t="n"/>
    </row>
    <row r="766" ht="15.75" customHeight="1" s="67">
      <c r="A766" s="2" t="n"/>
      <c r="B766" s="2" t="n"/>
      <c r="C766" s="2" t="n"/>
      <c r="D766" s="2" t="n"/>
      <c r="E766" s="2" t="n"/>
      <c r="F766" s="2" t="n"/>
    </row>
    <row r="767" ht="15.75" customHeight="1" s="67">
      <c r="A767" s="2" t="n"/>
      <c r="B767" s="2" t="n"/>
      <c r="C767" s="2" t="n"/>
      <c r="D767" s="2" t="n"/>
      <c r="E767" s="2" t="n"/>
      <c r="F767" s="2" t="n"/>
    </row>
    <row r="768" ht="15.75" customHeight="1" s="67">
      <c r="A768" s="2" t="n"/>
      <c r="B768" s="2" t="n"/>
      <c r="C768" s="2" t="n"/>
      <c r="D768" s="2" t="n"/>
      <c r="E768" s="2" t="n"/>
      <c r="F768" s="2" t="n"/>
    </row>
    <row r="769" ht="15.75" customHeight="1" s="67">
      <c r="A769" s="2" t="n"/>
      <c r="B769" s="2" t="n"/>
      <c r="C769" s="2" t="n"/>
      <c r="D769" s="2" t="n"/>
      <c r="E769" s="2" t="n"/>
      <c r="F769" s="2" t="n"/>
    </row>
    <row r="770" ht="15.75" customHeight="1" s="67">
      <c r="A770" s="2" t="n"/>
      <c r="B770" s="2" t="n"/>
      <c r="C770" s="2" t="n"/>
      <c r="D770" s="2" t="n"/>
      <c r="E770" s="2" t="n"/>
      <c r="F770" s="2" t="n"/>
    </row>
    <row r="771" ht="15.75" customHeight="1" s="67">
      <c r="A771" s="2" t="n"/>
      <c r="B771" s="2" t="n"/>
      <c r="C771" s="2" t="n"/>
      <c r="D771" s="2" t="n"/>
      <c r="E771" s="2" t="n"/>
      <c r="F771" s="2" t="n"/>
    </row>
    <row r="772" ht="15.75" customHeight="1" s="67">
      <c r="A772" s="2" t="n"/>
      <c r="B772" s="2" t="n"/>
      <c r="C772" s="2" t="n"/>
      <c r="D772" s="2" t="n"/>
      <c r="E772" s="2" t="n"/>
      <c r="F772" s="2" t="n"/>
    </row>
    <row r="773" ht="15.75" customHeight="1" s="67">
      <c r="A773" s="2" t="n"/>
      <c r="B773" s="2" t="n"/>
      <c r="C773" s="2" t="n"/>
      <c r="D773" s="2" t="n"/>
      <c r="E773" s="2" t="n"/>
      <c r="F773" s="2" t="n"/>
    </row>
    <row r="774" ht="15.75" customHeight="1" s="67">
      <c r="A774" s="2" t="n"/>
      <c r="B774" s="2" t="n"/>
      <c r="C774" s="2" t="n"/>
      <c r="D774" s="2" t="n"/>
      <c r="E774" s="2" t="n"/>
      <c r="F774" s="2" t="n"/>
    </row>
    <row r="775" ht="15.75" customHeight="1" s="67">
      <c r="A775" s="2" t="n"/>
      <c r="B775" s="2" t="n"/>
      <c r="C775" s="2" t="n"/>
      <c r="D775" s="2" t="n"/>
      <c r="E775" s="2" t="n"/>
      <c r="F775" s="2" t="n"/>
    </row>
    <row r="776" ht="15.75" customHeight="1" s="67">
      <c r="A776" s="2" t="n"/>
      <c r="B776" s="2" t="n"/>
      <c r="C776" s="2" t="n"/>
      <c r="D776" s="2" t="n"/>
      <c r="E776" s="2" t="n"/>
      <c r="F776" s="2" t="n"/>
    </row>
    <row r="777" ht="15.75" customHeight="1" s="67">
      <c r="A777" s="2" t="n"/>
      <c r="B777" s="2" t="n"/>
      <c r="C777" s="2" t="n"/>
      <c r="D777" s="2" t="n"/>
      <c r="E777" s="2" t="n"/>
      <c r="F777" s="2" t="n"/>
    </row>
    <row r="778" ht="15.75" customHeight="1" s="67">
      <c r="A778" s="2" t="n"/>
      <c r="B778" s="2" t="n"/>
      <c r="C778" s="2" t="n"/>
      <c r="D778" s="2" t="n"/>
      <c r="E778" s="2" t="n"/>
      <c r="F778" s="2" t="n"/>
    </row>
    <row r="779" ht="15.75" customHeight="1" s="67">
      <c r="A779" s="2" t="n"/>
      <c r="B779" s="2" t="n"/>
      <c r="C779" s="2" t="n"/>
      <c r="D779" s="2" t="n"/>
      <c r="E779" s="2" t="n"/>
      <c r="F779" s="2" t="n"/>
    </row>
    <row r="780" ht="15.75" customHeight="1" s="67">
      <c r="A780" s="2" t="n"/>
      <c r="B780" s="2" t="n"/>
      <c r="C780" s="2" t="n"/>
      <c r="D780" s="2" t="n"/>
      <c r="E780" s="2" t="n"/>
      <c r="F780" s="2" t="n"/>
    </row>
    <row r="781" ht="15.75" customHeight="1" s="67">
      <c r="A781" s="2" t="n"/>
      <c r="B781" s="2" t="n"/>
      <c r="C781" s="2" t="n"/>
      <c r="D781" s="2" t="n"/>
      <c r="E781" s="2" t="n"/>
      <c r="F781" s="2" t="n"/>
    </row>
    <row r="782" ht="15.75" customHeight="1" s="67">
      <c r="A782" s="2" t="n"/>
      <c r="B782" s="2" t="n"/>
      <c r="C782" s="2" t="n"/>
      <c r="D782" s="2" t="n"/>
      <c r="E782" s="2" t="n"/>
      <c r="F782" s="2" t="n"/>
    </row>
    <row r="783" ht="15.75" customHeight="1" s="67">
      <c r="A783" s="2" t="n"/>
      <c r="B783" s="2" t="n"/>
      <c r="C783" s="2" t="n"/>
      <c r="D783" s="2" t="n"/>
      <c r="E783" s="2" t="n"/>
      <c r="F783" s="2" t="n"/>
    </row>
    <row r="784" ht="15.75" customHeight="1" s="67">
      <c r="A784" s="2" t="n"/>
      <c r="B784" s="2" t="n"/>
      <c r="C784" s="2" t="n"/>
      <c r="D784" s="2" t="n"/>
      <c r="E784" s="2" t="n"/>
      <c r="F784" s="2" t="n"/>
    </row>
    <row r="785" ht="15.75" customHeight="1" s="67">
      <c r="A785" s="2" t="n"/>
      <c r="B785" s="2" t="n"/>
      <c r="C785" s="2" t="n"/>
      <c r="D785" s="2" t="n"/>
      <c r="E785" s="2" t="n"/>
      <c r="F785" s="2" t="n"/>
    </row>
    <row r="786" ht="15.75" customHeight="1" s="67">
      <c r="A786" s="2" t="n"/>
      <c r="B786" s="2" t="n"/>
      <c r="C786" s="2" t="n"/>
      <c r="D786" s="2" t="n"/>
      <c r="E786" s="2" t="n"/>
      <c r="F786" s="2" t="n"/>
    </row>
    <row r="787" ht="15.75" customHeight="1" s="67">
      <c r="A787" s="2" t="n"/>
      <c r="B787" s="2" t="n"/>
      <c r="C787" s="2" t="n"/>
      <c r="D787" s="2" t="n"/>
      <c r="E787" s="2" t="n"/>
      <c r="F787" s="2" t="n"/>
    </row>
    <row r="788" ht="15.75" customHeight="1" s="67">
      <c r="A788" s="2" t="n"/>
      <c r="B788" s="2" t="n"/>
      <c r="C788" s="2" t="n"/>
      <c r="D788" s="2" t="n"/>
      <c r="E788" s="2" t="n"/>
      <c r="F788" s="2" t="n"/>
    </row>
    <row r="789" ht="15.75" customHeight="1" s="67">
      <c r="A789" s="2" t="n"/>
      <c r="B789" s="2" t="n"/>
      <c r="C789" s="2" t="n"/>
      <c r="D789" s="2" t="n"/>
      <c r="E789" s="2" t="n"/>
      <c r="F789" s="2" t="n"/>
    </row>
    <row r="790" ht="15.75" customHeight="1" s="67">
      <c r="A790" s="2" t="n"/>
      <c r="B790" s="2" t="n"/>
      <c r="C790" s="2" t="n"/>
      <c r="D790" s="2" t="n"/>
      <c r="E790" s="2" t="n"/>
      <c r="F790" s="2" t="n"/>
    </row>
    <row r="791" ht="15.75" customHeight="1" s="67">
      <c r="A791" s="2" t="n"/>
      <c r="B791" s="2" t="n"/>
      <c r="C791" s="2" t="n"/>
      <c r="D791" s="2" t="n"/>
      <c r="E791" s="2" t="n"/>
      <c r="F791" s="2" t="n"/>
    </row>
    <row r="792" ht="15.75" customHeight="1" s="67">
      <c r="A792" s="2" t="n"/>
      <c r="B792" s="2" t="n"/>
      <c r="C792" s="2" t="n"/>
      <c r="D792" s="2" t="n"/>
      <c r="E792" s="2" t="n"/>
      <c r="F792" s="2" t="n"/>
    </row>
    <row r="793" ht="15.75" customHeight="1" s="67">
      <c r="A793" s="2" t="n"/>
      <c r="B793" s="2" t="n"/>
      <c r="C793" s="2" t="n"/>
      <c r="D793" s="2" t="n"/>
      <c r="E793" s="2" t="n"/>
      <c r="F793" s="2" t="n"/>
    </row>
    <row r="794" ht="15.75" customHeight="1" s="67">
      <c r="A794" s="2" t="n"/>
      <c r="B794" s="2" t="n"/>
      <c r="C794" s="2" t="n"/>
      <c r="D794" s="2" t="n"/>
      <c r="E794" s="2" t="n"/>
      <c r="F794" s="2" t="n"/>
    </row>
    <row r="795" ht="15.75" customHeight="1" s="67">
      <c r="A795" s="2" t="n"/>
      <c r="B795" s="2" t="n"/>
      <c r="C795" s="2" t="n"/>
      <c r="D795" s="2" t="n"/>
      <c r="E795" s="2" t="n"/>
      <c r="F795" s="2" t="n"/>
    </row>
    <row r="796" ht="15.75" customHeight="1" s="67">
      <c r="A796" s="2" t="n"/>
      <c r="B796" s="2" t="n"/>
      <c r="C796" s="2" t="n"/>
      <c r="D796" s="2" t="n"/>
      <c r="E796" s="2" t="n"/>
      <c r="F796" s="2" t="n"/>
    </row>
    <row r="797" ht="15.75" customHeight="1" s="67">
      <c r="A797" s="2" t="n"/>
      <c r="B797" s="2" t="n"/>
      <c r="C797" s="2" t="n"/>
      <c r="D797" s="2" t="n"/>
      <c r="E797" s="2" t="n"/>
      <c r="F797" s="2" t="n"/>
    </row>
    <row r="798" ht="15.75" customHeight="1" s="67">
      <c r="A798" s="2" t="n"/>
      <c r="B798" s="2" t="n"/>
      <c r="C798" s="2" t="n"/>
      <c r="D798" s="2" t="n"/>
      <c r="E798" s="2" t="n"/>
      <c r="F798" s="2" t="n"/>
    </row>
    <row r="799" ht="15.75" customHeight="1" s="67">
      <c r="A799" s="2" t="n"/>
      <c r="B799" s="2" t="n"/>
      <c r="C799" s="2" t="n"/>
      <c r="D799" s="2" t="n"/>
      <c r="E799" s="2" t="n"/>
      <c r="F799" s="2" t="n"/>
    </row>
    <row r="800" ht="15.75" customHeight="1" s="67">
      <c r="A800" s="2" t="n"/>
      <c r="B800" s="2" t="n"/>
      <c r="C800" s="2" t="n"/>
      <c r="D800" s="2" t="n"/>
      <c r="E800" s="2" t="n"/>
      <c r="F800" s="2" t="n"/>
    </row>
    <row r="801" ht="15.75" customHeight="1" s="67">
      <c r="A801" s="2" t="n"/>
      <c r="B801" s="2" t="n"/>
      <c r="C801" s="2" t="n"/>
      <c r="D801" s="2" t="n"/>
      <c r="E801" s="2" t="n"/>
      <c r="F801" s="2" t="n"/>
    </row>
    <row r="802" ht="15.75" customHeight="1" s="67">
      <c r="A802" s="2" t="n"/>
      <c r="B802" s="2" t="n"/>
      <c r="C802" s="2" t="n"/>
      <c r="D802" s="2" t="n"/>
      <c r="E802" s="2" t="n"/>
      <c r="F802" s="2" t="n"/>
    </row>
    <row r="803" ht="15.75" customHeight="1" s="67">
      <c r="A803" s="2" t="n"/>
      <c r="B803" s="2" t="n"/>
      <c r="C803" s="2" t="n"/>
      <c r="D803" s="2" t="n"/>
      <c r="E803" s="2" t="n"/>
      <c r="F803" s="2" t="n"/>
    </row>
    <row r="804" ht="15.75" customHeight="1" s="67">
      <c r="A804" s="2" t="n"/>
      <c r="B804" s="2" t="n"/>
      <c r="C804" s="2" t="n"/>
      <c r="D804" s="2" t="n"/>
      <c r="E804" s="2" t="n"/>
      <c r="F804" s="2" t="n"/>
    </row>
    <row r="805" ht="15.75" customHeight="1" s="67">
      <c r="A805" s="2" t="n"/>
      <c r="B805" s="2" t="n"/>
      <c r="C805" s="2" t="n"/>
      <c r="D805" s="2" t="n"/>
      <c r="E805" s="2" t="n"/>
      <c r="F805" s="2" t="n"/>
    </row>
    <row r="806" ht="15.75" customHeight="1" s="67">
      <c r="A806" s="2" t="n"/>
      <c r="B806" s="2" t="n"/>
      <c r="C806" s="2" t="n"/>
      <c r="D806" s="2" t="n"/>
      <c r="E806" s="2" t="n"/>
      <c r="F806" s="2" t="n"/>
    </row>
    <row r="807" ht="15.75" customHeight="1" s="67">
      <c r="A807" s="2" t="n"/>
      <c r="B807" s="2" t="n"/>
      <c r="C807" s="2" t="n"/>
      <c r="D807" s="2" t="n"/>
      <c r="E807" s="2" t="n"/>
      <c r="F807" s="2" t="n"/>
    </row>
    <row r="808" ht="15.75" customHeight="1" s="67">
      <c r="A808" s="2" t="n"/>
      <c r="B808" s="2" t="n"/>
      <c r="C808" s="2" t="n"/>
      <c r="D808" s="2" t="n"/>
      <c r="E808" s="2" t="n"/>
      <c r="F808" s="2" t="n"/>
    </row>
    <row r="809" ht="15.75" customHeight="1" s="67">
      <c r="A809" s="2" t="n"/>
      <c r="B809" s="2" t="n"/>
      <c r="C809" s="2" t="n"/>
      <c r="D809" s="2" t="n"/>
      <c r="E809" s="2" t="n"/>
      <c r="F809" s="2" t="n"/>
    </row>
    <row r="810" ht="15.75" customHeight="1" s="67">
      <c r="A810" s="2" t="n"/>
      <c r="B810" s="2" t="n"/>
      <c r="C810" s="2" t="n"/>
      <c r="D810" s="2" t="n"/>
      <c r="E810" s="2" t="n"/>
      <c r="F810" s="2" t="n"/>
    </row>
    <row r="811" ht="15.75" customHeight="1" s="67">
      <c r="A811" s="2" t="n"/>
      <c r="B811" s="2" t="n"/>
      <c r="C811" s="2" t="n"/>
      <c r="D811" s="2" t="n"/>
      <c r="E811" s="2" t="n"/>
      <c r="F811" s="2" t="n"/>
    </row>
    <row r="812" ht="15.75" customHeight="1" s="67">
      <c r="A812" s="2" t="n"/>
      <c r="B812" s="2" t="n"/>
      <c r="C812" s="2" t="n"/>
      <c r="D812" s="2" t="n"/>
      <c r="E812" s="2" t="n"/>
      <c r="F812" s="2" t="n"/>
    </row>
    <row r="813" ht="15.75" customHeight="1" s="67">
      <c r="A813" s="2" t="n"/>
      <c r="B813" s="2" t="n"/>
      <c r="C813" s="2" t="n"/>
      <c r="D813" s="2" t="n"/>
      <c r="E813" s="2" t="n"/>
      <c r="F813" s="2" t="n"/>
    </row>
    <row r="814" ht="15.75" customHeight="1" s="67">
      <c r="A814" s="2" t="n"/>
      <c r="B814" s="2" t="n"/>
      <c r="C814" s="2" t="n"/>
      <c r="D814" s="2" t="n"/>
      <c r="E814" s="2" t="n"/>
      <c r="F814" s="2" t="n"/>
    </row>
    <row r="815" ht="15.75" customHeight="1" s="67">
      <c r="A815" s="2" t="n"/>
      <c r="B815" s="2" t="n"/>
      <c r="C815" s="2" t="n"/>
      <c r="D815" s="2" t="n"/>
      <c r="E815" s="2" t="n"/>
      <c r="F815" s="2" t="n"/>
    </row>
    <row r="816" ht="15.75" customHeight="1" s="67">
      <c r="A816" s="2" t="n"/>
      <c r="B816" s="2" t="n"/>
      <c r="C816" s="2" t="n"/>
      <c r="D816" s="2" t="n"/>
      <c r="E816" s="2" t="n"/>
      <c r="F816" s="2" t="n"/>
    </row>
    <row r="817" ht="15.75" customHeight="1" s="67">
      <c r="A817" s="2" t="n"/>
      <c r="B817" s="2" t="n"/>
      <c r="C817" s="2" t="n"/>
      <c r="D817" s="2" t="n"/>
      <c r="E817" s="2" t="n"/>
      <c r="F817" s="2" t="n"/>
    </row>
    <row r="818" ht="15.75" customHeight="1" s="67">
      <c r="A818" s="2" t="n"/>
      <c r="B818" s="2" t="n"/>
      <c r="C818" s="2" t="n"/>
      <c r="D818" s="2" t="n"/>
      <c r="E818" s="2" t="n"/>
      <c r="F818" s="2" t="n"/>
    </row>
    <row r="819" ht="15.75" customHeight="1" s="67">
      <c r="A819" s="2" t="n"/>
      <c r="B819" s="2" t="n"/>
      <c r="C819" s="2" t="n"/>
      <c r="D819" s="2" t="n"/>
      <c r="E819" s="2" t="n"/>
      <c r="F819" s="2" t="n"/>
    </row>
    <row r="820" ht="15.75" customHeight="1" s="67">
      <c r="A820" s="2" t="n"/>
      <c r="B820" s="2" t="n"/>
      <c r="C820" s="2" t="n"/>
      <c r="D820" s="2" t="n"/>
      <c r="E820" s="2" t="n"/>
      <c r="F820" s="2" t="n"/>
    </row>
    <row r="821" ht="15.75" customHeight="1" s="67">
      <c r="A821" s="2" t="n"/>
      <c r="B821" s="2" t="n"/>
      <c r="C821" s="2" t="n"/>
      <c r="D821" s="2" t="n"/>
      <c r="E821" s="2" t="n"/>
      <c r="F821" s="2" t="n"/>
    </row>
    <row r="822" ht="15.75" customHeight="1" s="67">
      <c r="A822" s="2" t="n"/>
      <c r="B822" s="2" t="n"/>
      <c r="C822" s="2" t="n"/>
      <c r="D822" s="2" t="n"/>
      <c r="E822" s="2" t="n"/>
      <c r="F822" s="2" t="n"/>
    </row>
    <row r="823" ht="15.75" customHeight="1" s="67">
      <c r="A823" s="2" t="n"/>
      <c r="B823" s="2" t="n"/>
      <c r="C823" s="2" t="n"/>
      <c r="D823" s="2" t="n"/>
      <c r="E823" s="2" t="n"/>
      <c r="F823" s="2" t="n"/>
    </row>
    <row r="824" ht="15.75" customHeight="1" s="67">
      <c r="A824" s="2" t="n"/>
      <c r="B824" s="2" t="n"/>
      <c r="C824" s="2" t="n"/>
      <c r="D824" s="2" t="n"/>
      <c r="E824" s="2" t="n"/>
      <c r="F824" s="2" t="n"/>
    </row>
    <row r="825" ht="15.75" customHeight="1" s="67">
      <c r="A825" s="2" t="n"/>
      <c r="B825" s="2" t="n"/>
      <c r="C825" s="2" t="n"/>
      <c r="D825" s="2" t="n"/>
      <c r="E825" s="2" t="n"/>
      <c r="F825" s="2" t="n"/>
    </row>
    <row r="826" ht="15.75" customHeight="1" s="67">
      <c r="A826" s="2" t="n"/>
      <c r="B826" s="2" t="n"/>
      <c r="C826" s="2" t="n"/>
      <c r="D826" s="2" t="n"/>
      <c r="E826" s="2" t="n"/>
      <c r="F826" s="2" t="n"/>
    </row>
    <row r="827" ht="15.75" customHeight="1" s="67">
      <c r="A827" s="2" t="n"/>
      <c r="B827" s="2" t="n"/>
      <c r="C827" s="2" t="n"/>
      <c r="D827" s="2" t="n"/>
      <c r="E827" s="2" t="n"/>
      <c r="F827" s="2" t="n"/>
    </row>
    <row r="828" ht="15.75" customHeight="1" s="67">
      <c r="A828" s="2" t="n"/>
      <c r="B828" s="2" t="n"/>
      <c r="C828" s="2" t="n"/>
      <c r="D828" s="2" t="n"/>
      <c r="E828" s="2" t="n"/>
      <c r="F828" s="2" t="n"/>
    </row>
    <row r="829" ht="15.75" customHeight="1" s="67">
      <c r="A829" s="2" t="n"/>
      <c r="B829" s="2" t="n"/>
      <c r="C829" s="2" t="n"/>
      <c r="D829" s="2" t="n"/>
      <c r="E829" s="2" t="n"/>
      <c r="F829" s="2" t="n"/>
    </row>
    <row r="830" ht="15.75" customHeight="1" s="67">
      <c r="A830" s="2" t="n"/>
      <c r="B830" s="2" t="n"/>
      <c r="C830" s="2" t="n"/>
      <c r="D830" s="2" t="n"/>
      <c r="E830" s="2" t="n"/>
      <c r="F830" s="2" t="n"/>
    </row>
    <row r="831" ht="15.75" customHeight="1" s="67">
      <c r="A831" s="2" t="n"/>
      <c r="B831" s="2" t="n"/>
      <c r="C831" s="2" t="n"/>
      <c r="D831" s="2" t="n"/>
      <c r="E831" s="2" t="n"/>
      <c r="F831" s="2" t="n"/>
    </row>
    <row r="832" ht="15.75" customHeight="1" s="67">
      <c r="A832" s="2" t="n"/>
      <c r="B832" s="2" t="n"/>
      <c r="C832" s="2" t="n"/>
      <c r="D832" s="2" t="n"/>
      <c r="E832" s="2" t="n"/>
      <c r="F832" s="2" t="n"/>
    </row>
    <row r="833" ht="15.75" customHeight="1" s="67">
      <c r="A833" s="2" t="n"/>
      <c r="B833" s="2" t="n"/>
      <c r="C833" s="2" t="n"/>
      <c r="D833" s="2" t="n"/>
      <c r="E833" s="2" t="n"/>
      <c r="F833" s="2" t="n"/>
    </row>
    <row r="834" ht="15.75" customHeight="1" s="67">
      <c r="A834" s="2" t="n"/>
      <c r="B834" s="2" t="n"/>
      <c r="C834" s="2" t="n"/>
      <c r="D834" s="2" t="n"/>
      <c r="E834" s="2" t="n"/>
      <c r="F834" s="2" t="n"/>
    </row>
    <row r="835" ht="15.75" customHeight="1" s="67">
      <c r="A835" s="2" t="n"/>
      <c r="B835" s="2" t="n"/>
      <c r="C835" s="2" t="n"/>
      <c r="D835" s="2" t="n"/>
      <c r="E835" s="2" t="n"/>
      <c r="F835" s="2" t="n"/>
    </row>
    <row r="836" ht="15.75" customHeight="1" s="67">
      <c r="A836" s="2" t="n"/>
      <c r="B836" s="2" t="n"/>
      <c r="C836" s="2" t="n"/>
      <c r="D836" s="2" t="n"/>
      <c r="E836" s="2" t="n"/>
      <c r="F836" s="2" t="n"/>
    </row>
    <row r="837" ht="15.75" customHeight="1" s="67">
      <c r="A837" s="2" t="n"/>
      <c r="B837" s="2" t="n"/>
      <c r="C837" s="2" t="n"/>
      <c r="D837" s="2" t="n"/>
      <c r="E837" s="2" t="n"/>
      <c r="F837" s="2" t="n"/>
    </row>
    <row r="838" ht="15.75" customHeight="1" s="67">
      <c r="A838" s="2" t="n"/>
      <c r="B838" s="2" t="n"/>
      <c r="C838" s="2" t="n"/>
      <c r="D838" s="2" t="n"/>
      <c r="E838" s="2" t="n"/>
      <c r="F838" s="2" t="n"/>
    </row>
    <row r="839" ht="15.75" customHeight="1" s="67">
      <c r="A839" s="2" t="n"/>
      <c r="B839" s="2" t="n"/>
      <c r="C839" s="2" t="n"/>
      <c r="D839" s="2" t="n"/>
      <c r="E839" s="2" t="n"/>
      <c r="F839" s="2" t="n"/>
    </row>
    <row r="840" ht="15.75" customHeight="1" s="67">
      <c r="A840" s="2" t="n"/>
      <c r="B840" s="2" t="n"/>
      <c r="C840" s="2" t="n"/>
      <c r="D840" s="2" t="n"/>
      <c r="E840" s="2" t="n"/>
      <c r="F840" s="2" t="n"/>
    </row>
    <row r="841" ht="15.75" customHeight="1" s="67">
      <c r="A841" s="2" t="n"/>
      <c r="B841" s="2" t="n"/>
      <c r="C841" s="2" t="n"/>
      <c r="D841" s="2" t="n"/>
      <c r="E841" s="2" t="n"/>
      <c r="F841" s="2" t="n"/>
    </row>
    <row r="842" ht="15.75" customHeight="1" s="67">
      <c r="A842" s="2" t="n"/>
      <c r="B842" s="2" t="n"/>
      <c r="C842" s="2" t="n"/>
      <c r="D842" s="2" t="n"/>
      <c r="E842" s="2" t="n"/>
      <c r="F842" s="2" t="n"/>
    </row>
    <row r="843" ht="15.75" customHeight="1" s="67">
      <c r="A843" s="2" t="n"/>
      <c r="B843" s="2" t="n"/>
      <c r="C843" s="2" t="n"/>
      <c r="D843" s="2" t="n"/>
      <c r="E843" s="2" t="n"/>
      <c r="F843" s="2" t="n"/>
    </row>
    <row r="844" ht="15.75" customHeight="1" s="67">
      <c r="A844" s="2" t="n"/>
      <c r="B844" s="2" t="n"/>
      <c r="C844" s="2" t="n"/>
      <c r="D844" s="2" t="n"/>
      <c r="E844" s="2" t="n"/>
      <c r="F844" s="2" t="n"/>
    </row>
    <row r="845" ht="15.75" customHeight="1" s="67">
      <c r="A845" s="2" t="n"/>
      <c r="B845" s="2" t="n"/>
      <c r="C845" s="2" t="n"/>
      <c r="D845" s="2" t="n"/>
      <c r="E845" s="2" t="n"/>
      <c r="F845" s="2" t="n"/>
    </row>
    <row r="846" ht="15.75" customHeight="1" s="67">
      <c r="A846" s="2" t="n"/>
      <c r="B846" s="2" t="n"/>
      <c r="C846" s="2" t="n"/>
      <c r="D846" s="2" t="n"/>
      <c r="E846" s="2" t="n"/>
      <c r="F846" s="2" t="n"/>
    </row>
    <row r="847" ht="15.75" customHeight="1" s="67">
      <c r="A847" s="2" t="n"/>
      <c r="B847" s="2" t="n"/>
      <c r="C847" s="2" t="n"/>
      <c r="D847" s="2" t="n"/>
      <c r="E847" s="2" t="n"/>
      <c r="F847" s="2" t="n"/>
    </row>
    <row r="848" ht="15.75" customHeight="1" s="67">
      <c r="A848" s="2" t="n"/>
      <c r="B848" s="2" t="n"/>
      <c r="C848" s="2" t="n"/>
      <c r="D848" s="2" t="n"/>
      <c r="E848" s="2" t="n"/>
      <c r="F848" s="2" t="n"/>
    </row>
    <row r="849" ht="15.75" customHeight="1" s="67">
      <c r="A849" s="2" t="n"/>
      <c r="B849" s="2" t="n"/>
      <c r="C849" s="2" t="n"/>
      <c r="D849" s="2" t="n"/>
      <c r="E849" s="2" t="n"/>
      <c r="F849" s="2" t="n"/>
    </row>
    <row r="850" ht="15.75" customHeight="1" s="67">
      <c r="A850" s="2" t="n"/>
      <c r="B850" s="2" t="n"/>
      <c r="C850" s="2" t="n"/>
      <c r="D850" s="2" t="n"/>
      <c r="E850" s="2" t="n"/>
      <c r="F850" s="2" t="n"/>
    </row>
    <row r="851" ht="15.75" customHeight="1" s="67">
      <c r="A851" s="2" t="n"/>
      <c r="B851" s="2" t="n"/>
      <c r="C851" s="2" t="n"/>
      <c r="D851" s="2" t="n"/>
      <c r="E851" s="2" t="n"/>
      <c r="F851" s="2" t="n"/>
    </row>
    <row r="852" ht="15.75" customHeight="1" s="67">
      <c r="A852" s="2" t="n"/>
      <c r="B852" s="2" t="n"/>
      <c r="C852" s="2" t="n"/>
      <c r="D852" s="2" t="n"/>
      <c r="E852" s="2" t="n"/>
      <c r="F852" s="2" t="n"/>
    </row>
    <row r="853" ht="15.75" customHeight="1" s="67">
      <c r="A853" s="2" t="n"/>
      <c r="B853" s="2" t="n"/>
      <c r="C853" s="2" t="n"/>
      <c r="D853" s="2" t="n"/>
      <c r="E853" s="2" t="n"/>
      <c r="F853" s="2" t="n"/>
    </row>
    <row r="854" ht="15.75" customHeight="1" s="67">
      <c r="A854" s="2" t="n"/>
      <c r="B854" s="2" t="n"/>
      <c r="C854" s="2" t="n"/>
      <c r="D854" s="2" t="n"/>
      <c r="E854" s="2" t="n"/>
      <c r="F854" s="2" t="n"/>
    </row>
    <row r="855" ht="15.75" customHeight="1" s="67">
      <c r="A855" s="2" t="n"/>
      <c r="B855" s="2" t="n"/>
      <c r="C855" s="2" t="n"/>
      <c r="D855" s="2" t="n"/>
      <c r="E855" s="2" t="n"/>
      <c r="F855" s="2" t="n"/>
    </row>
    <row r="856" ht="15.75" customHeight="1" s="67">
      <c r="A856" s="2" t="n"/>
      <c r="B856" s="2" t="n"/>
      <c r="C856" s="2" t="n"/>
      <c r="D856" s="2" t="n"/>
      <c r="E856" s="2" t="n"/>
      <c r="F856" s="2" t="n"/>
    </row>
    <row r="857" ht="15.75" customHeight="1" s="67">
      <c r="A857" s="2" t="n"/>
      <c r="B857" s="2" t="n"/>
      <c r="C857" s="2" t="n"/>
      <c r="D857" s="2" t="n"/>
      <c r="E857" s="2" t="n"/>
      <c r="F857" s="2" t="n"/>
    </row>
    <row r="858" ht="15.75" customHeight="1" s="67">
      <c r="A858" s="2" t="n"/>
      <c r="B858" s="2" t="n"/>
      <c r="C858" s="2" t="n"/>
      <c r="D858" s="2" t="n"/>
      <c r="E858" s="2" t="n"/>
      <c r="F858" s="2" t="n"/>
    </row>
    <row r="859" ht="15.75" customHeight="1" s="67">
      <c r="A859" s="2" t="n"/>
      <c r="B859" s="2" t="n"/>
      <c r="C859" s="2" t="n"/>
      <c r="D859" s="2" t="n"/>
      <c r="E859" s="2" t="n"/>
      <c r="F859" s="2" t="n"/>
    </row>
    <row r="860" ht="15.75" customHeight="1" s="67">
      <c r="A860" s="2" t="n"/>
      <c r="B860" s="2" t="n"/>
      <c r="C860" s="2" t="n"/>
      <c r="D860" s="2" t="n"/>
      <c r="E860" s="2" t="n"/>
      <c r="F860" s="2" t="n"/>
    </row>
    <row r="861" ht="15.75" customHeight="1" s="67">
      <c r="A861" s="2" t="n"/>
      <c r="B861" s="2" t="n"/>
      <c r="C861" s="2" t="n"/>
      <c r="D861" s="2" t="n"/>
      <c r="E861" s="2" t="n"/>
      <c r="F861" s="2" t="n"/>
    </row>
    <row r="862" ht="15.75" customHeight="1" s="67">
      <c r="A862" s="2" t="n"/>
      <c r="B862" s="2" t="n"/>
      <c r="C862" s="2" t="n"/>
      <c r="D862" s="2" t="n"/>
      <c r="E862" s="2" t="n"/>
      <c r="F862" s="2" t="n"/>
    </row>
    <row r="863" ht="15.75" customHeight="1" s="67">
      <c r="A863" s="2" t="n"/>
      <c r="B863" s="2" t="n"/>
      <c r="C863" s="2" t="n"/>
      <c r="D863" s="2" t="n"/>
      <c r="E863" s="2" t="n"/>
      <c r="F863" s="2" t="n"/>
    </row>
    <row r="864" ht="15.75" customHeight="1" s="67">
      <c r="A864" s="2" t="n"/>
      <c r="B864" s="2" t="n"/>
      <c r="C864" s="2" t="n"/>
      <c r="D864" s="2" t="n"/>
      <c r="E864" s="2" t="n"/>
      <c r="F864" s="2" t="n"/>
    </row>
    <row r="865" ht="15.75" customHeight="1" s="67">
      <c r="A865" s="2" t="n"/>
      <c r="B865" s="2" t="n"/>
      <c r="C865" s="2" t="n"/>
      <c r="D865" s="2" t="n"/>
      <c r="E865" s="2" t="n"/>
      <c r="F865" s="2" t="n"/>
    </row>
    <row r="866" ht="15.75" customHeight="1" s="67">
      <c r="A866" s="2" t="n"/>
      <c r="B866" s="2" t="n"/>
      <c r="C866" s="2" t="n"/>
      <c r="D866" s="2" t="n"/>
      <c r="E866" s="2" t="n"/>
      <c r="F866" s="2" t="n"/>
    </row>
    <row r="867" ht="15.75" customHeight="1" s="67">
      <c r="A867" s="2" t="n"/>
      <c r="B867" s="2" t="n"/>
      <c r="C867" s="2" t="n"/>
      <c r="D867" s="2" t="n"/>
      <c r="E867" s="2" t="n"/>
      <c r="F867" s="2" t="n"/>
    </row>
    <row r="868" ht="15.75" customHeight="1" s="67">
      <c r="A868" s="2" t="n"/>
      <c r="B868" s="2" t="n"/>
      <c r="C868" s="2" t="n"/>
      <c r="D868" s="2" t="n"/>
      <c r="E868" s="2" t="n"/>
      <c r="F868" s="2" t="n"/>
    </row>
    <row r="869" ht="15.75" customHeight="1" s="67">
      <c r="A869" s="2" t="n"/>
      <c r="B869" s="2" t="n"/>
      <c r="C869" s="2" t="n"/>
      <c r="D869" s="2" t="n"/>
      <c r="E869" s="2" t="n"/>
      <c r="F869" s="2" t="n"/>
    </row>
    <row r="870" ht="15.75" customHeight="1" s="67">
      <c r="A870" s="2" t="n"/>
      <c r="B870" s="2" t="n"/>
      <c r="C870" s="2" t="n"/>
      <c r="D870" s="2" t="n"/>
      <c r="E870" s="2" t="n"/>
      <c r="F870" s="2" t="n"/>
    </row>
    <row r="871" ht="15.75" customHeight="1" s="67">
      <c r="A871" s="2" t="n"/>
      <c r="B871" s="2" t="n"/>
      <c r="C871" s="2" t="n"/>
      <c r="D871" s="2" t="n"/>
      <c r="E871" s="2" t="n"/>
      <c r="F871" s="2" t="n"/>
    </row>
    <row r="872" ht="15.75" customHeight="1" s="67">
      <c r="A872" s="2" t="n"/>
      <c r="B872" s="2" t="n"/>
      <c r="C872" s="2" t="n"/>
      <c r="D872" s="2" t="n"/>
      <c r="E872" s="2" t="n"/>
      <c r="F872" s="2" t="n"/>
    </row>
    <row r="873" ht="15.75" customHeight="1" s="67">
      <c r="A873" s="2" t="n"/>
      <c r="B873" s="2" t="n"/>
      <c r="C873" s="2" t="n"/>
      <c r="D873" s="2" t="n"/>
      <c r="E873" s="2" t="n"/>
      <c r="F873" s="2" t="n"/>
    </row>
    <row r="874" ht="15.75" customHeight="1" s="67">
      <c r="A874" s="2" t="n"/>
      <c r="B874" s="2" t="n"/>
      <c r="C874" s="2" t="n"/>
      <c r="D874" s="2" t="n"/>
      <c r="E874" s="2" t="n"/>
      <c r="F874" s="2" t="n"/>
    </row>
    <row r="875" ht="15.75" customHeight="1" s="67">
      <c r="A875" s="2" t="n"/>
      <c r="B875" s="2" t="n"/>
      <c r="C875" s="2" t="n"/>
      <c r="D875" s="2" t="n"/>
      <c r="E875" s="2" t="n"/>
      <c r="F875" s="2" t="n"/>
    </row>
    <row r="876" ht="15.75" customHeight="1" s="67">
      <c r="A876" s="2" t="n"/>
      <c r="B876" s="2" t="n"/>
      <c r="C876" s="2" t="n"/>
      <c r="D876" s="2" t="n"/>
      <c r="E876" s="2" t="n"/>
      <c r="F876" s="2" t="n"/>
    </row>
    <row r="877" ht="15.75" customHeight="1" s="67">
      <c r="A877" s="2" t="n"/>
      <c r="B877" s="2" t="n"/>
      <c r="C877" s="2" t="n"/>
      <c r="D877" s="2" t="n"/>
      <c r="E877" s="2" t="n"/>
      <c r="F877" s="2" t="n"/>
    </row>
    <row r="878" ht="15.75" customHeight="1" s="67">
      <c r="A878" s="2" t="n"/>
      <c r="B878" s="2" t="n"/>
      <c r="C878" s="2" t="n"/>
      <c r="D878" s="2" t="n"/>
      <c r="E878" s="2" t="n"/>
      <c r="F878" s="2" t="n"/>
    </row>
    <row r="879" ht="15.75" customHeight="1" s="67">
      <c r="A879" s="2" t="n"/>
      <c r="B879" s="2" t="n"/>
      <c r="C879" s="2" t="n"/>
      <c r="D879" s="2" t="n"/>
      <c r="E879" s="2" t="n"/>
      <c r="F879" s="2" t="n"/>
    </row>
    <row r="880" ht="15.75" customHeight="1" s="67">
      <c r="A880" s="2" t="n"/>
      <c r="B880" s="2" t="n"/>
      <c r="C880" s="2" t="n"/>
      <c r="D880" s="2" t="n"/>
      <c r="E880" s="2" t="n"/>
      <c r="F880" s="2" t="n"/>
    </row>
    <row r="881" ht="15.75" customHeight="1" s="67">
      <c r="A881" s="2" t="n"/>
      <c r="B881" s="2" t="n"/>
      <c r="C881" s="2" t="n"/>
      <c r="D881" s="2" t="n"/>
      <c r="E881" s="2" t="n"/>
      <c r="F881" s="2" t="n"/>
    </row>
    <row r="882" ht="15.75" customHeight="1" s="67">
      <c r="A882" s="2" t="n"/>
      <c r="B882" s="2" t="n"/>
      <c r="C882" s="2" t="n"/>
      <c r="D882" s="2" t="n"/>
      <c r="E882" s="2" t="n"/>
      <c r="F882" s="2" t="n"/>
    </row>
    <row r="883" ht="15.75" customHeight="1" s="67">
      <c r="A883" s="2" t="n"/>
      <c r="B883" s="2" t="n"/>
      <c r="C883" s="2" t="n"/>
      <c r="D883" s="2" t="n"/>
      <c r="E883" s="2" t="n"/>
      <c r="F883" s="2" t="n"/>
    </row>
    <row r="884" ht="15.75" customHeight="1" s="67">
      <c r="A884" s="2" t="n"/>
      <c r="B884" s="2" t="n"/>
      <c r="C884" s="2" t="n"/>
      <c r="D884" s="2" t="n"/>
      <c r="E884" s="2" t="n"/>
      <c r="F884" s="2" t="n"/>
    </row>
    <row r="885" ht="15.75" customHeight="1" s="67">
      <c r="A885" s="2" t="n"/>
      <c r="B885" s="2" t="n"/>
      <c r="C885" s="2" t="n"/>
      <c r="D885" s="2" t="n"/>
      <c r="E885" s="2" t="n"/>
      <c r="F885" s="2" t="n"/>
    </row>
    <row r="886" ht="15.75" customHeight="1" s="67">
      <c r="A886" s="2" t="n"/>
      <c r="B886" s="2" t="n"/>
      <c r="C886" s="2" t="n"/>
      <c r="D886" s="2" t="n"/>
      <c r="E886" s="2" t="n"/>
      <c r="F886" s="2" t="n"/>
    </row>
    <row r="887" ht="15.75" customHeight="1" s="67">
      <c r="A887" s="2" t="n"/>
      <c r="B887" s="2" t="n"/>
      <c r="C887" s="2" t="n"/>
      <c r="D887" s="2" t="n"/>
      <c r="E887" s="2" t="n"/>
      <c r="F887" s="2" t="n"/>
    </row>
    <row r="888" ht="15.75" customHeight="1" s="67">
      <c r="A888" s="2" t="n"/>
      <c r="B888" s="2" t="n"/>
      <c r="C888" s="2" t="n"/>
      <c r="D888" s="2" t="n"/>
      <c r="E888" s="2" t="n"/>
      <c r="F888" s="2" t="n"/>
    </row>
    <row r="889" ht="15.75" customHeight="1" s="67">
      <c r="A889" s="2" t="n"/>
      <c r="B889" s="2" t="n"/>
      <c r="C889" s="2" t="n"/>
      <c r="D889" s="2" t="n"/>
      <c r="E889" s="2" t="n"/>
      <c r="F889" s="2" t="n"/>
    </row>
    <row r="890" ht="15.75" customHeight="1" s="67">
      <c r="A890" s="2" t="n"/>
      <c r="B890" s="2" t="n"/>
      <c r="C890" s="2" t="n"/>
      <c r="D890" s="2" t="n"/>
      <c r="E890" s="2" t="n"/>
      <c r="F890" s="2" t="n"/>
    </row>
    <row r="891" ht="15.75" customHeight="1" s="67">
      <c r="A891" s="2" t="n"/>
      <c r="B891" s="2" t="n"/>
      <c r="C891" s="2" t="n"/>
      <c r="D891" s="2" t="n"/>
      <c r="E891" s="2" t="n"/>
      <c r="F891" s="2" t="n"/>
    </row>
    <row r="892" ht="15.75" customHeight="1" s="67">
      <c r="A892" s="2" t="n"/>
      <c r="B892" s="2" t="n"/>
      <c r="C892" s="2" t="n"/>
      <c r="D892" s="2" t="n"/>
      <c r="E892" s="2" t="n"/>
      <c r="F892" s="2" t="n"/>
    </row>
    <row r="893" ht="15.75" customHeight="1" s="67">
      <c r="A893" s="2" t="n"/>
      <c r="B893" s="2" t="n"/>
      <c r="C893" s="2" t="n"/>
      <c r="D893" s="2" t="n"/>
      <c r="E893" s="2" t="n"/>
      <c r="F893" s="2" t="n"/>
    </row>
    <row r="894" ht="15.75" customHeight="1" s="67">
      <c r="A894" s="2" t="n"/>
      <c r="B894" s="2" t="n"/>
      <c r="C894" s="2" t="n"/>
      <c r="D894" s="2" t="n"/>
      <c r="E894" s="2" t="n"/>
      <c r="F894" s="2" t="n"/>
    </row>
    <row r="895" ht="15.75" customHeight="1" s="67">
      <c r="A895" s="2" t="n"/>
      <c r="B895" s="2" t="n"/>
      <c r="C895" s="2" t="n"/>
      <c r="D895" s="2" t="n"/>
      <c r="E895" s="2" t="n"/>
      <c r="F895" s="2" t="n"/>
    </row>
    <row r="896" ht="15.75" customHeight="1" s="67">
      <c r="A896" s="2" t="n"/>
      <c r="B896" s="2" t="n"/>
      <c r="C896" s="2" t="n"/>
      <c r="D896" s="2" t="n"/>
      <c r="E896" s="2" t="n"/>
      <c r="F896" s="2" t="n"/>
    </row>
    <row r="897" ht="15.75" customHeight="1" s="67">
      <c r="A897" s="2" t="n"/>
      <c r="B897" s="2" t="n"/>
      <c r="C897" s="2" t="n"/>
      <c r="D897" s="2" t="n"/>
      <c r="E897" s="2" t="n"/>
      <c r="F897" s="2" t="n"/>
    </row>
    <row r="898" ht="15.75" customHeight="1" s="67">
      <c r="A898" s="2" t="n"/>
      <c r="B898" s="2" t="n"/>
      <c r="C898" s="2" t="n"/>
      <c r="D898" s="2" t="n"/>
      <c r="E898" s="2" t="n"/>
      <c r="F898" s="2" t="n"/>
    </row>
    <row r="899" ht="15.75" customHeight="1" s="67">
      <c r="A899" s="2" t="n"/>
      <c r="B899" s="2" t="n"/>
      <c r="C899" s="2" t="n"/>
      <c r="D899" s="2" t="n"/>
      <c r="E899" s="2" t="n"/>
      <c r="F899" s="2" t="n"/>
    </row>
    <row r="900" ht="15.75" customHeight="1" s="67">
      <c r="A900" s="2" t="n"/>
      <c r="B900" s="2" t="n"/>
      <c r="C900" s="2" t="n"/>
      <c r="D900" s="2" t="n"/>
      <c r="E900" s="2" t="n"/>
      <c r="F900" s="2" t="n"/>
    </row>
    <row r="901" ht="15.75" customHeight="1" s="67">
      <c r="A901" s="2" t="n"/>
      <c r="B901" s="2" t="n"/>
      <c r="C901" s="2" t="n"/>
      <c r="D901" s="2" t="n"/>
      <c r="E901" s="2" t="n"/>
      <c r="F901" s="2" t="n"/>
    </row>
    <row r="902" ht="15.75" customHeight="1" s="67">
      <c r="A902" s="2" t="n"/>
      <c r="B902" s="2" t="n"/>
      <c r="C902" s="2" t="n"/>
      <c r="D902" s="2" t="n"/>
      <c r="E902" s="2" t="n"/>
      <c r="F902" s="2" t="n"/>
    </row>
    <row r="903" ht="15.75" customHeight="1" s="67">
      <c r="A903" s="2" t="n"/>
      <c r="B903" s="2" t="n"/>
      <c r="C903" s="2" t="n"/>
      <c r="D903" s="2" t="n"/>
      <c r="E903" s="2" t="n"/>
      <c r="F903" s="2" t="n"/>
    </row>
    <row r="904" ht="15.75" customHeight="1" s="67">
      <c r="A904" s="2" t="n"/>
      <c r="B904" s="2" t="n"/>
      <c r="C904" s="2" t="n"/>
      <c r="D904" s="2" t="n"/>
      <c r="E904" s="2" t="n"/>
      <c r="F904" s="2" t="n"/>
    </row>
    <row r="905" ht="15.75" customHeight="1" s="67">
      <c r="A905" s="2" t="n"/>
      <c r="B905" s="2" t="n"/>
      <c r="C905" s="2" t="n"/>
      <c r="D905" s="2" t="n"/>
      <c r="E905" s="2" t="n"/>
      <c r="F905" s="2" t="n"/>
    </row>
    <row r="906" ht="15.75" customHeight="1" s="67">
      <c r="A906" s="2" t="n"/>
      <c r="B906" s="2" t="n"/>
      <c r="C906" s="2" t="n"/>
      <c r="D906" s="2" t="n"/>
      <c r="E906" s="2" t="n"/>
      <c r="F906" s="2" t="n"/>
    </row>
    <row r="907" ht="15.75" customHeight="1" s="67">
      <c r="A907" s="2" t="n"/>
      <c r="B907" s="2" t="n"/>
      <c r="C907" s="2" t="n"/>
      <c r="D907" s="2" t="n"/>
      <c r="E907" s="2" t="n"/>
      <c r="F907" s="2" t="n"/>
    </row>
    <row r="908" ht="15.75" customHeight="1" s="67">
      <c r="A908" s="2" t="n"/>
      <c r="B908" s="2" t="n"/>
      <c r="C908" s="2" t="n"/>
      <c r="D908" s="2" t="n"/>
      <c r="E908" s="2" t="n"/>
      <c r="F908" s="2" t="n"/>
    </row>
    <row r="909" ht="15.75" customHeight="1" s="67">
      <c r="A909" s="2" t="n"/>
      <c r="B909" s="2" t="n"/>
      <c r="C909" s="2" t="n"/>
      <c r="D909" s="2" t="n"/>
      <c r="E909" s="2" t="n"/>
      <c r="F909" s="2" t="n"/>
    </row>
    <row r="910" ht="15.75" customHeight="1" s="67">
      <c r="A910" s="2" t="n"/>
      <c r="B910" s="2" t="n"/>
      <c r="C910" s="2" t="n"/>
      <c r="D910" s="2" t="n"/>
      <c r="E910" s="2" t="n"/>
      <c r="F910" s="2" t="n"/>
    </row>
    <row r="911" ht="15.75" customHeight="1" s="67">
      <c r="A911" s="2" t="n"/>
      <c r="B911" s="2" t="n"/>
      <c r="C911" s="2" t="n"/>
      <c r="D911" s="2" t="n"/>
      <c r="E911" s="2" t="n"/>
      <c r="F911" s="2" t="n"/>
    </row>
    <row r="912" ht="15.75" customHeight="1" s="67">
      <c r="A912" s="2" t="n"/>
      <c r="B912" s="2" t="n"/>
      <c r="C912" s="2" t="n"/>
      <c r="D912" s="2" t="n"/>
      <c r="E912" s="2" t="n"/>
      <c r="F912" s="2" t="n"/>
    </row>
    <row r="913" ht="15.75" customHeight="1" s="67">
      <c r="A913" s="2" t="n"/>
      <c r="B913" s="2" t="n"/>
      <c r="C913" s="2" t="n"/>
      <c r="D913" s="2" t="n"/>
      <c r="E913" s="2" t="n"/>
      <c r="F913" s="2" t="n"/>
    </row>
    <row r="914" ht="15.75" customHeight="1" s="67">
      <c r="A914" s="2" t="n"/>
      <c r="B914" s="2" t="n"/>
      <c r="C914" s="2" t="n"/>
      <c r="D914" s="2" t="n"/>
      <c r="E914" s="2" t="n"/>
      <c r="F914" s="2" t="n"/>
    </row>
    <row r="915" ht="15.75" customHeight="1" s="67">
      <c r="A915" s="2" t="n"/>
      <c r="B915" s="2" t="n"/>
      <c r="C915" s="2" t="n"/>
      <c r="D915" s="2" t="n"/>
      <c r="E915" s="2" t="n"/>
      <c r="F915" s="2" t="n"/>
    </row>
    <row r="916" ht="15.75" customHeight="1" s="67">
      <c r="A916" s="2" t="n"/>
      <c r="B916" s="2" t="n"/>
      <c r="C916" s="2" t="n"/>
      <c r="D916" s="2" t="n"/>
      <c r="E916" s="2" t="n"/>
      <c r="F916" s="2" t="n"/>
    </row>
    <row r="917" ht="15.75" customHeight="1" s="67">
      <c r="A917" s="2" t="n"/>
      <c r="B917" s="2" t="n"/>
      <c r="C917" s="2" t="n"/>
      <c r="D917" s="2" t="n"/>
      <c r="E917" s="2" t="n"/>
      <c r="F917" s="2" t="n"/>
    </row>
    <row r="918" ht="15.75" customHeight="1" s="67">
      <c r="A918" s="2" t="n"/>
      <c r="B918" s="2" t="n"/>
      <c r="C918" s="2" t="n"/>
      <c r="D918" s="2" t="n"/>
      <c r="E918" s="2" t="n"/>
      <c r="F918" s="2" t="n"/>
    </row>
    <row r="919" ht="15.75" customHeight="1" s="67">
      <c r="A919" s="2" t="n"/>
      <c r="B919" s="2" t="n"/>
      <c r="C919" s="2" t="n"/>
      <c r="D919" s="2" t="n"/>
      <c r="E919" s="2" t="n"/>
      <c r="F919" s="2" t="n"/>
    </row>
    <row r="920" ht="15.75" customHeight="1" s="67">
      <c r="A920" s="2" t="n"/>
      <c r="B920" s="2" t="n"/>
      <c r="C920" s="2" t="n"/>
      <c r="D920" s="2" t="n"/>
      <c r="E920" s="2" t="n"/>
      <c r="F920" s="2" t="n"/>
    </row>
    <row r="921" ht="15.75" customHeight="1" s="67">
      <c r="A921" s="2" t="n"/>
      <c r="B921" s="2" t="n"/>
      <c r="C921" s="2" t="n"/>
      <c r="D921" s="2" t="n"/>
      <c r="E921" s="2" t="n"/>
      <c r="F921" s="2" t="n"/>
    </row>
    <row r="922" ht="15.75" customHeight="1" s="67">
      <c r="A922" s="2" t="n"/>
      <c r="B922" s="2" t="n"/>
      <c r="C922" s="2" t="n"/>
      <c r="D922" s="2" t="n"/>
      <c r="E922" s="2" t="n"/>
      <c r="F922" s="2" t="n"/>
    </row>
    <row r="923" ht="15.75" customHeight="1" s="67">
      <c r="A923" s="2" t="n"/>
      <c r="B923" s="2" t="n"/>
      <c r="C923" s="2" t="n"/>
      <c r="D923" s="2" t="n"/>
      <c r="E923" s="2" t="n"/>
      <c r="F923" s="2" t="n"/>
    </row>
    <row r="924" ht="15.75" customHeight="1" s="67">
      <c r="A924" s="2" t="n"/>
      <c r="B924" s="2" t="n"/>
      <c r="C924" s="2" t="n"/>
      <c r="D924" s="2" t="n"/>
      <c r="E924" s="2" t="n"/>
      <c r="F924" s="2" t="n"/>
    </row>
    <row r="925" ht="15.75" customHeight="1" s="67">
      <c r="A925" s="2" t="n"/>
      <c r="B925" s="2" t="n"/>
      <c r="C925" s="2" t="n"/>
      <c r="D925" s="2" t="n"/>
      <c r="E925" s="2" t="n"/>
      <c r="F925" s="2" t="n"/>
    </row>
    <row r="926" ht="15.75" customHeight="1" s="67">
      <c r="A926" s="2" t="n"/>
      <c r="B926" s="2" t="n"/>
      <c r="C926" s="2" t="n"/>
      <c r="D926" s="2" t="n"/>
      <c r="E926" s="2" t="n"/>
      <c r="F926" s="2" t="n"/>
    </row>
    <row r="927" ht="15.75" customHeight="1" s="67">
      <c r="A927" s="2" t="n"/>
      <c r="B927" s="2" t="n"/>
      <c r="C927" s="2" t="n"/>
      <c r="D927" s="2" t="n"/>
      <c r="E927" s="2" t="n"/>
      <c r="F927" s="2" t="n"/>
    </row>
    <row r="928" ht="15.75" customHeight="1" s="67">
      <c r="A928" s="2" t="n"/>
      <c r="B928" s="2" t="n"/>
      <c r="C928" s="2" t="n"/>
      <c r="D928" s="2" t="n"/>
      <c r="E928" s="2" t="n"/>
      <c r="F928" s="2" t="n"/>
    </row>
    <row r="929" ht="15.75" customHeight="1" s="67">
      <c r="A929" s="2" t="n"/>
      <c r="B929" s="2" t="n"/>
      <c r="C929" s="2" t="n"/>
      <c r="D929" s="2" t="n"/>
      <c r="E929" s="2" t="n"/>
      <c r="F929" s="2" t="n"/>
    </row>
    <row r="930" ht="15.75" customHeight="1" s="67">
      <c r="A930" s="2" t="n"/>
      <c r="B930" s="2" t="n"/>
      <c r="C930" s="2" t="n"/>
      <c r="D930" s="2" t="n"/>
      <c r="E930" s="2" t="n"/>
      <c r="F930" s="2" t="n"/>
    </row>
    <row r="931" ht="15.75" customHeight="1" s="67">
      <c r="A931" s="2" t="n"/>
      <c r="B931" s="2" t="n"/>
      <c r="C931" s="2" t="n"/>
      <c r="D931" s="2" t="n"/>
      <c r="E931" s="2" t="n"/>
      <c r="F931" s="2" t="n"/>
    </row>
    <row r="932" ht="15.75" customHeight="1" s="67">
      <c r="A932" s="2" t="n"/>
      <c r="B932" s="2" t="n"/>
      <c r="C932" s="2" t="n"/>
      <c r="D932" s="2" t="n"/>
      <c r="E932" s="2" t="n"/>
      <c r="F932" s="2" t="n"/>
    </row>
    <row r="933" ht="15.75" customHeight="1" s="67">
      <c r="A933" s="2" t="n"/>
      <c r="B933" s="2" t="n"/>
      <c r="C933" s="2" t="n"/>
      <c r="D933" s="2" t="n"/>
      <c r="E933" s="2" t="n"/>
      <c r="F933" s="2" t="n"/>
    </row>
    <row r="934" ht="15.75" customHeight="1" s="67">
      <c r="A934" s="2" t="n"/>
      <c r="B934" s="2" t="n"/>
      <c r="C934" s="2" t="n"/>
      <c r="D934" s="2" t="n"/>
      <c r="E934" s="2" t="n"/>
      <c r="F934" s="2" t="n"/>
    </row>
    <row r="935" ht="15.75" customHeight="1" s="67">
      <c r="A935" s="2" t="n"/>
      <c r="B935" s="2" t="n"/>
      <c r="C935" s="2" t="n"/>
      <c r="D935" s="2" t="n"/>
      <c r="E935" s="2" t="n"/>
      <c r="F935" s="2" t="n"/>
    </row>
    <row r="936" ht="15.75" customHeight="1" s="67">
      <c r="A936" s="2" t="n"/>
      <c r="B936" s="2" t="n"/>
      <c r="C936" s="2" t="n"/>
      <c r="D936" s="2" t="n"/>
      <c r="E936" s="2" t="n"/>
      <c r="F936" s="2" t="n"/>
    </row>
    <row r="937" ht="15.75" customHeight="1" s="67">
      <c r="A937" s="2" t="n"/>
      <c r="B937" s="2" t="n"/>
      <c r="C937" s="2" t="n"/>
      <c r="D937" s="2" t="n"/>
      <c r="E937" s="2" t="n"/>
      <c r="F937" s="2" t="n"/>
    </row>
    <row r="938" ht="15.75" customHeight="1" s="67">
      <c r="A938" s="2" t="n"/>
      <c r="B938" s="2" t="n"/>
      <c r="C938" s="2" t="n"/>
      <c r="D938" s="2" t="n"/>
      <c r="E938" s="2" t="n"/>
      <c r="F938" s="2" t="n"/>
    </row>
    <row r="939" ht="15.75" customHeight="1" s="67">
      <c r="A939" s="2" t="n"/>
      <c r="B939" s="2" t="n"/>
      <c r="C939" s="2" t="n"/>
      <c r="D939" s="2" t="n"/>
      <c r="E939" s="2" t="n"/>
      <c r="F939" s="2" t="n"/>
    </row>
    <row r="940" ht="15.75" customHeight="1" s="67">
      <c r="A940" s="2" t="n"/>
      <c r="B940" s="2" t="n"/>
      <c r="C940" s="2" t="n"/>
      <c r="D940" s="2" t="n"/>
      <c r="E940" s="2" t="n"/>
      <c r="F940" s="2" t="n"/>
    </row>
    <row r="941" ht="15.75" customHeight="1" s="67">
      <c r="A941" s="2" t="n"/>
      <c r="B941" s="2" t="n"/>
      <c r="C941" s="2" t="n"/>
      <c r="D941" s="2" t="n"/>
      <c r="E941" s="2" t="n"/>
      <c r="F941" s="2" t="n"/>
    </row>
    <row r="942" ht="15.75" customHeight="1" s="67">
      <c r="A942" s="2" t="n"/>
      <c r="B942" s="2" t="n"/>
      <c r="C942" s="2" t="n"/>
      <c r="D942" s="2" t="n"/>
      <c r="E942" s="2" t="n"/>
      <c r="F942" s="2" t="n"/>
    </row>
    <row r="943" ht="15.75" customHeight="1" s="67">
      <c r="A943" s="2" t="n"/>
      <c r="B943" s="2" t="n"/>
      <c r="C943" s="2" t="n"/>
      <c r="D943" s="2" t="n"/>
      <c r="E943" s="2" t="n"/>
      <c r="F943" s="2" t="n"/>
    </row>
    <row r="944" ht="15.75" customHeight="1" s="67">
      <c r="A944" s="2" t="n"/>
      <c r="B944" s="2" t="n"/>
      <c r="C944" s="2" t="n"/>
      <c r="D944" s="2" t="n"/>
      <c r="E944" s="2" t="n"/>
      <c r="F944" s="2" t="n"/>
    </row>
    <row r="945" ht="15.75" customHeight="1" s="67">
      <c r="A945" s="2" t="n"/>
      <c r="B945" s="2" t="n"/>
      <c r="C945" s="2" t="n"/>
      <c r="D945" s="2" t="n"/>
      <c r="E945" s="2" t="n"/>
      <c r="F945" s="2" t="n"/>
    </row>
    <row r="946" ht="15.75" customHeight="1" s="67">
      <c r="A946" s="2" t="n"/>
      <c r="B946" s="2" t="n"/>
      <c r="C946" s="2" t="n"/>
      <c r="D946" s="2" t="n"/>
      <c r="E946" s="2" t="n"/>
      <c r="F946" s="2" t="n"/>
    </row>
    <row r="947" ht="15.75" customHeight="1" s="67">
      <c r="A947" s="2" t="n"/>
      <c r="B947" s="2" t="n"/>
      <c r="C947" s="2" t="n"/>
      <c r="D947" s="2" t="n"/>
      <c r="E947" s="2" t="n"/>
      <c r="F947" s="2" t="n"/>
    </row>
    <row r="948" ht="15.75" customHeight="1" s="67">
      <c r="A948" s="2" t="n"/>
      <c r="B948" s="2" t="n"/>
      <c r="C948" s="2" t="n"/>
      <c r="D948" s="2" t="n"/>
      <c r="E948" s="2" t="n"/>
      <c r="F948" s="2" t="n"/>
    </row>
    <row r="949" ht="15.75" customHeight="1" s="67">
      <c r="A949" s="2" t="n"/>
      <c r="B949" s="2" t="n"/>
      <c r="C949" s="2" t="n"/>
      <c r="D949" s="2" t="n"/>
      <c r="E949" s="2" t="n"/>
      <c r="F949" s="2" t="n"/>
    </row>
    <row r="950" ht="15.75" customHeight="1" s="67">
      <c r="A950" s="2" t="n"/>
      <c r="B950" s="2" t="n"/>
      <c r="C950" s="2" t="n"/>
      <c r="D950" s="2" t="n"/>
      <c r="E950" s="2" t="n"/>
      <c r="F950" s="2" t="n"/>
    </row>
    <row r="951" ht="15.75" customHeight="1" s="67">
      <c r="A951" s="2" t="n"/>
      <c r="B951" s="2" t="n"/>
      <c r="C951" s="2" t="n"/>
      <c r="D951" s="2" t="n"/>
      <c r="E951" s="2" t="n"/>
      <c r="F951" s="2" t="n"/>
    </row>
    <row r="952" ht="15.75" customHeight="1" s="67">
      <c r="A952" s="2" t="n"/>
      <c r="B952" s="2" t="n"/>
      <c r="C952" s="2" t="n"/>
      <c r="D952" s="2" t="n"/>
      <c r="E952" s="2" t="n"/>
      <c r="F952" s="2" t="n"/>
    </row>
    <row r="953" ht="15.75" customHeight="1" s="67">
      <c r="A953" s="2" t="n"/>
      <c r="B953" s="2" t="n"/>
      <c r="C953" s="2" t="n"/>
      <c r="D953" s="2" t="n"/>
      <c r="E953" s="2" t="n"/>
      <c r="F953" s="2" t="n"/>
    </row>
    <row r="954" ht="15.75" customHeight="1" s="67">
      <c r="A954" s="2" t="n"/>
      <c r="B954" s="2" t="n"/>
      <c r="C954" s="2" t="n"/>
      <c r="D954" s="2" t="n"/>
      <c r="E954" s="2" t="n"/>
      <c r="F954" s="2" t="n"/>
    </row>
    <row r="955" ht="15.75" customHeight="1" s="67">
      <c r="A955" s="2" t="n"/>
      <c r="B955" s="2" t="n"/>
      <c r="C955" s="2" t="n"/>
      <c r="D955" s="2" t="n"/>
      <c r="E955" s="2" t="n"/>
      <c r="F955" s="2" t="n"/>
    </row>
    <row r="956" ht="15.75" customHeight="1" s="67">
      <c r="A956" s="2" t="n"/>
      <c r="B956" s="2" t="n"/>
      <c r="C956" s="2" t="n"/>
      <c r="D956" s="2" t="n"/>
      <c r="E956" s="2" t="n"/>
      <c r="F956" s="2" t="n"/>
    </row>
    <row r="957" ht="15.75" customHeight="1" s="67">
      <c r="A957" s="2" t="n"/>
      <c r="B957" s="2" t="n"/>
      <c r="C957" s="2" t="n"/>
      <c r="D957" s="2" t="n"/>
      <c r="E957" s="2" t="n"/>
      <c r="F957" s="2" t="n"/>
    </row>
    <row r="958" ht="15.75" customHeight="1" s="67">
      <c r="A958" s="2" t="n"/>
      <c r="B958" s="2" t="n"/>
      <c r="C958" s="2" t="n"/>
      <c r="D958" s="2" t="n"/>
      <c r="E958" s="2" t="n"/>
      <c r="F958" s="2" t="n"/>
    </row>
    <row r="959" ht="15.75" customHeight="1" s="67">
      <c r="A959" s="2" t="n"/>
      <c r="B959" s="2" t="n"/>
      <c r="C959" s="2" t="n"/>
      <c r="D959" s="2" t="n"/>
      <c r="E959" s="2" t="n"/>
      <c r="F959" s="2" t="n"/>
    </row>
    <row r="960" ht="15.75" customHeight="1" s="67">
      <c r="A960" s="2" t="n"/>
      <c r="B960" s="2" t="n"/>
      <c r="C960" s="2" t="n"/>
      <c r="D960" s="2" t="n"/>
      <c r="E960" s="2" t="n"/>
      <c r="F960" s="2" t="n"/>
    </row>
    <row r="961" ht="15.75" customHeight="1" s="67">
      <c r="A961" s="2" t="n"/>
      <c r="B961" s="2" t="n"/>
      <c r="C961" s="2" t="n"/>
      <c r="D961" s="2" t="n"/>
      <c r="E961" s="2" t="n"/>
      <c r="F961" s="2" t="n"/>
    </row>
    <row r="962" ht="15.75" customHeight="1" s="67">
      <c r="A962" s="2" t="n"/>
      <c r="B962" s="2" t="n"/>
      <c r="C962" s="2" t="n"/>
      <c r="D962" s="2" t="n"/>
      <c r="E962" s="2" t="n"/>
      <c r="F962" s="2" t="n"/>
    </row>
    <row r="963" ht="15.75" customHeight="1" s="67">
      <c r="A963" s="2" t="n"/>
      <c r="B963" s="2" t="n"/>
      <c r="C963" s="2" t="n"/>
      <c r="D963" s="2" t="n"/>
      <c r="E963" s="2" t="n"/>
      <c r="F963" s="2" t="n"/>
    </row>
    <row r="964" ht="15.75" customHeight="1" s="67">
      <c r="A964" s="2" t="n"/>
      <c r="B964" s="2" t="n"/>
      <c r="C964" s="2" t="n"/>
      <c r="D964" s="2" t="n"/>
      <c r="E964" s="2" t="n"/>
      <c r="F964" s="2" t="n"/>
    </row>
    <row r="965" ht="15.75" customHeight="1" s="67">
      <c r="A965" s="2" t="n"/>
      <c r="B965" s="2" t="n"/>
      <c r="C965" s="2" t="n"/>
      <c r="D965" s="2" t="n"/>
      <c r="E965" s="2" t="n"/>
      <c r="F965" s="2" t="n"/>
    </row>
    <row r="966" ht="15.75" customHeight="1" s="67">
      <c r="A966" s="2" t="n"/>
      <c r="B966" s="2" t="n"/>
      <c r="C966" s="2" t="n"/>
      <c r="D966" s="2" t="n"/>
      <c r="E966" s="2" t="n"/>
      <c r="F966" s="2" t="n"/>
    </row>
    <row r="967" ht="15.75" customHeight="1" s="67">
      <c r="A967" s="2" t="n"/>
      <c r="B967" s="2" t="n"/>
      <c r="C967" s="2" t="n"/>
      <c r="D967" s="2" t="n"/>
      <c r="E967" s="2" t="n"/>
      <c r="F967" s="2" t="n"/>
    </row>
    <row r="968" ht="15.75" customHeight="1" s="67">
      <c r="A968" s="2" t="n"/>
      <c r="B968" s="2" t="n"/>
      <c r="C968" s="2" t="n"/>
      <c r="D968" s="2" t="n"/>
      <c r="E968" s="2" t="n"/>
      <c r="F968" s="2" t="n"/>
    </row>
    <row r="969" ht="15.75" customHeight="1" s="67">
      <c r="A969" s="2" t="n"/>
      <c r="B969" s="2" t="n"/>
      <c r="C969" s="2" t="n"/>
      <c r="D969" s="2" t="n"/>
      <c r="E969" s="2" t="n"/>
      <c r="F969" s="2" t="n"/>
    </row>
    <row r="970" ht="15.75" customHeight="1" s="67">
      <c r="A970" s="2" t="n"/>
      <c r="B970" s="2" t="n"/>
      <c r="C970" s="2" t="n"/>
      <c r="D970" s="2" t="n"/>
      <c r="E970" s="2" t="n"/>
      <c r="F970" s="2" t="n"/>
    </row>
    <row r="971" ht="15.75" customHeight="1" s="67">
      <c r="A971" s="2" t="n"/>
      <c r="B971" s="2" t="n"/>
      <c r="C971" s="2" t="n"/>
      <c r="D971" s="2" t="n"/>
      <c r="E971" s="2" t="n"/>
      <c r="F971" s="2" t="n"/>
    </row>
    <row r="972" ht="15.75" customHeight="1" s="67">
      <c r="A972" s="2" t="n"/>
      <c r="B972" s="2" t="n"/>
      <c r="C972" s="2" t="n"/>
      <c r="D972" s="2" t="n"/>
      <c r="E972" s="2" t="n"/>
      <c r="F972" s="2" t="n"/>
    </row>
    <row r="973" ht="15.75" customHeight="1" s="67">
      <c r="A973" s="2" t="n"/>
      <c r="B973" s="2" t="n"/>
      <c r="C973" s="2" t="n"/>
      <c r="D973" s="2" t="n"/>
      <c r="E973" s="2" t="n"/>
      <c r="F973" s="2" t="n"/>
    </row>
    <row r="974" ht="15.75" customHeight="1" s="67">
      <c r="A974" s="2" t="n"/>
      <c r="B974" s="2" t="n"/>
      <c r="C974" s="2" t="n"/>
      <c r="D974" s="2" t="n"/>
      <c r="E974" s="2" t="n"/>
      <c r="F974" s="2" t="n"/>
    </row>
    <row r="975" ht="15.75" customHeight="1" s="67">
      <c r="A975" s="2" t="n"/>
      <c r="B975" s="2" t="n"/>
      <c r="C975" s="2" t="n"/>
      <c r="D975" s="2" t="n"/>
      <c r="E975" s="2" t="n"/>
      <c r="F975" s="2" t="n"/>
    </row>
    <row r="976" ht="15.75" customHeight="1" s="67">
      <c r="A976" s="2" t="n"/>
      <c r="B976" s="2" t="n"/>
      <c r="C976" s="2" t="n"/>
      <c r="D976" s="2" t="n"/>
      <c r="E976" s="2" t="n"/>
      <c r="F976" s="2" t="n"/>
    </row>
    <row r="977" ht="15.75" customHeight="1" s="67">
      <c r="A977" s="2" t="n"/>
      <c r="B977" s="2" t="n"/>
      <c r="C977" s="2" t="n"/>
      <c r="D977" s="2" t="n"/>
      <c r="E977" s="2" t="n"/>
      <c r="F977" s="2" t="n"/>
    </row>
    <row r="978" ht="15.75" customHeight="1" s="67">
      <c r="A978" s="2" t="n"/>
      <c r="B978" s="2" t="n"/>
      <c r="C978" s="2" t="n"/>
      <c r="D978" s="2" t="n"/>
      <c r="E978" s="2" t="n"/>
      <c r="F978" s="2" t="n"/>
    </row>
    <row r="979" ht="15.75" customHeight="1" s="67">
      <c r="A979" s="2" t="n"/>
      <c r="B979" s="2" t="n"/>
      <c r="C979" s="2" t="n"/>
      <c r="D979" s="2" t="n"/>
      <c r="E979" s="2" t="n"/>
      <c r="F979" s="2" t="n"/>
    </row>
    <row r="980" ht="15.75" customHeight="1" s="67">
      <c r="A980" s="2" t="n"/>
      <c r="B980" s="2" t="n"/>
      <c r="C980" s="2" t="n"/>
      <c r="D980" s="2" t="n"/>
      <c r="E980" s="2" t="n"/>
      <c r="F980" s="2" t="n"/>
    </row>
    <row r="981" ht="15.75" customHeight="1" s="67">
      <c r="A981" s="2" t="n"/>
      <c r="B981" s="2" t="n"/>
      <c r="C981" s="2" t="n"/>
      <c r="D981" s="2" t="n"/>
      <c r="E981" s="2" t="n"/>
      <c r="F981" s="2" t="n"/>
    </row>
    <row r="982" ht="15.75" customHeight="1" s="67">
      <c r="A982" s="2" t="n"/>
      <c r="B982" s="2" t="n"/>
      <c r="C982" s="2" t="n"/>
      <c r="D982" s="2" t="n"/>
      <c r="E982" s="2" t="n"/>
      <c r="F982" s="2" t="n"/>
    </row>
    <row r="983" ht="15.75" customHeight="1" s="67">
      <c r="A983" s="2" t="n"/>
      <c r="B983" s="2" t="n"/>
      <c r="C983" s="2" t="n"/>
      <c r="D983" s="2" t="n"/>
      <c r="E983" s="2" t="n"/>
      <c r="F983" s="2" t="n"/>
    </row>
    <row r="984" ht="15.75" customHeight="1" s="67">
      <c r="A984" s="2" t="n"/>
      <c r="B984" s="2" t="n"/>
      <c r="C984" s="2" t="n"/>
      <c r="D984" s="2" t="n"/>
      <c r="E984" s="2" t="n"/>
      <c r="F984" s="2" t="n"/>
    </row>
    <row r="985" ht="15.75" customHeight="1" s="67">
      <c r="A985" s="2" t="n"/>
      <c r="B985" s="2" t="n"/>
      <c r="C985" s="2" t="n"/>
      <c r="D985" s="2" t="n"/>
      <c r="E985" s="2" t="n"/>
      <c r="F985" s="2" t="n"/>
    </row>
    <row r="986" ht="15.75" customHeight="1" s="67">
      <c r="A986" s="2" t="n"/>
      <c r="B986" s="2" t="n"/>
      <c r="C986" s="2" t="n"/>
      <c r="D986" s="2" t="n"/>
      <c r="E986" s="2" t="n"/>
      <c r="F986" s="2" t="n"/>
    </row>
    <row r="987" ht="15.75" customHeight="1" s="67">
      <c r="A987" s="2" t="n"/>
      <c r="B987" s="2" t="n"/>
      <c r="C987" s="2" t="n"/>
      <c r="D987" s="2" t="n"/>
      <c r="E987" s="2" t="n"/>
      <c r="F987" s="2" t="n"/>
    </row>
    <row r="988" ht="15.75" customHeight="1" s="67">
      <c r="A988" s="2" t="n"/>
      <c r="B988" s="2" t="n"/>
      <c r="C988" s="2" t="n"/>
      <c r="D988" s="2" t="n"/>
      <c r="E988" s="2" t="n"/>
      <c r="F988" s="2" t="n"/>
    </row>
    <row r="989" ht="15.75" customHeight="1" s="67">
      <c r="A989" s="2" t="n"/>
      <c r="B989" s="2" t="n"/>
      <c r="C989" s="2" t="n"/>
      <c r="D989" s="2" t="n"/>
      <c r="E989" s="2" t="n"/>
      <c r="F989" s="2" t="n"/>
    </row>
    <row r="990" ht="15.75" customHeight="1" s="67">
      <c r="A990" s="2" t="n"/>
      <c r="B990" s="2" t="n"/>
      <c r="C990" s="2" t="n"/>
      <c r="D990" s="2" t="n"/>
      <c r="E990" s="2" t="n"/>
      <c r="F990" s="2" t="n"/>
    </row>
    <row r="991" ht="15.75" customHeight="1" s="67">
      <c r="A991" s="2" t="n"/>
      <c r="B991" s="2" t="n"/>
      <c r="C991" s="2" t="n"/>
      <c r="D991" s="2" t="n"/>
      <c r="E991" s="2" t="n"/>
      <c r="F991" s="2" t="n"/>
    </row>
    <row r="992" ht="15.75" customHeight="1" s="67">
      <c r="A992" s="2" t="n"/>
      <c r="B992" s="2" t="n"/>
      <c r="C992" s="2" t="n"/>
      <c r="D992" s="2" t="n"/>
      <c r="E992" s="2" t="n"/>
      <c r="F992" s="2" t="n"/>
    </row>
    <row r="993" ht="15.75" customHeight="1" s="67">
      <c r="A993" s="2" t="n"/>
      <c r="B993" s="2" t="n"/>
      <c r="C993" s="2" t="n"/>
      <c r="D993" s="2" t="n"/>
      <c r="E993" s="2" t="n"/>
      <c r="F993" s="2" t="n"/>
    </row>
    <row r="994" ht="15.75" customHeight="1" s="67">
      <c r="A994" s="2" t="n"/>
      <c r="B994" s="2" t="n"/>
      <c r="C994" s="2" t="n"/>
      <c r="D994" s="2" t="n"/>
      <c r="E994" s="2" t="n"/>
      <c r="F994" s="2" t="n"/>
    </row>
    <row r="995" ht="15.75" customHeight="1" s="67">
      <c r="A995" s="2" t="n"/>
      <c r="B995" s="2" t="n"/>
      <c r="C995" s="2" t="n"/>
      <c r="D995" s="2" t="n"/>
      <c r="E995" s="2" t="n"/>
      <c r="F995" s="2" t="n"/>
    </row>
    <row r="996" ht="15.75" customHeight="1" s="67">
      <c r="A996" s="2" t="n"/>
      <c r="B996" s="2" t="n"/>
      <c r="C996" s="2" t="n"/>
      <c r="D996" s="2" t="n"/>
      <c r="E996" s="2" t="n"/>
      <c r="F996" s="2" t="n"/>
    </row>
    <row r="997" ht="15.75" customHeight="1" s="67">
      <c r="A997" s="2" t="n"/>
      <c r="B997" s="2" t="n"/>
      <c r="C997" s="2" t="n"/>
      <c r="D997" s="2" t="n"/>
      <c r="E997" s="2" t="n"/>
      <c r="F997" s="2" t="n"/>
    </row>
    <row r="998" ht="15.75" customHeight="1" s="67">
      <c r="A998" s="2" t="n"/>
      <c r="B998" s="2" t="n"/>
      <c r="C998" s="2" t="n"/>
      <c r="D998" s="2" t="n"/>
      <c r="E998" s="2" t="n"/>
      <c r="F998" s="2" t="n"/>
    </row>
    <row r="999" ht="15.75" customHeight="1" s="67">
      <c r="A999" s="2" t="n"/>
      <c r="B999" s="2" t="n"/>
      <c r="C999" s="2" t="n"/>
      <c r="D999" s="2" t="n"/>
      <c r="E999" s="2" t="n"/>
      <c r="F999" s="2" t="n"/>
    </row>
    <row r="1000" ht="15.75" customHeight="1" s="67">
      <c r="A1000" s="2" t="n"/>
      <c r="B1000" s="2" t="n"/>
      <c r="C1000" s="2" t="n"/>
      <c r="D1000" s="2" t="n"/>
      <c r="E1000" s="2" t="n"/>
      <c r="F1000" s="2" t="n"/>
    </row>
  </sheetData>
  <printOptions horizontalCentered="1"/>
  <pageMargins left="0.5" right="0.5" top="1" bottom="1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7" min="1" max="26"/>
  </cols>
  <sheetData>
    <row r="1" ht="15" customHeight="1" s="67">
      <c r="A1" s="66" t="inlineStr">
        <is>
          <t>Grupo</t>
        </is>
      </c>
      <c r="B1" s="66" t="inlineStr">
        <is>
          <t>SiNo</t>
        </is>
      </c>
      <c r="C1" s="66" t="inlineStr">
        <is>
          <t>Estado</t>
        </is>
      </c>
      <c r="D1" s="66" t="inlineStr">
        <is>
          <t>Motivo</t>
        </is>
      </c>
      <c r="E1" s="66" t="inlineStr">
        <is>
          <t>Confirmacion</t>
        </is>
      </c>
      <c r="F1" s="66" t="inlineStr">
        <is>
          <t>TipoIncidencia</t>
        </is>
      </c>
      <c r="G1" s="66" t="inlineStr">
        <is>
          <t>Fase</t>
        </is>
      </c>
      <c r="H1" s="66" t="inlineStr">
        <is>
          <t>EstadoIncidencia</t>
        </is>
      </c>
      <c r="I1" s="66" t="inlineStr">
        <is>
          <t>Diseno</t>
        </is>
      </c>
      <c r="J1" s="66" t="inlineStr">
        <is>
          <t>EstadoSolucion</t>
        </is>
      </c>
      <c r="K1" s="66" t="inlineStr">
        <is>
          <t>SiNoNA</t>
        </is>
      </c>
    </row>
    <row r="2" ht="15" customHeight="1" s="67">
      <c r="A2" s="2" t="inlineStr">
        <is>
          <t>GE</t>
        </is>
      </c>
      <c r="B2" s="2" t="inlineStr">
        <is>
          <t>Sí</t>
        </is>
      </c>
      <c r="C2" s="2" t="inlineStr">
        <is>
          <t>Activo</t>
        </is>
      </c>
      <c r="D2" s="2" t="inlineStr">
        <is>
          <t>Renuncia</t>
        </is>
      </c>
      <c r="E2" s="2" t="inlineStr">
        <is>
          <t>Confirmado</t>
        </is>
      </c>
      <c r="F2" s="2" t="inlineStr">
        <is>
          <t>Técnica</t>
        </is>
      </c>
      <c r="G2" s="2" t="inlineStr">
        <is>
          <t>Cierre</t>
        </is>
      </c>
      <c r="H2" s="2" t="inlineStr">
        <is>
          <t>Resuelta</t>
        </is>
      </c>
      <c r="I2" s="2" t="inlineStr">
        <is>
          <t>Preexperimental (G: O₁ X O₂)</t>
        </is>
      </c>
      <c r="J2" s="2" t="inlineStr">
        <is>
          <t>Continúa en producción</t>
        </is>
      </c>
      <c r="K2" s="2" t="inlineStr">
        <is>
          <t>Sí</t>
        </is>
      </c>
    </row>
    <row r="3" ht="15" customHeight="1" s="67">
      <c r="A3" s="2" t="inlineStr">
        <is>
          <t>GC</t>
        </is>
      </c>
      <c r="B3" s="2" t="inlineStr">
        <is>
          <t>No</t>
        </is>
      </c>
      <c r="C3" s="2" t="inlineStr">
        <is>
          <t>Retirado</t>
        </is>
      </c>
      <c r="D3" s="2" t="inlineStr">
        <is>
          <t>Licencia</t>
        </is>
      </c>
      <c r="E3" s="2" t="inlineStr">
        <is>
          <t>Reprogramado</t>
        </is>
      </c>
      <c r="F3" s="2" t="inlineStr">
        <is>
          <t>Metodológica</t>
        </is>
      </c>
      <c r="G3" s="2" t="inlineStr">
        <is>
          <t>Postest</t>
        </is>
      </c>
      <c r="H3" s="2" t="inlineStr">
        <is>
          <t>En curso</t>
        </is>
      </c>
      <c r="I3" s="2" t="inlineStr">
        <is>
          <t>Cuasiexperimental (GE: O₁ X O₂ / GC: O₁ — O₂)</t>
        </is>
      </c>
      <c r="J3" s="2" t="inlineStr">
        <is>
          <t>Se retira</t>
        </is>
      </c>
      <c r="K3" s="2" t="inlineStr">
        <is>
          <t>No</t>
        </is>
      </c>
    </row>
    <row r="4" ht="15" customHeight="1" s="67">
      <c r="A4" s="2" t="inlineStr">
        <is>
          <t>G</t>
        </is>
      </c>
      <c r="C4" s="2" t="inlineStr">
        <is>
          <t>Excluido</t>
        </is>
      </c>
      <c r="D4" s="2" t="inlineStr">
        <is>
          <t>Rotación o cambio de sede</t>
        </is>
      </c>
      <c r="E4" s="2" t="inlineStr">
        <is>
          <t>Pérdida muestral</t>
        </is>
      </c>
      <c r="F4" s="2" t="inlineStr">
        <is>
          <t>Ética</t>
        </is>
      </c>
      <c r="H4" s="2" t="inlineStr">
        <is>
          <t>Cerrada con limitación</t>
        </is>
      </c>
      <c r="J4" s="2" t="inlineStr">
        <is>
          <t>Se transfiere a la institución</t>
        </is>
      </c>
      <c r="K4" s="2" t="inlineStr">
        <is>
          <t>N. A.</t>
        </is>
      </c>
    </row>
    <row r="5" ht="15" customHeight="1" s="67">
      <c r="D5" s="2" t="inlineStr">
        <is>
          <t>Retiro de consentimiento</t>
        </is>
      </c>
      <c r="F5" s="2" t="inlineStr">
        <is>
          <t>Logística</t>
        </is>
      </c>
    </row>
    <row r="6" ht="15" customHeight="1" s="67">
      <c r="D6" s="2" t="inlineStr">
        <is>
          <t>Inasistencia fuera de la ventana</t>
        </is>
      </c>
      <c r="F6" s="2" t="inlineStr">
        <is>
          <t>Pérdida muestral</t>
        </is>
      </c>
    </row>
    <row r="7" ht="15" customHeight="1" s="67">
      <c r="D7" s="2" t="inlineStr">
        <is>
          <t>Registro inutilizable</t>
        </is>
      </c>
    </row>
    <row r="8" ht="15" customHeight="1" s="67">
      <c r="D8" s="2" t="inlineStr">
        <is>
          <t>Otro</t>
        </is>
      </c>
    </row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Mg. Jenny Rocío Reynoso Palpa</dc:creator>
  <dcterms:created xmlns:dcterms="http://purl.org/dc/terms/" xmlns:xsi="http://www.w3.org/2001/XMLSchema-instance" xsi:type="dcterms:W3CDTF">2026-10-17T15:50:23Z</dcterms:created>
  <dcterms:modified xmlns:dcterms="http://purl.org/dc/terms/" xmlns:xsi="http://www.w3.org/2001/XMLSchema-instance" xsi:type="dcterms:W3CDTF">2026-10-27T01:02:04Z</dcterms:modified>
</cp:coreProperties>
</file>