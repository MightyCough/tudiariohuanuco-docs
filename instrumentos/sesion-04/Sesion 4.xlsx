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0_Guia" sheetId="1" r:id="rId4"/>
    <sheet state="visible" name="01_Lista_cotejo" sheetId="2" r:id="rId5"/>
    <sheet state="visible" name="02_Acta_instalacion" sheetId="3" r:id="rId6"/>
    <sheet state="visible" name="03_Matriz_roles" sheetId="4" r:id="rId7"/>
    <sheet state="visible" name="04_Verificacion_funcional" sheetId="5" r:id="rId8"/>
    <sheet state="visible" name="05_Pruebas_iniciales" sheetId="6" r:id="rId9"/>
    <sheet state="visible" name="06_Registro_capacitacion" sheetId="7" r:id="rId10"/>
    <sheet state="visible" name="07_Registro_incidencias" sheetId="8" r:id="rId11"/>
    <sheet state="visible" name="08_Protocolo_condiciones" sheetId="9" r:id="rId12"/>
    <sheet state="visible" name="09_Acta_inicio_T0" sheetId="10" r:id="rId13"/>
    <sheet state="visible" name="10_Rubrica_informe" sheetId="11" r:id="rId14"/>
    <sheet state="visible" name="11_Resumen" sheetId="12" r:id="rId15"/>
  </sheets>
  <definedNames/>
  <calcPr/>
  <extLst>
    <ext uri="GoogleSheetsCustomDataVersion2">
      <go:sheetsCustomData xmlns:go="http://customooxmlschemas.google.com/" r:id="rId16" roundtripDataChecksum="V4q02NnlFRilfoYr3g+5+CPGXFRVAogoznpLb5lYSLw="/>
    </ext>
  </extLst>
</workbook>
</file>

<file path=xl/sharedStrings.xml><?xml version="1.0" encoding="utf-8"?>
<sst xmlns="http://schemas.openxmlformats.org/spreadsheetml/2006/main" count="407" uniqueCount="304">
  <si>
    <t>UNIVERSIDAD DE HUÁNUCO · Programa Académico de Ingeniería de Sistemas e Informática · Seminario de Tesis III</t>
  </si>
  <si>
    <t>FORMATO 01 · LISTA DE COTEJO DE DESPLIEGUE</t>
  </si>
  <si>
    <t>Marca Sí o No en cada ítem y anota la evidencia que lo respalda</t>
  </si>
  <si>
    <t>GUÍA DEL ESTUDIANTE · SESIÓN 4: DESPLIEGUE E INICIO DE LA SOLUCIÓN TECNOLÓGICA</t>
  </si>
  <si>
    <t>FORMATO 02 · ACTA DE INSTALACIÓN DE LA SOLUCIÓN TECNOLÓGICA</t>
  </si>
  <si>
    <t>Unidad I · Semana 4 · Investigación aplicada, cuantitativa, nivel aplicativo, diseño preexperimental o cuasiexperimental</t>
  </si>
  <si>
    <t>Documento que certifica la instalación conforme. Imprimir, firmar y escanear.</t>
  </si>
  <si>
    <t>FORMATO 03 · MATRIZ DE USUARIOS Y ROLES</t>
  </si>
  <si>
    <t>Una cuenta individual por participante, identificada solo por código</t>
  </si>
  <si>
    <t>Nombre de la solución:</t>
  </si>
  <si>
    <t>Aplicación multiplataforma de búsqueda semántica conversacional para lectores de Tu Diario Huánuco</t>
  </si>
  <si>
    <t>Tesista:</t>
  </si>
  <si>
    <t>Trujillo Avila, Marcel Alexander Javier; Godoy Condezo, Alejandro Jeanpier</t>
  </si>
  <si>
    <t>Versión desplegada (etiqueta):</t>
  </si>
  <si>
    <t>Modalidad de despliegue:</t>
  </si>
  <si>
    <t>Título de la tesis:</t>
  </si>
  <si>
    <t>Influencia de una aplicación web con asistente conversacional en la experiencia de lectores de Tu Diario Huánuco, 2026</t>
  </si>
  <si>
    <t>Influencia de una aplicación web móvil con asistente conversacional inteligente en la experiencia de usuario de lectores de Tu Diario Huánuco, 2026</t>
  </si>
  <si>
    <t>Institución / contexto:</t>
  </si>
  <si>
    <t>1. PROPÓSITO</t>
  </si>
  <si>
    <t>Tu Diario Huánuco (medio de comunicación digital), Huánuco</t>
  </si>
  <si>
    <t>Diseño:</t>
  </si>
  <si>
    <t>Esta guía te acompaña para iniciar formalmente la intervención (T₀): instalar o desplegar tu solución, configurar usuarios, roles y datos, verificar su operatividad, capacitar a los participantes, realizar pruebas iniciales, comunicar las condiciones de uso y registrar el inicio. Todo debe quedar evidenciado para la Tarea Académica 1.</t>
  </si>
  <si>
    <t>Preexperimental: G O1 X O2 (grupo único, pretest y postest)</t>
  </si>
  <si>
    <t>URL / servidor / dispositivo:</t>
  </si>
  <si>
    <t>chat.tudiariohuanuco.pe (aplicación) y api.tudiariohuanuco.pe (servicios); servidor VPS Hostinger KVM 1 administrado con Dokploy</t>
  </si>
  <si>
    <t>2. INDICADOR DE LOGRO</t>
  </si>
  <si>
    <t>Inicia la intervención con una solución operativa, configurada y accesible, presentando evidencias de instalación, capacitación y cumplimiento del protocolo.</t>
  </si>
  <si>
    <t>3. RUTA DE TRABAJO Y FORMATOS DE ESTE LIBRO</t>
  </si>
  <si>
    <t>Lugar de instalación:</t>
  </si>
  <si>
    <t>Servidor en la nube (VPS); se usa desde los dispositivos de los participantes</t>
  </si>
  <si>
    <t>Código participante</t>
  </si>
  <si>
    <t>N.°</t>
  </si>
  <si>
    <t>Fecha y hora de instalación:</t>
  </si>
  <si>
    <t>Grupo</t>
  </si>
  <si>
    <t>Formato (hoja)</t>
  </si>
  <si>
    <t>Usuario del sistema</t>
  </si>
  <si>
    <t>Qué debes hacer</t>
  </si>
  <si>
    <t>Rol</t>
  </si>
  <si>
    <t>Evidencia / instrumento</t>
  </si>
  <si>
    <t>Permisos principales</t>
  </si>
  <si>
    <t>Fecha de creación</t>
  </si>
  <si>
    <t>Cambio de contraseña en 1.er ingreso</t>
  </si>
  <si>
    <t>1</t>
  </si>
  <si>
    <t>Estado</t>
  </si>
  <si>
    <t>Ítem de verificación</t>
  </si>
  <si>
    <t>¿Cumple? (Sí/No)</t>
  </si>
  <si>
    <t>01_Lista_cotejo</t>
  </si>
  <si>
    <t>Evidencia que lo respalda</t>
  </si>
  <si>
    <t>Observaciones</t>
  </si>
  <si>
    <t>Autoevalúa las 10 condiciones del despliegue antes de T₀. Todas deben estar en «Sí».</t>
  </si>
  <si>
    <t>Responsable técnico (tesista):</t>
  </si>
  <si>
    <t>Responsable de TI de la institución:</t>
  </si>
  <si>
    <t>Lista de cotejo de despliegue</t>
  </si>
  <si>
    <t>2</t>
  </si>
  <si>
    <t>02_Acta_instalacion</t>
  </si>
  <si>
    <t>Registra entorno, versión, componentes instalados y pruebas; imprime y firma con TI y el área usuaria.</t>
  </si>
  <si>
    <t>Responsable del área usuaria:</t>
  </si>
  <si>
    <t>El entorno fue verificado en el lugar real de uso</t>
  </si>
  <si>
    <t>Acta de instalación</t>
  </si>
  <si>
    <t>3</t>
  </si>
  <si>
    <t>03_Matriz_roles</t>
  </si>
  <si>
    <t>Crea una cuenta individual por participante usando su código (P01…), con el rol de mínimo privilegio.</t>
  </si>
  <si>
    <t>Matriz de usuarios y roles</t>
  </si>
  <si>
    <t>4</t>
  </si>
  <si>
    <t>04_Verificacion_funcional</t>
  </si>
  <si>
    <t>Prueba cada requisito funcional; marca Conforme/No conforme. Los críticos deben estar al 100 %.</t>
  </si>
  <si>
    <t>Ficha de verificación funcional</t>
  </si>
  <si>
    <t>5</t>
  </si>
  <si>
    <t>05_Pruebas_iniciales</t>
  </si>
  <si>
    <t>Documenta los casos de prueba (humo, funcionales, aceptación, carga básica) con su evidencia.</t>
  </si>
  <si>
    <t>Log de pruebas</t>
  </si>
  <si>
    <t>COMPONENTES INSTALADOS</t>
  </si>
  <si>
    <t>6</t>
  </si>
  <si>
    <t>06_Registro_capacitacion</t>
  </si>
  <si>
    <t>Registra asistencia, duración y resultado del ejercicio práctico de cada participante del GE.</t>
  </si>
  <si>
    <t>Registro de capacitación</t>
  </si>
  <si>
    <t>7</t>
  </si>
  <si>
    <t>Sí</t>
  </si>
  <si>
    <t>07_Registro_incidencias</t>
  </si>
  <si>
    <t>Registra toda incidencia desde la instalación; clasifícala por prioridad y cierra con acción correctiva.</t>
  </si>
  <si>
    <t>Registro de incidencias</t>
  </si>
  <si>
    <t>8</t>
  </si>
  <si>
    <t>08_Protocolo_condiciones</t>
  </si>
  <si>
    <t>Define la dosis de X (duración, frecuencia, intensidad) y marca las condiciones de uso comunicadas.</t>
  </si>
  <si>
    <t>Protocolo de intervención</t>
  </si>
  <si>
    <t>9</t>
  </si>
  <si>
    <t>09_Acta_inicio_T0</t>
  </si>
  <si>
    <t>Servidor VPS (Hostinger KVM 1 con Dokploy) y aplicación accesible por HTTPS en chat.tudiariohuanuco.pe. Las fallas de funcionamiento se registran en los formatos 04 y 07.</t>
  </si>
  <si>
    <t>Formaliza fecha y hora de inicio, participantes, condiciones y firmas.</t>
  </si>
  <si>
    <t>Acta de inicio</t>
  </si>
  <si>
    <t>Componente</t>
  </si>
  <si>
    <t>10</t>
  </si>
  <si>
    <t>Versión</t>
  </si>
  <si>
    <t>10_Rubrica_informe</t>
  </si>
  <si>
    <t>Autoevalúa tu informe inicial antes de entregarlo (20 puntos).</t>
  </si>
  <si>
    <t>Ubicación</t>
  </si>
  <si>
    <t>Rúbrica del informe inicial</t>
  </si>
  <si>
    <t>11</t>
  </si>
  <si>
    <t>Verificado por</t>
  </si>
  <si>
    <t>11_Resumen</t>
  </si>
  <si>
    <t>Revisa el tablero: indica si estás «LISTO PARA T₀».</t>
  </si>
  <si>
    <t>Observación</t>
  </si>
  <si>
    <t>Semáforo de cumplimiento</t>
  </si>
  <si>
    <t>4. INSTRUCCIONES DE LLENADO</t>
  </si>
  <si>
    <t>La versión está etiquetada (p. ej. v1.0.0) y congelada</t>
  </si>
  <si>
    <t>No</t>
  </si>
  <si>
    <t>Interfaz web y PWA (Next.js)</t>
  </si>
  <si>
    <t>• Llena solo las celdas de color AMARILLO. Las celdas blancas contienen fórmulas o textos fijos: no las modifiques.</t>
  </si>
  <si>
    <t>Se etiqueta (por ejemplo, v1.0.0) y se congela el 26/10.</t>
  </si>
  <si>
    <t>• La fila en azul cursiva de cada tabla es un EJEMPLO: reemplázala con tus datos o bórrala.</t>
  </si>
  <si>
    <t>• Usa SIEMPRE el código del participante (P01, P02…), nunca su nombre, en tablas, capturas e informes (Ley N.° 29733).</t>
  </si>
  <si>
    <t>• La tabla de correspondencia código–identidad se guarda aparte, cifrada y solo con acceso del investigador.</t>
  </si>
  <si>
    <t>Cada participante tiene una cuenta individual con su código</t>
  </si>
  <si>
    <t>• Las actas (hojas 02 y 09) se imprimen, se firman y se escanean en PDF para el portafolio.</t>
  </si>
  <si>
    <t>• Nombra tus evidencias así: TA1_S4_[Apellido]_[N.°formato]_[descripcion].pdf  (ej.: TA1_S4_Quispe_02_acta_instalacion.pdf).</t>
  </si>
  <si>
    <t>5. CRONOGRAMA SUGERIDO HACIA T₀ (ajústalo a tu contexto)</t>
  </si>
  <si>
    <t>Los roles aplican el principio de mínimo privilegio</t>
  </si>
  <si>
    <r>
      <rPr>
        <rFont val="Arial"/>
        <i/>
        <color rgb="FF1F4E9A"/>
        <sz val="10.0"/>
      </rPr>
      <t xml:space="preserve">VPS, </t>
    </r>
    <r>
      <rPr>
        <rFont val="Arial"/>
        <i/>
        <color rgb="FF1155CC"/>
        <sz val="10.0"/>
        <u/>
      </rPr>
      <t>chat.tudiariohuanuco.pe</t>
    </r>
  </si>
  <si>
    <t>Día −7</t>
  </si>
  <si>
    <t>Los datos de prueba fueron eliminados antes de T₀</t>
  </si>
  <si>
    <t>Preparar el entorno y obtener autorizaciones (formato 01)</t>
  </si>
  <si>
    <t>El 100 % de requisitos críticos está «Conforme»</t>
  </si>
  <si>
    <t>Día −5</t>
  </si>
  <si>
    <t>Instalar, configurar usuarios, roles y datos (formatos 02 y 03)</t>
  </si>
  <si>
    <t>Día −3</t>
  </si>
  <si>
    <t>Verificación funcional y pruebas (formatos 04 y 05)</t>
  </si>
  <si>
    <t>El respaldo y la restauración fueron probados</t>
  </si>
  <si>
    <t>Día −2</t>
  </si>
  <si>
    <t>Capacitación de participantes (formato 06)</t>
  </si>
  <si>
    <t>Día −1</t>
  </si>
  <si>
    <t>Prueba con usuarios y comunicación de condiciones (formato 08)</t>
  </si>
  <si>
    <t>Día 0</t>
  </si>
  <si>
    <t>El 100 % del grupo experimental fue capacitado</t>
  </si>
  <si>
    <t>Acta de inicio T₀ (formato 09)</t>
  </si>
  <si>
    <t>6. ESTRUCTURA DEL INFORME INICIAL (entregable para la Tarea Académica 1)</t>
  </si>
  <si>
    <t>Las condiciones de uso fueron comunicadas por escrito</t>
  </si>
  <si>
    <t>1. Datos generales y versión de la solución   2. Descripción de la solución   3. Entorno e instalación   4. Usuarios, roles y datos   5. Seguridad y protección de datos</t>
  </si>
  <si>
    <t>6. Verificación funcional   7. Capacitación   8. Protocolo y condiciones de uso   9. Registro de inicio (T₀)   10. Incidencias iniciales y anexos (formatos de este libro)</t>
  </si>
  <si>
    <t>El acta de inicio (T₀) está firmada</t>
  </si>
  <si>
    <t>7. ERRORES QUE EL JURADO OBSERVA</t>
  </si>
  <si>
    <t>Ítems cumplidos</t>
  </si>
  <si>
    <t>Desplegar sin pruebas · cambiar funciones a mitad del experimento · cuentas compartidas · capacitación desigual · T₀ sin acta · evidencias con datos personales expuestos.</t>
  </si>
  <si>
    <t>API principal (FastAPI)</t>
  </si>
  <si>
    <r>
      <rPr>
        <rFont val="Arial"/>
        <color rgb="FF1B2430"/>
        <sz val="10.0"/>
      </rPr>
      <t xml:space="preserve">VPS, </t>
    </r>
    <r>
      <rPr>
        <rFont val="Arial"/>
        <color rgb="FF1155CC"/>
        <sz val="10.0"/>
        <u/>
      </rPr>
      <t>api.tudiariohuanuco.pe</t>
    </r>
  </si>
  <si>
    <t>Cuentas activas del GE</t>
  </si>
  <si>
    <t>Conecta con Gemini y con la API REST de WordPress</t>
  </si>
  <si>
    <t>Microservicio de telemetría (FastAPI + SQLite)</t>
  </si>
  <si>
    <t>VPS</t>
  </si>
  <si>
    <t>Microservicio Thesis, módulo del experimento (FastAPI)</t>
  </si>
  <si>
    <t>Base de datos PostgreSQL + pgvector</t>
  </si>
  <si>
    <t>Supabase (nube)</t>
  </si>
  <si>
    <t>Redis (caché, límites y eventos)</t>
  </si>
  <si>
    <t>PRUEBAS REALIZADAS EN LA INSTALACIÓN</t>
  </si>
  <si>
    <t>Prueba de humo (el sistema inicia y responde)</t>
  </si>
  <si>
    <t>Principio de mínimo privilegio: cada rol accede solo a lo necesario. Nunca registres nombres reales en esta hoja. El GC no recibe cuenta en la solución (diseño cuasiexperimental).</t>
  </si>
  <si>
    <t>Porcentaje de cumplimiento</t>
  </si>
  <si>
    <t>Acceso por HTTPS / red interna</t>
  </si>
  <si>
    <t>Dictamen</t>
  </si>
  <si>
    <t>Inicio de sesión por rol</t>
  </si>
  <si>
    <t>Respaldo y restauración</t>
  </si>
  <si>
    <t>CONFORMIDAD:</t>
  </si>
  <si>
    <t>Las partes declaran que la solución fue instalada y se encuentra operativa para iniciar la intervención.</t>
  </si>
  <si>
    <t>______________________</t>
  </si>
  <si>
    <t>Leyenda: celdas amarillas = llenar. Fila azul en cursiva = ejemplo. El dictamen se calcula solo: se requiere 10/10 para iniciar la intervención.</t>
  </si>
  <si>
    <t>Tesista</t>
  </si>
  <si>
    <t>Responsable de TI</t>
  </si>
  <si>
    <t>Responsable del área usuaria</t>
  </si>
  <si>
    <t>Nombre / DNI / Firma</t>
  </si>
  <si>
    <t>FORMATO 04 · FICHA DE VERIFICACIÓN FUNCIONAL</t>
  </si>
  <si>
    <t>Criterio de inicio: 100 % de requisitos críticos en estado «Conforme»</t>
  </si>
  <si>
    <t>Código RF</t>
  </si>
  <si>
    <t>Funcionalidad</t>
  </si>
  <si>
    <t>¿Crítico?</t>
  </si>
  <si>
    <t>Resultado esperado</t>
  </si>
  <si>
    <t>Resultado obtenido</t>
  </si>
  <si>
    <t>Evidencia (captura)</t>
  </si>
  <si>
    <t>Fecha</t>
  </si>
  <si>
    <t>Requisitos críticos registrados</t>
  </si>
  <si>
    <t>Críticos conformes</t>
  </si>
  <si>
    <t>% críticos conformes</t>
  </si>
  <si>
    <t>Un requisito crítico «No conforme» posterga T₀. Registra la corrección en el formato 07 y vuelve a verificar.</t>
  </si>
  <si>
    <t>FORMATO 05 · REGISTRO DE PRUEBAS INICIALES</t>
  </si>
  <si>
    <t>Humo · funcionales · aceptación (UAT) · carga básica</t>
  </si>
  <si>
    <t>FORMATO 06 · REGISTRO DE CAPACITACIÓN</t>
  </si>
  <si>
    <t>Capacitación estandarizada: mismo contenido, duración e instructor para todo el GE</t>
  </si>
  <si>
    <t>ID caso</t>
  </si>
  <si>
    <t>Tipo de prueba</t>
  </si>
  <si>
    <t>RF asociado</t>
  </si>
  <si>
    <t>Pasos</t>
  </si>
  <si>
    <t>Resultado</t>
  </si>
  <si>
    <t>Responsable</t>
  </si>
  <si>
    <t>FORMATO 07 · REGISTRO DE INCIDENCIAS Y SOPORTE INICIAL</t>
  </si>
  <si>
    <t>Crítica &lt; 2 h · Alta &lt; 8 h · Media &lt; 24 h · Baja &lt; 72 h (tiempos de respuesta sugeridos)</t>
  </si>
  <si>
    <t>Puntaje mínimo aprobatorio del ejercicio (0-20):</t>
  </si>
  <si>
    <t>← valor sugerido por el docente; ajústalo a tu protocolo</t>
  </si>
  <si>
    <t>Código</t>
  </si>
  <si>
    <t>Hora inicio</t>
  </si>
  <si>
    <t>Hora fin</t>
  </si>
  <si>
    <t>Duración (min)</t>
  </si>
  <si>
    <t>Módulos recibidos</t>
  </si>
  <si>
    <t>Puntaje ejercicio (0-20)</t>
  </si>
  <si>
    <t>Firma / conformidad</t>
  </si>
  <si>
    <t>ID</t>
  </si>
  <si>
    <t>Fecha y hora de reporte</t>
  </si>
  <si>
    <t>Prioridad</t>
  </si>
  <si>
    <t>Tipo</t>
  </si>
  <si>
    <t>Descripción</t>
  </si>
  <si>
    <t>Acción correctiva</t>
  </si>
  <si>
    <t>Fecha y hora de cierre</t>
  </si>
  <si>
    <t>Tiempo de resolución (h)</t>
  </si>
  <si>
    <t>Aprobados</t>
  </si>
  <si>
    <t>Fallidos</t>
  </si>
  <si>
    <t>FORMATO 08 · PROTOCOLO DE INTERVENCIÓN Y CONDICIONES DE USO</t>
  </si>
  <si>
    <t>Define la «dosis» de X y deja constancia de las condiciones comunicadas</t>
  </si>
  <si>
    <t>A. DOSIS DE LA INTERVENCIÓN</t>
  </si>
  <si>
    <t>Parámetro</t>
  </si>
  <si>
    <t>Valor definido</t>
  </si>
  <si>
    <t>Unidad</t>
  </si>
  <si>
    <t>Cómo se registrará</t>
  </si>
  <si>
    <t>Duración total de la intervención</t>
  </si>
  <si>
    <t>semanas</t>
  </si>
  <si>
    <t>Cronograma y acta de inicio/cierre</t>
  </si>
  <si>
    <t>Frecuencia de uso esperada</t>
  </si>
  <si>
    <t>sesiones por semana</t>
  </si>
  <si>
    <t>Logs de acceso</t>
  </si>
  <si>
    <t>Intensidad por sesión</t>
  </si>
  <si>
    <t>minutos o n.° de tareas</t>
  </si>
  <si>
    <t>Logs de actividad</t>
  </si>
  <si>
    <t>Fecha de inicio (T₀)</t>
  </si>
  <si>
    <t>fecha</t>
  </si>
  <si>
    <t>Fecha prevista de cierre</t>
  </si>
  <si>
    <t>Acta de cierre (S7)</t>
  </si>
  <si>
    <t>B. CONDICIONES DE USO COMUNICADAS</t>
  </si>
  <si>
    <t>Condición</t>
  </si>
  <si>
    <t>¿Comunicada?</t>
  </si>
  <si>
    <t>Medio</t>
  </si>
  <si>
    <t>Horario de disponibilidad del sistema</t>
  </si>
  <si>
    <t>Tareas que realizará cada participante</t>
  </si>
  <si>
    <t>Canal y horario de soporte</t>
  </si>
  <si>
    <t>Duración de la intervención</t>
  </si>
  <si>
    <t>Datos que se registrarán (logs)</t>
  </si>
  <si>
    <t>Confidencialidad y uso de códigos</t>
  </si>
  <si>
    <t>No compartir cuentas ni contraseñas</t>
  </si>
  <si>
    <t>Derecho a retirarse sin perjuicio</t>
  </si>
  <si>
    <t>Condiciones comunicadas</t>
  </si>
  <si>
    <t>Participantes del GE previstos:</t>
  </si>
  <si>
    <t>Capacitados (con registro):</t>
  </si>
  <si>
    <t>% del GE capacitado:</t>
  </si>
  <si>
    <t>Incidencias abiertas</t>
  </si>
  <si>
    <t>% aprobado en el ejercicio:</t>
  </si>
  <si>
    <t>Críticas abiertas</t>
  </si>
  <si>
    <t>Registra hora de inicio y fin en formato hh:mm; la duración y el resultado se calculan solos. Neutralidad: no enseñes las respuestas del instrumento de medición. El GC no recibe esta capacitación.</t>
  </si>
  <si>
    <t>Este registro es insumo de la Sesión 6 (fidelidad y control de incidencias). Toda corrección durante la intervención debe registrarse aquí; no se permiten cambios funcionales.</t>
  </si>
  <si>
    <t>FORMATO 09 · ACTA DE INICIO DE LA INTERVENCIÓN (T₀)</t>
  </si>
  <si>
    <t>Registro formal del inicio de la variable independiente X</t>
  </si>
  <si>
    <t>Institución / área:</t>
  </si>
  <si>
    <t>Diseño de investigación:</t>
  </si>
  <si>
    <t>Solución tecnológica y versión:</t>
  </si>
  <si>
    <t>Aplicación web móvil con asistente conversacional inteligente (versión por definir)</t>
  </si>
  <si>
    <t>Fecha de inicio (T₀):</t>
  </si>
  <si>
    <t>Hora de inicio:</t>
  </si>
  <si>
    <t>Lugar:</t>
  </si>
  <si>
    <t>Participantes del GE (códigos):</t>
  </si>
  <si>
    <t>Grupo de comparación (códigos, si aplica):</t>
  </si>
  <si>
    <t>Capacitación completada (% GE):</t>
  </si>
  <si>
    <t>Condiciones de uso comunicadas:</t>
  </si>
  <si>
    <t>Soporte asignado (canal y horario):</t>
  </si>
  <si>
    <t>Observaciones:</t>
  </si>
  <si>
    <t>Se deja constancia de que la solución se encuentra operativa, configurada y accesible, y que se da inicio formal a la intervención conforme al protocolo aprobado.</t>
  </si>
  <si>
    <t>Responsable de la institución</t>
  </si>
  <si>
    <t>Asesor de tesis</t>
  </si>
  <si>
    <t>FORMATO 10 · RÚBRICA DEL INFORME INICIAL</t>
  </si>
  <si>
    <t>Escala vigesimal · Logrado 17-20 · En proceso 11-16 · Inicio 0-10</t>
  </si>
  <si>
    <t>Criterio</t>
  </si>
  <si>
    <t>Evidencia exigida</t>
  </si>
  <si>
    <t>Puntaje máximo</t>
  </si>
  <si>
    <t>Puntaje obtenido</t>
  </si>
  <si>
    <t>% logro</t>
  </si>
  <si>
    <t>Solución operativa, configurada y accesible</t>
  </si>
  <si>
    <t>Acta de instalación, URL o versión, ficha funcional</t>
  </si>
  <si>
    <t>Seguridad, usuarios y roles</t>
  </si>
  <si>
    <t>Matriz de roles, controles de seguridad</t>
  </si>
  <si>
    <t>Capacitación documentada</t>
  </si>
  <si>
    <t>Registro de capacitación y materiales</t>
  </si>
  <si>
    <t>Protocolo y registro formal de inicio</t>
  </si>
  <si>
    <t>Dosis definida, condiciones y acta T₀</t>
  </si>
  <si>
    <t>Redacción y evidencias</t>
  </si>
  <si>
    <t>Informe ordenado, códigos, capturas sin datos personales</t>
  </si>
  <si>
    <t>TOTAL</t>
  </si>
  <si>
    <t>Nivel de logro</t>
  </si>
  <si>
    <t>Pesos sugeridos por el docente (suman 20). Ingresa el puntaje obtenido en cada criterio sin exceder el máximo.</t>
  </si>
  <si>
    <t>FORMATO 11 · TABLERO: ¿ESTOY LISTO PARA T₀?</t>
  </si>
  <si>
    <t>Se actualiza automáticamente con los formatos anteriores</t>
  </si>
  <si>
    <t>Indicador</t>
  </si>
  <si>
    <t>Valor</t>
  </si>
  <si>
    <t>Meta</t>
  </si>
  <si>
    <t>Lista de cotejo cumplida</t>
  </si>
  <si>
    <t>Requisitos críticos conformes</t>
  </si>
  <si>
    <t>GE capacitado</t>
  </si>
  <si>
    <t>Condiciones de uso comunicadas (de 8)</t>
  </si>
  <si>
    <t>Incidencias críticas abiertas</t>
  </si>
  <si>
    <t>Puntaje de autoevaluación del informe inicial</t>
  </si>
  <si>
    <t>de 20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</si>
</sst>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hh:mm"/>
    <numFmt numFmtId="166" formatCode="dd/mm/yyyy\ hh:mm"/>
    <numFmt numFmtId="167" formatCode="d/m/yyyy"/>
  </numFmts>
  <fonts count="24">
    <font>
      <sz val="11.0"/>
      <color theme="1"/>
      <name val="Calibri"/>
      <scheme val="minor"/>
    </font>
    <font>
      <b/>
      <sz val="10.0"/>
      <color rgb="FFFFFFFF"/>
      <name val="Arial"/>
    </font>
    <font/>
    <font>
      <b/>
      <sz val="16.0"/>
      <color rgb="FF0B2A6B"/>
      <name val="Arial"/>
    </font>
    <font>
      <i/>
      <sz val="10.0"/>
      <color rgb="FF3E4A5C"/>
      <name val="Arial"/>
    </font>
    <font>
      <sz val="11.0"/>
      <color theme="1"/>
      <name val="Calibri"/>
    </font>
    <font>
      <b/>
      <sz val="11.0"/>
      <color rgb="FF0B2A6B"/>
      <name val="Arial"/>
    </font>
    <font>
      <sz val="11.0"/>
      <color rgb="FF1B2430"/>
      <name val="Arial"/>
    </font>
    <font>
      <b/>
      <sz val="12.0"/>
      <color rgb="FFFFFFFF"/>
      <name val="Arial"/>
    </font>
    <font>
      <b/>
      <sz val="11.0"/>
      <color rgb="FFFFFFFF"/>
      <name val="Arial"/>
    </font>
    <font>
      <i/>
      <sz val="11.0"/>
      <color rgb="FF1F4E9A"/>
      <name val="Arial"/>
    </font>
    <font>
      <b/>
      <sz val="12.0"/>
      <color rgb="FFB3161B"/>
      <name val="Arial"/>
    </font>
    <font>
      <i/>
      <sz val="10.0"/>
      <color rgb="FF1F4E9A"/>
      <name val="Arial"/>
    </font>
    <font>
      <sz val="11.0"/>
      <color rgb="FF1F4E9A"/>
      <name val="Arial"/>
    </font>
    <font>
      <b/>
      <sz val="11.0"/>
      <color rgb="FFB3161B"/>
      <name val="Arial"/>
    </font>
    <font>
      <i/>
      <u/>
      <sz val="10.0"/>
      <color rgb="FF1F4E9A"/>
      <name val="Arial"/>
    </font>
    <font>
      <sz val="10.0"/>
      <color rgb="FF1B2430"/>
      <name val="Arial"/>
    </font>
    <font>
      <u/>
      <sz val="10.0"/>
      <color rgb="FF1B2430"/>
      <name val="Arial"/>
    </font>
    <font>
      <b/>
      <sz val="11.0"/>
      <color rgb="FF1B2430"/>
      <name val="Arial"/>
    </font>
    <font>
      <b/>
      <sz val="10.0"/>
      <color rgb="FF0B2A6B"/>
      <name val="Arial"/>
    </font>
    <font>
      <i/>
      <sz val="9.0"/>
      <color rgb="FF3E4A5C"/>
      <name val="Arial"/>
    </font>
    <font>
      <b/>
      <sz val="11.0"/>
      <color rgb="FF0000FF"/>
      <name val="Arial"/>
    </font>
    <font>
      <i/>
      <sz val="11.0"/>
      <color rgb="FF1B2430"/>
      <name val="Arial"/>
    </font>
    <font>
      <b/>
      <sz val="16.0"/>
      <color rgb="FFFFFFFF"/>
      <name val="Arial"/>
    </font>
  </fonts>
  <fills count="7">
    <fill>
      <patternFill patternType="none"/>
    </fill>
    <fill>
      <patternFill patternType="lightGray"/>
    </fill>
    <fill>
      <patternFill patternType="solid">
        <fgColor rgb="FF0B2A6B"/>
        <bgColor rgb="FF0B2A6B"/>
      </patternFill>
    </fill>
    <fill>
      <patternFill patternType="solid">
        <fgColor rgb="FF29ABE2"/>
        <bgColor rgb="FF29ABE2"/>
      </patternFill>
    </fill>
    <fill>
      <patternFill patternType="solid">
        <fgColor rgb="FFFFF7D1"/>
        <bgColor rgb="FFFFF7D1"/>
      </patternFill>
    </fill>
    <fill>
      <patternFill patternType="solid">
        <fgColor rgb="FF2580C3"/>
        <bgColor rgb="FF2580C3"/>
      </patternFill>
    </fill>
    <fill>
      <patternFill patternType="solid">
        <fgColor rgb="FFF2F6FB"/>
        <bgColor rgb="FFF2F6FB"/>
      </patternFill>
    </fill>
  </fills>
  <borders count="11">
    <border/>
    <border>
      <left/>
      <top/>
      <bottom/>
    </border>
    <border>
      <top/>
      <bottom/>
    </border>
    <border>
      <left/>
      <right/>
      <top/>
      <bottom/>
    </border>
    <border>
      <left style="thin">
        <color rgb="FF9DB4CF"/>
      </left>
      <top style="thin">
        <color rgb="FF9DB4CF"/>
      </top>
      <bottom style="thin">
        <color rgb="FF9DB4CF"/>
      </bottom>
    </border>
    <border>
      <top style="thin">
        <color rgb="FF9DB4CF"/>
      </top>
      <bottom style="thin">
        <color rgb="FF9DB4CF"/>
      </bottom>
    </border>
    <border>
      <right style="thin">
        <color rgb="FF9DB4CF"/>
      </right>
      <top style="thin">
        <color rgb="FF9DB4CF"/>
      </top>
      <bottom style="thin">
        <color rgb="FF9DB4CF"/>
      </bottom>
    </border>
    <border>
      <left style="thin">
        <color rgb="FF9DB4CF"/>
      </left>
      <right style="thin">
        <color rgb="FF9DB4CF"/>
      </right>
      <top style="thin">
        <color rgb="FF9DB4CF"/>
      </top>
      <bottom style="thin">
        <color rgb="FF9DB4CF"/>
      </bottom>
    </border>
    <border>
      <left/>
      <top/>
    </border>
    <border>
      <top/>
    </border>
    <border>
      <left/>
    </border>
  </borders>
  <cellStyleXfs count="1">
    <xf borderId="0" fillId="0" fontId="0" numFmtId="0" applyAlignment="1" applyFont="1"/>
  </cellStyleXfs>
  <cellXfs count="7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0" fillId="0" fontId="3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shrinkToFit="0" vertical="center" wrapText="1"/>
    </xf>
    <xf borderId="3" fillId="3" fontId="5" numFmtId="0" xfId="0" applyAlignment="1" applyBorder="1" applyFill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4" fillId="4" fontId="5" numFmtId="0" xfId="0" applyAlignment="1" applyBorder="1" applyFill="1" applyFont="1">
      <alignment readingOrder="0" shrinkToFit="0" vertical="bottom" wrapText="0"/>
    </xf>
    <xf borderId="5" fillId="0" fontId="2" numFmtId="0" xfId="0" applyBorder="1" applyFont="1"/>
    <xf borderId="4" fillId="4" fontId="7" numFmtId="0" xfId="0" applyAlignment="1" applyBorder="1" applyFill="1" applyFont="1">
      <alignment shrinkToFit="0" vertical="bottom" wrapText="0"/>
    </xf>
    <xf borderId="6" fillId="0" fontId="2" numFmtId="0" xfId="0" applyBorder="1" applyFont="1"/>
    <xf borderId="5" fillId="4" fontId="7" numFmtId="0" xfId="0" applyAlignment="1" applyBorder="1" applyFill="1" applyFont="1">
      <alignment shrinkToFit="0" vertical="bottom" wrapText="0"/>
    </xf>
    <xf borderId="4" fillId="4" fontId="5" numFmtId="0" xfId="0" applyAlignment="1" applyBorder="1" applyFill="1" applyFont="1">
      <alignment shrinkToFit="0" vertical="bottom" wrapText="0"/>
    </xf>
    <xf borderId="6" fillId="4" fontId="7" numFmtId="0" xfId="0" applyAlignment="1" applyBorder="1" applyFill="1" applyFont="1">
      <alignment shrinkToFit="0" vertical="bottom" wrapText="0"/>
    </xf>
    <xf borderId="4" fillId="4" fontId="7" numFmtId="0" xfId="0" applyAlignment="1" applyBorder="1" applyFill="1" applyFont="1">
      <alignment readingOrder="0" shrinkToFit="0" vertical="bottom" wrapText="0"/>
    </xf>
    <xf borderId="1" fillId="2" fontId="8" numFmtId="0" xfId="0" applyAlignment="1" applyBorder="1" applyFill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7" fillId="5" fontId="9" numFmtId="0" xfId="0" applyAlignment="1" applyBorder="1" applyFill="1" applyFont="1">
      <alignment horizontal="center" shrinkToFit="0" vertical="center" wrapText="1"/>
    </xf>
    <xf borderId="7" fillId="0" fontId="7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shrinkToFit="0" vertical="center" wrapText="1"/>
    </xf>
    <xf borderId="7" fillId="4" fontId="10" numFmtId="0" xfId="0" applyAlignment="1" applyBorder="1" applyFill="1" applyFont="1">
      <alignment shrinkToFit="0" vertical="center" wrapText="1"/>
    </xf>
    <xf borderId="7" fillId="0" fontId="7" numFmtId="0" xfId="0" applyAlignment="1" applyBorder="1" applyFont="1">
      <alignment shrinkToFit="0" vertical="center" wrapText="1"/>
    </xf>
    <xf borderId="7" fillId="0" fontId="10" numFmtId="0" xfId="0" applyAlignment="1" applyBorder="1" applyFont="1">
      <alignment horizontal="center" shrinkToFit="0" vertical="center" wrapText="1"/>
    </xf>
    <xf borderId="7" fillId="4" fontId="7" numFmtId="0" xfId="0" applyAlignment="1" applyBorder="1" applyFill="1" applyFont="1">
      <alignment shrinkToFit="0" vertical="center" wrapText="1"/>
    </xf>
    <xf borderId="7" fillId="0" fontId="10" numFmtId="0" xfId="0" applyAlignment="1" applyBorder="1" applyFont="1">
      <alignment shrinkToFit="0" vertical="center" wrapText="1"/>
    </xf>
    <xf borderId="0" fillId="0" fontId="11" numFmtId="0" xfId="0" applyAlignment="1" applyFont="1">
      <alignment shrinkToFit="0" vertical="bottom" wrapText="0"/>
    </xf>
    <xf borderId="7" fillId="4" fontId="10" numFmtId="0" xfId="0" applyAlignment="1" applyBorder="1" applyFill="1" applyFont="1">
      <alignment horizontal="center" shrinkToFit="0" vertical="center" wrapText="1"/>
    </xf>
    <xf borderId="7" fillId="4" fontId="10" numFmtId="0" xfId="0" applyAlignment="1" applyBorder="1" applyFill="1" applyFont="1">
      <alignment readingOrder="0" shrinkToFit="0" vertical="center" wrapText="1"/>
    </xf>
    <xf borderId="7" fillId="4" fontId="7" numFmtId="0" xfId="0" applyAlignment="1" applyBorder="1" applyFill="1" applyFont="1">
      <alignment horizontal="center" readingOrder="0" shrinkToFit="0" vertical="center" wrapText="1"/>
    </xf>
    <xf borderId="7" fillId="4" fontId="12" numFmtId="0" xfId="0" applyAlignment="1" applyBorder="1" applyFill="1" applyFont="1">
      <alignment readingOrder="0" shrinkToFit="0" vertical="center" wrapText="1"/>
    </xf>
    <xf borderId="7" fillId="4" fontId="13" numFmtId="0" xfId="0" applyAlignment="1" applyBorder="1" applyFill="1" applyFont="1">
      <alignment readingOrder="0" shrinkToFit="0" vertical="center" wrapText="1"/>
    </xf>
    <xf borderId="7" fillId="4" fontId="12" numFmtId="0" xfId="0" applyAlignment="1" applyBorder="1" applyFill="1" applyFont="1">
      <alignment shrinkToFit="0" vertical="center" wrapText="1"/>
    </xf>
    <xf borderId="0" fillId="0" fontId="14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7" fillId="4" fontId="15" numFmtId="0" xfId="0" applyAlignment="1" applyBorder="1" applyFill="1" applyFont="1">
      <alignment readingOrder="0" shrinkToFit="0" vertical="center" wrapText="1"/>
    </xf>
    <xf borderId="7" fillId="4" fontId="16" numFmtId="0" xfId="0" applyAlignment="1" applyBorder="1" applyFill="1" applyFont="1">
      <alignment readingOrder="0" shrinkToFit="0" vertical="center" wrapText="1"/>
    </xf>
    <xf borderId="7" fillId="4" fontId="16" numFmtId="0" xfId="0" applyAlignment="1" applyBorder="1" applyFill="1" applyFont="1">
      <alignment shrinkToFit="0" vertical="center" wrapText="1"/>
    </xf>
    <xf borderId="7" fillId="4" fontId="17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0"/>
    </xf>
    <xf borderId="7" fillId="0" fontId="18" numFmtId="0" xfId="0" applyAlignment="1" applyBorder="1" applyFont="1">
      <alignment horizontal="center" shrinkToFit="0" vertical="center" wrapText="1"/>
    </xf>
    <xf borderId="7" fillId="4" fontId="5" numFmtId="0" xfId="0" applyAlignment="1" applyBorder="1" applyFill="1" applyFont="1">
      <alignment shrinkToFit="0" vertical="bottom" wrapText="0"/>
    </xf>
    <xf borderId="1" fillId="6" fontId="4" numFmtId="0" xfId="0" applyAlignment="1" applyBorder="1" applyFill="1" applyFont="1">
      <alignment shrinkToFit="0" vertical="center" wrapText="1"/>
    </xf>
    <xf borderId="7" fillId="0" fontId="18" numFmtId="9" xfId="0" applyAlignment="1" applyBorder="1" applyFont="1" applyNumberFormat="1">
      <alignment horizontal="center" shrinkToFit="0" vertical="center" wrapText="1"/>
    </xf>
    <xf borderId="4" fillId="0" fontId="18" numFmtId="0" xfId="0" applyAlignment="1" applyBorder="1" applyFont="1">
      <alignment horizontal="center" shrinkToFit="0" vertical="center" wrapText="1"/>
    </xf>
    <xf borderId="0" fillId="0" fontId="19" numFmtId="0" xfId="0" applyAlignment="1" applyFont="1">
      <alignment shrinkToFit="0" vertical="bottom" wrapText="0"/>
    </xf>
    <xf borderId="0" fillId="0" fontId="20" numFmtId="0" xfId="0" applyAlignment="1" applyFont="1">
      <alignment shrinkToFit="0" vertical="bottom" wrapText="0"/>
    </xf>
    <xf borderId="7" fillId="4" fontId="21" numFmtId="0" xfId="0" applyAlignment="1" applyBorder="1" applyFill="1" applyFont="1">
      <alignment shrinkToFit="0" vertical="bottom" wrapText="0"/>
    </xf>
    <xf borderId="7" fillId="4" fontId="10" numFmtId="164" xfId="0" applyAlignment="1" applyBorder="1" applyFill="1" applyFont="1" applyNumberFormat="1">
      <alignment shrinkToFit="0" vertical="center" wrapText="1"/>
    </xf>
    <xf borderId="7" fillId="4" fontId="10" numFmtId="165" xfId="0" applyAlignment="1" applyBorder="1" applyFill="1" applyFont="1" applyNumberFormat="1">
      <alignment shrinkToFit="0" vertical="center" wrapText="1"/>
    </xf>
    <xf borderId="7" fillId="4" fontId="10" numFmtId="166" xfId="0" applyAlignment="1" applyBorder="1" applyFill="1" applyFont="1" applyNumberFormat="1">
      <alignment shrinkToFit="0" vertical="center" wrapText="1"/>
    </xf>
    <xf borderId="0" fillId="0" fontId="5" numFmtId="0" xfId="0" applyAlignment="1" applyFont="1">
      <alignment shrinkToFit="0" vertical="bottom" wrapText="0"/>
    </xf>
    <xf borderId="7" fillId="4" fontId="7" numFmtId="166" xfId="0" applyAlignment="1" applyBorder="1" applyFill="1" applyFont="1" applyNumberFormat="1">
      <alignment shrinkToFit="0" vertical="center" wrapText="1"/>
    </xf>
    <xf borderId="7" fillId="4" fontId="7" numFmtId="164" xfId="0" applyAlignment="1" applyBorder="1" applyFill="1" applyFont="1" applyNumberFormat="1">
      <alignment shrinkToFit="0" vertical="center" wrapText="1"/>
    </xf>
    <xf borderId="7" fillId="4" fontId="7" numFmtId="165" xfId="0" applyAlignment="1" applyBorder="1" applyFill="1" applyFont="1" applyNumberFormat="1">
      <alignment shrinkToFit="0" vertical="center" wrapText="1"/>
    </xf>
    <xf borderId="7" fillId="4" fontId="7" numFmtId="167" xfId="0" applyAlignment="1" applyBorder="1" applyFill="1" applyFont="1" applyNumberFormat="1">
      <alignment shrinkToFit="0" vertical="center" wrapText="1"/>
    </xf>
    <xf borderId="7" fillId="4" fontId="18" numFmtId="0" xfId="0" applyAlignment="1" applyBorder="1" applyFill="1" applyFont="1">
      <alignment shrinkToFit="0" vertical="bottom" wrapText="0"/>
    </xf>
    <xf borderId="7" fillId="0" fontId="18" numFmtId="0" xfId="0" applyAlignment="1" applyBorder="1" applyFont="1">
      <alignment shrinkToFit="0" vertical="bottom" wrapText="0"/>
    </xf>
    <xf borderId="7" fillId="0" fontId="18" numFmtId="9" xfId="0" applyAlignment="1" applyBorder="1" applyFont="1" applyNumberFormat="1">
      <alignment shrinkToFit="0" vertical="bottom" wrapText="0"/>
    </xf>
    <xf borderId="5" fillId="4" fontId="5" numFmtId="0" xfId="0" applyAlignment="1" applyBorder="1" applyFill="1" applyFont="1">
      <alignment shrinkToFit="0" vertical="bottom" wrapText="0"/>
    </xf>
    <xf borderId="6" fillId="4" fontId="5" numFmtId="0" xfId="0" applyAlignment="1" applyBorder="1" applyFill="1" applyFont="1">
      <alignment shrinkToFit="0" vertical="bottom" wrapText="0"/>
    </xf>
    <xf borderId="4" fillId="4" fontId="5" numFmtId="167" xfId="0" applyAlignment="1" applyBorder="1" applyFill="1" applyFont="1" applyNumberFormat="1">
      <alignment shrinkToFit="0" vertical="bottom" wrapText="0"/>
    </xf>
    <xf borderId="4" fillId="0" fontId="5" numFmtId="9" xfId="0" applyAlignment="1" applyBorder="1" applyFont="1" applyNumberFormat="1">
      <alignment shrinkToFit="0" vertical="bottom" wrapText="0"/>
    </xf>
    <xf borderId="4" fillId="0" fontId="5" numFmtId="0" xfId="0" applyAlignment="1" applyBorder="1" applyFont="1">
      <alignment shrinkToFit="0" vertical="bottom" wrapText="0"/>
    </xf>
    <xf borderId="0" fillId="0" fontId="22" numFmtId="0" xfId="0" applyAlignment="1" applyFont="1">
      <alignment shrinkToFit="0" vertical="center" wrapText="1"/>
    </xf>
    <xf borderId="7" fillId="4" fontId="7" numFmtId="0" xfId="0" applyAlignment="1" applyBorder="1" applyFill="1" applyFont="1">
      <alignment horizontal="center" shrinkToFit="0" vertical="center" wrapText="1"/>
    </xf>
    <xf borderId="7" fillId="0" fontId="7" numFmtId="9" xfId="0" applyAlignment="1" applyBorder="1" applyFont="1" applyNumberFormat="1">
      <alignment shrinkToFit="0" vertical="center" wrapText="1"/>
    </xf>
    <xf borderId="3" fillId="2" fontId="9" numFmtId="0" xfId="0" applyAlignment="1" applyBorder="1" applyFill="1" applyFont="1">
      <alignment shrinkToFit="0" vertical="bottom" wrapText="0"/>
    </xf>
    <xf borderId="7" fillId="0" fontId="7" numFmtId="1" xfId="0" applyAlignment="1" applyBorder="1" applyFont="1" applyNumberFormat="1">
      <alignment shrinkToFit="0" vertical="center" wrapText="1"/>
    </xf>
    <xf borderId="8" fillId="2" fontId="23" numFmtId="0" xfId="0" applyAlignment="1" applyBorder="1" applyFill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D9F2E3"/>
          <bgColor rgb="FFD9F2E3"/>
        </patternFill>
      </fill>
      <border/>
    </dxf>
    <dxf>
      <font/>
      <fill>
        <patternFill patternType="solid">
          <fgColor rgb="FFF9D6D6"/>
          <bgColor rgb="FFF9D6D6"/>
        </patternFill>
      </fill>
      <border/>
    </dxf>
    <dxf>
      <font>
        <b/>
        <color rgb="FF1C7C4F"/>
        <name val="Arial"/>
      </font>
      <fill>
        <patternFill patternType="solid">
          <fgColor rgb="FFD9F2E3"/>
          <bgColor rgb="FFD9F2E3"/>
        </patternFill>
      </fill>
      <border/>
    </dxf>
    <dxf>
      <font>
        <b/>
        <color rgb="FFB3161B"/>
        <name val="Arial"/>
      </font>
      <fill>
        <patternFill patternType="solid">
          <fgColor rgb="FFF9D6D6"/>
          <bgColor rgb="FFF9D6D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://chat.tudiariohuanuco.pe/" TargetMode="External"/><Relationship Id="rId2" Type="http://schemas.openxmlformats.org/officeDocument/2006/relationships/hyperlink" Target="http://api.tudiariohuanuco.pe/" TargetMode="External"/><Relationship Id="rId3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6.0"/>
    <col customWidth="1" min="2" max="2" width="34.0"/>
    <col customWidth="1" min="3" max="3" width="70.0"/>
    <col customWidth="1" min="4" max="4" width="26.0"/>
    <col customWidth="1" min="5" max="6" width="8.71"/>
  </cols>
  <sheetData>
    <row r="1" ht="21.75" customHeight="1">
      <c r="A1" s="1" t="s">
        <v>0</v>
      </c>
      <c r="B1" s="2"/>
      <c r="C1" s="2"/>
      <c r="D1" s="2"/>
    </row>
    <row r="2" ht="30.0" customHeight="1">
      <c r="A2" s="3" t="s">
        <v>3</v>
      </c>
    </row>
    <row r="3" ht="30.0" customHeight="1">
      <c r="A3" s="4" t="s">
        <v>5</v>
      </c>
    </row>
    <row r="4" ht="3.75" customHeight="1">
      <c r="A4" s="5"/>
      <c r="B4" s="5"/>
      <c r="C4" s="5"/>
      <c r="D4" s="5"/>
    </row>
    <row r="6" ht="24.0" customHeight="1">
      <c r="A6" s="15" t="s">
        <v>19</v>
      </c>
      <c r="B6" s="2"/>
      <c r="C6" s="2"/>
      <c r="D6" s="2"/>
    </row>
    <row r="7" ht="61.5" customHeight="1">
      <c r="A7" s="16" t="s">
        <v>22</v>
      </c>
    </row>
    <row r="8" ht="24.0" customHeight="1">
      <c r="A8" s="15" t="s">
        <v>26</v>
      </c>
      <c r="B8" s="2"/>
      <c r="C8" s="2"/>
      <c r="D8" s="2"/>
    </row>
    <row r="9" ht="36.0" customHeight="1">
      <c r="A9" s="16" t="s">
        <v>27</v>
      </c>
    </row>
    <row r="10" ht="24.0" customHeight="1">
      <c r="A10" s="15" t="s">
        <v>28</v>
      </c>
      <c r="B10" s="2"/>
      <c r="C10" s="2"/>
      <c r="D10" s="2"/>
    </row>
    <row r="11">
      <c r="A11" s="17" t="s">
        <v>32</v>
      </c>
      <c r="B11" s="17" t="s">
        <v>35</v>
      </c>
      <c r="C11" s="17" t="s">
        <v>37</v>
      </c>
      <c r="D11" s="17" t="s">
        <v>39</v>
      </c>
    </row>
    <row r="12" ht="36.0" customHeight="1">
      <c r="A12" s="18" t="s">
        <v>43</v>
      </c>
      <c r="B12" s="19" t="s">
        <v>47</v>
      </c>
      <c r="C12" s="21" t="s">
        <v>50</v>
      </c>
      <c r="D12" s="21" t="s">
        <v>53</v>
      </c>
    </row>
    <row r="13" ht="36.0" customHeight="1">
      <c r="A13" s="18" t="s">
        <v>54</v>
      </c>
      <c r="B13" s="19" t="s">
        <v>55</v>
      </c>
      <c r="C13" s="21" t="s">
        <v>56</v>
      </c>
      <c r="D13" s="21" t="s">
        <v>59</v>
      </c>
    </row>
    <row r="14" ht="36.0" customHeight="1">
      <c r="A14" s="18" t="s">
        <v>60</v>
      </c>
      <c r="B14" s="19" t="s">
        <v>61</v>
      </c>
      <c r="C14" s="21" t="s">
        <v>62</v>
      </c>
      <c r="D14" s="21" t="s">
        <v>63</v>
      </c>
    </row>
    <row r="15" ht="36.0" customHeight="1">
      <c r="A15" s="18" t="s">
        <v>64</v>
      </c>
      <c r="B15" s="19" t="s">
        <v>65</v>
      </c>
      <c r="C15" s="21" t="s">
        <v>66</v>
      </c>
      <c r="D15" s="21" t="s">
        <v>67</v>
      </c>
    </row>
    <row r="16" ht="36.0" customHeight="1">
      <c r="A16" s="18" t="s">
        <v>68</v>
      </c>
      <c r="B16" s="19" t="s">
        <v>69</v>
      </c>
      <c r="C16" s="21" t="s">
        <v>70</v>
      </c>
      <c r="D16" s="21" t="s">
        <v>71</v>
      </c>
    </row>
    <row r="17" ht="36.0" customHeight="1">
      <c r="A17" s="18" t="s">
        <v>73</v>
      </c>
      <c r="B17" s="19" t="s">
        <v>74</v>
      </c>
      <c r="C17" s="21" t="s">
        <v>75</v>
      </c>
      <c r="D17" s="21" t="s">
        <v>76</v>
      </c>
    </row>
    <row r="18" ht="36.0" customHeight="1">
      <c r="A18" s="18" t="s">
        <v>77</v>
      </c>
      <c r="B18" s="19" t="s">
        <v>79</v>
      </c>
      <c r="C18" s="21" t="s">
        <v>80</v>
      </c>
      <c r="D18" s="21" t="s">
        <v>81</v>
      </c>
    </row>
    <row r="19" ht="36.0" customHeight="1">
      <c r="A19" s="18" t="s">
        <v>82</v>
      </c>
      <c r="B19" s="19" t="s">
        <v>83</v>
      </c>
      <c r="C19" s="21" t="s">
        <v>84</v>
      </c>
      <c r="D19" s="21" t="s">
        <v>85</v>
      </c>
    </row>
    <row r="20" ht="36.0" customHeight="1">
      <c r="A20" s="18" t="s">
        <v>86</v>
      </c>
      <c r="B20" s="19" t="s">
        <v>87</v>
      </c>
      <c r="C20" s="21" t="s">
        <v>89</v>
      </c>
      <c r="D20" s="21" t="s">
        <v>90</v>
      </c>
    </row>
    <row r="21" ht="36.0" customHeight="1">
      <c r="A21" s="18" t="s">
        <v>92</v>
      </c>
      <c r="B21" s="19" t="s">
        <v>94</v>
      </c>
      <c r="C21" s="21" t="s">
        <v>95</v>
      </c>
      <c r="D21" s="21" t="s">
        <v>97</v>
      </c>
    </row>
    <row r="22" ht="36.0" customHeight="1">
      <c r="A22" s="18" t="s">
        <v>98</v>
      </c>
      <c r="B22" s="19" t="s">
        <v>100</v>
      </c>
      <c r="C22" s="21" t="s">
        <v>101</v>
      </c>
      <c r="D22" s="21" t="s">
        <v>103</v>
      </c>
    </row>
    <row r="23" ht="15.75" customHeight="1"/>
    <row r="24" ht="24.0" customHeight="1">
      <c r="A24" s="15" t="s">
        <v>104</v>
      </c>
      <c r="B24" s="2"/>
      <c r="C24" s="2"/>
      <c r="D24" s="2"/>
    </row>
    <row r="25" ht="30.0" customHeight="1">
      <c r="A25" s="16" t="s">
        <v>108</v>
      </c>
    </row>
    <row r="26" ht="30.0" customHeight="1">
      <c r="A26" s="16" t="s">
        <v>110</v>
      </c>
    </row>
    <row r="27" ht="30.0" customHeight="1">
      <c r="A27" s="16" t="s">
        <v>111</v>
      </c>
    </row>
    <row r="28" ht="30.0" customHeight="1">
      <c r="A28" s="16" t="s">
        <v>112</v>
      </c>
    </row>
    <row r="29" ht="30.0" customHeight="1">
      <c r="A29" s="16" t="s">
        <v>114</v>
      </c>
    </row>
    <row r="30" ht="30.0" customHeight="1">
      <c r="A30" s="16" t="s">
        <v>115</v>
      </c>
    </row>
    <row r="31" ht="15.75" customHeight="1"/>
    <row r="32" ht="24.0" customHeight="1">
      <c r="A32" s="15" t="s">
        <v>116</v>
      </c>
      <c r="B32" s="2"/>
      <c r="C32" s="2"/>
      <c r="D32" s="2"/>
    </row>
    <row r="33" ht="15.75" customHeight="1">
      <c r="B33" s="32" t="s">
        <v>119</v>
      </c>
      <c r="C33" s="33" t="s">
        <v>121</v>
      </c>
    </row>
    <row r="34" ht="15.75" customHeight="1">
      <c r="B34" s="32" t="s">
        <v>123</v>
      </c>
      <c r="C34" s="33" t="s">
        <v>124</v>
      </c>
    </row>
    <row r="35" ht="15.75" customHeight="1">
      <c r="B35" s="32" t="s">
        <v>125</v>
      </c>
      <c r="C35" s="33" t="s">
        <v>126</v>
      </c>
    </row>
    <row r="36" ht="15.75" customHeight="1">
      <c r="B36" s="32" t="s">
        <v>128</v>
      </c>
      <c r="C36" s="33" t="s">
        <v>129</v>
      </c>
    </row>
    <row r="37" ht="15.75" customHeight="1">
      <c r="B37" s="32" t="s">
        <v>130</v>
      </c>
      <c r="C37" s="33" t="s">
        <v>131</v>
      </c>
    </row>
    <row r="38" ht="15.75" customHeight="1">
      <c r="B38" s="32" t="s">
        <v>132</v>
      </c>
      <c r="C38" s="33" t="s">
        <v>134</v>
      </c>
    </row>
    <row r="39" ht="15.75" customHeight="1"/>
    <row r="40" ht="24.0" customHeight="1">
      <c r="A40" s="15" t="s">
        <v>135</v>
      </c>
      <c r="B40" s="2"/>
      <c r="C40" s="2"/>
      <c r="D40" s="2"/>
    </row>
    <row r="41" ht="33.75" customHeight="1">
      <c r="A41" s="16" t="s">
        <v>137</v>
      </c>
    </row>
    <row r="42" ht="33.75" customHeight="1">
      <c r="A42" s="16" t="s">
        <v>138</v>
      </c>
    </row>
    <row r="43" ht="15.75" customHeight="1"/>
    <row r="44" ht="24.0" customHeight="1">
      <c r="A44" s="15" t="s">
        <v>140</v>
      </c>
      <c r="B44" s="2"/>
      <c r="C44" s="2"/>
      <c r="D44" s="2"/>
    </row>
    <row r="45" ht="33.75" customHeight="1">
      <c r="A45" s="16" t="s">
        <v>142</v>
      </c>
    </row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A1:D1"/>
    <mergeCell ref="A2:D2"/>
    <mergeCell ref="A3:D3"/>
    <mergeCell ref="A6:D6"/>
    <mergeCell ref="A7:D7"/>
    <mergeCell ref="A8:D8"/>
    <mergeCell ref="A9:D9"/>
    <mergeCell ref="A10:D10"/>
    <mergeCell ref="A24:D24"/>
    <mergeCell ref="A25:D25"/>
    <mergeCell ref="A26:D26"/>
    <mergeCell ref="A27:D27"/>
    <mergeCell ref="A28:D28"/>
    <mergeCell ref="A29:D29"/>
    <mergeCell ref="C38:D38"/>
    <mergeCell ref="A40:D40"/>
    <mergeCell ref="A41:D41"/>
    <mergeCell ref="A42:D42"/>
    <mergeCell ref="A44:D44"/>
    <mergeCell ref="A45:D45"/>
    <mergeCell ref="A30:D30"/>
    <mergeCell ref="A32:D32"/>
    <mergeCell ref="C33:D33"/>
    <mergeCell ref="C34:D34"/>
    <mergeCell ref="C35:D35"/>
    <mergeCell ref="C36:D36"/>
    <mergeCell ref="C37:D37"/>
  </mergeCells>
  <printOptions/>
  <pageMargins bottom="1.0" footer="0.0" header="0.0" left="0.75" right="0.75" top="1.0"/>
  <pageSetup fitToHeight="0" orientation="portrait"/>
  <headerFooter>
    <oddFooter>&amp;CMBA Jenny Reynoso Palpa · Seminario de Tesis III · Sesión 4&amp;RPág.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6.0"/>
    <col customWidth="1" min="2" max="2" width="52.0"/>
    <col customWidth="1" min="3" max="3" width="16.0"/>
    <col customWidth="1" min="4" max="4" width="40.0"/>
    <col customWidth="1" min="5" max="5" width="34.0"/>
    <col customWidth="1" min="6" max="6" width="8.71"/>
  </cols>
  <sheetData>
    <row r="1" ht="21.75" customHeight="1">
      <c r="A1" s="1" t="s">
        <v>0</v>
      </c>
      <c r="B1" s="2"/>
      <c r="C1" s="2"/>
      <c r="D1" s="2"/>
      <c r="E1" s="2"/>
    </row>
    <row r="2" ht="30.0" customHeight="1">
      <c r="A2" s="3" t="s">
        <v>1</v>
      </c>
    </row>
    <row r="3" ht="30.0" customHeight="1">
      <c r="A3" s="4" t="s">
        <v>2</v>
      </c>
    </row>
    <row r="4" ht="3.75" customHeight="1">
      <c r="A4" s="5"/>
      <c r="B4" s="5"/>
      <c r="C4" s="5"/>
      <c r="D4" s="5"/>
      <c r="E4" s="5"/>
    </row>
    <row r="6">
      <c r="A6" s="6" t="s">
        <v>11</v>
      </c>
      <c r="B6" s="9" t="s">
        <v>12</v>
      </c>
      <c r="C6" s="11"/>
      <c r="D6" s="11"/>
      <c r="E6" s="13"/>
    </row>
    <row r="7">
      <c r="A7" s="6" t="s">
        <v>15</v>
      </c>
      <c r="B7" s="14" t="s">
        <v>16</v>
      </c>
      <c r="C7" s="11"/>
      <c r="D7" s="11"/>
      <c r="E7" s="13"/>
    </row>
    <row r="8">
      <c r="A8" s="6" t="s">
        <v>18</v>
      </c>
      <c r="B8" s="9" t="s">
        <v>20</v>
      </c>
      <c r="C8" s="11"/>
      <c r="D8" s="11"/>
      <c r="E8" s="13"/>
    </row>
    <row r="9">
      <c r="A9" s="6" t="s">
        <v>21</v>
      </c>
      <c r="B9" s="9" t="s">
        <v>23</v>
      </c>
      <c r="C9" s="11"/>
      <c r="D9" s="11"/>
      <c r="E9" s="13"/>
    </row>
    <row r="11" ht="33.75" customHeight="1">
      <c r="A11" s="17" t="s">
        <v>32</v>
      </c>
      <c r="B11" s="17" t="s">
        <v>45</v>
      </c>
      <c r="C11" s="17" t="s">
        <v>46</v>
      </c>
      <c r="D11" s="17" t="s">
        <v>48</v>
      </c>
      <c r="E11" s="17" t="s">
        <v>49</v>
      </c>
    </row>
    <row r="12">
      <c r="A12" s="22">
        <v>1.0</v>
      </c>
      <c r="B12" s="24" t="s">
        <v>58</v>
      </c>
      <c r="C12" s="26" t="s">
        <v>78</v>
      </c>
      <c r="D12" s="27" t="s">
        <v>88</v>
      </c>
      <c r="E12" s="20"/>
    </row>
    <row r="13" ht="30.0" customHeight="1">
      <c r="A13" s="18">
        <v>2.0</v>
      </c>
      <c r="B13" s="21" t="s">
        <v>105</v>
      </c>
      <c r="C13" s="28" t="s">
        <v>106</v>
      </c>
      <c r="D13" s="30" t="s">
        <v>109</v>
      </c>
      <c r="E13" s="23"/>
    </row>
    <row r="14" ht="30.0" customHeight="1">
      <c r="A14" s="18">
        <v>3.0</v>
      </c>
      <c r="B14" s="21" t="s">
        <v>113</v>
      </c>
      <c r="C14" s="28" t="s">
        <v>106</v>
      </c>
      <c r="D14" s="23"/>
      <c r="E14" s="23"/>
    </row>
    <row r="15" ht="30.0" customHeight="1">
      <c r="A15" s="18">
        <v>4.0</v>
      </c>
      <c r="B15" s="21" t="s">
        <v>117</v>
      </c>
      <c r="C15" s="28" t="s">
        <v>106</v>
      </c>
      <c r="D15" s="23"/>
      <c r="E15" s="23"/>
    </row>
    <row r="16" ht="30.0" customHeight="1">
      <c r="A16" s="18">
        <v>5.0</v>
      </c>
      <c r="B16" s="21" t="s">
        <v>120</v>
      </c>
      <c r="C16" s="28" t="s">
        <v>106</v>
      </c>
      <c r="D16" s="23"/>
      <c r="E16" s="23"/>
    </row>
    <row r="17" ht="30.0" customHeight="1">
      <c r="A17" s="18">
        <v>6.0</v>
      </c>
      <c r="B17" s="21" t="s">
        <v>122</v>
      </c>
      <c r="C17" s="28" t="s">
        <v>106</v>
      </c>
      <c r="D17" s="23"/>
      <c r="E17" s="23"/>
    </row>
    <row r="18" ht="30.0" customHeight="1">
      <c r="A18" s="18">
        <v>7.0</v>
      </c>
      <c r="B18" s="21" t="s">
        <v>127</v>
      </c>
      <c r="C18" s="28" t="s">
        <v>106</v>
      </c>
      <c r="D18" s="23"/>
      <c r="E18" s="23"/>
    </row>
    <row r="19" ht="30.0" customHeight="1">
      <c r="A19" s="18">
        <v>8.0</v>
      </c>
      <c r="B19" s="21" t="s">
        <v>133</v>
      </c>
      <c r="C19" s="28" t="s">
        <v>106</v>
      </c>
      <c r="D19" s="23"/>
      <c r="E19" s="23"/>
    </row>
    <row r="20" ht="30.0" customHeight="1">
      <c r="A20" s="18">
        <v>9.0</v>
      </c>
      <c r="B20" s="21" t="s">
        <v>136</v>
      </c>
      <c r="C20" s="28" t="s">
        <v>106</v>
      </c>
      <c r="D20" s="23"/>
      <c r="E20" s="23"/>
    </row>
    <row r="21" ht="30.0" customHeight="1">
      <c r="A21" s="18">
        <v>10.0</v>
      </c>
      <c r="B21" s="21" t="s">
        <v>139</v>
      </c>
      <c r="C21" s="28" t="s">
        <v>106</v>
      </c>
      <c r="D21" s="23"/>
      <c r="E21" s="23"/>
    </row>
    <row r="22" ht="15.75" customHeight="1"/>
    <row r="23" ht="15.75" customHeight="1">
      <c r="B23" s="6" t="s">
        <v>141</v>
      </c>
      <c r="C23" s="39">
        <f>COUNTIF(C12:C21,"Sí")</f>
        <v>1</v>
      </c>
    </row>
    <row r="24" ht="15.75" customHeight="1">
      <c r="B24" s="6" t="s">
        <v>156</v>
      </c>
      <c r="C24" s="42">
        <f>C23/10</f>
        <v>0.1</v>
      </c>
    </row>
    <row r="25" ht="15.75" customHeight="1">
      <c r="B25" s="6" t="s">
        <v>158</v>
      </c>
      <c r="C25" s="43" t="str">
        <f>IF(C23=10,"LISTO PARA T₀","NO INICIAR: subsanar")</f>
        <v>NO INICIAR: subsanar</v>
      </c>
      <c r="D25" s="10"/>
    </row>
    <row r="26" ht="15.75" customHeight="1"/>
    <row r="27" ht="43.5" customHeight="1">
      <c r="A27" s="41" t="s">
        <v>164</v>
      </c>
      <c r="B27" s="2"/>
      <c r="C27" s="2"/>
      <c r="D27" s="2"/>
      <c r="E27" s="2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A1:E1"/>
    <mergeCell ref="A2:E2"/>
    <mergeCell ref="A3:E3"/>
    <mergeCell ref="C25:D25"/>
    <mergeCell ref="A27:E27"/>
  </mergeCells>
  <conditionalFormatting sqref="C12:C21">
    <cfRule type="cellIs" dxfId="0" priority="1" operator="equal">
      <formula>"Sí"</formula>
    </cfRule>
  </conditionalFormatting>
  <conditionalFormatting sqref="C12:C21">
    <cfRule type="cellIs" dxfId="1" priority="2" operator="equal">
      <formula>"No"</formula>
    </cfRule>
  </conditionalFormatting>
  <dataValidations>
    <dataValidation type="list" allowBlank="1" sqref="C12:C21">
      <formula1>"Sí,No"</formula1>
    </dataValidation>
    <dataValidation type="list" allowBlank="1" sqref="B9:E9">
      <formula1>"Preexperimental (un grupo),Cuasiexperimental (GE y GC)"</formula1>
    </dataValidation>
  </dataValidations>
  <printOptions/>
  <pageMargins bottom="1.0" footer="0.0" header="0.0" left="0.75" right="0.75" top="1.0"/>
  <pageSetup fitToHeight="0" orientation="landscape"/>
  <headerFooter>
    <oddFooter>&amp;CMBA Jenny Reynoso Palpa · Seminario de Tesis III · Sesión 4&amp;RPág.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6" width="22.0"/>
  </cols>
  <sheetData>
    <row r="1" ht="21.75" customHeight="1">
      <c r="A1" s="1" t="s">
        <v>0</v>
      </c>
      <c r="B1" s="2"/>
      <c r="C1" s="2"/>
      <c r="D1" s="2"/>
      <c r="E1" s="2"/>
      <c r="F1" s="2"/>
    </row>
    <row r="2" ht="30.0" customHeight="1">
      <c r="A2" s="3" t="s">
        <v>4</v>
      </c>
    </row>
    <row r="3" ht="30.0" customHeight="1">
      <c r="A3" s="4" t="s">
        <v>6</v>
      </c>
    </row>
    <row r="4" ht="3.75" customHeight="1">
      <c r="A4" s="5"/>
      <c r="B4" s="5"/>
      <c r="C4" s="5"/>
      <c r="D4" s="5"/>
      <c r="E4" s="5"/>
      <c r="F4" s="5"/>
    </row>
    <row r="6">
      <c r="A6" s="6" t="s">
        <v>9</v>
      </c>
      <c r="B6" s="7" t="s">
        <v>10</v>
      </c>
      <c r="C6" s="8"/>
      <c r="D6" s="8"/>
      <c r="E6" s="8"/>
      <c r="F6" s="10"/>
    </row>
    <row r="7">
      <c r="A7" s="6" t="s">
        <v>13</v>
      </c>
      <c r="B7" s="12"/>
      <c r="C7" s="8"/>
      <c r="D7" s="8"/>
      <c r="E7" s="8"/>
      <c r="F7" s="10"/>
    </row>
    <row r="8">
      <c r="A8" s="6" t="s">
        <v>14</v>
      </c>
      <c r="B8" s="12"/>
      <c r="C8" s="8"/>
      <c r="D8" s="8"/>
      <c r="E8" s="8"/>
      <c r="F8" s="10"/>
    </row>
    <row r="9">
      <c r="A9" s="6" t="s">
        <v>24</v>
      </c>
      <c r="B9" s="7" t="s">
        <v>25</v>
      </c>
      <c r="C9" s="8"/>
      <c r="D9" s="8"/>
      <c r="E9" s="8"/>
      <c r="F9" s="10"/>
    </row>
    <row r="10">
      <c r="A10" s="6" t="s">
        <v>29</v>
      </c>
      <c r="B10" s="7" t="s">
        <v>30</v>
      </c>
      <c r="C10" s="8"/>
      <c r="D10" s="8"/>
      <c r="E10" s="8"/>
      <c r="F10" s="10"/>
    </row>
    <row r="11">
      <c r="A11" s="6" t="s">
        <v>33</v>
      </c>
      <c r="B11" s="12"/>
      <c r="C11" s="8"/>
      <c r="D11" s="8"/>
      <c r="E11" s="8"/>
      <c r="F11" s="10"/>
    </row>
    <row r="12">
      <c r="A12" s="6" t="s">
        <v>51</v>
      </c>
      <c r="B12" s="12" t="s">
        <v>12</v>
      </c>
      <c r="C12" s="8"/>
      <c r="D12" s="8"/>
      <c r="E12" s="8"/>
      <c r="F12" s="10"/>
    </row>
    <row r="13">
      <c r="A13" s="6" t="s">
        <v>52</v>
      </c>
      <c r="B13" s="12"/>
      <c r="C13" s="8"/>
      <c r="D13" s="8"/>
      <c r="E13" s="8"/>
      <c r="F13" s="10"/>
    </row>
    <row r="14">
      <c r="A14" s="6" t="s">
        <v>57</v>
      </c>
      <c r="B14" s="12"/>
      <c r="C14" s="8"/>
      <c r="D14" s="8"/>
      <c r="E14" s="8"/>
      <c r="F14" s="10"/>
    </row>
    <row r="16">
      <c r="A16" s="25" t="s">
        <v>72</v>
      </c>
    </row>
    <row r="17" ht="33.75" customHeight="1">
      <c r="A17" s="17" t="s">
        <v>91</v>
      </c>
      <c r="B17" s="17" t="s">
        <v>93</v>
      </c>
      <c r="C17" s="17" t="s">
        <v>96</v>
      </c>
      <c r="D17" s="17" t="s">
        <v>44</v>
      </c>
      <c r="E17" s="17" t="s">
        <v>99</v>
      </c>
      <c r="F17" s="17" t="s">
        <v>102</v>
      </c>
    </row>
    <row r="18" ht="30.0" customHeight="1">
      <c r="A18" s="29" t="s">
        <v>107</v>
      </c>
      <c r="B18" s="31"/>
      <c r="C18" s="34" t="s">
        <v>118</v>
      </c>
      <c r="D18" s="20"/>
      <c r="E18" s="20"/>
      <c r="F18" s="20"/>
    </row>
    <row r="19" ht="30.0" customHeight="1">
      <c r="A19" s="35" t="s">
        <v>143</v>
      </c>
      <c r="B19" s="36"/>
      <c r="C19" s="37" t="s">
        <v>144</v>
      </c>
      <c r="D19" s="23"/>
      <c r="E19" s="23"/>
      <c r="F19" s="35" t="s">
        <v>146</v>
      </c>
    </row>
    <row r="20" ht="30.0" customHeight="1">
      <c r="A20" s="35" t="s">
        <v>147</v>
      </c>
      <c r="B20" s="36"/>
      <c r="C20" s="35" t="s">
        <v>148</v>
      </c>
      <c r="D20" s="23"/>
      <c r="E20" s="23"/>
      <c r="F20" s="23"/>
    </row>
    <row r="21" ht="30.0" customHeight="1">
      <c r="A21" s="35" t="s">
        <v>149</v>
      </c>
      <c r="B21" s="36"/>
      <c r="C21" s="35" t="s">
        <v>148</v>
      </c>
      <c r="D21" s="23"/>
      <c r="E21" s="23"/>
      <c r="F21" s="23"/>
    </row>
    <row r="22" ht="30.0" customHeight="1">
      <c r="A22" s="35" t="s">
        <v>150</v>
      </c>
      <c r="B22" s="36"/>
      <c r="C22" s="35" t="s">
        <v>151</v>
      </c>
      <c r="D22" s="23"/>
      <c r="E22" s="23"/>
      <c r="F22" s="23"/>
    </row>
    <row r="23" ht="30.0" customHeight="1">
      <c r="A23" s="35" t="s">
        <v>152</v>
      </c>
      <c r="B23" s="36"/>
      <c r="C23" s="35" t="s">
        <v>148</v>
      </c>
      <c r="D23" s="23"/>
      <c r="E23" s="23"/>
      <c r="F23" s="23"/>
    </row>
    <row r="24" ht="15.75" customHeight="1"/>
    <row r="25" ht="15.75" customHeight="1">
      <c r="A25" s="25" t="s">
        <v>153</v>
      </c>
    </row>
    <row r="26" ht="15.75" customHeight="1">
      <c r="A26" s="33" t="s">
        <v>154</v>
      </c>
      <c r="D26" s="40"/>
      <c r="E26" s="12"/>
      <c r="F26" s="8"/>
    </row>
    <row r="27" ht="15.75" customHeight="1">
      <c r="A27" s="33" t="s">
        <v>157</v>
      </c>
      <c r="D27" s="40"/>
      <c r="E27" s="12"/>
      <c r="F27" s="8"/>
    </row>
    <row r="28" ht="15.75" customHeight="1">
      <c r="A28" s="33" t="s">
        <v>159</v>
      </c>
      <c r="D28" s="40"/>
      <c r="E28" s="12"/>
      <c r="F28" s="8"/>
    </row>
    <row r="29" ht="15.75" customHeight="1">
      <c r="A29" s="33" t="s">
        <v>160</v>
      </c>
      <c r="D29" s="40"/>
      <c r="E29" s="12"/>
      <c r="F29" s="8"/>
    </row>
    <row r="30" ht="15.75" customHeight="1"/>
    <row r="31" ht="15.75" customHeight="1">
      <c r="A31" s="6" t="s">
        <v>161</v>
      </c>
      <c r="B31" s="33" t="s">
        <v>162</v>
      </c>
    </row>
    <row r="32" ht="15.75" customHeight="1"/>
    <row r="33" ht="15.75" customHeight="1"/>
    <row r="34" ht="15.75" customHeight="1"/>
    <row r="35" ht="15.75" customHeight="1">
      <c r="A35" s="33" t="s">
        <v>163</v>
      </c>
      <c r="C35" s="33" t="s">
        <v>163</v>
      </c>
      <c r="E35" s="33" t="s">
        <v>163</v>
      </c>
    </row>
    <row r="36" ht="15.75" customHeight="1">
      <c r="A36" s="44" t="s">
        <v>165</v>
      </c>
      <c r="C36" s="44" t="s">
        <v>166</v>
      </c>
      <c r="E36" s="44" t="s">
        <v>167</v>
      </c>
    </row>
    <row r="37" ht="15.75" customHeight="1">
      <c r="A37" s="45" t="s">
        <v>168</v>
      </c>
      <c r="C37" s="45" t="s">
        <v>168</v>
      </c>
      <c r="E37" s="45" t="s">
        <v>168</v>
      </c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A1:F1"/>
    <mergeCell ref="A2:F2"/>
    <mergeCell ref="A3:F3"/>
    <mergeCell ref="B6:F6"/>
    <mergeCell ref="B7:F7"/>
    <mergeCell ref="B8:F8"/>
    <mergeCell ref="B9:F9"/>
    <mergeCell ref="E26:F26"/>
    <mergeCell ref="E27:F27"/>
    <mergeCell ref="A28:C28"/>
    <mergeCell ref="E28:F28"/>
    <mergeCell ref="A29:C29"/>
    <mergeCell ref="E29:F29"/>
    <mergeCell ref="B31:F31"/>
    <mergeCell ref="B12:F12"/>
    <mergeCell ref="B13:F13"/>
    <mergeCell ref="B14:F14"/>
    <mergeCell ref="A26:C26"/>
    <mergeCell ref="A27:C27"/>
    <mergeCell ref="B11:F11"/>
    <mergeCell ref="B10:F10"/>
  </mergeCells>
  <dataValidations>
    <dataValidation type="list" allowBlank="1" sqref="B8">
      <formula1>"Web en la nube,Servidor local (on-premise),Aplicación móvil,Escritorio / IoT / chatbot"</formula1>
    </dataValidation>
    <dataValidation type="list" allowBlank="1" sqref="D18:D23">
      <formula1>"Operativo,Con observaciones,No operativo"</formula1>
    </dataValidation>
    <dataValidation type="list" allowBlank="1" sqref="D26:D29">
      <formula1>"Conforme,No conforme"</formula1>
    </dataValidation>
  </dataValidations>
  <hyperlinks>
    <hyperlink r:id="rId1" ref="C18"/>
    <hyperlink r:id="rId2" ref="C19"/>
  </hyperlinks>
  <printOptions/>
  <pageMargins bottom="1.0" footer="0.0" header="0.0" left="0.75" right="0.75" top="1.0"/>
  <pageSetup fitToHeight="0" orientation="portrait"/>
  <headerFooter>
    <oddFooter>&amp;CMBA Jenny Reynoso Palpa · Seminario de Tesis III · Sesión 4&amp;RPág. &amp;P</oddFooter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1.0" topLeftCell="A12" activePane="bottomLeft" state="frozen"/>
      <selection activeCell="B13" sqref="B13" pane="bottomLeft"/>
    </sheetView>
  </sheetViews>
  <sheetFormatPr customHeight="1" defaultColWidth="14.43" defaultRowHeight="15.0"/>
  <cols>
    <col customWidth="1" min="1" max="1" width="16.0"/>
    <col customWidth="1" min="2" max="2" width="14.0"/>
    <col customWidth="1" min="3" max="3" width="20.0"/>
    <col customWidth="1" min="4" max="4" width="18.0"/>
    <col customWidth="1" min="5" max="5" width="40.0"/>
    <col customWidth="1" min="6" max="6" width="16.0"/>
    <col customWidth="1" min="7" max="7" width="18.0"/>
    <col customWidth="1" min="8" max="8" width="14.0"/>
  </cols>
  <sheetData>
    <row r="1" ht="21.75" customHeight="1">
      <c r="A1" s="1" t="s">
        <v>0</v>
      </c>
      <c r="B1" s="2"/>
      <c r="C1" s="2"/>
      <c r="D1" s="2"/>
      <c r="E1" s="2"/>
      <c r="F1" s="2"/>
      <c r="G1" s="2"/>
      <c r="H1" s="2"/>
    </row>
    <row r="2" ht="30.0" customHeight="1">
      <c r="A2" s="3" t="s">
        <v>7</v>
      </c>
    </row>
    <row r="3" ht="30.0" customHeight="1">
      <c r="A3" s="4" t="s">
        <v>8</v>
      </c>
    </row>
    <row r="4" ht="3.75" customHeight="1">
      <c r="A4" s="5"/>
      <c r="B4" s="5"/>
      <c r="C4" s="5"/>
      <c r="D4" s="5"/>
      <c r="E4" s="5"/>
      <c r="F4" s="5"/>
      <c r="G4" s="5"/>
      <c r="H4" s="5"/>
    </row>
    <row r="6">
      <c r="A6" s="6" t="s">
        <v>11</v>
      </c>
      <c r="B6" s="9" t="s">
        <v>12</v>
      </c>
      <c r="C6" s="11"/>
      <c r="D6" s="11"/>
      <c r="E6" s="11"/>
      <c r="F6" s="11"/>
      <c r="G6" s="11"/>
      <c r="H6" s="13"/>
    </row>
    <row r="7">
      <c r="A7" s="6" t="s">
        <v>15</v>
      </c>
      <c r="B7" s="9" t="s">
        <v>17</v>
      </c>
      <c r="C7" s="11"/>
      <c r="D7" s="11"/>
      <c r="E7" s="11"/>
      <c r="F7" s="11"/>
      <c r="G7" s="11"/>
      <c r="H7" s="13"/>
    </row>
    <row r="8">
      <c r="A8" s="6" t="s">
        <v>18</v>
      </c>
      <c r="B8" s="9" t="s">
        <v>20</v>
      </c>
      <c r="C8" s="11"/>
      <c r="D8" s="11"/>
      <c r="E8" s="11"/>
      <c r="F8" s="11"/>
      <c r="G8" s="11"/>
      <c r="H8" s="13"/>
    </row>
    <row r="9">
      <c r="A9" s="6" t="s">
        <v>21</v>
      </c>
      <c r="B9" s="9" t="s">
        <v>23</v>
      </c>
      <c r="C9" s="11"/>
      <c r="D9" s="11"/>
      <c r="E9" s="11"/>
      <c r="F9" s="11"/>
      <c r="G9" s="11"/>
      <c r="H9" s="13"/>
    </row>
    <row r="11" ht="33.75" customHeight="1">
      <c r="A11" s="17" t="s">
        <v>31</v>
      </c>
      <c r="B11" s="17" t="s">
        <v>34</v>
      </c>
      <c r="C11" s="17" t="s">
        <v>36</v>
      </c>
      <c r="D11" s="17" t="s">
        <v>38</v>
      </c>
      <c r="E11" s="17" t="s">
        <v>40</v>
      </c>
      <c r="F11" s="17" t="s">
        <v>41</v>
      </c>
      <c r="G11" s="17" t="s">
        <v>42</v>
      </c>
      <c r="H11" s="17" t="s">
        <v>44</v>
      </c>
    </row>
    <row r="12" ht="30.0" customHeight="1">
      <c r="A12" s="20"/>
      <c r="B12" s="20"/>
      <c r="C12" s="20"/>
      <c r="D12" s="20"/>
      <c r="E12" s="20"/>
      <c r="F12" s="20"/>
      <c r="G12" s="20"/>
      <c r="H12" s="20"/>
    </row>
    <row r="13" ht="30.0" customHeight="1">
      <c r="A13" s="23"/>
      <c r="B13" s="23"/>
      <c r="C13" s="23"/>
      <c r="D13" s="23"/>
      <c r="E13" s="23"/>
      <c r="F13" s="23"/>
      <c r="G13" s="23"/>
      <c r="H13" s="23"/>
    </row>
    <row r="14" ht="30.0" customHeight="1">
      <c r="A14" s="23"/>
      <c r="B14" s="23"/>
      <c r="C14" s="23"/>
      <c r="D14" s="23"/>
      <c r="E14" s="23"/>
      <c r="F14" s="23"/>
      <c r="G14" s="23"/>
      <c r="H14" s="23"/>
    </row>
    <row r="15" ht="30.0" customHeight="1">
      <c r="A15" s="23"/>
      <c r="B15" s="23"/>
      <c r="C15" s="23"/>
      <c r="D15" s="23"/>
      <c r="E15" s="23"/>
      <c r="F15" s="23"/>
      <c r="G15" s="23"/>
      <c r="H15" s="23"/>
    </row>
    <row r="16" ht="30.0" customHeight="1">
      <c r="A16" s="23"/>
      <c r="B16" s="23"/>
      <c r="C16" s="23"/>
      <c r="D16" s="23"/>
      <c r="E16" s="23"/>
      <c r="F16" s="23"/>
      <c r="G16" s="23"/>
      <c r="H16" s="23"/>
    </row>
    <row r="17" ht="30.0" customHeight="1">
      <c r="A17" s="23"/>
      <c r="B17" s="23"/>
      <c r="C17" s="23"/>
      <c r="D17" s="23"/>
      <c r="E17" s="23"/>
      <c r="F17" s="23"/>
      <c r="G17" s="23"/>
      <c r="H17" s="23"/>
    </row>
    <row r="18" ht="30.0" customHeight="1">
      <c r="A18" s="23"/>
      <c r="B18" s="23"/>
      <c r="C18" s="23"/>
      <c r="D18" s="23"/>
      <c r="E18" s="23"/>
      <c r="F18" s="23"/>
      <c r="G18" s="23"/>
      <c r="H18" s="23"/>
    </row>
    <row r="19" ht="30.0" customHeight="1">
      <c r="A19" s="23"/>
      <c r="B19" s="23"/>
      <c r="C19" s="23"/>
      <c r="D19" s="23"/>
      <c r="E19" s="23"/>
      <c r="F19" s="23"/>
      <c r="G19" s="23"/>
      <c r="H19" s="23"/>
    </row>
    <row r="20" ht="30.0" customHeight="1">
      <c r="A20" s="23"/>
      <c r="B20" s="23"/>
      <c r="C20" s="23"/>
      <c r="D20" s="23"/>
      <c r="E20" s="23"/>
      <c r="F20" s="23"/>
      <c r="G20" s="23"/>
      <c r="H20" s="23"/>
    </row>
    <row r="21" ht="30.0" customHeight="1">
      <c r="A21" s="23"/>
      <c r="B21" s="23"/>
      <c r="C21" s="23"/>
      <c r="D21" s="23"/>
      <c r="E21" s="23"/>
      <c r="F21" s="23"/>
      <c r="G21" s="23"/>
      <c r="H21" s="23"/>
    </row>
    <row r="22" ht="30.0" customHeight="1">
      <c r="A22" s="23"/>
      <c r="B22" s="23"/>
      <c r="C22" s="23"/>
      <c r="D22" s="23"/>
      <c r="E22" s="23"/>
      <c r="F22" s="23"/>
      <c r="G22" s="23"/>
      <c r="H22" s="23"/>
    </row>
    <row r="23" ht="30.0" customHeight="1">
      <c r="A23" s="23"/>
      <c r="B23" s="23"/>
      <c r="C23" s="23"/>
      <c r="D23" s="23"/>
      <c r="E23" s="23"/>
      <c r="F23" s="23"/>
      <c r="G23" s="23"/>
      <c r="H23" s="23"/>
    </row>
    <row r="24" ht="30.0" customHeight="1">
      <c r="A24" s="23"/>
      <c r="B24" s="23"/>
      <c r="C24" s="23"/>
      <c r="D24" s="23"/>
      <c r="E24" s="23"/>
      <c r="F24" s="23"/>
      <c r="G24" s="23"/>
      <c r="H24" s="23"/>
    </row>
    <row r="25" ht="30.0" customHeight="1">
      <c r="A25" s="23"/>
      <c r="B25" s="23"/>
      <c r="C25" s="23"/>
      <c r="D25" s="23"/>
      <c r="E25" s="23"/>
      <c r="F25" s="23"/>
      <c r="G25" s="23"/>
      <c r="H25" s="23"/>
    </row>
    <row r="26" ht="30.0" customHeight="1">
      <c r="A26" s="23"/>
      <c r="B26" s="23"/>
      <c r="C26" s="23"/>
      <c r="D26" s="23"/>
      <c r="E26" s="23"/>
      <c r="F26" s="23"/>
      <c r="G26" s="23"/>
      <c r="H26" s="23"/>
    </row>
    <row r="27" ht="30.0" customHeight="1">
      <c r="A27" s="23"/>
      <c r="B27" s="23"/>
      <c r="C27" s="23"/>
      <c r="D27" s="23"/>
      <c r="E27" s="23"/>
      <c r="F27" s="23"/>
      <c r="G27" s="23"/>
      <c r="H27" s="23"/>
    </row>
    <row r="28" ht="30.0" customHeight="1">
      <c r="A28" s="23"/>
      <c r="B28" s="23"/>
      <c r="C28" s="23"/>
      <c r="D28" s="23"/>
      <c r="E28" s="23"/>
      <c r="F28" s="23"/>
      <c r="G28" s="23"/>
      <c r="H28" s="23"/>
    </row>
    <row r="29" ht="30.0" customHeight="1">
      <c r="A29" s="23"/>
      <c r="B29" s="23"/>
      <c r="C29" s="23"/>
      <c r="D29" s="23"/>
      <c r="E29" s="23"/>
      <c r="F29" s="23"/>
      <c r="G29" s="23"/>
      <c r="H29" s="23"/>
    </row>
    <row r="30" ht="30.0" customHeight="1">
      <c r="A30" s="23"/>
      <c r="B30" s="23"/>
      <c r="C30" s="23"/>
      <c r="D30" s="23"/>
      <c r="E30" s="23"/>
      <c r="F30" s="23"/>
      <c r="G30" s="23"/>
      <c r="H30" s="23"/>
    </row>
    <row r="31" ht="30.0" customHeight="1">
      <c r="A31" s="23"/>
      <c r="B31" s="23"/>
      <c r="C31" s="23"/>
      <c r="D31" s="23"/>
      <c r="E31" s="23"/>
      <c r="F31" s="23"/>
      <c r="G31" s="23"/>
      <c r="H31" s="23"/>
    </row>
    <row r="32" ht="30.0" customHeight="1">
      <c r="A32" s="23"/>
      <c r="B32" s="23"/>
      <c r="C32" s="23"/>
      <c r="D32" s="23"/>
      <c r="E32" s="23"/>
      <c r="F32" s="23"/>
      <c r="G32" s="23"/>
      <c r="H32" s="23"/>
    </row>
    <row r="33" ht="30.0" customHeight="1">
      <c r="A33" s="23"/>
      <c r="B33" s="23"/>
      <c r="C33" s="23"/>
      <c r="D33" s="23"/>
      <c r="E33" s="23"/>
      <c r="F33" s="23"/>
      <c r="G33" s="23"/>
      <c r="H33" s="23"/>
    </row>
    <row r="34" ht="30.0" customHeight="1">
      <c r="A34" s="23"/>
      <c r="B34" s="23"/>
      <c r="C34" s="23"/>
      <c r="D34" s="23"/>
      <c r="E34" s="23"/>
      <c r="F34" s="23"/>
      <c r="G34" s="23"/>
      <c r="H34" s="23"/>
    </row>
    <row r="35" ht="30.0" customHeight="1">
      <c r="A35" s="23"/>
      <c r="B35" s="23"/>
      <c r="C35" s="23"/>
      <c r="D35" s="23"/>
      <c r="E35" s="23"/>
      <c r="F35" s="23"/>
      <c r="G35" s="23"/>
      <c r="H35" s="23"/>
    </row>
    <row r="36" ht="30.0" customHeight="1">
      <c r="A36" s="23"/>
      <c r="B36" s="23"/>
      <c r="C36" s="23"/>
      <c r="D36" s="23"/>
      <c r="E36" s="23"/>
      <c r="F36" s="23"/>
      <c r="G36" s="23"/>
      <c r="H36" s="23"/>
    </row>
    <row r="37" ht="30.0" customHeight="1">
      <c r="A37" s="23"/>
      <c r="B37" s="23"/>
      <c r="C37" s="23"/>
      <c r="D37" s="23"/>
      <c r="E37" s="23"/>
      <c r="F37" s="23"/>
      <c r="G37" s="23"/>
      <c r="H37" s="23"/>
    </row>
    <row r="38" ht="30.0" customHeight="1">
      <c r="A38" s="23"/>
      <c r="B38" s="23"/>
      <c r="C38" s="23"/>
      <c r="D38" s="23"/>
      <c r="E38" s="23"/>
      <c r="F38" s="23"/>
      <c r="G38" s="23"/>
      <c r="H38" s="23"/>
    </row>
    <row r="39" ht="30.0" customHeight="1">
      <c r="A39" s="23"/>
      <c r="B39" s="23"/>
      <c r="C39" s="23"/>
      <c r="D39" s="23"/>
      <c r="E39" s="23"/>
      <c r="F39" s="23"/>
      <c r="G39" s="23"/>
      <c r="H39" s="23"/>
    </row>
    <row r="40" ht="30.0" customHeight="1">
      <c r="A40" s="23"/>
      <c r="B40" s="23"/>
      <c r="C40" s="23"/>
      <c r="D40" s="23"/>
      <c r="E40" s="23"/>
      <c r="F40" s="23"/>
      <c r="G40" s="23"/>
      <c r="H40" s="23"/>
    </row>
    <row r="41" ht="30.0" customHeight="1">
      <c r="A41" s="23"/>
      <c r="B41" s="23"/>
      <c r="C41" s="23"/>
      <c r="D41" s="23"/>
      <c r="E41" s="23"/>
      <c r="F41" s="23"/>
      <c r="G41" s="23"/>
      <c r="H41" s="23"/>
    </row>
    <row r="42" ht="15.75" customHeight="1"/>
    <row r="43" ht="15.75" customHeight="1">
      <c r="A43" s="6" t="s">
        <v>145</v>
      </c>
      <c r="C43" s="38">
        <f>COUNTIFS(B12:B41,"GE",H12:H41,"Activa")</f>
        <v>0</v>
      </c>
    </row>
    <row r="44" ht="43.5" customHeight="1">
      <c r="A44" s="41" t="s">
        <v>155</v>
      </c>
      <c r="B44" s="2"/>
      <c r="C44" s="2"/>
      <c r="D44" s="2"/>
      <c r="E44" s="2"/>
      <c r="F44" s="2"/>
      <c r="G44" s="2"/>
      <c r="H44" s="2"/>
    </row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A1:H1"/>
    <mergeCell ref="A2:H2"/>
    <mergeCell ref="A3:H3"/>
    <mergeCell ref="A43:B43"/>
    <mergeCell ref="A44:H44"/>
  </mergeCells>
  <dataValidations>
    <dataValidation type="list" allowBlank="1" sqref="D12:D41">
      <formula1>"Administrador,Supervisor,Usuario operativo,Consulta"</formula1>
    </dataValidation>
    <dataValidation type="list" allowBlank="1" sqref="G12:G41">
      <formula1>"Sí,No"</formula1>
    </dataValidation>
    <dataValidation type="list" allowBlank="1" sqref="H12:H41">
      <formula1>"Activa,Suspendida,Baja"</formula1>
    </dataValidation>
    <dataValidation type="list" allowBlank="1" sqref="B12:B41">
      <formula1>"GE,GC,Administración"</formula1>
    </dataValidation>
    <dataValidation type="list" allowBlank="1" sqref="B9:H9">
      <formula1>"Preexperimental (un grupo),Cuasiexperimental (GE y GC)"</formula1>
    </dataValidation>
  </dataValidations>
  <printOptions/>
  <pageMargins bottom="1.0" footer="0.0" header="0.0" left="0.75" right="0.75" top="1.0"/>
  <pageSetup fitToHeight="0" orientation="landscape"/>
  <headerFooter>
    <oddFooter>&amp;CMBA Jenny Reynoso Palpa · Seminario de Tesis III · Sesión 4&amp;RPág.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2.0"/>
    <col customWidth="1" min="2" max="2" width="34.0"/>
    <col customWidth="1" min="3" max="3" width="12.0"/>
    <col customWidth="1" min="4" max="5" width="32.0"/>
    <col customWidth="1" min="6" max="6" width="16.0"/>
    <col customWidth="1" min="7" max="7" width="26.0"/>
    <col customWidth="1" min="8" max="8" width="14.0"/>
  </cols>
  <sheetData>
    <row r="1" ht="21.75" customHeight="1">
      <c r="A1" s="1" t="s">
        <v>0</v>
      </c>
      <c r="B1" s="2"/>
      <c r="C1" s="2"/>
      <c r="D1" s="2"/>
      <c r="E1" s="2"/>
      <c r="F1" s="2"/>
      <c r="G1" s="2"/>
      <c r="H1" s="2"/>
    </row>
    <row r="2" ht="30.0" customHeight="1">
      <c r="A2" s="3" t="s">
        <v>169</v>
      </c>
    </row>
    <row r="3" ht="30.0" customHeight="1">
      <c r="A3" s="4" t="s">
        <v>170</v>
      </c>
    </row>
    <row r="4" ht="3.75" customHeight="1">
      <c r="A4" s="5"/>
      <c r="B4" s="5"/>
      <c r="C4" s="5"/>
      <c r="D4" s="5"/>
      <c r="E4" s="5"/>
      <c r="F4" s="5"/>
      <c r="G4" s="5"/>
      <c r="H4" s="5"/>
    </row>
    <row r="6">
      <c r="A6" s="6" t="s">
        <v>11</v>
      </c>
      <c r="B6" s="9" t="s">
        <v>12</v>
      </c>
      <c r="C6" s="11"/>
      <c r="D6" s="11"/>
      <c r="E6" s="11"/>
      <c r="F6" s="11"/>
      <c r="G6" s="11"/>
      <c r="H6" s="13"/>
    </row>
    <row r="7">
      <c r="A7" s="6" t="s">
        <v>15</v>
      </c>
      <c r="B7" s="9" t="s">
        <v>17</v>
      </c>
      <c r="C7" s="11"/>
      <c r="D7" s="11"/>
      <c r="E7" s="11"/>
      <c r="F7" s="11"/>
      <c r="G7" s="11"/>
      <c r="H7" s="13"/>
    </row>
    <row r="8">
      <c r="A8" s="6" t="s">
        <v>18</v>
      </c>
      <c r="B8" s="9" t="s">
        <v>20</v>
      </c>
      <c r="C8" s="11"/>
      <c r="D8" s="11"/>
      <c r="E8" s="11"/>
      <c r="F8" s="11"/>
      <c r="G8" s="11"/>
      <c r="H8" s="13"/>
    </row>
    <row r="9">
      <c r="A9" s="6" t="s">
        <v>21</v>
      </c>
      <c r="B9" s="9" t="s">
        <v>23</v>
      </c>
      <c r="C9" s="11"/>
      <c r="D9" s="11"/>
      <c r="E9" s="11"/>
      <c r="F9" s="11"/>
      <c r="G9" s="11"/>
      <c r="H9" s="13"/>
    </row>
    <row r="11" ht="33.75" customHeight="1">
      <c r="A11" s="17" t="s">
        <v>171</v>
      </c>
      <c r="B11" s="17" t="s">
        <v>172</v>
      </c>
      <c r="C11" s="17" t="s">
        <v>173</v>
      </c>
      <c r="D11" s="17" t="s">
        <v>174</v>
      </c>
      <c r="E11" s="17" t="s">
        <v>175</v>
      </c>
      <c r="F11" s="17" t="s">
        <v>44</v>
      </c>
      <c r="G11" s="17" t="s">
        <v>176</v>
      </c>
      <c r="H11" s="17" t="s">
        <v>177</v>
      </c>
    </row>
    <row r="12" ht="30.0" customHeight="1">
      <c r="A12" s="20"/>
      <c r="B12" s="20"/>
      <c r="C12" s="20"/>
      <c r="D12" s="20"/>
      <c r="E12" s="20"/>
      <c r="F12" s="20"/>
      <c r="G12" s="20"/>
      <c r="H12" s="20"/>
    </row>
    <row r="13" ht="30.0" customHeight="1">
      <c r="A13" s="23"/>
      <c r="B13" s="23"/>
      <c r="C13" s="23"/>
      <c r="D13" s="23"/>
      <c r="E13" s="23"/>
      <c r="F13" s="23"/>
      <c r="G13" s="23"/>
      <c r="H13" s="23"/>
    </row>
    <row r="14" ht="30.0" customHeight="1">
      <c r="A14" s="23"/>
      <c r="B14" s="23"/>
      <c r="C14" s="23"/>
      <c r="D14" s="23"/>
      <c r="E14" s="23"/>
      <c r="F14" s="23"/>
      <c r="G14" s="23"/>
      <c r="H14" s="23"/>
    </row>
    <row r="15" ht="30.0" customHeight="1">
      <c r="A15" s="23"/>
      <c r="B15" s="23"/>
      <c r="C15" s="23"/>
      <c r="D15" s="23"/>
      <c r="E15" s="23"/>
      <c r="F15" s="23"/>
      <c r="G15" s="23"/>
      <c r="H15" s="23"/>
    </row>
    <row r="16" ht="30.0" customHeight="1">
      <c r="A16" s="23"/>
      <c r="B16" s="23"/>
      <c r="C16" s="23"/>
      <c r="D16" s="23"/>
      <c r="E16" s="23"/>
      <c r="F16" s="23"/>
      <c r="G16" s="23"/>
      <c r="H16" s="23"/>
    </row>
    <row r="17" ht="30.0" customHeight="1">
      <c r="A17" s="23"/>
      <c r="B17" s="23"/>
      <c r="C17" s="23"/>
      <c r="D17" s="23"/>
      <c r="E17" s="23"/>
      <c r="F17" s="23"/>
      <c r="G17" s="23"/>
      <c r="H17" s="23"/>
    </row>
    <row r="18" ht="30.0" customHeight="1">
      <c r="A18" s="23"/>
      <c r="B18" s="23"/>
      <c r="C18" s="23"/>
      <c r="D18" s="23"/>
      <c r="E18" s="23"/>
      <c r="F18" s="23"/>
      <c r="G18" s="23"/>
      <c r="H18" s="23"/>
    </row>
    <row r="19" ht="30.0" customHeight="1">
      <c r="A19" s="23"/>
      <c r="B19" s="23"/>
      <c r="C19" s="23"/>
      <c r="D19" s="23"/>
      <c r="E19" s="23"/>
      <c r="F19" s="23"/>
      <c r="G19" s="23"/>
      <c r="H19" s="23"/>
    </row>
    <row r="20" ht="30.0" customHeight="1">
      <c r="A20" s="23"/>
      <c r="B20" s="23"/>
      <c r="C20" s="23"/>
      <c r="D20" s="23"/>
      <c r="E20" s="23"/>
      <c r="F20" s="23"/>
      <c r="G20" s="23"/>
      <c r="H20" s="23"/>
    </row>
    <row r="21" ht="30.0" customHeight="1">
      <c r="A21" s="23"/>
      <c r="B21" s="23"/>
      <c r="C21" s="23"/>
      <c r="D21" s="23"/>
      <c r="E21" s="23"/>
      <c r="F21" s="23"/>
      <c r="G21" s="23"/>
      <c r="H21" s="23"/>
    </row>
    <row r="22" ht="30.0" customHeight="1">
      <c r="A22" s="23"/>
      <c r="B22" s="23"/>
      <c r="C22" s="23"/>
      <c r="D22" s="23"/>
      <c r="E22" s="23"/>
      <c r="F22" s="23"/>
      <c r="G22" s="23"/>
      <c r="H22" s="23"/>
    </row>
    <row r="23" ht="30.0" customHeight="1">
      <c r="A23" s="23"/>
      <c r="B23" s="23"/>
      <c r="C23" s="23"/>
      <c r="D23" s="23"/>
      <c r="E23" s="23"/>
      <c r="F23" s="23"/>
      <c r="G23" s="23"/>
      <c r="H23" s="23"/>
    </row>
    <row r="24" ht="30.0" customHeight="1">
      <c r="A24" s="23"/>
      <c r="B24" s="23"/>
      <c r="C24" s="23"/>
      <c r="D24" s="23"/>
      <c r="E24" s="23"/>
      <c r="F24" s="23"/>
      <c r="G24" s="23"/>
      <c r="H24" s="23"/>
    </row>
    <row r="25" ht="30.0" customHeight="1">
      <c r="A25" s="23"/>
      <c r="B25" s="23"/>
      <c r="C25" s="23"/>
      <c r="D25" s="23"/>
      <c r="E25" s="23"/>
      <c r="F25" s="23"/>
      <c r="G25" s="23"/>
      <c r="H25" s="23"/>
    </row>
    <row r="26" ht="30.0" customHeight="1">
      <c r="A26" s="23"/>
      <c r="B26" s="23"/>
      <c r="C26" s="23"/>
      <c r="D26" s="23"/>
      <c r="E26" s="23"/>
      <c r="F26" s="23"/>
      <c r="G26" s="23"/>
      <c r="H26" s="23"/>
    </row>
    <row r="27" ht="30.0" customHeight="1">
      <c r="A27" s="23"/>
      <c r="B27" s="23"/>
      <c r="C27" s="23"/>
      <c r="D27" s="23"/>
      <c r="E27" s="23"/>
      <c r="F27" s="23"/>
      <c r="G27" s="23"/>
      <c r="H27" s="23"/>
    </row>
    <row r="28" ht="30.0" customHeight="1">
      <c r="A28" s="23"/>
      <c r="B28" s="23"/>
      <c r="C28" s="23"/>
      <c r="D28" s="23"/>
      <c r="E28" s="23"/>
      <c r="F28" s="23"/>
      <c r="G28" s="23"/>
      <c r="H28" s="23"/>
    </row>
    <row r="29" ht="30.0" customHeight="1">
      <c r="A29" s="23"/>
      <c r="B29" s="23"/>
      <c r="C29" s="23"/>
      <c r="D29" s="23"/>
      <c r="E29" s="23"/>
      <c r="F29" s="23"/>
      <c r="G29" s="23"/>
      <c r="H29" s="23"/>
    </row>
    <row r="30" ht="30.0" customHeight="1">
      <c r="A30" s="23"/>
      <c r="B30" s="23"/>
      <c r="C30" s="23"/>
      <c r="D30" s="23"/>
      <c r="E30" s="23"/>
      <c r="F30" s="23"/>
      <c r="G30" s="23"/>
      <c r="H30" s="23"/>
    </row>
    <row r="31" ht="30.0" customHeight="1">
      <c r="A31" s="23"/>
      <c r="B31" s="23"/>
      <c r="C31" s="23"/>
      <c r="D31" s="23"/>
      <c r="E31" s="23"/>
      <c r="F31" s="23"/>
      <c r="G31" s="23"/>
      <c r="H31" s="23"/>
    </row>
    <row r="32" ht="15.75" customHeight="1"/>
    <row r="33" ht="15.75" customHeight="1">
      <c r="A33" s="6" t="s">
        <v>178</v>
      </c>
      <c r="C33" s="39">
        <f>COUNTIF(C12:C31,"Sí")</f>
        <v>0</v>
      </c>
    </row>
    <row r="34" ht="15.75" customHeight="1">
      <c r="A34" s="6" t="s">
        <v>179</v>
      </c>
      <c r="C34" s="39">
        <f>COUNTIFS(C12:C31,"Sí",F12:F31,"Conforme")</f>
        <v>0</v>
      </c>
    </row>
    <row r="35" ht="15.75" customHeight="1">
      <c r="A35" s="6" t="s">
        <v>180</v>
      </c>
      <c r="C35" s="42">
        <f>IF(C33=0,0,C34/C33)</f>
        <v>0</v>
      </c>
    </row>
    <row r="36" ht="15.75" customHeight="1">
      <c r="A36" s="6" t="s">
        <v>158</v>
      </c>
      <c r="C36" s="43" t="str">
        <f>IF(AND(C33&gt;0,C35=1),"LISTO PARA T₀","NO INICIAR: corregir")</f>
        <v>NO INICIAR: corregir</v>
      </c>
      <c r="D36" s="10"/>
    </row>
    <row r="37" ht="15.75" customHeight="1"/>
    <row r="38" ht="43.5" customHeight="1">
      <c r="A38" s="41" t="s">
        <v>181</v>
      </c>
      <c r="B38" s="2"/>
      <c r="C38" s="2"/>
      <c r="D38" s="2"/>
      <c r="E38" s="2"/>
      <c r="F38" s="2"/>
      <c r="G38" s="2"/>
      <c r="H38" s="2"/>
    </row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C36:D36"/>
    <mergeCell ref="A38:H38"/>
    <mergeCell ref="A1:H1"/>
    <mergeCell ref="A2:H2"/>
    <mergeCell ref="A3:H3"/>
    <mergeCell ref="A33:B33"/>
    <mergeCell ref="A34:B34"/>
    <mergeCell ref="A35:B35"/>
    <mergeCell ref="A36:B36"/>
  </mergeCells>
  <conditionalFormatting sqref="F12:F31">
    <cfRule type="cellIs" dxfId="0" priority="1" operator="equal">
      <formula>"Conforme"</formula>
    </cfRule>
  </conditionalFormatting>
  <conditionalFormatting sqref="F12:F31">
    <cfRule type="cellIs" dxfId="1" priority="2" operator="equal">
      <formula>"No conforme"</formula>
    </cfRule>
  </conditionalFormatting>
  <dataValidations>
    <dataValidation type="list" allowBlank="1" sqref="C12:C31">
      <formula1>"Sí,No"</formula1>
    </dataValidation>
    <dataValidation type="list" allowBlank="1" sqref="F12:F31">
      <formula1>"Conforme,No conforme,Pendiente"</formula1>
    </dataValidation>
    <dataValidation type="list" allowBlank="1" sqref="B9:H9">
      <formula1>"Preexperimental (un grupo),Cuasiexperimental (GE y GC)"</formula1>
    </dataValidation>
  </dataValidations>
  <printOptions/>
  <pageMargins bottom="1.0" footer="0.0" header="0.0" left="0.75" right="0.75" top="1.0"/>
  <pageSetup fitToHeight="0" orientation="landscape"/>
  <headerFooter>
    <oddFooter>&amp;CMBA Jenny Reynoso Palpa · Seminario de Tesis III · Sesión 4&amp;RPág.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0.0"/>
    <col customWidth="1" min="2" max="2" width="18.0"/>
    <col customWidth="1" min="3" max="3" width="12.0"/>
    <col customWidth="1" min="4" max="4" width="40.0"/>
    <col customWidth="1" min="5" max="6" width="28.0"/>
    <col customWidth="1" min="7" max="7" width="14.0"/>
    <col customWidth="1" min="8" max="8" width="18.0"/>
    <col customWidth="1" min="9" max="9" width="14.0"/>
  </cols>
  <sheetData>
    <row r="1" ht="21.75" customHeight="1">
      <c r="A1" s="1" t="s">
        <v>0</v>
      </c>
      <c r="B1" s="2"/>
      <c r="C1" s="2"/>
      <c r="D1" s="2"/>
      <c r="E1" s="2"/>
      <c r="F1" s="2"/>
      <c r="G1" s="2"/>
      <c r="H1" s="2"/>
      <c r="I1" s="2"/>
    </row>
    <row r="2" ht="30.0" customHeight="1">
      <c r="A2" s="3" t="s">
        <v>182</v>
      </c>
    </row>
    <row r="3" ht="30.0" customHeight="1">
      <c r="A3" s="4" t="s">
        <v>183</v>
      </c>
    </row>
    <row r="4" ht="3.75" customHeight="1">
      <c r="A4" s="5"/>
      <c r="B4" s="5"/>
      <c r="C4" s="5"/>
      <c r="D4" s="5"/>
      <c r="E4" s="5"/>
      <c r="F4" s="5"/>
      <c r="G4" s="5"/>
      <c r="H4" s="5"/>
      <c r="I4" s="5"/>
    </row>
    <row r="6">
      <c r="A6" s="6" t="s">
        <v>11</v>
      </c>
      <c r="B6" s="9" t="s">
        <v>12</v>
      </c>
      <c r="C6" s="11"/>
      <c r="D6" s="11"/>
      <c r="E6" s="11"/>
      <c r="F6" s="11"/>
      <c r="G6" s="11"/>
      <c r="H6" s="11"/>
      <c r="I6" s="13"/>
    </row>
    <row r="7">
      <c r="A7" s="6" t="s">
        <v>15</v>
      </c>
      <c r="B7" s="9" t="s">
        <v>17</v>
      </c>
      <c r="C7" s="11"/>
      <c r="D7" s="11"/>
      <c r="E7" s="11"/>
      <c r="F7" s="11"/>
      <c r="G7" s="11"/>
      <c r="H7" s="11"/>
      <c r="I7" s="13"/>
    </row>
    <row r="8">
      <c r="A8" s="6" t="s">
        <v>18</v>
      </c>
      <c r="B8" s="9" t="s">
        <v>20</v>
      </c>
      <c r="C8" s="11"/>
      <c r="D8" s="11"/>
      <c r="E8" s="11"/>
      <c r="F8" s="11"/>
      <c r="G8" s="11"/>
      <c r="H8" s="11"/>
      <c r="I8" s="13"/>
    </row>
    <row r="9">
      <c r="A9" s="6" t="s">
        <v>21</v>
      </c>
      <c r="B9" s="9" t="s">
        <v>23</v>
      </c>
      <c r="C9" s="11"/>
      <c r="D9" s="11"/>
      <c r="E9" s="11"/>
      <c r="F9" s="11"/>
      <c r="G9" s="11"/>
      <c r="H9" s="11"/>
      <c r="I9" s="13"/>
    </row>
    <row r="11" ht="33.75" customHeight="1">
      <c r="A11" s="17" t="s">
        <v>186</v>
      </c>
      <c r="B11" s="17" t="s">
        <v>187</v>
      </c>
      <c r="C11" s="17" t="s">
        <v>188</v>
      </c>
      <c r="D11" s="17" t="s">
        <v>189</v>
      </c>
      <c r="E11" s="17" t="s">
        <v>174</v>
      </c>
      <c r="F11" s="17" t="s">
        <v>175</v>
      </c>
      <c r="G11" s="17" t="s">
        <v>190</v>
      </c>
      <c r="H11" s="17" t="s">
        <v>191</v>
      </c>
      <c r="I11" s="17" t="s">
        <v>177</v>
      </c>
    </row>
    <row r="12" ht="30.0" customHeight="1">
      <c r="A12" s="20"/>
      <c r="B12" s="20"/>
      <c r="C12" s="20"/>
      <c r="D12" s="20"/>
      <c r="E12" s="20"/>
      <c r="F12" s="20"/>
      <c r="G12" s="20"/>
      <c r="H12" s="20"/>
      <c r="I12" s="20"/>
    </row>
    <row r="13" ht="30.0" customHeight="1">
      <c r="A13" s="23"/>
      <c r="B13" s="23"/>
      <c r="C13" s="23"/>
      <c r="D13" s="23"/>
      <c r="E13" s="23"/>
      <c r="F13" s="23"/>
      <c r="G13" s="23"/>
      <c r="H13" s="23"/>
      <c r="I13" s="23"/>
    </row>
    <row r="14" ht="30.0" customHeight="1">
      <c r="A14" s="23"/>
      <c r="B14" s="23"/>
      <c r="C14" s="23"/>
      <c r="D14" s="23"/>
      <c r="E14" s="23"/>
      <c r="F14" s="23"/>
      <c r="G14" s="23"/>
      <c r="H14" s="23"/>
      <c r="I14" s="23"/>
    </row>
    <row r="15" ht="30.0" customHeight="1">
      <c r="A15" s="23"/>
      <c r="B15" s="23"/>
      <c r="C15" s="23"/>
      <c r="D15" s="23"/>
      <c r="E15" s="23"/>
      <c r="F15" s="23"/>
      <c r="G15" s="23"/>
      <c r="H15" s="23"/>
      <c r="I15" s="23"/>
    </row>
    <row r="16" ht="30.0" customHeight="1">
      <c r="A16" s="23"/>
      <c r="B16" s="23"/>
      <c r="C16" s="23"/>
      <c r="D16" s="23"/>
      <c r="E16" s="23"/>
      <c r="F16" s="23"/>
      <c r="G16" s="23"/>
      <c r="H16" s="23"/>
      <c r="I16" s="23"/>
    </row>
    <row r="17" ht="30.0" customHeight="1">
      <c r="A17" s="23"/>
      <c r="B17" s="23"/>
      <c r="C17" s="23"/>
      <c r="D17" s="23"/>
      <c r="E17" s="23"/>
      <c r="F17" s="23"/>
      <c r="G17" s="23"/>
      <c r="H17" s="23"/>
      <c r="I17" s="23"/>
    </row>
    <row r="18" ht="30.0" customHeight="1">
      <c r="A18" s="23"/>
      <c r="B18" s="23"/>
      <c r="C18" s="23"/>
      <c r="D18" s="23"/>
      <c r="E18" s="23"/>
      <c r="F18" s="23"/>
      <c r="G18" s="23"/>
      <c r="H18" s="23"/>
      <c r="I18" s="23"/>
    </row>
    <row r="19" ht="30.0" customHeight="1">
      <c r="A19" s="23"/>
      <c r="B19" s="23"/>
      <c r="C19" s="23"/>
      <c r="D19" s="23"/>
      <c r="E19" s="23"/>
      <c r="F19" s="23"/>
      <c r="G19" s="23"/>
      <c r="H19" s="23"/>
      <c r="I19" s="23"/>
    </row>
    <row r="20" ht="30.0" customHeight="1">
      <c r="A20" s="23"/>
      <c r="B20" s="23"/>
      <c r="C20" s="23"/>
      <c r="D20" s="23"/>
      <c r="E20" s="23"/>
      <c r="F20" s="23"/>
      <c r="G20" s="23"/>
      <c r="H20" s="23"/>
      <c r="I20" s="23"/>
    </row>
    <row r="21" ht="30.0" customHeight="1">
      <c r="A21" s="23"/>
      <c r="B21" s="23"/>
      <c r="C21" s="23"/>
      <c r="D21" s="23"/>
      <c r="E21" s="23"/>
      <c r="F21" s="23"/>
      <c r="G21" s="23"/>
      <c r="H21" s="23"/>
      <c r="I21" s="23"/>
    </row>
    <row r="22" ht="30.0" customHeight="1">
      <c r="A22" s="23"/>
      <c r="B22" s="23"/>
      <c r="C22" s="23"/>
      <c r="D22" s="23"/>
      <c r="E22" s="23"/>
      <c r="F22" s="23"/>
      <c r="G22" s="23"/>
      <c r="H22" s="23"/>
      <c r="I22" s="23"/>
    </row>
    <row r="23" ht="30.0" customHeight="1">
      <c r="A23" s="23"/>
      <c r="B23" s="23"/>
      <c r="C23" s="23"/>
      <c r="D23" s="23"/>
      <c r="E23" s="23"/>
      <c r="F23" s="23"/>
      <c r="G23" s="23"/>
      <c r="H23" s="23"/>
      <c r="I23" s="23"/>
    </row>
    <row r="24" ht="30.0" customHeight="1">
      <c r="A24" s="23"/>
      <c r="B24" s="23"/>
      <c r="C24" s="23"/>
      <c r="D24" s="23"/>
      <c r="E24" s="23"/>
      <c r="F24" s="23"/>
      <c r="G24" s="23"/>
      <c r="H24" s="23"/>
      <c r="I24" s="23"/>
    </row>
    <row r="25" ht="30.0" customHeight="1">
      <c r="A25" s="23"/>
      <c r="B25" s="23"/>
      <c r="C25" s="23"/>
      <c r="D25" s="23"/>
      <c r="E25" s="23"/>
      <c r="F25" s="23"/>
      <c r="G25" s="23"/>
      <c r="H25" s="23"/>
      <c r="I25" s="23"/>
    </row>
    <row r="26" ht="30.0" customHeight="1">
      <c r="A26" s="23"/>
      <c r="B26" s="23"/>
      <c r="C26" s="23"/>
      <c r="D26" s="23"/>
      <c r="E26" s="23"/>
      <c r="F26" s="23"/>
      <c r="G26" s="23"/>
      <c r="H26" s="23"/>
      <c r="I26" s="23"/>
    </row>
    <row r="27" ht="30.0" customHeight="1">
      <c r="A27" s="23"/>
      <c r="B27" s="23"/>
      <c r="C27" s="23"/>
      <c r="D27" s="23"/>
      <c r="E27" s="23"/>
      <c r="F27" s="23"/>
      <c r="G27" s="23"/>
      <c r="H27" s="23"/>
      <c r="I27" s="23"/>
    </row>
    <row r="28" ht="30.0" customHeight="1">
      <c r="A28" s="23"/>
      <c r="B28" s="23"/>
      <c r="C28" s="23"/>
      <c r="D28" s="23"/>
      <c r="E28" s="23"/>
      <c r="F28" s="23"/>
      <c r="G28" s="23"/>
      <c r="H28" s="23"/>
      <c r="I28" s="23"/>
    </row>
    <row r="29" ht="30.0" customHeight="1">
      <c r="A29" s="23"/>
      <c r="B29" s="23"/>
      <c r="C29" s="23"/>
      <c r="D29" s="23"/>
      <c r="E29" s="23"/>
      <c r="F29" s="23"/>
      <c r="G29" s="23"/>
      <c r="H29" s="23"/>
      <c r="I29" s="23"/>
    </row>
    <row r="30" ht="30.0" customHeight="1">
      <c r="A30" s="23"/>
      <c r="B30" s="23"/>
      <c r="C30" s="23"/>
      <c r="D30" s="23"/>
      <c r="E30" s="23"/>
      <c r="F30" s="23"/>
      <c r="G30" s="23"/>
      <c r="H30" s="23"/>
      <c r="I30" s="23"/>
    </row>
    <row r="31" ht="30.0" customHeight="1">
      <c r="A31" s="23"/>
      <c r="B31" s="23"/>
      <c r="C31" s="23"/>
      <c r="D31" s="23"/>
      <c r="E31" s="23"/>
      <c r="F31" s="23"/>
      <c r="G31" s="23"/>
      <c r="H31" s="23"/>
      <c r="I31" s="23"/>
    </row>
    <row r="32" ht="30.0" customHeight="1">
      <c r="A32" s="23"/>
      <c r="B32" s="23"/>
      <c r="C32" s="23"/>
      <c r="D32" s="23"/>
      <c r="E32" s="23"/>
      <c r="F32" s="23"/>
      <c r="G32" s="23"/>
      <c r="H32" s="23"/>
      <c r="I32" s="23"/>
    </row>
    <row r="33" ht="30.0" customHeight="1">
      <c r="A33" s="23"/>
      <c r="B33" s="23"/>
      <c r="C33" s="23"/>
      <c r="D33" s="23"/>
      <c r="E33" s="23"/>
      <c r="F33" s="23"/>
      <c r="G33" s="23"/>
      <c r="H33" s="23"/>
      <c r="I33" s="23"/>
    </row>
    <row r="34" ht="30.0" customHeight="1">
      <c r="A34" s="23"/>
      <c r="B34" s="23"/>
      <c r="C34" s="23"/>
      <c r="D34" s="23"/>
      <c r="E34" s="23"/>
      <c r="F34" s="23"/>
      <c r="G34" s="23"/>
      <c r="H34" s="23"/>
      <c r="I34" s="23"/>
    </row>
    <row r="35" ht="30.0" customHeight="1">
      <c r="A35" s="23"/>
      <c r="B35" s="23"/>
      <c r="C35" s="23"/>
      <c r="D35" s="23"/>
      <c r="E35" s="23"/>
      <c r="F35" s="23"/>
      <c r="G35" s="23"/>
      <c r="H35" s="23"/>
      <c r="I35" s="23"/>
    </row>
    <row r="36" ht="30.0" customHeight="1">
      <c r="A36" s="23"/>
      <c r="B36" s="23"/>
      <c r="C36" s="23"/>
      <c r="D36" s="23"/>
      <c r="E36" s="23"/>
      <c r="F36" s="23"/>
      <c r="G36" s="23"/>
      <c r="H36" s="23"/>
      <c r="I36" s="23"/>
    </row>
    <row r="37" ht="15.75" customHeight="1"/>
    <row r="38" ht="15.75" customHeight="1">
      <c r="A38" s="6" t="s">
        <v>211</v>
      </c>
      <c r="C38" s="50">
        <f>COUNTIF(G12:G36,"Aprobado")</f>
        <v>0</v>
      </c>
    </row>
    <row r="39" ht="15.75" customHeight="1">
      <c r="A39" s="6" t="s">
        <v>212</v>
      </c>
      <c r="C39" s="50">
        <f>COUNTIF(G12:G36,"Fallido")</f>
        <v>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I1"/>
    <mergeCell ref="A2:I2"/>
    <mergeCell ref="A3:I3"/>
  </mergeCells>
  <dataValidations>
    <dataValidation type="list" allowBlank="1" sqref="B12:B36">
      <formula1>"Humo,Funcional,Aceptación,Carga básica"</formula1>
    </dataValidation>
    <dataValidation type="list" allowBlank="1" sqref="B9:I9">
      <formula1>"Preexperimental (un grupo),Cuasiexperimental (GE y GC)"</formula1>
    </dataValidation>
    <dataValidation type="list" allowBlank="1" sqref="G12:G36">
      <formula1>"Aprobado,Fallido"</formula1>
    </dataValidation>
  </dataValidations>
  <printOptions/>
  <pageMargins bottom="1.0" footer="0.0" header="0.0" left="0.75" right="0.75" top="1.0"/>
  <pageSetup fitToHeight="0" orientation="landscape"/>
  <headerFooter>
    <oddFooter>&amp;CMBA Jenny Reynoso Palpa · Seminario de Tesis III · Sesión 4&amp;RPág.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2" width="10.0"/>
    <col customWidth="1" min="3" max="3" width="13.0"/>
    <col customWidth="1" min="4" max="5" width="12.0"/>
    <col customWidth="1" min="6" max="6" width="14.0"/>
    <col customWidth="1" min="7" max="7" width="34.0"/>
    <col customWidth="1" min="8" max="9" width="16.0"/>
    <col customWidth="1" min="10" max="10" width="18.0"/>
  </cols>
  <sheetData>
    <row r="1" ht="21.7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</row>
    <row r="2" ht="30.0" customHeight="1">
      <c r="A2" s="3" t="s">
        <v>184</v>
      </c>
    </row>
    <row r="3" ht="30.0" customHeight="1">
      <c r="A3" s="4" t="s">
        <v>185</v>
      </c>
    </row>
    <row r="4" ht="3.75" customHeight="1">
      <c r="A4" s="5"/>
      <c r="B4" s="5"/>
      <c r="C4" s="5"/>
      <c r="D4" s="5"/>
      <c r="E4" s="5"/>
      <c r="F4" s="5"/>
      <c r="G4" s="5"/>
      <c r="H4" s="5"/>
      <c r="I4" s="5"/>
      <c r="J4" s="5"/>
    </row>
    <row r="6">
      <c r="A6" s="6" t="s">
        <v>11</v>
      </c>
      <c r="B6" s="9" t="s">
        <v>12</v>
      </c>
      <c r="C6" s="11"/>
      <c r="D6" s="11"/>
      <c r="E6" s="11"/>
      <c r="F6" s="11"/>
      <c r="G6" s="11"/>
      <c r="H6" s="11"/>
      <c r="I6" s="11"/>
      <c r="J6" s="13"/>
    </row>
    <row r="7">
      <c r="A7" s="6" t="s">
        <v>15</v>
      </c>
      <c r="B7" s="9" t="s">
        <v>17</v>
      </c>
      <c r="C7" s="11"/>
      <c r="D7" s="11"/>
      <c r="E7" s="11"/>
      <c r="F7" s="11"/>
      <c r="G7" s="11"/>
      <c r="H7" s="11"/>
      <c r="I7" s="11"/>
      <c r="J7" s="13"/>
    </row>
    <row r="8">
      <c r="A8" s="6" t="s">
        <v>18</v>
      </c>
      <c r="B8" s="9" t="s">
        <v>20</v>
      </c>
      <c r="C8" s="11"/>
      <c r="D8" s="11"/>
      <c r="E8" s="11"/>
      <c r="F8" s="11"/>
      <c r="G8" s="11"/>
      <c r="H8" s="11"/>
      <c r="I8" s="11"/>
      <c r="J8" s="13"/>
    </row>
    <row r="9">
      <c r="A9" s="6" t="s">
        <v>21</v>
      </c>
      <c r="B9" s="9" t="s">
        <v>23</v>
      </c>
      <c r="C9" s="11"/>
      <c r="D9" s="11"/>
      <c r="E9" s="11"/>
      <c r="F9" s="11"/>
      <c r="G9" s="11"/>
      <c r="H9" s="11"/>
      <c r="I9" s="11"/>
      <c r="J9" s="13"/>
    </row>
    <row r="11">
      <c r="A11" s="6" t="s">
        <v>194</v>
      </c>
      <c r="E11" s="46">
        <v>14.0</v>
      </c>
      <c r="F11" s="45" t="s">
        <v>195</v>
      </c>
    </row>
    <row r="13" ht="33.75" customHeight="1">
      <c r="A13" s="17" t="s">
        <v>196</v>
      </c>
      <c r="B13" s="17" t="s">
        <v>34</v>
      </c>
      <c r="C13" s="17" t="s">
        <v>177</v>
      </c>
      <c r="D13" s="17" t="s">
        <v>197</v>
      </c>
      <c r="E13" s="17" t="s">
        <v>198</v>
      </c>
      <c r="F13" s="17" t="s">
        <v>199</v>
      </c>
      <c r="G13" s="17" t="s">
        <v>200</v>
      </c>
      <c r="H13" s="17" t="s">
        <v>201</v>
      </c>
      <c r="I13" s="17" t="s">
        <v>190</v>
      </c>
      <c r="J13" s="17" t="s">
        <v>202</v>
      </c>
    </row>
    <row r="14" ht="30.0" customHeight="1">
      <c r="A14" s="20"/>
      <c r="B14" s="20"/>
      <c r="C14" s="47"/>
      <c r="D14" s="48"/>
      <c r="E14" s="48"/>
      <c r="F14" s="24" t="str">
        <f t="shared" ref="F14:F43" si="1">IF(OR(D14="",E14=""),"",ROUND((E14-D14)*1440,0))</f>
        <v/>
      </c>
      <c r="G14" s="20"/>
      <c r="H14" s="20"/>
      <c r="I14" s="24" t="str">
        <f t="shared" ref="I14:I43" si="2">IF(H14="","",IF(H14&gt;=$E$11,"Aprobado","Recupera"))</f>
        <v/>
      </c>
      <c r="J14" s="20"/>
    </row>
    <row r="15" ht="30.0" customHeight="1">
      <c r="A15" s="23"/>
      <c r="B15" s="23"/>
      <c r="C15" s="52"/>
      <c r="D15" s="53"/>
      <c r="E15" s="53"/>
      <c r="F15" s="21" t="str">
        <f t="shared" si="1"/>
        <v/>
      </c>
      <c r="G15" s="23"/>
      <c r="H15" s="23"/>
      <c r="I15" s="21" t="str">
        <f t="shared" si="2"/>
        <v/>
      </c>
      <c r="J15" s="23"/>
    </row>
    <row r="16" ht="30.0" customHeight="1">
      <c r="A16" s="23"/>
      <c r="B16" s="23"/>
      <c r="C16" s="52"/>
      <c r="D16" s="53"/>
      <c r="E16" s="53"/>
      <c r="F16" s="21" t="str">
        <f t="shared" si="1"/>
        <v/>
      </c>
      <c r="G16" s="23"/>
      <c r="H16" s="23"/>
      <c r="I16" s="21" t="str">
        <f t="shared" si="2"/>
        <v/>
      </c>
      <c r="J16" s="23"/>
    </row>
    <row r="17" ht="30.0" customHeight="1">
      <c r="A17" s="23"/>
      <c r="B17" s="23"/>
      <c r="C17" s="52"/>
      <c r="D17" s="53"/>
      <c r="E17" s="53"/>
      <c r="F17" s="21" t="str">
        <f t="shared" si="1"/>
        <v/>
      </c>
      <c r="G17" s="23"/>
      <c r="H17" s="23"/>
      <c r="I17" s="21" t="str">
        <f t="shared" si="2"/>
        <v/>
      </c>
      <c r="J17" s="23"/>
    </row>
    <row r="18" ht="30.0" customHeight="1">
      <c r="A18" s="23"/>
      <c r="B18" s="23"/>
      <c r="C18" s="52"/>
      <c r="D18" s="53"/>
      <c r="E18" s="53"/>
      <c r="F18" s="21" t="str">
        <f t="shared" si="1"/>
        <v/>
      </c>
      <c r="G18" s="23"/>
      <c r="H18" s="23"/>
      <c r="I18" s="21" t="str">
        <f t="shared" si="2"/>
        <v/>
      </c>
      <c r="J18" s="23"/>
    </row>
    <row r="19" ht="30.0" customHeight="1">
      <c r="A19" s="23"/>
      <c r="B19" s="23"/>
      <c r="C19" s="52"/>
      <c r="D19" s="53"/>
      <c r="E19" s="53"/>
      <c r="F19" s="21" t="str">
        <f t="shared" si="1"/>
        <v/>
      </c>
      <c r="G19" s="23"/>
      <c r="H19" s="23"/>
      <c r="I19" s="21" t="str">
        <f t="shared" si="2"/>
        <v/>
      </c>
      <c r="J19" s="23"/>
    </row>
    <row r="20" ht="30.0" customHeight="1">
      <c r="A20" s="23"/>
      <c r="B20" s="23"/>
      <c r="C20" s="52"/>
      <c r="D20" s="53"/>
      <c r="E20" s="53"/>
      <c r="F20" s="21" t="str">
        <f t="shared" si="1"/>
        <v/>
      </c>
      <c r="G20" s="23"/>
      <c r="H20" s="23"/>
      <c r="I20" s="21" t="str">
        <f t="shared" si="2"/>
        <v/>
      </c>
      <c r="J20" s="23"/>
    </row>
    <row r="21" ht="30.0" customHeight="1">
      <c r="A21" s="23"/>
      <c r="B21" s="23"/>
      <c r="C21" s="52"/>
      <c r="D21" s="53"/>
      <c r="E21" s="53"/>
      <c r="F21" s="21" t="str">
        <f t="shared" si="1"/>
        <v/>
      </c>
      <c r="G21" s="23"/>
      <c r="H21" s="23"/>
      <c r="I21" s="21" t="str">
        <f t="shared" si="2"/>
        <v/>
      </c>
      <c r="J21" s="23"/>
    </row>
    <row r="22" ht="30.0" customHeight="1">
      <c r="A22" s="23"/>
      <c r="B22" s="23"/>
      <c r="C22" s="52"/>
      <c r="D22" s="53"/>
      <c r="E22" s="53"/>
      <c r="F22" s="21" t="str">
        <f t="shared" si="1"/>
        <v/>
      </c>
      <c r="G22" s="23"/>
      <c r="H22" s="23"/>
      <c r="I22" s="21" t="str">
        <f t="shared" si="2"/>
        <v/>
      </c>
      <c r="J22" s="23"/>
    </row>
    <row r="23" ht="30.0" customHeight="1">
      <c r="A23" s="23"/>
      <c r="B23" s="23"/>
      <c r="C23" s="52"/>
      <c r="D23" s="53"/>
      <c r="E23" s="53"/>
      <c r="F23" s="21" t="str">
        <f t="shared" si="1"/>
        <v/>
      </c>
      <c r="G23" s="23"/>
      <c r="H23" s="23"/>
      <c r="I23" s="21" t="str">
        <f t="shared" si="2"/>
        <v/>
      </c>
      <c r="J23" s="23"/>
    </row>
    <row r="24" ht="30.0" customHeight="1">
      <c r="A24" s="23"/>
      <c r="B24" s="23"/>
      <c r="C24" s="52"/>
      <c r="D24" s="53"/>
      <c r="E24" s="53"/>
      <c r="F24" s="21" t="str">
        <f t="shared" si="1"/>
        <v/>
      </c>
      <c r="G24" s="23"/>
      <c r="H24" s="23"/>
      <c r="I24" s="21" t="str">
        <f t="shared" si="2"/>
        <v/>
      </c>
      <c r="J24" s="23"/>
    </row>
    <row r="25" ht="30.0" customHeight="1">
      <c r="A25" s="23"/>
      <c r="B25" s="23"/>
      <c r="C25" s="52"/>
      <c r="D25" s="53"/>
      <c r="E25" s="53"/>
      <c r="F25" s="21" t="str">
        <f t="shared" si="1"/>
        <v/>
      </c>
      <c r="G25" s="23"/>
      <c r="H25" s="23"/>
      <c r="I25" s="21" t="str">
        <f t="shared" si="2"/>
        <v/>
      </c>
      <c r="J25" s="23"/>
    </row>
    <row r="26" ht="30.0" customHeight="1">
      <c r="A26" s="23"/>
      <c r="B26" s="23"/>
      <c r="C26" s="52"/>
      <c r="D26" s="53"/>
      <c r="E26" s="53"/>
      <c r="F26" s="21" t="str">
        <f t="shared" si="1"/>
        <v/>
      </c>
      <c r="G26" s="23"/>
      <c r="H26" s="23"/>
      <c r="I26" s="21" t="str">
        <f t="shared" si="2"/>
        <v/>
      </c>
      <c r="J26" s="23"/>
    </row>
    <row r="27" ht="30.0" customHeight="1">
      <c r="A27" s="23"/>
      <c r="B27" s="23"/>
      <c r="C27" s="52"/>
      <c r="D27" s="53"/>
      <c r="E27" s="53"/>
      <c r="F27" s="21" t="str">
        <f t="shared" si="1"/>
        <v/>
      </c>
      <c r="G27" s="23"/>
      <c r="H27" s="23"/>
      <c r="I27" s="21" t="str">
        <f t="shared" si="2"/>
        <v/>
      </c>
      <c r="J27" s="23"/>
    </row>
    <row r="28" ht="30.0" customHeight="1">
      <c r="A28" s="23"/>
      <c r="B28" s="23"/>
      <c r="C28" s="52"/>
      <c r="D28" s="53"/>
      <c r="E28" s="53"/>
      <c r="F28" s="21" t="str">
        <f t="shared" si="1"/>
        <v/>
      </c>
      <c r="G28" s="23"/>
      <c r="H28" s="23"/>
      <c r="I28" s="21" t="str">
        <f t="shared" si="2"/>
        <v/>
      </c>
      <c r="J28" s="23"/>
    </row>
    <row r="29" ht="30.0" customHeight="1">
      <c r="A29" s="23"/>
      <c r="B29" s="23"/>
      <c r="C29" s="52"/>
      <c r="D29" s="53"/>
      <c r="E29" s="53"/>
      <c r="F29" s="21" t="str">
        <f t="shared" si="1"/>
        <v/>
      </c>
      <c r="G29" s="23"/>
      <c r="H29" s="23"/>
      <c r="I29" s="21" t="str">
        <f t="shared" si="2"/>
        <v/>
      </c>
      <c r="J29" s="23"/>
    </row>
    <row r="30" ht="30.0" customHeight="1">
      <c r="A30" s="23"/>
      <c r="B30" s="23"/>
      <c r="C30" s="52"/>
      <c r="D30" s="53"/>
      <c r="E30" s="53"/>
      <c r="F30" s="21" t="str">
        <f t="shared" si="1"/>
        <v/>
      </c>
      <c r="G30" s="23"/>
      <c r="H30" s="23"/>
      <c r="I30" s="21" t="str">
        <f t="shared" si="2"/>
        <v/>
      </c>
      <c r="J30" s="23"/>
    </row>
    <row r="31" ht="30.0" customHeight="1">
      <c r="A31" s="23"/>
      <c r="B31" s="23"/>
      <c r="C31" s="52"/>
      <c r="D31" s="53"/>
      <c r="E31" s="53"/>
      <c r="F31" s="21" t="str">
        <f t="shared" si="1"/>
        <v/>
      </c>
      <c r="G31" s="23"/>
      <c r="H31" s="23"/>
      <c r="I31" s="21" t="str">
        <f t="shared" si="2"/>
        <v/>
      </c>
      <c r="J31" s="23"/>
    </row>
    <row r="32" ht="30.0" customHeight="1">
      <c r="A32" s="23"/>
      <c r="B32" s="23"/>
      <c r="C32" s="52"/>
      <c r="D32" s="53"/>
      <c r="E32" s="53"/>
      <c r="F32" s="21" t="str">
        <f t="shared" si="1"/>
        <v/>
      </c>
      <c r="G32" s="23"/>
      <c r="H32" s="23"/>
      <c r="I32" s="21" t="str">
        <f t="shared" si="2"/>
        <v/>
      </c>
      <c r="J32" s="23"/>
    </row>
    <row r="33" ht="30.0" customHeight="1">
      <c r="A33" s="23"/>
      <c r="B33" s="23"/>
      <c r="C33" s="52"/>
      <c r="D33" s="53"/>
      <c r="E33" s="53"/>
      <c r="F33" s="21" t="str">
        <f t="shared" si="1"/>
        <v/>
      </c>
      <c r="G33" s="23"/>
      <c r="H33" s="23"/>
      <c r="I33" s="21" t="str">
        <f t="shared" si="2"/>
        <v/>
      </c>
      <c r="J33" s="23"/>
    </row>
    <row r="34" ht="30.0" customHeight="1">
      <c r="A34" s="23"/>
      <c r="B34" s="23"/>
      <c r="C34" s="52"/>
      <c r="D34" s="53"/>
      <c r="E34" s="53"/>
      <c r="F34" s="21" t="str">
        <f t="shared" si="1"/>
        <v/>
      </c>
      <c r="G34" s="23"/>
      <c r="H34" s="23"/>
      <c r="I34" s="21" t="str">
        <f t="shared" si="2"/>
        <v/>
      </c>
      <c r="J34" s="23"/>
    </row>
    <row r="35" ht="30.0" customHeight="1">
      <c r="A35" s="23"/>
      <c r="B35" s="23"/>
      <c r="C35" s="52"/>
      <c r="D35" s="53"/>
      <c r="E35" s="53"/>
      <c r="F35" s="21" t="str">
        <f t="shared" si="1"/>
        <v/>
      </c>
      <c r="G35" s="23"/>
      <c r="H35" s="23"/>
      <c r="I35" s="21" t="str">
        <f t="shared" si="2"/>
        <v/>
      </c>
      <c r="J35" s="23"/>
    </row>
    <row r="36" ht="30.0" customHeight="1">
      <c r="A36" s="23"/>
      <c r="B36" s="23"/>
      <c r="C36" s="52"/>
      <c r="D36" s="53"/>
      <c r="E36" s="53"/>
      <c r="F36" s="21" t="str">
        <f t="shared" si="1"/>
        <v/>
      </c>
      <c r="G36" s="23"/>
      <c r="H36" s="23"/>
      <c r="I36" s="21" t="str">
        <f t="shared" si="2"/>
        <v/>
      </c>
      <c r="J36" s="23"/>
    </row>
    <row r="37" ht="30.0" customHeight="1">
      <c r="A37" s="23"/>
      <c r="B37" s="23"/>
      <c r="C37" s="52"/>
      <c r="D37" s="53"/>
      <c r="E37" s="53"/>
      <c r="F37" s="21" t="str">
        <f t="shared" si="1"/>
        <v/>
      </c>
      <c r="G37" s="23"/>
      <c r="H37" s="23"/>
      <c r="I37" s="21" t="str">
        <f t="shared" si="2"/>
        <v/>
      </c>
      <c r="J37" s="23"/>
    </row>
    <row r="38" ht="30.0" customHeight="1">
      <c r="A38" s="23"/>
      <c r="B38" s="23"/>
      <c r="C38" s="52"/>
      <c r="D38" s="53"/>
      <c r="E38" s="53"/>
      <c r="F38" s="21" t="str">
        <f t="shared" si="1"/>
        <v/>
      </c>
      <c r="G38" s="23"/>
      <c r="H38" s="23"/>
      <c r="I38" s="21" t="str">
        <f t="shared" si="2"/>
        <v/>
      </c>
      <c r="J38" s="23"/>
    </row>
    <row r="39" ht="30.0" customHeight="1">
      <c r="A39" s="23"/>
      <c r="B39" s="23"/>
      <c r="C39" s="52"/>
      <c r="D39" s="53"/>
      <c r="E39" s="53"/>
      <c r="F39" s="21" t="str">
        <f t="shared" si="1"/>
        <v/>
      </c>
      <c r="G39" s="23"/>
      <c r="H39" s="23"/>
      <c r="I39" s="21" t="str">
        <f t="shared" si="2"/>
        <v/>
      </c>
      <c r="J39" s="23"/>
    </row>
    <row r="40" ht="30.0" customHeight="1">
      <c r="A40" s="23"/>
      <c r="B40" s="23"/>
      <c r="C40" s="52"/>
      <c r="D40" s="53"/>
      <c r="E40" s="53"/>
      <c r="F40" s="21" t="str">
        <f t="shared" si="1"/>
        <v/>
      </c>
      <c r="G40" s="23"/>
      <c r="H40" s="23"/>
      <c r="I40" s="21" t="str">
        <f t="shared" si="2"/>
        <v/>
      </c>
      <c r="J40" s="23"/>
    </row>
    <row r="41" ht="30.0" customHeight="1">
      <c r="A41" s="23"/>
      <c r="B41" s="23"/>
      <c r="C41" s="52"/>
      <c r="D41" s="53"/>
      <c r="E41" s="53"/>
      <c r="F41" s="21" t="str">
        <f t="shared" si="1"/>
        <v/>
      </c>
      <c r="G41" s="23"/>
      <c r="H41" s="23"/>
      <c r="I41" s="21" t="str">
        <f t="shared" si="2"/>
        <v/>
      </c>
      <c r="J41" s="23"/>
    </row>
    <row r="42" ht="30.0" customHeight="1">
      <c r="A42" s="23"/>
      <c r="B42" s="23"/>
      <c r="C42" s="52"/>
      <c r="D42" s="53"/>
      <c r="E42" s="53"/>
      <c r="F42" s="21" t="str">
        <f t="shared" si="1"/>
        <v/>
      </c>
      <c r="G42" s="23"/>
      <c r="H42" s="23"/>
      <c r="I42" s="21" t="str">
        <f t="shared" si="2"/>
        <v/>
      </c>
      <c r="J42" s="23"/>
    </row>
    <row r="43" ht="30.0" customHeight="1">
      <c r="A43" s="23"/>
      <c r="B43" s="23"/>
      <c r="C43" s="52"/>
      <c r="D43" s="53"/>
      <c r="E43" s="53"/>
      <c r="F43" s="21" t="str">
        <f t="shared" si="1"/>
        <v/>
      </c>
      <c r="G43" s="23"/>
      <c r="H43" s="23"/>
      <c r="I43" s="21" t="str">
        <f t="shared" si="2"/>
        <v/>
      </c>
      <c r="J43" s="23"/>
    </row>
    <row r="44" ht="15.75" customHeight="1"/>
    <row r="45" ht="15.75" customHeight="1">
      <c r="A45" s="6" t="s">
        <v>246</v>
      </c>
      <c r="E45" s="55"/>
    </row>
    <row r="46" ht="15.75" customHeight="1">
      <c r="A46" s="6" t="s">
        <v>247</v>
      </c>
      <c r="E46" s="56">
        <f>COUNTIFS(B14:B43,"GE",F14:F43,"&gt;0")</f>
        <v>0</v>
      </c>
    </row>
    <row r="47" ht="15.75" customHeight="1">
      <c r="A47" s="6" t="s">
        <v>248</v>
      </c>
      <c r="E47" s="57">
        <f>IF(N(E45)=0,0,E46/E45)</f>
        <v>0</v>
      </c>
    </row>
    <row r="48" ht="15.75" customHeight="1">
      <c r="A48" s="6" t="s">
        <v>250</v>
      </c>
      <c r="E48" s="57">
        <f>IF(E46=0,0,COUNTIFS(B14:B43,"GE",I14:I43,"Aprobado")/E46)</f>
        <v>0</v>
      </c>
    </row>
    <row r="49" ht="15.75" customHeight="1"/>
    <row r="50" ht="43.5" customHeight="1">
      <c r="A50" s="41" t="s">
        <v>252</v>
      </c>
      <c r="B50" s="2"/>
      <c r="C50" s="2"/>
      <c r="D50" s="2"/>
      <c r="E50" s="2"/>
      <c r="F50" s="2"/>
      <c r="G50" s="2"/>
      <c r="H50" s="2"/>
      <c r="I50" s="2"/>
      <c r="J50" s="2"/>
    </row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A48:D48"/>
    <mergeCell ref="A50:J50"/>
    <mergeCell ref="A1:J1"/>
    <mergeCell ref="A2:J2"/>
    <mergeCell ref="A3:J3"/>
    <mergeCell ref="A11:D11"/>
    <mergeCell ref="A45:D45"/>
    <mergeCell ref="A46:D46"/>
    <mergeCell ref="A47:D47"/>
  </mergeCells>
  <dataValidations>
    <dataValidation type="list" allowBlank="1" sqref="B9:J9">
      <formula1>"Preexperimental (un grupo),Cuasiexperimental (GE y GC)"</formula1>
    </dataValidation>
    <dataValidation type="list" allowBlank="1" sqref="B14:B43">
      <formula1>"GE,GC"</formula1>
    </dataValidation>
  </dataValidations>
  <printOptions/>
  <pageMargins bottom="1.0" footer="0.0" header="0.0" left="0.75" right="0.75" top="1.0"/>
  <pageSetup fitToHeight="0" orientation="landscape"/>
  <headerFooter>
    <oddFooter>&amp;CMBA Jenny Reynoso Palpa · Seminario de Tesis III · Sesión 4&amp;RPág.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1.0" topLeftCell="A12" activePane="bottomLeft" state="frozen"/>
      <selection activeCell="B13" sqref="B13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4.0"/>
    <col customWidth="1" min="4" max="4" width="12.0"/>
    <col customWidth="1" min="5" max="5" width="16.0"/>
    <col customWidth="1" min="6" max="7" width="34.0"/>
    <col customWidth="1" min="8" max="8" width="18.0"/>
    <col customWidth="1" min="9" max="9" width="14.0"/>
    <col customWidth="1" min="10" max="10" width="12.0"/>
    <col customWidth="1" min="11" max="11" width="16.0"/>
  </cols>
  <sheetData>
    <row r="1" ht="21.7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ht="30.0" customHeight="1">
      <c r="A2" s="3" t="s">
        <v>192</v>
      </c>
    </row>
    <row r="3" ht="30.0" customHeight="1">
      <c r="A3" s="4" t="s">
        <v>193</v>
      </c>
    </row>
    <row r="4" ht="3.75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</row>
    <row r="6">
      <c r="A6" s="6" t="s">
        <v>11</v>
      </c>
      <c r="B6" s="9" t="s">
        <v>12</v>
      </c>
      <c r="C6" s="11"/>
      <c r="D6" s="11"/>
      <c r="E6" s="11"/>
      <c r="F6" s="11"/>
      <c r="G6" s="11"/>
      <c r="H6" s="11"/>
      <c r="I6" s="11"/>
      <c r="J6" s="11"/>
      <c r="K6" s="13"/>
    </row>
    <row r="7">
      <c r="A7" s="6" t="s">
        <v>15</v>
      </c>
      <c r="B7" s="9" t="s">
        <v>17</v>
      </c>
      <c r="C7" s="11"/>
      <c r="D7" s="11"/>
      <c r="E7" s="11"/>
      <c r="F7" s="11"/>
      <c r="G7" s="11"/>
      <c r="H7" s="11"/>
      <c r="I7" s="11"/>
      <c r="J7" s="11"/>
      <c r="K7" s="13"/>
    </row>
    <row r="8">
      <c r="A8" s="6" t="s">
        <v>18</v>
      </c>
      <c r="B8" s="9" t="s">
        <v>20</v>
      </c>
      <c r="C8" s="11"/>
      <c r="D8" s="11"/>
      <c r="E8" s="11"/>
      <c r="F8" s="11"/>
      <c r="G8" s="11"/>
      <c r="H8" s="11"/>
      <c r="I8" s="11"/>
      <c r="J8" s="11"/>
      <c r="K8" s="13"/>
    </row>
    <row r="9">
      <c r="A9" s="6" t="s">
        <v>21</v>
      </c>
      <c r="B9" s="9" t="s">
        <v>23</v>
      </c>
      <c r="C9" s="11"/>
      <c r="D9" s="11"/>
      <c r="E9" s="11"/>
      <c r="F9" s="11"/>
      <c r="G9" s="11"/>
      <c r="H9" s="11"/>
      <c r="I9" s="11"/>
      <c r="J9" s="11"/>
      <c r="K9" s="13"/>
    </row>
    <row r="11" ht="33.75" customHeight="1">
      <c r="A11" s="17" t="s">
        <v>203</v>
      </c>
      <c r="B11" s="17" t="s">
        <v>204</v>
      </c>
      <c r="C11" s="17" t="s">
        <v>31</v>
      </c>
      <c r="D11" s="17" t="s">
        <v>205</v>
      </c>
      <c r="E11" s="17" t="s">
        <v>206</v>
      </c>
      <c r="F11" s="17" t="s">
        <v>207</v>
      </c>
      <c r="G11" s="17" t="s">
        <v>208</v>
      </c>
      <c r="H11" s="17" t="s">
        <v>209</v>
      </c>
      <c r="I11" s="17" t="s">
        <v>210</v>
      </c>
      <c r="J11" s="17" t="s">
        <v>44</v>
      </c>
      <c r="K11" s="17" t="s">
        <v>191</v>
      </c>
    </row>
    <row r="12" ht="30.0" customHeight="1">
      <c r="A12" s="20"/>
      <c r="B12" s="49"/>
      <c r="C12" s="20"/>
      <c r="D12" s="20"/>
      <c r="E12" s="20"/>
      <c r="F12" s="20"/>
      <c r="G12" s="20"/>
      <c r="H12" s="49"/>
      <c r="I12" s="24" t="str">
        <f t="shared" ref="I12:I51" si="1">IF(OR(B12="",H12=""),"",ROUND((H12-B12)*24,1))</f>
        <v/>
      </c>
      <c r="J12" s="20"/>
      <c r="K12" s="20"/>
    </row>
    <row r="13" ht="30.0" customHeight="1">
      <c r="A13" s="23"/>
      <c r="B13" s="51"/>
      <c r="C13" s="23"/>
      <c r="D13" s="23"/>
      <c r="E13" s="23"/>
      <c r="F13" s="23"/>
      <c r="G13" s="23"/>
      <c r="H13" s="51"/>
      <c r="I13" s="21" t="str">
        <f t="shared" si="1"/>
        <v/>
      </c>
      <c r="J13" s="23"/>
      <c r="K13" s="23"/>
    </row>
    <row r="14" ht="30.0" customHeight="1">
      <c r="A14" s="23"/>
      <c r="B14" s="51"/>
      <c r="C14" s="23"/>
      <c r="D14" s="23"/>
      <c r="E14" s="23"/>
      <c r="F14" s="23"/>
      <c r="G14" s="23"/>
      <c r="H14" s="51"/>
      <c r="I14" s="21" t="str">
        <f t="shared" si="1"/>
        <v/>
      </c>
      <c r="J14" s="23"/>
      <c r="K14" s="23"/>
    </row>
    <row r="15" ht="30.0" customHeight="1">
      <c r="A15" s="23"/>
      <c r="B15" s="51"/>
      <c r="C15" s="23"/>
      <c r="D15" s="23"/>
      <c r="E15" s="23"/>
      <c r="F15" s="23"/>
      <c r="G15" s="23"/>
      <c r="H15" s="51"/>
      <c r="I15" s="21" t="str">
        <f t="shared" si="1"/>
        <v/>
      </c>
      <c r="J15" s="23"/>
      <c r="K15" s="23"/>
    </row>
    <row r="16" ht="30.0" customHeight="1">
      <c r="A16" s="23"/>
      <c r="B16" s="51"/>
      <c r="C16" s="23"/>
      <c r="D16" s="23"/>
      <c r="E16" s="23"/>
      <c r="F16" s="23"/>
      <c r="G16" s="23"/>
      <c r="H16" s="51"/>
      <c r="I16" s="21" t="str">
        <f t="shared" si="1"/>
        <v/>
      </c>
      <c r="J16" s="23"/>
      <c r="K16" s="23"/>
    </row>
    <row r="17" ht="30.0" customHeight="1">
      <c r="A17" s="23"/>
      <c r="B17" s="51"/>
      <c r="C17" s="23"/>
      <c r="D17" s="23"/>
      <c r="E17" s="23"/>
      <c r="F17" s="23"/>
      <c r="G17" s="23"/>
      <c r="H17" s="51"/>
      <c r="I17" s="21" t="str">
        <f t="shared" si="1"/>
        <v/>
      </c>
      <c r="J17" s="23"/>
      <c r="K17" s="23"/>
    </row>
    <row r="18" ht="30.0" customHeight="1">
      <c r="A18" s="23"/>
      <c r="B18" s="51"/>
      <c r="C18" s="23"/>
      <c r="D18" s="23"/>
      <c r="E18" s="23"/>
      <c r="F18" s="23"/>
      <c r="G18" s="23"/>
      <c r="H18" s="51"/>
      <c r="I18" s="21" t="str">
        <f t="shared" si="1"/>
        <v/>
      </c>
      <c r="J18" s="23"/>
      <c r="K18" s="23"/>
    </row>
    <row r="19" ht="30.0" customHeight="1">
      <c r="A19" s="23"/>
      <c r="B19" s="51"/>
      <c r="C19" s="23"/>
      <c r="D19" s="23"/>
      <c r="E19" s="23"/>
      <c r="F19" s="23"/>
      <c r="G19" s="23"/>
      <c r="H19" s="51"/>
      <c r="I19" s="21" t="str">
        <f t="shared" si="1"/>
        <v/>
      </c>
      <c r="J19" s="23"/>
      <c r="K19" s="23"/>
    </row>
    <row r="20" ht="30.0" customHeight="1">
      <c r="A20" s="23"/>
      <c r="B20" s="51"/>
      <c r="C20" s="23"/>
      <c r="D20" s="23"/>
      <c r="E20" s="23"/>
      <c r="F20" s="23"/>
      <c r="G20" s="23"/>
      <c r="H20" s="51"/>
      <c r="I20" s="21" t="str">
        <f t="shared" si="1"/>
        <v/>
      </c>
      <c r="J20" s="23"/>
      <c r="K20" s="23"/>
    </row>
    <row r="21" ht="30.0" customHeight="1">
      <c r="A21" s="23"/>
      <c r="B21" s="51"/>
      <c r="C21" s="23"/>
      <c r="D21" s="23"/>
      <c r="E21" s="23"/>
      <c r="F21" s="23"/>
      <c r="G21" s="23"/>
      <c r="H21" s="51"/>
      <c r="I21" s="21" t="str">
        <f t="shared" si="1"/>
        <v/>
      </c>
      <c r="J21" s="23"/>
      <c r="K21" s="23"/>
    </row>
    <row r="22" ht="30.0" customHeight="1">
      <c r="A22" s="23"/>
      <c r="B22" s="51"/>
      <c r="C22" s="23"/>
      <c r="D22" s="23"/>
      <c r="E22" s="23"/>
      <c r="F22" s="23"/>
      <c r="G22" s="23"/>
      <c r="H22" s="51"/>
      <c r="I22" s="21" t="str">
        <f t="shared" si="1"/>
        <v/>
      </c>
      <c r="J22" s="23"/>
      <c r="K22" s="23"/>
    </row>
    <row r="23" ht="30.0" customHeight="1">
      <c r="A23" s="23"/>
      <c r="B23" s="51"/>
      <c r="C23" s="23"/>
      <c r="D23" s="23"/>
      <c r="E23" s="23"/>
      <c r="F23" s="23"/>
      <c r="G23" s="23"/>
      <c r="H23" s="51"/>
      <c r="I23" s="21" t="str">
        <f t="shared" si="1"/>
        <v/>
      </c>
      <c r="J23" s="23"/>
      <c r="K23" s="23"/>
    </row>
    <row r="24" ht="30.0" customHeight="1">
      <c r="A24" s="23"/>
      <c r="B24" s="51"/>
      <c r="C24" s="23"/>
      <c r="D24" s="23"/>
      <c r="E24" s="23"/>
      <c r="F24" s="23"/>
      <c r="G24" s="23"/>
      <c r="H24" s="51"/>
      <c r="I24" s="21" t="str">
        <f t="shared" si="1"/>
        <v/>
      </c>
      <c r="J24" s="23"/>
      <c r="K24" s="23"/>
    </row>
    <row r="25" ht="30.0" customHeight="1">
      <c r="A25" s="23"/>
      <c r="B25" s="51"/>
      <c r="C25" s="23"/>
      <c r="D25" s="23"/>
      <c r="E25" s="23"/>
      <c r="F25" s="23"/>
      <c r="G25" s="23"/>
      <c r="H25" s="51"/>
      <c r="I25" s="21" t="str">
        <f t="shared" si="1"/>
        <v/>
      </c>
      <c r="J25" s="23"/>
      <c r="K25" s="23"/>
    </row>
    <row r="26" ht="30.0" customHeight="1">
      <c r="A26" s="23"/>
      <c r="B26" s="51"/>
      <c r="C26" s="23"/>
      <c r="D26" s="23"/>
      <c r="E26" s="23"/>
      <c r="F26" s="23"/>
      <c r="G26" s="23"/>
      <c r="H26" s="51"/>
      <c r="I26" s="21" t="str">
        <f t="shared" si="1"/>
        <v/>
      </c>
      <c r="J26" s="23"/>
      <c r="K26" s="23"/>
    </row>
    <row r="27" ht="30.0" customHeight="1">
      <c r="A27" s="23"/>
      <c r="B27" s="51"/>
      <c r="C27" s="23"/>
      <c r="D27" s="23"/>
      <c r="E27" s="23"/>
      <c r="F27" s="23"/>
      <c r="G27" s="23"/>
      <c r="H27" s="51"/>
      <c r="I27" s="21" t="str">
        <f t="shared" si="1"/>
        <v/>
      </c>
      <c r="J27" s="23"/>
      <c r="K27" s="23"/>
    </row>
    <row r="28" ht="30.0" customHeight="1">
      <c r="A28" s="23"/>
      <c r="B28" s="51"/>
      <c r="C28" s="23"/>
      <c r="D28" s="23"/>
      <c r="E28" s="23"/>
      <c r="F28" s="23"/>
      <c r="G28" s="23"/>
      <c r="H28" s="51"/>
      <c r="I28" s="21" t="str">
        <f t="shared" si="1"/>
        <v/>
      </c>
      <c r="J28" s="23"/>
      <c r="K28" s="23"/>
    </row>
    <row r="29" ht="30.0" customHeight="1">
      <c r="A29" s="23"/>
      <c r="B29" s="51"/>
      <c r="C29" s="23"/>
      <c r="D29" s="23"/>
      <c r="E29" s="23"/>
      <c r="F29" s="23"/>
      <c r="G29" s="23"/>
      <c r="H29" s="51"/>
      <c r="I29" s="21" t="str">
        <f t="shared" si="1"/>
        <v/>
      </c>
      <c r="J29" s="23"/>
      <c r="K29" s="23"/>
    </row>
    <row r="30" ht="30.0" customHeight="1">
      <c r="A30" s="23"/>
      <c r="B30" s="51"/>
      <c r="C30" s="23"/>
      <c r="D30" s="23"/>
      <c r="E30" s="23"/>
      <c r="F30" s="23"/>
      <c r="G30" s="23"/>
      <c r="H30" s="51"/>
      <c r="I30" s="21" t="str">
        <f t="shared" si="1"/>
        <v/>
      </c>
      <c r="J30" s="23"/>
      <c r="K30" s="23"/>
    </row>
    <row r="31" ht="30.0" customHeight="1">
      <c r="A31" s="23"/>
      <c r="B31" s="51"/>
      <c r="C31" s="23"/>
      <c r="D31" s="23"/>
      <c r="E31" s="23"/>
      <c r="F31" s="23"/>
      <c r="G31" s="23"/>
      <c r="H31" s="51"/>
      <c r="I31" s="21" t="str">
        <f t="shared" si="1"/>
        <v/>
      </c>
      <c r="J31" s="23"/>
      <c r="K31" s="23"/>
    </row>
    <row r="32" ht="30.0" customHeight="1">
      <c r="A32" s="23"/>
      <c r="B32" s="51"/>
      <c r="C32" s="23"/>
      <c r="D32" s="23"/>
      <c r="E32" s="23"/>
      <c r="F32" s="23"/>
      <c r="G32" s="23"/>
      <c r="H32" s="51"/>
      <c r="I32" s="21" t="str">
        <f t="shared" si="1"/>
        <v/>
      </c>
      <c r="J32" s="23"/>
      <c r="K32" s="23"/>
    </row>
    <row r="33" ht="30.0" customHeight="1">
      <c r="A33" s="23"/>
      <c r="B33" s="51"/>
      <c r="C33" s="23"/>
      <c r="D33" s="23"/>
      <c r="E33" s="23"/>
      <c r="F33" s="23"/>
      <c r="G33" s="23"/>
      <c r="H33" s="51"/>
      <c r="I33" s="21" t="str">
        <f t="shared" si="1"/>
        <v/>
      </c>
      <c r="J33" s="23"/>
      <c r="K33" s="23"/>
    </row>
    <row r="34" ht="30.0" customHeight="1">
      <c r="A34" s="23"/>
      <c r="B34" s="51"/>
      <c r="C34" s="23"/>
      <c r="D34" s="23"/>
      <c r="E34" s="23"/>
      <c r="F34" s="23"/>
      <c r="G34" s="23"/>
      <c r="H34" s="51"/>
      <c r="I34" s="21" t="str">
        <f t="shared" si="1"/>
        <v/>
      </c>
      <c r="J34" s="23"/>
      <c r="K34" s="23"/>
    </row>
    <row r="35" ht="30.0" customHeight="1">
      <c r="A35" s="23"/>
      <c r="B35" s="51"/>
      <c r="C35" s="23"/>
      <c r="D35" s="23"/>
      <c r="E35" s="23"/>
      <c r="F35" s="23"/>
      <c r="G35" s="23"/>
      <c r="H35" s="51"/>
      <c r="I35" s="21" t="str">
        <f t="shared" si="1"/>
        <v/>
      </c>
      <c r="J35" s="23"/>
      <c r="K35" s="23"/>
    </row>
    <row r="36" ht="30.0" customHeight="1">
      <c r="A36" s="23"/>
      <c r="B36" s="51"/>
      <c r="C36" s="23"/>
      <c r="D36" s="23"/>
      <c r="E36" s="23"/>
      <c r="F36" s="23"/>
      <c r="G36" s="23"/>
      <c r="H36" s="51"/>
      <c r="I36" s="21" t="str">
        <f t="shared" si="1"/>
        <v/>
      </c>
      <c r="J36" s="23"/>
      <c r="K36" s="23"/>
    </row>
    <row r="37" ht="30.0" customHeight="1">
      <c r="A37" s="23"/>
      <c r="B37" s="51"/>
      <c r="C37" s="23"/>
      <c r="D37" s="23"/>
      <c r="E37" s="23"/>
      <c r="F37" s="23"/>
      <c r="G37" s="23"/>
      <c r="H37" s="51"/>
      <c r="I37" s="21" t="str">
        <f t="shared" si="1"/>
        <v/>
      </c>
      <c r="J37" s="23"/>
      <c r="K37" s="23"/>
    </row>
    <row r="38" ht="30.0" customHeight="1">
      <c r="A38" s="23"/>
      <c r="B38" s="51"/>
      <c r="C38" s="23"/>
      <c r="D38" s="23"/>
      <c r="E38" s="23"/>
      <c r="F38" s="23"/>
      <c r="G38" s="23"/>
      <c r="H38" s="51"/>
      <c r="I38" s="21" t="str">
        <f t="shared" si="1"/>
        <v/>
      </c>
      <c r="J38" s="23"/>
      <c r="K38" s="23"/>
    </row>
    <row r="39" ht="30.0" customHeight="1">
      <c r="A39" s="23"/>
      <c r="B39" s="51"/>
      <c r="C39" s="23"/>
      <c r="D39" s="23"/>
      <c r="E39" s="23"/>
      <c r="F39" s="23"/>
      <c r="G39" s="23"/>
      <c r="H39" s="51"/>
      <c r="I39" s="21" t="str">
        <f t="shared" si="1"/>
        <v/>
      </c>
      <c r="J39" s="23"/>
      <c r="K39" s="23"/>
    </row>
    <row r="40" ht="30.0" customHeight="1">
      <c r="A40" s="23"/>
      <c r="B40" s="51"/>
      <c r="C40" s="23"/>
      <c r="D40" s="23"/>
      <c r="E40" s="23"/>
      <c r="F40" s="23"/>
      <c r="G40" s="23"/>
      <c r="H40" s="51"/>
      <c r="I40" s="21" t="str">
        <f t="shared" si="1"/>
        <v/>
      </c>
      <c r="J40" s="23"/>
      <c r="K40" s="23"/>
    </row>
    <row r="41" ht="30.0" customHeight="1">
      <c r="A41" s="23"/>
      <c r="B41" s="51"/>
      <c r="C41" s="23"/>
      <c r="D41" s="23"/>
      <c r="E41" s="23"/>
      <c r="F41" s="23"/>
      <c r="G41" s="23"/>
      <c r="H41" s="51"/>
      <c r="I41" s="21" t="str">
        <f t="shared" si="1"/>
        <v/>
      </c>
      <c r="J41" s="23"/>
      <c r="K41" s="23"/>
    </row>
    <row r="42" ht="30.0" customHeight="1">
      <c r="A42" s="23"/>
      <c r="B42" s="51"/>
      <c r="C42" s="23"/>
      <c r="D42" s="23"/>
      <c r="E42" s="23"/>
      <c r="F42" s="23"/>
      <c r="G42" s="23"/>
      <c r="H42" s="51"/>
      <c r="I42" s="21" t="str">
        <f t="shared" si="1"/>
        <v/>
      </c>
      <c r="J42" s="23"/>
      <c r="K42" s="23"/>
    </row>
    <row r="43" ht="30.0" customHeight="1">
      <c r="A43" s="23"/>
      <c r="B43" s="51"/>
      <c r="C43" s="23"/>
      <c r="D43" s="23"/>
      <c r="E43" s="23"/>
      <c r="F43" s="23"/>
      <c r="G43" s="23"/>
      <c r="H43" s="51"/>
      <c r="I43" s="21" t="str">
        <f t="shared" si="1"/>
        <v/>
      </c>
      <c r="J43" s="23"/>
      <c r="K43" s="23"/>
    </row>
    <row r="44" ht="30.0" customHeight="1">
      <c r="A44" s="23"/>
      <c r="B44" s="51"/>
      <c r="C44" s="23"/>
      <c r="D44" s="23"/>
      <c r="E44" s="23"/>
      <c r="F44" s="23"/>
      <c r="G44" s="23"/>
      <c r="H44" s="51"/>
      <c r="I44" s="21" t="str">
        <f t="shared" si="1"/>
        <v/>
      </c>
      <c r="J44" s="23"/>
      <c r="K44" s="23"/>
    </row>
    <row r="45" ht="30.0" customHeight="1">
      <c r="A45" s="23"/>
      <c r="B45" s="51"/>
      <c r="C45" s="23"/>
      <c r="D45" s="23"/>
      <c r="E45" s="23"/>
      <c r="F45" s="23"/>
      <c r="G45" s="23"/>
      <c r="H45" s="51"/>
      <c r="I45" s="21" t="str">
        <f t="shared" si="1"/>
        <v/>
      </c>
      <c r="J45" s="23"/>
      <c r="K45" s="23"/>
    </row>
    <row r="46" ht="30.0" customHeight="1">
      <c r="A46" s="23"/>
      <c r="B46" s="51"/>
      <c r="C46" s="23"/>
      <c r="D46" s="23"/>
      <c r="E46" s="23"/>
      <c r="F46" s="23"/>
      <c r="G46" s="23"/>
      <c r="H46" s="51"/>
      <c r="I46" s="21" t="str">
        <f t="shared" si="1"/>
        <v/>
      </c>
      <c r="J46" s="23"/>
      <c r="K46" s="23"/>
    </row>
    <row r="47" ht="30.0" customHeight="1">
      <c r="A47" s="23"/>
      <c r="B47" s="51"/>
      <c r="C47" s="23"/>
      <c r="D47" s="23"/>
      <c r="E47" s="23"/>
      <c r="F47" s="23"/>
      <c r="G47" s="23"/>
      <c r="H47" s="51"/>
      <c r="I47" s="21" t="str">
        <f t="shared" si="1"/>
        <v/>
      </c>
      <c r="J47" s="23"/>
      <c r="K47" s="23"/>
    </row>
    <row r="48" ht="30.0" customHeight="1">
      <c r="A48" s="23"/>
      <c r="B48" s="51"/>
      <c r="C48" s="23"/>
      <c r="D48" s="23"/>
      <c r="E48" s="23"/>
      <c r="F48" s="23"/>
      <c r="G48" s="23"/>
      <c r="H48" s="51"/>
      <c r="I48" s="21" t="str">
        <f t="shared" si="1"/>
        <v/>
      </c>
      <c r="J48" s="23"/>
      <c r="K48" s="23"/>
    </row>
    <row r="49" ht="30.0" customHeight="1">
      <c r="A49" s="23"/>
      <c r="B49" s="51"/>
      <c r="C49" s="23"/>
      <c r="D49" s="23"/>
      <c r="E49" s="23"/>
      <c r="F49" s="23"/>
      <c r="G49" s="23"/>
      <c r="H49" s="51"/>
      <c r="I49" s="21" t="str">
        <f t="shared" si="1"/>
        <v/>
      </c>
      <c r="J49" s="23"/>
      <c r="K49" s="23"/>
    </row>
    <row r="50" ht="30.0" customHeight="1">
      <c r="A50" s="23"/>
      <c r="B50" s="51"/>
      <c r="C50" s="23"/>
      <c r="D50" s="23"/>
      <c r="E50" s="23"/>
      <c r="F50" s="23"/>
      <c r="G50" s="23"/>
      <c r="H50" s="51"/>
      <c r="I50" s="21" t="str">
        <f t="shared" si="1"/>
        <v/>
      </c>
      <c r="J50" s="23"/>
      <c r="K50" s="23"/>
    </row>
    <row r="51" ht="30.0" customHeight="1">
      <c r="A51" s="23"/>
      <c r="B51" s="51"/>
      <c r="C51" s="23"/>
      <c r="D51" s="23"/>
      <c r="E51" s="23"/>
      <c r="F51" s="23"/>
      <c r="G51" s="23"/>
      <c r="H51" s="51"/>
      <c r="I51" s="21" t="str">
        <f t="shared" si="1"/>
        <v/>
      </c>
      <c r="J51" s="23"/>
      <c r="K51" s="23"/>
    </row>
    <row r="52" ht="15.75" customHeight="1"/>
    <row r="53" ht="15.75" customHeight="1">
      <c r="A53" s="6" t="s">
        <v>249</v>
      </c>
      <c r="C53" s="38">
        <f>COUNTIF(J12:J51,"Abierta")+COUNTIF(J12:J51,"En atención")</f>
        <v>0</v>
      </c>
    </row>
    <row r="54" ht="15.75" customHeight="1">
      <c r="A54" s="6" t="s">
        <v>251</v>
      </c>
      <c r="C54" s="38">
        <f>COUNTIFS(D12:D51,"Crítica",J12:J51,"&lt;&gt;Cerrada",A12:A51,"&lt;&gt;")</f>
        <v>0</v>
      </c>
    </row>
    <row r="55" ht="43.5" customHeight="1">
      <c r="A55" s="41" t="s">
        <v>253</v>
      </c>
      <c r="B55" s="2"/>
      <c r="C55" s="2"/>
      <c r="D55" s="2"/>
      <c r="E55" s="2"/>
      <c r="F55" s="2"/>
      <c r="G55" s="2"/>
      <c r="H55" s="2"/>
      <c r="I55" s="2"/>
      <c r="J55" s="2"/>
      <c r="K55" s="2"/>
    </row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K1"/>
    <mergeCell ref="A2:K2"/>
    <mergeCell ref="A3:K3"/>
    <mergeCell ref="A53:B53"/>
    <mergeCell ref="A54:B54"/>
    <mergeCell ref="A55:K55"/>
  </mergeCells>
  <conditionalFormatting sqref="D12:D51">
    <cfRule type="cellIs" dxfId="1" priority="1" operator="equal">
      <formula>"Crítica"</formula>
    </cfRule>
  </conditionalFormatting>
  <dataValidations>
    <dataValidation type="list" allowBlank="1" sqref="D12:D51">
      <formula1>"Crítica,Alta,Media,Baja"</formula1>
    </dataValidation>
    <dataValidation type="list" allowBlank="1" sqref="J12:J51">
      <formula1>"Abierta,En atención,Cerrada"</formula1>
    </dataValidation>
    <dataValidation type="list" allowBlank="1" sqref="B9:K9">
      <formula1>"Preexperimental (un grupo),Cuasiexperimental (GE y GC)"</formula1>
    </dataValidation>
    <dataValidation type="list" allowBlank="1" sqref="E12:E51">
      <formula1>"Técnica,Metodológica,De uso"</formula1>
    </dataValidation>
  </dataValidations>
  <printOptions/>
  <pageMargins bottom="1.0" footer="0.0" header="0.0" left="0.75" right="0.75" top="1.0"/>
  <pageSetup fitToHeight="0" orientation="landscape"/>
  <headerFooter>
    <oddFooter>&amp;CMBA Jenny Reynoso Palpa · Seminario de Tesis III · Sesión 4&amp;RPág.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44.0"/>
    <col customWidth="1" min="2" max="2" width="30.0"/>
    <col customWidth="1" min="3" max="3" width="20.0"/>
    <col customWidth="1" min="4" max="4" width="40.0"/>
    <col customWidth="1" min="5" max="6" width="8.71"/>
  </cols>
  <sheetData>
    <row r="1" ht="21.75" customHeight="1">
      <c r="A1" s="1" t="s">
        <v>0</v>
      </c>
      <c r="B1" s="2"/>
      <c r="C1" s="2"/>
      <c r="D1" s="2"/>
    </row>
    <row r="2" ht="30.0" customHeight="1">
      <c r="A2" s="3" t="s">
        <v>213</v>
      </c>
    </row>
    <row r="3" ht="30.0" customHeight="1">
      <c r="A3" s="4" t="s">
        <v>214</v>
      </c>
    </row>
    <row r="4" ht="3.75" customHeight="1">
      <c r="A4" s="5"/>
      <c r="B4" s="5"/>
      <c r="C4" s="5"/>
      <c r="D4" s="5"/>
    </row>
    <row r="6">
      <c r="A6" s="25" t="s">
        <v>215</v>
      </c>
    </row>
    <row r="7" ht="33.75" customHeight="1">
      <c r="A7" s="17" t="s">
        <v>216</v>
      </c>
      <c r="B7" s="17" t="s">
        <v>217</v>
      </c>
      <c r="C7" s="17" t="s">
        <v>218</v>
      </c>
      <c r="D7" s="17" t="s">
        <v>219</v>
      </c>
    </row>
    <row r="8" ht="30.0" customHeight="1">
      <c r="A8" s="21" t="s">
        <v>220</v>
      </c>
      <c r="B8" s="23">
        <v>6.0</v>
      </c>
      <c r="C8" s="21" t="s">
        <v>221</v>
      </c>
      <c r="D8" s="21" t="s">
        <v>222</v>
      </c>
    </row>
    <row r="9" ht="30.0" customHeight="1">
      <c r="A9" s="21" t="s">
        <v>223</v>
      </c>
      <c r="B9" s="23"/>
      <c r="C9" s="21" t="s">
        <v>224</v>
      </c>
      <c r="D9" s="21" t="s">
        <v>225</v>
      </c>
    </row>
    <row r="10" ht="30.0" customHeight="1">
      <c r="A10" s="21" t="s">
        <v>226</v>
      </c>
      <c r="B10" s="23"/>
      <c r="C10" s="21" t="s">
        <v>227</v>
      </c>
      <c r="D10" s="21" t="s">
        <v>228</v>
      </c>
    </row>
    <row r="11" ht="30.0" customHeight="1">
      <c r="A11" s="21" t="s">
        <v>229</v>
      </c>
      <c r="B11" s="54">
        <v>46313.0</v>
      </c>
      <c r="C11" s="21" t="s">
        <v>230</v>
      </c>
      <c r="D11" s="21" t="s">
        <v>90</v>
      </c>
    </row>
    <row r="12" ht="30.0" customHeight="1">
      <c r="A12" s="21" t="s">
        <v>231</v>
      </c>
      <c r="B12" s="54">
        <v>46353.0</v>
      </c>
      <c r="C12" s="21" t="s">
        <v>230</v>
      </c>
      <c r="D12" s="21" t="s">
        <v>232</v>
      </c>
    </row>
    <row r="14">
      <c r="A14" s="25" t="s">
        <v>233</v>
      </c>
    </row>
    <row r="15" ht="33.75" customHeight="1">
      <c r="A15" s="17" t="s">
        <v>234</v>
      </c>
      <c r="B15" s="17" t="s">
        <v>235</v>
      </c>
      <c r="C15" s="17" t="s">
        <v>236</v>
      </c>
      <c r="D15" s="17" t="s">
        <v>177</v>
      </c>
    </row>
    <row r="16" ht="30.0" customHeight="1">
      <c r="A16" s="21" t="s">
        <v>237</v>
      </c>
      <c r="B16" s="23"/>
      <c r="C16" s="23"/>
      <c r="D16" s="23"/>
    </row>
    <row r="17" ht="30.0" customHeight="1">
      <c r="A17" s="21" t="s">
        <v>238</v>
      </c>
      <c r="B17" s="23"/>
      <c r="C17" s="23"/>
      <c r="D17" s="23"/>
    </row>
    <row r="18" ht="30.0" customHeight="1">
      <c r="A18" s="21" t="s">
        <v>239</v>
      </c>
      <c r="B18" s="23"/>
      <c r="C18" s="23"/>
      <c r="D18" s="23"/>
    </row>
    <row r="19" ht="30.0" customHeight="1">
      <c r="A19" s="21" t="s">
        <v>240</v>
      </c>
      <c r="B19" s="23"/>
      <c r="C19" s="23"/>
      <c r="D19" s="23"/>
    </row>
    <row r="20" ht="30.0" customHeight="1">
      <c r="A20" s="21" t="s">
        <v>241</v>
      </c>
      <c r="B20" s="23"/>
      <c r="C20" s="23"/>
      <c r="D20" s="23"/>
    </row>
    <row r="21" ht="30.0" customHeight="1">
      <c r="A21" s="21" t="s">
        <v>242</v>
      </c>
      <c r="B21" s="23"/>
      <c r="C21" s="23"/>
      <c r="D21" s="23"/>
    </row>
    <row r="22" ht="30.0" customHeight="1">
      <c r="A22" s="21" t="s">
        <v>243</v>
      </c>
      <c r="B22" s="23"/>
      <c r="C22" s="23"/>
      <c r="D22" s="23"/>
    </row>
    <row r="23" ht="30.0" customHeight="1">
      <c r="A23" s="21" t="s">
        <v>244</v>
      </c>
      <c r="B23" s="23"/>
      <c r="C23" s="23"/>
      <c r="D23" s="23"/>
    </row>
    <row r="24" ht="15.75" customHeight="1"/>
    <row r="25" ht="15.75" customHeight="1">
      <c r="A25" s="6" t="s">
        <v>245</v>
      </c>
      <c r="B25" s="38" t="str">
        <f>COUNTIF(B16:B23,"Sí")&amp;" de 8"</f>
        <v>0 de 8</v>
      </c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D1"/>
    <mergeCell ref="A2:D2"/>
    <mergeCell ref="A3:D3"/>
  </mergeCells>
  <dataValidations>
    <dataValidation type="list" allowBlank="1" sqref="C16:C23">
      <formula1>"Escrito y verbal,Solo escrito,Solo verbal"</formula1>
    </dataValidation>
    <dataValidation type="list" allowBlank="1" sqref="B16:B23">
      <formula1>"Sí,No"</formula1>
    </dataValidation>
  </dataValidations>
  <printOptions/>
  <pageMargins bottom="1.0" footer="0.0" header="0.0" left="0.75" right="0.75" top="1.0"/>
  <pageSetup fitToHeight="0" orientation="portrait"/>
  <headerFooter>
    <oddFooter>&amp;CMBA Jenny Reynoso Palpa · Seminario de Tesis III · Sesión 4&amp;RPág.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4.0"/>
    <col customWidth="1" min="2" max="6" width="20.0"/>
  </cols>
  <sheetData>
    <row r="1" ht="21.75" customHeight="1">
      <c r="A1" s="1" t="s">
        <v>0</v>
      </c>
      <c r="B1" s="2"/>
      <c r="C1" s="2"/>
      <c r="D1" s="2"/>
      <c r="E1" s="2"/>
      <c r="F1" s="2"/>
    </row>
    <row r="2" ht="30.0" customHeight="1">
      <c r="A2" s="3" t="s">
        <v>254</v>
      </c>
    </row>
    <row r="3" ht="30.0" customHeight="1">
      <c r="A3" s="4" t="s">
        <v>255</v>
      </c>
    </row>
    <row r="4" ht="3.75" customHeight="1">
      <c r="A4" s="5"/>
      <c r="B4" s="5"/>
      <c r="C4" s="5"/>
      <c r="D4" s="5"/>
      <c r="E4" s="5"/>
      <c r="F4" s="5"/>
    </row>
    <row r="6" ht="24.0" customHeight="1">
      <c r="A6" s="6" t="s">
        <v>15</v>
      </c>
      <c r="B6" s="12" t="s">
        <v>17</v>
      </c>
      <c r="C6" s="58"/>
      <c r="D6" s="58"/>
      <c r="E6" s="58"/>
      <c r="F6" s="59"/>
    </row>
    <row r="7" ht="24.0" customHeight="1">
      <c r="A7" s="6" t="s">
        <v>11</v>
      </c>
      <c r="B7" s="12" t="s">
        <v>12</v>
      </c>
      <c r="C7" s="58"/>
      <c r="D7" s="58"/>
      <c r="E7" s="58"/>
      <c r="F7" s="59"/>
    </row>
    <row r="8" ht="24.0" customHeight="1">
      <c r="A8" s="6" t="s">
        <v>256</v>
      </c>
      <c r="B8" s="12" t="s">
        <v>20</v>
      </c>
      <c r="C8" s="58"/>
      <c r="D8" s="58"/>
      <c r="E8" s="58"/>
      <c r="F8" s="59"/>
    </row>
    <row r="9" ht="24.0" customHeight="1">
      <c r="A9" s="6" t="s">
        <v>257</v>
      </c>
      <c r="B9" s="12" t="s">
        <v>23</v>
      </c>
      <c r="C9" s="58"/>
      <c r="D9" s="58"/>
      <c r="E9" s="58"/>
      <c r="F9" s="59"/>
    </row>
    <row r="10" ht="24.0" customHeight="1">
      <c r="A10" s="6" t="s">
        <v>258</v>
      </c>
      <c r="B10" s="12" t="s">
        <v>259</v>
      </c>
      <c r="C10" s="58"/>
      <c r="D10" s="58"/>
      <c r="E10" s="58"/>
      <c r="F10" s="59"/>
    </row>
    <row r="11" ht="24.0" customHeight="1">
      <c r="A11" s="6" t="s">
        <v>260</v>
      </c>
      <c r="B11" s="60">
        <v>46313.0</v>
      </c>
      <c r="C11" s="58"/>
      <c r="D11" s="58"/>
      <c r="E11" s="58"/>
      <c r="F11" s="59"/>
    </row>
    <row r="12" ht="24.0" customHeight="1">
      <c r="A12" s="6" t="s">
        <v>261</v>
      </c>
      <c r="B12" s="12"/>
      <c r="C12" s="8"/>
      <c r="D12" s="8"/>
      <c r="E12" s="8"/>
      <c r="F12" s="10"/>
    </row>
    <row r="13" ht="24.0" customHeight="1">
      <c r="A13" s="6" t="s">
        <v>262</v>
      </c>
      <c r="B13" s="12"/>
      <c r="C13" s="8"/>
      <c r="D13" s="8"/>
      <c r="E13" s="8"/>
      <c r="F13" s="10"/>
    </row>
    <row r="14" ht="24.0" customHeight="1">
      <c r="A14" s="6" t="s">
        <v>263</v>
      </c>
      <c r="B14" s="12"/>
      <c r="C14" s="8"/>
      <c r="D14" s="8"/>
      <c r="E14" s="8"/>
      <c r="F14" s="10"/>
    </row>
    <row r="15" ht="24.0" customHeight="1">
      <c r="A15" s="6" t="s">
        <v>264</v>
      </c>
      <c r="B15" s="12"/>
      <c r="C15" s="8"/>
      <c r="D15" s="8"/>
      <c r="E15" s="8"/>
      <c r="F15" s="10"/>
    </row>
    <row r="16" ht="24.0" customHeight="1">
      <c r="A16" s="6" t="s">
        <v>265</v>
      </c>
      <c r="B16" s="61">
        <f>'06_Registro_capacitacion'!E47</f>
        <v>0</v>
      </c>
      <c r="C16" s="8"/>
      <c r="D16" s="8"/>
      <c r="E16" s="8"/>
      <c r="F16" s="10"/>
    </row>
    <row r="17" ht="24.0" customHeight="1">
      <c r="A17" s="6" t="s">
        <v>266</v>
      </c>
      <c r="B17" s="62" t="str">
        <f>'08_Protocolo_condiciones'!B25</f>
        <v>0 de 8</v>
      </c>
      <c r="C17" s="8"/>
      <c r="D17" s="8"/>
      <c r="E17" s="8"/>
      <c r="F17" s="10"/>
    </row>
    <row r="18" ht="24.0" customHeight="1">
      <c r="A18" s="6" t="s">
        <v>267</v>
      </c>
      <c r="B18" s="12"/>
      <c r="C18" s="8"/>
      <c r="D18" s="8"/>
      <c r="E18" s="8"/>
      <c r="F18" s="10"/>
    </row>
    <row r="19" ht="24.0" customHeight="1">
      <c r="A19" s="6" t="s">
        <v>268</v>
      </c>
      <c r="B19" s="12"/>
      <c r="C19" s="8"/>
      <c r="D19" s="8"/>
      <c r="E19" s="8"/>
      <c r="F19" s="10"/>
    </row>
    <row r="21" ht="36.0" customHeight="1">
      <c r="A21" s="63" t="s">
        <v>269</v>
      </c>
    </row>
    <row r="22" ht="15.75" customHeight="1"/>
    <row r="23" ht="15.75" customHeight="1"/>
    <row r="24" ht="15.75" customHeight="1"/>
    <row r="25" ht="15.75" customHeight="1">
      <c r="A25" s="33" t="s">
        <v>163</v>
      </c>
      <c r="C25" s="33" t="s">
        <v>163</v>
      </c>
      <c r="E25" s="33" t="s">
        <v>163</v>
      </c>
    </row>
    <row r="26" ht="15.75" customHeight="1">
      <c r="A26" s="44" t="s">
        <v>165</v>
      </c>
      <c r="C26" s="44" t="s">
        <v>270</v>
      </c>
      <c r="E26" s="44" t="s">
        <v>271</v>
      </c>
    </row>
    <row r="27" ht="15.75" customHeight="1">
      <c r="A27" s="45" t="s">
        <v>168</v>
      </c>
      <c r="C27" s="45" t="s">
        <v>168</v>
      </c>
      <c r="E27" s="45" t="s">
        <v>168</v>
      </c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B16:F16"/>
    <mergeCell ref="B17:F17"/>
    <mergeCell ref="B18:F18"/>
    <mergeCell ref="B19:F19"/>
    <mergeCell ref="A21:F21"/>
    <mergeCell ref="A1:F1"/>
    <mergeCell ref="A2:F2"/>
    <mergeCell ref="A3:F3"/>
    <mergeCell ref="B12:F12"/>
    <mergeCell ref="B13:F13"/>
    <mergeCell ref="B14:F14"/>
    <mergeCell ref="B15:F15"/>
  </mergeCells>
  <printOptions/>
  <pageMargins bottom="1.0" footer="0.0" header="0.0" left="0.75" right="0.75" top="1.0"/>
  <pageSetup fitToHeight="0" orientation="portrait"/>
  <headerFooter>
    <oddFooter>&amp;CMBA Jenny Reynoso Palpa · Seminario de Tesis III · Sesión 4&amp;RPág.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40.0"/>
    <col customWidth="1" min="2" max="2" width="50.0"/>
    <col customWidth="1" min="3" max="3" width="14.0"/>
    <col customWidth="1" min="4" max="4" width="16.0"/>
    <col customWidth="1" min="5" max="5" width="12.0"/>
    <col customWidth="1" min="6" max="6" width="8.71"/>
  </cols>
  <sheetData>
    <row r="1" ht="21.75" customHeight="1">
      <c r="A1" s="1" t="s">
        <v>0</v>
      </c>
      <c r="B1" s="2"/>
      <c r="C1" s="2"/>
      <c r="D1" s="2"/>
      <c r="E1" s="2"/>
    </row>
    <row r="2" ht="30.0" customHeight="1">
      <c r="A2" s="3" t="s">
        <v>272</v>
      </c>
    </row>
    <row r="3" ht="30.0" customHeight="1">
      <c r="A3" s="4" t="s">
        <v>273</v>
      </c>
    </row>
    <row r="4" ht="3.75" customHeight="1">
      <c r="A4" s="5"/>
      <c r="B4" s="5"/>
      <c r="C4" s="5"/>
      <c r="D4" s="5"/>
      <c r="E4" s="5"/>
    </row>
    <row r="6">
      <c r="A6" s="6" t="s">
        <v>11</v>
      </c>
      <c r="B6" s="9" t="s">
        <v>12</v>
      </c>
      <c r="C6" s="11"/>
      <c r="D6" s="11"/>
      <c r="E6" s="13"/>
    </row>
    <row r="7">
      <c r="A7" s="6" t="s">
        <v>15</v>
      </c>
      <c r="B7" s="9" t="s">
        <v>17</v>
      </c>
      <c r="C7" s="11"/>
      <c r="D7" s="11"/>
      <c r="E7" s="13"/>
    </row>
    <row r="8">
      <c r="A8" s="6" t="s">
        <v>18</v>
      </c>
      <c r="B8" s="9" t="s">
        <v>20</v>
      </c>
      <c r="C8" s="11"/>
      <c r="D8" s="11"/>
      <c r="E8" s="13"/>
    </row>
    <row r="9">
      <c r="A9" s="6" t="s">
        <v>21</v>
      </c>
      <c r="B9" s="9" t="s">
        <v>23</v>
      </c>
      <c r="C9" s="11"/>
      <c r="D9" s="11"/>
      <c r="E9" s="13"/>
    </row>
    <row r="11" ht="33.75" customHeight="1">
      <c r="A11" s="17" t="s">
        <v>274</v>
      </c>
      <c r="B11" s="17" t="s">
        <v>275</v>
      </c>
      <c r="C11" s="17" t="s">
        <v>276</v>
      </c>
      <c r="D11" s="17" t="s">
        <v>277</v>
      </c>
      <c r="E11" s="17" t="s">
        <v>278</v>
      </c>
    </row>
    <row r="12" ht="30.0" customHeight="1">
      <c r="A12" s="21" t="s">
        <v>279</v>
      </c>
      <c r="B12" s="21" t="s">
        <v>280</v>
      </c>
      <c r="C12" s="18">
        <v>5.0</v>
      </c>
      <c r="D12" s="64"/>
      <c r="E12" s="65" t="str">
        <f t="shared" ref="E12:E16" si="1">IF(D12="","",D12/C12)</f>
        <v/>
      </c>
    </row>
    <row r="13" ht="30.0" customHeight="1">
      <c r="A13" s="21" t="s">
        <v>281</v>
      </c>
      <c r="B13" s="21" t="s">
        <v>282</v>
      </c>
      <c r="C13" s="18">
        <v>3.0</v>
      </c>
      <c r="D13" s="64"/>
      <c r="E13" s="65" t="str">
        <f t="shared" si="1"/>
        <v/>
      </c>
    </row>
    <row r="14" ht="30.0" customHeight="1">
      <c r="A14" s="21" t="s">
        <v>283</v>
      </c>
      <c r="B14" s="21" t="s">
        <v>284</v>
      </c>
      <c r="C14" s="18">
        <v>4.0</v>
      </c>
      <c r="D14" s="64"/>
      <c r="E14" s="65" t="str">
        <f t="shared" si="1"/>
        <v/>
      </c>
    </row>
    <row r="15" ht="30.0" customHeight="1">
      <c r="A15" s="21" t="s">
        <v>285</v>
      </c>
      <c r="B15" s="21" t="s">
        <v>286</v>
      </c>
      <c r="C15" s="18">
        <v>5.0</v>
      </c>
      <c r="D15" s="64"/>
      <c r="E15" s="65" t="str">
        <f t="shared" si="1"/>
        <v/>
      </c>
    </row>
    <row r="16" ht="30.0" customHeight="1">
      <c r="A16" s="21" t="s">
        <v>287</v>
      </c>
      <c r="B16" s="21" t="s">
        <v>288</v>
      </c>
      <c r="C16" s="18">
        <v>3.0</v>
      </c>
      <c r="D16" s="64"/>
      <c r="E16" s="65" t="str">
        <f t="shared" si="1"/>
        <v/>
      </c>
    </row>
    <row r="17">
      <c r="A17" s="66" t="s">
        <v>289</v>
      </c>
      <c r="C17" s="39">
        <f t="shared" ref="C17:D17" si="2">SUM(C12:C16)</f>
        <v>20</v>
      </c>
      <c r="D17" s="39">
        <f t="shared" si="2"/>
        <v>0</v>
      </c>
    </row>
    <row r="18">
      <c r="A18" s="6" t="s">
        <v>290</v>
      </c>
      <c r="D18" s="56" t="str">
        <f>IF(COUNT(D12:D16)=0,"",IF(D17&gt;=17,"Logrado",IF(D17&gt;=11,"En proceso","Inicio")))</f>
        <v/>
      </c>
    </row>
    <row r="20" ht="43.5" customHeight="1">
      <c r="A20" s="41" t="s">
        <v>291</v>
      </c>
      <c r="B20" s="2"/>
      <c r="C20" s="2"/>
      <c r="D20" s="2"/>
      <c r="E20" s="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E1"/>
    <mergeCell ref="A2:E2"/>
    <mergeCell ref="A3:E3"/>
    <mergeCell ref="A20:E20"/>
  </mergeCells>
  <dataValidations>
    <dataValidation type="decimal" allowBlank="1" sqref="D12:D16">
      <formula1>0.0</formula1>
      <formula2>5.0</formula2>
    </dataValidation>
    <dataValidation type="list" allowBlank="1" sqref="B9:E9">
      <formula1>"Preexperimental (un grupo),Cuasiexperimental (GE y GC)"</formula1>
    </dataValidation>
  </dataValidations>
  <printOptions/>
  <pageMargins bottom="1.0" footer="0.0" header="0.0" left="0.75" right="0.75" top="1.0"/>
  <pageSetup fitToHeight="0" orientation="landscape"/>
  <headerFooter>
    <oddFooter>&amp;CMBA Jenny Reynoso Palpa · Seminario de Tesis III · Sesión 4&amp;RPág.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46.0"/>
    <col customWidth="1" min="2" max="3" width="18.0"/>
    <col customWidth="1" min="4" max="4" width="40.0"/>
    <col customWidth="1" min="5" max="6" width="8.71"/>
  </cols>
  <sheetData>
    <row r="1" ht="21.75" customHeight="1">
      <c r="A1" s="1" t="s">
        <v>0</v>
      </c>
      <c r="B1" s="2"/>
      <c r="C1" s="2"/>
      <c r="D1" s="2"/>
    </row>
    <row r="2" ht="30.0" customHeight="1">
      <c r="A2" s="3" t="s">
        <v>292</v>
      </c>
    </row>
    <row r="3" ht="30.0" customHeight="1">
      <c r="A3" s="4" t="s">
        <v>293</v>
      </c>
    </row>
    <row r="4" ht="3.75" customHeight="1">
      <c r="A4" s="5"/>
      <c r="B4" s="5"/>
      <c r="C4" s="5"/>
      <c r="D4" s="5"/>
    </row>
    <row r="6" ht="33.75" customHeight="1">
      <c r="A6" s="17" t="s">
        <v>294</v>
      </c>
      <c r="B6" s="17" t="s">
        <v>295</v>
      </c>
      <c r="C6" s="17" t="s">
        <v>296</v>
      </c>
      <c r="D6" s="17" t="s">
        <v>44</v>
      </c>
    </row>
    <row r="7" ht="30.0" customHeight="1">
      <c r="A7" s="21" t="s">
        <v>297</v>
      </c>
      <c r="B7" s="65">
        <f>'01_Lista_cotejo'!C24</f>
        <v>0.1</v>
      </c>
      <c r="C7" s="65">
        <v>1.0</v>
      </c>
      <c r="D7" s="21" t="str">
        <f t="shared" ref="D7:D10" si="1">IF(B7&gt;=C7,"✔ Cumple","✘ Pendiente")</f>
        <v>✘ Pendiente</v>
      </c>
    </row>
    <row r="8" ht="30.0" customHeight="1">
      <c r="A8" s="21" t="s">
        <v>298</v>
      </c>
      <c r="B8" s="65">
        <f>'04_Verificacion_funcional'!C35</f>
        <v>0</v>
      </c>
      <c r="C8" s="65">
        <v>1.0</v>
      </c>
      <c r="D8" s="21" t="str">
        <f t="shared" si="1"/>
        <v>✘ Pendiente</v>
      </c>
    </row>
    <row r="9" ht="30.0" customHeight="1">
      <c r="A9" s="21" t="s">
        <v>299</v>
      </c>
      <c r="B9" s="65">
        <f>'06_Registro_capacitacion'!E47</f>
        <v>0</v>
      </c>
      <c r="C9" s="65">
        <v>1.0</v>
      </c>
      <c r="D9" s="21" t="str">
        <f t="shared" si="1"/>
        <v>✘ Pendiente</v>
      </c>
    </row>
    <row r="10" ht="30.0" customHeight="1">
      <c r="A10" s="21" t="s">
        <v>300</v>
      </c>
      <c r="B10" s="67">
        <f>COUNTIF('08_Protocolo_condiciones'!B16:B23,"Sí")</f>
        <v>0</v>
      </c>
      <c r="C10" s="67">
        <v>8.0</v>
      </c>
      <c r="D10" s="21" t="str">
        <f t="shared" si="1"/>
        <v>✘ Pendiente</v>
      </c>
    </row>
    <row r="11" ht="30.0" customHeight="1">
      <c r="A11" s="21" t="s">
        <v>301</v>
      </c>
      <c r="B11" s="67">
        <f>'07_Registro_incidencias'!C54</f>
        <v>0</v>
      </c>
      <c r="C11" s="67">
        <v>0.0</v>
      </c>
      <c r="D11" s="21" t="str">
        <f>IF(B11=C11,"✔ Cumple","✘ Pendiente")</f>
        <v>✔ Cumple</v>
      </c>
    </row>
    <row r="13">
      <c r="A13" s="68" t="str">
        <f>IF(COUNTIF(D7:D11,"✔*")=5,"✔ LISTO PARA INICIAR LA INTERVENCIÓN (T₀)","✘ AÚN NO: completa los indicadores pendientes")</f>
        <v>✘ AÚN NO: completa los indicadores pendientes</v>
      </c>
      <c r="B13" s="69"/>
      <c r="C13" s="69"/>
      <c r="D13" s="69"/>
    </row>
    <row r="14">
      <c r="A14" s="70"/>
    </row>
    <row r="16">
      <c r="A16" s="6" t="s">
        <v>302</v>
      </c>
      <c r="B16" s="38">
        <f>'10_Rubrica_informe'!D17</f>
        <v>0</v>
      </c>
      <c r="C16" s="50" t="s">
        <v>303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D1"/>
    <mergeCell ref="A2:D2"/>
    <mergeCell ref="A3:D3"/>
    <mergeCell ref="A13:D14"/>
  </mergeCells>
  <conditionalFormatting sqref="D7:D11">
    <cfRule type="expression" dxfId="2" priority="1">
      <formula>LEFT(D7,1)="✔"</formula>
    </cfRule>
  </conditionalFormatting>
  <conditionalFormatting sqref="D7:D11">
    <cfRule type="expression" dxfId="3" priority="2">
      <formula>LEFT(D7,1)="✘"</formula>
    </cfRule>
  </conditionalFormatting>
  <printOptions/>
  <pageMargins bottom="1.0" footer="0.0" header="0.0" left="0.75" right="0.75" top="1.0"/>
  <pageSetup fitToHeight="0" orientation="portrait"/>
  <headerFooter>
    <oddFooter>&amp;CMBA Jenny Reynoso Palpa · Seminario de Tesis III · Sesión 4&amp;RPág. &amp;P</oddFooter>
  </headerFooter>
  <drawing r:id="rId1"/>
</worksheet>
</file>