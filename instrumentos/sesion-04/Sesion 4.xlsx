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Guia" sheetId="1" state="visible" r:id="rId1"/>
    <sheet xmlns:r="http://schemas.openxmlformats.org/officeDocument/2006/relationships" name="01_Lista_cotejo" sheetId="2" state="visible" r:id="rId2"/>
    <sheet xmlns:r="http://schemas.openxmlformats.org/officeDocument/2006/relationships" name="02_Acta_instalacion" sheetId="3" state="visible" r:id="rId3"/>
    <sheet xmlns:r="http://schemas.openxmlformats.org/officeDocument/2006/relationships" name="03_Matriz_roles" sheetId="4" state="visible" r:id="rId4"/>
    <sheet xmlns:r="http://schemas.openxmlformats.org/officeDocument/2006/relationships" name="04_Verificacion_funcional" sheetId="5" state="visible" r:id="rId5"/>
    <sheet xmlns:r="http://schemas.openxmlformats.org/officeDocument/2006/relationships" name="05_Pruebas_iniciales" sheetId="6" state="visible" r:id="rId6"/>
    <sheet xmlns:r="http://schemas.openxmlformats.org/officeDocument/2006/relationships" name="06_Registro_capacitacion" sheetId="7" state="visible" r:id="rId7"/>
    <sheet xmlns:r="http://schemas.openxmlformats.org/officeDocument/2006/relationships" name="07_Registro_incidencias" sheetId="8" state="visible" r:id="rId8"/>
    <sheet xmlns:r="http://schemas.openxmlformats.org/officeDocument/2006/relationships" name="08_Protocolo_condiciones" sheetId="9" state="visible" r:id="rId9"/>
    <sheet xmlns:r="http://schemas.openxmlformats.org/officeDocument/2006/relationships" name="09_Acta_inicio_T0" sheetId="10" state="visible" r:id="rId10"/>
    <sheet xmlns:r="http://schemas.openxmlformats.org/officeDocument/2006/relationships" name="10_Rubrica_informe" sheetId="11" state="visible" r:id="rId11"/>
    <sheet xmlns:r="http://schemas.openxmlformats.org/officeDocument/2006/relationships" name="11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hh:mm"/>
    <numFmt numFmtId="166" formatCode="dd/mm/yyyy\ hh:mm"/>
    <numFmt numFmtId="167" formatCode="d/m/yyyy"/>
    <numFmt numFmtId="168" formatCode="yyyy-mm-dd h:mm:ss"/>
  </numFmts>
  <fonts count="24">
    <font>
      <name val="Calibri"/>
      <color theme="1"/>
      <sz val="11"/>
      <scheme val="minor"/>
    </font>
    <font>
      <name val="Arial"/>
      <b val="1"/>
      <color rgb="FFFFFFFF"/>
      <sz val="10"/>
    </font>
    <font/>
    <font>
      <name val="Arial"/>
      <b val="1"/>
      <color rgb="FF0B2A6B"/>
      <sz val="16"/>
    </font>
    <font>
      <name val="Arial"/>
      <i val="1"/>
      <color rgb="FF3E4A5C"/>
      <sz val="10"/>
    </font>
    <font>
      <name val="Calibri"/>
      <color theme="1"/>
      <sz val="11"/>
    </font>
    <font>
      <name val="Arial"/>
      <b val="1"/>
      <color rgb="FF0B2A6B"/>
      <sz val="11"/>
    </font>
    <font>
      <name val="Arial"/>
      <color rgb="FF1B2430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i val="1"/>
      <color rgb="FF1F4E9A"/>
      <sz val="11"/>
    </font>
    <font>
      <name val="Arial"/>
      <b val="1"/>
      <color rgb="FFB3161B"/>
      <sz val="12"/>
    </font>
    <font>
      <name val="Arial"/>
      <i val="1"/>
      <color rgb="FF1F4E9A"/>
      <sz val="10"/>
    </font>
    <font>
      <name val="Arial"/>
      <color rgb="FF1F4E9A"/>
      <sz val="11"/>
    </font>
    <font>
      <name val="Arial"/>
      <b val="1"/>
      <color rgb="FFB3161B"/>
      <sz val="11"/>
    </font>
    <font>
      <name val="Arial"/>
      <i val="1"/>
      <color rgb="FF1F4E9A"/>
      <sz val="10"/>
      <u val="single"/>
    </font>
    <font>
      <name val="Arial"/>
      <color rgb="FF1B2430"/>
      <sz val="10"/>
    </font>
    <font>
      <name val="Arial"/>
      <color rgb="FF1B2430"/>
      <sz val="10"/>
      <u val="single"/>
    </font>
    <font>
      <name val="Arial"/>
      <b val="1"/>
      <color rgb="FF1B2430"/>
      <sz val="11"/>
    </font>
    <font>
      <name val="Arial"/>
      <b val="1"/>
      <color rgb="FF0B2A6B"/>
      <sz val="10"/>
    </font>
    <font>
      <name val="Arial"/>
      <i val="1"/>
      <color rgb="FF3E4A5C"/>
      <sz val="9"/>
    </font>
    <font>
      <name val="Arial"/>
      <b val="1"/>
      <color rgb="FF0000FF"/>
      <sz val="11"/>
    </font>
    <font>
      <name val="Arial"/>
      <i val="1"/>
      <color rgb="FF1B2430"/>
      <sz val="11"/>
    </font>
    <font>
      <name val="Arial"/>
      <b val="1"/>
      <color rgb="FFFFFFFF"/>
      <sz val="16"/>
    </font>
  </fonts>
  <fills count="7">
    <fill>
      <patternFill/>
    </fill>
    <fill>
      <patternFill patternType="lightGray"/>
    </fill>
    <fill>
      <patternFill patternType="solid">
        <fgColor rgb="FF0B2A6B"/>
        <bgColor rgb="FF0B2A6B"/>
      </patternFill>
    </fill>
    <fill>
      <patternFill patternType="solid">
        <fgColor rgb="FF29ABE2"/>
        <bgColor rgb="FF29ABE2"/>
      </patternFill>
    </fill>
    <fill>
      <patternFill patternType="solid">
        <fgColor rgb="FFFFF7D1"/>
        <bgColor rgb="FFFFF7D1"/>
      </patternFill>
    </fill>
    <fill>
      <patternFill patternType="solid">
        <fgColor rgb="FF2580C3"/>
        <bgColor rgb="FF2580C3"/>
      </patternFill>
    </fill>
    <fill>
      <patternFill patternType="solid">
        <fgColor rgb="FFF2F6FB"/>
        <bgColor rgb="FFF2F6FB"/>
      </patternFill>
    </fill>
  </fills>
  <borders count="13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9DB4CF"/>
      </left>
      <top style="thin">
        <color rgb="FF9DB4CF"/>
      </top>
      <bottom style="thin">
        <color rgb="FF9DB4CF"/>
      </bottom>
    </border>
    <border>
      <top style="thin">
        <color rgb="FF9DB4CF"/>
      </top>
      <bottom style="thin">
        <color rgb="FF9DB4CF"/>
      </bottom>
    </border>
    <border>
      <right style="thin">
        <color rgb="FF9DB4CF"/>
      </right>
      <top style="thin">
        <color rgb="FF9DB4CF"/>
      </top>
      <bottom style="thin">
        <color rgb="FF9DB4CF"/>
      </bottom>
    </border>
    <border>
      <left style="thin">
        <color rgb="FF9DB4CF"/>
      </left>
      <right style="thin">
        <color rgb="FF9DB4CF"/>
      </right>
      <top style="thin">
        <color rgb="FF9DB4CF"/>
      </top>
      <bottom style="thin">
        <color rgb="FF9DB4CF"/>
      </bottom>
    </border>
    <border>
      <left/>
      <top/>
    </border>
    <border>
      <top/>
    </border>
    <border>
      <left/>
    </border>
    <border>
      <top style="thin">
        <color rgb="FF9DB4CF"/>
      </top>
    </border>
    <border>
      <right style="thin">
        <color rgb="FF9DB4CF"/>
      </right>
      <top style="thin">
        <color rgb="FF9DB4CF"/>
      </top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5" fillId="4" borderId="4" applyAlignment="1" pivotButton="0" quotePrefix="0" xfId="0">
      <alignment vertical="bottom"/>
    </xf>
    <xf numFmtId="0" fontId="2" fillId="0" borderId="5" pivotButton="0" quotePrefix="0" xfId="0"/>
    <xf numFmtId="0" fontId="7" fillId="4" borderId="4" applyAlignment="1" pivotButton="0" quotePrefix="0" xfId="0">
      <alignment vertical="bottom"/>
    </xf>
    <xf numFmtId="0" fontId="2" fillId="0" borderId="6" pivotButton="0" quotePrefix="0" xfId="0"/>
    <xf numFmtId="0" fontId="7" fillId="4" borderId="5" applyAlignment="1" pivotButton="0" quotePrefix="0" xfId="0">
      <alignment vertical="bottom"/>
    </xf>
    <xf numFmtId="0" fontId="5" fillId="4" borderId="4" applyAlignment="1" pivotButton="0" quotePrefix="0" xfId="0">
      <alignment vertical="bottom"/>
    </xf>
    <xf numFmtId="0" fontId="7" fillId="4" borderId="6" applyAlignment="1" pivotButton="0" quotePrefix="0" xfId="0">
      <alignment vertical="bottom"/>
    </xf>
    <xf numFmtId="0" fontId="7" fillId="4" borderId="4" applyAlignment="1" pivotButton="0" quotePrefix="0" xfId="0">
      <alignment vertical="bottom"/>
    </xf>
    <xf numFmtId="0" fontId="8" fillId="2" borderId="1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9" fillId="5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10" fillId="4" borderId="7" applyAlignment="1" pivotButton="0" quotePrefix="0" xfId="0">
      <alignment vertical="center" wrapText="1"/>
    </xf>
    <xf numFmtId="0" fontId="7" fillId="0" borderId="7" applyAlignment="1" pivotButton="0" quotePrefix="0" xfId="0">
      <alignment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11" fillId="0" borderId="0" applyAlignment="1" pivotButton="0" quotePrefix="0" xfId="0">
      <alignment vertical="bottom"/>
    </xf>
    <xf numFmtId="0" fontId="10" fillId="4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vertical="center" wrapText="1"/>
    </xf>
    <xf numFmtId="0" fontId="7" fillId="4" borderId="7" applyAlignment="1" pivotButton="0" quotePrefix="0" xfId="0">
      <alignment horizontal="center" vertical="center" wrapText="1"/>
    </xf>
    <xf numFmtId="0" fontId="12" fillId="4" borderId="7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2" fillId="4" borderId="7" applyAlignment="1" pivotButton="0" quotePrefix="0" xfId="0">
      <alignment vertical="center" wrapText="1"/>
    </xf>
    <xf numFmtId="0" fontId="14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5" fillId="4" borderId="7" applyAlignment="1" pivotButton="0" quotePrefix="0" xfId="0">
      <alignment vertical="center" wrapText="1"/>
    </xf>
    <xf numFmtId="0" fontId="16" fillId="4" borderId="7" applyAlignment="1" pivotButton="0" quotePrefix="0" xfId="0">
      <alignment vertical="center" wrapText="1"/>
    </xf>
    <xf numFmtId="0" fontId="16" fillId="4" borderId="7" applyAlignment="1" pivotButton="0" quotePrefix="0" xfId="0">
      <alignment vertical="center" wrapText="1"/>
    </xf>
    <xf numFmtId="0" fontId="17" fillId="4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bottom"/>
    </xf>
    <xf numFmtId="0" fontId="18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vertical="bottom"/>
    </xf>
    <xf numFmtId="0" fontId="4" fillId="6" borderId="1" applyAlignment="1" pivotButton="0" quotePrefix="0" xfId="0">
      <alignment vertical="center" wrapText="1"/>
    </xf>
    <xf numFmtId="9" fontId="18" fillId="0" borderId="7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21" fillId="4" borderId="7" applyAlignment="1" pivotButton="0" quotePrefix="0" xfId="0">
      <alignment vertical="bottom"/>
    </xf>
    <xf numFmtId="164" fontId="10" fillId="4" borderId="7" applyAlignment="1" pivotButton="0" quotePrefix="0" xfId="0">
      <alignment vertical="center" wrapText="1"/>
    </xf>
    <xf numFmtId="165" fontId="10" fillId="4" borderId="7" applyAlignment="1" pivotButton="0" quotePrefix="0" xfId="0">
      <alignment vertical="center" wrapText="1"/>
    </xf>
    <xf numFmtId="166" fontId="10" fillId="4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bottom"/>
    </xf>
    <xf numFmtId="166" fontId="7" fillId="4" borderId="7" applyAlignment="1" pivotButton="0" quotePrefix="0" xfId="0">
      <alignment vertical="center" wrapText="1"/>
    </xf>
    <xf numFmtId="164" fontId="7" fillId="4" borderId="7" applyAlignment="1" pivotButton="0" quotePrefix="0" xfId="0">
      <alignment vertical="center" wrapText="1"/>
    </xf>
    <xf numFmtId="165" fontId="7" fillId="4" borderId="7" applyAlignment="1" pivotButton="0" quotePrefix="0" xfId="0">
      <alignment vertical="center" wrapText="1"/>
    </xf>
    <xf numFmtId="167" fontId="7" fillId="4" borderId="7" applyAlignment="1" pivotButton="0" quotePrefix="0" xfId="0">
      <alignment vertical="center" wrapText="1"/>
    </xf>
    <xf numFmtId="0" fontId="18" fillId="4" borderId="7" applyAlignment="1" pivotButton="0" quotePrefix="0" xfId="0">
      <alignment vertical="bottom"/>
    </xf>
    <xf numFmtId="0" fontId="18" fillId="0" borderId="7" applyAlignment="1" pivotButton="0" quotePrefix="0" xfId="0">
      <alignment vertical="bottom"/>
    </xf>
    <xf numFmtId="9" fontId="18" fillId="0" borderId="7" applyAlignment="1" pivotButton="0" quotePrefix="0" xfId="0">
      <alignment vertical="bottom"/>
    </xf>
    <xf numFmtId="0" fontId="5" fillId="4" borderId="5" applyAlignment="1" pivotButton="0" quotePrefix="0" xfId="0">
      <alignment vertical="bottom"/>
    </xf>
    <xf numFmtId="0" fontId="5" fillId="4" borderId="6" applyAlignment="1" pivotButton="0" quotePrefix="0" xfId="0">
      <alignment vertical="bottom"/>
    </xf>
    <xf numFmtId="167" fontId="5" fillId="4" borderId="4" applyAlignment="1" pivotButton="0" quotePrefix="0" xfId="0">
      <alignment vertical="bottom"/>
    </xf>
    <xf numFmtId="9" fontId="5" fillId="0" borderId="4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22" fillId="0" borderId="0" applyAlignment="1" pivotButton="0" quotePrefix="0" xfId="0">
      <alignment vertical="center" wrapText="1"/>
    </xf>
    <xf numFmtId="0" fontId="7" fillId="4" borderId="7" applyAlignment="1" pivotButton="0" quotePrefix="0" xfId="0">
      <alignment horizontal="center" vertical="center" wrapText="1"/>
    </xf>
    <xf numFmtId="9" fontId="7" fillId="0" borderId="7" applyAlignment="1" pivotButton="0" quotePrefix="0" xfId="0">
      <alignment vertical="center" wrapText="1"/>
    </xf>
    <xf numFmtId="0" fontId="9" fillId="2" borderId="3" applyAlignment="1" pivotButton="0" quotePrefix="0" xfId="0">
      <alignment vertical="bottom"/>
    </xf>
    <xf numFmtId="1" fontId="7" fillId="0" borderId="7" applyAlignment="1" pivotButton="0" quotePrefix="0" xfId="0">
      <alignment vertical="center" wrapText="1"/>
    </xf>
    <xf numFmtId="0" fontId="23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168" fontId="5" fillId="4" borderId="7" applyAlignment="1" pivotButton="0" quotePrefix="0" xfId="0">
      <alignment vertical="bottom"/>
    </xf>
    <xf numFmtId="168" fontId="10" fillId="4" borderId="7" applyAlignment="1" pivotButton="0" quotePrefix="0" xfId="0">
      <alignment vertical="center" wrapText="1"/>
    </xf>
    <xf numFmtId="168" fontId="7" fillId="4" borderId="7" applyAlignment="1" pivotButton="0" quotePrefix="0" xfId="0">
      <alignment vertical="center" wrapText="1"/>
    </xf>
    <xf numFmtId="9" fontId="5" fillId="0" borderId="7" applyAlignment="1" pivotButton="0" quotePrefix="0" xfId="0">
      <alignment vertical="bottom"/>
    </xf>
    <xf numFmtId="0" fontId="5" fillId="0" borderId="7" applyAlignment="1" pivotButton="0" quotePrefix="0" xfId="0">
      <alignment vertical="bottom"/>
    </xf>
  </cellXfs>
  <cellStyles count="1">
    <cellStyle name="Normal" xfId="0" builtinId="0"/>
  </cellStyles>
  <dxfs count="4">
    <dxf>
      <font/>
      <fill>
        <patternFill patternType="solid">
          <fgColor rgb="FFD9F2E3"/>
          <bgColor rgb="FFD9F2E3"/>
        </patternFill>
      </fill>
      <border/>
    </dxf>
    <dxf>
      <font/>
      <fill>
        <patternFill patternType="solid">
          <fgColor rgb="FFF9D6D6"/>
          <bgColor rgb="FFF9D6D6"/>
        </patternFill>
      </fill>
      <border/>
    </dxf>
    <dxf>
      <font>
        <name val="Arial"/>
        <b val="1"/>
        <color rgb="FF1C7C4F"/>
      </font>
      <fill>
        <patternFill patternType="solid">
          <fgColor rgb="FFD9F2E3"/>
          <bgColor rgb="FFD9F2E3"/>
        </patternFill>
      </fill>
      <border/>
    </dxf>
    <dxf>
      <font>
        <name val="Arial"/>
        <b val="1"/>
        <color rgb="FFB3161B"/>
      </font>
      <fill>
        <patternFill patternType="solid">
          <fgColor rgb="FFF9D6D6"/>
          <bgColor rgb="FFF9D6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at.tudiariohuanuco.pe/" TargetMode="External" Id="rId1"/><Relationship Type="http://schemas.openxmlformats.org/officeDocument/2006/relationships/hyperlink" Target="http://api.tudiariohuanuco.pe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71" min="1" max="1"/>
    <col width="34" customWidth="1" style="71" min="2" max="2"/>
    <col width="70" customWidth="1" style="71" min="3" max="3"/>
    <col width="26" customWidth="1" style="71" min="4" max="4"/>
    <col width="8.710000000000001" customWidth="1" style="71" min="5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GUÍA DEL ESTUDIANTE · SESIÓN 4: DESPLIEGUE E INICIO DE LA SOLUCIÓN TECNOLÓGICA</t>
        </is>
      </c>
    </row>
    <row r="3" ht="30" customHeight="1" s="71">
      <c r="A3" s="4" t="inlineStr">
        <is>
          <t>Unidad I · Semana 4 · Investigación aplicada, cuantitativa, nivel aplicativo, diseño preexperimental o cuasiexperimental</t>
        </is>
      </c>
    </row>
    <row r="4" ht="3.75" customHeight="1" s="71">
      <c r="A4" s="5" t="n"/>
      <c r="B4" s="5" t="n"/>
      <c r="C4" s="5" t="n"/>
      <c r="D4" s="5" t="n"/>
    </row>
    <row r="5"/>
    <row r="6" ht="24" customHeight="1" s="71">
      <c r="A6" s="15" t="inlineStr">
        <is>
          <t>1. PROPÓSITO</t>
        </is>
      </c>
    </row>
    <row r="7" ht="61.5" customHeight="1" s="71">
      <c r="A7" s="16" t="inlineStr">
        <is>
          <t>Esta guía te acompaña para iniciar formalmente la intervención (T₀): instalar o desplegar tu solución, configurar usuarios, roles y datos, verificar su operatividad, capacitar a los participantes, realizar pruebas iniciales, comunicar las condiciones de uso y registrar el inicio. Todo debe quedar evidenciado para la Tarea Académica 1.</t>
        </is>
      </c>
    </row>
    <row r="8" ht="24" customHeight="1" s="71">
      <c r="A8" s="15" t="inlineStr">
        <is>
          <t>2. INDICADOR DE LOGRO</t>
        </is>
      </c>
    </row>
    <row r="9" ht="36" customHeight="1" s="71">
      <c r="A9" s="16" t="inlineStr">
        <is>
          <t>Inicia la intervención con una solución operativa, configurada y accesible, presentando evidencias de instalación, capacitación y cumplimiento del protocolo.</t>
        </is>
      </c>
    </row>
    <row r="10" ht="24" customHeight="1" s="71">
      <c r="A10" s="15" t="inlineStr">
        <is>
          <t>3. RUTA DE TRABAJO Y FORMATOS DE ESTE LIBRO</t>
        </is>
      </c>
    </row>
    <row r="11">
      <c r="A11" s="17" t="inlineStr">
        <is>
          <t>N.°</t>
        </is>
      </c>
      <c r="B11" s="17" t="inlineStr">
        <is>
          <t>Formato (hoja)</t>
        </is>
      </c>
      <c r="C11" s="17" t="inlineStr">
        <is>
          <t>Qué debes hacer</t>
        </is>
      </c>
      <c r="D11" s="17" t="inlineStr">
        <is>
          <t>Evidencia / instrumento</t>
        </is>
      </c>
    </row>
    <row r="12" ht="36" customHeight="1" s="71">
      <c r="A12" s="18" t="inlineStr">
        <is>
          <t>1</t>
        </is>
      </c>
      <c r="B12" s="19" t="inlineStr">
        <is>
          <t>01_Lista_cotejo</t>
        </is>
      </c>
      <c r="C12" s="21" t="inlineStr">
        <is>
          <t>Autoevalúa las 10 condiciones del despliegue antes de T₀. Todas deben estar en «Sí».</t>
        </is>
      </c>
      <c r="D12" s="21" t="inlineStr">
        <is>
          <t>Lista de cotejo de despliegue</t>
        </is>
      </c>
    </row>
    <row r="13" ht="36" customHeight="1" s="71">
      <c r="A13" s="18" t="inlineStr">
        <is>
          <t>2</t>
        </is>
      </c>
      <c r="B13" s="19" t="inlineStr">
        <is>
          <t>02_Acta_instalacion</t>
        </is>
      </c>
      <c r="C13" s="21" t="inlineStr">
        <is>
          <t>Registra entorno, versión, componentes instalados y pruebas; imprime y firma con TI y el área usuaria.</t>
        </is>
      </c>
      <c r="D13" s="21" t="inlineStr">
        <is>
          <t>Acta de instalación</t>
        </is>
      </c>
    </row>
    <row r="14" ht="36" customHeight="1" s="71">
      <c r="A14" s="18" t="inlineStr">
        <is>
          <t>3</t>
        </is>
      </c>
      <c r="B14" s="19" t="inlineStr">
        <is>
          <t>03_Matriz_roles</t>
        </is>
      </c>
      <c r="C14" s="21" t="inlineStr">
        <is>
          <t>Crea una cuenta individual por participante usando su código (P01…), con el rol de mínimo privilegio.</t>
        </is>
      </c>
      <c r="D14" s="21" t="inlineStr">
        <is>
          <t>Matriz de usuarios y roles</t>
        </is>
      </c>
    </row>
    <row r="15" ht="36" customHeight="1" s="71">
      <c r="A15" s="18" t="inlineStr">
        <is>
          <t>4</t>
        </is>
      </c>
      <c r="B15" s="19" t="inlineStr">
        <is>
          <t>04_Verificacion_funcional</t>
        </is>
      </c>
      <c r="C15" s="21" t="inlineStr">
        <is>
          <t>Prueba cada requisito funcional; marca Conforme/No conforme. Los críticos deben estar al 100 %.</t>
        </is>
      </c>
      <c r="D15" s="21" t="inlineStr">
        <is>
          <t>Ficha de verificación funcional</t>
        </is>
      </c>
    </row>
    <row r="16" ht="36" customHeight="1" s="71">
      <c r="A16" s="18" t="inlineStr">
        <is>
          <t>5</t>
        </is>
      </c>
      <c r="B16" s="19" t="inlineStr">
        <is>
          <t>05_Pruebas_iniciales</t>
        </is>
      </c>
      <c r="C16" s="21" t="inlineStr">
        <is>
          <t>Documenta los casos de prueba (humo, funcionales, aceptación, carga básica) con su evidencia.</t>
        </is>
      </c>
      <c r="D16" s="21" t="inlineStr">
        <is>
          <t>Log de pruebas</t>
        </is>
      </c>
    </row>
    <row r="17" ht="36" customHeight="1" s="71">
      <c r="A17" s="18" t="inlineStr">
        <is>
          <t>6</t>
        </is>
      </c>
      <c r="B17" s="19" t="inlineStr">
        <is>
          <t>06_Registro_capacitacion</t>
        </is>
      </c>
      <c r="C17" s="21" t="inlineStr">
        <is>
          <t>Registra asistencia, duración y resultado del ejercicio práctico de cada participante del GE.</t>
        </is>
      </c>
      <c r="D17" s="21" t="inlineStr">
        <is>
          <t>Registro de capacitación</t>
        </is>
      </c>
    </row>
    <row r="18" ht="36" customHeight="1" s="71">
      <c r="A18" s="18" t="inlineStr">
        <is>
          <t>7</t>
        </is>
      </c>
      <c r="B18" s="19" t="inlineStr">
        <is>
          <t>07_Registro_incidencias</t>
        </is>
      </c>
      <c r="C18" s="21" t="inlineStr">
        <is>
          <t>Registra toda incidencia desde la instalación; clasifícala por prioridad y cierra con acción correctiva.</t>
        </is>
      </c>
      <c r="D18" s="21" t="inlineStr">
        <is>
          <t>Registro de incidencias</t>
        </is>
      </c>
    </row>
    <row r="19" ht="36" customHeight="1" s="71">
      <c r="A19" s="18" t="inlineStr">
        <is>
          <t>8</t>
        </is>
      </c>
      <c r="B19" s="19" t="inlineStr">
        <is>
          <t>08_Protocolo_condiciones</t>
        </is>
      </c>
      <c r="C19" s="21" t="inlineStr">
        <is>
          <t>Define la dosis de X (duración, frecuencia, intensidad) y marca las condiciones de uso comunicadas.</t>
        </is>
      </c>
      <c r="D19" s="21" t="inlineStr">
        <is>
          <t>Protocolo de intervención</t>
        </is>
      </c>
    </row>
    <row r="20" ht="36" customHeight="1" s="71">
      <c r="A20" s="18" t="inlineStr">
        <is>
          <t>9</t>
        </is>
      </c>
      <c r="B20" s="19" t="inlineStr">
        <is>
          <t>09_Acta_inicio_T0</t>
        </is>
      </c>
      <c r="C20" s="21" t="inlineStr">
        <is>
          <t>Formaliza fecha y hora de inicio, participantes, condiciones y firmas.</t>
        </is>
      </c>
      <c r="D20" s="21" t="inlineStr">
        <is>
          <t>Acta de inicio</t>
        </is>
      </c>
    </row>
    <row r="21" ht="36" customHeight="1" s="71">
      <c r="A21" s="18" t="inlineStr">
        <is>
          <t>10</t>
        </is>
      </c>
      <c r="B21" s="19" t="inlineStr">
        <is>
          <t>10_Rubrica_informe</t>
        </is>
      </c>
      <c r="C21" s="21" t="inlineStr">
        <is>
          <t>Autoevalúa tu informe inicial antes de entregarlo (20 puntos).</t>
        </is>
      </c>
      <c r="D21" s="21" t="inlineStr">
        <is>
          <t>Rúbrica del informe inicial</t>
        </is>
      </c>
    </row>
    <row r="22" ht="36" customHeight="1" s="71">
      <c r="A22" s="18" t="inlineStr">
        <is>
          <t>11</t>
        </is>
      </c>
      <c r="B22" s="19" t="inlineStr">
        <is>
          <t>11_Resumen</t>
        </is>
      </c>
      <c r="C22" s="21" t="inlineStr">
        <is>
          <t>Revisa el tablero: indica si estás «LISTO PARA T₀».</t>
        </is>
      </c>
      <c r="D22" s="21" t="inlineStr">
        <is>
          <t>Semáforo de cumplimiento</t>
        </is>
      </c>
    </row>
    <row r="23" ht="15.75" customHeight="1" s="71"/>
    <row r="24" ht="24" customHeight="1" s="71">
      <c r="A24" s="15" t="inlineStr">
        <is>
          <t>4. INSTRUCCIONES DE LLENADO</t>
        </is>
      </c>
    </row>
    <row r="25" ht="30" customHeight="1" s="71">
      <c r="A25" s="16" t="inlineStr">
        <is>
          <t>• Llena solo las celdas de color AMARILLO. Las celdas blancas contienen fórmulas o textos fijos: no las modifiques.</t>
        </is>
      </c>
    </row>
    <row r="26" ht="30" customHeight="1" s="71">
      <c r="A26" s="16" t="inlineStr">
        <is>
          <t>• La fila en azul cursiva de cada tabla es un EJEMPLO: reemplázala con tus datos o bórrala.</t>
        </is>
      </c>
    </row>
    <row r="27" ht="30" customHeight="1" s="71">
      <c r="A27" s="16" t="inlineStr">
        <is>
          <t>• Usa SIEMPRE el código del participante (P01, P02…), nunca su nombre, en tablas, capturas e informes (Ley N.° 29733).</t>
        </is>
      </c>
    </row>
    <row r="28" ht="30" customHeight="1" s="71">
      <c r="A28" s="16" t="inlineStr">
        <is>
          <t>• La tabla de correspondencia código–identidad se guarda aparte, cifrada y solo con acceso del investigador.</t>
        </is>
      </c>
    </row>
    <row r="29" ht="30" customHeight="1" s="71">
      <c r="A29" s="16" t="inlineStr">
        <is>
          <t>• Las actas (hojas 02 y 09) se imprimen, se firman y se escanean en PDF para el portafolio.</t>
        </is>
      </c>
    </row>
    <row r="30" ht="30" customHeight="1" s="71">
      <c r="A30" s="16" t="inlineStr">
        <is>
          <t>• Nombra tus evidencias así: TA1_S4_[Apellido]_[N.°formato]_[descripcion].pdf  (ej.: TA1_S4_Quispe_02_acta_instalacion.pdf).</t>
        </is>
      </c>
    </row>
    <row r="31" ht="15.75" customHeight="1" s="71"/>
    <row r="32" ht="24" customHeight="1" s="71">
      <c r="A32" s="15" t="inlineStr">
        <is>
          <t>5. CRONOGRAMA SUGERIDO HACIA T₀ (ajústalo a tu contexto)</t>
        </is>
      </c>
    </row>
    <row r="33" ht="15.75" customHeight="1" s="71">
      <c r="B33" s="32" t="inlineStr">
        <is>
          <t>Día −7</t>
        </is>
      </c>
      <c r="C33" s="33" t="inlineStr">
        <is>
          <t>Preparar el entorno y obtener autorizaciones (formato 01)</t>
        </is>
      </c>
    </row>
    <row r="34" ht="15.75" customHeight="1" s="71">
      <c r="B34" s="32" t="inlineStr">
        <is>
          <t>Día −5</t>
        </is>
      </c>
      <c r="C34" s="33" t="inlineStr">
        <is>
          <t>Instalar, configurar usuarios, roles y datos (formatos 02 y 03)</t>
        </is>
      </c>
    </row>
    <row r="35" ht="15.75" customHeight="1" s="71">
      <c r="B35" s="32" t="inlineStr">
        <is>
          <t>Día −3</t>
        </is>
      </c>
      <c r="C35" s="33" t="inlineStr">
        <is>
          <t>Verificación funcional y pruebas (formatos 04 y 05)</t>
        </is>
      </c>
    </row>
    <row r="36" ht="15.75" customHeight="1" s="71">
      <c r="B36" s="32" t="inlineStr">
        <is>
          <t>Día −2</t>
        </is>
      </c>
      <c r="C36" s="33" t="inlineStr">
        <is>
          <t>Capacitación de participantes (formato 06)</t>
        </is>
      </c>
    </row>
    <row r="37" ht="15.75" customHeight="1" s="71">
      <c r="B37" s="32" t="inlineStr">
        <is>
          <t>Día −1</t>
        </is>
      </c>
      <c r="C37" s="33" t="inlineStr">
        <is>
          <t>Prueba con usuarios y comunicación de condiciones (formato 08)</t>
        </is>
      </c>
    </row>
    <row r="38" ht="15.75" customHeight="1" s="71">
      <c r="B38" s="32" t="inlineStr">
        <is>
          <t>Día 0</t>
        </is>
      </c>
      <c r="C38" s="33" t="inlineStr">
        <is>
          <t>Acta de inicio T₀ (formato 09)</t>
        </is>
      </c>
    </row>
    <row r="39" ht="15.75" customHeight="1" s="71"/>
    <row r="40" ht="24" customHeight="1" s="71">
      <c r="A40" s="15" t="inlineStr">
        <is>
          <t>6. ESTRUCTURA DEL INFORME INICIAL (entregable para la Tarea Académica 1)</t>
        </is>
      </c>
    </row>
    <row r="41" ht="33.75" customHeight="1" s="71">
      <c r="A41" s="16" t="inlineStr">
        <is>
          <t>1. Datos generales y versión de la solución   2. Descripción de la solución   3. Entorno e instalación   4. Usuarios, roles y datos   5. Seguridad y protección de datos</t>
        </is>
      </c>
    </row>
    <row r="42" ht="33.75" customHeight="1" s="71">
      <c r="A42" s="16" t="inlineStr">
        <is>
          <t>6. Verificación funcional   7. Capacitación   8. Protocolo y condiciones de uso   9. Registro de inicio (T₀)   10. Incidencias iniciales y anexos (formatos de este libro)</t>
        </is>
      </c>
    </row>
    <row r="43" ht="15.75" customHeight="1" s="71"/>
    <row r="44" ht="24" customHeight="1" s="71">
      <c r="A44" s="15" t="inlineStr">
        <is>
          <t>7. ERRORES QUE EL JURADO OBSERVA</t>
        </is>
      </c>
    </row>
    <row r="45" ht="33.75" customHeight="1" s="71">
      <c r="A45" s="16" t="inlineStr">
        <is>
          <t>Desplegar sin pruebas · cambiar funciones a mitad del experimento · cuentas compartidas · capacitación desigual · T₀ sin acta · evidencias con datos personales expuestos.</t>
        </is>
      </c>
    </row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7">
    <mergeCell ref="C34:D34"/>
    <mergeCell ref="A8:D8"/>
    <mergeCell ref="C33:D33"/>
    <mergeCell ref="A29:D29"/>
    <mergeCell ref="A10:D10"/>
    <mergeCell ref="A28:D28"/>
    <mergeCell ref="C35:D35"/>
    <mergeCell ref="A44:D44"/>
    <mergeCell ref="A40:D40"/>
    <mergeCell ref="A9:D9"/>
    <mergeCell ref="A30:D30"/>
    <mergeCell ref="A24:D24"/>
    <mergeCell ref="A1:D1"/>
    <mergeCell ref="A45:D45"/>
    <mergeCell ref="A6:D6"/>
    <mergeCell ref="C36:D36"/>
    <mergeCell ref="A7:D7"/>
    <mergeCell ref="A25:D25"/>
    <mergeCell ref="A41:D41"/>
    <mergeCell ref="A27:D27"/>
    <mergeCell ref="C38:D38"/>
    <mergeCell ref="A3:D3"/>
    <mergeCell ref="A26:D26"/>
    <mergeCell ref="C37:D37"/>
    <mergeCell ref="A2:D2"/>
    <mergeCell ref="A42:D42"/>
    <mergeCell ref="A32:D32"/>
  </mergeCells>
  <pageMargins left="0.75" right="0.75" top="1" bottom="1" header="0" footer="0"/>
  <pageSetup orientation="portrait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71" min="1" max="1"/>
    <col width="52" customWidth="1" style="71" min="2" max="2"/>
    <col width="16" customWidth="1" style="71" min="3" max="3"/>
    <col width="40" customWidth="1" style="71" min="4" max="4"/>
    <col width="34" customWidth="1" style="71" min="5" max="5"/>
    <col width="8.710000000000001" customWidth="1" style="71" min="6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01 · LISTA DE COTEJO DE DESPLIEGUE</t>
        </is>
      </c>
    </row>
    <row r="3" ht="30" customHeight="1" s="71">
      <c r="A3" s="4" t="inlineStr">
        <is>
          <t>Marca Sí o No en cada ítem y anota la evidencia que lo respalda</t>
        </is>
      </c>
    </row>
    <row r="4" ht="3.75" customHeight="1" s="71">
      <c r="A4" s="5" t="n"/>
      <c r="B4" s="5" t="n"/>
      <c r="C4" s="5" t="n"/>
      <c r="D4" s="5" t="n"/>
      <c r="E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3" t="n"/>
    </row>
    <row r="10"/>
    <row r="11" ht="33.75" customHeight="1" s="71">
      <c r="A11" s="17" t="inlineStr">
        <is>
          <t>N.°</t>
        </is>
      </c>
      <c r="B11" s="17" t="inlineStr">
        <is>
          <t>Ítem de verificación</t>
        </is>
      </c>
      <c r="C11" s="17" t="inlineStr">
        <is>
          <t>¿Cumple? (Sí/No)</t>
        </is>
      </c>
      <c r="D11" s="17" t="inlineStr">
        <is>
          <t>Evidencia que lo respalda</t>
        </is>
      </c>
      <c r="E11" s="17" t="inlineStr">
        <is>
          <t>Observaciones</t>
        </is>
      </c>
    </row>
    <row r="12">
      <c r="A12" s="22" t="n">
        <v>1</v>
      </c>
      <c r="B12" s="24" t="inlineStr">
        <is>
          <t>El entorno fue verificado en el lugar real de uso</t>
        </is>
      </c>
      <c r="C12" s="26" t="inlineStr">
        <is>
          <t>Sí</t>
        </is>
      </c>
      <c r="D12" s="27" t="inlineStr">
        <is>
          <t>HTTPS en chat.tudiariohuanuco.pe el 18/10/2026.</t>
        </is>
      </c>
      <c r="E12" s="27" t="inlineStr">
        <is>
          <t>VPS KVM 1 + Dokploy</t>
        </is>
      </c>
    </row>
    <row r="13" ht="30" customHeight="1" s="71">
      <c r="A13" s="18" t="n">
        <v>2</v>
      </c>
      <c r="B13" s="21" t="inlineStr">
        <is>
          <t>La versión está etiquetada (p. ej. v1.0.0) y congelada</t>
        </is>
      </c>
      <c r="C13" s="64" t="inlineStr">
        <is>
          <t>Sí</t>
        </is>
      </c>
      <c r="D13" s="30" t="inlineStr">
        <is>
          <t>Tag v1.0.0-frozen-2026-10-18. Sin deploys hasta el postest.</t>
        </is>
      </c>
      <c r="E13" s="23" t="inlineStr">
        <is>
          <t>Congelado</t>
        </is>
      </c>
    </row>
    <row r="14" ht="30" customHeight="1" s="71">
      <c r="A14" s="18" t="n">
        <v>3</v>
      </c>
      <c r="B14" s="21" t="inlineStr">
        <is>
          <t>Cada participante tiene una cuenta individual con su código</t>
        </is>
      </c>
      <c r="C14" s="64" t="inlineStr">
        <is>
          <t>Sí</t>
        </is>
      </c>
      <c r="D14" s="23" t="inlineStr">
        <is>
          <t>108 cuentas, los mismos códigos GU-TDH del pretest.</t>
        </is>
      </c>
      <c r="E14" s="23" t="inlineStr">
        <is>
          <t>Grupo único. En esta plantilla el grupo se registra como GE; no hay GC.</t>
        </is>
      </c>
    </row>
    <row r="15" ht="30" customHeight="1" s="71">
      <c r="A15" s="18" t="n">
        <v>4</v>
      </c>
      <c r="B15" s="21" t="inlineStr">
        <is>
          <t>Los roles aplican el principio de mínimo privilegio</t>
        </is>
      </c>
      <c r="C15" s="64" t="inlineStr">
        <is>
          <t>Sí</t>
        </is>
      </c>
      <c r="D15" s="23" t="inlineStr">
        <is>
          <t>Rol lector: chat, búsqueda y módulo experimento.</t>
        </is>
      </c>
      <c r="E15" s="23" t="inlineStr">
        <is>
          <t>Mínimo privilegio</t>
        </is>
      </c>
    </row>
    <row r="16" ht="30" customHeight="1" s="71">
      <c r="A16" s="18" t="n">
        <v>5</v>
      </c>
      <c r="B16" s="21" t="inlineStr">
        <is>
          <t>Los datos de prueba fueron eliminados antes de T₀</t>
        </is>
      </c>
      <c r="C16" s="64" t="inlineStr">
        <is>
          <t>Sí</t>
        </is>
      </c>
      <c r="D16" s="23" t="inlineStr">
        <is>
          <t>Datos de prueba eliminados el 18/10/2026.</t>
        </is>
      </c>
      <c r="E16" s="23" t="inlineStr">
        <is>
          <t>purge_demo.sql</t>
        </is>
      </c>
    </row>
    <row r="17" ht="30" customHeight="1" s="71">
      <c r="A17" s="18" t="n">
        <v>6</v>
      </c>
      <c r="B17" s="21" t="inlineStr">
        <is>
          <t>El 100 % de requisitos críticos está «Conforme»</t>
        </is>
      </c>
      <c r="C17" s="64" t="inlineStr">
        <is>
          <t>Sí</t>
        </is>
      </c>
      <c r="D17" s="23" t="inlineStr">
        <is>
          <t>Requisitos críticos en Conforme (hoja 04).</t>
        </is>
      </c>
      <c r="E17" s="23" t="inlineStr"/>
    </row>
    <row r="18" ht="30" customHeight="1" s="71">
      <c r="A18" s="18" t="n">
        <v>7</v>
      </c>
      <c r="B18" s="21" t="inlineStr">
        <is>
          <t>El respaldo y la restauración fueron probados</t>
        </is>
      </c>
      <c r="C18" s="64" t="inlineStr">
        <is>
          <t>Sí</t>
        </is>
      </c>
      <c r="D18" s="23" t="inlineStr">
        <is>
          <t>Backup Supabase y copia cifrada. Restore de prueba OK.</t>
        </is>
      </c>
      <c r="E18" s="23" t="inlineStr"/>
    </row>
    <row r="19" ht="30" customHeight="1" s="71">
      <c r="A19" s="18" t="n">
        <v>8</v>
      </c>
      <c r="B19" s="21" t="inlineStr">
        <is>
          <t>El 100 % del grupo experimental fue capacitado</t>
        </is>
      </c>
      <c r="C19" s="64" t="inlineStr">
        <is>
          <t>Sí</t>
        </is>
      </c>
      <c r="D19" s="23" t="inlineStr">
        <is>
          <t>Guía rápida y registro de capacitación.</t>
        </is>
      </c>
      <c r="E19" s="23" t="inlineStr"/>
    </row>
    <row r="20" ht="30" customHeight="1" s="71">
      <c r="A20" s="18" t="n">
        <v>9</v>
      </c>
      <c r="B20" s="21" t="inlineStr">
        <is>
          <t>Las condiciones de uso fueron comunicadas por escrito</t>
        </is>
      </c>
      <c r="C20" s="64" t="inlineStr">
        <is>
          <t>Sí</t>
        </is>
      </c>
      <c r="D20" s="23" t="inlineStr">
        <is>
          <t>Condiciones por WhatsApp y banner (hoja 08).</t>
        </is>
      </c>
      <c r="E20" s="23" t="inlineStr">
        <is>
          <t>8/8</t>
        </is>
      </c>
    </row>
    <row r="21" ht="30" customHeight="1" s="71">
      <c r="A21" s="18" t="n">
        <v>10</v>
      </c>
      <c r="B21" s="21" t="inlineStr">
        <is>
          <t>El acta de inicio (T₀) está firmada</t>
        </is>
      </c>
      <c r="C21" s="64" t="inlineStr">
        <is>
          <t>Sí</t>
        </is>
      </c>
      <c r="D21" s="23" t="inlineStr">
        <is>
          <t>Acta T0 del 19/10/2026 (hoja 09).</t>
        </is>
      </c>
      <c r="E21" s="23" t="inlineStr"/>
    </row>
    <row r="22" ht="15.75" customHeight="1" s="71"/>
    <row r="23" ht="15.75" customHeight="1" s="71">
      <c r="B23" s="6" t="inlineStr">
        <is>
          <t>Ítems cumplidos</t>
        </is>
      </c>
      <c r="C23" s="39">
        <f>COUNTIF(C12:C21,"Sí")</f>
        <v/>
      </c>
    </row>
    <row r="24" ht="15.75" customHeight="1" s="71">
      <c r="B24" s="6" t="inlineStr">
        <is>
          <t>Porcentaje de cumplimiento</t>
        </is>
      </c>
      <c r="C24" s="42">
        <f>C23/10</f>
        <v/>
      </c>
    </row>
    <row r="25" ht="15.75" customHeight="1" s="71">
      <c r="B25" s="6" t="inlineStr">
        <is>
          <t>Dictamen</t>
        </is>
      </c>
      <c r="C25" s="39">
        <f>IF(C23=10,"LISTO PARA T₀","NO INICIAR: subsanar")</f>
        <v/>
      </c>
      <c r="D25" s="72" t="n"/>
    </row>
    <row r="26" ht="15.75" customHeight="1" s="71"/>
    <row r="27" ht="43.5" customHeight="1" s="71">
      <c r="A27" s="41" t="inlineStr">
        <is>
          <t>Leyenda: celdas amarillas = llenar. Fila azul en cursiva = ejemplo. El dictamen se calcula solo: se requiere 10/10 para iniciar la intervención.</t>
        </is>
      </c>
    </row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5">
    <mergeCell ref="A2:E2"/>
    <mergeCell ref="C25:D25"/>
    <mergeCell ref="A1:E1"/>
    <mergeCell ref="A27:E27"/>
    <mergeCell ref="A3:E3"/>
  </mergeCells>
  <conditionalFormatting sqref="C12:C21">
    <cfRule type="cellIs" priority="1" operator="equal" dxfId="0">
      <formula>"Sí"</formula>
    </cfRule>
    <cfRule type="cellIs" priority="2" operator="equal" dxfId="1">
      <formula>"No"</formula>
    </cfRule>
  </conditionalFormatting>
  <dataValidations count="2">
    <dataValidation sqref="C12:C21" showDropDown="0" showInputMessage="0" showErrorMessage="0" allowBlank="1" type="list">
      <formula1>"Sí,No"</formula1>
    </dataValidation>
    <dataValidation sqref="B9:E9" showDropDown="0" showInputMessage="0" showErrorMessage="0" allowBlank="1" type="list">
      <formula1>"Preexperimental (un grupo),Cuasiexperimental (GE y GC)"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71" min="1" max="1"/>
    <col width="22" customWidth="1" style="71" min="2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02 · ACTA DE INSTALACIÓN DE LA SOLUCIÓN TECNOLÓGICA</t>
        </is>
      </c>
    </row>
    <row r="3" ht="30" customHeight="1" s="71">
      <c r="A3" s="4" t="inlineStr">
        <is>
          <t>Documento que certifica la instalación conforme. Imprimir, firmar y escanear.</t>
        </is>
      </c>
    </row>
    <row r="4" ht="3.75" customHeight="1" s="71">
      <c r="A4" s="5" t="n"/>
      <c r="B4" s="5" t="n"/>
      <c r="C4" s="5" t="n"/>
      <c r="D4" s="5" t="n"/>
      <c r="E4" s="5" t="n"/>
      <c r="F4" s="5" t="n"/>
    </row>
    <row r="5"/>
    <row r="6">
      <c r="A6" s="6" t="inlineStr">
        <is>
          <t>Nombre de la solución:</t>
        </is>
      </c>
      <c r="B6" s="40" t="inlineStr">
        <is>
          <t>Aplicación multiplataforma de búsqueda semántica conversacional (PWA + RAG)</t>
        </is>
      </c>
      <c r="C6" s="73" t="n"/>
      <c r="D6" s="73" t="n"/>
      <c r="E6" s="73" t="n"/>
      <c r="F6" s="72" t="n"/>
    </row>
    <row r="7">
      <c r="A7" s="6" t="inlineStr">
        <is>
          <t>Versión desplegada (etiqueta):</t>
        </is>
      </c>
      <c r="B7" s="40" t="inlineStr">
        <is>
          <t>v1.0.0-frozen-2026-10-18</t>
        </is>
      </c>
      <c r="C7" s="73" t="n"/>
      <c r="D7" s="73" t="n"/>
      <c r="E7" s="73" t="n"/>
      <c r="F7" s="72" t="n"/>
    </row>
    <row r="8">
      <c r="A8" s="6" t="inlineStr">
        <is>
          <t>Modalidad de despliegue:</t>
        </is>
      </c>
      <c r="B8" s="40" t="inlineStr">
        <is>
          <t>Nube / VPS (Dokploy) + PWA en el dispositivo del participante</t>
        </is>
      </c>
      <c r="C8" s="73" t="n"/>
      <c r="D8" s="73" t="n"/>
      <c r="E8" s="73" t="n"/>
      <c r="F8" s="72" t="n"/>
    </row>
    <row r="9">
      <c r="A9" s="6" t="inlineStr">
        <is>
          <t>URL / servidor / dispositivo:</t>
        </is>
      </c>
      <c r="B9" s="40" t="inlineStr">
        <is>
          <t>https://chat.tudiariohuanuco.pe | https://api.tudiariohuanuco.pe | Hostinger VPS KVM 1 + Dokploy (IP real pendiente)</t>
        </is>
      </c>
      <c r="C9" s="73" t="n"/>
      <c r="D9" s="73" t="n"/>
      <c r="E9" s="73" t="n"/>
      <c r="F9" s="72" t="n"/>
    </row>
    <row r="10">
      <c r="A10" s="6" t="inlineStr">
        <is>
          <t>Lugar de instalación:</t>
        </is>
      </c>
      <c r="B10" s="40" t="inlineStr">
        <is>
          <t>Servidor en la nube; uso desde el dispositivo del participante</t>
        </is>
      </c>
      <c r="C10" s="73" t="n"/>
      <c r="D10" s="73" t="n"/>
      <c r="E10" s="73" t="n"/>
      <c r="F10" s="72" t="n"/>
    </row>
    <row r="11">
      <c r="A11" s="6" t="inlineStr">
        <is>
          <t>Fecha y hora de instalación:</t>
        </is>
      </c>
      <c r="B11" s="74" t="n">
        <v>46313.77083333334</v>
      </c>
      <c r="C11" s="73" t="n"/>
      <c r="D11" s="73" t="n"/>
      <c r="E11" s="73" t="n"/>
      <c r="F11" s="72" t="n"/>
    </row>
    <row r="12">
      <c r="A12" s="6" t="inlineStr">
        <is>
          <t>Responsable técnico (tesista):</t>
        </is>
      </c>
      <c r="B12" s="40" t="inlineStr">
        <is>
          <t>Trujillo Avila, Marcel Alexander Javier; Godoy Condezo, Alejandro Jeanpier</t>
        </is>
      </c>
      <c r="C12" s="73" t="n"/>
      <c r="D12" s="73" t="n"/>
      <c r="E12" s="73" t="n"/>
      <c r="F12" s="72" t="n"/>
    </row>
    <row r="13">
      <c r="A13" s="6" t="inlineStr">
        <is>
          <t>Responsable de TI de la institución:</t>
        </is>
      </c>
      <c r="B13" s="40" t="inlineStr">
        <is>
          <t>[PENDIENTE] Responsable de TI del diario</t>
        </is>
      </c>
      <c r="C13" s="73" t="n"/>
      <c r="D13" s="73" t="n"/>
      <c r="E13" s="73" t="n"/>
      <c r="F13" s="72" t="n"/>
    </row>
    <row r="14">
      <c r="A14" s="6" t="inlineStr">
        <is>
          <t>Responsable del área usuaria:</t>
        </is>
      </c>
      <c r="B14" s="40" t="inlineStr">
        <is>
          <t>[PENDIENTE] Gerencia de Tu Diario Huánuco</t>
        </is>
      </c>
      <c r="C14" s="73" t="n"/>
      <c r="D14" s="73" t="n"/>
      <c r="E14" s="73" t="n"/>
      <c r="F14" s="72" t="n"/>
    </row>
    <row r="15"/>
    <row r="16">
      <c r="A16" s="25" t="inlineStr">
        <is>
          <t>COMPONENTES INSTALADOS</t>
        </is>
      </c>
    </row>
    <row r="17" ht="33.75" customHeight="1" s="71">
      <c r="A17" s="17" t="inlineStr">
        <is>
          <t>Componente</t>
        </is>
      </c>
      <c r="B17" s="17" t="inlineStr">
        <is>
          <t>Versión</t>
        </is>
      </c>
      <c r="C17" s="17" t="inlineStr">
        <is>
          <t>Ubicación</t>
        </is>
      </c>
      <c r="D17" s="17" t="inlineStr">
        <is>
          <t>Estado</t>
        </is>
      </c>
      <c r="E17" s="17" t="inlineStr">
        <is>
          <t>Verificado por</t>
        </is>
      </c>
      <c r="F17" s="17" t="inlineStr">
        <is>
          <t>Observación</t>
        </is>
      </c>
    </row>
    <row r="18" ht="30" customHeight="1" s="71">
      <c r="A18" s="31" t="inlineStr">
        <is>
          <t>Interfaz web y PWA (Next.js)</t>
        </is>
      </c>
      <c r="B18" s="31" t="inlineStr">
        <is>
          <t>v1.0.0-frozen-2026-10-18</t>
        </is>
      </c>
      <c r="C18" s="34" t="inlineStr">
        <is>
          <t>chat.tudiariohuanuco.pe</t>
        </is>
      </c>
      <c r="D18" s="27" t="inlineStr">
        <is>
          <t>Operativo</t>
        </is>
      </c>
      <c r="E18" s="27" t="inlineStr">
        <is>
          <t>M. Trujillo</t>
        </is>
      </c>
      <c r="F18" s="27" t="inlineStr">
        <is>
          <t>Install prompt verificado</t>
        </is>
      </c>
    </row>
    <row r="19" ht="30" customHeight="1" s="71">
      <c r="A19" s="36" t="inlineStr">
        <is>
          <t>API principal (FastAPI)</t>
        </is>
      </c>
      <c r="B19" s="36" t="inlineStr">
        <is>
          <t>v1.0.0-frozen-2026-10-18</t>
        </is>
      </c>
      <c r="C19" s="37" t="inlineStr">
        <is>
          <t>api.tudiariohuanuco.pe</t>
        </is>
      </c>
      <c r="D19" s="23" t="inlineStr">
        <is>
          <t>Operativo</t>
        </is>
      </c>
      <c r="E19" s="23" t="inlineStr">
        <is>
          <t>M. Trujillo</t>
        </is>
      </c>
      <c r="F19" s="36" t="inlineStr">
        <is>
          <t>Gemini + WordPress REST</t>
        </is>
      </c>
    </row>
    <row r="20" ht="30" customHeight="1" s="71">
      <c r="A20" s="36" t="inlineStr">
        <is>
          <t>Telemetría (FastAPI)</t>
        </is>
      </c>
      <c r="B20" s="36" t="inlineStr">
        <is>
          <t>v1.0.0-frozen-2026-10-18</t>
        </is>
      </c>
      <c r="C20" s="36" t="inlineStr">
        <is>
          <t>VPS</t>
        </is>
      </c>
      <c r="D20" s="23" t="inlineStr">
        <is>
          <t>Operativo</t>
        </is>
      </c>
      <c r="E20" s="23" t="inlineStr">
        <is>
          <t>A. Godoy</t>
        </is>
      </c>
      <c r="F20" s="23" t="inlineStr">
        <is>
          <t>Tiempos y clics</t>
        </is>
      </c>
    </row>
    <row r="21" ht="30" customHeight="1" s="71">
      <c r="A21" s="36" t="inlineStr">
        <is>
          <t>Módulo del experimento</t>
        </is>
      </c>
      <c r="B21" s="36" t="inlineStr">
        <is>
          <t>v1.0.0-frozen-2026-10-18</t>
        </is>
      </c>
      <c r="C21" s="36" t="inlineStr">
        <is>
          <t>VPS</t>
        </is>
      </c>
      <c r="D21" s="23" t="inlineStr">
        <is>
          <t>Operativo</t>
        </is>
      </c>
      <c r="E21" s="23" t="inlineStr">
        <is>
          <t>A. Godoy</t>
        </is>
      </c>
      <c r="F21" s="23" t="inlineStr">
        <is>
          <t>Tareas O1/O2</t>
        </is>
      </c>
    </row>
    <row r="22" ht="30" customHeight="1" s="71">
      <c r="A22" s="36" t="inlineStr">
        <is>
          <t>PostgreSQL + pgvector</t>
        </is>
      </c>
      <c r="B22" s="36" t="inlineStr">
        <is>
          <t>Supabase free</t>
        </is>
      </c>
      <c r="C22" s="36" t="inlineStr">
        <is>
          <t>Supabase</t>
        </is>
      </c>
      <c r="D22" s="23" t="inlineStr">
        <is>
          <t>Operativo</t>
        </is>
      </c>
      <c r="E22" s="23" t="inlineStr">
        <is>
          <t>M. Trujillo</t>
        </is>
      </c>
      <c r="F22" s="23" t="inlineStr">
        <is>
          <t>Embeddings</t>
        </is>
      </c>
    </row>
    <row r="23" ht="30" customHeight="1" s="71">
      <c r="A23" s="36" t="inlineStr">
        <is>
          <t>Redis</t>
        </is>
      </c>
      <c r="B23" s="36" t="inlineStr">
        <is>
          <t>7.x</t>
        </is>
      </c>
      <c r="C23" s="36" t="inlineStr">
        <is>
          <t>VPS</t>
        </is>
      </c>
      <c r="D23" s="23" t="inlineStr">
        <is>
          <t>Operativo</t>
        </is>
      </c>
      <c r="E23" s="23" t="inlineStr">
        <is>
          <t>M. Trujillo</t>
        </is>
      </c>
      <c r="F23" s="23" t="inlineStr">
        <is>
          <t>Caché</t>
        </is>
      </c>
    </row>
    <row r="24" ht="15.75" customHeight="1" s="71"/>
    <row r="25" ht="15.75" customHeight="1" s="71">
      <c r="A25" s="25" t="inlineStr">
        <is>
          <t>PRUEBAS REALIZADAS EN LA INSTALACIÓN</t>
        </is>
      </c>
    </row>
    <row r="26" ht="15.75" customHeight="1" s="71">
      <c r="A26" s="33" t="inlineStr">
        <is>
          <t>Prueba de humo (el sistema inicia y responde)</t>
        </is>
      </c>
      <c r="D26" s="40" t="inlineStr">
        <is>
          <t>Sí</t>
        </is>
      </c>
      <c r="E26" s="12" t="inlineStr">
        <is>
          <t>Healthcheck 200</t>
        </is>
      </c>
      <c r="F26" s="73" t="n"/>
    </row>
    <row r="27" ht="15.75" customHeight="1" s="71">
      <c r="A27" s="33" t="inlineStr">
        <is>
          <t>Acceso por HTTPS / red interna</t>
        </is>
      </c>
      <c r="D27" s="40" t="inlineStr">
        <is>
          <t>Sí</t>
        </is>
      </c>
      <c r="E27" s="12" t="inlineStr">
        <is>
          <t>HTTPS Let's Encrypt</t>
        </is>
      </c>
      <c r="F27" s="73" t="n"/>
    </row>
    <row r="28" ht="15.75" customHeight="1" s="71">
      <c r="A28" s="33" t="inlineStr">
        <is>
          <t>Inicio de sesión por rol</t>
        </is>
      </c>
      <c r="D28" s="40" t="inlineStr">
        <is>
          <t>Sí</t>
        </is>
      </c>
      <c r="E28" s="12" t="inlineStr">
        <is>
          <t>Login con código</t>
        </is>
      </c>
      <c r="F28" s="73" t="n"/>
    </row>
    <row r="29" ht="15.75" customHeight="1" s="71">
      <c r="A29" s="33" t="inlineStr">
        <is>
          <t>Respaldo y restauración</t>
        </is>
      </c>
      <c r="D29" s="40" t="inlineStr">
        <is>
          <t>Sí</t>
        </is>
      </c>
      <c r="E29" s="12" t="inlineStr">
        <is>
          <t>Restore de prueba</t>
        </is>
      </c>
      <c r="F29" s="73" t="n"/>
    </row>
    <row r="30" ht="15.75" customHeight="1" s="71"/>
    <row r="31" ht="15.75" customHeight="1" s="71">
      <c r="A31" s="6" t="inlineStr">
        <is>
          <t>CONFORMIDAD:</t>
        </is>
      </c>
      <c r="B31" s="33" t="inlineStr">
        <is>
          <t>Las partes declaran que la solución fue instalada y se encuentra operativa para iniciar la intervención.</t>
        </is>
      </c>
    </row>
    <row r="32" ht="15.75" customHeight="1" s="71"/>
    <row r="33" ht="15.75" customHeight="1" s="71"/>
    <row r="34" ht="15.75" customHeight="1" s="71"/>
    <row r="35" ht="15.75" customHeight="1" s="71">
      <c r="A35" s="33" t="inlineStr">
        <is>
          <t>______________________</t>
        </is>
      </c>
      <c r="C35" s="33" t="inlineStr">
        <is>
          <t>______________________</t>
        </is>
      </c>
      <c r="E35" s="33" t="inlineStr">
        <is>
          <t>______________________</t>
        </is>
      </c>
    </row>
    <row r="36" ht="15.75" customHeight="1" s="71">
      <c r="A36" s="44" t="inlineStr">
        <is>
          <t>Tesista</t>
        </is>
      </c>
      <c r="C36" s="44" t="inlineStr">
        <is>
          <t>Responsable de TI</t>
        </is>
      </c>
      <c r="E36" s="44" t="inlineStr">
        <is>
          <t>Responsable del área usuaria</t>
        </is>
      </c>
    </row>
    <row r="37" ht="15.75" customHeight="1" s="71">
      <c r="A37" s="45" t="inlineStr">
        <is>
          <t>Nombre / DNI / Firma</t>
        </is>
      </c>
      <c r="C37" s="45" t="inlineStr">
        <is>
          <t>Nombre / DNI / Firma</t>
        </is>
      </c>
      <c r="E37" s="45" t="inlineStr">
        <is>
          <t>Nombre / DNI / Firma</t>
        </is>
      </c>
    </row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1">
    <mergeCell ref="B7:F7"/>
    <mergeCell ref="A27:C27"/>
    <mergeCell ref="B31:F31"/>
    <mergeCell ref="A3:F3"/>
    <mergeCell ref="A26:C26"/>
    <mergeCell ref="A2:F2"/>
    <mergeCell ref="B12:F12"/>
    <mergeCell ref="E29:F29"/>
    <mergeCell ref="B11:F11"/>
    <mergeCell ref="E28:F28"/>
    <mergeCell ref="B14:F14"/>
    <mergeCell ref="B8:F8"/>
    <mergeCell ref="A29:C29"/>
    <mergeCell ref="B13:F13"/>
    <mergeCell ref="A28:C28"/>
    <mergeCell ref="B10:F10"/>
    <mergeCell ref="E27:F27"/>
    <mergeCell ref="E26:F26"/>
    <mergeCell ref="B9:F9"/>
    <mergeCell ref="B6:F6"/>
    <mergeCell ref="A1:F1"/>
  </mergeCells>
  <dataValidations count="3">
    <dataValidation sqref="B8" showDropDown="0" showInputMessage="0" showErrorMessage="0" allowBlank="1" type="list">
      <formula1>"Web en la nube,Servidor local (on-premise),Aplicación móvil,Escritorio / IoT / chatbot"</formula1>
    </dataValidation>
    <dataValidation sqref="D18:D23" showDropDown="0" showInputMessage="0" showErrorMessage="0" allowBlank="1" type="list">
      <formula1>"Operativo,Con observaciones,No operativo"</formula1>
    </dataValidation>
    <dataValidation sqref="D26:D29" showDropDown="0" showInputMessage="0" showErrorMessage="0" allowBlank="1" type="list">
      <formula1>"Conforme,No conforme"</formula1>
    </dataValidation>
  </dataValidations>
  <hyperlinks>
    <hyperlink xmlns:r="http://schemas.openxmlformats.org/officeDocument/2006/relationships" ref="C18" r:id="rId1"/>
    <hyperlink xmlns:r="http://schemas.openxmlformats.org/officeDocument/2006/relationships" ref="C19" r:id="rId2"/>
  </hyperlinks>
  <pageMargins left="0.75" right="0.75" top="1" bottom="1" header="0" footer="0"/>
  <pageSetup orientation="portrait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2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16" customWidth="1" style="71" min="1" max="1"/>
    <col width="14" customWidth="1" style="71" min="2" max="2"/>
    <col width="20" customWidth="1" style="71" min="3" max="3"/>
    <col width="18" customWidth="1" style="71" min="4" max="4"/>
    <col width="40" customWidth="1" style="71" min="5" max="5"/>
    <col width="16" customWidth="1" style="71" min="6" max="6"/>
    <col width="18" customWidth="1" style="71" min="7" max="7"/>
    <col width="14" customWidth="1" style="71" min="8" max="8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03 · MATRIZ DE USUARIOS Y ROLES</t>
        </is>
      </c>
    </row>
    <row r="3" ht="30" customHeight="1" s="71">
      <c r="A3" s="4" t="inlineStr">
        <is>
          <t>Una cuenta individual por participante, identificada solo por código</t>
        </is>
      </c>
    </row>
    <row r="4" ht="3.75" customHeight="1" s="71">
      <c r="A4" s="5" t="n"/>
      <c r="B4" s="5" t="n"/>
      <c r="C4" s="5" t="n"/>
      <c r="D4" s="5" t="n"/>
      <c r="E4" s="5" t="n"/>
      <c r="F4" s="5" t="n"/>
      <c r="G4" s="5" t="n"/>
      <c r="H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1" t="n"/>
      <c r="F6" s="11" t="n"/>
      <c r="G6" s="11" t="n"/>
      <c r="H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1" t="n"/>
      <c r="F7" s="11" t="n"/>
      <c r="G7" s="11" t="n"/>
      <c r="H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1" t="n"/>
      <c r="F8" s="11" t="n"/>
      <c r="G8" s="11" t="n"/>
      <c r="H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1" t="n"/>
      <c r="F9" s="11" t="n"/>
      <c r="G9" s="11" t="n"/>
      <c r="H9" s="13" t="n"/>
    </row>
    <row r="10"/>
    <row r="11" ht="33.75" customHeight="1" s="71">
      <c r="A11" s="17" t="inlineStr">
        <is>
          <t>Código participante</t>
        </is>
      </c>
      <c r="B11" s="17" t="inlineStr">
        <is>
          <t>Grupo</t>
        </is>
      </c>
      <c r="C11" s="17" t="inlineStr">
        <is>
          <t>Usuario del sistema</t>
        </is>
      </c>
      <c r="D11" s="17" t="inlineStr">
        <is>
          <t>Rol</t>
        </is>
      </c>
      <c r="E11" s="17" t="inlineStr">
        <is>
          <t>Permisos principales</t>
        </is>
      </c>
      <c r="F11" s="17" t="inlineStr">
        <is>
          <t>Fecha de creación</t>
        </is>
      </c>
      <c r="G11" s="17" t="inlineStr">
        <is>
          <t>Cambio de contraseña en 1.er ingreso</t>
        </is>
      </c>
      <c r="H11" s="17" t="inlineStr">
        <is>
          <t>Estado</t>
        </is>
      </c>
    </row>
    <row r="12" ht="30" customHeight="1" s="71">
      <c r="A12" s="27" t="inlineStr">
        <is>
          <t>GU-TDH-002</t>
        </is>
      </c>
      <c r="B12" s="27" t="inlineStr">
        <is>
          <t>GE</t>
        </is>
      </c>
      <c r="C12" s="27" t="inlineStr">
        <is>
          <t>gu_tdh_002</t>
        </is>
      </c>
      <c r="D12" s="27" t="inlineStr">
        <is>
          <t>Lector participante</t>
        </is>
      </c>
      <c r="E12" s="27" t="inlineStr">
        <is>
          <t>Chat RAG y módulo experimento; sin admin</t>
        </is>
      </c>
      <c r="F12" s="75" t="n">
        <v>46313</v>
      </c>
      <c r="G12" s="27" t="inlineStr">
        <is>
          <t>Sí</t>
        </is>
      </c>
      <c r="H12" s="27" t="inlineStr">
        <is>
          <t>Activa</t>
        </is>
      </c>
    </row>
    <row r="13" ht="30" customHeight="1" s="71">
      <c r="A13" s="23" t="inlineStr">
        <is>
          <t>GU-TDH-003</t>
        </is>
      </c>
      <c r="B13" s="23" t="inlineStr">
        <is>
          <t>GE</t>
        </is>
      </c>
      <c r="C13" s="23" t="inlineStr">
        <is>
          <t>gu_tdh_003</t>
        </is>
      </c>
      <c r="D13" s="23" t="inlineStr">
        <is>
          <t>Lector participante</t>
        </is>
      </c>
      <c r="E13" s="23" t="inlineStr">
        <is>
          <t>Chat RAG y módulo experimento; sin admin</t>
        </is>
      </c>
      <c r="F13" s="76" t="n">
        <v>46313</v>
      </c>
      <c r="G13" s="23" t="inlineStr">
        <is>
          <t>Sí</t>
        </is>
      </c>
      <c r="H13" s="23" t="inlineStr">
        <is>
          <t>Activa</t>
        </is>
      </c>
    </row>
    <row r="14" ht="30" customHeight="1" s="71">
      <c r="A14" s="23" t="inlineStr">
        <is>
          <t>GU-TDH-004</t>
        </is>
      </c>
      <c r="B14" s="23" t="inlineStr">
        <is>
          <t>GE</t>
        </is>
      </c>
      <c r="C14" s="23" t="inlineStr">
        <is>
          <t>gu_tdh_004</t>
        </is>
      </c>
      <c r="D14" s="23" t="inlineStr">
        <is>
          <t>Lector participante</t>
        </is>
      </c>
      <c r="E14" s="23" t="inlineStr">
        <is>
          <t>Chat RAG y módulo experimento; sin admin</t>
        </is>
      </c>
      <c r="F14" s="76" t="n">
        <v>46313</v>
      </c>
      <c r="G14" s="23" t="inlineStr">
        <is>
          <t>Sí</t>
        </is>
      </c>
      <c r="H14" s="23" t="inlineStr">
        <is>
          <t>Activa</t>
        </is>
      </c>
    </row>
    <row r="15" ht="30" customHeight="1" s="71">
      <c r="A15" s="23" t="inlineStr">
        <is>
          <t>GU-TDH-006</t>
        </is>
      </c>
      <c r="B15" s="23" t="inlineStr">
        <is>
          <t>GE</t>
        </is>
      </c>
      <c r="C15" s="23" t="inlineStr">
        <is>
          <t>gu_tdh_006</t>
        </is>
      </c>
      <c r="D15" s="23" t="inlineStr">
        <is>
          <t>Lector participante</t>
        </is>
      </c>
      <c r="E15" s="23" t="inlineStr">
        <is>
          <t>Chat RAG y módulo experimento; sin admin</t>
        </is>
      </c>
      <c r="F15" s="76" t="n">
        <v>46313</v>
      </c>
      <c r="G15" s="23" t="inlineStr">
        <is>
          <t>Sí</t>
        </is>
      </c>
      <c r="H15" s="23" t="inlineStr">
        <is>
          <t>Activa</t>
        </is>
      </c>
    </row>
    <row r="16" ht="30" customHeight="1" s="71">
      <c r="A16" s="23" t="inlineStr">
        <is>
          <t>GU-TDH-007</t>
        </is>
      </c>
      <c r="B16" s="23" t="inlineStr">
        <is>
          <t>GE</t>
        </is>
      </c>
      <c r="C16" s="23" t="inlineStr">
        <is>
          <t>gu_tdh_007</t>
        </is>
      </c>
      <c r="D16" s="23" t="inlineStr">
        <is>
          <t>Lector participante</t>
        </is>
      </c>
      <c r="E16" s="23" t="inlineStr">
        <is>
          <t>Chat RAG y módulo experimento; sin admin</t>
        </is>
      </c>
      <c r="F16" s="76" t="n">
        <v>46313</v>
      </c>
      <c r="G16" s="23" t="inlineStr">
        <is>
          <t>Sí</t>
        </is>
      </c>
      <c r="H16" s="23" t="inlineStr">
        <is>
          <t>Activa</t>
        </is>
      </c>
    </row>
    <row r="17" ht="30" customHeight="1" s="71">
      <c r="A17" s="23" t="inlineStr">
        <is>
          <t>GU-TDH-008</t>
        </is>
      </c>
      <c r="B17" s="23" t="inlineStr">
        <is>
          <t>GE</t>
        </is>
      </c>
      <c r="C17" s="23" t="inlineStr">
        <is>
          <t>gu_tdh_008</t>
        </is>
      </c>
      <c r="D17" s="23" t="inlineStr">
        <is>
          <t>Lector participante</t>
        </is>
      </c>
      <c r="E17" s="23" t="inlineStr">
        <is>
          <t>Chat RAG y módulo experimento; sin admin</t>
        </is>
      </c>
      <c r="F17" s="76" t="n">
        <v>46313</v>
      </c>
      <c r="G17" s="23" t="inlineStr">
        <is>
          <t>Sí</t>
        </is>
      </c>
      <c r="H17" s="23" t="inlineStr">
        <is>
          <t>Activa</t>
        </is>
      </c>
    </row>
    <row r="18" ht="30" customHeight="1" s="71">
      <c r="A18" s="23" t="inlineStr">
        <is>
          <t>GU-TDH-009</t>
        </is>
      </c>
      <c r="B18" s="23" t="inlineStr">
        <is>
          <t>GE</t>
        </is>
      </c>
      <c r="C18" s="23" t="inlineStr">
        <is>
          <t>gu_tdh_009</t>
        </is>
      </c>
      <c r="D18" s="23" t="inlineStr">
        <is>
          <t>Lector participante</t>
        </is>
      </c>
      <c r="E18" s="23" t="inlineStr">
        <is>
          <t>Chat RAG y módulo experimento; sin admin</t>
        </is>
      </c>
      <c r="F18" s="76" t="n">
        <v>46313</v>
      </c>
      <c r="G18" s="23" t="inlineStr">
        <is>
          <t>Sí</t>
        </is>
      </c>
      <c r="H18" s="23" t="inlineStr">
        <is>
          <t>Activa</t>
        </is>
      </c>
    </row>
    <row r="19" ht="30" customHeight="1" s="71">
      <c r="A19" s="23" t="inlineStr">
        <is>
          <t>GU-TDH-010</t>
        </is>
      </c>
      <c r="B19" s="23" t="inlineStr">
        <is>
          <t>GE</t>
        </is>
      </c>
      <c r="C19" s="23" t="inlineStr">
        <is>
          <t>gu_tdh_010</t>
        </is>
      </c>
      <c r="D19" s="23" t="inlineStr">
        <is>
          <t>Lector participante</t>
        </is>
      </c>
      <c r="E19" s="23" t="inlineStr">
        <is>
          <t>Chat RAG y módulo experimento; sin admin</t>
        </is>
      </c>
      <c r="F19" s="76" t="n">
        <v>46313</v>
      </c>
      <c r="G19" s="23" t="inlineStr">
        <is>
          <t>Sí</t>
        </is>
      </c>
      <c r="H19" s="23" t="inlineStr">
        <is>
          <t>Activa</t>
        </is>
      </c>
    </row>
    <row r="20" ht="30" customHeight="1" s="71">
      <c r="A20" s="23" t="inlineStr">
        <is>
          <t>GU-TDH-011</t>
        </is>
      </c>
      <c r="B20" s="23" t="inlineStr">
        <is>
          <t>GE</t>
        </is>
      </c>
      <c r="C20" s="23" t="inlineStr">
        <is>
          <t>gu_tdh_011</t>
        </is>
      </c>
      <c r="D20" s="23" t="inlineStr">
        <is>
          <t>Lector participante</t>
        </is>
      </c>
      <c r="E20" s="23" t="inlineStr">
        <is>
          <t>Chat RAG y módulo experimento; sin admin</t>
        </is>
      </c>
      <c r="F20" s="76" t="n">
        <v>46313</v>
      </c>
      <c r="G20" s="23" t="inlineStr">
        <is>
          <t>Sí</t>
        </is>
      </c>
      <c r="H20" s="23" t="inlineStr">
        <is>
          <t>Activa</t>
        </is>
      </c>
    </row>
    <row r="21" ht="30" customHeight="1" s="71">
      <c r="A21" s="23" t="inlineStr">
        <is>
          <t>GU-TDH-012</t>
        </is>
      </c>
      <c r="B21" s="23" t="inlineStr">
        <is>
          <t>GE</t>
        </is>
      </c>
      <c r="C21" s="23" t="inlineStr">
        <is>
          <t>gu_tdh_012</t>
        </is>
      </c>
      <c r="D21" s="23" t="inlineStr">
        <is>
          <t>Lector participante</t>
        </is>
      </c>
      <c r="E21" s="23" t="inlineStr">
        <is>
          <t>Chat RAG y módulo experimento; sin admin</t>
        </is>
      </c>
      <c r="F21" s="76" t="n">
        <v>46313</v>
      </c>
      <c r="G21" s="23" t="inlineStr">
        <is>
          <t>Sí</t>
        </is>
      </c>
      <c r="H21" s="23" t="inlineStr">
        <is>
          <t>Activa</t>
        </is>
      </c>
    </row>
    <row r="22" ht="30" customHeight="1" s="71">
      <c r="A22" s="23" t="inlineStr">
        <is>
          <t>GU-TDH-014</t>
        </is>
      </c>
      <c r="B22" s="23" t="inlineStr">
        <is>
          <t>GE</t>
        </is>
      </c>
      <c r="C22" s="23" t="inlineStr">
        <is>
          <t>gu_tdh_014</t>
        </is>
      </c>
      <c r="D22" s="23" t="inlineStr">
        <is>
          <t>Lector participante</t>
        </is>
      </c>
      <c r="E22" s="23" t="inlineStr">
        <is>
          <t>Chat RAG y módulo experimento; sin admin</t>
        </is>
      </c>
      <c r="F22" s="76" t="n">
        <v>46313</v>
      </c>
      <c r="G22" s="23" t="inlineStr">
        <is>
          <t>Sí</t>
        </is>
      </c>
      <c r="H22" s="23" t="inlineStr">
        <is>
          <t>Activa</t>
        </is>
      </c>
    </row>
    <row r="23" ht="30" customHeight="1" s="71">
      <c r="A23" s="23" t="inlineStr">
        <is>
          <t>GU-TDH-015</t>
        </is>
      </c>
      <c r="B23" s="23" t="inlineStr">
        <is>
          <t>GE</t>
        </is>
      </c>
      <c r="C23" s="23" t="inlineStr">
        <is>
          <t>gu_tdh_015</t>
        </is>
      </c>
      <c r="D23" s="23" t="inlineStr">
        <is>
          <t>Lector participante</t>
        </is>
      </c>
      <c r="E23" s="23" t="inlineStr">
        <is>
          <t>Chat RAG y módulo experimento; sin admin</t>
        </is>
      </c>
      <c r="F23" s="76" t="n">
        <v>46313</v>
      </c>
      <c r="G23" s="23" t="inlineStr">
        <is>
          <t>Sí</t>
        </is>
      </c>
      <c r="H23" s="23" t="inlineStr">
        <is>
          <t>Activa</t>
        </is>
      </c>
    </row>
    <row r="24" ht="30" customHeight="1" s="71">
      <c r="A24" s="23" t="inlineStr">
        <is>
          <t>GU-TDH-016</t>
        </is>
      </c>
      <c r="B24" s="23" t="inlineStr">
        <is>
          <t>GE</t>
        </is>
      </c>
      <c r="C24" s="23" t="inlineStr">
        <is>
          <t>gu_tdh_016</t>
        </is>
      </c>
      <c r="D24" s="23" t="inlineStr">
        <is>
          <t>Lector participante</t>
        </is>
      </c>
      <c r="E24" s="23" t="inlineStr">
        <is>
          <t>Chat RAG y módulo experimento; sin admin</t>
        </is>
      </c>
      <c r="F24" s="76" t="n">
        <v>46313</v>
      </c>
      <c r="G24" s="23" t="inlineStr">
        <is>
          <t>Sí</t>
        </is>
      </c>
      <c r="H24" s="23" t="inlineStr">
        <is>
          <t>Activa</t>
        </is>
      </c>
    </row>
    <row r="25" ht="30" customHeight="1" s="71">
      <c r="A25" s="23" t="inlineStr">
        <is>
          <t>GU-TDH-017</t>
        </is>
      </c>
      <c r="B25" s="23" t="inlineStr">
        <is>
          <t>GE</t>
        </is>
      </c>
      <c r="C25" s="23" t="inlineStr">
        <is>
          <t>gu_tdh_017</t>
        </is>
      </c>
      <c r="D25" s="23" t="inlineStr">
        <is>
          <t>Lector participante</t>
        </is>
      </c>
      <c r="E25" s="23" t="inlineStr">
        <is>
          <t>Chat RAG y módulo experimento; sin admin</t>
        </is>
      </c>
      <c r="F25" s="76" t="n">
        <v>46313</v>
      </c>
      <c r="G25" s="23" t="inlineStr">
        <is>
          <t>Sí</t>
        </is>
      </c>
      <c r="H25" s="23" t="inlineStr">
        <is>
          <t>Activa</t>
        </is>
      </c>
    </row>
    <row r="26" ht="30" customHeight="1" s="71">
      <c r="A26" s="23" t="inlineStr">
        <is>
          <t>GU-TDH-019</t>
        </is>
      </c>
      <c r="B26" s="23" t="inlineStr">
        <is>
          <t>GE</t>
        </is>
      </c>
      <c r="C26" s="23" t="inlineStr">
        <is>
          <t>gu_tdh_019</t>
        </is>
      </c>
      <c r="D26" s="23" t="inlineStr">
        <is>
          <t>Lector participante</t>
        </is>
      </c>
      <c r="E26" s="23" t="inlineStr">
        <is>
          <t>Chat RAG y módulo experimento; sin admin</t>
        </is>
      </c>
      <c r="F26" s="76" t="n">
        <v>46313</v>
      </c>
      <c r="G26" s="23" t="inlineStr">
        <is>
          <t>Sí</t>
        </is>
      </c>
      <c r="H26" s="23" t="inlineStr">
        <is>
          <t>Activa</t>
        </is>
      </c>
    </row>
    <row r="27" ht="30" customHeight="1" s="71">
      <c r="A27" s="23" t="inlineStr">
        <is>
          <t>GU-TDH-020</t>
        </is>
      </c>
      <c r="B27" s="23" t="inlineStr">
        <is>
          <t>GE</t>
        </is>
      </c>
      <c r="C27" s="23" t="inlineStr">
        <is>
          <t>gu_tdh_020</t>
        </is>
      </c>
      <c r="D27" s="23" t="inlineStr">
        <is>
          <t>Lector participante</t>
        </is>
      </c>
      <c r="E27" s="23" t="inlineStr">
        <is>
          <t>Chat RAG y módulo experimento; sin admin</t>
        </is>
      </c>
      <c r="F27" s="76" t="n">
        <v>46313</v>
      </c>
      <c r="G27" s="23" t="inlineStr">
        <is>
          <t>Sí</t>
        </is>
      </c>
      <c r="H27" s="23" t="inlineStr">
        <is>
          <t>Activa</t>
        </is>
      </c>
    </row>
    <row r="28" ht="30" customHeight="1" s="71">
      <c r="A28" s="23" t="inlineStr">
        <is>
          <t>GU-TDH-021</t>
        </is>
      </c>
      <c r="B28" s="23" t="inlineStr">
        <is>
          <t>GE</t>
        </is>
      </c>
      <c r="C28" s="23" t="inlineStr">
        <is>
          <t>gu_tdh_021</t>
        </is>
      </c>
      <c r="D28" s="23" t="inlineStr">
        <is>
          <t>Lector participante</t>
        </is>
      </c>
      <c r="E28" s="23" t="inlineStr">
        <is>
          <t>Chat RAG y módulo experimento; sin admin</t>
        </is>
      </c>
      <c r="F28" s="76" t="n">
        <v>46313</v>
      </c>
      <c r="G28" s="23" t="inlineStr">
        <is>
          <t>Sí</t>
        </is>
      </c>
      <c r="H28" s="23" t="inlineStr">
        <is>
          <t>Activa</t>
        </is>
      </c>
    </row>
    <row r="29" ht="30" customHeight="1" s="71">
      <c r="A29" s="23" t="inlineStr">
        <is>
          <t>GU-TDH-022</t>
        </is>
      </c>
      <c r="B29" s="23" t="inlineStr">
        <is>
          <t>GE</t>
        </is>
      </c>
      <c r="C29" s="23" t="inlineStr">
        <is>
          <t>gu_tdh_022</t>
        </is>
      </c>
      <c r="D29" s="23" t="inlineStr">
        <is>
          <t>Lector participante</t>
        </is>
      </c>
      <c r="E29" s="23" t="inlineStr">
        <is>
          <t>Chat RAG y módulo experimento; sin admin</t>
        </is>
      </c>
      <c r="F29" s="76" t="n">
        <v>46313</v>
      </c>
      <c r="G29" s="23" t="inlineStr">
        <is>
          <t>Sí</t>
        </is>
      </c>
      <c r="H29" s="23" t="inlineStr">
        <is>
          <t>Activa</t>
        </is>
      </c>
    </row>
    <row r="30" ht="30" customHeight="1" s="71">
      <c r="A30" s="23" t="inlineStr">
        <is>
          <t>GU-TDH-023</t>
        </is>
      </c>
      <c r="B30" s="23" t="inlineStr">
        <is>
          <t>GE</t>
        </is>
      </c>
      <c r="C30" s="23" t="inlineStr">
        <is>
          <t>gu_tdh_023</t>
        </is>
      </c>
      <c r="D30" s="23" t="inlineStr">
        <is>
          <t>Lector participante</t>
        </is>
      </c>
      <c r="E30" s="23" t="inlineStr">
        <is>
          <t>Chat RAG y módulo experimento; sin admin</t>
        </is>
      </c>
      <c r="F30" s="76" t="n">
        <v>46313</v>
      </c>
      <c r="G30" s="23" t="inlineStr">
        <is>
          <t>Sí</t>
        </is>
      </c>
      <c r="H30" s="23" t="inlineStr">
        <is>
          <t>Activa</t>
        </is>
      </c>
    </row>
    <row r="31" ht="30" customHeight="1" s="71">
      <c r="A31" s="23" t="inlineStr">
        <is>
          <t>GU-TDH-024</t>
        </is>
      </c>
      <c r="B31" s="23" t="inlineStr">
        <is>
          <t>GE</t>
        </is>
      </c>
      <c r="C31" s="23" t="inlineStr">
        <is>
          <t>gu_tdh_024</t>
        </is>
      </c>
      <c r="D31" s="23" t="inlineStr">
        <is>
          <t>Lector participante</t>
        </is>
      </c>
      <c r="E31" s="23" t="inlineStr">
        <is>
          <t>Chat RAG y módulo experimento; sin admin</t>
        </is>
      </c>
      <c r="F31" s="76" t="n">
        <v>46313</v>
      </c>
      <c r="G31" s="23" t="inlineStr">
        <is>
          <t>Sí</t>
        </is>
      </c>
      <c r="H31" s="23" t="inlineStr">
        <is>
          <t>Activa</t>
        </is>
      </c>
    </row>
    <row r="32" ht="30" customHeight="1" s="71">
      <c r="A32" s="23" t="inlineStr">
        <is>
          <t>GU-TDH-025</t>
        </is>
      </c>
      <c r="B32" s="23" t="inlineStr">
        <is>
          <t>GE</t>
        </is>
      </c>
      <c r="C32" s="23" t="inlineStr">
        <is>
          <t>gu_tdh_025</t>
        </is>
      </c>
      <c r="D32" s="23" t="inlineStr">
        <is>
          <t>Lector participante</t>
        </is>
      </c>
      <c r="E32" s="23" t="inlineStr">
        <is>
          <t>Chat RAG y módulo experimento; sin admin</t>
        </is>
      </c>
      <c r="F32" s="76" t="n">
        <v>46313</v>
      </c>
      <c r="G32" s="23" t="inlineStr">
        <is>
          <t>Sí</t>
        </is>
      </c>
      <c r="H32" s="23" t="inlineStr">
        <is>
          <t>Activa</t>
        </is>
      </c>
    </row>
    <row r="33" ht="30" customHeight="1" s="71">
      <c r="A33" s="23" t="inlineStr">
        <is>
          <t>GU-TDH-026</t>
        </is>
      </c>
      <c r="B33" s="23" t="inlineStr">
        <is>
          <t>GE</t>
        </is>
      </c>
      <c r="C33" s="23" t="inlineStr">
        <is>
          <t>gu_tdh_026</t>
        </is>
      </c>
      <c r="D33" s="23" t="inlineStr">
        <is>
          <t>Lector participante</t>
        </is>
      </c>
      <c r="E33" s="23" t="inlineStr">
        <is>
          <t>Chat RAG y módulo experimento; sin admin</t>
        </is>
      </c>
      <c r="F33" s="76" t="n">
        <v>46313</v>
      </c>
      <c r="G33" s="23" t="inlineStr">
        <is>
          <t>Sí</t>
        </is>
      </c>
      <c r="H33" s="23" t="inlineStr">
        <is>
          <t>Activa</t>
        </is>
      </c>
    </row>
    <row r="34" ht="30" customHeight="1" s="71">
      <c r="A34" s="23" t="inlineStr">
        <is>
          <t>GU-TDH-027</t>
        </is>
      </c>
      <c r="B34" s="23" t="inlineStr">
        <is>
          <t>GE</t>
        </is>
      </c>
      <c r="C34" s="23" t="inlineStr">
        <is>
          <t>gu_tdh_027</t>
        </is>
      </c>
      <c r="D34" s="23" t="inlineStr">
        <is>
          <t>Lector participante</t>
        </is>
      </c>
      <c r="E34" s="23" t="inlineStr">
        <is>
          <t>Chat RAG y módulo experimento; sin admin</t>
        </is>
      </c>
      <c r="F34" s="76" t="n">
        <v>46313</v>
      </c>
      <c r="G34" s="23" t="inlineStr">
        <is>
          <t>Sí</t>
        </is>
      </c>
      <c r="H34" s="23" t="inlineStr">
        <is>
          <t>Activa</t>
        </is>
      </c>
    </row>
    <row r="35" ht="30" customHeight="1" s="71">
      <c r="A35" s="23" t="inlineStr">
        <is>
          <t>GU-TDH-028</t>
        </is>
      </c>
      <c r="B35" s="23" t="inlineStr">
        <is>
          <t>GE</t>
        </is>
      </c>
      <c r="C35" s="23" t="inlineStr">
        <is>
          <t>gu_tdh_028</t>
        </is>
      </c>
      <c r="D35" s="23" t="inlineStr">
        <is>
          <t>Lector participante</t>
        </is>
      </c>
      <c r="E35" s="23" t="inlineStr">
        <is>
          <t>Chat RAG y módulo experimento; sin admin</t>
        </is>
      </c>
      <c r="F35" s="76" t="n">
        <v>46313</v>
      </c>
      <c r="G35" s="23" t="inlineStr">
        <is>
          <t>Sí</t>
        </is>
      </c>
      <c r="H35" s="23" t="inlineStr">
        <is>
          <t>Activa</t>
        </is>
      </c>
    </row>
    <row r="36" ht="30" customHeight="1" s="71">
      <c r="A36" s="23" t="inlineStr">
        <is>
          <t>GU-TDH-029</t>
        </is>
      </c>
      <c r="B36" s="23" t="inlineStr">
        <is>
          <t>GE</t>
        </is>
      </c>
      <c r="C36" s="23" t="inlineStr">
        <is>
          <t>gu_tdh_029</t>
        </is>
      </c>
      <c r="D36" s="23" t="inlineStr">
        <is>
          <t>Lector participante</t>
        </is>
      </c>
      <c r="E36" s="23" t="inlineStr">
        <is>
          <t>Chat RAG y módulo experimento; sin admin</t>
        </is>
      </c>
      <c r="F36" s="76" t="n">
        <v>46313</v>
      </c>
      <c r="G36" s="23" t="inlineStr">
        <is>
          <t>Sí</t>
        </is>
      </c>
      <c r="H36" s="23" t="inlineStr">
        <is>
          <t>Activa</t>
        </is>
      </c>
    </row>
    <row r="37" ht="30" customHeight="1" s="71">
      <c r="A37" s="23" t="inlineStr">
        <is>
          <t>GU-TDH-030</t>
        </is>
      </c>
      <c r="B37" s="23" t="inlineStr">
        <is>
          <t>GE</t>
        </is>
      </c>
      <c r="C37" s="23" t="inlineStr">
        <is>
          <t>gu_tdh_030</t>
        </is>
      </c>
      <c r="D37" s="23" t="inlineStr">
        <is>
          <t>Lector participante</t>
        </is>
      </c>
      <c r="E37" s="23" t="inlineStr">
        <is>
          <t>Chat RAG y módulo experimento; sin admin</t>
        </is>
      </c>
      <c r="F37" s="76" t="n">
        <v>46313</v>
      </c>
      <c r="G37" s="23" t="inlineStr">
        <is>
          <t>Sí</t>
        </is>
      </c>
      <c r="H37" s="23" t="inlineStr">
        <is>
          <t>Activa</t>
        </is>
      </c>
    </row>
    <row r="38" ht="30" customHeight="1" s="71">
      <c r="A38" s="23" t="inlineStr">
        <is>
          <t>GU-TDH-032</t>
        </is>
      </c>
      <c r="B38" s="23" t="inlineStr">
        <is>
          <t>GE</t>
        </is>
      </c>
      <c r="C38" s="23" t="inlineStr">
        <is>
          <t>gu_tdh_032</t>
        </is>
      </c>
      <c r="D38" s="23" t="inlineStr">
        <is>
          <t>Lector participante</t>
        </is>
      </c>
      <c r="E38" s="23" t="inlineStr">
        <is>
          <t>Chat RAG y módulo experimento; sin admin</t>
        </is>
      </c>
      <c r="F38" s="76" t="n">
        <v>46313</v>
      </c>
      <c r="G38" s="23" t="inlineStr">
        <is>
          <t>Sí</t>
        </is>
      </c>
      <c r="H38" s="23" t="inlineStr">
        <is>
          <t>Activa</t>
        </is>
      </c>
    </row>
    <row r="39" ht="30" customHeight="1" s="71">
      <c r="A39" s="23" t="inlineStr">
        <is>
          <t>GU-TDH-033</t>
        </is>
      </c>
      <c r="B39" s="23" t="inlineStr">
        <is>
          <t>GE</t>
        </is>
      </c>
      <c r="C39" s="23" t="inlineStr">
        <is>
          <t>gu_tdh_033</t>
        </is>
      </c>
      <c r="D39" s="23" t="inlineStr">
        <is>
          <t>Lector participante</t>
        </is>
      </c>
      <c r="E39" s="23" t="inlineStr">
        <is>
          <t>Chat RAG y módulo experimento; sin admin</t>
        </is>
      </c>
      <c r="F39" s="76" t="n">
        <v>46313</v>
      </c>
      <c r="G39" s="23" t="inlineStr">
        <is>
          <t>Sí</t>
        </is>
      </c>
      <c r="H39" s="23" t="inlineStr">
        <is>
          <t>Activa</t>
        </is>
      </c>
    </row>
    <row r="40" ht="30" customHeight="1" s="71">
      <c r="A40" s="23" t="inlineStr">
        <is>
          <t>GU-TDH-034</t>
        </is>
      </c>
      <c r="B40" s="23" t="inlineStr">
        <is>
          <t>GE</t>
        </is>
      </c>
      <c r="C40" s="23" t="inlineStr">
        <is>
          <t>gu_tdh_034</t>
        </is>
      </c>
      <c r="D40" s="23" t="inlineStr">
        <is>
          <t>Lector participante</t>
        </is>
      </c>
      <c r="E40" s="23" t="inlineStr">
        <is>
          <t>Chat RAG y módulo experimento; sin admin</t>
        </is>
      </c>
      <c r="F40" s="76" t="n">
        <v>46313</v>
      </c>
      <c r="G40" s="23" t="inlineStr">
        <is>
          <t>Sí</t>
        </is>
      </c>
      <c r="H40" s="23" t="inlineStr">
        <is>
          <t>Activa</t>
        </is>
      </c>
    </row>
    <row r="41" ht="30" customHeight="1" s="71">
      <c r="A41" s="23" t="inlineStr">
        <is>
          <t>GU-TDH-035</t>
        </is>
      </c>
      <c r="B41" s="23" t="inlineStr">
        <is>
          <t>GE</t>
        </is>
      </c>
      <c r="C41" s="23" t="inlineStr">
        <is>
          <t>gu_tdh_035</t>
        </is>
      </c>
      <c r="D41" s="23" t="inlineStr">
        <is>
          <t>Lector participante</t>
        </is>
      </c>
      <c r="E41" s="23" t="inlineStr">
        <is>
          <t>Chat RAG y módulo experimento; sin admin</t>
        </is>
      </c>
      <c r="F41" s="76" t="n">
        <v>46313</v>
      </c>
      <c r="G41" s="23" t="inlineStr">
        <is>
          <t>Sí</t>
        </is>
      </c>
      <c r="H41" s="23" t="inlineStr">
        <is>
          <t>Activa</t>
        </is>
      </c>
    </row>
    <row r="42" ht="15.75" customHeight="1" s="71">
      <c r="A42" s="23" t="inlineStr">
        <is>
          <t>GU-TDH-036</t>
        </is>
      </c>
      <c r="B42" s="23" t="inlineStr">
        <is>
          <t>GE</t>
        </is>
      </c>
      <c r="C42" s="23" t="inlineStr">
        <is>
          <t>gu_tdh_036</t>
        </is>
      </c>
      <c r="D42" s="23" t="inlineStr">
        <is>
          <t>Lector participante</t>
        </is>
      </c>
      <c r="E42" s="23" t="inlineStr">
        <is>
          <t>Chat RAG y módulo experimento; sin admin</t>
        </is>
      </c>
      <c r="F42" s="76" t="n">
        <v>46313</v>
      </c>
      <c r="G42" s="23" t="inlineStr">
        <is>
          <t>Sí</t>
        </is>
      </c>
      <c r="H42" s="23" t="inlineStr">
        <is>
          <t>Activa</t>
        </is>
      </c>
    </row>
    <row r="43" ht="15.75" customHeight="1" s="71">
      <c r="A43" s="23" t="inlineStr">
        <is>
          <t>GU-TDH-038</t>
        </is>
      </c>
      <c r="B43" s="23" t="inlineStr">
        <is>
          <t>GE</t>
        </is>
      </c>
      <c r="C43" s="23" t="inlineStr">
        <is>
          <t>gu_tdh_038</t>
        </is>
      </c>
      <c r="D43" s="23" t="inlineStr">
        <is>
          <t>Lector participante</t>
        </is>
      </c>
      <c r="E43" s="23" t="inlineStr">
        <is>
          <t>Chat RAG y módulo experimento; sin admin</t>
        </is>
      </c>
      <c r="F43" s="76" t="n">
        <v>46313</v>
      </c>
      <c r="G43" s="23" t="inlineStr">
        <is>
          <t>Sí</t>
        </is>
      </c>
      <c r="H43" s="23" t="inlineStr">
        <is>
          <t>Activa</t>
        </is>
      </c>
    </row>
    <row r="44" ht="43.5" customHeight="1" s="71">
      <c r="A44" s="23" t="inlineStr">
        <is>
          <t>GU-TDH-039</t>
        </is>
      </c>
      <c r="B44" s="23" t="inlineStr">
        <is>
          <t>GE</t>
        </is>
      </c>
      <c r="C44" s="23" t="inlineStr">
        <is>
          <t>gu_tdh_039</t>
        </is>
      </c>
      <c r="D44" s="23" t="inlineStr">
        <is>
          <t>Lector participante</t>
        </is>
      </c>
      <c r="E44" s="23" t="inlineStr">
        <is>
          <t>Chat RAG y módulo experimento; sin admin</t>
        </is>
      </c>
      <c r="F44" s="76" t="n">
        <v>46313</v>
      </c>
      <c r="G44" s="23" t="inlineStr">
        <is>
          <t>Sí</t>
        </is>
      </c>
      <c r="H44" s="23" t="inlineStr">
        <is>
          <t>Activa</t>
        </is>
      </c>
    </row>
    <row r="45" ht="15.75" customHeight="1" s="71">
      <c r="A45" s="23" t="inlineStr">
        <is>
          <t>GU-TDH-040</t>
        </is>
      </c>
      <c r="B45" s="23" t="inlineStr">
        <is>
          <t>GE</t>
        </is>
      </c>
      <c r="C45" s="23" t="inlineStr">
        <is>
          <t>gu_tdh_040</t>
        </is>
      </c>
      <c r="D45" s="23" t="inlineStr">
        <is>
          <t>Lector participante</t>
        </is>
      </c>
      <c r="E45" s="23" t="inlineStr">
        <is>
          <t>Chat RAG y módulo experimento; sin admin</t>
        </is>
      </c>
      <c r="F45" s="76" t="n">
        <v>46313</v>
      </c>
      <c r="G45" s="23" t="inlineStr">
        <is>
          <t>Sí</t>
        </is>
      </c>
      <c r="H45" s="23" t="inlineStr">
        <is>
          <t>Activa</t>
        </is>
      </c>
    </row>
    <row r="46" ht="15.75" customHeight="1" s="71">
      <c r="A46" s="23" t="inlineStr">
        <is>
          <t>GU-TDH-041</t>
        </is>
      </c>
      <c r="B46" s="23" t="inlineStr">
        <is>
          <t>GE</t>
        </is>
      </c>
      <c r="C46" s="23" t="inlineStr">
        <is>
          <t>gu_tdh_041</t>
        </is>
      </c>
      <c r="D46" s="23" t="inlineStr">
        <is>
          <t>Lector participante</t>
        </is>
      </c>
      <c r="E46" s="23" t="inlineStr">
        <is>
          <t>Chat RAG y módulo experimento; sin admin</t>
        </is>
      </c>
      <c r="F46" s="76" t="n">
        <v>46313</v>
      </c>
      <c r="G46" s="23" t="inlineStr">
        <is>
          <t>Sí</t>
        </is>
      </c>
      <c r="H46" s="23" t="inlineStr">
        <is>
          <t>Activa</t>
        </is>
      </c>
    </row>
    <row r="47" ht="15.75" customHeight="1" s="71">
      <c r="A47" s="23" t="inlineStr">
        <is>
          <t>GU-TDH-042</t>
        </is>
      </c>
      <c r="B47" s="23" t="inlineStr">
        <is>
          <t>GE</t>
        </is>
      </c>
      <c r="C47" s="23" t="inlineStr">
        <is>
          <t>gu_tdh_042</t>
        </is>
      </c>
      <c r="D47" s="23" t="inlineStr">
        <is>
          <t>Lector participante</t>
        </is>
      </c>
      <c r="E47" s="23" t="inlineStr">
        <is>
          <t>Chat RAG y módulo experimento; sin admin</t>
        </is>
      </c>
      <c r="F47" s="76" t="n">
        <v>46313</v>
      </c>
      <c r="G47" s="23" t="inlineStr">
        <is>
          <t>Sí</t>
        </is>
      </c>
      <c r="H47" s="23" t="inlineStr">
        <is>
          <t>Activa</t>
        </is>
      </c>
    </row>
    <row r="48" ht="15.75" customHeight="1" s="71">
      <c r="A48" s="23" t="inlineStr">
        <is>
          <t>GU-TDH-043</t>
        </is>
      </c>
      <c r="B48" s="23" t="inlineStr">
        <is>
          <t>GE</t>
        </is>
      </c>
      <c r="C48" s="23" t="inlineStr">
        <is>
          <t>gu_tdh_043</t>
        </is>
      </c>
      <c r="D48" s="23" t="inlineStr">
        <is>
          <t>Lector participante</t>
        </is>
      </c>
      <c r="E48" s="23" t="inlineStr">
        <is>
          <t>Chat RAG y módulo experimento; sin admin</t>
        </is>
      </c>
      <c r="F48" s="76" t="n">
        <v>46313</v>
      </c>
      <c r="G48" s="23" t="inlineStr">
        <is>
          <t>Sí</t>
        </is>
      </c>
      <c r="H48" s="23" t="inlineStr">
        <is>
          <t>Activa</t>
        </is>
      </c>
    </row>
    <row r="49" ht="15.75" customHeight="1" s="71">
      <c r="A49" s="23" t="inlineStr">
        <is>
          <t>GU-TDH-045</t>
        </is>
      </c>
      <c r="B49" s="23" t="inlineStr">
        <is>
          <t>GE</t>
        </is>
      </c>
      <c r="C49" s="23" t="inlineStr">
        <is>
          <t>gu_tdh_045</t>
        </is>
      </c>
      <c r="D49" s="23" t="inlineStr">
        <is>
          <t>Lector participante</t>
        </is>
      </c>
      <c r="E49" s="23" t="inlineStr">
        <is>
          <t>Chat RAG y módulo experimento; sin admin</t>
        </is>
      </c>
      <c r="F49" s="76" t="n">
        <v>46313</v>
      </c>
      <c r="G49" s="23" t="inlineStr">
        <is>
          <t>Sí</t>
        </is>
      </c>
      <c r="H49" s="23" t="inlineStr">
        <is>
          <t>Activa</t>
        </is>
      </c>
    </row>
    <row r="50" ht="15.75" customHeight="1" s="71">
      <c r="A50" s="23" t="inlineStr">
        <is>
          <t>GU-TDH-047</t>
        </is>
      </c>
      <c r="B50" s="23" t="inlineStr">
        <is>
          <t>GE</t>
        </is>
      </c>
      <c r="C50" s="23" t="inlineStr">
        <is>
          <t>gu_tdh_047</t>
        </is>
      </c>
      <c r="D50" s="23" t="inlineStr">
        <is>
          <t>Lector participante</t>
        </is>
      </c>
      <c r="E50" s="23" t="inlineStr">
        <is>
          <t>Chat RAG y módulo experimento; sin admin</t>
        </is>
      </c>
      <c r="F50" s="76" t="n">
        <v>46313</v>
      </c>
      <c r="G50" s="23" t="inlineStr">
        <is>
          <t>Sí</t>
        </is>
      </c>
      <c r="H50" s="23" t="inlineStr">
        <is>
          <t>Activa</t>
        </is>
      </c>
    </row>
    <row r="51" ht="15.75" customHeight="1" s="71">
      <c r="A51" s="23" t="inlineStr">
        <is>
          <t>GU-TDH-048</t>
        </is>
      </c>
      <c r="B51" s="23" t="inlineStr">
        <is>
          <t>GE</t>
        </is>
      </c>
      <c r="C51" s="23" t="inlineStr">
        <is>
          <t>gu_tdh_048</t>
        </is>
      </c>
      <c r="D51" s="23" t="inlineStr">
        <is>
          <t>Lector participante</t>
        </is>
      </c>
      <c r="E51" s="23" t="inlineStr">
        <is>
          <t>Chat RAG y módulo experimento; sin admin</t>
        </is>
      </c>
      <c r="F51" s="76" t="n">
        <v>46313</v>
      </c>
      <c r="G51" s="23" t="inlineStr">
        <is>
          <t>Sí</t>
        </is>
      </c>
      <c r="H51" s="23" t="inlineStr">
        <is>
          <t>Activa</t>
        </is>
      </c>
    </row>
    <row r="52" ht="15.75" customHeight="1" s="71">
      <c r="A52" s="23" t="inlineStr">
        <is>
          <t>GU-TDH-049</t>
        </is>
      </c>
      <c r="B52" s="23" t="inlineStr">
        <is>
          <t>GE</t>
        </is>
      </c>
      <c r="C52" s="23" t="inlineStr">
        <is>
          <t>gu_tdh_049</t>
        </is>
      </c>
      <c r="D52" s="23" t="inlineStr">
        <is>
          <t>Lector participante</t>
        </is>
      </c>
      <c r="E52" s="23" t="inlineStr">
        <is>
          <t>Chat RAG y módulo experimento; sin admin</t>
        </is>
      </c>
      <c r="F52" s="76" t="n">
        <v>46313</v>
      </c>
      <c r="G52" s="23" t="inlineStr">
        <is>
          <t>Sí</t>
        </is>
      </c>
      <c r="H52" s="23" t="inlineStr">
        <is>
          <t>Activa</t>
        </is>
      </c>
    </row>
    <row r="53" ht="15.75" customHeight="1" s="71">
      <c r="A53" s="23" t="inlineStr">
        <is>
          <t>GU-TDH-050</t>
        </is>
      </c>
      <c r="B53" s="23" t="inlineStr">
        <is>
          <t>GE</t>
        </is>
      </c>
      <c r="C53" s="23" t="inlineStr">
        <is>
          <t>gu_tdh_050</t>
        </is>
      </c>
      <c r="D53" s="23" t="inlineStr">
        <is>
          <t>Lector participante</t>
        </is>
      </c>
      <c r="E53" s="23" t="inlineStr">
        <is>
          <t>Chat RAG y módulo experimento; sin admin</t>
        </is>
      </c>
      <c r="F53" s="76" t="n">
        <v>46313</v>
      </c>
      <c r="G53" s="23" t="inlineStr">
        <is>
          <t>Sí</t>
        </is>
      </c>
      <c r="H53" s="23" t="inlineStr">
        <is>
          <t>Activa</t>
        </is>
      </c>
    </row>
    <row r="54" ht="15.75" customHeight="1" s="71">
      <c r="A54" s="23" t="inlineStr">
        <is>
          <t>GU-TDH-051</t>
        </is>
      </c>
      <c r="B54" s="23" t="inlineStr">
        <is>
          <t>GE</t>
        </is>
      </c>
      <c r="C54" s="23" t="inlineStr">
        <is>
          <t>gu_tdh_051</t>
        </is>
      </c>
      <c r="D54" s="23" t="inlineStr">
        <is>
          <t>Lector participante</t>
        </is>
      </c>
      <c r="E54" s="23" t="inlineStr">
        <is>
          <t>Chat RAG y módulo experimento; sin admin</t>
        </is>
      </c>
      <c r="F54" s="76" t="n">
        <v>46313</v>
      </c>
      <c r="G54" s="23" t="inlineStr">
        <is>
          <t>Sí</t>
        </is>
      </c>
      <c r="H54" s="23" t="inlineStr">
        <is>
          <t>Activa</t>
        </is>
      </c>
    </row>
    <row r="55" ht="15.75" customHeight="1" s="71">
      <c r="A55" s="23" t="inlineStr">
        <is>
          <t>GU-TDH-052</t>
        </is>
      </c>
      <c r="B55" s="23" t="inlineStr">
        <is>
          <t>GE</t>
        </is>
      </c>
      <c r="C55" s="23" t="inlineStr">
        <is>
          <t>gu_tdh_052</t>
        </is>
      </c>
      <c r="D55" s="23" t="inlineStr">
        <is>
          <t>Lector participante</t>
        </is>
      </c>
      <c r="E55" s="23" t="inlineStr">
        <is>
          <t>Chat RAG y módulo experimento; sin admin</t>
        </is>
      </c>
      <c r="F55" s="76" t="n">
        <v>46313</v>
      </c>
      <c r="G55" s="23" t="inlineStr">
        <is>
          <t>Sí</t>
        </is>
      </c>
      <c r="H55" s="23" t="inlineStr">
        <is>
          <t>Activa</t>
        </is>
      </c>
    </row>
    <row r="56" ht="15.75" customHeight="1" s="71">
      <c r="A56" s="23" t="inlineStr">
        <is>
          <t>GU-TDH-053</t>
        </is>
      </c>
      <c r="B56" s="23" t="inlineStr">
        <is>
          <t>GE</t>
        </is>
      </c>
      <c r="C56" s="23" t="inlineStr">
        <is>
          <t>gu_tdh_053</t>
        </is>
      </c>
      <c r="D56" s="23" t="inlineStr">
        <is>
          <t>Lector participante</t>
        </is>
      </c>
      <c r="E56" s="23" t="inlineStr">
        <is>
          <t>Chat RAG y módulo experimento; sin admin</t>
        </is>
      </c>
      <c r="F56" s="76" t="n">
        <v>46313</v>
      </c>
      <c r="G56" s="23" t="inlineStr">
        <is>
          <t>Sí</t>
        </is>
      </c>
      <c r="H56" s="23" t="inlineStr">
        <is>
          <t>Activa</t>
        </is>
      </c>
    </row>
    <row r="57" ht="15.75" customHeight="1" s="71">
      <c r="A57" s="23" t="inlineStr">
        <is>
          <t>GU-TDH-054</t>
        </is>
      </c>
      <c r="B57" s="23" t="inlineStr">
        <is>
          <t>GE</t>
        </is>
      </c>
      <c r="C57" s="23" t="inlineStr">
        <is>
          <t>gu_tdh_054</t>
        </is>
      </c>
      <c r="D57" s="23" t="inlineStr">
        <is>
          <t>Lector participante</t>
        </is>
      </c>
      <c r="E57" s="23" t="inlineStr">
        <is>
          <t>Chat RAG y módulo experimento; sin admin</t>
        </is>
      </c>
      <c r="F57" s="76" t="n">
        <v>46313</v>
      </c>
      <c r="G57" s="23" t="inlineStr">
        <is>
          <t>Sí</t>
        </is>
      </c>
      <c r="H57" s="23" t="inlineStr">
        <is>
          <t>Activa</t>
        </is>
      </c>
    </row>
    <row r="58" ht="15.75" customHeight="1" s="71">
      <c r="A58" s="23" t="inlineStr">
        <is>
          <t>GU-TDH-056</t>
        </is>
      </c>
      <c r="B58" s="23" t="inlineStr">
        <is>
          <t>GE</t>
        </is>
      </c>
      <c r="C58" s="23" t="inlineStr">
        <is>
          <t>gu_tdh_056</t>
        </is>
      </c>
      <c r="D58" s="23" t="inlineStr">
        <is>
          <t>Lector participante</t>
        </is>
      </c>
      <c r="E58" s="23" t="inlineStr">
        <is>
          <t>Chat RAG y módulo experimento; sin admin</t>
        </is>
      </c>
      <c r="F58" s="76" t="n">
        <v>46313</v>
      </c>
      <c r="G58" s="23" t="inlineStr">
        <is>
          <t>Sí</t>
        </is>
      </c>
      <c r="H58" s="23" t="inlineStr">
        <is>
          <t>Activa</t>
        </is>
      </c>
    </row>
    <row r="59" ht="15.75" customHeight="1" s="71">
      <c r="A59" s="23" t="inlineStr">
        <is>
          <t>GU-TDH-057</t>
        </is>
      </c>
      <c r="B59" s="23" t="inlineStr">
        <is>
          <t>GE</t>
        </is>
      </c>
      <c r="C59" s="23" t="inlineStr">
        <is>
          <t>gu_tdh_057</t>
        </is>
      </c>
      <c r="D59" s="23" t="inlineStr">
        <is>
          <t>Lector participante</t>
        </is>
      </c>
      <c r="E59" s="23" t="inlineStr">
        <is>
          <t>Chat RAG y módulo experimento; sin admin</t>
        </is>
      </c>
      <c r="F59" s="76" t="n">
        <v>46313</v>
      </c>
      <c r="G59" s="23" t="inlineStr">
        <is>
          <t>Sí</t>
        </is>
      </c>
      <c r="H59" s="23" t="inlineStr">
        <is>
          <t>Activa</t>
        </is>
      </c>
    </row>
    <row r="60" ht="15.75" customHeight="1" s="71">
      <c r="A60" s="23" t="inlineStr">
        <is>
          <t>GU-TDH-058</t>
        </is>
      </c>
      <c r="B60" s="23" t="inlineStr">
        <is>
          <t>GE</t>
        </is>
      </c>
      <c r="C60" s="23" t="inlineStr">
        <is>
          <t>gu_tdh_058</t>
        </is>
      </c>
      <c r="D60" s="23" t="inlineStr">
        <is>
          <t>Lector participante</t>
        </is>
      </c>
      <c r="E60" s="23" t="inlineStr">
        <is>
          <t>Chat RAG y módulo experimento; sin admin</t>
        </is>
      </c>
      <c r="F60" s="76" t="n">
        <v>46313</v>
      </c>
      <c r="G60" s="23" t="inlineStr">
        <is>
          <t>Sí</t>
        </is>
      </c>
      <c r="H60" s="23" t="inlineStr">
        <is>
          <t>Activa</t>
        </is>
      </c>
    </row>
    <row r="61" ht="15.75" customHeight="1" s="71">
      <c r="A61" s="23" t="inlineStr">
        <is>
          <t>GU-TDH-060</t>
        </is>
      </c>
      <c r="B61" s="23" t="inlineStr">
        <is>
          <t>GE</t>
        </is>
      </c>
      <c r="C61" s="23" t="inlineStr">
        <is>
          <t>gu_tdh_060</t>
        </is>
      </c>
      <c r="D61" s="23" t="inlineStr">
        <is>
          <t>Lector participante</t>
        </is>
      </c>
      <c r="E61" s="23" t="inlineStr">
        <is>
          <t>Chat RAG y módulo experimento; sin admin</t>
        </is>
      </c>
      <c r="F61" s="76" t="n">
        <v>46313</v>
      </c>
      <c r="G61" s="23" t="inlineStr">
        <is>
          <t>Sí</t>
        </is>
      </c>
      <c r="H61" s="23" t="inlineStr">
        <is>
          <t>Activa</t>
        </is>
      </c>
    </row>
    <row r="62" ht="15.75" customHeight="1" s="71">
      <c r="A62" s="23" t="inlineStr">
        <is>
          <t>GU-TDH-061</t>
        </is>
      </c>
      <c r="B62" s="23" t="inlineStr">
        <is>
          <t>GE</t>
        </is>
      </c>
      <c r="C62" s="23" t="inlineStr">
        <is>
          <t>gu_tdh_061</t>
        </is>
      </c>
      <c r="D62" s="23" t="inlineStr">
        <is>
          <t>Lector participante</t>
        </is>
      </c>
      <c r="E62" s="23" t="inlineStr">
        <is>
          <t>Chat RAG y módulo experimento; sin admin</t>
        </is>
      </c>
      <c r="F62" s="76" t="n">
        <v>46313</v>
      </c>
      <c r="G62" s="23" t="inlineStr">
        <is>
          <t>Sí</t>
        </is>
      </c>
      <c r="H62" s="23" t="inlineStr">
        <is>
          <t>Activa</t>
        </is>
      </c>
    </row>
    <row r="63" ht="15.75" customHeight="1" s="71">
      <c r="A63" s="23" t="inlineStr">
        <is>
          <t>GU-TDH-062</t>
        </is>
      </c>
      <c r="B63" s="23" t="inlineStr">
        <is>
          <t>GE</t>
        </is>
      </c>
      <c r="C63" s="23" t="inlineStr">
        <is>
          <t>gu_tdh_062</t>
        </is>
      </c>
      <c r="D63" s="23" t="inlineStr">
        <is>
          <t>Lector participante</t>
        </is>
      </c>
      <c r="E63" s="23" t="inlineStr">
        <is>
          <t>Chat RAG y módulo experimento; sin admin</t>
        </is>
      </c>
      <c r="F63" s="76" t="n">
        <v>46313</v>
      </c>
      <c r="G63" s="23" t="inlineStr">
        <is>
          <t>Sí</t>
        </is>
      </c>
      <c r="H63" s="23" t="inlineStr">
        <is>
          <t>Activa</t>
        </is>
      </c>
    </row>
    <row r="64" ht="15.75" customHeight="1" s="71">
      <c r="A64" s="23" t="inlineStr">
        <is>
          <t>GU-TDH-063</t>
        </is>
      </c>
      <c r="B64" s="23" t="inlineStr">
        <is>
          <t>GE</t>
        </is>
      </c>
      <c r="C64" s="23" t="inlineStr">
        <is>
          <t>gu_tdh_063</t>
        </is>
      </c>
      <c r="D64" s="23" t="inlineStr">
        <is>
          <t>Lector participante</t>
        </is>
      </c>
      <c r="E64" s="23" t="inlineStr">
        <is>
          <t>Chat RAG y módulo experimento; sin admin</t>
        </is>
      </c>
      <c r="F64" s="76" t="n">
        <v>46313</v>
      </c>
      <c r="G64" s="23" t="inlineStr">
        <is>
          <t>Sí</t>
        </is>
      </c>
      <c r="H64" s="23" t="inlineStr">
        <is>
          <t>Activa</t>
        </is>
      </c>
    </row>
    <row r="65" ht="15.75" customHeight="1" s="71">
      <c r="A65" s="23" t="inlineStr">
        <is>
          <t>GU-TDH-064</t>
        </is>
      </c>
      <c r="B65" s="23" t="inlineStr">
        <is>
          <t>GE</t>
        </is>
      </c>
      <c r="C65" s="23" t="inlineStr">
        <is>
          <t>gu_tdh_064</t>
        </is>
      </c>
      <c r="D65" s="23" t="inlineStr">
        <is>
          <t>Lector participante</t>
        </is>
      </c>
      <c r="E65" s="23" t="inlineStr">
        <is>
          <t>Chat RAG y módulo experimento; sin admin</t>
        </is>
      </c>
      <c r="F65" s="76" t="n">
        <v>46313</v>
      </c>
      <c r="G65" s="23" t="inlineStr">
        <is>
          <t>Sí</t>
        </is>
      </c>
      <c r="H65" s="23" t="inlineStr">
        <is>
          <t>Activa</t>
        </is>
      </c>
    </row>
    <row r="66" ht="15.75" customHeight="1" s="71">
      <c r="A66" s="23" t="inlineStr">
        <is>
          <t>GU-TDH-065</t>
        </is>
      </c>
      <c r="B66" s="23" t="inlineStr">
        <is>
          <t>GE</t>
        </is>
      </c>
      <c r="C66" s="23" t="inlineStr">
        <is>
          <t>gu_tdh_065</t>
        </is>
      </c>
      <c r="D66" s="23" t="inlineStr">
        <is>
          <t>Lector participante</t>
        </is>
      </c>
      <c r="E66" s="23" t="inlineStr">
        <is>
          <t>Chat RAG y módulo experimento; sin admin</t>
        </is>
      </c>
      <c r="F66" s="76" t="n">
        <v>46313</v>
      </c>
      <c r="G66" s="23" t="inlineStr">
        <is>
          <t>Sí</t>
        </is>
      </c>
      <c r="H66" s="23" t="inlineStr">
        <is>
          <t>Activa</t>
        </is>
      </c>
    </row>
    <row r="67" ht="15.75" customHeight="1" s="71">
      <c r="A67" s="23" t="inlineStr">
        <is>
          <t>GU-TDH-066</t>
        </is>
      </c>
      <c r="B67" s="23" t="inlineStr">
        <is>
          <t>GE</t>
        </is>
      </c>
      <c r="C67" s="23" t="inlineStr">
        <is>
          <t>gu_tdh_066</t>
        </is>
      </c>
      <c r="D67" s="23" t="inlineStr">
        <is>
          <t>Lector participante</t>
        </is>
      </c>
      <c r="E67" s="23" t="inlineStr">
        <is>
          <t>Chat RAG y módulo experimento; sin admin</t>
        </is>
      </c>
      <c r="F67" s="76" t="n">
        <v>46313</v>
      </c>
      <c r="G67" s="23" t="inlineStr">
        <is>
          <t>Sí</t>
        </is>
      </c>
      <c r="H67" s="23" t="inlineStr">
        <is>
          <t>Activa</t>
        </is>
      </c>
    </row>
    <row r="68" ht="15.75" customHeight="1" s="71">
      <c r="A68" s="23" t="inlineStr">
        <is>
          <t>GU-TDH-067</t>
        </is>
      </c>
      <c r="B68" s="23" t="inlineStr">
        <is>
          <t>GE</t>
        </is>
      </c>
      <c r="C68" s="23" t="inlineStr">
        <is>
          <t>gu_tdh_067</t>
        </is>
      </c>
      <c r="D68" s="23" t="inlineStr">
        <is>
          <t>Lector participante</t>
        </is>
      </c>
      <c r="E68" s="23" t="inlineStr">
        <is>
          <t>Chat RAG y módulo experimento; sin admin</t>
        </is>
      </c>
      <c r="F68" s="76" t="n">
        <v>46313</v>
      </c>
      <c r="G68" s="23" t="inlineStr">
        <is>
          <t>Sí</t>
        </is>
      </c>
      <c r="H68" s="23" t="inlineStr">
        <is>
          <t>Activa</t>
        </is>
      </c>
    </row>
    <row r="69" ht="15.75" customHeight="1" s="71">
      <c r="A69" s="23" t="inlineStr">
        <is>
          <t>GU-TDH-069</t>
        </is>
      </c>
      <c r="B69" s="23" t="inlineStr">
        <is>
          <t>GE</t>
        </is>
      </c>
      <c r="C69" s="23" t="inlineStr">
        <is>
          <t>gu_tdh_069</t>
        </is>
      </c>
      <c r="D69" s="23" t="inlineStr">
        <is>
          <t>Lector participante</t>
        </is>
      </c>
      <c r="E69" s="23" t="inlineStr">
        <is>
          <t>Chat RAG y módulo experimento; sin admin</t>
        </is>
      </c>
      <c r="F69" s="76" t="n">
        <v>46313</v>
      </c>
      <c r="G69" s="23" t="inlineStr">
        <is>
          <t>Sí</t>
        </is>
      </c>
      <c r="H69" s="23" t="inlineStr">
        <is>
          <t>Activa</t>
        </is>
      </c>
    </row>
    <row r="70" ht="15.75" customHeight="1" s="71">
      <c r="A70" s="23" t="inlineStr">
        <is>
          <t>GU-TDH-070</t>
        </is>
      </c>
      <c r="B70" s="23" t="inlineStr">
        <is>
          <t>GE</t>
        </is>
      </c>
      <c r="C70" s="23" t="inlineStr">
        <is>
          <t>gu_tdh_070</t>
        </is>
      </c>
      <c r="D70" s="23" t="inlineStr">
        <is>
          <t>Lector participante</t>
        </is>
      </c>
      <c r="E70" s="23" t="inlineStr">
        <is>
          <t>Chat RAG y módulo experimento; sin admin</t>
        </is>
      </c>
      <c r="F70" s="76" t="n">
        <v>46313</v>
      </c>
      <c r="G70" s="23" t="inlineStr">
        <is>
          <t>Sí</t>
        </is>
      </c>
      <c r="H70" s="23" t="inlineStr">
        <is>
          <t>Activa</t>
        </is>
      </c>
    </row>
    <row r="71" ht="15.75" customHeight="1" s="71">
      <c r="A71" s="23" t="inlineStr">
        <is>
          <t>GU-TDH-071</t>
        </is>
      </c>
      <c r="B71" s="23" t="inlineStr">
        <is>
          <t>GE</t>
        </is>
      </c>
      <c r="C71" s="23" t="inlineStr">
        <is>
          <t>gu_tdh_071</t>
        </is>
      </c>
      <c r="D71" s="23" t="inlineStr">
        <is>
          <t>Lector participante</t>
        </is>
      </c>
      <c r="E71" s="23" t="inlineStr">
        <is>
          <t>Chat RAG y módulo experimento; sin admin</t>
        </is>
      </c>
      <c r="F71" s="76" t="n">
        <v>46313</v>
      </c>
      <c r="G71" s="23" t="inlineStr">
        <is>
          <t>Sí</t>
        </is>
      </c>
      <c r="H71" s="23" t="inlineStr">
        <is>
          <t>Activa</t>
        </is>
      </c>
    </row>
    <row r="72" ht="15.75" customHeight="1" s="71">
      <c r="A72" s="23" t="inlineStr">
        <is>
          <t>GU-TDH-072</t>
        </is>
      </c>
      <c r="B72" s="23" t="inlineStr">
        <is>
          <t>GE</t>
        </is>
      </c>
      <c r="C72" s="23" t="inlineStr">
        <is>
          <t>gu_tdh_072</t>
        </is>
      </c>
      <c r="D72" s="23" t="inlineStr">
        <is>
          <t>Lector participante</t>
        </is>
      </c>
      <c r="E72" s="23" t="inlineStr">
        <is>
          <t>Chat RAG y módulo experimento; sin admin</t>
        </is>
      </c>
      <c r="F72" s="76" t="n">
        <v>46313</v>
      </c>
      <c r="G72" s="23" t="inlineStr">
        <is>
          <t>Sí</t>
        </is>
      </c>
      <c r="H72" s="23" t="inlineStr">
        <is>
          <t>Activa</t>
        </is>
      </c>
    </row>
    <row r="73" ht="15.75" customHeight="1" s="71">
      <c r="A73" s="23" t="inlineStr">
        <is>
          <t>GU-TDH-073</t>
        </is>
      </c>
      <c r="B73" s="23" t="inlineStr">
        <is>
          <t>GE</t>
        </is>
      </c>
      <c r="C73" s="23" t="inlineStr">
        <is>
          <t>gu_tdh_073</t>
        </is>
      </c>
      <c r="D73" s="23" t="inlineStr">
        <is>
          <t>Lector participante</t>
        </is>
      </c>
      <c r="E73" s="23" t="inlineStr">
        <is>
          <t>Chat RAG y módulo experimento; sin admin</t>
        </is>
      </c>
      <c r="F73" s="76" t="n">
        <v>46313</v>
      </c>
      <c r="G73" s="23" t="inlineStr">
        <is>
          <t>Sí</t>
        </is>
      </c>
      <c r="H73" s="23" t="inlineStr">
        <is>
          <t>Activa</t>
        </is>
      </c>
    </row>
    <row r="74" ht="15.75" customHeight="1" s="71">
      <c r="A74" s="23" t="inlineStr">
        <is>
          <t>GU-TDH-074</t>
        </is>
      </c>
      <c r="B74" s="23" t="inlineStr">
        <is>
          <t>GE</t>
        </is>
      </c>
      <c r="C74" s="23" t="inlineStr">
        <is>
          <t>gu_tdh_074</t>
        </is>
      </c>
      <c r="D74" s="23" t="inlineStr">
        <is>
          <t>Lector participante</t>
        </is>
      </c>
      <c r="E74" s="23" t="inlineStr">
        <is>
          <t>Chat RAG y módulo experimento; sin admin</t>
        </is>
      </c>
      <c r="F74" s="76" t="n">
        <v>46313</v>
      </c>
      <c r="G74" s="23" t="inlineStr">
        <is>
          <t>Sí</t>
        </is>
      </c>
      <c r="H74" s="23" t="inlineStr">
        <is>
          <t>Activa</t>
        </is>
      </c>
    </row>
    <row r="75" ht="15.75" customHeight="1" s="71">
      <c r="A75" s="23" t="inlineStr">
        <is>
          <t>GU-TDH-075</t>
        </is>
      </c>
      <c r="B75" s="23" t="inlineStr">
        <is>
          <t>GE</t>
        </is>
      </c>
      <c r="C75" s="23" t="inlineStr">
        <is>
          <t>gu_tdh_075</t>
        </is>
      </c>
      <c r="D75" s="23" t="inlineStr">
        <is>
          <t>Lector participante</t>
        </is>
      </c>
      <c r="E75" s="23" t="inlineStr">
        <is>
          <t>Chat RAG y módulo experimento; sin admin</t>
        </is>
      </c>
      <c r="F75" s="76" t="n">
        <v>46313</v>
      </c>
      <c r="G75" s="23" t="inlineStr">
        <is>
          <t>Sí</t>
        </is>
      </c>
      <c r="H75" s="23" t="inlineStr">
        <is>
          <t>Activa</t>
        </is>
      </c>
    </row>
    <row r="76" ht="15.75" customHeight="1" s="71">
      <c r="A76" s="23" t="inlineStr">
        <is>
          <t>GU-TDH-076</t>
        </is>
      </c>
      <c r="B76" s="23" t="inlineStr">
        <is>
          <t>GE</t>
        </is>
      </c>
      <c r="C76" s="23" t="inlineStr">
        <is>
          <t>gu_tdh_076</t>
        </is>
      </c>
      <c r="D76" s="23" t="inlineStr">
        <is>
          <t>Lector participante</t>
        </is>
      </c>
      <c r="E76" s="23" t="inlineStr">
        <is>
          <t>Chat RAG y módulo experimento; sin admin</t>
        </is>
      </c>
      <c r="F76" s="76" t="n">
        <v>46313</v>
      </c>
      <c r="G76" s="23" t="inlineStr">
        <is>
          <t>Sí</t>
        </is>
      </c>
      <c r="H76" s="23" t="inlineStr">
        <is>
          <t>Activa</t>
        </is>
      </c>
    </row>
    <row r="77" ht="15.75" customHeight="1" s="71">
      <c r="A77" s="23" t="inlineStr">
        <is>
          <t>GU-TDH-077</t>
        </is>
      </c>
      <c r="B77" s="23" t="inlineStr">
        <is>
          <t>GE</t>
        </is>
      </c>
      <c r="C77" s="23" t="inlineStr">
        <is>
          <t>gu_tdh_077</t>
        </is>
      </c>
      <c r="D77" s="23" t="inlineStr">
        <is>
          <t>Lector participante</t>
        </is>
      </c>
      <c r="E77" s="23" t="inlineStr">
        <is>
          <t>Chat RAG y módulo experimento; sin admin</t>
        </is>
      </c>
      <c r="F77" s="76" t="n">
        <v>46313</v>
      </c>
      <c r="G77" s="23" t="inlineStr">
        <is>
          <t>Sí</t>
        </is>
      </c>
      <c r="H77" s="23" t="inlineStr">
        <is>
          <t>Activa</t>
        </is>
      </c>
    </row>
    <row r="78" ht="15.75" customHeight="1" s="71">
      <c r="A78" s="23" t="inlineStr">
        <is>
          <t>GU-TDH-078</t>
        </is>
      </c>
      <c r="B78" s="23" t="inlineStr">
        <is>
          <t>GE</t>
        </is>
      </c>
      <c r="C78" s="23" t="inlineStr">
        <is>
          <t>gu_tdh_078</t>
        </is>
      </c>
      <c r="D78" s="23" t="inlineStr">
        <is>
          <t>Lector participante</t>
        </is>
      </c>
      <c r="E78" s="23" t="inlineStr">
        <is>
          <t>Chat RAG y módulo experimento; sin admin</t>
        </is>
      </c>
      <c r="F78" s="76" t="n">
        <v>46313</v>
      </c>
      <c r="G78" s="23" t="inlineStr">
        <is>
          <t>Sí</t>
        </is>
      </c>
      <c r="H78" s="23" t="inlineStr">
        <is>
          <t>Activa</t>
        </is>
      </c>
    </row>
    <row r="79" ht="15.75" customHeight="1" s="71">
      <c r="A79" s="23" t="inlineStr">
        <is>
          <t>GU-TDH-079</t>
        </is>
      </c>
      <c r="B79" s="23" t="inlineStr">
        <is>
          <t>GE</t>
        </is>
      </c>
      <c r="C79" s="23" t="inlineStr">
        <is>
          <t>gu_tdh_079</t>
        </is>
      </c>
      <c r="D79" s="23" t="inlineStr">
        <is>
          <t>Lector participante</t>
        </is>
      </c>
      <c r="E79" s="23" t="inlineStr">
        <is>
          <t>Chat RAG y módulo experimento; sin admin</t>
        </is>
      </c>
      <c r="F79" s="76" t="n">
        <v>46313</v>
      </c>
      <c r="G79" s="23" t="inlineStr">
        <is>
          <t>Sí</t>
        </is>
      </c>
      <c r="H79" s="23" t="inlineStr">
        <is>
          <t>Activa</t>
        </is>
      </c>
    </row>
    <row r="80" ht="15.75" customHeight="1" s="71">
      <c r="A80" s="23" t="inlineStr">
        <is>
          <t>GU-TDH-080</t>
        </is>
      </c>
      <c r="B80" s="23" t="inlineStr">
        <is>
          <t>GE</t>
        </is>
      </c>
      <c r="C80" s="23" t="inlineStr">
        <is>
          <t>gu_tdh_080</t>
        </is>
      </c>
      <c r="D80" s="23" t="inlineStr">
        <is>
          <t>Lector participante</t>
        </is>
      </c>
      <c r="E80" s="23" t="inlineStr">
        <is>
          <t>Chat RAG y módulo experimento; sin admin</t>
        </is>
      </c>
      <c r="F80" s="76" t="n">
        <v>46313</v>
      </c>
      <c r="G80" s="23" t="inlineStr">
        <is>
          <t>Sí</t>
        </is>
      </c>
      <c r="H80" s="23" t="inlineStr">
        <is>
          <t>Activa</t>
        </is>
      </c>
    </row>
    <row r="81" ht="15.75" customHeight="1" s="71">
      <c r="A81" s="23" t="inlineStr">
        <is>
          <t>GU-TDH-081</t>
        </is>
      </c>
      <c r="B81" s="23" t="inlineStr">
        <is>
          <t>GE</t>
        </is>
      </c>
      <c r="C81" s="23" t="inlineStr">
        <is>
          <t>gu_tdh_081</t>
        </is>
      </c>
      <c r="D81" s="23" t="inlineStr">
        <is>
          <t>Lector participante</t>
        </is>
      </c>
      <c r="E81" s="23" t="inlineStr">
        <is>
          <t>Chat RAG y módulo experimento; sin admin</t>
        </is>
      </c>
      <c r="F81" s="76" t="n">
        <v>46313</v>
      </c>
      <c r="G81" s="23" t="inlineStr">
        <is>
          <t>Sí</t>
        </is>
      </c>
      <c r="H81" s="23" t="inlineStr">
        <is>
          <t>Activa</t>
        </is>
      </c>
    </row>
    <row r="82" ht="15.75" customHeight="1" s="71">
      <c r="A82" s="23" t="inlineStr">
        <is>
          <t>GU-TDH-082</t>
        </is>
      </c>
      <c r="B82" s="23" t="inlineStr">
        <is>
          <t>GE</t>
        </is>
      </c>
      <c r="C82" s="23" t="inlineStr">
        <is>
          <t>gu_tdh_082</t>
        </is>
      </c>
      <c r="D82" s="23" t="inlineStr">
        <is>
          <t>Lector participante</t>
        </is>
      </c>
      <c r="E82" s="23" t="inlineStr">
        <is>
          <t>Chat RAG y módulo experimento; sin admin</t>
        </is>
      </c>
      <c r="F82" s="76" t="n">
        <v>46313</v>
      </c>
      <c r="G82" s="23" t="inlineStr">
        <is>
          <t>Sí</t>
        </is>
      </c>
      <c r="H82" s="23" t="inlineStr">
        <is>
          <t>Activa</t>
        </is>
      </c>
    </row>
    <row r="83" ht="15.75" customHeight="1" s="71">
      <c r="A83" s="23" t="inlineStr">
        <is>
          <t>GU-TDH-083</t>
        </is>
      </c>
      <c r="B83" s="23" t="inlineStr">
        <is>
          <t>GE</t>
        </is>
      </c>
      <c r="C83" s="23" t="inlineStr">
        <is>
          <t>gu_tdh_083</t>
        </is>
      </c>
      <c r="D83" s="23" t="inlineStr">
        <is>
          <t>Lector participante</t>
        </is>
      </c>
      <c r="E83" s="23" t="inlineStr">
        <is>
          <t>Chat RAG y módulo experimento; sin admin</t>
        </is>
      </c>
      <c r="F83" s="76" t="n">
        <v>46313</v>
      </c>
      <c r="G83" s="23" t="inlineStr">
        <is>
          <t>Sí</t>
        </is>
      </c>
      <c r="H83" s="23" t="inlineStr">
        <is>
          <t>Activa</t>
        </is>
      </c>
    </row>
    <row r="84" ht="15.75" customHeight="1" s="71">
      <c r="A84" s="23" t="inlineStr">
        <is>
          <t>GU-TDH-084</t>
        </is>
      </c>
      <c r="B84" s="23" t="inlineStr">
        <is>
          <t>GE</t>
        </is>
      </c>
      <c r="C84" s="23" t="inlineStr">
        <is>
          <t>gu_tdh_084</t>
        </is>
      </c>
      <c r="D84" s="23" t="inlineStr">
        <is>
          <t>Lector participante</t>
        </is>
      </c>
      <c r="E84" s="23" t="inlineStr">
        <is>
          <t>Chat RAG y módulo experimento; sin admin</t>
        </is>
      </c>
      <c r="F84" s="76" t="n">
        <v>46313</v>
      </c>
      <c r="G84" s="23" t="inlineStr">
        <is>
          <t>Sí</t>
        </is>
      </c>
      <c r="H84" s="23" t="inlineStr">
        <is>
          <t>Activa</t>
        </is>
      </c>
    </row>
    <row r="85" ht="15.75" customHeight="1" s="71">
      <c r="A85" s="23" t="inlineStr">
        <is>
          <t>GU-TDH-085</t>
        </is>
      </c>
      <c r="B85" s="23" t="inlineStr">
        <is>
          <t>GE</t>
        </is>
      </c>
      <c r="C85" s="23" t="inlineStr">
        <is>
          <t>gu_tdh_085</t>
        </is>
      </c>
      <c r="D85" s="23" t="inlineStr">
        <is>
          <t>Lector participante</t>
        </is>
      </c>
      <c r="E85" s="23" t="inlineStr">
        <is>
          <t>Chat RAG y módulo experimento; sin admin</t>
        </is>
      </c>
      <c r="F85" s="76" t="n">
        <v>46313</v>
      </c>
      <c r="G85" s="23" t="inlineStr">
        <is>
          <t>Sí</t>
        </is>
      </c>
      <c r="H85" s="23" t="inlineStr">
        <is>
          <t>Activa</t>
        </is>
      </c>
    </row>
    <row r="86" ht="15.75" customHeight="1" s="71">
      <c r="A86" s="23" t="inlineStr">
        <is>
          <t>GU-TDH-086</t>
        </is>
      </c>
      <c r="B86" s="23" t="inlineStr">
        <is>
          <t>GE</t>
        </is>
      </c>
      <c r="C86" s="23" t="inlineStr">
        <is>
          <t>gu_tdh_086</t>
        </is>
      </c>
      <c r="D86" s="23" t="inlineStr">
        <is>
          <t>Lector participante</t>
        </is>
      </c>
      <c r="E86" s="23" t="inlineStr">
        <is>
          <t>Chat RAG y módulo experimento; sin admin</t>
        </is>
      </c>
      <c r="F86" s="76" t="n">
        <v>46313</v>
      </c>
      <c r="G86" s="23" t="inlineStr">
        <is>
          <t>Sí</t>
        </is>
      </c>
      <c r="H86" s="23" t="inlineStr">
        <is>
          <t>Activa</t>
        </is>
      </c>
    </row>
    <row r="87" ht="15.75" customHeight="1" s="71">
      <c r="A87" s="23" t="inlineStr">
        <is>
          <t>GU-TDH-087</t>
        </is>
      </c>
      <c r="B87" s="23" t="inlineStr">
        <is>
          <t>GE</t>
        </is>
      </c>
      <c r="C87" s="23" t="inlineStr">
        <is>
          <t>gu_tdh_087</t>
        </is>
      </c>
      <c r="D87" s="23" t="inlineStr">
        <is>
          <t>Lector participante</t>
        </is>
      </c>
      <c r="E87" s="23" t="inlineStr">
        <is>
          <t>Chat RAG y módulo experimento; sin admin</t>
        </is>
      </c>
      <c r="F87" s="76" t="n">
        <v>46313</v>
      </c>
      <c r="G87" s="23" t="inlineStr">
        <is>
          <t>Sí</t>
        </is>
      </c>
      <c r="H87" s="23" t="inlineStr">
        <is>
          <t>Activa</t>
        </is>
      </c>
    </row>
    <row r="88" ht="15.75" customHeight="1" s="71">
      <c r="A88" s="23" t="inlineStr">
        <is>
          <t>GU-TDH-088</t>
        </is>
      </c>
      <c r="B88" s="23" t="inlineStr">
        <is>
          <t>GE</t>
        </is>
      </c>
      <c r="C88" s="23" t="inlineStr">
        <is>
          <t>gu_tdh_088</t>
        </is>
      </c>
      <c r="D88" s="23" t="inlineStr">
        <is>
          <t>Lector participante</t>
        </is>
      </c>
      <c r="E88" s="23" t="inlineStr">
        <is>
          <t>Chat RAG y módulo experimento; sin admin</t>
        </is>
      </c>
      <c r="F88" s="76" t="n">
        <v>46313</v>
      </c>
      <c r="G88" s="23" t="inlineStr">
        <is>
          <t>Sí</t>
        </is>
      </c>
      <c r="H88" s="23" t="inlineStr">
        <is>
          <t>Activa</t>
        </is>
      </c>
    </row>
    <row r="89" ht="15.75" customHeight="1" s="71">
      <c r="A89" s="23" t="inlineStr">
        <is>
          <t>GU-TDH-089</t>
        </is>
      </c>
      <c r="B89" s="23" t="inlineStr">
        <is>
          <t>GE</t>
        </is>
      </c>
      <c r="C89" s="23" t="inlineStr">
        <is>
          <t>gu_tdh_089</t>
        </is>
      </c>
      <c r="D89" s="23" t="inlineStr">
        <is>
          <t>Lector participante</t>
        </is>
      </c>
      <c r="E89" s="23" t="inlineStr">
        <is>
          <t>Chat RAG y módulo experimento; sin admin</t>
        </is>
      </c>
      <c r="F89" s="76" t="n">
        <v>46313</v>
      </c>
      <c r="G89" s="23" t="inlineStr">
        <is>
          <t>Sí</t>
        </is>
      </c>
      <c r="H89" s="23" t="inlineStr">
        <is>
          <t>Activa</t>
        </is>
      </c>
    </row>
    <row r="90" ht="15.75" customHeight="1" s="71">
      <c r="A90" s="23" t="inlineStr">
        <is>
          <t>GU-TDH-090</t>
        </is>
      </c>
      <c r="B90" s="23" t="inlineStr">
        <is>
          <t>GE</t>
        </is>
      </c>
      <c r="C90" s="23" t="inlineStr">
        <is>
          <t>gu_tdh_090</t>
        </is>
      </c>
      <c r="D90" s="23" t="inlineStr">
        <is>
          <t>Lector participante</t>
        </is>
      </c>
      <c r="E90" s="23" t="inlineStr">
        <is>
          <t>Chat RAG y módulo experimento; sin admin</t>
        </is>
      </c>
      <c r="F90" s="76" t="n">
        <v>46313</v>
      </c>
      <c r="G90" s="23" t="inlineStr">
        <is>
          <t>Sí</t>
        </is>
      </c>
      <c r="H90" s="23" t="inlineStr">
        <is>
          <t>Activa</t>
        </is>
      </c>
    </row>
    <row r="91" ht="15.75" customHeight="1" s="71">
      <c r="A91" s="23" t="inlineStr">
        <is>
          <t>GU-TDH-091</t>
        </is>
      </c>
      <c r="B91" s="23" t="inlineStr">
        <is>
          <t>GE</t>
        </is>
      </c>
      <c r="C91" s="23" t="inlineStr">
        <is>
          <t>gu_tdh_091</t>
        </is>
      </c>
      <c r="D91" s="23" t="inlineStr">
        <is>
          <t>Lector participante</t>
        </is>
      </c>
      <c r="E91" s="23" t="inlineStr">
        <is>
          <t>Chat RAG y módulo experimento; sin admin</t>
        </is>
      </c>
      <c r="F91" s="76" t="n">
        <v>46313</v>
      </c>
      <c r="G91" s="23" t="inlineStr">
        <is>
          <t>Sí</t>
        </is>
      </c>
      <c r="H91" s="23" t="inlineStr">
        <is>
          <t>Activa</t>
        </is>
      </c>
    </row>
    <row r="92" ht="15.75" customHeight="1" s="71">
      <c r="A92" s="23" t="inlineStr">
        <is>
          <t>GU-TDH-092</t>
        </is>
      </c>
      <c r="B92" s="23" t="inlineStr">
        <is>
          <t>GE</t>
        </is>
      </c>
      <c r="C92" s="23" t="inlineStr">
        <is>
          <t>gu_tdh_092</t>
        </is>
      </c>
      <c r="D92" s="23" t="inlineStr">
        <is>
          <t>Lector participante</t>
        </is>
      </c>
      <c r="E92" s="23" t="inlineStr">
        <is>
          <t>Chat RAG y módulo experimento; sin admin</t>
        </is>
      </c>
      <c r="F92" s="76" t="n">
        <v>46313</v>
      </c>
      <c r="G92" s="23" t="inlineStr">
        <is>
          <t>Sí</t>
        </is>
      </c>
      <c r="H92" s="23" t="inlineStr">
        <is>
          <t>Activa</t>
        </is>
      </c>
    </row>
    <row r="93" ht="15.75" customHeight="1" s="71">
      <c r="A93" s="23" t="inlineStr">
        <is>
          <t>GU-TDH-093</t>
        </is>
      </c>
      <c r="B93" s="23" t="inlineStr">
        <is>
          <t>GE</t>
        </is>
      </c>
      <c r="C93" s="23" t="inlineStr">
        <is>
          <t>gu_tdh_093</t>
        </is>
      </c>
      <c r="D93" s="23" t="inlineStr">
        <is>
          <t>Lector participante</t>
        </is>
      </c>
      <c r="E93" s="23" t="inlineStr">
        <is>
          <t>Chat RAG y módulo experimento; sin admin</t>
        </is>
      </c>
      <c r="F93" s="76" t="n">
        <v>46313</v>
      </c>
      <c r="G93" s="23" t="inlineStr">
        <is>
          <t>Sí</t>
        </is>
      </c>
      <c r="H93" s="23" t="inlineStr">
        <is>
          <t>Activa</t>
        </is>
      </c>
    </row>
    <row r="94" ht="15.75" customHeight="1" s="71">
      <c r="A94" s="23" t="inlineStr">
        <is>
          <t>GU-TDH-095</t>
        </is>
      </c>
      <c r="B94" s="23" t="inlineStr">
        <is>
          <t>GE</t>
        </is>
      </c>
      <c r="C94" s="23" t="inlineStr">
        <is>
          <t>gu_tdh_095</t>
        </is>
      </c>
      <c r="D94" s="23" t="inlineStr">
        <is>
          <t>Lector participante</t>
        </is>
      </c>
      <c r="E94" s="23" t="inlineStr">
        <is>
          <t>Chat RAG y módulo experimento; sin admin</t>
        </is>
      </c>
      <c r="F94" s="76" t="n">
        <v>46313</v>
      </c>
      <c r="G94" s="23" t="inlineStr">
        <is>
          <t>Sí</t>
        </is>
      </c>
      <c r="H94" s="23" t="inlineStr">
        <is>
          <t>Activa</t>
        </is>
      </c>
    </row>
    <row r="95" ht="15.75" customHeight="1" s="71">
      <c r="A95" s="23" t="inlineStr">
        <is>
          <t>GU-TDH-097</t>
        </is>
      </c>
      <c r="B95" s="23" t="inlineStr">
        <is>
          <t>GE</t>
        </is>
      </c>
      <c r="C95" s="23" t="inlineStr">
        <is>
          <t>gu_tdh_097</t>
        </is>
      </c>
      <c r="D95" s="23" t="inlineStr">
        <is>
          <t>Lector participante</t>
        </is>
      </c>
      <c r="E95" s="23" t="inlineStr">
        <is>
          <t>Chat RAG y módulo experimento; sin admin</t>
        </is>
      </c>
      <c r="F95" s="76" t="n">
        <v>46313</v>
      </c>
      <c r="G95" s="23" t="inlineStr">
        <is>
          <t>Sí</t>
        </is>
      </c>
      <c r="H95" s="23" t="inlineStr">
        <is>
          <t>Activa</t>
        </is>
      </c>
    </row>
    <row r="96" ht="15.75" customHeight="1" s="71">
      <c r="A96" s="23" t="inlineStr">
        <is>
          <t>GU-TDH-098</t>
        </is>
      </c>
      <c r="B96" s="23" t="inlineStr">
        <is>
          <t>GE</t>
        </is>
      </c>
      <c r="C96" s="23" t="inlineStr">
        <is>
          <t>gu_tdh_098</t>
        </is>
      </c>
      <c r="D96" s="23" t="inlineStr">
        <is>
          <t>Lector participante</t>
        </is>
      </c>
      <c r="E96" s="23" t="inlineStr">
        <is>
          <t>Chat RAG y módulo experimento; sin admin</t>
        </is>
      </c>
      <c r="F96" s="76" t="n">
        <v>46313</v>
      </c>
      <c r="G96" s="23" t="inlineStr">
        <is>
          <t>Sí</t>
        </is>
      </c>
      <c r="H96" s="23" t="inlineStr">
        <is>
          <t>Activa</t>
        </is>
      </c>
    </row>
    <row r="97" ht="15.75" customHeight="1" s="71">
      <c r="A97" s="23" t="inlineStr">
        <is>
          <t>GU-TDH-099</t>
        </is>
      </c>
      <c r="B97" s="23" t="inlineStr">
        <is>
          <t>GE</t>
        </is>
      </c>
      <c r="C97" s="23" t="inlineStr">
        <is>
          <t>gu_tdh_099</t>
        </is>
      </c>
      <c r="D97" s="23" t="inlineStr">
        <is>
          <t>Lector participante</t>
        </is>
      </c>
      <c r="E97" s="23" t="inlineStr">
        <is>
          <t>Chat RAG y módulo experimento; sin admin</t>
        </is>
      </c>
      <c r="F97" s="76" t="n">
        <v>46313</v>
      </c>
      <c r="G97" s="23" t="inlineStr">
        <is>
          <t>Sí</t>
        </is>
      </c>
      <c r="H97" s="23" t="inlineStr">
        <is>
          <t>Activa</t>
        </is>
      </c>
    </row>
    <row r="98" ht="15.75" customHeight="1" s="71">
      <c r="A98" s="23" t="inlineStr">
        <is>
          <t>GU-TDH-100</t>
        </is>
      </c>
      <c r="B98" s="23" t="inlineStr">
        <is>
          <t>GE</t>
        </is>
      </c>
      <c r="C98" s="23" t="inlineStr">
        <is>
          <t>gu_tdh_100</t>
        </is>
      </c>
      <c r="D98" s="23" t="inlineStr">
        <is>
          <t>Lector participante</t>
        </is>
      </c>
      <c r="E98" s="23" t="inlineStr">
        <is>
          <t>Chat RAG y módulo experimento; sin admin</t>
        </is>
      </c>
      <c r="F98" s="76" t="n">
        <v>46313</v>
      </c>
      <c r="G98" s="23" t="inlineStr">
        <is>
          <t>Sí</t>
        </is>
      </c>
      <c r="H98" s="23" t="inlineStr">
        <is>
          <t>Activa</t>
        </is>
      </c>
    </row>
    <row r="99" ht="15.75" customHeight="1" s="71">
      <c r="A99" s="23" t="inlineStr">
        <is>
          <t>GU-TDH-101</t>
        </is>
      </c>
      <c r="B99" s="23" t="inlineStr">
        <is>
          <t>GE</t>
        </is>
      </c>
      <c r="C99" s="23" t="inlineStr">
        <is>
          <t>gu_tdh_101</t>
        </is>
      </c>
      <c r="D99" s="23" t="inlineStr">
        <is>
          <t>Lector participante</t>
        </is>
      </c>
      <c r="E99" s="23" t="inlineStr">
        <is>
          <t>Chat RAG y módulo experimento; sin admin</t>
        </is>
      </c>
      <c r="F99" s="76" t="n">
        <v>46313</v>
      </c>
      <c r="G99" s="23" t="inlineStr">
        <is>
          <t>Sí</t>
        </is>
      </c>
      <c r="H99" s="23" t="inlineStr">
        <is>
          <t>Activa</t>
        </is>
      </c>
    </row>
    <row r="100" ht="15.75" customHeight="1" s="71">
      <c r="A100" s="23" t="inlineStr">
        <is>
          <t>GU-TDH-102</t>
        </is>
      </c>
      <c r="B100" s="23" t="inlineStr">
        <is>
          <t>GE</t>
        </is>
      </c>
      <c r="C100" s="23" t="inlineStr">
        <is>
          <t>gu_tdh_102</t>
        </is>
      </c>
      <c r="D100" s="23" t="inlineStr">
        <is>
          <t>Lector participante</t>
        </is>
      </c>
      <c r="E100" s="23" t="inlineStr">
        <is>
          <t>Chat RAG y módulo experimento; sin admin</t>
        </is>
      </c>
      <c r="F100" s="76" t="n">
        <v>46313</v>
      </c>
      <c r="G100" s="23" t="inlineStr">
        <is>
          <t>Sí</t>
        </is>
      </c>
      <c r="H100" s="23" t="inlineStr">
        <is>
          <t>Activa</t>
        </is>
      </c>
    </row>
    <row r="101" ht="15.75" customHeight="1" s="71">
      <c r="A101" s="23" t="inlineStr">
        <is>
          <t>GU-TDH-103</t>
        </is>
      </c>
      <c r="B101" s="23" t="inlineStr">
        <is>
          <t>GE</t>
        </is>
      </c>
      <c r="C101" s="23" t="inlineStr">
        <is>
          <t>gu_tdh_103</t>
        </is>
      </c>
      <c r="D101" s="23" t="inlineStr">
        <is>
          <t>Lector participante</t>
        </is>
      </c>
      <c r="E101" s="23" t="inlineStr">
        <is>
          <t>Chat RAG y módulo experimento; sin admin</t>
        </is>
      </c>
      <c r="F101" s="76" t="n">
        <v>46313</v>
      </c>
      <c r="G101" s="23" t="inlineStr">
        <is>
          <t>Sí</t>
        </is>
      </c>
      <c r="H101" s="23" t="inlineStr">
        <is>
          <t>Activa</t>
        </is>
      </c>
    </row>
    <row r="102" ht="15.75" customHeight="1" s="71">
      <c r="A102" s="23" t="inlineStr">
        <is>
          <t>GU-TDH-104</t>
        </is>
      </c>
      <c r="B102" s="23" t="inlineStr">
        <is>
          <t>GE</t>
        </is>
      </c>
      <c r="C102" s="23" t="inlineStr">
        <is>
          <t>gu_tdh_104</t>
        </is>
      </c>
      <c r="D102" s="23" t="inlineStr">
        <is>
          <t>Lector participante</t>
        </is>
      </c>
      <c r="E102" s="23" t="inlineStr">
        <is>
          <t>Chat RAG y módulo experimento; sin admin</t>
        </is>
      </c>
      <c r="F102" s="76" t="n">
        <v>46313</v>
      </c>
      <c r="G102" s="23" t="inlineStr">
        <is>
          <t>Sí</t>
        </is>
      </c>
      <c r="H102" s="23" t="inlineStr">
        <is>
          <t>Activa</t>
        </is>
      </c>
    </row>
    <row r="103" ht="15.75" customHeight="1" s="71">
      <c r="A103" s="23" t="inlineStr">
        <is>
          <t>GU-TDH-106</t>
        </is>
      </c>
      <c r="B103" s="23" t="inlineStr">
        <is>
          <t>GE</t>
        </is>
      </c>
      <c r="C103" s="23" t="inlineStr">
        <is>
          <t>gu_tdh_106</t>
        </is>
      </c>
      <c r="D103" s="23" t="inlineStr">
        <is>
          <t>Lector participante</t>
        </is>
      </c>
      <c r="E103" s="23" t="inlineStr">
        <is>
          <t>Chat RAG y módulo experimento; sin admin</t>
        </is>
      </c>
      <c r="F103" s="76" t="n">
        <v>46313</v>
      </c>
      <c r="G103" s="23" t="inlineStr">
        <is>
          <t>Sí</t>
        </is>
      </c>
      <c r="H103" s="23" t="inlineStr">
        <is>
          <t>Activa</t>
        </is>
      </c>
    </row>
    <row r="104" ht="15.75" customHeight="1" s="71">
      <c r="A104" s="23" t="inlineStr">
        <is>
          <t>GU-TDH-108</t>
        </is>
      </c>
      <c r="B104" s="23" t="inlineStr">
        <is>
          <t>GE</t>
        </is>
      </c>
      <c r="C104" s="23" t="inlineStr">
        <is>
          <t>gu_tdh_108</t>
        </is>
      </c>
      <c r="D104" s="23" t="inlineStr">
        <is>
          <t>Lector participante</t>
        </is>
      </c>
      <c r="E104" s="23" t="inlineStr">
        <is>
          <t>Chat RAG y módulo experimento; sin admin</t>
        </is>
      </c>
      <c r="F104" s="76" t="n">
        <v>46313</v>
      </c>
      <c r="G104" s="23" t="inlineStr">
        <is>
          <t>Sí</t>
        </is>
      </c>
      <c r="H104" s="23" t="inlineStr">
        <is>
          <t>Activa</t>
        </is>
      </c>
    </row>
    <row r="105" ht="15.75" customHeight="1" s="71">
      <c r="A105" s="23" t="inlineStr">
        <is>
          <t>GU-TDH-109</t>
        </is>
      </c>
      <c r="B105" s="23" t="inlineStr">
        <is>
          <t>GE</t>
        </is>
      </c>
      <c r="C105" s="23" t="inlineStr">
        <is>
          <t>gu_tdh_109</t>
        </is>
      </c>
      <c r="D105" s="23" t="inlineStr">
        <is>
          <t>Lector participante</t>
        </is>
      </c>
      <c r="E105" s="23" t="inlineStr">
        <is>
          <t>Chat RAG y módulo experimento; sin admin</t>
        </is>
      </c>
      <c r="F105" s="76" t="n">
        <v>46313</v>
      </c>
      <c r="G105" s="23" t="inlineStr">
        <is>
          <t>Sí</t>
        </is>
      </c>
      <c r="H105" s="23" t="inlineStr">
        <is>
          <t>Activa</t>
        </is>
      </c>
    </row>
    <row r="106" ht="15.75" customHeight="1" s="71">
      <c r="A106" s="23" t="inlineStr">
        <is>
          <t>GU-TDH-110</t>
        </is>
      </c>
      <c r="B106" s="23" t="inlineStr">
        <is>
          <t>GE</t>
        </is>
      </c>
      <c r="C106" s="23" t="inlineStr">
        <is>
          <t>gu_tdh_110</t>
        </is>
      </c>
      <c r="D106" s="23" t="inlineStr">
        <is>
          <t>Lector participante</t>
        </is>
      </c>
      <c r="E106" s="23" t="inlineStr">
        <is>
          <t>Chat RAG y módulo experimento; sin admin</t>
        </is>
      </c>
      <c r="F106" s="76" t="n">
        <v>46313</v>
      </c>
      <c r="G106" s="23" t="inlineStr">
        <is>
          <t>Sí</t>
        </is>
      </c>
      <c r="H106" s="23" t="inlineStr">
        <is>
          <t>Activa</t>
        </is>
      </c>
    </row>
    <row r="107" ht="15.75" customHeight="1" s="71">
      <c r="A107" s="23" t="inlineStr">
        <is>
          <t>GU-TDH-111</t>
        </is>
      </c>
      <c r="B107" s="23" t="inlineStr">
        <is>
          <t>GE</t>
        </is>
      </c>
      <c r="C107" s="23" t="inlineStr">
        <is>
          <t>gu_tdh_111</t>
        </is>
      </c>
      <c r="D107" s="23" t="inlineStr">
        <is>
          <t>Lector participante</t>
        </is>
      </c>
      <c r="E107" s="23" t="inlineStr">
        <is>
          <t>Chat RAG y módulo experimento; sin admin</t>
        </is>
      </c>
      <c r="F107" s="76" t="n">
        <v>46313</v>
      </c>
      <c r="G107" s="23" t="inlineStr">
        <is>
          <t>Sí</t>
        </is>
      </c>
      <c r="H107" s="23" t="inlineStr">
        <is>
          <t>Activa</t>
        </is>
      </c>
    </row>
    <row r="108" ht="15.75" customHeight="1" s="71">
      <c r="A108" s="23" t="inlineStr">
        <is>
          <t>GU-TDH-113</t>
        </is>
      </c>
      <c r="B108" s="23" t="inlineStr">
        <is>
          <t>GE</t>
        </is>
      </c>
      <c r="C108" s="23" t="inlineStr">
        <is>
          <t>gu_tdh_113</t>
        </is>
      </c>
      <c r="D108" s="23" t="inlineStr">
        <is>
          <t>Lector participante</t>
        </is>
      </c>
      <c r="E108" s="23" t="inlineStr">
        <is>
          <t>Chat RAG y módulo experimento; sin admin</t>
        </is>
      </c>
      <c r="F108" s="76" t="n">
        <v>46313</v>
      </c>
      <c r="G108" s="23" t="inlineStr">
        <is>
          <t>Sí</t>
        </is>
      </c>
      <c r="H108" s="23" t="inlineStr">
        <is>
          <t>Activa</t>
        </is>
      </c>
    </row>
    <row r="109" ht="15.75" customHeight="1" s="71">
      <c r="A109" s="23" t="inlineStr">
        <is>
          <t>GU-TDH-114</t>
        </is>
      </c>
      <c r="B109" s="23" t="inlineStr">
        <is>
          <t>GE</t>
        </is>
      </c>
      <c r="C109" s="23" t="inlineStr">
        <is>
          <t>gu_tdh_114</t>
        </is>
      </c>
      <c r="D109" s="23" t="inlineStr">
        <is>
          <t>Lector participante</t>
        </is>
      </c>
      <c r="E109" s="23" t="inlineStr">
        <is>
          <t>Chat RAG y módulo experimento; sin admin</t>
        </is>
      </c>
      <c r="F109" s="76" t="n">
        <v>46313</v>
      </c>
      <c r="G109" s="23" t="inlineStr">
        <is>
          <t>Sí</t>
        </is>
      </c>
      <c r="H109" s="23" t="inlineStr">
        <is>
          <t>Activa</t>
        </is>
      </c>
    </row>
    <row r="110" ht="15.75" customHeight="1" s="71">
      <c r="A110" s="23" t="inlineStr">
        <is>
          <t>GU-TDH-115</t>
        </is>
      </c>
      <c r="B110" s="23" t="inlineStr">
        <is>
          <t>GE</t>
        </is>
      </c>
      <c r="C110" s="23" t="inlineStr">
        <is>
          <t>gu_tdh_115</t>
        </is>
      </c>
      <c r="D110" s="23" t="inlineStr">
        <is>
          <t>Lector participante</t>
        </is>
      </c>
      <c r="E110" s="23" t="inlineStr">
        <is>
          <t>Chat RAG y módulo experimento; sin admin</t>
        </is>
      </c>
      <c r="F110" s="76" t="n">
        <v>46313</v>
      </c>
      <c r="G110" s="23" t="inlineStr">
        <is>
          <t>Sí</t>
        </is>
      </c>
      <c r="H110" s="23" t="inlineStr">
        <is>
          <t>Activa</t>
        </is>
      </c>
    </row>
    <row r="111" ht="15.75" customHeight="1" s="71">
      <c r="A111" s="23" t="inlineStr">
        <is>
          <t>GU-TDH-116</t>
        </is>
      </c>
      <c r="B111" s="23" t="inlineStr">
        <is>
          <t>GE</t>
        </is>
      </c>
      <c r="C111" s="23" t="inlineStr">
        <is>
          <t>gu_tdh_116</t>
        </is>
      </c>
      <c r="D111" s="23" t="inlineStr">
        <is>
          <t>Lector participante</t>
        </is>
      </c>
      <c r="E111" s="23" t="inlineStr">
        <is>
          <t>Chat RAG y módulo experimento; sin admin</t>
        </is>
      </c>
      <c r="F111" s="76" t="n">
        <v>46313</v>
      </c>
      <c r="G111" s="23" t="inlineStr">
        <is>
          <t>Sí</t>
        </is>
      </c>
      <c r="H111" s="23" t="inlineStr">
        <is>
          <t>Activa</t>
        </is>
      </c>
    </row>
    <row r="112" ht="15.75" customHeight="1" s="71">
      <c r="A112" s="23" t="inlineStr">
        <is>
          <t>GU-TDH-117</t>
        </is>
      </c>
      <c r="B112" s="23" t="inlineStr">
        <is>
          <t>GE</t>
        </is>
      </c>
      <c r="C112" s="23" t="inlineStr">
        <is>
          <t>gu_tdh_117</t>
        </is>
      </c>
      <c r="D112" s="23" t="inlineStr">
        <is>
          <t>Lector participante</t>
        </is>
      </c>
      <c r="E112" s="23" t="inlineStr">
        <is>
          <t>Chat RAG y módulo experimento; sin admin</t>
        </is>
      </c>
      <c r="F112" s="76" t="n">
        <v>46313</v>
      </c>
      <c r="G112" s="23" t="inlineStr">
        <is>
          <t>Sí</t>
        </is>
      </c>
      <c r="H112" s="23" t="inlineStr">
        <is>
          <t>Activa</t>
        </is>
      </c>
    </row>
    <row r="113" ht="15.75" customHeight="1" s="71">
      <c r="A113" s="23" t="inlineStr">
        <is>
          <t>GU-TDH-118</t>
        </is>
      </c>
      <c r="B113" s="23" t="inlineStr">
        <is>
          <t>GE</t>
        </is>
      </c>
      <c r="C113" s="23" t="inlineStr">
        <is>
          <t>gu_tdh_118</t>
        </is>
      </c>
      <c r="D113" s="23" t="inlineStr">
        <is>
          <t>Lector participante</t>
        </is>
      </c>
      <c r="E113" s="23" t="inlineStr">
        <is>
          <t>Chat RAG y módulo experimento; sin admin</t>
        </is>
      </c>
      <c r="F113" s="76" t="n">
        <v>46313</v>
      </c>
      <c r="G113" s="23" t="inlineStr">
        <is>
          <t>Sí</t>
        </is>
      </c>
      <c r="H113" s="23" t="inlineStr">
        <is>
          <t>Activa</t>
        </is>
      </c>
    </row>
    <row r="114" ht="15.75" customHeight="1" s="71">
      <c r="A114" s="23" t="inlineStr">
        <is>
          <t>GU-TDH-119</t>
        </is>
      </c>
      <c r="B114" s="23" t="inlineStr">
        <is>
          <t>GE</t>
        </is>
      </c>
      <c r="C114" s="23" t="inlineStr">
        <is>
          <t>gu_tdh_119</t>
        </is>
      </c>
      <c r="D114" s="23" t="inlineStr">
        <is>
          <t>Lector participante</t>
        </is>
      </c>
      <c r="E114" s="23" t="inlineStr">
        <is>
          <t>Chat RAG y módulo experimento; sin admin</t>
        </is>
      </c>
      <c r="F114" s="76" t="n">
        <v>46313</v>
      </c>
      <c r="G114" s="23" t="inlineStr">
        <is>
          <t>Sí</t>
        </is>
      </c>
      <c r="H114" s="23" t="inlineStr">
        <is>
          <t>Activa</t>
        </is>
      </c>
    </row>
    <row r="115" ht="15.75" customHeight="1" s="71">
      <c r="A115" s="23" t="inlineStr">
        <is>
          <t>GU-TDH-120</t>
        </is>
      </c>
      <c r="B115" s="23" t="inlineStr">
        <is>
          <t>GE</t>
        </is>
      </c>
      <c r="C115" s="23" t="inlineStr">
        <is>
          <t>gu_tdh_120</t>
        </is>
      </c>
      <c r="D115" s="23" t="inlineStr">
        <is>
          <t>Lector participante</t>
        </is>
      </c>
      <c r="E115" s="23" t="inlineStr">
        <is>
          <t>Chat RAG y módulo experimento; sin admin</t>
        </is>
      </c>
      <c r="F115" s="76" t="n">
        <v>46313</v>
      </c>
      <c r="G115" s="23" t="inlineStr">
        <is>
          <t>Sí</t>
        </is>
      </c>
      <c r="H115" s="23" t="inlineStr">
        <is>
          <t>Activa</t>
        </is>
      </c>
    </row>
    <row r="116" ht="15.75" customHeight="1" s="71">
      <c r="A116" s="23" t="inlineStr">
        <is>
          <t>GU-TDH-121</t>
        </is>
      </c>
      <c r="B116" s="23" t="inlineStr">
        <is>
          <t>GE</t>
        </is>
      </c>
      <c r="C116" s="23" t="inlineStr">
        <is>
          <t>gu_tdh_121</t>
        </is>
      </c>
      <c r="D116" s="23" t="inlineStr">
        <is>
          <t>Lector participante</t>
        </is>
      </c>
      <c r="E116" s="23" t="inlineStr">
        <is>
          <t>Chat RAG y módulo experimento; sin admin</t>
        </is>
      </c>
      <c r="F116" s="76" t="n">
        <v>46313</v>
      </c>
      <c r="G116" s="23" t="inlineStr">
        <is>
          <t>Sí</t>
        </is>
      </c>
      <c r="H116" s="23" t="inlineStr">
        <is>
          <t>Activa</t>
        </is>
      </c>
    </row>
    <row r="117" ht="15.75" customHeight="1" s="71">
      <c r="A117" s="23" t="inlineStr">
        <is>
          <t>GU-TDH-122</t>
        </is>
      </c>
      <c r="B117" s="23" t="inlineStr">
        <is>
          <t>GE</t>
        </is>
      </c>
      <c r="C117" s="23" t="inlineStr">
        <is>
          <t>gu_tdh_122</t>
        </is>
      </c>
      <c r="D117" s="23" t="inlineStr">
        <is>
          <t>Lector participante</t>
        </is>
      </c>
      <c r="E117" s="23" t="inlineStr">
        <is>
          <t>Chat RAG y módulo experimento; sin admin</t>
        </is>
      </c>
      <c r="F117" s="76" t="n">
        <v>46313</v>
      </c>
      <c r="G117" s="23" t="inlineStr">
        <is>
          <t>Sí</t>
        </is>
      </c>
      <c r="H117" s="23" t="inlineStr">
        <is>
          <t>Activa</t>
        </is>
      </c>
    </row>
    <row r="118" ht="15.75" customHeight="1" s="71">
      <c r="A118" s="23" t="inlineStr">
        <is>
          <t>GU-TDH-124</t>
        </is>
      </c>
      <c r="B118" s="23" t="inlineStr">
        <is>
          <t>GE</t>
        </is>
      </c>
      <c r="C118" s="23" t="inlineStr">
        <is>
          <t>gu_tdh_124</t>
        </is>
      </c>
      <c r="D118" s="23" t="inlineStr">
        <is>
          <t>Lector participante</t>
        </is>
      </c>
      <c r="E118" s="23" t="inlineStr">
        <is>
          <t>Chat RAG y módulo experimento; sin admin</t>
        </is>
      </c>
      <c r="F118" s="76" t="n">
        <v>46313</v>
      </c>
      <c r="G118" s="23" t="inlineStr">
        <is>
          <t>Sí</t>
        </is>
      </c>
      <c r="H118" s="23" t="inlineStr">
        <is>
          <t>Activa</t>
        </is>
      </c>
    </row>
    <row r="119" ht="15.75" customHeight="1" s="71">
      <c r="A119" s="23" t="inlineStr">
        <is>
          <t>GU-TDH-125</t>
        </is>
      </c>
      <c r="B119" s="23" t="inlineStr">
        <is>
          <t>GE</t>
        </is>
      </c>
      <c r="C119" s="23" t="inlineStr">
        <is>
          <t>gu_tdh_125</t>
        </is>
      </c>
      <c r="D119" s="23" t="inlineStr">
        <is>
          <t>Lector participante</t>
        </is>
      </c>
      <c r="E119" s="23" t="inlineStr">
        <is>
          <t>Chat RAG y módulo experimento; sin admin</t>
        </is>
      </c>
      <c r="F119" s="76" t="n">
        <v>46313</v>
      </c>
      <c r="G119" s="23" t="inlineStr">
        <is>
          <t>Sí</t>
        </is>
      </c>
      <c r="H119" s="23" t="inlineStr">
        <is>
          <t>Activa</t>
        </is>
      </c>
    </row>
    <row r="120" ht="15.75" customHeight="1" s="71"/>
    <row r="121" ht="15.75" customHeight="1" s="71">
      <c r="A121" s="6" t="inlineStr">
        <is>
          <t>Cuentas activas del GE</t>
        </is>
      </c>
      <c r="C121" s="38">
        <f>COUNTIFS(B12:B119,"GE",H12:H119,"Activa")</f>
        <v/>
      </c>
    </row>
    <row r="122" ht="15.75" customHeight="1" s="71">
      <c r="A122" s="41" t="inlineStr">
        <is>
          <t>Principio de mínimo privilegio: cada rol accede solo a lo necesario. Nunca registres nombres reales en esta hoja. El GC no recibe cuenta en la solución (diseño cuasiexperimental).</t>
        </is>
      </c>
    </row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5">
    <mergeCell ref="A3:H3"/>
    <mergeCell ref="A122:H122"/>
    <mergeCell ref="A2:H2"/>
    <mergeCell ref="A121:B121"/>
    <mergeCell ref="A1:H1"/>
  </mergeCells>
  <dataValidations count="5">
    <dataValidation sqref="D12:D41" showDropDown="0" showInputMessage="0" showErrorMessage="0" allowBlank="1" type="list">
      <formula1>"Administrador,Supervisor,Usuario operativo,Consulta"</formula1>
    </dataValidation>
    <dataValidation sqref="G12:G119" showDropDown="0" showInputMessage="0" showErrorMessage="0" allowBlank="1" type="list">
      <formula1>"Sí,No"</formula1>
    </dataValidation>
    <dataValidation sqref="H12:H119" showDropDown="0" showInputMessage="0" showErrorMessage="0" allowBlank="1" type="list">
      <formula1>"Activa,Suspendida,Baja"</formula1>
    </dataValidation>
    <dataValidation sqref="B12:B119" showDropDown="0" showInputMessage="0" showErrorMessage="0" allowBlank="1" type="list">
      <formula1>"GE,GC,Administración"</formula1>
    </dataValidation>
    <dataValidation sqref="B9:H9" showDropDown="0" showInputMessage="0" showErrorMessage="0" allowBlank="1" type="list">
      <formula1>"Preexperimental (un grupo),Cuasiexperimental (GE y GC)"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71" min="1" max="1"/>
    <col width="34" customWidth="1" style="71" min="2" max="2"/>
    <col width="12" customWidth="1" style="71" min="3" max="3"/>
    <col width="32" customWidth="1" style="71" min="4" max="5"/>
    <col width="16" customWidth="1" style="71" min="6" max="6"/>
    <col width="26" customWidth="1" style="71" min="7" max="7"/>
    <col width="14" customWidth="1" style="71" min="8" max="8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04 · FICHA DE VERIFICACIÓN FUNCIONAL</t>
        </is>
      </c>
    </row>
    <row r="3" ht="30" customHeight="1" s="71">
      <c r="A3" s="4" t="inlineStr">
        <is>
          <t>Criterio de inicio: 100 % de requisitos críticos en estado «Conforme»</t>
        </is>
      </c>
    </row>
    <row r="4" ht="3.75" customHeight="1" s="71">
      <c r="A4" s="5" t="n"/>
      <c r="B4" s="5" t="n"/>
      <c r="C4" s="5" t="n"/>
      <c r="D4" s="5" t="n"/>
      <c r="E4" s="5" t="n"/>
      <c r="F4" s="5" t="n"/>
      <c r="G4" s="5" t="n"/>
      <c r="H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1" t="n"/>
      <c r="F6" s="11" t="n"/>
      <c r="G6" s="11" t="n"/>
      <c r="H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1" t="n"/>
      <c r="F7" s="11" t="n"/>
      <c r="G7" s="11" t="n"/>
      <c r="H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1" t="n"/>
      <c r="F8" s="11" t="n"/>
      <c r="G8" s="11" t="n"/>
      <c r="H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1" t="n"/>
      <c r="F9" s="11" t="n"/>
      <c r="G9" s="11" t="n"/>
      <c r="H9" s="13" t="n"/>
    </row>
    <row r="10"/>
    <row r="11" ht="33.75" customHeight="1" s="71">
      <c r="A11" s="17" t="inlineStr">
        <is>
          <t>Código RF</t>
        </is>
      </c>
      <c r="B11" s="17" t="inlineStr">
        <is>
          <t>Funcionalidad</t>
        </is>
      </c>
      <c r="C11" s="17" t="inlineStr">
        <is>
          <t>¿Crítico?</t>
        </is>
      </c>
      <c r="D11" s="17" t="inlineStr">
        <is>
          <t>Resultado esperado</t>
        </is>
      </c>
      <c r="E11" s="17" t="inlineStr">
        <is>
          <t>Resultado obtenido</t>
        </is>
      </c>
      <c r="F11" s="17" t="inlineStr">
        <is>
          <t>Estado</t>
        </is>
      </c>
      <c r="G11" s="17" t="inlineStr">
        <is>
          <t>Evidencia (captura)</t>
        </is>
      </c>
      <c r="H11" s="17" t="inlineStr">
        <is>
          <t>Fecha</t>
        </is>
      </c>
    </row>
    <row r="12" ht="30" customHeight="1" s="71">
      <c r="A12" s="27" t="inlineStr">
        <is>
          <t>RF-01</t>
        </is>
      </c>
      <c r="B12" s="27" t="inlineStr">
        <is>
          <t>PWA por HTTPS</t>
        </is>
      </c>
      <c r="C12" s="27" t="inlineStr">
        <is>
          <t>Sí</t>
        </is>
      </c>
      <c r="D12" s="27" t="inlineStr">
        <is>
          <t>Operativo</t>
        </is>
      </c>
      <c r="E12" s="27" t="inlineStr">
        <is>
          <t>Operativo</t>
        </is>
      </c>
      <c r="F12" s="27" t="inlineStr">
        <is>
          <t>Conforme</t>
        </is>
      </c>
      <c r="G12" s="27" t="inlineStr">
        <is>
          <t>cap_RF-01.png</t>
        </is>
      </c>
      <c r="H12" s="75" t="n">
        <v>46313</v>
      </c>
    </row>
    <row r="13" ht="30" customHeight="1" s="71">
      <c r="A13" s="23" t="inlineStr">
        <is>
          <t>RF-02</t>
        </is>
      </c>
      <c r="B13" s="23" t="inlineStr">
        <is>
          <t>Login con código</t>
        </is>
      </c>
      <c r="C13" s="23" t="inlineStr">
        <is>
          <t>Sí</t>
        </is>
      </c>
      <c r="D13" s="23" t="inlineStr">
        <is>
          <t>Operativo</t>
        </is>
      </c>
      <c r="E13" s="23" t="inlineStr">
        <is>
          <t>Operativo</t>
        </is>
      </c>
      <c r="F13" s="23" t="inlineStr">
        <is>
          <t>Conforme</t>
        </is>
      </c>
      <c r="G13" s="23" t="inlineStr">
        <is>
          <t>cap_RF-02.png</t>
        </is>
      </c>
      <c r="H13" s="76" t="n">
        <v>46313</v>
      </c>
    </row>
    <row r="14" ht="30" customHeight="1" s="71">
      <c r="A14" s="23" t="inlineStr">
        <is>
          <t>RF-03</t>
        </is>
      </c>
      <c r="B14" s="23" t="inlineStr">
        <is>
          <t>Consulta RAG con citas</t>
        </is>
      </c>
      <c r="C14" s="23" t="inlineStr">
        <is>
          <t>Sí</t>
        </is>
      </c>
      <c r="D14" s="23" t="inlineStr">
        <is>
          <t>Operativo</t>
        </is>
      </c>
      <c r="E14" s="23" t="inlineStr">
        <is>
          <t>Operativo</t>
        </is>
      </c>
      <c r="F14" s="23" t="inlineStr">
        <is>
          <t>Conforme</t>
        </is>
      </c>
      <c r="G14" s="23" t="inlineStr">
        <is>
          <t>cap_RF-03.png</t>
        </is>
      </c>
      <c r="H14" s="76" t="n">
        <v>46313</v>
      </c>
    </row>
    <row r="15" ht="30" customHeight="1" s="71">
      <c r="A15" s="23" t="inlineStr">
        <is>
          <t>RF-04</t>
        </is>
      </c>
      <c r="B15" s="23" t="inlineStr">
        <is>
          <t>Recuperación semántica</t>
        </is>
      </c>
      <c r="C15" s="23" t="inlineStr">
        <is>
          <t>Sí</t>
        </is>
      </c>
      <c r="D15" s="23" t="inlineStr">
        <is>
          <t>Operativo</t>
        </is>
      </c>
      <c r="E15" s="23" t="inlineStr">
        <is>
          <t>Operativo</t>
        </is>
      </c>
      <c r="F15" s="23" t="inlineStr">
        <is>
          <t>Conforme</t>
        </is>
      </c>
      <c r="G15" s="23" t="inlineStr">
        <is>
          <t>cap_RF-04.png</t>
        </is>
      </c>
      <c r="H15" s="76" t="n">
        <v>46313</v>
      </c>
    </row>
    <row r="16" ht="30" customHeight="1" s="71">
      <c r="A16" s="23" t="inlineStr">
        <is>
          <t>RF-05</t>
        </is>
      </c>
      <c r="B16" s="23" t="inlineStr">
        <is>
          <t>Enlaces al artículo fuente</t>
        </is>
      </c>
      <c r="C16" s="23" t="inlineStr">
        <is>
          <t>Sí</t>
        </is>
      </c>
      <c r="D16" s="23" t="inlineStr">
        <is>
          <t>Operativo</t>
        </is>
      </c>
      <c r="E16" s="23" t="inlineStr">
        <is>
          <t>Operativo</t>
        </is>
      </c>
      <c r="F16" s="23" t="inlineStr">
        <is>
          <t>Conforme</t>
        </is>
      </c>
      <c r="G16" s="23" t="inlineStr">
        <is>
          <t>cap_RF-05.png</t>
        </is>
      </c>
      <c r="H16" s="76" t="n">
        <v>46313</v>
      </c>
    </row>
    <row r="17" ht="30" customHeight="1" s="71">
      <c r="A17" s="23" t="inlineStr">
        <is>
          <t>RF-06</t>
        </is>
      </c>
      <c r="B17" s="23" t="inlineStr">
        <is>
          <t>Telemetría de tiempo y clics</t>
        </is>
      </c>
      <c r="C17" s="23" t="inlineStr">
        <is>
          <t>Sí</t>
        </is>
      </c>
      <c r="D17" s="23" t="inlineStr">
        <is>
          <t>Operativo</t>
        </is>
      </c>
      <c r="E17" s="23" t="inlineStr">
        <is>
          <t>Operativo</t>
        </is>
      </c>
      <c r="F17" s="23" t="inlineStr">
        <is>
          <t>Conforme</t>
        </is>
      </c>
      <c r="G17" s="23" t="inlineStr">
        <is>
          <t>cap_RF-06.png</t>
        </is>
      </c>
      <c r="H17" s="76" t="n">
        <v>46313</v>
      </c>
    </row>
    <row r="18" ht="30" customHeight="1" s="71">
      <c r="A18" s="23" t="inlineStr">
        <is>
          <t>RF-07</t>
        </is>
      </c>
      <c r="B18" s="23" t="inlineStr">
        <is>
          <t>Módulo de experimento</t>
        </is>
      </c>
      <c r="C18" s="23" t="inlineStr">
        <is>
          <t>Sí</t>
        </is>
      </c>
      <c r="D18" s="23" t="inlineStr">
        <is>
          <t>Operativo</t>
        </is>
      </c>
      <c r="E18" s="23" t="inlineStr">
        <is>
          <t>Operativo</t>
        </is>
      </c>
      <c r="F18" s="23" t="inlineStr">
        <is>
          <t>Conforme</t>
        </is>
      </c>
      <c r="G18" s="23" t="inlineStr">
        <is>
          <t>cap_RF-07.png</t>
        </is>
      </c>
      <c r="H18" s="76" t="n">
        <v>46313</v>
      </c>
    </row>
    <row r="19" ht="30" customHeight="1" s="71">
      <c r="A19" s="23" t="inlineStr">
        <is>
          <t>RF-08</t>
        </is>
      </c>
      <c r="B19" s="23" t="inlineStr">
        <is>
          <t>Ingesta WordPress REST</t>
        </is>
      </c>
      <c r="C19" s="23" t="inlineStr">
        <is>
          <t>No</t>
        </is>
      </c>
      <c r="D19" s="23" t="inlineStr">
        <is>
          <t>Operativo</t>
        </is>
      </c>
      <c r="E19" s="23" t="inlineStr">
        <is>
          <t>Operativo</t>
        </is>
      </c>
      <c r="F19" s="23" t="inlineStr">
        <is>
          <t>Conforme</t>
        </is>
      </c>
      <c r="G19" s="23" t="inlineStr">
        <is>
          <t>cap_RF-08.png</t>
        </is>
      </c>
      <c r="H19" s="76" t="n">
        <v>46313</v>
      </c>
    </row>
    <row r="20" ht="30" customHeight="1" s="71">
      <c r="A20" s="23" t="inlineStr">
        <is>
          <t>RF-09</t>
        </is>
      </c>
      <c r="B20" s="23" t="inlineStr">
        <is>
          <t>Healthcheck</t>
        </is>
      </c>
      <c r="C20" s="23" t="inlineStr">
        <is>
          <t>Sí</t>
        </is>
      </c>
      <c r="D20" s="23" t="inlineStr">
        <is>
          <t>Operativo</t>
        </is>
      </c>
      <c r="E20" s="23" t="inlineStr">
        <is>
          <t>Operativo</t>
        </is>
      </c>
      <c r="F20" s="23" t="inlineStr">
        <is>
          <t>Conforme</t>
        </is>
      </c>
      <c r="G20" s="23" t="inlineStr">
        <is>
          <t>cap_RF-09.png</t>
        </is>
      </c>
      <c r="H20" s="76" t="n">
        <v>46313</v>
      </c>
    </row>
    <row r="21" ht="30" customHeight="1" s="71">
      <c r="A21" s="23" t="inlineStr">
        <is>
          <t>RF-10</t>
        </is>
      </c>
      <c r="B21" s="23" t="inlineStr">
        <is>
          <t>Caché Redis</t>
        </is>
      </c>
      <c r="C21" s="23" t="inlineStr">
        <is>
          <t>No</t>
        </is>
      </c>
      <c r="D21" s="23" t="inlineStr">
        <is>
          <t>Operativo</t>
        </is>
      </c>
      <c r="E21" s="23" t="inlineStr">
        <is>
          <t>Operativo</t>
        </is>
      </c>
      <c r="F21" s="23" t="inlineStr">
        <is>
          <t>Conforme</t>
        </is>
      </c>
      <c r="G21" s="23" t="inlineStr">
        <is>
          <t>cap_RF-10.png</t>
        </is>
      </c>
      <c r="H21" s="76" t="n">
        <v>46313</v>
      </c>
    </row>
    <row r="22" ht="30" customHeight="1" s="71">
      <c r="A22" s="23" t="inlineStr">
        <is>
          <t>RF-11</t>
        </is>
      </c>
      <c r="B22" s="23" t="inlineStr">
        <is>
          <t>Exportación de logs</t>
        </is>
      </c>
      <c r="C22" s="23" t="inlineStr">
        <is>
          <t>Sí</t>
        </is>
      </c>
      <c r="D22" s="23" t="inlineStr">
        <is>
          <t>Operativo</t>
        </is>
      </c>
      <c r="E22" s="23" t="inlineStr">
        <is>
          <t>Operativo</t>
        </is>
      </c>
      <c r="F22" s="23" t="inlineStr">
        <is>
          <t>Conforme</t>
        </is>
      </c>
      <c r="G22" s="23" t="inlineStr">
        <is>
          <t>cap_RF-11.png</t>
        </is>
      </c>
      <c r="H22" s="76" t="n">
        <v>46313</v>
      </c>
    </row>
    <row r="23" ht="30" customHeight="1" s="71">
      <c r="A23" s="23" t="inlineStr">
        <is>
          <t>RF-12</t>
        </is>
      </c>
      <c r="B23" s="23" t="inlineStr">
        <is>
          <t>Versión congelada</t>
        </is>
      </c>
      <c r="C23" s="23" t="inlineStr">
        <is>
          <t>Sí</t>
        </is>
      </c>
      <c r="D23" s="23" t="inlineStr">
        <is>
          <t>Operativo</t>
        </is>
      </c>
      <c r="E23" s="23" t="inlineStr">
        <is>
          <t>Operativo</t>
        </is>
      </c>
      <c r="F23" s="23" t="inlineStr">
        <is>
          <t>Conforme</t>
        </is>
      </c>
      <c r="G23" s="23" t="inlineStr">
        <is>
          <t>cap_RF-12.png</t>
        </is>
      </c>
      <c r="H23" s="76" t="n">
        <v>46313</v>
      </c>
    </row>
    <row r="24" ht="30" customHeight="1" s="71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 ht="30" customHeight="1" s="71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 ht="30" customHeight="1" s="71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 ht="30" customHeight="1" s="71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 ht="30" customHeight="1" s="71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 ht="30" customHeight="1" s="71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 ht="30" customHeight="1" s="71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 ht="30" customHeight="1" s="7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 ht="15.75" customHeight="1" s="71"/>
    <row r="33" ht="15.75" customHeight="1" s="71">
      <c r="A33" s="6" t="inlineStr">
        <is>
          <t>Requisitos críticos registrados</t>
        </is>
      </c>
      <c r="C33" s="39">
        <f>COUNTIF(C12:C31,"Sí")</f>
        <v/>
      </c>
    </row>
    <row r="34" ht="15.75" customHeight="1" s="71">
      <c r="A34" s="6" t="inlineStr">
        <is>
          <t>Críticos conformes</t>
        </is>
      </c>
      <c r="C34" s="39">
        <f>COUNTIFS(C12:C31,"Sí",F12:F31,"Conforme")</f>
        <v/>
      </c>
    </row>
    <row r="35" ht="15.75" customHeight="1" s="71">
      <c r="A35" s="6" t="inlineStr">
        <is>
          <t>% críticos conformes</t>
        </is>
      </c>
      <c r="C35" s="42">
        <f>IF(C33=0,0,C34/C33)</f>
        <v/>
      </c>
    </row>
    <row r="36" ht="15.75" customHeight="1" s="71">
      <c r="A36" s="6" t="inlineStr">
        <is>
          <t>Dictamen</t>
        </is>
      </c>
      <c r="C36" s="39">
        <f>IF(AND(C33&gt;0,C35=1),"LISTO PARA T₀","NO INICIAR: corregir")</f>
        <v/>
      </c>
      <c r="D36" s="72" t="n"/>
    </row>
    <row r="37" ht="15.75" customHeight="1" s="71"/>
    <row r="38" ht="43.5" customHeight="1" s="71">
      <c r="A38" s="41" t="inlineStr">
        <is>
          <t>Un requisito crítico «No conforme» posterga T₀. Registra la corrección en el formato 07 y vuelve a verificar.</t>
        </is>
      </c>
    </row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9">
    <mergeCell ref="A3:H3"/>
    <mergeCell ref="A33:B33"/>
    <mergeCell ref="A2:H2"/>
    <mergeCell ref="A38:H38"/>
    <mergeCell ref="C36:D36"/>
    <mergeCell ref="A36:B36"/>
    <mergeCell ref="A1:H1"/>
    <mergeCell ref="A34:B34"/>
    <mergeCell ref="A35:B35"/>
  </mergeCells>
  <conditionalFormatting sqref="F12:F31">
    <cfRule type="cellIs" priority="1" operator="equal" dxfId="0">
      <formula>"Conforme"</formula>
    </cfRule>
    <cfRule type="cellIs" priority="2" operator="equal" dxfId="1">
      <formula>"No conforme"</formula>
    </cfRule>
  </conditionalFormatting>
  <dataValidations count="3">
    <dataValidation sqref="C12:C31" showDropDown="0" showInputMessage="0" showErrorMessage="0" allowBlank="1" type="list">
      <formula1>"Sí,No"</formula1>
    </dataValidation>
    <dataValidation sqref="F12:F31" showDropDown="0" showInputMessage="0" showErrorMessage="0" allowBlank="1" type="list">
      <formula1>"Conforme,No conforme,Pendiente"</formula1>
    </dataValidation>
    <dataValidation sqref="B9:H9" showDropDown="0" showInputMessage="0" showErrorMessage="0" allowBlank="1" type="list">
      <formula1>"Preexperimental (un grupo),Cuasiexperimental (GE y GC)"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71" min="1" max="1"/>
    <col width="18" customWidth="1" style="71" min="2" max="2"/>
    <col width="12" customWidth="1" style="71" min="3" max="3"/>
    <col width="40" customWidth="1" style="71" min="4" max="4"/>
    <col width="28" customWidth="1" style="71" min="5" max="6"/>
    <col width="14" customWidth="1" style="71" min="7" max="7"/>
    <col width="18" customWidth="1" style="71" min="8" max="8"/>
    <col width="14" customWidth="1" style="71" min="9" max="9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05 · REGISTRO DE PRUEBAS INICIALES</t>
        </is>
      </c>
    </row>
    <row r="3" ht="30" customHeight="1" s="71">
      <c r="A3" s="4" t="inlineStr">
        <is>
          <t>Humo · funcionales · aceptación (UAT) · carga básica</t>
        </is>
      </c>
    </row>
    <row r="4" ht="3.75" customHeight="1" s="7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1" t="n"/>
      <c r="F6" s="11" t="n"/>
      <c r="G6" s="11" t="n"/>
      <c r="H6" s="11" t="n"/>
      <c r="I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1" t="n"/>
      <c r="F7" s="11" t="n"/>
      <c r="G7" s="11" t="n"/>
      <c r="H7" s="11" t="n"/>
      <c r="I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1" t="n"/>
      <c r="F8" s="11" t="n"/>
      <c r="G8" s="11" t="n"/>
      <c r="H8" s="11" t="n"/>
      <c r="I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1" t="n"/>
      <c r="F9" s="11" t="n"/>
      <c r="G9" s="11" t="n"/>
      <c r="H9" s="11" t="n"/>
      <c r="I9" s="13" t="n"/>
    </row>
    <row r="10"/>
    <row r="11" ht="33.75" customHeight="1" s="71">
      <c r="A11" s="17" t="inlineStr">
        <is>
          <t>ID caso</t>
        </is>
      </c>
      <c r="B11" s="17" t="inlineStr">
        <is>
          <t>Tipo de prueba</t>
        </is>
      </c>
      <c r="C11" s="17" t="inlineStr">
        <is>
          <t>RF asociado</t>
        </is>
      </c>
      <c r="D11" s="17" t="inlineStr">
        <is>
          <t>Pasos</t>
        </is>
      </c>
      <c r="E11" s="17" t="inlineStr">
        <is>
          <t>Resultado esperado</t>
        </is>
      </c>
      <c r="F11" s="17" t="inlineStr">
        <is>
          <t>Resultado obtenido</t>
        </is>
      </c>
      <c r="G11" s="17" t="inlineStr">
        <is>
          <t>Resultado</t>
        </is>
      </c>
      <c r="H11" s="17" t="inlineStr">
        <is>
          <t>Responsable</t>
        </is>
      </c>
      <c r="I11" s="17" t="inlineStr">
        <is>
          <t>Fecha</t>
        </is>
      </c>
    </row>
    <row r="12" ht="30" customHeight="1" s="71">
      <c r="A12" s="27" t="inlineStr">
        <is>
          <t>TC-01</t>
        </is>
      </c>
      <c r="B12" s="27" t="inlineStr">
        <is>
          <t>Humo</t>
        </is>
      </c>
      <c r="C12" s="27" t="inlineStr">
        <is>
          <t>RF-01</t>
        </is>
      </c>
      <c r="D12" s="27" t="inlineStr">
        <is>
          <t>TC-01 Humo</t>
        </is>
      </c>
      <c r="E12" s="27" t="inlineStr">
        <is>
          <t>Según protocolo</t>
        </is>
      </c>
      <c r="F12" s="27" t="inlineStr">
        <is>
          <t>Según protocolo</t>
        </is>
      </c>
      <c r="G12" s="27" t="inlineStr">
        <is>
          <t>Aprobado</t>
        </is>
      </c>
      <c r="H12" s="27" t="inlineStr">
        <is>
          <t>M. Trujillo</t>
        </is>
      </c>
      <c r="I12" s="75" t="n">
        <v>46313</v>
      </c>
    </row>
    <row r="13" ht="30" customHeight="1" s="71">
      <c r="A13" s="23" t="inlineStr">
        <is>
          <t>TC-02</t>
        </is>
      </c>
      <c r="B13" s="23" t="inlineStr">
        <is>
          <t>Login</t>
        </is>
      </c>
      <c r="C13" s="23" t="inlineStr">
        <is>
          <t>RF-02</t>
        </is>
      </c>
      <c r="D13" s="23" t="inlineStr">
        <is>
          <t>TC-02 Login</t>
        </is>
      </c>
      <c r="E13" s="23" t="inlineStr">
        <is>
          <t>Según protocolo</t>
        </is>
      </c>
      <c r="F13" s="23" t="inlineStr">
        <is>
          <t>Según protocolo</t>
        </is>
      </c>
      <c r="G13" s="23" t="inlineStr">
        <is>
          <t>Aprobado</t>
        </is>
      </c>
      <c r="H13" s="23" t="inlineStr">
        <is>
          <t>M. Trujillo</t>
        </is>
      </c>
      <c r="I13" s="76" t="n">
        <v>46313</v>
      </c>
    </row>
    <row r="14" ht="30" customHeight="1" s="71">
      <c r="A14" s="23" t="inlineStr">
        <is>
          <t>TC-03</t>
        </is>
      </c>
      <c r="B14" s="23" t="inlineStr">
        <is>
          <t>RAG</t>
        </is>
      </c>
      <c r="C14" s="23" t="inlineStr">
        <is>
          <t>RF-03</t>
        </is>
      </c>
      <c r="D14" s="23" t="inlineStr">
        <is>
          <t>TC-03 RAG</t>
        </is>
      </c>
      <c r="E14" s="23" t="inlineStr">
        <is>
          <t>Según protocolo</t>
        </is>
      </c>
      <c r="F14" s="23" t="inlineStr">
        <is>
          <t>Según protocolo</t>
        </is>
      </c>
      <c r="G14" s="23" t="inlineStr">
        <is>
          <t>Aprobado</t>
        </is>
      </c>
      <c r="H14" s="23" t="inlineStr">
        <is>
          <t>M. Trujillo</t>
        </is>
      </c>
      <c r="I14" s="76" t="n">
        <v>46313</v>
      </c>
    </row>
    <row r="15" ht="30" customHeight="1" s="71">
      <c r="A15" s="23" t="inlineStr">
        <is>
          <t>TC-04</t>
        </is>
      </c>
      <c r="B15" s="23" t="inlineStr">
        <is>
          <t>Semántica</t>
        </is>
      </c>
      <c r="C15" s="23" t="inlineStr">
        <is>
          <t>RF-04</t>
        </is>
      </c>
      <c r="D15" s="23" t="inlineStr">
        <is>
          <t>TC-04 Semántica</t>
        </is>
      </c>
      <c r="E15" s="23" t="inlineStr">
        <is>
          <t>Según protocolo</t>
        </is>
      </c>
      <c r="F15" s="23" t="inlineStr">
        <is>
          <t>Según protocolo</t>
        </is>
      </c>
      <c r="G15" s="23" t="inlineStr">
        <is>
          <t>Aprobado</t>
        </is>
      </c>
      <c r="H15" s="23" t="inlineStr">
        <is>
          <t>M. Trujillo</t>
        </is>
      </c>
      <c r="I15" s="76" t="n">
        <v>46313</v>
      </c>
    </row>
    <row r="16" ht="30" customHeight="1" s="71">
      <c r="A16" s="23" t="inlineStr">
        <is>
          <t>TC-05</t>
        </is>
      </c>
      <c r="B16" s="23" t="inlineStr">
        <is>
          <t>Telemetría</t>
        </is>
      </c>
      <c r="C16" s="23" t="inlineStr">
        <is>
          <t>RF-05</t>
        </is>
      </c>
      <c r="D16" s="23" t="inlineStr">
        <is>
          <t>TC-05 Telemetría</t>
        </is>
      </c>
      <c r="E16" s="23" t="inlineStr">
        <is>
          <t>Según protocolo</t>
        </is>
      </c>
      <c r="F16" s="23" t="inlineStr">
        <is>
          <t>Según protocolo</t>
        </is>
      </c>
      <c r="G16" s="23" t="inlineStr">
        <is>
          <t>Aprobado</t>
        </is>
      </c>
      <c r="H16" s="23" t="inlineStr">
        <is>
          <t>M. Trujillo</t>
        </is>
      </c>
      <c r="I16" s="76" t="n">
        <v>46313</v>
      </c>
    </row>
    <row r="17" ht="30" customHeight="1" s="71">
      <c r="A17" s="23" t="inlineStr">
        <is>
          <t>TC-06</t>
        </is>
      </c>
      <c r="B17" s="23" t="inlineStr">
        <is>
          <t>UAT</t>
        </is>
      </c>
      <c r="C17" s="23" t="inlineStr">
        <is>
          <t>RF-06</t>
        </is>
      </c>
      <c r="D17" s="23" t="inlineStr">
        <is>
          <t>TC-06 UAT</t>
        </is>
      </c>
      <c r="E17" s="23" t="inlineStr">
        <is>
          <t>Según protocolo</t>
        </is>
      </c>
      <c r="F17" s="23" t="inlineStr">
        <is>
          <t>Según protocolo</t>
        </is>
      </c>
      <c r="G17" s="23" t="inlineStr">
        <is>
          <t>Aprobado</t>
        </is>
      </c>
      <c r="H17" s="23" t="inlineStr">
        <is>
          <t>M. Trujillo</t>
        </is>
      </c>
      <c r="I17" s="76" t="n">
        <v>46313</v>
      </c>
    </row>
    <row r="18" ht="30" customHeight="1" s="71">
      <c r="A18" s="23" t="inlineStr">
        <is>
          <t>TC-07</t>
        </is>
      </c>
      <c r="B18" s="23" t="inlineStr">
        <is>
          <t>Carga</t>
        </is>
      </c>
      <c r="C18" s="23" t="inlineStr">
        <is>
          <t>RF-07</t>
        </is>
      </c>
      <c r="D18" s="23" t="inlineStr">
        <is>
          <t>TC-07 Carga 20 usuarios</t>
        </is>
      </c>
      <c r="E18" s="23" t="inlineStr">
        <is>
          <t>Según protocolo</t>
        </is>
      </c>
      <c r="F18" s="23" t="inlineStr">
        <is>
          <t>Según protocolo</t>
        </is>
      </c>
      <c r="G18" s="23" t="inlineStr">
        <is>
          <t>Aprobado</t>
        </is>
      </c>
      <c r="H18" s="23" t="inlineStr">
        <is>
          <t>M. Trujillo</t>
        </is>
      </c>
      <c r="I18" s="76" t="n">
        <v>46313</v>
      </c>
    </row>
    <row r="19" ht="30" customHeight="1" s="71">
      <c r="A19" s="23" t="inlineStr">
        <is>
          <t>TC-08</t>
        </is>
      </c>
      <c r="B19" s="23" t="inlineStr">
        <is>
          <t>Enlace</t>
        </is>
      </c>
      <c r="C19" s="23" t="inlineStr">
        <is>
          <t>RF-08</t>
        </is>
      </c>
      <c r="D19" s="23" t="inlineStr">
        <is>
          <t>TC-08 Enlace a la noticia</t>
        </is>
      </c>
      <c r="E19" s="23" t="inlineStr">
        <is>
          <t>Según protocolo</t>
        </is>
      </c>
      <c r="F19" s="23" t="inlineStr">
        <is>
          <t>Según protocolo</t>
        </is>
      </c>
      <c r="G19" s="23" t="inlineStr">
        <is>
          <t>Aprobado</t>
        </is>
      </c>
      <c r="H19" s="23" t="inlineStr">
        <is>
          <t>M. Trujillo</t>
        </is>
      </c>
      <c r="I19" s="76" t="n">
        <v>46313</v>
      </c>
    </row>
    <row r="20" ht="30" customHeight="1" s="71">
      <c r="A20" s="23" t="inlineStr">
        <is>
          <t>TC-09</t>
        </is>
      </c>
      <c r="B20" s="23" t="inlineStr">
        <is>
          <t>Caché</t>
        </is>
      </c>
      <c r="C20" s="23" t="inlineStr">
        <is>
          <t>RF-09</t>
        </is>
      </c>
      <c r="D20" s="23" t="inlineStr">
        <is>
          <t>TC-09 Caché</t>
        </is>
      </c>
      <c r="E20" s="23" t="inlineStr">
        <is>
          <t>Según protocolo</t>
        </is>
      </c>
      <c r="F20" s="23" t="inlineStr">
        <is>
          <t>Según protocolo</t>
        </is>
      </c>
      <c r="G20" s="23" t="inlineStr">
        <is>
          <t>Aprobado</t>
        </is>
      </c>
      <c r="H20" s="23" t="inlineStr">
        <is>
          <t>M. Trujillo</t>
        </is>
      </c>
      <c r="I20" s="76" t="n">
        <v>46313</v>
      </c>
    </row>
    <row r="21" ht="30" customHeight="1" s="71">
      <c r="A21" s="23" t="inlineStr">
        <is>
          <t>TC-10</t>
        </is>
      </c>
      <c r="B21" s="23" t="inlineStr">
        <is>
          <t>Exportación</t>
        </is>
      </c>
      <c r="C21" s="23" t="inlineStr">
        <is>
          <t>RF-10</t>
        </is>
      </c>
      <c r="D21" s="23" t="inlineStr">
        <is>
          <t>TC-10 Exportación</t>
        </is>
      </c>
      <c r="E21" s="23" t="inlineStr">
        <is>
          <t>Según protocolo</t>
        </is>
      </c>
      <c r="F21" s="23" t="inlineStr">
        <is>
          <t>Según protocolo</t>
        </is>
      </c>
      <c r="G21" s="23" t="inlineStr">
        <is>
          <t>Aprobado</t>
        </is>
      </c>
      <c r="H21" s="23" t="inlineStr">
        <is>
          <t>M. Trujillo</t>
        </is>
      </c>
      <c r="I21" s="76" t="n">
        <v>46313</v>
      </c>
    </row>
    <row r="22" ht="30" customHeight="1" s="7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 ht="30" customHeight="1" s="7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 ht="30" customHeight="1" s="71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 ht="30" customHeight="1" s="7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 ht="30" customHeight="1" s="7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 ht="30" customHeight="1" s="7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 ht="30" customHeight="1" s="71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 ht="30" customHeight="1" s="7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 ht="30" customHeight="1" s="7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 ht="30" customHeight="1" s="7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 ht="30" customHeight="1" s="7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 ht="30" customHeight="1" s="7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 ht="30" customHeight="1" s="7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 ht="30" customHeight="1" s="7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 ht="30" customHeight="1" s="7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 ht="15.75" customHeight="1" s="71"/>
    <row r="38" ht="15.75" customHeight="1" s="71">
      <c r="A38" s="6" t="inlineStr">
        <is>
          <t>Aprobados</t>
        </is>
      </c>
      <c r="C38" s="50">
        <f>COUNTIF(G12:G36,"Aprobado")</f>
        <v/>
      </c>
    </row>
    <row r="39" ht="15.75" customHeight="1" s="71">
      <c r="A39" s="6" t="inlineStr">
        <is>
          <t>Fallidos</t>
        </is>
      </c>
      <c r="C39" s="50">
        <f>COUNTIF(G12:G36,"Fallido")</f>
        <v/>
      </c>
    </row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">
    <mergeCell ref="A1:I1"/>
    <mergeCell ref="A2:I2"/>
    <mergeCell ref="A3:I3"/>
  </mergeCells>
  <dataValidations count="3">
    <dataValidation sqref="B12:B36" showDropDown="0" showInputMessage="0" showErrorMessage="0" allowBlank="1" type="list">
      <formula1>"Humo,Funcional,Aceptación,Carga básica"</formula1>
    </dataValidation>
    <dataValidation sqref="B9:I9" showDropDown="0" showInputMessage="0" showErrorMessage="0" allowBlank="1" type="list">
      <formula1>"Preexperimental (un grupo),Cuasiexperimental (GE y GC)"</formula1>
    </dataValidation>
    <dataValidation sqref="G12:G36" showDropDown="0" showInputMessage="0" showErrorMessage="0" allowBlank="1" type="list">
      <formula1>"Aprobado,Fallido"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28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71" min="1" max="2"/>
    <col width="13" customWidth="1" style="71" min="3" max="3"/>
    <col width="12" customWidth="1" style="71" min="4" max="5"/>
    <col width="14" customWidth="1" style="71" min="6" max="6"/>
    <col width="34" customWidth="1" style="71" min="7" max="7"/>
    <col width="16" customWidth="1" style="71" min="8" max="9"/>
    <col width="18" customWidth="1" style="71" min="10" max="10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06 · REGISTRO DE CAPACITACIÓN</t>
        </is>
      </c>
    </row>
    <row r="3" ht="30" customHeight="1" s="71">
      <c r="A3" s="4" t="inlineStr">
        <is>
          <t>Capacitación estandarizada: mismo contenido, duración e instructor para todo el GE</t>
        </is>
      </c>
    </row>
    <row r="4" ht="3.75" customHeight="1" s="7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1" t="n"/>
      <c r="F6" s="11" t="n"/>
      <c r="G6" s="11" t="n"/>
      <c r="H6" s="11" t="n"/>
      <c r="I6" s="11" t="n"/>
      <c r="J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1" t="n"/>
      <c r="F7" s="11" t="n"/>
      <c r="G7" s="11" t="n"/>
      <c r="H7" s="11" t="n"/>
      <c r="I7" s="11" t="n"/>
      <c r="J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1" t="n"/>
      <c r="F8" s="11" t="n"/>
      <c r="G8" s="11" t="n"/>
      <c r="H8" s="11" t="n"/>
      <c r="I8" s="11" t="n"/>
      <c r="J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1" t="n"/>
      <c r="F9" s="11" t="n"/>
      <c r="G9" s="11" t="n"/>
      <c r="H9" s="11" t="n"/>
      <c r="I9" s="11" t="n"/>
      <c r="J9" s="13" t="n"/>
    </row>
    <row r="10"/>
    <row r="11">
      <c r="A11" s="6" t="inlineStr">
        <is>
          <t>Puntaje mínimo aprobatorio del ejercicio (0-20):</t>
        </is>
      </c>
      <c r="E11" s="46" t="n">
        <v>14</v>
      </c>
      <c r="F11" s="45" t="inlineStr">
        <is>
          <t>← valor sugerido por el docente; ajústalo a tu protocolo</t>
        </is>
      </c>
    </row>
    <row r="12"/>
    <row r="13" ht="33.75" customHeight="1" s="71">
      <c r="A13" s="17" t="inlineStr">
        <is>
          <t>Código</t>
        </is>
      </c>
      <c r="B13" s="17" t="inlineStr">
        <is>
          <t>Grupo</t>
        </is>
      </c>
      <c r="C13" s="17" t="inlineStr">
        <is>
          <t>Fecha</t>
        </is>
      </c>
      <c r="D13" s="17" t="inlineStr">
        <is>
          <t>Hora inicio</t>
        </is>
      </c>
      <c r="E13" s="17" t="inlineStr">
        <is>
          <t>Hora fin</t>
        </is>
      </c>
      <c r="F13" s="17" t="inlineStr">
        <is>
          <t>Duración (min)</t>
        </is>
      </c>
      <c r="G13" s="17" t="inlineStr">
        <is>
          <t>Módulos recibidos</t>
        </is>
      </c>
      <c r="H13" s="17" t="inlineStr">
        <is>
          <t>Puntaje ejercicio (0-20)</t>
        </is>
      </c>
      <c r="I13" s="17" t="inlineStr">
        <is>
          <t>Resultado</t>
        </is>
      </c>
      <c r="J13" s="17" t="inlineStr">
        <is>
          <t>Firma / conformidad</t>
        </is>
      </c>
    </row>
    <row r="14" ht="30" customHeight="1" s="71">
      <c r="A14" s="27" t="inlineStr">
        <is>
          <t>GU-TDH-002</t>
        </is>
      </c>
      <c r="B14" s="27" t="inlineStr">
        <is>
          <t>GE</t>
        </is>
      </c>
      <c r="C14" s="47" t="n">
        <v>46312</v>
      </c>
      <c r="D14" s="48" t="n">
        <v>46312.41666666666</v>
      </c>
      <c r="E14" s="48" t="n">
        <v>46312.43402777778</v>
      </c>
      <c r="F14" s="24">
        <f>IF(OR(D14="",E14=""),"",ROUND((E14-D14)*1440,0))</f>
        <v/>
      </c>
      <c r="G14" s="27" t="inlineStr">
        <is>
          <t>Login, chat RAG, instalar PWA, módulo experimento</t>
        </is>
      </c>
      <c r="H14" s="27" t="n">
        <v>19</v>
      </c>
      <c r="I14" s="24">
        <f>IF(H14="","",IF(H14&gt;=$E$11,"Aprobado","Recupera"))</f>
        <v/>
      </c>
      <c r="J14" s="27" t="inlineStr">
        <is>
          <t>Conforme (digital)</t>
        </is>
      </c>
    </row>
    <row r="15" ht="30" customHeight="1" s="71">
      <c r="A15" s="23" t="inlineStr">
        <is>
          <t>GU-TDH-003</t>
        </is>
      </c>
      <c r="B15" s="23" t="inlineStr">
        <is>
          <t>GE</t>
        </is>
      </c>
      <c r="C15" s="52" t="n">
        <v>46312</v>
      </c>
      <c r="D15" s="53" t="n">
        <v>46312.66875</v>
      </c>
      <c r="E15" s="53" t="n">
        <v>46312.68611111111</v>
      </c>
      <c r="F15" s="21">
        <f>IF(OR(D15="",E15=""),"",ROUND((E15-D15)*1440,0))</f>
        <v/>
      </c>
      <c r="G15" s="23" t="inlineStr">
        <is>
          <t>Login, chat RAG, instalar PWA, módulo experimento</t>
        </is>
      </c>
      <c r="H15" s="23" t="n">
        <v>16</v>
      </c>
      <c r="I15" s="21">
        <f>IF(H15="","",IF(H15&gt;=$E$11,"Aprobado","Recupera"))</f>
        <v/>
      </c>
      <c r="J15" s="23" t="inlineStr">
        <is>
          <t>Conforme (digital)</t>
        </is>
      </c>
    </row>
    <row r="16" ht="30" customHeight="1" s="71">
      <c r="A16" s="23" t="inlineStr">
        <is>
          <t>GU-TDH-004</t>
        </is>
      </c>
      <c r="B16" s="23" t="inlineStr">
        <is>
          <t>GE</t>
        </is>
      </c>
      <c r="C16" s="52" t="n">
        <v>46312</v>
      </c>
      <c r="D16" s="53" t="n">
        <v>46312.42083333333</v>
      </c>
      <c r="E16" s="53" t="n">
        <v>46312.43819444445</v>
      </c>
      <c r="F16" s="21">
        <f>IF(OR(D16="",E16=""),"",ROUND((E16-D16)*1440,0))</f>
        <v/>
      </c>
      <c r="G16" s="23" t="inlineStr">
        <is>
          <t>Login, chat RAG, instalar PWA, módulo experimento</t>
        </is>
      </c>
      <c r="H16" s="23" t="n">
        <v>20</v>
      </c>
      <c r="I16" s="21">
        <f>IF(H16="","",IF(H16&gt;=$E$11,"Aprobado","Recupera"))</f>
        <v/>
      </c>
      <c r="J16" s="23" t="inlineStr">
        <is>
          <t>Conforme (digital)</t>
        </is>
      </c>
    </row>
    <row r="17" ht="30" customHeight="1" s="71">
      <c r="A17" s="23" t="inlineStr">
        <is>
          <t>GU-TDH-006</t>
        </is>
      </c>
      <c r="B17" s="23" t="inlineStr">
        <is>
          <t>GE</t>
        </is>
      </c>
      <c r="C17" s="52" t="n">
        <v>46312</v>
      </c>
      <c r="D17" s="53" t="n">
        <v>46312.67291666667</v>
      </c>
      <c r="E17" s="53" t="n">
        <v>46312.69027777778</v>
      </c>
      <c r="F17" s="21">
        <f>IF(OR(D17="",E17=""),"",ROUND((E17-D17)*1440,0))</f>
        <v/>
      </c>
      <c r="G17" s="23" t="inlineStr">
        <is>
          <t>Login, chat RAG, instalar PWA, módulo experimento</t>
        </is>
      </c>
      <c r="H17" s="23" t="n">
        <v>15</v>
      </c>
      <c r="I17" s="21">
        <f>IF(H17="","",IF(H17&gt;=$E$11,"Aprobado","Recupera"))</f>
        <v/>
      </c>
      <c r="J17" s="23" t="inlineStr">
        <is>
          <t>Conforme (digital)</t>
        </is>
      </c>
    </row>
    <row r="18" ht="30" customHeight="1" s="71">
      <c r="A18" s="23" t="inlineStr">
        <is>
          <t>GU-TDH-007</t>
        </is>
      </c>
      <c r="B18" s="23" t="inlineStr">
        <is>
          <t>GE</t>
        </is>
      </c>
      <c r="C18" s="52" t="n">
        <v>46312</v>
      </c>
      <c r="D18" s="53" t="n">
        <v>46312.425</v>
      </c>
      <c r="E18" s="53" t="n">
        <v>46312.44236111111</v>
      </c>
      <c r="F18" s="21">
        <f>IF(OR(D18="",E18=""),"",ROUND((E18-D18)*1440,0))</f>
        <v/>
      </c>
      <c r="G18" s="23" t="inlineStr">
        <is>
          <t>Login, chat RAG, instalar PWA, módulo experimento</t>
        </is>
      </c>
      <c r="H18" s="23" t="n">
        <v>17</v>
      </c>
      <c r="I18" s="21">
        <f>IF(H18="","",IF(H18&gt;=$E$11,"Aprobado","Recupera"))</f>
        <v/>
      </c>
      <c r="J18" s="23" t="inlineStr">
        <is>
          <t>Conforme (digital)</t>
        </is>
      </c>
    </row>
    <row r="19" ht="30" customHeight="1" s="71">
      <c r="A19" s="23" t="inlineStr">
        <is>
          <t>GU-TDH-008</t>
        </is>
      </c>
      <c r="B19" s="23" t="inlineStr">
        <is>
          <t>GE</t>
        </is>
      </c>
      <c r="C19" s="52" t="n">
        <v>46312</v>
      </c>
      <c r="D19" s="53" t="n">
        <v>46312.67708333334</v>
      </c>
      <c r="E19" s="53" t="n">
        <v>46312.69444444445</v>
      </c>
      <c r="F19" s="21">
        <f>IF(OR(D19="",E19=""),"",ROUND((E19-D19)*1440,0))</f>
        <v/>
      </c>
      <c r="G19" s="23" t="inlineStr">
        <is>
          <t>Login, chat RAG, instalar PWA, módulo experimento</t>
        </is>
      </c>
      <c r="H19" s="23" t="n">
        <v>20</v>
      </c>
      <c r="I19" s="21">
        <f>IF(H19="","",IF(H19&gt;=$E$11,"Aprobado","Recupera"))</f>
        <v/>
      </c>
      <c r="J19" s="23" t="inlineStr">
        <is>
          <t>Conforme (digital)</t>
        </is>
      </c>
    </row>
    <row r="20" ht="30" customHeight="1" s="71">
      <c r="A20" s="23" t="inlineStr">
        <is>
          <t>GU-TDH-009</t>
        </is>
      </c>
      <c r="B20" s="23" t="inlineStr">
        <is>
          <t>GE</t>
        </is>
      </c>
      <c r="C20" s="52" t="n">
        <v>46312</v>
      </c>
      <c r="D20" s="53" t="n">
        <v>46312.42916666667</v>
      </c>
      <c r="E20" s="53" t="n">
        <v>46312.44652777778</v>
      </c>
      <c r="F20" s="21">
        <f>IF(OR(D20="",E20=""),"",ROUND((E20-D20)*1440,0))</f>
        <v/>
      </c>
      <c r="G20" s="23" t="inlineStr">
        <is>
          <t>Login, chat RAG, instalar PWA, módulo experimento</t>
        </is>
      </c>
      <c r="H20" s="23" t="n">
        <v>15</v>
      </c>
      <c r="I20" s="21">
        <f>IF(H20="","",IF(H20&gt;=$E$11,"Aprobado","Recupera"))</f>
        <v/>
      </c>
      <c r="J20" s="23" t="inlineStr">
        <is>
          <t>Conforme (digital)</t>
        </is>
      </c>
    </row>
    <row r="21" ht="30" customHeight="1" s="71">
      <c r="A21" s="23" t="inlineStr">
        <is>
          <t>GU-TDH-010</t>
        </is>
      </c>
      <c r="B21" s="23" t="inlineStr">
        <is>
          <t>GE</t>
        </is>
      </c>
      <c r="C21" s="52" t="n">
        <v>46312</v>
      </c>
      <c r="D21" s="53" t="n">
        <v>46312.68125</v>
      </c>
      <c r="E21" s="53" t="n">
        <v>46312.69861111111</v>
      </c>
      <c r="F21" s="21">
        <f>IF(OR(D21="",E21=""),"",ROUND((E21-D21)*1440,0))</f>
        <v/>
      </c>
      <c r="G21" s="23" t="inlineStr">
        <is>
          <t>Login, chat RAG, instalar PWA, módulo experimento</t>
        </is>
      </c>
      <c r="H21" s="23" t="n">
        <v>16</v>
      </c>
      <c r="I21" s="21">
        <f>IF(H21="","",IF(H21&gt;=$E$11,"Aprobado","Recupera"))</f>
        <v/>
      </c>
      <c r="J21" s="23" t="inlineStr">
        <is>
          <t>Conforme (digital)</t>
        </is>
      </c>
    </row>
    <row r="22" ht="30" customHeight="1" s="71">
      <c r="A22" s="23" t="inlineStr">
        <is>
          <t>GU-TDH-011</t>
        </is>
      </c>
      <c r="B22" s="23" t="inlineStr">
        <is>
          <t>GE</t>
        </is>
      </c>
      <c r="C22" s="52" t="n">
        <v>46312</v>
      </c>
      <c r="D22" s="53" t="n">
        <v>46312.43333333333</v>
      </c>
      <c r="E22" s="53" t="n">
        <v>46312.45069444444</v>
      </c>
      <c r="F22" s="21">
        <f>IF(OR(D22="",E22=""),"",ROUND((E22-D22)*1440,0))</f>
        <v/>
      </c>
      <c r="G22" s="23" t="inlineStr">
        <is>
          <t>Login, chat RAG, instalar PWA, módulo experimento</t>
        </is>
      </c>
      <c r="H22" s="23" t="n">
        <v>19</v>
      </c>
      <c r="I22" s="21">
        <f>IF(H22="","",IF(H22&gt;=$E$11,"Aprobado","Recupera"))</f>
        <v/>
      </c>
      <c r="J22" s="23" t="inlineStr">
        <is>
          <t>Conforme (digital)</t>
        </is>
      </c>
    </row>
    <row r="23" ht="30" customHeight="1" s="71">
      <c r="A23" s="23" t="inlineStr">
        <is>
          <t>GU-TDH-012</t>
        </is>
      </c>
      <c r="B23" s="23" t="inlineStr">
        <is>
          <t>GE</t>
        </is>
      </c>
      <c r="C23" s="52" t="n">
        <v>46312</v>
      </c>
      <c r="D23" s="53" t="n">
        <v>46312.68541666667</v>
      </c>
      <c r="E23" s="53" t="n">
        <v>46312.70277777778</v>
      </c>
      <c r="F23" s="21">
        <f>IF(OR(D23="",E23=""),"",ROUND((E23-D23)*1440,0))</f>
        <v/>
      </c>
      <c r="G23" s="23" t="inlineStr">
        <is>
          <t>Login, chat RAG, instalar PWA, módulo experimento</t>
        </is>
      </c>
      <c r="H23" s="23" t="n">
        <v>15</v>
      </c>
      <c r="I23" s="21">
        <f>IF(H23="","",IF(H23&gt;=$E$11,"Aprobado","Recupera"))</f>
        <v/>
      </c>
      <c r="J23" s="23" t="inlineStr">
        <is>
          <t>Conforme (digital)</t>
        </is>
      </c>
    </row>
    <row r="24" ht="30" customHeight="1" s="71">
      <c r="A24" s="23" t="inlineStr">
        <is>
          <t>GU-TDH-014</t>
        </is>
      </c>
      <c r="B24" s="23" t="inlineStr">
        <is>
          <t>GE</t>
        </is>
      </c>
      <c r="C24" s="52" t="n">
        <v>46312</v>
      </c>
      <c r="D24" s="53" t="n">
        <v>46312.4375</v>
      </c>
      <c r="E24" s="53" t="n">
        <v>46312.45486111111</v>
      </c>
      <c r="F24" s="21">
        <f>IF(OR(D24="",E24=""),"",ROUND((E24-D24)*1440,0))</f>
        <v/>
      </c>
      <c r="G24" s="23" t="inlineStr">
        <is>
          <t>Login, chat RAG, instalar PWA, módulo experimento</t>
        </is>
      </c>
      <c r="H24" s="23" t="n">
        <v>20</v>
      </c>
      <c r="I24" s="21">
        <f>IF(H24="","",IF(H24&gt;=$E$11,"Aprobado","Recupera"))</f>
        <v/>
      </c>
      <c r="J24" s="23" t="inlineStr">
        <is>
          <t>Conforme (digital)</t>
        </is>
      </c>
    </row>
    <row r="25" ht="30" customHeight="1" s="71">
      <c r="A25" s="23" t="inlineStr">
        <is>
          <t>GU-TDH-015</t>
        </is>
      </c>
      <c r="B25" s="23" t="inlineStr">
        <is>
          <t>GE</t>
        </is>
      </c>
      <c r="C25" s="52" t="n">
        <v>46312</v>
      </c>
      <c r="D25" s="53" t="n">
        <v>46312.68958333333</v>
      </c>
      <c r="E25" s="53" t="n">
        <v>46312.70694444444</v>
      </c>
      <c r="F25" s="21">
        <f>IF(OR(D25="",E25=""),"",ROUND((E25-D25)*1440,0))</f>
        <v/>
      </c>
      <c r="G25" s="23" t="inlineStr">
        <is>
          <t>Login, chat RAG, instalar PWA, módulo experimento</t>
        </is>
      </c>
      <c r="H25" s="23" t="n">
        <v>20</v>
      </c>
      <c r="I25" s="21">
        <f>IF(H25="","",IF(H25&gt;=$E$11,"Aprobado","Recupera"))</f>
        <v/>
      </c>
      <c r="J25" s="23" t="inlineStr">
        <is>
          <t>Conforme (digital)</t>
        </is>
      </c>
    </row>
    <row r="26" ht="30" customHeight="1" s="71">
      <c r="A26" s="23" t="inlineStr">
        <is>
          <t>GU-TDH-016</t>
        </is>
      </c>
      <c r="B26" s="23" t="inlineStr">
        <is>
          <t>GE</t>
        </is>
      </c>
      <c r="C26" s="52" t="n">
        <v>46312</v>
      </c>
      <c r="D26" s="53" t="n">
        <v>46312.44166666667</v>
      </c>
      <c r="E26" s="53" t="n">
        <v>46312.45902777778</v>
      </c>
      <c r="F26" s="21">
        <f>IF(OR(D26="",E26=""),"",ROUND((E26-D26)*1440,0))</f>
        <v/>
      </c>
      <c r="G26" s="23" t="inlineStr">
        <is>
          <t>Login, chat RAG, instalar PWA, módulo experimento</t>
        </is>
      </c>
      <c r="H26" s="23" t="n">
        <v>19</v>
      </c>
      <c r="I26" s="21">
        <f>IF(H26="","",IF(H26&gt;=$E$11,"Aprobado","Recupera"))</f>
        <v/>
      </c>
      <c r="J26" s="23" t="inlineStr">
        <is>
          <t>Conforme (digital)</t>
        </is>
      </c>
    </row>
    <row r="27" ht="30" customHeight="1" s="71">
      <c r="A27" s="23" t="inlineStr">
        <is>
          <t>GU-TDH-017</t>
        </is>
      </c>
      <c r="B27" s="23" t="inlineStr">
        <is>
          <t>GE</t>
        </is>
      </c>
      <c r="C27" s="52" t="n">
        <v>46312</v>
      </c>
      <c r="D27" s="53" t="n">
        <v>46312.69375</v>
      </c>
      <c r="E27" s="53" t="n">
        <v>46312.71111111111</v>
      </c>
      <c r="F27" s="21">
        <f>IF(OR(D27="",E27=""),"",ROUND((E27-D27)*1440,0))</f>
        <v/>
      </c>
      <c r="G27" s="23" t="inlineStr">
        <is>
          <t>Login, chat RAG, instalar PWA, módulo experimento</t>
        </is>
      </c>
      <c r="H27" s="23" t="n">
        <v>15</v>
      </c>
      <c r="I27" s="21">
        <f>IF(H27="","",IF(H27&gt;=$E$11,"Aprobado","Recupera"))</f>
        <v/>
      </c>
      <c r="J27" s="23" t="inlineStr">
        <is>
          <t>Conforme (digital)</t>
        </is>
      </c>
    </row>
    <row r="28" ht="30" customHeight="1" s="71">
      <c r="A28" s="23" t="inlineStr">
        <is>
          <t>GU-TDH-019</t>
        </is>
      </c>
      <c r="B28" s="23" t="inlineStr">
        <is>
          <t>GE</t>
        </is>
      </c>
      <c r="C28" s="52" t="n">
        <v>46312</v>
      </c>
      <c r="D28" s="53" t="n">
        <v>46312.44583333333</v>
      </c>
      <c r="E28" s="53" t="n">
        <v>46312.46319444444</v>
      </c>
      <c r="F28" s="21">
        <f>IF(OR(D28="",E28=""),"",ROUND((E28-D28)*1440,0))</f>
        <v/>
      </c>
      <c r="G28" s="23" t="inlineStr">
        <is>
          <t>Login, chat RAG, instalar PWA, módulo experimento</t>
        </is>
      </c>
      <c r="H28" s="23" t="n">
        <v>17</v>
      </c>
      <c r="I28" s="21">
        <f>IF(H28="","",IF(H28&gt;=$E$11,"Aprobado","Recupera"))</f>
        <v/>
      </c>
      <c r="J28" s="23" t="inlineStr">
        <is>
          <t>Conforme (digital)</t>
        </is>
      </c>
    </row>
    <row r="29" ht="30" customHeight="1" s="71">
      <c r="A29" s="23" t="inlineStr">
        <is>
          <t>GU-TDH-020</t>
        </is>
      </c>
      <c r="B29" s="23" t="inlineStr">
        <is>
          <t>GE</t>
        </is>
      </c>
      <c r="C29" s="52" t="n">
        <v>46312</v>
      </c>
      <c r="D29" s="53" t="n">
        <v>46312.69791666666</v>
      </c>
      <c r="E29" s="53" t="n">
        <v>46312.71527777778</v>
      </c>
      <c r="F29" s="21">
        <f>IF(OR(D29="",E29=""),"",ROUND((E29-D29)*1440,0))</f>
        <v/>
      </c>
      <c r="G29" s="23" t="inlineStr">
        <is>
          <t>Login, chat RAG, instalar PWA, módulo experimento</t>
        </is>
      </c>
      <c r="H29" s="23" t="n">
        <v>19</v>
      </c>
      <c r="I29" s="21">
        <f>IF(H29="","",IF(H29&gt;=$E$11,"Aprobado","Recupera"))</f>
        <v/>
      </c>
      <c r="J29" s="23" t="inlineStr">
        <is>
          <t>Conforme (digital)</t>
        </is>
      </c>
    </row>
    <row r="30" ht="30" customHeight="1" s="71">
      <c r="A30" s="23" t="inlineStr">
        <is>
          <t>GU-TDH-021</t>
        </is>
      </c>
      <c r="B30" s="23" t="inlineStr">
        <is>
          <t>GE</t>
        </is>
      </c>
      <c r="C30" s="52" t="n">
        <v>46312</v>
      </c>
      <c r="D30" s="53" t="n">
        <v>46312.45</v>
      </c>
      <c r="E30" s="53" t="n">
        <v>46312.46736111111</v>
      </c>
      <c r="F30" s="21">
        <f>IF(OR(D30="",E30=""),"",ROUND((E30-D30)*1440,0))</f>
        <v/>
      </c>
      <c r="G30" s="23" t="inlineStr">
        <is>
          <t>Login, chat RAG, instalar PWA, módulo experimento</t>
        </is>
      </c>
      <c r="H30" s="23" t="n">
        <v>20</v>
      </c>
      <c r="I30" s="21">
        <f>IF(H30="","",IF(H30&gt;=$E$11,"Aprobado","Recupera"))</f>
        <v/>
      </c>
      <c r="J30" s="23" t="inlineStr">
        <is>
          <t>Conforme (digital)</t>
        </is>
      </c>
    </row>
    <row r="31" ht="30" customHeight="1" s="71">
      <c r="A31" s="23" t="inlineStr">
        <is>
          <t>GU-TDH-022</t>
        </is>
      </c>
      <c r="B31" s="23" t="inlineStr">
        <is>
          <t>GE</t>
        </is>
      </c>
      <c r="C31" s="52" t="n">
        <v>46312</v>
      </c>
      <c r="D31" s="53" t="n">
        <v>46312.66736111111</v>
      </c>
      <c r="E31" s="53" t="n">
        <v>46312.68472222222</v>
      </c>
      <c r="F31" s="21">
        <f>IF(OR(D31="",E31=""),"",ROUND((E31-D31)*1440,0))</f>
        <v/>
      </c>
      <c r="G31" s="23" t="inlineStr">
        <is>
          <t>Login, chat RAG, instalar PWA, módulo experimento</t>
        </is>
      </c>
      <c r="H31" s="23" t="n">
        <v>19</v>
      </c>
      <c r="I31" s="21">
        <f>IF(H31="","",IF(H31&gt;=$E$11,"Aprobado","Recupera"))</f>
        <v/>
      </c>
      <c r="J31" s="23" t="inlineStr">
        <is>
          <t>Conforme (digital)</t>
        </is>
      </c>
    </row>
    <row r="32" ht="30" customHeight="1" s="71">
      <c r="A32" s="23" t="inlineStr">
        <is>
          <t>GU-TDH-023</t>
        </is>
      </c>
      <c r="B32" s="23" t="inlineStr">
        <is>
          <t>GE</t>
        </is>
      </c>
      <c r="C32" s="52" t="n">
        <v>46312</v>
      </c>
      <c r="D32" s="53" t="n">
        <v>46312.41944444444</v>
      </c>
      <c r="E32" s="53" t="n">
        <v>46312.43680555555</v>
      </c>
      <c r="F32" s="21">
        <f>IF(OR(D32="",E32=""),"",ROUND((E32-D32)*1440,0))</f>
        <v/>
      </c>
      <c r="G32" s="23" t="inlineStr">
        <is>
          <t>Login, chat RAG, instalar PWA, módulo experimento</t>
        </is>
      </c>
      <c r="H32" s="23" t="n">
        <v>19</v>
      </c>
      <c r="I32" s="21">
        <f>IF(H32="","",IF(H32&gt;=$E$11,"Aprobado","Recupera"))</f>
        <v/>
      </c>
      <c r="J32" s="23" t="inlineStr">
        <is>
          <t>Conforme (digital)</t>
        </is>
      </c>
    </row>
    <row r="33" ht="30" customHeight="1" s="71">
      <c r="A33" s="23" t="inlineStr">
        <is>
          <t>GU-TDH-024</t>
        </is>
      </c>
      <c r="B33" s="23" t="inlineStr">
        <is>
          <t>GE</t>
        </is>
      </c>
      <c r="C33" s="52" t="n">
        <v>46312</v>
      </c>
      <c r="D33" s="53" t="n">
        <v>46312.67152777778</v>
      </c>
      <c r="E33" s="53" t="n">
        <v>46312.68888888889</v>
      </c>
      <c r="F33" s="21">
        <f>IF(OR(D33="",E33=""),"",ROUND((E33-D33)*1440,0))</f>
        <v/>
      </c>
      <c r="G33" s="23" t="inlineStr">
        <is>
          <t>Login, chat RAG, instalar PWA, módulo experimento</t>
        </is>
      </c>
      <c r="H33" s="23" t="n">
        <v>17</v>
      </c>
      <c r="I33" s="21">
        <f>IF(H33="","",IF(H33&gt;=$E$11,"Aprobado","Recupera"))</f>
        <v/>
      </c>
      <c r="J33" s="23" t="inlineStr">
        <is>
          <t>Conforme (digital)</t>
        </is>
      </c>
    </row>
    <row r="34" ht="30" customHeight="1" s="71">
      <c r="A34" s="23" t="inlineStr">
        <is>
          <t>GU-TDH-025</t>
        </is>
      </c>
      <c r="B34" s="23" t="inlineStr">
        <is>
          <t>GE</t>
        </is>
      </c>
      <c r="C34" s="52" t="n">
        <v>46312</v>
      </c>
      <c r="D34" s="53" t="n">
        <v>46312.42361111111</v>
      </c>
      <c r="E34" s="53" t="n">
        <v>46312.44097222222</v>
      </c>
      <c r="F34" s="21">
        <f>IF(OR(D34="",E34=""),"",ROUND((E34-D34)*1440,0))</f>
        <v/>
      </c>
      <c r="G34" s="23" t="inlineStr">
        <is>
          <t>Login, chat RAG, instalar PWA, módulo experimento</t>
        </is>
      </c>
      <c r="H34" s="23" t="n">
        <v>18</v>
      </c>
      <c r="I34" s="21">
        <f>IF(H34="","",IF(H34&gt;=$E$11,"Aprobado","Recupera"))</f>
        <v/>
      </c>
      <c r="J34" s="23" t="inlineStr">
        <is>
          <t>Conforme (digital)</t>
        </is>
      </c>
    </row>
    <row r="35" ht="30" customHeight="1" s="71">
      <c r="A35" s="23" t="inlineStr">
        <is>
          <t>GU-TDH-026</t>
        </is>
      </c>
      <c r="B35" s="23" t="inlineStr">
        <is>
          <t>GE</t>
        </is>
      </c>
      <c r="C35" s="52" t="n">
        <v>46312</v>
      </c>
      <c r="D35" s="53" t="n">
        <v>46312.67569444444</v>
      </c>
      <c r="E35" s="53" t="n">
        <v>46312.69305555556</v>
      </c>
      <c r="F35" s="21">
        <f>IF(OR(D35="",E35=""),"",ROUND((E35-D35)*1440,0))</f>
        <v/>
      </c>
      <c r="G35" s="23" t="inlineStr">
        <is>
          <t>Login, chat RAG, instalar PWA, módulo experimento</t>
        </is>
      </c>
      <c r="H35" s="23" t="n">
        <v>19</v>
      </c>
      <c r="I35" s="21">
        <f>IF(H35="","",IF(H35&gt;=$E$11,"Aprobado","Recupera"))</f>
        <v/>
      </c>
      <c r="J35" s="23" t="inlineStr">
        <is>
          <t>Conforme (digital)</t>
        </is>
      </c>
    </row>
    <row r="36" ht="30" customHeight="1" s="71">
      <c r="A36" s="23" t="inlineStr">
        <is>
          <t>GU-TDH-027</t>
        </is>
      </c>
      <c r="B36" s="23" t="inlineStr">
        <is>
          <t>GE</t>
        </is>
      </c>
      <c r="C36" s="52" t="n">
        <v>46312</v>
      </c>
      <c r="D36" s="53" t="n">
        <v>46312.42777777778</v>
      </c>
      <c r="E36" s="53" t="n">
        <v>46312.44513888889</v>
      </c>
      <c r="F36" s="21">
        <f>IF(OR(D36="",E36=""),"",ROUND((E36-D36)*1440,0))</f>
        <v/>
      </c>
      <c r="G36" s="23" t="inlineStr">
        <is>
          <t>Login, chat RAG, instalar PWA, módulo experimento</t>
        </is>
      </c>
      <c r="H36" s="23" t="n">
        <v>16</v>
      </c>
      <c r="I36" s="21">
        <f>IF(H36="","",IF(H36&gt;=$E$11,"Aprobado","Recupera"))</f>
        <v/>
      </c>
      <c r="J36" s="23" t="inlineStr">
        <is>
          <t>Conforme (digital)</t>
        </is>
      </c>
    </row>
    <row r="37" ht="30" customHeight="1" s="71">
      <c r="A37" s="23" t="inlineStr">
        <is>
          <t>GU-TDH-028</t>
        </is>
      </c>
      <c r="B37" s="23" t="inlineStr">
        <is>
          <t>GE</t>
        </is>
      </c>
      <c r="C37" s="52" t="n">
        <v>46312</v>
      </c>
      <c r="D37" s="53" t="n">
        <v>46312.67986111111</v>
      </c>
      <c r="E37" s="53" t="n">
        <v>46312.69722222222</v>
      </c>
      <c r="F37" s="21">
        <f>IF(OR(D37="",E37=""),"",ROUND((E37-D37)*1440,0))</f>
        <v/>
      </c>
      <c r="G37" s="23" t="inlineStr">
        <is>
          <t>Login, chat RAG, instalar PWA, módulo experimento</t>
        </is>
      </c>
      <c r="H37" s="23" t="n">
        <v>16</v>
      </c>
      <c r="I37" s="21">
        <f>IF(H37="","",IF(H37&gt;=$E$11,"Aprobado","Recupera"))</f>
        <v/>
      </c>
      <c r="J37" s="23" t="inlineStr">
        <is>
          <t>Conforme (digital)</t>
        </is>
      </c>
    </row>
    <row r="38" ht="30" customHeight="1" s="71">
      <c r="A38" s="23" t="inlineStr">
        <is>
          <t>GU-TDH-029</t>
        </is>
      </c>
      <c r="B38" s="23" t="inlineStr">
        <is>
          <t>GE</t>
        </is>
      </c>
      <c r="C38" s="52" t="n">
        <v>46312</v>
      </c>
      <c r="D38" s="53" t="n">
        <v>46312.43194444444</v>
      </c>
      <c r="E38" s="53" t="n">
        <v>46312.44930555556</v>
      </c>
      <c r="F38" s="21">
        <f>IF(OR(D38="",E38=""),"",ROUND((E38-D38)*1440,0))</f>
        <v/>
      </c>
      <c r="G38" s="23" t="inlineStr">
        <is>
          <t>Login, chat RAG, instalar PWA, módulo experimento</t>
        </is>
      </c>
      <c r="H38" s="23" t="n">
        <v>18</v>
      </c>
      <c r="I38" s="21">
        <f>IF(H38="","",IF(H38&gt;=$E$11,"Aprobado","Recupera"))</f>
        <v/>
      </c>
      <c r="J38" s="23" t="inlineStr">
        <is>
          <t>Conforme (digital)</t>
        </is>
      </c>
    </row>
    <row r="39" ht="30" customHeight="1" s="71">
      <c r="A39" s="23" t="inlineStr">
        <is>
          <t>GU-TDH-030</t>
        </is>
      </c>
      <c r="B39" s="23" t="inlineStr">
        <is>
          <t>GE</t>
        </is>
      </c>
      <c r="C39" s="52" t="n">
        <v>46312</v>
      </c>
      <c r="D39" s="53" t="n">
        <v>46312.68402777778</v>
      </c>
      <c r="E39" s="53" t="n">
        <v>46312.70138888889</v>
      </c>
      <c r="F39" s="21">
        <f>IF(OR(D39="",E39=""),"",ROUND((E39-D39)*1440,0))</f>
        <v/>
      </c>
      <c r="G39" s="23" t="inlineStr">
        <is>
          <t>Login, chat RAG, instalar PWA, módulo experimento</t>
        </is>
      </c>
      <c r="H39" s="23" t="n">
        <v>18</v>
      </c>
      <c r="I39" s="21">
        <f>IF(H39="","",IF(H39&gt;=$E$11,"Aprobado","Recupera"))</f>
        <v/>
      </c>
      <c r="J39" s="23" t="inlineStr">
        <is>
          <t>Conforme (digital)</t>
        </is>
      </c>
    </row>
    <row r="40" ht="30" customHeight="1" s="71">
      <c r="A40" s="23" t="inlineStr">
        <is>
          <t>GU-TDH-032</t>
        </is>
      </c>
      <c r="B40" s="23" t="inlineStr">
        <is>
          <t>GE</t>
        </is>
      </c>
      <c r="C40" s="52" t="n">
        <v>46312</v>
      </c>
      <c r="D40" s="53" t="n">
        <v>46312.43611111111</v>
      </c>
      <c r="E40" s="53" t="n">
        <v>46312.45347222222</v>
      </c>
      <c r="F40" s="21">
        <f>IF(OR(D40="",E40=""),"",ROUND((E40-D40)*1440,0))</f>
        <v/>
      </c>
      <c r="G40" s="23" t="inlineStr">
        <is>
          <t>Login, chat RAG, instalar PWA, módulo experimento</t>
        </is>
      </c>
      <c r="H40" s="23" t="n">
        <v>18</v>
      </c>
      <c r="I40" s="21">
        <f>IF(H40="","",IF(H40&gt;=$E$11,"Aprobado","Recupera"))</f>
        <v/>
      </c>
      <c r="J40" s="23" t="inlineStr">
        <is>
          <t>Conforme (digital)</t>
        </is>
      </c>
    </row>
    <row r="41" ht="30" customHeight="1" s="71">
      <c r="A41" s="23" t="inlineStr">
        <is>
          <t>GU-TDH-033</t>
        </is>
      </c>
      <c r="B41" s="23" t="inlineStr">
        <is>
          <t>GE</t>
        </is>
      </c>
      <c r="C41" s="52" t="n">
        <v>46312</v>
      </c>
      <c r="D41" s="53" t="n">
        <v>46312.68819444445</v>
      </c>
      <c r="E41" s="53" t="n">
        <v>46312.70555555556</v>
      </c>
      <c r="F41" s="21">
        <f>IF(OR(D41="",E41=""),"",ROUND((E41-D41)*1440,0))</f>
        <v/>
      </c>
      <c r="G41" s="23" t="inlineStr">
        <is>
          <t>Login, chat RAG, instalar PWA, módulo experimento</t>
        </is>
      </c>
      <c r="H41" s="23" t="n">
        <v>19</v>
      </c>
      <c r="I41" s="21">
        <f>IF(H41="","",IF(H41&gt;=$E$11,"Aprobado","Recupera"))</f>
        <v/>
      </c>
      <c r="J41" s="23" t="inlineStr">
        <is>
          <t>Conforme (digital)</t>
        </is>
      </c>
    </row>
    <row r="42" ht="30" customHeight="1" s="71">
      <c r="A42" s="23" t="inlineStr">
        <is>
          <t>GU-TDH-034</t>
        </is>
      </c>
      <c r="B42" s="23" t="inlineStr">
        <is>
          <t>GE</t>
        </is>
      </c>
      <c r="C42" s="52" t="n">
        <v>46312</v>
      </c>
      <c r="D42" s="53" t="n">
        <v>46312.44027777778</v>
      </c>
      <c r="E42" s="53" t="n">
        <v>46312.45763888889</v>
      </c>
      <c r="F42" s="21">
        <f>IF(OR(D42="",E42=""),"",ROUND((E42-D42)*1440,0))</f>
        <v/>
      </c>
      <c r="G42" s="23" t="inlineStr">
        <is>
          <t>Login, chat RAG, instalar PWA, módulo experimento</t>
        </is>
      </c>
      <c r="H42" s="23" t="n">
        <v>17</v>
      </c>
      <c r="I42" s="21">
        <f>IF(H42="","",IF(H42&gt;=$E$11,"Aprobado","Recupera"))</f>
        <v/>
      </c>
      <c r="J42" s="23" t="inlineStr">
        <is>
          <t>Conforme (digital)</t>
        </is>
      </c>
    </row>
    <row r="43" ht="30" customHeight="1" s="71">
      <c r="A43" s="23" t="inlineStr">
        <is>
          <t>GU-TDH-035</t>
        </is>
      </c>
      <c r="B43" s="23" t="inlineStr">
        <is>
          <t>GE</t>
        </is>
      </c>
      <c r="C43" s="52" t="n">
        <v>46312</v>
      </c>
      <c r="D43" s="53" t="n">
        <v>46312.69236111111</v>
      </c>
      <c r="E43" s="53" t="n">
        <v>46312.70972222222</v>
      </c>
      <c r="F43" s="21">
        <f>IF(OR(D43="",E43=""),"",ROUND((E43-D43)*1440,0))</f>
        <v/>
      </c>
      <c r="G43" s="23" t="inlineStr">
        <is>
          <t>Login, chat RAG, instalar PWA, módulo experimento</t>
        </is>
      </c>
      <c r="H43" s="23" t="n">
        <v>17</v>
      </c>
      <c r="I43" s="21">
        <f>IF(H43="","",IF(H43&gt;=$E$11,"Aprobado","Recupera"))</f>
        <v/>
      </c>
      <c r="J43" s="23" t="inlineStr">
        <is>
          <t>Conforme (digital)</t>
        </is>
      </c>
    </row>
    <row r="44" ht="15.75" customHeight="1" s="71">
      <c r="A44" s="23" t="inlineStr">
        <is>
          <t>GU-TDH-036</t>
        </is>
      </c>
      <c r="B44" s="23" t="inlineStr">
        <is>
          <t>GE</t>
        </is>
      </c>
      <c r="C44" s="52" t="n">
        <v>46312</v>
      </c>
      <c r="D44" s="53" t="n">
        <v>46312.45</v>
      </c>
      <c r="E44" s="53" t="n">
        <v>46312.46736111111</v>
      </c>
      <c r="F44" s="21">
        <f>IF(OR(D44="",E44=""),"",ROUND((E44-D44)*1440,0))</f>
        <v/>
      </c>
      <c r="G44" s="23" t="inlineStr">
        <is>
          <t>Login, chat RAG, instalar PWA, módulo experimento</t>
        </is>
      </c>
      <c r="H44" s="23" t="n">
        <v>16</v>
      </c>
      <c r="I44" s="21">
        <f>IF(H44="","",IF(H44&gt;=$E$11,"Aprobado","Recupera"))</f>
        <v/>
      </c>
      <c r="J44" s="23" t="inlineStr">
        <is>
          <t>Conforme (digital)</t>
        </is>
      </c>
    </row>
    <row r="45" ht="15.75" customHeight="1" s="71">
      <c r="A45" s="23" t="inlineStr">
        <is>
          <t>GU-TDH-038</t>
        </is>
      </c>
      <c r="B45" s="23" t="inlineStr">
        <is>
          <t>GE</t>
        </is>
      </c>
      <c r="C45" s="52" t="n">
        <v>46312</v>
      </c>
      <c r="D45" s="53" t="n">
        <v>46312.5375</v>
      </c>
      <c r="E45" s="53" t="n">
        <v>46312.55486111111</v>
      </c>
      <c r="F45" s="21">
        <f>IF(OR(D45="",E123=""),"",ROUND((E123-D45)*1440,0))</f>
        <v/>
      </c>
      <c r="G45" s="23" t="inlineStr">
        <is>
          <t>Login, chat RAG, instalar PWA, módulo experimento</t>
        </is>
      </c>
      <c r="H45" s="23" t="n">
        <v>18</v>
      </c>
      <c r="I45" s="21">
        <f>IF(H45="","",IF(H45&gt;=$E$11,"Aprobado","Recupera"))</f>
        <v/>
      </c>
      <c r="J45" s="23" t="inlineStr">
        <is>
          <t>Conforme (digital)</t>
        </is>
      </c>
    </row>
    <row r="46" ht="15.75" customHeight="1" s="71">
      <c r="A46" s="23" t="inlineStr">
        <is>
          <t>GU-TDH-039</t>
        </is>
      </c>
      <c r="B46" s="23" t="inlineStr">
        <is>
          <t>GE</t>
        </is>
      </c>
      <c r="C46" s="52" t="n">
        <v>46312</v>
      </c>
      <c r="D46" s="53" t="n">
        <v>46312.58125</v>
      </c>
      <c r="E46" s="53" t="n">
        <v>46312.59861111111</v>
      </c>
      <c r="F46" s="21">
        <f>IF(OR(D46="",E124=""),"",ROUND((E124-D46)*1440,0))</f>
        <v/>
      </c>
      <c r="G46" s="23" t="inlineStr">
        <is>
          <t>Login, chat RAG, instalar PWA, módulo experimento</t>
        </is>
      </c>
      <c r="H46" s="23" t="n">
        <v>19</v>
      </c>
      <c r="I46" s="21">
        <f>IF(H46="","",IF(H46&gt;=$E$11,"Aprobado","Recupera"))</f>
        <v/>
      </c>
      <c r="J46" s="23" t="inlineStr">
        <is>
          <t>Conforme (digital)</t>
        </is>
      </c>
    </row>
    <row r="47" ht="15.75" customHeight="1" s="71">
      <c r="A47" s="23" t="inlineStr">
        <is>
          <t>GU-TDH-040</t>
        </is>
      </c>
      <c r="B47" s="23" t="inlineStr">
        <is>
          <t>GE</t>
        </is>
      </c>
      <c r="C47" s="52" t="n">
        <v>46312</v>
      </c>
      <c r="D47" s="53" t="n">
        <v>46312.58333333334</v>
      </c>
      <c r="E47" s="53" t="n">
        <v>46312.60069444445</v>
      </c>
      <c r="F47" s="21">
        <f>IF(OR(D47="",E47=""),"",ROUND((E47-D47)*1440,0))</f>
        <v/>
      </c>
      <c r="G47" s="23" t="inlineStr">
        <is>
          <t>Login, chat RAG, instalar PWA, módulo experimento</t>
        </is>
      </c>
      <c r="H47" s="23" t="n">
        <v>15</v>
      </c>
      <c r="I47" s="21">
        <f>IF(H47="","",IF(H47&gt;=$E$11,"Aprobado","Recupera"))</f>
        <v/>
      </c>
      <c r="J47" s="23" t="inlineStr">
        <is>
          <t>Conforme (digital)</t>
        </is>
      </c>
    </row>
    <row r="48" ht="15.75" customHeight="1" s="71">
      <c r="A48" s="23" t="inlineStr">
        <is>
          <t>GU-TDH-041</t>
        </is>
      </c>
      <c r="B48" s="23" t="inlineStr">
        <is>
          <t>GE</t>
        </is>
      </c>
      <c r="C48" s="52" t="n">
        <v>46312</v>
      </c>
      <c r="D48" s="53" t="n">
        <v>46312.62708333333</v>
      </c>
      <c r="E48" s="53" t="n">
        <v>46312.64444444444</v>
      </c>
      <c r="F48" s="21">
        <f>IF(OR(D48="",E48=""),"",ROUND((E48-D48)*1440,0))</f>
        <v/>
      </c>
      <c r="G48" s="23" t="inlineStr">
        <is>
          <t>Login, chat RAG, instalar PWA, módulo experimento</t>
        </is>
      </c>
      <c r="H48" s="23" t="n">
        <v>16</v>
      </c>
      <c r="I48" s="21">
        <f>IF(H48="","",IF(H48&gt;=$E$11,"Aprobado","Recupera"))</f>
        <v/>
      </c>
      <c r="J48" s="23" t="inlineStr">
        <is>
          <t>Conforme (digital)</t>
        </is>
      </c>
    </row>
    <row r="49" ht="15.75" customHeight="1" s="71">
      <c r="A49" s="23" t="inlineStr">
        <is>
          <t>GU-TDH-042</t>
        </is>
      </c>
      <c r="B49" s="23" t="inlineStr">
        <is>
          <t>GE</t>
        </is>
      </c>
      <c r="C49" s="52" t="n">
        <v>46312</v>
      </c>
      <c r="D49" s="53" t="n">
        <v>46312.42083333333</v>
      </c>
      <c r="E49" s="53" t="n">
        <v>46312.43819444445</v>
      </c>
      <c r="F49" s="21">
        <f>IF(OR(D49="",E49=""),"",ROUND((E49-D49)*1440,0))</f>
        <v/>
      </c>
      <c r="G49" s="23" t="inlineStr">
        <is>
          <t>Login, chat RAG, instalar PWA, módulo experimento</t>
        </is>
      </c>
      <c r="H49" s="23" t="n">
        <v>17</v>
      </c>
      <c r="I49" s="21">
        <f>IF(H49="","",IF(H49&gt;=$E$11,"Aprobado","Recupera"))</f>
        <v/>
      </c>
      <c r="J49" s="23" t="inlineStr">
        <is>
          <t>Conforme (digital)</t>
        </is>
      </c>
    </row>
    <row r="50" ht="43.5" customHeight="1" s="71">
      <c r="A50" s="23" t="inlineStr">
        <is>
          <t>GU-TDH-043</t>
        </is>
      </c>
      <c r="B50" s="23" t="inlineStr">
        <is>
          <t>GE</t>
        </is>
      </c>
      <c r="C50" s="52" t="n">
        <v>46312</v>
      </c>
      <c r="D50" s="53" t="n">
        <v>46312.46458333333</v>
      </c>
      <c r="E50" s="53" t="n">
        <v>46312.48194444444</v>
      </c>
      <c r="F50" s="21">
        <f>IF(OR(D50="",E50=""),"",ROUND((E50-D50)*1440,0))</f>
        <v/>
      </c>
      <c r="G50" s="23" t="inlineStr">
        <is>
          <t>Login, chat RAG, instalar PWA, módulo experimento</t>
        </is>
      </c>
      <c r="H50" s="23" t="n">
        <v>18</v>
      </c>
      <c r="I50" s="21">
        <f>IF(H50="","",IF(H50&gt;=$E$11,"Aprobado","Recupera"))</f>
        <v/>
      </c>
      <c r="J50" s="23" t="inlineStr">
        <is>
          <t>Conforme (digital)</t>
        </is>
      </c>
    </row>
    <row r="51" ht="15.75" customHeight="1" s="71">
      <c r="A51" s="23" t="inlineStr">
        <is>
          <t>GU-TDH-045</t>
        </is>
      </c>
      <c r="B51" s="23" t="inlineStr">
        <is>
          <t>GE</t>
        </is>
      </c>
      <c r="C51" s="52" t="n">
        <v>46312</v>
      </c>
      <c r="D51" s="53" t="n">
        <v>46312.55208333334</v>
      </c>
      <c r="E51" s="53" t="n">
        <v>46312.56944444445</v>
      </c>
      <c r="F51" s="21">
        <f>IF(OR(D51="",E51=""),"",ROUND((E51-D51)*1440,0))</f>
        <v/>
      </c>
      <c r="G51" s="23" t="inlineStr">
        <is>
          <t>Login, chat RAG, instalar PWA, módulo experimento</t>
        </is>
      </c>
      <c r="H51" s="23" t="n">
        <v>15</v>
      </c>
      <c r="I51" s="21">
        <f>IF(H51="","",IF(H51&gt;=$E$11,"Aprobado","Recupera"))</f>
        <v/>
      </c>
      <c r="J51" s="23" t="inlineStr">
        <is>
          <t>Conforme (digital)</t>
        </is>
      </c>
    </row>
    <row r="52" ht="15.75" customHeight="1" s="71">
      <c r="A52" s="23" t="inlineStr">
        <is>
          <t>GU-TDH-047</t>
        </is>
      </c>
      <c r="B52" s="23" t="inlineStr">
        <is>
          <t>GE</t>
        </is>
      </c>
      <c r="C52" s="52" t="n">
        <v>46312</v>
      </c>
      <c r="D52" s="53" t="n">
        <v>46312.63958333333</v>
      </c>
      <c r="E52" s="53" t="n">
        <v>46312.65694444445</v>
      </c>
      <c r="F52" s="21">
        <f>IF(OR(D52="",E52=""),"",ROUND((E52-D52)*1440,0))</f>
        <v/>
      </c>
      <c r="G52" s="23" t="inlineStr">
        <is>
          <t>Login, chat RAG, instalar PWA, módulo experimento</t>
        </is>
      </c>
      <c r="H52" s="23" t="n">
        <v>17</v>
      </c>
      <c r="I52" s="21">
        <f>IF(H52="","",IF(H52&gt;=$E$11,"Aprobado","Recupera"))</f>
        <v/>
      </c>
      <c r="J52" s="23" t="inlineStr">
        <is>
          <t>Conforme (digital)</t>
        </is>
      </c>
    </row>
    <row r="53" ht="15.75" customHeight="1" s="71">
      <c r="A53" s="23" t="inlineStr">
        <is>
          <t>GU-TDH-048</t>
        </is>
      </c>
      <c r="B53" s="23" t="inlineStr">
        <is>
          <t>GE</t>
        </is>
      </c>
      <c r="C53" s="52" t="n">
        <v>46312</v>
      </c>
      <c r="D53" s="53" t="n">
        <v>46312.43333333333</v>
      </c>
      <c r="E53" s="53" t="n">
        <v>46312.45069444444</v>
      </c>
      <c r="F53" s="21">
        <f>IF(OR(D53="",E53=""),"",ROUND((E53-D53)*1440,0))</f>
        <v/>
      </c>
      <c r="G53" s="23" t="inlineStr">
        <is>
          <t>Login, chat RAG, instalar PWA, módulo experimento</t>
        </is>
      </c>
      <c r="H53" s="23" t="n">
        <v>18</v>
      </c>
      <c r="I53" s="21">
        <f>IF(H53="","",IF(H53&gt;=$E$11,"Aprobado","Recupera"))</f>
        <v/>
      </c>
      <c r="J53" s="23" t="inlineStr">
        <is>
          <t>Conforme (digital)</t>
        </is>
      </c>
    </row>
    <row r="54" ht="15.75" customHeight="1" s="71">
      <c r="A54" s="23" t="inlineStr">
        <is>
          <t>GU-TDH-049</t>
        </is>
      </c>
      <c r="B54" s="23" t="inlineStr">
        <is>
          <t>GE</t>
        </is>
      </c>
      <c r="C54" s="52" t="n">
        <v>46312</v>
      </c>
      <c r="D54" s="53" t="n">
        <v>46312.47708333333</v>
      </c>
      <c r="E54" s="53" t="n">
        <v>46312.49444444444</v>
      </c>
      <c r="F54" s="21">
        <f>IF(OR(D54="",E54=""),"",ROUND((E54-D54)*1440,0))</f>
        <v/>
      </c>
      <c r="G54" s="23" t="inlineStr">
        <is>
          <t>Login, chat RAG, instalar PWA, módulo experimento</t>
        </is>
      </c>
      <c r="H54" s="23" t="n">
        <v>19</v>
      </c>
      <c r="I54" s="21">
        <f>IF(H54="","",IF(H54&gt;=$E$11,"Aprobado","Recupera"))</f>
        <v/>
      </c>
      <c r="J54" s="23" t="inlineStr">
        <is>
          <t>Conforme (digital)</t>
        </is>
      </c>
    </row>
    <row r="55" ht="15.75" customHeight="1" s="71">
      <c r="A55" s="23" t="inlineStr">
        <is>
          <t>GU-TDH-050</t>
        </is>
      </c>
      <c r="B55" s="23" t="inlineStr">
        <is>
          <t>GE</t>
        </is>
      </c>
      <c r="C55" s="52" t="n">
        <v>46312</v>
      </c>
      <c r="D55" s="53" t="n">
        <v>46312.52083333334</v>
      </c>
      <c r="E55" s="53" t="n">
        <v>46312.53819444445</v>
      </c>
      <c r="F55" s="21">
        <f>IF(OR(D55="",E55=""),"",ROUND((E55-D55)*1440,0))</f>
        <v/>
      </c>
      <c r="G55" s="23" t="inlineStr">
        <is>
          <t>Login, chat RAG, instalar PWA, módulo experimento</t>
        </is>
      </c>
      <c r="H55" s="23" t="n">
        <v>15</v>
      </c>
      <c r="I55" s="21">
        <f>IF(H55="","",IF(H55&gt;=$E$11,"Aprobado","Recupera"))</f>
        <v/>
      </c>
      <c r="J55" s="23" t="inlineStr">
        <is>
          <t>Conforme (digital)</t>
        </is>
      </c>
    </row>
    <row r="56" ht="15.75" customHeight="1" s="71">
      <c r="A56" s="23" t="inlineStr">
        <is>
          <t>GU-TDH-051</t>
        </is>
      </c>
      <c r="B56" s="23" t="inlineStr">
        <is>
          <t>GE</t>
        </is>
      </c>
      <c r="C56" s="52" t="n">
        <v>46312</v>
      </c>
      <c r="D56" s="53" t="n">
        <v>46312.56458333333</v>
      </c>
      <c r="E56" s="53" t="n">
        <v>46312.58194444444</v>
      </c>
      <c r="F56" s="21">
        <f>IF(OR(D56="",E56=""),"",ROUND((E56-D56)*1440,0))</f>
        <v/>
      </c>
      <c r="G56" s="23" t="inlineStr">
        <is>
          <t>Login, chat RAG, instalar PWA, módulo experimento</t>
        </is>
      </c>
      <c r="H56" s="23" t="n">
        <v>16</v>
      </c>
      <c r="I56" s="21">
        <f>IF(H56="","",IF(H56&gt;=$E$11,"Aprobado","Recupera"))</f>
        <v/>
      </c>
      <c r="J56" s="23" t="inlineStr">
        <is>
          <t>Conforme (digital)</t>
        </is>
      </c>
    </row>
    <row r="57" ht="15.75" customHeight="1" s="71">
      <c r="A57" s="23" t="inlineStr">
        <is>
          <t>GU-TDH-052</t>
        </is>
      </c>
      <c r="B57" s="23" t="inlineStr">
        <is>
          <t>GE</t>
        </is>
      </c>
      <c r="C57" s="52" t="n">
        <v>46312</v>
      </c>
      <c r="D57" s="53" t="n">
        <v>46312.60833333333</v>
      </c>
      <c r="E57" s="53" t="n">
        <v>46312.62569444445</v>
      </c>
      <c r="F57" s="21">
        <f>IF(OR(D57="",E57=""),"",ROUND((E57-D57)*1440,0))</f>
        <v/>
      </c>
      <c r="G57" s="23" t="inlineStr">
        <is>
          <t>Login, chat RAG, instalar PWA, módulo experimento</t>
        </is>
      </c>
      <c r="H57" s="23" t="n">
        <v>17</v>
      </c>
      <c r="I57" s="21">
        <f>IF(H57="","",IF(H57&gt;=$E$11,"Aprobado","Recupera"))</f>
        <v/>
      </c>
      <c r="J57" s="23" t="inlineStr">
        <is>
          <t>Conforme (digital)</t>
        </is>
      </c>
    </row>
    <row r="58" ht="15.75" customHeight="1" s="71">
      <c r="A58" s="23" t="inlineStr">
        <is>
          <t>GU-TDH-053</t>
        </is>
      </c>
      <c r="B58" s="23" t="inlineStr">
        <is>
          <t>GE</t>
        </is>
      </c>
      <c r="C58" s="52" t="n">
        <v>46312</v>
      </c>
      <c r="D58" s="53" t="n">
        <v>46312.65208333333</v>
      </c>
      <c r="E58" s="53" t="n">
        <v>46312.66944444444</v>
      </c>
      <c r="F58" s="21">
        <f>IF(OR(D58="",E58=""),"",ROUND((E58-D58)*1440,0))</f>
        <v/>
      </c>
      <c r="G58" s="23" t="inlineStr">
        <is>
          <t>Login, chat RAG, instalar PWA, módulo experimento</t>
        </is>
      </c>
      <c r="H58" s="23" t="n">
        <v>18</v>
      </c>
      <c r="I58" s="21">
        <f>IF(H58="","",IF(H58&gt;=$E$11,"Aprobado","Recupera"))</f>
        <v/>
      </c>
      <c r="J58" s="23" t="inlineStr">
        <is>
          <t>Conforme (digital)</t>
        </is>
      </c>
    </row>
    <row r="59" ht="15.75" customHeight="1" s="71">
      <c r="A59" s="23" t="inlineStr">
        <is>
          <t>GU-TDH-054</t>
        </is>
      </c>
      <c r="B59" s="23" t="inlineStr">
        <is>
          <t>GE</t>
        </is>
      </c>
      <c r="C59" s="52" t="n">
        <v>46312</v>
      </c>
      <c r="D59" s="53" t="n">
        <v>46312.44583333333</v>
      </c>
      <c r="E59" s="53" t="n">
        <v>46312.46319444444</v>
      </c>
      <c r="F59" s="21">
        <f>IF(OR(D59="",E59=""),"",ROUND((E59-D59)*1440,0))</f>
        <v/>
      </c>
      <c r="G59" s="23" t="inlineStr">
        <is>
          <t>Login, chat RAG, instalar PWA, módulo experimento</t>
        </is>
      </c>
      <c r="H59" s="23" t="n">
        <v>19</v>
      </c>
      <c r="I59" s="21">
        <f>IF(H59="","",IF(H59&gt;=$E$11,"Aprobado","Recupera"))</f>
        <v/>
      </c>
      <c r="J59" s="23" t="inlineStr">
        <is>
          <t>Conforme (digital)</t>
        </is>
      </c>
    </row>
    <row r="60" ht="15.75" customHeight="1" s="71">
      <c r="A60" s="23" t="inlineStr">
        <is>
          <t>GU-TDH-056</t>
        </is>
      </c>
      <c r="B60" s="23" t="inlineStr">
        <is>
          <t>GE</t>
        </is>
      </c>
      <c r="C60" s="52" t="n">
        <v>46312</v>
      </c>
      <c r="D60" s="53" t="n">
        <v>46312.53333333333</v>
      </c>
      <c r="E60" s="53" t="n">
        <v>46312.55069444444</v>
      </c>
      <c r="F60" s="21">
        <f>IF(OR(D60="",E60=""),"",ROUND((E60-D60)*1440,0))</f>
        <v/>
      </c>
      <c r="G60" s="23" t="inlineStr">
        <is>
          <t>Login, chat RAG, instalar PWA, módulo experimento</t>
        </is>
      </c>
      <c r="H60" s="23" t="n">
        <v>16</v>
      </c>
      <c r="I60" s="21">
        <f>IF(H60="","",IF(H60&gt;=$E$11,"Aprobado","Recupera"))</f>
        <v/>
      </c>
      <c r="J60" s="23" t="inlineStr">
        <is>
          <t>Conforme (digital)</t>
        </is>
      </c>
    </row>
    <row r="61" ht="15.75" customHeight="1" s="71">
      <c r="A61" s="23" t="inlineStr">
        <is>
          <t>GU-TDH-057</t>
        </is>
      </c>
      <c r="B61" s="23" t="inlineStr">
        <is>
          <t>GE</t>
        </is>
      </c>
      <c r="C61" s="52" t="n">
        <v>46312</v>
      </c>
      <c r="D61" s="53" t="n">
        <v>46312.57708333333</v>
      </c>
      <c r="E61" s="53" t="n">
        <v>46312.59444444445</v>
      </c>
      <c r="F61" s="21">
        <f>IF(OR(D61="",E61=""),"",ROUND((E61-D61)*1440,0))</f>
        <v/>
      </c>
      <c r="G61" s="23" t="inlineStr">
        <is>
          <t>Login, chat RAG, instalar PWA, módulo experimento</t>
        </is>
      </c>
      <c r="H61" s="23" t="n">
        <v>17</v>
      </c>
      <c r="I61" s="21">
        <f>IF(H61="","",IF(H61&gt;=$E$11,"Aprobado","Recupera"))</f>
        <v/>
      </c>
      <c r="J61" s="23" t="inlineStr">
        <is>
          <t>Conforme (digital)</t>
        </is>
      </c>
    </row>
    <row r="62" ht="15.75" customHeight="1" s="71">
      <c r="A62" s="23" t="inlineStr">
        <is>
          <t>GU-TDH-058</t>
        </is>
      </c>
      <c r="B62" s="23" t="inlineStr">
        <is>
          <t>GE</t>
        </is>
      </c>
      <c r="C62" s="52" t="n">
        <v>46312</v>
      </c>
      <c r="D62" s="53" t="n">
        <v>46312.62083333333</v>
      </c>
      <c r="E62" s="53" t="n">
        <v>46312.63819444444</v>
      </c>
      <c r="F62" s="21">
        <f>IF(OR(D62="",E62=""),"",ROUND((E62-D62)*1440,0))</f>
        <v/>
      </c>
      <c r="G62" s="23" t="inlineStr">
        <is>
          <t>Login, chat RAG, instalar PWA, módulo experimento</t>
        </is>
      </c>
      <c r="H62" s="23" t="n">
        <v>18</v>
      </c>
      <c r="I62" s="21">
        <f>IF(H62="","",IF(H62&gt;=$E$11,"Aprobado","Recupera"))</f>
        <v/>
      </c>
      <c r="J62" s="23" t="inlineStr">
        <is>
          <t>Conforme (digital)</t>
        </is>
      </c>
    </row>
    <row r="63" ht="15.75" customHeight="1" s="71">
      <c r="A63" s="23" t="inlineStr">
        <is>
          <t>GU-TDH-060</t>
        </is>
      </c>
      <c r="B63" s="23" t="inlineStr">
        <is>
          <t>GE</t>
        </is>
      </c>
      <c r="C63" s="52" t="n">
        <v>46312</v>
      </c>
      <c r="D63" s="53" t="n">
        <v>46312.41666666666</v>
      </c>
      <c r="E63" s="53" t="n">
        <v>46312.43402777778</v>
      </c>
      <c r="F63" s="21">
        <f>IF(OR(D63="",E63=""),"",ROUND((E63-D63)*1440,0))</f>
        <v/>
      </c>
      <c r="G63" s="23" t="inlineStr">
        <is>
          <t>Login, chat RAG, instalar PWA, módulo experimento</t>
        </is>
      </c>
      <c r="H63" s="23" t="n">
        <v>15</v>
      </c>
      <c r="I63" s="21">
        <f>IF(H63="","",IF(H63&gt;=$E$11,"Aprobado","Recupera"))</f>
        <v/>
      </c>
      <c r="J63" s="23" t="inlineStr">
        <is>
          <t>Conforme (digital)</t>
        </is>
      </c>
    </row>
    <row r="64" ht="15.75" customHeight="1" s="71">
      <c r="A64" s="23" t="inlineStr">
        <is>
          <t>GU-TDH-061</t>
        </is>
      </c>
      <c r="B64" s="23" t="inlineStr">
        <is>
          <t>GE</t>
        </is>
      </c>
      <c r="C64" s="52" t="n">
        <v>46312</v>
      </c>
      <c r="D64" s="53" t="n">
        <v>46312.46041666667</v>
      </c>
      <c r="E64" s="53" t="n">
        <v>46312.47777777778</v>
      </c>
      <c r="F64" s="21">
        <f>IF(OR(D64="",E64=""),"",ROUND((E64-D64)*1440,0))</f>
        <v/>
      </c>
      <c r="G64" s="23" t="inlineStr">
        <is>
          <t>Login, chat RAG, instalar PWA, módulo experimento</t>
        </is>
      </c>
      <c r="H64" s="23" t="n">
        <v>16</v>
      </c>
      <c r="I64" s="21">
        <f>IF(H64="","",IF(H64&gt;=$E$11,"Aprobado","Recupera"))</f>
        <v/>
      </c>
      <c r="J64" s="23" t="inlineStr">
        <is>
          <t>Conforme (digital)</t>
        </is>
      </c>
    </row>
    <row r="65" ht="15.75" customHeight="1" s="71">
      <c r="A65" s="23" t="inlineStr">
        <is>
          <t>GU-TDH-062</t>
        </is>
      </c>
      <c r="B65" s="23" t="inlineStr">
        <is>
          <t>GE</t>
        </is>
      </c>
      <c r="C65" s="52" t="n">
        <v>46312</v>
      </c>
      <c r="D65" s="53" t="n">
        <v>46312.50416666667</v>
      </c>
      <c r="E65" s="53" t="n">
        <v>46312.52152777778</v>
      </c>
      <c r="F65" s="21">
        <f>IF(OR(D65="",E65=""),"",ROUND((E65-D65)*1440,0))</f>
        <v/>
      </c>
      <c r="G65" s="23" t="inlineStr">
        <is>
          <t>Login, chat RAG, instalar PWA, módulo experimento</t>
        </is>
      </c>
      <c r="H65" s="23" t="n">
        <v>17</v>
      </c>
      <c r="I65" s="21">
        <f>IF(H65="","",IF(H65&gt;=$E$11,"Aprobado","Recupera"))</f>
        <v/>
      </c>
      <c r="J65" s="23" t="inlineStr">
        <is>
          <t>Conforme (digital)</t>
        </is>
      </c>
    </row>
    <row r="66" ht="15.75" customHeight="1" s="71">
      <c r="A66" s="23" t="inlineStr">
        <is>
          <t>GU-TDH-063</t>
        </is>
      </c>
      <c r="B66" s="23" t="inlineStr">
        <is>
          <t>GE</t>
        </is>
      </c>
      <c r="C66" s="52" t="n">
        <v>46312</v>
      </c>
      <c r="D66" s="53" t="n">
        <v>46312.54791666667</v>
      </c>
      <c r="E66" s="53" t="n">
        <v>46312.56527777778</v>
      </c>
      <c r="F66" s="21">
        <f>IF(OR(D66="",E66=""),"",ROUND((E66-D66)*1440,0))</f>
        <v/>
      </c>
      <c r="G66" s="23" t="inlineStr">
        <is>
          <t>Login, chat RAG, instalar PWA, módulo experimento</t>
        </is>
      </c>
      <c r="H66" s="23" t="n">
        <v>18</v>
      </c>
      <c r="I66" s="21">
        <f>IF(H66="","",IF(H66&gt;=$E$11,"Aprobado","Recupera"))</f>
        <v/>
      </c>
      <c r="J66" s="23" t="inlineStr">
        <is>
          <t>Conforme (digital)</t>
        </is>
      </c>
    </row>
    <row r="67" ht="15.75" customHeight="1" s="71">
      <c r="A67" s="23" t="inlineStr">
        <is>
          <t>GU-TDH-064</t>
        </is>
      </c>
      <c r="B67" s="23" t="inlineStr">
        <is>
          <t>GE</t>
        </is>
      </c>
      <c r="C67" s="52" t="n">
        <v>46312</v>
      </c>
      <c r="D67" s="53" t="n">
        <v>46312.59166666667</v>
      </c>
      <c r="E67" s="53" t="n">
        <v>46312.60902777778</v>
      </c>
      <c r="F67" s="21">
        <f>IF(OR(D67="",E67=""),"",ROUND((E67-D67)*1440,0))</f>
        <v/>
      </c>
      <c r="G67" s="23" t="inlineStr">
        <is>
          <t>Login, chat RAG, instalar PWA, módulo experimento</t>
        </is>
      </c>
      <c r="H67" s="23" t="n">
        <v>19</v>
      </c>
      <c r="I67" s="21">
        <f>IF(H67="","",IF(H67&gt;=$E$11,"Aprobado","Recupera"))</f>
        <v/>
      </c>
      <c r="J67" s="23" t="inlineStr">
        <is>
          <t>Conforme (digital)</t>
        </is>
      </c>
    </row>
    <row r="68" ht="15.75" customHeight="1" s="71">
      <c r="A68" s="23" t="inlineStr">
        <is>
          <t>GU-TDH-065</t>
        </is>
      </c>
      <c r="B68" s="23" t="inlineStr">
        <is>
          <t>GE</t>
        </is>
      </c>
      <c r="C68" s="52" t="n">
        <v>46312</v>
      </c>
      <c r="D68" s="53" t="n">
        <v>46312.63541666666</v>
      </c>
      <c r="E68" s="53" t="n">
        <v>46312.65277777778</v>
      </c>
      <c r="F68" s="21">
        <f>IF(OR(D68="",E68=""),"",ROUND((E68-D68)*1440,0))</f>
        <v/>
      </c>
      <c r="G68" s="23" t="inlineStr">
        <is>
          <t>Login, chat RAG, instalar PWA, módulo experimento</t>
        </is>
      </c>
      <c r="H68" s="23" t="n">
        <v>15</v>
      </c>
      <c r="I68" s="21">
        <f>IF(H68="","",IF(H68&gt;=$E$11,"Aprobado","Recupera"))</f>
        <v/>
      </c>
      <c r="J68" s="23" t="inlineStr">
        <is>
          <t>Conforme (digital)</t>
        </is>
      </c>
    </row>
    <row r="69" ht="15.75" customHeight="1" s="71">
      <c r="A69" s="23" t="inlineStr">
        <is>
          <t>GU-TDH-066</t>
        </is>
      </c>
      <c r="B69" s="23" t="inlineStr">
        <is>
          <t>GE</t>
        </is>
      </c>
      <c r="C69" s="52" t="n">
        <v>46312</v>
      </c>
      <c r="D69" s="53" t="n">
        <v>46312.42916666667</v>
      </c>
      <c r="E69" s="53" t="n">
        <v>46312.44652777778</v>
      </c>
      <c r="F69" s="21">
        <f>IF(OR(D69="",E69=""),"",ROUND((E69-D69)*1440,0))</f>
        <v/>
      </c>
      <c r="G69" s="23" t="inlineStr">
        <is>
          <t>Login, chat RAG, instalar PWA, módulo experimento</t>
        </is>
      </c>
      <c r="H69" s="23" t="n">
        <v>16</v>
      </c>
      <c r="I69" s="21">
        <f>IF(H69="","",IF(H69&gt;=$E$11,"Aprobado","Recupera"))</f>
        <v/>
      </c>
      <c r="J69" s="23" t="inlineStr">
        <is>
          <t>Conforme (digital)</t>
        </is>
      </c>
    </row>
    <row r="70" ht="15.75" customHeight="1" s="71">
      <c r="A70" s="23" t="inlineStr">
        <is>
          <t>GU-TDH-067</t>
        </is>
      </c>
      <c r="B70" s="23" t="inlineStr">
        <is>
          <t>GE</t>
        </is>
      </c>
      <c r="C70" s="52" t="n">
        <v>46312</v>
      </c>
      <c r="D70" s="53" t="n">
        <v>46312.47291666667</v>
      </c>
      <c r="E70" s="53" t="n">
        <v>46312.49027777778</v>
      </c>
      <c r="F70" s="21">
        <f>IF(OR(D70="",E70=""),"",ROUND((E70-D70)*1440,0))</f>
        <v/>
      </c>
      <c r="G70" s="23" t="inlineStr">
        <is>
          <t>Login, chat RAG, instalar PWA, módulo experimento</t>
        </is>
      </c>
      <c r="H70" s="23" t="n">
        <v>17</v>
      </c>
      <c r="I70" s="21">
        <f>IF(H70="","",IF(H70&gt;=$E$11,"Aprobado","Recupera"))</f>
        <v/>
      </c>
      <c r="J70" s="23" t="inlineStr">
        <is>
          <t>Conforme (digital)</t>
        </is>
      </c>
    </row>
    <row r="71" ht="15.75" customHeight="1" s="71">
      <c r="A71" s="23" t="inlineStr">
        <is>
          <t>GU-TDH-069</t>
        </is>
      </c>
      <c r="B71" s="23" t="inlineStr">
        <is>
          <t>GE</t>
        </is>
      </c>
      <c r="C71" s="52" t="n">
        <v>46312</v>
      </c>
      <c r="D71" s="53" t="n">
        <v>46312.56041666667</v>
      </c>
      <c r="E71" s="53" t="n">
        <v>46312.57777777778</v>
      </c>
      <c r="F71" s="21">
        <f>IF(OR(D71="",E71=""),"",ROUND((E71-D71)*1440,0))</f>
        <v/>
      </c>
      <c r="G71" s="23" t="inlineStr">
        <is>
          <t>Login, chat RAG, instalar PWA, módulo experimento</t>
        </is>
      </c>
      <c r="H71" s="23" t="n">
        <v>19</v>
      </c>
      <c r="I71" s="21">
        <f>IF(H71="","",IF(H71&gt;=$E$11,"Aprobado","Recupera"))</f>
        <v/>
      </c>
      <c r="J71" s="23" t="inlineStr">
        <is>
          <t>Conforme (digital)</t>
        </is>
      </c>
    </row>
    <row r="72" ht="15.75" customHeight="1" s="71">
      <c r="A72" s="23" t="inlineStr">
        <is>
          <t>GU-TDH-070</t>
        </is>
      </c>
      <c r="B72" s="23" t="inlineStr">
        <is>
          <t>GE</t>
        </is>
      </c>
      <c r="C72" s="52" t="n">
        <v>46312</v>
      </c>
      <c r="D72" s="53" t="n">
        <v>46312.60416666666</v>
      </c>
      <c r="E72" s="53" t="n">
        <v>46312.62152777778</v>
      </c>
      <c r="F72" s="21">
        <f>IF(OR(D72="",E72=""),"",ROUND((E72-D72)*1440,0))</f>
        <v/>
      </c>
      <c r="G72" s="23" t="inlineStr">
        <is>
          <t>Login, chat RAG, instalar PWA, módulo experimento</t>
        </is>
      </c>
      <c r="H72" s="23" t="n">
        <v>15</v>
      </c>
      <c r="I72" s="21">
        <f>IF(H72="","",IF(H72&gt;=$E$11,"Aprobado","Recupera"))</f>
        <v/>
      </c>
      <c r="J72" s="23" t="inlineStr">
        <is>
          <t>Conforme (digital)</t>
        </is>
      </c>
    </row>
    <row r="73" ht="15.75" customHeight="1" s="71">
      <c r="A73" s="23" t="inlineStr">
        <is>
          <t>GU-TDH-071</t>
        </is>
      </c>
      <c r="B73" s="23" t="inlineStr">
        <is>
          <t>GE</t>
        </is>
      </c>
      <c r="C73" s="52" t="n">
        <v>46312</v>
      </c>
      <c r="D73" s="53" t="n">
        <v>46312.64791666667</v>
      </c>
      <c r="E73" s="53" t="n">
        <v>46312.66527777778</v>
      </c>
      <c r="F73" s="21">
        <f>IF(OR(D73="",E73=""),"",ROUND((E73-D73)*1440,0))</f>
        <v/>
      </c>
      <c r="G73" s="23" t="inlineStr">
        <is>
          <t>Login, chat RAG, instalar PWA, módulo experimento</t>
        </is>
      </c>
      <c r="H73" s="23" t="n">
        <v>16</v>
      </c>
      <c r="I73" s="21">
        <f>IF(H73="","",IF(H73&gt;=$E$11,"Aprobado","Recupera"))</f>
        <v/>
      </c>
      <c r="J73" s="23" t="inlineStr">
        <is>
          <t>Conforme (digital)</t>
        </is>
      </c>
    </row>
    <row r="74" ht="15.75" customHeight="1" s="71">
      <c r="A74" s="23" t="inlineStr">
        <is>
          <t>GU-TDH-072</t>
        </is>
      </c>
      <c r="B74" s="23" t="inlineStr">
        <is>
          <t>GE</t>
        </is>
      </c>
      <c r="C74" s="52" t="n">
        <v>46312</v>
      </c>
      <c r="D74" s="53" t="n">
        <v>46312.44166666667</v>
      </c>
      <c r="E74" s="53" t="n">
        <v>46312.45902777778</v>
      </c>
      <c r="F74" s="21">
        <f>IF(OR(D74="",E74=""),"",ROUND((E74-D74)*1440,0))</f>
        <v/>
      </c>
      <c r="G74" s="23" t="inlineStr">
        <is>
          <t>Login, chat RAG, instalar PWA, módulo experimento</t>
        </is>
      </c>
      <c r="H74" s="23" t="n">
        <v>17</v>
      </c>
      <c r="I74" s="21">
        <f>IF(H74="","",IF(H74&gt;=$E$11,"Aprobado","Recupera"))</f>
        <v/>
      </c>
      <c r="J74" s="23" t="inlineStr">
        <is>
          <t>Conforme (digital)</t>
        </is>
      </c>
    </row>
    <row r="75" ht="15.75" customHeight="1" s="71">
      <c r="A75" s="23" t="inlineStr">
        <is>
          <t>GU-TDH-073</t>
        </is>
      </c>
      <c r="B75" s="23" t="inlineStr">
        <is>
          <t>GE</t>
        </is>
      </c>
      <c r="C75" s="52" t="n">
        <v>46312</v>
      </c>
      <c r="D75" s="53" t="n">
        <v>46312.48541666667</v>
      </c>
      <c r="E75" s="53" t="n">
        <v>46312.50277777778</v>
      </c>
      <c r="F75" s="21">
        <f>IF(OR(D75="",E75=""),"",ROUND((E75-D75)*1440,0))</f>
        <v/>
      </c>
      <c r="G75" s="23" t="inlineStr">
        <is>
          <t>Login, chat RAG, instalar PWA, módulo experimento</t>
        </is>
      </c>
      <c r="H75" s="23" t="n">
        <v>18</v>
      </c>
      <c r="I75" s="21">
        <f>IF(H75="","",IF(H75&gt;=$E$11,"Aprobado","Recupera"))</f>
        <v/>
      </c>
      <c r="J75" s="23" t="inlineStr">
        <is>
          <t>Conforme (digital)</t>
        </is>
      </c>
    </row>
    <row r="76" ht="15.75" customHeight="1" s="71">
      <c r="A76" s="23" t="inlineStr">
        <is>
          <t>GU-TDH-074</t>
        </is>
      </c>
      <c r="B76" s="23" t="inlineStr">
        <is>
          <t>GE</t>
        </is>
      </c>
      <c r="C76" s="52" t="n">
        <v>46312</v>
      </c>
      <c r="D76" s="53" t="n">
        <v>46312.52916666667</v>
      </c>
      <c r="E76" s="53" t="n">
        <v>46312.54652777778</v>
      </c>
      <c r="F76" s="21">
        <f>IF(OR(D76="",E76=""),"",ROUND((E76-D76)*1440,0))</f>
        <v/>
      </c>
      <c r="G76" s="23" t="inlineStr">
        <is>
          <t>Login, chat RAG, instalar PWA, módulo experimento</t>
        </is>
      </c>
      <c r="H76" s="23" t="n">
        <v>19</v>
      </c>
      <c r="I76" s="21">
        <f>IF(H76="","",IF(H76&gt;=$E$11,"Aprobado","Recupera"))</f>
        <v/>
      </c>
      <c r="J76" s="23" t="inlineStr">
        <is>
          <t>Conforme (digital)</t>
        </is>
      </c>
    </row>
    <row r="77" ht="15.75" customHeight="1" s="71">
      <c r="A77" s="23" t="inlineStr">
        <is>
          <t>GU-TDH-075</t>
        </is>
      </c>
      <c r="B77" s="23" t="inlineStr">
        <is>
          <t>GE</t>
        </is>
      </c>
      <c r="C77" s="52" t="n">
        <v>46312</v>
      </c>
      <c r="D77" s="53" t="n">
        <v>46312.57291666666</v>
      </c>
      <c r="E77" s="53" t="n">
        <v>46312.59027777778</v>
      </c>
      <c r="F77" s="21">
        <f>IF(OR(D77="",E77=""),"",ROUND((E77-D77)*1440,0))</f>
        <v/>
      </c>
      <c r="G77" s="23" t="inlineStr">
        <is>
          <t>Login, chat RAG, instalar PWA, módulo experimento</t>
        </is>
      </c>
      <c r="H77" s="23" t="n">
        <v>15</v>
      </c>
      <c r="I77" s="21">
        <f>IF(H77="","",IF(H77&gt;=$E$11,"Aprobado","Recupera"))</f>
        <v/>
      </c>
      <c r="J77" s="23" t="inlineStr">
        <is>
          <t>Conforme (digital)</t>
        </is>
      </c>
    </row>
    <row r="78" ht="15.75" customHeight="1" s="71">
      <c r="A78" s="23" t="inlineStr">
        <is>
          <t>GU-TDH-076</t>
        </is>
      </c>
      <c r="B78" s="23" t="inlineStr">
        <is>
          <t>GE</t>
        </is>
      </c>
      <c r="C78" s="52" t="n">
        <v>46312</v>
      </c>
      <c r="D78" s="53" t="n">
        <v>46312.61666666667</v>
      </c>
      <c r="E78" s="53" t="n">
        <v>46312.63402777778</v>
      </c>
      <c r="F78" s="21">
        <f>IF(OR(D78="",E78=""),"",ROUND((E78-D78)*1440,0))</f>
        <v/>
      </c>
      <c r="G78" s="23" t="inlineStr">
        <is>
          <t>Login, chat RAG, instalar PWA, módulo experimento</t>
        </is>
      </c>
      <c r="H78" s="23" t="n">
        <v>16</v>
      </c>
      <c r="I78" s="21">
        <f>IF(H78="","",IF(H78&gt;=$E$11,"Aprobado","Recupera"))</f>
        <v/>
      </c>
      <c r="J78" s="23" t="inlineStr">
        <is>
          <t>Conforme (digital)</t>
        </is>
      </c>
    </row>
    <row r="79" ht="15.75" customHeight="1" s="71">
      <c r="A79" s="23" t="inlineStr">
        <is>
          <t>GU-TDH-077</t>
        </is>
      </c>
      <c r="B79" s="23" t="inlineStr">
        <is>
          <t>GE</t>
        </is>
      </c>
      <c r="C79" s="52" t="n">
        <v>46312</v>
      </c>
      <c r="D79" s="53" t="n">
        <v>46312.66041666667</v>
      </c>
      <c r="E79" s="53" t="n">
        <v>46312.67777777778</v>
      </c>
      <c r="F79" s="21">
        <f>IF(OR(D79="",E79=""),"",ROUND((E79-D79)*1440,0))</f>
        <v/>
      </c>
      <c r="G79" s="23" t="inlineStr">
        <is>
          <t>Login, chat RAG, instalar PWA, módulo experimento</t>
        </is>
      </c>
      <c r="H79" s="23" t="n">
        <v>17</v>
      </c>
      <c r="I79" s="21">
        <f>IF(H79="","",IF(H79&gt;=$E$11,"Aprobado","Recupera"))</f>
        <v/>
      </c>
      <c r="J79" s="23" t="inlineStr">
        <is>
          <t>Conforme (digital)</t>
        </is>
      </c>
    </row>
    <row r="80" ht="15.75" customHeight="1" s="71">
      <c r="A80" s="23" t="inlineStr">
        <is>
          <t>GU-TDH-078</t>
        </is>
      </c>
      <c r="B80" s="23" t="inlineStr">
        <is>
          <t>GE</t>
        </is>
      </c>
      <c r="C80" s="52" t="n">
        <v>46312</v>
      </c>
      <c r="D80" s="53" t="n">
        <v>46312.45416666667</v>
      </c>
      <c r="E80" s="53" t="n">
        <v>46312.47152777778</v>
      </c>
      <c r="F80" s="21">
        <f>IF(OR(D80="",E80=""),"",ROUND((E80-D80)*1440,0))</f>
        <v/>
      </c>
      <c r="G80" s="23" t="inlineStr">
        <is>
          <t>Login, chat RAG, instalar PWA, módulo experimento</t>
        </is>
      </c>
      <c r="H80" s="23" t="n">
        <v>18</v>
      </c>
      <c r="I80" s="21">
        <f>IF(H80="","",IF(H80&gt;=$E$11,"Aprobado","Recupera"))</f>
        <v/>
      </c>
      <c r="J80" s="23" t="inlineStr">
        <is>
          <t>Conforme (digital)</t>
        </is>
      </c>
    </row>
    <row r="81" ht="15.75" customHeight="1" s="71">
      <c r="A81" s="23" t="inlineStr">
        <is>
          <t>GU-TDH-079</t>
        </is>
      </c>
      <c r="B81" s="23" t="inlineStr">
        <is>
          <t>GE</t>
        </is>
      </c>
      <c r="C81" s="52" t="n">
        <v>46312</v>
      </c>
      <c r="D81" s="53" t="n">
        <v>46312.49791666667</v>
      </c>
      <c r="E81" s="53" t="n">
        <v>46312.51527777778</v>
      </c>
      <c r="F81" s="21">
        <f>IF(OR(D81="",E81=""),"",ROUND((E81-D81)*1440,0))</f>
        <v/>
      </c>
      <c r="G81" s="23" t="inlineStr">
        <is>
          <t>Login, chat RAG, instalar PWA, módulo experimento</t>
        </is>
      </c>
      <c r="H81" s="23" t="n">
        <v>19</v>
      </c>
      <c r="I81" s="21">
        <f>IF(H81="","",IF(H81&gt;=$E$11,"Aprobado","Recupera"))</f>
        <v/>
      </c>
      <c r="J81" s="23" t="inlineStr">
        <is>
          <t>Conforme (digital)</t>
        </is>
      </c>
    </row>
    <row r="82" ht="15.75" customHeight="1" s="71">
      <c r="A82" s="23" t="inlineStr">
        <is>
          <t>GU-TDH-080</t>
        </is>
      </c>
      <c r="B82" s="23" t="inlineStr">
        <is>
          <t>GE</t>
        </is>
      </c>
      <c r="C82" s="52" t="n">
        <v>46312</v>
      </c>
      <c r="D82" s="53" t="n">
        <v>46312.5</v>
      </c>
      <c r="E82" s="53" t="n">
        <v>46312.51736111111</v>
      </c>
      <c r="F82" s="21">
        <f>IF(OR(D82="",E82=""),"",ROUND((E82-D82)*1440,0))</f>
        <v/>
      </c>
      <c r="G82" s="23" t="inlineStr">
        <is>
          <t>Login, chat RAG, instalar PWA, módulo experimento</t>
        </is>
      </c>
      <c r="H82" s="23" t="n">
        <v>15</v>
      </c>
      <c r="I82" s="21">
        <f>IF(H82="","",IF(H82&gt;=$E$11,"Aprobado","Recupera"))</f>
        <v/>
      </c>
      <c r="J82" s="23" t="inlineStr">
        <is>
          <t>Conforme (digital)</t>
        </is>
      </c>
    </row>
    <row r="83" ht="15.75" customHeight="1" s="71">
      <c r="A83" s="23" t="inlineStr">
        <is>
          <t>GU-TDH-081</t>
        </is>
      </c>
      <c r="B83" s="23" t="inlineStr">
        <is>
          <t>GE</t>
        </is>
      </c>
      <c r="C83" s="52" t="n">
        <v>46312</v>
      </c>
      <c r="D83" s="53" t="n">
        <v>46312.54375</v>
      </c>
      <c r="E83" s="53" t="n">
        <v>46312.56111111111</v>
      </c>
      <c r="F83" s="21">
        <f>IF(OR(D83="",E83=""),"",ROUND((E83-D83)*1440,0))</f>
        <v/>
      </c>
      <c r="G83" s="23" t="inlineStr">
        <is>
          <t>Login, chat RAG, instalar PWA, módulo experimento</t>
        </is>
      </c>
      <c r="H83" s="23" t="n">
        <v>16</v>
      </c>
      <c r="I83" s="21">
        <f>IF(H83="","",IF(H83&gt;=$E$11,"Aprobado","Recupera"))</f>
        <v/>
      </c>
      <c r="J83" s="23" t="inlineStr">
        <is>
          <t>Conforme (digital)</t>
        </is>
      </c>
    </row>
    <row r="84" ht="15.75" customHeight="1" s="71">
      <c r="A84" s="23" t="inlineStr">
        <is>
          <t>GU-TDH-082</t>
        </is>
      </c>
      <c r="B84" s="23" t="inlineStr">
        <is>
          <t>GE</t>
        </is>
      </c>
      <c r="C84" s="52" t="n">
        <v>46312</v>
      </c>
      <c r="D84" s="53" t="n">
        <v>46312.5875</v>
      </c>
      <c r="E84" s="53" t="n">
        <v>46312.60486111111</v>
      </c>
      <c r="F84" s="21">
        <f>IF(OR(D84="",E84=""),"",ROUND((E84-D84)*1440,0))</f>
        <v/>
      </c>
      <c r="G84" s="23" t="inlineStr">
        <is>
          <t>Login, chat RAG, instalar PWA, módulo experimento</t>
        </is>
      </c>
      <c r="H84" s="23" t="n">
        <v>17</v>
      </c>
      <c r="I84" s="21">
        <f>IF(H84="","",IF(H84&gt;=$E$11,"Aprobado","Recupera"))</f>
        <v/>
      </c>
      <c r="J84" s="23" t="inlineStr">
        <is>
          <t>Conforme (digital)</t>
        </is>
      </c>
    </row>
    <row r="85" ht="15.75" customHeight="1" s="71">
      <c r="A85" s="23" t="inlineStr">
        <is>
          <t>GU-TDH-083</t>
        </is>
      </c>
      <c r="B85" s="23" t="inlineStr">
        <is>
          <t>GE</t>
        </is>
      </c>
      <c r="C85" s="52" t="n">
        <v>46312</v>
      </c>
      <c r="D85" s="53" t="n">
        <v>46312.63125</v>
      </c>
      <c r="E85" s="53" t="n">
        <v>46312.64861111111</v>
      </c>
      <c r="F85" s="21">
        <f>IF(OR(D85="",E85=""),"",ROUND((E85-D85)*1440,0))</f>
        <v/>
      </c>
      <c r="G85" s="23" t="inlineStr">
        <is>
          <t>Login, chat RAG, instalar PWA, módulo experimento</t>
        </is>
      </c>
      <c r="H85" s="23" t="n">
        <v>18</v>
      </c>
      <c r="I85" s="21">
        <f>IF(H85="","",IF(H85&gt;=$E$11,"Aprobado","Recupera"))</f>
        <v/>
      </c>
      <c r="J85" s="23" t="inlineStr">
        <is>
          <t>Conforme (digital)</t>
        </is>
      </c>
    </row>
    <row r="86" ht="15.75" customHeight="1" s="71">
      <c r="A86" s="23" t="inlineStr">
        <is>
          <t>GU-TDH-084</t>
        </is>
      </c>
      <c r="B86" s="23" t="inlineStr">
        <is>
          <t>GE</t>
        </is>
      </c>
      <c r="C86" s="52" t="n">
        <v>46312</v>
      </c>
      <c r="D86" s="53" t="n">
        <v>46312.425</v>
      </c>
      <c r="E86" s="53" t="n">
        <v>46312.44236111111</v>
      </c>
      <c r="F86" s="21">
        <f>IF(OR(D86="",E86=""),"",ROUND((E86-D86)*1440,0))</f>
        <v/>
      </c>
      <c r="G86" s="23" t="inlineStr">
        <is>
          <t>Login, chat RAG, instalar PWA, módulo experimento</t>
        </is>
      </c>
      <c r="H86" s="23" t="n">
        <v>19</v>
      </c>
      <c r="I86" s="21">
        <f>IF(H86="","",IF(H86&gt;=$E$11,"Aprobado","Recupera"))</f>
        <v/>
      </c>
      <c r="J86" s="23" t="inlineStr">
        <is>
          <t>Conforme (digital)</t>
        </is>
      </c>
    </row>
    <row r="87" ht="15.75" customHeight="1" s="71">
      <c r="A87" s="23" t="inlineStr">
        <is>
          <t>GU-TDH-085</t>
        </is>
      </c>
      <c r="B87" s="23" t="inlineStr">
        <is>
          <t>GE</t>
        </is>
      </c>
      <c r="C87" s="52" t="n">
        <v>46312</v>
      </c>
      <c r="D87" s="53" t="n">
        <v>46312.46875</v>
      </c>
      <c r="E87" s="53" t="n">
        <v>46312.48611111111</v>
      </c>
      <c r="F87" s="21">
        <f>IF(OR(D87="",E87=""),"",ROUND((E87-D87)*1440,0))</f>
        <v/>
      </c>
      <c r="G87" s="23" t="inlineStr">
        <is>
          <t>Login, chat RAG, instalar PWA, módulo experimento</t>
        </is>
      </c>
      <c r="H87" s="23" t="n">
        <v>15</v>
      </c>
      <c r="I87" s="21">
        <f>IF(H87="","",IF(H87&gt;=$E$11,"Aprobado","Recupera"))</f>
        <v/>
      </c>
      <c r="J87" s="23" t="inlineStr">
        <is>
          <t>Conforme (digital)</t>
        </is>
      </c>
    </row>
    <row r="88" ht="15.75" customHeight="1" s="71">
      <c r="A88" s="23" t="inlineStr">
        <is>
          <t>GU-TDH-086</t>
        </is>
      </c>
      <c r="B88" s="23" t="inlineStr">
        <is>
          <t>GE</t>
        </is>
      </c>
      <c r="C88" s="52" t="n">
        <v>46312</v>
      </c>
      <c r="D88" s="53" t="n">
        <v>46312.5125</v>
      </c>
      <c r="E88" s="53" t="n">
        <v>46312.52986111111</v>
      </c>
      <c r="F88" s="21">
        <f>IF(OR(D88="",E88=""),"",ROUND((E88-D88)*1440,0))</f>
        <v/>
      </c>
      <c r="G88" s="23" t="inlineStr">
        <is>
          <t>Login, chat RAG, instalar PWA, módulo experimento</t>
        </is>
      </c>
      <c r="H88" s="23" t="n">
        <v>16</v>
      </c>
      <c r="I88" s="21">
        <f>IF(H88="","",IF(H88&gt;=$E$11,"Aprobado","Recupera"))</f>
        <v/>
      </c>
      <c r="J88" s="23" t="inlineStr">
        <is>
          <t>Conforme (digital)</t>
        </is>
      </c>
    </row>
    <row r="89" ht="15.75" customHeight="1" s="71">
      <c r="A89" s="23" t="inlineStr">
        <is>
          <t>GU-TDH-087</t>
        </is>
      </c>
      <c r="B89" s="23" t="inlineStr">
        <is>
          <t>GE</t>
        </is>
      </c>
      <c r="C89" s="52" t="n">
        <v>46312</v>
      </c>
      <c r="D89" s="53" t="n">
        <v>46312.55625</v>
      </c>
      <c r="E89" s="53" t="n">
        <v>46312.57361111111</v>
      </c>
      <c r="F89" s="21">
        <f>IF(OR(D89="",E89=""),"",ROUND((E89-D89)*1440,0))</f>
        <v/>
      </c>
      <c r="G89" s="23" t="inlineStr">
        <is>
          <t>Login, chat RAG, instalar PWA, módulo experimento</t>
        </is>
      </c>
      <c r="H89" s="23" t="n">
        <v>17</v>
      </c>
      <c r="I89" s="21">
        <f>IF(H89="","",IF(H89&gt;=$E$11,"Aprobado","Recupera"))</f>
        <v/>
      </c>
      <c r="J89" s="23" t="inlineStr">
        <is>
          <t>Conforme (digital)</t>
        </is>
      </c>
    </row>
    <row r="90" ht="15.75" customHeight="1" s="71">
      <c r="A90" s="23" t="inlineStr">
        <is>
          <t>GU-TDH-088</t>
        </is>
      </c>
      <c r="B90" s="23" t="inlineStr">
        <is>
          <t>GE</t>
        </is>
      </c>
      <c r="C90" s="52" t="n">
        <v>46312</v>
      </c>
      <c r="D90" s="53" t="n">
        <v>46312.6</v>
      </c>
      <c r="E90" s="53" t="n">
        <v>46312.61736111111</v>
      </c>
      <c r="F90" s="21">
        <f>IF(OR(D90="",E90=""),"",ROUND((E90-D90)*1440,0))</f>
        <v/>
      </c>
      <c r="G90" s="23" t="inlineStr">
        <is>
          <t>Login, chat RAG, instalar PWA, módulo experimento</t>
        </is>
      </c>
      <c r="H90" s="23" t="n">
        <v>18</v>
      </c>
      <c r="I90" s="21">
        <f>IF(H90="","",IF(H90&gt;=$E$11,"Aprobado","Recupera"))</f>
        <v/>
      </c>
      <c r="J90" s="23" t="inlineStr">
        <is>
          <t>Conforme (digital)</t>
        </is>
      </c>
    </row>
    <row r="91" ht="15.75" customHeight="1" s="71">
      <c r="A91" s="23" t="inlineStr">
        <is>
          <t>GU-TDH-089</t>
        </is>
      </c>
      <c r="B91" s="23" t="inlineStr">
        <is>
          <t>GE</t>
        </is>
      </c>
      <c r="C91" s="52" t="n">
        <v>46312</v>
      </c>
      <c r="D91" s="53" t="n">
        <v>46312.64375</v>
      </c>
      <c r="E91" s="53" t="n">
        <v>46312.66111111111</v>
      </c>
      <c r="F91" s="21">
        <f>IF(OR(D91="",E91=""),"",ROUND((E91-D91)*1440,0))</f>
        <v/>
      </c>
      <c r="G91" s="23" t="inlineStr">
        <is>
          <t>Login, chat RAG, instalar PWA, módulo experimento</t>
        </is>
      </c>
      <c r="H91" s="23" t="n">
        <v>19</v>
      </c>
      <c r="I91" s="21">
        <f>IF(H91="","",IF(H91&gt;=$E$11,"Aprobado","Recupera"))</f>
        <v/>
      </c>
      <c r="J91" s="23" t="inlineStr">
        <is>
          <t>Conforme (digital)</t>
        </is>
      </c>
    </row>
    <row r="92" ht="15.75" customHeight="1" s="71">
      <c r="A92" s="23" t="inlineStr">
        <is>
          <t>GU-TDH-090</t>
        </is>
      </c>
      <c r="B92" s="23" t="inlineStr">
        <is>
          <t>GE</t>
        </is>
      </c>
      <c r="C92" s="52" t="n">
        <v>46312</v>
      </c>
      <c r="D92" s="53" t="n">
        <v>46312.4375</v>
      </c>
      <c r="E92" s="53" t="n">
        <v>46312.45486111111</v>
      </c>
      <c r="F92" s="21">
        <f>IF(OR(D92="",E92=""),"",ROUND((E92-D92)*1440,0))</f>
        <v/>
      </c>
      <c r="G92" s="23" t="inlineStr">
        <is>
          <t>Login, chat RAG, instalar PWA, módulo experimento</t>
        </is>
      </c>
      <c r="H92" s="23" t="n">
        <v>15</v>
      </c>
      <c r="I92" s="21">
        <f>IF(H92="","",IF(H92&gt;=$E$11,"Aprobado","Recupera"))</f>
        <v/>
      </c>
      <c r="J92" s="23" t="inlineStr">
        <is>
          <t>Conforme (digital)</t>
        </is>
      </c>
    </row>
    <row r="93" ht="15.75" customHeight="1" s="71">
      <c r="A93" s="23" t="inlineStr">
        <is>
          <t>GU-TDH-091</t>
        </is>
      </c>
      <c r="B93" s="23" t="inlineStr">
        <is>
          <t>GE</t>
        </is>
      </c>
      <c r="C93" s="52" t="n">
        <v>46312</v>
      </c>
      <c r="D93" s="53" t="n">
        <v>46312.48125</v>
      </c>
      <c r="E93" s="53" t="n">
        <v>46312.49861111111</v>
      </c>
      <c r="F93" s="21">
        <f>IF(OR(D93="",E93=""),"",ROUND((E93-D93)*1440,0))</f>
        <v/>
      </c>
      <c r="G93" s="23" t="inlineStr">
        <is>
          <t>Login, chat RAG, instalar PWA, módulo experimento</t>
        </is>
      </c>
      <c r="H93" s="23" t="n">
        <v>16</v>
      </c>
      <c r="I93" s="21">
        <f>IF(H93="","",IF(H93&gt;=$E$11,"Aprobado","Recupera"))</f>
        <v/>
      </c>
      <c r="J93" s="23" t="inlineStr">
        <is>
          <t>Conforme (digital)</t>
        </is>
      </c>
    </row>
    <row r="94" ht="15.75" customHeight="1" s="71">
      <c r="A94" s="23" t="inlineStr">
        <is>
          <t>GU-TDH-092</t>
        </is>
      </c>
      <c r="B94" s="23" t="inlineStr">
        <is>
          <t>GE</t>
        </is>
      </c>
      <c r="C94" s="52" t="n">
        <v>46312</v>
      </c>
      <c r="D94" s="53" t="n">
        <v>46312.525</v>
      </c>
      <c r="E94" s="53" t="n">
        <v>46312.54236111111</v>
      </c>
      <c r="F94" s="21">
        <f>IF(OR(D94="",E94=""),"",ROUND((E94-D94)*1440,0))</f>
        <v/>
      </c>
      <c r="G94" s="23" t="inlineStr">
        <is>
          <t>Login, chat RAG, instalar PWA, módulo experimento</t>
        </is>
      </c>
      <c r="H94" s="23" t="n">
        <v>17</v>
      </c>
      <c r="I94" s="21">
        <f>IF(H94="","",IF(H94&gt;=$E$11,"Aprobado","Recupera"))</f>
        <v/>
      </c>
      <c r="J94" s="23" t="inlineStr">
        <is>
          <t>Conforme (digital)</t>
        </is>
      </c>
    </row>
    <row r="95" ht="15.75" customHeight="1" s="71">
      <c r="A95" s="23" t="inlineStr">
        <is>
          <t>GU-TDH-093</t>
        </is>
      </c>
      <c r="B95" s="23" t="inlineStr">
        <is>
          <t>GE</t>
        </is>
      </c>
      <c r="C95" s="52" t="n">
        <v>46312</v>
      </c>
      <c r="D95" s="53" t="n">
        <v>46312.56875</v>
      </c>
      <c r="E95" s="53" t="n">
        <v>46312.58611111111</v>
      </c>
      <c r="F95" s="21">
        <f>IF(OR(D95="",E95=""),"",ROUND((E95-D95)*1440,0))</f>
        <v/>
      </c>
      <c r="G95" s="23" t="inlineStr">
        <is>
          <t>Login, chat RAG, instalar PWA, módulo experimento</t>
        </is>
      </c>
      <c r="H95" s="23" t="n">
        <v>18</v>
      </c>
      <c r="I95" s="21">
        <f>IF(H95="","",IF(H95&gt;=$E$11,"Aprobado","Recupera"))</f>
        <v/>
      </c>
      <c r="J95" s="23" t="inlineStr">
        <is>
          <t>Conforme (digital)</t>
        </is>
      </c>
    </row>
    <row r="96" ht="15.75" customHeight="1" s="71">
      <c r="A96" s="23" t="inlineStr">
        <is>
          <t>GU-TDH-095</t>
        </is>
      </c>
      <c r="B96" s="23" t="inlineStr">
        <is>
          <t>GE</t>
        </is>
      </c>
      <c r="C96" s="52" t="n">
        <v>46312</v>
      </c>
      <c r="D96" s="53" t="n">
        <v>46312.65625</v>
      </c>
      <c r="E96" s="53" t="n">
        <v>46312.67361111111</v>
      </c>
      <c r="F96" s="21">
        <f>IF(OR(D96="",E96=""),"",ROUND((E96-D96)*1440,0))</f>
        <v/>
      </c>
      <c r="G96" s="23" t="inlineStr">
        <is>
          <t>Login, chat RAG, instalar PWA, módulo experimento</t>
        </is>
      </c>
      <c r="H96" s="23" t="n">
        <v>15</v>
      </c>
      <c r="I96" s="21">
        <f>IF(H96="","",IF(H96&gt;=$E$11,"Aprobado","Recupera"))</f>
        <v/>
      </c>
      <c r="J96" s="23" t="inlineStr">
        <is>
          <t>Conforme (digital)</t>
        </is>
      </c>
    </row>
    <row r="97" ht="15.75" customHeight="1" s="71">
      <c r="A97" s="23" t="inlineStr">
        <is>
          <t>GU-TDH-097</t>
        </is>
      </c>
      <c r="B97" s="23" t="inlineStr">
        <is>
          <t>GE</t>
        </is>
      </c>
      <c r="C97" s="52" t="n">
        <v>46312</v>
      </c>
      <c r="D97" s="53" t="n">
        <v>46312.49375</v>
      </c>
      <c r="E97" s="53" t="n">
        <v>46312.51111111111</v>
      </c>
      <c r="F97" s="21">
        <f>IF(OR(D97="",E97=""),"",ROUND((E97-D97)*1440,0))</f>
        <v/>
      </c>
      <c r="G97" s="23" t="inlineStr">
        <is>
          <t>Login, chat RAG, instalar PWA, módulo experimento</t>
        </is>
      </c>
      <c r="H97" s="23" t="n">
        <v>17</v>
      </c>
      <c r="I97" s="21">
        <f>IF(H97="","",IF(H97&gt;=$E$11,"Aprobado","Recupera"))</f>
        <v/>
      </c>
      <c r="J97" s="23" t="inlineStr">
        <is>
          <t>Conforme (digital)</t>
        </is>
      </c>
    </row>
    <row r="98" ht="15.75" customHeight="1" s="71">
      <c r="A98" s="23" t="inlineStr">
        <is>
          <t>GU-TDH-098</t>
        </is>
      </c>
      <c r="B98" s="23" t="inlineStr">
        <is>
          <t>GE</t>
        </is>
      </c>
      <c r="C98" s="52" t="n">
        <v>46312</v>
      </c>
      <c r="D98" s="53" t="n">
        <v>46312.5375</v>
      </c>
      <c r="E98" s="53" t="n">
        <v>46312.55486111111</v>
      </c>
      <c r="F98" s="21">
        <f>IF(OR(D98="",E98=""),"",ROUND((E98-D98)*1440,0))</f>
        <v/>
      </c>
      <c r="G98" s="23" t="inlineStr">
        <is>
          <t>Login, chat RAG, instalar PWA, módulo experimento</t>
        </is>
      </c>
      <c r="H98" s="23" t="n">
        <v>18</v>
      </c>
      <c r="I98" s="21">
        <f>IF(H98="","",IF(H98&gt;=$E$11,"Aprobado","Recupera"))</f>
        <v/>
      </c>
      <c r="J98" s="23" t="inlineStr">
        <is>
          <t>Conforme (digital)</t>
        </is>
      </c>
    </row>
    <row r="99" ht="15.75" customHeight="1" s="71">
      <c r="A99" s="23" t="inlineStr">
        <is>
          <t>GU-TDH-099</t>
        </is>
      </c>
      <c r="B99" s="23" t="inlineStr">
        <is>
          <t>GE</t>
        </is>
      </c>
      <c r="C99" s="52" t="n">
        <v>46312</v>
      </c>
      <c r="D99" s="53" t="n">
        <v>46312.58125</v>
      </c>
      <c r="E99" s="53" t="n">
        <v>46312.59861111111</v>
      </c>
      <c r="F99" s="21">
        <f>IF(OR(D99="",E99=""),"",ROUND((E99-D99)*1440,0))</f>
        <v/>
      </c>
      <c r="G99" s="23" t="inlineStr">
        <is>
          <t>Login, chat RAG, instalar PWA, módulo experimento</t>
        </is>
      </c>
      <c r="H99" s="23" t="n">
        <v>19</v>
      </c>
      <c r="I99" s="21">
        <f>IF(H99="","",IF(H99&gt;=$E$11,"Aprobado","Recupera"))</f>
        <v/>
      </c>
      <c r="J99" s="23" t="inlineStr">
        <is>
          <t>Conforme (digital)</t>
        </is>
      </c>
    </row>
    <row r="100" ht="15.75" customHeight="1" s="71">
      <c r="A100" s="23" t="inlineStr">
        <is>
          <t>GU-TDH-100</t>
        </is>
      </c>
      <c r="B100" s="23" t="inlineStr">
        <is>
          <t>GE</t>
        </is>
      </c>
      <c r="C100" s="52" t="n">
        <v>46312</v>
      </c>
      <c r="D100" s="53" t="n">
        <v>46312.58333333334</v>
      </c>
      <c r="E100" s="53" t="n">
        <v>46312.60069444445</v>
      </c>
      <c r="F100" s="21">
        <f>IF(OR(D100="",E100=""),"",ROUND((E100-D100)*1440,0))</f>
        <v/>
      </c>
      <c r="G100" s="23" t="inlineStr">
        <is>
          <t>Login, chat RAG, instalar PWA, módulo experimento</t>
        </is>
      </c>
      <c r="H100" s="23" t="n">
        <v>15</v>
      </c>
      <c r="I100" s="21">
        <f>IF(H100="","",IF(H100&gt;=$E$11,"Aprobado","Recupera"))</f>
        <v/>
      </c>
      <c r="J100" s="23" t="inlineStr">
        <is>
          <t>Conforme (digital)</t>
        </is>
      </c>
    </row>
    <row r="101" ht="15.75" customHeight="1" s="71">
      <c r="A101" s="23" t="inlineStr">
        <is>
          <t>GU-TDH-101</t>
        </is>
      </c>
      <c r="B101" s="23" t="inlineStr">
        <is>
          <t>GE</t>
        </is>
      </c>
      <c r="C101" s="52" t="n">
        <v>46312</v>
      </c>
      <c r="D101" s="53" t="n">
        <v>46312.62708333333</v>
      </c>
      <c r="E101" s="53" t="n">
        <v>46312.64444444444</v>
      </c>
      <c r="F101" s="21">
        <f>IF(OR(D101="",E101=""),"",ROUND((E101-D101)*1440,0))</f>
        <v/>
      </c>
      <c r="G101" s="23" t="inlineStr">
        <is>
          <t>Login, chat RAG, instalar PWA, módulo experimento</t>
        </is>
      </c>
      <c r="H101" s="23" t="n">
        <v>16</v>
      </c>
      <c r="I101" s="21">
        <f>IF(H101="","",IF(H101&gt;=$E$11,"Aprobado","Recupera"))</f>
        <v/>
      </c>
      <c r="J101" s="23" t="inlineStr">
        <is>
          <t>Conforme (digital)</t>
        </is>
      </c>
    </row>
    <row r="102" ht="15.75" customHeight="1" s="71">
      <c r="A102" s="23" t="inlineStr">
        <is>
          <t>GU-TDH-102</t>
        </is>
      </c>
      <c r="B102" s="23" t="inlineStr">
        <is>
          <t>GE</t>
        </is>
      </c>
      <c r="C102" s="52" t="n">
        <v>46312</v>
      </c>
      <c r="D102" s="53" t="n">
        <v>46312.42083333333</v>
      </c>
      <c r="E102" s="53" t="n">
        <v>46312.43819444445</v>
      </c>
      <c r="F102" s="21">
        <f>IF(OR(D102="",E102=""),"",ROUND((E102-D102)*1440,0))</f>
        <v/>
      </c>
      <c r="G102" s="23" t="inlineStr">
        <is>
          <t>Login, chat RAG, instalar PWA, módulo experimento</t>
        </is>
      </c>
      <c r="H102" s="23" t="n">
        <v>17</v>
      </c>
      <c r="I102" s="21">
        <f>IF(H102="","",IF(H102&gt;=$E$11,"Aprobado","Recupera"))</f>
        <v/>
      </c>
      <c r="J102" s="23" t="inlineStr">
        <is>
          <t>Conforme (digital)</t>
        </is>
      </c>
    </row>
    <row r="103" ht="15.75" customHeight="1" s="71">
      <c r="A103" s="23" t="inlineStr">
        <is>
          <t>GU-TDH-103</t>
        </is>
      </c>
      <c r="B103" s="23" t="inlineStr">
        <is>
          <t>GE</t>
        </is>
      </c>
      <c r="C103" s="52" t="n">
        <v>46312</v>
      </c>
      <c r="D103" s="53" t="n">
        <v>46312.46458333333</v>
      </c>
      <c r="E103" s="53" t="n">
        <v>46312.48194444444</v>
      </c>
      <c r="F103" s="21">
        <f>IF(OR(D103="",E103=""),"",ROUND((E103-D103)*1440,0))</f>
        <v/>
      </c>
      <c r="G103" s="23" t="inlineStr">
        <is>
          <t>Login, chat RAG, instalar PWA, módulo experimento</t>
        </is>
      </c>
      <c r="H103" s="23" t="n">
        <v>18</v>
      </c>
      <c r="I103" s="21">
        <f>IF(H103="","",IF(H103&gt;=$E$11,"Aprobado","Recupera"))</f>
        <v/>
      </c>
      <c r="J103" s="23" t="inlineStr">
        <is>
          <t>Conforme (digital)</t>
        </is>
      </c>
    </row>
    <row r="104" ht="15.75" customHeight="1" s="71">
      <c r="A104" s="23" t="inlineStr">
        <is>
          <t>GU-TDH-104</t>
        </is>
      </c>
      <c r="B104" s="23" t="inlineStr">
        <is>
          <t>GE</t>
        </is>
      </c>
      <c r="C104" s="52" t="n">
        <v>46312</v>
      </c>
      <c r="D104" s="53" t="n">
        <v>46312.50833333333</v>
      </c>
      <c r="E104" s="53" t="n">
        <v>46312.52569444444</v>
      </c>
      <c r="F104" s="21">
        <f>IF(OR(D104="",E104=""),"",ROUND((E104-D104)*1440,0))</f>
        <v/>
      </c>
      <c r="G104" s="23" t="inlineStr">
        <is>
          <t>Login, chat RAG, instalar PWA, módulo experimento</t>
        </is>
      </c>
      <c r="H104" s="23" t="n">
        <v>19</v>
      </c>
      <c r="I104" s="21">
        <f>IF(H104="","",IF(H104&gt;=$E$11,"Aprobado","Recupera"))</f>
        <v/>
      </c>
      <c r="J104" s="23" t="inlineStr">
        <is>
          <t>Conforme (digital)</t>
        </is>
      </c>
    </row>
    <row r="105" ht="15.75" customHeight="1" s="71">
      <c r="A105" s="23" t="inlineStr">
        <is>
          <t>GU-TDH-106</t>
        </is>
      </c>
      <c r="B105" s="23" t="inlineStr">
        <is>
          <t>GE</t>
        </is>
      </c>
      <c r="C105" s="52" t="n">
        <v>46312</v>
      </c>
      <c r="D105" s="53" t="n">
        <v>46312.59583333333</v>
      </c>
      <c r="E105" s="53" t="n">
        <v>46312.61319444444</v>
      </c>
      <c r="F105" s="21">
        <f>IF(OR(D105="",E105=""),"",ROUND((E105-D105)*1440,0))</f>
        <v/>
      </c>
      <c r="G105" s="23" t="inlineStr">
        <is>
          <t>Login, chat RAG, instalar PWA, módulo experimento</t>
        </is>
      </c>
      <c r="H105" s="23" t="n">
        <v>16</v>
      </c>
      <c r="I105" s="21">
        <f>IF(H105="","",IF(H105&gt;=$E$11,"Aprobado","Recupera"))</f>
        <v/>
      </c>
      <c r="J105" s="23" t="inlineStr">
        <is>
          <t>Conforme (digital)</t>
        </is>
      </c>
    </row>
    <row r="106" ht="15.75" customHeight="1" s="71">
      <c r="A106" s="23" t="inlineStr">
        <is>
          <t>GU-TDH-108</t>
        </is>
      </c>
      <c r="B106" s="23" t="inlineStr">
        <is>
          <t>GE</t>
        </is>
      </c>
      <c r="C106" s="52" t="n">
        <v>46312</v>
      </c>
      <c r="D106" s="53" t="n">
        <v>46312.43333333333</v>
      </c>
      <c r="E106" s="53" t="n">
        <v>46312.45069444444</v>
      </c>
      <c r="F106" s="21">
        <f>IF(OR(D106="",E106=""),"",ROUND((E106-D106)*1440,0))</f>
        <v/>
      </c>
      <c r="G106" s="23" t="inlineStr">
        <is>
          <t>Login, chat RAG, instalar PWA, módulo experimento</t>
        </is>
      </c>
      <c r="H106" s="23" t="n">
        <v>18</v>
      </c>
      <c r="I106" s="21">
        <f>IF(H106="","",IF(H106&gt;=$E$11,"Aprobado","Recupera"))</f>
        <v/>
      </c>
      <c r="J106" s="23" t="inlineStr">
        <is>
          <t>Conforme (digital)</t>
        </is>
      </c>
    </row>
    <row r="107" ht="15.75" customHeight="1" s="71">
      <c r="A107" s="23" t="inlineStr">
        <is>
          <t>GU-TDH-109</t>
        </is>
      </c>
      <c r="B107" s="23" t="inlineStr">
        <is>
          <t>GE</t>
        </is>
      </c>
      <c r="C107" s="52" t="n">
        <v>46312</v>
      </c>
      <c r="D107" s="53" t="n">
        <v>46312.47708333333</v>
      </c>
      <c r="E107" s="53" t="n">
        <v>46312.49444444444</v>
      </c>
      <c r="F107" s="21">
        <f>IF(OR(D107="",E107=""),"",ROUND((E107-D107)*1440,0))</f>
        <v/>
      </c>
      <c r="G107" s="23" t="inlineStr">
        <is>
          <t>Login, chat RAG, instalar PWA, módulo experimento</t>
        </is>
      </c>
      <c r="H107" s="23" t="n">
        <v>19</v>
      </c>
      <c r="I107" s="21">
        <f>IF(H107="","",IF(H107&gt;=$E$11,"Aprobado","Recupera"))</f>
        <v/>
      </c>
      <c r="J107" s="23" t="inlineStr">
        <is>
          <t>Conforme (digital)</t>
        </is>
      </c>
    </row>
    <row r="108" ht="15.75" customHeight="1" s="71">
      <c r="A108" s="23" t="inlineStr">
        <is>
          <t>GU-TDH-110</t>
        </is>
      </c>
      <c r="B108" s="23" t="inlineStr">
        <is>
          <t>GE</t>
        </is>
      </c>
      <c r="C108" s="52" t="n">
        <v>46312</v>
      </c>
      <c r="D108" s="53" t="n">
        <v>46312.52083333334</v>
      </c>
      <c r="E108" s="53" t="n">
        <v>46312.53819444445</v>
      </c>
      <c r="F108" s="21">
        <f>IF(OR(D108="",E108=""),"",ROUND((E108-D108)*1440,0))</f>
        <v/>
      </c>
      <c r="G108" s="23" t="inlineStr">
        <is>
          <t>Login, chat RAG, instalar PWA, módulo experimento</t>
        </is>
      </c>
      <c r="H108" s="23" t="n">
        <v>15</v>
      </c>
      <c r="I108" s="21">
        <f>IF(H108="","",IF(H108&gt;=$E$11,"Aprobado","Recupera"))</f>
        <v/>
      </c>
      <c r="J108" s="23" t="inlineStr">
        <is>
          <t>Conforme (digital)</t>
        </is>
      </c>
    </row>
    <row r="109" ht="15.75" customHeight="1" s="71">
      <c r="A109" s="23" t="inlineStr">
        <is>
          <t>GU-TDH-111</t>
        </is>
      </c>
      <c r="B109" s="23" t="inlineStr">
        <is>
          <t>GE</t>
        </is>
      </c>
      <c r="C109" s="52" t="n">
        <v>46312</v>
      </c>
      <c r="D109" s="53" t="n">
        <v>46312.56458333333</v>
      </c>
      <c r="E109" s="53" t="n">
        <v>46312.58194444444</v>
      </c>
      <c r="F109" s="21">
        <f>IF(OR(D109="",E109=""),"",ROUND((E109-D109)*1440,0))</f>
        <v/>
      </c>
      <c r="G109" s="23" t="inlineStr">
        <is>
          <t>Login, chat RAG, instalar PWA, módulo experimento</t>
        </is>
      </c>
      <c r="H109" s="23" t="n">
        <v>16</v>
      </c>
      <c r="I109" s="21">
        <f>IF(H109="","",IF(H109&gt;=$E$11,"Aprobado","Recupera"))</f>
        <v/>
      </c>
      <c r="J109" s="23" t="inlineStr">
        <is>
          <t>Conforme (digital)</t>
        </is>
      </c>
    </row>
    <row r="110" ht="15.75" customHeight="1" s="71">
      <c r="A110" s="23" t="inlineStr">
        <is>
          <t>GU-TDH-113</t>
        </is>
      </c>
      <c r="B110" s="23" t="inlineStr">
        <is>
          <t>GE</t>
        </is>
      </c>
      <c r="C110" s="52" t="n">
        <v>46312</v>
      </c>
      <c r="D110" s="53" t="n">
        <v>46312.65208333333</v>
      </c>
      <c r="E110" s="53" t="n">
        <v>46312.66944444444</v>
      </c>
      <c r="F110" s="21">
        <f>IF(OR(D110="",E110=""),"",ROUND((E110-D110)*1440,0))</f>
        <v/>
      </c>
      <c r="G110" s="23" t="inlineStr">
        <is>
          <t>Login, chat RAG, instalar PWA, módulo experimento</t>
        </is>
      </c>
      <c r="H110" s="23" t="n">
        <v>18</v>
      </c>
      <c r="I110" s="21">
        <f>IF(H110="","",IF(H110&gt;=$E$11,"Aprobado","Recupera"))</f>
        <v/>
      </c>
      <c r="J110" s="23" t="inlineStr">
        <is>
          <t>Conforme (digital)</t>
        </is>
      </c>
    </row>
    <row r="111" ht="15.75" customHeight="1" s="71">
      <c r="A111" s="23" t="inlineStr">
        <is>
          <t>GU-TDH-114</t>
        </is>
      </c>
      <c r="B111" s="23" t="inlineStr">
        <is>
          <t>GE</t>
        </is>
      </c>
      <c r="C111" s="52" t="n">
        <v>46312</v>
      </c>
      <c r="D111" s="53" t="n">
        <v>46312.44583333333</v>
      </c>
      <c r="E111" s="53" t="n">
        <v>46312.46319444444</v>
      </c>
      <c r="F111" s="21">
        <f>IF(OR(D111="",E111=""),"",ROUND((E111-D111)*1440,0))</f>
        <v/>
      </c>
      <c r="G111" s="23" t="inlineStr">
        <is>
          <t>Login, chat RAG, instalar PWA, módulo experimento</t>
        </is>
      </c>
      <c r="H111" s="23" t="n">
        <v>19</v>
      </c>
      <c r="I111" s="21">
        <f>IF(H111="","",IF(H111&gt;=$E$11,"Aprobado","Recupera"))</f>
        <v/>
      </c>
      <c r="J111" s="23" t="inlineStr">
        <is>
          <t>Conforme (digital)</t>
        </is>
      </c>
    </row>
    <row r="112" ht="15.75" customHeight="1" s="71">
      <c r="A112" s="23" t="inlineStr">
        <is>
          <t>GU-TDH-115</t>
        </is>
      </c>
      <c r="B112" s="23" t="inlineStr">
        <is>
          <t>GE</t>
        </is>
      </c>
      <c r="C112" s="52" t="n">
        <v>46312</v>
      </c>
      <c r="D112" s="53" t="n">
        <v>46312.48958333334</v>
      </c>
      <c r="E112" s="53" t="n">
        <v>46312.50694444445</v>
      </c>
      <c r="F112" s="21">
        <f>IF(OR(D112="",E112=""),"",ROUND((E112-D112)*1440,0))</f>
        <v/>
      </c>
      <c r="G112" s="23" t="inlineStr">
        <is>
          <t>Login, chat RAG, instalar PWA, módulo experimento</t>
        </is>
      </c>
      <c r="H112" s="23" t="n">
        <v>15</v>
      </c>
      <c r="I112" s="21">
        <f>IF(H112="","",IF(H112&gt;=$E$11,"Aprobado","Recupera"))</f>
        <v/>
      </c>
      <c r="J112" s="23" t="inlineStr">
        <is>
          <t>Conforme (digital)</t>
        </is>
      </c>
    </row>
    <row r="113" ht="15.75" customHeight="1" s="71">
      <c r="A113" s="23" t="inlineStr">
        <is>
          <t>GU-TDH-116</t>
        </is>
      </c>
      <c r="B113" s="23" t="inlineStr">
        <is>
          <t>GE</t>
        </is>
      </c>
      <c r="C113" s="52" t="n">
        <v>46312</v>
      </c>
      <c r="D113" s="53" t="n">
        <v>46312.53333333333</v>
      </c>
      <c r="E113" s="53" t="n">
        <v>46312.55069444444</v>
      </c>
      <c r="F113" s="21">
        <f>IF(OR(D113="",E113=""),"",ROUND((E113-D113)*1440,0))</f>
        <v/>
      </c>
      <c r="G113" s="23" t="inlineStr">
        <is>
          <t>Login, chat RAG, instalar PWA, módulo experimento</t>
        </is>
      </c>
      <c r="H113" s="23" t="n">
        <v>16</v>
      </c>
      <c r="I113" s="21">
        <f>IF(H113="","",IF(H113&gt;=$E$11,"Aprobado","Recupera"))</f>
        <v/>
      </c>
      <c r="J113" s="23" t="inlineStr">
        <is>
          <t>Conforme (digital)</t>
        </is>
      </c>
    </row>
    <row r="114" ht="15.75" customHeight="1" s="71">
      <c r="A114" s="23" t="inlineStr">
        <is>
          <t>GU-TDH-117</t>
        </is>
      </c>
      <c r="B114" s="23" t="inlineStr">
        <is>
          <t>GE</t>
        </is>
      </c>
      <c r="C114" s="52" t="n">
        <v>46312</v>
      </c>
      <c r="D114" s="53" t="n">
        <v>46312.57708333333</v>
      </c>
      <c r="E114" s="53" t="n">
        <v>46312.59444444445</v>
      </c>
      <c r="F114" s="21">
        <f>IF(OR(D114="",E114=""),"",ROUND((E114-D114)*1440,0))</f>
        <v/>
      </c>
      <c r="G114" s="23" t="inlineStr">
        <is>
          <t>Login, chat RAG, instalar PWA, módulo experimento</t>
        </is>
      </c>
      <c r="H114" s="23" t="n">
        <v>17</v>
      </c>
      <c r="I114" s="21">
        <f>IF(H114="","",IF(H114&gt;=$E$11,"Aprobado","Recupera"))</f>
        <v/>
      </c>
      <c r="J114" s="23" t="inlineStr">
        <is>
          <t>Conforme (digital)</t>
        </is>
      </c>
    </row>
    <row r="115" ht="15.75" customHeight="1" s="71">
      <c r="A115" s="23" t="inlineStr">
        <is>
          <t>GU-TDH-118</t>
        </is>
      </c>
      <c r="B115" s="23" t="inlineStr">
        <is>
          <t>GE</t>
        </is>
      </c>
      <c r="C115" s="52" t="n">
        <v>46312</v>
      </c>
      <c r="D115" s="53" t="n">
        <v>46312.62083333333</v>
      </c>
      <c r="E115" s="53" t="n">
        <v>46312.63819444444</v>
      </c>
      <c r="F115" s="21">
        <f>IF(OR(D115="",E115=""),"",ROUND((E115-D115)*1440,0))</f>
        <v/>
      </c>
      <c r="G115" s="23" t="inlineStr">
        <is>
          <t>Login, chat RAG, instalar PWA, módulo experimento</t>
        </is>
      </c>
      <c r="H115" s="23" t="n">
        <v>18</v>
      </c>
      <c r="I115" s="21">
        <f>IF(H115="","",IF(H115&gt;=$E$11,"Aprobado","Recupera"))</f>
        <v/>
      </c>
      <c r="J115" s="23" t="inlineStr">
        <is>
          <t>Conforme (digital)</t>
        </is>
      </c>
    </row>
    <row r="116" ht="15.75" customHeight="1" s="71">
      <c r="A116" s="23" t="inlineStr">
        <is>
          <t>GU-TDH-119</t>
        </is>
      </c>
      <c r="B116" s="23" t="inlineStr">
        <is>
          <t>GE</t>
        </is>
      </c>
      <c r="C116" s="52" t="n">
        <v>46312</v>
      </c>
      <c r="D116" s="53" t="n">
        <v>46312.66458333333</v>
      </c>
      <c r="E116" s="53" t="n">
        <v>46312.68194444444</v>
      </c>
      <c r="F116" s="21">
        <f>IF(OR(D116="",E116=""),"",ROUND((E116-D116)*1440,0))</f>
        <v/>
      </c>
      <c r="G116" s="23" t="inlineStr">
        <is>
          <t>Login, chat RAG, instalar PWA, módulo experimento</t>
        </is>
      </c>
      <c r="H116" s="23" t="n">
        <v>19</v>
      </c>
      <c r="I116" s="21">
        <f>IF(H116="","",IF(H116&gt;=$E$11,"Aprobado","Recupera"))</f>
        <v/>
      </c>
      <c r="J116" s="23" t="inlineStr">
        <is>
          <t>Conforme (digital)</t>
        </is>
      </c>
    </row>
    <row r="117" ht="15.75" customHeight="1" s="71">
      <c r="A117" s="23" t="inlineStr">
        <is>
          <t>GU-TDH-120</t>
        </is>
      </c>
      <c r="B117" s="23" t="inlineStr">
        <is>
          <t>GE</t>
        </is>
      </c>
      <c r="C117" s="52" t="n">
        <v>46312</v>
      </c>
      <c r="D117" s="53" t="n">
        <v>46312.41666666666</v>
      </c>
      <c r="E117" s="53" t="n">
        <v>46312.43402777778</v>
      </c>
      <c r="F117" s="21">
        <f>IF(OR(D117="",E117=""),"",ROUND((E117-D117)*1440,0))</f>
        <v/>
      </c>
      <c r="G117" s="23" t="inlineStr">
        <is>
          <t>Login, chat RAG, instalar PWA, módulo experimento</t>
        </is>
      </c>
      <c r="H117" s="23" t="n">
        <v>15</v>
      </c>
      <c r="I117" s="21">
        <f>IF(H117="","",IF(H117&gt;=$E$11,"Aprobado","Recupera"))</f>
        <v/>
      </c>
      <c r="J117" s="23" t="inlineStr">
        <is>
          <t>Conforme (digital)</t>
        </is>
      </c>
    </row>
    <row r="118" ht="15.75" customHeight="1" s="71">
      <c r="A118" s="23" t="inlineStr">
        <is>
          <t>GU-TDH-121</t>
        </is>
      </c>
      <c r="B118" s="23" t="inlineStr">
        <is>
          <t>GE</t>
        </is>
      </c>
      <c r="C118" s="52" t="n">
        <v>46312</v>
      </c>
      <c r="D118" s="53" t="n">
        <v>46312.46041666667</v>
      </c>
      <c r="E118" s="53" t="n">
        <v>46312.47777777778</v>
      </c>
      <c r="F118" s="21">
        <f>IF(OR(D118="",E118=""),"",ROUND((E118-D118)*1440,0))</f>
        <v/>
      </c>
      <c r="G118" s="23" t="inlineStr">
        <is>
          <t>Login, chat RAG, instalar PWA, módulo experimento</t>
        </is>
      </c>
      <c r="H118" s="23" t="n">
        <v>16</v>
      </c>
      <c r="I118" s="21">
        <f>IF(H118="","",IF(H118&gt;=$E$11,"Aprobado","Recupera"))</f>
        <v/>
      </c>
      <c r="J118" s="23" t="inlineStr">
        <is>
          <t>Conforme (digital)</t>
        </is>
      </c>
    </row>
    <row r="119" ht="15.75" customHeight="1" s="71">
      <c r="A119" s="23" t="inlineStr">
        <is>
          <t>GU-TDH-122</t>
        </is>
      </c>
      <c r="B119" s="23" t="inlineStr">
        <is>
          <t>GE</t>
        </is>
      </c>
      <c r="C119" s="52" t="n">
        <v>46312</v>
      </c>
      <c r="D119" s="53" t="n">
        <v>46312.50416666667</v>
      </c>
      <c r="E119" s="53" t="n">
        <v>46312.52152777778</v>
      </c>
      <c r="F119" s="21">
        <f>IF(OR(D119="",E119=""),"",ROUND((E119-D119)*1440,0))</f>
        <v/>
      </c>
      <c r="G119" s="23" t="inlineStr">
        <is>
          <t>Login, chat RAG, instalar PWA, módulo experimento</t>
        </is>
      </c>
      <c r="H119" s="23" t="n">
        <v>17</v>
      </c>
      <c r="I119" s="21">
        <f>IF(H119="","",IF(H119&gt;=$E$11,"Aprobado","Recupera"))</f>
        <v/>
      </c>
      <c r="J119" s="23" t="inlineStr">
        <is>
          <t>Conforme (digital)</t>
        </is>
      </c>
    </row>
    <row r="120" ht="15.75" customHeight="1" s="71">
      <c r="A120" s="23" t="inlineStr">
        <is>
          <t>GU-TDH-124</t>
        </is>
      </c>
      <c r="B120" s="23" t="inlineStr">
        <is>
          <t>GE</t>
        </is>
      </c>
      <c r="C120" s="52" t="n">
        <v>46312</v>
      </c>
      <c r="D120" s="53" t="n">
        <v>46312.59166666667</v>
      </c>
      <c r="E120" s="53" t="n">
        <v>46312.60902777778</v>
      </c>
      <c r="F120" s="21">
        <f>IF(OR(D120="",E120=""),"",ROUND((E120-D120)*1440,0))</f>
        <v/>
      </c>
      <c r="G120" s="23" t="inlineStr">
        <is>
          <t>Login, chat RAG, instalar PWA, módulo experimento</t>
        </is>
      </c>
      <c r="H120" s="23" t="n">
        <v>19</v>
      </c>
      <c r="I120" s="21">
        <f>IF(H120="","",IF(H120&gt;=$E$11,"Aprobado","Recupera"))</f>
        <v/>
      </c>
      <c r="J120" s="23" t="inlineStr">
        <is>
          <t>Conforme (digital)</t>
        </is>
      </c>
    </row>
    <row r="121" ht="15.75" customHeight="1" s="71">
      <c r="A121" s="23" t="inlineStr">
        <is>
          <t>GU-TDH-125</t>
        </is>
      </c>
      <c r="B121" s="23" t="inlineStr">
        <is>
          <t>GE</t>
        </is>
      </c>
      <c r="C121" s="52" t="n">
        <v>46312</v>
      </c>
      <c r="D121" s="53" t="n">
        <v>46312.63541666666</v>
      </c>
      <c r="E121" s="53" t="n">
        <v>46312.65277777778</v>
      </c>
      <c r="F121" s="21">
        <f>IF(OR(D121="",E121=""),"",ROUND((E121-D121)*1440,0))</f>
        <v/>
      </c>
      <c r="G121" s="23" t="inlineStr">
        <is>
          <t>Login, chat RAG, instalar PWA, módulo experimento</t>
        </is>
      </c>
      <c r="H121" s="23" t="n">
        <v>15</v>
      </c>
      <c r="I121" s="21">
        <f>IF(H121="","",IF(H121&gt;=$E$11,"Aprobado","Recupera"))</f>
        <v/>
      </c>
      <c r="J121" s="23" t="inlineStr">
        <is>
          <t>Conforme (digital)</t>
        </is>
      </c>
    </row>
    <row r="122" ht="15.75" customHeight="1" s="71"/>
    <row r="123" ht="15.75" customHeight="1" s="71">
      <c r="A123" s="6" t="inlineStr">
        <is>
          <t>Participantes del GE previstos:</t>
        </is>
      </c>
      <c r="E123" s="55" t="n">
        <v>108</v>
      </c>
    </row>
    <row r="124" ht="15.75" customHeight="1" s="71">
      <c r="A124" s="6" t="inlineStr">
        <is>
          <t>Capacitados (con registro):</t>
        </is>
      </c>
      <c r="E124" s="56">
        <f>COUNTIFS(B14:B121,"GE",F14:F121,"&gt;0")</f>
        <v/>
      </c>
    </row>
    <row r="125" ht="15.75" customHeight="1" s="71">
      <c r="A125" s="6" t="inlineStr">
        <is>
          <t>% del GE capacitado:</t>
        </is>
      </c>
      <c r="E125" s="57">
        <f>IF(N(E123)=0,0,E124/E123)</f>
        <v/>
      </c>
    </row>
    <row r="126" ht="15.75" customHeight="1" s="71">
      <c r="A126" s="6" t="inlineStr">
        <is>
          <t>% aprobado en el ejercicio:</t>
        </is>
      </c>
      <c r="E126" s="57">
        <f>IF(E124=0,0,COUNTIFS(B14:B121,"GE",I14:I121,"Aprobado")/E124)</f>
        <v/>
      </c>
    </row>
    <row r="127" ht="15.75" customHeight="1" s="71"/>
    <row r="128" ht="15.75" customHeight="1" s="71">
      <c r="A128" s="41" t="inlineStr">
        <is>
          <t>Registra hora de inicio y fin en formato hh:mm; la duración y el resultado se calculan solos. Neutralidad: no enseñes las respuestas del instrumento de medición. El GC no recibe esta capacitación.</t>
        </is>
      </c>
    </row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9">
    <mergeCell ref="A1:J1"/>
    <mergeCell ref="A126:D126"/>
    <mergeCell ref="A2:J2"/>
    <mergeCell ref="A124:D124"/>
    <mergeCell ref="A3:J3"/>
    <mergeCell ref="A128:J128"/>
    <mergeCell ref="A125:D125"/>
    <mergeCell ref="A11:D11"/>
    <mergeCell ref="A123:D123"/>
  </mergeCells>
  <dataValidations count="2">
    <dataValidation sqref="B14:B121" showDropDown="0" showInputMessage="0" showErrorMessage="0" allowBlank="1" type="list">
      <formula1>"Preexperimental (un grupo),Cuasiexperimental (GE y GC)"</formula1>
    </dataValidation>
    <dataValidation sqref="B14:B121" showDropDown="0" showInputMessage="0" showErrorMessage="0" allowBlank="1" type="list">
      <formula1>"GE,GC"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8" customWidth="1" style="71" min="1" max="1"/>
    <col width="18" customWidth="1" style="71" min="2" max="2"/>
    <col width="14" customWidth="1" style="71" min="3" max="3"/>
    <col width="12" customWidth="1" style="71" min="4" max="4"/>
    <col width="16" customWidth="1" style="71" min="5" max="5"/>
    <col width="34" customWidth="1" style="71" min="6" max="7"/>
    <col width="18" customWidth="1" style="71" min="8" max="8"/>
    <col width="14" customWidth="1" style="71" min="9" max="9"/>
    <col width="12" customWidth="1" style="71" min="10" max="10"/>
    <col width="16" customWidth="1" style="71" min="11" max="11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07 · REGISTRO DE INCIDENCIAS Y SOPORTE INICIAL</t>
        </is>
      </c>
    </row>
    <row r="3" ht="30" customHeight="1" s="71">
      <c r="A3" s="4" t="inlineStr">
        <is>
          <t>Crítica &lt; 2 h · Alta &lt; 8 h · Media &lt; 24 h · Baja &lt; 72 h (tiempos de respuesta sugeridos)</t>
        </is>
      </c>
    </row>
    <row r="4" ht="3.75" customHeight="1" s="7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3" t="n"/>
    </row>
    <row r="10"/>
    <row r="11" ht="33.75" customHeight="1" s="71">
      <c r="A11" s="17" t="inlineStr">
        <is>
          <t>ID</t>
        </is>
      </c>
      <c r="B11" s="17" t="inlineStr">
        <is>
          <t>Fecha y hora de reporte</t>
        </is>
      </c>
      <c r="C11" s="17" t="inlineStr">
        <is>
          <t>Código participante</t>
        </is>
      </c>
      <c r="D11" s="17" t="inlineStr">
        <is>
          <t>Prioridad</t>
        </is>
      </c>
      <c r="E11" s="17" t="inlineStr">
        <is>
          <t>Tipo</t>
        </is>
      </c>
      <c r="F11" s="17" t="inlineStr">
        <is>
          <t>Descripción</t>
        </is>
      </c>
      <c r="G11" s="17" t="inlineStr">
        <is>
          <t>Acción correctiva</t>
        </is>
      </c>
      <c r="H11" s="17" t="inlineStr">
        <is>
          <t>Fecha y hora de cierre</t>
        </is>
      </c>
      <c r="I11" s="17" t="inlineStr">
        <is>
          <t>Tiempo de resolución (h)</t>
        </is>
      </c>
      <c r="J11" s="17" t="inlineStr">
        <is>
          <t>Estado</t>
        </is>
      </c>
      <c r="K11" s="17" t="inlineStr">
        <is>
          <t>Responsable</t>
        </is>
      </c>
    </row>
    <row r="12" ht="30" customHeight="1" s="71">
      <c r="A12" s="27" t="inlineStr">
        <is>
          <t>INC-01</t>
        </is>
      </c>
      <c r="B12" s="49" t="n">
        <v>46313.79861111111</v>
      </c>
      <c r="C12" s="27" t="inlineStr">
        <is>
          <t>GU-TDH-004</t>
        </is>
      </c>
      <c r="D12" s="27" t="inlineStr">
        <is>
          <t>Media</t>
        </is>
      </c>
      <c r="E12" s="27" t="inlineStr">
        <is>
          <t>Acceso</t>
        </is>
      </c>
      <c r="F12" s="27" t="inlineStr">
        <is>
          <t>El service worker no cargaba la PWA.</t>
        </is>
      </c>
      <c r="G12" s="27" t="inlineStr">
        <is>
          <t>Reinstalar la PWA.</t>
        </is>
      </c>
      <c r="H12" s="49" t="n">
        <v>46313.81944444445</v>
      </c>
      <c r="I12" s="24">
        <f>IF(OR(B12="",H12=""),"",ROUND((H12-B12)*24,1))</f>
        <v/>
      </c>
      <c r="J12" s="27" t="inlineStr">
        <is>
          <t>Cerrada</t>
        </is>
      </c>
      <c r="K12" s="27" t="inlineStr">
        <is>
          <t>A. Godoy</t>
        </is>
      </c>
    </row>
    <row r="13" ht="30" customHeight="1" s="71">
      <c r="A13" s="27" t="inlineStr">
        <is>
          <t>INC-02</t>
        </is>
      </c>
      <c r="B13" s="49" t="n">
        <v>46314.42708333334</v>
      </c>
      <c r="C13" s="27" t="inlineStr">
        <is>
          <t>GU-TDH-010</t>
        </is>
      </c>
      <c r="D13" s="27" t="inlineStr">
        <is>
          <t>Baja</t>
        </is>
      </c>
      <c r="E13" s="27" t="inlineStr">
        <is>
          <t>Uso</t>
        </is>
      </c>
      <c r="F13" s="27" t="inlineStr">
        <is>
          <t>Duda sobre cómo leer las citas del chat.</t>
        </is>
      </c>
      <c r="G13" s="27" t="inlineStr">
        <is>
          <t>Reenvío de la guía rápida.</t>
        </is>
      </c>
      <c r="H13" s="49" t="n">
        <v>46314.43611111111</v>
      </c>
      <c r="I13" s="21">
        <f>IF(OR(B13="",H13=""),"",ROUND((H13-B13)*24,1))</f>
        <v/>
      </c>
      <c r="J13" s="27" t="inlineStr">
        <is>
          <t>Cerrada</t>
        </is>
      </c>
      <c r="K13" s="27" t="inlineStr">
        <is>
          <t>M. Trujillo</t>
        </is>
      </c>
    </row>
    <row r="14" ht="30" customHeight="1" s="71">
      <c r="A14" s="27" t="inlineStr">
        <is>
          <t>INC-03</t>
        </is>
      </c>
      <c r="B14" s="49" t="n">
        <v>46314.43055555555</v>
      </c>
      <c r="C14" s="27" t="inlineStr">
        <is>
          <t>GU-TDH-006</t>
        </is>
      </c>
      <c r="D14" s="27" t="inlineStr">
        <is>
          <t>Baja</t>
        </is>
      </c>
      <c r="E14" s="27" t="inlineStr">
        <is>
          <t>Acceso</t>
        </is>
      </c>
      <c r="F14" s="27" t="inlineStr">
        <is>
          <t>No abría el chat.</t>
        </is>
      </c>
      <c r="G14" s="27" t="inlineStr">
        <is>
          <t>Se envió el enlace directo.</t>
        </is>
      </c>
      <c r="H14" s="49" t="n">
        <v>46314.44097222222</v>
      </c>
      <c r="I14" s="21">
        <f>IF(OR(B14="",H14=""),"",ROUND((H14-B14)*24,1))</f>
        <v/>
      </c>
      <c r="J14" s="27" t="inlineStr">
        <is>
          <t>Cerrada</t>
        </is>
      </c>
      <c r="K14" s="27" t="inlineStr">
        <is>
          <t>A. Godoy</t>
        </is>
      </c>
    </row>
    <row r="15" ht="30" customHeight="1" s="71">
      <c r="A15" s="27" t="inlineStr">
        <is>
          <t>INC-04</t>
        </is>
      </c>
      <c r="B15" s="49" t="n">
        <v>46315.67013888889</v>
      </c>
      <c r="C15" s="27" t="inlineStr">
        <is>
          <t>Todos</t>
        </is>
      </c>
      <c r="D15" s="27" t="inlineStr">
        <is>
          <t>Alta</t>
        </is>
      </c>
      <c r="E15" s="27" t="inlineStr">
        <is>
          <t>Disponibilidad</t>
        </is>
      </c>
      <c r="F15" s="27" t="inlineStr">
        <is>
          <t>Latencia de Gemini mayor a 8 s.</t>
        </is>
      </c>
      <c r="G15" s="27" t="inlineStr">
        <is>
          <t>Se activó la caché de Redis.</t>
        </is>
      </c>
      <c r="H15" s="49" t="n">
        <v>46315.72222222222</v>
      </c>
      <c r="I15" s="21">
        <f>IF(OR(B15="",H15=""),"",ROUND((H15-B15)*24,1))</f>
        <v/>
      </c>
      <c r="J15" s="27" t="inlineStr">
        <is>
          <t>Cerrada</t>
        </is>
      </c>
      <c r="K15" s="27" t="inlineStr">
        <is>
          <t>M. Trujillo</t>
        </is>
      </c>
    </row>
    <row r="16" ht="30" customHeight="1" s="71">
      <c r="A16" s="27" t="inlineStr">
        <is>
          <t>INC-05</t>
        </is>
      </c>
      <c r="B16" s="49" t="n">
        <v>46316.5</v>
      </c>
      <c r="C16" s="27" t="inlineStr">
        <is>
          <t>GU-TDH-015</t>
        </is>
      </c>
      <c r="D16" s="27" t="inlineStr">
        <is>
          <t>Baja</t>
        </is>
      </c>
      <c r="E16" s="27" t="inlineStr">
        <is>
          <t>Seguimiento</t>
        </is>
      </c>
      <c r="F16" s="27" t="inlineStr">
        <is>
          <t>Sin accesos después del inicio.</t>
        </is>
      </c>
      <c r="G16" s="27" t="inlineStr">
        <is>
          <t>Recordatorio. Luego quedó como retiro.</t>
        </is>
      </c>
      <c r="H16" s="49" t="n">
        <v>46316.51736111111</v>
      </c>
      <c r="I16" s="21">
        <f>IF(OR(B16="",H16=""),"",ROUND((H16-B16)*24,1))</f>
        <v/>
      </c>
      <c r="J16" s="27" t="inlineStr">
        <is>
          <t>Cerrada</t>
        </is>
      </c>
      <c r="K16" s="27" t="inlineStr">
        <is>
          <t>A. Godoy</t>
        </is>
      </c>
    </row>
    <row r="17" ht="30" customHeight="1" s="71">
      <c r="A17" s="27" t="inlineStr">
        <is>
          <t>INC-06</t>
        </is>
      </c>
      <c r="B17" s="49" t="n">
        <v>46317.45972222222</v>
      </c>
      <c r="C17" s="27" t="inlineStr">
        <is>
          <t>GU-TDH-020</t>
        </is>
      </c>
      <c r="D17" s="27" t="inlineStr">
        <is>
          <t>Baja</t>
        </is>
      </c>
      <c r="E17" s="27" t="inlineStr">
        <is>
          <t>Cuenta</t>
        </is>
      </c>
      <c r="F17" s="27" t="inlineStr">
        <is>
          <t>Olvidó el código de acceso.</t>
        </is>
      </c>
      <c r="G17" s="27" t="inlineStr">
        <is>
          <t>Reenvío del código por WhatsApp.</t>
        </is>
      </c>
      <c r="H17" s="49" t="n">
        <v>46317.46527777778</v>
      </c>
      <c r="I17" s="21">
        <f>IF(OR(B17="",H17=""),"",ROUND((H17-B17)*24,1))</f>
        <v/>
      </c>
      <c r="J17" s="27" t="inlineStr">
        <is>
          <t>Cerrada</t>
        </is>
      </c>
      <c r="K17" s="27" t="inlineStr">
        <is>
          <t>A. Godoy</t>
        </is>
      </c>
    </row>
    <row r="18" ht="30" customHeight="1" s="71">
      <c r="A18" s="27" t="inlineStr">
        <is>
          <t>INC-07</t>
        </is>
      </c>
      <c r="B18" s="49" t="n">
        <v>46319.40972222222</v>
      </c>
      <c r="C18" s="27" t="inlineStr">
        <is>
          <t>GU-TDH-025</t>
        </is>
      </c>
      <c r="D18" s="27" t="inlineStr">
        <is>
          <t>Baja</t>
        </is>
      </c>
      <c r="E18" s="27" t="inlineStr">
        <is>
          <t>Acceso</t>
        </is>
      </c>
      <c r="F18" s="27" t="inlineStr">
        <is>
          <t>No lograba instalar la PWA en iOS.</t>
        </is>
      </c>
      <c r="G18" s="27" t="inlineStr">
        <is>
          <t>Mismo instructivo para todos.</t>
        </is>
      </c>
      <c r="H18" s="49" t="n">
        <v>46319.42361111111</v>
      </c>
      <c r="I18" s="21">
        <f>IF(OR(B18="",H18=""),"",ROUND((H18-B18)*24,1))</f>
        <v/>
      </c>
      <c r="J18" s="27" t="inlineStr">
        <is>
          <t>Cerrada</t>
        </is>
      </c>
      <c r="K18" s="27" t="inlineStr">
        <is>
          <t>A. Godoy</t>
        </is>
      </c>
    </row>
    <row r="19" ht="30" customHeight="1" s="71">
      <c r="A19" s="23" t="n"/>
      <c r="B19" s="51" t="n"/>
      <c r="C19" s="23" t="n"/>
      <c r="D19" s="23" t="n"/>
      <c r="E19" s="23" t="n"/>
      <c r="F19" s="23" t="n"/>
      <c r="G19" s="23" t="n"/>
      <c r="H19" s="51" t="n"/>
      <c r="I19" s="21">
        <f>IF(OR(B19="",H19=""),"",ROUND((H19-B19)*24,1))</f>
        <v/>
      </c>
      <c r="J19" s="23" t="n"/>
      <c r="K19" s="23" t="n"/>
    </row>
    <row r="20" ht="30" customHeight="1" s="71">
      <c r="A20" s="23" t="n"/>
      <c r="B20" s="51" t="n"/>
      <c r="C20" s="23" t="n"/>
      <c r="D20" s="23" t="n"/>
      <c r="E20" s="23" t="n"/>
      <c r="F20" s="23" t="n"/>
      <c r="G20" s="23" t="n"/>
      <c r="H20" s="51" t="n"/>
      <c r="I20" s="21">
        <f>IF(OR(B20="",H20=""),"",ROUND((H20-B20)*24,1))</f>
        <v/>
      </c>
      <c r="J20" s="23" t="n"/>
      <c r="K20" s="23" t="n"/>
    </row>
    <row r="21" ht="30" customHeight="1" s="71">
      <c r="A21" s="23" t="n"/>
      <c r="B21" s="51" t="n"/>
      <c r="C21" s="23" t="n"/>
      <c r="D21" s="23" t="n"/>
      <c r="E21" s="23" t="n"/>
      <c r="F21" s="23" t="n"/>
      <c r="G21" s="23" t="n"/>
      <c r="H21" s="51" t="n"/>
      <c r="I21" s="21">
        <f>IF(OR(B21="",H21=""),"",ROUND((H21-B21)*24,1))</f>
        <v/>
      </c>
      <c r="J21" s="23" t="n"/>
      <c r="K21" s="23" t="n"/>
    </row>
    <row r="22" ht="30" customHeight="1" s="71">
      <c r="A22" s="23" t="n"/>
      <c r="B22" s="51" t="n"/>
      <c r="C22" s="23" t="n"/>
      <c r="D22" s="23" t="n"/>
      <c r="E22" s="23" t="n"/>
      <c r="F22" s="23" t="n"/>
      <c r="G22" s="23" t="n"/>
      <c r="H22" s="51" t="n"/>
      <c r="I22" s="21">
        <f>IF(OR(B22="",H22=""),"",ROUND((H22-B22)*24,1))</f>
        <v/>
      </c>
      <c r="J22" s="23" t="n"/>
      <c r="K22" s="23" t="n"/>
    </row>
    <row r="23" ht="30" customHeight="1" s="71">
      <c r="A23" s="23" t="n"/>
      <c r="B23" s="51" t="n"/>
      <c r="C23" s="23" t="n"/>
      <c r="D23" s="23" t="n"/>
      <c r="E23" s="23" t="n"/>
      <c r="F23" s="23" t="n"/>
      <c r="G23" s="23" t="n"/>
      <c r="H23" s="51" t="n"/>
      <c r="I23" s="21">
        <f>IF(OR(B23="",H23=""),"",ROUND((H23-B23)*24,1))</f>
        <v/>
      </c>
      <c r="J23" s="23" t="n"/>
      <c r="K23" s="23" t="n"/>
    </row>
    <row r="24" ht="30" customHeight="1" s="71">
      <c r="A24" s="23" t="n"/>
      <c r="B24" s="51" t="n"/>
      <c r="C24" s="23" t="n"/>
      <c r="D24" s="23" t="n"/>
      <c r="E24" s="23" t="n"/>
      <c r="F24" s="23" t="n"/>
      <c r="G24" s="23" t="n"/>
      <c r="H24" s="51" t="n"/>
      <c r="I24" s="21">
        <f>IF(OR(B24="",H24=""),"",ROUND((H24-B24)*24,1))</f>
        <v/>
      </c>
      <c r="J24" s="23" t="n"/>
      <c r="K24" s="23" t="n"/>
    </row>
    <row r="25" ht="30" customHeight="1" s="71">
      <c r="A25" s="23" t="n"/>
      <c r="B25" s="51" t="n"/>
      <c r="C25" s="23" t="n"/>
      <c r="D25" s="23" t="n"/>
      <c r="E25" s="23" t="n"/>
      <c r="F25" s="23" t="n"/>
      <c r="G25" s="23" t="n"/>
      <c r="H25" s="51" t="n"/>
      <c r="I25" s="21">
        <f>IF(OR(B25="",H25=""),"",ROUND((H25-B25)*24,1))</f>
        <v/>
      </c>
      <c r="J25" s="23" t="n"/>
      <c r="K25" s="23" t="n"/>
    </row>
    <row r="26" ht="30" customHeight="1" s="71">
      <c r="A26" s="23" t="n"/>
      <c r="B26" s="51" t="n"/>
      <c r="C26" s="23" t="n"/>
      <c r="D26" s="23" t="n"/>
      <c r="E26" s="23" t="n"/>
      <c r="F26" s="23" t="n"/>
      <c r="G26" s="23" t="n"/>
      <c r="H26" s="51" t="n"/>
      <c r="I26" s="21">
        <f>IF(OR(B26="",H26=""),"",ROUND((H26-B26)*24,1))</f>
        <v/>
      </c>
      <c r="J26" s="23" t="n"/>
      <c r="K26" s="23" t="n"/>
    </row>
    <row r="27" ht="30" customHeight="1" s="71">
      <c r="A27" s="23" t="n"/>
      <c r="B27" s="51" t="n"/>
      <c r="C27" s="23" t="n"/>
      <c r="D27" s="23" t="n"/>
      <c r="E27" s="23" t="n"/>
      <c r="F27" s="23" t="n"/>
      <c r="G27" s="23" t="n"/>
      <c r="H27" s="51" t="n"/>
      <c r="I27" s="21">
        <f>IF(OR(B27="",H27=""),"",ROUND((H27-B27)*24,1))</f>
        <v/>
      </c>
      <c r="J27" s="23" t="n"/>
      <c r="K27" s="23" t="n"/>
    </row>
    <row r="28" ht="30" customHeight="1" s="71">
      <c r="A28" s="23" t="n"/>
      <c r="B28" s="51" t="n"/>
      <c r="C28" s="23" t="n"/>
      <c r="D28" s="23" t="n"/>
      <c r="E28" s="23" t="n"/>
      <c r="F28" s="23" t="n"/>
      <c r="G28" s="23" t="n"/>
      <c r="H28" s="51" t="n"/>
      <c r="I28" s="21">
        <f>IF(OR(B28="",H28=""),"",ROUND((H28-B28)*24,1))</f>
        <v/>
      </c>
      <c r="J28" s="23" t="n"/>
      <c r="K28" s="23" t="n"/>
    </row>
    <row r="29" ht="30" customHeight="1" s="71">
      <c r="A29" s="23" t="n"/>
      <c r="B29" s="51" t="n"/>
      <c r="C29" s="23" t="n"/>
      <c r="D29" s="23" t="n"/>
      <c r="E29" s="23" t="n"/>
      <c r="F29" s="23" t="n"/>
      <c r="G29" s="23" t="n"/>
      <c r="H29" s="51" t="n"/>
      <c r="I29" s="21">
        <f>IF(OR(B29="",H29=""),"",ROUND((H29-B29)*24,1))</f>
        <v/>
      </c>
      <c r="J29" s="23" t="n"/>
      <c r="K29" s="23" t="n"/>
    </row>
    <row r="30" ht="30" customHeight="1" s="71">
      <c r="A30" s="23" t="n"/>
      <c r="B30" s="51" t="n"/>
      <c r="C30" s="23" t="n"/>
      <c r="D30" s="23" t="n"/>
      <c r="E30" s="23" t="n"/>
      <c r="F30" s="23" t="n"/>
      <c r="G30" s="23" t="n"/>
      <c r="H30" s="51" t="n"/>
      <c r="I30" s="21">
        <f>IF(OR(B30="",H30=""),"",ROUND((H30-B30)*24,1))</f>
        <v/>
      </c>
      <c r="J30" s="23" t="n"/>
      <c r="K30" s="23" t="n"/>
    </row>
    <row r="31" ht="30" customHeight="1" s="71">
      <c r="A31" s="23" t="n"/>
      <c r="B31" s="51" t="n"/>
      <c r="C31" s="23" t="n"/>
      <c r="D31" s="23" t="n"/>
      <c r="E31" s="23" t="n"/>
      <c r="F31" s="23" t="n"/>
      <c r="G31" s="23" t="n"/>
      <c r="H31" s="51" t="n"/>
      <c r="I31" s="21">
        <f>IF(OR(B31="",H31=""),"",ROUND((H31-B31)*24,1))</f>
        <v/>
      </c>
      <c r="J31" s="23" t="n"/>
      <c r="K31" s="23" t="n"/>
    </row>
    <row r="32" ht="30" customHeight="1" s="71">
      <c r="A32" s="23" t="n"/>
      <c r="B32" s="51" t="n"/>
      <c r="C32" s="23" t="n"/>
      <c r="D32" s="23" t="n"/>
      <c r="E32" s="23" t="n"/>
      <c r="F32" s="23" t="n"/>
      <c r="G32" s="23" t="n"/>
      <c r="H32" s="51" t="n"/>
      <c r="I32" s="21">
        <f>IF(OR(B32="",H32=""),"",ROUND((H32-B32)*24,1))</f>
        <v/>
      </c>
      <c r="J32" s="23" t="n"/>
      <c r="K32" s="23" t="n"/>
    </row>
    <row r="33" ht="30" customHeight="1" s="71">
      <c r="A33" s="23" t="n"/>
      <c r="B33" s="51" t="n"/>
      <c r="C33" s="23" t="n"/>
      <c r="D33" s="23" t="n"/>
      <c r="E33" s="23" t="n"/>
      <c r="F33" s="23" t="n"/>
      <c r="G33" s="23" t="n"/>
      <c r="H33" s="51" t="n"/>
      <c r="I33" s="21">
        <f>IF(OR(B33="",H33=""),"",ROUND((H33-B33)*24,1))</f>
        <v/>
      </c>
      <c r="J33" s="23" t="n"/>
      <c r="K33" s="23" t="n"/>
    </row>
    <row r="34" ht="30" customHeight="1" s="71">
      <c r="A34" s="23" t="n"/>
      <c r="B34" s="51" t="n"/>
      <c r="C34" s="23" t="n"/>
      <c r="D34" s="23" t="n"/>
      <c r="E34" s="23" t="n"/>
      <c r="F34" s="23" t="n"/>
      <c r="G34" s="23" t="n"/>
      <c r="H34" s="51" t="n"/>
      <c r="I34" s="21">
        <f>IF(OR(B34="",H34=""),"",ROUND((H34-B34)*24,1))</f>
        <v/>
      </c>
      <c r="J34" s="23" t="n"/>
      <c r="K34" s="23" t="n"/>
    </row>
    <row r="35" ht="30" customHeight="1" s="71">
      <c r="A35" s="23" t="n"/>
      <c r="B35" s="51" t="n"/>
      <c r="C35" s="23" t="n"/>
      <c r="D35" s="23" t="n"/>
      <c r="E35" s="23" t="n"/>
      <c r="F35" s="23" t="n"/>
      <c r="G35" s="23" t="n"/>
      <c r="H35" s="51" t="n"/>
      <c r="I35" s="21">
        <f>IF(OR(B35="",H35=""),"",ROUND((H35-B35)*24,1))</f>
        <v/>
      </c>
      <c r="J35" s="23" t="n"/>
      <c r="K35" s="23" t="n"/>
    </row>
    <row r="36" ht="30" customHeight="1" s="71">
      <c r="A36" s="23" t="n"/>
      <c r="B36" s="51" t="n"/>
      <c r="C36" s="23" t="n"/>
      <c r="D36" s="23" t="n"/>
      <c r="E36" s="23" t="n"/>
      <c r="F36" s="23" t="n"/>
      <c r="G36" s="23" t="n"/>
      <c r="H36" s="51" t="n"/>
      <c r="I36" s="21">
        <f>IF(OR(B36="",H36=""),"",ROUND((H36-B36)*24,1))</f>
        <v/>
      </c>
      <c r="J36" s="23" t="n"/>
      <c r="K36" s="23" t="n"/>
    </row>
    <row r="37" ht="30" customHeight="1" s="71">
      <c r="A37" s="23" t="n"/>
      <c r="B37" s="51" t="n"/>
      <c r="C37" s="23" t="n"/>
      <c r="D37" s="23" t="n"/>
      <c r="E37" s="23" t="n"/>
      <c r="F37" s="23" t="n"/>
      <c r="G37" s="23" t="n"/>
      <c r="H37" s="51" t="n"/>
      <c r="I37" s="21">
        <f>IF(OR(B37="",H37=""),"",ROUND((H37-B37)*24,1))</f>
        <v/>
      </c>
      <c r="J37" s="23" t="n"/>
      <c r="K37" s="23" t="n"/>
    </row>
    <row r="38" ht="30" customHeight="1" s="71">
      <c r="A38" s="23" t="n"/>
      <c r="B38" s="51" t="n"/>
      <c r="C38" s="23" t="n"/>
      <c r="D38" s="23" t="n"/>
      <c r="E38" s="23" t="n"/>
      <c r="F38" s="23" t="n"/>
      <c r="G38" s="23" t="n"/>
      <c r="H38" s="51" t="n"/>
      <c r="I38" s="21">
        <f>IF(OR(B38="",H38=""),"",ROUND((H38-B38)*24,1))</f>
        <v/>
      </c>
      <c r="J38" s="23" t="n"/>
      <c r="K38" s="23" t="n"/>
    </row>
    <row r="39" ht="30" customHeight="1" s="71">
      <c r="A39" s="23" t="n"/>
      <c r="B39" s="51" t="n"/>
      <c r="C39" s="23" t="n"/>
      <c r="D39" s="23" t="n"/>
      <c r="E39" s="23" t="n"/>
      <c r="F39" s="23" t="n"/>
      <c r="G39" s="23" t="n"/>
      <c r="H39" s="51" t="n"/>
      <c r="I39" s="21">
        <f>IF(OR(B39="",H39=""),"",ROUND((H39-B39)*24,1))</f>
        <v/>
      </c>
      <c r="J39" s="23" t="n"/>
      <c r="K39" s="23" t="n"/>
    </row>
    <row r="40" ht="30" customHeight="1" s="71">
      <c r="A40" s="23" t="n"/>
      <c r="B40" s="51" t="n"/>
      <c r="C40" s="23" t="n"/>
      <c r="D40" s="23" t="n"/>
      <c r="E40" s="23" t="n"/>
      <c r="F40" s="23" t="n"/>
      <c r="G40" s="23" t="n"/>
      <c r="H40" s="51" t="n"/>
      <c r="I40" s="21">
        <f>IF(OR(B40="",H40=""),"",ROUND((H40-B40)*24,1))</f>
        <v/>
      </c>
      <c r="J40" s="23" t="n"/>
      <c r="K40" s="23" t="n"/>
    </row>
    <row r="41" ht="30" customHeight="1" s="71">
      <c r="A41" s="23" t="n"/>
      <c r="B41" s="51" t="n"/>
      <c r="C41" s="23" t="n"/>
      <c r="D41" s="23" t="n"/>
      <c r="E41" s="23" t="n"/>
      <c r="F41" s="23" t="n"/>
      <c r="G41" s="23" t="n"/>
      <c r="H41" s="51" t="n"/>
      <c r="I41" s="21">
        <f>IF(OR(B41="",H41=""),"",ROUND((H41-B41)*24,1))</f>
        <v/>
      </c>
      <c r="J41" s="23" t="n"/>
      <c r="K41" s="23" t="n"/>
    </row>
    <row r="42" ht="30" customHeight="1" s="71">
      <c r="A42" s="23" t="n"/>
      <c r="B42" s="51" t="n"/>
      <c r="C42" s="23" t="n"/>
      <c r="D42" s="23" t="n"/>
      <c r="E42" s="23" t="n"/>
      <c r="F42" s="23" t="n"/>
      <c r="G42" s="23" t="n"/>
      <c r="H42" s="51" t="n"/>
      <c r="I42" s="21">
        <f>IF(OR(B42="",H42=""),"",ROUND((H42-B42)*24,1))</f>
        <v/>
      </c>
      <c r="J42" s="23" t="n"/>
      <c r="K42" s="23" t="n"/>
    </row>
    <row r="43" ht="30" customHeight="1" s="71">
      <c r="A43" s="23" t="n"/>
      <c r="B43" s="51" t="n"/>
      <c r="C43" s="23" t="n"/>
      <c r="D43" s="23" t="n"/>
      <c r="E43" s="23" t="n"/>
      <c r="F43" s="23" t="n"/>
      <c r="G43" s="23" t="n"/>
      <c r="H43" s="51" t="n"/>
      <c r="I43" s="21">
        <f>IF(OR(B43="",H43=""),"",ROUND((H43-B43)*24,1))</f>
        <v/>
      </c>
      <c r="J43" s="23" t="n"/>
      <c r="K43" s="23" t="n"/>
    </row>
    <row r="44" ht="30" customHeight="1" s="71">
      <c r="A44" s="23" t="n"/>
      <c r="B44" s="51" t="n"/>
      <c r="C44" s="23" t="n"/>
      <c r="D44" s="23" t="n"/>
      <c r="E44" s="23" t="n"/>
      <c r="F44" s="23" t="n"/>
      <c r="G44" s="23" t="n"/>
      <c r="H44" s="51" t="n"/>
      <c r="I44" s="21">
        <f>IF(OR(B44="",H44=""),"",ROUND((H44-B44)*24,1))</f>
        <v/>
      </c>
      <c r="J44" s="23" t="n"/>
      <c r="K44" s="23" t="n"/>
    </row>
    <row r="45" ht="30" customHeight="1" s="71">
      <c r="A45" s="23" t="n"/>
      <c r="B45" s="51" t="n"/>
      <c r="C45" s="23" t="n"/>
      <c r="D45" s="23" t="n"/>
      <c r="E45" s="23" t="n"/>
      <c r="F45" s="23" t="n"/>
      <c r="G45" s="23" t="n"/>
      <c r="H45" s="51" t="n"/>
      <c r="I45" s="21">
        <f>IF(OR(B45="",H45=""),"",ROUND((H45-B45)*24,1))</f>
        <v/>
      </c>
      <c r="J45" s="23" t="n"/>
      <c r="K45" s="23" t="n"/>
    </row>
    <row r="46" ht="30" customHeight="1" s="71">
      <c r="A46" s="23" t="n"/>
      <c r="B46" s="51" t="n"/>
      <c r="C46" s="23" t="n"/>
      <c r="D46" s="23" t="n"/>
      <c r="E46" s="23" t="n"/>
      <c r="F46" s="23" t="n"/>
      <c r="G46" s="23" t="n"/>
      <c r="H46" s="51" t="n"/>
      <c r="I46" s="21">
        <f>IF(OR(B46="",H46=""),"",ROUND((H46-B46)*24,1))</f>
        <v/>
      </c>
      <c r="J46" s="23" t="n"/>
      <c r="K46" s="23" t="n"/>
    </row>
    <row r="47" ht="30" customHeight="1" s="71">
      <c r="A47" s="23" t="n"/>
      <c r="B47" s="51" t="n"/>
      <c r="C47" s="23" t="n"/>
      <c r="D47" s="23" t="n"/>
      <c r="E47" s="23" t="n"/>
      <c r="F47" s="23" t="n"/>
      <c r="G47" s="23" t="n"/>
      <c r="H47" s="51" t="n"/>
      <c r="I47" s="21">
        <f>IF(OR(B47="",H47=""),"",ROUND((H47-B47)*24,1))</f>
        <v/>
      </c>
      <c r="J47" s="23" t="n"/>
      <c r="K47" s="23" t="n"/>
    </row>
    <row r="48" ht="30" customHeight="1" s="71">
      <c r="A48" s="23" t="n"/>
      <c r="B48" s="51" t="n"/>
      <c r="C48" s="23" t="n"/>
      <c r="D48" s="23" t="n"/>
      <c r="E48" s="23" t="n"/>
      <c r="F48" s="23" t="n"/>
      <c r="G48" s="23" t="n"/>
      <c r="H48" s="51" t="n"/>
      <c r="I48" s="21">
        <f>IF(OR(B48="",H48=""),"",ROUND((H48-B48)*24,1))</f>
        <v/>
      </c>
      <c r="J48" s="23" t="n"/>
      <c r="K48" s="23" t="n"/>
    </row>
    <row r="49" ht="30" customHeight="1" s="71">
      <c r="A49" s="23" t="n"/>
      <c r="B49" s="51" t="n"/>
      <c r="C49" s="23" t="n"/>
      <c r="D49" s="23" t="n"/>
      <c r="E49" s="23" t="n"/>
      <c r="F49" s="23" t="n"/>
      <c r="G49" s="23" t="n"/>
      <c r="H49" s="51" t="n"/>
      <c r="I49" s="21">
        <f>IF(OR(B49="",H49=""),"",ROUND((H49-B49)*24,1))</f>
        <v/>
      </c>
      <c r="J49" s="23" t="n"/>
      <c r="K49" s="23" t="n"/>
    </row>
    <row r="50" ht="30" customHeight="1" s="71">
      <c r="A50" s="23" t="n"/>
      <c r="B50" s="51" t="n"/>
      <c r="C50" s="23" t="n"/>
      <c r="D50" s="23" t="n"/>
      <c r="E50" s="23" t="n"/>
      <c r="F50" s="23" t="n"/>
      <c r="G50" s="23" t="n"/>
      <c r="H50" s="51" t="n"/>
      <c r="I50" s="21">
        <f>IF(OR(B50="",H50=""),"",ROUND((H50-B50)*24,1))</f>
        <v/>
      </c>
      <c r="J50" s="23" t="n"/>
      <c r="K50" s="23" t="n"/>
    </row>
    <row r="51" ht="30" customHeight="1" s="71">
      <c r="A51" s="23" t="n"/>
      <c r="B51" s="51" t="n"/>
      <c r="C51" s="23" t="n"/>
      <c r="D51" s="23" t="n"/>
      <c r="E51" s="23" t="n"/>
      <c r="F51" s="23" t="n"/>
      <c r="G51" s="23" t="n"/>
      <c r="H51" s="51" t="n"/>
      <c r="I51" s="21">
        <f>IF(OR(B51="",H51=""),"",ROUND((H51-B51)*24,1))</f>
        <v/>
      </c>
      <c r="J51" s="23" t="n"/>
      <c r="K51" s="23" t="n"/>
    </row>
    <row r="52" ht="15.75" customHeight="1" s="71"/>
    <row r="53" ht="15.75" customHeight="1" s="71">
      <c r="A53" s="6" t="inlineStr">
        <is>
          <t>Incidencias abiertas</t>
        </is>
      </c>
      <c r="C53" s="38">
        <f>COUNTIF(J12:J51,"Abierta")+COUNTIF(J12:J51,"En atención")</f>
        <v/>
      </c>
    </row>
    <row r="54" ht="15.75" customHeight="1" s="71">
      <c r="A54" s="6" t="inlineStr">
        <is>
          <t>Críticas abiertas</t>
        </is>
      </c>
      <c r="C54" s="38">
        <f>COUNTIFS(D12:D51,"Crítica",J12:J51,"&lt;&gt;Cerrada",A12:A51,"&lt;&gt;")</f>
        <v/>
      </c>
    </row>
    <row r="55" ht="43.5" customHeight="1" s="71">
      <c r="A55" s="41" t="inlineStr">
        <is>
          <t>Este registro es insumo de la Sesión 6 (fidelidad y control de incidencias). Toda corrección durante la intervención debe registrarse aquí; no se permiten cambios funcionales.</t>
        </is>
      </c>
    </row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6">
    <mergeCell ref="A54:B54"/>
    <mergeCell ref="A3:K3"/>
    <mergeCell ref="A55:K55"/>
    <mergeCell ref="A2:K2"/>
    <mergeCell ref="A1:K1"/>
    <mergeCell ref="A53:B53"/>
  </mergeCells>
  <conditionalFormatting sqref="D12:D51">
    <cfRule type="cellIs" priority="1" operator="equal" dxfId="1">
      <formula>"Crítica"</formula>
    </cfRule>
  </conditionalFormatting>
  <dataValidations count="4">
    <dataValidation sqref="D12:D51" showDropDown="0" showInputMessage="0" showErrorMessage="0" allowBlank="1" type="list">
      <formula1>"Crítica,Alta,Media,Baja"</formula1>
    </dataValidation>
    <dataValidation sqref="J12:J51" showDropDown="0" showInputMessage="0" showErrorMessage="0" allowBlank="1" type="list">
      <formula1>"Abierta,En atención,Cerrada"</formula1>
    </dataValidation>
    <dataValidation sqref="B9:K9" showDropDown="0" showInputMessage="0" showErrorMessage="0" allowBlank="1" type="list">
      <formula1>"Preexperimental (un grupo),Cuasiexperimental (GE y GC)"</formula1>
    </dataValidation>
    <dataValidation sqref="E12:E51" showDropDown="0" showInputMessage="0" showErrorMessage="0" allowBlank="1" type="list">
      <formula1>"Técnica,Metodológica,De uso"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ColWidth="14.43" defaultRowHeight="15" customHeight="1"/>
  <cols>
    <col width="44" customWidth="1" style="71" min="1" max="1"/>
    <col width="30" customWidth="1" style="71" min="2" max="2"/>
    <col width="20" customWidth="1" style="71" min="3" max="3"/>
    <col width="40" customWidth="1" style="71" min="4" max="4"/>
    <col width="8.710000000000001" customWidth="1" style="71" min="5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08 · PROTOCOLO DE INTERVENCIÓN Y CONDICIONES DE USO</t>
        </is>
      </c>
    </row>
    <row r="3" ht="30" customHeight="1" s="71">
      <c r="A3" s="4" t="inlineStr">
        <is>
          <t>Define la «dosis» de X y deja constancia de las condiciones comunicadas</t>
        </is>
      </c>
    </row>
    <row r="4" ht="3.75" customHeight="1" s="71">
      <c r="A4" s="5" t="n"/>
      <c r="B4" s="5" t="n"/>
      <c r="C4" s="5" t="n"/>
      <c r="D4" s="5" t="n"/>
    </row>
    <row r="5"/>
    <row r="6">
      <c r="A6" s="25" t="inlineStr">
        <is>
          <t>A. DOSIS DE LA INTERVENCIÓN</t>
        </is>
      </c>
    </row>
    <row r="7" ht="33.75" customHeight="1" s="71">
      <c r="A7" s="17" t="inlineStr">
        <is>
          <t>Parámetro</t>
        </is>
      </c>
      <c r="B7" s="17" t="inlineStr">
        <is>
          <t>Valor definido</t>
        </is>
      </c>
      <c r="C7" s="17" t="inlineStr">
        <is>
          <t>Unidad</t>
        </is>
      </c>
      <c r="D7" s="17" t="inlineStr">
        <is>
          <t>Cómo se registrará</t>
        </is>
      </c>
    </row>
    <row r="8" ht="30" customHeight="1" s="71">
      <c r="A8" s="21" t="inlineStr">
        <is>
          <t>Duración total de la intervención</t>
        </is>
      </c>
      <c r="B8" s="23" t="n">
        <v>7</v>
      </c>
      <c r="C8" s="21" t="inlineStr">
        <is>
          <t>días</t>
        </is>
      </c>
      <c r="D8" s="21" t="inlineStr">
        <is>
          <t>Cronograma de la Sesión 1</t>
        </is>
      </c>
    </row>
    <row r="9" ht="30" customHeight="1" s="71">
      <c r="A9" s="21" t="inlineStr">
        <is>
          <t>Frecuencia de uso esperada</t>
        </is>
      </c>
      <c r="B9" s="23" t="inlineStr">
        <is>
          <t>Al menos 3 sesiones en 7 días</t>
        </is>
      </c>
      <c r="C9" s="21" t="inlineStr">
        <is>
          <t>sesiones</t>
        </is>
      </c>
      <c r="D9" s="21" t="inlineStr">
        <is>
          <t>Logs</t>
        </is>
      </c>
    </row>
    <row r="10" ht="30" customHeight="1" s="71">
      <c r="A10" s="21" t="inlineStr">
        <is>
          <t>Intensidad por sesión</t>
        </is>
      </c>
      <c r="B10" s="23" t="inlineStr">
        <is>
          <t>Al menos 10 minutos o 1 consulta RAG</t>
        </is>
      </c>
      <c r="C10" s="21" t="inlineStr">
        <is>
          <t>minutos</t>
        </is>
      </c>
      <c r="D10" s="21" t="inlineStr">
        <is>
          <t>Logs</t>
        </is>
      </c>
    </row>
    <row r="11" ht="30" customHeight="1" s="71">
      <c r="A11" s="21" t="inlineStr">
        <is>
          <t>Fecha de inicio (T₀)</t>
        </is>
      </c>
      <c r="B11" s="54" t="n">
        <v>46314.375</v>
      </c>
      <c r="C11" s="21" t="inlineStr">
        <is>
          <t>fecha</t>
        </is>
      </c>
      <c r="D11" s="21" t="inlineStr">
        <is>
          <t>Acta de inicio</t>
        </is>
      </c>
    </row>
    <row r="12" ht="30" customHeight="1" s="71">
      <c r="A12" s="21" t="inlineStr">
        <is>
          <t>Fecha prevista de cierre</t>
        </is>
      </c>
      <c r="B12" s="54" t="n">
        <v>46320.99930555555</v>
      </c>
      <c r="C12" s="21" t="inlineStr">
        <is>
          <t>fecha</t>
        </is>
      </c>
      <c r="D12" s="21" t="inlineStr">
        <is>
          <t>Acta de cierre (S7)</t>
        </is>
      </c>
    </row>
    <row r="13"/>
    <row r="14">
      <c r="A14" s="25" t="inlineStr">
        <is>
          <t>B. CONDICIONES DE USO COMUNICADAS</t>
        </is>
      </c>
    </row>
    <row r="15" ht="33.75" customHeight="1" s="71">
      <c r="A15" s="17" t="inlineStr">
        <is>
          <t>Condición</t>
        </is>
      </c>
      <c r="B15" s="17" t="inlineStr">
        <is>
          <t>¿Comunicada?</t>
        </is>
      </c>
      <c r="C15" s="17" t="inlineStr">
        <is>
          <t>Medio</t>
        </is>
      </c>
      <c r="D15" s="17" t="inlineStr">
        <is>
          <t>Fecha</t>
        </is>
      </c>
    </row>
    <row r="16" ht="30" customHeight="1" s="71">
      <c r="A16" s="21" t="inlineStr">
        <is>
          <t>Horario de disponibilidad del sistema</t>
        </is>
      </c>
      <c r="B16" s="23" t="inlineStr">
        <is>
          <t>Sí</t>
        </is>
      </c>
      <c r="C16" s="23" t="inlineStr">
        <is>
          <t>WhatsApp y guía rápida</t>
        </is>
      </c>
      <c r="D16" s="76" t="n">
        <v>46313</v>
      </c>
    </row>
    <row r="17" ht="30" customHeight="1" s="71">
      <c r="A17" s="21" t="inlineStr">
        <is>
          <t>Tareas que realizará cada participante</t>
        </is>
      </c>
      <c r="B17" s="23" t="inlineStr">
        <is>
          <t>Sí</t>
        </is>
      </c>
      <c r="C17" s="23" t="inlineStr">
        <is>
          <t>WhatsApp y guía rápida</t>
        </is>
      </c>
      <c r="D17" s="76" t="n">
        <v>46313</v>
      </c>
    </row>
    <row r="18" ht="30" customHeight="1" s="71">
      <c r="A18" s="21" t="inlineStr">
        <is>
          <t>Canal y horario de soporte</t>
        </is>
      </c>
      <c r="B18" s="23" t="inlineStr">
        <is>
          <t>Sí</t>
        </is>
      </c>
      <c r="C18" s="23" t="inlineStr">
        <is>
          <t>WhatsApp y guía rápida</t>
        </is>
      </c>
      <c r="D18" s="76" t="n">
        <v>46313</v>
      </c>
    </row>
    <row r="19" ht="30" customHeight="1" s="71">
      <c r="A19" s="21" t="inlineStr">
        <is>
          <t>Duración de la intervención</t>
        </is>
      </c>
      <c r="B19" s="23" t="inlineStr">
        <is>
          <t>Sí</t>
        </is>
      </c>
      <c r="C19" s="23" t="inlineStr">
        <is>
          <t>WhatsApp y guía rápida</t>
        </is>
      </c>
      <c r="D19" s="76" t="n">
        <v>46313</v>
      </c>
    </row>
    <row r="20" ht="30" customHeight="1" s="71">
      <c r="A20" s="21" t="inlineStr">
        <is>
          <t>Datos que se registrarán (logs)</t>
        </is>
      </c>
      <c r="B20" s="23" t="inlineStr">
        <is>
          <t>Sí</t>
        </is>
      </c>
      <c r="C20" s="23" t="inlineStr">
        <is>
          <t>WhatsApp y guía rápida</t>
        </is>
      </c>
      <c r="D20" s="76" t="n">
        <v>46313</v>
      </c>
    </row>
    <row r="21" ht="30" customHeight="1" s="71">
      <c r="A21" s="21" t="inlineStr">
        <is>
          <t>Confidencialidad y uso de códigos</t>
        </is>
      </c>
      <c r="B21" s="23" t="inlineStr">
        <is>
          <t>Sí</t>
        </is>
      </c>
      <c r="C21" s="23" t="inlineStr">
        <is>
          <t>WhatsApp y guía rápida</t>
        </is>
      </c>
      <c r="D21" s="76" t="n">
        <v>46313</v>
      </c>
    </row>
    <row r="22" ht="30" customHeight="1" s="71">
      <c r="A22" s="21" t="inlineStr">
        <is>
          <t>No compartir cuentas ni contraseñas</t>
        </is>
      </c>
      <c r="B22" s="23" t="inlineStr">
        <is>
          <t>Sí</t>
        </is>
      </c>
      <c r="C22" s="23" t="inlineStr">
        <is>
          <t>WhatsApp y guía rápida</t>
        </is>
      </c>
      <c r="D22" s="76" t="n">
        <v>46313</v>
      </c>
    </row>
    <row r="23" ht="30" customHeight="1" s="71">
      <c r="A23" s="21" t="inlineStr">
        <is>
          <t>Derecho a retirarse sin perjuicio</t>
        </is>
      </c>
      <c r="B23" s="23" t="inlineStr">
        <is>
          <t>Sí</t>
        </is>
      </c>
      <c r="C23" s="23" t="inlineStr">
        <is>
          <t>WhatsApp y guía rápida</t>
        </is>
      </c>
      <c r="D23" s="76" t="n">
        <v>46313</v>
      </c>
    </row>
    <row r="24" ht="15.75" customHeight="1" s="71"/>
    <row r="25" ht="15.75" customHeight="1" s="71">
      <c r="A25" s="6" t="inlineStr">
        <is>
          <t>Condiciones comunicadas</t>
        </is>
      </c>
      <c r="B25" s="38">
        <f>COUNTIF(B16:B23,"Sí")&amp;" de 8"</f>
        <v/>
      </c>
    </row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">
    <mergeCell ref="A1:D1"/>
    <mergeCell ref="A3:D3"/>
    <mergeCell ref="A2:D2"/>
  </mergeCells>
  <dataValidations count="2">
    <dataValidation sqref="C16:C23" showDropDown="0" showInputMessage="0" showErrorMessage="0" allowBlank="1" type="list">
      <formula1>"Escrito y verbal,Solo escrito,Solo verbal"</formula1>
    </dataValidation>
    <dataValidation sqref="B16:B23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ColWidth="14.43" defaultRowHeight="15" customHeight="1"/>
  <cols>
    <col width="34" customWidth="1" style="71" min="1" max="1"/>
    <col width="20" customWidth="1" style="71" min="2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09 · ACTA DE INICIO DE LA INTERVENCIÓN (T₀)</t>
        </is>
      </c>
    </row>
    <row r="3" ht="30" customHeight="1" s="71">
      <c r="A3" s="4" t="inlineStr">
        <is>
          <t>Registro formal del inicio de la variable independiente X</t>
        </is>
      </c>
    </row>
    <row r="4" ht="3.75" customHeight="1" s="71">
      <c r="A4" s="5" t="n"/>
      <c r="B4" s="5" t="n"/>
      <c r="C4" s="5" t="n"/>
      <c r="D4" s="5" t="n"/>
      <c r="E4" s="5" t="n"/>
      <c r="F4" s="5" t="n"/>
    </row>
    <row r="5"/>
    <row r="6" ht="24" customHeight="1" s="71">
      <c r="A6" s="6" t="inlineStr">
        <is>
          <t>Título de la tesis:</t>
        </is>
      </c>
      <c r="B6" s="12" t="inlineStr">
        <is>
          <t>Influencia de una aplicación multiplataforma de búsqueda semántica conversacional en la experiencia de lectores de Tu Diario Huánuco, 2026</t>
        </is>
      </c>
      <c r="C6" s="58" t="n"/>
      <c r="D6" s="58" t="n"/>
      <c r="E6" s="58" t="n"/>
      <c r="F6" s="59" t="n"/>
    </row>
    <row r="7" ht="24" customHeight="1" s="71">
      <c r="A7" s="6" t="inlineStr">
        <is>
          <t>Tesista:</t>
        </is>
      </c>
      <c r="B7" s="12" t="inlineStr">
        <is>
          <t>Trujillo Avila, Marcel Alexander Javier; Godoy Condezo, Alejandro Jeanpier</t>
        </is>
      </c>
      <c r="C7" s="58" t="n"/>
      <c r="D7" s="58" t="n"/>
      <c r="E7" s="58" t="n"/>
      <c r="F7" s="59" t="n"/>
    </row>
    <row r="8" ht="24" customHeight="1" s="71">
      <c r="A8" s="6" t="inlineStr">
        <is>
          <t>Institución / área:</t>
        </is>
      </c>
      <c r="B8" s="12" t="inlineStr">
        <is>
          <t>Tu Diario Huánuco (medio de comunicación digital), Huánuco</t>
        </is>
      </c>
      <c r="C8" s="58" t="n"/>
      <c r="D8" s="58" t="n"/>
      <c r="E8" s="58" t="n"/>
      <c r="F8" s="59" t="n"/>
    </row>
    <row r="9" ht="24" customHeight="1" s="71">
      <c r="A9" s="6" t="inlineStr">
        <is>
          <t>Diseño de investigación:</t>
        </is>
      </c>
      <c r="B9" s="12" t="inlineStr">
        <is>
          <t>Preexperimental: G O1 X O2 (grupo único, pretest y postest)</t>
        </is>
      </c>
      <c r="C9" s="58" t="n"/>
      <c r="D9" s="58" t="n"/>
      <c r="E9" s="58" t="n"/>
      <c r="F9" s="59" t="n"/>
    </row>
    <row r="10" ht="24" customHeight="1" s="71">
      <c r="A10" s="6" t="inlineStr">
        <is>
          <t>Solución tecnológica y versión:</t>
        </is>
      </c>
      <c r="B10" s="12" t="inlineStr">
        <is>
          <t>Aplicación multiplataforma de búsqueda semántica conversacional (PWA + RAG) — v1.0.0-frozen-2026-10-18</t>
        </is>
      </c>
      <c r="C10" s="58" t="n"/>
      <c r="D10" s="58" t="n"/>
      <c r="E10" s="58" t="n"/>
      <c r="F10" s="59" t="n"/>
    </row>
    <row r="11" ht="24" customHeight="1" s="71">
      <c r="A11" s="6" t="inlineStr">
        <is>
          <t>Fecha de inicio (T₀):</t>
        </is>
      </c>
      <c r="B11" s="60" t="n">
        <v>46314.375</v>
      </c>
      <c r="C11" s="58" t="n"/>
      <c r="D11" s="58" t="n"/>
      <c r="E11" s="58" t="n"/>
      <c r="F11" s="59" t="n"/>
    </row>
    <row r="12" ht="24" customHeight="1" s="71">
      <c r="A12" s="6" t="inlineStr">
        <is>
          <t>Hora de inicio:</t>
        </is>
      </c>
      <c r="B12" s="40" t="inlineStr">
        <is>
          <t>09:00</t>
        </is>
      </c>
      <c r="C12" s="73" t="n"/>
      <c r="D12" s="73" t="n"/>
      <c r="E12" s="73" t="n"/>
      <c r="F12" s="72" t="n"/>
    </row>
    <row r="13" ht="24" customHeight="1" s="71">
      <c r="A13" s="6" t="inlineStr">
        <is>
          <t>Lugar:</t>
        </is>
      </c>
      <c r="B13" s="40" t="inlineStr">
        <is>
          <t>Remoto, dispositivo del participante</t>
        </is>
      </c>
      <c r="C13" s="73" t="n"/>
      <c r="D13" s="73" t="n"/>
      <c r="E13" s="73" t="n"/>
      <c r="F13" s="72" t="n"/>
    </row>
    <row r="14" ht="24" customHeight="1" s="71">
      <c r="A14" s="6" t="inlineStr">
        <is>
          <t>Participantes del GE (códigos):</t>
        </is>
      </c>
      <c r="B14" s="40" t="inlineStr">
        <is>
          <t>108 participantes del pretest (GU-TDH-002 a GU-TDH-125, sin GU-TDH-001).</t>
        </is>
      </c>
      <c r="C14" s="73" t="n"/>
      <c r="D14" s="73" t="n"/>
      <c r="E14" s="73" t="n"/>
      <c r="F14" s="72" t="n"/>
    </row>
    <row r="15" ht="24" customHeight="1" s="71">
      <c r="A15" s="6" t="inlineStr">
        <is>
          <t>Grupo de comparación (códigos, si aplica):</t>
        </is>
      </c>
      <c r="B15" s="40" t="inlineStr">
        <is>
          <t>No aplica: grupo único</t>
        </is>
      </c>
      <c r="C15" s="73" t="n"/>
      <c r="D15" s="73" t="n"/>
      <c r="E15" s="73" t="n"/>
      <c r="F15" s="72" t="n"/>
    </row>
    <row r="16" ht="24" customHeight="1" s="71">
      <c r="A16" s="6" t="inlineStr">
        <is>
          <t>Capacitación completada (% GE):</t>
        </is>
      </c>
      <c r="B16" s="77">
        <f>'06_Registro_capacitacion'!E125</f>
        <v/>
      </c>
      <c r="C16" s="73" t="n"/>
      <c r="D16" s="73" t="n"/>
      <c r="E16" s="73" t="n"/>
      <c r="F16" s="72" t="n"/>
    </row>
    <row r="17" ht="24" customHeight="1" s="71">
      <c r="A17" s="6" t="inlineStr">
        <is>
          <t>Condiciones de uso comunicadas:</t>
        </is>
      </c>
      <c r="B17" s="78">
        <f>'08_Protocolo_condiciones'!B25</f>
        <v/>
      </c>
      <c r="C17" s="73" t="n"/>
      <c r="D17" s="73" t="n"/>
      <c r="E17" s="73" t="n"/>
      <c r="F17" s="72" t="n"/>
    </row>
    <row r="18" ht="24" customHeight="1" s="71">
      <c r="A18" s="6" t="inlineStr">
        <is>
          <t>Soporte asignado (canal y horario):</t>
        </is>
      </c>
      <c r="B18" s="40" t="inlineStr">
        <is>
          <t>WhatsApp del estudio · Lun–Sáb 10:00–13:00 y 16:00–19:00</t>
        </is>
      </c>
      <c r="C18" s="73" t="n"/>
      <c r="D18" s="73" t="n"/>
      <c r="E18" s="73" t="n"/>
      <c r="F18" s="72" t="n"/>
    </row>
    <row r="19" ht="24" customHeight="1" s="71">
      <c r="A19" s="6" t="inlineStr">
        <is>
          <t>Observaciones:</t>
        </is>
      </c>
      <c r="B19" s="40" t="inlineStr">
        <is>
          <t>Simulación de seminario, no es campo real. Los 108 códigos son los del pretest (sesiones 2 y 3). En las plantillas 4, 5 y 7 el grupo único se registra como GE; no hay GC. Tres retiros durante X: GU-TDH-015, GU-TDH-033 y GU-TDH-053.</t>
        </is>
      </c>
      <c r="C19" s="73" t="n"/>
      <c r="D19" s="73" t="n"/>
      <c r="E19" s="73" t="n"/>
      <c r="F19" s="72" t="n"/>
    </row>
    <row r="20"/>
    <row r="21" ht="36" customHeight="1" s="71">
      <c r="A21" s="63" t="inlineStr">
        <is>
          <t>Se deja constancia de que la solución se encuentra operativa, configurada y accesible, y que se da inicio formal a la intervención conforme al protocolo aprobado.</t>
        </is>
      </c>
    </row>
    <row r="22" ht="15.75" customHeight="1" s="71"/>
    <row r="23" ht="15.75" customHeight="1" s="71"/>
    <row r="24" ht="15.75" customHeight="1" s="71"/>
    <row r="25" ht="15.75" customHeight="1" s="71">
      <c r="A25" s="33" t="inlineStr">
        <is>
          <t>______________________</t>
        </is>
      </c>
      <c r="C25" s="33" t="inlineStr">
        <is>
          <t>______________________</t>
        </is>
      </c>
      <c r="E25" s="33" t="inlineStr">
        <is>
          <t>______________________</t>
        </is>
      </c>
    </row>
    <row r="26" ht="15.75" customHeight="1" s="71">
      <c r="A26" s="44" t="inlineStr">
        <is>
          <t>Tesista</t>
        </is>
      </c>
      <c r="C26" s="44" t="inlineStr">
        <is>
          <t>Responsable de la institución</t>
        </is>
      </c>
      <c r="E26" s="44" t="inlineStr">
        <is>
          <t>Asesor de tesis</t>
        </is>
      </c>
    </row>
    <row r="27" ht="15.75" customHeight="1" s="71">
      <c r="A27" s="45" t="inlineStr">
        <is>
          <t>Nombre / DNI / Firma</t>
        </is>
      </c>
      <c r="C27" s="45" t="inlineStr">
        <is>
          <t>Nombre / DNI / Firma</t>
        </is>
      </c>
      <c r="E27" s="45" t="inlineStr">
        <is>
          <t>Nombre / DNI / Firma</t>
        </is>
      </c>
    </row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2">
    <mergeCell ref="A2:F2"/>
    <mergeCell ref="B12:F12"/>
    <mergeCell ref="B16:F16"/>
    <mergeCell ref="B15:F15"/>
    <mergeCell ref="A1:F1"/>
    <mergeCell ref="B19:F19"/>
    <mergeCell ref="B14:F14"/>
    <mergeCell ref="A3:F3"/>
    <mergeCell ref="A21:F21"/>
    <mergeCell ref="B17:F17"/>
    <mergeCell ref="B18:F18"/>
    <mergeCell ref="B13:F13"/>
  </mergeCells>
  <pageMargins left="0.75" right="0.75" top="1" bottom="1" header="0" footer="0"/>
  <pageSetup orientation="portrait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71" min="1" max="1"/>
    <col width="50" customWidth="1" style="71" min="2" max="2"/>
    <col width="14" customWidth="1" style="71" min="3" max="3"/>
    <col width="16" customWidth="1" style="71" min="4" max="4"/>
    <col width="12" customWidth="1" style="71" min="5" max="5"/>
    <col width="8.710000000000001" customWidth="1" style="71" min="6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10 · RÚBRICA DEL INFORME INICIAL</t>
        </is>
      </c>
    </row>
    <row r="3" ht="30" customHeight="1" s="71">
      <c r="A3" s="4" t="inlineStr">
        <is>
          <t>Escala vigesimal · Logrado 17-20 · En proceso 11-16 · Inicio 0-10</t>
        </is>
      </c>
    </row>
    <row r="4" ht="3.75" customHeight="1" s="71">
      <c r="A4" s="5" t="n"/>
      <c r="B4" s="5" t="n"/>
      <c r="C4" s="5" t="n"/>
      <c r="D4" s="5" t="n"/>
      <c r="E4" s="5" t="n"/>
    </row>
    <row r="5"/>
    <row r="6">
      <c r="A6" s="6" t="inlineStr">
        <is>
          <t>Tesista:</t>
        </is>
      </c>
      <c r="B6" s="14" t="inlineStr">
        <is>
          <t>Trujillo Avila, Marcel Alexander Javier; Godoy Condezo, Alejandro Jeanpier</t>
        </is>
      </c>
      <c r="C6" s="11" t="n"/>
      <c r="D6" s="11" t="n"/>
      <c r="E6" s="13" t="n"/>
    </row>
    <row r="7">
      <c r="A7" s="6" t="inlineStr">
        <is>
          <t>Título de la tesis:</t>
        </is>
      </c>
      <c r="B7" s="14" t="inlineStr">
        <is>
          <t>Influencia de una aplicación multiplataforma de búsqueda semántica conversacional en la experiencia de lectores de Tu Diario Huánuco, 2026</t>
        </is>
      </c>
      <c r="C7" s="11" t="n"/>
      <c r="D7" s="11" t="n"/>
      <c r="E7" s="13" t="n"/>
    </row>
    <row r="8">
      <c r="A8" s="6" t="inlineStr">
        <is>
          <t>Institución / contexto:</t>
        </is>
      </c>
      <c r="B8" s="14" t="inlineStr">
        <is>
          <t>Tu Diario Huánuco (medio de comunicación digital), Huánuco</t>
        </is>
      </c>
      <c r="C8" s="11" t="n"/>
      <c r="D8" s="11" t="n"/>
      <c r="E8" s="13" t="n"/>
    </row>
    <row r="9">
      <c r="A9" s="6" t="inlineStr">
        <is>
          <t>Diseño:</t>
        </is>
      </c>
      <c r="B9" s="14" t="inlineStr">
        <is>
          <t>Preexperimental: G O1 X O2 (grupo único, pretest y postest)</t>
        </is>
      </c>
      <c r="C9" s="11" t="n"/>
      <c r="D9" s="11" t="n"/>
      <c r="E9" s="13" t="n"/>
    </row>
    <row r="10"/>
    <row r="11" ht="33.75" customHeight="1" s="71">
      <c r="A11" s="17" t="inlineStr">
        <is>
          <t>Criterio</t>
        </is>
      </c>
      <c r="B11" s="17" t="inlineStr">
        <is>
          <t>Evidencia exigida</t>
        </is>
      </c>
      <c r="C11" s="17" t="inlineStr">
        <is>
          <t>Puntaje máximo</t>
        </is>
      </c>
      <c r="D11" s="17" t="inlineStr">
        <is>
          <t>Puntaje obtenido</t>
        </is>
      </c>
      <c r="E11" s="17" t="inlineStr">
        <is>
          <t>% logro</t>
        </is>
      </c>
    </row>
    <row r="12" ht="30" customHeight="1" s="71">
      <c r="A12" s="21" t="inlineStr">
        <is>
          <t>Solución operativa, configurada y accesible</t>
        </is>
      </c>
      <c r="B12" s="21" t="inlineStr">
        <is>
          <t>Acta de instalación, URL o versión, ficha funcional</t>
        </is>
      </c>
      <c r="C12" s="18" t="n">
        <v>5</v>
      </c>
      <c r="D12" s="64" t="n">
        <v>5</v>
      </c>
      <c r="E12" s="65">
        <f>IF(D12="","",D12/C12)</f>
        <v/>
      </c>
    </row>
    <row r="13" ht="30" customHeight="1" s="71">
      <c r="A13" s="21" t="inlineStr">
        <is>
          <t>Seguridad, usuarios y roles</t>
        </is>
      </c>
      <c r="B13" s="21" t="inlineStr">
        <is>
          <t>Matriz de roles, controles de seguridad</t>
        </is>
      </c>
      <c r="C13" s="18" t="n">
        <v>3</v>
      </c>
      <c r="D13" s="64" t="n">
        <v>3</v>
      </c>
      <c r="E13" s="65">
        <f>IF(D13="","",D13/C13)</f>
        <v/>
      </c>
    </row>
    <row r="14" ht="30" customHeight="1" s="71">
      <c r="A14" s="21" t="inlineStr">
        <is>
          <t>Capacitación documentada</t>
        </is>
      </c>
      <c r="B14" s="21" t="inlineStr">
        <is>
          <t>Registro de capacitación y materiales</t>
        </is>
      </c>
      <c r="C14" s="18" t="n">
        <v>4</v>
      </c>
      <c r="D14" s="64" t="n">
        <v>4</v>
      </c>
      <c r="E14" s="65">
        <f>IF(D14="","",D14/C14)</f>
        <v/>
      </c>
    </row>
    <row r="15" ht="30" customHeight="1" s="71">
      <c r="A15" s="21" t="inlineStr">
        <is>
          <t>Protocolo y registro formal de inicio</t>
        </is>
      </c>
      <c r="B15" s="21" t="inlineStr">
        <is>
          <t>Dosis definida, condiciones y acta T₀</t>
        </is>
      </c>
      <c r="C15" s="18" t="n">
        <v>5</v>
      </c>
      <c r="D15" s="64" t="n">
        <v>5</v>
      </c>
      <c r="E15" s="65">
        <f>IF(D15="","",D15/C15)</f>
        <v/>
      </c>
    </row>
    <row r="16" ht="30" customHeight="1" s="71">
      <c r="A16" s="21" t="inlineStr">
        <is>
          <t>Redacción y evidencias</t>
        </is>
      </c>
      <c r="B16" s="21" t="inlineStr">
        <is>
          <t>Informe ordenado, códigos, capturas sin datos personales</t>
        </is>
      </c>
      <c r="C16" s="18" t="n">
        <v>3</v>
      </c>
      <c r="D16" s="64" t="n">
        <v>3</v>
      </c>
      <c r="E16" s="65">
        <f>IF(D16="","",D16/C16)</f>
        <v/>
      </c>
    </row>
    <row r="17">
      <c r="A17" s="66" t="inlineStr">
        <is>
          <t>TOTAL</t>
        </is>
      </c>
      <c r="C17" s="39">
        <f>SUM(C12:C16)</f>
        <v/>
      </c>
      <c r="D17" s="39">
        <f>SUM(D12:D16)</f>
        <v/>
      </c>
    </row>
    <row r="18">
      <c r="A18" s="6" t="inlineStr">
        <is>
          <t>Nivel de logro</t>
        </is>
      </c>
      <c r="D18" s="56">
        <f>IF(COUNT(D12:D16)=0,"",IF(D17&gt;=17,"Logrado",IF(D17&gt;=11,"En proceso","Inicio")))</f>
        <v/>
      </c>
    </row>
    <row r="19"/>
    <row r="20" ht="43.5" customHeight="1" s="71">
      <c r="A20" s="41" t="inlineStr">
        <is>
          <t>Pesos sugeridos por el docente (suman 20). Ingresa el puntaje obtenido en cada criterio sin exceder el máximo.</t>
        </is>
      </c>
    </row>
    <row r="21" ht="15.75" customHeight="1" s="71"/>
    <row r="22" ht="15.75" customHeight="1" s="71"/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4">
    <mergeCell ref="A2:E2"/>
    <mergeCell ref="A1:E1"/>
    <mergeCell ref="A20:E20"/>
    <mergeCell ref="A3:E3"/>
  </mergeCells>
  <dataValidations count="2">
    <dataValidation sqref="D12:D16" showDropDown="0" showInputMessage="0" showErrorMessage="0" allowBlank="1" type="decimal">
      <formula1>0.0</formula1>
      <formula2>5.0</formula2>
    </dataValidation>
    <dataValidation sqref="B9:E9" showDropDown="0" showInputMessage="0" showErrorMessage="0" allowBlank="1" type="list">
      <formula1>"Preexperimental (un grupo),Cuasiexperimental (GE y GC)"</formula1>
    </dataValidation>
  </dataValidations>
  <pageMargins left="0.75" right="0.75" top="1" bottom="1" header="0" footer="0"/>
  <pageSetup orientation="landscape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71" min="1" max="1"/>
    <col width="18" customWidth="1" style="71" min="2" max="3"/>
    <col width="40" customWidth="1" style="71" min="4" max="4"/>
    <col width="8.710000000000001" customWidth="1" style="71" min="5" max="6"/>
  </cols>
  <sheetData>
    <row r="1" ht="21.75" customHeight="1" s="71">
      <c r="A1" s="1" t="inlineStr">
        <is>
          <t>UNIVERSIDAD DE HUÁNUCO · Programa Académico de Ingeniería de Sistemas e Informática · Seminario de Tesis III</t>
        </is>
      </c>
    </row>
    <row r="2" ht="30" customHeight="1" s="71">
      <c r="A2" s="3" t="inlineStr">
        <is>
          <t>FORMATO 11 · TABLERO: ¿ESTOY LISTO PARA T₀?</t>
        </is>
      </c>
    </row>
    <row r="3" ht="30" customHeight="1" s="71">
      <c r="A3" s="4" t="inlineStr">
        <is>
          <t>Se actualiza automáticamente con los formatos anteriores</t>
        </is>
      </c>
    </row>
    <row r="4" ht="3.75" customHeight="1" s="71">
      <c r="A4" s="5" t="n"/>
      <c r="B4" s="5" t="n"/>
      <c r="C4" s="5" t="n"/>
      <c r="D4" s="5" t="n"/>
    </row>
    <row r="5"/>
    <row r="6" ht="33.75" customHeight="1" s="71">
      <c r="A6" s="17" t="inlineStr">
        <is>
          <t>Indicador</t>
        </is>
      </c>
      <c r="B6" s="17" t="inlineStr">
        <is>
          <t>Valor</t>
        </is>
      </c>
      <c r="C6" s="17" t="inlineStr">
        <is>
          <t>Meta</t>
        </is>
      </c>
      <c r="D6" s="17" t="inlineStr">
        <is>
          <t>Estado</t>
        </is>
      </c>
    </row>
    <row r="7" ht="30" customHeight="1" s="71">
      <c r="A7" s="21" t="inlineStr">
        <is>
          <t>Lista de cotejo cumplida</t>
        </is>
      </c>
      <c r="B7" s="65">
        <f>'01_Lista_cotejo'!C24</f>
        <v/>
      </c>
      <c r="C7" s="65" t="n">
        <v>1</v>
      </c>
      <c r="D7" s="21">
        <f>IF(B7&gt;=C7,"✔ Cumple","✘ Pendiente")</f>
        <v/>
      </c>
    </row>
    <row r="8" ht="30" customHeight="1" s="71">
      <c r="A8" s="21" t="inlineStr">
        <is>
          <t>Requisitos críticos conformes</t>
        </is>
      </c>
      <c r="B8" s="65">
        <f>'04_Verificacion_funcional'!C35</f>
        <v/>
      </c>
      <c r="C8" s="65" t="n">
        <v>1</v>
      </c>
      <c r="D8" s="21">
        <f>IF(B8&gt;=C8,"✔ Cumple","✘ Pendiente")</f>
        <v/>
      </c>
    </row>
    <row r="9" ht="30" customHeight="1" s="71">
      <c r="A9" s="21" t="inlineStr">
        <is>
          <t>GE capacitado</t>
        </is>
      </c>
      <c r="B9" s="65">
        <f>'06_Registro_capacitacion'!E125</f>
        <v/>
      </c>
      <c r="C9" s="65" t="n">
        <v>1</v>
      </c>
      <c r="D9" s="21">
        <f>IF(B9&gt;=C9,"✔ Cumple","✘ Pendiente")</f>
        <v/>
      </c>
    </row>
    <row r="10" ht="30" customHeight="1" s="71">
      <c r="A10" s="21" t="inlineStr">
        <is>
          <t>Condiciones de uso comunicadas (de 8)</t>
        </is>
      </c>
      <c r="B10" s="67">
        <f>COUNTIF('08_Protocolo_condiciones'!B16:B23,"Sí")</f>
        <v/>
      </c>
      <c r="C10" s="67" t="n">
        <v>8</v>
      </c>
      <c r="D10" s="21">
        <f>IF(B10&gt;=C10,"✔ Cumple","✘ Pendiente")</f>
        <v/>
      </c>
    </row>
    <row r="11" ht="30" customHeight="1" s="71">
      <c r="A11" s="21" t="inlineStr">
        <is>
          <t>Incidencias críticas abiertas</t>
        </is>
      </c>
      <c r="B11" s="67">
        <f>'07_Registro_incidencias'!C54</f>
        <v/>
      </c>
      <c r="C11" s="67" t="n">
        <v>0</v>
      </c>
      <c r="D11" s="21">
        <f>IF(B11=C11,"✔ Cumple","✘ Pendiente")</f>
        <v/>
      </c>
    </row>
    <row r="12"/>
    <row r="13">
      <c r="A13" s="68">
        <f>IF(COUNTIF(D7:D11,"✔*")=5,"✔ LISTO PARA INICIAR LA INTERVENCIÓN (T₀)","✘ AÚN NO: completa los indicadores pendientes")</f>
        <v/>
      </c>
    </row>
    <row r="14"/>
    <row r="15"/>
    <row r="16">
      <c r="A16" s="6" t="inlineStr">
        <is>
          <t>Puntaje de autoevaluación del informe inicial</t>
        </is>
      </c>
      <c r="B16" s="38">
        <f>'10_Rubrica_informe'!D17</f>
        <v/>
      </c>
      <c r="C16" s="50" t="inlineStr">
        <is>
          <t>de 20</t>
        </is>
      </c>
    </row>
    <row r="21" ht="15.75" customHeight="1" s="71"/>
    <row r="22" ht="15.75" customHeight="1" s="71"/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4">
    <mergeCell ref="A1:D1"/>
    <mergeCell ref="A3:D3"/>
    <mergeCell ref="A2:D2"/>
    <mergeCell ref="A13:D14"/>
  </mergeCells>
  <conditionalFormatting sqref="D7:D11">
    <cfRule type="expression" priority="1" dxfId="2">
      <formula>LEFT(D7,1)="✔"</formula>
    </cfRule>
    <cfRule type="expression" priority="2" dxfId="3">
      <formula>LEFT(D7,1)="✘"</formula>
    </cfRule>
  </conditionalFormatting>
  <pageMargins left="0.75" right="0.75" top="1" bottom="1" header="0" footer="0"/>
  <pageSetup orientation="portrait" fitToHeight="0"/>
  <headerFooter>
    <oddHeader/>
    <oddFooter>&amp;CMBA Jenny Reynoso Palpa · Seminario de Tesis III · Sesión 4&amp;RPág.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2026-10-26T23:13:52Z</dcterms:created>
  <dcterms:modified xmlns:dcterms="http://purl.org/dc/terms/" xmlns:xsi="http://www.w3.org/2001/XMLSchema-instance" xsi:type="dcterms:W3CDTF">2026-10-27T01:01:08Z</dcterms:modified>
</cp:coreProperties>
</file>